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desktop-main\기술개발실 공유\중국풀패턴\작지싸이즈스펙\2026\"/>
    </mc:Choice>
  </mc:AlternateContent>
  <xr:revisionPtr revIDLastSave="0" documentId="13_ncr:1_{1B681482-7BCB-4B72-BF1D-AFDF5608477B}" xr6:coauthVersionLast="47" xr6:coauthVersionMax="47" xr10:uidLastSave="{00000000-0000-0000-0000-000000000000}"/>
  <bookViews>
    <workbookView xWindow="3555" yWindow="1170" windowWidth="19620" windowHeight="13920" tabRatio="772" firstSheet="1" activeTab="1" xr2:uid="{A5169EC5-901A-41B4-BBF5-38046B3EA48A}"/>
  </bookViews>
  <sheets>
    <sheet name=" EC04" sheetId="2355" r:id="rId1"/>
    <sheet name="LE01" sheetId="2286" r:id="rId2"/>
    <sheet name="LE02" sheetId="2269" r:id="rId3"/>
    <sheet name="LE03" sheetId="2326" r:id="rId4"/>
    <sheet name="PT01" sheetId="2255" r:id="rId5"/>
    <sheet name="PT02" sheetId="2260" r:id="rId6"/>
    <sheet name="PT03" sheetId="2237" r:id="rId7"/>
    <sheet name="PT04" sheetId="2248" r:id="rId8"/>
    <sheet name="PT05(완사입)" sheetId="2293" r:id="rId9"/>
    <sheet name="PT06" sheetId="2262" r:id="rId10"/>
    <sheet name="PT07" sheetId="2294" r:id="rId11"/>
    <sheet name="PT08(완사입)" sheetId="2276" r:id="rId12"/>
    <sheet name="PT09(완사입)" sheetId="2275" r:id="rId13"/>
    <sheet name="PT10(완사입)" sheetId="2281" r:id="rId14"/>
    <sheet name="PT11(완사입)" sheetId="2320" r:id="rId15"/>
    <sheet name="PT12" sheetId="2352" r:id="rId16"/>
    <sheet name="PT13(완사입)" sheetId="2321" r:id="rId17"/>
    <sheet name="PT14" sheetId="2341" r:id="rId18"/>
    <sheet name="PT15(완사입)" sheetId="2318" r:id="rId19"/>
    <sheet name="PT16" sheetId="2339" r:id="rId20"/>
    <sheet name="PT17" sheetId="2312" r:id="rId21"/>
    <sheet name="PT18(완사입)" sheetId="2363" r:id="rId22"/>
    <sheet name="PT19" sheetId="2319" r:id="rId23"/>
    <sheet name="PT20(완사입)" sheetId="2346" r:id="rId24"/>
    <sheet name="PT21(완사입)" sheetId="2361" r:id="rId25"/>
    <sheet name="PT22(완사입)" sheetId="2362" r:id="rId26"/>
    <sheet name="PT23" sheetId="2337" r:id="rId27"/>
    <sheet name="PT24(완사입)" sheetId="2345" r:id="rId28"/>
    <sheet name="SE01" sheetId="2233" r:id="rId29"/>
    <sheet name="SE02" sheetId="2307" r:id="rId30"/>
    <sheet name="SE03" sheetId="2333" r:id="rId31"/>
    <sheet name="SE04" sheetId="2316" r:id="rId32"/>
    <sheet name="SE05" sheetId="2347" r:id="rId33"/>
    <sheet name="SE06" sheetId="2356" r:id="rId34"/>
    <sheet name="SK01" sheetId="2230" r:id="rId35"/>
    <sheet name="SK02" sheetId="2225" r:id="rId36"/>
    <sheet name="SK03" sheetId="2256" r:id="rId37"/>
    <sheet name="SK04" sheetId="2226" r:id="rId38"/>
    <sheet name="SK05" sheetId="2221" r:id="rId39"/>
    <sheet name="SK06" sheetId="2270" r:id="rId40"/>
    <sheet name="SK07" sheetId="2306" r:id="rId41"/>
    <sheet name="SK08" sheetId="2304" r:id="rId42"/>
    <sheet name="SK09(완사입)" sheetId="2280" r:id="rId43"/>
    <sheet name="SK10" sheetId="2338" r:id="rId44"/>
    <sheet name="SK11" sheetId="2340" r:id="rId45"/>
    <sheet name="SK12(니트)" sheetId="2353" r:id="rId46"/>
    <sheet name="OP01(켄슬)" sheetId="2300" r:id="rId47"/>
    <sheet name="OP01" sheetId="2335" r:id="rId48"/>
    <sheet name="OP02" sheetId="2253" r:id="rId49"/>
    <sheet name="OP03" sheetId="2274" r:id="rId50"/>
    <sheet name="OP04" sheetId="2244" r:id="rId51"/>
    <sheet name="OP05" sheetId="2299" r:id="rId52"/>
    <sheet name="OP06" sheetId="2242" r:id="rId53"/>
    <sheet name="OP07" sheetId="2243" r:id="rId54"/>
    <sheet name="OP08" sheetId="2305" r:id="rId55"/>
    <sheet name="OP09(니트)" sheetId="2278" r:id="rId56"/>
    <sheet name="OP10" sheetId="2288" r:id="rId57"/>
    <sheet name="OP11" sheetId="2343" r:id="rId58"/>
    <sheet name="OP12" sheetId="2330" r:id="rId59"/>
    <sheet name="OP13" sheetId="2325" r:id="rId60"/>
    <sheet name="OP14" sheetId="2331" r:id="rId61"/>
    <sheet name="OP15" sheetId="2357" r:id="rId62"/>
    <sheet name="OP16" sheetId="2348" r:id="rId63"/>
    <sheet name="OP17(완사입)" sheetId="2342" r:id="rId64"/>
    <sheet name="OP18" sheetId="2350" r:id="rId65"/>
    <sheet name="OU01" sheetId="2229" r:id="rId66"/>
    <sheet name="OU02" sheetId="2236" r:id="rId67"/>
    <sheet name="OU03" sheetId="2223" r:id="rId68"/>
    <sheet name="OU04" sheetId="2265" r:id="rId69"/>
    <sheet name="OU05" sheetId="2227" r:id="rId70"/>
    <sheet name="OU06" sheetId="2247" r:id="rId71"/>
    <sheet name="OU07" sheetId="2364" r:id="rId72"/>
    <sheet name="OU08" sheetId="2263" r:id="rId73"/>
    <sheet name="OU09" sheetId="2292" r:id="rId74"/>
    <sheet name="OU10(니트)" sheetId="2250" r:id="rId75"/>
    <sheet name="OU11" sheetId="2254" r:id="rId76"/>
    <sheet name="OU12" sheetId="2268" r:id="rId77"/>
    <sheet name="OU13" sheetId="2289" r:id="rId78"/>
    <sheet name="OU14(니트)" sheetId="2251" r:id="rId79"/>
    <sheet name="OU15(니트)" sheetId="2249" r:id="rId80"/>
    <sheet name="OU16(완사입)" sheetId="2297" r:id="rId81"/>
    <sheet name="OU17" sheetId="2303" r:id="rId82"/>
    <sheet name="OU18" sheetId="2266" r:id="rId83"/>
    <sheet name="OU19(니트)" sheetId="2323" r:id="rId84"/>
    <sheet name="OU20" sheetId="2344" r:id="rId85"/>
    <sheet name="OU21(니트)" sheetId="2354" r:id="rId86"/>
    <sheet name="OU22(니트)" sheetId="2360" r:id="rId87"/>
    <sheet name="TO01" sheetId="2296" r:id="rId88"/>
    <sheet name="TO02" sheetId="2224" r:id="rId89"/>
    <sheet name="TO03" sheetId="2234" r:id="rId90"/>
    <sheet name="TO04" sheetId="2231" r:id="rId91"/>
    <sheet name="TO05" sheetId="2239" r:id="rId92"/>
    <sheet name="TO06" sheetId="2235" r:id="rId93"/>
    <sheet name="TO07" sheetId="2228" r:id="rId94"/>
    <sheet name="TO08" sheetId="2232" r:id="rId95"/>
    <sheet name="TO09" sheetId="2222" r:id="rId96"/>
    <sheet name="TO10" sheetId="2257" r:id="rId97"/>
    <sheet name="TO11" sheetId="2246" r:id="rId98"/>
    <sheet name="TO12" sheetId="2298" r:id="rId99"/>
    <sheet name="TO13" sheetId="2272" r:id="rId100"/>
    <sheet name="TO14" sheetId="2245" r:id="rId101"/>
    <sheet name="TO15" sheetId="2238" r:id="rId102"/>
    <sheet name="TO16" sheetId="2240" r:id="rId103"/>
    <sheet name="TO17" sheetId="2241" r:id="rId104"/>
    <sheet name="TO18" sheetId="2267" r:id="rId105"/>
    <sheet name="TO19" sheetId="2284" r:id="rId106"/>
    <sheet name="TO20" sheetId="2271" r:id="rId107"/>
    <sheet name="TO21" sheetId="2282" r:id="rId108"/>
    <sheet name="TO22(완사입)" sheetId="2295" r:id="rId109"/>
    <sheet name="TO23" sheetId="2291" r:id="rId110"/>
    <sheet name="TO24" sheetId="2252" r:id="rId111"/>
    <sheet name="TO25" sheetId="2277" r:id="rId112"/>
    <sheet name="TO26" sheetId="2259" r:id="rId113"/>
    <sheet name="TO27" sheetId="2273" r:id="rId114"/>
    <sheet name="TO28" sheetId="2264" r:id="rId115"/>
    <sheet name="TO29" sheetId="2285" r:id="rId116"/>
    <sheet name="TO30" sheetId="2287" r:id="rId117"/>
    <sheet name="TO31" sheetId="2301" r:id="rId118"/>
    <sheet name="TO32" sheetId="2302" r:id="rId119"/>
    <sheet name="TO33(완사입)" sheetId="2279" r:id="rId120"/>
    <sheet name="TO34" sheetId="2332" r:id="rId121"/>
    <sheet name="TO35" sheetId="2308" r:id="rId122"/>
    <sheet name="TO36" sheetId="2329" r:id="rId123"/>
    <sheet name="TO37" sheetId="2351" r:id="rId124"/>
    <sheet name="TO38" sheetId="2334" r:id="rId125"/>
    <sheet name="TO39" sheetId="2311" r:id="rId126"/>
    <sheet name="TO40(니트)" sheetId="2358" r:id="rId127"/>
    <sheet name="TO41" sheetId="2328" r:id="rId128"/>
    <sheet name="TO42" sheetId="2313" r:id="rId129"/>
    <sheet name="TO43" sheetId="2324" r:id="rId130"/>
    <sheet name="TO44" sheetId="2327" r:id="rId131"/>
    <sheet name="TO45" sheetId="2314" r:id="rId132"/>
    <sheet name="TO46" sheetId="2309" r:id="rId133"/>
    <sheet name="TO47" sheetId="2310" r:id="rId134"/>
    <sheet name="TO48" sheetId="2317" r:id="rId135"/>
    <sheet name="TO49" sheetId="2349" r:id="rId136"/>
    <sheet name="TO50" sheetId="2336" r:id="rId137"/>
  </sheets>
  <definedNames>
    <definedName name="_xlnm.Print_Area" localSheetId="0">' EC04'!$A$1:$M$28</definedName>
    <definedName name="_xlnm.Print_Area" localSheetId="1">'LE01'!$A$1:$M$32</definedName>
    <definedName name="_xlnm.Print_Area" localSheetId="2">'LE02'!$A$1:$M$32</definedName>
    <definedName name="_xlnm.Print_Area" localSheetId="3">'LE03'!$A$1:$M$24</definedName>
    <definedName name="_xlnm.Print_Area" localSheetId="47">'OP01'!$A$1:$M$42</definedName>
    <definedName name="_xlnm.Print_Area" localSheetId="46">'OP01(켄슬)'!$A$1:$M$38</definedName>
    <definedName name="_xlnm.Print_Area" localSheetId="48">'OP02'!$A$1:$M$38</definedName>
    <definedName name="_xlnm.Print_Area" localSheetId="49">'OP03'!$A$1:$M$42</definedName>
    <definedName name="_xlnm.Print_Area" localSheetId="50">'OP04'!$A$1:$M$38</definedName>
    <definedName name="_xlnm.Print_Area" localSheetId="51">'OP05'!$A$1:$M$43</definedName>
    <definedName name="_xlnm.Print_Area" localSheetId="52">'OP06'!$A$1:$M$38</definedName>
    <definedName name="_xlnm.Print_Area" localSheetId="53">'OP07'!$A$1:$M$51</definedName>
    <definedName name="_xlnm.Print_Area" localSheetId="54">'OP08'!$A$1:$M$34</definedName>
    <definedName name="_xlnm.Print_Area" localSheetId="55">'OP09(니트)'!$A$1:$M$40</definedName>
    <definedName name="_xlnm.Print_Area" localSheetId="56">'OP10'!$A$1:$M$34</definedName>
    <definedName name="_xlnm.Print_Area" localSheetId="57">'OP11'!$A$1:$M$40</definedName>
    <definedName name="_xlnm.Print_Area" localSheetId="58">'OP12'!$A$1:$M$36</definedName>
    <definedName name="_xlnm.Print_Area" localSheetId="59">'OP13'!$A$1:$M$40</definedName>
    <definedName name="_xlnm.Print_Area" localSheetId="60">'OP14'!$A$1:$M$38</definedName>
    <definedName name="_xlnm.Print_Area" localSheetId="61">'OP15'!$A$1:$M$42</definedName>
    <definedName name="_xlnm.Print_Area" localSheetId="62">'OP16'!$A$1:$M$34</definedName>
    <definedName name="_xlnm.Print_Area" localSheetId="63">'OP17(완사입)'!$A$1:$M$42</definedName>
    <definedName name="_xlnm.Print_Area" localSheetId="64">'OP18'!$A$1:$M$36</definedName>
    <definedName name="_xlnm.Print_Area" localSheetId="65">'OU01'!$A$1:$M$51</definedName>
    <definedName name="_xlnm.Print_Area" localSheetId="66">'OU02'!$A$1:$N$38</definedName>
    <definedName name="_xlnm.Print_Area" localSheetId="67">'OU03'!$A$1:$N$28</definedName>
    <definedName name="_xlnm.Print_Area" localSheetId="68">'OU04'!$A$1:$M$40</definedName>
    <definedName name="_xlnm.Print_Area" localSheetId="69">'OU05'!$A$1:$N$40</definedName>
    <definedName name="_xlnm.Print_Area" localSheetId="70">'OU06'!$A$1:$M$32</definedName>
    <definedName name="_xlnm.Print_Area" localSheetId="71">'OU07'!$A$1:$M$34</definedName>
    <definedName name="_xlnm.Print_Area" localSheetId="72">'OU08'!$A$1:$M$42</definedName>
    <definedName name="_xlnm.Print_Area" localSheetId="73">'OU09'!$A$1:$M$38</definedName>
    <definedName name="_xlnm.Print_Area" localSheetId="74">'OU10(니트)'!$A$1:$M$38</definedName>
    <definedName name="_xlnm.Print_Area" localSheetId="75">'OU11'!$A$1:$N$38</definedName>
    <definedName name="_xlnm.Print_Area" localSheetId="76">'OU12'!$A$1:$N$38</definedName>
    <definedName name="_xlnm.Print_Area" localSheetId="77">'OU13'!$A$1:$N$40</definedName>
    <definedName name="_xlnm.Print_Area" localSheetId="78">'OU14(니트)'!$A$1:$N$36</definedName>
    <definedName name="_xlnm.Print_Area" localSheetId="79">'OU15(니트)'!$A$1:$M$34</definedName>
    <definedName name="_xlnm.Print_Area" localSheetId="80">'OU16(완사입)'!$A$1:$M$40</definedName>
    <definedName name="_xlnm.Print_Area" localSheetId="81">'OU17'!$A$1:$N$28</definedName>
    <definedName name="_xlnm.Print_Area" localSheetId="82">'OU18'!$A$1:$N$40</definedName>
    <definedName name="_xlnm.Print_Area" localSheetId="83">'OU19(니트)'!$A$1:$N$36</definedName>
    <definedName name="_xlnm.Print_Area" localSheetId="84">'OU20'!$A$1:$M$40</definedName>
    <definedName name="_xlnm.Print_Area" localSheetId="85">'OU21(니트)'!$A$1:$M$36</definedName>
    <definedName name="_xlnm.Print_Area" localSheetId="86">'OU22(니트)'!$A$1:$M$34</definedName>
    <definedName name="_xlnm.Print_Area" localSheetId="4">'PT01'!$A$1:$M$54</definedName>
    <definedName name="_xlnm.Print_Area" localSheetId="5">'PT02'!$A$1:$M$50</definedName>
    <definedName name="_xlnm.Print_Area" localSheetId="6">'PT03'!$A$1:$N$52</definedName>
    <definedName name="_xlnm.Print_Area" localSheetId="7">'PT04'!$A$1:$M$52</definedName>
    <definedName name="_xlnm.Print_Area" localSheetId="8">'PT05(완사입)'!$A$1:$N$52</definedName>
    <definedName name="_xlnm.Print_Area" localSheetId="9">'PT06'!$A$1:$N$48</definedName>
    <definedName name="_xlnm.Print_Area" localSheetId="10">'PT07'!$A$1:$N$44</definedName>
    <definedName name="_xlnm.Print_Area" localSheetId="11">'PT08(완사입)'!$A$1:$N$44</definedName>
    <definedName name="_xlnm.Print_Area" localSheetId="12">'PT09(완사입)'!$A$1:$N$44</definedName>
    <definedName name="_xlnm.Print_Area" localSheetId="13">'PT10(완사입)'!$A$1:$N$52</definedName>
    <definedName name="_xlnm.Print_Area" localSheetId="14">'PT11(완사입)'!$A$1:$N$46</definedName>
    <definedName name="_xlnm.Print_Area" localSheetId="15">'PT12'!$A$1:$M$46</definedName>
    <definedName name="_xlnm.Print_Area" localSheetId="16">'PT13(완사입)'!$A$1:$N$44</definedName>
    <definedName name="_xlnm.Print_Area" localSheetId="17">'PT14'!$A$1:$M$46</definedName>
    <definedName name="_xlnm.Print_Area" localSheetId="18">'PT15(완사입)'!$A$1:$N$44</definedName>
    <definedName name="_xlnm.Print_Area" localSheetId="19">'PT16'!$A$1:$N$48</definedName>
    <definedName name="_xlnm.Print_Area" localSheetId="20">'PT17'!$A$1:$N$48</definedName>
    <definedName name="_xlnm.Print_Area" localSheetId="21">'PT18(완사입)'!$A$1:$N$46</definedName>
    <definedName name="_xlnm.Print_Area" localSheetId="22">'PT19'!$A$1:$N$48</definedName>
    <definedName name="_xlnm.Print_Area" localSheetId="23">'PT20(완사입)'!$A$1:$N$44</definedName>
    <definedName name="_xlnm.Print_Area" localSheetId="24">'PT21(완사입)'!$A$1:$N$44</definedName>
    <definedName name="_xlnm.Print_Area" localSheetId="25">'PT22(완사입)'!$A$1:$N$48</definedName>
    <definedName name="_xlnm.Print_Area" localSheetId="26">'PT23'!$A$1:$M$50</definedName>
    <definedName name="_xlnm.Print_Area" localSheetId="27">'PT24(완사입)'!$A$1:$N$44</definedName>
    <definedName name="_xlnm.Print_Area" localSheetId="28">'SE01'!$A$1:$M$74</definedName>
    <definedName name="_xlnm.Print_Area" localSheetId="29">'SE02'!$A$1:$N$64</definedName>
    <definedName name="_xlnm.Print_Area" localSheetId="30">'SE03'!$A$1:$M$66</definedName>
    <definedName name="_xlnm.Print_Area" localSheetId="31">'SE04'!$A$1:$N$64</definedName>
    <definedName name="_xlnm.Print_Area" localSheetId="32">'SE05'!$A$1:$N$56</definedName>
    <definedName name="_xlnm.Print_Area" localSheetId="33">'SE06'!$A$1:$M$74</definedName>
    <definedName name="_xlnm.Print_Area" localSheetId="34">'SK01'!$A$1:$M$51</definedName>
    <definedName name="_xlnm.Print_Area" localSheetId="35">'SK02'!$A$1:$N$51</definedName>
    <definedName name="_xlnm.Print_Area" localSheetId="36">'SK03'!$A$1:$M$30</definedName>
    <definedName name="_xlnm.Print_Area" localSheetId="37">'SK04'!$A$1:$M$51</definedName>
    <definedName name="_xlnm.Print_Area" localSheetId="38">'SK05'!$A$1:$M$22</definedName>
    <definedName name="_xlnm.Print_Area" localSheetId="39">'SK06'!$A$1:$M$16</definedName>
    <definedName name="_xlnm.Print_Area" localSheetId="40">'SK07'!$A$1:$N$28</definedName>
    <definedName name="_xlnm.Print_Area" localSheetId="41">'SK08'!$A$1:$M$34</definedName>
    <definedName name="_xlnm.Print_Area" localSheetId="42">'SK09(완사입)'!$A$1:$N$26</definedName>
    <definedName name="_xlnm.Print_Area" localSheetId="43">'SK10'!$A$1:$M$30</definedName>
    <definedName name="_xlnm.Print_Area" localSheetId="44">'SK11'!$A$1:$M$32</definedName>
    <definedName name="_xlnm.Print_Area" localSheetId="45">'SK12(니트)'!$A$1:$N$26</definedName>
    <definedName name="_xlnm.Print_Area" localSheetId="87">'TO01'!$A$1:$N$34</definedName>
    <definedName name="_xlnm.Print_Area" localSheetId="88">'TO02'!$A$1:$M$51</definedName>
    <definedName name="_xlnm.Print_Area" localSheetId="89">'TO03'!$A$1:$M$34</definedName>
    <definedName name="_xlnm.Print_Area" localSheetId="90">'TO04'!$A$1:$M$34</definedName>
    <definedName name="_xlnm.Print_Area" localSheetId="91">'TO05'!$A$1:$M$30</definedName>
    <definedName name="_xlnm.Print_Area" localSheetId="92">'TO06'!$A$1:$M$30</definedName>
    <definedName name="_xlnm.Print_Area" localSheetId="93">'TO07'!$A$1:$M$32</definedName>
    <definedName name="_xlnm.Print_Area" localSheetId="94">'TO08'!$A$1:$N$32</definedName>
    <definedName name="_xlnm.Print_Area" localSheetId="95">'TO09'!$A$1:$M$34</definedName>
    <definedName name="_xlnm.Print_Area" localSheetId="96">'TO10'!$A$1:$N$34</definedName>
    <definedName name="_xlnm.Print_Area" localSheetId="97">'TO11'!$A$1:$M$28</definedName>
    <definedName name="_xlnm.Print_Area" localSheetId="98">'TO12'!$A$1:$M$36</definedName>
    <definedName name="_xlnm.Print_Area" localSheetId="99">'TO13'!$A$1:$M$34</definedName>
    <definedName name="_xlnm.Print_Area" localSheetId="100">'TO14'!$A$1:$M$34</definedName>
    <definedName name="_xlnm.Print_Area" localSheetId="101">'TO15'!$A$1:$N$28</definedName>
    <definedName name="_xlnm.Print_Area" localSheetId="102">'TO16'!$A$1:$N$32</definedName>
    <definedName name="_xlnm.Print_Area" localSheetId="103">'TO17'!$A$1:$M$49</definedName>
    <definedName name="_xlnm.Print_Area" localSheetId="104">'TO18'!$A$1:$N$34</definedName>
    <definedName name="_xlnm.Print_Area" localSheetId="105">'TO19'!$A$1:$M$26</definedName>
    <definedName name="_xlnm.Print_Area" localSheetId="106">'TO20'!$A$1:$M$26</definedName>
    <definedName name="_xlnm.Print_Area" localSheetId="107">'TO21'!$A$1:$M$28</definedName>
    <definedName name="_xlnm.Print_Area" localSheetId="108">'TO22(완사입)'!$A$1:$N$44</definedName>
    <definedName name="_xlnm.Print_Area" localSheetId="109">'TO23'!$A$1:$M$32</definedName>
    <definedName name="_xlnm.Print_Area" localSheetId="110">'TO24'!$A$1:$M$51</definedName>
    <definedName name="_xlnm.Print_Area" localSheetId="111">'TO25'!$A$1:$M$34</definedName>
    <definedName name="_xlnm.Print_Area" localSheetId="112">'TO26'!$A$1:$M$34</definedName>
    <definedName name="_xlnm.Print_Area" localSheetId="113">'TO27'!$A$1:$M$36</definedName>
    <definedName name="_xlnm.Print_Area" localSheetId="114">'TO28'!$A$1:$M$26</definedName>
    <definedName name="_xlnm.Print_Area" localSheetId="115">'TO29'!$A$1:$L$26</definedName>
    <definedName name="_xlnm.Print_Area" localSheetId="116">'TO30'!$A$1:$N$28</definedName>
    <definedName name="_xlnm.Print_Area" localSheetId="117">'TO31'!$A$1:$L$28</definedName>
    <definedName name="_xlnm.Print_Area" localSheetId="118">'TO32'!$A$1:$L$28</definedName>
    <definedName name="_xlnm.Print_Area" localSheetId="119">'TO33(완사입)'!$A$1:$N$26</definedName>
    <definedName name="_xlnm.Print_Area" localSheetId="120">'TO34'!$A$1:$N$42</definedName>
    <definedName name="_xlnm.Print_Area" localSheetId="121">'TO35'!$A$1:$M$30</definedName>
    <definedName name="_xlnm.Print_Area" localSheetId="122">'TO36'!$A$1:$N$30</definedName>
    <definedName name="_xlnm.Print_Area" localSheetId="123">'TO37'!$A$1:$N$28</definedName>
    <definedName name="_xlnm.Print_Area" localSheetId="124">'TO38'!$A$1:$M$34</definedName>
    <definedName name="_xlnm.Print_Area" localSheetId="125">'TO39'!$A$1:$M$34</definedName>
    <definedName name="_xlnm.Print_Area" localSheetId="126">'TO40(니트)'!$A$1:$M$36</definedName>
    <definedName name="_xlnm.Print_Area" localSheetId="127">'TO41'!$A$1:$N$38</definedName>
    <definedName name="_xlnm.Print_Area" localSheetId="128">'TO42'!$A$1:$M$30</definedName>
    <definedName name="_xlnm.Print_Area" localSheetId="129">'TO43'!$A$1:$M$30</definedName>
    <definedName name="_xlnm.Print_Area" localSheetId="130">'TO44'!$A$1:$M$30</definedName>
    <definedName name="_xlnm.Print_Area" localSheetId="131">'TO45'!$A$1:$M$32</definedName>
    <definedName name="_xlnm.Print_Area" localSheetId="132">'TO46'!$A$1:$M$32</definedName>
    <definedName name="_xlnm.Print_Area" localSheetId="133">'TO47'!$A$1:$M$32</definedName>
    <definedName name="_xlnm.Print_Area" localSheetId="134">'TO48'!$A$1:$N$26</definedName>
    <definedName name="_xlnm.Print_Area" localSheetId="135">'TO49'!$A$1:$M$26</definedName>
    <definedName name="_xlnm.Print_Area" localSheetId="136">'TO50'!$A$1:$M$26</definedName>
  </definedNames>
  <calcPr calcId="191029"/>
</workbook>
</file>

<file path=xl/calcChain.xml><?xml version="1.0" encoding="utf-8"?>
<calcChain xmlns="http://schemas.openxmlformats.org/spreadsheetml/2006/main">
  <c r="K33" i="2364" l="1"/>
  <c r="L33" i="2364" s="1"/>
  <c r="M33" i="2364" s="1"/>
  <c r="I33" i="2364"/>
  <c r="H33" i="2364"/>
  <c r="K31" i="2364"/>
  <c r="L31" i="2364" s="1"/>
  <c r="M31" i="2364" s="1"/>
  <c r="I31" i="2364"/>
  <c r="H31" i="2364"/>
  <c r="K29" i="2364"/>
  <c r="L29" i="2364" s="1"/>
  <c r="M29" i="2364" s="1"/>
  <c r="I29" i="2364"/>
  <c r="H29" i="2364"/>
  <c r="K27" i="2364"/>
  <c r="L27" i="2364" s="1"/>
  <c r="M27" i="2364" s="1"/>
  <c r="I27" i="2364"/>
  <c r="H27" i="2364" s="1"/>
  <c r="K25" i="2364"/>
  <c r="L25" i="2364" s="1"/>
  <c r="M25" i="2364" s="1"/>
  <c r="I25" i="2364"/>
  <c r="H25" i="2364"/>
  <c r="K23" i="2364"/>
  <c r="L23" i="2364" s="1"/>
  <c r="M23" i="2364" s="1"/>
  <c r="I23" i="2364"/>
  <c r="H23" i="2364"/>
  <c r="L21" i="2364"/>
  <c r="M21" i="2364" s="1"/>
  <c r="K21" i="2364"/>
  <c r="I21" i="2364"/>
  <c r="H21" i="2364"/>
  <c r="K19" i="2364"/>
  <c r="L19" i="2364" s="1"/>
  <c r="M19" i="2364" s="1"/>
  <c r="I19" i="2364"/>
  <c r="H19" i="2364"/>
  <c r="K17" i="2364"/>
  <c r="L17" i="2364" s="1"/>
  <c r="M17" i="2364" s="1"/>
  <c r="I17" i="2364"/>
  <c r="H17" i="2364"/>
  <c r="K15" i="2364"/>
  <c r="L15" i="2364" s="1"/>
  <c r="M15" i="2364" s="1"/>
  <c r="I15" i="2364"/>
  <c r="H15" i="2364" s="1"/>
  <c r="K13" i="2364"/>
  <c r="L13" i="2364" s="1"/>
  <c r="M13" i="2364" s="1"/>
  <c r="I13" i="2364"/>
  <c r="H13" i="2364"/>
  <c r="K11" i="2364"/>
  <c r="L11" i="2364" s="1"/>
  <c r="M11" i="2364" s="1"/>
  <c r="I11" i="2364"/>
  <c r="H11" i="2364"/>
  <c r="K9" i="2364"/>
  <c r="L9" i="2364" s="1"/>
  <c r="M9" i="2364" s="1"/>
  <c r="I9" i="2364"/>
  <c r="H9" i="2364" s="1"/>
  <c r="L7" i="2364"/>
  <c r="M7" i="2364" s="1"/>
  <c r="K7" i="2364"/>
  <c r="I7" i="2364"/>
  <c r="H7" i="2364"/>
  <c r="K5" i="2364"/>
  <c r="L5" i="2364" s="1"/>
  <c r="M5" i="2364" s="1"/>
  <c r="I5" i="2364"/>
  <c r="H5" i="2364"/>
  <c r="L3" i="2364"/>
  <c r="M3" i="2364" s="1"/>
  <c r="K3" i="2364"/>
  <c r="I3" i="2364"/>
  <c r="H3" i="2364"/>
  <c r="K17" i="2314"/>
  <c r="I17" i="2314"/>
  <c r="M49" i="2333"/>
  <c r="L49" i="2333"/>
  <c r="K49" i="2333"/>
  <c r="H49" i="2333"/>
  <c r="I49" i="2333"/>
  <c r="H39" i="2321"/>
  <c r="I39" i="2321"/>
  <c r="N39" i="2321"/>
  <c r="M39" i="2321"/>
  <c r="L39" i="2321"/>
  <c r="K39" i="2321"/>
  <c r="H37" i="2321"/>
  <c r="I37" i="2321"/>
  <c r="N37" i="2321"/>
  <c r="M37" i="2321"/>
  <c r="L37" i="2321"/>
  <c r="K37" i="2321"/>
  <c r="N33" i="2321"/>
  <c r="M33" i="2321"/>
  <c r="L33" i="2321"/>
  <c r="K33" i="2321"/>
  <c r="I33" i="2321"/>
  <c r="H33" i="2321"/>
  <c r="N23" i="2321"/>
  <c r="M23" i="2321"/>
  <c r="L23" i="2321"/>
  <c r="K23" i="2321"/>
  <c r="H23" i="2321"/>
  <c r="I23" i="2321"/>
  <c r="K43" i="2321"/>
  <c r="L43" i="2321" s="1"/>
  <c r="M43" i="2321" s="1"/>
  <c r="N43" i="2321" s="1"/>
  <c r="I43" i="2321"/>
  <c r="H43" i="2321" s="1"/>
  <c r="K41" i="2321"/>
  <c r="L41" i="2321" s="1"/>
  <c r="M41" i="2321" s="1"/>
  <c r="N41" i="2321" s="1"/>
  <c r="I41" i="2321"/>
  <c r="H41" i="2321" s="1"/>
  <c r="K27" i="2321"/>
  <c r="L27" i="2321" s="1"/>
  <c r="M27" i="2321" s="1"/>
  <c r="N27" i="2321" s="1"/>
  <c r="I27" i="2321"/>
  <c r="H27" i="2321" s="1"/>
  <c r="K25" i="2321"/>
  <c r="L25" i="2321" s="1"/>
  <c r="M25" i="2321" s="1"/>
  <c r="N25" i="2321" s="1"/>
  <c r="I25" i="2321"/>
  <c r="H25" i="2321"/>
  <c r="L21" i="2321"/>
  <c r="M21" i="2321" s="1"/>
  <c r="N21" i="2321" s="1"/>
  <c r="K21" i="2321"/>
  <c r="I21" i="2321"/>
  <c r="H21" i="2321" s="1"/>
  <c r="K19" i="2321"/>
  <c r="L19" i="2321" s="1"/>
  <c r="M19" i="2321" s="1"/>
  <c r="N19" i="2321" s="1"/>
  <c r="I19" i="2321"/>
  <c r="H19" i="2321"/>
  <c r="K17" i="2321"/>
  <c r="L17" i="2321" s="1"/>
  <c r="M17" i="2321" s="1"/>
  <c r="N17" i="2321" s="1"/>
  <c r="I17" i="2321"/>
  <c r="H17" i="2321" s="1"/>
  <c r="L15" i="2321"/>
  <c r="M15" i="2321" s="1"/>
  <c r="N15" i="2321" s="1"/>
  <c r="K15" i="2321"/>
  <c r="I15" i="2321"/>
  <c r="H15" i="2321"/>
  <c r="K13" i="2321"/>
  <c r="L13" i="2321" s="1"/>
  <c r="M13" i="2321" s="1"/>
  <c r="N13" i="2321" s="1"/>
  <c r="I13" i="2321"/>
  <c r="H13" i="2321"/>
  <c r="M11" i="2321"/>
  <c r="N11" i="2321" s="1"/>
  <c r="L11" i="2321"/>
  <c r="K11" i="2321"/>
  <c r="I11" i="2321"/>
  <c r="H11" i="2321" s="1"/>
  <c r="K9" i="2321"/>
  <c r="L9" i="2321" s="1"/>
  <c r="M9" i="2321" s="1"/>
  <c r="N9" i="2321" s="1"/>
  <c r="I9" i="2321"/>
  <c r="H9" i="2321"/>
  <c r="K3" i="2321"/>
  <c r="L3" i="2321" s="1"/>
  <c r="M3" i="2321" s="1"/>
  <c r="N3" i="2321" s="1"/>
  <c r="I3" i="2321"/>
  <c r="H3" i="2321"/>
  <c r="M23" i="2276"/>
  <c r="N23" i="2276" s="1"/>
  <c r="L23" i="2276"/>
  <c r="K23" i="2276"/>
  <c r="H23" i="2276"/>
  <c r="I23" i="2276"/>
  <c r="K33" i="2275"/>
  <c r="L33" i="2275" s="1"/>
  <c r="M33" i="2275" s="1"/>
  <c r="N33" i="2275" s="1"/>
  <c r="I33" i="2275"/>
  <c r="H33" i="2275" s="1"/>
  <c r="K39" i="2362"/>
  <c r="K35" i="2244"/>
  <c r="L35" i="2244" s="1"/>
  <c r="M35" i="2244" s="1"/>
  <c r="I35" i="2244"/>
  <c r="H35" i="2244" s="1"/>
  <c r="H9" i="2324"/>
  <c r="K9" i="2324"/>
  <c r="L9" i="2324"/>
  <c r="M9" i="2324" s="1"/>
  <c r="I9" i="2324"/>
  <c r="M29" i="2298"/>
  <c r="L29" i="2298"/>
  <c r="K29" i="2298"/>
  <c r="I27" i="2296"/>
  <c r="H27" i="2296" s="1"/>
  <c r="I45" i="2363"/>
  <c r="H45" i="2363" s="1"/>
  <c r="K45" i="2363"/>
  <c r="L45" i="2363"/>
  <c r="M45" i="2363"/>
  <c r="N45" i="2363"/>
  <c r="N37" i="2363"/>
  <c r="M37" i="2363"/>
  <c r="L37" i="2363"/>
  <c r="K37" i="2363"/>
  <c r="H37" i="2363"/>
  <c r="I37" i="2363"/>
  <c r="N39" i="2363"/>
  <c r="M39" i="2363"/>
  <c r="L39" i="2363"/>
  <c r="K39" i="2363"/>
  <c r="H39" i="2363"/>
  <c r="I39" i="2363"/>
  <c r="H23" i="2363"/>
  <c r="I23" i="2363"/>
  <c r="K23" i="2363"/>
  <c r="L23" i="2363" s="1"/>
  <c r="M23" i="2363" s="1"/>
  <c r="N23" i="2363" s="1"/>
  <c r="L43" i="2363"/>
  <c r="M43" i="2363" s="1"/>
  <c r="N43" i="2363" s="1"/>
  <c r="K43" i="2363"/>
  <c r="I43" i="2363"/>
  <c r="H43" i="2363" s="1"/>
  <c r="K41" i="2363"/>
  <c r="L41" i="2363" s="1"/>
  <c r="M41" i="2363" s="1"/>
  <c r="N41" i="2363" s="1"/>
  <c r="I41" i="2363"/>
  <c r="H41" i="2363"/>
  <c r="L27" i="2363"/>
  <c r="M27" i="2363" s="1"/>
  <c r="N27" i="2363" s="1"/>
  <c r="K27" i="2363"/>
  <c r="I27" i="2363"/>
  <c r="H27" i="2363" s="1"/>
  <c r="L25" i="2363"/>
  <c r="M25" i="2363" s="1"/>
  <c r="N25" i="2363" s="1"/>
  <c r="K25" i="2363"/>
  <c r="I25" i="2363"/>
  <c r="H25" i="2363"/>
  <c r="K21" i="2363"/>
  <c r="L21" i="2363" s="1"/>
  <c r="M21" i="2363" s="1"/>
  <c r="N21" i="2363" s="1"/>
  <c r="I21" i="2363"/>
  <c r="H21" i="2363"/>
  <c r="K19" i="2363"/>
  <c r="L19" i="2363" s="1"/>
  <c r="M19" i="2363" s="1"/>
  <c r="N19" i="2363" s="1"/>
  <c r="I19" i="2363"/>
  <c r="H19" i="2363"/>
  <c r="L17" i="2363"/>
  <c r="M17" i="2363" s="1"/>
  <c r="N17" i="2363" s="1"/>
  <c r="K17" i="2363"/>
  <c r="I17" i="2363"/>
  <c r="H17" i="2363" s="1"/>
  <c r="K15" i="2363"/>
  <c r="L15" i="2363" s="1"/>
  <c r="M15" i="2363" s="1"/>
  <c r="N15" i="2363" s="1"/>
  <c r="I15" i="2363"/>
  <c r="H15" i="2363" s="1"/>
  <c r="K13" i="2363"/>
  <c r="L13" i="2363" s="1"/>
  <c r="M13" i="2363" s="1"/>
  <c r="N13" i="2363" s="1"/>
  <c r="I13" i="2363"/>
  <c r="H13" i="2363"/>
  <c r="K11" i="2363"/>
  <c r="L11" i="2363" s="1"/>
  <c r="M11" i="2363" s="1"/>
  <c r="N11" i="2363" s="1"/>
  <c r="I11" i="2363"/>
  <c r="H11" i="2363" s="1"/>
  <c r="L9" i="2363"/>
  <c r="M9" i="2363" s="1"/>
  <c r="N9" i="2363" s="1"/>
  <c r="K9" i="2363"/>
  <c r="I9" i="2363"/>
  <c r="H9" i="2363"/>
  <c r="K3" i="2363"/>
  <c r="L3" i="2363" s="1"/>
  <c r="M3" i="2363" s="1"/>
  <c r="N3" i="2363" s="1"/>
  <c r="I3" i="2363"/>
  <c r="H3" i="2363" s="1"/>
  <c r="N27" i="2351"/>
  <c r="N25" i="2351"/>
  <c r="N23" i="2351"/>
  <c r="N21" i="2351"/>
  <c r="L29" i="2352"/>
  <c r="H29" i="2352"/>
  <c r="I29" i="2352"/>
  <c r="J29" i="2352"/>
  <c r="M39" i="2352"/>
  <c r="L39" i="2352"/>
  <c r="I39" i="2352"/>
  <c r="H39" i="2352" s="1"/>
  <c r="J39" i="2352"/>
  <c r="M37" i="2352"/>
  <c r="L37" i="2352"/>
  <c r="I37" i="2352"/>
  <c r="H37" i="2352" s="1"/>
  <c r="J37" i="2352"/>
  <c r="H3" i="2352"/>
  <c r="K17" i="2239"/>
  <c r="L17" i="2239" s="1"/>
  <c r="M17" i="2239" s="1"/>
  <c r="I17" i="2239"/>
  <c r="H17" i="2239" s="1"/>
  <c r="K15" i="2239"/>
  <c r="L15" i="2239" s="1"/>
  <c r="M15" i="2239" s="1"/>
  <c r="I15" i="2239"/>
  <c r="H15" i="2239"/>
  <c r="K13" i="2239"/>
  <c r="L13" i="2239" s="1"/>
  <c r="M13" i="2239" s="1"/>
  <c r="I13" i="2239"/>
  <c r="H13" i="2239"/>
  <c r="N47" i="2362"/>
  <c r="N45" i="2362"/>
  <c r="M47" i="2362"/>
  <c r="M45" i="2362"/>
  <c r="L47" i="2362"/>
  <c r="L45" i="2362"/>
  <c r="K47" i="2362"/>
  <c r="K45" i="2362"/>
  <c r="I47" i="2362"/>
  <c r="H47" i="2362"/>
  <c r="H45" i="2362"/>
  <c r="I45" i="2362"/>
  <c r="L39" i="2362"/>
  <c r="M39" i="2362" s="1"/>
  <c r="N39" i="2362" s="1"/>
  <c r="I39" i="2362"/>
  <c r="H39" i="2362" s="1"/>
  <c r="K37" i="2362"/>
  <c r="L37" i="2362" s="1"/>
  <c r="M37" i="2362" s="1"/>
  <c r="N37" i="2362" s="1"/>
  <c r="I37" i="2362"/>
  <c r="H37" i="2362" s="1"/>
  <c r="K43" i="2362"/>
  <c r="L43" i="2362" s="1"/>
  <c r="M43" i="2362" s="1"/>
  <c r="N43" i="2362" s="1"/>
  <c r="I43" i="2362"/>
  <c r="H43" i="2362" s="1"/>
  <c r="K41" i="2362"/>
  <c r="L41" i="2362" s="1"/>
  <c r="M41" i="2362" s="1"/>
  <c r="N41" i="2362" s="1"/>
  <c r="I41" i="2362"/>
  <c r="H41" i="2362" s="1"/>
  <c r="K27" i="2362"/>
  <c r="L27" i="2362" s="1"/>
  <c r="M27" i="2362" s="1"/>
  <c r="N27" i="2362" s="1"/>
  <c r="I27" i="2362"/>
  <c r="H27" i="2362"/>
  <c r="M25" i="2362"/>
  <c r="N25" i="2362" s="1"/>
  <c r="L25" i="2362"/>
  <c r="K25" i="2362"/>
  <c r="I25" i="2362"/>
  <c r="H25" i="2362"/>
  <c r="L23" i="2362"/>
  <c r="M23" i="2362" s="1"/>
  <c r="N23" i="2362" s="1"/>
  <c r="K23" i="2362"/>
  <c r="I23" i="2362"/>
  <c r="H23" i="2362"/>
  <c r="K21" i="2362"/>
  <c r="L21" i="2362" s="1"/>
  <c r="M21" i="2362" s="1"/>
  <c r="N21" i="2362" s="1"/>
  <c r="I21" i="2362"/>
  <c r="H21" i="2362"/>
  <c r="K19" i="2362"/>
  <c r="L19" i="2362" s="1"/>
  <c r="M19" i="2362" s="1"/>
  <c r="N19" i="2362" s="1"/>
  <c r="I19" i="2362"/>
  <c r="H19" i="2362" s="1"/>
  <c r="K17" i="2362"/>
  <c r="L17" i="2362" s="1"/>
  <c r="M17" i="2362" s="1"/>
  <c r="N17" i="2362" s="1"/>
  <c r="I17" i="2362"/>
  <c r="H17" i="2362"/>
  <c r="K15" i="2362"/>
  <c r="L15" i="2362" s="1"/>
  <c r="M15" i="2362" s="1"/>
  <c r="N15" i="2362" s="1"/>
  <c r="I15" i="2362"/>
  <c r="H15" i="2362" s="1"/>
  <c r="K13" i="2362"/>
  <c r="L13" i="2362" s="1"/>
  <c r="M13" i="2362" s="1"/>
  <c r="N13" i="2362" s="1"/>
  <c r="I13" i="2362"/>
  <c r="H13" i="2362" s="1"/>
  <c r="K11" i="2362"/>
  <c r="L11" i="2362" s="1"/>
  <c r="M11" i="2362" s="1"/>
  <c r="N11" i="2362" s="1"/>
  <c r="I11" i="2362"/>
  <c r="H11" i="2362" s="1"/>
  <c r="K9" i="2362"/>
  <c r="L9" i="2362" s="1"/>
  <c r="M9" i="2362" s="1"/>
  <c r="N9" i="2362" s="1"/>
  <c r="I9" i="2362"/>
  <c r="H9" i="2362"/>
  <c r="L3" i="2362"/>
  <c r="M3" i="2362" s="1"/>
  <c r="N3" i="2362" s="1"/>
  <c r="K3" i="2362"/>
  <c r="I3" i="2362"/>
  <c r="H3" i="2362"/>
  <c r="H39" i="2361"/>
  <c r="M39" i="2361"/>
  <c r="K43" i="2361"/>
  <c r="L43" i="2361" s="1"/>
  <c r="M43" i="2361" s="1"/>
  <c r="N43" i="2361" s="1"/>
  <c r="I43" i="2361"/>
  <c r="H43" i="2361" s="1"/>
  <c r="K41" i="2361"/>
  <c r="L41" i="2361" s="1"/>
  <c r="M41" i="2361" s="1"/>
  <c r="N41" i="2361" s="1"/>
  <c r="I41" i="2361"/>
  <c r="H41" i="2361"/>
  <c r="K39" i="2361"/>
  <c r="L39" i="2361" s="1"/>
  <c r="N39" i="2361" s="1"/>
  <c r="I39" i="2361"/>
  <c r="K37" i="2361"/>
  <c r="L37" i="2361" s="1"/>
  <c r="M37" i="2361" s="1"/>
  <c r="N37" i="2361" s="1"/>
  <c r="I37" i="2361"/>
  <c r="H37" i="2361" s="1"/>
  <c r="K27" i="2361"/>
  <c r="L27" i="2361" s="1"/>
  <c r="M27" i="2361" s="1"/>
  <c r="N27" i="2361" s="1"/>
  <c r="I27" i="2361"/>
  <c r="H27" i="2361" s="1"/>
  <c r="K25" i="2361"/>
  <c r="L25" i="2361" s="1"/>
  <c r="M25" i="2361" s="1"/>
  <c r="N25" i="2361" s="1"/>
  <c r="I25" i="2361"/>
  <c r="H25" i="2361" s="1"/>
  <c r="L23" i="2361"/>
  <c r="M23" i="2361" s="1"/>
  <c r="N23" i="2361" s="1"/>
  <c r="K23" i="2361"/>
  <c r="I23" i="2361"/>
  <c r="H23" i="2361"/>
  <c r="K21" i="2361"/>
  <c r="L21" i="2361" s="1"/>
  <c r="M21" i="2361" s="1"/>
  <c r="N21" i="2361" s="1"/>
  <c r="I21" i="2361"/>
  <c r="H21" i="2361" s="1"/>
  <c r="K19" i="2361"/>
  <c r="L19" i="2361" s="1"/>
  <c r="M19" i="2361" s="1"/>
  <c r="N19" i="2361" s="1"/>
  <c r="I19" i="2361"/>
  <c r="H19" i="2361" s="1"/>
  <c r="K17" i="2361"/>
  <c r="L17" i="2361" s="1"/>
  <c r="M17" i="2361" s="1"/>
  <c r="N17" i="2361" s="1"/>
  <c r="I17" i="2361"/>
  <c r="H17" i="2361"/>
  <c r="K15" i="2361"/>
  <c r="L15" i="2361" s="1"/>
  <c r="M15" i="2361" s="1"/>
  <c r="N15" i="2361" s="1"/>
  <c r="I15" i="2361"/>
  <c r="H15" i="2361" s="1"/>
  <c r="L13" i="2361"/>
  <c r="M13" i="2361" s="1"/>
  <c r="N13" i="2361" s="1"/>
  <c r="K13" i="2361"/>
  <c r="I13" i="2361"/>
  <c r="H13" i="2361" s="1"/>
  <c r="K11" i="2361"/>
  <c r="L11" i="2361" s="1"/>
  <c r="M11" i="2361" s="1"/>
  <c r="N11" i="2361" s="1"/>
  <c r="I11" i="2361"/>
  <c r="H11" i="2361" s="1"/>
  <c r="K9" i="2361"/>
  <c r="L9" i="2361" s="1"/>
  <c r="M9" i="2361" s="1"/>
  <c r="N9" i="2361" s="1"/>
  <c r="I9" i="2361"/>
  <c r="H9" i="2361"/>
  <c r="L3" i="2361"/>
  <c r="M3" i="2361" s="1"/>
  <c r="N3" i="2361" s="1"/>
  <c r="K3" i="2361"/>
  <c r="I3" i="2361"/>
  <c r="H3" i="2361"/>
  <c r="M25" i="2360"/>
  <c r="L25" i="2360"/>
  <c r="K25" i="2360"/>
  <c r="H25" i="2360"/>
  <c r="I25" i="2360"/>
  <c r="M23" i="2360"/>
  <c r="L23" i="2360"/>
  <c r="K23" i="2360"/>
  <c r="H23" i="2360"/>
  <c r="I23" i="2360"/>
  <c r="K27" i="2360"/>
  <c r="L27" i="2360" s="1"/>
  <c r="M27" i="2360" s="1"/>
  <c r="I27" i="2360"/>
  <c r="H27" i="2360" s="1"/>
  <c r="H5" i="2360"/>
  <c r="I5" i="2360"/>
  <c r="M5" i="2360"/>
  <c r="L5" i="2360"/>
  <c r="K5" i="2360"/>
  <c r="K31" i="2360"/>
  <c r="L31" i="2360" s="1"/>
  <c r="M31" i="2360" s="1"/>
  <c r="I31" i="2360"/>
  <c r="H31" i="2360" s="1"/>
  <c r="K29" i="2360"/>
  <c r="L29" i="2360" s="1"/>
  <c r="M29" i="2360" s="1"/>
  <c r="I29" i="2360"/>
  <c r="H29" i="2360"/>
  <c r="K19" i="2360"/>
  <c r="L19" i="2360" s="1"/>
  <c r="M19" i="2360" s="1"/>
  <c r="I19" i="2360"/>
  <c r="H19" i="2360"/>
  <c r="K17" i="2360"/>
  <c r="L17" i="2360" s="1"/>
  <c r="M17" i="2360" s="1"/>
  <c r="I17" i="2360"/>
  <c r="H17" i="2360" s="1"/>
  <c r="L15" i="2360"/>
  <c r="M15" i="2360" s="1"/>
  <c r="K15" i="2360"/>
  <c r="I15" i="2360"/>
  <c r="H15" i="2360"/>
  <c r="K13" i="2360"/>
  <c r="L13" i="2360" s="1"/>
  <c r="M13" i="2360" s="1"/>
  <c r="I13" i="2360"/>
  <c r="H13" i="2360" s="1"/>
  <c r="K11" i="2360"/>
  <c r="L11" i="2360" s="1"/>
  <c r="M11" i="2360" s="1"/>
  <c r="I11" i="2360"/>
  <c r="H11" i="2360" s="1"/>
  <c r="K9" i="2360"/>
  <c r="L9" i="2360" s="1"/>
  <c r="M9" i="2360" s="1"/>
  <c r="I9" i="2360"/>
  <c r="H9" i="2360" s="1"/>
  <c r="K7" i="2360"/>
  <c r="L7" i="2360" s="1"/>
  <c r="M7" i="2360" s="1"/>
  <c r="I7" i="2360"/>
  <c r="H7" i="2360" s="1"/>
  <c r="K3" i="2360"/>
  <c r="L3" i="2360" s="1"/>
  <c r="M3" i="2360" s="1"/>
  <c r="I3" i="2360"/>
  <c r="H3" i="2360" s="1"/>
  <c r="H25" i="2303"/>
  <c r="H23" i="2303"/>
  <c r="H21" i="2303"/>
  <c r="H19" i="2303"/>
  <c r="H11" i="2303"/>
  <c r="H9" i="2303"/>
  <c r="H7" i="2303"/>
  <c r="H5" i="2303"/>
  <c r="H47" i="2337"/>
  <c r="H31" i="2337"/>
  <c r="H11" i="2337"/>
  <c r="H13" i="2337"/>
  <c r="H15" i="2337"/>
  <c r="H21" i="2337"/>
  <c r="H23" i="2337"/>
  <c r="H25" i="2337"/>
  <c r="H27" i="2337"/>
  <c r="H29" i="2337"/>
  <c r="H33" i="2337"/>
  <c r="H35" i="2337"/>
  <c r="H37" i="2337"/>
  <c r="H39" i="2337"/>
  <c r="H41" i="2337"/>
  <c r="H43" i="2337"/>
  <c r="H45" i="2337"/>
  <c r="H49" i="2337"/>
  <c r="H3" i="2337"/>
  <c r="H19" i="2340"/>
  <c r="H3" i="2336"/>
  <c r="H17" i="2336"/>
  <c r="H15" i="2336"/>
  <c r="H13" i="2336"/>
  <c r="H23" i="2336"/>
  <c r="H21" i="2336"/>
  <c r="H19" i="2336"/>
  <c r="H11" i="2336"/>
  <c r="H9" i="2336"/>
  <c r="H7" i="2336"/>
  <c r="H5" i="2336"/>
  <c r="H31" i="2340"/>
  <c r="H29" i="2340"/>
  <c r="L15" i="2340"/>
  <c r="M15" i="2340" s="1"/>
  <c r="H15" i="2340"/>
  <c r="H17" i="2340"/>
  <c r="H23" i="2340"/>
  <c r="H13" i="2340"/>
  <c r="H3" i="2340"/>
  <c r="I3" i="2340"/>
  <c r="H27" i="2340"/>
  <c r="H25" i="2340"/>
  <c r="H21" i="2340"/>
  <c r="H11" i="2340"/>
  <c r="K21" i="2358"/>
  <c r="L21" i="2358" s="1"/>
  <c r="M21" i="2358" s="1"/>
  <c r="I21" i="2358"/>
  <c r="H21" i="2358"/>
  <c r="H15" i="2358"/>
  <c r="I15" i="2358"/>
  <c r="M15" i="2358"/>
  <c r="L15" i="2358"/>
  <c r="K15" i="2358"/>
  <c r="K3" i="2358"/>
  <c r="L3" i="2358" s="1"/>
  <c r="M3" i="2358" s="1"/>
  <c r="I3" i="2358"/>
  <c r="H3" i="2358" s="1"/>
  <c r="K19" i="2358"/>
  <c r="L19" i="2358" s="1"/>
  <c r="M19" i="2358" s="1"/>
  <c r="I19" i="2358"/>
  <c r="H19" i="2358" s="1"/>
  <c r="K17" i="2358"/>
  <c r="L17" i="2358" s="1"/>
  <c r="M17" i="2358" s="1"/>
  <c r="I17" i="2358"/>
  <c r="H17" i="2358" s="1"/>
  <c r="K13" i="2358"/>
  <c r="L13" i="2358" s="1"/>
  <c r="M13" i="2358" s="1"/>
  <c r="I13" i="2358"/>
  <c r="H13" i="2358"/>
  <c r="K11" i="2358"/>
  <c r="L11" i="2358" s="1"/>
  <c r="M11" i="2358" s="1"/>
  <c r="I11" i="2358"/>
  <c r="H11" i="2358" s="1"/>
  <c r="K9" i="2358"/>
  <c r="L9" i="2358" s="1"/>
  <c r="M9" i="2358" s="1"/>
  <c r="I9" i="2358"/>
  <c r="H9" i="2358" s="1"/>
  <c r="K7" i="2358"/>
  <c r="L7" i="2358" s="1"/>
  <c r="M7" i="2358" s="1"/>
  <c r="I7" i="2358"/>
  <c r="H7" i="2358" s="1"/>
  <c r="K5" i="2358"/>
  <c r="L5" i="2358" s="1"/>
  <c r="M5" i="2358" s="1"/>
  <c r="I5" i="2358"/>
  <c r="H5" i="2358"/>
  <c r="K33" i="2356" l="1"/>
  <c r="K51" i="2356"/>
  <c r="L51" i="2356" s="1"/>
  <c r="M51" i="2356" s="1"/>
  <c r="I51" i="2356"/>
  <c r="H51" i="2356" s="1"/>
  <c r="I49" i="2356"/>
  <c r="H49" i="2356"/>
  <c r="K49" i="2356"/>
  <c r="L49" i="2356" s="1"/>
  <c r="M49" i="2356" s="1"/>
  <c r="I61" i="2356"/>
  <c r="H61" i="2356" s="1"/>
  <c r="K61" i="2356"/>
  <c r="L61" i="2356" s="1"/>
  <c r="M61" i="2356" s="1"/>
  <c r="L33" i="2356"/>
  <c r="M33" i="2356" s="1"/>
  <c r="I33" i="2356"/>
  <c r="H33" i="2356" s="1"/>
  <c r="K71" i="2356"/>
  <c r="L71" i="2356" s="1"/>
  <c r="M71" i="2356" s="1"/>
  <c r="I71" i="2356"/>
  <c r="H71" i="2356" s="1"/>
  <c r="I27" i="2356"/>
  <c r="H27" i="2356" s="1"/>
  <c r="K27" i="2356"/>
  <c r="L27" i="2356" s="1"/>
  <c r="M27" i="2356" s="1"/>
  <c r="K25" i="2356"/>
  <c r="L25" i="2356" s="1"/>
  <c r="M25" i="2356" s="1"/>
  <c r="I25" i="2356"/>
  <c r="H25" i="2356" s="1"/>
  <c r="K37" i="2357"/>
  <c r="L37" i="2357" s="1"/>
  <c r="M37" i="2357" s="1"/>
  <c r="I37" i="2357"/>
  <c r="H37" i="2357" s="1"/>
  <c r="K35" i="2357"/>
  <c r="L35" i="2357" s="1"/>
  <c r="M35" i="2357" s="1"/>
  <c r="I35" i="2357"/>
  <c r="H35" i="2357" s="1"/>
  <c r="K31" i="2357"/>
  <c r="L31" i="2357" s="1"/>
  <c r="M31" i="2357" s="1"/>
  <c r="I31" i="2357"/>
  <c r="H31" i="2357" s="1"/>
  <c r="K27" i="2357"/>
  <c r="L27" i="2357" s="1"/>
  <c r="M27" i="2357" s="1"/>
  <c r="I27" i="2357"/>
  <c r="H27" i="2357" s="1"/>
  <c r="K29" i="2357"/>
  <c r="L29" i="2357" s="1"/>
  <c r="M29" i="2357" s="1"/>
  <c r="I29" i="2357"/>
  <c r="H29" i="2357" s="1"/>
  <c r="K25" i="2357"/>
  <c r="L25" i="2357" s="1"/>
  <c r="M25" i="2357" s="1"/>
  <c r="I25" i="2357"/>
  <c r="H25" i="2357" s="1"/>
  <c r="K33" i="2357"/>
  <c r="L33" i="2357" s="1"/>
  <c r="M33" i="2357" s="1"/>
  <c r="I33" i="2357"/>
  <c r="H33" i="2357" s="1"/>
  <c r="K23" i="2357"/>
  <c r="L23" i="2357" s="1"/>
  <c r="M23" i="2357" s="1"/>
  <c r="I23" i="2357"/>
  <c r="H23" i="2357" s="1"/>
  <c r="K21" i="2357"/>
  <c r="L21" i="2357" s="1"/>
  <c r="M21" i="2357" s="1"/>
  <c r="I21" i="2357"/>
  <c r="H21" i="2357" s="1"/>
  <c r="K19" i="2357"/>
  <c r="L19" i="2357" s="1"/>
  <c r="M19" i="2357" s="1"/>
  <c r="I19" i="2357"/>
  <c r="H19" i="2357" s="1"/>
  <c r="L11" i="2357"/>
  <c r="M11" i="2357" s="1"/>
  <c r="K9" i="2357"/>
  <c r="L9" i="2357" s="1"/>
  <c r="M9" i="2357" s="1"/>
  <c r="I9" i="2357"/>
  <c r="H9" i="2357" s="1"/>
  <c r="K17" i="2357"/>
  <c r="L17" i="2357" s="1"/>
  <c r="M17" i="2357" s="1"/>
  <c r="I17" i="2357"/>
  <c r="H17" i="2357"/>
  <c r="K15" i="2357"/>
  <c r="L15" i="2357" s="1"/>
  <c r="M15" i="2357" s="1"/>
  <c r="I15" i="2357"/>
  <c r="H15" i="2357" s="1"/>
  <c r="K13" i="2357"/>
  <c r="L13" i="2357" s="1"/>
  <c r="M13" i="2357" s="1"/>
  <c r="I13" i="2357"/>
  <c r="H13" i="2357" s="1"/>
  <c r="K11" i="2357"/>
  <c r="I11" i="2357"/>
  <c r="H11" i="2357" s="1"/>
  <c r="K7" i="2357"/>
  <c r="L7" i="2357" s="1"/>
  <c r="M7" i="2357" s="1"/>
  <c r="I7" i="2357"/>
  <c r="H7" i="2357" s="1"/>
  <c r="K5" i="2357"/>
  <c r="L5" i="2357" s="1"/>
  <c r="M5" i="2357" s="1"/>
  <c r="I5" i="2357"/>
  <c r="H5" i="2357"/>
  <c r="K3" i="2357"/>
  <c r="L3" i="2357" s="1"/>
  <c r="M3" i="2357" s="1"/>
  <c r="I3" i="2357"/>
  <c r="H3" i="2357" s="1"/>
  <c r="I9" i="2356"/>
  <c r="H9" i="2356" s="1"/>
  <c r="K73" i="2356"/>
  <c r="L73" i="2356" s="1"/>
  <c r="M73" i="2356" s="1"/>
  <c r="I73" i="2356"/>
  <c r="H73" i="2356" s="1"/>
  <c r="K63" i="2356"/>
  <c r="L63" i="2356" s="1"/>
  <c r="M63" i="2356" s="1"/>
  <c r="I63" i="2356"/>
  <c r="H63" i="2356" s="1"/>
  <c r="K21" i="2356"/>
  <c r="L21" i="2356" s="1"/>
  <c r="M21" i="2356" s="1"/>
  <c r="I21" i="2356"/>
  <c r="H21" i="2356" s="1"/>
  <c r="I3" i="2356"/>
  <c r="H3" i="2356" s="1"/>
  <c r="K3" i="2356"/>
  <c r="L3" i="2356" s="1"/>
  <c r="M3" i="2356" s="1"/>
  <c r="K5" i="2356"/>
  <c r="L5" i="2356" s="1"/>
  <c r="M5" i="2356" s="1"/>
  <c r="I5" i="2356"/>
  <c r="H5" i="2356" s="1"/>
  <c r="K69" i="2356"/>
  <c r="L69" i="2356" s="1"/>
  <c r="M69" i="2356" s="1"/>
  <c r="I69" i="2356"/>
  <c r="H69" i="2356"/>
  <c r="K67" i="2356"/>
  <c r="L67" i="2356" s="1"/>
  <c r="M67" i="2356" s="1"/>
  <c r="I67" i="2356"/>
  <c r="H67" i="2356" s="1"/>
  <c r="K65" i="2356"/>
  <c r="L65" i="2356" s="1"/>
  <c r="M65" i="2356" s="1"/>
  <c r="I65" i="2356"/>
  <c r="H65" i="2356" s="1"/>
  <c r="K59" i="2356"/>
  <c r="L59" i="2356" s="1"/>
  <c r="M59" i="2356" s="1"/>
  <c r="I59" i="2356"/>
  <c r="H59" i="2356" s="1"/>
  <c r="K57" i="2356"/>
  <c r="L57" i="2356" s="1"/>
  <c r="M57" i="2356" s="1"/>
  <c r="I57" i="2356"/>
  <c r="H57" i="2356" s="1"/>
  <c r="K55" i="2356"/>
  <c r="L55" i="2356" s="1"/>
  <c r="M55" i="2356" s="1"/>
  <c r="I55" i="2356"/>
  <c r="H55" i="2356" s="1"/>
  <c r="K53" i="2356"/>
  <c r="L53" i="2356" s="1"/>
  <c r="M53" i="2356" s="1"/>
  <c r="I53" i="2356"/>
  <c r="H53" i="2356" s="1"/>
  <c r="K47" i="2356"/>
  <c r="L47" i="2356" s="1"/>
  <c r="M47" i="2356" s="1"/>
  <c r="I47" i="2356"/>
  <c r="H47" i="2356" s="1"/>
  <c r="K41" i="2356"/>
  <c r="L41" i="2356" s="1"/>
  <c r="M41" i="2356" s="1"/>
  <c r="I41" i="2356"/>
  <c r="H41" i="2356" s="1"/>
  <c r="K39" i="2356"/>
  <c r="L39" i="2356" s="1"/>
  <c r="M39" i="2356" s="1"/>
  <c r="I39" i="2356"/>
  <c r="H39" i="2356" s="1"/>
  <c r="K37" i="2356"/>
  <c r="L37" i="2356" s="1"/>
  <c r="M37" i="2356" s="1"/>
  <c r="I37" i="2356"/>
  <c r="H37" i="2356" s="1"/>
  <c r="K29" i="2356"/>
  <c r="L29" i="2356" s="1"/>
  <c r="M29" i="2356" s="1"/>
  <c r="I29" i="2356"/>
  <c r="H29" i="2356"/>
  <c r="K23" i="2356"/>
  <c r="L23" i="2356" s="1"/>
  <c r="M23" i="2356" s="1"/>
  <c r="I23" i="2356"/>
  <c r="H23" i="2356" s="1"/>
  <c r="K17" i="2356"/>
  <c r="L17" i="2356" s="1"/>
  <c r="M17" i="2356" s="1"/>
  <c r="I17" i="2356"/>
  <c r="H17" i="2356" s="1"/>
  <c r="K15" i="2356"/>
  <c r="L15" i="2356" s="1"/>
  <c r="M15" i="2356" s="1"/>
  <c r="I15" i="2356"/>
  <c r="H15" i="2356" s="1"/>
  <c r="K13" i="2356"/>
  <c r="L13" i="2356" s="1"/>
  <c r="M13" i="2356" s="1"/>
  <c r="I13" i="2356"/>
  <c r="H13" i="2356" s="1"/>
  <c r="K9" i="2356"/>
  <c r="L9" i="2356" s="1"/>
  <c r="M9" i="2356" s="1"/>
  <c r="K7" i="2356"/>
  <c r="L7" i="2356" s="1"/>
  <c r="M7" i="2356" s="1"/>
  <c r="I7" i="2356"/>
  <c r="H7" i="2356" s="1"/>
  <c r="M3" i="2354"/>
  <c r="L3" i="2354"/>
  <c r="K3" i="2354"/>
  <c r="H3" i="2354"/>
  <c r="I3" i="2354"/>
  <c r="K33" i="2354"/>
  <c r="L33" i="2354" s="1"/>
  <c r="M33" i="2354" s="1"/>
  <c r="I33" i="2354"/>
  <c r="H33" i="2354" s="1"/>
  <c r="K27" i="2354"/>
  <c r="L27" i="2354" s="1"/>
  <c r="M27" i="2354" s="1"/>
  <c r="I27" i="2354"/>
  <c r="H27" i="2354" s="1"/>
  <c r="K25" i="2354"/>
  <c r="L25" i="2354" s="1"/>
  <c r="M25" i="2354" s="1"/>
  <c r="I25" i="2354"/>
  <c r="H25" i="2354" s="1"/>
  <c r="K23" i="2354"/>
  <c r="L23" i="2354" s="1"/>
  <c r="M23" i="2354" s="1"/>
  <c r="I23" i="2354"/>
  <c r="H23" i="2354" s="1"/>
  <c r="K31" i="2354"/>
  <c r="L31" i="2354" s="1"/>
  <c r="M31" i="2354" s="1"/>
  <c r="I31" i="2354"/>
  <c r="H31" i="2354"/>
  <c r="K29" i="2354"/>
  <c r="L29" i="2354" s="1"/>
  <c r="M29" i="2354" s="1"/>
  <c r="I29" i="2354"/>
  <c r="H29" i="2354" s="1"/>
  <c r="K19" i="2354"/>
  <c r="L19" i="2354" s="1"/>
  <c r="M19" i="2354" s="1"/>
  <c r="I19" i="2354"/>
  <c r="H19" i="2354" s="1"/>
  <c r="K17" i="2354"/>
  <c r="L17" i="2354" s="1"/>
  <c r="M17" i="2354" s="1"/>
  <c r="I17" i="2354"/>
  <c r="H17" i="2354"/>
  <c r="K15" i="2354"/>
  <c r="L15" i="2354" s="1"/>
  <c r="M15" i="2354" s="1"/>
  <c r="I15" i="2354"/>
  <c r="H15" i="2354" s="1"/>
  <c r="K13" i="2354"/>
  <c r="L13" i="2354" s="1"/>
  <c r="M13" i="2354" s="1"/>
  <c r="I13" i="2354"/>
  <c r="H13" i="2354" s="1"/>
  <c r="K11" i="2354"/>
  <c r="L11" i="2354" s="1"/>
  <c r="M11" i="2354" s="1"/>
  <c r="I11" i="2354"/>
  <c r="H11" i="2354" s="1"/>
  <c r="K9" i="2354"/>
  <c r="L9" i="2354" s="1"/>
  <c r="M9" i="2354" s="1"/>
  <c r="I9" i="2354"/>
  <c r="H9" i="2354" s="1"/>
  <c r="K7" i="2354"/>
  <c r="L7" i="2354" s="1"/>
  <c r="M7" i="2354" s="1"/>
  <c r="I7" i="2354"/>
  <c r="H7" i="2354"/>
  <c r="K5" i="2354"/>
  <c r="L5" i="2354" s="1"/>
  <c r="M5" i="2354" s="1"/>
  <c r="I5" i="2354"/>
  <c r="H5" i="2354" s="1"/>
  <c r="N15" i="2353"/>
  <c r="M15" i="2353"/>
  <c r="L15" i="2353"/>
  <c r="K15" i="2353"/>
  <c r="H15" i="2353"/>
  <c r="I15" i="2353"/>
  <c r="M11" i="2353"/>
  <c r="L11" i="2353"/>
  <c r="K11" i="2353"/>
  <c r="H11" i="2353"/>
  <c r="I11" i="2353"/>
  <c r="K17" i="2353" l="1"/>
  <c r="L17" i="2353" s="1"/>
  <c r="M17" i="2353" s="1"/>
  <c r="N17" i="2353" s="1"/>
  <c r="I17" i="2353"/>
  <c r="H17" i="2353" s="1"/>
  <c r="K13" i="2353"/>
  <c r="L13" i="2353" s="1"/>
  <c r="M13" i="2353" s="1"/>
  <c r="N13" i="2353" s="1"/>
  <c r="I13" i="2353"/>
  <c r="H13" i="2353" s="1"/>
  <c r="N11" i="2353"/>
  <c r="K3" i="2353"/>
  <c r="L3" i="2353" s="1"/>
  <c r="M3" i="2353" s="1"/>
  <c r="N3" i="2353" s="1"/>
  <c r="I3" i="2353"/>
  <c r="H3" i="2353"/>
  <c r="J33" i="2352"/>
  <c r="I33" i="2352" s="1"/>
  <c r="H33" i="2352" s="1"/>
  <c r="J35" i="2352"/>
  <c r="I35" i="2352" s="1"/>
  <c r="H35" i="2352" s="1"/>
  <c r="M27" i="2352"/>
  <c r="M29" i="2352"/>
  <c r="L45" i="2352"/>
  <c r="M45" i="2352" s="1"/>
  <c r="J45" i="2352"/>
  <c r="I45" i="2352" s="1"/>
  <c r="H45" i="2352" s="1"/>
  <c r="L43" i="2352"/>
  <c r="M43" i="2352" s="1"/>
  <c r="J43" i="2352"/>
  <c r="I43" i="2352" s="1"/>
  <c r="H43" i="2352" s="1"/>
  <c r="L41" i="2352"/>
  <c r="M41" i="2352" s="1"/>
  <c r="J41" i="2352"/>
  <c r="I41" i="2352" s="1"/>
  <c r="H41" i="2352" s="1"/>
  <c r="L35" i="2352"/>
  <c r="M35" i="2352" s="1"/>
  <c r="L33" i="2352"/>
  <c r="M33" i="2352" s="1"/>
  <c r="L31" i="2352"/>
  <c r="M31" i="2352" s="1"/>
  <c r="J31" i="2352"/>
  <c r="I31" i="2352" s="1"/>
  <c r="H31" i="2352" s="1"/>
  <c r="L27" i="2352"/>
  <c r="J27" i="2352"/>
  <c r="I27" i="2352" s="1"/>
  <c r="H27" i="2352" s="1"/>
  <c r="L25" i="2352"/>
  <c r="M25" i="2352" s="1"/>
  <c r="J25" i="2352"/>
  <c r="I25" i="2352" s="1"/>
  <c r="H25" i="2352" s="1"/>
  <c r="L23" i="2352"/>
  <c r="M23" i="2352" s="1"/>
  <c r="J23" i="2352"/>
  <c r="I23" i="2352" s="1"/>
  <c r="H23" i="2352" s="1"/>
  <c r="L21" i="2352"/>
  <c r="M21" i="2352" s="1"/>
  <c r="J21" i="2352"/>
  <c r="I21" i="2352" s="1"/>
  <c r="H21" i="2352" s="1"/>
  <c r="L15" i="2352"/>
  <c r="M15" i="2352" s="1"/>
  <c r="J15" i="2352"/>
  <c r="I15" i="2352" s="1"/>
  <c r="H15" i="2352" s="1"/>
  <c r="L13" i="2352"/>
  <c r="M13" i="2352" s="1"/>
  <c r="J13" i="2352"/>
  <c r="I13" i="2352" s="1"/>
  <c r="H13" i="2352" s="1"/>
  <c r="L11" i="2352"/>
  <c r="M11" i="2352" s="1"/>
  <c r="J11" i="2352"/>
  <c r="I11" i="2352" s="1"/>
  <c r="H11" i="2352" s="1"/>
  <c r="L3" i="2352"/>
  <c r="M3" i="2352" s="1"/>
  <c r="J3" i="2352"/>
  <c r="I3" i="2352" s="1"/>
  <c r="J15" i="2351"/>
  <c r="I15" i="2351" s="1"/>
  <c r="H15" i="2351" s="1"/>
  <c r="L27" i="2351"/>
  <c r="M27" i="2351" s="1"/>
  <c r="J27" i="2351"/>
  <c r="I27" i="2351" s="1"/>
  <c r="H27" i="2351" s="1"/>
  <c r="L25" i="2351"/>
  <c r="M25" i="2351" s="1"/>
  <c r="J25" i="2351"/>
  <c r="I25" i="2351" s="1"/>
  <c r="H25" i="2351" s="1"/>
  <c r="L23" i="2351"/>
  <c r="M23" i="2351" s="1"/>
  <c r="J23" i="2351"/>
  <c r="I23" i="2351" s="1"/>
  <c r="H23" i="2351" s="1"/>
  <c r="L21" i="2351"/>
  <c r="M21" i="2351" s="1"/>
  <c r="J21" i="2351"/>
  <c r="I21" i="2351" s="1"/>
  <c r="H21" i="2351" s="1"/>
  <c r="L19" i="2351"/>
  <c r="M19" i="2351" s="1"/>
  <c r="N19" i="2351" s="1"/>
  <c r="J19" i="2351"/>
  <c r="I19" i="2351" s="1"/>
  <c r="H19" i="2351" s="1"/>
  <c r="L9" i="2351"/>
  <c r="M9" i="2351" s="1"/>
  <c r="N9" i="2351" s="1"/>
  <c r="J9" i="2351"/>
  <c r="I9" i="2351" s="1"/>
  <c r="H9" i="2351" s="1"/>
  <c r="L5" i="2351"/>
  <c r="M5" i="2351" s="1"/>
  <c r="N5" i="2351" s="1"/>
  <c r="J5" i="2351"/>
  <c r="I5" i="2351" s="1"/>
  <c r="H5" i="2351" s="1"/>
  <c r="L17" i="2351"/>
  <c r="M17" i="2351" s="1"/>
  <c r="N17" i="2351" s="1"/>
  <c r="J17" i="2351"/>
  <c r="I17" i="2351" s="1"/>
  <c r="H17" i="2351" s="1"/>
  <c r="L15" i="2351"/>
  <c r="M15" i="2351" s="1"/>
  <c r="N15" i="2351" s="1"/>
  <c r="L13" i="2351"/>
  <c r="M13" i="2351" s="1"/>
  <c r="N13" i="2351" s="1"/>
  <c r="J13" i="2351"/>
  <c r="I13" i="2351" s="1"/>
  <c r="H13" i="2351" s="1"/>
  <c r="L11" i="2351"/>
  <c r="M11" i="2351" s="1"/>
  <c r="N11" i="2351" s="1"/>
  <c r="J11" i="2351"/>
  <c r="I11" i="2351" s="1"/>
  <c r="H11" i="2351" s="1"/>
  <c r="L7" i="2351"/>
  <c r="M7" i="2351" s="1"/>
  <c r="N7" i="2351" s="1"/>
  <c r="J7" i="2351"/>
  <c r="I7" i="2351" s="1"/>
  <c r="H7" i="2351" s="1"/>
  <c r="L3" i="2351"/>
  <c r="M3" i="2351" s="1"/>
  <c r="N3" i="2351" s="1"/>
  <c r="J3" i="2351"/>
  <c r="I3" i="2351" s="1"/>
  <c r="H3" i="2351" s="1"/>
  <c r="L19" i="2350"/>
  <c r="M19" i="2350"/>
  <c r="K19" i="2350"/>
  <c r="H19" i="2350"/>
  <c r="I19" i="2350"/>
  <c r="M5" i="2350"/>
  <c r="L5" i="2350"/>
  <c r="K5" i="2350"/>
  <c r="H5" i="2350"/>
  <c r="I5" i="2350"/>
  <c r="L3" i="2350"/>
  <c r="M3" i="2350"/>
  <c r="K3" i="2350"/>
  <c r="H3" i="2350"/>
  <c r="I3" i="2350"/>
  <c r="L29" i="2350"/>
  <c r="M29" i="2350"/>
  <c r="K29" i="2350"/>
  <c r="H29" i="2350"/>
  <c r="I29" i="2350"/>
  <c r="L27" i="2350"/>
  <c r="M27" i="2350" s="1"/>
  <c r="K27" i="2350"/>
  <c r="H27" i="2350"/>
  <c r="I27" i="2350"/>
  <c r="H25" i="2350"/>
  <c r="L25" i="2350"/>
  <c r="M25" i="2350"/>
  <c r="K25" i="2350"/>
  <c r="I25" i="2350"/>
  <c r="L21" i="2350"/>
  <c r="H21" i="2350"/>
  <c r="L31" i="2350"/>
  <c r="M31" i="2350"/>
  <c r="K31" i="2350"/>
  <c r="H31" i="2350"/>
  <c r="I31" i="2350"/>
  <c r="K23" i="2350"/>
  <c r="L23" i="2350" s="1"/>
  <c r="M23" i="2350" s="1"/>
  <c r="I23" i="2350"/>
  <c r="H23" i="2350" s="1"/>
  <c r="K21" i="2350"/>
  <c r="M21" i="2350" s="1"/>
  <c r="I21" i="2350"/>
  <c r="K17" i="2350"/>
  <c r="L17" i="2350" s="1"/>
  <c r="M17" i="2350" s="1"/>
  <c r="I17" i="2350"/>
  <c r="H17" i="2350" s="1"/>
  <c r="K15" i="2350"/>
  <c r="L15" i="2350" s="1"/>
  <c r="M15" i="2350" s="1"/>
  <c r="I15" i="2350"/>
  <c r="H15" i="2350" s="1"/>
  <c r="K13" i="2350"/>
  <c r="L13" i="2350" s="1"/>
  <c r="M13" i="2350" s="1"/>
  <c r="I13" i="2350"/>
  <c r="H13" i="2350"/>
  <c r="K11" i="2350"/>
  <c r="L11" i="2350" s="1"/>
  <c r="M11" i="2350" s="1"/>
  <c r="I11" i="2350"/>
  <c r="H11" i="2350" s="1"/>
  <c r="K9" i="2350"/>
  <c r="L9" i="2350" s="1"/>
  <c r="M9" i="2350" s="1"/>
  <c r="I9" i="2350"/>
  <c r="H9" i="2350" s="1"/>
  <c r="K7" i="2350"/>
  <c r="L7" i="2350" s="1"/>
  <c r="M7" i="2350" s="1"/>
  <c r="I7" i="2350"/>
  <c r="H7" i="2350" s="1"/>
  <c r="K11" i="2325"/>
  <c r="L11" i="2325" s="1"/>
  <c r="M11" i="2325" s="1"/>
  <c r="I11" i="2325"/>
  <c r="H11" i="2325" s="1"/>
  <c r="K51" i="2347"/>
  <c r="N53" i="2347"/>
  <c r="K55" i="2347" l="1"/>
  <c r="L55" i="2347" s="1"/>
  <c r="M55" i="2347" s="1"/>
  <c r="N55" i="2347" s="1"/>
  <c r="I55" i="2347"/>
  <c r="H55" i="2347"/>
  <c r="K53" i="2347"/>
  <c r="L53" i="2347" s="1"/>
  <c r="M53" i="2347" s="1"/>
  <c r="I53" i="2347"/>
  <c r="H53" i="2347"/>
  <c r="L51" i="2347"/>
  <c r="M51" i="2347" s="1"/>
  <c r="N51" i="2347" s="1"/>
  <c r="I51" i="2347"/>
  <c r="H51" i="2347"/>
  <c r="K49" i="2347"/>
  <c r="L49" i="2347" s="1"/>
  <c r="M49" i="2347" s="1"/>
  <c r="N49" i="2347" s="1"/>
  <c r="I49" i="2347"/>
  <c r="H49" i="2347"/>
  <c r="K47" i="2347"/>
  <c r="L47" i="2347" s="1"/>
  <c r="M47" i="2347" s="1"/>
  <c r="N47" i="2347" s="1"/>
  <c r="I47" i="2347"/>
  <c r="H47" i="2347"/>
  <c r="K45" i="2347"/>
  <c r="L45" i="2347" s="1"/>
  <c r="M45" i="2347" s="1"/>
  <c r="N45" i="2347" s="1"/>
  <c r="I45" i="2347"/>
  <c r="H45" i="2347"/>
  <c r="K43" i="2347"/>
  <c r="L43" i="2347" s="1"/>
  <c r="M43" i="2347" s="1"/>
  <c r="N43" i="2347" s="1"/>
  <c r="I43" i="2347"/>
  <c r="H43" i="2347"/>
  <c r="K41" i="2347"/>
  <c r="L41" i="2347" s="1"/>
  <c r="M41" i="2347" s="1"/>
  <c r="N41" i="2347" s="1"/>
  <c r="I41" i="2347"/>
  <c r="H41" i="2347"/>
  <c r="K39" i="2347"/>
  <c r="L39" i="2347" s="1"/>
  <c r="M39" i="2347" s="1"/>
  <c r="N39" i="2347" s="1"/>
  <c r="I39" i="2347"/>
  <c r="H39" i="2347"/>
  <c r="K37" i="2347"/>
  <c r="L37" i="2347" s="1"/>
  <c r="M37" i="2347" s="1"/>
  <c r="N37" i="2347" s="1"/>
  <c r="I37" i="2347"/>
  <c r="H37" i="2347"/>
  <c r="K35" i="2347"/>
  <c r="L35" i="2347" s="1"/>
  <c r="M35" i="2347" s="1"/>
  <c r="N35" i="2347" s="1"/>
  <c r="I35" i="2347"/>
  <c r="H35" i="2347" s="1"/>
  <c r="K33" i="2347"/>
  <c r="L33" i="2347" s="1"/>
  <c r="M33" i="2347" s="1"/>
  <c r="N33" i="2347" s="1"/>
  <c r="I33" i="2347"/>
  <c r="H33" i="2347"/>
  <c r="K31" i="2347"/>
  <c r="L31" i="2347" s="1"/>
  <c r="M31" i="2347" s="1"/>
  <c r="N31" i="2347" s="1"/>
  <c r="I31" i="2347"/>
  <c r="H31" i="2347"/>
  <c r="K29" i="2347"/>
  <c r="L29" i="2347" s="1"/>
  <c r="M29" i="2347" s="1"/>
  <c r="N29" i="2347" s="1"/>
  <c r="I29" i="2347"/>
  <c r="H29" i="2347"/>
  <c r="K27" i="2347"/>
  <c r="L27" i="2347" s="1"/>
  <c r="M27" i="2347" s="1"/>
  <c r="N27" i="2347" s="1"/>
  <c r="I27" i="2347"/>
  <c r="H27" i="2347"/>
  <c r="K25" i="2347"/>
  <c r="L25" i="2347" s="1"/>
  <c r="M25" i="2347" s="1"/>
  <c r="N25" i="2347" s="1"/>
  <c r="I25" i="2347"/>
  <c r="H25" i="2347"/>
  <c r="K23" i="2347"/>
  <c r="L23" i="2347" s="1"/>
  <c r="M23" i="2347" s="1"/>
  <c r="N23" i="2347" s="1"/>
  <c r="I23" i="2347"/>
  <c r="H23" i="2347"/>
  <c r="K21" i="2347"/>
  <c r="L21" i="2347" s="1"/>
  <c r="M21" i="2347" s="1"/>
  <c r="N21" i="2347" s="1"/>
  <c r="I21" i="2347"/>
  <c r="H21" i="2347"/>
  <c r="K19" i="2347"/>
  <c r="L19" i="2347" s="1"/>
  <c r="M19" i="2347" s="1"/>
  <c r="N19" i="2347" s="1"/>
  <c r="I19" i="2347"/>
  <c r="H19" i="2347"/>
  <c r="K17" i="2347"/>
  <c r="L17" i="2347" s="1"/>
  <c r="M17" i="2347" s="1"/>
  <c r="N17" i="2347" s="1"/>
  <c r="I17" i="2347"/>
  <c r="H17" i="2347"/>
  <c r="K15" i="2347"/>
  <c r="L15" i="2347" s="1"/>
  <c r="M15" i="2347" s="1"/>
  <c r="N15" i="2347" s="1"/>
  <c r="I15" i="2347"/>
  <c r="H15" i="2347"/>
  <c r="K13" i="2347"/>
  <c r="L13" i="2347" s="1"/>
  <c r="M13" i="2347" s="1"/>
  <c r="N13" i="2347" s="1"/>
  <c r="I13" i="2347"/>
  <c r="H13" i="2347"/>
  <c r="K11" i="2347"/>
  <c r="L11" i="2347" s="1"/>
  <c r="M11" i="2347" s="1"/>
  <c r="N11" i="2347" s="1"/>
  <c r="I11" i="2347"/>
  <c r="H11" i="2347"/>
  <c r="K9" i="2347"/>
  <c r="L9" i="2347" s="1"/>
  <c r="M9" i="2347" s="1"/>
  <c r="N9" i="2347" s="1"/>
  <c r="I9" i="2347"/>
  <c r="H9" i="2347"/>
  <c r="K7" i="2347"/>
  <c r="L7" i="2347" s="1"/>
  <c r="M7" i="2347" s="1"/>
  <c r="N7" i="2347" s="1"/>
  <c r="I7" i="2347"/>
  <c r="H7" i="2347"/>
  <c r="K5" i="2347"/>
  <c r="L5" i="2347" s="1"/>
  <c r="M5" i="2347" s="1"/>
  <c r="N5" i="2347" s="1"/>
  <c r="I5" i="2347"/>
  <c r="H5" i="2347"/>
  <c r="K3" i="2347"/>
  <c r="L3" i="2347" s="1"/>
  <c r="M3" i="2347" s="1"/>
  <c r="N3" i="2347" s="1"/>
  <c r="I3" i="2347"/>
  <c r="H3" i="2347"/>
  <c r="M25" i="2349" l="1"/>
  <c r="L25" i="2349"/>
  <c r="K25" i="2349"/>
  <c r="I25" i="2349"/>
  <c r="H25" i="2349"/>
  <c r="K23" i="2349"/>
  <c r="L23" i="2349" s="1"/>
  <c r="M23" i="2349" s="1"/>
  <c r="I23" i="2349"/>
  <c r="H23" i="2349"/>
  <c r="K21" i="2349"/>
  <c r="L21" i="2349" s="1"/>
  <c r="M21" i="2349" s="1"/>
  <c r="I21" i="2349"/>
  <c r="H21" i="2349"/>
  <c r="M19" i="2349"/>
  <c r="L19" i="2349"/>
  <c r="K19" i="2349"/>
  <c r="I19" i="2349"/>
  <c r="H19" i="2349"/>
  <c r="K17" i="2349"/>
  <c r="L17" i="2349" s="1"/>
  <c r="M17" i="2349" s="1"/>
  <c r="I17" i="2349"/>
  <c r="H17" i="2349"/>
  <c r="K15" i="2349"/>
  <c r="L15" i="2349" s="1"/>
  <c r="M15" i="2349" s="1"/>
  <c r="I15" i="2349"/>
  <c r="H15" i="2349"/>
  <c r="L13" i="2349"/>
  <c r="M13" i="2349" s="1"/>
  <c r="K13" i="2349"/>
  <c r="I13" i="2349"/>
  <c r="H13" i="2349" s="1"/>
  <c r="K11" i="2349"/>
  <c r="L11" i="2349" s="1"/>
  <c r="M11" i="2349" s="1"/>
  <c r="I11" i="2349"/>
  <c r="H11" i="2349"/>
  <c r="K9" i="2349"/>
  <c r="L9" i="2349" s="1"/>
  <c r="M9" i="2349" s="1"/>
  <c r="I9" i="2349"/>
  <c r="H9" i="2349"/>
  <c r="K7" i="2349"/>
  <c r="L7" i="2349" s="1"/>
  <c r="M7" i="2349" s="1"/>
  <c r="I7" i="2349"/>
  <c r="H7" i="2349" s="1"/>
  <c r="K5" i="2349"/>
  <c r="L5" i="2349" s="1"/>
  <c r="M5" i="2349" s="1"/>
  <c r="I5" i="2349"/>
  <c r="H5" i="2349"/>
  <c r="K3" i="2349"/>
  <c r="L3" i="2349" s="1"/>
  <c r="M3" i="2349" s="1"/>
  <c r="I3" i="2349"/>
  <c r="H3" i="2349"/>
  <c r="M29" i="2348" l="1"/>
  <c r="L29" i="2348"/>
  <c r="K29" i="2348"/>
  <c r="H29" i="2348"/>
  <c r="I29" i="2348"/>
  <c r="K31" i="2348"/>
  <c r="L31" i="2348" s="1"/>
  <c r="M31" i="2348" s="1"/>
  <c r="I31" i="2348"/>
  <c r="H31" i="2348"/>
  <c r="M27" i="2348"/>
  <c r="H27" i="2348"/>
  <c r="I27" i="2348"/>
  <c r="K27" i="2348"/>
  <c r="L27" i="2348" s="1"/>
  <c r="K25" i="2348"/>
  <c r="L25" i="2348" s="1"/>
  <c r="M25" i="2348" s="1"/>
  <c r="I25" i="2348"/>
  <c r="H25" i="2348" s="1"/>
  <c r="L21" i="2348"/>
  <c r="M21" i="2348" s="1"/>
  <c r="K21" i="2348"/>
  <c r="I21" i="2348"/>
  <c r="H21" i="2348" s="1"/>
  <c r="K19" i="2348"/>
  <c r="L19" i="2348" s="1"/>
  <c r="M19" i="2348" s="1"/>
  <c r="I19" i="2348"/>
  <c r="H19" i="2348"/>
  <c r="K23" i="2348"/>
  <c r="L23" i="2348" s="1"/>
  <c r="M23" i="2348" s="1"/>
  <c r="I23" i="2348"/>
  <c r="H23" i="2348"/>
  <c r="M11" i="2348"/>
  <c r="L11" i="2348"/>
  <c r="K11" i="2348"/>
  <c r="K9" i="2348"/>
  <c r="L9" i="2348" s="1"/>
  <c r="M9" i="2348" s="1"/>
  <c r="I9" i="2348"/>
  <c r="H9" i="2348"/>
  <c r="K17" i="2348"/>
  <c r="L17" i="2348" s="1"/>
  <c r="M17" i="2348" s="1"/>
  <c r="I17" i="2348"/>
  <c r="H17" i="2348"/>
  <c r="K15" i="2348"/>
  <c r="L15" i="2348" s="1"/>
  <c r="M15" i="2348" s="1"/>
  <c r="I15" i="2348"/>
  <c r="H15" i="2348" s="1"/>
  <c r="K13" i="2348"/>
  <c r="L13" i="2348" s="1"/>
  <c r="M13" i="2348" s="1"/>
  <c r="I13" i="2348"/>
  <c r="H13" i="2348"/>
  <c r="I11" i="2348"/>
  <c r="H11" i="2348"/>
  <c r="K7" i="2348"/>
  <c r="L7" i="2348" s="1"/>
  <c r="M7" i="2348" s="1"/>
  <c r="I7" i="2348"/>
  <c r="H7" i="2348"/>
  <c r="K5" i="2348"/>
  <c r="L5" i="2348" s="1"/>
  <c r="M5" i="2348" s="1"/>
  <c r="I5" i="2348"/>
  <c r="H5" i="2348"/>
  <c r="K3" i="2348"/>
  <c r="L3" i="2348" s="1"/>
  <c r="M3" i="2348" s="1"/>
  <c r="I3" i="2348"/>
  <c r="H3" i="2348" s="1"/>
  <c r="N23" i="2346"/>
  <c r="M23" i="2346"/>
  <c r="L23" i="2346"/>
  <c r="K23" i="2346"/>
  <c r="H23" i="2346"/>
  <c r="I23" i="2346"/>
  <c r="K43" i="2346"/>
  <c r="L43" i="2346" s="1"/>
  <c r="M43" i="2346" s="1"/>
  <c r="N43" i="2346" s="1"/>
  <c r="I43" i="2346"/>
  <c r="H43" i="2346"/>
  <c r="K41" i="2346"/>
  <c r="L41" i="2346" s="1"/>
  <c r="M41" i="2346" s="1"/>
  <c r="N41" i="2346" s="1"/>
  <c r="I41" i="2346"/>
  <c r="H41" i="2346"/>
  <c r="K39" i="2346"/>
  <c r="L39" i="2346" s="1"/>
  <c r="M39" i="2346" s="1"/>
  <c r="N39" i="2346" s="1"/>
  <c r="I39" i="2346"/>
  <c r="H39" i="2346" s="1"/>
  <c r="K37" i="2346"/>
  <c r="L37" i="2346" s="1"/>
  <c r="M37" i="2346" s="1"/>
  <c r="N37" i="2346" s="1"/>
  <c r="I37" i="2346"/>
  <c r="H37" i="2346" s="1"/>
  <c r="K27" i="2346"/>
  <c r="L27" i="2346" s="1"/>
  <c r="M27" i="2346" s="1"/>
  <c r="N27" i="2346" s="1"/>
  <c r="I27" i="2346"/>
  <c r="H27" i="2346"/>
  <c r="K25" i="2346"/>
  <c r="L25" i="2346" s="1"/>
  <c r="M25" i="2346" s="1"/>
  <c r="N25" i="2346" s="1"/>
  <c r="I25" i="2346"/>
  <c r="H25" i="2346"/>
  <c r="K21" i="2346"/>
  <c r="L21" i="2346" s="1"/>
  <c r="M21" i="2346" s="1"/>
  <c r="N21" i="2346" s="1"/>
  <c r="I21" i="2346"/>
  <c r="H21" i="2346"/>
  <c r="K19" i="2346"/>
  <c r="L19" i="2346" s="1"/>
  <c r="M19" i="2346" s="1"/>
  <c r="N19" i="2346" s="1"/>
  <c r="I19" i="2346"/>
  <c r="H19" i="2346"/>
  <c r="K17" i="2346"/>
  <c r="L17" i="2346" s="1"/>
  <c r="M17" i="2346" s="1"/>
  <c r="N17" i="2346" s="1"/>
  <c r="I17" i="2346"/>
  <c r="H17" i="2346"/>
  <c r="K15" i="2346"/>
  <c r="L15" i="2346" s="1"/>
  <c r="M15" i="2346" s="1"/>
  <c r="N15" i="2346" s="1"/>
  <c r="I15" i="2346"/>
  <c r="H15" i="2346" s="1"/>
  <c r="K13" i="2346"/>
  <c r="L13" i="2346" s="1"/>
  <c r="M13" i="2346" s="1"/>
  <c r="N13" i="2346" s="1"/>
  <c r="I13" i="2346"/>
  <c r="H13" i="2346" s="1"/>
  <c r="K11" i="2346"/>
  <c r="L11" i="2346" s="1"/>
  <c r="M11" i="2346" s="1"/>
  <c r="N11" i="2346" s="1"/>
  <c r="I11" i="2346"/>
  <c r="H11" i="2346"/>
  <c r="K9" i="2346"/>
  <c r="L9" i="2346" s="1"/>
  <c r="M9" i="2346" s="1"/>
  <c r="N9" i="2346" s="1"/>
  <c r="I9" i="2346"/>
  <c r="H9" i="2346"/>
  <c r="L3" i="2346"/>
  <c r="M3" i="2346" s="1"/>
  <c r="N3" i="2346" s="1"/>
  <c r="K3" i="2346"/>
  <c r="I3" i="2346"/>
  <c r="H3" i="2346"/>
  <c r="N23" i="2345"/>
  <c r="M23" i="2345"/>
  <c r="L23" i="2345"/>
  <c r="K23" i="2345"/>
  <c r="H23" i="2345"/>
  <c r="I23" i="2345"/>
  <c r="K43" i="2345"/>
  <c r="L43" i="2345" s="1"/>
  <c r="M43" i="2345" s="1"/>
  <c r="N43" i="2345" s="1"/>
  <c r="I43" i="2345"/>
  <c r="H43" i="2345"/>
  <c r="K41" i="2345"/>
  <c r="L41" i="2345" s="1"/>
  <c r="M41" i="2345" s="1"/>
  <c r="N41" i="2345" s="1"/>
  <c r="I41" i="2345"/>
  <c r="H41" i="2345"/>
  <c r="K39" i="2345"/>
  <c r="L39" i="2345" s="1"/>
  <c r="M39" i="2345" s="1"/>
  <c r="N39" i="2345" s="1"/>
  <c r="I39" i="2345"/>
  <c r="H39" i="2345" s="1"/>
  <c r="K37" i="2345"/>
  <c r="L37" i="2345" s="1"/>
  <c r="M37" i="2345" s="1"/>
  <c r="N37" i="2345" s="1"/>
  <c r="I37" i="2345"/>
  <c r="H37" i="2345" s="1"/>
  <c r="K27" i="2345"/>
  <c r="L27" i="2345" s="1"/>
  <c r="M27" i="2345" s="1"/>
  <c r="N27" i="2345" s="1"/>
  <c r="I27" i="2345"/>
  <c r="H27" i="2345"/>
  <c r="K25" i="2345"/>
  <c r="L25" i="2345" s="1"/>
  <c r="M25" i="2345" s="1"/>
  <c r="N25" i="2345" s="1"/>
  <c r="I25" i="2345"/>
  <c r="H25" i="2345" s="1"/>
  <c r="K21" i="2345"/>
  <c r="L21" i="2345" s="1"/>
  <c r="M21" i="2345" s="1"/>
  <c r="N21" i="2345" s="1"/>
  <c r="I21" i="2345"/>
  <c r="H21" i="2345"/>
  <c r="M19" i="2345"/>
  <c r="N19" i="2345" s="1"/>
  <c r="L19" i="2345"/>
  <c r="K19" i="2345"/>
  <c r="I19" i="2345"/>
  <c r="H19" i="2345"/>
  <c r="K17" i="2345"/>
  <c r="L17" i="2345" s="1"/>
  <c r="M17" i="2345" s="1"/>
  <c r="N17" i="2345" s="1"/>
  <c r="I17" i="2345"/>
  <c r="H17" i="2345"/>
  <c r="K15" i="2345"/>
  <c r="L15" i="2345" s="1"/>
  <c r="M15" i="2345" s="1"/>
  <c r="N15" i="2345" s="1"/>
  <c r="I15" i="2345"/>
  <c r="H15" i="2345"/>
  <c r="K13" i="2345"/>
  <c r="L13" i="2345" s="1"/>
  <c r="M13" i="2345" s="1"/>
  <c r="N13" i="2345" s="1"/>
  <c r="I13" i="2345"/>
  <c r="H13" i="2345" s="1"/>
  <c r="K11" i="2345"/>
  <c r="L11" i="2345" s="1"/>
  <c r="M11" i="2345" s="1"/>
  <c r="N11" i="2345" s="1"/>
  <c r="I11" i="2345"/>
  <c r="H11" i="2345"/>
  <c r="K9" i="2345"/>
  <c r="L9" i="2345" s="1"/>
  <c r="M9" i="2345" s="1"/>
  <c r="N9" i="2345" s="1"/>
  <c r="I9" i="2345"/>
  <c r="H9" i="2345" s="1"/>
  <c r="L3" i="2345"/>
  <c r="M3" i="2345" s="1"/>
  <c r="N3" i="2345" s="1"/>
  <c r="K3" i="2345"/>
  <c r="I3" i="2345"/>
  <c r="H3" i="2345"/>
  <c r="I27" i="2344"/>
  <c r="I37" i="2344"/>
  <c r="J37" i="2344" s="1"/>
  <c r="K37" i="2344" s="1"/>
  <c r="L37" i="2344" s="1"/>
  <c r="M37" i="2344" s="1"/>
  <c r="I33" i="2344"/>
  <c r="J33" i="2344" s="1"/>
  <c r="K33" i="2344" s="1"/>
  <c r="L33" i="2344" s="1"/>
  <c r="M33" i="2344" s="1"/>
  <c r="I31" i="2344"/>
  <c r="J31" i="2344" s="1"/>
  <c r="K31" i="2344" s="1"/>
  <c r="L31" i="2344" s="1"/>
  <c r="M31" i="2344" s="1"/>
  <c r="J29" i="2344"/>
  <c r="K29" i="2344" s="1"/>
  <c r="L29" i="2344" s="1"/>
  <c r="M29" i="2344" s="1"/>
  <c r="I29" i="2344"/>
  <c r="J27" i="2344"/>
  <c r="K27" i="2344" s="1"/>
  <c r="L27" i="2344" s="1"/>
  <c r="M27" i="2344" s="1"/>
  <c r="I25" i="2344"/>
  <c r="J25" i="2344" s="1"/>
  <c r="K25" i="2344" s="1"/>
  <c r="L25" i="2344" s="1"/>
  <c r="M25" i="2344" s="1"/>
  <c r="I23" i="2344"/>
  <c r="J23" i="2344" s="1"/>
  <c r="K23" i="2344" s="1"/>
  <c r="L23" i="2344" s="1"/>
  <c r="M23" i="2344" s="1"/>
  <c r="I21" i="2344"/>
  <c r="J21" i="2344" s="1"/>
  <c r="K21" i="2344" s="1"/>
  <c r="L21" i="2344" s="1"/>
  <c r="M21" i="2344" s="1"/>
  <c r="I19" i="2344"/>
  <c r="J19" i="2344" s="1"/>
  <c r="K19" i="2344" s="1"/>
  <c r="L19" i="2344" s="1"/>
  <c r="M19" i="2344" s="1"/>
  <c r="I17" i="2344"/>
  <c r="J17" i="2344" s="1"/>
  <c r="K17" i="2344" s="1"/>
  <c r="L17" i="2344" s="1"/>
  <c r="M17" i="2344" s="1"/>
  <c r="I15" i="2344"/>
  <c r="J15" i="2344" s="1"/>
  <c r="K15" i="2344" s="1"/>
  <c r="L15" i="2344" s="1"/>
  <c r="M15" i="2344" s="1"/>
  <c r="I13" i="2344"/>
  <c r="J13" i="2344" s="1"/>
  <c r="K13" i="2344" s="1"/>
  <c r="L13" i="2344" s="1"/>
  <c r="M13" i="2344" s="1"/>
  <c r="J11" i="2344"/>
  <c r="K11" i="2344" s="1"/>
  <c r="L11" i="2344" s="1"/>
  <c r="M11" i="2344" s="1"/>
  <c r="I11" i="2344"/>
  <c r="J9" i="2344"/>
  <c r="K9" i="2344" s="1"/>
  <c r="L9" i="2344" s="1"/>
  <c r="M9" i="2344" s="1"/>
  <c r="I9" i="2344"/>
  <c r="I7" i="2344"/>
  <c r="J7" i="2344" s="1"/>
  <c r="K7" i="2344" s="1"/>
  <c r="L7" i="2344" s="1"/>
  <c r="M7" i="2344" s="1"/>
  <c r="I5" i="2344"/>
  <c r="J5" i="2344" s="1"/>
  <c r="K5" i="2344" s="1"/>
  <c r="L5" i="2344" s="1"/>
  <c r="M5" i="2344" s="1"/>
  <c r="I3" i="2344"/>
  <c r="J3" i="2344" s="1"/>
  <c r="K3" i="2344" s="1"/>
  <c r="L3" i="2344" s="1"/>
  <c r="M3" i="2344" s="1"/>
  <c r="H9" i="2343"/>
  <c r="I9" i="2343"/>
  <c r="M9" i="2343"/>
  <c r="L9" i="2343"/>
  <c r="K9" i="2343"/>
  <c r="K35" i="2343"/>
  <c r="L35" i="2343" s="1"/>
  <c r="M35" i="2343" s="1"/>
  <c r="I35" i="2343"/>
  <c r="H35" i="2343" s="1"/>
  <c r="K33" i="2343"/>
  <c r="L33" i="2343" s="1"/>
  <c r="M33" i="2343" s="1"/>
  <c r="I33" i="2343"/>
  <c r="H33" i="2343" s="1"/>
  <c r="K31" i="2343"/>
  <c r="L31" i="2343" s="1"/>
  <c r="M31" i="2343" s="1"/>
  <c r="I31" i="2343"/>
  <c r="H31" i="2343" s="1"/>
  <c r="K29" i="2343"/>
  <c r="L29" i="2343" s="1"/>
  <c r="M29" i="2343" s="1"/>
  <c r="I29" i="2343"/>
  <c r="H29" i="2343" s="1"/>
  <c r="K25" i="2343"/>
  <c r="L25" i="2343" s="1"/>
  <c r="M25" i="2343" s="1"/>
  <c r="I25" i="2343"/>
  <c r="H25" i="2343" s="1"/>
  <c r="L21" i="2343"/>
  <c r="M21" i="2343" s="1"/>
  <c r="K21" i="2343"/>
  <c r="I21" i="2343"/>
  <c r="H21" i="2343" s="1"/>
  <c r="I7" i="2343"/>
  <c r="K27" i="2343"/>
  <c r="L27" i="2343" s="1"/>
  <c r="M27" i="2343" s="1"/>
  <c r="I27" i="2343"/>
  <c r="H27" i="2343" s="1"/>
  <c r="K23" i="2343"/>
  <c r="L23" i="2343" s="1"/>
  <c r="M23" i="2343" s="1"/>
  <c r="I23" i="2343"/>
  <c r="H23" i="2343"/>
  <c r="K19" i="2343"/>
  <c r="L19" i="2343" s="1"/>
  <c r="M19" i="2343" s="1"/>
  <c r="I19" i="2343"/>
  <c r="H19" i="2343" s="1"/>
  <c r="K17" i="2343"/>
  <c r="L17" i="2343" s="1"/>
  <c r="M17" i="2343" s="1"/>
  <c r="I17" i="2343"/>
  <c r="H17" i="2343" s="1"/>
  <c r="K15" i="2343"/>
  <c r="L15" i="2343" s="1"/>
  <c r="M15" i="2343" s="1"/>
  <c r="I15" i="2343"/>
  <c r="H15" i="2343" s="1"/>
  <c r="K13" i="2343"/>
  <c r="L13" i="2343" s="1"/>
  <c r="M13" i="2343" s="1"/>
  <c r="I13" i="2343"/>
  <c r="H13" i="2343"/>
  <c r="K11" i="2343"/>
  <c r="L11" i="2343" s="1"/>
  <c r="M11" i="2343" s="1"/>
  <c r="I11" i="2343"/>
  <c r="H11" i="2343" s="1"/>
  <c r="K7" i="2343"/>
  <c r="L7" i="2343" s="1"/>
  <c r="M7" i="2343" s="1"/>
  <c r="H7" i="2343"/>
  <c r="K5" i="2343"/>
  <c r="L5" i="2343" s="1"/>
  <c r="M5" i="2343" s="1"/>
  <c r="I5" i="2343"/>
  <c r="H5" i="2343" s="1"/>
  <c r="K3" i="2343"/>
  <c r="L3" i="2343" s="1"/>
  <c r="M3" i="2343" s="1"/>
  <c r="I3" i="2343"/>
  <c r="H3" i="2343"/>
  <c r="K39" i="2342"/>
  <c r="H19" i="2342"/>
  <c r="H21" i="2342"/>
  <c r="I21" i="2342"/>
  <c r="I19" i="2342"/>
  <c r="L39" i="2342"/>
  <c r="M39" i="2342" s="1"/>
  <c r="I39" i="2342"/>
  <c r="H39" i="2342"/>
  <c r="K37" i="2342"/>
  <c r="L37" i="2342" s="1"/>
  <c r="M37" i="2342" s="1"/>
  <c r="I37" i="2342"/>
  <c r="H37" i="2342" s="1"/>
  <c r="K35" i="2342"/>
  <c r="L35" i="2342" s="1"/>
  <c r="M35" i="2342" s="1"/>
  <c r="I35" i="2342"/>
  <c r="H35" i="2342"/>
  <c r="K33" i="2342"/>
  <c r="L33" i="2342" s="1"/>
  <c r="M33" i="2342" s="1"/>
  <c r="I33" i="2342"/>
  <c r="H33" i="2342" s="1"/>
  <c r="K31" i="2342"/>
  <c r="L31" i="2342" s="1"/>
  <c r="M31" i="2342" s="1"/>
  <c r="I31" i="2342"/>
  <c r="H31" i="2342"/>
  <c r="K29" i="2342"/>
  <c r="L29" i="2342" s="1"/>
  <c r="M29" i="2342" s="1"/>
  <c r="I29" i="2342"/>
  <c r="H29" i="2342"/>
  <c r="M27" i="2342"/>
  <c r="L27" i="2342"/>
  <c r="K27" i="2342"/>
  <c r="H27" i="2342"/>
  <c r="I27" i="2342"/>
  <c r="M25" i="2342"/>
  <c r="L25" i="2342"/>
  <c r="K25" i="2342"/>
  <c r="H25" i="2342"/>
  <c r="I25" i="2342"/>
  <c r="K23" i="2342"/>
  <c r="L23" i="2342" s="1"/>
  <c r="M23" i="2342" s="1"/>
  <c r="I23" i="2342"/>
  <c r="H23" i="2342"/>
  <c r="K21" i="2342"/>
  <c r="L21" i="2342" s="1"/>
  <c r="M21" i="2342" s="1"/>
  <c r="M19" i="2342"/>
  <c r="L19" i="2342"/>
  <c r="K19" i="2342"/>
  <c r="H17" i="2342"/>
  <c r="I17" i="2342"/>
  <c r="M17" i="2342"/>
  <c r="L17" i="2342"/>
  <c r="K17" i="2342"/>
  <c r="K5" i="2342"/>
  <c r="L5" i="2342" s="1"/>
  <c r="M5" i="2342" s="1"/>
  <c r="I5" i="2342"/>
  <c r="H5" i="2342" s="1"/>
  <c r="H11" i="2342"/>
  <c r="I7" i="2342"/>
  <c r="K15" i="2342"/>
  <c r="L15" i="2342" s="1"/>
  <c r="M15" i="2342" s="1"/>
  <c r="I15" i="2342"/>
  <c r="H15" i="2342"/>
  <c r="K13" i="2342"/>
  <c r="L13" i="2342" s="1"/>
  <c r="M13" i="2342" s="1"/>
  <c r="I13" i="2342"/>
  <c r="H13" i="2342"/>
  <c r="K11" i="2342"/>
  <c r="L11" i="2342" s="1"/>
  <c r="M11" i="2342" s="1"/>
  <c r="I11" i="2342"/>
  <c r="K9" i="2342"/>
  <c r="L9" i="2342" s="1"/>
  <c r="M9" i="2342" s="1"/>
  <c r="I9" i="2342"/>
  <c r="H9" i="2342" s="1"/>
  <c r="K7" i="2342"/>
  <c r="L7" i="2342" s="1"/>
  <c r="M7" i="2342" s="1"/>
  <c r="H7" i="2342"/>
  <c r="K3" i="2342"/>
  <c r="L3" i="2342" s="1"/>
  <c r="M3" i="2342" s="1"/>
  <c r="I3" i="2342"/>
  <c r="H3" i="2342"/>
  <c r="H15" i="2251"/>
  <c r="I15" i="2251"/>
  <c r="N15" i="2251"/>
  <c r="M15" i="2251"/>
  <c r="L15" i="2251"/>
  <c r="K15" i="2251"/>
  <c r="I5" i="2251"/>
  <c r="H5" i="2251" s="1"/>
  <c r="K5" i="2251"/>
  <c r="L5" i="2251" s="1"/>
  <c r="M5" i="2251" s="1"/>
  <c r="N5" i="2251" s="1"/>
  <c r="K19" i="2251"/>
  <c r="L19" i="2251" s="1"/>
  <c r="M19" i="2251" s="1"/>
  <c r="N19" i="2251" s="1"/>
  <c r="I19" i="2251"/>
  <c r="H19" i="2251"/>
  <c r="H17" i="2251"/>
  <c r="I17" i="2251"/>
  <c r="N17" i="2251"/>
  <c r="M17" i="2251"/>
  <c r="L17" i="2251"/>
  <c r="K17" i="2251"/>
  <c r="K43" i="2341"/>
  <c r="L43" i="2341" s="1"/>
  <c r="M43" i="2341" s="1"/>
  <c r="I43" i="2341"/>
  <c r="H43" i="2341" s="1"/>
  <c r="K41" i="2341"/>
  <c r="L41" i="2341" s="1"/>
  <c r="M41" i="2341" s="1"/>
  <c r="I41" i="2341"/>
  <c r="H41" i="2341" s="1"/>
  <c r="K39" i="2341"/>
  <c r="L39" i="2341" s="1"/>
  <c r="M39" i="2341" s="1"/>
  <c r="I39" i="2341"/>
  <c r="H39" i="2341" s="1"/>
  <c r="K37" i="2341"/>
  <c r="L37" i="2341" s="1"/>
  <c r="M37" i="2341" s="1"/>
  <c r="I37" i="2341"/>
  <c r="H37" i="2341" s="1"/>
  <c r="K27" i="2341"/>
  <c r="L27" i="2341" s="1"/>
  <c r="M27" i="2341" s="1"/>
  <c r="I27" i="2341"/>
  <c r="H27" i="2341"/>
  <c r="K25" i="2341"/>
  <c r="L25" i="2341" s="1"/>
  <c r="M25" i="2341" s="1"/>
  <c r="I25" i="2341"/>
  <c r="H25" i="2341"/>
  <c r="K23" i="2341"/>
  <c r="L23" i="2341" s="1"/>
  <c r="M23" i="2341" s="1"/>
  <c r="I23" i="2341"/>
  <c r="H23" i="2341" s="1"/>
  <c r="K21" i="2341"/>
  <c r="L21" i="2341" s="1"/>
  <c r="M21" i="2341" s="1"/>
  <c r="I21" i="2341"/>
  <c r="H21" i="2341" s="1"/>
  <c r="K15" i="2341"/>
  <c r="L15" i="2341" s="1"/>
  <c r="M15" i="2341" s="1"/>
  <c r="I15" i="2341"/>
  <c r="H15" i="2341"/>
  <c r="K13" i="2341"/>
  <c r="L13" i="2341" s="1"/>
  <c r="M13" i="2341" s="1"/>
  <c r="I13" i="2341"/>
  <c r="H13" i="2341" s="1"/>
  <c r="K11" i="2341"/>
  <c r="L11" i="2341" s="1"/>
  <c r="M11" i="2341" s="1"/>
  <c r="I11" i="2341"/>
  <c r="H11" i="2341" s="1"/>
  <c r="K3" i="2341"/>
  <c r="L3" i="2341" s="1"/>
  <c r="M3" i="2341" s="1"/>
  <c r="I3" i="2341"/>
  <c r="H3" i="2341" s="1"/>
  <c r="L17" i="2340"/>
  <c r="M17" i="2340" s="1"/>
  <c r="J17" i="2340"/>
  <c r="I17" i="2340" s="1"/>
  <c r="J15" i="2340"/>
  <c r="I15" i="2340" s="1"/>
  <c r="L3" i="2340"/>
  <c r="M3" i="2340" s="1"/>
  <c r="J3" i="2340"/>
  <c r="L29" i="2340"/>
  <c r="M29" i="2340" s="1"/>
  <c r="J29" i="2340"/>
  <c r="I29" i="2340" s="1"/>
  <c r="L19" i="2340"/>
  <c r="M19" i="2340" s="1"/>
  <c r="J19" i="2340"/>
  <c r="I19" i="2340" s="1"/>
  <c r="L13" i="2340"/>
  <c r="M13" i="2340" s="1"/>
  <c r="J13" i="2340"/>
  <c r="I13" i="2340" s="1"/>
  <c r="L31" i="2340"/>
  <c r="M31" i="2340" s="1"/>
  <c r="J31" i="2340"/>
  <c r="I31" i="2340" s="1"/>
  <c r="L27" i="2340"/>
  <c r="M27" i="2340" s="1"/>
  <c r="J27" i="2340"/>
  <c r="I27" i="2340" s="1"/>
  <c r="L25" i="2340"/>
  <c r="M25" i="2340" s="1"/>
  <c r="J25" i="2340"/>
  <c r="I25" i="2340" s="1"/>
  <c r="L23" i="2340"/>
  <c r="M23" i="2340" s="1"/>
  <c r="J23" i="2340"/>
  <c r="I23" i="2340" s="1"/>
  <c r="L21" i="2340"/>
  <c r="M21" i="2340" s="1"/>
  <c r="J21" i="2340"/>
  <c r="I21" i="2340" s="1"/>
  <c r="L11" i="2340"/>
  <c r="M11" i="2340" s="1"/>
  <c r="J11" i="2340"/>
  <c r="I11" i="2340" s="1"/>
  <c r="I19" i="2278"/>
  <c r="K43" i="2339"/>
  <c r="L43" i="2339" s="1"/>
  <c r="M43" i="2339" s="1"/>
  <c r="N43" i="2339" s="1"/>
  <c r="I43" i="2339"/>
  <c r="H43" i="2339"/>
  <c r="K37" i="2339"/>
  <c r="L37" i="2339" s="1"/>
  <c r="M37" i="2339" s="1"/>
  <c r="N37" i="2339" s="1"/>
  <c r="I37" i="2339"/>
  <c r="H37" i="2339" s="1"/>
  <c r="N23" i="2339"/>
  <c r="M23" i="2339"/>
  <c r="L23" i="2339"/>
  <c r="K23" i="2339"/>
  <c r="H23" i="2339"/>
  <c r="I23" i="2339"/>
  <c r="N13" i="2339"/>
  <c r="M13" i="2339"/>
  <c r="L13" i="2339"/>
  <c r="K13" i="2339"/>
  <c r="H13" i="2339"/>
  <c r="I13" i="2339"/>
  <c r="N11" i="2339"/>
  <c r="M11" i="2339"/>
  <c r="L11" i="2339"/>
  <c r="K11" i="2339"/>
  <c r="H11" i="2339"/>
  <c r="I11" i="2339"/>
  <c r="K41" i="2339"/>
  <c r="L41" i="2339" s="1"/>
  <c r="M41" i="2339" s="1"/>
  <c r="N41" i="2339" s="1"/>
  <c r="I41" i="2339"/>
  <c r="H41" i="2339" s="1"/>
  <c r="K39" i="2339"/>
  <c r="L39" i="2339" s="1"/>
  <c r="M39" i="2339" s="1"/>
  <c r="N39" i="2339" s="1"/>
  <c r="I39" i="2339"/>
  <c r="H39" i="2339" s="1"/>
  <c r="K31" i="2339"/>
  <c r="L31" i="2339" s="1"/>
  <c r="M31" i="2339" s="1"/>
  <c r="N31" i="2339" s="1"/>
  <c r="I31" i="2339"/>
  <c r="H31" i="2339"/>
  <c r="K27" i="2339"/>
  <c r="L27" i="2339" s="1"/>
  <c r="M27" i="2339" s="1"/>
  <c r="N27" i="2339" s="1"/>
  <c r="I27" i="2339"/>
  <c r="H27" i="2339" s="1"/>
  <c r="K25" i="2339"/>
  <c r="L25" i="2339" s="1"/>
  <c r="M25" i="2339" s="1"/>
  <c r="N25" i="2339" s="1"/>
  <c r="I25" i="2339"/>
  <c r="H25" i="2339" s="1"/>
  <c r="K21" i="2339"/>
  <c r="L21" i="2339" s="1"/>
  <c r="M21" i="2339" s="1"/>
  <c r="N21" i="2339" s="1"/>
  <c r="I21" i="2339"/>
  <c r="H21" i="2339" s="1"/>
  <c r="K15" i="2339"/>
  <c r="L15" i="2339" s="1"/>
  <c r="M15" i="2339" s="1"/>
  <c r="N15" i="2339" s="1"/>
  <c r="I15" i="2339"/>
  <c r="H15" i="2339" s="1"/>
  <c r="L3" i="2339"/>
  <c r="M3" i="2339" s="1"/>
  <c r="N3" i="2339" s="1"/>
  <c r="K3" i="2339"/>
  <c r="I3" i="2339"/>
  <c r="H3" i="2339"/>
  <c r="I27" i="2338"/>
  <c r="H27" i="2338" s="1"/>
  <c r="H29" i="2338"/>
  <c r="K25" i="2338"/>
  <c r="L25" i="2338" s="1"/>
  <c r="M25" i="2338" s="1"/>
  <c r="I25" i="2338"/>
  <c r="H25" i="2338" s="1"/>
  <c r="I21" i="2338"/>
  <c r="H21" i="2338" s="1"/>
  <c r="K19" i="2338"/>
  <c r="L19" i="2338" s="1"/>
  <c r="M19" i="2338" s="1"/>
  <c r="I19" i="2338"/>
  <c r="H19" i="2338" s="1"/>
  <c r="K23" i="2338"/>
  <c r="L23" i="2338" s="1"/>
  <c r="M23" i="2338" s="1"/>
  <c r="K15" i="2338"/>
  <c r="L15" i="2338" s="1"/>
  <c r="M15" i="2338" s="1"/>
  <c r="I15" i="2338"/>
  <c r="H15" i="2338" s="1"/>
  <c r="K21" i="2338"/>
  <c r="L21" i="2338" s="1"/>
  <c r="M21" i="2338" s="1"/>
  <c r="I11" i="2338"/>
  <c r="H11" i="2338" s="1"/>
  <c r="K3" i="2338"/>
  <c r="L3" i="2338" s="1"/>
  <c r="M3" i="2338" s="1"/>
  <c r="I3" i="2338"/>
  <c r="H3" i="2338" s="1"/>
  <c r="K29" i="2338"/>
  <c r="L29" i="2338" s="1"/>
  <c r="M29" i="2338" s="1"/>
  <c r="I29" i="2338"/>
  <c r="K27" i="2338"/>
  <c r="L27" i="2338" s="1"/>
  <c r="M27" i="2338" s="1"/>
  <c r="I23" i="2338"/>
  <c r="H23" i="2338" s="1"/>
  <c r="K13" i="2338"/>
  <c r="L13" i="2338" s="1"/>
  <c r="M13" i="2338" s="1"/>
  <c r="I13" i="2338"/>
  <c r="H13" i="2338" s="1"/>
  <c r="K11" i="2338"/>
  <c r="L11" i="2338" s="1"/>
  <c r="M11" i="2338" s="1"/>
  <c r="L49" i="2337"/>
  <c r="M49" i="2337" s="1"/>
  <c r="L47" i="2337"/>
  <c r="J49" i="2337"/>
  <c r="I49" i="2337" s="1"/>
  <c r="M47" i="2337"/>
  <c r="J47" i="2337"/>
  <c r="I47" i="2337" s="1"/>
  <c r="L33" i="2337"/>
  <c r="M33" i="2337" s="1"/>
  <c r="J33" i="2337"/>
  <c r="I33" i="2337" s="1"/>
  <c r="J29" i="2337"/>
  <c r="I29" i="2337" s="1"/>
  <c r="L45" i="2337"/>
  <c r="M45" i="2337" s="1"/>
  <c r="J45" i="2337"/>
  <c r="I45" i="2337" s="1"/>
  <c r="L35" i="2337"/>
  <c r="M35" i="2337" s="1"/>
  <c r="L23" i="2337"/>
  <c r="M23" i="2337" s="1"/>
  <c r="J23" i="2337"/>
  <c r="I23" i="2337" s="1"/>
  <c r="L43" i="2337"/>
  <c r="M43" i="2337" s="1"/>
  <c r="J43" i="2337"/>
  <c r="I43" i="2337" s="1"/>
  <c r="L41" i="2337"/>
  <c r="M41" i="2337" s="1"/>
  <c r="J41" i="2337"/>
  <c r="I41" i="2337"/>
  <c r="L39" i="2337"/>
  <c r="M39" i="2337" s="1"/>
  <c r="J39" i="2337"/>
  <c r="I39" i="2337" s="1"/>
  <c r="L37" i="2337"/>
  <c r="M37" i="2337" s="1"/>
  <c r="J37" i="2337"/>
  <c r="I37" i="2337" s="1"/>
  <c r="J35" i="2337"/>
  <c r="I35" i="2337" s="1"/>
  <c r="L31" i="2337"/>
  <c r="M31" i="2337" s="1"/>
  <c r="J31" i="2337"/>
  <c r="I31" i="2337" s="1"/>
  <c r="L29" i="2337"/>
  <c r="M29" i="2337" s="1"/>
  <c r="L27" i="2337"/>
  <c r="M27" i="2337" s="1"/>
  <c r="J27" i="2337"/>
  <c r="I27" i="2337" s="1"/>
  <c r="L25" i="2337"/>
  <c r="M25" i="2337" s="1"/>
  <c r="J25" i="2337"/>
  <c r="I25" i="2337" s="1"/>
  <c r="L21" i="2337"/>
  <c r="M21" i="2337" s="1"/>
  <c r="J21" i="2337"/>
  <c r="I21" i="2337" s="1"/>
  <c r="L15" i="2337"/>
  <c r="M15" i="2337" s="1"/>
  <c r="J15" i="2337"/>
  <c r="I15" i="2337" s="1"/>
  <c r="L13" i="2337"/>
  <c r="M13" i="2337" s="1"/>
  <c r="J13" i="2337"/>
  <c r="I13" i="2337" s="1"/>
  <c r="L11" i="2337"/>
  <c r="M11" i="2337" s="1"/>
  <c r="J11" i="2337"/>
  <c r="I11" i="2337" s="1"/>
  <c r="L3" i="2337"/>
  <c r="M3" i="2337" s="1"/>
  <c r="J3" i="2337"/>
  <c r="I3" i="2337" s="1"/>
  <c r="L23" i="2336"/>
  <c r="M23" i="2336" s="1"/>
  <c r="J23" i="2336"/>
  <c r="I23" i="2336" s="1"/>
  <c r="L19" i="2336"/>
  <c r="M19" i="2336" s="1"/>
  <c r="J19" i="2336"/>
  <c r="I19" i="2336" s="1"/>
  <c r="J11" i="2336"/>
  <c r="I11" i="2336" s="1"/>
  <c r="L11" i="2336"/>
  <c r="M11" i="2336" s="1"/>
  <c r="L9" i="2336"/>
  <c r="M9" i="2336" s="1"/>
  <c r="J9" i="2336"/>
  <c r="I9" i="2336" s="1"/>
  <c r="L5" i="2336"/>
  <c r="M5" i="2336" s="1"/>
  <c r="J5" i="2336"/>
  <c r="I5" i="2336" s="1"/>
  <c r="L21" i="2336"/>
  <c r="M21" i="2336" s="1"/>
  <c r="J21" i="2336"/>
  <c r="I21" i="2336" s="1"/>
  <c r="L17" i="2336"/>
  <c r="M17" i="2336" s="1"/>
  <c r="J17" i="2336"/>
  <c r="I17" i="2336" s="1"/>
  <c r="L15" i="2336"/>
  <c r="M15" i="2336" s="1"/>
  <c r="J15" i="2336"/>
  <c r="I15" i="2336" s="1"/>
  <c r="L13" i="2336"/>
  <c r="M13" i="2336" s="1"/>
  <c r="J13" i="2336"/>
  <c r="I13" i="2336" s="1"/>
  <c r="L7" i="2336"/>
  <c r="M7" i="2336" s="1"/>
  <c r="J7" i="2336"/>
  <c r="I7" i="2336"/>
  <c r="L3" i="2336"/>
  <c r="M3" i="2336" s="1"/>
  <c r="J3" i="2336"/>
  <c r="I3" i="2336" s="1"/>
  <c r="N23" i="2281"/>
  <c r="M23" i="2281"/>
  <c r="L23" i="2281"/>
  <c r="K23" i="2281"/>
  <c r="H23" i="2281"/>
  <c r="I23" i="2281"/>
  <c r="H25" i="2335"/>
  <c r="K37" i="2335"/>
  <c r="L37" i="2335" s="1"/>
  <c r="M37" i="2335" s="1"/>
  <c r="I37" i="2335"/>
  <c r="H37" i="2335" s="1"/>
  <c r="K35" i="2335"/>
  <c r="L35" i="2335" s="1"/>
  <c r="M35" i="2335" s="1"/>
  <c r="I35" i="2335"/>
  <c r="H35" i="2335" s="1"/>
  <c r="K33" i="2335"/>
  <c r="L33" i="2335" s="1"/>
  <c r="M33" i="2335" s="1"/>
  <c r="I33" i="2335"/>
  <c r="H33" i="2335" s="1"/>
  <c r="K31" i="2335"/>
  <c r="L31" i="2335" s="1"/>
  <c r="M31" i="2335" s="1"/>
  <c r="I31" i="2335"/>
  <c r="H31" i="2335" s="1"/>
  <c r="K29" i="2335"/>
  <c r="L29" i="2335" s="1"/>
  <c r="M29" i="2335" s="1"/>
  <c r="I29" i="2335"/>
  <c r="H29" i="2335" s="1"/>
  <c r="K27" i="2335"/>
  <c r="L27" i="2335" s="1"/>
  <c r="M27" i="2335" s="1"/>
  <c r="I27" i="2335"/>
  <c r="H27" i="2335" s="1"/>
  <c r="K25" i="2335"/>
  <c r="L25" i="2335" s="1"/>
  <c r="M25" i="2335" s="1"/>
  <c r="I25" i="2335"/>
  <c r="K23" i="2335"/>
  <c r="L23" i="2335" s="1"/>
  <c r="M23" i="2335" s="1"/>
  <c r="I23" i="2335"/>
  <c r="H23" i="2335" s="1"/>
  <c r="K21" i="2335"/>
  <c r="L21" i="2335" s="1"/>
  <c r="M21" i="2335" s="1"/>
  <c r="I21" i="2335"/>
  <c r="H21" i="2335" s="1"/>
  <c r="K9" i="2335"/>
  <c r="L9" i="2335" s="1"/>
  <c r="M9" i="2335" s="1"/>
  <c r="I9" i="2335"/>
  <c r="H9" i="2335" s="1"/>
  <c r="K39" i="2335"/>
  <c r="L39" i="2335" s="1"/>
  <c r="M39" i="2335" s="1"/>
  <c r="I39" i="2335"/>
  <c r="H39" i="2335" s="1"/>
  <c r="K19" i="2335"/>
  <c r="L19" i="2335" s="1"/>
  <c r="M19" i="2335" s="1"/>
  <c r="I19" i="2335"/>
  <c r="H19" i="2335" s="1"/>
  <c r="K17" i="2335"/>
  <c r="L17" i="2335" s="1"/>
  <c r="M17" i="2335" s="1"/>
  <c r="I17" i="2335"/>
  <c r="H17" i="2335" s="1"/>
  <c r="K15" i="2335"/>
  <c r="L15" i="2335" s="1"/>
  <c r="M15" i="2335" s="1"/>
  <c r="I15" i="2335"/>
  <c r="H15" i="2335" s="1"/>
  <c r="K13" i="2335"/>
  <c r="L13" i="2335" s="1"/>
  <c r="M13" i="2335" s="1"/>
  <c r="I13" i="2335"/>
  <c r="H13" i="2335" s="1"/>
  <c r="K11" i="2335"/>
  <c r="L11" i="2335" s="1"/>
  <c r="M11" i="2335" s="1"/>
  <c r="I11" i="2335"/>
  <c r="H11" i="2335" s="1"/>
  <c r="K7" i="2335"/>
  <c r="L7" i="2335" s="1"/>
  <c r="M7" i="2335" s="1"/>
  <c r="I7" i="2335"/>
  <c r="H7" i="2335" s="1"/>
  <c r="K5" i="2335"/>
  <c r="L5" i="2335" s="1"/>
  <c r="M5" i="2335" s="1"/>
  <c r="I5" i="2335"/>
  <c r="H5" i="2335"/>
  <c r="K3" i="2335"/>
  <c r="L3" i="2335" s="1"/>
  <c r="M3" i="2335" s="1"/>
  <c r="I3" i="2335"/>
  <c r="H3" i="2335" s="1"/>
  <c r="K29" i="2334"/>
  <c r="L29" i="2334" s="1"/>
  <c r="M29" i="2334" s="1"/>
  <c r="I29" i="2334"/>
  <c r="H29" i="2334" s="1"/>
  <c r="M23" i="2334"/>
  <c r="M25" i="2334"/>
  <c r="K23" i="2334"/>
  <c r="L23" i="2334" s="1"/>
  <c r="I25" i="2334"/>
  <c r="H25" i="2334" s="1"/>
  <c r="I23" i="2334"/>
  <c r="L27" i="2334"/>
  <c r="M27" i="2334"/>
  <c r="K27" i="2334"/>
  <c r="H27" i="2334"/>
  <c r="I27" i="2334"/>
  <c r="L13" i="2334"/>
  <c r="K15" i="2334"/>
  <c r="L15" i="2334" s="1"/>
  <c r="M15" i="2334" s="1"/>
  <c r="K13" i="2334"/>
  <c r="H13" i="2334"/>
  <c r="I13" i="2334"/>
  <c r="I15" i="2334"/>
  <c r="H15" i="2334" s="1"/>
  <c r="L5" i="2334"/>
  <c r="M5" i="2334"/>
  <c r="K5" i="2334"/>
  <c r="H5" i="2334"/>
  <c r="I5" i="2334"/>
  <c r="K25" i="2308"/>
  <c r="L25" i="2308" s="1"/>
  <c r="M25" i="2308" s="1"/>
  <c r="I25" i="2308"/>
  <c r="H25" i="2308" s="1"/>
  <c r="M13" i="2334"/>
  <c r="K25" i="2334"/>
  <c r="L25" i="2334" s="1"/>
  <c r="H23" i="2334"/>
  <c r="K3" i="2334"/>
  <c r="L3" i="2334" s="1"/>
  <c r="M3" i="2334" s="1"/>
  <c r="I3" i="2334"/>
  <c r="H3" i="2334" s="1"/>
  <c r="K21" i="2334"/>
  <c r="L21" i="2334" s="1"/>
  <c r="M21" i="2334" s="1"/>
  <c r="I21" i="2334"/>
  <c r="H21" i="2334" s="1"/>
  <c r="K19" i="2334"/>
  <c r="L19" i="2334" s="1"/>
  <c r="M19" i="2334" s="1"/>
  <c r="I19" i="2334"/>
  <c r="H19" i="2334" s="1"/>
  <c r="K17" i="2334"/>
  <c r="L17" i="2334" s="1"/>
  <c r="M17" i="2334" s="1"/>
  <c r="I17" i="2334"/>
  <c r="H17" i="2334" s="1"/>
  <c r="K11" i="2334"/>
  <c r="L11" i="2334" s="1"/>
  <c r="M11" i="2334" s="1"/>
  <c r="I11" i="2334"/>
  <c r="H11" i="2334" s="1"/>
  <c r="K9" i="2334"/>
  <c r="L9" i="2334" s="1"/>
  <c r="M9" i="2334" s="1"/>
  <c r="I9" i="2334"/>
  <c r="H9" i="2334" s="1"/>
  <c r="K7" i="2334"/>
  <c r="L7" i="2334" s="1"/>
  <c r="M7" i="2334" s="1"/>
  <c r="I7" i="2334"/>
  <c r="H7" i="2334" s="1"/>
  <c r="K53" i="2333"/>
  <c r="L53" i="2333" s="1"/>
  <c r="M53" i="2333" s="1"/>
  <c r="K51" i="2333"/>
  <c r="L47" i="2333"/>
  <c r="M47" i="2333" s="1"/>
  <c r="I45" i="2333"/>
  <c r="H45" i="2333" s="1"/>
  <c r="K43" i="2333"/>
  <c r="L43" i="2333" s="1"/>
  <c r="M43" i="2333" s="1"/>
  <c r="I43" i="2333"/>
  <c r="H43" i="2333" s="1"/>
  <c r="K45" i="2333"/>
  <c r="L45" i="2333" s="1"/>
  <c r="M45" i="2333" s="1"/>
  <c r="K21" i="2333"/>
  <c r="L21" i="2333" s="1"/>
  <c r="M21" i="2333" s="1"/>
  <c r="I21" i="2333"/>
  <c r="H21" i="2333" s="1"/>
  <c r="K5" i="2333"/>
  <c r="L5" i="2333" s="1"/>
  <c r="M5" i="2333" s="1"/>
  <c r="I5" i="2333"/>
  <c r="H5" i="2333" s="1"/>
  <c r="K3" i="2333"/>
  <c r="L3" i="2333" s="1"/>
  <c r="M3" i="2333" s="1"/>
  <c r="I3" i="2333"/>
  <c r="H3" i="2333"/>
  <c r="K23" i="2333"/>
  <c r="L23" i="2333" s="1"/>
  <c r="M23" i="2333" s="1"/>
  <c r="I23" i="2333"/>
  <c r="H23" i="2333" s="1"/>
  <c r="K13" i="2333"/>
  <c r="L13" i="2333" s="1"/>
  <c r="M13" i="2333" s="1"/>
  <c r="I13" i="2333"/>
  <c r="H13" i="2333" s="1"/>
  <c r="K11" i="2333"/>
  <c r="L11" i="2333" s="1"/>
  <c r="M11" i="2333" s="1"/>
  <c r="I11" i="2333"/>
  <c r="H11" i="2333" s="1"/>
  <c r="K7" i="2333"/>
  <c r="L7" i="2333" s="1"/>
  <c r="M7" i="2333" s="1"/>
  <c r="I7" i="2333"/>
  <c r="H7" i="2333" s="1"/>
  <c r="K63" i="2333"/>
  <c r="L63" i="2333" s="1"/>
  <c r="M63" i="2333" s="1"/>
  <c r="I63" i="2333"/>
  <c r="H63" i="2333" s="1"/>
  <c r="K61" i="2333"/>
  <c r="L61" i="2333" s="1"/>
  <c r="M61" i="2333" s="1"/>
  <c r="I61" i="2333"/>
  <c r="H61" i="2333" s="1"/>
  <c r="K59" i="2333"/>
  <c r="L59" i="2333" s="1"/>
  <c r="M59" i="2333" s="1"/>
  <c r="I59" i="2333"/>
  <c r="H59" i="2333" s="1"/>
  <c r="K57" i="2333"/>
  <c r="L57" i="2333" s="1"/>
  <c r="M57" i="2333" s="1"/>
  <c r="I57" i="2333"/>
  <c r="H57" i="2333" s="1"/>
  <c r="K55" i="2333"/>
  <c r="L55" i="2333" s="1"/>
  <c r="M55" i="2333" s="1"/>
  <c r="I55" i="2333"/>
  <c r="H55" i="2333" s="1"/>
  <c r="I53" i="2333"/>
  <c r="H53" i="2333" s="1"/>
  <c r="L51" i="2333"/>
  <c r="M51" i="2333" s="1"/>
  <c r="I51" i="2333"/>
  <c r="H51" i="2333" s="1"/>
  <c r="K47" i="2333"/>
  <c r="I47" i="2333"/>
  <c r="H47" i="2333" s="1"/>
  <c r="K41" i="2333"/>
  <c r="L41" i="2333" s="1"/>
  <c r="M41" i="2333" s="1"/>
  <c r="I41" i="2333"/>
  <c r="H41" i="2333" s="1"/>
  <c r="K35" i="2333"/>
  <c r="L35" i="2333" s="1"/>
  <c r="M35" i="2333" s="1"/>
  <c r="I35" i="2333"/>
  <c r="H35" i="2333" s="1"/>
  <c r="K33" i="2333"/>
  <c r="L33" i="2333" s="1"/>
  <c r="M33" i="2333" s="1"/>
  <c r="I33" i="2333"/>
  <c r="H33" i="2333" s="1"/>
  <c r="K31" i="2333"/>
  <c r="L31" i="2333" s="1"/>
  <c r="M31" i="2333" s="1"/>
  <c r="I31" i="2333"/>
  <c r="H31" i="2333" s="1"/>
  <c r="K29" i="2333"/>
  <c r="L29" i="2333" s="1"/>
  <c r="M29" i="2333" s="1"/>
  <c r="I29" i="2333"/>
  <c r="H29" i="2333" s="1"/>
  <c r="K27" i="2333"/>
  <c r="L27" i="2333" s="1"/>
  <c r="M27" i="2333" s="1"/>
  <c r="I27" i="2333"/>
  <c r="H27" i="2333" s="1"/>
  <c r="K25" i="2333"/>
  <c r="L25" i="2333" s="1"/>
  <c r="M25" i="2333" s="1"/>
  <c r="I25" i="2333"/>
  <c r="H25" i="2333" s="1"/>
  <c r="K19" i="2333"/>
  <c r="L19" i="2333" s="1"/>
  <c r="M19" i="2333" s="1"/>
  <c r="I19" i="2333"/>
  <c r="H19" i="2333" s="1"/>
  <c r="K17" i="2333"/>
  <c r="L17" i="2333" s="1"/>
  <c r="M17" i="2333" s="1"/>
  <c r="I17" i="2333"/>
  <c r="H17" i="2333" s="1"/>
  <c r="K15" i="2333"/>
  <c r="L15" i="2333" s="1"/>
  <c r="M15" i="2333" s="1"/>
  <c r="I15" i="2333"/>
  <c r="H15" i="2333" s="1"/>
  <c r="K9" i="2333"/>
  <c r="L9" i="2333" s="1"/>
  <c r="M9" i="2333" s="1"/>
  <c r="I9" i="2333"/>
  <c r="H9" i="2333" s="1"/>
  <c r="L39" i="2332"/>
  <c r="M39" i="2332" s="1"/>
  <c r="N39" i="2332" s="1"/>
  <c r="K39" i="2332"/>
  <c r="H39" i="2332"/>
  <c r="I39" i="2332"/>
  <c r="L37" i="2332" l="1"/>
  <c r="M37" i="2332" s="1"/>
  <c r="N37" i="2332" s="1"/>
  <c r="K37" i="2332"/>
  <c r="H37" i="2332"/>
  <c r="I37" i="2332"/>
  <c r="K35" i="2332"/>
  <c r="L35" i="2332" s="1"/>
  <c r="M35" i="2332" s="1"/>
  <c r="N35" i="2332" s="1"/>
  <c r="I35" i="2332"/>
  <c r="H35" i="2332"/>
  <c r="K33" i="2332"/>
  <c r="L33" i="2332" s="1"/>
  <c r="M33" i="2332" s="1"/>
  <c r="N33" i="2332" s="1"/>
  <c r="I33" i="2332"/>
  <c r="H33" i="2332"/>
  <c r="K31" i="2332"/>
  <c r="L31" i="2332" s="1"/>
  <c r="M31" i="2332" s="1"/>
  <c r="N31" i="2332" s="1"/>
  <c r="I31" i="2332"/>
  <c r="H31" i="2332" s="1"/>
  <c r="K29" i="2332"/>
  <c r="L29" i="2332" s="1"/>
  <c r="M29" i="2332" s="1"/>
  <c r="N29" i="2332" s="1"/>
  <c r="I29" i="2332"/>
  <c r="H29" i="2332"/>
  <c r="K27" i="2332"/>
  <c r="L27" i="2332" s="1"/>
  <c r="M27" i="2332" s="1"/>
  <c r="N27" i="2332" s="1"/>
  <c r="I27" i="2332"/>
  <c r="H27" i="2332"/>
  <c r="K25" i="2332"/>
  <c r="L25" i="2332" s="1"/>
  <c r="M25" i="2332" s="1"/>
  <c r="N25" i="2332" s="1"/>
  <c r="I25" i="2332"/>
  <c r="H25" i="2332"/>
  <c r="K23" i="2332"/>
  <c r="L23" i="2332" s="1"/>
  <c r="M23" i="2332" s="1"/>
  <c r="N23" i="2332" s="1"/>
  <c r="I23" i="2332"/>
  <c r="H23" i="2332"/>
  <c r="K21" i="2332"/>
  <c r="L21" i="2332" s="1"/>
  <c r="M21" i="2332" s="1"/>
  <c r="N21" i="2332" s="1"/>
  <c r="I21" i="2332"/>
  <c r="H21" i="2332"/>
  <c r="K19" i="2332"/>
  <c r="L19" i="2332" s="1"/>
  <c r="M19" i="2332" s="1"/>
  <c r="N19" i="2332" s="1"/>
  <c r="I19" i="2332"/>
  <c r="H19" i="2332"/>
  <c r="K17" i="2332"/>
  <c r="L17" i="2332" s="1"/>
  <c r="M17" i="2332" s="1"/>
  <c r="N17" i="2332" s="1"/>
  <c r="I17" i="2332"/>
  <c r="H17" i="2332"/>
  <c r="K15" i="2332"/>
  <c r="L15" i="2332" s="1"/>
  <c r="M15" i="2332" s="1"/>
  <c r="N15" i="2332" s="1"/>
  <c r="I15" i="2332"/>
  <c r="H15" i="2332"/>
  <c r="K13" i="2332"/>
  <c r="L13" i="2332" s="1"/>
  <c r="M13" i="2332" s="1"/>
  <c r="N13" i="2332" s="1"/>
  <c r="I13" i="2332"/>
  <c r="H13" i="2332"/>
  <c r="K11" i="2332"/>
  <c r="L11" i="2332" s="1"/>
  <c r="M11" i="2332" s="1"/>
  <c r="N11" i="2332" s="1"/>
  <c r="I11" i="2332"/>
  <c r="H11" i="2332"/>
  <c r="K9" i="2332"/>
  <c r="L9" i="2332" s="1"/>
  <c r="M9" i="2332" s="1"/>
  <c r="N9" i="2332" s="1"/>
  <c r="I9" i="2332"/>
  <c r="H9" i="2332" s="1"/>
  <c r="K7" i="2332"/>
  <c r="L7" i="2332" s="1"/>
  <c r="M7" i="2332" s="1"/>
  <c r="N7" i="2332" s="1"/>
  <c r="I7" i="2332"/>
  <c r="H7" i="2332"/>
  <c r="K5" i="2332"/>
  <c r="L5" i="2332" s="1"/>
  <c r="M5" i="2332" s="1"/>
  <c r="N5" i="2332" s="1"/>
  <c r="I5" i="2332"/>
  <c r="H5" i="2332"/>
  <c r="K3" i="2332"/>
  <c r="L3" i="2332" s="1"/>
  <c r="M3" i="2332" s="1"/>
  <c r="N3" i="2332" s="1"/>
  <c r="I3" i="2332"/>
  <c r="H3" i="2332"/>
  <c r="K63" i="2307"/>
  <c r="L63" i="2307" s="1"/>
  <c r="M63" i="2307" s="1"/>
  <c r="N63" i="2307" s="1"/>
  <c r="I63" i="2307"/>
  <c r="H63" i="2307" s="1"/>
  <c r="L25" i="2331" l="1"/>
  <c r="H31" i="2331"/>
  <c r="I31" i="2331"/>
  <c r="K31" i="2331"/>
  <c r="L31" i="2331" s="1"/>
  <c r="M31" i="2331" s="1"/>
  <c r="K29" i="2331"/>
  <c r="L29" i="2331" s="1"/>
  <c r="M29" i="2331" s="1"/>
  <c r="I29" i="2331"/>
  <c r="H29" i="2331" s="1"/>
  <c r="K27" i="2331"/>
  <c r="L27" i="2331" s="1"/>
  <c r="M27" i="2331" s="1"/>
  <c r="I27" i="2331"/>
  <c r="H27" i="2331"/>
  <c r="K25" i="2331"/>
  <c r="I25" i="2331"/>
  <c r="H25" i="2331" s="1"/>
  <c r="K23" i="2331"/>
  <c r="L23" i="2331" s="1"/>
  <c r="M23" i="2331" s="1"/>
  <c r="I23" i="2331"/>
  <c r="H23" i="2331"/>
  <c r="K19" i="2331"/>
  <c r="L19" i="2331" s="1"/>
  <c r="M19" i="2331" s="1"/>
  <c r="I19" i="2331"/>
  <c r="H19" i="2331" s="1"/>
  <c r="K17" i="2331"/>
  <c r="L17" i="2331" s="1"/>
  <c r="M17" i="2331" s="1"/>
  <c r="I17" i="2331"/>
  <c r="H17" i="2331"/>
  <c r="K11" i="2331"/>
  <c r="L11" i="2331" s="1"/>
  <c r="M11" i="2331" s="1"/>
  <c r="I11" i="2331"/>
  <c r="H11" i="2331" s="1"/>
  <c r="K9" i="2331"/>
  <c r="L9" i="2331" s="1"/>
  <c r="M9" i="2331" s="1"/>
  <c r="I9" i="2331"/>
  <c r="H9" i="2331" s="1"/>
  <c r="H5" i="2331"/>
  <c r="I5" i="2331"/>
  <c r="M5" i="2331"/>
  <c r="L5" i="2331"/>
  <c r="K5" i="2331"/>
  <c r="M3" i="2331"/>
  <c r="L3" i="2331"/>
  <c r="K3" i="2331"/>
  <c r="H3" i="2331"/>
  <c r="I3" i="2331"/>
  <c r="K15" i="2331"/>
  <c r="L15" i="2331" s="1"/>
  <c r="M15" i="2331" s="1"/>
  <c r="I15" i="2331"/>
  <c r="H15" i="2331" s="1"/>
  <c r="K13" i="2331"/>
  <c r="L13" i="2331" s="1"/>
  <c r="M13" i="2331" s="1"/>
  <c r="I13" i="2331"/>
  <c r="H13" i="2331" s="1"/>
  <c r="K7" i="2331"/>
  <c r="L7" i="2331" s="1"/>
  <c r="M7" i="2331" s="1"/>
  <c r="I7" i="2331"/>
  <c r="H7" i="2331" s="1"/>
  <c r="H31" i="2330"/>
  <c r="M31" i="2330"/>
  <c r="L31" i="2330"/>
  <c r="K31" i="2330"/>
  <c r="I31" i="2330"/>
  <c r="K29" i="2330"/>
  <c r="L29" i="2330" s="1"/>
  <c r="M29" i="2330" s="1"/>
  <c r="I29" i="2330"/>
  <c r="H29" i="2330" s="1"/>
  <c r="L27" i="2330"/>
  <c r="M27" i="2330" s="1"/>
  <c r="K27" i="2330"/>
  <c r="I27" i="2330"/>
  <c r="H27" i="2330" s="1"/>
  <c r="K25" i="2330"/>
  <c r="L25" i="2330" s="1"/>
  <c r="M25" i="2330" s="1"/>
  <c r="I25" i="2330"/>
  <c r="H25" i="2330" s="1"/>
  <c r="K23" i="2330"/>
  <c r="L23" i="2330" s="1"/>
  <c r="M23" i="2330" s="1"/>
  <c r="H23" i="2330"/>
  <c r="I23" i="2330"/>
  <c r="K19" i="2330"/>
  <c r="L19" i="2330" s="1"/>
  <c r="M19" i="2330" s="1"/>
  <c r="I19" i="2330"/>
  <c r="H19" i="2330" s="1"/>
  <c r="K21" i="2330"/>
  <c r="L21" i="2330" s="1"/>
  <c r="M21" i="2330" s="1"/>
  <c r="I21" i="2330"/>
  <c r="H21" i="2330" s="1"/>
  <c r="K9" i="2330"/>
  <c r="L9" i="2330" s="1"/>
  <c r="M9" i="2330" s="1"/>
  <c r="I9" i="2330"/>
  <c r="H9" i="2330" s="1"/>
  <c r="K5" i="2330"/>
  <c r="L5" i="2330" s="1"/>
  <c r="M5" i="2330" s="1"/>
  <c r="I5" i="2330"/>
  <c r="H5" i="2330" s="1"/>
  <c r="K17" i="2330"/>
  <c r="L17" i="2330" s="1"/>
  <c r="M17" i="2330" s="1"/>
  <c r="I17" i="2330"/>
  <c r="H17" i="2330" s="1"/>
  <c r="K15" i="2330"/>
  <c r="L15" i="2330" s="1"/>
  <c r="M15" i="2330" s="1"/>
  <c r="I15" i="2330"/>
  <c r="H15" i="2330"/>
  <c r="K13" i="2330"/>
  <c r="L13" i="2330" s="1"/>
  <c r="M13" i="2330" s="1"/>
  <c r="I13" i="2330"/>
  <c r="H13" i="2330" s="1"/>
  <c r="K11" i="2330"/>
  <c r="L11" i="2330" s="1"/>
  <c r="M11" i="2330" s="1"/>
  <c r="I11" i="2330"/>
  <c r="H11" i="2330" s="1"/>
  <c r="K7" i="2330"/>
  <c r="L7" i="2330" s="1"/>
  <c r="M7" i="2330" s="1"/>
  <c r="I7" i="2330"/>
  <c r="H7" i="2330"/>
  <c r="K3" i="2330"/>
  <c r="L3" i="2330" s="1"/>
  <c r="M3" i="2330" s="1"/>
  <c r="I3" i="2330"/>
  <c r="H3" i="2330" s="1"/>
  <c r="N21" i="2329"/>
  <c r="M21" i="2329"/>
  <c r="L21" i="2329"/>
  <c r="K21" i="2329"/>
  <c r="H21" i="2329"/>
  <c r="I21" i="2329"/>
  <c r="M11" i="2329"/>
  <c r="K11" i="2329"/>
  <c r="L11" i="2329" s="1"/>
  <c r="H11" i="2329"/>
  <c r="I11" i="2329"/>
  <c r="K25" i="2329"/>
  <c r="L25" i="2329" s="1"/>
  <c r="M25" i="2329" s="1"/>
  <c r="N25" i="2329" s="1"/>
  <c r="I25" i="2329"/>
  <c r="H25" i="2329"/>
  <c r="K23" i="2329"/>
  <c r="L23" i="2329" s="1"/>
  <c r="M23" i="2329" s="1"/>
  <c r="N23" i="2329" s="1"/>
  <c r="I23" i="2329"/>
  <c r="H23" i="2329"/>
  <c r="K19" i="2329"/>
  <c r="L19" i="2329" s="1"/>
  <c r="M19" i="2329" s="1"/>
  <c r="N19" i="2329" s="1"/>
  <c r="I19" i="2329"/>
  <c r="H19" i="2329" s="1"/>
  <c r="K17" i="2329"/>
  <c r="L17" i="2329" s="1"/>
  <c r="M17" i="2329" s="1"/>
  <c r="N17" i="2329" s="1"/>
  <c r="I17" i="2329"/>
  <c r="H17" i="2329" s="1"/>
  <c r="K15" i="2329"/>
  <c r="L15" i="2329" s="1"/>
  <c r="M15" i="2329" s="1"/>
  <c r="N15" i="2329" s="1"/>
  <c r="I15" i="2329"/>
  <c r="H15" i="2329"/>
  <c r="K13" i="2329"/>
  <c r="L13" i="2329" s="1"/>
  <c r="M13" i="2329" s="1"/>
  <c r="N13" i="2329" s="1"/>
  <c r="I13" i="2329"/>
  <c r="H13" i="2329"/>
  <c r="K9" i="2329"/>
  <c r="L9" i="2329" s="1"/>
  <c r="M9" i="2329" s="1"/>
  <c r="N9" i="2329" s="1"/>
  <c r="I9" i="2329"/>
  <c r="H9" i="2329"/>
  <c r="K7" i="2329"/>
  <c r="L7" i="2329" s="1"/>
  <c r="M7" i="2329" s="1"/>
  <c r="N7" i="2329" s="1"/>
  <c r="I7" i="2329"/>
  <c r="H7" i="2329"/>
  <c r="K5" i="2329"/>
  <c r="L5" i="2329" s="1"/>
  <c r="M5" i="2329" s="1"/>
  <c r="N5" i="2329" s="1"/>
  <c r="I5" i="2329"/>
  <c r="H5" i="2329"/>
  <c r="K3" i="2329"/>
  <c r="L3" i="2329" s="1"/>
  <c r="M3" i="2329" s="1"/>
  <c r="N3" i="2329" s="1"/>
  <c r="I3" i="2329"/>
  <c r="H3" i="2329"/>
  <c r="K35" i="2328"/>
  <c r="L35" i="2328" s="1"/>
  <c r="M35" i="2328" s="1"/>
  <c r="N35" i="2328" s="1"/>
  <c r="I35" i="2328"/>
  <c r="H35" i="2328" s="1"/>
  <c r="K33" i="2328"/>
  <c r="L33" i="2328" s="1"/>
  <c r="M33" i="2328" s="1"/>
  <c r="N33" i="2328" s="1"/>
  <c r="I33" i="2328"/>
  <c r="H33" i="2328" s="1"/>
  <c r="K31" i="2328"/>
  <c r="L31" i="2328" s="1"/>
  <c r="M31" i="2328" s="1"/>
  <c r="N31" i="2328" s="1"/>
  <c r="I31" i="2328"/>
  <c r="H31" i="2328" s="1"/>
  <c r="K29" i="2328"/>
  <c r="L29" i="2328" s="1"/>
  <c r="M29" i="2328" s="1"/>
  <c r="N29" i="2328" s="1"/>
  <c r="I29" i="2328"/>
  <c r="H29" i="2328" s="1"/>
  <c r="K27" i="2328"/>
  <c r="L27" i="2328" s="1"/>
  <c r="M27" i="2328" s="1"/>
  <c r="N27" i="2328" s="1"/>
  <c r="I27" i="2328"/>
  <c r="H27" i="2328" s="1"/>
  <c r="K23" i="2328"/>
  <c r="L23" i="2328" s="1"/>
  <c r="M23" i="2328" s="1"/>
  <c r="N23" i="2328" s="1"/>
  <c r="I23" i="2328"/>
  <c r="H23" i="2328" s="1"/>
  <c r="I3" i="2328"/>
  <c r="H3" i="2328" s="1"/>
  <c r="K25" i="2328"/>
  <c r="L25" i="2328" s="1"/>
  <c r="M25" i="2328" s="1"/>
  <c r="N25" i="2328" s="1"/>
  <c r="I25" i="2328"/>
  <c r="H25" i="2328" s="1"/>
  <c r="K21" i="2328"/>
  <c r="L21" i="2328" s="1"/>
  <c r="M21" i="2328" s="1"/>
  <c r="N21" i="2328" s="1"/>
  <c r="I21" i="2328"/>
  <c r="H21" i="2328" s="1"/>
  <c r="K19" i="2328"/>
  <c r="L19" i="2328" s="1"/>
  <c r="M19" i="2328" s="1"/>
  <c r="N19" i="2328" s="1"/>
  <c r="I19" i="2328"/>
  <c r="H19" i="2328"/>
  <c r="K17" i="2328"/>
  <c r="L17" i="2328" s="1"/>
  <c r="M17" i="2328" s="1"/>
  <c r="N17" i="2328" s="1"/>
  <c r="I17" i="2328"/>
  <c r="H17" i="2328"/>
  <c r="K15" i="2328"/>
  <c r="L15" i="2328" s="1"/>
  <c r="M15" i="2328" s="1"/>
  <c r="N15" i="2328" s="1"/>
  <c r="I15" i="2328"/>
  <c r="H15" i="2328" s="1"/>
  <c r="K13" i="2328"/>
  <c r="L13" i="2328" s="1"/>
  <c r="M13" i="2328" s="1"/>
  <c r="N13" i="2328" s="1"/>
  <c r="I13" i="2328"/>
  <c r="H13" i="2328"/>
  <c r="K11" i="2328"/>
  <c r="I11" i="2328"/>
  <c r="H11" i="2328" s="1"/>
  <c r="K9" i="2328"/>
  <c r="L9" i="2328" s="1"/>
  <c r="M9" i="2328" s="1"/>
  <c r="N9" i="2328" s="1"/>
  <c r="I9" i="2328"/>
  <c r="H9" i="2328"/>
  <c r="K7" i="2328"/>
  <c r="L7" i="2328" s="1"/>
  <c r="M7" i="2328" s="1"/>
  <c r="N7" i="2328" s="1"/>
  <c r="I7" i="2328"/>
  <c r="H7" i="2328" s="1"/>
  <c r="K5" i="2328"/>
  <c r="L5" i="2328" s="1"/>
  <c r="M5" i="2328" s="1"/>
  <c r="N5" i="2328" s="1"/>
  <c r="I5" i="2328"/>
  <c r="H5" i="2328" s="1"/>
  <c r="K3" i="2328"/>
  <c r="L3" i="2328" s="1"/>
  <c r="M3" i="2328" s="1"/>
  <c r="N3" i="2328" s="1"/>
  <c r="K3" i="2327"/>
  <c r="L3" i="2327" s="1"/>
  <c r="M3" i="2327" s="1"/>
  <c r="I3" i="2327"/>
  <c r="H3" i="2327" s="1"/>
  <c r="K25" i="2327"/>
  <c r="L25" i="2327" s="1"/>
  <c r="M25" i="2327" s="1"/>
  <c r="I25" i="2327"/>
  <c r="H25" i="2327" s="1"/>
  <c r="K21" i="2327"/>
  <c r="L21" i="2327" s="1"/>
  <c r="M21" i="2327" s="1"/>
  <c r="I21" i="2327"/>
  <c r="H21" i="2327" s="1"/>
  <c r="K9" i="2327"/>
  <c r="L9" i="2327" s="1"/>
  <c r="M9" i="2327" s="1"/>
  <c r="I9" i="2327"/>
  <c r="H9" i="2327" s="1"/>
  <c r="K5" i="2327"/>
  <c r="L5" i="2327" s="1"/>
  <c r="M5" i="2327" s="1"/>
  <c r="I5" i="2327"/>
  <c r="H5" i="2327" s="1"/>
  <c r="K23" i="2327"/>
  <c r="L23" i="2327" s="1"/>
  <c r="M23" i="2327" s="1"/>
  <c r="I23" i="2327"/>
  <c r="H23" i="2327" s="1"/>
  <c r="K17" i="2327"/>
  <c r="L17" i="2327" s="1"/>
  <c r="M17" i="2327" s="1"/>
  <c r="I17" i="2327"/>
  <c r="H17" i="2327" s="1"/>
  <c r="K15" i="2327"/>
  <c r="L15" i="2327" s="1"/>
  <c r="M15" i="2327" s="1"/>
  <c r="I15" i="2327"/>
  <c r="H15" i="2327" s="1"/>
  <c r="K13" i="2327"/>
  <c r="L13" i="2327" s="1"/>
  <c r="M13" i="2327" s="1"/>
  <c r="I13" i="2327"/>
  <c r="H13" i="2327" s="1"/>
  <c r="K7" i="2327"/>
  <c r="L7" i="2327" s="1"/>
  <c r="M7" i="2327" s="1"/>
  <c r="I7" i="2327"/>
  <c r="H7" i="2327" s="1"/>
  <c r="L17" i="2326"/>
  <c r="K17" i="2326"/>
  <c r="K23" i="2326"/>
  <c r="L23" i="2326" s="1"/>
  <c r="M23" i="2326" s="1"/>
  <c r="M21" i="2326"/>
  <c r="I23" i="2326"/>
  <c r="H23" i="2326" s="1"/>
  <c r="K21" i="2326"/>
  <c r="L21" i="2326" s="1"/>
  <c r="I21" i="2326"/>
  <c r="H21" i="2326" s="1"/>
  <c r="K19" i="2326"/>
  <c r="L19" i="2326" s="1"/>
  <c r="M19" i="2326" s="1"/>
  <c r="I19" i="2326"/>
  <c r="H19" i="2326"/>
  <c r="I17" i="2326"/>
  <c r="H17" i="2326" s="1"/>
  <c r="K15" i="2326"/>
  <c r="L15" i="2326" s="1"/>
  <c r="M15" i="2326" s="1"/>
  <c r="I15" i="2326"/>
  <c r="H15" i="2326"/>
  <c r="K13" i="2326"/>
  <c r="L13" i="2326" s="1"/>
  <c r="M13" i="2326" s="1"/>
  <c r="I13" i="2326"/>
  <c r="H13" i="2326" s="1"/>
  <c r="K11" i="2326"/>
  <c r="L11" i="2326" s="1"/>
  <c r="M11" i="2326" s="1"/>
  <c r="I11" i="2326"/>
  <c r="H11" i="2326"/>
  <c r="K9" i="2326"/>
  <c r="L9" i="2326" s="1"/>
  <c r="M9" i="2326" s="1"/>
  <c r="I9" i="2326"/>
  <c r="H9" i="2326"/>
  <c r="K7" i="2326"/>
  <c r="L7" i="2326" s="1"/>
  <c r="M7" i="2326" s="1"/>
  <c r="I7" i="2326"/>
  <c r="H7" i="2326"/>
  <c r="K5" i="2326"/>
  <c r="L5" i="2326" s="1"/>
  <c r="M5" i="2326" s="1"/>
  <c r="I5" i="2326"/>
  <c r="H5" i="2326"/>
  <c r="K3" i="2326"/>
  <c r="L3" i="2326" s="1"/>
  <c r="M3" i="2326" s="1"/>
  <c r="I3" i="2326"/>
  <c r="H3" i="2326"/>
  <c r="M25" i="2331" l="1"/>
  <c r="N11" i="2329"/>
  <c r="L11" i="2328"/>
  <c r="M11" i="2328" s="1"/>
  <c r="N11" i="2328" s="1"/>
  <c r="M17" i="2326"/>
  <c r="K33" i="2325"/>
  <c r="L33" i="2325" s="1"/>
  <c r="M33" i="2325" s="1"/>
  <c r="I33" i="2325"/>
  <c r="H33" i="2325" s="1"/>
  <c r="K31" i="2325"/>
  <c r="L31" i="2325" s="1"/>
  <c r="M31" i="2325" s="1"/>
  <c r="I31" i="2325"/>
  <c r="H31" i="2325"/>
  <c r="K29" i="2325"/>
  <c r="L29" i="2325" s="1"/>
  <c r="M29" i="2325" s="1"/>
  <c r="I29" i="2325"/>
  <c r="H29" i="2325" s="1"/>
  <c r="K35" i="2325"/>
  <c r="L35" i="2325" s="1"/>
  <c r="M35" i="2325" s="1"/>
  <c r="I35" i="2325"/>
  <c r="H35" i="2325"/>
  <c r="K27" i="2325"/>
  <c r="L27" i="2325" s="1"/>
  <c r="M27" i="2325" s="1"/>
  <c r="I27" i="2325"/>
  <c r="H27" i="2325" s="1"/>
  <c r="K25" i="2325"/>
  <c r="L25" i="2325" s="1"/>
  <c r="M25" i="2325" s="1"/>
  <c r="I25" i="2325"/>
  <c r="H25" i="2325" s="1"/>
  <c r="K21" i="2325"/>
  <c r="L21" i="2325" s="1"/>
  <c r="M21" i="2325" s="1"/>
  <c r="I21" i="2325"/>
  <c r="H21" i="2325" s="1"/>
  <c r="K13" i="2325"/>
  <c r="L13" i="2325" s="1"/>
  <c r="M13" i="2325" s="1"/>
  <c r="K9" i="2325"/>
  <c r="L9" i="2325" s="1"/>
  <c r="M9" i="2325" s="1"/>
  <c r="I9" i="2325"/>
  <c r="H9" i="2325" s="1"/>
  <c r="I3" i="2325"/>
  <c r="H3" i="2325" s="1"/>
  <c r="K3" i="2325"/>
  <c r="L3" i="2325" s="1"/>
  <c r="M3" i="2325" s="1"/>
  <c r="K19" i="2325"/>
  <c r="L19" i="2325" s="1"/>
  <c r="M19" i="2325" s="1"/>
  <c r="I19" i="2325"/>
  <c r="H19" i="2325" s="1"/>
  <c r="K17" i="2325"/>
  <c r="L17" i="2325" s="1"/>
  <c r="M17" i="2325" s="1"/>
  <c r="I17" i="2325"/>
  <c r="H17" i="2325" s="1"/>
  <c r="K15" i="2325"/>
  <c r="L15" i="2325" s="1"/>
  <c r="M15" i="2325" s="1"/>
  <c r="I15" i="2325"/>
  <c r="H15" i="2325" s="1"/>
  <c r="I13" i="2325"/>
  <c r="H13" i="2325" s="1"/>
  <c r="K7" i="2325"/>
  <c r="L7" i="2325" s="1"/>
  <c r="M7" i="2325" s="1"/>
  <c r="I7" i="2325"/>
  <c r="H7" i="2325" s="1"/>
  <c r="K5" i="2325"/>
  <c r="L5" i="2325" s="1"/>
  <c r="M5" i="2325" s="1"/>
  <c r="I5" i="2325"/>
  <c r="H5" i="2325" s="1"/>
  <c r="K23" i="2324"/>
  <c r="L23" i="2324" s="1"/>
  <c r="M23" i="2324" s="1"/>
  <c r="I23" i="2324"/>
  <c r="H23" i="2324" s="1"/>
  <c r="K21" i="2324"/>
  <c r="L21" i="2324" s="1"/>
  <c r="M21" i="2324" s="1"/>
  <c r="I21" i="2324"/>
  <c r="H21" i="2324" s="1"/>
  <c r="K19" i="2324"/>
  <c r="L19" i="2324" s="1"/>
  <c r="M19" i="2324" s="1"/>
  <c r="I19" i="2324"/>
  <c r="H19" i="2324" s="1"/>
  <c r="K11" i="2324"/>
  <c r="L11" i="2324" s="1"/>
  <c r="K5" i="2324" l="1"/>
  <c r="L5" i="2324" s="1"/>
  <c r="M5" i="2324" s="1"/>
  <c r="I5" i="2324"/>
  <c r="H5" i="2324" s="1"/>
  <c r="K3" i="2324"/>
  <c r="L3" i="2324" s="1"/>
  <c r="M3" i="2324" s="1"/>
  <c r="I3" i="2324"/>
  <c r="H3" i="2324" s="1"/>
  <c r="K17" i="2324"/>
  <c r="L17" i="2324" s="1"/>
  <c r="M17" i="2324" s="1"/>
  <c r="I17" i="2324"/>
  <c r="H17" i="2324" s="1"/>
  <c r="K15" i="2324"/>
  <c r="L15" i="2324" s="1"/>
  <c r="M15" i="2324" s="1"/>
  <c r="I15" i="2324"/>
  <c r="H15" i="2324" s="1"/>
  <c r="K13" i="2324"/>
  <c r="L13" i="2324" s="1"/>
  <c r="M13" i="2324" s="1"/>
  <c r="I13" i="2324"/>
  <c r="H13" i="2324"/>
  <c r="M11" i="2324"/>
  <c r="I11" i="2324"/>
  <c r="H11" i="2324"/>
  <c r="K7" i="2324"/>
  <c r="L7" i="2324" s="1"/>
  <c r="M7" i="2324" s="1"/>
  <c r="I7" i="2324"/>
  <c r="H7" i="2324"/>
  <c r="K31" i="2323"/>
  <c r="L31" i="2323" s="1"/>
  <c r="M31" i="2323" s="1"/>
  <c r="N31" i="2323" s="1"/>
  <c r="I31" i="2323"/>
  <c r="H31" i="2323"/>
  <c r="N27" i="2323"/>
  <c r="M27" i="2323"/>
  <c r="L27" i="2323"/>
  <c r="K27" i="2323"/>
  <c r="H27" i="2323"/>
  <c r="I27" i="2323"/>
  <c r="N25" i="2323"/>
  <c r="M25" i="2323"/>
  <c r="L25" i="2323"/>
  <c r="K25" i="2323"/>
  <c r="H25" i="2323"/>
  <c r="I25" i="2323"/>
  <c r="N29" i="2323"/>
  <c r="M29" i="2323"/>
  <c r="L29" i="2323"/>
  <c r="K29" i="2323"/>
  <c r="H29" i="2323"/>
  <c r="I29" i="2323"/>
  <c r="N19" i="2323"/>
  <c r="M19" i="2323"/>
  <c r="L19" i="2323"/>
  <c r="K19" i="2323"/>
  <c r="H19" i="2323"/>
  <c r="I19" i="2323"/>
  <c r="N17" i="2323"/>
  <c r="M17" i="2323"/>
  <c r="L17" i="2323"/>
  <c r="K17" i="2323"/>
  <c r="H17" i="2323"/>
  <c r="I17" i="2323"/>
  <c r="N11" i="2323"/>
  <c r="M11" i="2323"/>
  <c r="L11" i="2323"/>
  <c r="H11" i="2323"/>
  <c r="I11" i="2323"/>
  <c r="H29" i="2232"/>
  <c r="I29" i="2232"/>
  <c r="K33" i="2323"/>
  <c r="L33" i="2323" s="1"/>
  <c r="M33" i="2323" s="1"/>
  <c r="N33" i="2323" s="1"/>
  <c r="I33" i="2323"/>
  <c r="H33" i="2323"/>
  <c r="K21" i="2323"/>
  <c r="L21" i="2323" s="1"/>
  <c r="M21" i="2323" s="1"/>
  <c r="N21" i="2323" s="1"/>
  <c r="I21" i="2323"/>
  <c r="H21" i="2323" s="1"/>
  <c r="K15" i="2323"/>
  <c r="L15" i="2323" s="1"/>
  <c r="M15" i="2323" s="1"/>
  <c r="N15" i="2323" s="1"/>
  <c r="I15" i="2323"/>
  <c r="H15" i="2323" s="1"/>
  <c r="L13" i="2323"/>
  <c r="M13" i="2323" s="1"/>
  <c r="N13" i="2323" s="1"/>
  <c r="K13" i="2323"/>
  <c r="I13" i="2323"/>
  <c r="H13" i="2323"/>
  <c r="K11" i="2323"/>
  <c r="K9" i="2323"/>
  <c r="L9" i="2323" s="1"/>
  <c r="M9" i="2323" s="1"/>
  <c r="N9" i="2323" s="1"/>
  <c r="I9" i="2323"/>
  <c r="H9" i="2323"/>
  <c r="K7" i="2323"/>
  <c r="L7" i="2323" s="1"/>
  <c r="M7" i="2323" s="1"/>
  <c r="N7" i="2323" s="1"/>
  <c r="I7" i="2323"/>
  <c r="H7" i="2323"/>
  <c r="K5" i="2323"/>
  <c r="L5" i="2323" s="1"/>
  <c r="M5" i="2323" s="1"/>
  <c r="N5" i="2323" s="1"/>
  <c r="I5" i="2323"/>
  <c r="H5" i="2323" s="1"/>
  <c r="K3" i="2323"/>
  <c r="L3" i="2323" s="1"/>
  <c r="M3" i="2323" s="1"/>
  <c r="N3" i="2323" s="1"/>
  <c r="I3" i="2323"/>
  <c r="H3" i="2323" s="1"/>
  <c r="K41" i="2320"/>
  <c r="L41" i="2320" s="1"/>
  <c r="M41" i="2320" s="1"/>
  <c r="N41" i="2320" s="1"/>
  <c r="I41" i="2320"/>
  <c r="H41" i="2320" s="1"/>
  <c r="K39" i="2320"/>
  <c r="L39" i="2320" s="1"/>
  <c r="M39" i="2320" s="1"/>
  <c r="N39" i="2320" s="1"/>
  <c r="I39" i="2320"/>
  <c r="H39" i="2320"/>
  <c r="K23" i="2320"/>
  <c r="L23" i="2320" s="1"/>
  <c r="M23" i="2320" s="1"/>
  <c r="N23" i="2320" s="1"/>
  <c r="I23" i="2320"/>
  <c r="H23" i="2320" s="1"/>
  <c r="K21" i="2320"/>
  <c r="L21" i="2320" s="1"/>
  <c r="M21" i="2320" s="1"/>
  <c r="N21" i="2320" s="1"/>
  <c r="H21" i="2320"/>
  <c r="I21" i="2320"/>
  <c r="I17" i="2320"/>
  <c r="H17" i="2320" s="1"/>
  <c r="K49" i="2319"/>
  <c r="L49" i="2319" s="1"/>
  <c r="M49" i="2319" s="1"/>
  <c r="N49" i="2319" s="1"/>
  <c r="I49" i="2319"/>
  <c r="H49" i="2319" s="1"/>
  <c r="K47" i="2319"/>
  <c r="L47" i="2319" s="1"/>
  <c r="M47" i="2319" s="1"/>
  <c r="N47" i="2319" s="1"/>
  <c r="I47" i="2319"/>
  <c r="H47" i="2319" s="1"/>
  <c r="K37" i="2320"/>
  <c r="L37" i="2320" s="1"/>
  <c r="M37" i="2320" s="1"/>
  <c r="N37" i="2320" s="1"/>
  <c r="I37" i="2320"/>
  <c r="H37" i="2320"/>
  <c r="K27" i="2320"/>
  <c r="L27" i="2320" s="1"/>
  <c r="M27" i="2320" s="1"/>
  <c r="N27" i="2320" s="1"/>
  <c r="I27" i="2320"/>
  <c r="H27" i="2320" s="1"/>
  <c r="K25" i="2320"/>
  <c r="L25" i="2320" s="1"/>
  <c r="M25" i="2320" s="1"/>
  <c r="N25" i="2320" s="1"/>
  <c r="I25" i="2320"/>
  <c r="H25" i="2320"/>
  <c r="K19" i="2320"/>
  <c r="L19" i="2320" s="1"/>
  <c r="M19" i="2320" s="1"/>
  <c r="N19" i="2320" s="1"/>
  <c r="I19" i="2320"/>
  <c r="H19" i="2320" s="1"/>
  <c r="K17" i="2320"/>
  <c r="L17" i="2320" s="1"/>
  <c r="M17" i="2320" s="1"/>
  <c r="N17" i="2320" s="1"/>
  <c r="K15" i="2320"/>
  <c r="L15" i="2320" s="1"/>
  <c r="M15" i="2320" s="1"/>
  <c r="N15" i="2320" s="1"/>
  <c r="I15" i="2320"/>
  <c r="H15" i="2320" s="1"/>
  <c r="K13" i="2320"/>
  <c r="L13" i="2320" s="1"/>
  <c r="M13" i="2320" s="1"/>
  <c r="N13" i="2320" s="1"/>
  <c r="I13" i="2320"/>
  <c r="H13" i="2320"/>
  <c r="K11" i="2320"/>
  <c r="L11" i="2320" s="1"/>
  <c r="M11" i="2320" s="1"/>
  <c r="N11" i="2320" s="1"/>
  <c r="I11" i="2320"/>
  <c r="H11" i="2320"/>
  <c r="K9" i="2320"/>
  <c r="L9" i="2320" s="1"/>
  <c r="M9" i="2320" s="1"/>
  <c r="N9" i="2320" s="1"/>
  <c r="I9" i="2320"/>
  <c r="H9" i="2320"/>
  <c r="K3" i="2320"/>
  <c r="L3" i="2320" s="1"/>
  <c r="M3" i="2320" s="1"/>
  <c r="N3" i="2320" s="1"/>
  <c r="I3" i="2320"/>
  <c r="H3" i="2320"/>
  <c r="K45" i="2319"/>
  <c r="L45" i="2319" s="1"/>
  <c r="M45" i="2319" s="1"/>
  <c r="N45" i="2319" s="1"/>
  <c r="I45" i="2319"/>
  <c r="H45" i="2319" s="1"/>
  <c r="H29" i="2319"/>
  <c r="I29" i="2319"/>
  <c r="K25" i="2319"/>
  <c r="L25" i="2319" s="1"/>
  <c r="M25" i="2319" s="1"/>
  <c r="N25" i="2319" s="1"/>
  <c r="K43" i="2319"/>
  <c r="L43" i="2319" s="1"/>
  <c r="M43" i="2319" s="1"/>
  <c r="N43" i="2319" s="1"/>
  <c r="I43" i="2319"/>
  <c r="H43" i="2319"/>
  <c r="K41" i="2319"/>
  <c r="L41" i="2319" s="1"/>
  <c r="M41" i="2319" s="1"/>
  <c r="N41" i="2319" s="1"/>
  <c r="I41" i="2319"/>
  <c r="H41" i="2319"/>
  <c r="K39" i="2319"/>
  <c r="L39" i="2319" s="1"/>
  <c r="M39" i="2319" s="1"/>
  <c r="N39" i="2319" s="1"/>
  <c r="I39" i="2319"/>
  <c r="H39" i="2319" s="1"/>
  <c r="K37" i="2319"/>
  <c r="L37" i="2319" s="1"/>
  <c r="M37" i="2319" s="1"/>
  <c r="N37" i="2319" s="1"/>
  <c r="I37" i="2319"/>
  <c r="H37" i="2319" s="1"/>
  <c r="K35" i="2319"/>
  <c r="L35" i="2319" s="1"/>
  <c r="M35" i="2319" s="1"/>
  <c r="N35" i="2319" s="1"/>
  <c r="I35" i="2319"/>
  <c r="H35" i="2319"/>
  <c r="K33" i="2319"/>
  <c r="L33" i="2319" s="1"/>
  <c r="I33" i="2319"/>
  <c r="H33" i="2319" s="1"/>
  <c r="K31" i="2319"/>
  <c r="L31" i="2319" s="1"/>
  <c r="M31" i="2319" s="1"/>
  <c r="N31" i="2319" s="1"/>
  <c r="I31" i="2319"/>
  <c r="H31" i="2319"/>
  <c r="K29" i="2319"/>
  <c r="K27" i="2319"/>
  <c r="L27" i="2319" s="1"/>
  <c r="M27" i="2319" s="1"/>
  <c r="N27" i="2319" s="1"/>
  <c r="I27" i="2319"/>
  <c r="H27" i="2319" s="1"/>
  <c r="I25" i="2319"/>
  <c r="H25" i="2319" s="1"/>
  <c r="K23" i="2319"/>
  <c r="L23" i="2319" s="1"/>
  <c r="M23" i="2319" s="1"/>
  <c r="N23" i="2319" s="1"/>
  <c r="I23" i="2319"/>
  <c r="H23" i="2319" s="1"/>
  <c r="K21" i="2319"/>
  <c r="L21" i="2319" s="1"/>
  <c r="M21" i="2319" s="1"/>
  <c r="N21" i="2319" s="1"/>
  <c r="I21" i="2319"/>
  <c r="H21" i="2319" s="1"/>
  <c r="K15" i="2319"/>
  <c r="L15" i="2319" s="1"/>
  <c r="M15" i="2319" s="1"/>
  <c r="N15" i="2319" s="1"/>
  <c r="I15" i="2319"/>
  <c r="H15" i="2319"/>
  <c r="K13" i="2319"/>
  <c r="L13" i="2319" s="1"/>
  <c r="M13" i="2319" s="1"/>
  <c r="N13" i="2319" s="1"/>
  <c r="I13" i="2319"/>
  <c r="H13" i="2319" s="1"/>
  <c r="L11" i="2319"/>
  <c r="M11" i="2319" s="1"/>
  <c r="N11" i="2319" s="1"/>
  <c r="K11" i="2319"/>
  <c r="I11" i="2319"/>
  <c r="H11" i="2319"/>
  <c r="K3" i="2319"/>
  <c r="L3" i="2319" s="1"/>
  <c r="M3" i="2319" s="1"/>
  <c r="N3" i="2319" s="1"/>
  <c r="I3" i="2319"/>
  <c r="H3" i="2319"/>
  <c r="N23" i="2318"/>
  <c r="M23" i="2318"/>
  <c r="L23" i="2318"/>
  <c r="K23" i="2318"/>
  <c r="H23" i="2318"/>
  <c r="I23" i="2318"/>
  <c r="K43" i="2318"/>
  <c r="L43" i="2318" s="1"/>
  <c r="M43" i="2318" s="1"/>
  <c r="N43" i="2318" s="1"/>
  <c r="I43" i="2318"/>
  <c r="H43" i="2318"/>
  <c r="K41" i="2318"/>
  <c r="L41" i="2318" s="1"/>
  <c r="M41" i="2318" s="1"/>
  <c r="N41" i="2318" s="1"/>
  <c r="I41" i="2318"/>
  <c r="H41" i="2318"/>
  <c r="K39" i="2318"/>
  <c r="L39" i="2318" s="1"/>
  <c r="M39" i="2318" s="1"/>
  <c r="N39" i="2318" s="1"/>
  <c r="I39" i="2318"/>
  <c r="H39" i="2318" s="1"/>
  <c r="K37" i="2318"/>
  <c r="L37" i="2318" s="1"/>
  <c r="M37" i="2318" s="1"/>
  <c r="N37" i="2318" s="1"/>
  <c r="I37" i="2318"/>
  <c r="H37" i="2318" s="1"/>
  <c r="K27" i="2318"/>
  <c r="L27" i="2318" s="1"/>
  <c r="M27" i="2318" s="1"/>
  <c r="N27" i="2318" s="1"/>
  <c r="I27" i="2318"/>
  <c r="H27" i="2318"/>
  <c r="M25" i="2318"/>
  <c r="N25" i="2318" s="1"/>
  <c r="L25" i="2318"/>
  <c r="K25" i="2318"/>
  <c r="I25" i="2318"/>
  <c r="H25" i="2318"/>
  <c r="K21" i="2318"/>
  <c r="L21" i="2318" s="1"/>
  <c r="M21" i="2318" s="1"/>
  <c r="N21" i="2318" s="1"/>
  <c r="I21" i="2318"/>
  <c r="H21" i="2318"/>
  <c r="K19" i="2318"/>
  <c r="L19" i="2318" s="1"/>
  <c r="M19" i="2318" s="1"/>
  <c r="N19" i="2318" s="1"/>
  <c r="I19" i="2318"/>
  <c r="H19" i="2318"/>
  <c r="K17" i="2318"/>
  <c r="L17" i="2318" s="1"/>
  <c r="M17" i="2318" s="1"/>
  <c r="N17" i="2318" s="1"/>
  <c r="I17" i="2318"/>
  <c r="H17" i="2318"/>
  <c r="K15" i="2318"/>
  <c r="L15" i="2318" s="1"/>
  <c r="M15" i="2318" s="1"/>
  <c r="N15" i="2318" s="1"/>
  <c r="I15" i="2318"/>
  <c r="H15" i="2318" s="1"/>
  <c r="K13" i="2318"/>
  <c r="L13" i="2318" s="1"/>
  <c r="M13" i="2318" s="1"/>
  <c r="N13" i="2318" s="1"/>
  <c r="I13" i="2318"/>
  <c r="H13" i="2318"/>
  <c r="K11" i="2318"/>
  <c r="L11" i="2318" s="1"/>
  <c r="M11" i="2318" s="1"/>
  <c r="N11" i="2318" s="1"/>
  <c r="I11" i="2318"/>
  <c r="H11" i="2318"/>
  <c r="K9" i="2318"/>
  <c r="L9" i="2318" s="1"/>
  <c r="M9" i="2318" s="1"/>
  <c r="N9" i="2318" s="1"/>
  <c r="I9" i="2318"/>
  <c r="H9" i="2318"/>
  <c r="K3" i="2318"/>
  <c r="L3" i="2318" s="1"/>
  <c r="M3" i="2318" s="1"/>
  <c r="N3" i="2318" s="1"/>
  <c r="I3" i="2318"/>
  <c r="H3" i="2318"/>
  <c r="K61" i="2316"/>
  <c r="L61" i="2316" s="1"/>
  <c r="M61" i="2316" s="1"/>
  <c r="N61" i="2316" s="1"/>
  <c r="I61" i="2316"/>
  <c r="H61" i="2316" s="1"/>
  <c r="I21" i="2317"/>
  <c r="K25" i="2317"/>
  <c r="L25" i="2317" s="1"/>
  <c r="M25" i="2317" s="1"/>
  <c r="N25" i="2317" s="1"/>
  <c r="I25" i="2317"/>
  <c r="H25" i="2317"/>
  <c r="K23" i="2317"/>
  <c r="L23" i="2317" s="1"/>
  <c r="M23" i="2317" s="1"/>
  <c r="N23" i="2317" s="1"/>
  <c r="I23" i="2317"/>
  <c r="H23" i="2317" s="1"/>
  <c r="K21" i="2317"/>
  <c r="L21" i="2317" s="1"/>
  <c r="M21" i="2317" s="1"/>
  <c r="N21" i="2317" s="1"/>
  <c r="H21" i="2317"/>
  <c r="K17" i="2317"/>
  <c r="L17" i="2317" s="1"/>
  <c r="M17" i="2317" s="1"/>
  <c r="N17" i="2317" s="1"/>
  <c r="I17" i="2317"/>
  <c r="H17" i="2317" s="1"/>
  <c r="K15" i="2317"/>
  <c r="L15" i="2317" s="1"/>
  <c r="M15" i="2317" s="1"/>
  <c r="N15" i="2317" s="1"/>
  <c r="I15" i="2317"/>
  <c r="H15" i="2317" s="1"/>
  <c r="K13" i="2317"/>
  <c r="L13" i="2317" s="1"/>
  <c r="M13" i="2317" s="1"/>
  <c r="N13" i="2317" s="1"/>
  <c r="I13" i="2317"/>
  <c r="H13" i="2317" s="1"/>
  <c r="K9" i="2317"/>
  <c r="L9" i="2317" s="1"/>
  <c r="M9" i="2317" s="1"/>
  <c r="N9" i="2317" s="1"/>
  <c r="I9" i="2317"/>
  <c r="H9" i="2317" s="1"/>
  <c r="K7" i="2317"/>
  <c r="L7" i="2317" s="1"/>
  <c r="M7" i="2317" s="1"/>
  <c r="N7" i="2317" s="1"/>
  <c r="I7" i="2317"/>
  <c r="H7" i="2317" s="1"/>
  <c r="K5" i="2317"/>
  <c r="L5" i="2317" s="1"/>
  <c r="M5" i="2317" s="1"/>
  <c r="N5" i="2317" s="1"/>
  <c r="I5" i="2317"/>
  <c r="H5" i="2317"/>
  <c r="K3" i="2317"/>
  <c r="L3" i="2317" s="1"/>
  <c r="M3" i="2317" s="1"/>
  <c r="N3" i="2317" s="1"/>
  <c r="I3" i="2317"/>
  <c r="H3" i="2317" s="1"/>
  <c r="K55" i="2316"/>
  <c r="L55" i="2316" s="1"/>
  <c r="M55" i="2316" s="1"/>
  <c r="N55" i="2316" s="1"/>
  <c r="I55" i="2316"/>
  <c r="H55" i="2316" s="1"/>
  <c r="K27" i="2316"/>
  <c r="L27" i="2316" s="1"/>
  <c r="M27" i="2316" s="1"/>
  <c r="N27" i="2316" s="1"/>
  <c r="I27" i="2316"/>
  <c r="H27" i="2316" s="1"/>
  <c r="K29" i="2316"/>
  <c r="L29" i="2316" s="1"/>
  <c r="M29" i="2316" s="1"/>
  <c r="N29" i="2316" s="1"/>
  <c r="I29" i="2316"/>
  <c r="H29" i="2316" s="1"/>
  <c r="K25" i="2316"/>
  <c r="L25" i="2316" s="1"/>
  <c r="M25" i="2316" s="1"/>
  <c r="N25" i="2316" s="1"/>
  <c r="I25" i="2316"/>
  <c r="H25" i="2316" s="1"/>
  <c r="I17" i="2316"/>
  <c r="H17" i="2316" s="1"/>
  <c r="K19" i="2316"/>
  <c r="L19" i="2316" s="1"/>
  <c r="M19" i="2316" s="1"/>
  <c r="N19" i="2316" s="1"/>
  <c r="I19" i="2316"/>
  <c r="H19" i="2316" s="1"/>
  <c r="K23" i="2316"/>
  <c r="L23" i="2316" s="1"/>
  <c r="M23" i="2316" s="1"/>
  <c r="N23" i="2316" s="1"/>
  <c r="I23" i="2316"/>
  <c r="H23" i="2316" s="1"/>
  <c r="K21" i="2316"/>
  <c r="L21" i="2316" s="1"/>
  <c r="M21" i="2316" s="1"/>
  <c r="N21" i="2316" s="1"/>
  <c r="I21" i="2316"/>
  <c r="H21" i="2316" s="1"/>
  <c r="K17" i="2316"/>
  <c r="L17" i="2316" s="1"/>
  <c r="M17" i="2316" s="1"/>
  <c r="N17" i="2316" s="1"/>
  <c r="K15" i="2316"/>
  <c r="L15" i="2316" s="1"/>
  <c r="M15" i="2316" s="1"/>
  <c r="N15" i="2316" s="1"/>
  <c r="I15" i="2316"/>
  <c r="H15" i="2316" s="1"/>
  <c r="K13" i="2316"/>
  <c r="L13" i="2316" s="1"/>
  <c r="M13" i="2316" s="1"/>
  <c r="N13" i="2316" s="1"/>
  <c r="I13" i="2316"/>
  <c r="H13" i="2316" s="1"/>
  <c r="K11" i="2316"/>
  <c r="L11" i="2316" s="1"/>
  <c r="M11" i="2316" s="1"/>
  <c r="N11" i="2316" s="1"/>
  <c r="I11" i="2316"/>
  <c r="H11" i="2316" s="1"/>
  <c r="K9" i="2316"/>
  <c r="L9" i="2316" s="1"/>
  <c r="M9" i="2316" s="1"/>
  <c r="N9" i="2316" s="1"/>
  <c r="I9" i="2316"/>
  <c r="H9" i="2316" s="1"/>
  <c r="I7" i="2316"/>
  <c r="K5" i="2316"/>
  <c r="L5" i="2316" s="1"/>
  <c r="M5" i="2316" s="1"/>
  <c r="N5" i="2316" s="1"/>
  <c r="I5" i="2316"/>
  <c r="H5" i="2316" s="1"/>
  <c r="K3" i="2316"/>
  <c r="L3" i="2316" s="1"/>
  <c r="M3" i="2316" s="1"/>
  <c r="N3" i="2316" s="1"/>
  <c r="I3" i="2316"/>
  <c r="H3" i="2316" s="1"/>
  <c r="N33" i="2316"/>
  <c r="K59" i="2316"/>
  <c r="L59" i="2316" s="1"/>
  <c r="M59" i="2316" s="1"/>
  <c r="N59" i="2316" s="1"/>
  <c r="I59" i="2316"/>
  <c r="H59" i="2316" s="1"/>
  <c r="K57" i="2316"/>
  <c r="L57" i="2316" s="1"/>
  <c r="M57" i="2316" s="1"/>
  <c r="N57" i="2316" s="1"/>
  <c r="I57" i="2316"/>
  <c r="H57" i="2316" s="1"/>
  <c r="K53" i="2316"/>
  <c r="L53" i="2316" s="1"/>
  <c r="M53" i="2316" s="1"/>
  <c r="N53" i="2316" s="1"/>
  <c r="I53" i="2316"/>
  <c r="H53" i="2316" s="1"/>
  <c r="K51" i="2316"/>
  <c r="L51" i="2316" s="1"/>
  <c r="M51" i="2316" s="1"/>
  <c r="N51" i="2316" s="1"/>
  <c r="I51" i="2316"/>
  <c r="H51" i="2316" s="1"/>
  <c r="K49" i="2316"/>
  <c r="L49" i="2316" s="1"/>
  <c r="M49" i="2316" s="1"/>
  <c r="N49" i="2316" s="1"/>
  <c r="I49" i="2316"/>
  <c r="H49" i="2316"/>
  <c r="K47" i="2316"/>
  <c r="L47" i="2316" s="1"/>
  <c r="M47" i="2316" s="1"/>
  <c r="N47" i="2316" s="1"/>
  <c r="I47" i="2316"/>
  <c r="H47" i="2316" s="1"/>
  <c r="K45" i="2316"/>
  <c r="L45" i="2316" s="1"/>
  <c r="M45" i="2316" s="1"/>
  <c r="N45" i="2316" s="1"/>
  <c r="I45" i="2316"/>
  <c r="H45" i="2316"/>
  <c r="K43" i="2316"/>
  <c r="L43" i="2316" s="1"/>
  <c r="M43" i="2316" s="1"/>
  <c r="N43" i="2316" s="1"/>
  <c r="I43" i="2316"/>
  <c r="H43" i="2316" s="1"/>
  <c r="K41" i="2316"/>
  <c r="L41" i="2316" s="1"/>
  <c r="M41" i="2316" s="1"/>
  <c r="N41" i="2316" s="1"/>
  <c r="I41" i="2316"/>
  <c r="H41" i="2316" s="1"/>
  <c r="K39" i="2316"/>
  <c r="L39" i="2316" s="1"/>
  <c r="M39" i="2316" s="1"/>
  <c r="N39" i="2316" s="1"/>
  <c r="I39" i="2316"/>
  <c r="H39" i="2316" s="1"/>
  <c r="K37" i="2316"/>
  <c r="L37" i="2316" s="1"/>
  <c r="M37" i="2316" s="1"/>
  <c r="N37" i="2316" s="1"/>
  <c r="I37" i="2316"/>
  <c r="H37" i="2316" s="1"/>
  <c r="K35" i="2316"/>
  <c r="L35" i="2316" s="1"/>
  <c r="M35" i="2316" s="1"/>
  <c r="N35" i="2316" s="1"/>
  <c r="I35" i="2316"/>
  <c r="H35" i="2316" s="1"/>
  <c r="K33" i="2316"/>
  <c r="L33" i="2316" s="1"/>
  <c r="M33" i="2316" s="1"/>
  <c r="I33" i="2316"/>
  <c r="H33" i="2316"/>
  <c r="K7" i="2316"/>
  <c r="L7" i="2316" s="1"/>
  <c r="M7" i="2316" s="1"/>
  <c r="N7" i="2316" s="1"/>
  <c r="H7" i="2316"/>
  <c r="K5" i="2314"/>
  <c r="L21" i="2314"/>
  <c r="M21" i="2314" s="1"/>
  <c r="K21" i="2314"/>
  <c r="L11" i="2314"/>
  <c r="M11" i="2314"/>
  <c r="K11" i="2314"/>
  <c r="L5" i="2314"/>
  <c r="M5" i="2314"/>
  <c r="H5" i="2314"/>
  <c r="I5" i="2314"/>
  <c r="K25" i="2314"/>
  <c r="L25" i="2314" s="1"/>
  <c r="M25" i="2314" s="1"/>
  <c r="I25" i="2314"/>
  <c r="H25" i="2314"/>
  <c r="L23" i="2314"/>
  <c r="M23" i="2314" s="1"/>
  <c r="K23" i="2314"/>
  <c r="I23" i="2314"/>
  <c r="H23" i="2314"/>
  <c r="I21" i="2314"/>
  <c r="H21" i="2314"/>
  <c r="K19" i="2314"/>
  <c r="L19" i="2314" s="1"/>
  <c r="M19" i="2314" s="1"/>
  <c r="I19" i="2314"/>
  <c r="H19" i="2314"/>
  <c r="L17" i="2314"/>
  <c r="M17" i="2314" s="1"/>
  <c r="H17" i="2314"/>
  <c r="K15" i="2314"/>
  <c r="L15" i="2314" s="1"/>
  <c r="M15" i="2314" s="1"/>
  <c r="I15" i="2314"/>
  <c r="H15" i="2314" s="1"/>
  <c r="K13" i="2314"/>
  <c r="L13" i="2314" s="1"/>
  <c r="M13" i="2314" s="1"/>
  <c r="I13" i="2314"/>
  <c r="H13" i="2314"/>
  <c r="I11" i="2314"/>
  <c r="H11" i="2314" s="1"/>
  <c r="K9" i="2314"/>
  <c r="L9" i="2314" s="1"/>
  <c r="M9" i="2314" s="1"/>
  <c r="I9" i="2314"/>
  <c r="H9" i="2314"/>
  <c r="K7" i="2314"/>
  <c r="L7" i="2314" s="1"/>
  <c r="M7" i="2314" s="1"/>
  <c r="I7" i="2314"/>
  <c r="H7" i="2314"/>
  <c r="K3" i="2314"/>
  <c r="L3" i="2314" s="1"/>
  <c r="M3" i="2314" s="1"/>
  <c r="I3" i="2314"/>
  <c r="H3" i="2314"/>
  <c r="K25" i="2313"/>
  <c r="L25" i="2313" s="1"/>
  <c r="M25" i="2313" s="1"/>
  <c r="I25" i="2313"/>
  <c r="H25" i="2313"/>
  <c r="L23" i="2313"/>
  <c r="M23" i="2313" s="1"/>
  <c r="K23" i="2313"/>
  <c r="I23" i="2313"/>
  <c r="H23" i="2313"/>
  <c r="K21" i="2313"/>
  <c r="L21" i="2313" s="1"/>
  <c r="M21" i="2313" s="1"/>
  <c r="I21" i="2313"/>
  <c r="H21" i="2313"/>
  <c r="K19" i="2313"/>
  <c r="L19" i="2313" s="1"/>
  <c r="M19" i="2313" s="1"/>
  <c r="I19" i="2313"/>
  <c r="H19" i="2313"/>
  <c r="K17" i="2313"/>
  <c r="L17" i="2313" s="1"/>
  <c r="M17" i="2313" s="1"/>
  <c r="I17" i="2313"/>
  <c r="H17" i="2313"/>
  <c r="K15" i="2313"/>
  <c r="L15" i="2313" s="1"/>
  <c r="M15" i="2313" s="1"/>
  <c r="I15" i="2313"/>
  <c r="H15" i="2313"/>
  <c r="L13" i="2313"/>
  <c r="M13" i="2313" s="1"/>
  <c r="K13" i="2313"/>
  <c r="I13" i="2313"/>
  <c r="H13" i="2313"/>
  <c r="K11" i="2313"/>
  <c r="L11" i="2313" s="1"/>
  <c r="M11" i="2313" s="1"/>
  <c r="I11" i="2313"/>
  <c r="H11" i="2313" s="1"/>
  <c r="K9" i="2313"/>
  <c r="L9" i="2313" s="1"/>
  <c r="M9" i="2313" s="1"/>
  <c r="I9" i="2313"/>
  <c r="H9" i="2313"/>
  <c r="K7" i="2313"/>
  <c r="L7" i="2313" s="1"/>
  <c r="M7" i="2313" s="1"/>
  <c r="I7" i="2313"/>
  <c r="H7" i="2313"/>
  <c r="K5" i="2313"/>
  <c r="L5" i="2313" s="1"/>
  <c r="M5" i="2313" s="1"/>
  <c r="I5" i="2313"/>
  <c r="H5" i="2313"/>
  <c r="K3" i="2313"/>
  <c r="L3" i="2313" s="1"/>
  <c r="M3" i="2313" s="1"/>
  <c r="I3" i="2313"/>
  <c r="H3" i="2313"/>
  <c r="I29" i="2312"/>
  <c r="K41" i="2312"/>
  <c r="L41" i="2312" s="1"/>
  <c r="M41" i="2312" s="1"/>
  <c r="N41" i="2312" s="1"/>
  <c r="I41" i="2312"/>
  <c r="H41" i="2312" s="1"/>
  <c r="K39" i="2312"/>
  <c r="L39" i="2312" s="1"/>
  <c r="M39" i="2312" s="1"/>
  <c r="N39" i="2312" s="1"/>
  <c r="I39" i="2312"/>
  <c r="H39" i="2312"/>
  <c r="H37" i="2312"/>
  <c r="I37" i="2312"/>
  <c r="K37" i="2312"/>
  <c r="L37" i="2312" s="1"/>
  <c r="M37" i="2312" s="1"/>
  <c r="N37" i="2312" s="1"/>
  <c r="I35" i="2312"/>
  <c r="H35" i="2312" s="1"/>
  <c r="K33" i="2312"/>
  <c r="L33" i="2312" s="1"/>
  <c r="M33" i="2312" s="1"/>
  <c r="N33" i="2312" s="1"/>
  <c r="I33" i="2312"/>
  <c r="H33" i="2312" s="1"/>
  <c r="N13" i="2312"/>
  <c r="N11" i="2312"/>
  <c r="M29" i="2312"/>
  <c r="N29" i="2312" s="1"/>
  <c r="H29" i="2312"/>
  <c r="K23" i="2312"/>
  <c r="L23" i="2312" s="1"/>
  <c r="M23" i="2312" s="1"/>
  <c r="N23" i="2312" s="1"/>
  <c r="H23" i="2312"/>
  <c r="I23" i="2312"/>
  <c r="K35" i="2312"/>
  <c r="L35" i="2312" s="1"/>
  <c r="M35" i="2312" s="1"/>
  <c r="N35" i="2312" s="1"/>
  <c r="K31" i="2312"/>
  <c r="L31" i="2312" s="1"/>
  <c r="M31" i="2312" s="1"/>
  <c r="N31" i="2312" s="1"/>
  <c r="I31" i="2312"/>
  <c r="H31" i="2312" s="1"/>
  <c r="K29" i="2312"/>
  <c r="L29" i="2312" s="1"/>
  <c r="K27" i="2312"/>
  <c r="L27" i="2312" s="1"/>
  <c r="M27" i="2312" s="1"/>
  <c r="N27" i="2312" s="1"/>
  <c r="I27" i="2312"/>
  <c r="H27" i="2312" s="1"/>
  <c r="K25" i="2312"/>
  <c r="L25" i="2312" s="1"/>
  <c r="M25" i="2312" s="1"/>
  <c r="N25" i="2312" s="1"/>
  <c r="I25" i="2312"/>
  <c r="H25" i="2312" s="1"/>
  <c r="K21" i="2312"/>
  <c r="L21" i="2312" s="1"/>
  <c r="M21" i="2312" s="1"/>
  <c r="N21" i="2312" s="1"/>
  <c r="I21" i="2312"/>
  <c r="H21" i="2312"/>
  <c r="K15" i="2312"/>
  <c r="L15" i="2312" s="1"/>
  <c r="M15" i="2312" s="1"/>
  <c r="N15" i="2312" s="1"/>
  <c r="I15" i="2312"/>
  <c r="H15" i="2312" s="1"/>
  <c r="K13" i="2312"/>
  <c r="L13" i="2312" s="1"/>
  <c r="M13" i="2312" s="1"/>
  <c r="I13" i="2312"/>
  <c r="H13" i="2312" s="1"/>
  <c r="K11" i="2312"/>
  <c r="L11" i="2312" s="1"/>
  <c r="M11" i="2312" s="1"/>
  <c r="I11" i="2312"/>
  <c r="H11" i="2312" s="1"/>
  <c r="K3" i="2312"/>
  <c r="L3" i="2312" s="1"/>
  <c r="M3" i="2312" s="1"/>
  <c r="N3" i="2312" s="1"/>
  <c r="I3" i="2312"/>
  <c r="H3" i="2312" s="1"/>
  <c r="M27" i="2311"/>
  <c r="L27" i="2311"/>
  <c r="K27" i="2311"/>
  <c r="H27" i="2311"/>
  <c r="I27" i="2311"/>
  <c r="H19" i="2311"/>
  <c r="I19" i="2311"/>
  <c r="M19" i="2311"/>
  <c r="L19" i="2311"/>
  <c r="K19" i="2311"/>
  <c r="M25" i="2311"/>
  <c r="L25" i="2311"/>
  <c r="K25" i="2311"/>
  <c r="H25" i="2311"/>
  <c r="I25" i="2311"/>
  <c r="K21" i="2311"/>
  <c r="L21" i="2311" s="1"/>
  <c r="M21" i="2311" s="1"/>
  <c r="I21" i="2311"/>
  <c r="H21" i="2311" s="1"/>
  <c r="I11" i="2311"/>
  <c r="H11" i="2311" s="1"/>
  <c r="K9" i="2311"/>
  <c r="L9" i="2311" s="1"/>
  <c r="M9" i="2311" s="1"/>
  <c r="I9" i="2311"/>
  <c r="H9" i="2311"/>
  <c r="K5" i="2311"/>
  <c r="L5" i="2311" s="1"/>
  <c r="M5" i="2311" s="1"/>
  <c r="I5" i="2311"/>
  <c r="H5" i="2311" s="1"/>
  <c r="K23" i="2311"/>
  <c r="L23" i="2311" s="1"/>
  <c r="M23" i="2311" s="1"/>
  <c r="I23" i="2311"/>
  <c r="H23" i="2311"/>
  <c r="K17" i="2311"/>
  <c r="L17" i="2311" s="1"/>
  <c r="M17" i="2311" s="1"/>
  <c r="I17" i="2311"/>
  <c r="H17" i="2311" s="1"/>
  <c r="K15" i="2311"/>
  <c r="L15" i="2311" s="1"/>
  <c r="M15" i="2311" s="1"/>
  <c r="I15" i="2311"/>
  <c r="H15" i="2311" s="1"/>
  <c r="K13" i="2311"/>
  <c r="L13" i="2311" s="1"/>
  <c r="M13" i="2311" s="1"/>
  <c r="I13" i="2311"/>
  <c r="H13" i="2311" s="1"/>
  <c r="K11" i="2311"/>
  <c r="L11" i="2311" s="1"/>
  <c r="M11" i="2311" s="1"/>
  <c r="K7" i="2311"/>
  <c r="L7" i="2311" s="1"/>
  <c r="M7" i="2311" s="1"/>
  <c r="I7" i="2311"/>
  <c r="H7" i="2311"/>
  <c r="K3" i="2311"/>
  <c r="L3" i="2311" s="1"/>
  <c r="M3" i="2311" s="1"/>
  <c r="I3" i="2311"/>
  <c r="H3" i="2311" s="1"/>
  <c r="N39" i="2294"/>
  <c r="N29" i="2294"/>
  <c r="N27" i="2294"/>
  <c r="N25" i="2294"/>
  <c r="N23" i="2294"/>
  <c r="N21" i="2294"/>
  <c r="N15" i="2294"/>
  <c r="N13" i="2294"/>
  <c r="N11" i="2294"/>
  <c r="N9" i="2294"/>
  <c r="N7" i="2294"/>
  <c r="N5" i="2294"/>
  <c r="N3" i="2294"/>
  <c r="M27" i="2310"/>
  <c r="L27" i="2310"/>
  <c r="M19" i="2310"/>
  <c r="L19" i="2310"/>
  <c r="K19" i="2310"/>
  <c r="H19" i="2310"/>
  <c r="I19" i="2310"/>
  <c r="K29" i="2310"/>
  <c r="L29" i="2310" s="1"/>
  <c r="M29" i="2310" s="1"/>
  <c r="I29" i="2310"/>
  <c r="H29" i="2310" s="1"/>
  <c r="K27" i="2310"/>
  <c r="I27" i="2310"/>
  <c r="H27" i="2310" s="1"/>
  <c r="K25" i="2310"/>
  <c r="L25" i="2310" s="1"/>
  <c r="M25" i="2310" s="1"/>
  <c r="I25" i="2310"/>
  <c r="H25" i="2310" s="1"/>
  <c r="K23" i="2310"/>
  <c r="L23" i="2310" s="1"/>
  <c r="M23" i="2310" s="1"/>
  <c r="I23" i="2310"/>
  <c r="H23" i="2310" s="1"/>
  <c r="K21" i="2310"/>
  <c r="L21" i="2310" s="1"/>
  <c r="M21" i="2310" s="1"/>
  <c r="I21" i="2310"/>
  <c r="H21" i="2310" s="1"/>
  <c r="K9" i="2310"/>
  <c r="L9" i="2310" s="1"/>
  <c r="M9" i="2310" s="1"/>
  <c r="I9" i="2310"/>
  <c r="H9" i="2310" s="1"/>
  <c r="K5" i="2310"/>
  <c r="L5" i="2310" s="1"/>
  <c r="M5" i="2310" s="1"/>
  <c r="I5" i="2310"/>
  <c r="H5" i="2310" s="1"/>
  <c r="K17" i="2310"/>
  <c r="L17" i="2310" s="1"/>
  <c r="M17" i="2310" s="1"/>
  <c r="I17" i="2310"/>
  <c r="H17" i="2310" s="1"/>
  <c r="K15" i="2310"/>
  <c r="L15" i="2310" s="1"/>
  <c r="M15" i="2310" s="1"/>
  <c r="I15" i="2310"/>
  <c r="H15" i="2310" s="1"/>
  <c r="K13" i="2310"/>
  <c r="L13" i="2310" s="1"/>
  <c r="M13" i="2310" s="1"/>
  <c r="I13" i="2310"/>
  <c r="H13" i="2310" s="1"/>
  <c r="K11" i="2310"/>
  <c r="L11" i="2310" s="1"/>
  <c r="M11" i="2310" s="1"/>
  <c r="I11" i="2310"/>
  <c r="H11" i="2310" s="1"/>
  <c r="K7" i="2310"/>
  <c r="L7" i="2310" s="1"/>
  <c r="M7" i="2310" s="1"/>
  <c r="I7" i="2310"/>
  <c r="H7" i="2310" s="1"/>
  <c r="K3" i="2310"/>
  <c r="L3" i="2310" s="1"/>
  <c r="M3" i="2310" s="1"/>
  <c r="I3" i="2310"/>
  <c r="H3" i="2310" s="1"/>
  <c r="N33" i="2289"/>
  <c r="N29" i="2289"/>
  <c r="N27" i="2289"/>
  <c r="N25" i="2289"/>
  <c r="N23" i="2289"/>
  <c r="N21" i="2289"/>
  <c r="N19" i="2289"/>
  <c r="N17" i="2289"/>
  <c r="N15" i="2289"/>
  <c r="N13" i="2289"/>
  <c r="N11" i="2289"/>
  <c r="N9" i="2289"/>
  <c r="N7" i="2289"/>
  <c r="N5" i="2289"/>
  <c r="N3" i="2289"/>
  <c r="H25" i="2285"/>
  <c r="H15" i="2285"/>
  <c r="N7" i="2285"/>
  <c r="N3" i="2285"/>
  <c r="M19" i="2309"/>
  <c r="L19" i="2309"/>
  <c r="K19" i="2309"/>
  <c r="H19" i="2309"/>
  <c r="I19" i="2309"/>
  <c r="M3" i="2309"/>
  <c r="M27" i="2309"/>
  <c r="L27" i="2309"/>
  <c r="K27" i="2309"/>
  <c r="H27" i="2309"/>
  <c r="I27" i="2309"/>
  <c r="K25" i="2309"/>
  <c r="L25" i="2309" s="1"/>
  <c r="M25" i="2309" s="1"/>
  <c r="I25" i="2309"/>
  <c r="H25" i="2309" s="1"/>
  <c r="K29" i="2309"/>
  <c r="L29" i="2309" s="1"/>
  <c r="M29" i="2309" s="1"/>
  <c r="I29" i="2309"/>
  <c r="H29" i="2309" s="1"/>
  <c r="K15" i="2309"/>
  <c r="L15" i="2309" s="1"/>
  <c r="M15" i="2309" s="1"/>
  <c r="I15" i="2309"/>
  <c r="H15" i="2309" s="1"/>
  <c r="K11" i="2309"/>
  <c r="L11" i="2309" s="1"/>
  <c r="M11" i="2309" s="1"/>
  <c r="I11" i="2309"/>
  <c r="H11" i="2309" s="1"/>
  <c r="K9" i="2309"/>
  <c r="L9" i="2309" s="1"/>
  <c r="M9" i="2309" s="1"/>
  <c r="I9" i="2309"/>
  <c r="H9" i="2309" s="1"/>
  <c r="K7" i="2309"/>
  <c r="L7" i="2309" s="1"/>
  <c r="M7" i="2309" s="1"/>
  <c r="I7" i="2309"/>
  <c r="H7" i="2309" s="1"/>
  <c r="K5" i="2309"/>
  <c r="L5" i="2309" s="1"/>
  <c r="M5" i="2309" s="1"/>
  <c r="I5" i="2309"/>
  <c r="H5" i="2309" s="1"/>
  <c r="K23" i="2309"/>
  <c r="L23" i="2309" s="1"/>
  <c r="M23" i="2309" s="1"/>
  <c r="I23" i="2309"/>
  <c r="H23" i="2309" s="1"/>
  <c r="K21" i="2309"/>
  <c r="L21" i="2309" s="1"/>
  <c r="M21" i="2309" s="1"/>
  <c r="I21" i="2309"/>
  <c r="H21" i="2309"/>
  <c r="K17" i="2309"/>
  <c r="L17" i="2309" s="1"/>
  <c r="M17" i="2309" s="1"/>
  <c r="I17" i="2309"/>
  <c r="H17" i="2309" s="1"/>
  <c r="K13" i="2309"/>
  <c r="L13" i="2309" s="1"/>
  <c r="M13" i="2309" s="1"/>
  <c r="I13" i="2309"/>
  <c r="H13" i="2309"/>
  <c r="K3" i="2309"/>
  <c r="L3" i="2309" s="1"/>
  <c r="I3" i="2309"/>
  <c r="H3" i="2309"/>
  <c r="M19" i="2285"/>
  <c r="N19" i="2285" s="1"/>
  <c r="L19" i="2285"/>
  <c r="I19" i="2285"/>
  <c r="H19" i="2285" s="1"/>
  <c r="J19" i="2285"/>
  <c r="L11" i="2285"/>
  <c r="M11" i="2285" s="1"/>
  <c r="N11" i="2285" s="1"/>
  <c r="J11" i="2285"/>
  <c r="I11" i="2285" s="1"/>
  <c r="H11" i="2285" s="1"/>
  <c r="M9" i="2285"/>
  <c r="N9" i="2285" s="1"/>
  <c r="H23" i="2285"/>
  <c r="H21" i="2285"/>
  <c r="L25" i="2285"/>
  <c r="M25" i="2285" s="1"/>
  <c r="N25" i="2285" s="1"/>
  <c r="J25" i="2285"/>
  <c r="I25" i="2285"/>
  <c r="L23" i="2285"/>
  <c r="M23" i="2285" s="1"/>
  <c r="N23" i="2285" s="1"/>
  <c r="J23" i="2285"/>
  <c r="I23" i="2285"/>
  <c r="L21" i="2285"/>
  <c r="M21" i="2285" s="1"/>
  <c r="N21" i="2285" s="1"/>
  <c r="J21" i="2285"/>
  <c r="I21" i="2285"/>
  <c r="L17" i="2285"/>
  <c r="M17" i="2285" s="1"/>
  <c r="N17" i="2285" s="1"/>
  <c r="J17" i="2285"/>
  <c r="I17" i="2285"/>
  <c r="H17" i="2285" s="1"/>
  <c r="L15" i="2285"/>
  <c r="M15" i="2285" s="1"/>
  <c r="N15" i="2285" s="1"/>
  <c r="J15" i="2285"/>
  <c r="I15" i="2285" s="1"/>
  <c r="L13" i="2285"/>
  <c r="M13" i="2285" s="1"/>
  <c r="N13" i="2285" s="1"/>
  <c r="J13" i="2285"/>
  <c r="I13" i="2285" s="1"/>
  <c r="H13" i="2285" s="1"/>
  <c r="L9" i="2285"/>
  <c r="J9" i="2285"/>
  <c r="I9" i="2285"/>
  <c r="H9" i="2285" s="1"/>
  <c r="L7" i="2285"/>
  <c r="M7" i="2285" s="1"/>
  <c r="J7" i="2285"/>
  <c r="I7" i="2285"/>
  <c r="H7" i="2285" s="1"/>
  <c r="L5" i="2285"/>
  <c r="M5" i="2285" s="1"/>
  <c r="N5" i="2285" s="1"/>
  <c r="J5" i="2285"/>
  <c r="I5" i="2285"/>
  <c r="H5" i="2285" s="1"/>
  <c r="L3" i="2285"/>
  <c r="M3" i="2285" s="1"/>
  <c r="J3" i="2285"/>
  <c r="I3" i="2285" s="1"/>
  <c r="H3" i="2285" s="1"/>
  <c r="M33" i="2319" l="1"/>
  <c r="N33" i="2319" s="1"/>
  <c r="L29" i="2319"/>
  <c r="M29" i="2319" s="1"/>
  <c r="N29" i="2319" s="1"/>
  <c r="N27" i="2287"/>
  <c r="N25" i="2287"/>
  <c r="N23" i="2287"/>
  <c r="N19" i="2287"/>
  <c r="N17" i="2287"/>
  <c r="N15" i="2287"/>
  <c r="N13" i="2287"/>
  <c r="N11" i="2287"/>
  <c r="N9" i="2287"/>
  <c r="N7" i="2287"/>
  <c r="N5" i="2287"/>
  <c r="N3" i="2287"/>
  <c r="K23" i="2308"/>
  <c r="L23" i="2308" s="1"/>
  <c r="M23" i="2308" s="1"/>
  <c r="I23" i="2308"/>
  <c r="H23" i="2308" s="1"/>
  <c r="K21" i="2308"/>
  <c r="L21" i="2308" s="1"/>
  <c r="M21" i="2308" s="1"/>
  <c r="I21" i="2308"/>
  <c r="H21" i="2308" s="1"/>
  <c r="K19" i="2308"/>
  <c r="L19" i="2308" s="1"/>
  <c r="M19" i="2308" s="1"/>
  <c r="I19" i="2308"/>
  <c r="H19" i="2308" s="1"/>
  <c r="K13" i="2308"/>
  <c r="L13" i="2308" s="1"/>
  <c r="M13" i="2308" s="1"/>
  <c r="I13" i="2308"/>
  <c r="H13" i="2308" s="1"/>
  <c r="K11" i="2308"/>
  <c r="L11" i="2308" s="1"/>
  <c r="M11" i="2308" s="1"/>
  <c r="I11" i="2308"/>
  <c r="H11" i="2308" s="1"/>
  <c r="K9" i="2308"/>
  <c r="L9" i="2308" s="1"/>
  <c r="M9" i="2308" s="1"/>
  <c r="I9" i="2308"/>
  <c r="H9" i="2308" s="1"/>
  <c r="K5" i="2308"/>
  <c r="L5" i="2308" s="1"/>
  <c r="M5" i="2308" s="1"/>
  <c r="I5" i="2308"/>
  <c r="H5" i="2308" s="1"/>
  <c r="K3" i="2308"/>
  <c r="L3" i="2308" s="1"/>
  <c r="M3" i="2308" s="1"/>
  <c r="I3" i="2308"/>
  <c r="H3" i="2308" s="1"/>
  <c r="K17" i="2308"/>
  <c r="L17" i="2308" s="1"/>
  <c r="M17" i="2308" s="1"/>
  <c r="I17" i="2308"/>
  <c r="H17" i="2308" s="1"/>
  <c r="K15" i="2308"/>
  <c r="L15" i="2308" s="1"/>
  <c r="M15" i="2308" s="1"/>
  <c r="I15" i="2308"/>
  <c r="H15" i="2308" s="1"/>
  <c r="K7" i="2308"/>
  <c r="L7" i="2308" s="1"/>
  <c r="M7" i="2308" s="1"/>
  <c r="I7" i="2308"/>
  <c r="H7" i="2308" s="1"/>
  <c r="H5" i="2279"/>
  <c r="I5" i="2279"/>
  <c r="K47" i="2307"/>
  <c r="L47" i="2307" s="1"/>
  <c r="M47" i="2307" s="1"/>
  <c r="N47" i="2307" s="1"/>
  <c r="I47" i="2307"/>
  <c r="H47" i="2307" s="1"/>
  <c r="K5" i="2307"/>
  <c r="L5" i="2307" s="1"/>
  <c r="M5" i="2307" s="1"/>
  <c r="N5" i="2307" s="1"/>
  <c r="I5" i="2307"/>
  <c r="H5" i="2307" s="1"/>
  <c r="K53" i="2307"/>
  <c r="L53" i="2307" s="1"/>
  <c r="M53" i="2307" s="1"/>
  <c r="N53" i="2307" s="1"/>
  <c r="H53" i="2307"/>
  <c r="I53" i="2307"/>
  <c r="I55" i="2307"/>
  <c r="H55" i="2307" s="1"/>
  <c r="K41" i="2307"/>
  <c r="L41" i="2307" s="1"/>
  <c r="M41" i="2307" s="1"/>
  <c r="N41" i="2307" s="1"/>
  <c r="I41" i="2307"/>
  <c r="H41" i="2307" s="1"/>
  <c r="I29" i="2307"/>
  <c r="H29" i="2307" s="1"/>
  <c r="I27" i="2307"/>
  <c r="H27" i="2307" s="1"/>
  <c r="K61" i="2307"/>
  <c r="L61" i="2307" s="1"/>
  <c r="M61" i="2307" s="1"/>
  <c r="N61" i="2307" s="1"/>
  <c r="I61" i="2307"/>
  <c r="H61" i="2307" s="1"/>
  <c r="K59" i="2307"/>
  <c r="L59" i="2307" s="1"/>
  <c r="M59" i="2307" s="1"/>
  <c r="N59" i="2307" s="1"/>
  <c r="I59" i="2307"/>
  <c r="H59" i="2307" s="1"/>
  <c r="K57" i="2307"/>
  <c r="L57" i="2307" s="1"/>
  <c r="M57" i="2307" s="1"/>
  <c r="N57" i="2307" s="1"/>
  <c r="I57" i="2307"/>
  <c r="H57" i="2307" s="1"/>
  <c r="K55" i="2307"/>
  <c r="L55" i="2307" s="1"/>
  <c r="M55" i="2307" s="1"/>
  <c r="N55" i="2307" s="1"/>
  <c r="K51" i="2307"/>
  <c r="L51" i="2307" s="1"/>
  <c r="M51" i="2307" s="1"/>
  <c r="N51" i="2307" s="1"/>
  <c r="I51" i="2307"/>
  <c r="H51" i="2307" s="1"/>
  <c r="K49" i="2307"/>
  <c r="L49" i="2307" s="1"/>
  <c r="M49" i="2307" s="1"/>
  <c r="N49" i="2307" s="1"/>
  <c r="I49" i="2307"/>
  <c r="H49" i="2307"/>
  <c r="K45" i="2307"/>
  <c r="L45" i="2307" s="1"/>
  <c r="M45" i="2307" s="1"/>
  <c r="N45" i="2307" s="1"/>
  <c r="I45" i="2307"/>
  <c r="H45" i="2307"/>
  <c r="K43" i="2307"/>
  <c r="L43" i="2307" s="1"/>
  <c r="M43" i="2307" s="1"/>
  <c r="N43" i="2307" s="1"/>
  <c r="I43" i="2307"/>
  <c r="H43" i="2307" s="1"/>
  <c r="K39" i="2307"/>
  <c r="L39" i="2307" s="1"/>
  <c r="M39" i="2307" s="1"/>
  <c r="N39" i="2307" s="1"/>
  <c r="I39" i="2307"/>
  <c r="H39" i="2307" s="1"/>
  <c r="K33" i="2307"/>
  <c r="L33" i="2307" s="1"/>
  <c r="M33" i="2307" s="1"/>
  <c r="N33" i="2307" s="1"/>
  <c r="I33" i="2307"/>
  <c r="H33" i="2307" s="1"/>
  <c r="K31" i="2307"/>
  <c r="L31" i="2307" s="1"/>
  <c r="M31" i="2307" s="1"/>
  <c r="N31" i="2307" s="1"/>
  <c r="I31" i="2307"/>
  <c r="H31" i="2307" s="1"/>
  <c r="K29" i="2307"/>
  <c r="L29" i="2307" s="1"/>
  <c r="M29" i="2307" s="1"/>
  <c r="N29" i="2307" s="1"/>
  <c r="K27" i="2307"/>
  <c r="L27" i="2307" s="1"/>
  <c r="M27" i="2307" s="1"/>
  <c r="N27" i="2307" s="1"/>
  <c r="K25" i="2307"/>
  <c r="L25" i="2307" s="1"/>
  <c r="M25" i="2307" s="1"/>
  <c r="N25" i="2307" s="1"/>
  <c r="I25" i="2307"/>
  <c r="H25" i="2307" s="1"/>
  <c r="K23" i="2307"/>
  <c r="L23" i="2307" s="1"/>
  <c r="M23" i="2307" s="1"/>
  <c r="N23" i="2307" s="1"/>
  <c r="I23" i="2307"/>
  <c r="H23" i="2307" s="1"/>
  <c r="K21" i="2307"/>
  <c r="L21" i="2307" s="1"/>
  <c r="M21" i="2307" s="1"/>
  <c r="N21" i="2307" s="1"/>
  <c r="I21" i="2307"/>
  <c r="H21" i="2307" s="1"/>
  <c r="K17" i="2307"/>
  <c r="L17" i="2307" s="1"/>
  <c r="M17" i="2307" s="1"/>
  <c r="N17" i="2307" s="1"/>
  <c r="I17" i="2307"/>
  <c r="H17" i="2307"/>
  <c r="K15" i="2307"/>
  <c r="L15" i="2307" s="1"/>
  <c r="M15" i="2307" s="1"/>
  <c r="N15" i="2307" s="1"/>
  <c r="I15" i="2307"/>
  <c r="H15" i="2307" s="1"/>
  <c r="K13" i="2307"/>
  <c r="L13" i="2307" s="1"/>
  <c r="M13" i="2307" s="1"/>
  <c r="N13" i="2307" s="1"/>
  <c r="I13" i="2307"/>
  <c r="H13" i="2307"/>
  <c r="K9" i="2307"/>
  <c r="L9" i="2307" s="1"/>
  <c r="M9" i="2307" s="1"/>
  <c r="N9" i="2307" s="1"/>
  <c r="I9" i="2307"/>
  <c r="H9" i="2307"/>
  <c r="K7" i="2307"/>
  <c r="L7" i="2307" s="1"/>
  <c r="M7" i="2307" s="1"/>
  <c r="N7" i="2307" s="1"/>
  <c r="I7" i="2307"/>
  <c r="H7" i="2307"/>
  <c r="K3" i="2307"/>
  <c r="L3" i="2307" s="1"/>
  <c r="M3" i="2307" s="1"/>
  <c r="N3" i="2307" s="1"/>
  <c r="I3" i="2307"/>
  <c r="H3" i="2307" s="1"/>
  <c r="N23" i="2306"/>
  <c r="M23" i="2306"/>
  <c r="L23" i="2306"/>
  <c r="K23" i="2306"/>
  <c r="I23" i="2306"/>
  <c r="H23" i="2306" s="1"/>
  <c r="K27" i="2306"/>
  <c r="L27" i="2306" s="1"/>
  <c r="M27" i="2306" s="1"/>
  <c r="N27" i="2306" s="1"/>
  <c r="I27" i="2306"/>
  <c r="H27" i="2306" s="1"/>
  <c r="K25" i="2306"/>
  <c r="L25" i="2306" s="1"/>
  <c r="M25" i="2306" s="1"/>
  <c r="N25" i="2306" s="1"/>
  <c r="I25" i="2306"/>
  <c r="H25" i="2306"/>
  <c r="K21" i="2306"/>
  <c r="L21" i="2306" s="1"/>
  <c r="M21" i="2306" s="1"/>
  <c r="N21" i="2306" s="1"/>
  <c r="I21" i="2306"/>
  <c r="H21" i="2306" s="1"/>
  <c r="K19" i="2306"/>
  <c r="L19" i="2306" s="1"/>
  <c r="M19" i="2306" s="1"/>
  <c r="N19" i="2306" s="1"/>
  <c r="I19" i="2306"/>
  <c r="H19" i="2306"/>
  <c r="K17" i="2306"/>
  <c r="L17" i="2306" s="1"/>
  <c r="M17" i="2306" s="1"/>
  <c r="N17" i="2306" s="1"/>
  <c r="I17" i="2306"/>
  <c r="H17" i="2306" s="1"/>
  <c r="L13" i="2306"/>
  <c r="M13" i="2306" s="1"/>
  <c r="N13" i="2306" s="1"/>
  <c r="K13" i="2306"/>
  <c r="I13" i="2306"/>
  <c r="H13" i="2306" s="1"/>
  <c r="L11" i="2306"/>
  <c r="M11" i="2306" s="1"/>
  <c r="N11" i="2306" s="1"/>
  <c r="K11" i="2306"/>
  <c r="I11" i="2306"/>
  <c r="H11" i="2306" s="1"/>
  <c r="K9" i="2306"/>
  <c r="L9" i="2306" s="1"/>
  <c r="M9" i="2306" s="1"/>
  <c r="N9" i="2306" s="1"/>
  <c r="I9" i="2306"/>
  <c r="H9" i="2306"/>
  <c r="K7" i="2306"/>
  <c r="L7" i="2306" s="1"/>
  <c r="M7" i="2306" s="1"/>
  <c r="N7" i="2306" s="1"/>
  <c r="I7" i="2306"/>
  <c r="H7" i="2306"/>
  <c r="L5" i="2306"/>
  <c r="M5" i="2306" s="1"/>
  <c r="N5" i="2306" s="1"/>
  <c r="K5" i="2306"/>
  <c r="I5" i="2306"/>
  <c r="H5" i="2306" s="1"/>
  <c r="K3" i="2306"/>
  <c r="L3" i="2306" s="1"/>
  <c r="M3" i="2306" s="1"/>
  <c r="N3" i="2306" s="1"/>
  <c r="I3" i="2306"/>
  <c r="H3" i="2306"/>
  <c r="K29" i="2305"/>
  <c r="L29" i="2305" s="1"/>
  <c r="M29" i="2305" s="1"/>
  <c r="I29" i="2305"/>
  <c r="H29" i="2305" s="1"/>
  <c r="K27" i="2305"/>
  <c r="L27" i="2305" s="1"/>
  <c r="M27" i="2305" s="1"/>
  <c r="I27" i="2305"/>
  <c r="H27" i="2305" s="1"/>
  <c r="K25" i="2305"/>
  <c r="L25" i="2305" s="1"/>
  <c r="M25" i="2305" s="1"/>
  <c r="I25" i="2305"/>
  <c r="H25" i="2305"/>
  <c r="K23" i="2305"/>
  <c r="L23" i="2305" s="1"/>
  <c r="M23" i="2305" s="1"/>
  <c r="I23" i="2305"/>
  <c r="H23" i="2305" s="1"/>
  <c r="K9" i="2305"/>
  <c r="L9" i="2305" s="1"/>
  <c r="M9" i="2305" s="1"/>
  <c r="I9" i="2305"/>
  <c r="H9" i="2305" s="1"/>
  <c r="K19" i="2305"/>
  <c r="L19" i="2305" s="1"/>
  <c r="M19" i="2305" s="1"/>
  <c r="I19" i="2305"/>
  <c r="H19" i="2305" s="1"/>
  <c r="K17" i="2305"/>
  <c r="L17" i="2305" s="1"/>
  <c r="M17" i="2305" s="1"/>
  <c r="I17" i="2305"/>
  <c r="H17" i="2305" s="1"/>
  <c r="K15" i="2305"/>
  <c r="L15" i="2305" s="1"/>
  <c r="M15" i="2305" s="1"/>
  <c r="I15" i="2305"/>
  <c r="H15" i="2305" s="1"/>
  <c r="K13" i="2305"/>
  <c r="L13" i="2305" s="1"/>
  <c r="M13" i="2305" s="1"/>
  <c r="I13" i="2305"/>
  <c r="H13" i="2305" s="1"/>
  <c r="K11" i="2305"/>
  <c r="L11" i="2305" s="1"/>
  <c r="I11" i="2305"/>
  <c r="H11" i="2305"/>
  <c r="K7" i="2305"/>
  <c r="L7" i="2305" s="1"/>
  <c r="M7" i="2305" s="1"/>
  <c r="I7" i="2305"/>
  <c r="H7" i="2305"/>
  <c r="K5" i="2305"/>
  <c r="L5" i="2305" s="1"/>
  <c r="M5" i="2305" s="1"/>
  <c r="I5" i="2305"/>
  <c r="H5" i="2305"/>
  <c r="K3" i="2305"/>
  <c r="L3" i="2305" s="1"/>
  <c r="M3" i="2305" s="1"/>
  <c r="I3" i="2305"/>
  <c r="H3" i="2305" s="1"/>
  <c r="L11" i="2304"/>
  <c r="M11" i="2304" s="1"/>
  <c r="M27" i="2304"/>
  <c r="L27" i="2304"/>
  <c r="K27" i="2304"/>
  <c r="H27" i="2304"/>
  <c r="I27" i="2304"/>
  <c r="K31" i="2304"/>
  <c r="L31" i="2304" s="1"/>
  <c r="M31" i="2304" s="1"/>
  <c r="I31" i="2304"/>
  <c r="H31" i="2304"/>
  <c r="K29" i="2304"/>
  <c r="L29" i="2304" s="1"/>
  <c r="M29" i="2304" s="1"/>
  <c r="I29" i="2304"/>
  <c r="H29" i="2304"/>
  <c r="K25" i="2304"/>
  <c r="L25" i="2304" s="1"/>
  <c r="M25" i="2304" s="1"/>
  <c r="I25" i="2304"/>
  <c r="H25" i="2304" s="1"/>
  <c r="K23" i="2304"/>
  <c r="L23" i="2304" s="1"/>
  <c r="M23" i="2304" s="1"/>
  <c r="I23" i="2304"/>
  <c r="H23" i="2304"/>
  <c r="K21" i="2304"/>
  <c r="L21" i="2304" s="1"/>
  <c r="M21" i="2304" s="1"/>
  <c r="I21" i="2304"/>
  <c r="H21" i="2304"/>
  <c r="M17" i="2304"/>
  <c r="L17" i="2304"/>
  <c r="K17" i="2304"/>
  <c r="H17" i="2304"/>
  <c r="I17" i="2304"/>
  <c r="M15" i="2304"/>
  <c r="L15" i="2304"/>
  <c r="K15" i="2304"/>
  <c r="H15" i="2304"/>
  <c r="I15" i="2304"/>
  <c r="K13" i="2304"/>
  <c r="L13" i="2304" s="1"/>
  <c r="M13" i="2304" s="1"/>
  <c r="I13" i="2304"/>
  <c r="H13" i="2304" s="1"/>
  <c r="K3" i="2304"/>
  <c r="L3" i="2304" s="1"/>
  <c r="M3" i="2304" s="1"/>
  <c r="I3" i="2304"/>
  <c r="H3" i="2304" s="1"/>
  <c r="K11" i="2304"/>
  <c r="I11" i="2304"/>
  <c r="H11" i="2304"/>
  <c r="L27" i="2303"/>
  <c r="M27" i="2303" s="1"/>
  <c r="N27" i="2303" s="1"/>
  <c r="L25" i="2303"/>
  <c r="M25" i="2303" s="1"/>
  <c r="N25" i="2303" s="1"/>
  <c r="J27" i="2303"/>
  <c r="I27" i="2303" s="1"/>
  <c r="H27" i="2303" s="1"/>
  <c r="J25" i="2303"/>
  <c r="I25" i="2303" s="1"/>
  <c r="L23" i="2303"/>
  <c r="M23" i="2303" s="1"/>
  <c r="N23" i="2303" s="1"/>
  <c r="J23" i="2303"/>
  <c r="I23" i="2303" s="1"/>
  <c r="L3" i="2303"/>
  <c r="M3" i="2303" s="1"/>
  <c r="N3" i="2303" s="1"/>
  <c r="J3" i="2303"/>
  <c r="I3" i="2303" s="1"/>
  <c r="H3" i="2303" s="1"/>
  <c r="L21" i="2303"/>
  <c r="M21" i="2303" s="1"/>
  <c r="N21" i="2303" s="1"/>
  <c r="J21" i="2303"/>
  <c r="I21" i="2303" s="1"/>
  <c r="L19" i="2303"/>
  <c r="M19" i="2303" s="1"/>
  <c r="N19" i="2303" s="1"/>
  <c r="J19" i="2303"/>
  <c r="I19" i="2303"/>
  <c r="L17" i="2303"/>
  <c r="M17" i="2303" s="1"/>
  <c r="N17" i="2303" s="1"/>
  <c r="J17" i="2303"/>
  <c r="I17" i="2303" s="1"/>
  <c r="H17" i="2303" s="1"/>
  <c r="L15" i="2303"/>
  <c r="M15" i="2303" s="1"/>
  <c r="N15" i="2303" s="1"/>
  <c r="J15" i="2303"/>
  <c r="I15" i="2303" s="1"/>
  <c r="H15" i="2303" s="1"/>
  <c r="L13" i="2303"/>
  <c r="M13" i="2303" s="1"/>
  <c r="N13" i="2303" s="1"/>
  <c r="J13" i="2303"/>
  <c r="I13" i="2303" s="1"/>
  <c r="H13" i="2303" s="1"/>
  <c r="L11" i="2303"/>
  <c r="M11" i="2303" s="1"/>
  <c r="N11" i="2303" s="1"/>
  <c r="J11" i="2303"/>
  <c r="I11" i="2303" s="1"/>
  <c r="L9" i="2303"/>
  <c r="M9" i="2303" s="1"/>
  <c r="N9" i="2303" s="1"/>
  <c r="J9" i="2303"/>
  <c r="I9" i="2303" s="1"/>
  <c r="L7" i="2303"/>
  <c r="M7" i="2303" s="1"/>
  <c r="N7" i="2303" s="1"/>
  <c r="J7" i="2303"/>
  <c r="I7" i="2303"/>
  <c r="L5" i="2303"/>
  <c r="M5" i="2303" s="1"/>
  <c r="N5" i="2303" s="1"/>
  <c r="J5" i="2303"/>
  <c r="I5" i="2303" s="1"/>
  <c r="K9" i="2301"/>
  <c r="L9" i="2301" s="1"/>
  <c r="M9" i="2301" s="1"/>
  <c r="I9" i="2301"/>
  <c r="H9" i="2301" s="1"/>
  <c r="K25" i="2302"/>
  <c r="L25" i="2302" s="1"/>
  <c r="M25" i="2302" s="1"/>
  <c r="N25" i="2302" s="1"/>
  <c r="I25" i="2302"/>
  <c r="H25" i="2302" s="1"/>
  <c r="K23" i="2302"/>
  <c r="L23" i="2302" s="1"/>
  <c r="M23" i="2302" s="1"/>
  <c r="N23" i="2302" s="1"/>
  <c r="I23" i="2302"/>
  <c r="H23" i="2302"/>
  <c r="K21" i="2302"/>
  <c r="L21" i="2302" s="1"/>
  <c r="M21" i="2302" s="1"/>
  <c r="N21" i="2302" s="1"/>
  <c r="I21" i="2302"/>
  <c r="H21" i="2302" s="1"/>
  <c r="K19" i="2302"/>
  <c r="L19" i="2302" s="1"/>
  <c r="M19" i="2302" s="1"/>
  <c r="N19" i="2302" s="1"/>
  <c r="I19" i="2302"/>
  <c r="H19" i="2302" s="1"/>
  <c r="K17" i="2302"/>
  <c r="L17" i="2302" s="1"/>
  <c r="M17" i="2302" s="1"/>
  <c r="N17" i="2302" s="1"/>
  <c r="I17" i="2302"/>
  <c r="H17" i="2302"/>
  <c r="K15" i="2302"/>
  <c r="L15" i="2302" s="1"/>
  <c r="M15" i="2302" s="1"/>
  <c r="N15" i="2302" s="1"/>
  <c r="I15" i="2302"/>
  <c r="H15" i="2302"/>
  <c r="L13" i="2302"/>
  <c r="M13" i="2302" s="1"/>
  <c r="N13" i="2302" s="1"/>
  <c r="K13" i="2302"/>
  <c r="I13" i="2302"/>
  <c r="H13" i="2302"/>
  <c r="K11" i="2302"/>
  <c r="L11" i="2302" s="1"/>
  <c r="M11" i="2302" s="1"/>
  <c r="N11" i="2302" s="1"/>
  <c r="I11" i="2302"/>
  <c r="H11" i="2302"/>
  <c r="K9" i="2302"/>
  <c r="L9" i="2302" s="1"/>
  <c r="M9" i="2302" s="1"/>
  <c r="N9" i="2302" s="1"/>
  <c r="I9" i="2302"/>
  <c r="H9" i="2302"/>
  <c r="K7" i="2302"/>
  <c r="L7" i="2302" s="1"/>
  <c r="M7" i="2302" s="1"/>
  <c r="N7" i="2302" s="1"/>
  <c r="I7" i="2302"/>
  <c r="H7" i="2302"/>
  <c r="K5" i="2302"/>
  <c r="L5" i="2302" s="1"/>
  <c r="M5" i="2302" s="1"/>
  <c r="N5" i="2302" s="1"/>
  <c r="I5" i="2302"/>
  <c r="H5" i="2302" s="1"/>
  <c r="K3" i="2302"/>
  <c r="L3" i="2302" s="1"/>
  <c r="M3" i="2302" s="1"/>
  <c r="N3" i="2302" s="1"/>
  <c r="I3" i="2302"/>
  <c r="H3" i="2302" s="1"/>
  <c r="I3" i="2301"/>
  <c r="H3" i="2301" s="1"/>
  <c r="K3" i="2301"/>
  <c r="L3" i="2301" s="1"/>
  <c r="M3" i="2301" s="1"/>
  <c r="I5" i="2301"/>
  <c r="H5" i="2301" s="1"/>
  <c r="K5" i="2301"/>
  <c r="L5" i="2301"/>
  <c r="M5" i="2301"/>
  <c r="I7" i="2301"/>
  <c r="H7" i="2301" s="1"/>
  <c r="K7" i="2301"/>
  <c r="L7" i="2301"/>
  <c r="M7" i="2301" s="1"/>
  <c r="I11" i="2301"/>
  <c r="H11" i="2301" s="1"/>
  <c r="K11" i="2301"/>
  <c r="L11" i="2301"/>
  <c r="M11" i="2301" s="1"/>
  <c r="I13" i="2301"/>
  <c r="H13" i="2301" s="1"/>
  <c r="K13" i="2301"/>
  <c r="L13" i="2301"/>
  <c r="M13" i="2301"/>
  <c r="I15" i="2301"/>
  <c r="H15" i="2301" s="1"/>
  <c r="K15" i="2301"/>
  <c r="L15" i="2301" s="1"/>
  <c r="M15" i="2301" s="1"/>
  <c r="I17" i="2301"/>
  <c r="H17" i="2301" s="1"/>
  <c r="K17" i="2301"/>
  <c r="L17" i="2301" s="1"/>
  <c r="M17" i="2301" s="1"/>
  <c r="I19" i="2301"/>
  <c r="H19" i="2301" s="1"/>
  <c r="K19" i="2301"/>
  <c r="L19" i="2301"/>
  <c r="M19" i="2301"/>
  <c r="I21" i="2301"/>
  <c r="H21" i="2301" s="1"/>
  <c r="K21" i="2301"/>
  <c r="L21" i="2301"/>
  <c r="M21" i="2301" s="1"/>
  <c r="I23" i="2301"/>
  <c r="H23" i="2301" s="1"/>
  <c r="K23" i="2301"/>
  <c r="L23" i="2301" s="1"/>
  <c r="M23" i="2301" s="1"/>
  <c r="I25" i="2301"/>
  <c r="H25" i="2301" s="1"/>
  <c r="K25" i="2301"/>
  <c r="L25" i="2301"/>
  <c r="M25" i="2301"/>
  <c r="K27" i="2301"/>
  <c r="L27" i="2301" s="1"/>
  <c r="M27" i="2301" s="1"/>
  <c r="I27" i="2301"/>
  <c r="H27" i="2301" s="1"/>
  <c r="H13" i="2270"/>
  <c r="H11" i="2270"/>
  <c r="H9" i="2270"/>
  <c r="H7" i="2270"/>
  <c r="H5" i="2270"/>
  <c r="H3" i="2270"/>
  <c r="H3" i="2278"/>
  <c r="K27" i="2300"/>
  <c r="L27" i="2300" s="1"/>
  <c r="M27" i="2300" s="1"/>
  <c r="I27" i="2300"/>
  <c r="H27" i="2300" s="1"/>
  <c r="K33" i="2300"/>
  <c r="L33" i="2300" s="1"/>
  <c r="M33" i="2300" s="1"/>
  <c r="I33" i="2300"/>
  <c r="H33" i="2300" s="1"/>
  <c r="K31" i="2300"/>
  <c r="L31" i="2300" s="1"/>
  <c r="M31" i="2300" s="1"/>
  <c r="I31" i="2300"/>
  <c r="H31" i="2300" s="1"/>
  <c r="K35" i="2300"/>
  <c r="L35" i="2300" s="1"/>
  <c r="M35" i="2300" s="1"/>
  <c r="I35" i="2300"/>
  <c r="H35" i="2300" s="1"/>
  <c r="K29" i="2300"/>
  <c r="L29" i="2300" s="1"/>
  <c r="M29" i="2300" s="1"/>
  <c r="I29" i="2300"/>
  <c r="H29" i="2300" s="1"/>
  <c r="K25" i="2300"/>
  <c r="L25" i="2300" s="1"/>
  <c r="M25" i="2300" s="1"/>
  <c r="I25" i="2300"/>
  <c r="H25" i="2300" s="1"/>
  <c r="K23" i="2300"/>
  <c r="L23" i="2300" s="1"/>
  <c r="M23" i="2300" s="1"/>
  <c r="I23" i="2300"/>
  <c r="H23" i="2300" s="1"/>
  <c r="K21" i="2300"/>
  <c r="L21" i="2300" s="1"/>
  <c r="M21" i="2300" s="1"/>
  <c r="I21" i="2300"/>
  <c r="H21" i="2300" s="1"/>
  <c r="K19" i="2300"/>
  <c r="L19" i="2300" s="1"/>
  <c r="M19" i="2300" s="1"/>
  <c r="I19" i="2300"/>
  <c r="H19" i="2300"/>
  <c r="K11" i="2300"/>
  <c r="L11" i="2300" s="1"/>
  <c r="M11" i="2300" s="1"/>
  <c r="I11" i="2300"/>
  <c r="H11" i="2300" s="1"/>
  <c r="K9" i="2300"/>
  <c r="L9" i="2300" s="1"/>
  <c r="M9" i="2300" s="1"/>
  <c r="I9" i="2300"/>
  <c r="H9" i="2300" s="1"/>
  <c r="K5" i="2300"/>
  <c r="L5" i="2300" s="1"/>
  <c r="M5" i="2300" s="1"/>
  <c r="I5" i="2300"/>
  <c r="H5" i="2300" s="1"/>
  <c r="K17" i="2300"/>
  <c r="L17" i="2300" s="1"/>
  <c r="M17" i="2300" s="1"/>
  <c r="I17" i="2300"/>
  <c r="H17" i="2300"/>
  <c r="K15" i="2300"/>
  <c r="L15" i="2300" s="1"/>
  <c r="M15" i="2300" s="1"/>
  <c r="I15" i="2300"/>
  <c r="H15" i="2300" s="1"/>
  <c r="K13" i="2300"/>
  <c r="L13" i="2300" s="1"/>
  <c r="M13" i="2300" s="1"/>
  <c r="I13" i="2300"/>
  <c r="H13" i="2300" s="1"/>
  <c r="K7" i="2300"/>
  <c r="L7" i="2300" s="1"/>
  <c r="M7" i="2300" s="1"/>
  <c r="I7" i="2300"/>
  <c r="H7" i="2300" s="1"/>
  <c r="K3" i="2300"/>
  <c r="L3" i="2300" s="1"/>
  <c r="M3" i="2300" s="1"/>
  <c r="I3" i="2300"/>
  <c r="H3" i="2300" s="1"/>
  <c r="K29" i="2288"/>
  <c r="L29" i="2288" s="1"/>
  <c r="M29" i="2288" s="1"/>
  <c r="I29" i="2288"/>
  <c r="H29" i="2288" s="1"/>
  <c r="K27" i="2299"/>
  <c r="L27" i="2299" s="1"/>
  <c r="M27" i="2299" s="1"/>
  <c r="I27" i="2299"/>
  <c r="H27" i="2299" s="1"/>
  <c r="L25" i="2299"/>
  <c r="M25" i="2299" s="1"/>
  <c r="K25" i="2299"/>
  <c r="I25" i="2299"/>
  <c r="H25" i="2299"/>
  <c r="K17" i="2299"/>
  <c r="L17" i="2299" s="1"/>
  <c r="M17" i="2299" s="1"/>
  <c r="I17" i="2299"/>
  <c r="H17" i="2299"/>
  <c r="K15" i="2299"/>
  <c r="L15" i="2299" s="1"/>
  <c r="M15" i="2299" s="1"/>
  <c r="I15" i="2299"/>
  <c r="H15" i="2299"/>
  <c r="K13" i="2299"/>
  <c r="L13" i="2299" s="1"/>
  <c r="M13" i="2299" s="1"/>
  <c r="I13" i="2299"/>
  <c r="H13" i="2299"/>
  <c r="K11" i="2299"/>
  <c r="L11" i="2299" s="1"/>
  <c r="M11" i="2299" s="1"/>
  <c r="I11" i="2299"/>
  <c r="H11" i="2299"/>
  <c r="L9" i="2299"/>
  <c r="M9" i="2299" s="1"/>
  <c r="K9" i="2299"/>
  <c r="I9" i="2299"/>
  <c r="H9" i="2299"/>
  <c r="K7" i="2299"/>
  <c r="L7" i="2299" s="1"/>
  <c r="M7" i="2299" s="1"/>
  <c r="I7" i="2299"/>
  <c r="H7" i="2299" s="1"/>
  <c r="K5" i="2299"/>
  <c r="L5" i="2299" s="1"/>
  <c r="M5" i="2299" s="1"/>
  <c r="I5" i="2299"/>
  <c r="H5" i="2299"/>
  <c r="K3" i="2299"/>
  <c r="L3" i="2299" s="1"/>
  <c r="M3" i="2299" s="1"/>
  <c r="I3" i="2299"/>
  <c r="H3" i="2299" s="1"/>
  <c r="I29" i="2298"/>
  <c r="H29" i="2298" s="1"/>
  <c r="M11" i="2298"/>
  <c r="M3" i="2269"/>
  <c r="M33" i="2289"/>
  <c r="L33" i="2289"/>
  <c r="K33" i="2289"/>
  <c r="H33" i="2289"/>
  <c r="I33" i="2289"/>
  <c r="M31" i="2298"/>
  <c r="L31" i="2298"/>
  <c r="K31" i="2298"/>
  <c r="H31" i="2298"/>
  <c r="I31" i="2298"/>
  <c r="M33" i="2298"/>
  <c r="L33" i="2298"/>
  <c r="K33" i="2298"/>
  <c r="H33" i="2298"/>
  <c r="I33" i="2298"/>
  <c r="K27" i="2298"/>
  <c r="L27" i="2298" s="1"/>
  <c r="M27" i="2298" s="1"/>
  <c r="I27" i="2298"/>
  <c r="H27" i="2298" s="1"/>
  <c r="K23" i="2298"/>
  <c r="L23" i="2298" s="1"/>
  <c r="M23" i="2298" s="1"/>
  <c r="I23" i="2298"/>
  <c r="H23" i="2298" s="1"/>
  <c r="I11" i="2298"/>
  <c r="H11" i="2298" s="1"/>
  <c r="K9" i="2298"/>
  <c r="L9" i="2298" s="1"/>
  <c r="M9" i="2298" s="1"/>
  <c r="I9" i="2298"/>
  <c r="H9" i="2298"/>
  <c r="K7" i="2298"/>
  <c r="L7" i="2298" s="1"/>
  <c r="M7" i="2298" s="1"/>
  <c r="I7" i="2298"/>
  <c r="H7" i="2298" s="1"/>
  <c r="K25" i="2298"/>
  <c r="L25" i="2298" s="1"/>
  <c r="M25" i="2298" s="1"/>
  <c r="I25" i="2298"/>
  <c r="H25" i="2298" s="1"/>
  <c r="K21" i="2298"/>
  <c r="L21" i="2298" s="1"/>
  <c r="M21" i="2298" s="1"/>
  <c r="I21" i="2298"/>
  <c r="H21" i="2298" s="1"/>
  <c r="K19" i="2298"/>
  <c r="L19" i="2298" s="1"/>
  <c r="M19" i="2298" s="1"/>
  <c r="I19" i="2298"/>
  <c r="H19" i="2298" s="1"/>
  <c r="K17" i="2298"/>
  <c r="L17" i="2298" s="1"/>
  <c r="M17" i="2298" s="1"/>
  <c r="I17" i="2298"/>
  <c r="H17" i="2298" s="1"/>
  <c r="K15" i="2298"/>
  <c r="L15" i="2298" s="1"/>
  <c r="M15" i="2298" s="1"/>
  <c r="I15" i="2298"/>
  <c r="H15" i="2298" s="1"/>
  <c r="K13" i="2298"/>
  <c r="L13" i="2298" s="1"/>
  <c r="M13" i="2298" s="1"/>
  <c r="I13" i="2298"/>
  <c r="H13" i="2298"/>
  <c r="K11" i="2298"/>
  <c r="L11" i="2298" s="1"/>
  <c r="K5" i="2298"/>
  <c r="L5" i="2298" s="1"/>
  <c r="M5" i="2298" s="1"/>
  <c r="I5" i="2298"/>
  <c r="H5" i="2298" s="1"/>
  <c r="K3" i="2298"/>
  <c r="L3" i="2298" s="1"/>
  <c r="M3" i="2298" s="1"/>
  <c r="I3" i="2298"/>
  <c r="H3" i="2298" s="1"/>
  <c r="H29" i="2296"/>
  <c r="I29" i="2296"/>
  <c r="L29" i="2296"/>
  <c r="M29" i="2296" s="1"/>
  <c r="N29" i="2296" s="1"/>
  <c r="K29" i="2296"/>
  <c r="K27" i="2296"/>
  <c r="L27" i="2296" s="1"/>
  <c r="M27" i="2296" s="1"/>
  <c r="N27" i="2296" s="1"/>
  <c r="L25" i="2296"/>
  <c r="M25" i="2296"/>
  <c r="N25" i="2296"/>
  <c r="K25" i="2296"/>
  <c r="H25" i="2296"/>
  <c r="I25" i="2296"/>
  <c r="K27" i="2297"/>
  <c r="L27" i="2297" s="1"/>
  <c r="M27" i="2297" s="1"/>
  <c r="I27" i="2297"/>
  <c r="H27" i="2297" s="1"/>
  <c r="M23" i="2297"/>
  <c r="L23" i="2297"/>
  <c r="K23" i="2297"/>
  <c r="H23" i="2297"/>
  <c r="I23" i="2297"/>
  <c r="I9" i="2297"/>
  <c r="H9" i="2297" s="1"/>
  <c r="L9" i="2297"/>
  <c r="M9" i="2297" s="1"/>
  <c r="K9" i="2297"/>
  <c r="M5" i="2297"/>
  <c r="L5" i="2297"/>
  <c r="K5" i="2297"/>
  <c r="H5" i="2297"/>
  <c r="I5" i="2297"/>
  <c r="K29" i="2297"/>
  <c r="L29" i="2297" s="1"/>
  <c r="M29" i="2297" s="1"/>
  <c r="I29" i="2297"/>
  <c r="H29" i="2297"/>
  <c r="K25" i="2297"/>
  <c r="L25" i="2297" s="1"/>
  <c r="M25" i="2297" s="1"/>
  <c r="I25" i="2297"/>
  <c r="H25" i="2297" s="1"/>
  <c r="K21" i="2297"/>
  <c r="L21" i="2297" s="1"/>
  <c r="M21" i="2297" s="1"/>
  <c r="I21" i="2297"/>
  <c r="H21" i="2297" s="1"/>
  <c r="K19" i="2297"/>
  <c r="L19" i="2297" s="1"/>
  <c r="M19" i="2297" s="1"/>
  <c r="I19" i="2297"/>
  <c r="H19" i="2297"/>
  <c r="K17" i="2297"/>
  <c r="L17" i="2297" s="1"/>
  <c r="M17" i="2297" s="1"/>
  <c r="I17" i="2297"/>
  <c r="H17" i="2297" s="1"/>
  <c r="K15" i="2297"/>
  <c r="L15" i="2297" s="1"/>
  <c r="M15" i="2297" s="1"/>
  <c r="I15" i="2297"/>
  <c r="H15" i="2297" s="1"/>
  <c r="K13" i="2297"/>
  <c r="L13" i="2297" s="1"/>
  <c r="M13" i="2297" s="1"/>
  <c r="I13" i="2297"/>
  <c r="H13" i="2297"/>
  <c r="K11" i="2297"/>
  <c r="L11" i="2297" s="1"/>
  <c r="M11" i="2297" s="1"/>
  <c r="I11" i="2297"/>
  <c r="H11" i="2297"/>
  <c r="K7" i="2297"/>
  <c r="L7" i="2297" s="1"/>
  <c r="M7" i="2297" s="1"/>
  <c r="I7" i="2297"/>
  <c r="H7" i="2297" s="1"/>
  <c r="K3" i="2297"/>
  <c r="L3" i="2297" s="1"/>
  <c r="M3" i="2297" s="1"/>
  <c r="I3" i="2297"/>
  <c r="H3" i="2297"/>
  <c r="I23" i="2296"/>
  <c r="H23" i="2296" s="1"/>
  <c r="K23" i="2296"/>
  <c r="L23" i="2296" s="1"/>
  <c r="M23" i="2296" s="1"/>
  <c r="N23" i="2296" s="1"/>
  <c r="I17" i="2296"/>
  <c r="H17" i="2296" s="1"/>
  <c r="K17" i="2296"/>
  <c r="L17" i="2296" s="1"/>
  <c r="M17" i="2296" s="1"/>
  <c r="N17" i="2296" s="1"/>
  <c r="I15" i="2296"/>
  <c r="H15" i="2296" s="1"/>
  <c r="K15" i="2296"/>
  <c r="L15" i="2296" s="1"/>
  <c r="M15" i="2296" s="1"/>
  <c r="N15" i="2296" s="1"/>
  <c r="L11" i="2296"/>
  <c r="M11" i="2296" s="1"/>
  <c r="N11" i="2296" s="1"/>
  <c r="K11" i="2296"/>
  <c r="K21" i="2296"/>
  <c r="L21" i="2296" s="1"/>
  <c r="M21" i="2296" s="1"/>
  <c r="N21" i="2296" s="1"/>
  <c r="I21" i="2296"/>
  <c r="H21" i="2296" s="1"/>
  <c r="K19" i="2296"/>
  <c r="L19" i="2296" s="1"/>
  <c r="M19" i="2296" s="1"/>
  <c r="N19" i="2296" s="1"/>
  <c r="I19" i="2296"/>
  <c r="H19" i="2296" s="1"/>
  <c r="K13" i="2296"/>
  <c r="L13" i="2296" s="1"/>
  <c r="M13" i="2296" s="1"/>
  <c r="N13" i="2296" s="1"/>
  <c r="I13" i="2296"/>
  <c r="H13" i="2296" s="1"/>
  <c r="I11" i="2296"/>
  <c r="H11" i="2296" s="1"/>
  <c r="K9" i="2296"/>
  <c r="L9" i="2296" s="1"/>
  <c r="M9" i="2296" s="1"/>
  <c r="N9" i="2296" s="1"/>
  <c r="I9" i="2296"/>
  <c r="H9" i="2296" s="1"/>
  <c r="K7" i="2296"/>
  <c r="L7" i="2296" s="1"/>
  <c r="M7" i="2296" s="1"/>
  <c r="N7" i="2296" s="1"/>
  <c r="I7" i="2296"/>
  <c r="H7" i="2296"/>
  <c r="K5" i="2296"/>
  <c r="L5" i="2296" s="1"/>
  <c r="M5" i="2296" s="1"/>
  <c r="N5" i="2296" s="1"/>
  <c r="I5" i="2296"/>
  <c r="H5" i="2296" s="1"/>
  <c r="K3" i="2296"/>
  <c r="L3" i="2296" s="1"/>
  <c r="M3" i="2296" s="1"/>
  <c r="N3" i="2296" s="1"/>
  <c r="I3" i="2296"/>
  <c r="H3" i="2296"/>
  <c r="K19" i="2295"/>
  <c r="L19" i="2295" s="1"/>
  <c r="M19" i="2295" s="1"/>
  <c r="N19" i="2295" s="1"/>
  <c r="I19" i="2295"/>
  <c r="H19" i="2295" s="1"/>
  <c r="I35" i="2295"/>
  <c r="H35" i="2295" s="1"/>
  <c r="K35" i="2295"/>
  <c r="L35" i="2295" s="1"/>
  <c r="M35" i="2295" s="1"/>
  <c r="N35" i="2295" s="1"/>
  <c r="I31" i="2295"/>
  <c r="H31" i="2295" s="1"/>
  <c r="K31" i="2295"/>
  <c r="L31" i="2295" s="1"/>
  <c r="M31" i="2295" s="1"/>
  <c r="N31" i="2295" s="1"/>
  <c r="K29" i="2295"/>
  <c r="L29" i="2295" s="1"/>
  <c r="M29" i="2295" s="1"/>
  <c r="N29" i="2295" s="1"/>
  <c r="I29" i="2295"/>
  <c r="H29" i="2295"/>
  <c r="K25" i="2295"/>
  <c r="L25" i="2295" s="1"/>
  <c r="M25" i="2295" s="1"/>
  <c r="N25" i="2295" s="1"/>
  <c r="I25" i="2295"/>
  <c r="H25" i="2295" s="1"/>
  <c r="I5" i="2295"/>
  <c r="H5" i="2295" s="1"/>
  <c r="K5" i="2295"/>
  <c r="L5" i="2295" s="1"/>
  <c r="M5" i="2295" s="1"/>
  <c r="N5" i="2295" s="1"/>
  <c r="K9" i="2295"/>
  <c r="L9" i="2295" s="1"/>
  <c r="M9" i="2295" s="1"/>
  <c r="N9" i="2295" s="1"/>
  <c r="I9" i="2295"/>
  <c r="H9" i="2295" s="1"/>
  <c r="K3" i="2295"/>
  <c r="L3" i="2295" s="1"/>
  <c r="M3" i="2295" s="1"/>
  <c r="N3" i="2295" s="1"/>
  <c r="I3" i="2295"/>
  <c r="H3" i="2295" s="1"/>
  <c r="K33" i="2295"/>
  <c r="L33" i="2295" s="1"/>
  <c r="M33" i="2295" s="1"/>
  <c r="N33" i="2295" s="1"/>
  <c r="I33" i="2295"/>
  <c r="H33" i="2295"/>
  <c r="K27" i="2295"/>
  <c r="L27" i="2295" s="1"/>
  <c r="M27" i="2295" s="1"/>
  <c r="N27" i="2295" s="1"/>
  <c r="I27" i="2295"/>
  <c r="H27" i="2295" s="1"/>
  <c r="K23" i="2295"/>
  <c r="L23" i="2295" s="1"/>
  <c r="M23" i="2295" s="1"/>
  <c r="N23" i="2295" s="1"/>
  <c r="I23" i="2295"/>
  <c r="H23" i="2295" s="1"/>
  <c r="K21" i="2295"/>
  <c r="L21" i="2295" s="1"/>
  <c r="M21" i="2295" s="1"/>
  <c r="N21" i="2295" s="1"/>
  <c r="I21" i="2295"/>
  <c r="H21" i="2295"/>
  <c r="K17" i="2295"/>
  <c r="L17" i="2295" s="1"/>
  <c r="M17" i="2295" s="1"/>
  <c r="N17" i="2295" s="1"/>
  <c r="I17" i="2295"/>
  <c r="H17" i="2295" s="1"/>
  <c r="K15" i="2295"/>
  <c r="L15" i="2295" s="1"/>
  <c r="M15" i="2295" s="1"/>
  <c r="N15" i="2295" s="1"/>
  <c r="I15" i="2295"/>
  <c r="H15" i="2295" s="1"/>
  <c r="K13" i="2295"/>
  <c r="L13" i="2295" s="1"/>
  <c r="M13" i="2295" s="1"/>
  <c r="N13" i="2295" s="1"/>
  <c r="I13" i="2295"/>
  <c r="H13" i="2295" s="1"/>
  <c r="K11" i="2295"/>
  <c r="L11" i="2295" s="1"/>
  <c r="M11" i="2295" s="1"/>
  <c r="N11" i="2295" s="1"/>
  <c r="I11" i="2295"/>
  <c r="H11" i="2295" s="1"/>
  <c r="K7" i="2295"/>
  <c r="L7" i="2295" s="1"/>
  <c r="M7" i="2295" s="1"/>
  <c r="N7" i="2295" s="1"/>
  <c r="I7" i="2295"/>
  <c r="H7" i="2295" s="1"/>
  <c r="M11" i="2305" l="1"/>
  <c r="M9" i="2294"/>
  <c r="L9" i="2294"/>
  <c r="K9" i="2294"/>
  <c r="I9" i="2294"/>
  <c r="H9" i="2294" s="1"/>
  <c r="M39" i="2294"/>
  <c r="L39" i="2294"/>
  <c r="K39" i="2294"/>
  <c r="H39" i="2294"/>
  <c r="I39" i="2294"/>
  <c r="H7" i="2294"/>
  <c r="I7" i="2294"/>
  <c r="M7" i="2294"/>
  <c r="L7" i="2294"/>
  <c r="K7" i="2294"/>
  <c r="I25" i="2294"/>
  <c r="K25" i="2294"/>
  <c r="L25" i="2294" s="1"/>
  <c r="M25" i="2294" s="1"/>
  <c r="H25" i="2294"/>
  <c r="I23" i="2294"/>
  <c r="H23" i="2294" s="1"/>
  <c r="K23" i="2294"/>
  <c r="L23" i="2294" s="1"/>
  <c r="M23" i="2294" s="1"/>
  <c r="K21" i="2294"/>
  <c r="L21" i="2294" s="1"/>
  <c r="M21" i="2294" s="1"/>
  <c r="I21" i="2294"/>
  <c r="H21" i="2294" s="1"/>
  <c r="I13" i="2294"/>
  <c r="H13" i="2294" s="1"/>
  <c r="K5" i="2294"/>
  <c r="L5" i="2294" s="1"/>
  <c r="M5" i="2294" s="1"/>
  <c r="I5" i="2294"/>
  <c r="H5" i="2294" s="1"/>
  <c r="K29" i="2294"/>
  <c r="L29" i="2294" s="1"/>
  <c r="M29" i="2294" s="1"/>
  <c r="I29" i="2294"/>
  <c r="H29" i="2294" s="1"/>
  <c r="K27" i="2294"/>
  <c r="L27" i="2294" s="1"/>
  <c r="M27" i="2294" s="1"/>
  <c r="I27" i="2294"/>
  <c r="H27" i="2294"/>
  <c r="K15" i="2294"/>
  <c r="L15" i="2294" s="1"/>
  <c r="M15" i="2294" s="1"/>
  <c r="I15" i="2294"/>
  <c r="H15" i="2294"/>
  <c r="K13" i="2294"/>
  <c r="L13" i="2294" s="1"/>
  <c r="M13" i="2294" s="1"/>
  <c r="K11" i="2294"/>
  <c r="L11" i="2294" s="1"/>
  <c r="M11" i="2294" s="1"/>
  <c r="I11" i="2294"/>
  <c r="H11" i="2294" s="1"/>
  <c r="K3" i="2294"/>
  <c r="L3" i="2294" s="1"/>
  <c r="M3" i="2294" s="1"/>
  <c r="I3" i="2294"/>
  <c r="H3" i="2294" s="1"/>
  <c r="N23" i="2293"/>
  <c r="M23" i="2293"/>
  <c r="L23" i="2293"/>
  <c r="K23" i="2293"/>
  <c r="H23" i="2293"/>
  <c r="I23" i="2293"/>
  <c r="N39" i="2293"/>
  <c r="M39" i="2293"/>
  <c r="L39" i="2293"/>
  <c r="K39" i="2293"/>
  <c r="H39" i="2293"/>
  <c r="I39" i="2293"/>
  <c r="H37" i="2293"/>
  <c r="I37" i="2293"/>
  <c r="N37" i="2293"/>
  <c r="M37" i="2293"/>
  <c r="L37" i="2293"/>
  <c r="K37" i="2293"/>
  <c r="K51" i="2293"/>
  <c r="L51" i="2293" s="1"/>
  <c r="M51" i="2293" s="1"/>
  <c r="N51" i="2293" s="1"/>
  <c r="I51" i="2293"/>
  <c r="H51" i="2293"/>
  <c r="K49" i="2293"/>
  <c r="L49" i="2293" s="1"/>
  <c r="M49" i="2293" s="1"/>
  <c r="N49" i="2293" s="1"/>
  <c r="I49" i="2293"/>
  <c r="H49" i="2293" s="1"/>
  <c r="K47" i="2293"/>
  <c r="L47" i="2293" s="1"/>
  <c r="M47" i="2293" s="1"/>
  <c r="N47" i="2293" s="1"/>
  <c r="I47" i="2293"/>
  <c r="H47" i="2293" s="1"/>
  <c r="K45" i="2293"/>
  <c r="L45" i="2293" s="1"/>
  <c r="M45" i="2293" s="1"/>
  <c r="N45" i="2293" s="1"/>
  <c r="I45" i="2293"/>
  <c r="H45" i="2293" s="1"/>
  <c r="K43" i="2293"/>
  <c r="L43" i="2293" s="1"/>
  <c r="M43" i="2293" s="1"/>
  <c r="N43" i="2293" s="1"/>
  <c r="I43" i="2293"/>
  <c r="H43" i="2293" s="1"/>
  <c r="K41" i="2293"/>
  <c r="L41" i="2293" s="1"/>
  <c r="M41" i="2293" s="1"/>
  <c r="N41" i="2293" s="1"/>
  <c r="I41" i="2293"/>
  <c r="H41" i="2293"/>
  <c r="K27" i="2293"/>
  <c r="L27" i="2293" s="1"/>
  <c r="M27" i="2293" s="1"/>
  <c r="N27" i="2293" s="1"/>
  <c r="I27" i="2293"/>
  <c r="H27" i="2293" s="1"/>
  <c r="K25" i="2293"/>
  <c r="L25" i="2293" s="1"/>
  <c r="M25" i="2293" s="1"/>
  <c r="N25" i="2293" s="1"/>
  <c r="I25" i="2293"/>
  <c r="H25" i="2293"/>
  <c r="L21" i="2293"/>
  <c r="M21" i="2293" s="1"/>
  <c r="N21" i="2293" s="1"/>
  <c r="K21" i="2293"/>
  <c r="I21" i="2293"/>
  <c r="H21" i="2293" s="1"/>
  <c r="K19" i="2293"/>
  <c r="L19" i="2293" s="1"/>
  <c r="M19" i="2293" s="1"/>
  <c r="N19" i="2293" s="1"/>
  <c r="I19" i="2293"/>
  <c r="H19" i="2293" s="1"/>
  <c r="M17" i="2293"/>
  <c r="N17" i="2293" s="1"/>
  <c r="L17" i="2293"/>
  <c r="K17" i="2293"/>
  <c r="I17" i="2293"/>
  <c r="H17" i="2293"/>
  <c r="K15" i="2293"/>
  <c r="L15" i="2293" s="1"/>
  <c r="M15" i="2293" s="1"/>
  <c r="N15" i="2293" s="1"/>
  <c r="I15" i="2293"/>
  <c r="H15" i="2293"/>
  <c r="K13" i="2293"/>
  <c r="L13" i="2293" s="1"/>
  <c r="M13" i="2293" s="1"/>
  <c r="N13" i="2293" s="1"/>
  <c r="I13" i="2293"/>
  <c r="H13" i="2293"/>
  <c r="K11" i="2293"/>
  <c r="L11" i="2293" s="1"/>
  <c r="M11" i="2293" s="1"/>
  <c r="N11" i="2293" s="1"/>
  <c r="I11" i="2293"/>
  <c r="H11" i="2293" s="1"/>
  <c r="K9" i="2293"/>
  <c r="L9" i="2293" s="1"/>
  <c r="M9" i="2293" s="1"/>
  <c r="N9" i="2293" s="1"/>
  <c r="I9" i="2293"/>
  <c r="H9" i="2293"/>
  <c r="K3" i="2293"/>
  <c r="L3" i="2293" s="1"/>
  <c r="M3" i="2293" s="1"/>
  <c r="N3" i="2293" s="1"/>
  <c r="I3" i="2293"/>
  <c r="H3" i="2293" s="1"/>
  <c r="I27" i="2291"/>
  <c r="H27" i="2291" s="1"/>
  <c r="I25" i="2291"/>
  <c r="H25" i="2291" s="1"/>
  <c r="I21" i="2291"/>
  <c r="K21" i="2291"/>
  <c r="L21" i="2291" s="1"/>
  <c r="M21" i="2291" s="1"/>
  <c r="H21" i="2291"/>
  <c r="K19" i="2291"/>
  <c r="L19" i="2291" s="1"/>
  <c r="M19" i="2291" s="1"/>
  <c r="I19" i="2291"/>
  <c r="H19" i="2291" s="1"/>
  <c r="H5" i="2291"/>
  <c r="I5" i="2291"/>
  <c r="K5" i="2291"/>
  <c r="L5" i="2291" s="1"/>
  <c r="M5" i="2291" s="1"/>
  <c r="M31" i="2292"/>
  <c r="L31" i="2292"/>
  <c r="K31" i="2292"/>
  <c r="I31" i="2292"/>
  <c r="H31" i="2292" s="1"/>
  <c r="K33" i="2292"/>
  <c r="L33" i="2292" s="1"/>
  <c r="M33" i="2292" s="1"/>
  <c r="I33" i="2292"/>
  <c r="H33" i="2292"/>
  <c r="L35" i="2292"/>
  <c r="M35" i="2292" s="1"/>
  <c r="K35" i="2292"/>
  <c r="I35" i="2292"/>
  <c r="H35" i="2292"/>
  <c r="K29" i="2292"/>
  <c r="L29" i="2292" s="1"/>
  <c r="M29" i="2292" s="1"/>
  <c r="I29" i="2292"/>
  <c r="H29" i="2292"/>
  <c r="K27" i="2292"/>
  <c r="L27" i="2292" s="1"/>
  <c r="M27" i="2292" s="1"/>
  <c r="I27" i="2292"/>
  <c r="H27" i="2292" s="1"/>
  <c r="K25" i="2292"/>
  <c r="L25" i="2292" s="1"/>
  <c r="M25" i="2292" s="1"/>
  <c r="I25" i="2292"/>
  <c r="H25" i="2292" s="1"/>
  <c r="K21" i="2292"/>
  <c r="L21" i="2292" s="1"/>
  <c r="M21" i="2292" s="1"/>
  <c r="I21" i="2292"/>
  <c r="H21" i="2292" s="1"/>
  <c r="K11" i="2292"/>
  <c r="L11" i="2292" s="1"/>
  <c r="M11" i="2292" s="1"/>
  <c r="I11" i="2292"/>
  <c r="H11" i="2292" s="1"/>
  <c r="K9" i="2292"/>
  <c r="L9" i="2292" s="1"/>
  <c r="M9" i="2292" s="1"/>
  <c r="I9" i="2292"/>
  <c r="H9" i="2292" s="1"/>
  <c r="K5" i="2292"/>
  <c r="L5" i="2292" s="1"/>
  <c r="M5" i="2292" s="1"/>
  <c r="I5" i="2292"/>
  <c r="H5" i="2292" s="1"/>
  <c r="M3" i="2292"/>
  <c r="L3" i="2292"/>
  <c r="K3" i="2292"/>
  <c r="I3" i="2292"/>
  <c r="H3" i="2292" s="1"/>
  <c r="K23" i="2292"/>
  <c r="L23" i="2292" s="1"/>
  <c r="M23" i="2292" s="1"/>
  <c r="I23" i="2292"/>
  <c r="H23" i="2292" s="1"/>
  <c r="K19" i="2292"/>
  <c r="L19" i="2292" s="1"/>
  <c r="M19" i="2292" s="1"/>
  <c r="I19" i="2292"/>
  <c r="H19" i="2292"/>
  <c r="K17" i="2292"/>
  <c r="L17" i="2292" s="1"/>
  <c r="M17" i="2292" s="1"/>
  <c r="I17" i="2292"/>
  <c r="H17" i="2292" s="1"/>
  <c r="K15" i="2292"/>
  <c r="L15" i="2292" s="1"/>
  <c r="M15" i="2292" s="1"/>
  <c r="I15" i="2292"/>
  <c r="H15" i="2292"/>
  <c r="K13" i="2292"/>
  <c r="L13" i="2292" s="1"/>
  <c r="M13" i="2292" s="1"/>
  <c r="I13" i="2292"/>
  <c r="H13" i="2292" s="1"/>
  <c r="K7" i="2292"/>
  <c r="L7" i="2292" s="1"/>
  <c r="M7" i="2292" s="1"/>
  <c r="I7" i="2292"/>
  <c r="H7" i="2292" s="1"/>
  <c r="K25" i="2291"/>
  <c r="L25" i="2291" s="1"/>
  <c r="M25" i="2291" s="1"/>
  <c r="K17" i="2291"/>
  <c r="L17" i="2291" s="1"/>
  <c r="M17" i="2291" s="1"/>
  <c r="I17" i="2291"/>
  <c r="H17" i="2291" s="1"/>
  <c r="K15" i="2291"/>
  <c r="L15" i="2291" s="1"/>
  <c r="M15" i="2291" s="1"/>
  <c r="I15" i="2291"/>
  <c r="H15" i="2291" s="1"/>
  <c r="I11" i="2291"/>
  <c r="H11" i="2291" s="1"/>
  <c r="K11" i="2291"/>
  <c r="L11" i="2291" s="1"/>
  <c r="M11" i="2291" s="1"/>
  <c r="K9" i="2291"/>
  <c r="L9" i="2291" s="1"/>
  <c r="M9" i="2291" s="1"/>
  <c r="K7" i="2291"/>
  <c r="L7" i="2291" s="1"/>
  <c r="M7" i="2291" s="1"/>
  <c r="I9" i="2291"/>
  <c r="H9" i="2291" s="1"/>
  <c r="I7" i="2291"/>
  <c r="H7" i="2291" s="1"/>
  <c r="K29" i="2291"/>
  <c r="L29" i="2291" s="1"/>
  <c r="M29" i="2291" s="1"/>
  <c r="I29" i="2291"/>
  <c r="H29" i="2291" s="1"/>
  <c r="K27" i="2291"/>
  <c r="L27" i="2291" s="1"/>
  <c r="M27" i="2291" s="1"/>
  <c r="K23" i="2291"/>
  <c r="I23" i="2291"/>
  <c r="H23" i="2291" s="1"/>
  <c r="K13" i="2291"/>
  <c r="L13" i="2291" s="1"/>
  <c r="M13" i="2291" s="1"/>
  <c r="I13" i="2291"/>
  <c r="H13" i="2291" s="1"/>
  <c r="K3" i="2291"/>
  <c r="L3" i="2291" s="1"/>
  <c r="M3" i="2291" s="1"/>
  <c r="I3" i="2291"/>
  <c r="H3" i="2291" s="1"/>
  <c r="K23" i="2252"/>
  <c r="L23" i="2252" s="1"/>
  <c r="M23" i="2252" s="1"/>
  <c r="I23" i="2252"/>
  <c r="H23" i="2252"/>
  <c r="K21" i="2252"/>
  <c r="L21" i="2252" s="1"/>
  <c r="M21" i="2252" s="1"/>
  <c r="I21" i="2252"/>
  <c r="H21" i="2252"/>
  <c r="K19" i="2252"/>
  <c r="L19" i="2252" s="1"/>
  <c r="M19" i="2252" s="1"/>
  <c r="I19" i="2252"/>
  <c r="H19" i="2252" s="1"/>
  <c r="K17" i="2252"/>
  <c r="L17" i="2252" s="1"/>
  <c r="M17" i="2252" s="1"/>
  <c r="I17" i="2252"/>
  <c r="H17" i="2252" s="1"/>
  <c r="K15" i="2252"/>
  <c r="L15" i="2252" s="1"/>
  <c r="M15" i="2252" s="1"/>
  <c r="I15" i="2252"/>
  <c r="H15" i="2252"/>
  <c r="K13" i="2252"/>
  <c r="L13" i="2252" s="1"/>
  <c r="M13" i="2252" s="1"/>
  <c r="I13" i="2252"/>
  <c r="H13" i="2252"/>
  <c r="K11" i="2252"/>
  <c r="L11" i="2252" s="1"/>
  <c r="M11" i="2252" s="1"/>
  <c r="I11" i="2252"/>
  <c r="H11" i="2252" s="1"/>
  <c r="K9" i="2252"/>
  <c r="L9" i="2252" s="1"/>
  <c r="M9" i="2252" s="1"/>
  <c r="I9" i="2252"/>
  <c r="H9" i="2252" s="1"/>
  <c r="K7" i="2252"/>
  <c r="L7" i="2252" s="1"/>
  <c r="M7" i="2252" s="1"/>
  <c r="I7" i="2252"/>
  <c r="H7" i="2252" s="1"/>
  <c r="K5" i="2252"/>
  <c r="L5" i="2252" s="1"/>
  <c r="M5" i="2252" s="1"/>
  <c r="I5" i="2252"/>
  <c r="H5" i="2252"/>
  <c r="K3" i="2252"/>
  <c r="L3" i="2252" s="1"/>
  <c r="M3" i="2252" s="1"/>
  <c r="I3" i="2252"/>
  <c r="H3" i="2252"/>
  <c r="I25" i="2287"/>
  <c r="H25" i="2287" s="1"/>
  <c r="K29" i="2289"/>
  <c r="L29" i="2289" s="1"/>
  <c r="M29" i="2289" s="1"/>
  <c r="I29" i="2289"/>
  <c r="H29" i="2289" s="1"/>
  <c r="K23" i="2289"/>
  <c r="L23" i="2289" s="1"/>
  <c r="M23" i="2289" s="1"/>
  <c r="I23" i="2289"/>
  <c r="H23" i="2289" s="1"/>
  <c r="K21" i="2289"/>
  <c r="L21" i="2289" s="1"/>
  <c r="M21" i="2289" s="1"/>
  <c r="I21" i="2289"/>
  <c r="H21" i="2289"/>
  <c r="M19" i="2289"/>
  <c r="K11" i="2289"/>
  <c r="L11" i="2289" s="1"/>
  <c r="M11" i="2289" s="1"/>
  <c r="I11" i="2289"/>
  <c r="H11" i="2289" s="1"/>
  <c r="K9" i="2289"/>
  <c r="L9" i="2289" s="1"/>
  <c r="M9" i="2289" s="1"/>
  <c r="I9" i="2289"/>
  <c r="H9" i="2289"/>
  <c r="K5" i="2289"/>
  <c r="L5" i="2289" s="1"/>
  <c r="M5" i="2289" s="1"/>
  <c r="I5" i="2289"/>
  <c r="H5" i="2289" s="1"/>
  <c r="K27" i="2289"/>
  <c r="L27" i="2289" s="1"/>
  <c r="M27" i="2289" s="1"/>
  <c r="I27" i="2289"/>
  <c r="H27" i="2289"/>
  <c r="K25" i="2289"/>
  <c r="L25" i="2289" s="1"/>
  <c r="M25" i="2289" s="1"/>
  <c r="I25" i="2289"/>
  <c r="H25" i="2289" s="1"/>
  <c r="K19" i="2289"/>
  <c r="L19" i="2289" s="1"/>
  <c r="I19" i="2289"/>
  <c r="H19" i="2289"/>
  <c r="K17" i="2289"/>
  <c r="L17" i="2289" s="1"/>
  <c r="M17" i="2289" s="1"/>
  <c r="I17" i="2289"/>
  <c r="H17" i="2289" s="1"/>
  <c r="K15" i="2289"/>
  <c r="L15" i="2289" s="1"/>
  <c r="M15" i="2289" s="1"/>
  <c r="I15" i="2289"/>
  <c r="H15" i="2289"/>
  <c r="K13" i="2289"/>
  <c r="L13" i="2289" s="1"/>
  <c r="M13" i="2289" s="1"/>
  <c r="I13" i="2289"/>
  <c r="H13" i="2289" s="1"/>
  <c r="K7" i="2289"/>
  <c r="L7" i="2289" s="1"/>
  <c r="M7" i="2289" s="1"/>
  <c r="I7" i="2289"/>
  <c r="H7" i="2289"/>
  <c r="K3" i="2289"/>
  <c r="L3" i="2289" s="1"/>
  <c r="M3" i="2289" s="1"/>
  <c r="I3" i="2289"/>
  <c r="H3" i="2289" s="1"/>
  <c r="I27" i="2287"/>
  <c r="L23" i="2287"/>
  <c r="M23" i="2287" s="1"/>
  <c r="K23" i="2287"/>
  <c r="H23" i="2287"/>
  <c r="I23" i="2287"/>
  <c r="H11" i="2287"/>
  <c r="K27" i="2288"/>
  <c r="L27" i="2288" s="1"/>
  <c r="M27" i="2288" s="1"/>
  <c r="I27" i="2288"/>
  <c r="H27" i="2288" s="1"/>
  <c r="K25" i="2288"/>
  <c r="L25" i="2288" s="1"/>
  <c r="M25" i="2288" s="1"/>
  <c r="I25" i="2288"/>
  <c r="H25" i="2288" s="1"/>
  <c r="K11" i="2288"/>
  <c r="L11" i="2288" s="1"/>
  <c r="M11" i="2288" s="1"/>
  <c r="I11" i="2288"/>
  <c r="H11" i="2288" s="1"/>
  <c r="K9" i="2288"/>
  <c r="L9" i="2288" s="1"/>
  <c r="M9" i="2288" s="1"/>
  <c r="I9" i="2288"/>
  <c r="H9" i="2288" s="1"/>
  <c r="K5" i="2288"/>
  <c r="L5" i="2288" s="1"/>
  <c r="M5" i="2288" s="1"/>
  <c r="I5" i="2288"/>
  <c r="H5" i="2288" s="1"/>
  <c r="K17" i="2288"/>
  <c r="L17" i="2288" s="1"/>
  <c r="M17" i="2288" s="1"/>
  <c r="I17" i="2288"/>
  <c r="H17" i="2288" s="1"/>
  <c r="K15" i="2288"/>
  <c r="L15" i="2288" s="1"/>
  <c r="M15" i="2288" s="1"/>
  <c r="I15" i="2288"/>
  <c r="H15" i="2288"/>
  <c r="K13" i="2288"/>
  <c r="L13" i="2288" s="1"/>
  <c r="M13" i="2288" s="1"/>
  <c r="I13" i="2288"/>
  <c r="H13" i="2288" s="1"/>
  <c r="K7" i="2288"/>
  <c r="L7" i="2288" s="1"/>
  <c r="M7" i="2288" s="1"/>
  <c r="I7" i="2288"/>
  <c r="H7" i="2288"/>
  <c r="K3" i="2288"/>
  <c r="L3" i="2288" s="1"/>
  <c r="M3" i="2288" s="1"/>
  <c r="I3" i="2288"/>
  <c r="H3" i="2288" s="1"/>
  <c r="I11" i="2287"/>
  <c r="I13" i="2287"/>
  <c r="H13" i="2287" s="1"/>
  <c r="K25" i="2287"/>
  <c r="L25" i="2287" s="1"/>
  <c r="M25" i="2287" s="1"/>
  <c r="K27" i="2287"/>
  <c r="L27" i="2287" s="1"/>
  <c r="M27" i="2287" s="1"/>
  <c r="H27" i="2287"/>
  <c r="K19" i="2287"/>
  <c r="L19" i="2287" s="1"/>
  <c r="I19" i="2287"/>
  <c r="H19" i="2287" s="1"/>
  <c r="K11" i="2287"/>
  <c r="L11" i="2287" s="1"/>
  <c r="M11" i="2287" s="1"/>
  <c r="K5" i="2287"/>
  <c r="L5" i="2287" s="1"/>
  <c r="M5" i="2287" s="1"/>
  <c r="I5" i="2287"/>
  <c r="H5" i="2287" s="1"/>
  <c r="I3" i="2287"/>
  <c r="K17" i="2287"/>
  <c r="L17" i="2287" s="1"/>
  <c r="M17" i="2287" s="1"/>
  <c r="I17" i="2287"/>
  <c r="H17" i="2287" s="1"/>
  <c r="K15" i="2287"/>
  <c r="L15" i="2287" s="1"/>
  <c r="M15" i="2287" s="1"/>
  <c r="I15" i="2287"/>
  <c r="H15" i="2287" s="1"/>
  <c r="K13" i="2287"/>
  <c r="L13" i="2287" s="1"/>
  <c r="M13" i="2287" s="1"/>
  <c r="K9" i="2287"/>
  <c r="L9" i="2287" s="1"/>
  <c r="M9" i="2287" s="1"/>
  <c r="I9" i="2287"/>
  <c r="H9" i="2287"/>
  <c r="K7" i="2287"/>
  <c r="L7" i="2287" s="1"/>
  <c r="M7" i="2287" s="1"/>
  <c r="I7" i="2287"/>
  <c r="H7" i="2287" s="1"/>
  <c r="K3" i="2287"/>
  <c r="L3" i="2287" s="1"/>
  <c r="M3" i="2287" s="1"/>
  <c r="H3" i="2287"/>
  <c r="K27" i="2286"/>
  <c r="L27" i="2286" s="1"/>
  <c r="M27" i="2286" s="1"/>
  <c r="K29" i="2286"/>
  <c r="L29" i="2286" s="1"/>
  <c r="M29" i="2286" s="1"/>
  <c r="I29" i="2286"/>
  <c r="H29" i="2286" s="1"/>
  <c r="I27" i="2286"/>
  <c r="H27" i="2286" s="1"/>
  <c r="K25" i="2286"/>
  <c r="L25" i="2286" s="1"/>
  <c r="M25" i="2286" s="1"/>
  <c r="H25" i="2286"/>
  <c r="I25" i="2286"/>
  <c r="I23" i="2286"/>
  <c r="K23" i="2286"/>
  <c r="L23" i="2286" s="1"/>
  <c r="M23" i="2286" s="1"/>
  <c r="H23" i="2286"/>
  <c r="K21" i="2286"/>
  <c r="L21" i="2286" s="1"/>
  <c r="M21" i="2286" s="1"/>
  <c r="I21" i="2286"/>
  <c r="H21" i="2286" s="1"/>
  <c r="I19" i="2286"/>
  <c r="K13" i="2286"/>
  <c r="L13" i="2286" s="1"/>
  <c r="M13" i="2286" s="1"/>
  <c r="I13" i="2286"/>
  <c r="H13" i="2286" s="1"/>
  <c r="M11" i="2286"/>
  <c r="L11" i="2286"/>
  <c r="K11" i="2286"/>
  <c r="H11" i="2286"/>
  <c r="I11" i="2286"/>
  <c r="K3" i="2286"/>
  <c r="L3" i="2286" s="1"/>
  <c r="M3" i="2286" s="1"/>
  <c r="I3" i="2286"/>
  <c r="H3" i="2286" s="1"/>
  <c r="I9" i="2286"/>
  <c r="K19" i="2286"/>
  <c r="L19" i="2286" s="1"/>
  <c r="M19" i="2286" s="1"/>
  <c r="H19" i="2286"/>
  <c r="L17" i="2286"/>
  <c r="M17" i="2286" s="1"/>
  <c r="K17" i="2286"/>
  <c r="I17" i="2286"/>
  <c r="H17" i="2286" s="1"/>
  <c r="K15" i="2286"/>
  <c r="L15" i="2286" s="1"/>
  <c r="M15" i="2286" s="1"/>
  <c r="I15" i="2286"/>
  <c r="H15" i="2286" s="1"/>
  <c r="K9" i="2286"/>
  <c r="L9" i="2286" s="1"/>
  <c r="M9" i="2286" s="1"/>
  <c r="H9" i="2286"/>
  <c r="K7" i="2286"/>
  <c r="L7" i="2286" s="1"/>
  <c r="M7" i="2286" s="1"/>
  <c r="I7" i="2286"/>
  <c r="H7" i="2286" s="1"/>
  <c r="K5" i="2286"/>
  <c r="L5" i="2286" s="1"/>
  <c r="M5" i="2286" s="1"/>
  <c r="I5" i="2286"/>
  <c r="H5" i="2286" s="1"/>
  <c r="M25" i="2284"/>
  <c r="L25" i="2284"/>
  <c r="K25" i="2284"/>
  <c r="H25" i="2284"/>
  <c r="I25" i="2284"/>
  <c r="I23" i="2282"/>
  <c r="N33" i="2251"/>
  <c r="N31" i="2251"/>
  <c r="N21" i="2251"/>
  <c r="N11" i="2251"/>
  <c r="N3" i="2251"/>
  <c r="K25" i="2259"/>
  <c r="L25" i="2259" s="1"/>
  <c r="M25" i="2259" s="1"/>
  <c r="I25" i="2259"/>
  <c r="H25" i="2259" s="1"/>
  <c r="M9" i="2259"/>
  <c r="L9" i="2259"/>
  <c r="K9" i="2259"/>
  <c r="H9" i="2259"/>
  <c r="I9" i="2259"/>
  <c r="N29" i="2257"/>
  <c r="N27" i="2257"/>
  <c r="N25" i="2257"/>
  <c r="N21" i="2257"/>
  <c r="N19" i="2257"/>
  <c r="N17" i="2257"/>
  <c r="N15" i="2257"/>
  <c r="N13" i="2257"/>
  <c r="N11" i="2257"/>
  <c r="N9" i="2257"/>
  <c r="N7" i="2257"/>
  <c r="N5" i="2257"/>
  <c r="N3" i="2257"/>
  <c r="I3" i="2284"/>
  <c r="H3" i="2284" s="1"/>
  <c r="K3" i="2284"/>
  <c r="L3" i="2284" s="1"/>
  <c r="M3" i="2284" s="1"/>
  <c r="N3" i="2284" s="1"/>
  <c r="I5" i="2284"/>
  <c r="H5" i="2284" s="1"/>
  <c r="K5" i="2284"/>
  <c r="L5" i="2284"/>
  <c r="M5" i="2284"/>
  <c r="N5" i="2284"/>
  <c r="I7" i="2284"/>
  <c r="H7" i="2284" s="1"/>
  <c r="K7" i="2284"/>
  <c r="L7" i="2284"/>
  <c r="M7" i="2284" s="1"/>
  <c r="N7" i="2284" s="1"/>
  <c r="I9" i="2284"/>
  <c r="H9" i="2284" s="1"/>
  <c r="K9" i="2284"/>
  <c r="L9" i="2284"/>
  <c r="M9" i="2284" s="1"/>
  <c r="N9" i="2284" s="1"/>
  <c r="I11" i="2284"/>
  <c r="H11" i="2284" s="1"/>
  <c r="K11" i="2284"/>
  <c r="L11" i="2284" s="1"/>
  <c r="M11" i="2284" s="1"/>
  <c r="N11" i="2284" s="1"/>
  <c r="I13" i="2284"/>
  <c r="H13" i="2284" s="1"/>
  <c r="K13" i="2284"/>
  <c r="L13" i="2284" s="1"/>
  <c r="M13" i="2284" s="1"/>
  <c r="N13" i="2284" s="1"/>
  <c r="I15" i="2284"/>
  <c r="H15" i="2284" s="1"/>
  <c r="K15" i="2284"/>
  <c r="L15" i="2284"/>
  <c r="M15" i="2284"/>
  <c r="N15" i="2284"/>
  <c r="I17" i="2284"/>
  <c r="H17" i="2284" s="1"/>
  <c r="K17" i="2284"/>
  <c r="L17" i="2284"/>
  <c r="M17" i="2284" s="1"/>
  <c r="N17" i="2284" s="1"/>
  <c r="H19" i="2284"/>
  <c r="I19" i="2284"/>
  <c r="K19" i="2284"/>
  <c r="L19" i="2284"/>
  <c r="M19" i="2284"/>
  <c r="N19" i="2284"/>
  <c r="I21" i="2284"/>
  <c r="H21" i="2284" s="1"/>
  <c r="K21" i="2284"/>
  <c r="L21" i="2284"/>
  <c r="M21" i="2284"/>
  <c r="N21" i="2284"/>
  <c r="I23" i="2284"/>
  <c r="H23" i="2284" s="1"/>
  <c r="K23" i="2284"/>
  <c r="L23" i="2284"/>
  <c r="M23" i="2284" s="1"/>
  <c r="N23" i="2284" s="1"/>
  <c r="I27" i="2282"/>
  <c r="K27" i="2282"/>
  <c r="K5" i="2282"/>
  <c r="L5" i="2282" s="1"/>
  <c r="M5" i="2282" s="1"/>
  <c r="I5" i="2282"/>
  <c r="H5" i="2282"/>
  <c r="L27" i="2282"/>
  <c r="M27" i="2282" s="1"/>
  <c r="H27" i="2282"/>
  <c r="K25" i="2282"/>
  <c r="L25" i="2282" s="1"/>
  <c r="M25" i="2282" s="1"/>
  <c r="I25" i="2282"/>
  <c r="H25" i="2282" s="1"/>
  <c r="K23" i="2282"/>
  <c r="L23" i="2282" s="1"/>
  <c r="M23" i="2282" s="1"/>
  <c r="H23" i="2282"/>
  <c r="K19" i="2282"/>
  <c r="L19" i="2282" s="1"/>
  <c r="M19" i="2282" s="1"/>
  <c r="I19" i="2282"/>
  <c r="H19" i="2282" s="1"/>
  <c r="K17" i="2282"/>
  <c r="L17" i="2282" s="1"/>
  <c r="M17" i="2282" s="1"/>
  <c r="I17" i="2282"/>
  <c r="H17" i="2282" s="1"/>
  <c r="K15" i="2282"/>
  <c r="L15" i="2282" s="1"/>
  <c r="M15" i="2282" s="1"/>
  <c r="I15" i="2282"/>
  <c r="H15" i="2282" s="1"/>
  <c r="K11" i="2282"/>
  <c r="L11" i="2282" s="1"/>
  <c r="M11" i="2282" s="1"/>
  <c r="I11" i="2282"/>
  <c r="H11" i="2282" s="1"/>
  <c r="K9" i="2282"/>
  <c r="L9" i="2282" s="1"/>
  <c r="M9" i="2282" s="1"/>
  <c r="I9" i="2282"/>
  <c r="H9" i="2282" s="1"/>
  <c r="K7" i="2282"/>
  <c r="L7" i="2282" s="1"/>
  <c r="M7" i="2282" s="1"/>
  <c r="I7" i="2282"/>
  <c r="H7" i="2282" s="1"/>
  <c r="K3" i="2282"/>
  <c r="L3" i="2282" s="1"/>
  <c r="M3" i="2282" s="1"/>
  <c r="I3" i="2282"/>
  <c r="H3" i="2282" s="1"/>
  <c r="K47" i="2281"/>
  <c r="L47" i="2281" s="1"/>
  <c r="M47" i="2281" s="1"/>
  <c r="N47" i="2281" s="1"/>
  <c r="I47" i="2281"/>
  <c r="H47" i="2281" s="1"/>
  <c r="K45" i="2281"/>
  <c r="L45" i="2281" s="1"/>
  <c r="M45" i="2281" s="1"/>
  <c r="N45" i="2281" s="1"/>
  <c r="I45" i="2281"/>
  <c r="H45" i="2281"/>
  <c r="K43" i="2281"/>
  <c r="L43" i="2281" s="1"/>
  <c r="M43" i="2281" s="1"/>
  <c r="N43" i="2281" s="1"/>
  <c r="I43" i="2281"/>
  <c r="H43" i="2281" s="1"/>
  <c r="N41" i="2281"/>
  <c r="M41" i="2281"/>
  <c r="L41" i="2281"/>
  <c r="K41" i="2281"/>
  <c r="H41" i="2281"/>
  <c r="I41" i="2281"/>
  <c r="K51" i="2281"/>
  <c r="L51" i="2281" s="1"/>
  <c r="M51" i="2281" s="1"/>
  <c r="N51" i="2281" s="1"/>
  <c r="I51" i="2281"/>
  <c r="H51" i="2281" s="1"/>
  <c r="K49" i="2281"/>
  <c r="L49" i="2281" s="1"/>
  <c r="M49" i="2281" s="1"/>
  <c r="N49" i="2281" s="1"/>
  <c r="I49" i="2281"/>
  <c r="H49" i="2281"/>
  <c r="N39" i="2281"/>
  <c r="M39" i="2281"/>
  <c r="L39" i="2281"/>
  <c r="K39" i="2281"/>
  <c r="H39" i="2281"/>
  <c r="I39" i="2281"/>
  <c r="N37" i="2281"/>
  <c r="M37" i="2281"/>
  <c r="L37" i="2281"/>
  <c r="K37" i="2281"/>
  <c r="H37" i="2281"/>
  <c r="I37" i="2281"/>
  <c r="K27" i="2281"/>
  <c r="L27" i="2281" s="1"/>
  <c r="M27" i="2281" s="1"/>
  <c r="N27" i="2281" s="1"/>
  <c r="I27" i="2281"/>
  <c r="H27" i="2281"/>
  <c r="K25" i="2281"/>
  <c r="L25" i="2281" s="1"/>
  <c r="M25" i="2281" s="1"/>
  <c r="N25" i="2281" s="1"/>
  <c r="I25" i="2281"/>
  <c r="H25" i="2281" s="1"/>
  <c r="K21" i="2281"/>
  <c r="L21" i="2281" s="1"/>
  <c r="M21" i="2281" s="1"/>
  <c r="N21" i="2281" s="1"/>
  <c r="I21" i="2281"/>
  <c r="H21" i="2281"/>
  <c r="L19" i="2281"/>
  <c r="M19" i="2281" s="1"/>
  <c r="N19" i="2281" s="1"/>
  <c r="K19" i="2281"/>
  <c r="I19" i="2281"/>
  <c r="H19" i="2281"/>
  <c r="K17" i="2281"/>
  <c r="L17" i="2281" s="1"/>
  <c r="M17" i="2281" s="1"/>
  <c r="N17" i="2281" s="1"/>
  <c r="I17" i="2281"/>
  <c r="H17" i="2281"/>
  <c r="K15" i="2281"/>
  <c r="L15" i="2281" s="1"/>
  <c r="M15" i="2281" s="1"/>
  <c r="N15" i="2281" s="1"/>
  <c r="I15" i="2281"/>
  <c r="H15" i="2281" s="1"/>
  <c r="K13" i="2281"/>
  <c r="L13" i="2281" s="1"/>
  <c r="M13" i="2281" s="1"/>
  <c r="N13" i="2281" s="1"/>
  <c r="I13" i="2281"/>
  <c r="H13" i="2281" s="1"/>
  <c r="K11" i="2281"/>
  <c r="L11" i="2281" s="1"/>
  <c r="M11" i="2281" s="1"/>
  <c r="N11" i="2281" s="1"/>
  <c r="I11" i="2281"/>
  <c r="H11" i="2281"/>
  <c r="M9" i="2281"/>
  <c r="N9" i="2281" s="1"/>
  <c r="L9" i="2281"/>
  <c r="K9" i="2281"/>
  <c r="I9" i="2281"/>
  <c r="H9" i="2281" s="1"/>
  <c r="L3" i="2281"/>
  <c r="M3" i="2281" s="1"/>
  <c r="N3" i="2281" s="1"/>
  <c r="K3" i="2281"/>
  <c r="I3" i="2281"/>
  <c r="H3" i="2281"/>
  <c r="N13" i="2280"/>
  <c r="M13" i="2280"/>
  <c r="L13" i="2280"/>
  <c r="K13" i="2280"/>
  <c r="H13" i="2280"/>
  <c r="I13" i="2280"/>
  <c r="K25" i="2280"/>
  <c r="L25" i="2280" s="1"/>
  <c r="M25" i="2280" s="1"/>
  <c r="N25" i="2280" s="1"/>
  <c r="I25" i="2280"/>
  <c r="H25" i="2280" s="1"/>
  <c r="K23" i="2280"/>
  <c r="L23" i="2280" s="1"/>
  <c r="M23" i="2280" s="1"/>
  <c r="N23" i="2280" s="1"/>
  <c r="I23" i="2280"/>
  <c r="H23" i="2280" s="1"/>
  <c r="K21" i="2280"/>
  <c r="L21" i="2280" s="1"/>
  <c r="M21" i="2280" s="1"/>
  <c r="N21" i="2280" s="1"/>
  <c r="I21" i="2280"/>
  <c r="H21" i="2280"/>
  <c r="K19" i="2280"/>
  <c r="L19" i="2280" s="1"/>
  <c r="M19" i="2280" s="1"/>
  <c r="N19" i="2280" s="1"/>
  <c r="I19" i="2280"/>
  <c r="H19" i="2280"/>
  <c r="K17" i="2280"/>
  <c r="L17" i="2280" s="1"/>
  <c r="M17" i="2280" s="1"/>
  <c r="N17" i="2280" s="1"/>
  <c r="K15" i="2280"/>
  <c r="L15" i="2280" s="1"/>
  <c r="M15" i="2280" s="1"/>
  <c r="N15" i="2280" s="1"/>
  <c r="I15" i="2280"/>
  <c r="H15" i="2280" s="1"/>
  <c r="K9" i="2280"/>
  <c r="L9" i="2280" s="1"/>
  <c r="M9" i="2280" s="1"/>
  <c r="N9" i="2280" s="1"/>
  <c r="I9" i="2280"/>
  <c r="H9" i="2280"/>
  <c r="I17" i="2280"/>
  <c r="H17" i="2280" s="1"/>
  <c r="K11" i="2280"/>
  <c r="L11" i="2280" s="1"/>
  <c r="M11" i="2280" s="1"/>
  <c r="N11" i="2280" s="1"/>
  <c r="I11" i="2280"/>
  <c r="H11" i="2280"/>
  <c r="K3" i="2280"/>
  <c r="L3" i="2280" s="1"/>
  <c r="M3" i="2280" s="1"/>
  <c r="N3" i="2280" s="1"/>
  <c r="I3" i="2280"/>
  <c r="H3" i="2280"/>
  <c r="N13" i="2279"/>
  <c r="N11" i="2279"/>
  <c r="N9" i="2279"/>
  <c r="N7" i="2279"/>
  <c r="K5" i="2279"/>
  <c r="L5" i="2279" s="1"/>
  <c r="M5" i="2279" s="1"/>
  <c r="N5" i="2279" s="1"/>
  <c r="I3" i="2279"/>
  <c r="H3" i="2279" s="1"/>
  <c r="K3" i="2279"/>
  <c r="L3" i="2279" s="1"/>
  <c r="M3" i="2279" s="1"/>
  <c r="N3" i="2279" s="1"/>
  <c r="H13" i="2279"/>
  <c r="I13" i="2279"/>
  <c r="M13" i="2279"/>
  <c r="L13" i="2279"/>
  <c r="K13" i="2279"/>
  <c r="M7" i="2279"/>
  <c r="L7" i="2279"/>
  <c r="K7" i="2279"/>
  <c r="H7" i="2279"/>
  <c r="I7" i="2279"/>
  <c r="K11" i="2279"/>
  <c r="L11" i="2279" s="1"/>
  <c r="M11" i="2279" s="1"/>
  <c r="I11" i="2279"/>
  <c r="H11" i="2279"/>
  <c r="K9" i="2279"/>
  <c r="L9" i="2279" s="1"/>
  <c r="M9" i="2279" s="1"/>
  <c r="I9" i="2279"/>
  <c r="H9" i="2279"/>
  <c r="K25" i="2278"/>
  <c r="L25" i="2278" s="1"/>
  <c r="M25" i="2278" s="1"/>
  <c r="I25" i="2278"/>
  <c r="H25" i="2278" s="1"/>
  <c r="K33" i="2278"/>
  <c r="L33" i="2278" s="1"/>
  <c r="M33" i="2278" s="1"/>
  <c r="I33" i="2278"/>
  <c r="H33" i="2278" s="1"/>
  <c r="K31" i="2278"/>
  <c r="L31" i="2278" s="1"/>
  <c r="M31" i="2278" s="1"/>
  <c r="I31" i="2278"/>
  <c r="H31" i="2278" s="1"/>
  <c r="K29" i="2278"/>
  <c r="L29" i="2278" s="1"/>
  <c r="M29" i="2278" s="1"/>
  <c r="I29" i="2278"/>
  <c r="H29" i="2278" s="1"/>
  <c r="K19" i="2278"/>
  <c r="L19" i="2278" s="1"/>
  <c r="M19" i="2278" s="1"/>
  <c r="H19" i="2278"/>
  <c r="K11" i="2278"/>
  <c r="L11" i="2278" s="1"/>
  <c r="M11" i="2278" s="1"/>
  <c r="I11" i="2278"/>
  <c r="H11" i="2278" s="1"/>
  <c r="L27" i="2278"/>
  <c r="M27" i="2278" s="1"/>
  <c r="K27" i="2278"/>
  <c r="K21" i="2278"/>
  <c r="L21" i="2278" s="1"/>
  <c r="M21" i="2278" s="1"/>
  <c r="I21" i="2278"/>
  <c r="H21" i="2278" s="1"/>
  <c r="K9" i="2278"/>
  <c r="L9" i="2278" s="1"/>
  <c r="M9" i="2278" s="1"/>
  <c r="I9" i="2278"/>
  <c r="H9" i="2278" s="1"/>
  <c r="K13" i="2278"/>
  <c r="L13" i="2278" s="1"/>
  <c r="M13" i="2278" s="1"/>
  <c r="I13" i="2278"/>
  <c r="H13" i="2278" s="1"/>
  <c r="K5" i="2278"/>
  <c r="L5" i="2278" s="1"/>
  <c r="M5" i="2278" s="1"/>
  <c r="I5" i="2278"/>
  <c r="H5" i="2278" s="1"/>
  <c r="I27" i="2278"/>
  <c r="H27" i="2278"/>
  <c r="K17" i="2278"/>
  <c r="L17" i="2278" s="1"/>
  <c r="M17" i="2278" s="1"/>
  <c r="I17" i="2278"/>
  <c r="H17" i="2278" s="1"/>
  <c r="K15" i="2278"/>
  <c r="L15" i="2278" s="1"/>
  <c r="M15" i="2278" s="1"/>
  <c r="I15" i="2278"/>
  <c r="H15" i="2278" s="1"/>
  <c r="K7" i="2278"/>
  <c r="L7" i="2278" s="1"/>
  <c r="M7" i="2278" s="1"/>
  <c r="I7" i="2278"/>
  <c r="H7" i="2278" s="1"/>
  <c r="K3" i="2278"/>
  <c r="L3" i="2278" s="1"/>
  <c r="M3" i="2278" s="1"/>
  <c r="I3" i="2278"/>
  <c r="M23" i="2291" l="1"/>
  <c r="L23" i="2291"/>
  <c r="M19" i="2287"/>
  <c r="K3" i="2277"/>
  <c r="L3" i="2277" s="1"/>
  <c r="M3" i="2277" s="1"/>
  <c r="I3" i="2277"/>
  <c r="H3" i="2277" s="1"/>
  <c r="K27" i="2277"/>
  <c r="L27" i="2277" s="1"/>
  <c r="M27" i="2277" s="1"/>
  <c r="I27" i="2277"/>
  <c r="H27" i="2277" s="1"/>
  <c r="K25" i="2277"/>
  <c r="L25" i="2277" s="1"/>
  <c r="M25" i="2277" s="1"/>
  <c r="I25" i="2277"/>
  <c r="H25" i="2277" s="1"/>
  <c r="K23" i="2277"/>
  <c r="L23" i="2277" s="1"/>
  <c r="M23" i="2277" s="1"/>
  <c r="I23" i="2277"/>
  <c r="H23" i="2277" s="1"/>
  <c r="K21" i="2277"/>
  <c r="L21" i="2277" s="1"/>
  <c r="M21" i="2277" s="1"/>
  <c r="I21" i="2277"/>
  <c r="H21" i="2277" s="1"/>
  <c r="K19" i="2277"/>
  <c r="L19" i="2277" s="1"/>
  <c r="M19" i="2277" s="1"/>
  <c r="I19" i="2277"/>
  <c r="H19" i="2277" s="1"/>
  <c r="K17" i="2277"/>
  <c r="L17" i="2277" s="1"/>
  <c r="M17" i="2277" s="1"/>
  <c r="I17" i="2277"/>
  <c r="H17" i="2277" s="1"/>
  <c r="K15" i="2277"/>
  <c r="L15" i="2277" s="1"/>
  <c r="M15" i="2277" s="1"/>
  <c r="I15" i="2277"/>
  <c r="H15" i="2277" s="1"/>
  <c r="K13" i="2277"/>
  <c r="L13" i="2277" s="1"/>
  <c r="M13" i="2277" s="1"/>
  <c r="I13" i="2277"/>
  <c r="H13" i="2277" s="1"/>
  <c r="K11" i="2277"/>
  <c r="L11" i="2277" s="1"/>
  <c r="M11" i="2277" s="1"/>
  <c r="I11" i="2277"/>
  <c r="H11" i="2277" s="1"/>
  <c r="K9" i="2277"/>
  <c r="L9" i="2277" s="1"/>
  <c r="M9" i="2277" s="1"/>
  <c r="I9" i="2277"/>
  <c r="H9" i="2277" s="1"/>
  <c r="K7" i="2277"/>
  <c r="L7" i="2277" s="1"/>
  <c r="M7" i="2277" s="1"/>
  <c r="I7" i="2277"/>
  <c r="H7" i="2277" s="1"/>
  <c r="K5" i="2277"/>
  <c r="L5" i="2277" s="1"/>
  <c r="M5" i="2277" s="1"/>
  <c r="I5" i="2277"/>
  <c r="H5" i="2277" s="1"/>
  <c r="K43" i="2276"/>
  <c r="L43" i="2276" s="1"/>
  <c r="M43" i="2276" s="1"/>
  <c r="N43" i="2276" s="1"/>
  <c r="I43" i="2276"/>
  <c r="H43" i="2276"/>
  <c r="K41" i="2276"/>
  <c r="L41" i="2276" s="1"/>
  <c r="M41" i="2276" s="1"/>
  <c r="N41" i="2276" s="1"/>
  <c r="I41" i="2276"/>
  <c r="H41" i="2276" s="1"/>
  <c r="K39" i="2276"/>
  <c r="L39" i="2276" s="1"/>
  <c r="M39" i="2276" s="1"/>
  <c r="N39" i="2276" s="1"/>
  <c r="I39" i="2276"/>
  <c r="H39" i="2276" s="1"/>
  <c r="K37" i="2276"/>
  <c r="L37" i="2276" s="1"/>
  <c r="M37" i="2276" s="1"/>
  <c r="N37" i="2276" s="1"/>
  <c r="I37" i="2276"/>
  <c r="H37" i="2276" s="1"/>
  <c r="K27" i="2276"/>
  <c r="L27" i="2276" s="1"/>
  <c r="M27" i="2276" s="1"/>
  <c r="N27" i="2276" s="1"/>
  <c r="I27" i="2276"/>
  <c r="H27" i="2276" s="1"/>
  <c r="L25" i="2276"/>
  <c r="M25" i="2276" s="1"/>
  <c r="N25" i="2276" s="1"/>
  <c r="K25" i="2276"/>
  <c r="I25" i="2276"/>
  <c r="H25" i="2276"/>
  <c r="K21" i="2276"/>
  <c r="L21" i="2276" s="1"/>
  <c r="M21" i="2276" s="1"/>
  <c r="N21" i="2276" s="1"/>
  <c r="I21" i="2276"/>
  <c r="H21" i="2276"/>
  <c r="K19" i="2276"/>
  <c r="L19" i="2276" s="1"/>
  <c r="M19" i="2276" s="1"/>
  <c r="N19" i="2276" s="1"/>
  <c r="I19" i="2276"/>
  <c r="H19" i="2276"/>
  <c r="K17" i="2276"/>
  <c r="L17" i="2276" s="1"/>
  <c r="M17" i="2276" s="1"/>
  <c r="N17" i="2276" s="1"/>
  <c r="I17" i="2276"/>
  <c r="H17" i="2276" s="1"/>
  <c r="K15" i="2276"/>
  <c r="L15" i="2276" s="1"/>
  <c r="M15" i="2276" s="1"/>
  <c r="N15" i="2276" s="1"/>
  <c r="I15" i="2276"/>
  <c r="H15" i="2276" s="1"/>
  <c r="K13" i="2276"/>
  <c r="L13" i="2276" s="1"/>
  <c r="M13" i="2276" s="1"/>
  <c r="N13" i="2276" s="1"/>
  <c r="I13" i="2276"/>
  <c r="H13" i="2276" s="1"/>
  <c r="K11" i="2276"/>
  <c r="L11" i="2276" s="1"/>
  <c r="M11" i="2276" s="1"/>
  <c r="N11" i="2276" s="1"/>
  <c r="I11" i="2276"/>
  <c r="H11" i="2276" s="1"/>
  <c r="L9" i="2276"/>
  <c r="M9" i="2276" s="1"/>
  <c r="N9" i="2276" s="1"/>
  <c r="K9" i="2276"/>
  <c r="I9" i="2276"/>
  <c r="H9" i="2276"/>
  <c r="K3" i="2276"/>
  <c r="L3" i="2276" s="1"/>
  <c r="M3" i="2276" s="1"/>
  <c r="N3" i="2276" s="1"/>
  <c r="I3" i="2276"/>
  <c r="H3" i="2276"/>
  <c r="N43" i="2275"/>
  <c r="M43" i="2275"/>
  <c r="L43" i="2275"/>
  <c r="K43" i="2275"/>
  <c r="H43" i="2275"/>
  <c r="I43" i="2275"/>
  <c r="K39" i="2275"/>
  <c r="L39" i="2275" s="1"/>
  <c r="M39" i="2275" s="1"/>
  <c r="N39" i="2275" s="1"/>
  <c r="I39" i="2275"/>
  <c r="H39" i="2275" s="1"/>
  <c r="K37" i="2275"/>
  <c r="L37" i="2275" s="1"/>
  <c r="M37" i="2275" s="1"/>
  <c r="N37" i="2275" s="1"/>
  <c r="I37" i="2275"/>
  <c r="H37" i="2275" s="1"/>
  <c r="K23" i="2275"/>
  <c r="L23" i="2275" s="1"/>
  <c r="M23" i="2275" s="1"/>
  <c r="N23" i="2275" s="1"/>
  <c r="I23" i="2275"/>
  <c r="H23" i="2275" s="1"/>
  <c r="K41" i="2275"/>
  <c r="L41" i="2275" s="1"/>
  <c r="M41" i="2275" s="1"/>
  <c r="N41" i="2275" s="1"/>
  <c r="I41" i="2275"/>
  <c r="H41" i="2275" s="1"/>
  <c r="K27" i="2275"/>
  <c r="L27" i="2275" s="1"/>
  <c r="M27" i="2275" s="1"/>
  <c r="N27" i="2275" s="1"/>
  <c r="I27" i="2275"/>
  <c r="H27" i="2275" s="1"/>
  <c r="K25" i="2275"/>
  <c r="L25" i="2275" s="1"/>
  <c r="M25" i="2275" s="1"/>
  <c r="N25" i="2275" s="1"/>
  <c r="I25" i="2275"/>
  <c r="H25" i="2275" s="1"/>
  <c r="K21" i="2275"/>
  <c r="L21" i="2275" s="1"/>
  <c r="M21" i="2275" s="1"/>
  <c r="N21" i="2275" s="1"/>
  <c r="I21" i="2275"/>
  <c r="H21" i="2275" s="1"/>
  <c r="K19" i="2275"/>
  <c r="L19" i="2275" s="1"/>
  <c r="M19" i="2275" s="1"/>
  <c r="N19" i="2275" s="1"/>
  <c r="I19" i="2275"/>
  <c r="H19" i="2275"/>
  <c r="K17" i="2275"/>
  <c r="L17" i="2275" s="1"/>
  <c r="M17" i="2275" s="1"/>
  <c r="N17" i="2275" s="1"/>
  <c r="I17" i="2275"/>
  <c r="H17" i="2275" s="1"/>
  <c r="K15" i="2275"/>
  <c r="L15" i="2275" s="1"/>
  <c r="M15" i="2275" s="1"/>
  <c r="N15" i="2275" s="1"/>
  <c r="I15" i="2275"/>
  <c r="H15" i="2275" s="1"/>
  <c r="K13" i="2275"/>
  <c r="L13" i="2275" s="1"/>
  <c r="M13" i="2275" s="1"/>
  <c r="N13" i="2275" s="1"/>
  <c r="I13" i="2275"/>
  <c r="H13" i="2275" s="1"/>
  <c r="K11" i="2275"/>
  <c r="L11" i="2275" s="1"/>
  <c r="M11" i="2275" s="1"/>
  <c r="N11" i="2275" s="1"/>
  <c r="I11" i="2275"/>
  <c r="H11" i="2275" s="1"/>
  <c r="K9" i="2275"/>
  <c r="L9" i="2275" s="1"/>
  <c r="M9" i="2275" s="1"/>
  <c r="N9" i="2275" s="1"/>
  <c r="I9" i="2275"/>
  <c r="H9" i="2275"/>
  <c r="K3" i="2275"/>
  <c r="L3" i="2275" s="1"/>
  <c r="M3" i="2275" s="1"/>
  <c r="N3" i="2275" s="1"/>
  <c r="I3" i="2275"/>
  <c r="H3" i="2275"/>
  <c r="H11" i="2274"/>
  <c r="M11" i="2274"/>
  <c r="K11" i="2274"/>
  <c r="L11" i="2274" s="1"/>
  <c r="I11" i="2274"/>
  <c r="M37" i="2274"/>
  <c r="L37" i="2274"/>
  <c r="K37" i="2274"/>
  <c r="H37" i="2274"/>
  <c r="I37" i="2274"/>
  <c r="M31" i="2274"/>
  <c r="M35" i="2274"/>
  <c r="L35" i="2274"/>
  <c r="K35" i="2274"/>
  <c r="H35" i="2274"/>
  <c r="I35" i="2274"/>
  <c r="K33" i="2274"/>
  <c r="L33" i="2274" s="1"/>
  <c r="M33" i="2274" s="1"/>
  <c r="I33" i="2274"/>
  <c r="H33" i="2274" s="1"/>
  <c r="K31" i="2274"/>
  <c r="L31" i="2274" s="1"/>
  <c r="I31" i="2274"/>
  <c r="H31" i="2274" s="1"/>
  <c r="K29" i="2274"/>
  <c r="L29" i="2274" s="1"/>
  <c r="M29" i="2274" s="1"/>
  <c r="I29" i="2274"/>
  <c r="H29" i="2274" s="1"/>
  <c r="K27" i="2274"/>
  <c r="L27" i="2274" s="1"/>
  <c r="M27" i="2274" s="1"/>
  <c r="I27" i="2274"/>
  <c r="H27" i="2274"/>
  <c r="K13" i="2274"/>
  <c r="L13" i="2274" s="1"/>
  <c r="M13" i="2274" s="1"/>
  <c r="I13" i="2274"/>
  <c r="H13" i="2274" s="1"/>
  <c r="K23" i="2274"/>
  <c r="L23" i="2274" s="1"/>
  <c r="M23" i="2274" s="1"/>
  <c r="I23" i="2274"/>
  <c r="H23" i="2274" s="1"/>
  <c r="K21" i="2274"/>
  <c r="L21" i="2274" s="1"/>
  <c r="M21" i="2274" s="1"/>
  <c r="I21" i="2274"/>
  <c r="H21" i="2274" s="1"/>
  <c r="K19" i="2274"/>
  <c r="L19" i="2274" s="1"/>
  <c r="M19" i="2274" s="1"/>
  <c r="I19" i="2274"/>
  <c r="H19" i="2274" s="1"/>
  <c r="K17" i="2274"/>
  <c r="L17" i="2274" s="1"/>
  <c r="M17" i="2274" s="1"/>
  <c r="I17" i="2274"/>
  <c r="H17" i="2274" s="1"/>
  <c r="K15" i="2274"/>
  <c r="L15" i="2274" s="1"/>
  <c r="M15" i="2274" s="1"/>
  <c r="I15" i="2274"/>
  <c r="H15" i="2274" s="1"/>
  <c r="K9" i="2274"/>
  <c r="L9" i="2274" s="1"/>
  <c r="M9" i="2274" s="1"/>
  <c r="I9" i="2274"/>
  <c r="H9" i="2274" s="1"/>
  <c r="K7" i="2274"/>
  <c r="L7" i="2274" s="1"/>
  <c r="M7" i="2274" s="1"/>
  <c r="I7" i="2274"/>
  <c r="H7" i="2274" s="1"/>
  <c r="K5" i="2274"/>
  <c r="L5" i="2274" s="1"/>
  <c r="M5" i="2274" s="1"/>
  <c r="I5" i="2274"/>
  <c r="H5" i="2274" s="1"/>
  <c r="K3" i="2274"/>
  <c r="L3" i="2274" s="1"/>
  <c r="M3" i="2274" s="1"/>
  <c r="I3" i="2274"/>
  <c r="H3" i="2274" s="1"/>
  <c r="L23" i="2272"/>
  <c r="M23" i="2272" s="1"/>
  <c r="N23" i="2272" s="1"/>
  <c r="K23" i="2272"/>
  <c r="H23" i="2272"/>
  <c r="I23" i="2272"/>
  <c r="M27" i="2273"/>
  <c r="L27" i="2273"/>
  <c r="K27" i="2273"/>
  <c r="I27" i="2273"/>
  <c r="H27" i="2273" s="1"/>
  <c r="K21" i="2273"/>
  <c r="L21" i="2273" s="1"/>
  <c r="M21" i="2273" s="1"/>
  <c r="I21" i="2273"/>
  <c r="H21" i="2273" s="1"/>
  <c r="I33" i="2273"/>
  <c r="H33" i="2273" s="1"/>
  <c r="K33" i="2273"/>
  <c r="L33" i="2273" s="1"/>
  <c r="M33" i="2273" s="1"/>
  <c r="I31" i="2273"/>
  <c r="H31" i="2273" s="1"/>
  <c r="K31" i="2273"/>
  <c r="L31" i="2273" s="1"/>
  <c r="M31" i="2273" s="1"/>
  <c r="K29" i="2273"/>
  <c r="L29" i="2273" s="1"/>
  <c r="M29" i="2273" s="1"/>
  <c r="I29" i="2273"/>
  <c r="H29" i="2273" s="1"/>
  <c r="K19" i="2273"/>
  <c r="L19" i="2273" s="1"/>
  <c r="M19" i="2273" s="1"/>
  <c r="I19" i="2273"/>
  <c r="H19" i="2273" s="1"/>
  <c r="K17" i="2273"/>
  <c r="L17" i="2273" s="1"/>
  <c r="M17" i="2273" s="1"/>
  <c r="I17" i="2273"/>
  <c r="H17" i="2273" s="1"/>
  <c r="K15" i="2273"/>
  <c r="L15" i="2273" s="1"/>
  <c r="M15" i="2273" s="1"/>
  <c r="I15" i="2273"/>
  <c r="H15" i="2273" s="1"/>
  <c r="K11" i="2273"/>
  <c r="I11" i="2273"/>
  <c r="H11" i="2273" s="1"/>
  <c r="K9" i="2273"/>
  <c r="L9" i="2273" s="1"/>
  <c r="M9" i="2273" s="1"/>
  <c r="I9" i="2273"/>
  <c r="H9" i="2273"/>
  <c r="K7" i="2273"/>
  <c r="L7" i="2273" s="1"/>
  <c r="M7" i="2273" s="1"/>
  <c r="I7" i="2273"/>
  <c r="H7" i="2273" s="1"/>
  <c r="K5" i="2273"/>
  <c r="L5" i="2273" s="1"/>
  <c r="M5" i="2273" s="1"/>
  <c r="I5" i="2273"/>
  <c r="H5" i="2273" s="1"/>
  <c r="K25" i="2273"/>
  <c r="L25" i="2273" s="1"/>
  <c r="M25" i="2273" s="1"/>
  <c r="I25" i="2273"/>
  <c r="H25" i="2273" s="1"/>
  <c r="K23" i="2273"/>
  <c r="L23" i="2273" s="1"/>
  <c r="M23" i="2273" s="1"/>
  <c r="I23" i="2273"/>
  <c r="H23" i="2273" s="1"/>
  <c r="K13" i="2273"/>
  <c r="L13" i="2273" s="1"/>
  <c r="M13" i="2273" s="1"/>
  <c r="I13" i="2273"/>
  <c r="H13" i="2273" s="1"/>
  <c r="K3" i="2273"/>
  <c r="L3" i="2273" s="1"/>
  <c r="M3" i="2273" s="1"/>
  <c r="I3" i="2273"/>
  <c r="H3" i="2273" s="1"/>
  <c r="K29" i="2272"/>
  <c r="L29" i="2272" s="1"/>
  <c r="M29" i="2272" s="1"/>
  <c r="N29" i="2272" s="1"/>
  <c r="I29" i="2272"/>
  <c r="H29" i="2272"/>
  <c r="L11" i="2272"/>
  <c r="M11" i="2272" s="1"/>
  <c r="N11" i="2272" s="1"/>
  <c r="K11" i="2272"/>
  <c r="N5" i="2272"/>
  <c r="K3" i="2272"/>
  <c r="L3" i="2272" s="1"/>
  <c r="M3" i="2272" s="1"/>
  <c r="N3" i="2272" s="1"/>
  <c r="I3" i="2272"/>
  <c r="H3" i="2272" s="1"/>
  <c r="N27" i="2272"/>
  <c r="N25" i="2272"/>
  <c r="N19" i="2272"/>
  <c r="N13" i="2272"/>
  <c r="N7" i="2272"/>
  <c r="N9" i="2272"/>
  <c r="K27" i="2272"/>
  <c r="L27" i="2272" s="1"/>
  <c r="M27" i="2272" s="1"/>
  <c r="I27" i="2272"/>
  <c r="H27" i="2272" s="1"/>
  <c r="K25" i="2272"/>
  <c r="L25" i="2272" s="1"/>
  <c r="M25" i="2272" s="1"/>
  <c r="I25" i="2272"/>
  <c r="H25" i="2272" s="1"/>
  <c r="K21" i="2272"/>
  <c r="L21" i="2272" s="1"/>
  <c r="M21" i="2272" s="1"/>
  <c r="N21" i="2272" s="1"/>
  <c r="I21" i="2272"/>
  <c r="H21" i="2272" s="1"/>
  <c r="K19" i="2272"/>
  <c r="L19" i="2272" s="1"/>
  <c r="M19" i="2272" s="1"/>
  <c r="I19" i="2272"/>
  <c r="H19" i="2272" s="1"/>
  <c r="K17" i="2272"/>
  <c r="L17" i="2272" s="1"/>
  <c r="M17" i="2272" s="1"/>
  <c r="N17" i="2272" s="1"/>
  <c r="I17" i="2272"/>
  <c r="H17" i="2272" s="1"/>
  <c r="K15" i="2272"/>
  <c r="L15" i="2272" s="1"/>
  <c r="M15" i="2272" s="1"/>
  <c r="N15" i="2272" s="1"/>
  <c r="I15" i="2272"/>
  <c r="H15" i="2272"/>
  <c r="K13" i="2272"/>
  <c r="L13" i="2272" s="1"/>
  <c r="M13" i="2272" s="1"/>
  <c r="I13" i="2272"/>
  <c r="H13" i="2272" s="1"/>
  <c r="I11" i="2272"/>
  <c r="H11" i="2272" s="1"/>
  <c r="K9" i="2272"/>
  <c r="L9" i="2272" s="1"/>
  <c r="M9" i="2272" s="1"/>
  <c r="I9" i="2272"/>
  <c r="H9" i="2272"/>
  <c r="K7" i="2272"/>
  <c r="L7" i="2272" s="1"/>
  <c r="M7" i="2272" s="1"/>
  <c r="I7" i="2272"/>
  <c r="H7" i="2272" s="1"/>
  <c r="K5" i="2272"/>
  <c r="L5" i="2272" s="1"/>
  <c r="M5" i="2272" s="1"/>
  <c r="I5" i="2272"/>
  <c r="H5" i="2272" s="1"/>
  <c r="M5" i="2271"/>
  <c r="L5" i="2271"/>
  <c r="K5" i="2271"/>
  <c r="H5" i="2271"/>
  <c r="I5" i="2271"/>
  <c r="L3" i="2271"/>
  <c r="K3" i="2271"/>
  <c r="H3" i="2271"/>
  <c r="K11" i="2271"/>
  <c r="L11" i="2271" s="1"/>
  <c r="M11" i="2271" s="1"/>
  <c r="I11" i="2271"/>
  <c r="H11" i="2271"/>
  <c r="K7" i="2271"/>
  <c r="L7" i="2271" s="1"/>
  <c r="M7" i="2271" s="1"/>
  <c r="I7" i="2271"/>
  <c r="H7" i="2271" s="1"/>
  <c r="I3" i="2271"/>
  <c r="K15" i="2271"/>
  <c r="L15" i="2271" s="1"/>
  <c r="M15" i="2271" s="1"/>
  <c r="I15" i="2271"/>
  <c r="H15" i="2271" s="1"/>
  <c r="K13" i="2271"/>
  <c r="L13" i="2271" s="1"/>
  <c r="M13" i="2271" s="1"/>
  <c r="I13" i="2271"/>
  <c r="H13" i="2271" s="1"/>
  <c r="K9" i="2271"/>
  <c r="L9" i="2271" s="1"/>
  <c r="M9" i="2271" s="1"/>
  <c r="I9" i="2271"/>
  <c r="H9" i="2271" s="1"/>
  <c r="L11" i="2273" l="1"/>
  <c r="M11" i="2273" s="1"/>
  <c r="M3" i="2271"/>
  <c r="M9" i="2270"/>
  <c r="L9" i="2270"/>
  <c r="K9" i="2270"/>
  <c r="I9" i="2270"/>
  <c r="K13" i="2270"/>
  <c r="M7" i="2270"/>
  <c r="L7" i="2270"/>
  <c r="K7" i="2270"/>
  <c r="I7" i="2270"/>
  <c r="M5" i="2270"/>
  <c r="L5" i="2270"/>
  <c r="K5" i="2270"/>
  <c r="I5" i="2270"/>
  <c r="L13" i="2270"/>
  <c r="M13" i="2270" s="1"/>
  <c r="I13" i="2270"/>
  <c r="K11" i="2270"/>
  <c r="L11" i="2270" s="1"/>
  <c r="M11" i="2270" s="1"/>
  <c r="I11" i="2270"/>
  <c r="L3" i="2270"/>
  <c r="M3" i="2270" s="1"/>
  <c r="K3" i="2270"/>
  <c r="I3" i="2270"/>
  <c r="K27" i="2269"/>
  <c r="L27" i="2269"/>
  <c r="M27" i="2269" s="1"/>
  <c r="I27" i="2269"/>
  <c r="H27" i="2269" s="1"/>
  <c r="K29" i="2269"/>
  <c r="L29" i="2269" s="1"/>
  <c r="M29" i="2269" s="1"/>
  <c r="H29" i="2269"/>
  <c r="I29" i="2269"/>
  <c r="K25" i="2269"/>
  <c r="L25" i="2269" s="1"/>
  <c r="M25" i="2269" s="1"/>
  <c r="I25" i="2269"/>
  <c r="H25" i="2269" s="1"/>
  <c r="M23" i="2269"/>
  <c r="L23" i="2269"/>
  <c r="K23" i="2269"/>
  <c r="H23" i="2269"/>
  <c r="I23" i="2269"/>
  <c r="K21" i="2269"/>
  <c r="L21" i="2269" s="1"/>
  <c r="M21" i="2269" s="1"/>
  <c r="I21" i="2269"/>
  <c r="H21" i="2269" s="1"/>
  <c r="H13" i="2269"/>
  <c r="N17" i="2267"/>
  <c r="L11" i="2267"/>
  <c r="K11" i="2267"/>
  <c r="K27" i="2267"/>
  <c r="L27" i="2267" s="1"/>
  <c r="M27" i="2267" s="1"/>
  <c r="N27" i="2267" s="1"/>
  <c r="I27" i="2267"/>
  <c r="H27" i="2267" s="1"/>
  <c r="K29" i="2267"/>
  <c r="L29" i="2267" s="1"/>
  <c r="M29" i="2267" s="1"/>
  <c r="N29" i="2267" s="1"/>
  <c r="I29" i="2267"/>
  <c r="H29" i="2267"/>
  <c r="K25" i="2267"/>
  <c r="L25" i="2267" s="1"/>
  <c r="M25" i="2267" s="1"/>
  <c r="N25" i="2267" s="1"/>
  <c r="I25" i="2267"/>
  <c r="H25" i="2267"/>
  <c r="K13" i="2269"/>
  <c r="L13" i="2269" s="1"/>
  <c r="M13" i="2269" s="1"/>
  <c r="I13" i="2269"/>
  <c r="K31" i="2267"/>
  <c r="L31" i="2267" s="1"/>
  <c r="M31" i="2267" s="1"/>
  <c r="N31" i="2267" s="1"/>
  <c r="I31" i="2267"/>
  <c r="H31" i="2267" s="1"/>
  <c r="M11" i="2269"/>
  <c r="L11" i="2269"/>
  <c r="K11" i="2269"/>
  <c r="H11" i="2269"/>
  <c r="I11" i="2269"/>
  <c r="K19" i="2269"/>
  <c r="L19" i="2269" s="1"/>
  <c r="M19" i="2269" s="1"/>
  <c r="I19" i="2269"/>
  <c r="H19" i="2269" s="1"/>
  <c r="K17" i="2269"/>
  <c r="L17" i="2269" s="1"/>
  <c r="M17" i="2269" s="1"/>
  <c r="I17" i="2269"/>
  <c r="H17" i="2269"/>
  <c r="K15" i="2269"/>
  <c r="L15" i="2269" s="1"/>
  <c r="M15" i="2269" s="1"/>
  <c r="I15" i="2269"/>
  <c r="H15" i="2269"/>
  <c r="K9" i="2269"/>
  <c r="L9" i="2269" s="1"/>
  <c r="M9" i="2269" s="1"/>
  <c r="I9" i="2269"/>
  <c r="H9" i="2269" s="1"/>
  <c r="K7" i="2269"/>
  <c r="L7" i="2269" s="1"/>
  <c r="M7" i="2269" s="1"/>
  <c r="I7" i="2269"/>
  <c r="H7" i="2269" s="1"/>
  <c r="K5" i="2269"/>
  <c r="L5" i="2269" s="1"/>
  <c r="M5" i="2269" s="1"/>
  <c r="I5" i="2269"/>
  <c r="H5" i="2269"/>
  <c r="K3" i="2269"/>
  <c r="L3" i="2269" s="1"/>
  <c r="I3" i="2269"/>
  <c r="H3" i="2269"/>
  <c r="K33" i="2268"/>
  <c r="L33" i="2268" s="1"/>
  <c r="M33" i="2268" s="1"/>
  <c r="N33" i="2268" s="1"/>
  <c r="I33" i="2268"/>
  <c r="H33" i="2268" s="1"/>
  <c r="K31" i="2268"/>
  <c r="L31" i="2268" s="1"/>
  <c r="M31" i="2268" s="1"/>
  <c r="N31" i="2268" s="1"/>
  <c r="I31" i="2268"/>
  <c r="H31" i="2268" s="1"/>
  <c r="H23" i="2268"/>
  <c r="I23" i="2268"/>
  <c r="N25" i="2268"/>
  <c r="N23" i="2268"/>
  <c r="N19" i="2268"/>
  <c r="N15" i="2268"/>
  <c r="N13" i="2268"/>
  <c r="N7" i="2268"/>
  <c r="N5" i="2268"/>
  <c r="N3" i="2268"/>
  <c r="K9" i="2268"/>
  <c r="L9" i="2268" s="1"/>
  <c r="M9" i="2268" s="1"/>
  <c r="N9" i="2268" s="1"/>
  <c r="I9" i="2268"/>
  <c r="H9" i="2268" s="1"/>
  <c r="M7" i="2268"/>
  <c r="L7" i="2268"/>
  <c r="K7" i="2268"/>
  <c r="H7" i="2268"/>
  <c r="I7" i="2268"/>
  <c r="K27" i="2268"/>
  <c r="L27" i="2268" s="1"/>
  <c r="M27" i="2268" s="1"/>
  <c r="N27" i="2268" s="1"/>
  <c r="I27" i="2268"/>
  <c r="H27" i="2268" s="1"/>
  <c r="K25" i="2268"/>
  <c r="L25" i="2268" s="1"/>
  <c r="M25" i="2268" s="1"/>
  <c r="I25" i="2268"/>
  <c r="H25" i="2268"/>
  <c r="K23" i="2268"/>
  <c r="L23" i="2268" s="1"/>
  <c r="M23" i="2268" s="1"/>
  <c r="L19" i="2268"/>
  <c r="M19" i="2268" s="1"/>
  <c r="K19" i="2268"/>
  <c r="I19" i="2268"/>
  <c r="H19" i="2268" s="1"/>
  <c r="K17" i="2268"/>
  <c r="L17" i="2268" s="1"/>
  <c r="M17" i="2268" s="1"/>
  <c r="N17" i="2268" s="1"/>
  <c r="I17" i="2268"/>
  <c r="H17" i="2268" s="1"/>
  <c r="K15" i="2268"/>
  <c r="L15" i="2268" s="1"/>
  <c r="M15" i="2268" s="1"/>
  <c r="I15" i="2268"/>
  <c r="H15" i="2268" s="1"/>
  <c r="K13" i="2268"/>
  <c r="L13" i="2268" s="1"/>
  <c r="M13" i="2268" s="1"/>
  <c r="I13" i="2268"/>
  <c r="H13" i="2268" s="1"/>
  <c r="K5" i="2268"/>
  <c r="L5" i="2268" s="1"/>
  <c r="M5" i="2268" s="1"/>
  <c r="I5" i="2268"/>
  <c r="H5" i="2268" s="1"/>
  <c r="K3" i="2268"/>
  <c r="L3" i="2268" s="1"/>
  <c r="M3" i="2268" s="1"/>
  <c r="I3" i="2268"/>
  <c r="H3" i="2268"/>
  <c r="K15" i="2267"/>
  <c r="L15" i="2267" s="1"/>
  <c r="M15" i="2267" s="1"/>
  <c r="N15" i="2267" s="1"/>
  <c r="I15" i="2267"/>
  <c r="H15" i="2267" s="1"/>
  <c r="K21" i="2267"/>
  <c r="L21" i="2267" s="1"/>
  <c r="M21" i="2267" s="1"/>
  <c r="N21" i="2267" s="1"/>
  <c r="I21" i="2267"/>
  <c r="H21" i="2267" s="1"/>
  <c r="K19" i="2267"/>
  <c r="L19" i="2267" s="1"/>
  <c r="M19" i="2267" s="1"/>
  <c r="N19" i="2267" s="1"/>
  <c r="I19" i="2267"/>
  <c r="H19" i="2267" s="1"/>
  <c r="K17" i="2267"/>
  <c r="L17" i="2267" s="1"/>
  <c r="M17" i="2267" s="1"/>
  <c r="I17" i="2267"/>
  <c r="H17" i="2267" s="1"/>
  <c r="K13" i="2267"/>
  <c r="I13" i="2267"/>
  <c r="H13" i="2267" s="1"/>
  <c r="M11" i="2267"/>
  <c r="N11" i="2267" s="1"/>
  <c r="I11" i="2267"/>
  <c r="H11" i="2267" s="1"/>
  <c r="K9" i="2267"/>
  <c r="L9" i="2267" s="1"/>
  <c r="M9" i="2267" s="1"/>
  <c r="N9" i="2267" s="1"/>
  <c r="I9" i="2267"/>
  <c r="H9" i="2267" s="1"/>
  <c r="K5" i="2267"/>
  <c r="L5" i="2267" s="1"/>
  <c r="M5" i="2267" s="1"/>
  <c r="N5" i="2267" s="1"/>
  <c r="I5" i="2267"/>
  <c r="H5" i="2267" s="1"/>
  <c r="I3" i="2267"/>
  <c r="H3" i="2267" s="1"/>
  <c r="K23" i="2267"/>
  <c r="L23" i="2267" s="1"/>
  <c r="M23" i="2267" s="1"/>
  <c r="N23" i="2267" s="1"/>
  <c r="I23" i="2267"/>
  <c r="H23" i="2267" s="1"/>
  <c r="K7" i="2267"/>
  <c r="L7" i="2267" s="1"/>
  <c r="M7" i="2267" s="1"/>
  <c r="N7" i="2267" s="1"/>
  <c r="I7" i="2267"/>
  <c r="H7" i="2267" s="1"/>
  <c r="K3" i="2267"/>
  <c r="L3" i="2267" s="1"/>
  <c r="M3" i="2267" s="1"/>
  <c r="N3" i="2267" s="1"/>
  <c r="L25" i="2266"/>
  <c r="M25" i="2266" s="1"/>
  <c r="N25" i="2266" s="1"/>
  <c r="J25" i="2266"/>
  <c r="I25" i="2266" s="1"/>
  <c r="H25" i="2266" s="1"/>
  <c r="L3" i="2266"/>
  <c r="M3" i="2266" s="1"/>
  <c r="N3" i="2266" s="1"/>
  <c r="J3" i="2266"/>
  <c r="I3" i="2266" s="1"/>
  <c r="H3" i="2266" s="1"/>
  <c r="H31" i="2266"/>
  <c r="H23" i="2266"/>
  <c r="H7" i="2266"/>
  <c r="L33" i="2266"/>
  <c r="M33" i="2266" s="1"/>
  <c r="N33" i="2266" s="1"/>
  <c r="J33" i="2266"/>
  <c r="I33" i="2266"/>
  <c r="H33" i="2266" s="1"/>
  <c r="L31" i="2266"/>
  <c r="M31" i="2266" s="1"/>
  <c r="N31" i="2266" s="1"/>
  <c r="J31" i="2266"/>
  <c r="I31" i="2266" s="1"/>
  <c r="L27" i="2266"/>
  <c r="M27" i="2266" s="1"/>
  <c r="N27" i="2266" s="1"/>
  <c r="J27" i="2266"/>
  <c r="I27" i="2266"/>
  <c r="H27" i="2266" s="1"/>
  <c r="L23" i="2266"/>
  <c r="M23" i="2266" s="1"/>
  <c r="N23" i="2266" s="1"/>
  <c r="J23" i="2266"/>
  <c r="I23" i="2266" s="1"/>
  <c r="L21" i="2266"/>
  <c r="M21" i="2266" s="1"/>
  <c r="N21" i="2266" s="1"/>
  <c r="J21" i="2266"/>
  <c r="I21" i="2266" s="1"/>
  <c r="H21" i="2266" s="1"/>
  <c r="L19" i="2266"/>
  <c r="M19" i="2266" s="1"/>
  <c r="N19" i="2266" s="1"/>
  <c r="J19" i="2266"/>
  <c r="I19" i="2266"/>
  <c r="H19" i="2266" s="1"/>
  <c r="L17" i="2266"/>
  <c r="M17" i="2266" s="1"/>
  <c r="N17" i="2266" s="1"/>
  <c r="J17" i="2266"/>
  <c r="I17" i="2266"/>
  <c r="H17" i="2266" s="1"/>
  <c r="L15" i="2266"/>
  <c r="M15" i="2266" s="1"/>
  <c r="N15" i="2266" s="1"/>
  <c r="J15" i="2266"/>
  <c r="I15" i="2266" s="1"/>
  <c r="H15" i="2266" s="1"/>
  <c r="L13" i="2266"/>
  <c r="M13" i="2266" s="1"/>
  <c r="N13" i="2266" s="1"/>
  <c r="J13" i="2266"/>
  <c r="I13" i="2266" s="1"/>
  <c r="H13" i="2266" s="1"/>
  <c r="L11" i="2266"/>
  <c r="M11" i="2266" s="1"/>
  <c r="N11" i="2266" s="1"/>
  <c r="J11" i="2266"/>
  <c r="I11" i="2266"/>
  <c r="H11" i="2266" s="1"/>
  <c r="L9" i="2266"/>
  <c r="M9" i="2266" s="1"/>
  <c r="N9" i="2266" s="1"/>
  <c r="J9" i="2266"/>
  <c r="I9" i="2266"/>
  <c r="H9" i="2266" s="1"/>
  <c r="L7" i="2266"/>
  <c r="M7" i="2266" s="1"/>
  <c r="N7" i="2266" s="1"/>
  <c r="J7" i="2266"/>
  <c r="I7" i="2266" s="1"/>
  <c r="L5" i="2266"/>
  <c r="M5" i="2266" s="1"/>
  <c r="N5" i="2266" s="1"/>
  <c r="J5" i="2266"/>
  <c r="I5" i="2266" s="1"/>
  <c r="H5" i="2266" s="1"/>
  <c r="K35" i="2265"/>
  <c r="L35" i="2265" s="1"/>
  <c r="M35" i="2265" s="1"/>
  <c r="I35" i="2265"/>
  <c r="H35" i="2265"/>
  <c r="K33" i="2265"/>
  <c r="L33" i="2265" s="1"/>
  <c r="M33" i="2265" s="1"/>
  <c r="I33" i="2265"/>
  <c r="H33" i="2265"/>
  <c r="K27" i="2265"/>
  <c r="L27" i="2265" s="1"/>
  <c r="M27" i="2265" s="1"/>
  <c r="I27" i="2265"/>
  <c r="H27" i="2265" s="1"/>
  <c r="K25" i="2265"/>
  <c r="L25" i="2265" s="1"/>
  <c r="M25" i="2265" s="1"/>
  <c r="I25" i="2265"/>
  <c r="H25" i="2265" s="1"/>
  <c r="K31" i="2265"/>
  <c r="L31" i="2265" s="1"/>
  <c r="M31" i="2265" s="1"/>
  <c r="I31" i="2265"/>
  <c r="H31" i="2265"/>
  <c r="K29" i="2265"/>
  <c r="L29" i="2265" s="1"/>
  <c r="M29" i="2265" s="1"/>
  <c r="I29" i="2265"/>
  <c r="H29" i="2265"/>
  <c r="M3" i="2265"/>
  <c r="L3" i="2265"/>
  <c r="K3" i="2265"/>
  <c r="H3" i="2265"/>
  <c r="I3" i="2265"/>
  <c r="L23" i="2265"/>
  <c r="M23" i="2265" s="1"/>
  <c r="K23" i="2265"/>
  <c r="I23" i="2265"/>
  <c r="H23" i="2265" s="1"/>
  <c r="K21" i="2265"/>
  <c r="L21" i="2265" s="1"/>
  <c r="M21" i="2265" s="1"/>
  <c r="I21" i="2265"/>
  <c r="H21" i="2265"/>
  <c r="K19" i="2265"/>
  <c r="L19" i="2265" s="1"/>
  <c r="M19" i="2265" s="1"/>
  <c r="I19" i="2265"/>
  <c r="H19" i="2265"/>
  <c r="K17" i="2265"/>
  <c r="L17" i="2265" s="1"/>
  <c r="M17" i="2265" s="1"/>
  <c r="I17" i="2265"/>
  <c r="H17" i="2265"/>
  <c r="K15" i="2265"/>
  <c r="L15" i="2265" s="1"/>
  <c r="M15" i="2265" s="1"/>
  <c r="I15" i="2265"/>
  <c r="H15" i="2265" s="1"/>
  <c r="K13" i="2265"/>
  <c r="L13" i="2265" s="1"/>
  <c r="M13" i="2265" s="1"/>
  <c r="I13" i="2265"/>
  <c r="H13" i="2265" s="1"/>
  <c r="K11" i="2265"/>
  <c r="L11" i="2265" s="1"/>
  <c r="M11" i="2265" s="1"/>
  <c r="I11" i="2265"/>
  <c r="H11" i="2265" s="1"/>
  <c r="K9" i="2265"/>
  <c r="L9" i="2265" s="1"/>
  <c r="M9" i="2265" s="1"/>
  <c r="I9" i="2265"/>
  <c r="H9" i="2265"/>
  <c r="K7" i="2265"/>
  <c r="L7" i="2265" s="1"/>
  <c r="M7" i="2265" s="1"/>
  <c r="I7" i="2265"/>
  <c r="H7" i="2265" s="1"/>
  <c r="K5" i="2265"/>
  <c r="L5" i="2265" s="1"/>
  <c r="M5" i="2265" s="1"/>
  <c r="I5" i="2265"/>
  <c r="H5" i="2265" s="1"/>
  <c r="K33" i="2263"/>
  <c r="L33" i="2263" s="1"/>
  <c r="M33" i="2263" s="1"/>
  <c r="I33" i="2263"/>
  <c r="H33" i="2263" s="1"/>
  <c r="I21" i="2264"/>
  <c r="H21" i="2264" s="1"/>
  <c r="K21" i="2264"/>
  <c r="L21" i="2264" s="1"/>
  <c r="M21" i="2264" s="1"/>
  <c r="K9" i="2264"/>
  <c r="L9" i="2264" s="1"/>
  <c r="M9" i="2264" s="1"/>
  <c r="I9" i="2264"/>
  <c r="H9" i="2264" s="1"/>
  <c r="L25" i="2264"/>
  <c r="M25" i="2264" s="1"/>
  <c r="K25" i="2264"/>
  <c r="I25" i="2264"/>
  <c r="H25" i="2264" s="1"/>
  <c r="I3" i="2264"/>
  <c r="H3" i="2264" s="1"/>
  <c r="K23" i="2264"/>
  <c r="L23" i="2264" s="1"/>
  <c r="M23" i="2264" s="1"/>
  <c r="I23" i="2264"/>
  <c r="H23" i="2264" s="1"/>
  <c r="K17" i="2264"/>
  <c r="L17" i="2264" s="1"/>
  <c r="M17" i="2264" s="1"/>
  <c r="I17" i="2264"/>
  <c r="H17" i="2264" s="1"/>
  <c r="K15" i="2264"/>
  <c r="L15" i="2264" s="1"/>
  <c r="M15" i="2264" s="1"/>
  <c r="I15" i="2264"/>
  <c r="H15" i="2264" s="1"/>
  <c r="K13" i="2264"/>
  <c r="L13" i="2264" s="1"/>
  <c r="M13" i="2264" s="1"/>
  <c r="I13" i="2264"/>
  <c r="H13" i="2264"/>
  <c r="K7" i="2264"/>
  <c r="L7" i="2264" s="1"/>
  <c r="M7" i="2264" s="1"/>
  <c r="I7" i="2264"/>
  <c r="H7" i="2264" s="1"/>
  <c r="K5" i="2264"/>
  <c r="L5" i="2264" s="1"/>
  <c r="M5" i="2264" s="1"/>
  <c r="I5" i="2264"/>
  <c r="H5" i="2264"/>
  <c r="K3" i="2264"/>
  <c r="L3" i="2264" s="1"/>
  <c r="M3" i="2264" s="1"/>
  <c r="K29" i="2263"/>
  <c r="L29" i="2263" s="1"/>
  <c r="M29" i="2263" s="1"/>
  <c r="I29" i="2263"/>
  <c r="H29" i="2263" s="1"/>
  <c r="I23" i="2263"/>
  <c r="H23" i="2263" s="1"/>
  <c r="K7" i="2263"/>
  <c r="L7" i="2263" s="1"/>
  <c r="M7" i="2263" s="1"/>
  <c r="I7" i="2263"/>
  <c r="H7" i="2263"/>
  <c r="K39" i="2263"/>
  <c r="L39" i="2263" s="1"/>
  <c r="M39" i="2263" s="1"/>
  <c r="I39" i="2263"/>
  <c r="H39" i="2263"/>
  <c r="K37" i="2263"/>
  <c r="L37" i="2263" s="1"/>
  <c r="M37" i="2263" s="1"/>
  <c r="I37" i="2263"/>
  <c r="H37" i="2263" s="1"/>
  <c r="K31" i="2263"/>
  <c r="L31" i="2263" s="1"/>
  <c r="M31" i="2263" s="1"/>
  <c r="I31" i="2263"/>
  <c r="H31" i="2263" s="1"/>
  <c r="K27" i="2263"/>
  <c r="L27" i="2263" s="1"/>
  <c r="M27" i="2263" s="1"/>
  <c r="I27" i="2263"/>
  <c r="H27" i="2263" s="1"/>
  <c r="K25" i="2263"/>
  <c r="L25" i="2263" s="1"/>
  <c r="M25" i="2263" s="1"/>
  <c r="I25" i="2263"/>
  <c r="H25" i="2263"/>
  <c r="K23" i="2263"/>
  <c r="L23" i="2263" s="1"/>
  <c r="M23" i="2263" s="1"/>
  <c r="K19" i="2263"/>
  <c r="L19" i="2263" s="1"/>
  <c r="M19" i="2263" s="1"/>
  <c r="I19" i="2263"/>
  <c r="H19" i="2263"/>
  <c r="K17" i="2263"/>
  <c r="L17" i="2263" s="1"/>
  <c r="M17" i="2263" s="1"/>
  <c r="I17" i="2263"/>
  <c r="H17" i="2263" s="1"/>
  <c r="K15" i="2263"/>
  <c r="L15" i="2263" s="1"/>
  <c r="M15" i="2263" s="1"/>
  <c r="I15" i="2263"/>
  <c r="H15" i="2263" s="1"/>
  <c r="K13" i="2263"/>
  <c r="L13" i="2263" s="1"/>
  <c r="M13" i="2263" s="1"/>
  <c r="I13" i="2263"/>
  <c r="H13" i="2263" s="1"/>
  <c r="K9" i="2263"/>
  <c r="L9" i="2263" s="1"/>
  <c r="M9" i="2263" s="1"/>
  <c r="I9" i="2263"/>
  <c r="H9" i="2263" s="1"/>
  <c r="K5" i="2263"/>
  <c r="L5" i="2263" s="1"/>
  <c r="M5" i="2263" s="1"/>
  <c r="I5" i="2263"/>
  <c r="H5" i="2263" s="1"/>
  <c r="K3" i="2263"/>
  <c r="L3" i="2263" s="1"/>
  <c r="M3" i="2263" s="1"/>
  <c r="I3" i="2263"/>
  <c r="H3" i="2263"/>
  <c r="N41" i="2262"/>
  <c r="N31" i="2262"/>
  <c r="N23" i="2262"/>
  <c r="N21" i="2262"/>
  <c r="N15" i="2262"/>
  <c r="N13" i="2262"/>
  <c r="N11" i="2262"/>
  <c r="K43" i="2262"/>
  <c r="L43" i="2262" s="1"/>
  <c r="M43" i="2262" s="1"/>
  <c r="N43" i="2262" s="1"/>
  <c r="I43" i="2262"/>
  <c r="H43" i="2262" s="1"/>
  <c r="K41" i="2262"/>
  <c r="L41" i="2262" s="1"/>
  <c r="M41" i="2262" s="1"/>
  <c r="I41" i="2262"/>
  <c r="H41" i="2262" s="1"/>
  <c r="K39" i="2262"/>
  <c r="L39" i="2262" s="1"/>
  <c r="M39" i="2262" s="1"/>
  <c r="N39" i="2262" s="1"/>
  <c r="I39" i="2262"/>
  <c r="H39" i="2262"/>
  <c r="I35" i="2262"/>
  <c r="H35" i="2262" s="1"/>
  <c r="K33" i="2262"/>
  <c r="L33" i="2262" s="1"/>
  <c r="M33" i="2262" s="1"/>
  <c r="N33" i="2262" s="1"/>
  <c r="I33" i="2262"/>
  <c r="H33" i="2262" s="1"/>
  <c r="K29" i="2262"/>
  <c r="L29" i="2262" s="1"/>
  <c r="M29" i="2262" s="1"/>
  <c r="N29" i="2262" s="1"/>
  <c r="K23" i="2262"/>
  <c r="L23" i="2262" s="1"/>
  <c r="M23" i="2262" s="1"/>
  <c r="I23" i="2262"/>
  <c r="H23" i="2262" s="1"/>
  <c r="K37" i="2262"/>
  <c r="L37" i="2262" s="1"/>
  <c r="M37" i="2262" s="1"/>
  <c r="N37" i="2262" s="1"/>
  <c r="I37" i="2262"/>
  <c r="H37" i="2262" s="1"/>
  <c r="K35" i="2262"/>
  <c r="L35" i="2262" s="1"/>
  <c r="M35" i="2262" s="1"/>
  <c r="N35" i="2262" s="1"/>
  <c r="K31" i="2262"/>
  <c r="L31" i="2262" s="1"/>
  <c r="M31" i="2262" s="1"/>
  <c r="I31" i="2262"/>
  <c r="H31" i="2262"/>
  <c r="I29" i="2262"/>
  <c r="H29" i="2262" s="1"/>
  <c r="K27" i="2262"/>
  <c r="L27" i="2262" s="1"/>
  <c r="M27" i="2262" s="1"/>
  <c r="N27" i="2262" s="1"/>
  <c r="I27" i="2262"/>
  <c r="H27" i="2262"/>
  <c r="K25" i="2262"/>
  <c r="L25" i="2262" s="1"/>
  <c r="M25" i="2262" s="1"/>
  <c r="N25" i="2262" s="1"/>
  <c r="I25" i="2262"/>
  <c r="H25" i="2262"/>
  <c r="K21" i="2262"/>
  <c r="L21" i="2262" s="1"/>
  <c r="M21" i="2262" s="1"/>
  <c r="I21" i="2262"/>
  <c r="H21" i="2262"/>
  <c r="K15" i="2262"/>
  <c r="L15" i="2262" s="1"/>
  <c r="M15" i="2262" s="1"/>
  <c r="I15" i="2262"/>
  <c r="H15" i="2262" s="1"/>
  <c r="K13" i="2262"/>
  <c r="L13" i="2262" s="1"/>
  <c r="M13" i="2262" s="1"/>
  <c r="I13" i="2262"/>
  <c r="H13" i="2262"/>
  <c r="K11" i="2262"/>
  <c r="L11" i="2262" s="1"/>
  <c r="M11" i="2262" s="1"/>
  <c r="I11" i="2262"/>
  <c r="H11" i="2262"/>
  <c r="K3" i="2262"/>
  <c r="L3" i="2262" s="1"/>
  <c r="M3" i="2262" s="1"/>
  <c r="N3" i="2262" s="1"/>
  <c r="I3" i="2262"/>
  <c r="H3" i="2262"/>
  <c r="I19" i="2259"/>
  <c r="K19" i="2259"/>
  <c r="M3" i="2259"/>
  <c r="L3" i="2259"/>
  <c r="K3" i="2259"/>
  <c r="H3" i="2259"/>
  <c r="I3" i="2259"/>
  <c r="K47" i="2260"/>
  <c r="L47" i="2260" s="1"/>
  <c r="M47" i="2260" s="1"/>
  <c r="I47" i="2260"/>
  <c r="H47" i="2260" s="1"/>
  <c r="M41" i="2260"/>
  <c r="L41" i="2260"/>
  <c r="K41" i="2260"/>
  <c r="H41" i="2260"/>
  <c r="I41" i="2260"/>
  <c r="K45" i="2260"/>
  <c r="L45" i="2260" s="1"/>
  <c r="M45" i="2260" s="1"/>
  <c r="I45" i="2260"/>
  <c r="H45" i="2260" s="1"/>
  <c r="K43" i="2260"/>
  <c r="L43" i="2260" s="1"/>
  <c r="M43" i="2260" s="1"/>
  <c r="I43" i="2260"/>
  <c r="H43" i="2260"/>
  <c r="K39" i="2260"/>
  <c r="L39" i="2260" s="1"/>
  <c r="M39" i="2260" s="1"/>
  <c r="I39" i="2260"/>
  <c r="H39" i="2260"/>
  <c r="K37" i="2260"/>
  <c r="L37" i="2260" s="1"/>
  <c r="M37" i="2260" s="1"/>
  <c r="I37" i="2260"/>
  <c r="H37" i="2260" s="1"/>
  <c r="L35" i="2260"/>
  <c r="M35" i="2260" s="1"/>
  <c r="K35" i="2260"/>
  <c r="H35" i="2260"/>
  <c r="I35" i="2260"/>
  <c r="L33" i="2260"/>
  <c r="M33" i="2260" s="1"/>
  <c r="K33" i="2260"/>
  <c r="I33" i="2260"/>
  <c r="H33" i="2260" s="1"/>
  <c r="K31" i="2260"/>
  <c r="L31" i="2260" s="1"/>
  <c r="M31" i="2260" s="1"/>
  <c r="I31" i="2260"/>
  <c r="H31" i="2260"/>
  <c r="K29" i="2260"/>
  <c r="L29" i="2260" s="1"/>
  <c r="M29" i="2260" s="1"/>
  <c r="I29" i="2260"/>
  <c r="H29" i="2260"/>
  <c r="K27" i="2260"/>
  <c r="L27" i="2260" s="1"/>
  <c r="M27" i="2260" s="1"/>
  <c r="I27" i="2260"/>
  <c r="H27" i="2260" s="1"/>
  <c r="K25" i="2260"/>
  <c r="L25" i="2260" s="1"/>
  <c r="M25" i="2260" s="1"/>
  <c r="I25" i="2260"/>
  <c r="H25" i="2260" s="1"/>
  <c r="K23" i="2260"/>
  <c r="L23" i="2260" s="1"/>
  <c r="M23" i="2260" s="1"/>
  <c r="I23" i="2260"/>
  <c r="H23" i="2260" s="1"/>
  <c r="K21" i="2260"/>
  <c r="L21" i="2260" s="1"/>
  <c r="M21" i="2260" s="1"/>
  <c r="I21" i="2260"/>
  <c r="H21" i="2260"/>
  <c r="K15" i="2260"/>
  <c r="L15" i="2260" s="1"/>
  <c r="M15" i="2260" s="1"/>
  <c r="I15" i="2260"/>
  <c r="H15" i="2260" s="1"/>
  <c r="K13" i="2260"/>
  <c r="L13" i="2260" s="1"/>
  <c r="M13" i="2260" s="1"/>
  <c r="I13" i="2260"/>
  <c r="H13" i="2260"/>
  <c r="K11" i="2260"/>
  <c r="L11" i="2260" s="1"/>
  <c r="M11" i="2260" s="1"/>
  <c r="I11" i="2260"/>
  <c r="H11" i="2260" s="1"/>
  <c r="K3" i="2260"/>
  <c r="L3" i="2260" s="1"/>
  <c r="M3" i="2260" s="1"/>
  <c r="I3" i="2260"/>
  <c r="H3" i="2260" s="1"/>
  <c r="I23" i="2259"/>
  <c r="H23" i="2259" s="1"/>
  <c r="K23" i="2259"/>
  <c r="L23" i="2259" s="1"/>
  <c r="M23" i="2259" s="1"/>
  <c r="K21" i="2259"/>
  <c r="L21" i="2259" s="1"/>
  <c r="M21" i="2259" s="1"/>
  <c r="I21" i="2259"/>
  <c r="H21" i="2259"/>
  <c r="L19" i="2259"/>
  <c r="M19" i="2259" s="1"/>
  <c r="H19" i="2259"/>
  <c r="M11" i="2259"/>
  <c r="L11" i="2259"/>
  <c r="K11" i="2259"/>
  <c r="K7" i="2259"/>
  <c r="L7" i="2259" s="1"/>
  <c r="M7" i="2259" s="1"/>
  <c r="I7" i="2259"/>
  <c r="H7" i="2259" s="1"/>
  <c r="I5" i="2259"/>
  <c r="K5" i="2259"/>
  <c r="L5" i="2259" s="1"/>
  <c r="M5" i="2259" s="1"/>
  <c r="H5" i="2259"/>
  <c r="K17" i="2259"/>
  <c r="L17" i="2259" s="1"/>
  <c r="M17" i="2259" s="1"/>
  <c r="I17" i="2259"/>
  <c r="H17" i="2259"/>
  <c r="K15" i="2259"/>
  <c r="L15" i="2259" s="1"/>
  <c r="M15" i="2259" s="1"/>
  <c r="I15" i="2259"/>
  <c r="H15" i="2259" s="1"/>
  <c r="K13" i="2259"/>
  <c r="L13" i="2259" s="1"/>
  <c r="M13" i="2259" s="1"/>
  <c r="I13" i="2259"/>
  <c r="H13" i="2259" s="1"/>
  <c r="I11" i="2259"/>
  <c r="H11" i="2259" s="1"/>
  <c r="H11" i="2257"/>
  <c r="K29" i="2257"/>
  <c r="L29" i="2257" s="1"/>
  <c r="M29" i="2257" s="1"/>
  <c r="I29" i="2257"/>
  <c r="H29" i="2257" s="1"/>
  <c r="K27" i="2257"/>
  <c r="L27" i="2257" s="1"/>
  <c r="M27" i="2257" s="1"/>
  <c r="I27" i="2257"/>
  <c r="H27" i="2257" s="1"/>
  <c r="K25" i="2257"/>
  <c r="L25" i="2257" s="1"/>
  <c r="M25" i="2257" s="1"/>
  <c r="K9" i="2257"/>
  <c r="L9" i="2257" s="1"/>
  <c r="M9" i="2257" s="1"/>
  <c r="I9" i="2257"/>
  <c r="H9" i="2257" s="1"/>
  <c r="K7" i="2257"/>
  <c r="L7" i="2257" s="1"/>
  <c r="M7" i="2257" s="1"/>
  <c r="I7" i="2257"/>
  <c r="H7" i="2257" s="1"/>
  <c r="I5" i="2257"/>
  <c r="H5" i="2257" s="1"/>
  <c r="K5" i="2257"/>
  <c r="L5" i="2257" s="1"/>
  <c r="M5" i="2257" s="1"/>
  <c r="K3" i="2257"/>
  <c r="L3" i="2257" s="1"/>
  <c r="M3" i="2257" s="1"/>
  <c r="H3" i="2257"/>
  <c r="I3" i="2257"/>
  <c r="I25" i="2257"/>
  <c r="H25" i="2257" s="1"/>
  <c r="K21" i="2257"/>
  <c r="L21" i="2257" s="1"/>
  <c r="M21" i="2257" s="1"/>
  <c r="I21" i="2257"/>
  <c r="H21" i="2257" s="1"/>
  <c r="K19" i="2257"/>
  <c r="L19" i="2257" s="1"/>
  <c r="M19" i="2257" s="1"/>
  <c r="I19" i="2257"/>
  <c r="H19" i="2257" s="1"/>
  <c r="K17" i="2257"/>
  <c r="L17" i="2257" s="1"/>
  <c r="M17" i="2257" s="1"/>
  <c r="I17" i="2257"/>
  <c r="H17" i="2257"/>
  <c r="K15" i="2257"/>
  <c r="L15" i="2257" s="1"/>
  <c r="M15" i="2257" s="1"/>
  <c r="I15" i="2257"/>
  <c r="H15" i="2257" s="1"/>
  <c r="K13" i="2257"/>
  <c r="L13" i="2257" s="1"/>
  <c r="M13" i="2257" s="1"/>
  <c r="I13" i="2257"/>
  <c r="H13" i="2257" s="1"/>
  <c r="K11" i="2257"/>
  <c r="L11" i="2257" s="1"/>
  <c r="M11" i="2257" s="1"/>
  <c r="I11" i="2257"/>
  <c r="M25" i="2256"/>
  <c r="L25" i="2256"/>
  <c r="K25" i="2256"/>
  <c r="H25" i="2256"/>
  <c r="I25" i="2256"/>
  <c r="K17" i="2256"/>
  <c r="L17" i="2256" s="1"/>
  <c r="M17" i="2256" s="1"/>
  <c r="I17" i="2256"/>
  <c r="H17" i="2256" s="1"/>
  <c r="K15" i="2256"/>
  <c r="L15" i="2256" s="1"/>
  <c r="M15" i="2256" s="1"/>
  <c r="I15" i="2256"/>
  <c r="H15" i="2256" s="1"/>
  <c r="K29" i="2256"/>
  <c r="L29" i="2256" s="1"/>
  <c r="M29" i="2256" s="1"/>
  <c r="I29" i="2256"/>
  <c r="H29" i="2256" s="1"/>
  <c r="K27" i="2256"/>
  <c r="L27" i="2256" s="1"/>
  <c r="M27" i="2256" s="1"/>
  <c r="I27" i="2256"/>
  <c r="H27" i="2256"/>
  <c r="K23" i="2256"/>
  <c r="L23" i="2256" s="1"/>
  <c r="M23" i="2256" s="1"/>
  <c r="I23" i="2256"/>
  <c r="H23" i="2256" s="1"/>
  <c r="K21" i="2256"/>
  <c r="L21" i="2256" s="1"/>
  <c r="M21" i="2256" s="1"/>
  <c r="I21" i="2256"/>
  <c r="H21" i="2256" s="1"/>
  <c r="K19" i="2256"/>
  <c r="L19" i="2256" s="1"/>
  <c r="M19" i="2256" s="1"/>
  <c r="I19" i="2256"/>
  <c r="H19" i="2256" s="1"/>
  <c r="K13" i="2256"/>
  <c r="L13" i="2256" s="1"/>
  <c r="M13" i="2256" s="1"/>
  <c r="I13" i="2256"/>
  <c r="H13" i="2256"/>
  <c r="K11" i="2256"/>
  <c r="L11" i="2256" s="1"/>
  <c r="M11" i="2256" s="1"/>
  <c r="I11" i="2256"/>
  <c r="H11" i="2256"/>
  <c r="K3" i="2256"/>
  <c r="L3" i="2256" s="1"/>
  <c r="M3" i="2256" s="1"/>
  <c r="I3" i="2256"/>
  <c r="H3" i="2256"/>
  <c r="I33" i="2255"/>
  <c r="M33" i="2255"/>
  <c r="K51" i="2255"/>
  <c r="L51" i="2255" s="1"/>
  <c r="M51" i="2255" s="1"/>
  <c r="I51" i="2255"/>
  <c r="H51" i="2255" s="1"/>
  <c r="K49" i="2255"/>
  <c r="L49" i="2255" s="1"/>
  <c r="M49" i="2255" s="1"/>
  <c r="I49" i="2255"/>
  <c r="H49" i="2255"/>
  <c r="M47" i="2255"/>
  <c r="L47" i="2255"/>
  <c r="K47" i="2255"/>
  <c r="H47" i="2255"/>
  <c r="I47" i="2255"/>
  <c r="M43" i="2255"/>
  <c r="L43" i="2255"/>
  <c r="K43" i="2255"/>
  <c r="H43" i="2255"/>
  <c r="I43" i="2255"/>
  <c r="M39" i="2255"/>
  <c r="L39" i="2255"/>
  <c r="K39" i="2255"/>
  <c r="H39" i="2255"/>
  <c r="I39" i="2255"/>
  <c r="M41" i="2255"/>
  <c r="L41" i="2255"/>
  <c r="K41" i="2255"/>
  <c r="H41" i="2255"/>
  <c r="I41" i="2255"/>
  <c r="K37" i="2255"/>
  <c r="L37" i="2255" s="1"/>
  <c r="M37" i="2255" s="1"/>
  <c r="I37" i="2255"/>
  <c r="H37" i="2255" s="1"/>
  <c r="K45" i="2255"/>
  <c r="L45" i="2255" s="1"/>
  <c r="M45" i="2255" s="1"/>
  <c r="I45" i="2255"/>
  <c r="H45" i="2255"/>
  <c r="L35" i="2255"/>
  <c r="M35" i="2255" s="1"/>
  <c r="K35" i="2255"/>
  <c r="I35" i="2255"/>
  <c r="H35" i="2255" s="1"/>
  <c r="K33" i="2255"/>
  <c r="L33" i="2255" s="1"/>
  <c r="H33" i="2255"/>
  <c r="K29" i="2255"/>
  <c r="L29" i="2255" s="1"/>
  <c r="M29" i="2255" s="1"/>
  <c r="H29" i="2255"/>
  <c r="I29" i="2255"/>
  <c r="K13" i="2255"/>
  <c r="L13" i="2255" s="1"/>
  <c r="M13" i="2255" s="1"/>
  <c r="I13" i="2255"/>
  <c r="H13" i="2255" s="1"/>
  <c r="K11" i="2255"/>
  <c r="L11" i="2255" s="1"/>
  <c r="M11" i="2255" s="1"/>
  <c r="I11" i="2255"/>
  <c r="H11" i="2255" s="1"/>
  <c r="K31" i="2255"/>
  <c r="L31" i="2255" s="1"/>
  <c r="M31" i="2255" s="1"/>
  <c r="I31" i="2255"/>
  <c r="H31" i="2255"/>
  <c r="K27" i="2255"/>
  <c r="L27" i="2255" s="1"/>
  <c r="M27" i="2255" s="1"/>
  <c r="I27" i="2255"/>
  <c r="H27" i="2255"/>
  <c r="K25" i="2255"/>
  <c r="L25" i="2255" s="1"/>
  <c r="M25" i="2255" s="1"/>
  <c r="I25" i="2255"/>
  <c r="H25" i="2255" s="1"/>
  <c r="K23" i="2255"/>
  <c r="L23" i="2255" s="1"/>
  <c r="M23" i="2255" s="1"/>
  <c r="I23" i="2255"/>
  <c r="H23" i="2255"/>
  <c r="K21" i="2255"/>
  <c r="L21" i="2255" s="1"/>
  <c r="M21" i="2255" s="1"/>
  <c r="I21" i="2255"/>
  <c r="H21" i="2255"/>
  <c r="K15" i="2255"/>
  <c r="L15" i="2255" s="1"/>
  <c r="M15" i="2255" s="1"/>
  <c r="I15" i="2255"/>
  <c r="H15" i="2255"/>
  <c r="K3" i="2255"/>
  <c r="L3" i="2255" s="1"/>
  <c r="M3" i="2255" s="1"/>
  <c r="I3" i="2255"/>
  <c r="H3" i="2255"/>
  <c r="L33" i="2254"/>
  <c r="M33" i="2254" s="1"/>
  <c r="N33" i="2254" s="1"/>
  <c r="J33" i="2254"/>
  <c r="I33" i="2254" s="1"/>
  <c r="H33" i="2254" s="1"/>
  <c r="L29" i="2254"/>
  <c r="M29" i="2254" s="1"/>
  <c r="N29" i="2254" s="1"/>
  <c r="J29" i="2254"/>
  <c r="I29" i="2254" s="1"/>
  <c r="H29" i="2254" s="1"/>
  <c r="L27" i="2254"/>
  <c r="M27" i="2254" s="1"/>
  <c r="N27" i="2254" s="1"/>
  <c r="J27" i="2254"/>
  <c r="I27" i="2254" s="1"/>
  <c r="H27" i="2254" s="1"/>
  <c r="L23" i="2254"/>
  <c r="M23" i="2254" s="1"/>
  <c r="N23" i="2254" s="1"/>
  <c r="J7" i="2254"/>
  <c r="I7" i="2254" s="1"/>
  <c r="H7" i="2254" s="1"/>
  <c r="L9" i="2254"/>
  <c r="M9" i="2254" s="1"/>
  <c r="N9" i="2254" s="1"/>
  <c r="J9" i="2254"/>
  <c r="I9" i="2254" s="1"/>
  <c r="H9" i="2254" s="1"/>
  <c r="L7" i="2254"/>
  <c r="M7" i="2254" s="1"/>
  <c r="N7" i="2254" s="1"/>
  <c r="L5" i="2254"/>
  <c r="M5" i="2254" s="1"/>
  <c r="N5" i="2254" s="1"/>
  <c r="J5" i="2254"/>
  <c r="I5" i="2254" s="1"/>
  <c r="H5" i="2254" s="1"/>
  <c r="L35" i="2254"/>
  <c r="M35" i="2254" s="1"/>
  <c r="N35" i="2254" s="1"/>
  <c r="J35" i="2254"/>
  <c r="I35" i="2254" s="1"/>
  <c r="H35" i="2254" s="1"/>
  <c r="L25" i="2254"/>
  <c r="M25" i="2254" s="1"/>
  <c r="N25" i="2254" s="1"/>
  <c r="J25" i="2254"/>
  <c r="I25" i="2254"/>
  <c r="H25" i="2254" s="1"/>
  <c r="J23" i="2254"/>
  <c r="I23" i="2254" s="1"/>
  <c r="H23" i="2254" s="1"/>
  <c r="L19" i="2254"/>
  <c r="M19" i="2254" s="1"/>
  <c r="N19" i="2254" s="1"/>
  <c r="J19" i="2254"/>
  <c r="I19" i="2254"/>
  <c r="H19" i="2254" s="1"/>
  <c r="L17" i="2254"/>
  <c r="M17" i="2254" s="1"/>
  <c r="N17" i="2254" s="1"/>
  <c r="J17" i="2254"/>
  <c r="I17" i="2254" s="1"/>
  <c r="H17" i="2254" s="1"/>
  <c r="L15" i="2254"/>
  <c r="M15" i="2254" s="1"/>
  <c r="N15" i="2254" s="1"/>
  <c r="J15" i="2254"/>
  <c r="I15" i="2254"/>
  <c r="H15" i="2254" s="1"/>
  <c r="L13" i="2254"/>
  <c r="M13" i="2254" s="1"/>
  <c r="N13" i="2254" s="1"/>
  <c r="J13" i="2254"/>
  <c r="I13" i="2254" s="1"/>
  <c r="H13" i="2254" s="1"/>
  <c r="L3" i="2254"/>
  <c r="M3" i="2254" s="1"/>
  <c r="N3" i="2254" s="1"/>
  <c r="J3" i="2254"/>
  <c r="I3" i="2254" s="1"/>
  <c r="H3" i="2254" s="1"/>
  <c r="K33" i="2253"/>
  <c r="L33" i="2253" s="1"/>
  <c r="M33" i="2253" s="1"/>
  <c r="I33" i="2253"/>
  <c r="H33" i="2253" s="1"/>
  <c r="K31" i="2253"/>
  <c r="L31" i="2253" s="1"/>
  <c r="M31" i="2253" s="1"/>
  <c r="I31" i="2253"/>
  <c r="H31" i="2253"/>
  <c r="K29" i="2253"/>
  <c r="L29" i="2253" s="1"/>
  <c r="M29" i="2253" s="1"/>
  <c r="I29" i="2253"/>
  <c r="H29" i="2253"/>
  <c r="K27" i="2253"/>
  <c r="L27" i="2253" s="1"/>
  <c r="M27" i="2253" s="1"/>
  <c r="I27" i="2253"/>
  <c r="H27" i="2253" s="1"/>
  <c r="K25" i="2253"/>
  <c r="L25" i="2253" s="1"/>
  <c r="M25" i="2253" s="1"/>
  <c r="I25" i="2253"/>
  <c r="H25" i="2253"/>
  <c r="K7" i="2253"/>
  <c r="L7" i="2253" s="1"/>
  <c r="M7" i="2253" s="1"/>
  <c r="I7" i="2253"/>
  <c r="H7" i="2253" s="1"/>
  <c r="K9" i="2253"/>
  <c r="L9" i="2253" s="1"/>
  <c r="M9" i="2253" s="1"/>
  <c r="I9" i="2253"/>
  <c r="H9" i="2253"/>
  <c r="K11" i="2253"/>
  <c r="L11" i="2253" s="1"/>
  <c r="M11" i="2253" s="1"/>
  <c r="I11" i="2253"/>
  <c r="H11" i="2253" s="1"/>
  <c r="M5" i="2253"/>
  <c r="L5" i="2253"/>
  <c r="K5" i="2253"/>
  <c r="I5" i="2253"/>
  <c r="H5" i="2253" s="1"/>
  <c r="K3" i="2253"/>
  <c r="L3" i="2253" s="1"/>
  <c r="M3" i="2253" s="1"/>
  <c r="I3" i="2253"/>
  <c r="H3" i="2253" s="1"/>
  <c r="N29" i="2240"/>
  <c r="N27" i="2240"/>
  <c r="N25" i="2240"/>
  <c r="N23" i="2240"/>
  <c r="N21" i="2240"/>
  <c r="N19" i="2240"/>
  <c r="N17" i="2240"/>
  <c r="N15" i="2240"/>
  <c r="N13" i="2240"/>
  <c r="N11" i="2240"/>
  <c r="N9" i="2240"/>
  <c r="N7" i="2240"/>
  <c r="N5" i="2240"/>
  <c r="N3" i="2240"/>
  <c r="N51" i="2237"/>
  <c r="N49" i="2237"/>
  <c r="N47" i="2237"/>
  <c r="N45" i="2237"/>
  <c r="N43" i="2237"/>
  <c r="N41" i="2237"/>
  <c r="N39" i="2237"/>
  <c r="N37" i="2237"/>
  <c r="N35" i="2237"/>
  <c r="N33" i="2237"/>
  <c r="N31" i="2237"/>
  <c r="N29" i="2237"/>
  <c r="N27" i="2237"/>
  <c r="N25" i="2237"/>
  <c r="N23" i="2237"/>
  <c r="N21" i="2237"/>
  <c r="N15" i="2237"/>
  <c r="N13" i="2237"/>
  <c r="N11" i="2237"/>
  <c r="N3" i="2237"/>
  <c r="N35" i="2236"/>
  <c r="N33" i="2236"/>
  <c r="N29" i="2236"/>
  <c r="N27" i="2236"/>
  <c r="N25" i="2236"/>
  <c r="N23" i="2236"/>
  <c r="N21" i="2236"/>
  <c r="N19" i="2236"/>
  <c r="N17" i="2236"/>
  <c r="N15" i="2236"/>
  <c r="N13" i="2236"/>
  <c r="N11" i="2236"/>
  <c r="N9" i="2236"/>
  <c r="N7" i="2236"/>
  <c r="N5" i="2236"/>
  <c r="N3" i="2236"/>
  <c r="N27" i="2238"/>
  <c r="N25" i="2238"/>
  <c r="N23" i="2238"/>
  <c r="N19" i="2238"/>
  <c r="N17" i="2238"/>
  <c r="N15" i="2238"/>
  <c r="N11" i="2238"/>
  <c r="N9" i="2238"/>
  <c r="N7" i="2238"/>
  <c r="N3" i="2238"/>
  <c r="K31" i="2251"/>
  <c r="L31" i="2251"/>
  <c r="M31" i="2251"/>
  <c r="I31" i="2251"/>
  <c r="H31" i="2251"/>
  <c r="L3" i="2251"/>
  <c r="M3" i="2251"/>
  <c r="K3" i="2251"/>
  <c r="I3" i="2251"/>
  <c r="H3" i="2251"/>
  <c r="K33" i="2251"/>
  <c r="L33" i="2251"/>
  <c r="M33" i="2251"/>
  <c r="I33" i="2251"/>
  <c r="H33" i="2251"/>
  <c r="K21" i="2251"/>
  <c r="L21" i="2251"/>
  <c r="M21" i="2251"/>
  <c r="I21" i="2251"/>
  <c r="H21" i="2251"/>
  <c r="K13" i="2251"/>
  <c r="L13" i="2251"/>
  <c r="M13" i="2251"/>
  <c r="N13" i="2251" s="1"/>
  <c r="I13" i="2251"/>
  <c r="H13" i="2251"/>
  <c r="K11" i="2251"/>
  <c r="L11" i="2251"/>
  <c r="M11" i="2251"/>
  <c r="I11" i="2251"/>
  <c r="H11" i="2251"/>
  <c r="K9" i="2251"/>
  <c r="L9" i="2251"/>
  <c r="M9" i="2251"/>
  <c r="N9" i="2251" s="1"/>
  <c r="I9" i="2251"/>
  <c r="H9" i="2251"/>
  <c r="K7" i="2251"/>
  <c r="L7" i="2251"/>
  <c r="M7" i="2251"/>
  <c r="N7" i="2251" s="1"/>
  <c r="I7" i="2251"/>
  <c r="H7" i="2251"/>
  <c r="H23" i="2250"/>
  <c r="I23" i="2250"/>
  <c r="L23" i="2250"/>
  <c r="K23" i="2250"/>
  <c r="M23" i="2250"/>
  <c r="K27" i="2250"/>
  <c r="L27" i="2250"/>
  <c r="M27" i="2250"/>
  <c r="I27" i="2250"/>
  <c r="H27" i="2250"/>
  <c r="K25" i="2250"/>
  <c r="L25" i="2250"/>
  <c r="M25" i="2250"/>
  <c r="H25" i="2250"/>
  <c r="I25" i="2250"/>
  <c r="K5" i="2250"/>
  <c r="L5" i="2250"/>
  <c r="M5" i="2250"/>
  <c r="I5" i="2250"/>
  <c r="H5" i="2250"/>
  <c r="K31" i="2250"/>
  <c r="L31" i="2250"/>
  <c r="M31" i="2250"/>
  <c r="I31" i="2250"/>
  <c r="H31" i="2250"/>
  <c r="K29" i="2250"/>
  <c r="L29" i="2250"/>
  <c r="M29" i="2250"/>
  <c r="I29" i="2250"/>
  <c r="H29" i="2250"/>
  <c r="K19" i="2250"/>
  <c r="L19" i="2250"/>
  <c r="M19" i="2250"/>
  <c r="I19" i="2250"/>
  <c r="H19" i="2250"/>
  <c r="K17" i="2250"/>
  <c r="L17" i="2250"/>
  <c r="M17" i="2250"/>
  <c r="I17" i="2250"/>
  <c r="H17" i="2250"/>
  <c r="K15" i="2250"/>
  <c r="L15" i="2250"/>
  <c r="M15" i="2250"/>
  <c r="I15" i="2250"/>
  <c r="H15" i="2250"/>
  <c r="K13" i="2250"/>
  <c r="L13" i="2250"/>
  <c r="M13" i="2250"/>
  <c r="I13" i="2250"/>
  <c r="H13" i="2250"/>
  <c r="K11" i="2250"/>
  <c r="L11" i="2250"/>
  <c r="M11" i="2250"/>
  <c r="I11" i="2250"/>
  <c r="H11" i="2250"/>
  <c r="K9" i="2250"/>
  <c r="L9" i="2250"/>
  <c r="M9" i="2250"/>
  <c r="I9" i="2250"/>
  <c r="H9" i="2250"/>
  <c r="K7" i="2250"/>
  <c r="L7" i="2250"/>
  <c r="M7" i="2250"/>
  <c r="I7" i="2250"/>
  <c r="H7" i="2250"/>
  <c r="K3" i="2250"/>
  <c r="L3" i="2250"/>
  <c r="M3" i="2250"/>
  <c r="I3" i="2250"/>
  <c r="H3" i="2250"/>
  <c r="K31" i="2249"/>
  <c r="L31" i="2249"/>
  <c r="M31" i="2249"/>
  <c r="I31" i="2249"/>
  <c r="H31" i="2249"/>
  <c r="K19" i="2249"/>
  <c r="L19" i="2249"/>
  <c r="M19" i="2249"/>
  <c r="I19" i="2249"/>
  <c r="H19" i="2249"/>
  <c r="H29" i="2249"/>
  <c r="I29" i="2249"/>
  <c r="M29" i="2249"/>
  <c r="L29" i="2249"/>
  <c r="K29" i="2249"/>
  <c r="K11" i="2249"/>
  <c r="L11" i="2249"/>
  <c r="M11" i="2249"/>
  <c r="I11" i="2249"/>
  <c r="H11" i="2249"/>
  <c r="K5" i="2249"/>
  <c r="L5" i="2249"/>
  <c r="M5" i="2249"/>
  <c r="I5" i="2249"/>
  <c r="H5" i="2249"/>
  <c r="K17" i="2249"/>
  <c r="L17" i="2249"/>
  <c r="M17" i="2249"/>
  <c r="I17" i="2249"/>
  <c r="H17" i="2249"/>
  <c r="K15" i="2249"/>
  <c r="L15" i="2249"/>
  <c r="M15" i="2249"/>
  <c r="I15" i="2249"/>
  <c r="H15" i="2249"/>
  <c r="K13" i="2249"/>
  <c r="L13" i="2249"/>
  <c r="M13" i="2249"/>
  <c r="I13" i="2249"/>
  <c r="H13" i="2249"/>
  <c r="K9" i="2249"/>
  <c r="L9" i="2249"/>
  <c r="M9" i="2249"/>
  <c r="I9" i="2249"/>
  <c r="H9" i="2249"/>
  <c r="K7" i="2249"/>
  <c r="L7" i="2249"/>
  <c r="M7" i="2249"/>
  <c r="I7" i="2249"/>
  <c r="H7" i="2249"/>
  <c r="K3" i="2249"/>
  <c r="L3" i="2249"/>
  <c r="M3" i="2249"/>
  <c r="I3" i="2249"/>
  <c r="H3" i="2249"/>
  <c r="K35" i="2248"/>
  <c r="L35" i="2248"/>
  <c r="M35" i="2248"/>
  <c r="I35" i="2248"/>
  <c r="H35" i="2248"/>
  <c r="K33" i="2248"/>
  <c r="L33" i="2248"/>
  <c r="M33" i="2248"/>
  <c r="I33" i="2248"/>
  <c r="H33" i="2248"/>
  <c r="K23" i="2248"/>
  <c r="L23" i="2248"/>
  <c r="M23" i="2248"/>
  <c r="I23" i="2248"/>
  <c r="H23" i="2248"/>
  <c r="K43" i="2248"/>
  <c r="L43" i="2248"/>
  <c r="M43" i="2248"/>
  <c r="I43" i="2248"/>
  <c r="H43" i="2248"/>
  <c r="K41" i="2248"/>
  <c r="L41" i="2248"/>
  <c r="M41" i="2248"/>
  <c r="I41" i="2248"/>
  <c r="H41" i="2248"/>
  <c r="K39" i="2248"/>
  <c r="L39" i="2248"/>
  <c r="M39" i="2248"/>
  <c r="I39" i="2248"/>
  <c r="H39" i="2248"/>
  <c r="L37" i="2248"/>
  <c r="M37" i="2248"/>
  <c r="K37" i="2248"/>
  <c r="I37" i="2248"/>
  <c r="H37" i="2248"/>
  <c r="K31" i="2248"/>
  <c r="L31" i="2248"/>
  <c r="M31" i="2248"/>
  <c r="I31" i="2248"/>
  <c r="H31" i="2248"/>
  <c r="K29" i="2248"/>
  <c r="L29" i="2248"/>
  <c r="M29" i="2248"/>
  <c r="I29" i="2248"/>
  <c r="H29" i="2248"/>
  <c r="K27" i="2248"/>
  <c r="L27" i="2248"/>
  <c r="M27" i="2248"/>
  <c r="I27" i="2248"/>
  <c r="H27" i="2248"/>
  <c r="K25" i="2248"/>
  <c r="L25" i="2248"/>
  <c r="M25" i="2248"/>
  <c r="I25" i="2248"/>
  <c r="H25" i="2248"/>
  <c r="K21" i="2248"/>
  <c r="L21" i="2248" s="1"/>
  <c r="M21" i="2248" s="1"/>
  <c r="I21" i="2248"/>
  <c r="H21" i="2248"/>
  <c r="L15" i="2248"/>
  <c r="M15" i="2248"/>
  <c r="K15" i="2248"/>
  <c r="I15" i="2248"/>
  <c r="H15" i="2248"/>
  <c r="K13" i="2248"/>
  <c r="L13" i="2248"/>
  <c r="M13" i="2248"/>
  <c r="I13" i="2248"/>
  <c r="H13" i="2248"/>
  <c r="K11" i="2248"/>
  <c r="L11" i="2248"/>
  <c r="M11" i="2248"/>
  <c r="I11" i="2248"/>
  <c r="H11" i="2248"/>
  <c r="L3" i="2248"/>
  <c r="M3" i="2248"/>
  <c r="K3" i="2248"/>
  <c r="I3" i="2248"/>
  <c r="H3" i="2248"/>
  <c r="H29" i="2247"/>
  <c r="I29" i="2247"/>
  <c r="K27" i="2247"/>
  <c r="L27" i="2247"/>
  <c r="M27" i="2247"/>
  <c r="I27" i="2247"/>
  <c r="H27" i="2247"/>
  <c r="K29" i="2247"/>
  <c r="L29" i="2247"/>
  <c r="M29" i="2247"/>
  <c r="K25" i="2247"/>
  <c r="L25" i="2247"/>
  <c r="M25" i="2247"/>
  <c r="I25" i="2247"/>
  <c r="H25" i="2247"/>
  <c r="K23" i="2247"/>
  <c r="L23" i="2247"/>
  <c r="M23" i="2247"/>
  <c r="I23" i="2247"/>
  <c r="H23" i="2247" s="1"/>
  <c r="K21" i="2247"/>
  <c r="L21" i="2247"/>
  <c r="M21" i="2247"/>
  <c r="I21" i="2247"/>
  <c r="H21" i="2247"/>
  <c r="K19" i="2247"/>
  <c r="L19" i="2247"/>
  <c r="M19" i="2247"/>
  <c r="I19" i="2247"/>
  <c r="H19" i="2247"/>
  <c r="K9" i="2247"/>
  <c r="L9" i="2247"/>
  <c r="M9" i="2247"/>
  <c r="I9" i="2247"/>
  <c r="H9" i="2247"/>
  <c r="K5" i="2247"/>
  <c r="L5" i="2247"/>
  <c r="M5" i="2247"/>
  <c r="I5" i="2247"/>
  <c r="H5" i="2247"/>
  <c r="K3" i="2247"/>
  <c r="L3" i="2247"/>
  <c r="M3" i="2247"/>
  <c r="I3" i="2247"/>
  <c r="H3" i="2247"/>
  <c r="K17" i="2247"/>
  <c r="L17" i="2247"/>
  <c r="M17" i="2247"/>
  <c r="I17" i="2247"/>
  <c r="H17" i="2247"/>
  <c r="K15" i="2247"/>
  <c r="L15" i="2247"/>
  <c r="M15" i="2247"/>
  <c r="I15" i="2247"/>
  <c r="H15" i="2247"/>
  <c r="K13" i="2247"/>
  <c r="L13" i="2247"/>
  <c r="M13" i="2247"/>
  <c r="I13" i="2247"/>
  <c r="H13" i="2247"/>
  <c r="K11" i="2247"/>
  <c r="L11" i="2247" s="1"/>
  <c r="M11" i="2247" s="1"/>
  <c r="I11" i="2247"/>
  <c r="H11" i="2247"/>
  <c r="K7" i="2247"/>
  <c r="L7" i="2247"/>
  <c r="M7" i="2247"/>
  <c r="I7" i="2247"/>
  <c r="H7" i="2247"/>
  <c r="M25" i="2246"/>
  <c r="L25" i="2246"/>
  <c r="K25" i="2246"/>
  <c r="H25" i="2246"/>
  <c r="I25" i="2246"/>
  <c r="K23" i="2246"/>
  <c r="L23" i="2246"/>
  <c r="M23" i="2246"/>
  <c r="K11" i="2246"/>
  <c r="L11" i="2246"/>
  <c r="M11" i="2246"/>
  <c r="I11" i="2246"/>
  <c r="H11" i="2246"/>
  <c r="K27" i="2246"/>
  <c r="L27" i="2246"/>
  <c r="M27" i="2246"/>
  <c r="I27" i="2246"/>
  <c r="H27" i="2246"/>
  <c r="I23" i="2246"/>
  <c r="H23" i="2246"/>
  <c r="K19" i="2246"/>
  <c r="L19" i="2246"/>
  <c r="M19" i="2246"/>
  <c r="I19" i="2246"/>
  <c r="H19" i="2246"/>
  <c r="K17" i="2246"/>
  <c r="L17" i="2246"/>
  <c r="M17" i="2246"/>
  <c r="I17" i="2246"/>
  <c r="H17" i="2246"/>
  <c r="K15" i="2246"/>
  <c r="L15" i="2246"/>
  <c r="M15" i="2246"/>
  <c r="I15" i="2246"/>
  <c r="H15" i="2246"/>
  <c r="K9" i="2246"/>
  <c r="L9" i="2246"/>
  <c r="M9" i="2246"/>
  <c r="I9" i="2246"/>
  <c r="H9" i="2246"/>
  <c r="K7" i="2246"/>
  <c r="L7" i="2246"/>
  <c r="M7" i="2246"/>
  <c r="I7" i="2246"/>
  <c r="H7" i="2246"/>
  <c r="K3" i="2246"/>
  <c r="L3" i="2246"/>
  <c r="M3" i="2246"/>
  <c r="I3" i="2246"/>
  <c r="H3" i="2246"/>
  <c r="K5" i="2245"/>
  <c r="L5" i="2245"/>
  <c r="M5" i="2245"/>
  <c r="K27" i="2245"/>
  <c r="L27" i="2245"/>
  <c r="M27" i="2245"/>
  <c r="I27" i="2245"/>
  <c r="H27" i="2245"/>
  <c r="L31" i="2245"/>
  <c r="M31" i="2245"/>
  <c r="K31" i="2245"/>
  <c r="I31" i="2245"/>
  <c r="H31" i="2245"/>
  <c r="I29" i="2245"/>
  <c r="H29" i="2245"/>
  <c r="K29" i="2245"/>
  <c r="L29" i="2245"/>
  <c r="M29" i="2245"/>
  <c r="K25" i="2245"/>
  <c r="L25" i="2245"/>
  <c r="M25" i="2245"/>
  <c r="H25" i="2245"/>
  <c r="I25" i="2245"/>
  <c r="K23" i="2245"/>
  <c r="L23" i="2245"/>
  <c r="M23" i="2245"/>
  <c r="I23" i="2245"/>
  <c r="H23" i="2245"/>
  <c r="K21" i="2245"/>
  <c r="L21" i="2245"/>
  <c r="M21" i="2245"/>
  <c r="I21" i="2245"/>
  <c r="H21" i="2245"/>
  <c r="K7" i="2245"/>
  <c r="L7" i="2245"/>
  <c r="M7" i="2245"/>
  <c r="I7" i="2245"/>
  <c r="H7" i="2245"/>
  <c r="K3" i="2245"/>
  <c r="L3" i="2245"/>
  <c r="M3" i="2245"/>
  <c r="I5" i="2245"/>
  <c r="H5" i="2245"/>
  <c r="H3" i="2245"/>
  <c r="I3" i="2245"/>
  <c r="K19" i="2245"/>
  <c r="L19" i="2245"/>
  <c r="M19" i="2245"/>
  <c r="I19" i="2245"/>
  <c r="H19" i="2245"/>
  <c r="K17" i="2245"/>
  <c r="L17" i="2245"/>
  <c r="M17" i="2245"/>
  <c r="I17" i="2245"/>
  <c r="H17" i="2245"/>
  <c r="K15" i="2245"/>
  <c r="L15" i="2245"/>
  <c r="M15" i="2245"/>
  <c r="I15" i="2245"/>
  <c r="H15" i="2245"/>
  <c r="K13" i="2245"/>
  <c r="L13" i="2245"/>
  <c r="M13" i="2245"/>
  <c r="I13" i="2245"/>
  <c r="H13" i="2245"/>
  <c r="K11" i="2245"/>
  <c r="L11" i="2245"/>
  <c r="M11" i="2245"/>
  <c r="I11" i="2245"/>
  <c r="H11" i="2245"/>
  <c r="K9" i="2245"/>
  <c r="L9" i="2245"/>
  <c r="M9" i="2245"/>
  <c r="I9" i="2245"/>
  <c r="H9" i="2245"/>
  <c r="K29" i="2244"/>
  <c r="L29" i="2244"/>
  <c r="M29" i="2244"/>
  <c r="I29" i="2244"/>
  <c r="H29" i="2244"/>
  <c r="K27" i="2244"/>
  <c r="L27" i="2244"/>
  <c r="M27" i="2244"/>
  <c r="I27" i="2244"/>
  <c r="H27" i="2244"/>
  <c r="K21" i="2244"/>
  <c r="L21" i="2244"/>
  <c r="M21" i="2244"/>
  <c r="I21" i="2244"/>
  <c r="H21" i="2244"/>
  <c r="K19" i="2244"/>
  <c r="L19" i="2244"/>
  <c r="M19" i="2244"/>
  <c r="H19" i="2244"/>
  <c r="I19" i="2244"/>
  <c r="K11" i="2244"/>
  <c r="L11" i="2244"/>
  <c r="M11" i="2244"/>
  <c r="I11" i="2244"/>
  <c r="H11" i="2244"/>
  <c r="K9" i="2244"/>
  <c r="L9" i="2244"/>
  <c r="M9" i="2244"/>
  <c r="I9" i="2244"/>
  <c r="H9" i="2244"/>
  <c r="K7" i="2244"/>
  <c r="L7" i="2244"/>
  <c r="M7" i="2244"/>
  <c r="I7" i="2244"/>
  <c r="H7" i="2244"/>
  <c r="L5" i="2244"/>
  <c r="M5" i="2244"/>
  <c r="K5" i="2244"/>
  <c r="I5" i="2244"/>
  <c r="H5" i="2244"/>
  <c r="K33" i="2244"/>
  <c r="L33" i="2244"/>
  <c r="M33" i="2244"/>
  <c r="I33" i="2244"/>
  <c r="H33" i="2244"/>
  <c r="K31" i="2244"/>
  <c r="L31" i="2244"/>
  <c r="M31" i="2244"/>
  <c r="I31" i="2244"/>
  <c r="H31" i="2244"/>
  <c r="K25" i="2244"/>
  <c r="L25" i="2244"/>
  <c r="M25" i="2244"/>
  <c r="I25" i="2244"/>
  <c r="H25" i="2244"/>
  <c r="K17" i="2244"/>
  <c r="L17" i="2244"/>
  <c r="M17" i="2244"/>
  <c r="I17" i="2244"/>
  <c r="H17" i="2244"/>
  <c r="K15" i="2244"/>
  <c r="L15" i="2244"/>
  <c r="M15" i="2244"/>
  <c r="I15" i="2244"/>
  <c r="H15" i="2244"/>
  <c r="K13" i="2244"/>
  <c r="L13" i="2244"/>
  <c r="M13" i="2244"/>
  <c r="I13" i="2244"/>
  <c r="H13" i="2244"/>
  <c r="K3" i="2244"/>
  <c r="L3" i="2244"/>
  <c r="M3" i="2244"/>
  <c r="I3" i="2244"/>
  <c r="H3" i="2244"/>
  <c r="H41" i="2243"/>
  <c r="I41" i="2243"/>
  <c r="L41" i="2243"/>
  <c r="M41" i="2243"/>
  <c r="K41" i="2243"/>
  <c r="H39" i="2243"/>
  <c r="I39" i="2243"/>
  <c r="L39" i="2243"/>
  <c r="M39" i="2243"/>
  <c r="K39" i="2243"/>
  <c r="K37" i="2243"/>
  <c r="L37" i="2243"/>
  <c r="M37" i="2243"/>
  <c r="I37" i="2243"/>
  <c r="H37" i="2243"/>
  <c r="I35" i="2243"/>
  <c r="H35" i="2243"/>
  <c r="K35" i="2243"/>
  <c r="L35" i="2243"/>
  <c r="M35" i="2243"/>
  <c r="H33" i="2243"/>
  <c r="I33" i="2243"/>
  <c r="L33" i="2243"/>
  <c r="M33" i="2243"/>
  <c r="K33" i="2243"/>
  <c r="I31" i="2243"/>
  <c r="H31" i="2243"/>
  <c r="K31" i="2243"/>
  <c r="L31" i="2243"/>
  <c r="M31" i="2243"/>
  <c r="I25" i="2243"/>
  <c r="H25" i="2243"/>
  <c r="K25" i="2243"/>
  <c r="L25" i="2243"/>
  <c r="M25" i="2243"/>
  <c r="I29" i="2243"/>
  <c r="H29" i="2243"/>
  <c r="K29" i="2243"/>
  <c r="L29" i="2243"/>
  <c r="M29" i="2243"/>
  <c r="I27" i="2243"/>
  <c r="H27" i="2243"/>
  <c r="K27" i="2243"/>
  <c r="L27" i="2243"/>
  <c r="M27" i="2243"/>
  <c r="I23" i="2243"/>
  <c r="H23" i="2243"/>
  <c r="K23" i="2243"/>
  <c r="L23" i="2243"/>
  <c r="M23" i="2243"/>
  <c r="I19" i="2243"/>
  <c r="H19" i="2243"/>
  <c r="K19" i="2243"/>
  <c r="L19" i="2243"/>
  <c r="M19" i="2243"/>
  <c r="I11" i="2243"/>
  <c r="H11" i="2243"/>
  <c r="K11" i="2243"/>
  <c r="L11" i="2243"/>
  <c r="M11" i="2243"/>
  <c r="K9" i="2243"/>
  <c r="L9" i="2243"/>
  <c r="M9" i="2243"/>
  <c r="I9" i="2243"/>
  <c r="H9" i="2243"/>
  <c r="I5" i="2243"/>
  <c r="H5" i="2243"/>
  <c r="K5" i="2243"/>
  <c r="L5" i="2243"/>
  <c r="M5" i="2243"/>
  <c r="K3" i="2243"/>
  <c r="L3" i="2243"/>
  <c r="M3" i="2243"/>
  <c r="I3" i="2243"/>
  <c r="H3" i="2243"/>
  <c r="K21" i="2243"/>
  <c r="L21" i="2243"/>
  <c r="M21" i="2243"/>
  <c r="I21" i="2243"/>
  <c r="H21" i="2243"/>
  <c r="K17" i="2243"/>
  <c r="L17" i="2243"/>
  <c r="M17" i="2243"/>
  <c r="I17" i="2243"/>
  <c r="H17" i="2243"/>
  <c r="K15" i="2243"/>
  <c r="L15" i="2243"/>
  <c r="M15" i="2243"/>
  <c r="I15" i="2243"/>
  <c r="H15" i="2243"/>
  <c r="K13" i="2243"/>
  <c r="L13" i="2243"/>
  <c r="M13" i="2243"/>
  <c r="I13" i="2243"/>
  <c r="H13" i="2243"/>
  <c r="K7" i="2243"/>
  <c r="L7" i="2243"/>
  <c r="M7" i="2243"/>
  <c r="I7" i="2243"/>
  <c r="H7" i="2243"/>
  <c r="K29" i="2242"/>
  <c r="L29" i="2242"/>
  <c r="M29" i="2242"/>
  <c r="I29" i="2242"/>
  <c r="H29" i="2242"/>
  <c r="K33" i="2242"/>
  <c r="L33" i="2242"/>
  <c r="M33" i="2242"/>
  <c r="I33" i="2242"/>
  <c r="H33" i="2242"/>
  <c r="K31" i="2242"/>
  <c r="L31" i="2242"/>
  <c r="M31" i="2242"/>
  <c r="I31" i="2242"/>
  <c r="H31" i="2242"/>
  <c r="K23" i="2242"/>
  <c r="L23" i="2242"/>
  <c r="M23" i="2242"/>
  <c r="I23" i="2242"/>
  <c r="H23" i="2242"/>
  <c r="K21" i="2242"/>
  <c r="L21" i="2242"/>
  <c r="M21" i="2242"/>
  <c r="I21" i="2242"/>
  <c r="H21" i="2242"/>
  <c r="K11" i="2242"/>
  <c r="L11" i="2242"/>
  <c r="M11" i="2242"/>
  <c r="I11" i="2242"/>
  <c r="H11" i="2242"/>
  <c r="K9" i="2242"/>
  <c r="L9" i="2242"/>
  <c r="M9" i="2242"/>
  <c r="I9" i="2242"/>
  <c r="H9" i="2242"/>
  <c r="K5" i="2242"/>
  <c r="L5" i="2242"/>
  <c r="M5" i="2242"/>
  <c r="I5" i="2242"/>
  <c r="H5" i="2242"/>
  <c r="K27" i="2242"/>
  <c r="L27" i="2242"/>
  <c r="M27" i="2242"/>
  <c r="I27" i="2242"/>
  <c r="H27" i="2242"/>
  <c r="K19" i="2242"/>
  <c r="L19" i="2242"/>
  <c r="M19" i="2242"/>
  <c r="I19" i="2242"/>
  <c r="H19" i="2242"/>
  <c r="K17" i="2242"/>
  <c r="L17" i="2242"/>
  <c r="M17" i="2242"/>
  <c r="I17" i="2242"/>
  <c r="H17" i="2242"/>
  <c r="K15" i="2242"/>
  <c r="L15" i="2242"/>
  <c r="M15" i="2242"/>
  <c r="I15" i="2242"/>
  <c r="H15" i="2242"/>
  <c r="K13" i="2242"/>
  <c r="L13" i="2242"/>
  <c r="M13" i="2242"/>
  <c r="I13" i="2242"/>
  <c r="H13" i="2242"/>
  <c r="K7" i="2242"/>
  <c r="L7" i="2242"/>
  <c r="M7" i="2242"/>
  <c r="I7" i="2242"/>
  <c r="H7" i="2242"/>
  <c r="K3" i="2242"/>
  <c r="L3" i="2242"/>
  <c r="M3" i="2242"/>
  <c r="I3" i="2242"/>
  <c r="H3" i="2242"/>
  <c r="N27" i="2223"/>
  <c r="N25" i="2223"/>
  <c r="N23" i="2223"/>
  <c r="N21" i="2223"/>
  <c r="N19" i="2223"/>
  <c r="N15" i="2223"/>
  <c r="N13" i="2223"/>
  <c r="N11" i="2223"/>
  <c r="N9" i="2223"/>
  <c r="N7" i="2223"/>
  <c r="N5" i="2223"/>
  <c r="N3" i="2223"/>
  <c r="N27" i="2225"/>
  <c r="N25" i="2225"/>
  <c r="N23" i="2225"/>
  <c r="N21" i="2225"/>
  <c r="N19" i="2225"/>
  <c r="N17" i="2225"/>
  <c r="N15" i="2225"/>
  <c r="N13" i="2225"/>
  <c r="N11" i="2225"/>
  <c r="N9" i="2225"/>
  <c r="N7" i="2225"/>
  <c r="N5" i="2225"/>
  <c r="N3" i="2225"/>
  <c r="K27" i="2241"/>
  <c r="L27" i="2241"/>
  <c r="M27" i="2241"/>
  <c r="I27" i="2241"/>
  <c r="H27" i="2241"/>
  <c r="K25" i="2241"/>
  <c r="L25" i="2241"/>
  <c r="M25" i="2241"/>
  <c r="I25" i="2241"/>
  <c r="H25" i="2241"/>
  <c r="K23" i="2241"/>
  <c r="L23" i="2241"/>
  <c r="M23" i="2241"/>
  <c r="I23" i="2241"/>
  <c r="H23" i="2241"/>
  <c r="K19" i="2241"/>
  <c r="L19" i="2241"/>
  <c r="M19" i="2241"/>
  <c r="I19" i="2241"/>
  <c r="H19" i="2241"/>
  <c r="K17" i="2241"/>
  <c r="L17" i="2241"/>
  <c r="M17" i="2241"/>
  <c r="I17" i="2241"/>
  <c r="H17" i="2241"/>
  <c r="K15" i="2241"/>
  <c r="L15" i="2241"/>
  <c r="M15" i="2241"/>
  <c r="I15" i="2241"/>
  <c r="H15" i="2241"/>
  <c r="K11" i="2241"/>
  <c r="L11" i="2241"/>
  <c r="M11" i="2241"/>
  <c r="I11" i="2241"/>
  <c r="H11" i="2241"/>
  <c r="K9" i="2241"/>
  <c r="L9" i="2241"/>
  <c r="M9" i="2241"/>
  <c r="I9" i="2241"/>
  <c r="H9" i="2241"/>
  <c r="K7" i="2241"/>
  <c r="L7" i="2241"/>
  <c r="M7" i="2241"/>
  <c r="I7" i="2241"/>
  <c r="H7" i="2241"/>
  <c r="K3" i="2241"/>
  <c r="L3" i="2241"/>
  <c r="M3" i="2241"/>
  <c r="I3" i="2241"/>
  <c r="H3" i="2241"/>
  <c r="M25" i="2240"/>
  <c r="L25" i="2240"/>
  <c r="K25" i="2240"/>
  <c r="H25" i="2240"/>
  <c r="I25" i="2240"/>
  <c r="K29" i="2240"/>
  <c r="L29" i="2240"/>
  <c r="M29" i="2240"/>
  <c r="I29" i="2240"/>
  <c r="H29" i="2240"/>
  <c r="K27" i="2240"/>
  <c r="L27" i="2240"/>
  <c r="M27" i="2240"/>
  <c r="I27" i="2240"/>
  <c r="H27" i="2240"/>
  <c r="L13" i="2240"/>
  <c r="M13" i="2240"/>
  <c r="K13" i="2240"/>
  <c r="I13" i="2240"/>
  <c r="H13" i="2240"/>
  <c r="K9" i="2240"/>
  <c r="L9" i="2240"/>
  <c r="M9" i="2240"/>
  <c r="I9" i="2240"/>
  <c r="H9" i="2240"/>
  <c r="K3" i="2240"/>
  <c r="L3" i="2240"/>
  <c r="M3" i="2240"/>
  <c r="I3" i="2240"/>
  <c r="H3" i="2240"/>
  <c r="K23" i="2240"/>
  <c r="L23" i="2240"/>
  <c r="M23" i="2240"/>
  <c r="I23" i="2240"/>
  <c r="H23" i="2240"/>
  <c r="K21" i="2240"/>
  <c r="L21" i="2240"/>
  <c r="M21" i="2240"/>
  <c r="I21" i="2240"/>
  <c r="H21" i="2240"/>
  <c r="K19" i="2240"/>
  <c r="L19" i="2240"/>
  <c r="M19" i="2240"/>
  <c r="I19" i="2240"/>
  <c r="H19" i="2240"/>
  <c r="K17" i="2240"/>
  <c r="L17" i="2240"/>
  <c r="M17" i="2240"/>
  <c r="I17" i="2240"/>
  <c r="H17" i="2240"/>
  <c r="K15" i="2240"/>
  <c r="L15" i="2240"/>
  <c r="M15" i="2240"/>
  <c r="I15" i="2240"/>
  <c r="H15" i="2240"/>
  <c r="K11" i="2240"/>
  <c r="L11" i="2240"/>
  <c r="M11" i="2240"/>
  <c r="I11" i="2240"/>
  <c r="H11" i="2240"/>
  <c r="K7" i="2240"/>
  <c r="L7" i="2240"/>
  <c r="M7" i="2240"/>
  <c r="I7" i="2240"/>
  <c r="H7" i="2240"/>
  <c r="K5" i="2240"/>
  <c r="L5" i="2240"/>
  <c r="M5" i="2240"/>
  <c r="I5" i="2240"/>
  <c r="H5" i="2240"/>
  <c r="K21" i="2239"/>
  <c r="L21" i="2239"/>
  <c r="M21" i="2239"/>
  <c r="I21" i="2239"/>
  <c r="H21" i="2239"/>
  <c r="K25" i="2239"/>
  <c r="L25" i="2239"/>
  <c r="M25" i="2239"/>
  <c r="I25" i="2239"/>
  <c r="H25" i="2239"/>
  <c r="K23" i="2239"/>
  <c r="L23" i="2239"/>
  <c r="M23" i="2239"/>
  <c r="I23" i="2239"/>
  <c r="H23" i="2239"/>
  <c r="K19" i="2239"/>
  <c r="L19" i="2239"/>
  <c r="M19" i="2239"/>
  <c r="I19" i="2239"/>
  <c r="H19" i="2239"/>
  <c r="K11" i="2239"/>
  <c r="L11" i="2239"/>
  <c r="M11" i="2239"/>
  <c r="I11" i="2239"/>
  <c r="H11" i="2239"/>
  <c r="K9" i="2239"/>
  <c r="L9" i="2239"/>
  <c r="M9" i="2239"/>
  <c r="I9" i="2239"/>
  <c r="H9" i="2239"/>
  <c r="K7" i="2239"/>
  <c r="L7" i="2239"/>
  <c r="M7" i="2239"/>
  <c r="I7" i="2239"/>
  <c r="H7" i="2239"/>
  <c r="K5" i="2239"/>
  <c r="L5" i="2239"/>
  <c r="M5" i="2239"/>
  <c r="I5" i="2239"/>
  <c r="H5" i="2239"/>
  <c r="K3" i="2239"/>
  <c r="L3" i="2239"/>
  <c r="M3" i="2239"/>
  <c r="I3" i="2239"/>
  <c r="H3" i="2239"/>
  <c r="K27" i="2238"/>
  <c r="L27" i="2238"/>
  <c r="M27" i="2238"/>
  <c r="I27" i="2238"/>
  <c r="H27" i="2238"/>
  <c r="H25" i="2238"/>
  <c r="I25" i="2238"/>
  <c r="L25" i="2238"/>
  <c r="M25" i="2238"/>
  <c r="K25" i="2238"/>
  <c r="K7" i="2238"/>
  <c r="L7" i="2238"/>
  <c r="M7" i="2238"/>
  <c r="I7" i="2238"/>
  <c r="H7" i="2238"/>
  <c r="K23" i="2238"/>
  <c r="L23" i="2238"/>
  <c r="M23" i="2238"/>
  <c r="I23" i="2238"/>
  <c r="H23" i="2238"/>
  <c r="K19" i="2238"/>
  <c r="L19" i="2238"/>
  <c r="M19" i="2238"/>
  <c r="I19" i="2238"/>
  <c r="H19" i="2238"/>
  <c r="K17" i="2238"/>
  <c r="L17" i="2238"/>
  <c r="M17" i="2238"/>
  <c r="I17" i="2238"/>
  <c r="H17" i="2238"/>
  <c r="K15" i="2238"/>
  <c r="L15" i="2238"/>
  <c r="M15" i="2238"/>
  <c r="I15" i="2238"/>
  <c r="H15" i="2238"/>
  <c r="K11" i="2238"/>
  <c r="L11" i="2238"/>
  <c r="M11" i="2238"/>
  <c r="I11" i="2238"/>
  <c r="H11" i="2238"/>
  <c r="K9" i="2238"/>
  <c r="L9" i="2238"/>
  <c r="M9" i="2238"/>
  <c r="I9" i="2238"/>
  <c r="H9" i="2238"/>
  <c r="K3" i="2238"/>
  <c r="L3" i="2238"/>
  <c r="M3" i="2238"/>
  <c r="I3" i="2238"/>
  <c r="H3" i="2238"/>
  <c r="K47" i="2237"/>
  <c r="L47" i="2237"/>
  <c r="M47" i="2237"/>
  <c r="I47" i="2237"/>
  <c r="H47" i="2237"/>
  <c r="K51" i="2237"/>
  <c r="L51" i="2237"/>
  <c r="M51" i="2237"/>
  <c r="I51" i="2237"/>
  <c r="H51" i="2237"/>
  <c r="K49" i="2237"/>
  <c r="L49" i="2237"/>
  <c r="M49" i="2237"/>
  <c r="I49" i="2237"/>
  <c r="H49" i="2237"/>
  <c r="K45" i="2237"/>
  <c r="L45" i="2237"/>
  <c r="M45" i="2237"/>
  <c r="I45" i="2237"/>
  <c r="H45" i="2237"/>
  <c r="I33" i="2237"/>
  <c r="H33" i="2237"/>
  <c r="K33" i="2237"/>
  <c r="L33" i="2237"/>
  <c r="M33" i="2237"/>
  <c r="I29" i="2237"/>
  <c r="H29" i="2237"/>
  <c r="K43" i="2237"/>
  <c r="L43" i="2237"/>
  <c r="M43" i="2237"/>
  <c r="I43" i="2237"/>
  <c r="H43" i="2237"/>
  <c r="K41" i="2237"/>
  <c r="L41" i="2237"/>
  <c r="M41" i="2237"/>
  <c r="I41" i="2237"/>
  <c r="H41" i="2237"/>
  <c r="K39" i="2237"/>
  <c r="L39" i="2237"/>
  <c r="M39" i="2237"/>
  <c r="I39" i="2237"/>
  <c r="H39" i="2237"/>
  <c r="K37" i="2237"/>
  <c r="L37" i="2237"/>
  <c r="M37" i="2237"/>
  <c r="I37" i="2237"/>
  <c r="H37" i="2237"/>
  <c r="K35" i="2237"/>
  <c r="L35" i="2237"/>
  <c r="M35" i="2237"/>
  <c r="I35" i="2237"/>
  <c r="H35" i="2237"/>
  <c r="K31" i="2237"/>
  <c r="L31" i="2237"/>
  <c r="M31" i="2237"/>
  <c r="I31" i="2237"/>
  <c r="H31" i="2237"/>
  <c r="K29" i="2237"/>
  <c r="L29" i="2237"/>
  <c r="M29" i="2237"/>
  <c r="K27" i="2237"/>
  <c r="L27" i="2237"/>
  <c r="M27" i="2237"/>
  <c r="I27" i="2237"/>
  <c r="H27" i="2237"/>
  <c r="K25" i="2237"/>
  <c r="L25" i="2237"/>
  <c r="M25" i="2237"/>
  <c r="I25" i="2237"/>
  <c r="H25" i="2237"/>
  <c r="K23" i="2237"/>
  <c r="L23" i="2237"/>
  <c r="M23" i="2237"/>
  <c r="I23" i="2237"/>
  <c r="H23" i="2237"/>
  <c r="K21" i="2237"/>
  <c r="L21" i="2237"/>
  <c r="M21" i="2237"/>
  <c r="I21" i="2237"/>
  <c r="H21" i="2237"/>
  <c r="K15" i="2237"/>
  <c r="L15" i="2237"/>
  <c r="M15" i="2237"/>
  <c r="I15" i="2237"/>
  <c r="H15" i="2237"/>
  <c r="K13" i="2237"/>
  <c r="L13" i="2237"/>
  <c r="M13" i="2237"/>
  <c r="I13" i="2237"/>
  <c r="H13" i="2237"/>
  <c r="K11" i="2237"/>
  <c r="L11" i="2237"/>
  <c r="M11" i="2237"/>
  <c r="I11" i="2237"/>
  <c r="H11" i="2237"/>
  <c r="K3" i="2237"/>
  <c r="L3" i="2237"/>
  <c r="M3" i="2237"/>
  <c r="I3" i="2237"/>
  <c r="H3" i="2237"/>
  <c r="K29" i="2236"/>
  <c r="L29" i="2236"/>
  <c r="M29" i="2236"/>
  <c r="I29" i="2236"/>
  <c r="H29" i="2236"/>
  <c r="H21" i="2236"/>
  <c r="I21" i="2236"/>
  <c r="M21" i="2236"/>
  <c r="L21" i="2236"/>
  <c r="K21" i="2236"/>
  <c r="M35" i="2236"/>
  <c r="L35" i="2236"/>
  <c r="K35" i="2236"/>
  <c r="H35" i="2236"/>
  <c r="I35" i="2236"/>
  <c r="K33" i="2236"/>
  <c r="L33" i="2236"/>
  <c r="M33" i="2236"/>
  <c r="I33" i="2236"/>
  <c r="H33" i="2236"/>
  <c r="L27" i="2236"/>
  <c r="M27" i="2236"/>
  <c r="K27" i="2236"/>
  <c r="I27" i="2236"/>
  <c r="H27" i="2236"/>
  <c r="K19" i="2236"/>
  <c r="L19" i="2236"/>
  <c r="M19" i="2236"/>
  <c r="I19" i="2236"/>
  <c r="H19" i="2236"/>
  <c r="K25" i="2236"/>
  <c r="L25" i="2236"/>
  <c r="M25" i="2236"/>
  <c r="I25" i="2236"/>
  <c r="H25" i="2236"/>
  <c r="K23" i="2236"/>
  <c r="L23" i="2236"/>
  <c r="M23" i="2236"/>
  <c r="I23" i="2236"/>
  <c r="H23" i="2236"/>
  <c r="K11" i="2236"/>
  <c r="L11" i="2236"/>
  <c r="M11" i="2236"/>
  <c r="I11" i="2236"/>
  <c r="H11" i="2236"/>
  <c r="K9" i="2236"/>
  <c r="L9" i="2236"/>
  <c r="M9" i="2236"/>
  <c r="I9" i="2236"/>
  <c r="H9" i="2236"/>
  <c r="K5" i="2236"/>
  <c r="L5" i="2236"/>
  <c r="M5" i="2236"/>
  <c r="I5" i="2236"/>
  <c r="H5" i="2236"/>
  <c r="K3" i="2236"/>
  <c r="L3" i="2236"/>
  <c r="M3" i="2236"/>
  <c r="I3" i="2236"/>
  <c r="H3" i="2236"/>
  <c r="K17" i="2236"/>
  <c r="L17" i="2236"/>
  <c r="M17" i="2236"/>
  <c r="I17" i="2236"/>
  <c r="H17" i="2236"/>
  <c r="K15" i="2236"/>
  <c r="L15" i="2236"/>
  <c r="M15" i="2236"/>
  <c r="I15" i="2236"/>
  <c r="H15" i="2236"/>
  <c r="K13" i="2236"/>
  <c r="L13" i="2236"/>
  <c r="M13" i="2236"/>
  <c r="I13" i="2236"/>
  <c r="H13" i="2236"/>
  <c r="K7" i="2236"/>
  <c r="L7" i="2236"/>
  <c r="M7" i="2236"/>
  <c r="I7" i="2236"/>
  <c r="H7" i="2236"/>
  <c r="M5" i="2235"/>
  <c r="L5" i="2235"/>
  <c r="K5" i="2235"/>
  <c r="H5" i="2235"/>
  <c r="I5" i="2235"/>
  <c r="M25" i="2235"/>
  <c r="L25" i="2235"/>
  <c r="K25" i="2235"/>
  <c r="H25" i="2235"/>
  <c r="I25" i="2235"/>
  <c r="K23" i="2235"/>
  <c r="L23" i="2235"/>
  <c r="M23" i="2235"/>
  <c r="I23" i="2235"/>
  <c r="H23" i="2235"/>
  <c r="K21" i="2235"/>
  <c r="L21" i="2235"/>
  <c r="M21" i="2235"/>
  <c r="I21" i="2235"/>
  <c r="H21" i="2235"/>
  <c r="M19" i="2235"/>
  <c r="L19" i="2235"/>
  <c r="K19" i="2235"/>
  <c r="H19" i="2235"/>
  <c r="I19" i="2235"/>
  <c r="K3" i="2235"/>
  <c r="L3" i="2235"/>
  <c r="M3" i="2235"/>
  <c r="I3" i="2235"/>
  <c r="H3" i="2235"/>
  <c r="K17" i="2235"/>
  <c r="L17" i="2235"/>
  <c r="M17" i="2235"/>
  <c r="I17" i="2235"/>
  <c r="H17" i="2235"/>
  <c r="K15" i="2235"/>
  <c r="L15" i="2235"/>
  <c r="M15" i="2235"/>
  <c r="I15" i="2235"/>
  <c r="H15" i="2235"/>
  <c r="K13" i="2235"/>
  <c r="L13" i="2235"/>
  <c r="M13" i="2235"/>
  <c r="I13" i="2235"/>
  <c r="H13" i="2235"/>
  <c r="K11" i="2235"/>
  <c r="L11" i="2235"/>
  <c r="M11" i="2235"/>
  <c r="I11" i="2235"/>
  <c r="H11" i="2235"/>
  <c r="K9" i="2235"/>
  <c r="L9" i="2235"/>
  <c r="M9" i="2235"/>
  <c r="I9" i="2235"/>
  <c r="H9" i="2235"/>
  <c r="K7" i="2235"/>
  <c r="L7" i="2235"/>
  <c r="M7" i="2235"/>
  <c r="I7" i="2235"/>
  <c r="H7" i="2235"/>
  <c r="M27" i="2234"/>
  <c r="L27" i="2234"/>
  <c r="K27" i="2234"/>
  <c r="H27" i="2234"/>
  <c r="I27" i="2234"/>
  <c r="K25" i="2234"/>
  <c r="L25" i="2234"/>
  <c r="M25" i="2234"/>
  <c r="I25" i="2234"/>
  <c r="H25" i="2234"/>
  <c r="K29" i="2234"/>
  <c r="L29" i="2234"/>
  <c r="M29" i="2234"/>
  <c r="I29" i="2234"/>
  <c r="H29" i="2234"/>
  <c r="K23" i="2234"/>
  <c r="L23" i="2234"/>
  <c r="M23" i="2234"/>
  <c r="I23" i="2234"/>
  <c r="H23" i="2234"/>
  <c r="K21" i="2234"/>
  <c r="L21" i="2234"/>
  <c r="M21" i="2234"/>
  <c r="I21" i="2234"/>
  <c r="H21" i="2234"/>
  <c r="K19" i="2234"/>
  <c r="L19" i="2234"/>
  <c r="M19" i="2234"/>
  <c r="I19" i="2234"/>
  <c r="H19" i="2234"/>
  <c r="K11" i="2234"/>
  <c r="L11" i="2234"/>
  <c r="M11" i="2234"/>
  <c r="I11" i="2234"/>
  <c r="H11" i="2234"/>
  <c r="K5" i="2234"/>
  <c r="L5" i="2234"/>
  <c r="M5" i="2234"/>
  <c r="I5" i="2234"/>
  <c r="H5" i="2234"/>
  <c r="K17" i="2234"/>
  <c r="L17" i="2234"/>
  <c r="M17" i="2234"/>
  <c r="I17" i="2234"/>
  <c r="H17" i="2234"/>
  <c r="K15" i="2234"/>
  <c r="L15" i="2234"/>
  <c r="M15" i="2234"/>
  <c r="I15" i="2234"/>
  <c r="H15" i="2234"/>
  <c r="K13" i="2234"/>
  <c r="L13" i="2234"/>
  <c r="M13" i="2234"/>
  <c r="I13" i="2234"/>
  <c r="H13" i="2234"/>
  <c r="K9" i="2234"/>
  <c r="L9" i="2234"/>
  <c r="M9" i="2234"/>
  <c r="I9" i="2234"/>
  <c r="H9" i="2234"/>
  <c r="K7" i="2234"/>
  <c r="L7" i="2234"/>
  <c r="M7" i="2234"/>
  <c r="I7" i="2234"/>
  <c r="H7" i="2234"/>
  <c r="K3" i="2234"/>
  <c r="L3" i="2234"/>
  <c r="M3" i="2234"/>
  <c r="I3" i="2234"/>
  <c r="H3" i="2234"/>
  <c r="K73" i="2233"/>
  <c r="L73" i="2233"/>
  <c r="M73" i="2233"/>
  <c r="I73" i="2233"/>
  <c r="H73" i="2233"/>
  <c r="I63" i="2233"/>
  <c r="H63" i="2233"/>
  <c r="K63" i="2233"/>
  <c r="L63" i="2233"/>
  <c r="M63" i="2233"/>
  <c r="H61" i="2233"/>
  <c r="I61" i="2233"/>
  <c r="L61" i="2233"/>
  <c r="M61" i="2233"/>
  <c r="K61" i="2233"/>
  <c r="H59" i="2233"/>
  <c r="I59" i="2233"/>
  <c r="M59" i="2233"/>
  <c r="L59" i="2233"/>
  <c r="K59" i="2233"/>
  <c r="I57" i="2233"/>
  <c r="H57" i="2233"/>
  <c r="K57" i="2233"/>
  <c r="L57" i="2233"/>
  <c r="M57" i="2233"/>
  <c r="K43" i="2233"/>
  <c r="L43" i="2233"/>
  <c r="M43" i="2233"/>
  <c r="I43" i="2233"/>
  <c r="H43" i="2233"/>
  <c r="K41" i="2233"/>
  <c r="L41" i="2233"/>
  <c r="M41" i="2233"/>
  <c r="I41" i="2233"/>
  <c r="H41" i="2233"/>
  <c r="H39" i="2233"/>
  <c r="I39" i="2233"/>
  <c r="L39" i="2233"/>
  <c r="M39" i="2233"/>
  <c r="K39" i="2233"/>
  <c r="K71" i="2233"/>
  <c r="L71" i="2233"/>
  <c r="M71" i="2233"/>
  <c r="I71" i="2233"/>
  <c r="H71" i="2233"/>
  <c r="K69" i="2233"/>
  <c r="L69" i="2233"/>
  <c r="M69" i="2233"/>
  <c r="I69" i="2233"/>
  <c r="H69" i="2233"/>
  <c r="K67" i="2233"/>
  <c r="L67" i="2233"/>
  <c r="M67" i="2233"/>
  <c r="I67" i="2233"/>
  <c r="H67" i="2233"/>
  <c r="K65" i="2233"/>
  <c r="L65" i="2233"/>
  <c r="M65" i="2233"/>
  <c r="I65" i="2233"/>
  <c r="H65" i="2233"/>
  <c r="K55" i="2233"/>
  <c r="L55" i="2233"/>
  <c r="M55" i="2233"/>
  <c r="I55" i="2233"/>
  <c r="H55" i="2233"/>
  <c r="K53" i="2233"/>
  <c r="L53" i="2233"/>
  <c r="M53" i="2233"/>
  <c r="I53" i="2233"/>
  <c r="H53" i="2233"/>
  <c r="K51" i="2233"/>
  <c r="L51" i="2233"/>
  <c r="M51" i="2233"/>
  <c r="I51" i="2233"/>
  <c r="H51" i="2233"/>
  <c r="K49" i="2233"/>
  <c r="L49" i="2233"/>
  <c r="M49" i="2233"/>
  <c r="I49" i="2233"/>
  <c r="H49" i="2233"/>
  <c r="K31" i="2233"/>
  <c r="L31" i="2233"/>
  <c r="M31" i="2233"/>
  <c r="I31" i="2233"/>
  <c r="H31" i="2233"/>
  <c r="K15" i="2233"/>
  <c r="L15" i="2233"/>
  <c r="M15" i="2233"/>
  <c r="I15" i="2233"/>
  <c r="H15" i="2233"/>
  <c r="K11" i="2233"/>
  <c r="L11" i="2233"/>
  <c r="M11" i="2233"/>
  <c r="I11" i="2233"/>
  <c r="H11" i="2233"/>
  <c r="K29" i="2233"/>
  <c r="L29" i="2233"/>
  <c r="M29" i="2233"/>
  <c r="I29" i="2233"/>
  <c r="H29" i="2233"/>
  <c r="I23" i="2233"/>
  <c r="H23" i="2233"/>
  <c r="K23" i="2233"/>
  <c r="L23" i="2233"/>
  <c r="M23" i="2233"/>
  <c r="I9" i="2233"/>
  <c r="H9" i="2233"/>
  <c r="K9" i="2233"/>
  <c r="L9" i="2233"/>
  <c r="M9" i="2233"/>
  <c r="I5" i="2233"/>
  <c r="H5" i="2233"/>
  <c r="K5" i="2233"/>
  <c r="L5" i="2233"/>
  <c r="M5" i="2233"/>
  <c r="I3" i="2233"/>
  <c r="H3" i="2233"/>
  <c r="K3" i="2233"/>
  <c r="L3" i="2233"/>
  <c r="M3" i="2233"/>
  <c r="K27" i="2233"/>
  <c r="L27" i="2233"/>
  <c r="M27" i="2233"/>
  <c r="I27" i="2233"/>
  <c r="H27" i="2233"/>
  <c r="K25" i="2233"/>
  <c r="L25" i="2233"/>
  <c r="M25" i="2233"/>
  <c r="I25" i="2233"/>
  <c r="H25" i="2233"/>
  <c r="K21" i="2233"/>
  <c r="L21" i="2233"/>
  <c r="M21" i="2233"/>
  <c r="I21" i="2233"/>
  <c r="H21" i="2233"/>
  <c r="K19" i="2233"/>
  <c r="L19" i="2233"/>
  <c r="M19" i="2233"/>
  <c r="I19" i="2233"/>
  <c r="H19" i="2233"/>
  <c r="K17" i="2233"/>
  <c r="L17" i="2233"/>
  <c r="M17" i="2233"/>
  <c r="I17" i="2233"/>
  <c r="H17" i="2233"/>
  <c r="K13" i="2233"/>
  <c r="L13" i="2233"/>
  <c r="M13" i="2233"/>
  <c r="I13" i="2233"/>
  <c r="H13" i="2233"/>
  <c r="K7" i="2233"/>
  <c r="L7" i="2233"/>
  <c r="M7" i="2233"/>
  <c r="I7" i="2233"/>
  <c r="H7" i="2233"/>
  <c r="N29" i="2232"/>
  <c r="N27" i="2232"/>
  <c r="N25" i="2232"/>
  <c r="N23" i="2232"/>
  <c r="N21" i="2232"/>
  <c r="N19" i="2232"/>
  <c r="N17" i="2232"/>
  <c r="N15" i="2232"/>
  <c r="N13" i="2232"/>
  <c r="N11" i="2232"/>
  <c r="N9" i="2232"/>
  <c r="N7" i="2232"/>
  <c r="N3" i="2232"/>
  <c r="M29" i="2232"/>
  <c r="L29" i="2232"/>
  <c r="K29" i="2232"/>
  <c r="K21" i="2232"/>
  <c r="L21" i="2232"/>
  <c r="M21" i="2232"/>
  <c r="I21" i="2232"/>
  <c r="H21" i="2232"/>
  <c r="K19" i="2232"/>
  <c r="L19" i="2232"/>
  <c r="M19" i="2232"/>
  <c r="I19" i="2232"/>
  <c r="H19" i="2232"/>
  <c r="K25" i="2232"/>
  <c r="L25" i="2232"/>
  <c r="M25" i="2232"/>
  <c r="I25" i="2232"/>
  <c r="H25" i="2232"/>
  <c r="I23" i="2232"/>
  <c r="H23" i="2232"/>
  <c r="K23" i="2232"/>
  <c r="L23" i="2232"/>
  <c r="M23" i="2232"/>
  <c r="K9" i="2232"/>
  <c r="L9" i="2232"/>
  <c r="M9" i="2232"/>
  <c r="I9" i="2232"/>
  <c r="H9" i="2232"/>
  <c r="K5" i="2232"/>
  <c r="L5" i="2232"/>
  <c r="M5" i="2232" s="1"/>
  <c r="N5" i="2232" s="1"/>
  <c r="I5" i="2232"/>
  <c r="H5" i="2232" s="1"/>
  <c r="K27" i="2232"/>
  <c r="L27" i="2232"/>
  <c r="M27" i="2232"/>
  <c r="I27" i="2232"/>
  <c r="H27" i="2232"/>
  <c r="K17" i="2232"/>
  <c r="L17" i="2232"/>
  <c r="M17" i="2232"/>
  <c r="I17" i="2232"/>
  <c r="H17" i="2232"/>
  <c r="K15" i="2232"/>
  <c r="L15" i="2232"/>
  <c r="M15" i="2232"/>
  <c r="I15" i="2232"/>
  <c r="H15" i="2232"/>
  <c r="K13" i="2232"/>
  <c r="L13" i="2232"/>
  <c r="M13" i="2232"/>
  <c r="I13" i="2232"/>
  <c r="H13" i="2232"/>
  <c r="K11" i="2232"/>
  <c r="L11" i="2232"/>
  <c r="M11" i="2232"/>
  <c r="I11" i="2232"/>
  <c r="H11" i="2232"/>
  <c r="K7" i="2232"/>
  <c r="L7" i="2232"/>
  <c r="M7" i="2232"/>
  <c r="I7" i="2232"/>
  <c r="H7" i="2232"/>
  <c r="K3" i="2232"/>
  <c r="L3" i="2232"/>
  <c r="M3" i="2232"/>
  <c r="I3" i="2232"/>
  <c r="H3" i="2232"/>
  <c r="K31" i="2231"/>
  <c r="L31" i="2231"/>
  <c r="M31" i="2231"/>
  <c r="I31" i="2231"/>
  <c r="H31" i="2231"/>
  <c r="K29" i="2231"/>
  <c r="L29" i="2231"/>
  <c r="M29" i="2231"/>
  <c r="I29" i="2231"/>
  <c r="H29" i="2231"/>
  <c r="K27" i="2231"/>
  <c r="L27" i="2231"/>
  <c r="M27" i="2231"/>
  <c r="I27" i="2231"/>
  <c r="H27" i="2231"/>
  <c r="K25" i="2231"/>
  <c r="L25" i="2231"/>
  <c r="M25" i="2231"/>
  <c r="I25" i="2231"/>
  <c r="H25" i="2231"/>
  <c r="K21" i="2231"/>
  <c r="L21" i="2231"/>
  <c r="M21" i="2231"/>
  <c r="I21" i="2231"/>
  <c r="H21" i="2231"/>
  <c r="K9" i="2231"/>
  <c r="L9" i="2231"/>
  <c r="M9" i="2231"/>
  <c r="I9" i="2231"/>
  <c r="H9" i="2231"/>
  <c r="K5" i="2231"/>
  <c r="L5" i="2231"/>
  <c r="M5" i="2231"/>
  <c r="I5" i="2231"/>
  <c r="H5" i="2231"/>
  <c r="K23" i="2231"/>
  <c r="L23" i="2231"/>
  <c r="M23" i="2231"/>
  <c r="I23" i="2231"/>
  <c r="H23" i="2231"/>
  <c r="K19" i="2231"/>
  <c r="L19" i="2231"/>
  <c r="M19" i="2231"/>
  <c r="I19" i="2231"/>
  <c r="H19" i="2231"/>
  <c r="K17" i="2231"/>
  <c r="L17" i="2231"/>
  <c r="M17" i="2231"/>
  <c r="I17" i="2231"/>
  <c r="H17" i="2231"/>
  <c r="K15" i="2231"/>
  <c r="L15" i="2231"/>
  <c r="M15" i="2231"/>
  <c r="I15" i="2231"/>
  <c r="H15" i="2231"/>
  <c r="K13" i="2231"/>
  <c r="L13" i="2231"/>
  <c r="M13" i="2231"/>
  <c r="I13" i="2231"/>
  <c r="H13" i="2231"/>
  <c r="K11" i="2231"/>
  <c r="L11" i="2231"/>
  <c r="M11" i="2231"/>
  <c r="I11" i="2231"/>
  <c r="H11" i="2231"/>
  <c r="K7" i="2231"/>
  <c r="L7" i="2231"/>
  <c r="M7" i="2231"/>
  <c r="I7" i="2231"/>
  <c r="H7" i="2231"/>
  <c r="K3" i="2231"/>
  <c r="L3" i="2231"/>
  <c r="M3" i="2231"/>
  <c r="I3" i="2231"/>
  <c r="H3" i="2231"/>
  <c r="I3" i="2230"/>
  <c r="H3" i="2230"/>
  <c r="K3" i="2230"/>
  <c r="L3" i="2230"/>
  <c r="M3" i="2230"/>
  <c r="I5" i="2230"/>
  <c r="H5" i="2230"/>
  <c r="K5" i="2230"/>
  <c r="L5" i="2230"/>
  <c r="M5" i="2230"/>
  <c r="I7" i="2230"/>
  <c r="H7" i="2230"/>
  <c r="K7" i="2230"/>
  <c r="L7" i="2230"/>
  <c r="M7" i="2230"/>
  <c r="H9" i="2230"/>
  <c r="I9" i="2230"/>
  <c r="K9" i="2230"/>
  <c r="L9" i="2230"/>
  <c r="M9" i="2230"/>
  <c r="I11" i="2230"/>
  <c r="H11" i="2230"/>
  <c r="K11" i="2230"/>
  <c r="L11" i="2230"/>
  <c r="M11" i="2230"/>
  <c r="I13" i="2230"/>
  <c r="H13" i="2230"/>
  <c r="K13" i="2230"/>
  <c r="L13" i="2230"/>
  <c r="M13" i="2230"/>
  <c r="I15" i="2230"/>
  <c r="H15" i="2230"/>
  <c r="K15" i="2230"/>
  <c r="L15" i="2230"/>
  <c r="M15" i="2230"/>
  <c r="K27" i="2229"/>
  <c r="L27" i="2229"/>
  <c r="M27" i="2229"/>
  <c r="I27" i="2229"/>
  <c r="H27" i="2229"/>
  <c r="I3" i="2229"/>
  <c r="H3" i="2229"/>
  <c r="K3" i="2229"/>
  <c r="L3" i="2229"/>
  <c r="M3" i="2229"/>
  <c r="I5" i="2229"/>
  <c r="H5" i="2229"/>
  <c r="K5" i="2229"/>
  <c r="L5" i="2229"/>
  <c r="M5" i="2229"/>
  <c r="I7" i="2229"/>
  <c r="H7" i="2229"/>
  <c r="K7" i="2229"/>
  <c r="L7" i="2229"/>
  <c r="M7" i="2229"/>
  <c r="H9" i="2229"/>
  <c r="I9" i="2229"/>
  <c r="K9" i="2229"/>
  <c r="L9" i="2229"/>
  <c r="M9" i="2229"/>
  <c r="I11" i="2229"/>
  <c r="H11" i="2229"/>
  <c r="K11" i="2229"/>
  <c r="L11" i="2229"/>
  <c r="M11" i="2229"/>
  <c r="I13" i="2229"/>
  <c r="H13" i="2229"/>
  <c r="K13" i="2229"/>
  <c r="L13" i="2229"/>
  <c r="M13" i="2229"/>
  <c r="I15" i="2229"/>
  <c r="H15" i="2229"/>
  <c r="K15" i="2229"/>
  <c r="L15" i="2229"/>
  <c r="M15" i="2229"/>
  <c r="I17" i="2229"/>
  <c r="H17" i="2229"/>
  <c r="K17" i="2229"/>
  <c r="L17" i="2229"/>
  <c r="M17" i="2229"/>
  <c r="I19" i="2229"/>
  <c r="H19" i="2229"/>
  <c r="K19" i="2229"/>
  <c r="L19" i="2229"/>
  <c r="M19" i="2229"/>
  <c r="I21" i="2229"/>
  <c r="H21" i="2229"/>
  <c r="K21" i="2229"/>
  <c r="L21" i="2229"/>
  <c r="M21" i="2229"/>
  <c r="I23" i="2229"/>
  <c r="H23" i="2229"/>
  <c r="K23" i="2229"/>
  <c r="L23" i="2229"/>
  <c r="M23" i="2229"/>
  <c r="I25" i="2229"/>
  <c r="H25" i="2229"/>
  <c r="K25" i="2229"/>
  <c r="L25" i="2229"/>
  <c r="M25" i="2229"/>
  <c r="K29" i="2228"/>
  <c r="L29" i="2228"/>
  <c r="M29" i="2228"/>
  <c r="I29" i="2228"/>
  <c r="H29" i="2228"/>
  <c r="K27" i="2228"/>
  <c r="L27" i="2228"/>
  <c r="M27" i="2228"/>
  <c r="I27" i="2228"/>
  <c r="H27" i="2228"/>
  <c r="K25" i="2228"/>
  <c r="L25" i="2228"/>
  <c r="M25" i="2228"/>
  <c r="I25" i="2228"/>
  <c r="H25" i="2228"/>
  <c r="L21" i="2228"/>
  <c r="M21" i="2228"/>
  <c r="K21" i="2228"/>
  <c r="I21" i="2228"/>
  <c r="H21" i="2228"/>
  <c r="K19" i="2228"/>
  <c r="L19" i="2228"/>
  <c r="M19" i="2228"/>
  <c r="I19" i="2228"/>
  <c r="H19" i="2228"/>
  <c r="K23" i="2228"/>
  <c r="L23" i="2228"/>
  <c r="M23" i="2228"/>
  <c r="I23" i="2228"/>
  <c r="H23" i="2228"/>
  <c r="K9" i="2228"/>
  <c r="L9" i="2228"/>
  <c r="M9" i="2228"/>
  <c r="I9" i="2228"/>
  <c r="H9" i="2228"/>
  <c r="K5" i="2228"/>
  <c r="L5" i="2228"/>
  <c r="M5" i="2228"/>
  <c r="I5" i="2228"/>
  <c r="H5" i="2228"/>
  <c r="K17" i="2228"/>
  <c r="L17" i="2228"/>
  <c r="M17" i="2228"/>
  <c r="I17" i="2228"/>
  <c r="H17" i="2228"/>
  <c r="K15" i="2228"/>
  <c r="L15" i="2228"/>
  <c r="M15" i="2228"/>
  <c r="I15" i="2228"/>
  <c r="H15" i="2228"/>
  <c r="K13" i="2228"/>
  <c r="L13" i="2228"/>
  <c r="M13" i="2228"/>
  <c r="I13" i="2228"/>
  <c r="H13" i="2228"/>
  <c r="K11" i="2228"/>
  <c r="L11" i="2228"/>
  <c r="M11" i="2228"/>
  <c r="I11" i="2228"/>
  <c r="H11" i="2228"/>
  <c r="K7" i="2228"/>
  <c r="L7" i="2228"/>
  <c r="M7" i="2228"/>
  <c r="I7" i="2228"/>
  <c r="H7" i="2228"/>
  <c r="K3" i="2228"/>
  <c r="L3" i="2228"/>
  <c r="M3" i="2228"/>
  <c r="I3" i="2228"/>
  <c r="H3" i="2228"/>
  <c r="H3" i="2223"/>
  <c r="K33" i="2227"/>
  <c r="L33" i="2227"/>
  <c r="M33" i="2227"/>
  <c r="N33" i="2227"/>
  <c r="I33" i="2227"/>
  <c r="H33" i="2227"/>
  <c r="K31" i="2227"/>
  <c r="L31" i="2227"/>
  <c r="M31" i="2227"/>
  <c r="N31" i="2227"/>
  <c r="I31" i="2227"/>
  <c r="H31" i="2227"/>
  <c r="K35" i="2227"/>
  <c r="L35" i="2227"/>
  <c r="M35" i="2227"/>
  <c r="N35" i="2227"/>
  <c r="I35" i="2227"/>
  <c r="H35" i="2227"/>
  <c r="K27" i="2227"/>
  <c r="L27" i="2227"/>
  <c r="M27" i="2227"/>
  <c r="N27" i="2227"/>
  <c r="I27" i="2227"/>
  <c r="H27" i="2227"/>
  <c r="K25" i="2227"/>
  <c r="L25" i="2227"/>
  <c r="M25" i="2227"/>
  <c r="N25" i="2227"/>
  <c r="I25" i="2227"/>
  <c r="H25" i="2227"/>
  <c r="K23" i="2227"/>
  <c r="L23" i="2227"/>
  <c r="M23" i="2227"/>
  <c r="N23" i="2227"/>
  <c r="I23" i="2227"/>
  <c r="H23" i="2227"/>
  <c r="K21" i="2227"/>
  <c r="L21" i="2227"/>
  <c r="M21" i="2227"/>
  <c r="N21" i="2227"/>
  <c r="I21" i="2227"/>
  <c r="H21" i="2227"/>
  <c r="K19" i="2227"/>
  <c r="L19" i="2227"/>
  <c r="M19" i="2227"/>
  <c r="N19" i="2227"/>
  <c r="I19" i="2227"/>
  <c r="H19" i="2227"/>
  <c r="K17" i="2227"/>
  <c r="L17" i="2227"/>
  <c r="M17" i="2227"/>
  <c r="N17" i="2227"/>
  <c r="I17" i="2227"/>
  <c r="H17" i="2227"/>
  <c r="K15" i="2227"/>
  <c r="L15" i="2227"/>
  <c r="M15" i="2227"/>
  <c r="N15" i="2227"/>
  <c r="I15" i="2227"/>
  <c r="H15" i="2227"/>
  <c r="K9" i="2227"/>
  <c r="L9" i="2227"/>
  <c r="M9" i="2227"/>
  <c r="N9" i="2227"/>
  <c r="N13" i="2227"/>
  <c r="I9" i="2227"/>
  <c r="H9" i="2227"/>
  <c r="K5" i="2227"/>
  <c r="L5" i="2227"/>
  <c r="M5" i="2227"/>
  <c r="N5" i="2227"/>
  <c r="I5" i="2227"/>
  <c r="H5" i="2227"/>
  <c r="K13" i="2227"/>
  <c r="L13" i="2227"/>
  <c r="M13" i="2227"/>
  <c r="I13" i="2227"/>
  <c r="H13" i="2227"/>
  <c r="K11" i="2227"/>
  <c r="L11" i="2227"/>
  <c r="M11" i="2227"/>
  <c r="N11" i="2227"/>
  <c r="I11" i="2227"/>
  <c r="H11" i="2227"/>
  <c r="K7" i="2227"/>
  <c r="L7" i="2227"/>
  <c r="M7" i="2227"/>
  <c r="N7" i="2227"/>
  <c r="I7" i="2227"/>
  <c r="H7" i="2227"/>
  <c r="K3" i="2227"/>
  <c r="L3" i="2227"/>
  <c r="M3" i="2227"/>
  <c r="N3" i="2227"/>
  <c r="I3" i="2227"/>
  <c r="H3" i="2227"/>
  <c r="K19" i="2226"/>
  <c r="L19" i="2226"/>
  <c r="M19" i="2226"/>
  <c r="I19" i="2226"/>
  <c r="H19" i="2226"/>
  <c r="H17" i="2226"/>
  <c r="I17" i="2226"/>
  <c r="M17" i="2226"/>
  <c r="L17" i="2226"/>
  <c r="K17" i="2226"/>
  <c r="H15" i="2226"/>
  <c r="I15" i="2226"/>
  <c r="M15" i="2226"/>
  <c r="L15" i="2226"/>
  <c r="K15" i="2226"/>
  <c r="K33" i="2226"/>
  <c r="L33" i="2226"/>
  <c r="M33" i="2226"/>
  <c r="I33" i="2226"/>
  <c r="H33" i="2226"/>
  <c r="K31" i="2226"/>
  <c r="L31" i="2226"/>
  <c r="M31" i="2226"/>
  <c r="I31" i="2226"/>
  <c r="H31" i="2226"/>
  <c r="K29" i="2226"/>
  <c r="L29" i="2226"/>
  <c r="M29" i="2226"/>
  <c r="I29" i="2226"/>
  <c r="H29" i="2226"/>
  <c r="K27" i="2226"/>
  <c r="L27" i="2226"/>
  <c r="M27" i="2226"/>
  <c r="I27" i="2226"/>
  <c r="H27" i="2226"/>
  <c r="K25" i="2226"/>
  <c r="L25" i="2226"/>
  <c r="M25" i="2226"/>
  <c r="I25" i="2226"/>
  <c r="H25" i="2226"/>
  <c r="K23" i="2226"/>
  <c r="L23" i="2226"/>
  <c r="M23" i="2226"/>
  <c r="I23" i="2226"/>
  <c r="H23" i="2226"/>
  <c r="K13" i="2226"/>
  <c r="L13" i="2226"/>
  <c r="M13" i="2226"/>
  <c r="I13" i="2226"/>
  <c r="H13" i="2226"/>
  <c r="K11" i="2226"/>
  <c r="L11" i="2226"/>
  <c r="M11" i="2226"/>
  <c r="I11" i="2226"/>
  <c r="H11" i="2226"/>
  <c r="K3" i="2226"/>
  <c r="L3" i="2226"/>
  <c r="M3" i="2226"/>
  <c r="I3" i="2226"/>
  <c r="H3" i="2226"/>
  <c r="H23" i="2225"/>
  <c r="I23" i="2225"/>
  <c r="L23" i="2225"/>
  <c r="M23" i="2225"/>
  <c r="K23" i="2225"/>
  <c r="H21" i="2225"/>
  <c r="I21" i="2225"/>
  <c r="L21" i="2225"/>
  <c r="M21" i="2225"/>
  <c r="K21" i="2225"/>
  <c r="K27" i="2225"/>
  <c r="L27" i="2225"/>
  <c r="M27" i="2225"/>
  <c r="I27" i="2225"/>
  <c r="H27" i="2225"/>
  <c r="K25" i="2225"/>
  <c r="L25" i="2225"/>
  <c r="M25" i="2225"/>
  <c r="I25" i="2225"/>
  <c r="H25" i="2225"/>
  <c r="K19" i="2225"/>
  <c r="L19" i="2225"/>
  <c r="M19" i="2225"/>
  <c r="I19" i="2225"/>
  <c r="H19" i="2225"/>
  <c r="K17" i="2225"/>
  <c r="L17" i="2225"/>
  <c r="M17" i="2225"/>
  <c r="I17" i="2225"/>
  <c r="H17" i="2225"/>
  <c r="L15" i="2225"/>
  <c r="H15" i="2225"/>
  <c r="I15" i="2225"/>
  <c r="M15" i="2225"/>
  <c r="K15" i="2225"/>
  <c r="K9" i="2225"/>
  <c r="L9" i="2225"/>
  <c r="M9" i="2225"/>
  <c r="I9" i="2225"/>
  <c r="H9" i="2225"/>
  <c r="H7" i="2225"/>
  <c r="I7" i="2225"/>
  <c r="L7" i="2225"/>
  <c r="M7" i="2225"/>
  <c r="K7" i="2225"/>
  <c r="H5" i="2225"/>
  <c r="I5" i="2225"/>
  <c r="L5" i="2225"/>
  <c r="M5" i="2225"/>
  <c r="K5" i="2225"/>
  <c r="I3" i="2225"/>
  <c r="H3" i="2225"/>
  <c r="K3" i="2225"/>
  <c r="L3" i="2225"/>
  <c r="M3" i="2225"/>
  <c r="K13" i="2225"/>
  <c r="L13" i="2225"/>
  <c r="M13" i="2225"/>
  <c r="I13" i="2225"/>
  <c r="H13" i="2225"/>
  <c r="K11" i="2225"/>
  <c r="L11" i="2225"/>
  <c r="M11" i="2225"/>
  <c r="I11" i="2225"/>
  <c r="H11" i="2225"/>
  <c r="K29" i="2224"/>
  <c r="L29" i="2224"/>
  <c r="M29" i="2224"/>
  <c r="I29" i="2224"/>
  <c r="H29" i="2224"/>
  <c r="K25" i="2224"/>
  <c r="L25" i="2224"/>
  <c r="M25" i="2224"/>
  <c r="I25" i="2224"/>
  <c r="H25" i="2224"/>
  <c r="K27" i="2224"/>
  <c r="L27" i="2224"/>
  <c r="M27" i="2224"/>
  <c r="I27" i="2224"/>
  <c r="H27" i="2224"/>
  <c r="H19" i="2224"/>
  <c r="I19" i="2224"/>
  <c r="K9" i="2224"/>
  <c r="L9" i="2224"/>
  <c r="M9" i="2224"/>
  <c r="I9" i="2224"/>
  <c r="H9" i="2224"/>
  <c r="K5" i="2224"/>
  <c r="L5" i="2224"/>
  <c r="M5" i="2224"/>
  <c r="H5" i="2224"/>
  <c r="I5" i="2224"/>
  <c r="K23" i="2224"/>
  <c r="L23" i="2224"/>
  <c r="M23" i="2224"/>
  <c r="I23" i="2224"/>
  <c r="H23" i="2224"/>
  <c r="K21" i="2224"/>
  <c r="L21" i="2224"/>
  <c r="M21" i="2224"/>
  <c r="I21" i="2224"/>
  <c r="H21" i="2224"/>
  <c r="K19" i="2224"/>
  <c r="L19" i="2224"/>
  <c r="M19" i="2224"/>
  <c r="K17" i="2224"/>
  <c r="L17" i="2224"/>
  <c r="M17" i="2224"/>
  <c r="I17" i="2224"/>
  <c r="H17" i="2224"/>
  <c r="K15" i="2224"/>
  <c r="L15" i="2224"/>
  <c r="M15" i="2224"/>
  <c r="I15" i="2224"/>
  <c r="H15" i="2224"/>
  <c r="K13" i="2224"/>
  <c r="L13" i="2224"/>
  <c r="M13" i="2224"/>
  <c r="I13" i="2224"/>
  <c r="H13" i="2224"/>
  <c r="K11" i="2224"/>
  <c r="L11" i="2224"/>
  <c r="M11" i="2224"/>
  <c r="I11" i="2224"/>
  <c r="H11" i="2224"/>
  <c r="K7" i="2224"/>
  <c r="L7" i="2224"/>
  <c r="M7" i="2224"/>
  <c r="I7" i="2224"/>
  <c r="H7" i="2224"/>
  <c r="K3" i="2224"/>
  <c r="L3" i="2224"/>
  <c r="M3" i="2224"/>
  <c r="I3" i="2224"/>
  <c r="H3" i="2224"/>
  <c r="K27" i="2223"/>
  <c r="L27" i="2223"/>
  <c r="M27" i="2223"/>
  <c r="I27" i="2223"/>
  <c r="H27" i="2223"/>
  <c r="K25" i="2223"/>
  <c r="L25" i="2223"/>
  <c r="M25" i="2223"/>
  <c r="I25" i="2223"/>
  <c r="H25" i="2223"/>
  <c r="K23" i="2223"/>
  <c r="L23" i="2223"/>
  <c r="M23" i="2223"/>
  <c r="I23" i="2223"/>
  <c r="H23" i="2223"/>
  <c r="I21" i="2223"/>
  <c r="H21" i="2223"/>
  <c r="K21" i="2223"/>
  <c r="L21" i="2223"/>
  <c r="M21" i="2223"/>
  <c r="I19" i="2223"/>
  <c r="H19" i="2223"/>
  <c r="K19" i="2223"/>
  <c r="L19" i="2223"/>
  <c r="M19" i="2223"/>
  <c r="I15" i="2223"/>
  <c r="H15" i="2223"/>
  <c r="K15" i="2223"/>
  <c r="L15" i="2223"/>
  <c r="M15" i="2223"/>
  <c r="K9" i="2223"/>
  <c r="L9" i="2223"/>
  <c r="M9" i="2223"/>
  <c r="I9" i="2223"/>
  <c r="H9" i="2223"/>
  <c r="K7" i="2223"/>
  <c r="L7" i="2223"/>
  <c r="M7" i="2223"/>
  <c r="I7" i="2223"/>
  <c r="H7" i="2223"/>
  <c r="I5" i="2223"/>
  <c r="H5" i="2223"/>
  <c r="K5" i="2223"/>
  <c r="L5" i="2223"/>
  <c r="M5" i="2223"/>
  <c r="K3" i="2223"/>
  <c r="L3" i="2223"/>
  <c r="M3" i="2223"/>
  <c r="I3" i="2223"/>
  <c r="K13" i="2223"/>
  <c r="L13" i="2223"/>
  <c r="M13" i="2223"/>
  <c r="I13" i="2223"/>
  <c r="H13" i="2223"/>
  <c r="K11" i="2223"/>
  <c r="L11" i="2223"/>
  <c r="M11" i="2223"/>
  <c r="I11" i="2223"/>
  <c r="H11" i="2223"/>
  <c r="I27" i="2222"/>
  <c r="H27" i="2222"/>
  <c r="K27" i="2222"/>
  <c r="L27" i="2222"/>
  <c r="M27" i="2222"/>
  <c r="K29" i="2222"/>
  <c r="L29" i="2222"/>
  <c r="M29" i="2222"/>
  <c r="I29" i="2222"/>
  <c r="H29" i="2222"/>
  <c r="K31" i="2222"/>
  <c r="L31" i="2222"/>
  <c r="M31" i="2222"/>
  <c r="I31" i="2222"/>
  <c r="H31" i="2222"/>
  <c r="H23" i="2222"/>
  <c r="M23" i="2222"/>
  <c r="L23" i="2222"/>
  <c r="K23" i="2222"/>
  <c r="I23" i="2222"/>
  <c r="K19" i="2222"/>
  <c r="L19" i="2222"/>
  <c r="M19" i="2222"/>
  <c r="I19" i="2222"/>
  <c r="H19" i="2222"/>
  <c r="K25" i="2222"/>
  <c r="L25" i="2222"/>
  <c r="M25" i="2222"/>
  <c r="I25" i="2222"/>
  <c r="H25" i="2222"/>
  <c r="K21" i="2222"/>
  <c r="L21" i="2222"/>
  <c r="M21" i="2222"/>
  <c r="K3" i="2222"/>
  <c r="L3" i="2222"/>
  <c r="M3" i="2222"/>
  <c r="I3" i="2222"/>
  <c r="H3" i="2222"/>
  <c r="I21" i="2222"/>
  <c r="H21" i="2222"/>
  <c r="K17" i="2222"/>
  <c r="L17" i="2222"/>
  <c r="M17" i="2222"/>
  <c r="I17" i="2222"/>
  <c r="H17" i="2222"/>
  <c r="K15" i="2222"/>
  <c r="L15" i="2222"/>
  <c r="M15" i="2222"/>
  <c r="I15" i="2222"/>
  <c r="H15" i="2222"/>
  <c r="K13" i="2222"/>
  <c r="L13" i="2222"/>
  <c r="M13" i="2222"/>
  <c r="I13" i="2222"/>
  <c r="H13" i="2222"/>
  <c r="K11" i="2222"/>
  <c r="L11" i="2222"/>
  <c r="M11" i="2222"/>
  <c r="I11" i="2222"/>
  <c r="H11" i="2222"/>
  <c r="K9" i="2222"/>
  <c r="L9" i="2222"/>
  <c r="M9" i="2222"/>
  <c r="I9" i="2222"/>
  <c r="H9" i="2222"/>
  <c r="K7" i="2222"/>
  <c r="L7" i="2222"/>
  <c r="M7" i="2222"/>
  <c r="I7" i="2222"/>
  <c r="H7" i="2222"/>
  <c r="K5" i="2222"/>
  <c r="L5" i="2222"/>
  <c r="M5" i="2222"/>
  <c r="I5" i="2222"/>
  <c r="H5" i="2222"/>
  <c r="M19" i="2221"/>
  <c r="L19" i="2221"/>
  <c r="K19" i="2221"/>
  <c r="H19" i="2221"/>
  <c r="I19" i="2221"/>
  <c r="M17" i="2221"/>
  <c r="L17" i="2221"/>
  <c r="K17" i="2221"/>
  <c r="H17" i="2221"/>
  <c r="I17" i="2221"/>
  <c r="M15" i="2221"/>
  <c r="L15" i="2221"/>
  <c r="K15" i="2221"/>
  <c r="H15" i="2221"/>
  <c r="I15" i="2221"/>
  <c r="K13" i="2221"/>
  <c r="L13" i="2221"/>
  <c r="M13" i="2221"/>
  <c r="I13" i="2221"/>
  <c r="H13" i="2221"/>
  <c r="K3" i="2221"/>
  <c r="L3" i="2221"/>
  <c r="M3" i="2221"/>
  <c r="I3" i="2221"/>
  <c r="H3" i="2221"/>
  <c r="K11" i="2221"/>
  <c r="L11" i="2221"/>
  <c r="M11" i="2221"/>
  <c r="I11" i="2221"/>
  <c r="H11" i="2221"/>
  <c r="L13" i="2267" l="1"/>
  <c r="M13" i="2267" s="1"/>
  <c r="N13" i="226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sc240610</author>
  </authors>
  <commentList>
    <comment ref="C34" authorId="0" shapeId="0" xr:uid="{8FB831DE-BD36-458D-A500-7CA551D755AE}">
      <text>
        <r>
          <rPr>
            <b/>
            <sz val="9"/>
            <color indexed="81"/>
            <rFont val="Tahoma"/>
            <family val="2"/>
          </rPr>
          <t>sc240610:</t>
        </r>
        <r>
          <rPr>
            <sz val="9"/>
            <color indexed="81"/>
            <rFont val="Tahoma"/>
            <family val="2"/>
          </rPr>
          <t xml:space="preserve">
-
</t>
        </r>
      </text>
    </comment>
  </commentList>
</comments>
</file>

<file path=xl/sharedStrings.xml><?xml version="1.0" encoding="utf-8"?>
<sst xmlns="http://schemas.openxmlformats.org/spreadsheetml/2006/main" count="9183" uniqueCount="928">
  <si>
    <t xml:space="preserve">STRIGHT </t>
    <phoneticPr fontId="2" type="noConversion"/>
  </si>
  <si>
    <t>NECK WIDTH</t>
    <phoneticPr fontId="2" type="noConversion"/>
  </si>
  <si>
    <t xml:space="preserve">FRONT NECK DROP </t>
    <phoneticPr fontId="2" type="noConversion"/>
  </si>
  <si>
    <t xml:space="preserve">MAKE IMAGE LINE TO CENTER NECK FRONT </t>
    <phoneticPr fontId="2" type="noConversion"/>
  </si>
  <si>
    <t>SLEEVE LENGTH</t>
    <phoneticPr fontId="2" type="noConversion"/>
  </si>
  <si>
    <t xml:space="preserve">FROM SHOULDER POINT TO EDGE </t>
    <phoneticPr fontId="2" type="noConversion"/>
  </si>
  <si>
    <t>BICEP</t>
    <phoneticPr fontId="2" type="noConversion"/>
  </si>
  <si>
    <t>FROM ARMHOLE JOINING POINT ,CIRCLE ROUND</t>
    <phoneticPr fontId="2" type="noConversion"/>
  </si>
  <si>
    <t>STRIGHT (1/2)</t>
    <phoneticPr fontId="2" type="noConversion"/>
  </si>
  <si>
    <t xml:space="preserve">TOTAL LENGTH </t>
  </si>
  <si>
    <t xml:space="preserve">ARMHOLE </t>
  </si>
  <si>
    <t xml:space="preserve">AT CENTER BACK HIGHT WITHOUT NECK BAND </t>
  </si>
  <si>
    <t xml:space="preserve">COLLAR WIDTH AT EDGE </t>
  </si>
  <si>
    <t xml:space="preserve">HIP </t>
  </si>
  <si>
    <t xml:space="preserve">BASED ON ZIPPER FLY OUT LINE ,STRIGHT </t>
  </si>
  <si>
    <t xml:space="preserve">INCLUDE WAIST BAND TO EDGE </t>
  </si>
  <si>
    <t xml:space="preserve">BOTTOM OPENING </t>
  </si>
  <si>
    <t xml:space="preserve">CIRCLE ROUND </t>
  </si>
  <si>
    <t xml:space="preserve">FRONT RISE </t>
  </si>
  <si>
    <t>BACK RISE</t>
  </si>
  <si>
    <t xml:space="preserve">TIGHT </t>
  </si>
  <si>
    <t xml:space="preserve">FROM CROCH  3cm BELOW . WIDE STRIGHT </t>
  </si>
  <si>
    <t>INSEAM</t>
  </si>
  <si>
    <t xml:space="preserve">CROCH TO EDGE </t>
  </si>
  <si>
    <t xml:space="preserve">FROM EDGE STITCHES </t>
  </si>
  <si>
    <t xml:space="preserve">FROM SIDE SEAM TO STRIGHT </t>
  </si>
  <si>
    <t>어깨너비</t>
  </si>
  <si>
    <t>밑단둘레(반품)</t>
  </si>
  <si>
    <t>암홀길이(직선)</t>
  </si>
  <si>
    <t>옆목너비</t>
  </si>
  <si>
    <t>앞목깊이</t>
  </si>
  <si>
    <t>소매기장</t>
  </si>
  <si>
    <t>소매통</t>
  </si>
  <si>
    <t>소매부리</t>
  </si>
  <si>
    <t>후드장(모자길이)</t>
  </si>
  <si>
    <t>후드폭(모자폭)</t>
  </si>
  <si>
    <t>총기장(뒷목)</t>
  </si>
  <si>
    <t>목둘레</t>
  </si>
  <si>
    <t>고시폭</t>
  </si>
  <si>
    <t>카라폭</t>
  </si>
  <si>
    <t>카라포인트길이</t>
  </si>
  <si>
    <t>CHEST (1/2)</t>
    <phoneticPr fontId="2" type="noConversion"/>
  </si>
  <si>
    <t>총기장(옆목)</t>
    <phoneticPr fontId="2" type="noConversion"/>
  </si>
  <si>
    <t xml:space="preserve">ACROSS SHOULDER </t>
    <phoneticPr fontId="2" type="noConversion"/>
  </si>
  <si>
    <t xml:space="preserve">POINT TO POINT </t>
    <phoneticPr fontId="2" type="noConversion"/>
  </si>
  <si>
    <t>TOTAL LENGTH</t>
    <phoneticPr fontId="2" type="noConversion"/>
  </si>
  <si>
    <t>가슴(상동)</t>
    <phoneticPr fontId="1" type="noConversion"/>
  </si>
  <si>
    <t>BOTTOM SWEEP (1/2)</t>
    <phoneticPr fontId="2" type="noConversion"/>
  </si>
  <si>
    <t>어깨 양끝점을 수평으로 잰 길이</t>
    <phoneticPr fontId="1" type="noConversion"/>
  </si>
  <si>
    <t>암홀 겨드랑이 지점에서 수평으로 잰 길이</t>
    <phoneticPr fontId="1" type="noConversion"/>
  </si>
  <si>
    <t>와끼선의 밑단 양끝점을 수평으로 잰 길이</t>
    <phoneticPr fontId="1" type="noConversion"/>
  </si>
  <si>
    <t>어깨끝점과 겨드랑이 점을 직선으로 잰 길이</t>
    <phoneticPr fontId="1" type="noConversion"/>
  </si>
  <si>
    <t>옆목점을 수평으로 잰 길이</t>
    <phoneticPr fontId="1" type="noConversion"/>
  </si>
  <si>
    <t>옆목점에서 앞목중심의 수직 길이</t>
    <phoneticPr fontId="1" type="noConversion"/>
  </si>
  <si>
    <t>어깨 끝점에서 소매 부리(밑단) 끝까지의 직선 길이</t>
    <phoneticPr fontId="1" type="noConversion"/>
  </si>
  <si>
    <t>엉덩이둘레</t>
  </si>
  <si>
    <t>바지기장</t>
  </si>
  <si>
    <t>바지부리</t>
  </si>
  <si>
    <t>앞주머니세로</t>
  </si>
  <si>
    <t>앞주머니가로</t>
  </si>
  <si>
    <t>인심길이</t>
  </si>
  <si>
    <t>허벅지둘레</t>
  </si>
  <si>
    <t>뒤밑위</t>
  </si>
  <si>
    <t>앞밑위</t>
  </si>
  <si>
    <t>목라인(NECK LINE)을 따라 잰 곡선의 둘레길이</t>
  </si>
  <si>
    <t>뒷목 중심에서 고시 수직으로 잰 길이</t>
  </si>
  <si>
    <t>뒷목 중심에서 고시 분량을 빼고 수직으로 잰 길이</t>
  </si>
  <si>
    <t>앞목쪽 카라 길이</t>
  </si>
  <si>
    <t>NO.</t>
    <phoneticPr fontId="1" type="noConversion"/>
  </si>
  <si>
    <t xml:space="preserve">LIST </t>
    <phoneticPr fontId="2" type="noConversion"/>
  </si>
  <si>
    <t xml:space="preserve">MEASURMENT METHOD </t>
    <phoneticPr fontId="2" type="noConversion"/>
  </si>
  <si>
    <t>S</t>
    <phoneticPr fontId="1" type="noConversion"/>
  </si>
  <si>
    <t>M</t>
    <phoneticPr fontId="1" type="noConversion"/>
  </si>
  <si>
    <t>L</t>
    <phoneticPr fontId="1" type="noConversion"/>
  </si>
  <si>
    <t>XL</t>
    <phoneticPr fontId="1" type="noConversion"/>
  </si>
  <si>
    <r>
      <t xml:space="preserve">HPS TO BOTTOM EDGE </t>
    </r>
    <r>
      <rPr>
        <sz val="7.5"/>
        <color indexed="10"/>
        <rFont val="맑은 고딕"/>
        <family val="3"/>
        <charset val="129"/>
      </rPr>
      <t xml:space="preserve">(EXCLUDE NECK BAND) </t>
    </r>
    <phoneticPr fontId="2" type="noConversion"/>
  </si>
  <si>
    <t>암홀 겨드랑이 지점에서 소매중심의 수직 길이(둘레)</t>
    <phoneticPr fontId="1" type="noConversion"/>
  </si>
  <si>
    <t xml:space="preserve">CUFF OPENING </t>
    <phoneticPr fontId="2" type="noConversion"/>
  </si>
  <si>
    <t xml:space="preserve">CIRCLE ROUND </t>
    <phoneticPr fontId="2" type="noConversion"/>
  </si>
  <si>
    <t>소매 밑단(시보리 밑단)의 둘레 길이</t>
    <phoneticPr fontId="1" type="noConversion"/>
  </si>
  <si>
    <t xml:space="preserve"> GRAPHIC POINT A</t>
    <phoneticPr fontId="1" type="noConversion"/>
  </si>
  <si>
    <t>나염위치 A</t>
    <phoneticPr fontId="1" type="noConversion"/>
  </si>
  <si>
    <t xml:space="preserve">FLAT,FRONT AND BACK WAIST LINE MATCH STRIGHT </t>
    <phoneticPr fontId="1" type="noConversion"/>
  </si>
  <si>
    <t>오비를 일자 상태로 만든 후 수평으로 잰 길이</t>
    <phoneticPr fontId="1" type="noConversion"/>
  </si>
  <si>
    <t xml:space="preserve">INCLUDE WAIST BAND TO EDGE </t>
    <phoneticPr fontId="1" type="noConversion"/>
  </si>
  <si>
    <t>NECK</t>
    <phoneticPr fontId="2" type="noConversion"/>
  </si>
  <si>
    <t xml:space="preserve">ROUND ,@ NECK SEWING  LINE </t>
    <phoneticPr fontId="1" type="noConversion"/>
  </si>
  <si>
    <t xml:space="preserve">NECK BAND CENTER HIGHT </t>
    <phoneticPr fontId="2" type="noConversion"/>
  </si>
  <si>
    <t xml:space="preserve">AT CENTER BACK HIGHT </t>
    <phoneticPr fontId="1" type="noConversion"/>
  </si>
  <si>
    <t>COLLAR WIDTH</t>
    <phoneticPr fontId="2" type="noConversion"/>
  </si>
  <si>
    <t>COLLAR POINT</t>
    <phoneticPr fontId="2" type="noConversion"/>
  </si>
  <si>
    <t>BACK YOKE LENGTH</t>
    <phoneticPr fontId="2" type="noConversion"/>
  </si>
  <si>
    <t>뒷목점에서 절개까지 직선으로 잰 길이</t>
    <phoneticPr fontId="1" type="noConversion"/>
  </si>
  <si>
    <t>HOOD LENGTH</t>
    <phoneticPr fontId="2" type="noConversion"/>
  </si>
  <si>
    <t xml:space="preserve">FROM CENTER LENGTH TO EDGE </t>
    <phoneticPr fontId="2" type="noConversion"/>
  </si>
  <si>
    <t>모자 앞 중심을 기준으로 양 끝점을 수직으로 잰 길이</t>
    <phoneticPr fontId="1" type="noConversion"/>
  </si>
  <si>
    <t xml:space="preserve">HOOD WIDTH </t>
    <phoneticPr fontId="2" type="noConversion"/>
  </si>
  <si>
    <t xml:space="preserve">HALF FOLDING ,MAXIMUM DEEP POINT </t>
    <phoneticPr fontId="2" type="noConversion"/>
  </si>
  <si>
    <t>모자의 가장 돌출된 부위를 수평으로 잰 길이</t>
    <phoneticPr fontId="1" type="noConversion"/>
  </si>
  <si>
    <t>화장</t>
    <phoneticPr fontId="2" type="noConversion"/>
  </si>
  <si>
    <t>뒷목중심점에서 소매부리(밑단)까지 잰 길이</t>
    <phoneticPr fontId="1" type="noConversion"/>
  </si>
  <si>
    <t xml:space="preserve">CENTER BACK SLEEVE LENGTH </t>
    <phoneticPr fontId="1" type="noConversion"/>
  </si>
  <si>
    <t>FROM CENTER BACK BODY TO EDGE TO SLEEVE CUFFS</t>
    <phoneticPr fontId="1" type="noConversion"/>
  </si>
  <si>
    <t>FROM FRONT NECK CENTER TO VERTICAL</t>
    <phoneticPr fontId="1" type="noConversion"/>
  </si>
  <si>
    <t>앞목중심에서 수직으로</t>
    <phoneticPr fontId="1" type="noConversion"/>
  </si>
  <si>
    <t>앞중심에서 수평으로</t>
    <phoneticPr fontId="1" type="noConversion"/>
  </si>
  <si>
    <t>FROM FRONT CENTER TO HORIZONTALLY</t>
    <phoneticPr fontId="1" type="noConversion"/>
  </si>
  <si>
    <t>목라인(NECK LINE)을 따라 잰 곡선의 둘레길이</t>
    <phoneticPr fontId="1" type="noConversion"/>
  </si>
  <si>
    <t>허리완성사이즈</t>
    <phoneticPr fontId="1" type="noConversion"/>
  </si>
  <si>
    <t xml:space="preserve">허리에서 수직으로 </t>
    <phoneticPr fontId="1" type="noConversion"/>
  </si>
  <si>
    <t>무릎위치</t>
    <phoneticPr fontId="1" type="noConversion"/>
  </si>
  <si>
    <t>VERTICALLY AT THE WAIST</t>
    <phoneticPr fontId="1" type="noConversion"/>
  </si>
  <si>
    <t>KNEE POINT</t>
    <phoneticPr fontId="1" type="noConversion"/>
  </si>
  <si>
    <t xml:space="preserve"> </t>
    <phoneticPr fontId="1" type="noConversion"/>
  </si>
  <si>
    <t>무릎둘레</t>
    <phoneticPr fontId="1" type="noConversion"/>
  </si>
  <si>
    <t>KNEE</t>
    <phoneticPr fontId="1" type="noConversion"/>
  </si>
  <si>
    <t>바지 안 쪽에서 봉제선을 따라 바지밑단 끝까지의 길이</t>
    <phoneticPr fontId="1" type="noConversion"/>
  </si>
  <si>
    <t>인심 시작점에서 3cm 밑을 기준점으로 양쪽 수평 길이</t>
    <phoneticPr fontId="1" type="noConversion"/>
  </si>
  <si>
    <t>오비끝에서 인심 시작점까지의 길이(오비 포함)</t>
    <phoneticPr fontId="1" type="noConversion"/>
  </si>
  <si>
    <t>바지 밑단의 둘레길이</t>
    <phoneticPr fontId="2" type="noConversion"/>
  </si>
  <si>
    <t>와끼선을 기준으로 오비끝에서 바지 밑단 끝까지의 길이</t>
    <phoneticPr fontId="1" type="noConversion"/>
  </si>
  <si>
    <t>앞 댕고 스테치를 기준점으로 하여 양쪽 수평선의 길이</t>
    <phoneticPr fontId="1" type="noConversion"/>
  </si>
  <si>
    <t xml:space="preserve">CUFFS OPENING </t>
    <phoneticPr fontId="2" type="noConversion"/>
  </si>
  <si>
    <t>START ARM HOLE JOINING POINT TO POINT(1/2)</t>
    <phoneticPr fontId="1" type="noConversion"/>
  </si>
  <si>
    <t>옆목점에서 밑단까지의 직선길이</t>
    <phoneticPr fontId="1" type="noConversion"/>
  </si>
  <si>
    <t>뒤요크 기장</t>
  </si>
  <si>
    <t xml:space="preserve">FROM BACK NECK TO CUTTING LINE </t>
    <phoneticPr fontId="1" type="noConversion"/>
  </si>
  <si>
    <t>뒷목 중심에서 수직으로 잰 길이</t>
    <phoneticPr fontId="1" type="noConversion"/>
  </si>
  <si>
    <t>AT CENTER BACK HIGHT</t>
    <phoneticPr fontId="1" type="noConversion"/>
  </si>
  <si>
    <t>주머니높이</t>
    <phoneticPr fontId="1" type="noConversion"/>
  </si>
  <si>
    <t>POCKET HEIGHT</t>
    <phoneticPr fontId="2" type="noConversion"/>
  </si>
  <si>
    <t>주머니너비</t>
    <phoneticPr fontId="1" type="noConversion"/>
  </si>
  <si>
    <t>POCKET WIDTH</t>
    <phoneticPr fontId="2" type="noConversion"/>
  </si>
  <si>
    <t>단추 채운 완성상태</t>
    <phoneticPr fontId="1" type="noConversion"/>
  </si>
  <si>
    <t>뒷목 중심에서 밑단끝까지 직선길이</t>
    <phoneticPr fontId="1" type="noConversion"/>
  </si>
  <si>
    <t>FROM CENTER BACK TO BOTTOM STRIGHT</t>
    <phoneticPr fontId="2" type="noConversion"/>
  </si>
  <si>
    <t>TOTAL LENGTH (C/B)</t>
    <phoneticPr fontId="2" type="noConversion"/>
  </si>
  <si>
    <t>뒤주머니높이</t>
    <phoneticPr fontId="1" type="noConversion"/>
  </si>
  <si>
    <t>BACK POCKET HEIGHT</t>
    <phoneticPr fontId="2" type="noConversion"/>
  </si>
  <si>
    <t>뒤주머니너비</t>
    <phoneticPr fontId="1" type="noConversion"/>
  </si>
  <si>
    <t>BACK POCKET WIDTH</t>
    <phoneticPr fontId="2" type="noConversion"/>
  </si>
  <si>
    <t>오비 와끼끝에서 주머니입구 까지의 세로길이</t>
    <phoneticPr fontId="1" type="noConversion"/>
  </si>
  <si>
    <t xml:space="preserve">FRONT POCKET VERTICAL </t>
    <phoneticPr fontId="1" type="noConversion"/>
  </si>
  <si>
    <t>오비 와끼끝에서 주머니입구 까지의 가로길이</t>
    <phoneticPr fontId="1" type="noConversion"/>
  </si>
  <si>
    <t xml:space="preserve">FRONT POCKET WIDE </t>
    <phoneticPr fontId="1" type="noConversion"/>
  </si>
  <si>
    <t>엉덩이 위치</t>
    <phoneticPr fontId="1" type="noConversion"/>
  </si>
  <si>
    <t>HIP POINT</t>
    <phoneticPr fontId="1" type="noConversion"/>
  </si>
  <si>
    <t>뒤 허리 고무줄 완성</t>
    <phoneticPr fontId="1" type="noConversion"/>
  </si>
  <si>
    <t>BACK WAIST E-BAND</t>
    <phoneticPr fontId="1" type="noConversion"/>
  </si>
  <si>
    <t>TOTAL WAIST</t>
    <phoneticPr fontId="1" type="noConversion"/>
  </si>
  <si>
    <t>와끼선을 기준으로 오비끝에서 밑단 끝까지의 길이</t>
    <phoneticPr fontId="1" type="noConversion"/>
  </si>
  <si>
    <t>치마기장</t>
    <phoneticPr fontId="1" type="noConversion"/>
  </si>
  <si>
    <t xml:space="preserve">SKIRT LENGTH </t>
    <phoneticPr fontId="1" type="noConversion"/>
  </si>
  <si>
    <r>
      <t xml:space="preserve">어깨 양끝점을 수평으로 잰 길이 </t>
    </r>
    <r>
      <rPr>
        <sz val="7.5"/>
        <color indexed="10"/>
        <rFont val="맑은 고딕"/>
        <family val="3"/>
        <charset val="129"/>
      </rPr>
      <t>(립제외)</t>
    </r>
    <phoneticPr fontId="1" type="noConversion"/>
  </si>
  <si>
    <r>
      <t xml:space="preserve">옆목점을 수평으로 잰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</si>
  <si>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r>
      <t xml:space="preserve">옆목점에서 앞목중심의 수직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</si>
  <si>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r>
      <t>목라인(NECK LINE)을 따라 잰 곡선의 둘레길이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</si>
  <si>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t>WAIST SIZE</t>
    <phoneticPr fontId="1" type="noConversion"/>
  </si>
  <si>
    <t>몸판 허리 둘레</t>
    <phoneticPr fontId="1" type="noConversion"/>
  </si>
  <si>
    <t>오비포함, 와끼기준</t>
    <phoneticPr fontId="1" type="noConversion"/>
  </si>
  <si>
    <t>허리에서 수직으로 (오비포함)</t>
    <phoneticPr fontId="1" type="noConversion"/>
  </si>
  <si>
    <t>오비포함 와끼 기준</t>
    <phoneticPr fontId="1" type="noConversion"/>
  </si>
  <si>
    <t>나나밴드</t>
    <phoneticPr fontId="1" type="noConversion"/>
  </si>
  <si>
    <t>ADIJUSTABLE BAND</t>
    <phoneticPr fontId="1" type="noConversion"/>
  </si>
  <si>
    <t>앞허리완성</t>
    <phoneticPr fontId="1" type="noConversion"/>
  </si>
  <si>
    <t>FRONT WAIST</t>
    <phoneticPr fontId="1" type="noConversion"/>
  </si>
  <si>
    <t>J STITCH LENGTH</t>
    <phoneticPr fontId="1" type="noConversion"/>
  </si>
  <si>
    <t>뎅고스티치길이</t>
    <phoneticPr fontId="1" type="noConversion"/>
  </si>
  <si>
    <t>오비제외</t>
    <phoneticPr fontId="1" type="noConversion"/>
  </si>
  <si>
    <t>2XL</t>
    <phoneticPr fontId="1" type="noConversion"/>
  </si>
  <si>
    <t>3XL</t>
    <phoneticPr fontId="1" type="noConversion"/>
  </si>
  <si>
    <t>뒤지퍼길이</t>
    <phoneticPr fontId="1" type="noConversion"/>
  </si>
  <si>
    <t>BACK ZIPPER</t>
    <phoneticPr fontId="1" type="noConversion"/>
  </si>
  <si>
    <t>위치 B</t>
    <phoneticPr fontId="1" type="noConversion"/>
  </si>
  <si>
    <t>POINT B</t>
    <phoneticPr fontId="1" type="noConversion"/>
  </si>
  <si>
    <t>위치 A</t>
    <phoneticPr fontId="1" type="noConversion"/>
  </si>
  <si>
    <t>POINT A</t>
    <phoneticPr fontId="1" type="noConversion"/>
  </si>
  <si>
    <t>뎅고스티치 폭</t>
    <phoneticPr fontId="1" type="noConversion"/>
  </si>
  <si>
    <t>J STITCH WIDTH</t>
    <phoneticPr fontId="1" type="noConversion"/>
  </si>
  <si>
    <t>오비제외 앞뎅고 기준</t>
    <phoneticPr fontId="1" type="noConversion"/>
  </si>
  <si>
    <t>WITHOUT NECK BAND</t>
    <phoneticPr fontId="2" type="noConversion"/>
  </si>
  <si>
    <t xml:space="preserve">HPS TO BOTTOM EDGE </t>
    <phoneticPr fontId="2" type="noConversion"/>
  </si>
  <si>
    <t>BASED ON ZIPPER FLY OUT LINE ,STRIGHT</t>
    <phoneticPr fontId="1" type="noConversion"/>
  </si>
  <si>
    <t>라인을 따라 잰 길이</t>
    <phoneticPr fontId="7" type="noConversion"/>
  </si>
  <si>
    <t>HPS TO BOTTOM EDGE</t>
    <phoneticPr fontId="2" type="noConversion"/>
  </si>
  <si>
    <t>STYLE NO: JYSSK05-W#Y08</t>
    <phoneticPr fontId="1" type="noConversion"/>
  </si>
  <si>
    <t xml:space="preserve">TOTAL SKIRT LENGTH </t>
    <phoneticPr fontId="1" type="noConversion"/>
  </si>
  <si>
    <t>총치마기장</t>
    <phoneticPr fontId="1" type="noConversion"/>
  </si>
  <si>
    <t>오비프릴 제외</t>
    <phoneticPr fontId="8" type="noConversion"/>
  </si>
  <si>
    <t xml:space="preserve">1ST SKIRT LENGTH </t>
    <phoneticPr fontId="1" type="noConversion"/>
  </si>
  <si>
    <t>1단치마기장</t>
    <phoneticPr fontId="1" type="noConversion"/>
  </si>
  <si>
    <t xml:space="preserve">2ND SKIRT LENGTH </t>
    <phoneticPr fontId="1" type="noConversion"/>
  </si>
  <si>
    <t xml:space="preserve">3RD SKIRT LENGTH </t>
    <phoneticPr fontId="1" type="noConversion"/>
  </si>
  <si>
    <t>2단치마기장</t>
    <phoneticPr fontId="1" type="noConversion"/>
  </si>
  <si>
    <t>오비제외</t>
    <phoneticPr fontId="8" type="noConversion"/>
  </si>
  <si>
    <t>3단치마기장</t>
    <phoneticPr fontId="1" type="noConversion"/>
  </si>
  <si>
    <t>밑단레이스 포함</t>
    <phoneticPr fontId="8" type="noConversion"/>
  </si>
  <si>
    <t>STYLE NO: JYSTO09-K#H09</t>
    <phoneticPr fontId="1" type="noConversion"/>
  </si>
  <si>
    <t xml:space="preserve"> GRAPHIC POINT B</t>
    <phoneticPr fontId="1" type="noConversion"/>
  </si>
  <si>
    <t>나염위치 B</t>
    <phoneticPr fontId="1" type="noConversion"/>
  </si>
  <si>
    <t>옆목</t>
    <phoneticPr fontId="9" type="noConversion"/>
  </si>
  <si>
    <t>앞중심</t>
    <phoneticPr fontId="9" type="noConversion"/>
  </si>
  <si>
    <t>COLLARS WIDTH</t>
    <phoneticPr fontId="2" type="noConversion"/>
  </si>
  <si>
    <t>카라폭</t>
    <phoneticPr fontId="9" type="noConversion"/>
  </si>
  <si>
    <t>옆목, 레이스 제외</t>
    <phoneticPr fontId="9" type="noConversion"/>
  </si>
  <si>
    <t>BACK PLACKET LENGTH</t>
    <phoneticPr fontId="1" type="noConversion"/>
  </si>
  <si>
    <t>뒤단작길이</t>
    <phoneticPr fontId="1" type="noConversion"/>
  </si>
  <si>
    <t>STYLE NO: JYSOU03-W#R02</t>
    <phoneticPr fontId="1" type="noConversion"/>
  </si>
  <si>
    <t>옆목에서 앞목 첫단추중심까지 수직</t>
    <phoneticPr fontId="10" type="noConversion"/>
  </si>
  <si>
    <t>SINGLE WELT POCKET</t>
    <phoneticPr fontId="2" type="noConversion"/>
  </si>
  <si>
    <t>구찌길이</t>
    <phoneticPr fontId="1" type="noConversion"/>
  </si>
  <si>
    <t>STYLE NO: JYSTO02-K#G03</t>
    <phoneticPr fontId="1" type="noConversion"/>
  </si>
  <si>
    <t>앞옆목에서 수직으로</t>
    <phoneticPr fontId="11" type="noConversion"/>
  </si>
  <si>
    <t>POINT C</t>
    <phoneticPr fontId="1" type="noConversion"/>
  </si>
  <si>
    <t>위치 C</t>
    <phoneticPr fontId="1" type="noConversion"/>
  </si>
  <si>
    <t>소매부리절개선에서 수직으로</t>
    <phoneticPr fontId="1" type="noConversion"/>
  </si>
  <si>
    <t>STYLE NO: JYSSK02-W#R09</t>
    <phoneticPr fontId="1" type="noConversion"/>
  </si>
  <si>
    <t>STYLE NO: JYSSK04-W#Y07</t>
    <phoneticPr fontId="1" type="noConversion"/>
  </si>
  <si>
    <t xml:space="preserve">OUT MESH SKIRT&lt;1&gt; LENGTH </t>
    <phoneticPr fontId="1" type="noConversion"/>
  </si>
  <si>
    <t>겉망사치마&lt;1&gt;기장</t>
    <phoneticPr fontId="1" type="noConversion"/>
  </si>
  <si>
    <t>레이스포함</t>
    <phoneticPr fontId="13" type="noConversion"/>
  </si>
  <si>
    <t>겉망사치마&lt;2&gt;기장</t>
    <phoneticPr fontId="1" type="noConversion"/>
  </si>
  <si>
    <t xml:space="preserve">OUT MESH SKIRT&lt;2&gt; LENGTH </t>
    <phoneticPr fontId="1" type="noConversion"/>
  </si>
  <si>
    <t xml:space="preserve">OUT MESH SKIRT&lt;3&gt; LENGTH </t>
    <phoneticPr fontId="1" type="noConversion"/>
  </si>
  <si>
    <t>겉망사치마&lt;3&gt;기장</t>
    <phoneticPr fontId="1" type="noConversion"/>
  </si>
  <si>
    <t>노출길이,레이스포함</t>
    <phoneticPr fontId="13" type="noConversion"/>
  </si>
  <si>
    <t>STYLE NO: JYSOU05-W#R04</t>
    <phoneticPr fontId="1" type="noConversion"/>
  </si>
  <si>
    <t>BOTTOM BAND</t>
    <phoneticPr fontId="2" type="noConversion"/>
  </si>
  <si>
    <t>밑단고무줄길이</t>
    <phoneticPr fontId="14" type="noConversion"/>
  </si>
  <si>
    <t>4XL</t>
    <phoneticPr fontId="1" type="noConversion"/>
  </si>
  <si>
    <t>SLEEVE BAND</t>
    <phoneticPr fontId="2" type="noConversion"/>
  </si>
  <si>
    <t>소매고무줄길이</t>
    <phoneticPr fontId="14" type="noConversion"/>
  </si>
  <si>
    <t>FRONT POCKET LENGTH</t>
    <phoneticPr fontId="2" type="noConversion"/>
  </si>
  <si>
    <t>앞주머니입구</t>
    <phoneticPr fontId="1" type="noConversion"/>
  </si>
  <si>
    <t>FRONT ZIPPER LENGTH</t>
    <phoneticPr fontId="14" type="noConversion"/>
  </si>
  <si>
    <t>앞지퍼길이</t>
    <phoneticPr fontId="14" type="noConversion"/>
  </si>
  <si>
    <t>YKK</t>
    <phoneticPr fontId="14" type="noConversion"/>
  </si>
  <si>
    <t>뒷목중심에서</t>
    <phoneticPr fontId="14" type="noConversion"/>
  </si>
  <si>
    <t>목라인(NECK LINE)을 따라 잰 곡선의 둘레길이(지퍼제외)</t>
    <phoneticPr fontId="1" type="noConversion"/>
  </si>
  <si>
    <t>STYLE NO: JYSTO07-K#Y05</t>
    <phoneticPr fontId="1" type="noConversion"/>
  </si>
  <si>
    <t>LONG SLEEVE LENGTH</t>
    <phoneticPr fontId="2" type="noConversion"/>
  </si>
  <si>
    <t>SHORT SLEEVE LENGTH</t>
    <phoneticPr fontId="2" type="noConversion"/>
  </si>
  <si>
    <t>짧은소매기장</t>
    <phoneticPr fontId="15" type="noConversion"/>
  </si>
  <si>
    <t>긴소매기장</t>
    <phoneticPr fontId="15" type="noConversion"/>
  </si>
  <si>
    <t>BACK PLACKET LENGTH</t>
    <phoneticPr fontId="2" type="noConversion"/>
  </si>
  <si>
    <t>뒤단작길이</t>
    <phoneticPr fontId="15" type="noConversion"/>
  </si>
  <si>
    <t>옆목점에서 밑단까지의 직선길이(중심)</t>
    <phoneticPr fontId="1" type="noConversion"/>
  </si>
  <si>
    <t>앞주머니높이</t>
    <phoneticPr fontId="1" type="noConversion"/>
  </si>
  <si>
    <t>FRONT POCKET HEIGHT</t>
    <phoneticPr fontId="1" type="noConversion"/>
  </si>
  <si>
    <t>앞주머니너비</t>
    <phoneticPr fontId="1" type="noConversion"/>
  </si>
  <si>
    <t>FRONT POCKET WIDTH</t>
    <phoneticPr fontId="1" type="noConversion"/>
  </si>
  <si>
    <t>STYLE NO: JYSOU01-W#Y01</t>
    <phoneticPr fontId="1" type="noConversion"/>
  </si>
  <si>
    <t>치마밑단라인을 따라 잰 길이</t>
    <phoneticPr fontId="1" type="noConversion"/>
  </si>
  <si>
    <t>STYLE NO: JYSSK01-W#Y02</t>
    <phoneticPr fontId="1" type="noConversion"/>
  </si>
  <si>
    <t>STYLE NO: JYSTO04-W#R06</t>
    <phoneticPr fontId="1" type="noConversion"/>
  </si>
  <si>
    <t xml:space="preserve">옆목점을 수평으로 잰 길이 </t>
    <phoneticPr fontId="1" type="noConversion"/>
  </si>
  <si>
    <t>소매부리(단추채웠을때)</t>
    <phoneticPr fontId="18" type="noConversion"/>
  </si>
  <si>
    <t>FRONT PLACKET LENGTH</t>
    <phoneticPr fontId="1" type="noConversion"/>
  </si>
  <si>
    <t>앞단작길이</t>
    <phoneticPr fontId="1" type="noConversion"/>
  </si>
  <si>
    <t>레이스제외</t>
    <phoneticPr fontId="18" type="noConversion"/>
  </si>
  <si>
    <t>STYLE NO: JYSTO08-K#H03</t>
    <phoneticPr fontId="1" type="noConversion"/>
  </si>
  <si>
    <t>STYLE NO: JYSSE01-K#H04</t>
    <phoneticPr fontId="1" type="noConversion"/>
  </si>
  <si>
    <t>BOTTOM LACE WIDTH</t>
    <phoneticPr fontId="2" type="noConversion"/>
  </si>
  <si>
    <t>밑단레이스폭</t>
    <phoneticPr fontId="20" type="noConversion"/>
  </si>
  <si>
    <t>ARMHOLE LACE WIDTH</t>
    <phoneticPr fontId="2" type="noConversion"/>
  </si>
  <si>
    <t>암홀레이스폭</t>
    <phoneticPr fontId="20" type="noConversion"/>
  </si>
  <si>
    <t>WAIST LACE WIDTH</t>
    <phoneticPr fontId="2" type="noConversion"/>
  </si>
  <si>
    <t>허리레이스폭</t>
    <phoneticPr fontId="20" type="noConversion"/>
  </si>
  <si>
    <t>STYLE NO: JYSTO03-K#G04</t>
    <phoneticPr fontId="1" type="noConversion"/>
  </si>
  <si>
    <t>앞목에서 수직으로</t>
    <phoneticPr fontId="11" type="noConversion"/>
  </si>
  <si>
    <t>FRONT YOKE LENGTH</t>
    <phoneticPr fontId="21" type="noConversion"/>
  </si>
  <si>
    <t>앞요크기장</t>
    <phoneticPr fontId="21" type="noConversion"/>
  </si>
  <si>
    <t>앞중심</t>
    <phoneticPr fontId="21" type="noConversion"/>
  </si>
  <si>
    <t>뒤요크기장</t>
    <phoneticPr fontId="21" type="noConversion"/>
  </si>
  <si>
    <t>BACK YOKE LENGTH</t>
    <phoneticPr fontId="21" type="noConversion"/>
  </si>
  <si>
    <t>뒤중심,리본끈</t>
    <phoneticPr fontId="21" type="noConversion"/>
  </si>
  <si>
    <t>STYLE NO: JYSTO06-K#Y04</t>
    <phoneticPr fontId="1" type="noConversion"/>
  </si>
  <si>
    <t>STYLE NO: JYSOU02-K#G01</t>
    <phoneticPr fontId="1" type="noConversion"/>
  </si>
  <si>
    <t>제일긴쪽</t>
    <phoneticPr fontId="23" type="noConversion"/>
  </si>
  <si>
    <t>STYLE NO: JYSPT03-K#G05</t>
    <phoneticPr fontId="1" type="noConversion"/>
  </si>
  <si>
    <t>FLAT POCKET WIDTH</t>
    <phoneticPr fontId="2" type="noConversion"/>
  </si>
  <si>
    <t>후다너비</t>
    <phoneticPr fontId="1" type="noConversion"/>
  </si>
  <si>
    <t>FLAT POCKET HEIGHT</t>
    <phoneticPr fontId="2" type="noConversion"/>
  </si>
  <si>
    <t>후다높이</t>
    <phoneticPr fontId="1" type="noConversion"/>
  </si>
  <si>
    <t>SIDE POCKET WIDTH</t>
    <phoneticPr fontId="2" type="noConversion"/>
  </si>
  <si>
    <t>옆주머니너비</t>
    <phoneticPr fontId="1" type="noConversion"/>
  </si>
  <si>
    <t>SIDE POCKET HEIGHT</t>
    <phoneticPr fontId="2" type="noConversion"/>
  </si>
  <si>
    <t>옆주머니높이</t>
    <phoneticPr fontId="1" type="noConversion"/>
  </si>
  <si>
    <t>STYLE NO: JYSTO15-K#R12</t>
    <phoneticPr fontId="1" type="noConversion"/>
  </si>
  <si>
    <t>STYLE NO: JYSTO05-K#R07</t>
    <phoneticPr fontId="1" type="noConversion"/>
  </si>
  <si>
    <t>STYLE NO: JYSTO16-K#R13</t>
    <phoneticPr fontId="1" type="noConversion"/>
  </si>
  <si>
    <t>SHOULDER TAPE ACTUAL</t>
    <phoneticPr fontId="2" type="noConversion"/>
  </si>
  <si>
    <t>어깨테잎완성</t>
    <phoneticPr fontId="27" type="noConversion"/>
  </si>
  <si>
    <t>STYLE NO: JYSTO17-K#H15</t>
    <phoneticPr fontId="1" type="noConversion"/>
  </si>
  <si>
    <t>STYLE NO: JYSOP06-K#H11</t>
    <phoneticPr fontId="1" type="noConversion"/>
  </si>
  <si>
    <t>WAIST 6G BAND</t>
    <phoneticPr fontId="2" type="noConversion"/>
  </si>
  <si>
    <t>허리6골고무줄</t>
    <phoneticPr fontId="6" type="noConversion"/>
  </si>
  <si>
    <t>TOP SMOCKING LENGTH</t>
    <phoneticPr fontId="2" type="noConversion"/>
  </si>
  <si>
    <t>상의 스모킹 기장</t>
    <phoneticPr fontId="6" type="noConversion"/>
  </si>
  <si>
    <t>위 스테치까지</t>
    <phoneticPr fontId="29" type="noConversion"/>
  </si>
  <si>
    <t>긴소매기장</t>
    <phoneticPr fontId="29" type="noConversion"/>
  </si>
  <si>
    <t>짧은소매기장</t>
    <phoneticPr fontId="29" type="noConversion"/>
  </si>
  <si>
    <t>SLEEVE 4G BAND</t>
    <phoneticPr fontId="2" type="noConversion"/>
  </si>
  <si>
    <t>소매4골고무줄</t>
    <phoneticPr fontId="29" type="noConversion"/>
  </si>
  <si>
    <t>프릴제외</t>
    <phoneticPr fontId="29" type="noConversion"/>
  </si>
  <si>
    <t>SLEEVE 2G BAND</t>
    <phoneticPr fontId="2" type="noConversion"/>
  </si>
  <si>
    <t>소매2골고무줄</t>
    <phoneticPr fontId="29" type="noConversion"/>
  </si>
  <si>
    <t>WAIST E-BAND</t>
    <phoneticPr fontId="2" type="noConversion"/>
  </si>
  <si>
    <t>허리 고무줄 완성</t>
    <phoneticPr fontId="30" type="noConversion"/>
  </si>
  <si>
    <t>INNER TOP LENGTH</t>
    <phoneticPr fontId="1" type="noConversion"/>
  </si>
  <si>
    <t>안쪽 상의 기장 (옆목)</t>
    <phoneticPr fontId="1" type="noConversion"/>
  </si>
  <si>
    <t>INNER MESH SKIRT LENGTH</t>
    <phoneticPr fontId="1" type="noConversion"/>
  </si>
  <si>
    <t>안쪽 망사 치마 기장</t>
    <phoneticPr fontId="1" type="noConversion"/>
  </si>
  <si>
    <t>BACK SLIT</t>
    <phoneticPr fontId="1" type="noConversion"/>
  </si>
  <si>
    <t>뒤트임</t>
    <phoneticPr fontId="1" type="noConversion"/>
  </si>
  <si>
    <t>OUTER MESH OP LENGTH</t>
    <phoneticPr fontId="1" type="noConversion"/>
  </si>
  <si>
    <t>겉망사원피스기장</t>
    <phoneticPr fontId="1" type="noConversion"/>
  </si>
  <si>
    <t>어깨끈제외 바대 끝에서 밑단까지 중심측정</t>
    <phoneticPr fontId="30" type="noConversion"/>
  </si>
  <si>
    <t>옆목에서 허리절개까지</t>
    <phoneticPr fontId="30" type="noConversion"/>
  </si>
  <si>
    <t>OUTER MESH TOP LENGTH</t>
    <phoneticPr fontId="1" type="noConversion"/>
  </si>
  <si>
    <t>OUTER MESH SKIRT&lt;1&gt; LENGTH</t>
    <phoneticPr fontId="1" type="noConversion"/>
  </si>
  <si>
    <t>겉망사 상의장</t>
    <phoneticPr fontId="1" type="noConversion"/>
  </si>
  <si>
    <t>겉망사 1단치마길이</t>
    <phoneticPr fontId="1" type="noConversion"/>
  </si>
  <si>
    <t>OUTER MESH SKIRT&lt;2&gt; LENGTH</t>
    <phoneticPr fontId="1" type="noConversion"/>
  </si>
  <si>
    <t>겉망사 2단치마길이</t>
    <phoneticPr fontId="1" type="noConversion"/>
  </si>
  <si>
    <t>OUTER MESH SKIRT&lt;3&gt; LENGTH</t>
    <phoneticPr fontId="1" type="noConversion"/>
  </si>
  <si>
    <t>겉망사 3단치마길이</t>
    <phoneticPr fontId="1" type="noConversion"/>
  </si>
  <si>
    <t>노출길이</t>
    <phoneticPr fontId="30" type="noConversion"/>
  </si>
  <si>
    <t>OUTER MESH SHOULDER STRAP</t>
    <phoneticPr fontId="1" type="noConversion"/>
  </si>
  <si>
    <t>겉망사 어깨끈 완성</t>
    <phoneticPr fontId="1" type="noConversion"/>
  </si>
  <si>
    <t>STYLE NO: JYSOP04-K#Y15</t>
    <phoneticPr fontId="1" type="noConversion"/>
  </si>
  <si>
    <t>NECK 4G BAND</t>
    <phoneticPr fontId="2" type="noConversion"/>
  </si>
  <si>
    <t>에리 4골고무줄</t>
    <phoneticPr fontId="6" type="noConversion"/>
  </si>
  <si>
    <t>앞에리</t>
    <phoneticPr fontId="31" type="noConversion"/>
  </si>
  <si>
    <t>NECK 6G BAND</t>
    <phoneticPr fontId="2" type="noConversion"/>
  </si>
  <si>
    <t>목6골고무줄</t>
    <phoneticPr fontId="31" type="noConversion"/>
  </si>
  <si>
    <t>WAIST 8G BAND</t>
    <phoneticPr fontId="2" type="noConversion"/>
  </si>
  <si>
    <t>허리8골고무줄</t>
    <phoneticPr fontId="6" type="noConversion"/>
  </si>
  <si>
    <t>1ST SKIRT LENGTH</t>
    <phoneticPr fontId="2" type="noConversion"/>
  </si>
  <si>
    <t>1단치마 기장</t>
    <phoneticPr fontId="5" type="noConversion"/>
  </si>
  <si>
    <t>2ND SKIRT LENGTH</t>
    <phoneticPr fontId="2" type="noConversion"/>
  </si>
  <si>
    <t>2단치마 기장</t>
    <phoneticPr fontId="5" type="noConversion"/>
  </si>
  <si>
    <t>STYLE NO: JYSOP07-K#H10</t>
    <phoneticPr fontId="1" type="noConversion"/>
  </si>
  <si>
    <t>STYLE NO: JYSTO14-K#R11</t>
    <phoneticPr fontId="1" type="noConversion"/>
  </si>
  <si>
    <r>
      <t>옆목점에서 밑단까지의 직선길이</t>
    </r>
    <r>
      <rPr>
        <sz val="7.5"/>
        <color indexed="10"/>
        <rFont val="맑은 고딕"/>
        <family val="3"/>
        <charset val="129"/>
      </rPr>
      <t>(망사끝까지)</t>
    </r>
    <phoneticPr fontId="1" type="noConversion"/>
  </si>
  <si>
    <r>
      <t>옆목점에서 밑단까지의 직선길이</t>
    </r>
    <r>
      <rPr>
        <sz val="7.5"/>
        <color indexed="10"/>
        <rFont val="맑은 고딕"/>
        <family val="3"/>
        <charset val="129"/>
      </rPr>
      <t>(망사빼고)</t>
    </r>
    <phoneticPr fontId="1" type="noConversion"/>
  </si>
  <si>
    <t>MESH LENGTH</t>
    <phoneticPr fontId="2" type="noConversion"/>
  </si>
  <si>
    <t>망사 기장</t>
    <phoneticPr fontId="32" type="noConversion"/>
  </si>
  <si>
    <t>앞,뒤중심 프릴제외</t>
    <phoneticPr fontId="32" type="noConversion"/>
  </si>
  <si>
    <t>STYLE NO: JYSTO11-K#G09</t>
    <phoneticPr fontId="1" type="noConversion"/>
  </si>
  <si>
    <t>STYLE NO: JYSOU06-K#R05</t>
    <phoneticPr fontId="1" type="noConversion"/>
  </si>
  <si>
    <t>FRONT PLACKET LENGTH</t>
    <phoneticPr fontId="33" type="noConversion"/>
  </si>
  <si>
    <t>앞단작길이</t>
    <phoneticPr fontId="33" type="noConversion"/>
  </si>
  <si>
    <t>레이스 제외</t>
    <phoneticPr fontId="33" type="noConversion"/>
  </si>
  <si>
    <r>
      <t>옆목점에서 밑단까지의 직선길이</t>
    </r>
    <r>
      <rPr>
        <sz val="7.5"/>
        <color indexed="10"/>
        <rFont val="맑은 고딕"/>
        <family val="3"/>
        <charset val="129"/>
      </rPr>
      <t>(레이스제외)</t>
    </r>
    <phoneticPr fontId="1" type="noConversion"/>
  </si>
  <si>
    <r>
      <t>소매기장</t>
    </r>
    <r>
      <rPr>
        <sz val="7.5"/>
        <color indexed="10"/>
        <rFont val="맑은 고딕"/>
        <family val="3"/>
        <charset val="129"/>
      </rPr>
      <t>(레이스포함)</t>
    </r>
    <phoneticPr fontId="33" type="noConversion"/>
  </si>
  <si>
    <t>STYLE NO: JYSPT04-K#R16</t>
    <phoneticPr fontId="1" type="noConversion"/>
  </si>
  <si>
    <r>
      <t>오비 와끼끝에서 주머니입구 까지의 세로길이</t>
    </r>
    <r>
      <rPr>
        <sz val="7.5"/>
        <color indexed="10"/>
        <rFont val="맑은 고딕"/>
        <family val="3"/>
        <charset val="129"/>
      </rPr>
      <t>(레이스제외)</t>
    </r>
    <phoneticPr fontId="1" type="noConversion"/>
  </si>
  <si>
    <r>
      <t>오비 와끼끝에서 주머니입구 까지의 가로길이</t>
    </r>
    <r>
      <rPr>
        <sz val="7.5"/>
        <color indexed="10"/>
        <rFont val="맑은 고딕"/>
        <family val="3"/>
        <charset val="129"/>
      </rPr>
      <t>(레이스제외)</t>
    </r>
    <phoneticPr fontId="1" type="noConversion"/>
  </si>
  <si>
    <t>BOTTOM RIB WIDTH</t>
    <phoneticPr fontId="2" type="noConversion"/>
  </si>
  <si>
    <t>밑단립 폭</t>
    <phoneticPr fontId="1" type="noConversion"/>
  </si>
  <si>
    <t>A/H FRILL WIDTH</t>
    <phoneticPr fontId="2" type="noConversion"/>
  </si>
  <si>
    <t>NECK RIB WIDTH</t>
    <phoneticPr fontId="2" type="noConversion"/>
  </si>
  <si>
    <t>에리립 폭</t>
    <phoneticPr fontId="35" type="noConversion"/>
  </si>
  <si>
    <t>암홀프릴폭</t>
    <phoneticPr fontId="1" type="noConversion"/>
  </si>
  <si>
    <t>FRONT PLACKET WIDTH</t>
    <phoneticPr fontId="2" type="noConversion"/>
  </si>
  <si>
    <t>앞단작폭</t>
    <phoneticPr fontId="1" type="noConversion"/>
  </si>
  <si>
    <t>SLEEVE RIB WIDTH</t>
    <phoneticPr fontId="2" type="noConversion"/>
  </si>
  <si>
    <t>소매립 폭</t>
    <phoneticPr fontId="1" type="noConversion"/>
  </si>
  <si>
    <t>소매기장(체크접었을때)</t>
    <phoneticPr fontId="36" type="noConversion"/>
  </si>
  <si>
    <t>STYLE NO: JYSOU10-S#G10(니트)</t>
    <phoneticPr fontId="1" type="noConversion"/>
  </si>
  <si>
    <t>STYLE NO: JYSOU15-S#Y11(니트)</t>
    <phoneticPr fontId="1" type="noConversion"/>
  </si>
  <si>
    <t>STYLE NO: JYSOU14-S#Y10(니트)</t>
    <phoneticPr fontId="1" type="noConversion"/>
  </si>
  <si>
    <t xml:space="preserve">BACK NECK DROP </t>
    <phoneticPr fontId="2" type="noConversion"/>
  </si>
  <si>
    <t>뒷목깊이</t>
    <phoneticPr fontId="36" type="noConversion"/>
  </si>
  <si>
    <t>MAKE IMAGE LINE TO CENTER NECK BACK</t>
    <phoneticPr fontId="2" type="noConversion"/>
  </si>
  <si>
    <t>옆목점에서 뒷목중심의 수직 길이</t>
    <phoneticPr fontId="1" type="noConversion"/>
  </si>
  <si>
    <t>A/H RIB WIDTH</t>
    <phoneticPr fontId="2" type="noConversion"/>
  </si>
  <si>
    <t>암홀립 폭</t>
    <phoneticPr fontId="1" type="noConversion"/>
  </si>
  <si>
    <t xml:space="preserve">옆목점에서 앞목중심의 수직 길이 </t>
    <phoneticPr fontId="1" type="noConversion"/>
  </si>
  <si>
    <t>STYLE NO: JYSOP02-W#Y13</t>
    <phoneticPr fontId="1" type="noConversion"/>
  </si>
  <si>
    <t>SHOULDER STRAP</t>
    <phoneticPr fontId="2" type="noConversion"/>
  </si>
  <si>
    <t>어깨끈길이</t>
    <phoneticPr fontId="53" type="noConversion"/>
  </si>
  <si>
    <t>WAIST SWEEP (1/2)</t>
    <phoneticPr fontId="2" type="noConversion"/>
  </si>
  <si>
    <t>허리둘레(반품)</t>
    <phoneticPr fontId="53" type="noConversion"/>
  </si>
  <si>
    <t>끈에서 끈 직선길이</t>
    <phoneticPr fontId="1" type="noConversion"/>
  </si>
  <si>
    <t>FRONT,BACK UPPER CHEST</t>
    <phoneticPr fontId="2" type="noConversion"/>
  </si>
  <si>
    <t>앞,뒤바대 폭</t>
    <phoneticPr fontId="1" type="noConversion"/>
  </si>
  <si>
    <t>3RD SKIRT LENGTH</t>
    <phoneticPr fontId="2" type="noConversion"/>
  </si>
  <si>
    <t>3단치마 기장</t>
    <phoneticPr fontId="5" type="noConversion"/>
  </si>
  <si>
    <t>위프릴제외</t>
    <phoneticPr fontId="53" type="noConversion"/>
  </si>
  <si>
    <t>BACK ZIPPER</t>
    <phoneticPr fontId="53" type="noConversion"/>
  </si>
  <si>
    <t>뒤지퍼길이</t>
    <phoneticPr fontId="53" type="noConversion"/>
  </si>
  <si>
    <t>STYLE NO: JYSOU11-W#Y09</t>
    <phoneticPr fontId="1" type="noConversion"/>
  </si>
  <si>
    <t>암홀 겨드랑이 지점에서 수평으로 잰 길이(셔링폈을때)</t>
    <phoneticPr fontId="1" type="noConversion"/>
  </si>
  <si>
    <r>
      <t>목라인(NECK LINE)을 따라 잰 곡선의 둘레길이</t>
    </r>
    <r>
      <rPr>
        <sz val="7.5"/>
        <color rgb="FFFF0000"/>
        <rFont val="맑은 고딕"/>
        <family val="3"/>
        <charset val="129"/>
        <scheme val="minor"/>
      </rPr>
      <t>(지퍼제외)</t>
    </r>
    <phoneticPr fontId="1" type="noConversion"/>
  </si>
  <si>
    <t>소매부리고무줄</t>
    <phoneticPr fontId="53" type="noConversion"/>
  </si>
  <si>
    <t>20mm BAND</t>
    <phoneticPr fontId="53" type="noConversion"/>
  </si>
  <si>
    <t>FRONT POCKET LENGTH</t>
    <phoneticPr fontId="1" type="noConversion"/>
  </si>
  <si>
    <t>BOTTOM STRING LENGTH</t>
    <phoneticPr fontId="1" type="noConversion"/>
  </si>
  <si>
    <t>밑단스트링길이</t>
    <phoneticPr fontId="1" type="noConversion"/>
  </si>
  <si>
    <t>STYLE NO: JYSPT01-W#R08</t>
    <phoneticPr fontId="1" type="noConversion"/>
  </si>
  <si>
    <t>TOTAL SKIRT LENGTH</t>
    <phoneticPr fontId="53" type="noConversion"/>
  </si>
  <si>
    <t>총치마길이</t>
    <phoneticPr fontId="53" type="noConversion"/>
  </si>
  <si>
    <t>1ST SKIRT LENGTH</t>
    <phoneticPr fontId="53" type="noConversion"/>
  </si>
  <si>
    <t>1단 치마기장</t>
    <phoneticPr fontId="53" type="noConversion"/>
  </si>
  <si>
    <t>총치마기장</t>
    <phoneticPr fontId="53" type="noConversion"/>
  </si>
  <si>
    <t>오비제외, 보이는부분</t>
    <phoneticPr fontId="53" type="noConversion"/>
  </si>
  <si>
    <t>2ND SKIRT LENGTH</t>
    <phoneticPr fontId="53" type="noConversion"/>
  </si>
  <si>
    <t>2단 치마기장</t>
    <phoneticPr fontId="53" type="noConversion"/>
  </si>
  <si>
    <t>POCKET WIDTH</t>
    <phoneticPr fontId="53" type="noConversion"/>
  </si>
  <si>
    <t>주머니너비</t>
    <phoneticPr fontId="53" type="noConversion"/>
  </si>
  <si>
    <t>주머니높이</t>
    <phoneticPr fontId="53" type="noConversion"/>
  </si>
  <si>
    <t>STYLE NO: JYSSK03-W#R10</t>
    <phoneticPr fontId="1" type="noConversion"/>
  </si>
  <si>
    <t>SKIRT FRILL LENGTH</t>
    <phoneticPr fontId="1" type="noConversion"/>
  </si>
  <si>
    <t>치마프릴기장</t>
    <phoneticPr fontId="1" type="noConversion"/>
  </si>
  <si>
    <t>오비제외</t>
    <phoneticPr fontId="13" type="noConversion"/>
  </si>
  <si>
    <t>BOTTOM 4G BAND</t>
    <phoneticPr fontId="2" type="noConversion"/>
  </si>
  <si>
    <t>밑단4골고무줄</t>
    <phoneticPr fontId="53" type="noConversion"/>
  </si>
  <si>
    <t xml:space="preserve"> </t>
    <phoneticPr fontId="53" type="noConversion"/>
  </si>
  <si>
    <t xml:space="preserve">STYLE NO: JYST010-W#H08 </t>
    <phoneticPr fontId="1" type="noConversion"/>
  </si>
  <si>
    <t>단추채웠을때</t>
    <phoneticPr fontId="1" type="noConversion"/>
  </si>
  <si>
    <t>STYLE NO: JYSTO26-K#R21</t>
    <phoneticPr fontId="1" type="noConversion"/>
  </si>
  <si>
    <t>STYLE NO: JYSPT02-W#H07</t>
    <phoneticPr fontId="1" type="noConversion"/>
  </si>
  <si>
    <t>FRONT POCKET LENGTH</t>
    <phoneticPr fontId="53" type="noConversion"/>
  </si>
  <si>
    <t>앞주머니입구</t>
    <phoneticPr fontId="53" type="noConversion"/>
  </si>
  <si>
    <t>SIDE POCKET 6G BAND</t>
    <phoneticPr fontId="53" type="noConversion"/>
  </si>
  <si>
    <t>옆주머니 6골고무줄</t>
    <phoneticPr fontId="53" type="noConversion"/>
  </si>
  <si>
    <t>옆주머니 높이</t>
    <phoneticPr fontId="53" type="noConversion"/>
  </si>
  <si>
    <t>BACK POCKET WIDTH</t>
    <phoneticPr fontId="53" type="noConversion"/>
  </si>
  <si>
    <t>뒤주머니너비</t>
    <phoneticPr fontId="53" type="noConversion"/>
  </si>
  <si>
    <t>뒤주머니높이</t>
    <phoneticPr fontId="53" type="noConversion"/>
  </si>
  <si>
    <t>BOTTOM STRING LENGTH</t>
    <phoneticPr fontId="53" type="noConversion"/>
  </si>
  <si>
    <t>밑단스트링길이</t>
    <phoneticPr fontId="53" type="noConversion"/>
  </si>
  <si>
    <t xml:space="preserve">TOTAL LENGTH </t>
    <phoneticPr fontId="2" type="noConversion"/>
  </si>
  <si>
    <t>총기장(옆목)</t>
    <phoneticPr fontId="53" type="noConversion"/>
  </si>
  <si>
    <t>밑단고무줄길이</t>
    <phoneticPr fontId="53" type="noConversion"/>
  </si>
  <si>
    <t xml:space="preserve"> </t>
    <phoneticPr fontId="2" type="noConversion"/>
  </si>
  <si>
    <t>15mm BAND</t>
    <phoneticPr fontId="1" type="noConversion"/>
  </si>
  <si>
    <t>STYLE NO: JYSPT06-W#R15</t>
    <phoneticPr fontId="1" type="noConversion"/>
  </si>
  <si>
    <t>BOTTOM 25mm BAND</t>
    <phoneticPr fontId="53" type="noConversion"/>
  </si>
  <si>
    <t>WELT POCKET LENGTH</t>
    <phoneticPr fontId="53" type="noConversion"/>
  </si>
  <si>
    <t>구찌길이</t>
    <phoneticPr fontId="53" type="noConversion"/>
  </si>
  <si>
    <t>WAIST STRING LENGTH</t>
    <phoneticPr fontId="53" type="noConversion"/>
  </si>
  <si>
    <t>허리스트링길이</t>
    <phoneticPr fontId="53" type="noConversion"/>
  </si>
  <si>
    <t>노출길이=16cm</t>
    <phoneticPr fontId="53" type="noConversion"/>
  </si>
  <si>
    <t>STYLE NO: JYSOU08-W#H06</t>
    <phoneticPr fontId="1" type="noConversion"/>
  </si>
  <si>
    <t>FRONT POCKET 6G BAND</t>
    <phoneticPr fontId="1" type="noConversion"/>
  </si>
  <si>
    <t>앞주머니4골고무줄</t>
    <phoneticPr fontId="1" type="noConversion"/>
  </si>
  <si>
    <t>앞주머니세로</t>
    <phoneticPr fontId="1" type="noConversion"/>
  </si>
  <si>
    <t>STYLE NO: JYSTO28-K#H18</t>
    <phoneticPr fontId="1" type="noConversion"/>
  </si>
  <si>
    <t>BACK 6G BAND</t>
    <phoneticPr fontId="1" type="noConversion"/>
  </si>
  <si>
    <t>뒤 6골 고무줄</t>
    <phoneticPr fontId="1" type="noConversion"/>
  </si>
  <si>
    <t>STYLE NO: JYSOU04-W#R03</t>
    <phoneticPr fontId="1" type="noConversion"/>
  </si>
  <si>
    <t>25mm BAND</t>
    <phoneticPr fontId="53" type="noConversion"/>
  </si>
  <si>
    <t>WELT POCKET LENGTH</t>
    <phoneticPr fontId="2" type="noConversion"/>
  </si>
  <si>
    <t>FRONT YOKE LENGTH</t>
    <phoneticPr fontId="53" type="noConversion"/>
  </si>
  <si>
    <t>앞요크기장</t>
    <phoneticPr fontId="53" type="noConversion"/>
  </si>
  <si>
    <t>앞중심</t>
    <phoneticPr fontId="53" type="noConversion"/>
  </si>
  <si>
    <t>BACK YOKE LENGTH</t>
    <phoneticPr fontId="53" type="noConversion"/>
  </si>
  <si>
    <t>뒤요크기장</t>
    <phoneticPr fontId="53" type="noConversion"/>
  </si>
  <si>
    <t>뒤중심</t>
    <phoneticPr fontId="53" type="noConversion"/>
  </si>
  <si>
    <t>30mm BAND</t>
    <phoneticPr fontId="53" type="noConversion"/>
  </si>
  <si>
    <t>STYLE NO: JYSOU18-W#H20</t>
    <phoneticPr fontId="1" type="noConversion"/>
  </si>
  <si>
    <t>XS</t>
    <phoneticPr fontId="1" type="noConversion"/>
  </si>
  <si>
    <r>
      <rPr>
        <sz val="7.5"/>
        <color theme="1"/>
        <rFont val="맑은 고딕"/>
        <family val="3"/>
        <charset val="129"/>
        <scheme val="minor"/>
      </rPr>
      <t>목라인(NECK LINE)을 따라 잰 곡선의 둘레길이</t>
    </r>
    <r>
      <rPr>
        <sz val="7.5"/>
        <color rgb="FFFF0000"/>
        <rFont val="맑은 고딕"/>
        <family val="3"/>
        <charset val="129"/>
        <scheme val="minor"/>
      </rPr>
      <t>(지퍼제외)</t>
    </r>
    <phoneticPr fontId="1" type="noConversion"/>
  </si>
  <si>
    <t>앞목깊이</t>
    <phoneticPr fontId="53" type="noConversion"/>
  </si>
  <si>
    <t>이너-총장</t>
    <phoneticPr fontId="53" type="noConversion"/>
  </si>
  <si>
    <t>INNER-TOTAL LENGTH</t>
    <phoneticPr fontId="53" type="noConversion"/>
  </si>
  <si>
    <t>STYLE NO: JYSTO18-K#A04</t>
    <phoneticPr fontId="1" type="noConversion"/>
  </si>
  <si>
    <t>STYLE NO: JYSOU12-W#R14</t>
    <phoneticPr fontId="1" type="noConversion"/>
  </si>
  <si>
    <t>STYLE NO: JYSLE02-K#R22</t>
    <phoneticPr fontId="1" type="noConversion"/>
  </si>
  <si>
    <t>총스커트 기장</t>
    <phoneticPr fontId="53" type="noConversion"/>
  </si>
  <si>
    <t>오비포함</t>
    <phoneticPr fontId="53" type="noConversion"/>
  </si>
  <si>
    <t>이너-가슴(상동)</t>
    <phoneticPr fontId="53" type="noConversion"/>
  </si>
  <si>
    <t xml:space="preserve">INNER-CHEST </t>
    <phoneticPr fontId="53" type="noConversion"/>
  </si>
  <si>
    <t>바데에서 밑단끝</t>
    <phoneticPr fontId="53" type="noConversion"/>
  </si>
  <si>
    <t>보이는부분</t>
    <phoneticPr fontId="53" type="noConversion"/>
  </si>
  <si>
    <t>보이는부분,오비포함</t>
    <phoneticPr fontId="53" type="noConversion"/>
  </si>
  <si>
    <t>STYLE NO: JYSSK06-W#A09</t>
    <phoneticPr fontId="1" type="noConversion"/>
  </si>
  <si>
    <t>STYLE NO: JYSTO20-W#A08</t>
    <phoneticPr fontId="1" type="noConversion"/>
  </si>
  <si>
    <t>FRONT LENGTH</t>
    <phoneticPr fontId="2" type="noConversion"/>
  </si>
  <si>
    <t>앞기장(앞중심)</t>
    <phoneticPr fontId="2" type="noConversion"/>
  </si>
  <si>
    <t>BACK LENGTH</t>
    <phoneticPr fontId="2" type="noConversion"/>
  </si>
  <si>
    <t>뒤기장(뒤중심)</t>
    <phoneticPr fontId="53" type="noConversion"/>
  </si>
  <si>
    <t>옆목쪽</t>
    <phoneticPr fontId="53" type="noConversion"/>
  </si>
  <si>
    <t>FRONT UPPER CHEST</t>
    <phoneticPr fontId="2" type="noConversion"/>
  </si>
  <si>
    <t>앞바대 폭</t>
    <phoneticPr fontId="1" type="noConversion"/>
  </si>
  <si>
    <t>BACK UPPER CHEST</t>
    <phoneticPr fontId="2" type="noConversion"/>
  </si>
  <si>
    <t>뒤바대 폭</t>
    <phoneticPr fontId="1" type="noConversion"/>
  </si>
  <si>
    <t>STYLE NO: JYSTO13-K#Y18</t>
    <phoneticPr fontId="1" type="noConversion"/>
  </si>
  <si>
    <t>옆목에서 카라끝까지의 직선길이</t>
    <phoneticPr fontId="9" type="noConversion"/>
  </si>
  <si>
    <t>STYLE NO: JYSTO27-K#H17</t>
    <phoneticPr fontId="1" type="noConversion"/>
  </si>
  <si>
    <t>FRONT,BACK YOKE LENGTH</t>
    <phoneticPr fontId="53" type="noConversion"/>
  </si>
  <si>
    <t>앞,뒤 요크길이</t>
    <phoneticPr fontId="53" type="noConversion"/>
  </si>
  <si>
    <t>중심</t>
    <phoneticPr fontId="53" type="noConversion"/>
  </si>
  <si>
    <t>SIDESEAM 6G BAND</t>
    <phoneticPr fontId="53" type="noConversion"/>
  </si>
  <si>
    <t>와끼 6골고무줄</t>
    <phoneticPr fontId="53" type="noConversion"/>
  </si>
  <si>
    <t>BACK SLIT LENGTH</t>
    <phoneticPr fontId="53" type="noConversion"/>
  </si>
  <si>
    <t>뒤트임길이</t>
    <phoneticPr fontId="53" type="noConversion"/>
  </si>
  <si>
    <t>긴소매기장</t>
    <phoneticPr fontId="53" type="noConversion"/>
  </si>
  <si>
    <t>짧은소매기장</t>
    <phoneticPr fontId="53" type="noConversion"/>
  </si>
  <si>
    <t xml:space="preserve">LONG CUFF OPENING </t>
    <phoneticPr fontId="2" type="noConversion"/>
  </si>
  <si>
    <t xml:space="preserve">SHORT CUFF OPENING </t>
    <phoneticPr fontId="2" type="noConversion"/>
  </si>
  <si>
    <t>긴소매부리</t>
    <phoneticPr fontId="53" type="noConversion"/>
  </si>
  <si>
    <t>짦은소매부리</t>
    <phoneticPr fontId="53" type="noConversion"/>
  </si>
  <si>
    <t>STYLE NO: JYSOP03-K#Y14</t>
    <phoneticPr fontId="1" type="noConversion"/>
  </si>
  <si>
    <t>FRONT SMOCKING LENGTH</t>
    <phoneticPr fontId="2" type="noConversion"/>
  </si>
  <si>
    <t>BACK SMOCKING LENGTH</t>
    <phoneticPr fontId="2" type="noConversion"/>
  </si>
  <si>
    <t>앞 스모킹 기장</t>
    <phoneticPr fontId="6" type="noConversion"/>
  </si>
  <si>
    <t>뒤 스모킹 기장</t>
    <phoneticPr fontId="6" type="noConversion"/>
  </si>
  <si>
    <t xml:space="preserve"> SLEEVE LENGTH</t>
    <phoneticPr fontId="2" type="noConversion"/>
  </si>
  <si>
    <t>소매기장</t>
    <phoneticPr fontId="29" type="noConversion"/>
  </si>
  <si>
    <t xml:space="preserve">1ST SKIRT FRILL LENGTH </t>
    <phoneticPr fontId="1" type="noConversion"/>
  </si>
  <si>
    <t>1단치마프릴기장</t>
    <phoneticPr fontId="1" type="noConversion"/>
  </si>
  <si>
    <t xml:space="preserve">2ND SKIRT FRILL LENGTH </t>
    <phoneticPr fontId="1" type="noConversion"/>
  </si>
  <si>
    <t>2단치마프릴기장</t>
    <phoneticPr fontId="1" type="noConversion"/>
  </si>
  <si>
    <r>
      <t>목라인(NECK LINE)을 따라 잰 곡선의 둘레길이</t>
    </r>
    <r>
      <rPr>
        <sz val="7.5"/>
        <color rgb="FFFF0000"/>
        <rFont val="맑은 고딕"/>
        <family val="3"/>
        <charset val="129"/>
        <scheme val="minor"/>
      </rPr>
      <t>(샘플사이즈)</t>
    </r>
    <phoneticPr fontId="1" type="noConversion"/>
  </si>
  <si>
    <t>레이스 제외</t>
    <phoneticPr fontId="53" type="noConversion"/>
  </si>
  <si>
    <t>STYLE NO: JYSPT09-D#Y22(완사입)</t>
    <phoneticPr fontId="1" type="noConversion"/>
  </si>
  <si>
    <t>STYLE NO: JYSPT08-D#R17(완사입)</t>
    <phoneticPr fontId="1" type="noConversion"/>
  </si>
  <si>
    <t>STYLE NO: JYSTO25-K#R20</t>
    <phoneticPr fontId="1" type="noConversion"/>
  </si>
  <si>
    <t>STYLE NO: JYSOP09-S#R18(니트)</t>
    <phoneticPr fontId="1" type="noConversion"/>
  </si>
  <si>
    <t>WAIST RIB WIDTH</t>
    <phoneticPr fontId="2" type="noConversion"/>
  </si>
  <si>
    <t>허리립 폭</t>
    <phoneticPr fontId="53" type="noConversion"/>
  </si>
  <si>
    <t>COLLARD RIB WIDTH</t>
    <phoneticPr fontId="2" type="noConversion"/>
  </si>
  <si>
    <t>카라립 폭</t>
    <phoneticPr fontId="53" type="noConversion"/>
  </si>
  <si>
    <t>SLEEVE RIB WIDTH</t>
    <phoneticPr fontId="1" type="noConversion"/>
  </si>
  <si>
    <t>TOP LENGTH</t>
    <phoneticPr fontId="1" type="noConversion"/>
  </si>
  <si>
    <t>상의 기장 (옆목)</t>
    <phoneticPr fontId="1" type="noConversion"/>
  </si>
  <si>
    <t xml:space="preserve"> 치마 기장</t>
    <phoneticPr fontId="1" type="noConversion"/>
  </si>
  <si>
    <t>허리립 빼고</t>
    <phoneticPr fontId="30" type="noConversion"/>
  </si>
  <si>
    <t>BOTTOM CONTRAST WIDTH</t>
    <phoneticPr fontId="53" type="noConversion"/>
  </si>
  <si>
    <t>밑단배색 폭</t>
    <phoneticPr fontId="53" type="noConversion"/>
  </si>
  <si>
    <t>STYLE NO: JYSTO33-D#H25(완사입)</t>
    <phoneticPr fontId="1" type="noConversion"/>
  </si>
  <si>
    <t>BOTTOM FRILL LENGTH</t>
    <phoneticPr fontId="53" type="noConversion"/>
  </si>
  <si>
    <t>밑단프릴기장</t>
    <phoneticPr fontId="53" type="noConversion"/>
  </si>
  <si>
    <t>허리선</t>
    <phoneticPr fontId="53" type="noConversion"/>
  </si>
  <si>
    <t>BACK ZIPPER LENGTH</t>
    <phoneticPr fontId="53" type="noConversion"/>
  </si>
  <si>
    <t>STYLE NO: JYSSK09-D#H27</t>
    <phoneticPr fontId="1" type="noConversion"/>
  </si>
  <si>
    <t>BOTTOM SKIRT LENGTH</t>
    <phoneticPr fontId="1" type="noConversion"/>
  </si>
  <si>
    <t>밑단치마기장</t>
    <phoneticPr fontId="1" type="noConversion"/>
  </si>
  <si>
    <t>레이스포함</t>
    <phoneticPr fontId="53" type="noConversion"/>
  </si>
  <si>
    <t>YOKE SIZE</t>
    <phoneticPr fontId="1" type="noConversion"/>
  </si>
  <si>
    <t>요크 둘레</t>
    <phoneticPr fontId="1" type="noConversion"/>
  </si>
  <si>
    <t>STYLE NO: JYSPT10-D#H26(완사입)</t>
    <phoneticPr fontId="1" type="noConversion"/>
  </si>
  <si>
    <t>SIDE FALT POCKET WIDTH</t>
    <phoneticPr fontId="2" type="noConversion"/>
  </si>
  <si>
    <t>옆후다너비</t>
    <phoneticPr fontId="1" type="noConversion"/>
  </si>
  <si>
    <t>SIDE FALT POCKET HEIGHT</t>
    <phoneticPr fontId="2" type="noConversion"/>
  </si>
  <si>
    <t>옆후다높이</t>
    <phoneticPr fontId="1" type="noConversion"/>
  </si>
  <si>
    <t>STYLE NO: JYSTO21-K#A10</t>
    <phoneticPr fontId="1" type="noConversion"/>
  </si>
  <si>
    <t>STYLE NO: JYSTO19-K#A07</t>
    <phoneticPr fontId="1" type="noConversion"/>
  </si>
  <si>
    <t>STYLE NO: JYSTO29-K#H19</t>
    <phoneticPr fontId="1" type="noConversion"/>
  </si>
  <si>
    <t>STYLE NO: JYSLE01-K#Y21</t>
    <phoneticPr fontId="1" type="noConversion"/>
  </si>
  <si>
    <t>STYLE NO: JYSTO30-K#G14</t>
    <phoneticPr fontId="1" type="noConversion"/>
  </si>
  <si>
    <t>옆목에서 수직으로</t>
    <phoneticPr fontId="11" type="noConversion"/>
  </si>
  <si>
    <t>BACK ZIPPER LENGTH</t>
    <phoneticPr fontId="1" type="noConversion"/>
  </si>
  <si>
    <t>STYLE NO: JYSOU13-W#H13</t>
    <phoneticPr fontId="1" type="noConversion"/>
  </si>
  <si>
    <t>POINT COLLAR WIDTH</t>
    <phoneticPr fontId="2" type="noConversion"/>
  </si>
  <si>
    <t>앞카라폭</t>
    <phoneticPr fontId="53" type="noConversion"/>
  </si>
  <si>
    <t>STYLE NO: JYSTO24-K#Y19</t>
    <phoneticPr fontId="1" type="noConversion"/>
  </si>
  <si>
    <t>4XL</t>
  </si>
  <si>
    <t>STYLE NO: JYSOU09-W#H05</t>
    <phoneticPr fontId="1" type="noConversion"/>
  </si>
  <si>
    <t>BACK SLIT LENGTH</t>
    <phoneticPr fontId="1" type="noConversion"/>
  </si>
  <si>
    <t>뒤트임길이</t>
    <phoneticPr fontId="1" type="noConversion"/>
  </si>
  <si>
    <t>STYLE NO: JYSTO23-K#Y19</t>
    <phoneticPr fontId="1" type="noConversion"/>
  </si>
  <si>
    <t>소매 밑단(시보리 밑단)의 둘레 길이(레이스빼고)</t>
    <phoneticPr fontId="1" type="noConversion"/>
  </si>
  <si>
    <t>STYLE NO: JYSPT05-W#G08(완사입)</t>
    <phoneticPr fontId="1" type="noConversion"/>
  </si>
  <si>
    <t>STYLE NO: JYSPT07-W#H14</t>
    <phoneticPr fontId="1" type="noConversion"/>
  </si>
  <si>
    <t>밴드 안들어가는부분</t>
    <phoneticPr fontId="53" type="noConversion"/>
  </si>
  <si>
    <t>주름잡힌 완성길이</t>
    <phoneticPr fontId="53" type="noConversion"/>
  </si>
  <si>
    <t>바지부리(주름X)</t>
    <phoneticPr fontId="53" type="noConversion"/>
  </si>
  <si>
    <t>바지부리(주름O)</t>
    <phoneticPr fontId="53" type="noConversion"/>
  </si>
  <si>
    <t>바지 밑단의 둘레길이(주름폈을때)</t>
    <phoneticPr fontId="2" type="noConversion"/>
  </si>
  <si>
    <t>WRAP SKIRT LENGTH</t>
    <phoneticPr fontId="53" type="noConversion"/>
  </si>
  <si>
    <t>랩스커트 기장</t>
    <phoneticPr fontId="53" type="noConversion"/>
  </si>
  <si>
    <t>긴쪽</t>
    <phoneticPr fontId="53" type="noConversion"/>
  </si>
  <si>
    <t>WITHOUT NECK BAND (INSIDE)</t>
    <phoneticPr fontId="2" type="noConversion"/>
  </si>
  <si>
    <t>위카라 밑 둘레</t>
    <phoneticPr fontId="1" type="noConversion"/>
  </si>
  <si>
    <t>허리 6골고무줄</t>
    <phoneticPr fontId="53" type="noConversion"/>
  </si>
  <si>
    <t>SLEEVE 8G BAND</t>
    <phoneticPr fontId="2" type="noConversion"/>
  </si>
  <si>
    <t>소매8골 고무줄</t>
    <phoneticPr fontId="53" type="noConversion"/>
  </si>
  <si>
    <t>BOTTOM FRILL LENGTH</t>
    <phoneticPr fontId="2" type="noConversion"/>
  </si>
  <si>
    <t>밑단프릴기장</t>
    <phoneticPr fontId="1" type="noConversion"/>
  </si>
  <si>
    <t>FRONT PLACKET LENGTH</t>
    <phoneticPr fontId="2" type="noConversion"/>
  </si>
  <si>
    <t>앞단작길이</t>
    <phoneticPr fontId="53" type="noConversion"/>
  </si>
  <si>
    <t>STYLE NO: JYST022-D#Y20(완사입)</t>
    <phoneticPr fontId="1" type="noConversion"/>
  </si>
  <si>
    <t>STYLE NO: JYSTO01-K#G02</t>
    <phoneticPr fontId="1" type="noConversion"/>
  </si>
  <si>
    <t>겉-총장</t>
    <phoneticPr fontId="53" type="noConversion"/>
  </si>
  <si>
    <t>OUTSIDE TOTAL LENGTH</t>
    <phoneticPr fontId="53" type="noConversion"/>
  </si>
  <si>
    <t>밑단둘레(반품)</t>
    <phoneticPr fontId="53" type="noConversion"/>
  </si>
  <si>
    <t>STYLE NO: JYSOU16-W#G11(완사입)</t>
    <phoneticPr fontId="1" type="noConversion"/>
  </si>
  <si>
    <t>앞요크길이</t>
    <phoneticPr fontId="53" type="noConversion"/>
  </si>
  <si>
    <t>뒤요크길이</t>
    <phoneticPr fontId="53" type="noConversion"/>
  </si>
  <si>
    <t>앞중심에서 밑단까지</t>
    <phoneticPr fontId="53" type="noConversion"/>
  </si>
  <si>
    <t>STYLE NO: JYSTO12-K#Y17</t>
    <phoneticPr fontId="1" type="noConversion"/>
  </si>
  <si>
    <t>뒤중심</t>
    <phoneticPr fontId="21" type="noConversion"/>
  </si>
  <si>
    <t>SHOULDER 10mm TAPE</t>
    <phoneticPr fontId="1" type="noConversion"/>
  </si>
  <si>
    <t>어깨테잎길이</t>
    <phoneticPr fontId="1" type="noConversion"/>
  </si>
  <si>
    <t>1ST MESH FRILL LENGTH</t>
    <phoneticPr fontId="53" type="noConversion"/>
  </si>
  <si>
    <t>1단망사프릴 기장</t>
    <phoneticPr fontId="53" type="noConversion"/>
  </si>
  <si>
    <t>2ND MESH FRILL LENGTH</t>
    <phoneticPr fontId="53" type="noConversion"/>
  </si>
  <si>
    <t>2단망사프릴 기장</t>
    <phoneticPr fontId="53" type="noConversion"/>
  </si>
  <si>
    <t>보이는 부분</t>
    <phoneticPr fontId="53" type="noConversion"/>
  </si>
  <si>
    <t>앞뒤전체</t>
    <phoneticPr fontId="53" type="noConversion"/>
  </si>
  <si>
    <t>GRAPHIC POINT A</t>
    <phoneticPr fontId="1" type="noConversion"/>
  </si>
  <si>
    <t>앞목에서 수직으로</t>
    <phoneticPr fontId="1" type="noConversion"/>
  </si>
  <si>
    <t>FRONT ZIPPER LENGTH</t>
    <phoneticPr fontId="1" type="noConversion"/>
  </si>
  <si>
    <t>STYLE NO: JYSOP10-K#H16</t>
    <phoneticPr fontId="1" type="noConversion"/>
  </si>
  <si>
    <t>WELT POCKET</t>
    <phoneticPr fontId="53" type="noConversion"/>
  </si>
  <si>
    <t>장식구찌길이</t>
    <phoneticPr fontId="53" type="noConversion"/>
  </si>
  <si>
    <t>STYLE NO: JYSOP05-W#H12</t>
    <phoneticPr fontId="1" type="noConversion"/>
  </si>
  <si>
    <t>STYLE NO: JYSOP01-W#Y12</t>
    <phoneticPr fontId="1" type="noConversion"/>
  </si>
  <si>
    <t>MESH SLEEVE LENGTH</t>
    <phoneticPr fontId="2" type="noConversion"/>
  </si>
  <si>
    <t>망사소매 기장</t>
    <phoneticPr fontId="53" type="noConversion"/>
  </si>
  <si>
    <t>FRONT YOKE LENGTH</t>
    <phoneticPr fontId="1" type="noConversion"/>
  </si>
  <si>
    <t>앞요크기장</t>
    <phoneticPr fontId="1" type="noConversion"/>
  </si>
  <si>
    <t>BACK YOKE LENGTH</t>
    <phoneticPr fontId="1" type="noConversion"/>
  </si>
  <si>
    <t>뒤요크기장</t>
    <phoneticPr fontId="1" type="noConversion"/>
  </si>
  <si>
    <t>MESH SLEEVE 4G BAND</t>
    <phoneticPr fontId="2" type="noConversion"/>
  </si>
  <si>
    <t>망사소매 4골고무줄</t>
    <phoneticPr fontId="53" type="noConversion"/>
  </si>
  <si>
    <t>STYLE NO: JYSTO31-K#G15</t>
    <phoneticPr fontId="1" type="noConversion"/>
  </si>
  <si>
    <t xml:space="preserve"> 4G E-BAND</t>
    <phoneticPr fontId="53" type="noConversion"/>
  </si>
  <si>
    <t>허리 6골 고무줄 완성</t>
    <phoneticPr fontId="53" type="noConversion"/>
  </si>
  <si>
    <t>STYLE NO: JYSTO32-K#Y23</t>
    <phoneticPr fontId="1" type="noConversion"/>
  </si>
  <si>
    <t>옆목점에서 밑단까지의 직선길이(레이스 제외)</t>
    <phoneticPr fontId="1" type="noConversion"/>
  </si>
  <si>
    <t>중심 허리에서 밑단까지 길이(레이스 제외)</t>
    <phoneticPr fontId="1" type="noConversion"/>
  </si>
  <si>
    <t>STYLE NO: JYSOU17-W#Y16</t>
    <phoneticPr fontId="1" type="noConversion"/>
  </si>
  <si>
    <t>STYLE NO: JYSSK08-W#G13</t>
    <phoneticPr fontId="1" type="noConversion"/>
  </si>
  <si>
    <t>오비제외,프릴제외</t>
    <phoneticPr fontId="8" type="noConversion"/>
  </si>
  <si>
    <t>STYLE NO: JYSOP08-K#A05</t>
    <phoneticPr fontId="1" type="noConversion"/>
  </si>
  <si>
    <t>TOP LENGTH</t>
    <phoneticPr fontId="2" type="noConversion"/>
  </si>
  <si>
    <t>상의 기장</t>
    <phoneticPr fontId="53" type="noConversion"/>
  </si>
  <si>
    <t>SKIRT LENGTH</t>
    <phoneticPr fontId="53" type="noConversion"/>
  </si>
  <si>
    <t>스커트기장</t>
    <phoneticPr fontId="53" type="noConversion"/>
  </si>
  <si>
    <t>프릴제외</t>
    <phoneticPr fontId="53" type="noConversion"/>
  </si>
  <si>
    <t>STYLE NO: JYSSK07-W#G12</t>
    <phoneticPr fontId="1" type="noConversion"/>
  </si>
  <si>
    <t>STYLE NO: JYSSE02-K#H28</t>
    <phoneticPr fontId="1" type="noConversion"/>
  </si>
  <si>
    <t>앞주머니끝에서 중심까지 수평선의 길이</t>
    <phoneticPr fontId="1" type="noConversion"/>
  </si>
  <si>
    <t>STYLE NO: JYSTO35-K#G18</t>
    <phoneticPr fontId="1" type="noConversion"/>
  </si>
  <si>
    <t>S</t>
  </si>
  <si>
    <t>L</t>
  </si>
  <si>
    <t>XL</t>
  </si>
  <si>
    <t>2XL</t>
  </si>
  <si>
    <t>XS</t>
    <phoneticPr fontId="53" type="noConversion"/>
  </si>
  <si>
    <t>M</t>
    <phoneticPr fontId="53" type="noConversion"/>
  </si>
  <si>
    <t>STYLE NO: JYSTO46-K#H34</t>
    <phoneticPr fontId="1" type="noConversion"/>
  </si>
  <si>
    <t>1ST BOTTOM FRILL LENGTH</t>
    <phoneticPr fontId="2" type="noConversion"/>
  </si>
  <si>
    <t>1단프릴기장</t>
    <phoneticPr fontId="53" type="noConversion"/>
  </si>
  <si>
    <t>2ND BOTTOM FRILL LENGTH</t>
    <phoneticPr fontId="2" type="noConversion"/>
  </si>
  <si>
    <t>2단프릴기장</t>
    <phoneticPr fontId="53" type="noConversion"/>
  </si>
  <si>
    <t>상봉끝 선</t>
    <phoneticPr fontId="53" type="noConversion"/>
  </si>
  <si>
    <r>
      <t xml:space="preserve">옆목점을 수평으로 잰 길이 </t>
    </r>
    <r>
      <rPr>
        <sz val="7.5"/>
        <color rgb="FFFF0000"/>
        <rFont val="맑은 고딕"/>
        <family val="3"/>
        <charset val="129"/>
        <scheme val="minor"/>
      </rPr>
      <t>(샘플사이즈)</t>
    </r>
    <phoneticPr fontId="1" type="noConversion"/>
  </si>
  <si>
    <r>
      <t xml:space="preserve">옆목점에서 앞목중심의 수직 길이 </t>
    </r>
    <r>
      <rPr>
        <sz val="7.5"/>
        <color rgb="FFFF0000"/>
        <rFont val="맑은 고딕"/>
        <family val="3"/>
        <charset val="129"/>
        <scheme val="minor"/>
      </rPr>
      <t>(샘플사이즈)</t>
    </r>
    <phoneticPr fontId="1" type="noConversion"/>
  </si>
  <si>
    <t>3XL</t>
    <phoneticPr fontId="53" type="noConversion"/>
  </si>
  <si>
    <t>STYLE NO: JYSTO47-K#H33</t>
    <phoneticPr fontId="1" type="noConversion"/>
  </si>
  <si>
    <t>앞중심</t>
    <phoneticPr fontId="11" type="noConversion"/>
  </si>
  <si>
    <t>SHOULDER STRAP LENGTH</t>
    <phoneticPr fontId="53" type="noConversion"/>
  </si>
  <si>
    <t>어깨끈테잎</t>
    <phoneticPr fontId="53" type="noConversion"/>
  </si>
  <si>
    <t>10mm테잎</t>
    <phoneticPr fontId="53" type="noConversion"/>
  </si>
  <si>
    <t>STYLE NO: JYSTO39-K#A18</t>
    <phoneticPr fontId="1" type="noConversion"/>
  </si>
  <si>
    <t>FRONT FRILL LENGTH</t>
    <phoneticPr fontId="21" type="noConversion"/>
  </si>
  <si>
    <t>앞프릴기장</t>
    <phoneticPr fontId="21" type="noConversion"/>
  </si>
  <si>
    <t>FRONT 8G BAND</t>
    <phoneticPr fontId="53" type="noConversion"/>
  </si>
  <si>
    <t>앞8골 고무줄</t>
    <phoneticPr fontId="53" type="noConversion"/>
  </si>
  <si>
    <t>STYLE NO: JYSPT17-K#H31</t>
    <phoneticPr fontId="1" type="noConversion"/>
  </si>
  <si>
    <t>STYLE NO: JYSTO42-K#R29</t>
    <phoneticPr fontId="1" type="noConversion"/>
  </si>
  <si>
    <t>앞중심에서 수직으로</t>
    <phoneticPr fontId="1" type="noConversion"/>
  </si>
  <si>
    <t>STYLE NO: JYSTO45-K#H35</t>
    <phoneticPr fontId="1" type="noConversion"/>
  </si>
  <si>
    <t>STYLE NO: JYSSE04-K#R30</t>
    <phoneticPr fontId="1" type="noConversion"/>
  </si>
  <si>
    <t>OUTSIDE LENGTH</t>
    <phoneticPr fontId="2" type="noConversion"/>
  </si>
  <si>
    <t>겉기장(옆목)</t>
    <phoneticPr fontId="2" type="noConversion"/>
  </si>
  <si>
    <t>INNER TOP LENGTH</t>
    <phoneticPr fontId="53" type="noConversion"/>
  </si>
  <si>
    <t>인너 기장(옆목)</t>
    <phoneticPr fontId="53" type="noConversion"/>
  </si>
  <si>
    <t>INNER BOTTOM SWEEP (1/2)</t>
    <phoneticPr fontId="2" type="noConversion"/>
  </si>
  <si>
    <t>이너밑단둘레(반품)</t>
    <phoneticPr fontId="53" type="noConversion"/>
  </si>
  <si>
    <t>STYLE NO: JYSTO48-K#H32</t>
    <phoneticPr fontId="1" type="noConversion"/>
  </si>
  <si>
    <t>오비스트링길이</t>
    <phoneticPr fontId="53" type="noConversion"/>
  </si>
  <si>
    <t>노출길이 = 16cm</t>
    <phoneticPr fontId="53" type="noConversion"/>
  </si>
  <si>
    <t>STYLE NO: JYSPT19-K#H29</t>
    <phoneticPr fontId="1" type="noConversion"/>
  </si>
  <si>
    <t>STYLE NO: JYSPT11-D#G20(완사입)</t>
    <phoneticPr fontId="1" type="noConversion"/>
  </si>
  <si>
    <t>와끼선에서 수평으로</t>
    <phoneticPr fontId="11" type="noConversion"/>
  </si>
  <si>
    <t>밑단에서 수직으로</t>
    <phoneticPr fontId="1" type="noConversion"/>
  </si>
  <si>
    <t>하트 입구</t>
    <phoneticPr fontId="53" type="noConversion"/>
  </si>
  <si>
    <t>STYLE NO: JYSPT13-D#A14(완사입)</t>
    <phoneticPr fontId="1" type="noConversion"/>
  </si>
  <si>
    <t>STYLE NO: JYSOU19-S#G23(니트)</t>
    <phoneticPr fontId="1" type="noConversion"/>
  </si>
  <si>
    <t>STYLE NO: JYSTO43-K#R28</t>
    <phoneticPr fontId="1" type="noConversion"/>
  </si>
  <si>
    <t>STYLE NO: JYSPT15-W#A19(완사입)</t>
    <phoneticPr fontId="1" type="noConversion"/>
  </si>
  <si>
    <t>STYLE NO: JYSOP13-K#A21</t>
    <phoneticPr fontId="1" type="noConversion"/>
  </si>
  <si>
    <t>TOTAL SKIRT LENGTH</t>
    <phoneticPr fontId="1" type="noConversion"/>
  </si>
  <si>
    <t>1ST SKIRT LENGTH</t>
    <phoneticPr fontId="1" type="noConversion"/>
  </si>
  <si>
    <t>2ND SKIRT LENGTH</t>
    <phoneticPr fontId="1" type="noConversion"/>
  </si>
  <si>
    <t>3RD SKIRT LENGTH</t>
    <phoneticPr fontId="1" type="noConversion"/>
  </si>
  <si>
    <t>STYLE NO: JYSLE03-K#A22</t>
    <phoneticPr fontId="1" type="noConversion"/>
  </si>
  <si>
    <t>STYLE NO: JYSTO44-K#H36</t>
    <phoneticPr fontId="1" type="noConversion"/>
  </si>
  <si>
    <t>STYLE NO: JYST041-K#Y28</t>
    <phoneticPr fontId="1" type="noConversion"/>
  </si>
  <si>
    <t>BOTTOM CONTRAST LENGTH</t>
    <phoneticPr fontId="53" type="noConversion"/>
  </si>
  <si>
    <t>밑단배색 기장</t>
    <phoneticPr fontId="53" type="noConversion"/>
  </si>
  <si>
    <t>STYLE NO: JYSTO36-K#G22</t>
    <phoneticPr fontId="1" type="noConversion"/>
  </si>
  <si>
    <t>STYLE NO: JYSOP12-K#A13</t>
    <phoneticPr fontId="1" type="noConversion"/>
  </si>
  <si>
    <t>와끼선의 밑단 양끝점을 수평으로 잰 길이(립길이)</t>
    <phoneticPr fontId="1" type="noConversion"/>
  </si>
  <si>
    <t>립포함,레이스포함</t>
    <phoneticPr fontId="53" type="noConversion"/>
  </si>
  <si>
    <t>보이는부분,레이스포함</t>
    <phoneticPr fontId="53" type="noConversion"/>
  </si>
  <si>
    <t>STYLE NO: JYSOP14-D#A26</t>
    <phoneticPr fontId="1" type="noConversion"/>
  </si>
  <si>
    <t>목라인(NECK LINE)을 따라 잰 곡선의 둘레길</t>
    <phoneticPr fontId="1" type="noConversion"/>
  </si>
  <si>
    <t>TOP LENGTH (HPS)</t>
    <phoneticPr fontId="1" type="noConversion"/>
  </si>
  <si>
    <t>상의장 (옆목)</t>
    <phoneticPr fontId="1" type="noConversion"/>
  </si>
  <si>
    <t>SKIRT LENGTH</t>
    <phoneticPr fontId="1" type="noConversion"/>
  </si>
  <si>
    <t>치마 총장</t>
    <phoneticPr fontId="1" type="noConversion"/>
  </si>
  <si>
    <t>와끼기준</t>
    <phoneticPr fontId="1" type="noConversion"/>
  </si>
  <si>
    <t>WAIST E BAND</t>
    <phoneticPr fontId="2" type="noConversion"/>
  </si>
  <si>
    <t>허리고무줄</t>
    <phoneticPr fontId="1" type="noConversion"/>
  </si>
  <si>
    <t>15mm BAND</t>
    <phoneticPr fontId="53" type="noConversion"/>
  </si>
  <si>
    <t>WAIST STRING</t>
  </si>
  <si>
    <t>허리스트링</t>
  </si>
  <si>
    <t>STYLE NO: JYSTO34-W#G19</t>
    <phoneticPr fontId="1" type="noConversion"/>
  </si>
  <si>
    <t>뒷목 중심에서 밑단끝까지 직선길이</t>
    <phoneticPr fontId="1" type="noConversion"/>
  </si>
  <si>
    <t xml:space="preserve">ROUND ,@ NECK SEWING  LINE </t>
    <phoneticPr fontId="1" type="noConversion"/>
  </si>
  <si>
    <t>주머니입구 수평길이</t>
    <phoneticPr fontId="1" type="noConversion"/>
  </si>
  <si>
    <t>주머니 수직길이</t>
    <phoneticPr fontId="1" type="noConversion"/>
  </si>
  <si>
    <t>가슴주머니 폭</t>
    <phoneticPr fontId="1" type="noConversion"/>
  </si>
  <si>
    <t>가슴주머니 길이</t>
    <phoneticPr fontId="1" type="noConversion"/>
  </si>
  <si>
    <t>주머니끝에서 수평으로</t>
    <phoneticPr fontId="1" type="noConversion"/>
  </si>
  <si>
    <t>POCKET TO HORIZONTALLY</t>
    <phoneticPr fontId="1" type="noConversion"/>
  </si>
  <si>
    <t xml:space="preserve"> POINT A</t>
    <phoneticPr fontId="1" type="noConversion"/>
  </si>
  <si>
    <t>STYLE NO: JYSSE03-K#Y27</t>
    <phoneticPr fontId="1" type="noConversion"/>
  </si>
  <si>
    <t>CONTRAST LENGTH</t>
    <phoneticPr fontId="2" type="noConversion"/>
  </si>
  <si>
    <t>밑단 배색 기장</t>
    <phoneticPr fontId="2" type="noConversion"/>
  </si>
  <si>
    <t>밑단끝에서 배색밑단까지의 직선길이</t>
    <phoneticPr fontId="1" type="noConversion"/>
  </si>
  <si>
    <t>STYLE NO: JYSTO38-K#A16</t>
    <phoneticPr fontId="1" type="noConversion"/>
  </si>
  <si>
    <r>
      <t>옆목점에서 밑단까지의 직선길이</t>
    </r>
    <r>
      <rPr>
        <sz val="7.5"/>
        <color indexed="10"/>
        <rFont val="맑은 고딕"/>
        <family val="3"/>
        <charset val="129"/>
      </rPr>
      <t>(주원단)</t>
    </r>
    <phoneticPr fontId="1" type="noConversion"/>
  </si>
  <si>
    <t>SKIRT LENGTH</t>
    <phoneticPr fontId="2" type="noConversion"/>
  </si>
  <si>
    <t>치마 기장</t>
    <phoneticPr fontId="32" type="noConversion"/>
  </si>
  <si>
    <r>
      <t>뒤요크에서 치마밑단까지의 직선길이</t>
    </r>
    <r>
      <rPr>
        <sz val="7.5"/>
        <color indexed="10"/>
        <rFont val="맑은 고딕"/>
        <family val="3"/>
        <charset val="129"/>
      </rPr>
      <t>(원단B)</t>
    </r>
    <phoneticPr fontId="1" type="noConversion"/>
  </si>
  <si>
    <t>뒤 배색 기장</t>
    <phoneticPr fontId="2" type="noConversion"/>
  </si>
  <si>
    <t>BACK CONTRAST LENGTH</t>
    <phoneticPr fontId="2" type="noConversion"/>
  </si>
  <si>
    <t>뒤 배색 절개선부터 밑단까지</t>
    <phoneticPr fontId="32" type="noConversion"/>
  </si>
  <si>
    <t>BACK ZIPPER LENGTH</t>
    <phoneticPr fontId="14" type="noConversion"/>
  </si>
  <si>
    <t>뒤지퍼길이</t>
    <phoneticPr fontId="14" type="noConversion"/>
  </si>
  <si>
    <t>상의 기장(옆목)</t>
    <phoneticPr fontId="53" type="noConversion"/>
  </si>
  <si>
    <t>프릴 시작 까지</t>
    <phoneticPr fontId="53" type="noConversion"/>
  </si>
  <si>
    <t>SHORT SLEEVE 4G BAND</t>
    <phoneticPr fontId="2" type="noConversion"/>
  </si>
  <si>
    <t>짧은소매4골고무줄</t>
    <phoneticPr fontId="53" type="noConversion"/>
  </si>
  <si>
    <t>TOTAL FRILL LENGTH</t>
    <phoneticPr fontId="53" type="noConversion"/>
  </si>
  <si>
    <t>총프릴기장</t>
    <phoneticPr fontId="53" type="noConversion"/>
  </si>
  <si>
    <t>1ST FRILL LENGTH</t>
    <phoneticPr fontId="53" type="noConversion"/>
  </si>
  <si>
    <t>2ND FRILL LENGTH</t>
    <phoneticPr fontId="53" type="noConversion"/>
  </si>
  <si>
    <t>3RD FRILL LENGTH</t>
    <phoneticPr fontId="53" type="noConversion"/>
  </si>
  <si>
    <t>3단프릴기장</t>
    <phoneticPr fontId="53" type="noConversion"/>
  </si>
  <si>
    <t>4TH FRILL LENGTH</t>
    <phoneticPr fontId="53" type="noConversion"/>
  </si>
  <si>
    <t>4단프릴기장</t>
    <phoneticPr fontId="53" type="noConversion"/>
  </si>
  <si>
    <t>STYLE NO: JYSTO50-K#Y34</t>
    <phoneticPr fontId="1" type="noConversion"/>
  </si>
  <si>
    <t>STYLE NO: JYSPT23-K#Y33</t>
    <phoneticPr fontId="1" type="noConversion"/>
  </si>
  <si>
    <t>밑단에서 수직으로(시보리제외)</t>
    <phoneticPr fontId="1" type="noConversion"/>
  </si>
  <si>
    <t>주름폈을때</t>
    <phoneticPr fontId="53" type="noConversion"/>
  </si>
  <si>
    <t>STYLE NO: JYSSK10-W#H41</t>
    <phoneticPr fontId="1" type="noConversion"/>
  </si>
  <si>
    <t>속치마기장</t>
    <phoneticPr fontId="1" type="noConversion"/>
  </si>
  <si>
    <t xml:space="preserve">LINING SKIRT LENGTH </t>
    <phoneticPr fontId="1" type="noConversion"/>
  </si>
  <si>
    <t>겉치마기장</t>
    <phoneticPr fontId="1" type="noConversion"/>
  </si>
  <si>
    <t xml:space="preserve">OUT SKIRT LENGTH </t>
    <phoneticPr fontId="1" type="noConversion"/>
  </si>
  <si>
    <t>STYLE NO: JYSPT16-W#Y29</t>
    <phoneticPr fontId="1" type="noConversion"/>
  </si>
  <si>
    <t>엉덩이둘레(주름잡았을때)</t>
    <phoneticPr fontId="53" type="noConversion"/>
  </si>
  <si>
    <t>앞주머니6골고무줄</t>
    <phoneticPr fontId="53" type="noConversion"/>
  </si>
  <si>
    <t>밴드빼고</t>
    <phoneticPr fontId="1" type="noConversion"/>
  </si>
  <si>
    <t>STYLE NO: JYSSK11-W#H42</t>
    <phoneticPr fontId="1" type="noConversion"/>
  </si>
  <si>
    <t>와끼선을 기준으로 밴드끝에서 바지 밑단 끝까지의 길이</t>
    <phoneticPr fontId="1" type="noConversion"/>
  </si>
  <si>
    <t>와끼선을 기준으로 바지 밑단 끝까지의 길이(오비포함)</t>
    <phoneticPr fontId="1" type="noConversion"/>
  </si>
  <si>
    <t>1단 프릴기장</t>
    <phoneticPr fontId="53" type="noConversion"/>
  </si>
  <si>
    <t>2단 프릴기장</t>
    <phoneticPr fontId="53" type="noConversion"/>
  </si>
  <si>
    <t>YOKE LENGTH</t>
    <phoneticPr fontId="53" type="noConversion"/>
  </si>
  <si>
    <t>요크기장</t>
    <phoneticPr fontId="53" type="noConversion"/>
  </si>
  <si>
    <t>STYLE NO: JYSPT14-W#A17</t>
    <phoneticPr fontId="1" type="noConversion"/>
  </si>
  <si>
    <t>바지부리</t>
    <phoneticPr fontId="53" type="noConversion"/>
  </si>
  <si>
    <t>긴쪽, 레이스포함,오비포함</t>
    <phoneticPr fontId="53" type="noConversion"/>
  </si>
  <si>
    <t>짧은쪽, 레이스포함,오비포함</t>
    <phoneticPr fontId="53" type="noConversion"/>
  </si>
  <si>
    <r>
      <t>어깨끝점과 겨드랑이 점을 직선으로 잰 길이</t>
    </r>
    <r>
      <rPr>
        <sz val="7.5"/>
        <color rgb="FFFF0000"/>
        <rFont val="맑은 고딕"/>
        <family val="3"/>
        <charset val="129"/>
        <scheme val="minor"/>
      </rPr>
      <t>(립제외)</t>
    </r>
    <phoneticPr fontId="1" type="noConversion"/>
  </si>
  <si>
    <r>
      <t>옆목점을 수평으로 잰 길이</t>
    </r>
    <r>
      <rPr>
        <sz val="7.5"/>
        <color rgb="FFFF0000"/>
        <rFont val="맑은 고딕"/>
        <family val="3"/>
        <charset val="129"/>
        <scheme val="minor"/>
      </rPr>
      <t>(립제외)</t>
    </r>
    <phoneticPr fontId="1" type="noConversion"/>
  </si>
  <si>
    <r>
      <t xml:space="preserve">어깨 양끝점을 수평으로 잰 길이 </t>
    </r>
    <r>
      <rPr>
        <sz val="7.5"/>
        <color rgb="FFFF0000"/>
        <rFont val="맑은 고딕"/>
        <family val="3"/>
        <charset val="129"/>
        <scheme val="minor"/>
      </rPr>
      <t>(립제외)</t>
    </r>
    <phoneticPr fontId="1" type="noConversion"/>
  </si>
  <si>
    <t>XXL</t>
    <phoneticPr fontId="1" type="noConversion"/>
  </si>
  <si>
    <t>XXXL</t>
    <phoneticPr fontId="1" type="noConversion"/>
  </si>
  <si>
    <t>앞기장</t>
    <phoneticPr fontId="1" type="noConversion"/>
  </si>
  <si>
    <t>앞바대끝에서 밑단까지 길이</t>
    <phoneticPr fontId="1" type="noConversion"/>
  </si>
  <si>
    <t>뒷기장</t>
    <phoneticPr fontId="1" type="noConversion"/>
  </si>
  <si>
    <t>뒤바대끝에서 밑단까지 길이</t>
    <phoneticPr fontId="1" type="noConversion"/>
  </si>
  <si>
    <t xml:space="preserve">SHOULDER STRAP </t>
    <phoneticPr fontId="2" type="noConversion"/>
  </si>
  <si>
    <t>어깨끈</t>
    <phoneticPr fontId="1" type="noConversion"/>
  </si>
  <si>
    <t xml:space="preserve">SHOULDER STRAP ACTUAL </t>
    <phoneticPr fontId="2" type="noConversion"/>
  </si>
  <si>
    <t>어깨끈 입고 사이즈</t>
    <phoneticPr fontId="1" type="noConversion"/>
  </si>
  <si>
    <t>FRONT UPPER CHEST LENGTH</t>
    <phoneticPr fontId="2" type="noConversion"/>
  </si>
  <si>
    <t>앞바대 길이</t>
    <phoneticPr fontId="1" type="noConversion"/>
  </si>
  <si>
    <t>BACK UPPER CHEST LENGTH</t>
    <phoneticPr fontId="2" type="noConversion"/>
  </si>
  <si>
    <t>뒤바대 길이</t>
    <phoneticPr fontId="1" type="noConversion"/>
  </si>
  <si>
    <t>FRONT UPPER CHEST WIDTH</t>
    <phoneticPr fontId="2" type="noConversion"/>
  </si>
  <si>
    <t>앞바대폭</t>
    <phoneticPr fontId="1" type="noConversion"/>
  </si>
  <si>
    <t>상단측정</t>
    <phoneticPr fontId="1" type="noConversion"/>
  </si>
  <si>
    <t>BACK UPPER CHEST WIDTH</t>
    <phoneticPr fontId="2" type="noConversion"/>
  </si>
  <si>
    <t>뒤바대폭</t>
    <phoneticPr fontId="1" type="noConversion"/>
  </si>
  <si>
    <t>오비포함 와끼기준</t>
    <phoneticPr fontId="1" type="noConversion"/>
  </si>
  <si>
    <t>STYLE NO: JYSOP17-D#G25(완사입)</t>
    <phoneticPr fontId="1" type="noConversion"/>
  </si>
  <si>
    <t>여유분 없이 최대한 푼 길이, 조절깡빼고</t>
    <phoneticPr fontId="1" type="noConversion"/>
  </si>
  <si>
    <t>조절깡으로 조절한 사이즈, 조절깡빼고</t>
    <phoneticPr fontId="1" type="noConversion"/>
  </si>
  <si>
    <t>FRONT POCKET WIDTH</t>
    <phoneticPr fontId="53" type="noConversion"/>
  </si>
  <si>
    <t>FRONT POCKET HEIGHT</t>
    <phoneticPr fontId="53" type="noConversion"/>
  </si>
  <si>
    <t>앞주머니높이</t>
    <phoneticPr fontId="53" type="noConversion"/>
  </si>
  <si>
    <t>상의</t>
    <phoneticPr fontId="53" type="noConversion"/>
  </si>
  <si>
    <t>치마기장</t>
    <phoneticPr fontId="53" type="noConversion"/>
  </si>
  <si>
    <t>STYLE NO: JYSOP11-W#G17</t>
    <phoneticPr fontId="1" type="noConversion"/>
  </si>
  <si>
    <t>1단치마기장</t>
    <phoneticPr fontId="53" type="noConversion"/>
  </si>
  <si>
    <t>2단치마기장</t>
    <phoneticPr fontId="53" type="noConversion"/>
  </si>
  <si>
    <t>허리6골고무줄</t>
    <phoneticPr fontId="53" type="noConversion"/>
  </si>
  <si>
    <t>2XL</t>
    <phoneticPr fontId="53" type="noConversion"/>
  </si>
  <si>
    <t>셔링펼친 길이</t>
    <phoneticPr fontId="53" type="noConversion"/>
  </si>
  <si>
    <t>BOTTOM E BAND</t>
    <phoneticPr fontId="2" type="noConversion"/>
  </si>
  <si>
    <r>
      <t>목라인(NECK LINE)을 따라 잰 곡선의 둘레길이</t>
    </r>
    <r>
      <rPr>
        <sz val="7.5"/>
        <color indexed="10"/>
        <rFont val="맑은 고딕"/>
        <family val="3"/>
        <charset val="129"/>
      </rPr>
      <t>(지퍼제외)</t>
    </r>
    <phoneticPr fontId="1" type="noConversion"/>
  </si>
  <si>
    <t xml:space="preserve">NECK FRILL WIDTH </t>
    <phoneticPr fontId="2" type="noConversion"/>
  </si>
  <si>
    <t>에리프릴 폭</t>
    <phoneticPr fontId="53" type="noConversion"/>
  </si>
  <si>
    <t>SLEEVE E BAND</t>
    <phoneticPr fontId="2" type="noConversion"/>
  </si>
  <si>
    <t>소매 고무줄 길이</t>
    <phoneticPr fontId="53" type="noConversion"/>
  </si>
  <si>
    <t>소매4골고무줄</t>
    <phoneticPr fontId="53" type="noConversion"/>
  </si>
  <si>
    <t>앞지퍼 길이</t>
    <phoneticPr fontId="1" type="noConversion"/>
  </si>
  <si>
    <t xml:space="preserve">YKK </t>
    <phoneticPr fontId="53" type="noConversion"/>
  </si>
  <si>
    <t>지퍼제외</t>
    <phoneticPr fontId="53" type="noConversion"/>
  </si>
  <si>
    <t>STYLE NO: JYSOU20-W#A06</t>
    <phoneticPr fontId="1" type="noConversion"/>
  </si>
  <si>
    <t>STYLE NO: JYSPT24-D#G32(완사입)</t>
    <phoneticPr fontId="1" type="noConversion"/>
  </si>
  <si>
    <t>STYLE NO: JYSPT20-D#R32(완사입)</t>
    <phoneticPr fontId="1" type="noConversion"/>
  </si>
  <si>
    <t>오비포함</t>
    <phoneticPr fontId="1" type="noConversion"/>
  </si>
  <si>
    <t>오비제외</t>
    <phoneticPr fontId="53" type="noConversion"/>
  </si>
  <si>
    <t>STYLE NO: JYSOP16-W#R36</t>
    <phoneticPr fontId="1" type="noConversion"/>
  </si>
  <si>
    <t>겉치마</t>
    <phoneticPr fontId="53" type="noConversion"/>
  </si>
  <si>
    <t>속치마</t>
    <phoneticPr fontId="53" type="noConversion"/>
  </si>
  <si>
    <t xml:space="preserve"> SKIRT LENGTH</t>
    <phoneticPr fontId="1" type="noConversion"/>
  </si>
  <si>
    <t>치마기장(겉치마)</t>
    <phoneticPr fontId="1" type="noConversion"/>
  </si>
  <si>
    <t>치마기장(속치마)</t>
    <phoneticPr fontId="1" type="noConversion"/>
  </si>
  <si>
    <t>밑단치마길이</t>
    <phoneticPr fontId="1" type="noConversion"/>
  </si>
  <si>
    <t>STYLE NO: JYSTO49-K#R33</t>
    <phoneticPr fontId="1" type="noConversion"/>
  </si>
  <si>
    <t xml:space="preserve">STYLE NO: JYSSE05-K#R34 </t>
    <phoneticPr fontId="1" type="noConversion"/>
  </si>
  <si>
    <t>FRONT 2G BAND</t>
    <phoneticPr fontId="2" type="noConversion"/>
  </si>
  <si>
    <t>앞2골고무줄</t>
    <phoneticPr fontId="53" type="noConversion"/>
  </si>
  <si>
    <t>STYLE NO: JYSOP18-K#G27</t>
    <phoneticPr fontId="1" type="noConversion"/>
  </si>
  <si>
    <t>립포함</t>
    <phoneticPr fontId="53" type="noConversion"/>
  </si>
  <si>
    <t>STYLE NO: JYSTO37-K#A11</t>
    <phoneticPr fontId="1" type="noConversion"/>
  </si>
  <si>
    <t>STYLE NO: JYSPT12-K#A12</t>
    <phoneticPr fontId="1" type="noConversion"/>
  </si>
  <si>
    <t>노출길이=18cm</t>
    <phoneticPr fontId="53" type="noConversion"/>
  </si>
  <si>
    <t xml:space="preserve">INCLUDE WAIST BAND TO EDGE </t>
    <phoneticPr fontId="53" type="noConversion"/>
  </si>
  <si>
    <t>바지 밑단의 둘레 밴드길이</t>
    <phoneticPr fontId="2" type="noConversion"/>
  </si>
  <si>
    <t xml:space="preserve">CIRCLE BAND ROUND </t>
    <phoneticPr fontId="53" type="noConversion"/>
  </si>
  <si>
    <t>앞중심에서 수평으로(지퍼제외)</t>
    <phoneticPr fontId="1" type="noConversion"/>
  </si>
  <si>
    <t>밑단길이</t>
    <phoneticPr fontId="53" type="noConversion"/>
  </si>
  <si>
    <t>FRONT WELT POCKET</t>
    <phoneticPr fontId="53" type="noConversion"/>
  </si>
  <si>
    <t>장식 하꼬</t>
    <phoneticPr fontId="53" type="noConversion"/>
  </si>
  <si>
    <t>앞하꼬길이</t>
    <phoneticPr fontId="53" type="noConversion"/>
  </si>
  <si>
    <t>BOTTOM SKIRT WIDTH(1/2)</t>
    <phoneticPr fontId="1" type="noConversion"/>
  </si>
  <si>
    <t>밑단치마폭(반폭)</t>
    <phoneticPr fontId="1" type="noConversion"/>
  </si>
  <si>
    <t>STYLE NO: JYSSK12-S#A28(니트)</t>
    <phoneticPr fontId="1" type="noConversion"/>
  </si>
  <si>
    <t>STYLE NO: JYSOU21-S#A27(니트)</t>
    <phoneticPr fontId="1" type="noConversion"/>
  </si>
  <si>
    <t>FRONT WELT POCKET</t>
    <phoneticPr fontId="2" type="noConversion"/>
  </si>
  <si>
    <t>앞장식구찌길이</t>
    <phoneticPr fontId="1" type="noConversion"/>
  </si>
  <si>
    <t>STYLE NO: JXFEC04-EC</t>
    <phoneticPr fontId="1" type="noConversion"/>
  </si>
  <si>
    <t xml:space="preserve"> SHOULDER </t>
    <phoneticPr fontId="2" type="noConversion"/>
  </si>
  <si>
    <t>너비</t>
    <phoneticPr fontId="53" type="noConversion"/>
  </si>
  <si>
    <t>기장</t>
    <phoneticPr fontId="2" type="noConversion"/>
  </si>
  <si>
    <t>LENGTH</t>
    <phoneticPr fontId="2" type="noConversion"/>
  </si>
  <si>
    <t>ZIPPER LENGTH</t>
    <phoneticPr fontId="2" type="noConversion"/>
  </si>
  <si>
    <t>지퍼길이</t>
    <phoneticPr fontId="1" type="noConversion"/>
  </si>
  <si>
    <t>옆 지퍼길이</t>
    <phoneticPr fontId="53" type="noConversion"/>
  </si>
  <si>
    <t>입구에서 밑단절개선까지의 직선길이</t>
    <phoneticPr fontId="1" type="noConversion"/>
  </si>
  <si>
    <t>F</t>
    <phoneticPr fontId="1" type="noConversion"/>
  </si>
  <si>
    <t>OUT POCKET WIDTH</t>
    <phoneticPr fontId="53" type="noConversion"/>
  </si>
  <si>
    <t>OUT POCKET HEIGHT</t>
    <phoneticPr fontId="2" type="noConversion"/>
  </si>
  <si>
    <t>하트중심 직선길이</t>
    <phoneticPr fontId="53" type="noConversion"/>
  </si>
  <si>
    <t>하트 끝에서 수평으로</t>
    <phoneticPr fontId="53" type="noConversion"/>
  </si>
  <si>
    <t>TOTAL STRING LENGTH</t>
    <phoneticPr fontId="53" type="noConversion"/>
  </si>
  <si>
    <t>전체스트링길이</t>
    <phoneticPr fontId="53" type="noConversion"/>
  </si>
  <si>
    <t>어깨끈(한쪽)=164cm,리본</t>
    <phoneticPr fontId="53" type="noConversion"/>
  </si>
  <si>
    <t>주머니입구 끝과끝</t>
    <phoneticPr fontId="53" type="noConversion"/>
  </si>
  <si>
    <t xml:space="preserve"> 레이스와펜 위치 A</t>
    <phoneticPr fontId="1" type="noConversion"/>
  </si>
  <si>
    <t>STYLE NO: JYSSE06-K#G28</t>
    <phoneticPr fontId="1" type="noConversion"/>
  </si>
  <si>
    <t>STYLE NO: JYSOP15-W#R35</t>
    <phoneticPr fontId="1" type="noConversion"/>
  </si>
  <si>
    <t>SHOULDER STRAP</t>
    <phoneticPr fontId="1" type="noConversion"/>
  </si>
  <si>
    <t>어깨끈길이</t>
    <phoneticPr fontId="1" type="noConversion"/>
  </si>
  <si>
    <t>와끼기준,주원단</t>
    <phoneticPr fontId="53" type="noConversion"/>
  </si>
  <si>
    <t>앞중심에서 수직으로</t>
    <phoneticPr fontId="11" type="noConversion"/>
  </si>
  <si>
    <t>FROM FRONT CENTER TO VERTICAL</t>
    <phoneticPr fontId="53" type="noConversion"/>
  </si>
  <si>
    <t>스트링노출 (S-L: 16CM/ XL-4XL: 17CM)</t>
    <phoneticPr fontId="53" type="noConversion"/>
  </si>
  <si>
    <t>오비 BAND</t>
    <phoneticPr fontId="53" type="noConversion"/>
  </si>
  <si>
    <t>WAIST STRING LENGTH</t>
    <phoneticPr fontId="1" type="noConversion"/>
  </si>
  <si>
    <t>허리스트링길이</t>
    <phoneticPr fontId="1" type="noConversion"/>
  </si>
  <si>
    <t>주머니끝 와끼선에서 수평으로</t>
    <phoneticPr fontId="11" type="noConversion"/>
  </si>
  <si>
    <t xml:space="preserve">BOTTOM OPENING </t>
    <phoneticPr fontId="53" type="noConversion"/>
  </si>
  <si>
    <t>바지부리스트링길이</t>
    <phoneticPr fontId="1" type="noConversion"/>
  </si>
  <si>
    <t>스트링노출 12CM</t>
    <phoneticPr fontId="53" type="noConversion"/>
  </si>
  <si>
    <t>바지기장(제품사이즈)</t>
    <phoneticPr fontId="34" type="noConversion"/>
  </si>
  <si>
    <t xml:space="preserve">어깨 양끝점을 수평으로 잰 길이 </t>
    <phoneticPr fontId="1" type="noConversion"/>
  </si>
  <si>
    <t>STYLE NO: JYSTO40-S#A20(니트)</t>
    <phoneticPr fontId="1" type="noConversion"/>
  </si>
  <si>
    <t>ARMHOLE FRILL WIDTH</t>
    <phoneticPr fontId="53" type="noConversion"/>
  </si>
  <si>
    <t>암홀프릴폭</t>
    <phoneticPr fontId="53" type="noConversion"/>
  </si>
  <si>
    <t>에리 립 폭</t>
    <phoneticPr fontId="53" type="noConversion"/>
  </si>
  <si>
    <t>와끼선을 기준으로 요크까지의 길이(오비제외)</t>
    <phoneticPr fontId="1" type="noConversion"/>
  </si>
  <si>
    <t>주머니중심에서 수직으로</t>
    <phoneticPr fontId="1" type="noConversion"/>
  </si>
  <si>
    <t>STYLE NO: JYSOU22-S#A29(니트)</t>
    <phoneticPr fontId="1" type="noConversion"/>
  </si>
  <si>
    <t>소매 4골고무줄</t>
    <phoneticPr fontId="53" type="noConversion"/>
  </si>
  <si>
    <t>STYLE NO: JYSPT21-D#Y31(완사입)</t>
    <phoneticPr fontId="1" type="noConversion"/>
  </si>
  <si>
    <t>STYLE NO: JYSPT22-D#Y32(완사입)</t>
    <phoneticPr fontId="1" type="noConversion"/>
  </si>
  <si>
    <t>BACK SIDE POCKET WIDTH</t>
    <phoneticPr fontId="2" type="noConversion"/>
  </si>
  <si>
    <t>뒤옆주머니너비</t>
    <phoneticPr fontId="1" type="noConversion"/>
  </si>
  <si>
    <t>입어서 좌측</t>
    <phoneticPr fontId="53" type="noConversion"/>
  </si>
  <si>
    <t>입어서 우측</t>
    <phoneticPr fontId="53" type="noConversion"/>
  </si>
  <si>
    <t>3XL</t>
  </si>
  <si>
    <t>STYLE NO: JYSPT18-D#H30(완사입)</t>
    <phoneticPr fontId="1" type="noConversion"/>
  </si>
  <si>
    <t>WATCH POCKET WIDE</t>
    <phoneticPr fontId="2" type="noConversion"/>
  </si>
  <si>
    <t>시계주머니 입구</t>
    <phoneticPr fontId="1" type="noConversion"/>
  </si>
  <si>
    <t>밑단둘레길이(반품)</t>
    <phoneticPr fontId="1" type="noConversion"/>
  </si>
  <si>
    <r>
      <t>엉덩이둘레</t>
    </r>
    <r>
      <rPr>
        <sz val="7.5"/>
        <color rgb="FFFF0000"/>
        <rFont val="맑은 고딕"/>
        <family val="3"/>
        <charset val="129"/>
        <scheme val="minor"/>
      </rPr>
      <t>(주름펴서)</t>
    </r>
    <phoneticPr fontId="53" type="noConversion"/>
  </si>
  <si>
    <t>STYLE NO: JYSOU07-W#Y06</t>
    <phoneticPr fontId="1" type="noConversion"/>
  </si>
  <si>
    <t>ㄱ</t>
    <phoneticPr fontId="53" type="noConversion"/>
  </si>
  <si>
    <t>BOTTOM RIB SWEEP</t>
    <phoneticPr fontId="2" type="noConversion"/>
  </si>
  <si>
    <t>밑단 요꼬립</t>
    <phoneticPr fontId="53" type="noConversion"/>
  </si>
  <si>
    <t>밑단 요꼬립 길이</t>
    <phoneticPr fontId="53" type="noConversion"/>
  </si>
  <si>
    <t>소매기장</t>
    <phoneticPr fontId="1" type="noConversion"/>
  </si>
  <si>
    <t>CUFFS RIB SWEEP</t>
    <phoneticPr fontId="2" type="noConversion"/>
  </si>
  <si>
    <t>소매 요꼬립</t>
    <phoneticPr fontId="53" type="noConversion"/>
  </si>
  <si>
    <t>소매 밑단 요꼬립 둘레 길이</t>
    <phoneticPr fontId="1" type="noConversion"/>
  </si>
  <si>
    <t>NECK RIB SWEEP</t>
    <phoneticPr fontId="2" type="noConversion"/>
  </si>
  <si>
    <t>에리 요꼬립</t>
    <phoneticPr fontId="1" type="noConversion"/>
  </si>
  <si>
    <t>에리 요꼬립 길이</t>
    <phoneticPr fontId="53" type="noConversion"/>
  </si>
  <si>
    <t>위치 A (입어서좌측)</t>
    <phoneticPr fontId="1" type="noConversion"/>
  </si>
  <si>
    <t>앞옆목에서 수직으로</t>
    <phoneticPr fontId="1" type="noConversion"/>
  </si>
  <si>
    <t>위치 B (입어서좌측)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</si>
</sst>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7.5"/>
      <color indexed="10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ajor"/>
    </font>
    <font>
      <b/>
      <sz val="8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7.5"/>
      <color rgb="FFFF0000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ajor"/>
    </font>
    <font>
      <sz val="7"/>
      <name val="맑은 고딕"/>
      <family val="3"/>
      <charset val="129"/>
      <scheme val="major"/>
    </font>
    <font>
      <sz val="7.5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7.5"/>
      <color theme="0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7.5"/>
      <color theme="0" tint="-4.9989318521683403E-2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.5"/>
      <color theme="2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7.5"/>
      <color rgb="FFFF0000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</borders>
  <cellStyleXfs count="3">
    <xf numFmtId="0" fontId="0" fillId="0" borderId="0">
      <alignment vertical="center"/>
    </xf>
    <xf numFmtId="0" fontId="3" fillId="0" borderId="0"/>
    <xf numFmtId="0" fontId="37" fillId="0" borderId="0">
      <alignment vertical="center"/>
    </xf>
  </cellStyleXfs>
  <cellXfs count="276">
    <xf numFmtId="0" fontId="0" fillId="0" borderId="0" xfId="0">
      <alignment vertical="center"/>
    </xf>
    <xf numFmtId="0" fontId="38" fillId="0" borderId="0" xfId="0" applyFont="1">
      <alignment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/>
    <xf numFmtId="0" fontId="41" fillId="0" borderId="1" xfId="0" applyFont="1" applyBorder="1" applyAlignment="1">
      <alignment horizontal="center" vertical="center"/>
    </xf>
    <xf numFmtId="0" fontId="4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43" fillId="0" borderId="1" xfId="0" applyFont="1" applyBorder="1" applyAlignment="1">
      <alignment horizontal="center" vertical="center"/>
    </xf>
    <xf numFmtId="0" fontId="44" fillId="0" borderId="0" xfId="0" applyFont="1">
      <alignment vertical="center"/>
    </xf>
    <xf numFmtId="0" fontId="42" fillId="0" borderId="1" xfId="0" applyFont="1" applyBorder="1" applyAlignment="1">
      <alignment horizontal="center" vertical="center"/>
    </xf>
    <xf numFmtId="0" fontId="55" fillId="0" borderId="0" xfId="0" applyFont="1">
      <alignment vertical="center"/>
    </xf>
    <xf numFmtId="0" fontId="55" fillId="0" borderId="0" xfId="0" applyFont="1" applyAlignment="1">
      <alignment horizontal="center" vertical="center"/>
    </xf>
    <xf numFmtId="0" fontId="42" fillId="0" borderId="0" xfId="0" applyFont="1">
      <alignment vertical="center"/>
    </xf>
    <xf numFmtId="0" fontId="42" fillId="0" borderId="30" xfId="0" applyFont="1" applyBorder="1">
      <alignment vertical="center"/>
    </xf>
    <xf numFmtId="0" fontId="59" fillId="0" borderId="30" xfId="0" applyFont="1" applyBorder="1" applyAlignment="1">
      <alignment horizontal="center" vertical="center"/>
    </xf>
    <xf numFmtId="0" fontId="42" fillId="0" borderId="30" xfId="0" applyFont="1" applyBorder="1" applyAlignment="1">
      <alignment horizontal="center" vertical="center"/>
    </xf>
    <xf numFmtId="0" fontId="42" fillId="0" borderId="28" xfId="0" applyFont="1" applyBorder="1" applyAlignment="1">
      <alignment horizontal="center" vertical="center"/>
    </xf>
    <xf numFmtId="0" fontId="42" fillId="3" borderId="1" xfId="0" applyFont="1" applyFill="1" applyBorder="1" applyAlignment="1">
      <alignment horizontal="center" vertical="center"/>
    </xf>
    <xf numFmtId="0" fontId="42" fillId="0" borderId="82" xfId="0" applyFont="1" applyBorder="1" applyAlignment="1">
      <alignment horizontal="center" vertical="center"/>
    </xf>
    <xf numFmtId="0" fontId="42" fillId="2" borderId="82" xfId="0" applyFont="1" applyFill="1" applyBorder="1" applyAlignment="1">
      <alignment horizontal="center" vertical="center"/>
    </xf>
    <xf numFmtId="0" fontId="43" fillId="0" borderId="82" xfId="0" applyFont="1" applyBorder="1" applyAlignment="1">
      <alignment horizontal="center" vertical="center"/>
    </xf>
    <xf numFmtId="0" fontId="38" fillId="0" borderId="19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38" fillId="2" borderId="19" xfId="0" applyFont="1" applyFill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45" fillId="0" borderId="7" xfId="0" applyFont="1" applyBorder="1" applyAlignment="1">
      <alignment horizontal="center" vertical="center"/>
    </xf>
    <xf numFmtId="0" fontId="45" fillId="0" borderId="9" xfId="0" applyFont="1" applyBorder="1" applyAlignment="1">
      <alignment horizontal="center" vertical="center"/>
    </xf>
    <xf numFmtId="0" fontId="45" fillId="0" borderId="7" xfId="0" applyFont="1" applyBorder="1" applyAlignment="1">
      <alignment horizontal="left" vertical="center"/>
    </xf>
    <xf numFmtId="0" fontId="45" fillId="0" borderId="8" xfId="0" applyFont="1" applyBorder="1" applyAlignment="1">
      <alignment horizontal="left" vertical="center"/>
    </xf>
    <xf numFmtId="0" fontId="45" fillId="0" borderId="9" xfId="0" applyFont="1" applyBorder="1" applyAlignment="1">
      <alignment horizontal="left" vertical="center"/>
    </xf>
    <xf numFmtId="0" fontId="38" fillId="2" borderId="3" xfId="0" applyFont="1" applyFill="1" applyBorder="1" applyAlignment="1">
      <alignment horizontal="center" vertical="center"/>
    </xf>
    <xf numFmtId="0" fontId="38" fillId="2" borderId="4" xfId="0" applyFont="1" applyFill="1" applyBorder="1" applyAlignment="1">
      <alignment horizontal="center" vertical="center"/>
    </xf>
    <xf numFmtId="0" fontId="38" fillId="2" borderId="10" xfId="0" applyFont="1" applyFill="1" applyBorder="1" applyAlignment="1">
      <alignment horizontal="center" vertical="center"/>
    </xf>
    <xf numFmtId="0" fontId="38" fillId="0" borderId="10" xfId="0" applyFont="1" applyBorder="1" applyAlignment="1">
      <alignment horizontal="center" vertical="center"/>
    </xf>
    <xf numFmtId="0" fontId="38" fillId="0" borderId="11" xfId="0" applyFont="1" applyBorder="1" applyAlignment="1">
      <alignment horizontal="center" vertical="center"/>
    </xf>
    <xf numFmtId="0" fontId="38" fillId="0" borderId="35" xfId="0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0" fontId="45" fillId="0" borderId="24" xfId="0" applyFont="1" applyBorder="1" applyAlignment="1">
      <alignment horizontal="center" vertical="center"/>
    </xf>
    <xf numFmtId="0" fontId="45" fillId="0" borderId="25" xfId="0" applyFont="1" applyBorder="1" applyAlignment="1">
      <alignment horizontal="center" vertical="center"/>
    </xf>
    <xf numFmtId="0" fontId="45" fillId="0" borderId="24" xfId="0" applyFont="1" applyBorder="1" applyAlignment="1">
      <alignment horizontal="left" vertical="center" wrapText="1"/>
    </xf>
    <xf numFmtId="0" fontId="45" fillId="0" borderId="0" xfId="0" applyFont="1" applyAlignment="1">
      <alignment horizontal="left" vertical="center" wrapText="1"/>
    </xf>
    <xf numFmtId="0" fontId="45" fillId="0" borderId="25" xfId="0" applyFont="1" applyBorder="1" applyAlignment="1">
      <alignment horizontal="left" vertical="center" wrapText="1"/>
    </xf>
    <xf numFmtId="0" fontId="45" fillId="0" borderId="12" xfId="0" applyFont="1" applyBorder="1" applyAlignment="1">
      <alignment horizontal="center" vertical="center"/>
    </xf>
    <xf numFmtId="0" fontId="45" fillId="0" borderId="13" xfId="0" applyFont="1" applyBorder="1" applyAlignment="1">
      <alignment horizontal="center" vertical="center"/>
    </xf>
    <xf numFmtId="0" fontId="45" fillId="0" borderId="12" xfId="0" applyFont="1" applyBorder="1" applyAlignment="1">
      <alignment horizontal="left" vertical="center"/>
    </xf>
    <xf numFmtId="0" fontId="45" fillId="0" borderId="2" xfId="0" applyFont="1" applyBorder="1" applyAlignment="1">
      <alignment horizontal="left" vertical="center"/>
    </xf>
    <xf numFmtId="0" fontId="45" fillId="0" borderId="13" xfId="0" applyFont="1" applyBorder="1" applyAlignment="1">
      <alignment horizontal="left" vertical="center"/>
    </xf>
    <xf numFmtId="0" fontId="38" fillId="0" borderId="22" xfId="0" applyFont="1" applyBorder="1" applyAlignment="1">
      <alignment horizontal="center" vertical="center"/>
    </xf>
    <xf numFmtId="0" fontId="45" fillId="0" borderId="16" xfId="0" applyFont="1" applyBorder="1" applyAlignment="1">
      <alignment horizontal="center" vertical="center"/>
    </xf>
    <xf numFmtId="0" fontId="45" fillId="0" borderId="17" xfId="0" applyFont="1" applyBorder="1" applyAlignment="1">
      <alignment horizontal="center" vertical="center"/>
    </xf>
    <xf numFmtId="0" fontId="45" fillId="0" borderId="16" xfId="0" applyFont="1" applyBorder="1" applyAlignment="1">
      <alignment horizontal="left" vertical="center" wrapText="1"/>
    </xf>
    <xf numFmtId="0" fontId="45" fillId="0" borderId="21" xfId="0" applyFont="1" applyBorder="1" applyAlignment="1">
      <alignment horizontal="left" vertical="center" wrapText="1"/>
    </xf>
    <xf numFmtId="0" fontId="45" fillId="0" borderId="17" xfId="0" applyFont="1" applyBorder="1" applyAlignment="1">
      <alignment horizontal="left" vertical="center" wrapText="1"/>
    </xf>
    <xf numFmtId="0" fontId="45" fillId="0" borderId="10" xfId="0" applyFont="1" applyBorder="1" applyAlignment="1">
      <alignment horizontal="center" vertical="center"/>
    </xf>
    <xf numFmtId="0" fontId="45" fillId="0" borderId="3" xfId="0" applyFont="1" applyBorder="1" applyAlignment="1">
      <alignment horizontal="left" vertical="center"/>
    </xf>
    <xf numFmtId="0" fontId="45" fillId="0" borderId="3" xfId="0" applyFont="1" applyBorder="1" applyAlignment="1">
      <alignment horizontal="center" vertical="center"/>
    </xf>
    <xf numFmtId="0" fontId="45" fillId="0" borderId="16" xfId="0" applyFont="1" applyBorder="1" applyAlignment="1">
      <alignment horizontal="left" vertical="center"/>
    </xf>
    <xf numFmtId="0" fontId="45" fillId="0" borderId="21" xfId="0" applyFont="1" applyBorder="1" applyAlignment="1">
      <alignment horizontal="left" vertical="center"/>
    </xf>
    <xf numFmtId="0" fontId="45" fillId="0" borderId="17" xfId="0" applyFont="1" applyBorder="1" applyAlignment="1">
      <alignment horizontal="left" vertical="center"/>
    </xf>
    <xf numFmtId="0" fontId="38" fillId="0" borderId="12" xfId="0" applyFont="1" applyBorder="1" applyAlignment="1">
      <alignment horizontal="center" vertical="center"/>
    </xf>
    <xf numFmtId="0" fontId="38" fillId="0" borderId="13" xfId="0" applyFont="1" applyBorder="1" applyAlignment="1">
      <alignment horizontal="center" vertical="center"/>
    </xf>
    <xf numFmtId="0" fontId="38" fillId="0" borderId="12" xfId="0" applyFont="1" applyBorder="1" applyAlignment="1">
      <alignment horizontal="left" vertical="center"/>
    </xf>
    <xf numFmtId="0" fontId="38" fillId="0" borderId="2" xfId="0" applyFont="1" applyBorder="1" applyAlignment="1">
      <alignment horizontal="left" vertical="center"/>
    </xf>
    <xf numFmtId="0" fontId="38" fillId="0" borderId="13" xfId="0" applyFont="1" applyBorder="1" applyAlignment="1">
      <alignment horizontal="left" vertical="center"/>
    </xf>
    <xf numFmtId="0" fontId="42" fillId="0" borderId="28" xfId="0" applyFont="1" applyBorder="1" applyAlignment="1">
      <alignment horizontal="left" vertical="center"/>
    </xf>
    <xf numFmtId="0" fontId="42" fillId="0" borderId="29" xfId="0" applyFont="1" applyBorder="1" applyAlignment="1">
      <alignment horizontal="left" vertical="center"/>
    </xf>
    <xf numFmtId="0" fontId="42" fillId="0" borderId="30" xfId="0" applyFont="1" applyBorder="1" applyAlignment="1">
      <alignment horizontal="left" vertical="center"/>
    </xf>
    <xf numFmtId="0" fontId="42" fillId="0" borderId="1" xfId="0" applyFont="1" applyBorder="1" applyAlignment="1">
      <alignment horizontal="center" vertical="center"/>
    </xf>
    <xf numFmtId="0" fontId="38" fillId="0" borderId="37" xfId="0" applyFont="1" applyBorder="1" applyAlignment="1">
      <alignment horizontal="center" vertical="center"/>
    </xf>
    <xf numFmtId="0" fontId="45" fillId="0" borderId="26" xfId="0" applyFont="1" applyBorder="1" applyAlignment="1">
      <alignment horizontal="center" vertical="center"/>
    </xf>
    <xf numFmtId="0" fontId="45" fillId="0" borderId="26" xfId="0" applyFont="1" applyBorder="1" applyAlignment="1">
      <alignment horizontal="left" vertical="center"/>
    </xf>
    <xf numFmtId="0" fontId="45" fillId="0" borderId="32" xfId="0" applyFont="1" applyBorder="1" applyAlignment="1">
      <alignment horizontal="left" vertical="center"/>
    </xf>
    <xf numFmtId="0" fontId="38" fillId="2" borderId="45" xfId="0" applyFont="1" applyFill="1" applyBorder="1" applyAlignment="1">
      <alignment horizontal="center" vertical="center"/>
    </xf>
    <xf numFmtId="0" fontId="38" fillId="0" borderId="45" xfId="0" applyFont="1" applyBorder="1" applyAlignment="1">
      <alignment horizontal="center" vertical="center"/>
    </xf>
    <xf numFmtId="0" fontId="38" fillId="0" borderId="46" xfId="0" applyFon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/>
    </xf>
    <xf numFmtId="0" fontId="38" fillId="0" borderId="18" xfId="0" applyFont="1" applyBorder="1" applyAlignment="1">
      <alignment horizontal="center" vertical="center"/>
    </xf>
    <xf numFmtId="0" fontId="45" fillId="0" borderId="32" xfId="0" applyFont="1" applyBorder="1" applyAlignment="1">
      <alignment horizontal="center" vertical="center"/>
    </xf>
    <xf numFmtId="0" fontId="45" fillId="0" borderId="33" xfId="0" applyFont="1" applyBorder="1" applyAlignment="1">
      <alignment horizontal="center" vertical="center"/>
    </xf>
    <xf numFmtId="0" fontId="45" fillId="0" borderId="34" xfId="0" applyFont="1" applyBorder="1" applyAlignment="1">
      <alignment horizontal="left" vertical="center"/>
    </xf>
    <xf numFmtId="0" fontId="45" fillId="0" borderId="33" xfId="0" applyFont="1" applyBorder="1" applyAlignment="1">
      <alignment horizontal="left" vertical="center"/>
    </xf>
    <xf numFmtId="0" fontId="38" fillId="2" borderId="26" xfId="0" applyFont="1" applyFill="1" applyBorder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0" fontId="51" fillId="0" borderId="27" xfId="0" applyFont="1" applyBorder="1" applyAlignment="1">
      <alignment horizontal="center" vertical="center"/>
    </xf>
    <xf numFmtId="0" fontId="51" fillId="0" borderId="11" xfId="0" applyFont="1" applyBorder="1" applyAlignment="1">
      <alignment horizontal="center" vertical="center"/>
    </xf>
    <xf numFmtId="0" fontId="51" fillId="0" borderId="5" xfId="0" applyFont="1" applyBorder="1" applyAlignment="1">
      <alignment horizontal="center" vertical="center"/>
    </xf>
    <xf numFmtId="0" fontId="46" fillId="0" borderId="12" xfId="0" applyFont="1" applyBorder="1" applyAlignment="1">
      <alignment horizontal="left" vertical="center"/>
    </xf>
    <xf numFmtId="0" fontId="46" fillId="0" borderId="2" xfId="0" applyFont="1" applyBorder="1" applyAlignment="1">
      <alignment horizontal="left" vertical="center"/>
    </xf>
    <xf numFmtId="0" fontId="46" fillId="0" borderId="13" xfId="0" applyFont="1" applyBorder="1" applyAlignment="1">
      <alignment horizontal="left" vertical="center"/>
    </xf>
    <xf numFmtId="0" fontId="38" fillId="0" borderId="14" xfId="0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38" fillId="0" borderId="24" xfId="0" applyFont="1" applyBorder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38" fillId="0" borderId="25" xfId="0" applyFont="1" applyBorder="1" applyAlignment="1">
      <alignment horizontal="left" vertical="center"/>
    </xf>
    <xf numFmtId="0" fontId="38" fillId="0" borderId="53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45" fillId="0" borderId="24" xfId="0" applyFont="1" applyBorder="1" applyAlignment="1">
      <alignment horizontal="left" vertical="center"/>
    </xf>
    <xf numFmtId="0" fontId="45" fillId="0" borderId="0" xfId="0" applyFont="1" applyAlignment="1">
      <alignment horizontal="left" vertical="center"/>
    </xf>
    <xf numFmtId="0" fontId="45" fillId="0" borderId="25" xfId="0" applyFont="1" applyBorder="1" applyAlignment="1">
      <alignment horizontal="left" vertical="center"/>
    </xf>
    <xf numFmtId="0" fontId="51" fillId="0" borderId="6" xfId="0" applyFont="1" applyBorder="1" applyAlignment="1">
      <alignment horizontal="center" vertical="center"/>
    </xf>
    <xf numFmtId="0" fontId="38" fillId="0" borderId="7" xfId="0" applyFont="1" applyBorder="1" applyAlignment="1">
      <alignment horizontal="center" vertical="center"/>
    </xf>
    <xf numFmtId="0" fontId="38" fillId="0" borderId="9" xfId="0" applyFont="1" applyBorder="1" applyAlignment="1">
      <alignment horizontal="center" vertical="center"/>
    </xf>
    <xf numFmtId="0" fontId="38" fillId="0" borderId="7" xfId="0" applyFont="1" applyBorder="1" applyAlignment="1">
      <alignment horizontal="left" vertical="center"/>
    </xf>
    <xf numFmtId="0" fontId="38" fillId="0" borderId="8" xfId="0" applyFont="1" applyBorder="1" applyAlignment="1">
      <alignment horizontal="left" vertical="center"/>
    </xf>
    <xf numFmtId="0" fontId="38" fillId="0" borderId="9" xfId="0" applyFont="1" applyBorder="1" applyAlignment="1">
      <alignment horizontal="left" vertical="center"/>
    </xf>
    <xf numFmtId="0" fontId="38" fillId="0" borderId="27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45" fillId="0" borderId="11" xfId="0" applyFont="1" applyBorder="1" applyAlignment="1">
      <alignment horizontal="center" vertical="center"/>
    </xf>
    <xf numFmtId="0" fontId="38" fillId="0" borderId="23" xfId="0" applyFont="1" applyBorder="1" applyAlignment="1">
      <alignment horizontal="center" vertical="center"/>
    </xf>
    <xf numFmtId="0" fontId="47" fillId="0" borderId="12" xfId="0" applyFont="1" applyBorder="1" applyAlignment="1">
      <alignment horizontal="left" vertical="center"/>
    </xf>
    <xf numFmtId="0" fontId="47" fillId="0" borderId="2" xfId="0" applyFont="1" applyBorder="1" applyAlignment="1">
      <alignment horizontal="left" vertical="center"/>
    </xf>
    <xf numFmtId="0" fontId="47" fillId="0" borderId="13" xfId="0" applyFont="1" applyBorder="1" applyAlignment="1">
      <alignment horizontal="left" vertical="center"/>
    </xf>
    <xf numFmtId="0" fontId="38" fillId="2" borderId="22" xfId="0" applyFont="1" applyFill="1" applyBorder="1" applyAlignment="1">
      <alignment horizontal="center" vertical="center"/>
    </xf>
    <xf numFmtId="0" fontId="48" fillId="0" borderId="16" xfId="0" applyFont="1" applyBorder="1" applyAlignment="1">
      <alignment horizontal="left" vertical="center"/>
    </xf>
    <xf numFmtId="0" fontId="48" fillId="0" borderId="21" xfId="0" applyFont="1" applyBorder="1" applyAlignment="1">
      <alignment horizontal="left" vertical="center"/>
    </xf>
    <xf numFmtId="0" fontId="48" fillId="0" borderId="17" xfId="0" applyFont="1" applyBorder="1" applyAlignment="1">
      <alignment horizontal="left" vertical="center"/>
    </xf>
    <xf numFmtId="0" fontId="38" fillId="0" borderId="47" xfId="0" applyFont="1" applyBorder="1" applyAlignment="1">
      <alignment horizontal="center" vertical="center"/>
    </xf>
    <xf numFmtId="0" fontId="38" fillId="0" borderId="51" xfId="0" applyFont="1" applyBorder="1" applyAlignment="1">
      <alignment horizontal="center" vertical="center"/>
    </xf>
    <xf numFmtId="0" fontId="38" fillId="0" borderId="60" xfId="0" applyFont="1" applyBorder="1" applyAlignment="1">
      <alignment horizontal="center" vertical="center"/>
    </xf>
    <xf numFmtId="0" fontId="38" fillId="0" borderId="48" xfId="0" applyFont="1" applyBorder="1" applyAlignment="1">
      <alignment horizontal="center" vertical="center"/>
    </xf>
    <xf numFmtId="0" fontId="45" fillId="0" borderId="47" xfId="0" applyFont="1" applyBorder="1" applyAlignment="1">
      <alignment horizontal="center" vertical="center"/>
    </xf>
    <xf numFmtId="0" fontId="45" fillId="0" borderId="51" xfId="0" applyFont="1" applyBorder="1" applyAlignment="1">
      <alignment horizontal="center" vertical="center"/>
    </xf>
    <xf numFmtId="0" fontId="38" fillId="0" borderId="50" xfId="0" applyFont="1" applyBorder="1" applyAlignment="1">
      <alignment horizontal="center" vertical="center"/>
    </xf>
    <xf numFmtId="0" fontId="42" fillId="0" borderId="31" xfId="0" applyFont="1" applyBorder="1" applyAlignment="1">
      <alignment horizontal="left" vertical="center"/>
    </xf>
    <xf numFmtId="0" fontId="42" fillId="0" borderId="34" xfId="0" applyFont="1" applyBorder="1" applyAlignment="1">
      <alignment horizontal="left" vertical="center"/>
    </xf>
    <xf numFmtId="0" fontId="42" fillId="0" borderId="52" xfId="0" applyFont="1" applyBorder="1" applyAlignment="1">
      <alignment horizontal="left" vertical="center"/>
    </xf>
    <xf numFmtId="0" fontId="38" fillId="0" borderId="52" xfId="0" applyFont="1" applyBorder="1" applyAlignment="1">
      <alignment horizontal="center" vertical="center"/>
    </xf>
    <xf numFmtId="0" fontId="45" fillId="0" borderId="22" xfId="0" applyFont="1" applyBorder="1" applyAlignment="1">
      <alignment horizontal="left" vertical="center"/>
    </xf>
    <xf numFmtId="0" fontId="45" fillId="0" borderId="19" xfId="0" applyFont="1" applyBorder="1" applyAlignment="1">
      <alignment horizontal="center" vertical="center"/>
    </xf>
    <xf numFmtId="0" fontId="38" fillId="0" borderId="16" xfId="0" applyFont="1" applyBorder="1" applyAlignment="1">
      <alignment horizontal="center" vertical="center"/>
    </xf>
    <xf numFmtId="0" fontId="38" fillId="0" borderId="32" xfId="0" applyFont="1" applyBorder="1" applyAlignment="1">
      <alignment horizontal="center" vertical="center"/>
    </xf>
    <xf numFmtId="0" fontId="51" fillId="0" borderId="50" xfId="0" applyFont="1" applyBorder="1" applyAlignment="1">
      <alignment horizontal="center" vertical="center"/>
    </xf>
    <xf numFmtId="0" fontId="51" fillId="0" borderId="51" xfId="0" applyFont="1" applyBorder="1" applyAlignment="1">
      <alignment horizontal="center" vertical="center"/>
    </xf>
    <xf numFmtId="0" fontId="51" fillId="0" borderId="52" xfId="0" applyFont="1" applyBorder="1" applyAlignment="1">
      <alignment horizontal="center" vertical="center"/>
    </xf>
    <xf numFmtId="0" fontId="51" fillId="0" borderId="47" xfId="0" applyFont="1" applyBorder="1" applyAlignment="1">
      <alignment horizontal="center" vertical="center"/>
    </xf>
    <xf numFmtId="0" fontId="51" fillId="0" borderId="60" xfId="0" applyFont="1" applyBorder="1" applyAlignment="1">
      <alignment horizontal="center" vertical="center"/>
    </xf>
    <xf numFmtId="0" fontId="45" fillId="0" borderId="22" xfId="0" applyFont="1" applyBorder="1" applyAlignment="1">
      <alignment horizontal="center" vertical="center"/>
    </xf>
    <xf numFmtId="0" fontId="45" fillId="0" borderId="40" xfId="0" applyFont="1" applyBorder="1" applyAlignment="1">
      <alignment horizontal="center" vertical="center"/>
    </xf>
    <xf numFmtId="0" fontId="45" fillId="0" borderId="41" xfId="0" applyFont="1" applyBorder="1" applyAlignment="1">
      <alignment horizontal="center" vertical="center"/>
    </xf>
    <xf numFmtId="0" fontId="45" fillId="0" borderId="40" xfId="0" applyFont="1" applyBorder="1" applyAlignment="1">
      <alignment horizontal="left" vertical="center"/>
    </xf>
    <xf numFmtId="0" fontId="45" fillId="0" borderId="42" xfId="0" applyFont="1" applyBorder="1" applyAlignment="1">
      <alignment horizontal="left" vertical="center"/>
    </xf>
    <xf numFmtId="0" fontId="45" fillId="0" borderId="41" xfId="0" applyFont="1" applyBorder="1" applyAlignment="1">
      <alignment horizontal="left" vertical="center"/>
    </xf>
    <xf numFmtId="0" fontId="38" fillId="0" borderId="43" xfId="0" applyFont="1" applyBorder="1" applyAlignment="1">
      <alignment horizontal="center" vertical="center"/>
    </xf>
    <xf numFmtId="0" fontId="38" fillId="0" borderId="44" xfId="0" applyFont="1" applyBorder="1" applyAlignment="1">
      <alignment horizontal="center" vertical="center"/>
    </xf>
    <xf numFmtId="0" fontId="38" fillId="0" borderId="38" xfId="0" applyFont="1" applyBorder="1" applyAlignment="1">
      <alignment horizontal="center" vertical="center"/>
    </xf>
    <xf numFmtId="0" fontId="38" fillId="0" borderId="39" xfId="0" applyFont="1" applyBorder="1" applyAlignment="1">
      <alignment horizontal="center" vertical="center"/>
    </xf>
    <xf numFmtId="0" fontId="38" fillId="2" borderId="38" xfId="0" applyFont="1" applyFill="1" applyBorder="1" applyAlignment="1">
      <alignment horizontal="center" vertical="center"/>
    </xf>
    <xf numFmtId="0" fontId="38" fillId="0" borderId="79" xfId="0" applyFont="1" applyBorder="1" applyAlignment="1">
      <alignment horizontal="center" vertical="center"/>
    </xf>
    <xf numFmtId="0" fontId="38" fillId="0" borderId="72" xfId="0" applyFont="1" applyBorder="1" applyAlignment="1">
      <alignment horizontal="center" vertical="center"/>
    </xf>
    <xf numFmtId="0" fontId="38" fillId="0" borderId="59" xfId="0" applyFont="1" applyBorder="1" applyAlignment="1">
      <alignment horizontal="center" vertical="center"/>
    </xf>
    <xf numFmtId="0" fontId="38" fillId="2" borderId="68" xfId="0" applyFont="1" applyFill="1" applyBorder="1" applyAlignment="1">
      <alignment horizontal="center" vertical="center"/>
    </xf>
    <xf numFmtId="0" fontId="38" fillId="0" borderId="68" xfId="0" applyFont="1" applyBorder="1" applyAlignment="1">
      <alignment horizontal="center" vertical="center"/>
    </xf>
    <xf numFmtId="0" fontId="38" fillId="0" borderId="65" xfId="0" applyFont="1" applyBorder="1" applyAlignment="1">
      <alignment horizontal="center" vertical="center"/>
    </xf>
    <xf numFmtId="0" fontId="45" fillId="0" borderId="66" xfId="0" applyFont="1" applyBorder="1" applyAlignment="1">
      <alignment horizontal="center" vertical="center"/>
    </xf>
    <xf numFmtId="0" fontId="45" fillId="0" borderId="67" xfId="0" applyFont="1" applyBorder="1" applyAlignment="1">
      <alignment horizontal="center" vertical="center"/>
    </xf>
    <xf numFmtId="0" fontId="45" fillId="0" borderId="66" xfId="0" applyFont="1" applyBorder="1" applyAlignment="1">
      <alignment horizontal="left" vertical="center"/>
    </xf>
    <xf numFmtId="0" fontId="45" fillId="0" borderId="78" xfId="0" applyFont="1" applyBorder="1" applyAlignment="1">
      <alignment horizontal="left" vertical="center"/>
    </xf>
    <xf numFmtId="0" fontId="45" fillId="0" borderId="67" xfId="0" applyFont="1" applyBorder="1" applyAlignment="1">
      <alignment horizontal="left" vertical="center"/>
    </xf>
    <xf numFmtId="0" fontId="38" fillId="0" borderId="71" xfId="0" applyFont="1" applyBorder="1" applyAlignment="1">
      <alignment horizontal="center" vertical="center"/>
    </xf>
    <xf numFmtId="0" fontId="52" fillId="0" borderId="24" xfId="0" applyFont="1" applyBorder="1" applyAlignment="1">
      <alignment horizontal="center" vertical="center"/>
    </xf>
    <xf numFmtId="0" fontId="52" fillId="0" borderId="25" xfId="0" applyFont="1" applyBorder="1" applyAlignment="1">
      <alignment horizontal="center" vertical="center"/>
    </xf>
    <xf numFmtId="0" fontId="38" fillId="0" borderId="74" xfId="0" applyFont="1" applyBorder="1" applyAlignment="1">
      <alignment horizontal="center" vertical="center"/>
    </xf>
    <xf numFmtId="0" fontId="38" fillId="0" borderId="81" xfId="0" applyFont="1" applyBorder="1" applyAlignment="1">
      <alignment horizontal="center" vertical="center"/>
    </xf>
    <xf numFmtId="0" fontId="38" fillId="0" borderId="64" xfId="0" applyFont="1" applyBorder="1" applyAlignment="1">
      <alignment horizontal="center" vertical="center"/>
    </xf>
    <xf numFmtId="0" fontId="38" fillId="0" borderId="56" xfId="0" applyFont="1" applyBorder="1" applyAlignment="1">
      <alignment horizontal="center" vertical="center"/>
    </xf>
    <xf numFmtId="0" fontId="38" fillId="0" borderId="80" xfId="0" applyFont="1" applyBorder="1" applyAlignment="1">
      <alignment horizontal="center" vertical="center"/>
    </xf>
    <xf numFmtId="0" fontId="38" fillId="0" borderId="62" xfId="0" applyFont="1" applyBorder="1" applyAlignment="1">
      <alignment horizontal="center" vertical="center"/>
    </xf>
    <xf numFmtId="0" fontId="38" fillId="0" borderId="83" xfId="0" applyFont="1" applyBorder="1" applyAlignment="1">
      <alignment horizontal="center" vertical="center"/>
    </xf>
    <xf numFmtId="0" fontId="45" fillId="0" borderId="68" xfId="0" applyFont="1" applyBorder="1" applyAlignment="1">
      <alignment horizontal="center" vertical="center"/>
    </xf>
    <xf numFmtId="0" fontId="51" fillId="0" borderId="3" xfId="0" applyFont="1" applyBorder="1" applyAlignment="1">
      <alignment horizontal="center" vertical="center"/>
    </xf>
    <xf numFmtId="0" fontId="51" fillId="0" borderId="10" xfId="0" applyFont="1" applyBorder="1" applyAlignment="1">
      <alignment horizontal="center" vertical="center"/>
    </xf>
    <xf numFmtId="0" fontId="51" fillId="0" borderId="22" xfId="0" applyFont="1" applyBorder="1" applyAlignment="1">
      <alignment horizontal="center" vertical="center"/>
    </xf>
    <xf numFmtId="0" fontId="51" fillId="0" borderId="4" xfId="0" applyFont="1" applyBorder="1" applyAlignment="1">
      <alignment horizontal="center" vertical="center"/>
    </xf>
    <xf numFmtId="0" fontId="51" fillId="0" borderId="68" xfId="0" applyFont="1" applyBorder="1" applyAlignment="1">
      <alignment horizontal="center" vertical="center"/>
    </xf>
    <xf numFmtId="0" fontId="50" fillId="0" borderId="28" xfId="0" applyFont="1" applyBorder="1" applyAlignment="1">
      <alignment horizontal="center" vertical="center"/>
    </xf>
    <xf numFmtId="0" fontId="50" fillId="0" borderId="30" xfId="0" applyFont="1" applyBorder="1" applyAlignment="1">
      <alignment horizontal="center" vertical="center"/>
    </xf>
    <xf numFmtId="0" fontId="50" fillId="0" borderId="29" xfId="0" applyFont="1" applyBorder="1" applyAlignment="1">
      <alignment horizontal="center" vertical="center"/>
    </xf>
    <xf numFmtId="0" fontId="49" fillId="0" borderId="16" xfId="0" applyFont="1" applyBorder="1" applyAlignment="1">
      <alignment horizontal="left" vertical="center"/>
    </xf>
    <xf numFmtId="0" fontId="49" fillId="0" borderId="21" xfId="0" applyFont="1" applyBorder="1" applyAlignment="1">
      <alignment horizontal="left" vertical="center"/>
    </xf>
    <xf numFmtId="0" fontId="49" fillId="0" borderId="17" xfId="0" applyFont="1" applyBorder="1" applyAlignment="1">
      <alignment horizontal="left" vertical="center"/>
    </xf>
    <xf numFmtId="0" fontId="51" fillId="0" borderId="26" xfId="0" applyFont="1" applyBorder="1" applyAlignment="1">
      <alignment horizontal="center" vertical="center"/>
    </xf>
    <xf numFmtId="0" fontId="38" fillId="0" borderId="54" xfId="0" applyFont="1" applyBorder="1" applyAlignment="1">
      <alignment horizontal="center" vertical="center"/>
    </xf>
    <xf numFmtId="0" fontId="51" fillId="0" borderId="44" xfId="0" applyFont="1" applyBorder="1" applyAlignment="1">
      <alignment horizontal="center" vertical="center"/>
    </xf>
    <xf numFmtId="0" fontId="38" fillId="2" borderId="44" xfId="0" applyFont="1" applyFill="1" applyBorder="1" applyAlignment="1">
      <alignment horizontal="center" vertical="center"/>
    </xf>
    <xf numFmtId="0" fontId="45" fillId="0" borderId="44" xfId="0" applyFont="1" applyBorder="1" applyAlignment="1">
      <alignment horizontal="center" vertical="center"/>
    </xf>
    <xf numFmtId="0" fontId="47" fillId="0" borderId="40" xfId="0" applyFont="1" applyBorder="1" applyAlignment="1">
      <alignment horizontal="left" vertical="center"/>
    </xf>
    <xf numFmtId="0" fontId="47" fillId="0" borderId="42" xfId="0" applyFont="1" applyBorder="1" applyAlignment="1">
      <alignment horizontal="left" vertical="center"/>
    </xf>
    <xf numFmtId="0" fontId="47" fillId="0" borderId="41" xfId="0" applyFont="1" applyBorder="1" applyAlignment="1">
      <alignment horizontal="left" vertical="center"/>
    </xf>
    <xf numFmtId="0" fontId="38" fillId="0" borderId="49" xfId="0" applyFont="1" applyBorder="1" applyAlignment="1">
      <alignment horizontal="center" vertical="center"/>
    </xf>
    <xf numFmtId="0" fontId="51" fillId="0" borderId="23" xfId="0" applyFont="1" applyBorder="1" applyAlignment="1">
      <alignment horizontal="center" vertical="center"/>
    </xf>
    <xf numFmtId="0" fontId="52" fillId="0" borderId="16" xfId="0" applyFont="1" applyBorder="1" applyAlignment="1">
      <alignment horizontal="center" vertical="center"/>
    </xf>
    <xf numFmtId="0" fontId="52" fillId="0" borderId="17" xfId="0" applyFont="1" applyBorder="1" applyAlignment="1">
      <alignment horizontal="center" vertical="center"/>
    </xf>
    <xf numFmtId="0" fontId="51" fillId="0" borderId="55" xfId="0" applyFont="1" applyBorder="1" applyAlignment="1">
      <alignment horizontal="center" vertical="center"/>
    </xf>
    <xf numFmtId="0" fontId="49" fillId="0" borderId="24" xfId="0" applyFont="1" applyBorder="1" applyAlignment="1">
      <alignment horizontal="left" vertical="center"/>
    </xf>
    <xf numFmtId="0" fontId="49" fillId="0" borderId="0" xfId="0" applyFont="1" applyAlignment="1">
      <alignment horizontal="left" vertical="center"/>
    </xf>
    <xf numFmtId="0" fontId="49" fillId="0" borderId="25" xfId="0" applyFont="1" applyBorder="1" applyAlignment="1">
      <alignment horizontal="left" vertical="center"/>
    </xf>
    <xf numFmtId="0" fontId="47" fillId="0" borderId="7" xfId="0" applyFont="1" applyBorder="1" applyAlignment="1">
      <alignment horizontal="left" vertical="center"/>
    </xf>
    <xf numFmtId="0" fontId="47" fillId="0" borderId="8" xfId="0" applyFont="1" applyBorder="1" applyAlignment="1">
      <alignment horizontal="left" vertical="center"/>
    </xf>
    <xf numFmtId="0" fontId="47" fillId="0" borderId="9" xfId="0" applyFont="1" applyBorder="1" applyAlignment="1">
      <alignment horizontal="left" vertical="center"/>
    </xf>
    <xf numFmtId="0" fontId="47" fillId="0" borderId="24" xfId="0" applyFont="1" applyBorder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47" fillId="0" borderId="25" xfId="0" applyFont="1" applyBorder="1" applyAlignment="1">
      <alignment horizontal="left" vertical="center"/>
    </xf>
    <xf numFmtId="0" fontId="38" fillId="0" borderId="77" xfId="0" applyFont="1" applyBorder="1" applyAlignment="1">
      <alignment horizontal="center" vertical="center"/>
    </xf>
    <xf numFmtId="0" fontId="51" fillId="0" borderId="79" xfId="0" applyFont="1" applyBorder="1" applyAlignment="1">
      <alignment horizontal="center" vertical="center"/>
    </xf>
    <xf numFmtId="0" fontId="51" fillId="0" borderId="48" xfId="0" applyFont="1" applyBorder="1" applyAlignment="1">
      <alignment horizontal="center" vertical="center"/>
    </xf>
    <xf numFmtId="0" fontId="60" fillId="0" borderId="12" xfId="0" applyFont="1" applyBorder="1" applyAlignment="1">
      <alignment horizontal="left" vertical="center"/>
    </xf>
    <xf numFmtId="0" fontId="60" fillId="0" borderId="2" xfId="0" applyFont="1" applyBorder="1" applyAlignment="1">
      <alignment horizontal="left" vertical="center"/>
    </xf>
    <xf numFmtId="0" fontId="60" fillId="0" borderId="13" xfId="0" applyFont="1" applyBorder="1" applyAlignment="1">
      <alignment horizontal="left" vertical="center"/>
    </xf>
    <xf numFmtId="0" fontId="38" fillId="0" borderId="17" xfId="0" applyFont="1" applyBorder="1" applyAlignment="1">
      <alignment horizontal="center" vertical="center"/>
    </xf>
    <xf numFmtId="0" fontId="51" fillId="0" borderId="46" xfId="0" applyFont="1" applyBorder="1" applyAlignment="1">
      <alignment horizontal="center" vertical="center"/>
    </xf>
    <xf numFmtId="0" fontId="51" fillId="0" borderId="20" xfId="0" applyFont="1" applyBorder="1" applyAlignment="1">
      <alignment horizontal="center" vertical="center"/>
    </xf>
    <xf numFmtId="0" fontId="38" fillId="0" borderId="57" xfId="0" applyFont="1" applyBorder="1" applyAlignment="1">
      <alignment horizontal="center" vertical="center"/>
    </xf>
    <xf numFmtId="0" fontId="51" fillId="0" borderId="58" xfId="0" applyFont="1" applyBorder="1" applyAlignment="1">
      <alignment horizontal="center" vertical="center"/>
    </xf>
    <xf numFmtId="0" fontId="38" fillId="2" borderId="57" xfId="0" applyFont="1" applyFill="1" applyBorder="1" applyAlignment="1">
      <alignment horizontal="center" vertical="center"/>
    </xf>
    <xf numFmtId="0" fontId="45" fillId="2" borderId="19" xfId="0" applyFont="1" applyFill="1" applyBorder="1" applyAlignment="1">
      <alignment horizontal="center" vertical="center"/>
    </xf>
    <xf numFmtId="0" fontId="38" fillId="0" borderId="58" xfId="0" applyFont="1" applyBorder="1" applyAlignment="1">
      <alignment horizontal="center" vertical="center"/>
    </xf>
    <xf numFmtId="0" fontId="51" fillId="3" borderId="46" xfId="0" applyFont="1" applyFill="1" applyBorder="1" applyAlignment="1">
      <alignment horizontal="center" vertical="center"/>
    </xf>
    <xf numFmtId="0" fontId="51" fillId="3" borderId="5" xfId="0" applyFont="1" applyFill="1" applyBorder="1" applyAlignment="1">
      <alignment horizontal="center" vertical="center"/>
    </xf>
    <xf numFmtId="0" fontId="51" fillId="3" borderId="11" xfId="0" applyFont="1" applyFill="1" applyBorder="1" applyAlignment="1">
      <alignment horizontal="center" vertical="center"/>
    </xf>
    <xf numFmtId="0" fontId="51" fillId="3" borderId="20" xfId="0" applyFont="1" applyFill="1" applyBorder="1" applyAlignment="1">
      <alignment horizontal="center" vertical="center"/>
    </xf>
    <xf numFmtId="0" fontId="51" fillId="3" borderId="58" xfId="0" applyFont="1" applyFill="1" applyBorder="1" applyAlignment="1">
      <alignment horizontal="center" vertical="center"/>
    </xf>
    <xf numFmtId="0" fontId="38" fillId="0" borderId="63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60" xfId="0" applyFont="1" applyBorder="1" applyAlignment="1">
      <alignment horizontal="center" vertical="center"/>
    </xf>
    <xf numFmtId="0" fontId="38" fillId="0" borderId="61" xfId="0" applyFont="1" applyBorder="1" applyAlignment="1">
      <alignment horizontal="center" vertical="center"/>
    </xf>
    <xf numFmtId="0" fontId="38" fillId="0" borderId="16" xfId="0" applyFont="1" applyBorder="1" applyAlignment="1">
      <alignment horizontal="left" vertical="center"/>
    </xf>
    <xf numFmtId="0" fontId="38" fillId="0" borderId="21" xfId="0" applyFont="1" applyBorder="1" applyAlignment="1">
      <alignment horizontal="left" vertical="center"/>
    </xf>
    <xf numFmtId="0" fontId="38" fillId="0" borderId="17" xfId="0" applyFont="1" applyBorder="1" applyAlignment="1">
      <alignment horizontal="left" vertical="center"/>
    </xf>
    <xf numFmtId="0" fontId="38" fillId="0" borderId="3" xfId="0" applyFont="1" applyBorder="1" applyAlignment="1">
      <alignment horizontal="left" vertical="center"/>
    </xf>
    <xf numFmtId="0" fontId="45" fillId="0" borderId="72" xfId="0" applyFont="1" applyBorder="1" applyAlignment="1">
      <alignment horizontal="center" vertical="center"/>
    </xf>
    <xf numFmtId="0" fontId="38" fillId="0" borderId="69" xfId="0" applyFont="1" applyBorder="1" applyAlignment="1">
      <alignment horizontal="center" vertical="center"/>
    </xf>
    <xf numFmtId="0" fontId="38" fillId="0" borderId="70" xfId="0" applyFont="1" applyBorder="1" applyAlignment="1">
      <alignment horizontal="center" vertical="center"/>
    </xf>
    <xf numFmtId="0" fontId="45" fillId="0" borderId="68" xfId="0" applyFont="1" applyBorder="1" applyAlignment="1">
      <alignment horizontal="left" vertical="center"/>
    </xf>
    <xf numFmtId="0" fontId="38" fillId="2" borderId="69" xfId="0" applyFont="1" applyFill="1" applyBorder="1" applyAlignment="1">
      <alignment horizontal="center" vertical="center"/>
    </xf>
    <xf numFmtId="0" fontId="38" fillId="3" borderId="3" xfId="0" applyFont="1" applyFill="1" applyBorder="1" applyAlignment="1">
      <alignment horizontal="center" vertical="center"/>
    </xf>
    <xf numFmtId="0" fontId="38" fillId="3" borderId="10" xfId="0" applyFont="1" applyFill="1" applyBorder="1" applyAlignment="1">
      <alignment horizontal="center" vertical="center"/>
    </xf>
    <xf numFmtId="0" fontId="51" fillId="0" borderId="61" xfId="0" applyFont="1" applyBorder="1" applyAlignment="1">
      <alignment horizontal="center" vertical="center"/>
    </xf>
    <xf numFmtId="0" fontId="51" fillId="0" borderId="62" xfId="0" applyFont="1" applyBorder="1" applyAlignment="1">
      <alignment horizontal="center" vertical="center"/>
    </xf>
    <xf numFmtId="0" fontId="38" fillId="3" borderId="22" xfId="0" applyFont="1" applyFill="1" applyBorder="1" applyAlignment="1">
      <alignment horizontal="center" vertical="center"/>
    </xf>
    <xf numFmtId="0" fontId="42" fillId="0" borderId="28" xfId="0" applyFont="1" applyBorder="1" applyAlignment="1">
      <alignment horizontal="center" vertical="center"/>
    </xf>
    <xf numFmtId="0" fontId="42" fillId="0" borderId="30" xfId="0" applyFont="1" applyBorder="1" applyAlignment="1">
      <alignment horizontal="center" vertical="center"/>
    </xf>
    <xf numFmtId="0" fontId="42" fillId="0" borderId="29" xfId="0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42" fillId="0" borderId="28" xfId="0" applyFont="1" applyBorder="1">
      <alignment vertical="center"/>
    </xf>
    <xf numFmtId="0" fontId="42" fillId="0" borderId="29" xfId="0" applyFont="1" applyBorder="1">
      <alignment vertical="center"/>
    </xf>
    <xf numFmtId="0" fontId="42" fillId="0" borderId="30" xfId="0" applyFont="1" applyBorder="1">
      <alignment vertical="center"/>
    </xf>
    <xf numFmtId="0" fontId="54" fillId="0" borderId="3" xfId="0" applyFont="1" applyBorder="1" applyAlignment="1">
      <alignment horizontal="center" vertical="center"/>
    </xf>
    <xf numFmtId="0" fontId="54" fillId="0" borderId="10" xfId="0" applyFont="1" applyBorder="1" applyAlignment="1">
      <alignment horizontal="center" vertical="center"/>
    </xf>
    <xf numFmtId="0" fontId="54" fillId="0" borderId="5" xfId="0" applyFont="1" applyBorder="1" applyAlignment="1">
      <alignment horizontal="center" vertical="center"/>
    </xf>
    <xf numFmtId="0" fontId="54" fillId="0" borderId="11" xfId="0" applyFont="1" applyBorder="1" applyAlignment="1">
      <alignment horizontal="center" vertical="center"/>
    </xf>
    <xf numFmtId="0" fontId="54" fillId="0" borderId="3" xfId="0" applyFont="1" applyBorder="1" applyAlignment="1">
      <alignment horizontal="left" vertical="center"/>
    </xf>
    <xf numFmtId="0" fontId="54" fillId="2" borderId="3" xfId="0" applyFont="1" applyFill="1" applyBorder="1" applyAlignment="1">
      <alignment horizontal="center" vertical="center"/>
    </xf>
    <xf numFmtId="0" fontId="54" fillId="2" borderId="10" xfId="0" applyFont="1" applyFill="1" applyBorder="1" applyAlignment="1">
      <alignment horizontal="center" vertical="center"/>
    </xf>
    <xf numFmtId="0" fontId="54" fillId="0" borderId="12" xfId="0" applyFont="1" applyBorder="1" applyAlignment="1">
      <alignment horizontal="left" vertical="center"/>
    </xf>
    <xf numFmtId="0" fontId="54" fillId="0" borderId="2" xfId="0" applyFont="1" applyBorder="1" applyAlignment="1">
      <alignment horizontal="left" vertical="center"/>
    </xf>
    <xf numFmtId="0" fontId="54" fillId="0" borderId="13" xfId="0" applyFont="1" applyBorder="1" applyAlignment="1">
      <alignment horizontal="left" vertical="center"/>
    </xf>
    <xf numFmtId="0" fontId="51" fillId="3" borderId="47" xfId="0" applyFont="1" applyFill="1" applyBorder="1" applyAlignment="1">
      <alignment horizontal="center" vertical="center"/>
    </xf>
    <xf numFmtId="0" fontId="51" fillId="3" borderId="51" xfId="0" applyFont="1" applyFill="1" applyBorder="1" applyAlignment="1">
      <alignment horizontal="center" vertical="center"/>
    </xf>
    <xf numFmtId="0" fontId="45" fillId="0" borderId="4" xfId="0" applyFont="1" applyBorder="1" applyAlignment="1">
      <alignment horizontal="left" vertical="center"/>
    </xf>
    <xf numFmtId="0" fontId="45" fillId="0" borderId="3" xfId="0" applyFont="1" applyBorder="1" applyAlignment="1">
      <alignment horizontal="left" vertical="center" wrapText="1"/>
    </xf>
    <xf numFmtId="0" fontId="58" fillId="0" borderId="3" xfId="0" applyFont="1" applyBorder="1" applyAlignment="1">
      <alignment horizontal="center" vertical="center"/>
    </xf>
    <xf numFmtId="0" fontId="58" fillId="0" borderId="10" xfId="0" applyFont="1" applyBorder="1" applyAlignment="1">
      <alignment horizontal="center" vertical="center"/>
    </xf>
    <xf numFmtId="0" fontId="58" fillId="0" borderId="16" xfId="0" applyFont="1" applyBorder="1" applyAlignment="1">
      <alignment horizontal="center" vertical="center"/>
    </xf>
    <xf numFmtId="0" fontId="58" fillId="0" borderId="12" xfId="0" applyFont="1" applyBorder="1" applyAlignment="1">
      <alignment horizontal="center" vertical="center"/>
    </xf>
    <xf numFmtId="0" fontId="58" fillId="0" borderId="5" xfId="0" applyFont="1" applyBorder="1" applyAlignment="1">
      <alignment horizontal="center" vertical="center"/>
    </xf>
    <xf numFmtId="0" fontId="58" fillId="0" borderId="11" xfId="0" applyFont="1" applyBorder="1" applyAlignment="1">
      <alignment horizontal="center" vertical="center"/>
    </xf>
    <xf numFmtId="0" fontId="58" fillId="2" borderId="3" xfId="0" applyFont="1" applyFill="1" applyBorder="1" applyAlignment="1">
      <alignment horizontal="center" vertical="center"/>
    </xf>
    <xf numFmtId="0" fontId="58" fillId="2" borderId="10" xfId="0" applyFont="1" applyFill="1" applyBorder="1" applyAlignment="1">
      <alignment horizontal="center" vertical="center"/>
    </xf>
    <xf numFmtId="0" fontId="38" fillId="0" borderId="73" xfId="0" applyFont="1" applyBorder="1" applyAlignment="1">
      <alignment horizontal="center" vertical="center"/>
    </xf>
    <xf numFmtId="0" fontId="51" fillId="0" borderId="75" xfId="0" applyFont="1" applyBorder="1" applyAlignment="1">
      <alignment horizontal="center" vertical="center"/>
    </xf>
    <xf numFmtId="0" fontId="51" fillId="0" borderId="76" xfId="0" applyFont="1" applyBorder="1" applyAlignment="1">
      <alignment horizontal="center" vertical="center"/>
    </xf>
  </cellXfs>
  <cellStyles count="3">
    <cellStyle name="표준" xfId="0" builtinId="0"/>
    <cellStyle name="표준 2" xfId="1" xr:uid="{4507B50C-9675-4E2F-91D4-A7C0CE25037B}"/>
    <cellStyle name="표준 2 2" xfId="2" xr:uid="{EF9C2F7F-3F20-4D7E-9BD7-6DD39044B1D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theme" Target="theme/theme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styles" Target="style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48025-5B7E-4F94-958A-350737661867}">
  <sheetPr>
    <tabColor rgb="FF00B050"/>
    <pageSetUpPr fitToPage="1"/>
  </sheetPr>
  <dimension ref="A1:M51"/>
  <sheetViews>
    <sheetView zoomScale="110" zoomScaleNormal="110" workbookViewId="0">
      <selection activeCell="M27" sqref="A1:M2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67" t="s">
        <v>857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/>
      <c r="I2" s="9"/>
      <c r="J2" s="5" t="s">
        <v>866</v>
      </c>
      <c r="K2" s="9"/>
      <c r="L2" s="9"/>
      <c r="M2" s="9"/>
    </row>
    <row r="3" spans="1:13" s="1" customFormat="1" ht="14.1" customHeight="1">
      <c r="A3" s="71">
        <v>1</v>
      </c>
      <c r="B3" s="72" t="s">
        <v>861</v>
      </c>
      <c r="C3" s="72"/>
      <c r="D3" s="73" t="s">
        <v>184</v>
      </c>
      <c r="E3" s="73"/>
      <c r="F3" s="73"/>
      <c r="G3" s="74"/>
      <c r="H3" s="24"/>
      <c r="I3" s="24"/>
      <c r="J3" s="75">
        <v>40</v>
      </c>
      <c r="K3" s="76"/>
      <c r="L3" s="76"/>
      <c r="M3" s="77"/>
    </row>
    <row r="4" spans="1:13" s="1" customFormat="1" ht="14.1" customHeight="1">
      <c r="A4" s="38"/>
      <c r="B4" s="56" t="s">
        <v>860</v>
      </c>
      <c r="C4" s="56"/>
      <c r="D4" s="47" t="s">
        <v>865</v>
      </c>
      <c r="E4" s="48"/>
      <c r="F4" s="48"/>
      <c r="G4" s="48"/>
      <c r="H4" s="36"/>
      <c r="I4" s="36"/>
      <c r="J4" s="33"/>
      <c r="K4" s="24"/>
      <c r="L4" s="24"/>
      <c r="M4" s="26"/>
    </row>
    <row r="5" spans="1:13" s="1" customFormat="1" ht="14.1" customHeight="1">
      <c r="A5" s="38">
        <v>2</v>
      </c>
      <c r="B5" s="58" t="s">
        <v>858</v>
      </c>
      <c r="C5" s="58"/>
      <c r="D5" s="57" t="s">
        <v>44</v>
      </c>
      <c r="E5" s="57"/>
      <c r="F5" s="57"/>
      <c r="G5" s="57"/>
      <c r="H5" s="24"/>
      <c r="I5" s="24"/>
      <c r="J5" s="33">
        <v>38</v>
      </c>
      <c r="K5" s="24"/>
      <c r="L5" s="24"/>
      <c r="M5" s="26"/>
    </row>
    <row r="6" spans="1:13" s="1" customFormat="1" ht="14.1" customHeight="1">
      <c r="A6" s="38"/>
      <c r="B6" s="56" t="s">
        <v>859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37"/>
    </row>
    <row r="7" spans="1:13" s="1" customFormat="1" ht="14.1" customHeight="1">
      <c r="A7" s="38">
        <v>3</v>
      </c>
      <c r="B7" s="58" t="s">
        <v>862</v>
      </c>
      <c r="C7" s="58"/>
      <c r="D7" s="57"/>
      <c r="E7" s="57"/>
      <c r="F7" s="57"/>
      <c r="G7" s="57"/>
      <c r="H7" s="24"/>
      <c r="I7" s="24"/>
      <c r="J7" s="33">
        <v>20</v>
      </c>
      <c r="K7" s="24"/>
      <c r="L7" s="24"/>
      <c r="M7" s="26"/>
    </row>
    <row r="8" spans="1:13" s="1" customFormat="1" ht="14.1" customHeight="1">
      <c r="A8" s="38"/>
      <c r="B8" s="56" t="s">
        <v>863</v>
      </c>
      <c r="C8" s="56"/>
      <c r="D8" s="47" t="s">
        <v>864</v>
      </c>
      <c r="E8" s="48"/>
      <c r="F8" s="48"/>
      <c r="G8" s="49"/>
      <c r="H8" s="36"/>
      <c r="I8" s="36"/>
      <c r="J8" s="35"/>
      <c r="K8" s="36"/>
      <c r="L8" s="36"/>
      <c r="M8" s="37"/>
    </row>
    <row r="9" spans="1:13" s="1" customFormat="1" ht="14.1" customHeight="1">
      <c r="A9" s="38">
        <v>4</v>
      </c>
      <c r="B9" s="51" t="s">
        <v>867</v>
      </c>
      <c r="C9" s="52"/>
      <c r="D9" s="57"/>
      <c r="E9" s="57"/>
      <c r="F9" s="57"/>
      <c r="G9" s="57"/>
      <c r="H9" s="24"/>
      <c r="I9" s="24"/>
      <c r="J9" s="23">
        <v>15.5</v>
      </c>
      <c r="K9" s="21"/>
      <c r="L9" s="21"/>
      <c r="M9" s="22"/>
    </row>
    <row r="10" spans="1:13" s="1" customFormat="1" ht="14.1" customHeight="1">
      <c r="A10" s="38"/>
      <c r="B10" s="56" t="s">
        <v>411</v>
      </c>
      <c r="C10" s="56"/>
      <c r="D10" s="47" t="s">
        <v>874</v>
      </c>
      <c r="E10" s="48"/>
      <c r="F10" s="48"/>
      <c r="G10" s="49"/>
      <c r="H10" s="36"/>
      <c r="I10" s="36"/>
      <c r="J10" s="23"/>
      <c r="K10" s="21"/>
      <c r="L10" s="21"/>
      <c r="M10" s="22"/>
    </row>
    <row r="11" spans="1:13" s="1" customFormat="1" ht="14.1" customHeight="1">
      <c r="A11" s="38">
        <v>5</v>
      </c>
      <c r="B11" s="51" t="s">
        <v>868</v>
      </c>
      <c r="C11" s="52"/>
      <c r="D11" s="57"/>
      <c r="E11" s="57"/>
      <c r="F11" s="57"/>
      <c r="G11" s="57"/>
      <c r="H11" s="24"/>
      <c r="I11" s="24"/>
      <c r="J11" s="23">
        <v>13.2</v>
      </c>
      <c r="K11" s="21"/>
      <c r="L11" s="21"/>
      <c r="M11" s="22"/>
    </row>
    <row r="12" spans="1:13" s="1" customFormat="1" ht="14.1" customHeight="1">
      <c r="A12" s="38"/>
      <c r="B12" s="45" t="s">
        <v>412</v>
      </c>
      <c r="C12" s="46"/>
      <c r="D12" s="47" t="s">
        <v>869</v>
      </c>
      <c r="E12" s="48"/>
      <c r="F12" s="48"/>
      <c r="G12" s="49"/>
      <c r="H12" s="36"/>
      <c r="I12" s="36"/>
      <c r="J12" s="23"/>
      <c r="K12" s="21"/>
      <c r="L12" s="21"/>
      <c r="M12" s="22"/>
    </row>
    <row r="13" spans="1:13" s="1" customFormat="1" ht="14.1" customHeight="1">
      <c r="A13" s="38">
        <v>6</v>
      </c>
      <c r="B13" s="51" t="s">
        <v>176</v>
      </c>
      <c r="C13" s="52"/>
      <c r="D13" s="57"/>
      <c r="E13" s="57"/>
      <c r="F13" s="57"/>
      <c r="G13" s="57"/>
      <c r="H13" s="24"/>
      <c r="I13" s="24"/>
      <c r="J13" s="23">
        <v>2.2999999999999998</v>
      </c>
      <c r="K13" s="21"/>
      <c r="L13" s="21"/>
      <c r="M13" s="22"/>
    </row>
    <row r="14" spans="1:13" s="1" customFormat="1" ht="14.1" customHeight="1">
      <c r="A14" s="38"/>
      <c r="B14" s="45" t="s">
        <v>875</v>
      </c>
      <c r="C14" s="46"/>
      <c r="D14" s="47" t="s">
        <v>870</v>
      </c>
      <c r="E14" s="48"/>
      <c r="F14" s="48"/>
      <c r="G14" s="49"/>
      <c r="H14" s="36"/>
      <c r="I14" s="36"/>
      <c r="J14" s="23"/>
      <c r="K14" s="21"/>
      <c r="L14" s="21"/>
      <c r="M14" s="22"/>
    </row>
    <row r="15" spans="1:13" s="1" customFormat="1" ht="14.1" customHeight="1">
      <c r="A15" s="38">
        <v>7</v>
      </c>
      <c r="B15" s="51" t="s">
        <v>871</v>
      </c>
      <c r="C15" s="52"/>
      <c r="D15" s="59"/>
      <c r="E15" s="60"/>
      <c r="F15" s="60"/>
      <c r="G15" s="61"/>
      <c r="H15" s="24"/>
      <c r="I15" s="24"/>
      <c r="J15" s="23">
        <v>359</v>
      </c>
      <c r="K15" s="21"/>
      <c r="L15" s="21"/>
      <c r="M15" s="22"/>
    </row>
    <row r="16" spans="1:13" s="1" customFormat="1" ht="14.1" customHeight="1">
      <c r="A16" s="38"/>
      <c r="B16" s="62" t="s">
        <v>872</v>
      </c>
      <c r="C16" s="63"/>
      <c r="D16" s="64" t="s">
        <v>873</v>
      </c>
      <c r="E16" s="65"/>
      <c r="F16" s="65"/>
      <c r="G16" s="66"/>
      <c r="H16" s="36"/>
      <c r="I16" s="36"/>
      <c r="J16" s="23"/>
      <c r="K16" s="21"/>
      <c r="L16" s="21"/>
      <c r="M16" s="22"/>
    </row>
    <row r="17" spans="1:13" s="1" customFormat="1" ht="14.1" customHeight="1">
      <c r="A17" s="38"/>
      <c r="B17" s="58"/>
      <c r="C17" s="58"/>
      <c r="D17" s="57"/>
      <c r="E17" s="57"/>
      <c r="F17" s="57"/>
      <c r="G17" s="57"/>
      <c r="H17" s="24"/>
      <c r="I17" s="24"/>
      <c r="J17" s="23"/>
      <c r="K17" s="21"/>
      <c r="L17" s="21"/>
      <c r="M17" s="22"/>
    </row>
    <row r="18" spans="1:13" s="1" customFormat="1" ht="14.1" customHeight="1">
      <c r="A18" s="38"/>
      <c r="B18" s="56"/>
      <c r="C18" s="56"/>
      <c r="D18" s="47"/>
      <c r="E18" s="48"/>
      <c r="F18" s="48"/>
      <c r="G18" s="49"/>
      <c r="H18" s="36"/>
      <c r="I18" s="36"/>
      <c r="J18" s="23"/>
      <c r="K18" s="21"/>
      <c r="L18" s="21"/>
      <c r="M18" s="22"/>
    </row>
    <row r="19" spans="1:13" s="1" customFormat="1" ht="14.1" customHeight="1">
      <c r="A19" s="38"/>
      <c r="B19" s="58"/>
      <c r="C19" s="58"/>
      <c r="D19" s="59"/>
      <c r="E19" s="60"/>
      <c r="F19" s="60"/>
      <c r="G19" s="61"/>
      <c r="H19" s="24"/>
      <c r="I19" s="24"/>
      <c r="J19" s="23"/>
      <c r="K19" s="21"/>
      <c r="L19" s="21"/>
      <c r="M19" s="22"/>
    </row>
    <row r="20" spans="1:13" s="1" customFormat="1" ht="14.1" customHeight="1">
      <c r="A20" s="38"/>
      <c r="B20" s="56"/>
      <c r="C20" s="56"/>
      <c r="D20" s="47"/>
      <c r="E20" s="48"/>
      <c r="F20" s="48"/>
      <c r="G20" s="49"/>
      <c r="H20" s="36"/>
      <c r="I20" s="36"/>
      <c r="J20" s="23"/>
      <c r="K20" s="21"/>
      <c r="L20" s="21"/>
      <c r="M20" s="22"/>
    </row>
    <row r="21" spans="1:13" s="1" customFormat="1" ht="14.1" customHeight="1">
      <c r="A21" s="38"/>
      <c r="B21" s="51"/>
      <c r="C21" s="52"/>
      <c r="D21" s="57"/>
      <c r="E21" s="57"/>
      <c r="F21" s="57"/>
      <c r="G21" s="57"/>
      <c r="H21" s="24"/>
      <c r="I21" s="24"/>
      <c r="J21" s="23"/>
      <c r="K21" s="21"/>
      <c r="L21" s="21"/>
      <c r="M21" s="22"/>
    </row>
    <row r="22" spans="1:13" s="1" customFormat="1" ht="14.1" customHeight="1">
      <c r="A22" s="38"/>
      <c r="B22" s="56"/>
      <c r="C22" s="56"/>
      <c r="D22" s="47"/>
      <c r="E22" s="48"/>
      <c r="F22" s="48"/>
      <c r="G22" s="49"/>
      <c r="H22" s="36"/>
      <c r="I22" s="36"/>
      <c r="J22" s="23"/>
      <c r="K22" s="21"/>
      <c r="L22" s="21"/>
      <c r="M22" s="22"/>
    </row>
    <row r="23" spans="1:13" s="1" customFormat="1" ht="14.1" customHeight="1">
      <c r="A23" s="38"/>
      <c r="B23" s="51"/>
      <c r="C23" s="52"/>
      <c r="D23" s="53"/>
      <c r="E23" s="54"/>
      <c r="F23" s="54"/>
      <c r="G23" s="55"/>
      <c r="H23" s="24"/>
      <c r="I23" s="24"/>
      <c r="J23" s="23"/>
      <c r="K23" s="21"/>
      <c r="L23" s="21"/>
      <c r="M23" s="22"/>
    </row>
    <row r="24" spans="1:13" s="1" customFormat="1" ht="14.1" customHeight="1">
      <c r="A24" s="38"/>
      <c r="B24" s="45"/>
      <c r="C24" s="46"/>
      <c r="D24" s="47"/>
      <c r="E24" s="48"/>
      <c r="F24" s="48"/>
      <c r="G24" s="49"/>
      <c r="H24" s="36"/>
      <c r="I24" s="36"/>
      <c r="J24" s="23"/>
      <c r="K24" s="21"/>
      <c r="L24" s="21"/>
      <c r="M24" s="22"/>
    </row>
    <row r="25" spans="1:13" s="1" customFormat="1" ht="14.1" customHeight="1">
      <c r="A25" s="38"/>
      <c r="B25" s="40"/>
      <c r="C25" s="41"/>
      <c r="D25" s="42"/>
      <c r="E25" s="43"/>
      <c r="F25" s="43"/>
      <c r="G25" s="44"/>
      <c r="H25" s="50"/>
      <c r="I25" s="50"/>
      <c r="J25" s="35"/>
      <c r="K25" s="36"/>
      <c r="L25" s="36"/>
      <c r="M25" s="37"/>
    </row>
    <row r="26" spans="1:13" s="1" customFormat="1" ht="14.1" customHeight="1">
      <c r="A26" s="38"/>
      <c r="B26" s="45"/>
      <c r="C26" s="46"/>
      <c r="D26" s="47"/>
      <c r="E26" s="48"/>
      <c r="F26" s="48"/>
      <c r="G26" s="49"/>
      <c r="H26" s="36"/>
      <c r="I26" s="36"/>
      <c r="J26" s="23"/>
      <c r="K26" s="21"/>
      <c r="L26" s="21"/>
      <c r="M26" s="22"/>
    </row>
    <row r="27" spans="1:13" s="1" customFormat="1" ht="14.1" customHeight="1">
      <c r="A27" s="38"/>
      <c r="B27" s="40"/>
      <c r="C27" s="41"/>
      <c r="D27" s="42"/>
      <c r="E27" s="43"/>
      <c r="F27" s="43"/>
      <c r="G27" s="44"/>
      <c r="H27" s="24"/>
      <c r="I27" s="24"/>
      <c r="J27" s="33"/>
      <c r="K27" s="24"/>
      <c r="L27" s="24"/>
      <c r="M27" s="26"/>
    </row>
    <row r="28" spans="1:13" s="1" customFormat="1" ht="14.1" customHeight="1" thickBot="1">
      <c r="A28" s="39"/>
      <c r="B28" s="28"/>
      <c r="C28" s="29"/>
      <c r="D28" s="30"/>
      <c r="E28" s="31"/>
      <c r="F28" s="31"/>
      <c r="G28" s="32"/>
      <c r="H28" s="25"/>
      <c r="I28" s="25"/>
      <c r="J28" s="34"/>
      <c r="K28" s="25"/>
      <c r="L28" s="25"/>
      <c r="M28" s="27"/>
    </row>
    <row r="29" spans="1:13" s="1" customFormat="1" ht="14.1" customHeight="1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13" s="1" customFormat="1" ht="14.1" customHeight="1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46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K5:K6"/>
    <mergeCell ref="L5:L6"/>
    <mergeCell ref="M5:M6"/>
    <mergeCell ref="J7:J8"/>
    <mergeCell ref="K7:K8"/>
    <mergeCell ref="L7:L8"/>
    <mergeCell ref="M7:M8"/>
    <mergeCell ref="B8:C8"/>
    <mergeCell ref="D8:G8"/>
    <mergeCell ref="A5:A6"/>
    <mergeCell ref="B5:C5"/>
    <mergeCell ref="D5:G5"/>
    <mergeCell ref="H5:H6"/>
    <mergeCell ref="I5:I6"/>
    <mergeCell ref="J5:J6"/>
    <mergeCell ref="B6:C6"/>
    <mergeCell ref="D6:G6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9:J10"/>
    <mergeCell ref="K9:K10"/>
    <mergeCell ref="L9:L10"/>
    <mergeCell ref="M9:M10"/>
    <mergeCell ref="B10:C10"/>
    <mergeCell ref="D10:G10"/>
    <mergeCell ref="A13:A14"/>
    <mergeCell ref="B13:C13"/>
    <mergeCell ref="D13:G13"/>
    <mergeCell ref="H13:H14"/>
    <mergeCell ref="I13:I14"/>
    <mergeCell ref="A11:A12"/>
    <mergeCell ref="B11:C11"/>
    <mergeCell ref="D11:G11"/>
    <mergeCell ref="H11:H12"/>
    <mergeCell ref="I11:I12"/>
    <mergeCell ref="J13:J14"/>
    <mergeCell ref="K13:K14"/>
    <mergeCell ref="L13:L14"/>
    <mergeCell ref="M13:M14"/>
    <mergeCell ref="B14:C14"/>
    <mergeCell ref="D14:G14"/>
    <mergeCell ref="K11:K12"/>
    <mergeCell ref="L11:L12"/>
    <mergeCell ref="M11:M12"/>
    <mergeCell ref="B12:C12"/>
    <mergeCell ref="D12:G12"/>
    <mergeCell ref="J11:J12"/>
    <mergeCell ref="A17:A18"/>
    <mergeCell ref="B17:C17"/>
    <mergeCell ref="D17:G17"/>
    <mergeCell ref="H17:H18"/>
    <mergeCell ref="I17:I18"/>
    <mergeCell ref="A15:A16"/>
    <mergeCell ref="B15:C15"/>
    <mergeCell ref="D15:G15"/>
    <mergeCell ref="H15:H16"/>
    <mergeCell ref="I15:I16"/>
    <mergeCell ref="J17:J18"/>
    <mergeCell ref="K17:K18"/>
    <mergeCell ref="L17:L18"/>
    <mergeCell ref="M17:M18"/>
    <mergeCell ref="B18:C18"/>
    <mergeCell ref="D18:G18"/>
    <mergeCell ref="K15:K16"/>
    <mergeCell ref="L15:L16"/>
    <mergeCell ref="M15:M16"/>
    <mergeCell ref="B16:C16"/>
    <mergeCell ref="D16:G16"/>
    <mergeCell ref="J15:J16"/>
    <mergeCell ref="B22:C22"/>
    <mergeCell ref="D22:G22"/>
    <mergeCell ref="K19:K20"/>
    <mergeCell ref="L19:L20"/>
    <mergeCell ref="M19:M20"/>
    <mergeCell ref="B20:C20"/>
    <mergeCell ref="D20:G20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J19:J20"/>
    <mergeCell ref="B24:C24"/>
    <mergeCell ref="D24:G24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B28:C28"/>
    <mergeCell ref="D28:G28"/>
    <mergeCell ref="J27:J28"/>
    <mergeCell ref="J25:J26"/>
    <mergeCell ref="K25:K26"/>
    <mergeCell ref="L25:L26"/>
    <mergeCell ref="M25:M26"/>
    <mergeCell ref="A27:A28"/>
    <mergeCell ref="B27:C27"/>
    <mergeCell ref="D27:G27"/>
    <mergeCell ref="H27:H28"/>
    <mergeCell ref="I27:I28"/>
    <mergeCell ref="B26:C26"/>
    <mergeCell ref="D26:G26"/>
    <mergeCell ref="K23:K24"/>
    <mergeCell ref="L23:L24"/>
    <mergeCell ref="M23:M24"/>
    <mergeCell ref="J23:J24"/>
    <mergeCell ref="J21:J22"/>
    <mergeCell ref="K21:K22"/>
    <mergeCell ref="L21:L22"/>
    <mergeCell ref="M21:M22"/>
    <mergeCell ref="K27:K28"/>
    <mergeCell ref="L27:L28"/>
    <mergeCell ref="M27:M28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BA32F-D3DC-4D93-9867-1D8C6E48ABD6}">
  <sheetPr>
    <tabColor rgb="FF00B050"/>
    <pageSetUpPr fitToPage="1"/>
  </sheetPr>
  <dimension ref="A1:M47"/>
  <sheetViews>
    <sheetView tabSelected="1" zoomScale="110" zoomScaleNormal="110" workbookViewId="0">
      <selection activeCell="P9" sqref="P9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553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2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</row>
    <row r="3" spans="1:13" s="1" customFormat="1" ht="14.1" customHeight="1">
      <c r="A3" s="78">
        <v>1</v>
      </c>
      <c r="B3" s="80" t="s">
        <v>149</v>
      </c>
      <c r="C3" s="81"/>
      <c r="D3" s="74" t="s">
        <v>82</v>
      </c>
      <c r="E3" s="82"/>
      <c r="F3" s="82"/>
      <c r="G3" s="83"/>
      <c r="H3" s="24">
        <f>SUM(I3)-3</f>
        <v>45</v>
      </c>
      <c r="I3" s="24">
        <f>SUM(J3)-3</f>
        <v>48</v>
      </c>
      <c r="J3" s="84">
        <v>51</v>
      </c>
      <c r="K3" s="85">
        <f>SUM(J3)+3</f>
        <v>54</v>
      </c>
      <c r="L3" s="85">
        <f>SUM(K3)+3</f>
        <v>57</v>
      </c>
      <c r="M3" s="86">
        <f>SUM(L3)+3</f>
        <v>60</v>
      </c>
    </row>
    <row r="4" spans="1:13" s="1" customFormat="1" ht="14.1" customHeight="1">
      <c r="A4" s="79"/>
      <c r="B4" s="62" t="s">
        <v>108</v>
      </c>
      <c r="C4" s="63"/>
      <c r="D4" s="64" t="s">
        <v>83</v>
      </c>
      <c r="E4" s="65"/>
      <c r="F4" s="65"/>
      <c r="G4" s="66"/>
      <c r="H4" s="36"/>
      <c r="I4" s="36"/>
      <c r="J4" s="35"/>
      <c r="K4" s="36"/>
      <c r="L4" s="36"/>
      <c r="M4" s="87"/>
    </row>
    <row r="5" spans="1:13" s="1" customFormat="1" ht="14.1" customHeight="1">
      <c r="A5" s="92">
        <v>2</v>
      </c>
      <c r="B5" s="51" t="s">
        <v>13</v>
      </c>
      <c r="C5" s="52"/>
      <c r="D5" s="59" t="s">
        <v>14</v>
      </c>
      <c r="E5" s="60"/>
      <c r="F5" s="60"/>
      <c r="G5" s="61"/>
      <c r="H5" s="24">
        <f>SUM(I5)-3.2</f>
        <v>46.999999999999993</v>
      </c>
      <c r="I5" s="24">
        <f>SUM(J5)-3.2</f>
        <v>50.199999999999996</v>
      </c>
      <c r="J5" s="33">
        <v>53.4</v>
      </c>
      <c r="K5" s="24">
        <f>SUM(J5)+3.2</f>
        <v>56.6</v>
      </c>
      <c r="L5" s="24">
        <f>SUM(K5)+3.2</f>
        <v>59.800000000000004</v>
      </c>
      <c r="M5" s="88">
        <f>SUM(L5)+3.2</f>
        <v>63.000000000000007</v>
      </c>
    </row>
    <row r="6" spans="1:13" s="1" customFormat="1" ht="14.1" customHeight="1">
      <c r="A6" s="79"/>
      <c r="B6" s="62" t="s">
        <v>55</v>
      </c>
      <c r="C6" s="63"/>
      <c r="D6" s="64" t="s">
        <v>121</v>
      </c>
      <c r="E6" s="65"/>
      <c r="F6" s="65"/>
      <c r="G6" s="66"/>
      <c r="H6" s="36"/>
      <c r="I6" s="36"/>
      <c r="J6" s="35"/>
      <c r="K6" s="36"/>
      <c r="L6" s="36"/>
      <c r="M6" s="87"/>
    </row>
    <row r="7" spans="1:13" s="1" customFormat="1" ht="14.1" customHeight="1">
      <c r="A7" s="92">
        <v>3</v>
      </c>
      <c r="B7" s="51" t="s">
        <v>146</v>
      </c>
      <c r="C7" s="52"/>
      <c r="D7" s="59"/>
      <c r="E7" s="60"/>
      <c r="F7" s="60"/>
      <c r="G7" s="61"/>
      <c r="H7" s="24">
        <f>SUM(I7)-0.7</f>
        <v>11.200000000000001</v>
      </c>
      <c r="I7" s="24">
        <f>SUM(J7)-0.7</f>
        <v>11.9</v>
      </c>
      <c r="J7" s="33">
        <v>12.6</v>
      </c>
      <c r="K7" s="24">
        <f>SUM(J7)+1.2</f>
        <v>13.799999999999999</v>
      </c>
      <c r="L7" s="24">
        <f>SUM(K7)+0.7</f>
        <v>14.499999999999998</v>
      </c>
      <c r="M7" s="88">
        <f>SUM(L7)+0.7</f>
        <v>15.199999999999998</v>
      </c>
    </row>
    <row r="8" spans="1:13" s="1" customFormat="1" ht="14.1" customHeight="1">
      <c r="A8" s="79"/>
      <c r="B8" s="62" t="s">
        <v>145</v>
      </c>
      <c r="C8" s="63"/>
      <c r="D8" s="89" t="s">
        <v>159</v>
      </c>
      <c r="E8" s="90"/>
      <c r="F8" s="90"/>
      <c r="G8" s="91"/>
      <c r="H8" s="36"/>
      <c r="I8" s="36"/>
      <c r="J8" s="35"/>
      <c r="K8" s="36"/>
      <c r="L8" s="36"/>
      <c r="M8" s="87"/>
    </row>
    <row r="9" spans="1:13" s="1" customFormat="1" ht="14.1" customHeight="1">
      <c r="A9" s="92">
        <v>4</v>
      </c>
      <c r="B9" s="51" t="s">
        <v>9</v>
      </c>
      <c r="C9" s="52"/>
      <c r="D9" s="59" t="s">
        <v>84</v>
      </c>
      <c r="E9" s="60"/>
      <c r="F9" s="60"/>
      <c r="G9" s="61"/>
      <c r="H9" s="24">
        <f>SUM(I9)-7</f>
        <v>51</v>
      </c>
      <c r="I9" s="24">
        <f>SUM(J9)-7</f>
        <v>58</v>
      </c>
      <c r="J9" s="33">
        <v>65</v>
      </c>
      <c r="K9" s="24">
        <f>SUM(J9)+6</f>
        <v>71</v>
      </c>
      <c r="L9" s="24">
        <f>SUM(K9)+6</f>
        <v>77</v>
      </c>
      <c r="M9" s="88">
        <f>SUM(L9)+6</f>
        <v>83</v>
      </c>
    </row>
    <row r="10" spans="1:13" s="1" customFormat="1" ht="14.1" customHeight="1">
      <c r="A10" s="79"/>
      <c r="B10" s="62" t="s">
        <v>56</v>
      </c>
      <c r="C10" s="63"/>
      <c r="D10" s="64" t="s">
        <v>120</v>
      </c>
      <c r="E10" s="65"/>
      <c r="F10" s="65"/>
      <c r="G10" s="66"/>
      <c r="H10" s="36"/>
      <c r="I10" s="36"/>
      <c r="J10" s="35"/>
      <c r="K10" s="36"/>
      <c r="L10" s="36"/>
      <c r="M10" s="87"/>
    </row>
    <row r="11" spans="1:13" s="1" customFormat="1" ht="14.1" customHeight="1">
      <c r="A11" s="92">
        <v>5</v>
      </c>
      <c r="B11" s="51" t="s">
        <v>16</v>
      </c>
      <c r="C11" s="52"/>
      <c r="D11" s="59" t="s">
        <v>17</v>
      </c>
      <c r="E11" s="60"/>
      <c r="F11" s="60"/>
      <c r="G11" s="61"/>
      <c r="H11" s="24">
        <f>SUM(I11)-0.6</f>
        <v>16.799999999999997</v>
      </c>
      <c r="I11" s="24">
        <f>SUM(J11)-0.6</f>
        <v>17.399999999999999</v>
      </c>
      <c r="J11" s="33">
        <v>18</v>
      </c>
      <c r="K11" s="24">
        <f>SUM(J11)+0.6</f>
        <v>18.600000000000001</v>
      </c>
      <c r="L11" s="24">
        <f>SUM(K11)+0.6</f>
        <v>19.200000000000003</v>
      </c>
      <c r="M11" s="88">
        <f>SUM(L11)+0.6</f>
        <v>19.800000000000004</v>
      </c>
    </row>
    <row r="12" spans="1:13" s="1" customFormat="1" ht="14.1" customHeight="1">
      <c r="A12" s="79"/>
      <c r="B12" s="62" t="s">
        <v>57</v>
      </c>
      <c r="C12" s="63"/>
      <c r="D12" s="47" t="s">
        <v>119</v>
      </c>
      <c r="E12" s="48"/>
      <c r="F12" s="48"/>
      <c r="G12" s="49"/>
      <c r="H12" s="36"/>
      <c r="I12" s="36"/>
      <c r="J12" s="35"/>
      <c r="K12" s="36"/>
      <c r="L12" s="36"/>
      <c r="M12" s="87"/>
    </row>
    <row r="13" spans="1:13" s="1" customFormat="1" ht="14.1" customHeight="1">
      <c r="A13" s="92">
        <v>6</v>
      </c>
      <c r="B13" s="51" t="s">
        <v>18</v>
      </c>
      <c r="C13" s="52"/>
      <c r="D13" s="59" t="s">
        <v>15</v>
      </c>
      <c r="E13" s="60"/>
      <c r="F13" s="60"/>
      <c r="G13" s="61"/>
      <c r="H13" s="24">
        <f>SUM(I13)-1</f>
        <v>19.7</v>
      </c>
      <c r="I13" s="24">
        <f>SUM(J13)-1</f>
        <v>20.7</v>
      </c>
      <c r="J13" s="33">
        <v>21.7</v>
      </c>
      <c r="K13" s="24">
        <f>SUM(J13)+1.5</f>
        <v>23.2</v>
      </c>
      <c r="L13" s="24">
        <f>SUM(K13)+1</f>
        <v>24.2</v>
      </c>
      <c r="M13" s="88">
        <f>SUM(L13)+1</f>
        <v>25.2</v>
      </c>
    </row>
    <row r="14" spans="1:13" s="1" customFormat="1" ht="14.1" customHeight="1">
      <c r="A14" s="79"/>
      <c r="B14" s="62" t="s">
        <v>63</v>
      </c>
      <c r="C14" s="63"/>
      <c r="D14" s="64" t="s">
        <v>118</v>
      </c>
      <c r="E14" s="65"/>
      <c r="F14" s="65"/>
      <c r="G14" s="66"/>
      <c r="H14" s="36"/>
      <c r="I14" s="36"/>
      <c r="J14" s="35"/>
      <c r="K14" s="36"/>
      <c r="L14" s="36"/>
      <c r="M14" s="87"/>
    </row>
    <row r="15" spans="1:13" s="1" customFormat="1" ht="14.1" customHeight="1">
      <c r="A15" s="92">
        <v>7</v>
      </c>
      <c r="B15" s="51" t="s">
        <v>19</v>
      </c>
      <c r="C15" s="52"/>
      <c r="D15" s="59" t="s">
        <v>15</v>
      </c>
      <c r="E15" s="60"/>
      <c r="F15" s="60"/>
      <c r="G15" s="61"/>
      <c r="H15" s="24">
        <f>SUM(I15)-1.2</f>
        <v>22.200000000000003</v>
      </c>
      <c r="I15" s="24">
        <f>SUM(J15)-1.2</f>
        <v>23.400000000000002</v>
      </c>
      <c r="J15" s="33">
        <v>24.6</v>
      </c>
      <c r="K15" s="24">
        <f>SUM(J15)+1.7</f>
        <v>26.3</v>
      </c>
      <c r="L15" s="24">
        <f>SUM(K15)+1.2</f>
        <v>27.5</v>
      </c>
      <c r="M15" s="88">
        <f>SUM(L15)+1.2</f>
        <v>28.7</v>
      </c>
    </row>
    <row r="16" spans="1:13" s="1" customFormat="1" ht="14.1" customHeight="1">
      <c r="A16" s="79"/>
      <c r="B16" s="62" t="s">
        <v>62</v>
      </c>
      <c r="C16" s="63"/>
      <c r="D16" s="64" t="s">
        <v>118</v>
      </c>
      <c r="E16" s="65"/>
      <c r="F16" s="65"/>
      <c r="G16" s="66"/>
      <c r="H16" s="36"/>
      <c r="I16" s="36"/>
      <c r="J16" s="35"/>
      <c r="K16" s="36"/>
      <c r="L16" s="36"/>
      <c r="M16" s="87"/>
    </row>
    <row r="17" spans="1:13" s="1" customFormat="1" ht="14.1" customHeight="1">
      <c r="A17" s="92">
        <v>8</v>
      </c>
      <c r="B17" s="51" t="s">
        <v>20</v>
      </c>
      <c r="C17" s="52"/>
      <c r="D17" s="59" t="s">
        <v>21</v>
      </c>
      <c r="E17" s="60"/>
      <c r="F17" s="60"/>
      <c r="G17" s="61"/>
      <c r="H17" s="24">
        <f>SUM(I17)-2.2</f>
        <v>26.1</v>
      </c>
      <c r="I17" s="24">
        <f>SUM(J17)-2.2</f>
        <v>28.3</v>
      </c>
      <c r="J17" s="33">
        <v>30.5</v>
      </c>
      <c r="K17" s="24">
        <f>SUM(J17)+2.1</f>
        <v>32.6</v>
      </c>
      <c r="L17" s="24">
        <f>SUM(K17)+2.1</f>
        <v>34.700000000000003</v>
      </c>
      <c r="M17" s="88">
        <f>SUM(L17)+2.1</f>
        <v>36.800000000000004</v>
      </c>
    </row>
    <row r="18" spans="1:13" s="1" customFormat="1" ht="14.1" customHeight="1">
      <c r="A18" s="79"/>
      <c r="B18" s="62" t="s">
        <v>61</v>
      </c>
      <c r="C18" s="63"/>
      <c r="D18" s="64" t="s">
        <v>117</v>
      </c>
      <c r="E18" s="65"/>
      <c r="F18" s="65"/>
      <c r="G18" s="66"/>
      <c r="H18" s="36"/>
      <c r="I18" s="36"/>
      <c r="J18" s="35"/>
      <c r="K18" s="36"/>
      <c r="L18" s="36"/>
      <c r="M18" s="87"/>
    </row>
    <row r="19" spans="1:13" s="1" customFormat="1" ht="14.1" customHeight="1">
      <c r="A19" s="92">
        <v>9</v>
      </c>
      <c r="B19" s="51" t="s">
        <v>22</v>
      </c>
      <c r="C19" s="52"/>
      <c r="D19" s="59" t="s">
        <v>23</v>
      </c>
      <c r="E19" s="60"/>
      <c r="F19" s="60"/>
      <c r="G19" s="61"/>
      <c r="H19" s="24">
        <f>SUM(I19)-6</f>
        <v>32.1</v>
      </c>
      <c r="I19" s="24">
        <f>SUM(J19)-6</f>
        <v>38.1</v>
      </c>
      <c r="J19" s="33">
        <v>44.1</v>
      </c>
      <c r="K19" s="24">
        <f>SUM(J19)+4.5</f>
        <v>48.6</v>
      </c>
      <c r="L19" s="24">
        <f>SUM(K19)+5</f>
        <v>53.6</v>
      </c>
      <c r="M19" s="88">
        <f>SUM(L19)+5</f>
        <v>58.6</v>
      </c>
    </row>
    <row r="20" spans="1:13" s="1" customFormat="1" ht="14.1" customHeight="1">
      <c r="A20" s="79"/>
      <c r="B20" s="62" t="s">
        <v>60</v>
      </c>
      <c r="C20" s="63"/>
      <c r="D20" s="64" t="s">
        <v>116</v>
      </c>
      <c r="E20" s="65"/>
      <c r="F20" s="65"/>
      <c r="G20" s="66"/>
      <c r="H20" s="36"/>
      <c r="I20" s="36"/>
      <c r="J20" s="35"/>
      <c r="K20" s="36"/>
      <c r="L20" s="36"/>
      <c r="M20" s="87"/>
    </row>
    <row r="21" spans="1:13" s="1" customFormat="1" ht="14.1" customHeight="1">
      <c r="A21" s="92">
        <v>10</v>
      </c>
      <c r="B21" s="51" t="s">
        <v>115</v>
      </c>
      <c r="C21" s="52"/>
      <c r="D21" s="59" t="s">
        <v>113</v>
      </c>
      <c r="E21" s="60"/>
      <c r="F21" s="60"/>
      <c r="G21" s="61"/>
      <c r="H21" s="24">
        <f>SUM(I21)-0.9</f>
        <v>20.400000000000002</v>
      </c>
      <c r="I21" s="24">
        <f>SUM(J21)-0.9</f>
        <v>21.3</v>
      </c>
      <c r="J21" s="33">
        <v>22.2</v>
      </c>
      <c r="K21" s="24">
        <f>SUM(J21)+0.9</f>
        <v>23.099999999999998</v>
      </c>
      <c r="L21" s="24">
        <f>SUM(K21)+0.9</f>
        <v>23.999999999999996</v>
      </c>
      <c r="M21" s="88">
        <f>SUM(L21)+0.9</f>
        <v>24.899999999999995</v>
      </c>
    </row>
    <row r="22" spans="1:13" s="1" customFormat="1" ht="14.1" customHeight="1">
      <c r="A22" s="79"/>
      <c r="B22" s="62" t="s">
        <v>114</v>
      </c>
      <c r="C22" s="63"/>
      <c r="D22" s="64" t="s">
        <v>113</v>
      </c>
      <c r="E22" s="65"/>
      <c r="F22" s="65"/>
      <c r="G22" s="66"/>
      <c r="H22" s="36"/>
      <c r="I22" s="36"/>
      <c r="J22" s="35"/>
      <c r="K22" s="36"/>
      <c r="L22" s="36"/>
      <c r="M22" s="87"/>
    </row>
    <row r="23" spans="1:13" s="1" customFormat="1" ht="14.1" customHeight="1">
      <c r="A23" s="92">
        <v>11</v>
      </c>
      <c r="B23" s="51" t="s">
        <v>112</v>
      </c>
      <c r="C23" s="52"/>
      <c r="D23" s="59" t="s">
        <v>111</v>
      </c>
      <c r="E23" s="60"/>
      <c r="F23" s="60"/>
      <c r="G23" s="61"/>
      <c r="H23" s="24">
        <f>SUM(I23)-3.5</f>
        <v>33.1</v>
      </c>
      <c r="I23" s="24">
        <f>SUM(J23)-3.5</f>
        <v>36.6</v>
      </c>
      <c r="J23" s="33">
        <v>40.1</v>
      </c>
      <c r="K23" s="24">
        <f>SUM(J23)+3.4</f>
        <v>43.5</v>
      </c>
      <c r="L23" s="24">
        <f>SUM(K23)+3.1</f>
        <v>46.6</v>
      </c>
      <c r="M23" s="88">
        <f>SUM(L23)+3.1</f>
        <v>49.7</v>
      </c>
    </row>
    <row r="24" spans="1:13" s="1" customFormat="1" ht="14.1" customHeight="1">
      <c r="A24" s="92"/>
      <c r="B24" s="93" t="s">
        <v>110</v>
      </c>
      <c r="C24" s="94"/>
      <c r="D24" s="95" t="s">
        <v>109</v>
      </c>
      <c r="E24" s="96"/>
      <c r="F24" s="96"/>
      <c r="G24" s="97"/>
      <c r="H24" s="36"/>
      <c r="I24" s="36"/>
      <c r="J24" s="35"/>
      <c r="K24" s="36"/>
      <c r="L24" s="36"/>
      <c r="M24" s="87"/>
    </row>
    <row r="25" spans="1:13" s="1" customFormat="1" ht="14.1" customHeight="1">
      <c r="A25" s="98">
        <v>12</v>
      </c>
      <c r="B25" s="51" t="s">
        <v>402</v>
      </c>
      <c r="C25" s="52"/>
      <c r="D25" s="59"/>
      <c r="E25" s="60"/>
      <c r="F25" s="60"/>
      <c r="G25" s="61"/>
      <c r="H25" s="24">
        <f>SUM(I25)-1.5</f>
        <v>19.5</v>
      </c>
      <c r="I25" s="24">
        <f>SUM(J25)-1.5</f>
        <v>21</v>
      </c>
      <c r="J25" s="33">
        <v>22.5</v>
      </c>
      <c r="K25" s="24">
        <f>SUM(J25)+1.5</f>
        <v>24</v>
      </c>
      <c r="L25" s="24">
        <f>SUM(K25)+1.5</f>
        <v>25.5</v>
      </c>
      <c r="M25" s="88">
        <f>SUM(L25)+1.5</f>
        <v>27</v>
      </c>
    </row>
    <row r="26" spans="1:13" s="1" customFormat="1" ht="14.1" customHeight="1">
      <c r="A26" s="79"/>
      <c r="B26" s="62" t="s">
        <v>472</v>
      </c>
      <c r="C26" s="63"/>
      <c r="D26" s="64" t="s">
        <v>473</v>
      </c>
      <c r="E26" s="65"/>
      <c r="F26" s="65"/>
      <c r="G26" s="66"/>
      <c r="H26" s="36"/>
      <c r="I26" s="36"/>
      <c r="J26" s="35"/>
      <c r="K26" s="36"/>
      <c r="L26" s="36"/>
      <c r="M26" s="87"/>
    </row>
    <row r="27" spans="1:13" s="1" customFormat="1" ht="14.1" customHeight="1">
      <c r="A27" s="92">
        <v>13</v>
      </c>
      <c r="B27" s="51" t="s">
        <v>404</v>
      </c>
      <c r="C27" s="52"/>
      <c r="D27" s="59"/>
      <c r="E27" s="60"/>
      <c r="F27" s="60"/>
      <c r="G27" s="61"/>
      <c r="H27" s="24">
        <f>SUM(I27)-1.1</f>
        <v>13.100000000000001</v>
      </c>
      <c r="I27" s="24">
        <f>SUM(J27)-1.1</f>
        <v>14.200000000000001</v>
      </c>
      <c r="J27" s="33">
        <v>15.3</v>
      </c>
      <c r="K27" s="24">
        <f>SUM(J27)+1.1</f>
        <v>16.400000000000002</v>
      </c>
      <c r="L27" s="24">
        <f>SUM(K27)+1.1</f>
        <v>17.500000000000004</v>
      </c>
      <c r="M27" s="88">
        <f>SUM(L27)+1.1</f>
        <v>18.600000000000005</v>
      </c>
    </row>
    <row r="28" spans="1:13" s="1" customFormat="1" ht="14.1" customHeight="1">
      <c r="A28" s="79"/>
      <c r="B28" s="62" t="s">
        <v>405</v>
      </c>
      <c r="C28" s="63"/>
      <c r="D28" s="64" t="s">
        <v>478</v>
      </c>
      <c r="E28" s="65"/>
      <c r="F28" s="65"/>
      <c r="G28" s="66"/>
      <c r="H28" s="36"/>
      <c r="I28" s="36"/>
      <c r="J28" s="35"/>
      <c r="K28" s="36"/>
      <c r="L28" s="36"/>
      <c r="M28" s="87"/>
    </row>
    <row r="29" spans="1:13" s="1" customFormat="1" ht="14.1" customHeight="1">
      <c r="A29" s="92">
        <v>14</v>
      </c>
      <c r="B29" s="40" t="s">
        <v>408</v>
      </c>
      <c r="C29" s="41"/>
      <c r="D29" s="100"/>
      <c r="E29" s="101"/>
      <c r="F29" s="101"/>
      <c r="G29" s="102"/>
      <c r="H29" s="24">
        <f>SUM(I29)-0.4</f>
        <v>6.3999999999999995</v>
      </c>
      <c r="I29" s="24">
        <f>SUM(J29)-0.4</f>
        <v>6.8</v>
      </c>
      <c r="J29" s="33">
        <v>7.2</v>
      </c>
      <c r="K29" s="24">
        <f>SUM(J29)+0.4</f>
        <v>7.6000000000000005</v>
      </c>
      <c r="L29" s="24">
        <f>SUM(K29)+0.4</f>
        <v>8</v>
      </c>
      <c r="M29" s="88">
        <f>SUM(L29)+0.4</f>
        <v>8.4</v>
      </c>
    </row>
    <row r="30" spans="1:13" s="1" customFormat="1" ht="14.1" customHeight="1">
      <c r="A30" s="79"/>
      <c r="B30" s="62" t="s">
        <v>409</v>
      </c>
      <c r="C30" s="63"/>
      <c r="D30" s="64" t="s">
        <v>477</v>
      </c>
      <c r="E30" s="65"/>
      <c r="F30" s="65"/>
      <c r="G30" s="66"/>
      <c r="H30" s="36"/>
      <c r="I30" s="36"/>
      <c r="J30" s="35"/>
      <c r="K30" s="36"/>
      <c r="L30" s="36"/>
      <c r="M30" s="87"/>
    </row>
    <row r="31" spans="1:13" s="1" customFormat="1" ht="14.1" customHeight="1">
      <c r="A31" s="92">
        <v>15</v>
      </c>
      <c r="B31" s="51"/>
      <c r="C31" s="52"/>
      <c r="D31" s="59"/>
      <c r="E31" s="60"/>
      <c r="F31" s="60"/>
      <c r="G31" s="61"/>
      <c r="H31" s="24"/>
      <c r="I31" s="24"/>
      <c r="J31" s="33"/>
      <c r="K31" s="24"/>
      <c r="L31" s="24"/>
      <c r="M31" s="88"/>
    </row>
    <row r="32" spans="1:13" s="1" customFormat="1" ht="14.1" customHeight="1" thickBot="1">
      <c r="A32" s="99"/>
      <c r="B32" s="104"/>
      <c r="C32" s="105"/>
      <c r="D32" s="106"/>
      <c r="E32" s="107"/>
      <c r="F32" s="107"/>
      <c r="G32" s="108"/>
      <c r="H32" s="25"/>
      <c r="I32" s="25"/>
      <c r="J32" s="34"/>
      <c r="K32" s="25"/>
      <c r="L32" s="25"/>
      <c r="M32" s="103"/>
    </row>
    <row r="33" s="1" customFormat="1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</sheetData>
  <mergeCells count="168"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DAC21-D8E1-4CC6-832E-49B7162D070E}">
  <sheetPr>
    <tabColor rgb="FF00B050"/>
    <pageSetUpPr fitToPage="1"/>
  </sheetPr>
  <dimension ref="A1:M47"/>
  <sheetViews>
    <sheetView zoomScale="110" zoomScaleNormal="110" workbookViewId="0">
      <selection activeCell="P16" sqref="P1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471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2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</row>
    <row r="3" spans="1:13" s="1" customFormat="1" ht="14.1" customHeight="1">
      <c r="A3" s="78">
        <v>1</v>
      </c>
      <c r="B3" s="80" t="s">
        <v>149</v>
      </c>
      <c r="C3" s="81"/>
      <c r="D3" s="74" t="s">
        <v>82</v>
      </c>
      <c r="E3" s="82"/>
      <c r="F3" s="82"/>
      <c r="G3" s="83"/>
      <c r="H3" s="24">
        <f>SUM(I3)-2.5</f>
        <v>44</v>
      </c>
      <c r="I3" s="24">
        <f>SUM(J3)-2.5</f>
        <v>46.5</v>
      </c>
      <c r="J3" s="84">
        <v>49</v>
      </c>
      <c r="K3" s="85">
        <f>SUM(J3)+2.5</f>
        <v>51.5</v>
      </c>
      <c r="L3" s="85">
        <f>SUM(K3)+2.5</f>
        <v>54</v>
      </c>
      <c r="M3" s="109">
        <f>SUM(L3)+2.5</f>
        <v>56.5</v>
      </c>
    </row>
    <row r="4" spans="1:13" s="1" customFormat="1" ht="14.1" customHeight="1">
      <c r="A4" s="79"/>
      <c r="B4" s="62" t="s">
        <v>108</v>
      </c>
      <c r="C4" s="63"/>
      <c r="D4" s="64" t="s">
        <v>83</v>
      </c>
      <c r="E4" s="65"/>
      <c r="F4" s="65"/>
      <c r="G4" s="66"/>
      <c r="H4" s="36"/>
      <c r="I4" s="36"/>
      <c r="J4" s="35"/>
      <c r="K4" s="36"/>
      <c r="L4" s="36"/>
      <c r="M4" s="37"/>
    </row>
    <row r="5" spans="1:13" s="1" customFormat="1" ht="14.1" customHeight="1">
      <c r="A5" s="92">
        <v>2</v>
      </c>
      <c r="B5" s="51" t="s">
        <v>13</v>
      </c>
      <c r="C5" s="52"/>
      <c r="D5" s="59" t="s">
        <v>14</v>
      </c>
      <c r="E5" s="60"/>
      <c r="F5" s="60"/>
      <c r="G5" s="61"/>
      <c r="H5" s="24">
        <f>SUM(I5)-3.2</f>
        <v>48.199999999999996</v>
      </c>
      <c r="I5" s="24">
        <f>SUM(J5)-3.2</f>
        <v>51.4</v>
      </c>
      <c r="J5" s="33">
        <v>54.6</v>
      </c>
      <c r="K5" s="24">
        <f>SUM(J5)+3.2</f>
        <v>57.800000000000004</v>
      </c>
      <c r="L5" s="24">
        <f>SUM(K5)+3.2</f>
        <v>61.000000000000007</v>
      </c>
      <c r="M5" s="26">
        <f>SUM(L5)+3.2</f>
        <v>64.2</v>
      </c>
    </row>
    <row r="6" spans="1:13" s="1" customFormat="1" ht="14.1" customHeight="1">
      <c r="A6" s="79"/>
      <c r="B6" s="62" t="s">
        <v>55</v>
      </c>
      <c r="C6" s="63"/>
      <c r="D6" s="64" t="s">
        <v>121</v>
      </c>
      <c r="E6" s="65"/>
      <c r="F6" s="65"/>
      <c r="G6" s="66"/>
      <c r="H6" s="36"/>
      <c r="I6" s="36"/>
      <c r="J6" s="35"/>
      <c r="K6" s="36"/>
      <c r="L6" s="36"/>
      <c r="M6" s="37"/>
    </row>
    <row r="7" spans="1:13" s="1" customFormat="1" ht="14.1" customHeight="1">
      <c r="A7" s="92">
        <v>3</v>
      </c>
      <c r="B7" s="51" t="s">
        <v>146</v>
      </c>
      <c r="C7" s="52"/>
      <c r="D7" s="59"/>
      <c r="E7" s="60"/>
      <c r="F7" s="60"/>
      <c r="G7" s="61"/>
      <c r="H7" s="24">
        <f>SUM(I7)-0.7</f>
        <v>13.700000000000001</v>
      </c>
      <c r="I7" s="24">
        <f>SUM(J7)-0.7</f>
        <v>14.4</v>
      </c>
      <c r="J7" s="33">
        <v>15.1</v>
      </c>
      <c r="K7" s="24">
        <f>SUM(J7)+1.2</f>
        <v>16.3</v>
      </c>
      <c r="L7" s="24">
        <f>SUM(K7)+0.7</f>
        <v>17</v>
      </c>
      <c r="M7" s="26">
        <f>SUM(L7)+0.7</f>
        <v>17.7</v>
      </c>
    </row>
    <row r="8" spans="1:13" s="1" customFormat="1" ht="14.1" customHeight="1">
      <c r="A8" s="79"/>
      <c r="B8" s="62" t="s">
        <v>145</v>
      </c>
      <c r="C8" s="63"/>
      <c r="D8" s="89" t="s">
        <v>159</v>
      </c>
      <c r="E8" s="90"/>
      <c r="F8" s="90"/>
      <c r="G8" s="91"/>
      <c r="H8" s="36"/>
      <c r="I8" s="36"/>
      <c r="J8" s="35"/>
      <c r="K8" s="36"/>
      <c r="L8" s="36"/>
      <c r="M8" s="37"/>
    </row>
    <row r="9" spans="1:13" s="1" customFormat="1" ht="14.1" customHeight="1">
      <c r="A9" s="92">
        <v>4</v>
      </c>
      <c r="B9" s="51" t="s">
        <v>9</v>
      </c>
      <c r="C9" s="52"/>
      <c r="D9" s="59" t="s">
        <v>84</v>
      </c>
      <c r="E9" s="60"/>
      <c r="F9" s="60"/>
      <c r="G9" s="61"/>
      <c r="H9" s="24">
        <f>SUM(I9)-7</f>
        <v>51</v>
      </c>
      <c r="I9" s="24">
        <f>SUM(J9)-7</f>
        <v>58</v>
      </c>
      <c r="J9" s="33">
        <v>65</v>
      </c>
      <c r="K9" s="24">
        <f>SUM(J9)+6</f>
        <v>71</v>
      </c>
      <c r="L9" s="24">
        <f>SUM(K9)+6</f>
        <v>77</v>
      </c>
      <c r="M9" s="26">
        <f>SUM(L9)+6</f>
        <v>83</v>
      </c>
    </row>
    <row r="10" spans="1:13" s="1" customFormat="1" ht="14.1" customHeight="1">
      <c r="A10" s="79"/>
      <c r="B10" s="62" t="s">
        <v>56</v>
      </c>
      <c r="C10" s="63"/>
      <c r="D10" s="64" t="s">
        <v>120</v>
      </c>
      <c r="E10" s="65"/>
      <c r="F10" s="65"/>
      <c r="G10" s="66"/>
      <c r="H10" s="36"/>
      <c r="I10" s="36"/>
      <c r="J10" s="35"/>
      <c r="K10" s="36"/>
      <c r="L10" s="36"/>
      <c r="M10" s="37"/>
    </row>
    <row r="11" spans="1:13" s="1" customFormat="1" ht="14.1" customHeight="1">
      <c r="A11" s="92">
        <v>5</v>
      </c>
      <c r="B11" s="51" t="s">
        <v>16</v>
      </c>
      <c r="C11" s="52"/>
      <c r="D11" s="59" t="s">
        <v>17</v>
      </c>
      <c r="E11" s="60"/>
      <c r="F11" s="60"/>
      <c r="G11" s="61"/>
      <c r="H11" s="24">
        <f>SUM(I11)-1.6</f>
        <v>29.799999999999997</v>
      </c>
      <c r="I11" s="24">
        <f>SUM(J11)-1.6</f>
        <v>31.4</v>
      </c>
      <c r="J11" s="33">
        <v>33</v>
      </c>
      <c r="K11" s="24">
        <f>SUM(J11)+1.6</f>
        <v>34.6</v>
      </c>
      <c r="L11" s="24">
        <f>SUM(K11)+1.6</f>
        <v>36.200000000000003</v>
      </c>
      <c r="M11" s="26">
        <f>SUM(L11)+1.6</f>
        <v>37.800000000000004</v>
      </c>
    </row>
    <row r="12" spans="1:13" s="1" customFormat="1" ht="14.1" customHeight="1">
      <c r="A12" s="79"/>
      <c r="B12" s="62" t="s">
        <v>57</v>
      </c>
      <c r="C12" s="63"/>
      <c r="D12" s="47" t="s">
        <v>119</v>
      </c>
      <c r="E12" s="48"/>
      <c r="F12" s="48"/>
      <c r="G12" s="49"/>
      <c r="H12" s="36"/>
      <c r="I12" s="36"/>
      <c r="J12" s="35"/>
      <c r="K12" s="36"/>
      <c r="L12" s="36"/>
      <c r="M12" s="37"/>
    </row>
    <row r="13" spans="1:13" s="1" customFormat="1" ht="14.1" customHeight="1">
      <c r="A13" s="92">
        <v>6</v>
      </c>
      <c r="B13" s="51" t="s">
        <v>18</v>
      </c>
      <c r="C13" s="52"/>
      <c r="D13" s="59" t="s">
        <v>15</v>
      </c>
      <c r="E13" s="60"/>
      <c r="F13" s="60"/>
      <c r="G13" s="61"/>
      <c r="H13" s="24">
        <f>SUM(I13)-1.1</f>
        <v>20.9</v>
      </c>
      <c r="I13" s="24">
        <f>SUM(J13)-1.1</f>
        <v>22</v>
      </c>
      <c r="J13" s="33">
        <v>23.1</v>
      </c>
      <c r="K13" s="24">
        <f>SUM(J13)+1.6</f>
        <v>24.700000000000003</v>
      </c>
      <c r="L13" s="24">
        <f>SUM(K13)+1.1</f>
        <v>25.800000000000004</v>
      </c>
      <c r="M13" s="26">
        <f>SUM(L13)+1.1</f>
        <v>26.900000000000006</v>
      </c>
    </row>
    <row r="14" spans="1:13" s="1" customFormat="1" ht="14.1" customHeight="1">
      <c r="A14" s="79"/>
      <c r="B14" s="62" t="s">
        <v>63</v>
      </c>
      <c r="C14" s="63"/>
      <c r="D14" s="64" t="s">
        <v>118</v>
      </c>
      <c r="E14" s="65"/>
      <c r="F14" s="65"/>
      <c r="G14" s="66"/>
      <c r="H14" s="36"/>
      <c r="I14" s="36"/>
      <c r="J14" s="35"/>
      <c r="K14" s="36"/>
      <c r="L14" s="36"/>
      <c r="M14" s="37"/>
    </row>
    <row r="15" spans="1:13" s="1" customFormat="1" ht="14.1" customHeight="1">
      <c r="A15" s="92">
        <v>7</v>
      </c>
      <c r="B15" s="51" t="s">
        <v>19</v>
      </c>
      <c r="C15" s="52"/>
      <c r="D15" s="59" t="s">
        <v>15</v>
      </c>
      <c r="E15" s="60"/>
      <c r="F15" s="60"/>
      <c r="G15" s="61"/>
      <c r="H15" s="24">
        <f>SUM(I15)-1.2</f>
        <v>24.3</v>
      </c>
      <c r="I15" s="24">
        <f>SUM(J15)-1.2</f>
        <v>25.5</v>
      </c>
      <c r="J15" s="33">
        <v>26.7</v>
      </c>
      <c r="K15" s="24">
        <f>SUM(J15)+1.7</f>
        <v>28.4</v>
      </c>
      <c r="L15" s="24">
        <f>SUM(K15)+1.2</f>
        <v>29.599999999999998</v>
      </c>
      <c r="M15" s="26">
        <f>SUM(L15)+1.2</f>
        <v>30.799999999999997</v>
      </c>
    </row>
    <row r="16" spans="1:13" s="1" customFormat="1" ht="14.1" customHeight="1">
      <c r="A16" s="79"/>
      <c r="B16" s="62" t="s">
        <v>62</v>
      </c>
      <c r="C16" s="63"/>
      <c r="D16" s="64" t="s">
        <v>118</v>
      </c>
      <c r="E16" s="65"/>
      <c r="F16" s="65"/>
      <c r="G16" s="66"/>
      <c r="H16" s="36"/>
      <c r="I16" s="36"/>
      <c r="J16" s="35"/>
      <c r="K16" s="36"/>
      <c r="L16" s="36"/>
      <c r="M16" s="37"/>
    </row>
    <row r="17" spans="1:13" s="1" customFormat="1" ht="14.1" customHeight="1">
      <c r="A17" s="92">
        <v>8</v>
      </c>
      <c r="B17" s="51" t="s">
        <v>20</v>
      </c>
      <c r="C17" s="52"/>
      <c r="D17" s="59" t="s">
        <v>21</v>
      </c>
      <c r="E17" s="60"/>
      <c r="F17" s="60"/>
      <c r="G17" s="61"/>
      <c r="H17" s="24">
        <f>SUM(I17)-2.2</f>
        <v>26.900000000000002</v>
      </c>
      <c r="I17" s="24">
        <f>SUM(J17)-2.2</f>
        <v>29.1</v>
      </c>
      <c r="J17" s="33">
        <v>31.3</v>
      </c>
      <c r="K17" s="24">
        <f>SUM(J17)+2.1</f>
        <v>33.4</v>
      </c>
      <c r="L17" s="24">
        <f>SUM(K17)+2.1</f>
        <v>35.5</v>
      </c>
      <c r="M17" s="26">
        <f>SUM(L17)+2.1</f>
        <v>37.6</v>
      </c>
    </row>
    <row r="18" spans="1:13" s="1" customFormat="1" ht="14.1" customHeight="1">
      <c r="A18" s="79"/>
      <c r="B18" s="62" t="s">
        <v>61</v>
      </c>
      <c r="C18" s="63"/>
      <c r="D18" s="64" t="s">
        <v>117</v>
      </c>
      <c r="E18" s="65"/>
      <c r="F18" s="65"/>
      <c r="G18" s="66"/>
      <c r="H18" s="36"/>
      <c r="I18" s="36"/>
      <c r="J18" s="35"/>
      <c r="K18" s="36"/>
      <c r="L18" s="36"/>
      <c r="M18" s="37"/>
    </row>
    <row r="19" spans="1:13" s="1" customFormat="1" ht="14.1" customHeight="1">
      <c r="A19" s="92">
        <v>9</v>
      </c>
      <c r="B19" s="51" t="s">
        <v>22</v>
      </c>
      <c r="C19" s="52"/>
      <c r="D19" s="59" t="s">
        <v>23</v>
      </c>
      <c r="E19" s="60"/>
      <c r="F19" s="60"/>
      <c r="G19" s="61"/>
      <c r="H19" s="24">
        <f>SUM(I19)-6</f>
        <v>31.1</v>
      </c>
      <c r="I19" s="24">
        <f>SUM(J19)-6</f>
        <v>37.1</v>
      </c>
      <c r="J19" s="33">
        <v>43.1</v>
      </c>
      <c r="K19" s="24">
        <f>SUM(J19)+4.5</f>
        <v>47.6</v>
      </c>
      <c r="L19" s="24">
        <f>SUM(K19)+5</f>
        <v>52.6</v>
      </c>
      <c r="M19" s="26">
        <f>SUM(L19)+5</f>
        <v>57.6</v>
      </c>
    </row>
    <row r="20" spans="1:13" s="1" customFormat="1" ht="14.1" customHeight="1">
      <c r="A20" s="79"/>
      <c r="B20" s="62" t="s">
        <v>60</v>
      </c>
      <c r="C20" s="63"/>
      <c r="D20" s="64" t="s">
        <v>116</v>
      </c>
      <c r="E20" s="65"/>
      <c r="F20" s="65"/>
      <c r="G20" s="66"/>
      <c r="H20" s="36"/>
      <c r="I20" s="36"/>
      <c r="J20" s="35"/>
      <c r="K20" s="36"/>
      <c r="L20" s="36"/>
      <c r="M20" s="37"/>
    </row>
    <row r="21" spans="1:13" s="1" customFormat="1" ht="14.1" customHeight="1">
      <c r="A21" s="92">
        <v>10</v>
      </c>
      <c r="B21" s="51" t="s">
        <v>115</v>
      </c>
      <c r="C21" s="52"/>
      <c r="D21" s="59" t="s">
        <v>113</v>
      </c>
      <c r="E21" s="60"/>
      <c r="F21" s="60"/>
      <c r="G21" s="61"/>
      <c r="H21" s="24">
        <f>SUM(I21)-1.2</f>
        <v>22.700000000000003</v>
      </c>
      <c r="I21" s="24">
        <f>SUM(J21)-1.2</f>
        <v>23.900000000000002</v>
      </c>
      <c r="J21" s="33">
        <v>25.1</v>
      </c>
      <c r="K21" s="24">
        <f>SUM(J21)+1.2</f>
        <v>26.3</v>
      </c>
      <c r="L21" s="24">
        <f>SUM(K21)+1.2</f>
        <v>27.5</v>
      </c>
      <c r="M21" s="26">
        <f>SUM(L21)+1.2</f>
        <v>28.7</v>
      </c>
    </row>
    <row r="22" spans="1:13" s="1" customFormat="1" ht="14.1" customHeight="1">
      <c r="A22" s="79"/>
      <c r="B22" s="62" t="s">
        <v>114</v>
      </c>
      <c r="C22" s="63"/>
      <c r="D22" s="64" t="s">
        <v>113</v>
      </c>
      <c r="E22" s="65"/>
      <c r="F22" s="65"/>
      <c r="G22" s="66"/>
      <c r="H22" s="36"/>
      <c r="I22" s="36"/>
      <c r="J22" s="35"/>
      <c r="K22" s="36"/>
      <c r="L22" s="36"/>
      <c r="M22" s="37"/>
    </row>
    <row r="23" spans="1:13" s="1" customFormat="1" ht="14.1" customHeight="1">
      <c r="A23" s="92">
        <v>11</v>
      </c>
      <c r="B23" s="51" t="s">
        <v>112</v>
      </c>
      <c r="C23" s="52"/>
      <c r="D23" s="59" t="s">
        <v>111</v>
      </c>
      <c r="E23" s="60"/>
      <c r="F23" s="60"/>
      <c r="G23" s="61"/>
      <c r="H23" s="24">
        <f>SUM(I23)-3.4</f>
        <v>33.1</v>
      </c>
      <c r="I23" s="24">
        <f>SUM(J23)-3.4</f>
        <v>36.5</v>
      </c>
      <c r="J23" s="33">
        <v>39.9</v>
      </c>
      <c r="K23" s="24">
        <f>SUM(J23)+3.3</f>
        <v>43.199999999999996</v>
      </c>
      <c r="L23" s="24">
        <f>SUM(K23)+3</f>
        <v>46.199999999999996</v>
      </c>
      <c r="M23" s="26">
        <f>SUM(L23)+3</f>
        <v>49.199999999999996</v>
      </c>
    </row>
    <row r="24" spans="1:13" s="1" customFormat="1" ht="14.1" customHeight="1">
      <c r="A24" s="92"/>
      <c r="B24" s="93" t="s">
        <v>110</v>
      </c>
      <c r="C24" s="94"/>
      <c r="D24" s="95" t="s">
        <v>109</v>
      </c>
      <c r="E24" s="96"/>
      <c r="F24" s="96"/>
      <c r="G24" s="97"/>
      <c r="H24" s="36"/>
      <c r="I24" s="36"/>
      <c r="J24" s="35"/>
      <c r="K24" s="36"/>
      <c r="L24" s="36"/>
      <c r="M24" s="37"/>
    </row>
    <row r="25" spans="1:13" s="1" customFormat="1" ht="14.1" customHeight="1">
      <c r="A25" s="98">
        <v>12</v>
      </c>
      <c r="B25" s="51" t="s">
        <v>402</v>
      </c>
      <c r="C25" s="52"/>
      <c r="D25" s="59"/>
      <c r="E25" s="60"/>
      <c r="F25" s="60"/>
      <c r="G25" s="61"/>
      <c r="H25" s="24">
        <f>SUM(I25)-1</f>
        <v>16</v>
      </c>
      <c r="I25" s="24">
        <f>SUM(J25)-1</f>
        <v>17</v>
      </c>
      <c r="J25" s="33">
        <v>18</v>
      </c>
      <c r="K25" s="24">
        <f>SUM(J25)+1</f>
        <v>19</v>
      </c>
      <c r="L25" s="24">
        <f>SUM(K25)+1</f>
        <v>20</v>
      </c>
      <c r="M25" s="26">
        <f>SUM(L25)+1</f>
        <v>21</v>
      </c>
    </row>
    <row r="26" spans="1:13" s="1" customFormat="1" ht="14.1" customHeight="1">
      <c r="A26" s="79"/>
      <c r="B26" s="62" t="s">
        <v>472</v>
      </c>
      <c r="C26" s="63"/>
      <c r="D26" s="64" t="s">
        <v>473</v>
      </c>
      <c r="E26" s="65"/>
      <c r="F26" s="65"/>
      <c r="G26" s="66"/>
      <c r="H26" s="36"/>
      <c r="I26" s="36"/>
      <c r="J26" s="35"/>
      <c r="K26" s="36"/>
      <c r="L26" s="36"/>
      <c r="M26" s="37"/>
    </row>
    <row r="27" spans="1:13" s="1" customFormat="1" ht="14.1" customHeight="1">
      <c r="A27" s="92">
        <v>13</v>
      </c>
      <c r="B27" s="51" t="s">
        <v>404</v>
      </c>
      <c r="C27" s="52"/>
      <c r="D27" s="59"/>
      <c r="E27" s="60"/>
      <c r="F27" s="60"/>
      <c r="G27" s="61"/>
      <c r="H27" s="24">
        <f>SUM(I27)-0.7</f>
        <v>12.100000000000001</v>
      </c>
      <c r="I27" s="24">
        <f>SUM(J27)-0.7</f>
        <v>12.8</v>
      </c>
      <c r="J27" s="33">
        <v>13.5</v>
      </c>
      <c r="K27" s="24">
        <f>SUM(J27)+0.7</f>
        <v>14.2</v>
      </c>
      <c r="L27" s="24">
        <f>SUM(K27)+0.7</f>
        <v>14.899999999999999</v>
      </c>
      <c r="M27" s="26">
        <f>SUM(L27)+0.7</f>
        <v>15.599999999999998</v>
      </c>
    </row>
    <row r="28" spans="1:13" s="1" customFormat="1" ht="14.1" customHeight="1">
      <c r="A28" s="79"/>
      <c r="B28" s="62" t="s">
        <v>405</v>
      </c>
      <c r="C28" s="63"/>
      <c r="D28" s="64" t="s">
        <v>478</v>
      </c>
      <c r="E28" s="65"/>
      <c r="F28" s="65"/>
      <c r="G28" s="66"/>
      <c r="H28" s="36"/>
      <c r="I28" s="36"/>
      <c r="J28" s="35"/>
      <c r="K28" s="36"/>
      <c r="L28" s="36"/>
      <c r="M28" s="37"/>
    </row>
    <row r="29" spans="1:13" s="1" customFormat="1" ht="14.1" customHeight="1">
      <c r="A29" s="92">
        <v>14</v>
      </c>
      <c r="B29" s="40" t="s">
        <v>408</v>
      </c>
      <c r="C29" s="41"/>
      <c r="D29" s="100"/>
      <c r="E29" s="101"/>
      <c r="F29" s="101"/>
      <c r="G29" s="102"/>
      <c r="H29" s="24">
        <f>SUM(I29)-0.3</f>
        <v>3.9000000000000004</v>
      </c>
      <c r="I29" s="24">
        <f>SUM(J29)-0.3</f>
        <v>4.2</v>
      </c>
      <c r="J29" s="33">
        <v>4.5</v>
      </c>
      <c r="K29" s="24">
        <f>SUM(J29)+0.3</f>
        <v>4.8</v>
      </c>
      <c r="L29" s="24">
        <f>SUM(K29)+0.3</f>
        <v>5.0999999999999996</v>
      </c>
      <c r="M29" s="26">
        <f>SUM(L29)+0.3</f>
        <v>5.3999999999999995</v>
      </c>
    </row>
    <row r="30" spans="1:13" s="1" customFormat="1" ht="14.1" customHeight="1">
      <c r="A30" s="79"/>
      <c r="B30" s="62" t="s">
        <v>409</v>
      </c>
      <c r="C30" s="63"/>
      <c r="D30" s="64" t="s">
        <v>477</v>
      </c>
      <c r="E30" s="65"/>
      <c r="F30" s="65"/>
      <c r="G30" s="66"/>
      <c r="H30" s="36"/>
      <c r="I30" s="36"/>
      <c r="J30" s="35"/>
      <c r="K30" s="36"/>
      <c r="L30" s="36"/>
      <c r="M30" s="37"/>
    </row>
    <row r="31" spans="1:13" s="1" customFormat="1" ht="14.1" customHeight="1">
      <c r="A31" s="92">
        <v>15</v>
      </c>
      <c r="B31" s="51"/>
      <c r="C31" s="52"/>
      <c r="D31" s="59"/>
      <c r="E31" s="60"/>
      <c r="F31" s="60"/>
      <c r="G31" s="61"/>
      <c r="H31" s="24"/>
      <c r="I31" s="24"/>
      <c r="J31" s="33"/>
      <c r="K31" s="24"/>
      <c r="L31" s="24"/>
      <c r="M31" s="26"/>
    </row>
    <row r="32" spans="1:13" s="1" customFormat="1" ht="14.1" customHeight="1" thickBot="1">
      <c r="A32" s="99"/>
      <c r="B32" s="104"/>
      <c r="C32" s="105"/>
      <c r="D32" s="106"/>
      <c r="E32" s="107"/>
      <c r="F32" s="107"/>
      <c r="G32" s="108"/>
      <c r="H32" s="25"/>
      <c r="I32" s="25"/>
      <c r="J32" s="34"/>
      <c r="K32" s="25"/>
      <c r="L32" s="25"/>
      <c r="M32" s="27"/>
    </row>
    <row r="33" s="1" customFormat="1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</sheetData>
  <mergeCells count="168">
    <mergeCell ref="A31:A32"/>
    <mergeCell ref="B31:C31"/>
    <mergeCell ref="D31:G31"/>
    <mergeCell ref="H31:H32"/>
    <mergeCell ref="I31:I32"/>
    <mergeCell ref="J31:J32"/>
    <mergeCell ref="K31:K32"/>
    <mergeCell ref="L31:L32"/>
    <mergeCell ref="M31:M32"/>
    <mergeCell ref="B32:C32"/>
    <mergeCell ref="D32:G32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D166E-BBF7-4E0F-AB63-D96EA9D1D6CB}">
  <sheetPr>
    <tabColor rgb="FF00B050"/>
    <pageSetUpPr fitToPage="1"/>
  </sheetPr>
  <dimension ref="A1:M47"/>
  <sheetViews>
    <sheetView zoomScale="110" zoomScaleNormal="110" workbookViewId="0">
      <selection activeCell="P14" sqref="P1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693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2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</row>
    <row r="3" spans="1:13" s="1" customFormat="1" ht="14.1" customHeight="1">
      <c r="A3" s="78">
        <v>1</v>
      </c>
      <c r="B3" s="80" t="s">
        <v>149</v>
      </c>
      <c r="C3" s="81"/>
      <c r="D3" s="74" t="s">
        <v>82</v>
      </c>
      <c r="E3" s="82"/>
      <c r="F3" s="82"/>
      <c r="G3" s="83"/>
      <c r="H3" s="24">
        <f>SUM(I3)-2.5</f>
        <v>44</v>
      </c>
      <c r="I3" s="24">
        <f>SUM(J3)-2.5</f>
        <v>46.5</v>
      </c>
      <c r="J3" s="84">
        <v>49</v>
      </c>
      <c r="K3" s="85">
        <f>SUM(J3)+2.5</f>
        <v>51.5</v>
      </c>
      <c r="L3" s="85">
        <f>SUM(K3)+2.5</f>
        <v>54</v>
      </c>
      <c r="M3" s="86">
        <f>SUM(L3)+2.5</f>
        <v>56.5</v>
      </c>
    </row>
    <row r="4" spans="1:13" s="1" customFormat="1" ht="14.1" customHeight="1">
      <c r="A4" s="79"/>
      <c r="B4" s="62" t="s">
        <v>108</v>
      </c>
      <c r="C4" s="63"/>
      <c r="D4" s="64" t="s">
        <v>83</v>
      </c>
      <c r="E4" s="65"/>
      <c r="F4" s="65"/>
      <c r="G4" s="66"/>
      <c r="H4" s="36"/>
      <c r="I4" s="36"/>
      <c r="J4" s="35"/>
      <c r="K4" s="36"/>
      <c r="L4" s="36"/>
      <c r="M4" s="87"/>
    </row>
    <row r="5" spans="1:13" s="1" customFormat="1" ht="14.1" customHeight="1">
      <c r="A5" s="92">
        <v>2</v>
      </c>
      <c r="B5" s="51" t="s">
        <v>13</v>
      </c>
      <c r="C5" s="52"/>
      <c r="D5" s="59" t="s">
        <v>14</v>
      </c>
      <c r="E5" s="60"/>
      <c r="F5" s="60"/>
      <c r="G5" s="61"/>
      <c r="H5" s="24">
        <f>SUM(I5)-3.2</f>
        <v>46.999999999999993</v>
      </c>
      <c r="I5" s="24">
        <f>SUM(J5)-3.2</f>
        <v>50.199999999999996</v>
      </c>
      <c r="J5" s="33">
        <v>53.4</v>
      </c>
      <c r="K5" s="24">
        <f>SUM(J5)+3.2</f>
        <v>56.6</v>
      </c>
      <c r="L5" s="24">
        <f>SUM(K5)+3.2</f>
        <v>59.800000000000004</v>
      </c>
      <c r="M5" s="88">
        <f>SUM(L5)+3.2</f>
        <v>63.000000000000007</v>
      </c>
    </row>
    <row r="6" spans="1:13" s="1" customFormat="1" ht="14.1" customHeight="1">
      <c r="A6" s="79"/>
      <c r="B6" s="62" t="s">
        <v>55</v>
      </c>
      <c r="C6" s="63"/>
      <c r="D6" s="64" t="s">
        <v>121</v>
      </c>
      <c r="E6" s="65"/>
      <c r="F6" s="65"/>
      <c r="G6" s="66"/>
      <c r="H6" s="36"/>
      <c r="I6" s="36"/>
      <c r="J6" s="35"/>
      <c r="K6" s="36"/>
      <c r="L6" s="36"/>
      <c r="M6" s="87"/>
    </row>
    <row r="7" spans="1:13" s="1" customFormat="1" ht="14.1" customHeight="1">
      <c r="A7" s="92">
        <v>3</v>
      </c>
      <c r="B7" s="51" t="s">
        <v>146</v>
      </c>
      <c r="C7" s="52"/>
      <c r="D7" s="59"/>
      <c r="E7" s="60"/>
      <c r="F7" s="60"/>
      <c r="G7" s="61"/>
      <c r="H7" s="24">
        <f>SUM(I7)-0.7</f>
        <v>10.600000000000001</v>
      </c>
      <c r="I7" s="24">
        <f>SUM(J7)-0.7</f>
        <v>11.3</v>
      </c>
      <c r="J7" s="33">
        <v>12</v>
      </c>
      <c r="K7" s="24">
        <f>SUM(J7)+1.2</f>
        <v>13.2</v>
      </c>
      <c r="L7" s="24">
        <f>SUM(K7)+0.7</f>
        <v>13.899999999999999</v>
      </c>
      <c r="M7" s="88">
        <f>SUM(L7)+0.7</f>
        <v>14.599999999999998</v>
      </c>
    </row>
    <row r="8" spans="1:13" s="1" customFormat="1" ht="14.1" customHeight="1">
      <c r="A8" s="79"/>
      <c r="B8" s="62" t="s">
        <v>145</v>
      </c>
      <c r="C8" s="63"/>
      <c r="D8" s="89" t="s">
        <v>159</v>
      </c>
      <c r="E8" s="90"/>
      <c r="F8" s="90"/>
      <c r="G8" s="91"/>
      <c r="H8" s="36"/>
      <c r="I8" s="36"/>
      <c r="J8" s="35"/>
      <c r="K8" s="36"/>
      <c r="L8" s="36"/>
      <c r="M8" s="87"/>
    </row>
    <row r="9" spans="1:13" s="1" customFormat="1" ht="14.1" customHeight="1">
      <c r="A9" s="92">
        <v>4</v>
      </c>
      <c r="B9" s="51" t="s">
        <v>9</v>
      </c>
      <c r="C9" s="52"/>
      <c r="D9" s="59" t="s">
        <v>84</v>
      </c>
      <c r="E9" s="60"/>
      <c r="F9" s="60"/>
      <c r="G9" s="61"/>
      <c r="H9" s="24">
        <f>SUM(I9)-7</f>
        <v>51</v>
      </c>
      <c r="I9" s="24">
        <f>SUM(J9)-7</f>
        <v>58</v>
      </c>
      <c r="J9" s="33">
        <v>65</v>
      </c>
      <c r="K9" s="24">
        <f>SUM(J9)+6</f>
        <v>71</v>
      </c>
      <c r="L9" s="24">
        <f>SUM(K9)+6</f>
        <v>77</v>
      </c>
      <c r="M9" s="88">
        <f>SUM(L9)+6</f>
        <v>83</v>
      </c>
    </row>
    <row r="10" spans="1:13" s="1" customFormat="1" ht="14.1" customHeight="1">
      <c r="A10" s="79"/>
      <c r="B10" s="62" t="s">
        <v>56</v>
      </c>
      <c r="C10" s="63"/>
      <c r="D10" s="64" t="s">
        <v>120</v>
      </c>
      <c r="E10" s="65"/>
      <c r="F10" s="65"/>
      <c r="G10" s="66"/>
      <c r="H10" s="36"/>
      <c r="I10" s="36"/>
      <c r="J10" s="35"/>
      <c r="K10" s="36"/>
      <c r="L10" s="36"/>
      <c r="M10" s="87"/>
    </row>
    <row r="11" spans="1:13" s="1" customFormat="1" ht="14.1" customHeight="1">
      <c r="A11" s="92">
        <v>5</v>
      </c>
      <c r="B11" s="51" t="s">
        <v>16</v>
      </c>
      <c r="C11" s="52"/>
      <c r="D11" s="59" t="s">
        <v>17</v>
      </c>
      <c r="E11" s="60"/>
      <c r="F11" s="60"/>
      <c r="G11" s="61"/>
      <c r="H11" s="24">
        <f>SUM(I11)-0.6</f>
        <v>15.999999999999998</v>
      </c>
      <c r="I11" s="24">
        <f>SUM(J11)-0.6</f>
        <v>16.599999999999998</v>
      </c>
      <c r="J11" s="33">
        <v>17.2</v>
      </c>
      <c r="K11" s="24">
        <f>SUM(J11)+0.6</f>
        <v>17.8</v>
      </c>
      <c r="L11" s="24">
        <f>SUM(K11)+0.6</f>
        <v>18.400000000000002</v>
      </c>
      <c r="M11" s="88">
        <f>SUM(L11)+0.6</f>
        <v>19.000000000000004</v>
      </c>
    </row>
    <row r="12" spans="1:13" s="1" customFormat="1" ht="14.1" customHeight="1">
      <c r="A12" s="79"/>
      <c r="B12" s="62" t="s">
        <v>57</v>
      </c>
      <c r="C12" s="63"/>
      <c r="D12" s="47" t="s">
        <v>119</v>
      </c>
      <c r="E12" s="48"/>
      <c r="F12" s="48"/>
      <c r="G12" s="49"/>
      <c r="H12" s="36"/>
      <c r="I12" s="36"/>
      <c r="J12" s="35"/>
      <c r="K12" s="36"/>
      <c r="L12" s="36"/>
      <c r="M12" s="87"/>
    </row>
    <row r="13" spans="1:13" s="1" customFormat="1" ht="14.1" customHeight="1">
      <c r="A13" s="92">
        <v>6</v>
      </c>
      <c r="B13" s="51" t="s">
        <v>18</v>
      </c>
      <c r="C13" s="52"/>
      <c r="D13" s="59" t="s">
        <v>15</v>
      </c>
      <c r="E13" s="60"/>
      <c r="F13" s="60"/>
      <c r="G13" s="61"/>
      <c r="H13" s="24">
        <f>SUM(I13)-1</f>
        <v>18.5</v>
      </c>
      <c r="I13" s="24">
        <f>SUM(J13)-1</f>
        <v>19.5</v>
      </c>
      <c r="J13" s="33">
        <v>20.5</v>
      </c>
      <c r="K13" s="24">
        <f>SUM(J13)+1.5</f>
        <v>22</v>
      </c>
      <c r="L13" s="24">
        <f>SUM(K13)+1</f>
        <v>23</v>
      </c>
      <c r="M13" s="88">
        <f>SUM(L13)+1</f>
        <v>24</v>
      </c>
    </row>
    <row r="14" spans="1:13" s="1" customFormat="1" ht="14.1" customHeight="1">
      <c r="A14" s="79"/>
      <c r="B14" s="62" t="s">
        <v>63</v>
      </c>
      <c r="C14" s="63"/>
      <c r="D14" s="64" t="s">
        <v>118</v>
      </c>
      <c r="E14" s="65"/>
      <c r="F14" s="65"/>
      <c r="G14" s="66"/>
      <c r="H14" s="36"/>
      <c r="I14" s="36"/>
      <c r="J14" s="35"/>
      <c r="K14" s="36"/>
      <c r="L14" s="36"/>
      <c r="M14" s="87"/>
    </row>
    <row r="15" spans="1:13" s="1" customFormat="1" ht="14.1" customHeight="1">
      <c r="A15" s="92">
        <v>7</v>
      </c>
      <c r="B15" s="51" t="s">
        <v>19</v>
      </c>
      <c r="C15" s="52"/>
      <c r="D15" s="59" t="s">
        <v>15</v>
      </c>
      <c r="E15" s="60"/>
      <c r="F15" s="60"/>
      <c r="G15" s="61"/>
      <c r="H15" s="24">
        <f>SUM(I15)-1.2</f>
        <v>21.6</v>
      </c>
      <c r="I15" s="24">
        <f>SUM(J15)-1.2</f>
        <v>22.8</v>
      </c>
      <c r="J15" s="33">
        <v>24</v>
      </c>
      <c r="K15" s="24">
        <f>SUM(J15)+1.7</f>
        <v>25.7</v>
      </c>
      <c r="L15" s="24">
        <f>SUM(K15)+1.2</f>
        <v>26.9</v>
      </c>
      <c r="M15" s="88">
        <f>SUM(L15)+1.2</f>
        <v>28.099999999999998</v>
      </c>
    </row>
    <row r="16" spans="1:13" s="1" customFormat="1" ht="14.1" customHeight="1">
      <c r="A16" s="79"/>
      <c r="B16" s="62" t="s">
        <v>62</v>
      </c>
      <c r="C16" s="63"/>
      <c r="D16" s="64" t="s">
        <v>118</v>
      </c>
      <c r="E16" s="65"/>
      <c r="F16" s="65"/>
      <c r="G16" s="66"/>
      <c r="H16" s="36"/>
      <c r="I16" s="36"/>
      <c r="J16" s="35"/>
      <c r="K16" s="36"/>
      <c r="L16" s="36"/>
      <c r="M16" s="87"/>
    </row>
    <row r="17" spans="1:13" s="1" customFormat="1" ht="14.1" customHeight="1">
      <c r="A17" s="92">
        <v>8</v>
      </c>
      <c r="B17" s="51" t="s">
        <v>20</v>
      </c>
      <c r="C17" s="52"/>
      <c r="D17" s="59" t="s">
        <v>21</v>
      </c>
      <c r="E17" s="60"/>
      <c r="F17" s="60"/>
      <c r="G17" s="61"/>
      <c r="H17" s="24">
        <f>SUM(I17)-2.1</f>
        <v>26.199999999999996</v>
      </c>
      <c r="I17" s="24">
        <f>SUM(J17)-2.1</f>
        <v>28.299999999999997</v>
      </c>
      <c r="J17" s="33">
        <v>30.4</v>
      </c>
      <c r="K17" s="24">
        <f>SUM(J17)+2.1</f>
        <v>32.5</v>
      </c>
      <c r="L17" s="24">
        <f>SUM(K17)+2.1</f>
        <v>34.6</v>
      </c>
      <c r="M17" s="88">
        <f>SUM(L17)+2.1</f>
        <v>36.700000000000003</v>
      </c>
    </row>
    <row r="18" spans="1:13" s="1" customFormat="1" ht="14.1" customHeight="1">
      <c r="A18" s="79"/>
      <c r="B18" s="62" t="s">
        <v>61</v>
      </c>
      <c r="C18" s="63"/>
      <c r="D18" s="64" t="s">
        <v>117</v>
      </c>
      <c r="E18" s="65"/>
      <c r="F18" s="65"/>
      <c r="G18" s="66"/>
      <c r="H18" s="36"/>
      <c r="I18" s="36"/>
      <c r="J18" s="35"/>
      <c r="K18" s="36"/>
      <c r="L18" s="36"/>
      <c r="M18" s="87"/>
    </row>
    <row r="19" spans="1:13" s="1" customFormat="1" ht="14.1" customHeight="1">
      <c r="A19" s="92">
        <v>9</v>
      </c>
      <c r="B19" s="51" t="s">
        <v>22</v>
      </c>
      <c r="C19" s="52"/>
      <c r="D19" s="59" t="s">
        <v>23</v>
      </c>
      <c r="E19" s="60"/>
      <c r="F19" s="60"/>
      <c r="G19" s="61"/>
      <c r="H19" s="24">
        <f>SUM(I19)-6</f>
        <v>33.299999999999997</v>
      </c>
      <c r="I19" s="24">
        <f>SUM(J19)-6</f>
        <v>39.299999999999997</v>
      </c>
      <c r="J19" s="33">
        <v>45.3</v>
      </c>
      <c r="K19" s="24">
        <f>SUM(J19)+4.5</f>
        <v>49.8</v>
      </c>
      <c r="L19" s="24">
        <f>SUM(K19)+5</f>
        <v>54.8</v>
      </c>
      <c r="M19" s="88">
        <f>SUM(L19)+5</f>
        <v>59.8</v>
      </c>
    </row>
    <row r="20" spans="1:13" s="1" customFormat="1" ht="14.1" customHeight="1">
      <c r="A20" s="79"/>
      <c r="B20" s="62" t="s">
        <v>60</v>
      </c>
      <c r="C20" s="63"/>
      <c r="D20" s="64" t="s">
        <v>116</v>
      </c>
      <c r="E20" s="65"/>
      <c r="F20" s="65"/>
      <c r="G20" s="66"/>
      <c r="H20" s="36"/>
      <c r="I20" s="36"/>
      <c r="J20" s="35"/>
      <c r="K20" s="36"/>
      <c r="L20" s="36"/>
      <c r="M20" s="87"/>
    </row>
    <row r="21" spans="1:13" s="1" customFormat="1" ht="14.1" customHeight="1">
      <c r="A21" s="92">
        <v>10</v>
      </c>
      <c r="B21" s="51" t="s">
        <v>115</v>
      </c>
      <c r="C21" s="52"/>
      <c r="D21" s="59" t="s">
        <v>113</v>
      </c>
      <c r="E21" s="60"/>
      <c r="F21" s="60"/>
      <c r="G21" s="61"/>
      <c r="H21" s="24">
        <f>SUM(I21)-0.9</f>
        <v>18.900000000000002</v>
      </c>
      <c r="I21" s="24">
        <f>SUM(J21)-0.9</f>
        <v>19.8</v>
      </c>
      <c r="J21" s="33">
        <v>20.7</v>
      </c>
      <c r="K21" s="24">
        <f>SUM(J21)+0.9</f>
        <v>21.599999999999998</v>
      </c>
      <c r="L21" s="24">
        <f>SUM(K21)+0.9</f>
        <v>22.499999999999996</v>
      </c>
      <c r="M21" s="88">
        <f>SUM(L21)+0.9</f>
        <v>23.399999999999995</v>
      </c>
    </row>
    <row r="22" spans="1:13" s="1" customFormat="1" ht="14.1" customHeight="1">
      <c r="A22" s="79"/>
      <c r="B22" s="62" t="s">
        <v>114</v>
      </c>
      <c r="C22" s="63"/>
      <c r="D22" s="64" t="s">
        <v>113</v>
      </c>
      <c r="E22" s="65"/>
      <c r="F22" s="65"/>
      <c r="G22" s="66"/>
      <c r="H22" s="36"/>
      <c r="I22" s="36"/>
      <c r="J22" s="35"/>
      <c r="K22" s="36"/>
      <c r="L22" s="36"/>
      <c r="M22" s="87"/>
    </row>
    <row r="23" spans="1:13" s="1" customFormat="1" ht="14.1" customHeight="1">
      <c r="A23" s="92">
        <v>11</v>
      </c>
      <c r="B23" s="51" t="s">
        <v>112</v>
      </c>
      <c r="C23" s="52"/>
      <c r="D23" s="59" t="s">
        <v>111</v>
      </c>
      <c r="E23" s="60"/>
      <c r="F23" s="60"/>
      <c r="G23" s="61"/>
      <c r="H23" s="24">
        <f>SUM(I23)-3.6</f>
        <v>33.199999999999996</v>
      </c>
      <c r="I23" s="24">
        <f>SUM(J23)-3.6</f>
        <v>36.799999999999997</v>
      </c>
      <c r="J23" s="33">
        <v>40.4</v>
      </c>
      <c r="K23" s="24">
        <f>SUM(J23)+3.5</f>
        <v>43.9</v>
      </c>
      <c r="L23" s="24">
        <f>SUM(K23)+3.2</f>
        <v>47.1</v>
      </c>
      <c r="M23" s="88">
        <f>SUM(L23)+3.2</f>
        <v>50.300000000000004</v>
      </c>
    </row>
    <row r="24" spans="1:13" s="1" customFormat="1" ht="14.1" customHeight="1" thickBot="1">
      <c r="A24" s="99"/>
      <c r="B24" s="104" t="s">
        <v>110</v>
      </c>
      <c r="C24" s="105"/>
      <c r="D24" s="106" t="s">
        <v>109</v>
      </c>
      <c r="E24" s="107"/>
      <c r="F24" s="107"/>
      <c r="G24" s="108"/>
      <c r="H24" s="25"/>
      <c r="I24" s="25"/>
      <c r="J24" s="34"/>
      <c r="K24" s="25"/>
      <c r="L24" s="25"/>
      <c r="M24" s="103"/>
    </row>
    <row r="25" spans="1:13" s="1" customFormat="1" ht="14.1" customHeight="1"/>
    <row r="26" spans="1:13" s="1" customFormat="1" ht="14.1" customHeight="1">
      <c r="A26"/>
      <c r="B26"/>
      <c r="C26"/>
      <c r="D26"/>
      <c r="E26"/>
      <c r="F26"/>
      <c r="G26"/>
      <c r="H26"/>
      <c r="I26"/>
      <c r="J26"/>
      <c r="K26"/>
      <c r="L26"/>
      <c r="M26"/>
    </row>
    <row r="27" spans="1:13" s="1" customFormat="1" ht="14.1" customHeight="1">
      <c r="A27"/>
      <c r="B27"/>
      <c r="C27"/>
      <c r="D27"/>
      <c r="E27"/>
      <c r="F27"/>
      <c r="G27"/>
      <c r="H27"/>
      <c r="I27"/>
      <c r="J27"/>
      <c r="K27"/>
      <c r="L27"/>
      <c r="M27"/>
    </row>
    <row r="28" spans="1:13" s="1" customFormat="1" ht="14.1" customHeight="1">
      <c r="A28"/>
      <c r="B28"/>
      <c r="C28"/>
      <c r="D28"/>
      <c r="E28"/>
      <c r="F28"/>
      <c r="G28"/>
      <c r="H28"/>
      <c r="I28"/>
      <c r="J28"/>
      <c r="K28"/>
      <c r="L28"/>
      <c r="M28"/>
    </row>
    <row r="29" spans="1:13" s="1" customFormat="1" ht="14.1" customHeight="1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13" s="1" customFormat="1" ht="14.1" customHeight="1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13" s="1" customFormat="1" ht="14.1" customHeight="1">
      <c r="A31"/>
      <c r="B31"/>
      <c r="C31"/>
      <c r="D31"/>
      <c r="E31"/>
      <c r="F31"/>
      <c r="G31"/>
      <c r="H31"/>
      <c r="I31"/>
      <c r="J31"/>
      <c r="K31"/>
      <c r="L31"/>
      <c r="M31"/>
    </row>
    <row r="32" spans="1:13" s="1" customFormat="1" ht="14.1" customHeight="1">
      <c r="A32"/>
      <c r="B32"/>
      <c r="C32"/>
      <c r="D32"/>
      <c r="E32"/>
      <c r="F32"/>
      <c r="G32"/>
      <c r="H32"/>
      <c r="I32"/>
      <c r="J32"/>
      <c r="K32"/>
      <c r="L32"/>
      <c r="M32"/>
    </row>
    <row r="33" spans="1:13" s="1" customFormat="1" ht="14.1" customHeight="1">
      <c r="A33"/>
      <c r="B33"/>
      <c r="C33"/>
      <c r="D33"/>
      <c r="E33"/>
      <c r="F33"/>
      <c r="G33"/>
      <c r="H33"/>
      <c r="I33"/>
      <c r="J33"/>
      <c r="K33"/>
      <c r="L33"/>
      <c r="M33"/>
    </row>
    <row r="34" spans="1:13" ht="14.1" customHeight="1"/>
    <row r="35" spans="1:13" ht="14.1" customHeight="1"/>
    <row r="36" spans="1:13" ht="14.1" customHeight="1"/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</sheetData>
  <mergeCells count="124"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7CD20-F4C4-46B0-A799-3597174BBCAA}">
  <sheetPr>
    <tabColor rgb="FF00B050"/>
    <pageSetUpPr fitToPage="1"/>
  </sheetPr>
  <dimension ref="A1:O61"/>
  <sheetViews>
    <sheetView zoomScale="110" zoomScaleNormal="110" workbookViewId="0">
      <selection activeCell="B38" sqref="B38:C3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401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2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</row>
    <row r="3" spans="1:13" s="1" customFormat="1" ht="14.1" customHeight="1">
      <c r="A3" s="78">
        <v>1</v>
      </c>
      <c r="B3" s="80" t="s">
        <v>149</v>
      </c>
      <c r="C3" s="81"/>
      <c r="D3" s="74" t="s">
        <v>82</v>
      </c>
      <c r="E3" s="82"/>
      <c r="F3" s="82"/>
      <c r="G3" s="83"/>
      <c r="H3" s="58">
        <f>SUM(I3)-3</f>
        <v>45</v>
      </c>
      <c r="I3" s="24">
        <f>SUM(J3)-3</f>
        <v>48</v>
      </c>
      <c r="J3" s="84">
        <v>51</v>
      </c>
      <c r="K3" s="85">
        <f>SUM(J3)+3</f>
        <v>54</v>
      </c>
      <c r="L3" s="85">
        <f>SUM(K3)+3</f>
        <v>57</v>
      </c>
      <c r="M3" s="109">
        <f>SUM(L3)+3</f>
        <v>60</v>
      </c>
    </row>
    <row r="4" spans="1:13" s="1" customFormat="1" ht="14.1" customHeight="1">
      <c r="A4" s="79"/>
      <c r="B4" s="62" t="s">
        <v>108</v>
      </c>
      <c r="C4" s="63"/>
      <c r="D4" s="64" t="s">
        <v>83</v>
      </c>
      <c r="E4" s="65"/>
      <c r="F4" s="65"/>
      <c r="G4" s="66"/>
      <c r="H4" s="56"/>
      <c r="I4" s="36"/>
      <c r="J4" s="35"/>
      <c r="K4" s="36"/>
      <c r="L4" s="36"/>
      <c r="M4" s="37"/>
    </row>
    <row r="5" spans="1:13" s="1" customFormat="1" ht="14.1" customHeight="1">
      <c r="A5" s="92">
        <v>2</v>
      </c>
      <c r="B5" s="40" t="s">
        <v>165</v>
      </c>
      <c r="C5" s="41"/>
      <c r="D5" s="100"/>
      <c r="E5" s="101"/>
      <c r="F5" s="101"/>
      <c r="G5" s="102"/>
      <c r="H5" s="58"/>
      <c r="I5" s="24"/>
      <c r="J5" s="117"/>
      <c r="K5" s="50"/>
      <c r="L5" s="50"/>
      <c r="M5" s="113"/>
    </row>
    <row r="6" spans="1:13" s="1" customFormat="1" ht="14.1" customHeight="1">
      <c r="A6" s="79"/>
      <c r="B6" s="62" t="s">
        <v>164</v>
      </c>
      <c r="C6" s="63"/>
      <c r="D6" s="64"/>
      <c r="E6" s="65"/>
      <c r="F6" s="65"/>
      <c r="G6" s="66"/>
      <c r="H6" s="56"/>
      <c r="I6" s="36"/>
      <c r="J6" s="35"/>
      <c r="K6" s="36"/>
      <c r="L6" s="36"/>
      <c r="M6" s="37"/>
    </row>
    <row r="7" spans="1:13" s="1" customFormat="1" ht="14.1" customHeight="1">
      <c r="A7" s="92">
        <v>3</v>
      </c>
      <c r="B7" s="40" t="s">
        <v>148</v>
      </c>
      <c r="C7" s="41"/>
      <c r="D7" s="100"/>
      <c r="E7" s="101"/>
      <c r="F7" s="101"/>
      <c r="G7" s="102"/>
      <c r="H7" s="58"/>
      <c r="I7" s="24"/>
      <c r="J7" s="117"/>
      <c r="K7" s="50"/>
      <c r="L7" s="50"/>
      <c r="M7" s="113"/>
    </row>
    <row r="8" spans="1:13" s="1" customFormat="1" ht="14.1" customHeight="1">
      <c r="A8" s="79"/>
      <c r="B8" s="62" t="s">
        <v>147</v>
      </c>
      <c r="C8" s="63"/>
      <c r="D8" s="64"/>
      <c r="E8" s="65"/>
      <c r="F8" s="65"/>
      <c r="G8" s="66"/>
      <c r="H8" s="56"/>
      <c r="I8" s="36"/>
      <c r="J8" s="35"/>
      <c r="K8" s="36"/>
      <c r="L8" s="36"/>
      <c r="M8" s="37"/>
    </row>
    <row r="9" spans="1:13" s="1" customFormat="1" ht="14.1" customHeight="1">
      <c r="A9" s="92">
        <v>4</v>
      </c>
      <c r="B9" s="51" t="s">
        <v>163</v>
      </c>
      <c r="C9" s="52"/>
      <c r="D9" s="118"/>
      <c r="E9" s="119"/>
      <c r="F9" s="119"/>
      <c r="G9" s="120"/>
      <c r="H9" s="24"/>
      <c r="I9" s="24"/>
      <c r="J9" s="117"/>
      <c r="K9" s="50"/>
      <c r="L9" s="50"/>
      <c r="M9" s="113"/>
    </row>
    <row r="10" spans="1:13" s="1" customFormat="1" ht="14.1" customHeight="1">
      <c r="A10" s="79"/>
      <c r="B10" s="62" t="s">
        <v>162</v>
      </c>
      <c r="C10" s="63"/>
      <c r="D10" s="114"/>
      <c r="E10" s="115"/>
      <c r="F10" s="115"/>
      <c r="G10" s="116"/>
      <c r="H10" s="36"/>
      <c r="I10" s="36"/>
      <c r="J10" s="35"/>
      <c r="K10" s="36"/>
      <c r="L10" s="36"/>
      <c r="M10" s="37"/>
    </row>
    <row r="11" spans="1:13" s="1" customFormat="1" ht="14.1" customHeight="1">
      <c r="A11" s="92">
        <v>5</v>
      </c>
      <c r="B11" s="51" t="s">
        <v>157</v>
      </c>
      <c r="C11" s="52"/>
      <c r="D11" s="100"/>
      <c r="E11" s="101"/>
      <c r="F11" s="101"/>
      <c r="G11" s="102"/>
      <c r="H11" s="24">
        <f>SUM(I11)-4.5</f>
        <v>63</v>
      </c>
      <c r="I11" s="24">
        <f>SUM(J11)-4.5</f>
        <v>67.5</v>
      </c>
      <c r="J11" s="117">
        <v>72</v>
      </c>
      <c r="K11" s="50">
        <f>SUM(J11)+4.5</f>
        <v>76.5</v>
      </c>
      <c r="L11" s="50">
        <f>SUM(K11)+4.5</f>
        <v>81</v>
      </c>
      <c r="M11" s="113">
        <f>SUM(L11)+4.5</f>
        <v>85.5</v>
      </c>
    </row>
    <row r="12" spans="1:13" s="1" customFormat="1" ht="14.1" customHeight="1">
      <c r="A12" s="79"/>
      <c r="B12" s="62" t="s">
        <v>158</v>
      </c>
      <c r="C12" s="63"/>
      <c r="D12" s="64"/>
      <c r="E12" s="65"/>
      <c r="F12" s="65"/>
      <c r="G12" s="66"/>
      <c r="H12" s="36"/>
      <c r="I12" s="36"/>
      <c r="J12" s="35"/>
      <c r="K12" s="36"/>
      <c r="L12" s="36"/>
      <c r="M12" s="37"/>
    </row>
    <row r="13" spans="1:13" s="1" customFormat="1" ht="14.1" customHeight="1">
      <c r="A13" s="92">
        <v>6</v>
      </c>
      <c r="B13" s="51" t="s">
        <v>13</v>
      </c>
      <c r="C13" s="52"/>
      <c r="D13" s="59" t="s">
        <v>182</v>
      </c>
      <c r="E13" s="60"/>
      <c r="F13" s="60"/>
      <c r="G13" s="61"/>
      <c r="H13" s="24">
        <f>SUM(I13)-5</f>
        <v>66.3</v>
      </c>
      <c r="I13" s="24">
        <f>SUM(J13)-5</f>
        <v>71.3</v>
      </c>
      <c r="J13" s="33">
        <v>76.3</v>
      </c>
      <c r="K13" s="24">
        <f>SUM(J13)+5</f>
        <v>81.3</v>
      </c>
      <c r="L13" s="24">
        <f>SUM(K13)+5</f>
        <v>86.3</v>
      </c>
      <c r="M13" s="26">
        <f>SUM(L13)+5</f>
        <v>91.3</v>
      </c>
    </row>
    <row r="14" spans="1:13" s="1" customFormat="1" ht="14.1" customHeight="1">
      <c r="A14" s="79"/>
      <c r="B14" s="62" t="s">
        <v>55</v>
      </c>
      <c r="C14" s="63"/>
      <c r="D14" s="64" t="s">
        <v>121</v>
      </c>
      <c r="E14" s="65"/>
      <c r="F14" s="65"/>
      <c r="G14" s="66"/>
      <c r="H14" s="36"/>
      <c r="I14" s="36"/>
      <c r="J14" s="35"/>
      <c r="K14" s="36"/>
      <c r="L14" s="36"/>
      <c r="M14" s="37"/>
    </row>
    <row r="15" spans="1:13" s="1" customFormat="1" ht="14.1" customHeight="1">
      <c r="A15" s="92">
        <v>7</v>
      </c>
      <c r="B15" s="51" t="s">
        <v>146</v>
      </c>
      <c r="C15" s="52"/>
      <c r="D15" s="59"/>
      <c r="E15" s="60"/>
      <c r="F15" s="60"/>
      <c r="G15" s="61"/>
      <c r="H15" s="58">
        <f>SUM(I15)-0.7</f>
        <v>13.400000000000002</v>
      </c>
      <c r="I15" s="24">
        <f>SUM(J15)-0.7</f>
        <v>14.100000000000001</v>
      </c>
      <c r="J15" s="33">
        <v>14.8</v>
      </c>
      <c r="K15" s="24">
        <f>SUM(J15)+1.2</f>
        <v>16</v>
      </c>
      <c r="L15" s="24">
        <f>SUM(K15)+0.7</f>
        <v>16.7</v>
      </c>
      <c r="M15" s="111">
        <f>SUM(L15)+0.7</f>
        <v>17.399999999999999</v>
      </c>
    </row>
    <row r="16" spans="1:13" s="1" customFormat="1" ht="14.1" customHeight="1">
      <c r="A16" s="79"/>
      <c r="B16" s="62" t="s">
        <v>145</v>
      </c>
      <c r="C16" s="63"/>
      <c r="D16" s="89" t="s">
        <v>161</v>
      </c>
      <c r="E16" s="90"/>
      <c r="F16" s="90"/>
      <c r="G16" s="91"/>
      <c r="H16" s="56"/>
      <c r="I16" s="36"/>
      <c r="J16" s="35"/>
      <c r="K16" s="36"/>
      <c r="L16" s="36"/>
      <c r="M16" s="112"/>
    </row>
    <row r="17" spans="1:15" s="1" customFormat="1" ht="14.1" customHeight="1">
      <c r="A17" s="92">
        <v>8</v>
      </c>
      <c r="B17" s="51" t="s">
        <v>166</v>
      </c>
      <c r="C17" s="52"/>
      <c r="D17" s="59"/>
      <c r="E17" s="60"/>
      <c r="F17" s="60"/>
      <c r="G17" s="61"/>
      <c r="H17" s="58"/>
      <c r="I17" s="24"/>
      <c r="J17" s="33"/>
      <c r="K17" s="24"/>
      <c r="L17" s="24"/>
      <c r="M17" s="111"/>
    </row>
    <row r="18" spans="1:15" s="1" customFormat="1" ht="14.1" customHeight="1">
      <c r="A18" s="79"/>
      <c r="B18" s="62" t="s">
        <v>167</v>
      </c>
      <c r="C18" s="63"/>
      <c r="D18" s="89" t="s">
        <v>168</v>
      </c>
      <c r="E18" s="90"/>
      <c r="F18" s="90"/>
      <c r="G18" s="91"/>
      <c r="H18" s="56"/>
      <c r="I18" s="36"/>
      <c r="J18" s="35"/>
      <c r="K18" s="36"/>
      <c r="L18" s="36"/>
      <c r="M18" s="112"/>
    </row>
    <row r="19" spans="1:15" s="1" customFormat="1" ht="14.1" customHeight="1">
      <c r="A19" s="92">
        <v>9</v>
      </c>
      <c r="B19" s="51" t="s">
        <v>178</v>
      </c>
      <c r="C19" s="52"/>
      <c r="D19" s="59"/>
      <c r="E19" s="60"/>
      <c r="F19" s="60"/>
      <c r="G19" s="61"/>
      <c r="H19" s="24"/>
      <c r="I19" s="24"/>
      <c r="J19" s="33"/>
      <c r="K19" s="24"/>
      <c r="L19" s="24"/>
      <c r="M19" s="26"/>
    </row>
    <row r="20" spans="1:15" s="1" customFormat="1" ht="14.1" customHeight="1">
      <c r="A20" s="79"/>
      <c r="B20" s="62" t="s">
        <v>177</v>
      </c>
      <c r="C20" s="63"/>
      <c r="D20" s="89"/>
      <c r="E20" s="90"/>
      <c r="F20" s="90"/>
      <c r="G20" s="91"/>
      <c r="H20" s="36"/>
      <c r="I20" s="36"/>
      <c r="J20" s="35"/>
      <c r="K20" s="36"/>
      <c r="L20" s="36"/>
      <c r="M20" s="37"/>
    </row>
    <row r="21" spans="1:15" s="1" customFormat="1" ht="14.1" customHeight="1">
      <c r="A21" s="92">
        <v>10</v>
      </c>
      <c r="B21" s="51" t="s">
        <v>9</v>
      </c>
      <c r="C21" s="52"/>
      <c r="D21" s="59" t="s">
        <v>84</v>
      </c>
      <c r="E21" s="60"/>
      <c r="F21" s="60"/>
      <c r="G21" s="61"/>
      <c r="H21" s="24">
        <f>SUM(I21)-7</f>
        <v>52</v>
      </c>
      <c r="I21" s="24">
        <f>SUM(J21)-7</f>
        <v>59</v>
      </c>
      <c r="J21" s="33">
        <v>66</v>
      </c>
      <c r="K21" s="24">
        <f>SUM(J21)+6</f>
        <v>72</v>
      </c>
      <c r="L21" s="24">
        <f>SUM(K21)+6</f>
        <v>78</v>
      </c>
      <c r="M21" s="26">
        <f>SUM(L21)+6</f>
        <v>84</v>
      </c>
    </row>
    <row r="22" spans="1:15" s="1" customFormat="1" ht="14.1" customHeight="1">
      <c r="A22" s="79"/>
      <c r="B22" s="62" t="s">
        <v>56</v>
      </c>
      <c r="C22" s="63"/>
      <c r="D22" s="64" t="s">
        <v>120</v>
      </c>
      <c r="E22" s="65"/>
      <c r="F22" s="65"/>
      <c r="G22" s="66"/>
      <c r="H22" s="36"/>
      <c r="I22" s="36"/>
      <c r="J22" s="35"/>
      <c r="K22" s="36"/>
      <c r="L22" s="36"/>
      <c r="M22" s="37"/>
      <c r="O22" s="1">
        <v>45</v>
      </c>
    </row>
    <row r="23" spans="1:15" s="1" customFormat="1" ht="14.1" customHeight="1">
      <c r="A23" s="92">
        <v>11</v>
      </c>
      <c r="B23" s="51" t="s">
        <v>16</v>
      </c>
      <c r="C23" s="52"/>
      <c r="D23" s="59" t="s">
        <v>17</v>
      </c>
      <c r="E23" s="60"/>
      <c r="F23" s="60"/>
      <c r="G23" s="61"/>
      <c r="H23" s="24">
        <f>SUM(I23)-2</f>
        <v>33</v>
      </c>
      <c r="I23" s="24">
        <f>SUM(J23)-2</f>
        <v>35</v>
      </c>
      <c r="J23" s="33">
        <v>37</v>
      </c>
      <c r="K23" s="24">
        <f>SUM(J23)+2</f>
        <v>39</v>
      </c>
      <c r="L23" s="24">
        <f>SUM(K23)+2</f>
        <v>41</v>
      </c>
      <c r="M23" s="26">
        <f>SUM(L23)+2</f>
        <v>43</v>
      </c>
    </row>
    <row r="24" spans="1:15" s="1" customFormat="1" ht="14.1" customHeight="1">
      <c r="A24" s="79"/>
      <c r="B24" s="62" t="s">
        <v>57</v>
      </c>
      <c r="C24" s="63"/>
      <c r="D24" s="47" t="s">
        <v>119</v>
      </c>
      <c r="E24" s="48"/>
      <c r="F24" s="48"/>
      <c r="G24" s="49"/>
      <c r="H24" s="36"/>
      <c r="I24" s="36"/>
      <c r="J24" s="35"/>
      <c r="K24" s="36"/>
      <c r="L24" s="36"/>
      <c r="M24" s="37"/>
    </row>
    <row r="25" spans="1:15" s="1" customFormat="1" ht="14.1" customHeight="1">
      <c r="A25" s="92">
        <v>12</v>
      </c>
      <c r="B25" s="51" t="s">
        <v>18</v>
      </c>
      <c r="C25" s="52"/>
      <c r="D25" s="59" t="s">
        <v>15</v>
      </c>
      <c r="E25" s="60"/>
      <c r="F25" s="60"/>
      <c r="G25" s="61"/>
      <c r="H25" s="58">
        <f>SUM(I25)-1.1</f>
        <v>21.099999999999998</v>
      </c>
      <c r="I25" s="24">
        <f>SUM(J25)-1.1</f>
        <v>22.2</v>
      </c>
      <c r="J25" s="33">
        <v>23.3</v>
      </c>
      <c r="K25" s="24">
        <f>SUM(J25)+1.6</f>
        <v>24.900000000000002</v>
      </c>
      <c r="L25" s="24">
        <f>SUM(K25)+1.1</f>
        <v>26.000000000000004</v>
      </c>
      <c r="M25" s="111">
        <f>SUM(L25)+1.1</f>
        <v>27.100000000000005</v>
      </c>
    </row>
    <row r="26" spans="1:15" s="1" customFormat="1" ht="14.1" customHeight="1">
      <c r="A26" s="79"/>
      <c r="B26" s="62" t="s">
        <v>63</v>
      </c>
      <c r="C26" s="63"/>
      <c r="D26" s="64" t="s">
        <v>118</v>
      </c>
      <c r="E26" s="65"/>
      <c r="F26" s="65"/>
      <c r="G26" s="66"/>
      <c r="H26" s="56"/>
      <c r="I26" s="36"/>
      <c r="J26" s="35"/>
      <c r="K26" s="36"/>
      <c r="L26" s="36"/>
      <c r="M26" s="112"/>
    </row>
    <row r="27" spans="1:15" s="1" customFormat="1" ht="14.1" customHeight="1">
      <c r="A27" s="92">
        <v>13</v>
      </c>
      <c r="B27" s="51" t="s">
        <v>19</v>
      </c>
      <c r="C27" s="52"/>
      <c r="D27" s="59" t="s">
        <v>15</v>
      </c>
      <c r="E27" s="60"/>
      <c r="F27" s="60"/>
      <c r="G27" s="61"/>
      <c r="H27" s="58">
        <f>SUM(I27)-1.3</f>
        <v>28.5</v>
      </c>
      <c r="I27" s="24">
        <f>SUM(J27)-1.3</f>
        <v>29.8</v>
      </c>
      <c r="J27" s="33">
        <v>31.1</v>
      </c>
      <c r="K27" s="24">
        <f>SUM(J27)+1.8</f>
        <v>32.9</v>
      </c>
      <c r="L27" s="24">
        <f>SUM(K27)+1.3</f>
        <v>34.199999999999996</v>
      </c>
      <c r="M27" s="111">
        <f>SUM(L27)+1.3</f>
        <v>35.499999999999993</v>
      </c>
    </row>
    <row r="28" spans="1:15" s="1" customFormat="1" ht="14.1" customHeight="1">
      <c r="A28" s="79"/>
      <c r="B28" s="62" t="s">
        <v>62</v>
      </c>
      <c r="C28" s="63"/>
      <c r="D28" s="64" t="s">
        <v>118</v>
      </c>
      <c r="E28" s="65"/>
      <c r="F28" s="65"/>
      <c r="G28" s="66"/>
      <c r="H28" s="56"/>
      <c r="I28" s="36"/>
      <c r="J28" s="35"/>
      <c r="K28" s="36"/>
      <c r="L28" s="36"/>
      <c r="M28" s="112"/>
    </row>
    <row r="29" spans="1:15" s="1" customFormat="1" ht="14.1" customHeight="1">
      <c r="A29" s="92">
        <v>14</v>
      </c>
      <c r="B29" s="51" t="s">
        <v>20</v>
      </c>
      <c r="C29" s="52"/>
      <c r="D29" s="59" t="s">
        <v>21</v>
      </c>
      <c r="E29" s="60"/>
      <c r="F29" s="60"/>
      <c r="G29" s="61"/>
      <c r="H29" s="24">
        <f>SUM(I29)-3.1</f>
        <v>41.699999999999996</v>
      </c>
      <c r="I29" s="24">
        <f>SUM(J29)-3.1</f>
        <v>44.8</v>
      </c>
      <c r="J29" s="33">
        <v>47.9</v>
      </c>
      <c r="K29" s="24">
        <f>SUM(J29)+3</f>
        <v>50.9</v>
      </c>
      <c r="L29" s="24">
        <f>SUM(K29)+3.1</f>
        <v>54</v>
      </c>
      <c r="M29" s="26">
        <f>SUM(L29)+3.1</f>
        <v>57.1</v>
      </c>
    </row>
    <row r="30" spans="1:15" s="1" customFormat="1" ht="14.1" customHeight="1">
      <c r="A30" s="79"/>
      <c r="B30" s="62" t="s">
        <v>61</v>
      </c>
      <c r="C30" s="63"/>
      <c r="D30" s="64" t="s">
        <v>117</v>
      </c>
      <c r="E30" s="65"/>
      <c r="F30" s="65"/>
      <c r="G30" s="66"/>
      <c r="H30" s="36"/>
      <c r="I30" s="36"/>
      <c r="J30" s="35"/>
      <c r="K30" s="36"/>
      <c r="L30" s="36"/>
      <c r="M30" s="37"/>
    </row>
    <row r="31" spans="1:15" s="1" customFormat="1" ht="14.1" customHeight="1">
      <c r="A31" s="92">
        <v>15</v>
      </c>
      <c r="B31" s="51" t="s">
        <v>22</v>
      </c>
      <c r="C31" s="52"/>
      <c r="D31" s="59" t="s">
        <v>23</v>
      </c>
      <c r="E31" s="60"/>
      <c r="F31" s="60"/>
      <c r="G31" s="61"/>
      <c r="H31" s="24">
        <f>SUM(I31)-6</f>
        <v>31.6</v>
      </c>
      <c r="I31" s="24">
        <f>SUM(J31)-6</f>
        <v>37.6</v>
      </c>
      <c r="J31" s="33">
        <v>43.6</v>
      </c>
      <c r="K31" s="24">
        <f>SUM(J31)+4.5</f>
        <v>48.1</v>
      </c>
      <c r="L31" s="24">
        <f>SUM(K31)+5</f>
        <v>53.1</v>
      </c>
      <c r="M31" s="26">
        <f>SUM(L31)+5</f>
        <v>58.1</v>
      </c>
    </row>
    <row r="32" spans="1:15" s="1" customFormat="1" ht="14.1" customHeight="1">
      <c r="A32" s="79"/>
      <c r="B32" s="62" t="s">
        <v>60</v>
      </c>
      <c r="C32" s="63"/>
      <c r="D32" s="64" t="s">
        <v>116</v>
      </c>
      <c r="E32" s="65"/>
      <c r="F32" s="65"/>
      <c r="G32" s="66"/>
      <c r="H32" s="36"/>
      <c r="I32" s="36"/>
      <c r="J32" s="35"/>
      <c r="K32" s="36"/>
      <c r="L32" s="36"/>
      <c r="M32" s="37"/>
    </row>
    <row r="33" spans="1:13" s="1" customFormat="1" ht="14.1" customHeight="1">
      <c r="A33" s="92">
        <v>16</v>
      </c>
      <c r="B33" s="51" t="s">
        <v>115</v>
      </c>
      <c r="C33" s="52"/>
      <c r="D33" s="59" t="s">
        <v>113</v>
      </c>
      <c r="E33" s="60"/>
      <c r="F33" s="60"/>
      <c r="G33" s="61"/>
      <c r="H33" s="24">
        <f>SUM(I33)-2.3</f>
        <v>37.500000000000007</v>
      </c>
      <c r="I33" s="24">
        <f>SUM(J33)-2.3</f>
        <v>39.800000000000004</v>
      </c>
      <c r="J33" s="33">
        <v>42.1</v>
      </c>
      <c r="K33" s="24">
        <f>SUM(J33)+2.3</f>
        <v>44.4</v>
      </c>
      <c r="L33" s="24">
        <f>SUM(K33)+2.3</f>
        <v>46.699999999999996</v>
      </c>
      <c r="M33" s="26">
        <f>SUM(L33)+2.2</f>
        <v>48.9</v>
      </c>
    </row>
    <row r="34" spans="1:13" s="1" customFormat="1" ht="14.1" customHeight="1">
      <c r="A34" s="79"/>
      <c r="B34" s="62" t="s">
        <v>114</v>
      </c>
      <c r="C34" s="63"/>
      <c r="D34" s="64" t="s">
        <v>113</v>
      </c>
      <c r="E34" s="65"/>
      <c r="F34" s="65"/>
      <c r="G34" s="66"/>
      <c r="H34" s="36"/>
      <c r="I34" s="36"/>
      <c r="J34" s="35"/>
      <c r="K34" s="36"/>
      <c r="L34" s="36"/>
      <c r="M34" s="37"/>
    </row>
    <row r="35" spans="1:13" s="1" customFormat="1" ht="14.1" customHeight="1">
      <c r="A35" s="92">
        <v>17</v>
      </c>
      <c r="B35" s="51" t="s">
        <v>112</v>
      </c>
      <c r="C35" s="52"/>
      <c r="D35" s="59" t="s">
        <v>111</v>
      </c>
      <c r="E35" s="60"/>
      <c r="F35" s="60"/>
      <c r="G35" s="61"/>
      <c r="H35" s="24">
        <f>SUM(I35)-3.4</f>
        <v>32.800000000000004</v>
      </c>
      <c r="I35" s="24">
        <f>SUM(J35)-3.4</f>
        <v>36.200000000000003</v>
      </c>
      <c r="J35" s="33">
        <v>39.6</v>
      </c>
      <c r="K35" s="24">
        <f>SUM(J35)+3.3</f>
        <v>42.9</v>
      </c>
      <c r="L35" s="24">
        <f>SUM(K35)+3</f>
        <v>45.9</v>
      </c>
      <c r="M35" s="26">
        <f>SUM(L35)+3</f>
        <v>48.9</v>
      </c>
    </row>
    <row r="36" spans="1:13" s="1" customFormat="1" ht="14.1" customHeight="1">
      <c r="A36" s="79"/>
      <c r="B36" s="62" t="s">
        <v>110</v>
      </c>
      <c r="C36" s="63"/>
      <c r="D36" s="64" t="s">
        <v>160</v>
      </c>
      <c r="E36" s="65"/>
      <c r="F36" s="65"/>
      <c r="G36" s="66"/>
      <c r="H36" s="36"/>
      <c r="I36" s="36"/>
      <c r="J36" s="35"/>
      <c r="K36" s="36"/>
      <c r="L36" s="36"/>
      <c r="M36" s="37"/>
    </row>
    <row r="37" spans="1:13" s="1" customFormat="1" ht="14.1" customHeight="1">
      <c r="A37" s="92">
        <v>18</v>
      </c>
      <c r="B37" s="51" t="s">
        <v>402</v>
      </c>
      <c r="C37" s="52"/>
      <c r="D37" s="59"/>
      <c r="E37" s="60"/>
      <c r="F37" s="60"/>
      <c r="G37" s="61"/>
      <c r="H37" s="24">
        <f>SUM(I37)-0.7</f>
        <v>14.900000000000002</v>
      </c>
      <c r="I37" s="24">
        <f>SUM(J37)-0.7</f>
        <v>15.600000000000001</v>
      </c>
      <c r="J37" s="33">
        <v>16.3</v>
      </c>
      <c r="K37" s="24">
        <f>SUM(J37)+0.7</f>
        <v>17</v>
      </c>
      <c r="L37" s="24">
        <f>SUM(K37)+0.7</f>
        <v>17.7</v>
      </c>
      <c r="M37" s="26">
        <f>SUM(L37)+0.7</f>
        <v>18.399999999999999</v>
      </c>
    </row>
    <row r="38" spans="1:13" s="1" customFormat="1" ht="14.1" customHeight="1">
      <c r="A38" s="79"/>
      <c r="B38" s="62" t="s">
        <v>403</v>
      </c>
      <c r="C38" s="63"/>
      <c r="D38" s="64" t="s">
        <v>161</v>
      </c>
      <c r="E38" s="65"/>
      <c r="F38" s="65"/>
      <c r="G38" s="66"/>
      <c r="H38" s="36"/>
      <c r="I38" s="36"/>
      <c r="J38" s="35"/>
      <c r="K38" s="36"/>
      <c r="L38" s="36"/>
      <c r="M38" s="37"/>
    </row>
    <row r="39" spans="1:13" s="1" customFormat="1" ht="14.1" customHeight="1">
      <c r="A39" s="92">
        <v>19</v>
      </c>
      <c r="B39" s="51" t="s">
        <v>402</v>
      </c>
      <c r="C39" s="52"/>
      <c r="D39" s="59"/>
      <c r="E39" s="60"/>
      <c r="F39" s="60"/>
      <c r="G39" s="61"/>
      <c r="H39" s="24">
        <f>SUM(I39)-0.8</f>
        <v>14.7</v>
      </c>
      <c r="I39" s="24">
        <f>SUM(J39)-0.8</f>
        <v>15.5</v>
      </c>
      <c r="J39" s="33">
        <v>16.3</v>
      </c>
      <c r="K39" s="24">
        <f>SUM(J39)+0.8</f>
        <v>17.100000000000001</v>
      </c>
      <c r="L39" s="24">
        <f>SUM(K39)+0.8</f>
        <v>17.900000000000002</v>
      </c>
      <c r="M39" s="26">
        <f>SUM(L39)+0.8</f>
        <v>18.700000000000003</v>
      </c>
    </row>
    <row r="40" spans="1:13" s="1" customFormat="1" ht="14.1" customHeight="1">
      <c r="A40" s="79"/>
      <c r="B40" s="62" t="s">
        <v>406</v>
      </c>
      <c r="C40" s="63"/>
      <c r="D40" s="64" t="s">
        <v>161</v>
      </c>
      <c r="E40" s="65"/>
      <c r="F40" s="65"/>
      <c r="G40" s="66"/>
      <c r="H40" s="36"/>
      <c r="I40" s="36"/>
      <c r="J40" s="35"/>
      <c r="K40" s="36"/>
      <c r="L40" s="36"/>
      <c r="M40" s="37"/>
    </row>
    <row r="41" spans="1:13" s="1" customFormat="1" ht="14.1" customHeight="1">
      <c r="A41" s="92">
        <v>20</v>
      </c>
      <c r="B41" s="51" t="s">
        <v>404</v>
      </c>
      <c r="C41" s="52"/>
      <c r="D41" s="59"/>
      <c r="E41" s="60"/>
      <c r="F41" s="60"/>
      <c r="G41" s="61"/>
      <c r="H41" s="24">
        <f>SUM(I41)-0.4</f>
        <v>5.6999999999999993</v>
      </c>
      <c r="I41" s="24">
        <f>SUM(J41)-0.4</f>
        <v>6.1</v>
      </c>
      <c r="J41" s="23">
        <v>6.5</v>
      </c>
      <c r="K41" s="21">
        <f>SUM(J41)-0.1</f>
        <v>6.4</v>
      </c>
      <c r="L41" s="21">
        <f>SUM(K41)+0.4</f>
        <v>6.8000000000000007</v>
      </c>
      <c r="M41" s="22">
        <f>SUM(L41)+0.4</f>
        <v>7.2000000000000011</v>
      </c>
    </row>
    <row r="42" spans="1:13" s="1" customFormat="1" ht="14.1" customHeight="1">
      <c r="A42" s="79"/>
      <c r="B42" s="62" t="s">
        <v>405</v>
      </c>
      <c r="C42" s="63"/>
      <c r="D42" s="64" t="s">
        <v>407</v>
      </c>
      <c r="E42" s="65"/>
      <c r="F42" s="65"/>
      <c r="G42" s="66"/>
      <c r="H42" s="36"/>
      <c r="I42" s="36"/>
      <c r="J42" s="23"/>
      <c r="K42" s="21"/>
      <c r="L42" s="21"/>
      <c r="M42" s="22"/>
    </row>
    <row r="43" spans="1:13" s="1" customFormat="1" ht="14.1" customHeight="1">
      <c r="A43" s="92">
        <v>21</v>
      </c>
      <c r="B43" s="51" t="s">
        <v>408</v>
      </c>
      <c r="C43" s="52"/>
      <c r="D43" s="59"/>
      <c r="E43" s="60"/>
      <c r="F43" s="60"/>
      <c r="G43" s="61"/>
      <c r="H43" s="24">
        <f>SUM(I43)-0.4</f>
        <v>5.6999999999999993</v>
      </c>
      <c r="I43" s="24">
        <f>SUM(J43)-0.4</f>
        <v>6.1</v>
      </c>
      <c r="J43" s="23">
        <v>6.5</v>
      </c>
      <c r="K43" s="21">
        <f>SUM(J43)+0.4</f>
        <v>6.9</v>
      </c>
      <c r="L43" s="21">
        <f>SUM(K43)+0.4</f>
        <v>7.3000000000000007</v>
      </c>
      <c r="M43" s="22">
        <f>SUM(L43)+0.4</f>
        <v>7.7000000000000011</v>
      </c>
    </row>
    <row r="44" spans="1:13" s="1" customFormat="1" ht="13.5" customHeight="1">
      <c r="A44" s="79"/>
      <c r="B44" s="62" t="s">
        <v>409</v>
      </c>
      <c r="C44" s="63"/>
      <c r="D44" s="64" t="s">
        <v>407</v>
      </c>
      <c r="E44" s="65"/>
      <c r="F44" s="65"/>
      <c r="G44" s="66"/>
      <c r="H44" s="36"/>
      <c r="I44" s="36"/>
      <c r="J44" s="23"/>
      <c r="K44" s="21"/>
      <c r="L44" s="21"/>
      <c r="M44" s="22"/>
    </row>
    <row r="45" spans="1:13" s="1" customFormat="1" ht="13.5" customHeight="1">
      <c r="A45" s="92">
        <v>22</v>
      </c>
      <c r="B45" s="51" t="s">
        <v>280</v>
      </c>
      <c r="C45" s="52"/>
      <c r="D45" s="59"/>
      <c r="E45" s="60"/>
      <c r="F45" s="60"/>
      <c r="G45" s="61"/>
      <c r="H45" s="24">
        <f>SUM(I45)-0.6</f>
        <v>11.8</v>
      </c>
      <c r="I45" s="24">
        <f>SUM(J45)-0.6</f>
        <v>12.4</v>
      </c>
      <c r="J45" s="33">
        <v>13</v>
      </c>
      <c r="K45" s="24">
        <f>SUM(J45)+0.6</f>
        <v>13.6</v>
      </c>
      <c r="L45" s="24">
        <f>SUM(K45)+0.6</f>
        <v>14.2</v>
      </c>
      <c r="M45" s="26">
        <f>SUM(L45)+0.6</f>
        <v>14.799999999999999</v>
      </c>
    </row>
    <row r="46" spans="1:13" s="1" customFormat="1" ht="13.5" customHeight="1">
      <c r="A46" s="79"/>
      <c r="B46" s="45" t="s">
        <v>281</v>
      </c>
      <c r="C46" s="46"/>
      <c r="D46" s="64"/>
      <c r="E46" s="65"/>
      <c r="F46" s="65"/>
      <c r="G46" s="66"/>
      <c r="H46" s="36"/>
      <c r="I46" s="36"/>
      <c r="J46" s="35"/>
      <c r="K46" s="36"/>
      <c r="L46" s="36"/>
      <c r="M46" s="37"/>
    </row>
    <row r="47" spans="1:13" s="1" customFormat="1" ht="13.5" customHeight="1">
      <c r="A47" s="92">
        <v>23</v>
      </c>
      <c r="B47" s="51" t="s">
        <v>282</v>
      </c>
      <c r="C47" s="52"/>
      <c r="D47" s="57"/>
      <c r="E47" s="57"/>
      <c r="F47" s="57"/>
      <c r="G47" s="57"/>
      <c r="H47" s="24">
        <f>SUM(I47)-0.2</f>
        <v>4.0999999999999996</v>
      </c>
      <c r="I47" s="24">
        <f>SUM(J47)-0.2</f>
        <v>4.3</v>
      </c>
      <c r="J47" s="33">
        <v>4.5</v>
      </c>
      <c r="K47" s="24">
        <f>SUM(J47)+0.2</f>
        <v>4.7</v>
      </c>
      <c r="L47" s="24">
        <f>SUM(K47)+0.2</f>
        <v>4.9000000000000004</v>
      </c>
      <c r="M47" s="26">
        <f>SUM(L47)+0.2</f>
        <v>5.1000000000000005</v>
      </c>
    </row>
    <row r="48" spans="1:13" s="1" customFormat="1" ht="13.5" customHeight="1">
      <c r="A48" s="79"/>
      <c r="B48" s="56" t="s">
        <v>283</v>
      </c>
      <c r="C48" s="56"/>
      <c r="D48" s="47"/>
      <c r="E48" s="48"/>
      <c r="F48" s="48"/>
      <c r="G48" s="49"/>
      <c r="H48" s="36"/>
      <c r="I48" s="36"/>
      <c r="J48" s="35"/>
      <c r="K48" s="36"/>
      <c r="L48" s="36"/>
      <c r="M48" s="37"/>
    </row>
    <row r="49" spans="1:13" s="1" customFormat="1" ht="13.5" customHeight="1">
      <c r="A49" s="92">
        <v>24</v>
      </c>
      <c r="B49" s="51" t="s">
        <v>410</v>
      </c>
      <c r="C49" s="52"/>
      <c r="D49" s="57"/>
      <c r="E49" s="57"/>
      <c r="F49" s="57"/>
      <c r="G49" s="57"/>
      <c r="H49" s="24">
        <f>SUM(I49)-0.6</f>
        <v>11.3</v>
      </c>
      <c r="I49" s="24">
        <f>SUM(J49)-0.6</f>
        <v>11.9</v>
      </c>
      <c r="J49" s="33">
        <v>12.5</v>
      </c>
      <c r="K49" s="24">
        <f>SUM(J49)+0.6</f>
        <v>13.1</v>
      </c>
      <c r="L49" s="24">
        <f>SUM(K49)+0.6</f>
        <v>13.7</v>
      </c>
      <c r="M49" s="26">
        <f>SUM(L49)+0.6</f>
        <v>14.299999999999999</v>
      </c>
    </row>
    <row r="50" spans="1:13" s="1" customFormat="1" ht="13.5" customHeight="1">
      <c r="A50" s="79"/>
      <c r="B50" s="56" t="s">
        <v>411</v>
      </c>
      <c r="C50" s="56"/>
      <c r="D50" s="47"/>
      <c r="E50" s="48"/>
      <c r="F50" s="48"/>
      <c r="G50" s="49"/>
      <c r="H50" s="36"/>
      <c r="I50" s="36"/>
      <c r="J50" s="35"/>
      <c r="K50" s="36"/>
      <c r="L50" s="36"/>
      <c r="M50" s="37"/>
    </row>
    <row r="51" spans="1:13" s="1" customFormat="1" ht="13.5" customHeight="1">
      <c r="A51" s="92">
        <v>25</v>
      </c>
      <c r="B51" s="51" t="s">
        <v>138</v>
      </c>
      <c r="C51" s="52"/>
      <c r="D51" s="57"/>
      <c r="E51" s="57"/>
      <c r="F51" s="57"/>
      <c r="G51" s="57"/>
      <c r="H51" s="24">
        <f>SUM(I51)-0.6</f>
        <v>11.600000000000001</v>
      </c>
      <c r="I51" s="24">
        <f>SUM(J51)-0.6</f>
        <v>12.200000000000001</v>
      </c>
      <c r="J51" s="33">
        <v>12.8</v>
      </c>
      <c r="K51" s="24">
        <f>SUM(J51)+0.6</f>
        <v>13.4</v>
      </c>
      <c r="L51" s="24">
        <f>SUM(K51)+0.6</f>
        <v>14</v>
      </c>
      <c r="M51" s="26">
        <f>SUM(L51)+0.6</f>
        <v>14.6</v>
      </c>
    </row>
    <row r="52" spans="1:13" s="1" customFormat="1" ht="13.5" customHeight="1">
      <c r="A52" s="79"/>
      <c r="B52" s="45" t="s">
        <v>412</v>
      </c>
      <c r="C52" s="46"/>
      <c r="D52" s="47"/>
      <c r="E52" s="48"/>
      <c r="F52" s="48"/>
      <c r="G52" s="49"/>
      <c r="H52" s="36"/>
      <c r="I52" s="36"/>
      <c r="J52" s="35"/>
      <c r="K52" s="36"/>
      <c r="L52" s="36"/>
      <c r="M52" s="37"/>
    </row>
    <row r="53" spans="1:13" ht="13.5" customHeight="1">
      <c r="A53" s="92">
        <v>26</v>
      </c>
      <c r="B53" s="51"/>
      <c r="C53" s="52"/>
      <c r="D53" s="57"/>
      <c r="E53" s="57"/>
      <c r="F53" s="57"/>
      <c r="G53" s="57"/>
      <c r="H53" s="24"/>
      <c r="I53" s="24"/>
      <c r="J53" s="33"/>
      <c r="K53" s="24"/>
      <c r="L53" s="24"/>
      <c r="M53" s="26"/>
    </row>
    <row r="54" spans="1:13" ht="13.5" customHeight="1" thickBot="1">
      <c r="A54" s="99"/>
      <c r="B54" s="110"/>
      <c r="C54" s="110"/>
      <c r="D54" s="30"/>
      <c r="E54" s="31"/>
      <c r="F54" s="31"/>
      <c r="G54" s="32"/>
      <c r="H54" s="25"/>
      <c r="I54" s="25"/>
      <c r="J54" s="34"/>
      <c r="K54" s="25"/>
      <c r="L54" s="25"/>
      <c r="M54" s="27"/>
    </row>
    <row r="55" spans="1:13" ht="13.5" customHeight="1"/>
    <row r="56" spans="1:13" ht="13.5" customHeight="1"/>
    <row r="57" spans="1:13" ht="13.5" customHeight="1"/>
    <row r="58" spans="1:13" ht="13.5" customHeight="1"/>
    <row r="59" spans="1:13" ht="13.5" customHeight="1"/>
    <row r="60" spans="1:13" ht="13.5" customHeight="1"/>
    <row r="61" spans="1:13" ht="13.5" customHeight="1"/>
  </sheetData>
  <mergeCells count="289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41:A42"/>
    <mergeCell ref="B41:C41"/>
    <mergeCell ref="D41:G41"/>
    <mergeCell ref="H41:H42"/>
    <mergeCell ref="I41:I42"/>
    <mergeCell ref="A37:A38"/>
    <mergeCell ref="B37:C37"/>
    <mergeCell ref="D37:G37"/>
    <mergeCell ref="H37:H38"/>
    <mergeCell ref="I37:I38"/>
    <mergeCell ref="A39:A40"/>
    <mergeCell ref="J41:J42"/>
    <mergeCell ref="K41:K42"/>
    <mergeCell ref="L41:L42"/>
    <mergeCell ref="M41:M42"/>
    <mergeCell ref="B42:C42"/>
    <mergeCell ref="D42:G42"/>
    <mergeCell ref="K37:K38"/>
    <mergeCell ref="L37:L38"/>
    <mergeCell ref="M37:M38"/>
    <mergeCell ref="B38:C38"/>
    <mergeCell ref="D38:G38"/>
    <mergeCell ref="J37:J38"/>
    <mergeCell ref="K39:K40"/>
    <mergeCell ref="L39:L40"/>
    <mergeCell ref="M39:M40"/>
    <mergeCell ref="B40:C40"/>
    <mergeCell ref="D40:G40"/>
    <mergeCell ref="B39:C39"/>
    <mergeCell ref="D39:G39"/>
    <mergeCell ref="H39:H40"/>
    <mergeCell ref="I39:I40"/>
    <mergeCell ref="J39:J40"/>
    <mergeCell ref="A45:A46"/>
    <mergeCell ref="B45:C45"/>
    <mergeCell ref="D45:G45"/>
    <mergeCell ref="H45:H46"/>
    <mergeCell ref="I45:I46"/>
    <mergeCell ref="A43:A44"/>
    <mergeCell ref="B43:C43"/>
    <mergeCell ref="D43:G43"/>
    <mergeCell ref="H43:H44"/>
    <mergeCell ref="I43:I44"/>
    <mergeCell ref="J45:J46"/>
    <mergeCell ref="K45:K46"/>
    <mergeCell ref="L45:L46"/>
    <mergeCell ref="M45:M46"/>
    <mergeCell ref="B46:C46"/>
    <mergeCell ref="D46:G46"/>
    <mergeCell ref="K43:K44"/>
    <mergeCell ref="L43:L44"/>
    <mergeCell ref="M43:M44"/>
    <mergeCell ref="B44:C44"/>
    <mergeCell ref="D44:G44"/>
    <mergeCell ref="J43:J44"/>
    <mergeCell ref="A49:A50"/>
    <mergeCell ref="B49:C49"/>
    <mergeCell ref="D49:G49"/>
    <mergeCell ref="H49:H50"/>
    <mergeCell ref="I49:I50"/>
    <mergeCell ref="A47:A48"/>
    <mergeCell ref="B47:C47"/>
    <mergeCell ref="D47:G47"/>
    <mergeCell ref="H47:H48"/>
    <mergeCell ref="I47:I48"/>
    <mergeCell ref="J49:J50"/>
    <mergeCell ref="K49:K50"/>
    <mergeCell ref="L49:L50"/>
    <mergeCell ref="M49:M50"/>
    <mergeCell ref="B50:C50"/>
    <mergeCell ref="D50:G50"/>
    <mergeCell ref="K47:K48"/>
    <mergeCell ref="L47:L48"/>
    <mergeCell ref="M47:M48"/>
    <mergeCell ref="B48:C48"/>
    <mergeCell ref="D48:G48"/>
    <mergeCell ref="J47:J48"/>
    <mergeCell ref="A53:A54"/>
    <mergeCell ref="B53:C53"/>
    <mergeCell ref="D53:G53"/>
    <mergeCell ref="H53:H54"/>
    <mergeCell ref="I53:I54"/>
    <mergeCell ref="A51:A52"/>
    <mergeCell ref="B51:C51"/>
    <mergeCell ref="D51:G51"/>
    <mergeCell ref="H51:H52"/>
    <mergeCell ref="I51:I52"/>
    <mergeCell ref="J53:J54"/>
    <mergeCell ref="K53:K54"/>
    <mergeCell ref="L53:L54"/>
    <mergeCell ref="M53:M54"/>
    <mergeCell ref="B54:C54"/>
    <mergeCell ref="D54:G54"/>
    <mergeCell ref="K51:K52"/>
    <mergeCell ref="L51:L52"/>
    <mergeCell ref="M51:M52"/>
    <mergeCell ref="B52:C52"/>
    <mergeCell ref="D52:G52"/>
    <mergeCell ref="J51:J52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AF098-ADBF-4522-854B-58687899BD30}">
  <sheetPr>
    <tabColor rgb="FF00B050"/>
    <pageSetUpPr fitToPage="1"/>
  </sheetPr>
  <dimension ref="A1:M61"/>
  <sheetViews>
    <sheetView topLeftCell="A13" zoomScale="110" zoomScaleNormal="110" workbookViewId="0">
      <selection activeCell="I11" sqref="I11:I1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423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2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</row>
    <row r="3" spans="1:13" s="1" customFormat="1" ht="14.1" customHeight="1">
      <c r="A3" s="78">
        <v>1</v>
      </c>
      <c r="B3" s="80" t="s">
        <v>149</v>
      </c>
      <c r="C3" s="81"/>
      <c r="D3" s="74" t="s">
        <v>82</v>
      </c>
      <c r="E3" s="82"/>
      <c r="F3" s="82"/>
      <c r="G3" s="83"/>
      <c r="H3" s="58">
        <f>SUM(I3)-3</f>
        <v>45</v>
      </c>
      <c r="I3" s="24">
        <f>SUM(J3)-3</f>
        <v>48</v>
      </c>
      <c r="J3" s="84">
        <v>51</v>
      </c>
      <c r="K3" s="85">
        <f>SUM(J3)+3</f>
        <v>54</v>
      </c>
      <c r="L3" s="85">
        <f>SUM(K3)+3</f>
        <v>57</v>
      </c>
      <c r="M3" s="109">
        <f>SUM(L3)+3</f>
        <v>60</v>
      </c>
    </row>
    <row r="4" spans="1:13" s="1" customFormat="1" ht="14.1" customHeight="1">
      <c r="A4" s="79"/>
      <c r="B4" s="62" t="s">
        <v>108</v>
      </c>
      <c r="C4" s="63"/>
      <c r="D4" s="64" t="s">
        <v>83</v>
      </c>
      <c r="E4" s="65"/>
      <c r="F4" s="65"/>
      <c r="G4" s="66"/>
      <c r="H4" s="56"/>
      <c r="I4" s="36"/>
      <c r="J4" s="35"/>
      <c r="K4" s="36"/>
      <c r="L4" s="36"/>
      <c r="M4" s="37"/>
    </row>
    <row r="5" spans="1:13" s="1" customFormat="1" ht="14.1" customHeight="1">
      <c r="A5" s="92">
        <v>2</v>
      </c>
      <c r="B5" s="40" t="s">
        <v>165</v>
      </c>
      <c r="C5" s="41"/>
      <c r="D5" s="100"/>
      <c r="E5" s="101"/>
      <c r="F5" s="101"/>
      <c r="G5" s="102"/>
      <c r="H5" s="58"/>
      <c r="I5" s="24"/>
      <c r="J5" s="117"/>
      <c r="K5" s="50"/>
      <c r="L5" s="50"/>
      <c r="M5" s="113"/>
    </row>
    <row r="6" spans="1:13" s="1" customFormat="1" ht="14.1" customHeight="1">
      <c r="A6" s="79"/>
      <c r="B6" s="62" t="s">
        <v>164</v>
      </c>
      <c r="C6" s="63"/>
      <c r="D6" s="64"/>
      <c r="E6" s="65"/>
      <c r="F6" s="65"/>
      <c r="G6" s="66"/>
      <c r="H6" s="56"/>
      <c r="I6" s="36"/>
      <c r="J6" s="35"/>
      <c r="K6" s="36"/>
      <c r="L6" s="36"/>
      <c r="M6" s="37"/>
    </row>
    <row r="7" spans="1:13" s="1" customFormat="1" ht="14.1" customHeight="1">
      <c r="A7" s="92">
        <v>3</v>
      </c>
      <c r="B7" s="40" t="s">
        <v>148</v>
      </c>
      <c r="C7" s="41"/>
      <c r="D7" s="100"/>
      <c r="E7" s="101"/>
      <c r="F7" s="101"/>
      <c r="G7" s="102"/>
      <c r="H7" s="58"/>
      <c r="I7" s="24"/>
      <c r="J7" s="117"/>
      <c r="K7" s="50"/>
      <c r="L7" s="50"/>
      <c r="M7" s="113"/>
    </row>
    <row r="8" spans="1:13" s="1" customFormat="1" ht="14.1" customHeight="1">
      <c r="A8" s="79"/>
      <c r="B8" s="62" t="s">
        <v>147</v>
      </c>
      <c r="C8" s="63"/>
      <c r="D8" s="64"/>
      <c r="E8" s="65"/>
      <c r="F8" s="65"/>
      <c r="G8" s="66"/>
      <c r="H8" s="56"/>
      <c r="I8" s="36"/>
      <c r="J8" s="35"/>
      <c r="K8" s="36"/>
      <c r="L8" s="36"/>
      <c r="M8" s="37"/>
    </row>
    <row r="9" spans="1:13" s="1" customFormat="1" ht="14.1" customHeight="1">
      <c r="A9" s="92">
        <v>4</v>
      </c>
      <c r="B9" s="51" t="s">
        <v>163</v>
      </c>
      <c r="C9" s="52"/>
      <c r="D9" s="118"/>
      <c r="E9" s="119"/>
      <c r="F9" s="119"/>
      <c r="G9" s="120"/>
      <c r="H9" s="24"/>
      <c r="I9" s="24"/>
      <c r="J9" s="117"/>
      <c r="K9" s="50"/>
      <c r="L9" s="50"/>
      <c r="M9" s="113"/>
    </row>
    <row r="10" spans="1:13" s="1" customFormat="1" ht="14.1" customHeight="1">
      <c r="A10" s="79"/>
      <c r="B10" s="62" t="s">
        <v>162</v>
      </c>
      <c r="C10" s="63"/>
      <c r="D10" s="114"/>
      <c r="E10" s="115"/>
      <c r="F10" s="115"/>
      <c r="G10" s="116"/>
      <c r="H10" s="36"/>
      <c r="I10" s="36"/>
      <c r="J10" s="35"/>
      <c r="K10" s="36"/>
      <c r="L10" s="36"/>
      <c r="M10" s="37"/>
    </row>
    <row r="11" spans="1:13" s="1" customFormat="1" ht="14.1" customHeight="1">
      <c r="A11" s="92">
        <v>5</v>
      </c>
      <c r="B11" s="51" t="s">
        <v>157</v>
      </c>
      <c r="C11" s="52"/>
      <c r="D11" s="100"/>
      <c r="E11" s="101"/>
      <c r="F11" s="101"/>
      <c r="G11" s="102"/>
      <c r="H11" s="24">
        <f>SUM(I11)-4.5</f>
        <v>66</v>
      </c>
      <c r="I11" s="24">
        <f>SUM(J11)-4.5</f>
        <v>70.5</v>
      </c>
      <c r="J11" s="117">
        <v>75</v>
      </c>
      <c r="K11" s="50">
        <f>SUM(J11)+4.5</f>
        <v>79.5</v>
      </c>
      <c r="L11" s="50">
        <f>SUM(K11)+4.5</f>
        <v>84</v>
      </c>
      <c r="M11" s="113">
        <f>SUM(L11)+4.5</f>
        <v>88.5</v>
      </c>
    </row>
    <row r="12" spans="1:13" s="1" customFormat="1" ht="14.1" customHeight="1">
      <c r="A12" s="79"/>
      <c r="B12" s="62" t="s">
        <v>158</v>
      </c>
      <c r="C12" s="63"/>
      <c r="D12" s="64"/>
      <c r="E12" s="65"/>
      <c r="F12" s="65"/>
      <c r="G12" s="66"/>
      <c r="H12" s="36"/>
      <c r="I12" s="36"/>
      <c r="J12" s="35"/>
      <c r="K12" s="36"/>
      <c r="L12" s="36"/>
      <c r="M12" s="37"/>
    </row>
    <row r="13" spans="1:13" s="1" customFormat="1" ht="14.1" customHeight="1">
      <c r="A13" s="92">
        <v>6</v>
      </c>
      <c r="B13" s="51" t="s">
        <v>13</v>
      </c>
      <c r="C13" s="52"/>
      <c r="D13" s="59" t="s">
        <v>182</v>
      </c>
      <c r="E13" s="60"/>
      <c r="F13" s="60"/>
      <c r="G13" s="61"/>
      <c r="H13" s="24">
        <f>SUM(I13)-5</f>
        <v>70</v>
      </c>
      <c r="I13" s="24">
        <f>SUM(J13)-5</f>
        <v>75</v>
      </c>
      <c r="J13" s="33">
        <v>80</v>
      </c>
      <c r="K13" s="24">
        <f>SUM(J13)+5</f>
        <v>85</v>
      </c>
      <c r="L13" s="24">
        <f>SUM(K13)+5</f>
        <v>90</v>
      </c>
      <c r="M13" s="26">
        <f>SUM(L13)+5</f>
        <v>95</v>
      </c>
    </row>
    <row r="14" spans="1:13" s="1" customFormat="1" ht="14.1" customHeight="1">
      <c r="A14" s="79"/>
      <c r="B14" s="62" t="s">
        <v>55</v>
      </c>
      <c r="C14" s="63"/>
      <c r="D14" s="64" t="s">
        <v>121</v>
      </c>
      <c r="E14" s="65"/>
      <c r="F14" s="65"/>
      <c r="G14" s="66"/>
      <c r="H14" s="36"/>
      <c r="I14" s="36"/>
      <c r="J14" s="35"/>
      <c r="K14" s="36"/>
      <c r="L14" s="36"/>
      <c r="M14" s="37"/>
    </row>
    <row r="15" spans="1:13" s="1" customFormat="1" ht="14.1" customHeight="1">
      <c r="A15" s="92">
        <v>7</v>
      </c>
      <c r="B15" s="51" t="s">
        <v>146</v>
      </c>
      <c r="C15" s="52"/>
      <c r="D15" s="59"/>
      <c r="E15" s="60"/>
      <c r="F15" s="60"/>
      <c r="G15" s="61"/>
      <c r="H15" s="58">
        <f>SUM(I15)-0.7</f>
        <v>14.400000000000002</v>
      </c>
      <c r="I15" s="24">
        <f>SUM(J15)-0.7</f>
        <v>15.100000000000001</v>
      </c>
      <c r="J15" s="33">
        <v>15.8</v>
      </c>
      <c r="K15" s="24">
        <f>SUM(J15)+1.2</f>
        <v>17</v>
      </c>
      <c r="L15" s="24">
        <f>SUM(K15)+0.7</f>
        <v>17.7</v>
      </c>
      <c r="M15" s="111">
        <f>SUM(L15)+0.7</f>
        <v>18.399999999999999</v>
      </c>
    </row>
    <row r="16" spans="1:13" s="1" customFormat="1" ht="14.1" customHeight="1">
      <c r="A16" s="79"/>
      <c r="B16" s="62" t="s">
        <v>145</v>
      </c>
      <c r="C16" s="63"/>
      <c r="D16" s="89" t="s">
        <v>161</v>
      </c>
      <c r="E16" s="90"/>
      <c r="F16" s="90"/>
      <c r="G16" s="91"/>
      <c r="H16" s="56"/>
      <c r="I16" s="36"/>
      <c r="J16" s="35"/>
      <c r="K16" s="36"/>
      <c r="L16" s="36"/>
      <c r="M16" s="112"/>
    </row>
    <row r="17" spans="1:13" s="1" customFormat="1" ht="14.1" customHeight="1">
      <c r="A17" s="92">
        <v>8</v>
      </c>
      <c r="B17" s="51" t="s">
        <v>166</v>
      </c>
      <c r="C17" s="52"/>
      <c r="D17" s="59"/>
      <c r="E17" s="60"/>
      <c r="F17" s="60"/>
      <c r="G17" s="61"/>
      <c r="H17" s="58"/>
      <c r="I17" s="24"/>
      <c r="J17" s="33"/>
      <c r="K17" s="24"/>
      <c r="L17" s="24"/>
      <c r="M17" s="111"/>
    </row>
    <row r="18" spans="1:13" s="1" customFormat="1" ht="14.1" customHeight="1">
      <c r="A18" s="79"/>
      <c r="B18" s="62" t="s">
        <v>167</v>
      </c>
      <c r="C18" s="63"/>
      <c r="D18" s="89" t="s">
        <v>168</v>
      </c>
      <c r="E18" s="90"/>
      <c r="F18" s="90"/>
      <c r="G18" s="91"/>
      <c r="H18" s="56"/>
      <c r="I18" s="36"/>
      <c r="J18" s="35"/>
      <c r="K18" s="36"/>
      <c r="L18" s="36"/>
      <c r="M18" s="112"/>
    </row>
    <row r="19" spans="1:13" s="1" customFormat="1" ht="14.1" customHeight="1">
      <c r="A19" s="92">
        <v>9</v>
      </c>
      <c r="B19" s="51" t="s">
        <v>178</v>
      </c>
      <c r="C19" s="52"/>
      <c r="D19" s="59"/>
      <c r="E19" s="60"/>
      <c r="F19" s="60"/>
      <c r="G19" s="61"/>
      <c r="H19" s="24"/>
      <c r="I19" s="24"/>
      <c r="J19" s="33"/>
      <c r="K19" s="24"/>
      <c r="L19" s="24"/>
      <c r="M19" s="26"/>
    </row>
    <row r="20" spans="1:13" s="1" customFormat="1" ht="14.1" customHeight="1">
      <c r="A20" s="79"/>
      <c r="B20" s="62" t="s">
        <v>177</v>
      </c>
      <c r="C20" s="63"/>
      <c r="D20" s="89"/>
      <c r="E20" s="90"/>
      <c r="F20" s="90"/>
      <c r="G20" s="91"/>
      <c r="H20" s="36"/>
      <c r="I20" s="36"/>
      <c r="J20" s="35"/>
      <c r="K20" s="36"/>
      <c r="L20" s="36"/>
      <c r="M20" s="37"/>
    </row>
    <row r="21" spans="1:13" s="1" customFormat="1" ht="14.1" customHeight="1">
      <c r="A21" s="92">
        <v>10</v>
      </c>
      <c r="B21" s="51" t="s">
        <v>9</v>
      </c>
      <c r="C21" s="52"/>
      <c r="D21" s="59" t="s">
        <v>84</v>
      </c>
      <c r="E21" s="60"/>
      <c r="F21" s="60"/>
      <c r="G21" s="61"/>
      <c r="H21" s="24">
        <f>SUM(I21)-7</f>
        <v>53</v>
      </c>
      <c r="I21" s="24">
        <f>SUM(J21)-7</f>
        <v>60</v>
      </c>
      <c r="J21" s="33">
        <v>67</v>
      </c>
      <c r="K21" s="24">
        <f>SUM(J21)+6</f>
        <v>73</v>
      </c>
      <c r="L21" s="24">
        <f>SUM(K21)+6</f>
        <v>79</v>
      </c>
      <c r="M21" s="26">
        <f>SUM(L21)+6</f>
        <v>85</v>
      </c>
    </row>
    <row r="22" spans="1:13" s="1" customFormat="1" ht="14.1" customHeight="1">
      <c r="A22" s="79"/>
      <c r="B22" s="62" t="s">
        <v>56</v>
      </c>
      <c r="C22" s="63"/>
      <c r="D22" s="64" t="s">
        <v>120</v>
      </c>
      <c r="E22" s="65"/>
      <c r="F22" s="65"/>
      <c r="G22" s="66"/>
      <c r="H22" s="36"/>
      <c r="I22" s="36"/>
      <c r="J22" s="35"/>
      <c r="K22" s="36"/>
      <c r="L22" s="36"/>
      <c r="M22" s="37"/>
    </row>
    <row r="23" spans="1:13" s="1" customFormat="1" ht="14.1" customHeight="1">
      <c r="A23" s="92">
        <v>11</v>
      </c>
      <c r="B23" s="51" t="s">
        <v>16</v>
      </c>
      <c r="C23" s="52"/>
      <c r="D23" s="59" t="s">
        <v>17</v>
      </c>
      <c r="E23" s="60"/>
      <c r="F23" s="60"/>
      <c r="G23" s="61"/>
      <c r="H23" s="24">
        <f>SUM(I23)-2</f>
        <v>36</v>
      </c>
      <c r="I23" s="24">
        <f>SUM(J23)-2</f>
        <v>38</v>
      </c>
      <c r="J23" s="33">
        <v>40</v>
      </c>
      <c r="K23" s="24">
        <f>SUM(J23)+2</f>
        <v>42</v>
      </c>
      <c r="L23" s="24">
        <f>SUM(K23)+2</f>
        <v>44</v>
      </c>
      <c r="M23" s="26">
        <f>SUM(L23)+2</f>
        <v>46</v>
      </c>
    </row>
    <row r="24" spans="1:13" s="1" customFormat="1" ht="14.1" customHeight="1">
      <c r="A24" s="79"/>
      <c r="B24" s="62" t="s">
        <v>57</v>
      </c>
      <c r="C24" s="63"/>
      <c r="D24" s="47" t="s">
        <v>119</v>
      </c>
      <c r="E24" s="48"/>
      <c r="F24" s="48"/>
      <c r="G24" s="49"/>
      <c r="H24" s="36"/>
      <c r="I24" s="36"/>
      <c r="J24" s="35"/>
      <c r="K24" s="36"/>
      <c r="L24" s="36"/>
      <c r="M24" s="37"/>
    </row>
    <row r="25" spans="1:13" s="1" customFormat="1" ht="14.1" customHeight="1">
      <c r="A25" s="92">
        <v>12</v>
      </c>
      <c r="B25" s="51" t="s">
        <v>18</v>
      </c>
      <c r="C25" s="52"/>
      <c r="D25" s="59" t="s">
        <v>15</v>
      </c>
      <c r="E25" s="60"/>
      <c r="F25" s="60"/>
      <c r="G25" s="61"/>
      <c r="H25" s="58">
        <f>SUM(I25)-1.1</f>
        <v>23.099999999999998</v>
      </c>
      <c r="I25" s="24">
        <f>SUM(J25)-1.1</f>
        <v>24.2</v>
      </c>
      <c r="J25" s="33">
        <v>25.3</v>
      </c>
      <c r="K25" s="24">
        <f>SUM(J25)+1.6</f>
        <v>26.900000000000002</v>
      </c>
      <c r="L25" s="24">
        <f>SUM(K25)+1.1</f>
        <v>28.000000000000004</v>
      </c>
      <c r="M25" s="111">
        <f>SUM(L25)+1.1</f>
        <v>29.100000000000005</v>
      </c>
    </row>
    <row r="26" spans="1:13" s="1" customFormat="1" ht="14.1" customHeight="1">
      <c r="A26" s="79"/>
      <c r="B26" s="62" t="s">
        <v>63</v>
      </c>
      <c r="C26" s="63"/>
      <c r="D26" s="64" t="s">
        <v>118</v>
      </c>
      <c r="E26" s="65"/>
      <c r="F26" s="65"/>
      <c r="G26" s="66"/>
      <c r="H26" s="56"/>
      <c r="I26" s="36"/>
      <c r="J26" s="35"/>
      <c r="K26" s="36"/>
      <c r="L26" s="36"/>
      <c r="M26" s="112"/>
    </row>
    <row r="27" spans="1:13" s="1" customFormat="1" ht="14.1" customHeight="1">
      <c r="A27" s="92">
        <v>13</v>
      </c>
      <c r="B27" s="51" t="s">
        <v>19</v>
      </c>
      <c r="C27" s="52"/>
      <c r="D27" s="59" t="s">
        <v>15</v>
      </c>
      <c r="E27" s="60"/>
      <c r="F27" s="60"/>
      <c r="G27" s="61"/>
      <c r="H27" s="58">
        <f>SUM(I27)-1.3</f>
        <v>30.699999999999996</v>
      </c>
      <c r="I27" s="24">
        <f>SUM(J27)-1.3</f>
        <v>31.999999999999996</v>
      </c>
      <c r="J27" s="33">
        <v>33.299999999999997</v>
      </c>
      <c r="K27" s="24">
        <f>SUM(J27)+1.8</f>
        <v>35.099999999999994</v>
      </c>
      <c r="L27" s="24">
        <f>SUM(K27)+1.3</f>
        <v>36.399999999999991</v>
      </c>
      <c r="M27" s="111">
        <f>SUM(L27)+1.3</f>
        <v>37.699999999999989</v>
      </c>
    </row>
    <row r="28" spans="1:13" s="1" customFormat="1" ht="14.1" customHeight="1">
      <c r="A28" s="79"/>
      <c r="B28" s="62" t="s">
        <v>62</v>
      </c>
      <c r="C28" s="63"/>
      <c r="D28" s="64" t="s">
        <v>118</v>
      </c>
      <c r="E28" s="65"/>
      <c r="F28" s="65"/>
      <c r="G28" s="66"/>
      <c r="H28" s="56"/>
      <c r="I28" s="36"/>
      <c r="J28" s="35"/>
      <c r="K28" s="36"/>
      <c r="L28" s="36"/>
      <c r="M28" s="112"/>
    </row>
    <row r="29" spans="1:13" s="1" customFormat="1" ht="14.1" customHeight="1">
      <c r="A29" s="92">
        <v>14</v>
      </c>
      <c r="B29" s="51" t="s">
        <v>20</v>
      </c>
      <c r="C29" s="52"/>
      <c r="D29" s="59" t="s">
        <v>21</v>
      </c>
      <c r="E29" s="60"/>
      <c r="F29" s="60"/>
      <c r="G29" s="61"/>
      <c r="H29" s="24">
        <f>SUM(I29)-3.1</f>
        <v>44</v>
      </c>
      <c r="I29" s="24">
        <f>SUM(J29)-3.1</f>
        <v>47.1</v>
      </c>
      <c r="J29" s="33">
        <v>50.2</v>
      </c>
      <c r="K29" s="24">
        <f>SUM(J29)+3</f>
        <v>53.2</v>
      </c>
      <c r="L29" s="24">
        <f>SUM(K29)+3.1</f>
        <v>56.300000000000004</v>
      </c>
      <c r="M29" s="26">
        <f>SUM(L29)+3.1</f>
        <v>59.400000000000006</v>
      </c>
    </row>
    <row r="30" spans="1:13" s="1" customFormat="1" ht="14.1" customHeight="1">
      <c r="A30" s="79"/>
      <c r="B30" s="62" t="s">
        <v>61</v>
      </c>
      <c r="C30" s="63"/>
      <c r="D30" s="64" t="s">
        <v>117</v>
      </c>
      <c r="E30" s="65"/>
      <c r="F30" s="65"/>
      <c r="G30" s="66"/>
      <c r="H30" s="36"/>
      <c r="I30" s="36"/>
      <c r="J30" s="35"/>
      <c r="K30" s="36"/>
      <c r="L30" s="36"/>
      <c r="M30" s="37"/>
    </row>
    <row r="31" spans="1:13" s="1" customFormat="1" ht="14.1" customHeight="1">
      <c r="A31" s="92">
        <v>15</v>
      </c>
      <c r="B31" s="51" t="s">
        <v>22</v>
      </c>
      <c r="C31" s="52"/>
      <c r="D31" s="59" t="s">
        <v>23</v>
      </c>
      <c r="E31" s="60"/>
      <c r="F31" s="60"/>
      <c r="G31" s="61"/>
      <c r="H31" s="24">
        <f>SUM(I31)-6</f>
        <v>30.700000000000003</v>
      </c>
      <c r="I31" s="24">
        <f>SUM(J31)-6</f>
        <v>36.700000000000003</v>
      </c>
      <c r="J31" s="33">
        <v>42.7</v>
      </c>
      <c r="K31" s="24">
        <f>SUM(J31)+4.5</f>
        <v>47.2</v>
      </c>
      <c r="L31" s="24">
        <f>SUM(K31)+5</f>
        <v>52.2</v>
      </c>
      <c r="M31" s="26">
        <f>SUM(L31)+5</f>
        <v>57.2</v>
      </c>
    </row>
    <row r="32" spans="1:13" s="1" customFormat="1" ht="14.1" customHeight="1">
      <c r="A32" s="79"/>
      <c r="B32" s="62" t="s">
        <v>60</v>
      </c>
      <c r="C32" s="63"/>
      <c r="D32" s="64" t="s">
        <v>116</v>
      </c>
      <c r="E32" s="65"/>
      <c r="F32" s="65"/>
      <c r="G32" s="66"/>
      <c r="H32" s="36"/>
      <c r="I32" s="36"/>
      <c r="J32" s="35"/>
      <c r="K32" s="36"/>
      <c r="L32" s="36"/>
      <c r="M32" s="37"/>
    </row>
    <row r="33" spans="1:13" s="1" customFormat="1" ht="14.1" customHeight="1">
      <c r="A33" s="92">
        <v>16</v>
      </c>
      <c r="B33" s="51" t="s">
        <v>115</v>
      </c>
      <c r="C33" s="52"/>
      <c r="D33" s="59" t="s">
        <v>113</v>
      </c>
      <c r="E33" s="60"/>
      <c r="F33" s="60"/>
      <c r="G33" s="61"/>
      <c r="H33" s="24">
        <f>SUM(I33)-2.2</f>
        <v>40.299999999999997</v>
      </c>
      <c r="I33" s="24">
        <f>SUM(J33)-2.2</f>
        <v>42.5</v>
      </c>
      <c r="J33" s="33">
        <v>44.7</v>
      </c>
      <c r="K33" s="24">
        <f>SUM(J33)+2.2</f>
        <v>46.900000000000006</v>
      </c>
      <c r="L33" s="24">
        <f>SUM(K33)+2.2</f>
        <v>49.100000000000009</v>
      </c>
      <c r="M33" s="26">
        <f>SUM(L33)+2.2</f>
        <v>51.300000000000011</v>
      </c>
    </row>
    <row r="34" spans="1:13" s="1" customFormat="1" ht="14.1" customHeight="1">
      <c r="A34" s="79"/>
      <c r="B34" s="62" t="s">
        <v>114</v>
      </c>
      <c r="C34" s="63"/>
      <c r="D34" s="64" t="s">
        <v>113</v>
      </c>
      <c r="E34" s="65"/>
      <c r="F34" s="65"/>
      <c r="G34" s="66"/>
      <c r="H34" s="36"/>
      <c r="I34" s="36"/>
      <c r="J34" s="35"/>
      <c r="K34" s="36"/>
      <c r="L34" s="36"/>
      <c r="M34" s="37"/>
    </row>
    <row r="35" spans="1:13" s="1" customFormat="1" ht="14.1" customHeight="1">
      <c r="A35" s="92">
        <v>17</v>
      </c>
      <c r="B35" s="51" t="s">
        <v>112</v>
      </c>
      <c r="C35" s="52"/>
      <c r="D35" s="59" t="s">
        <v>111</v>
      </c>
      <c r="E35" s="60"/>
      <c r="F35" s="60"/>
      <c r="G35" s="61"/>
      <c r="H35" s="24">
        <f>SUM(I35)-3.3</f>
        <v>33.900000000000006</v>
      </c>
      <c r="I35" s="24">
        <f>SUM(J35)-3.3</f>
        <v>37.200000000000003</v>
      </c>
      <c r="J35" s="33">
        <v>40.5</v>
      </c>
      <c r="K35" s="24">
        <f>SUM(J35)+3.2</f>
        <v>43.7</v>
      </c>
      <c r="L35" s="24">
        <f>SUM(K35)+2.9</f>
        <v>46.6</v>
      </c>
      <c r="M35" s="26">
        <f>SUM(L35)+2.9</f>
        <v>49.5</v>
      </c>
    </row>
    <row r="36" spans="1:13" s="1" customFormat="1" ht="14.1" customHeight="1">
      <c r="A36" s="79"/>
      <c r="B36" s="62" t="s">
        <v>110</v>
      </c>
      <c r="C36" s="63"/>
      <c r="D36" s="64" t="s">
        <v>160</v>
      </c>
      <c r="E36" s="65"/>
      <c r="F36" s="65"/>
      <c r="G36" s="66"/>
      <c r="H36" s="36"/>
      <c r="I36" s="36"/>
      <c r="J36" s="35"/>
      <c r="K36" s="36"/>
      <c r="L36" s="36"/>
      <c r="M36" s="37"/>
    </row>
    <row r="37" spans="1:13" s="1" customFormat="1" ht="14.1" customHeight="1">
      <c r="A37" s="92">
        <v>18</v>
      </c>
      <c r="B37" s="51" t="s">
        <v>424</v>
      </c>
      <c r="C37" s="52"/>
      <c r="D37" s="59"/>
      <c r="E37" s="60"/>
      <c r="F37" s="60"/>
      <c r="G37" s="61"/>
      <c r="H37" s="24">
        <f>SUM(I37)-0.5</f>
        <v>10.5</v>
      </c>
      <c r="I37" s="24">
        <f>SUM(J37)-0.5</f>
        <v>11</v>
      </c>
      <c r="J37" s="33">
        <v>11.5</v>
      </c>
      <c r="K37" s="24">
        <f>SUM(J37)+0.5</f>
        <v>12</v>
      </c>
      <c r="L37" s="24">
        <f>SUM(K37)+0.5</f>
        <v>12.5</v>
      </c>
      <c r="M37" s="26">
        <f>SUM(L37)+0.5</f>
        <v>13</v>
      </c>
    </row>
    <row r="38" spans="1:13" s="1" customFormat="1" ht="14.1" customHeight="1">
      <c r="A38" s="79"/>
      <c r="B38" s="62" t="s">
        <v>425</v>
      </c>
      <c r="C38" s="63"/>
      <c r="D38" s="64"/>
      <c r="E38" s="65"/>
      <c r="F38" s="65"/>
      <c r="G38" s="66"/>
      <c r="H38" s="36"/>
      <c r="I38" s="36"/>
      <c r="J38" s="35"/>
      <c r="K38" s="36"/>
      <c r="L38" s="36"/>
      <c r="M38" s="37"/>
    </row>
    <row r="39" spans="1:13" s="1" customFormat="1" ht="14.1" customHeight="1">
      <c r="A39" s="92">
        <v>19</v>
      </c>
      <c r="B39" s="51" t="s">
        <v>426</v>
      </c>
      <c r="C39" s="52"/>
      <c r="D39" s="59"/>
      <c r="E39" s="60"/>
      <c r="F39" s="60"/>
      <c r="G39" s="61"/>
      <c r="H39" s="24">
        <f>SUM(I39)-0.6</f>
        <v>11.8</v>
      </c>
      <c r="I39" s="24">
        <f>SUM(J39)-0.6</f>
        <v>12.4</v>
      </c>
      <c r="J39" s="33">
        <v>13</v>
      </c>
      <c r="K39" s="24">
        <f>SUM(J39)+0.6</f>
        <v>13.6</v>
      </c>
      <c r="L39" s="24">
        <f>SUM(K39)+0.6</f>
        <v>14.2</v>
      </c>
      <c r="M39" s="26">
        <f>SUM(L39)+0.6</f>
        <v>14.799999999999999</v>
      </c>
    </row>
    <row r="40" spans="1:13" s="1" customFormat="1" ht="14.1" customHeight="1">
      <c r="A40" s="79"/>
      <c r="B40" s="62" t="s">
        <v>427</v>
      </c>
      <c r="C40" s="63"/>
      <c r="D40" s="64"/>
      <c r="E40" s="65"/>
      <c r="F40" s="65"/>
      <c r="G40" s="66"/>
      <c r="H40" s="36"/>
      <c r="I40" s="36"/>
      <c r="J40" s="35"/>
      <c r="K40" s="36"/>
      <c r="L40" s="36"/>
      <c r="M40" s="37"/>
    </row>
    <row r="41" spans="1:13" s="1" customFormat="1" ht="14.1" customHeight="1">
      <c r="A41" s="92">
        <v>20</v>
      </c>
      <c r="B41" s="51" t="s">
        <v>286</v>
      </c>
      <c r="C41" s="52"/>
      <c r="D41" s="57"/>
      <c r="E41" s="57"/>
      <c r="F41" s="57"/>
      <c r="G41" s="57"/>
      <c r="H41" s="24">
        <f>SUM(I41)-1.2</f>
        <v>12.600000000000001</v>
      </c>
      <c r="I41" s="24">
        <f>SUM(J41)-1.2</f>
        <v>13.8</v>
      </c>
      <c r="J41" s="33">
        <v>15</v>
      </c>
      <c r="K41" s="24">
        <f>SUM(J41)+0.7</f>
        <v>15.7</v>
      </c>
      <c r="L41" s="24">
        <f>SUM(K41)+0.7</f>
        <v>16.399999999999999</v>
      </c>
      <c r="M41" s="26">
        <f>SUM(L41)+0.7</f>
        <v>17.099999999999998</v>
      </c>
    </row>
    <row r="42" spans="1:13" s="1" customFormat="1" ht="14.1" customHeight="1">
      <c r="A42" s="79"/>
      <c r="B42" s="45" t="s">
        <v>428</v>
      </c>
      <c r="C42" s="46"/>
      <c r="D42" s="47"/>
      <c r="E42" s="48"/>
      <c r="F42" s="48"/>
      <c r="G42" s="49"/>
      <c r="H42" s="36"/>
      <c r="I42" s="36"/>
      <c r="J42" s="35"/>
      <c r="K42" s="36"/>
      <c r="L42" s="36"/>
      <c r="M42" s="37"/>
    </row>
    <row r="43" spans="1:13" s="1" customFormat="1" ht="14.1" customHeight="1">
      <c r="A43" s="92">
        <v>21</v>
      </c>
      <c r="B43" s="51" t="s">
        <v>429</v>
      </c>
      <c r="C43" s="52"/>
      <c r="D43" s="59"/>
      <c r="E43" s="60"/>
      <c r="F43" s="60"/>
      <c r="G43" s="61"/>
      <c r="H43" s="24">
        <f>SUM(I43)-0.5</f>
        <v>9.5</v>
      </c>
      <c r="I43" s="24">
        <f>SUM(J43)-0.5</f>
        <v>10</v>
      </c>
      <c r="J43" s="33">
        <v>10.5</v>
      </c>
      <c r="K43" s="24">
        <f>SUM(J43)+0.5</f>
        <v>11</v>
      </c>
      <c r="L43" s="24">
        <f>SUM(K43)+0.5</f>
        <v>11.5</v>
      </c>
      <c r="M43" s="26">
        <f>SUM(L43)+0.5</f>
        <v>12</v>
      </c>
    </row>
    <row r="44" spans="1:13" s="1" customFormat="1" ht="13.5" customHeight="1">
      <c r="A44" s="79"/>
      <c r="B44" s="62" t="s">
        <v>430</v>
      </c>
      <c r="C44" s="63"/>
      <c r="D44" s="64"/>
      <c r="E44" s="65"/>
      <c r="F44" s="65"/>
      <c r="G44" s="66"/>
      <c r="H44" s="36"/>
      <c r="I44" s="36"/>
      <c r="J44" s="35"/>
      <c r="K44" s="36"/>
      <c r="L44" s="36"/>
      <c r="M44" s="37"/>
    </row>
    <row r="45" spans="1:13" s="1" customFormat="1" ht="13.5" customHeight="1">
      <c r="A45" s="92">
        <v>22</v>
      </c>
      <c r="B45" s="51" t="s">
        <v>138</v>
      </c>
      <c r="C45" s="52"/>
      <c r="D45" s="59"/>
      <c r="E45" s="60"/>
      <c r="F45" s="60"/>
      <c r="G45" s="61"/>
      <c r="H45" s="24">
        <f>SUM(I45)-0.5</f>
        <v>9.5</v>
      </c>
      <c r="I45" s="24">
        <f>SUM(J45)-0.5</f>
        <v>10</v>
      </c>
      <c r="J45" s="33">
        <v>10.5</v>
      </c>
      <c r="K45" s="24">
        <f>SUM(J45)+0.5</f>
        <v>11</v>
      </c>
      <c r="L45" s="24">
        <f>SUM(K45)+0.5</f>
        <v>11.5</v>
      </c>
      <c r="M45" s="26">
        <f>SUM(L45)+0.5</f>
        <v>12</v>
      </c>
    </row>
    <row r="46" spans="1:13" s="1" customFormat="1" ht="13.5" customHeight="1">
      <c r="A46" s="79"/>
      <c r="B46" s="62" t="s">
        <v>431</v>
      </c>
      <c r="C46" s="63"/>
      <c r="D46" s="64"/>
      <c r="E46" s="65"/>
      <c r="F46" s="65"/>
      <c r="G46" s="66"/>
      <c r="H46" s="36"/>
      <c r="I46" s="36"/>
      <c r="J46" s="35"/>
      <c r="K46" s="36"/>
      <c r="L46" s="36"/>
      <c r="M46" s="37"/>
    </row>
    <row r="47" spans="1:13" s="1" customFormat="1" ht="13.5" customHeight="1">
      <c r="A47" s="92">
        <v>23</v>
      </c>
      <c r="B47" s="51" t="s">
        <v>432</v>
      </c>
      <c r="C47" s="52"/>
      <c r="D47" s="57"/>
      <c r="E47" s="57"/>
      <c r="F47" s="57"/>
      <c r="G47" s="57"/>
      <c r="H47" s="24">
        <f>SUM(I47)-2</f>
        <v>48</v>
      </c>
      <c r="I47" s="24">
        <f>SUM(J47)-2</f>
        <v>50</v>
      </c>
      <c r="J47" s="33">
        <v>52</v>
      </c>
      <c r="K47" s="24">
        <f>SUM(J47)+2</f>
        <v>54</v>
      </c>
      <c r="L47" s="24">
        <f>SUM(K47)+2</f>
        <v>56</v>
      </c>
      <c r="M47" s="26">
        <f>SUM(L47)+2</f>
        <v>58</v>
      </c>
    </row>
    <row r="48" spans="1:13" s="1" customFormat="1" ht="13.5" customHeight="1">
      <c r="A48" s="79"/>
      <c r="B48" s="56" t="s">
        <v>433</v>
      </c>
      <c r="C48" s="56"/>
      <c r="D48" s="47"/>
      <c r="E48" s="48"/>
      <c r="F48" s="48"/>
      <c r="G48" s="49"/>
      <c r="H48" s="36"/>
      <c r="I48" s="36"/>
      <c r="J48" s="35"/>
      <c r="K48" s="36"/>
      <c r="L48" s="36"/>
      <c r="M48" s="37"/>
    </row>
    <row r="49" spans="1:13" s="1" customFormat="1" ht="13.5" customHeight="1">
      <c r="A49" s="92">
        <v>24</v>
      </c>
      <c r="B49" s="51"/>
      <c r="C49" s="52"/>
      <c r="D49" s="57"/>
      <c r="E49" s="57"/>
      <c r="F49" s="57"/>
      <c r="G49" s="57"/>
      <c r="H49" s="24"/>
      <c r="I49" s="24"/>
      <c r="J49" s="33"/>
      <c r="K49" s="24"/>
      <c r="L49" s="24"/>
      <c r="M49" s="26"/>
    </row>
    <row r="50" spans="1:13" s="1" customFormat="1" ht="13.5" customHeight="1" thickBot="1">
      <c r="A50" s="99"/>
      <c r="B50" s="110"/>
      <c r="C50" s="110"/>
      <c r="D50" s="30"/>
      <c r="E50" s="31"/>
      <c r="F50" s="31"/>
      <c r="G50" s="32"/>
      <c r="H50" s="25"/>
      <c r="I50" s="25"/>
      <c r="J50" s="34"/>
      <c r="K50" s="25"/>
      <c r="L50" s="25"/>
      <c r="M50" s="27"/>
    </row>
    <row r="51" spans="1:13" s="1" customFormat="1" ht="13.5" customHeight="1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 s="1" customFormat="1" ht="13.5" customHeight="1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 ht="13.5" customHeight="1"/>
    <row r="54" spans="1:13" ht="13.5" customHeight="1"/>
    <row r="55" spans="1:13" ht="13.5" customHeight="1"/>
    <row r="56" spans="1:13" ht="13.5" customHeight="1"/>
    <row r="57" spans="1:13" ht="13.5" customHeight="1"/>
    <row r="58" spans="1:13" ht="13.5" customHeight="1"/>
    <row r="59" spans="1:13" ht="13.5" customHeight="1"/>
    <row r="60" spans="1:13" ht="13.5" customHeight="1"/>
    <row r="61" spans="1:13" ht="13.5" customHeight="1"/>
  </sheetData>
  <mergeCells count="267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K49:K50"/>
    <mergeCell ref="L49:L50"/>
    <mergeCell ref="M49:M50"/>
    <mergeCell ref="B50:C50"/>
    <mergeCell ref="D50:G50"/>
    <mergeCell ref="A49:A50"/>
    <mergeCell ref="B49:C49"/>
    <mergeCell ref="D49:G49"/>
    <mergeCell ref="H49:H50"/>
    <mergeCell ref="I49:I50"/>
    <mergeCell ref="J49:J50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E3E8D-5B4F-4734-A47F-B556E1181480}">
  <sheetPr codeName="Sheet109">
    <tabColor rgb="FF00B050"/>
    <pageSetUpPr fitToPage="1"/>
  </sheetPr>
  <dimension ref="A1:N52"/>
  <sheetViews>
    <sheetView topLeftCell="A22" zoomScale="110" zoomScaleNormal="110" workbookViewId="0">
      <selection activeCell="J21" sqref="J21:J2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28" t="s">
        <v>279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30"/>
    </row>
    <row r="2" spans="1:14" ht="16.5" customHeight="1" thickBot="1">
      <c r="A2" s="2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  <c r="N2" s="7" t="s">
        <v>229</v>
      </c>
    </row>
    <row r="3" spans="1:14" s="1" customFormat="1" ht="14.1" customHeight="1">
      <c r="A3" s="78">
        <v>1</v>
      </c>
      <c r="B3" s="80" t="s">
        <v>149</v>
      </c>
      <c r="C3" s="81"/>
      <c r="D3" s="74" t="s">
        <v>82</v>
      </c>
      <c r="E3" s="82"/>
      <c r="F3" s="82"/>
      <c r="G3" s="83"/>
      <c r="H3" s="58">
        <f>SUM(I3)-3</f>
        <v>45</v>
      </c>
      <c r="I3" s="24">
        <f>SUM(J3)-3</f>
        <v>48</v>
      </c>
      <c r="J3" s="84">
        <v>51</v>
      </c>
      <c r="K3" s="85">
        <f>SUM(J3)+3</f>
        <v>54</v>
      </c>
      <c r="L3" s="85">
        <f>SUM(K3)+3</f>
        <v>57</v>
      </c>
      <c r="M3" s="85">
        <f>SUM(L3)+3</f>
        <v>60</v>
      </c>
      <c r="N3" s="131">
        <f>SUM(M3)+3</f>
        <v>63</v>
      </c>
    </row>
    <row r="4" spans="1:14" s="1" customFormat="1" ht="14.1" customHeight="1">
      <c r="A4" s="79"/>
      <c r="B4" s="62" t="s">
        <v>108</v>
      </c>
      <c r="C4" s="63"/>
      <c r="D4" s="64" t="s">
        <v>83</v>
      </c>
      <c r="E4" s="65"/>
      <c r="F4" s="65"/>
      <c r="G4" s="66"/>
      <c r="H4" s="56"/>
      <c r="I4" s="36"/>
      <c r="J4" s="35"/>
      <c r="K4" s="36"/>
      <c r="L4" s="36"/>
      <c r="M4" s="36"/>
      <c r="N4" s="122"/>
    </row>
    <row r="5" spans="1:14" s="1" customFormat="1" ht="14.1" customHeight="1">
      <c r="A5" s="92">
        <v>2</v>
      </c>
      <c r="B5" s="40" t="s">
        <v>165</v>
      </c>
      <c r="C5" s="41"/>
      <c r="D5" s="100"/>
      <c r="E5" s="101"/>
      <c r="F5" s="101"/>
      <c r="G5" s="102"/>
      <c r="H5" s="58"/>
      <c r="I5" s="24"/>
      <c r="J5" s="117"/>
      <c r="K5" s="50"/>
      <c r="L5" s="50"/>
      <c r="M5" s="50"/>
      <c r="N5" s="127"/>
    </row>
    <row r="6" spans="1:14" s="1" customFormat="1" ht="14.1" customHeight="1">
      <c r="A6" s="79"/>
      <c r="B6" s="62" t="s">
        <v>164</v>
      </c>
      <c r="C6" s="63"/>
      <c r="D6" s="64"/>
      <c r="E6" s="65"/>
      <c r="F6" s="65"/>
      <c r="G6" s="66"/>
      <c r="H6" s="56"/>
      <c r="I6" s="36"/>
      <c r="J6" s="35"/>
      <c r="K6" s="36"/>
      <c r="L6" s="36"/>
      <c r="M6" s="36"/>
      <c r="N6" s="122"/>
    </row>
    <row r="7" spans="1:14" s="1" customFormat="1" ht="14.1" customHeight="1">
      <c r="A7" s="92">
        <v>3</v>
      </c>
      <c r="B7" s="40" t="s">
        <v>148</v>
      </c>
      <c r="C7" s="41"/>
      <c r="D7" s="100"/>
      <c r="E7" s="101"/>
      <c r="F7" s="101"/>
      <c r="G7" s="102"/>
      <c r="H7" s="58"/>
      <c r="I7" s="24"/>
      <c r="J7" s="117"/>
      <c r="K7" s="50"/>
      <c r="L7" s="50"/>
      <c r="M7" s="50"/>
      <c r="N7" s="127"/>
    </row>
    <row r="8" spans="1:14" s="1" customFormat="1" ht="14.1" customHeight="1">
      <c r="A8" s="79"/>
      <c r="B8" s="62" t="s">
        <v>147</v>
      </c>
      <c r="C8" s="63"/>
      <c r="D8" s="64"/>
      <c r="E8" s="65"/>
      <c r="F8" s="65"/>
      <c r="G8" s="66"/>
      <c r="H8" s="56"/>
      <c r="I8" s="36"/>
      <c r="J8" s="35"/>
      <c r="K8" s="36"/>
      <c r="L8" s="36"/>
      <c r="M8" s="36"/>
      <c r="N8" s="122"/>
    </row>
    <row r="9" spans="1:14" s="1" customFormat="1" ht="14.1" customHeight="1">
      <c r="A9" s="92">
        <v>4</v>
      </c>
      <c r="B9" s="51" t="s">
        <v>163</v>
      </c>
      <c r="C9" s="52"/>
      <c r="D9" s="118"/>
      <c r="E9" s="119"/>
      <c r="F9" s="119"/>
      <c r="G9" s="120"/>
      <c r="H9" s="24"/>
      <c r="I9" s="24"/>
      <c r="J9" s="117"/>
      <c r="K9" s="50"/>
      <c r="L9" s="50"/>
      <c r="M9" s="50"/>
      <c r="N9" s="127"/>
    </row>
    <row r="10" spans="1:14" s="1" customFormat="1" ht="14.1" customHeight="1">
      <c r="A10" s="79"/>
      <c r="B10" s="62" t="s">
        <v>162</v>
      </c>
      <c r="C10" s="63"/>
      <c r="D10" s="114"/>
      <c r="E10" s="115"/>
      <c r="F10" s="115"/>
      <c r="G10" s="116"/>
      <c r="H10" s="36"/>
      <c r="I10" s="36"/>
      <c r="J10" s="35"/>
      <c r="K10" s="36"/>
      <c r="L10" s="36"/>
      <c r="M10" s="36"/>
      <c r="N10" s="122"/>
    </row>
    <row r="11" spans="1:14" s="1" customFormat="1" ht="14.1" customHeight="1">
      <c r="A11" s="92">
        <v>5</v>
      </c>
      <c r="B11" s="51" t="s">
        <v>157</v>
      </c>
      <c r="C11" s="52"/>
      <c r="D11" s="100"/>
      <c r="E11" s="101"/>
      <c r="F11" s="101"/>
      <c r="G11" s="102"/>
      <c r="H11" s="24">
        <f>SUM(I11)-3.5</f>
        <v>65</v>
      </c>
      <c r="I11" s="24">
        <f>SUM(J11)-3.5</f>
        <v>68.5</v>
      </c>
      <c r="J11" s="117">
        <v>72</v>
      </c>
      <c r="K11" s="50">
        <f>SUM(J11)+3.5</f>
        <v>75.5</v>
      </c>
      <c r="L11" s="50">
        <f>SUM(K11)+3.5</f>
        <v>79</v>
      </c>
      <c r="M11" s="50">
        <f>SUM(L11)+3.5</f>
        <v>82.5</v>
      </c>
      <c r="N11" s="127">
        <f>SUM(M11)+3.5</f>
        <v>86</v>
      </c>
    </row>
    <row r="12" spans="1:14" s="1" customFormat="1" ht="14.1" customHeight="1">
      <c r="A12" s="79"/>
      <c r="B12" s="62" t="s">
        <v>158</v>
      </c>
      <c r="C12" s="63"/>
      <c r="D12" s="64"/>
      <c r="E12" s="65"/>
      <c r="F12" s="65"/>
      <c r="G12" s="66"/>
      <c r="H12" s="36"/>
      <c r="I12" s="36"/>
      <c r="J12" s="35"/>
      <c r="K12" s="36"/>
      <c r="L12" s="36"/>
      <c r="M12" s="36"/>
      <c r="N12" s="122"/>
    </row>
    <row r="13" spans="1:14" s="1" customFormat="1" ht="14.1" customHeight="1">
      <c r="A13" s="92">
        <v>6</v>
      </c>
      <c r="B13" s="51" t="s">
        <v>13</v>
      </c>
      <c r="C13" s="52"/>
      <c r="D13" s="59" t="s">
        <v>182</v>
      </c>
      <c r="E13" s="60"/>
      <c r="F13" s="60"/>
      <c r="G13" s="61"/>
      <c r="H13" s="24">
        <f>SUM(I13)-4</f>
        <v>68.099999999999994</v>
      </c>
      <c r="I13" s="24">
        <f>SUM(J13)-4</f>
        <v>72.099999999999994</v>
      </c>
      <c r="J13" s="33">
        <v>76.099999999999994</v>
      </c>
      <c r="K13" s="24">
        <f>SUM(J13)+4</f>
        <v>80.099999999999994</v>
      </c>
      <c r="L13" s="24">
        <f>SUM(K13)+4</f>
        <v>84.1</v>
      </c>
      <c r="M13" s="24">
        <f>SUM(L13)+4</f>
        <v>88.1</v>
      </c>
      <c r="N13" s="121">
        <f>SUM(M13)+4</f>
        <v>92.1</v>
      </c>
    </row>
    <row r="14" spans="1:14" s="1" customFormat="1" ht="14.1" customHeight="1">
      <c r="A14" s="79"/>
      <c r="B14" s="62" t="s">
        <v>55</v>
      </c>
      <c r="C14" s="63"/>
      <c r="D14" s="64" t="s">
        <v>121</v>
      </c>
      <c r="E14" s="65"/>
      <c r="F14" s="65"/>
      <c r="G14" s="66"/>
      <c r="H14" s="36"/>
      <c r="I14" s="36"/>
      <c r="J14" s="35"/>
      <c r="K14" s="36"/>
      <c r="L14" s="36"/>
      <c r="M14" s="36"/>
      <c r="N14" s="122"/>
    </row>
    <row r="15" spans="1:14" s="1" customFormat="1" ht="14.1" customHeight="1">
      <c r="A15" s="92">
        <v>7</v>
      </c>
      <c r="B15" s="51" t="s">
        <v>146</v>
      </c>
      <c r="C15" s="52"/>
      <c r="D15" s="59"/>
      <c r="E15" s="60"/>
      <c r="F15" s="60"/>
      <c r="G15" s="61"/>
      <c r="H15" s="58">
        <f>SUM(I15)-0.7</f>
        <v>12.8</v>
      </c>
      <c r="I15" s="24">
        <f>SUM(J15)-0.7</f>
        <v>13.5</v>
      </c>
      <c r="J15" s="33">
        <v>14.2</v>
      </c>
      <c r="K15" s="24">
        <f>SUM(J15)+1.2</f>
        <v>15.399999999999999</v>
      </c>
      <c r="L15" s="24">
        <f>SUM(K15)+0.7</f>
        <v>16.099999999999998</v>
      </c>
      <c r="M15" s="58">
        <f>SUM(L15)+0.7</f>
        <v>16.799999999999997</v>
      </c>
      <c r="N15" s="125">
        <f>SUM(M15)+0.7</f>
        <v>17.499999999999996</v>
      </c>
    </row>
    <row r="16" spans="1:14" s="1" customFormat="1" ht="14.1" customHeight="1">
      <c r="A16" s="79"/>
      <c r="B16" s="62" t="s">
        <v>145</v>
      </c>
      <c r="C16" s="63"/>
      <c r="D16" s="89" t="s">
        <v>161</v>
      </c>
      <c r="E16" s="90"/>
      <c r="F16" s="90"/>
      <c r="G16" s="91"/>
      <c r="H16" s="56"/>
      <c r="I16" s="36"/>
      <c r="J16" s="35"/>
      <c r="K16" s="36"/>
      <c r="L16" s="36"/>
      <c r="M16" s="56"/>
      <c r="N16" s="126"/>
    </row>
    <row r="17" spans="1:14" s="1" customFormat="1" ht="14.1" customHeight="1">
      <c r="A17" s="92">
        <v>8</v>
      </c>
      <c r="B17" s="51" t="s">
        <v>166</v>
      </c>
      <c r="C17" s="52"/>
      <c r="D17" s="59"/>
      <c r="E17" s="60"/>
      <c r="F17" s="60"/>
      <c r="G17" s="61"/>
      <c r="H17" s="58"/>
      <c r="I17" s="24"/>
      <c r="J17" s="33"/>
      <c r="K17" s="24"/>
      <c r="L17" s="24"/>
      <c r="M17" s="58"/>
      <c r="N17" s="125"/>
    </row>
    <row r="18" spans="1:14" s="1" customFormat="1" ht="14.1" customHeight="1">
      <c r="A18" s="79"/>
      <c r="B18" s="62" t="s">
        <v>167</v>
      </c>
      <c r="C18" s="63"/>
      <c r="D18" s="89" t="s">
        <v>168</v>
      </c>
      <c r="E18" s="90"/>
      <c r="F18" s="90"/>
      <c r="G18" s="91"/>
      <c r="H18" s="56"/>
      <c r="I18" s="36"/>
      <c r="J18" s="35"/>
      <c r="K18" s="36"/>
      <c r="L18" s="36"/>
      <c r="M18" s="56"/>
      <c r="N18" s="126"/>
    </row>
    <row r="19" spans="1:14" s="1" customFormat="1" ht="14.1" customHeight="1">
      <c r="A19" s="92">
        <v>9</v>
      </c>
      <c r="B19" s="51" t="s">
        <v>178</v>
      </c>
      <c r="C19" s="52"/>
      <c r="D19" s="59"/>
      <c r="E19" s="60"/>
      <c r="F19" s="60"/>
      <c r="G19" s="61"/>
      <c r="H19" s="24"/>
      <c r="I19" s="24"/>
      <c r="J19" s="33"/>
      <c r="K19" s="24"/>
      <c r="L19" s="24"/>
      <c r="M19" s="24"/>
      <c r="N19" s="121"/>
    </row>
    <row r="20" spans="1:14" s="1" customFormat="1" ht="14.1" customHeight="1">
      <c r="A20" s="79"/>
      <c r="B20" s="62" t="s">
        <v>177</v>
      </c>
      <c r="C20" s="63"/>
      <c r="D20" s="89"/>
      <c r="E20" s="90"/>
      <c r="F20" s="90"/>
      <c r="G20" s="91"/>
      <c r="H20" s="36"/>
      <c r="I20" s="36"/>
      <c r="J20" s="35"/>
      <c r="K20" s="36"/>
      <c r="L20" s="36"/>
      <c r="M20" s="36"/>
      <c r="N20" s="122"/>
    </row>
    <row r="21" spans="1:14" s="1" customFormat="1" ht="14.1" customHeight="1">
      <c r="A21" s="92">
        <v>10</v>
      </c>
      <c r="B21" s="51" t="s">
        <v>9</v>
      </c>
      <c r="C21" s="52"/>
      <c r="D21" s="59" t="s">
        <v>84</v>
      </c>
      <c r="E21" s="60"/>
      <c r="F21" s="60"/>
      <c r="G21" s="61"/>
      <c r="H21" s="24">
        <f>SUM(I21)-7</f>
        <v>53.5</v>
      </c>
      <c r="I21" s="24">
        <f>SUM(J21)-7</f>
        <v>60.5</v>
      </c>
      <c r="J21" s="33">
        <v>67.5</v>
      </c>
      <c r="K21" s="24">
        <f>SUM(J21)+6</f>
        <v>73.5</v>
      </c>
      <c r="L21" s="24">
        <f>SUM(K21)+6</f>
        <v>79.5</v>
      </c>
      <c r="M21" s="24">
        <f>SUM(L21)+6</f>
        <v>85.5</v>
      </c>
      <c r="N21" s="121">
        <f>SUM(M21)+6</f>
        <v>91.5</v>
      </c>
    </row>
    <row r="22" spans="1:14" s="1" customFormat="1" ht="14.1" customHeight="1">
      <c r="A22" s="79"/>
      <c r="B22" s="62" t="s">
        <v>56</v>
      </c>
      <c r="C22" s="63"/>
      <c r="D22" s="64" t="s">
        <v>120</v>
      </c>
      <c r="E22" s="65"/>
      <c r="F22" s="65"/>
      <c r="G22" s="66"/>
      <c r="H22" s="36"/>
      <c r="I22" s="36"/>
      <c r="J22" s="35"/>
      <c r="K22" s="36"/>
      <c r="L22" s="36"/>
      <c r="M22" s="36"/>
      <c r="N22" s="122"/>
    </row>
    <row r="23" spans="1:14" s="1" customFormat="1" ht="14.1" customHeight="1">
      <c r="A23" s="92">
        <v>11</v>
      </c>
      <c r="B23" s="51" t="s">
        <v>16</v>
      </c>
      <c r="C23" s="52"/>
      <c r="D23" s="59" t="s">
        <v>17</v>
      </c>
      <c r="E23" s="60"/>
      <c r="F23" s="60"/>
      <c r="G23" s="61"/>
      <c r="H23" s="24">
        <f>SUM(I23)-1.8</f>
        <v>36.400000000000006</v>
      </c>
      <c r="I23" s="24">
        <f>SUM(J23)-1.8</f>
        <v>38.200000000000003</v>
      </c>
      <c r="J23" s="33">
        <v>40</v>
      </c>
      <c r="K23" s="24">
        <f>SUM(J23)+1.8</f>
        <v>41.8</v>
      </c>
      <c r="L23" s="24">
        <f>SUM(K23)+1.8</f>
        <v>43.599999999999994</v>
      </c>
      <c r="M23" s="24">
        <f>SUM(L23)+1.8</f>
        <v>45.399999999999991</v>
      </c>
      <c r="N23" s="121">
        <f>SUM(M23)+1.8</f>
        <v>47.199999999999989</v>
      </c>
    </row>
    <row r="24" spans="1:14" s="1" customFormat="1" ht="14.1" customHeight="1">
      <c r="A24" s="79"/>
      <c r="B24" s="62" t="s">
        <v>57</v>
      </c>
      <c r="C24" s="63"/>
      <c r="D24" s="47" t="s">
        <v>119</v>
      </c>
      <c r="E24" s="48"/>
      <c r="F24" s="48"/>
      <c r="G24" s="49"/>
      <c r="H24" s="36"/>
      <c r="I24" s="36"/>
      <c r="J24" s="35"/>
      <c r="K24" s="36"/>
      <c r="L24" s="36"/>
      <c r="M24" s="36"/>
      <c r="N24" s="122"/>
    </row>
    <row r="25" spans="1:14" s="1" customFormat="1" ht="14.1" customHeight="1">
      <c r="A25" s="92">
        <v>12</v>
      </c>
      <c r="B25" s="51" t="s">
        <v>18</v>
      </c>
      <c r="C25" s="52"/>
      <c r="D25" s="59" t="s">
        <v>15</v>
      </c>
      <c r="E25" s="60"/>
      <c r="F25" s="60"/>
      <c r="G25" s="61"/>
      <c r="H25" s="58">
        <f>SUM(I25)-1.1</f>
        <v>20.799999999999997</v>
      </c>
      <c r="I25" s="24">
        <f>SUM(J25)-1.1</f>
        <v>21.9</v>
      </c>
      <c r="J25" s="33">
        <v>23</v>
      </c>
      <c r="K25" s="24">
        <f>SUM(J25)+1.6</f>
        <v>24.6</v>
      </c>
      <c r="L25" s="24">
        <f>SUM(K25)+1.1</f>
        <v>25.700000000000003</v>
      </c>
      <c r="M25" s="58">
        <f>SUM(L25)+1.1</f>
        <v>26.800000000000004</v>
      </c>
      <c r="N25" s="125">
        <f>SUM(M25)+1.1</f>
        <v>27.900000000000006</v>
      </c>
    </row>
    <row r="26" spans="1:14" s="1" customFormat="1" ht="14.1" customHeight="1">
      <c r="A26" s="79"/>
      <c r="B26" s="62" t="s">
        <v>63</v>
      </c>
      <c r="C26" s="63"/>
      <c r="D26" s="64" t="s">
        <v>118</v>
      </c>
      <c r="E26" s="65"/>
      <c r="F26" s="65"/>
      <c r="G26" s="66"/>
      <c r="H26" s="56"/>
      <c r="I26" s="36"/>
      <c r="J26" s="35"/>
      <c r="K26" s="36"/>
      <c r="L26" s="36"/>
      <c r="M26" s="56"/>
      <c r="N26" s="126"/>
    </row>
    <row r="27" spans="1:14" s="1" customFormat="1" ht="14.1" customHeight="1">
      <c r="A27" s="92">
        <v>13</v>
      </c>
      <c r="B27" s="51" t="s">
        <v>19</v>
      </c>
      <c r="C27" s="52"/>
      <c r="D27" s="59" t="s">
        <v>15</v>
      </c>
      <c r="E27" s="60"/>
      <c r="F27" s="60"/>
      <c r="G27" s="61"/>
      <c r="H27" s="58">
        <f>SUM(I27)-1.3</f>
        <v>27.299999999999997</v>
      </c>
      <c r="I27" s="24">
        <f>SUM(J27)-1.3</f>
        <v>28.599999999999998</v>
      </c>
      <c r="J27" s="33">
        <v>29.9</v>
      </c>
      <c r="K27" s="24">
        <f>SUM(J27)+1.8</f>
        <v>31.7</v>
      </c>
      <c r="L27" s="24">
        <f>SUM(K27)+1.3</f>
        <v>33</v>
      </c>
      <c r="M27" s="58">
        <f>SUM(L27)+1.3</f>
        <v>34.299999999999997</v>
      </c>
      <c r="N27" s="125">
        <f>SUM(M27)+1.3</f>
        <v>35.599999999999994</v>
      </c>
    </row>
    <row r="28" spans="1:14" s="1" customFormat="1" ht="14.1" customHeight="1">
      <c r="A28" s="79"/>
      <c r="B28" s="62" t="s">
        <v>62</v>
      </c>
      <c r="C28" s="63"/>
      <c r="D28" s="64" t="s">
        <v>118</v>
      </c>
      <c r="E28" s="65"/>
      <c r="F28" s="65"/>
      <c r="G28" s="66"/>
      <c r="H28" s="56"/>
      <c r="I28" s="36"/>
      <c r="J28" s="35"/>
      <c r="K28" s="36"/>
      <c r="L28" s="36"/>
      <c r="M28" s="56"/>
      <c r="N28" s="126"/>
    </row>
    <row r="29" spans="1:14" s="1" customFormat="1" ht="14.1" customHeight="1">
      <c r="A29" s="92">
        <v>14</v>
      </c>
      <c r="B29" s="51" t="s">
        <v>20</v>
      </c>
      <c r="C29" s="52"/>
      <c r="D29" s="59" t="s">
        <v>21</v>
      </c>
      <c r="E29" s="60"/>
      <c r="F29" s="60"/>
      <c r="G29" s="61"/>
      <c r="H29" s="24">
        <f>SUM(I29)-2.6</f>
        <v>43.699999999999996</v>
      </c>
      <c r="I29" s="24">
        <f>SUM(J29)-2.6</f>
        <v>46.3</v>
      </c>
      <c r="J29" s="33">
        <v>48.9</v>
      </c>
      <c r="K29" s="24">
        <f>SUM(J29)+2.6</f>
        <v>51.5</v>
      </c>
      <c r="L29" s="24">
        <f>SUM(K29)+2.6</f>
        <v>54.1</v>
      </c>
      <c r="M29" s="24">
        <f>SUM(L29)+2.6</f>
        <v>56.7</v>
      </c>
      <c r="N29" s="121">
        <f>SUM(M29)+2.6</f>
        <v>59.300000000000004</v>
      </c>
    </row>
    <row r="30" spans="1:14" s="1" customFormat="1" ht="14.1" customHeight="1">
      <c r="A30" s="79"/>
      <c r="B30" s="62" t="s">
        <v>61</v>
      </c>
      <c r="C30" s="63"/>
      <c r="D30" s="64" t="s">
        <v>117</v>
      </c>
      <c r="E30" s="65"/>
      <c r="F30" s="65"/>
      <c r="G30" s="66"/>
      <c r="H30" s="36"/>
      <c r="I30" s="36"/>
      <c r="J30" s="35"/>
      <c r="K30" s="36"/>
      <c r="L30" s="36"/>
      <c r="M30" s="36"/>
      <c r="N30" s="122"/>
    </row>
    <row r="31" spans="1:14" s="1" customFormat="1" ht="14.1" customHeight="1">
      <c r="A31" s="92">
        <v>15</v>
      </c>
      <c r="B31" s="51" t="s">
        <v>22</v>
      </c>
      <c r="C31" s="52"/>
      <c r="D31" s="59" t="s">
        <v>23</v>
      </c>
      <c r="E31" s="60"/>
      <c r="F31" s="60"/>
      <c r="G31" s="61"/>
      <c r="H31" s="24">
        <f>SUM(I31)-6</f>
        <v>34</v>
      </c>
      <c r="I31" s="24">
        <f>SUM(J31)-6</f>
        <v>40</v>
      </c>
      <c r="J31" s="33">
        <v>46</v>
      </c>
      <c r="K31" s="24">
        <f>SUM(J31)+4.5</f>
        <v>50.5</v>
      </c>
      <c r="L31" s="24">
        <f>SUM(K31)+5</f>
        <v>55.5</v>
      </c>
      <c r="M31" s="24">
        <f>SUM(L31)+5</f>
        <v>60.5</v>
      </c>
      <c r="N31" s="121">
        <f>SUM(M31)+5</f>
        <v>65.5</v>
      </c>
    </row>
    <row r="32" spans="1:14" s="1" customFormat="1" ht="14.1" customHeight="1">
      <c r="A32" s="79"/>
      <c r="B32" s="62" t="s">
        <v>60</v>
      </c>
      <c r="C32" s="63"/>
      <c r="D32" s="64" t="s">
        <v>116</v>
      </c>
      <c r="E32" s="65"/>
      <c r="F32" s="65"/>
      <c r="G32" s="66"/>
      <c r="H32" s="36"/>
      <c r="I32" s="36"/>
      <c r="J32" s="35"/>
      <c r="K32" s="36"/>
      <c r="L32" s="36"/>
      <c r="M32" s="36"/>
      <c r="N32" s="122"/>
    </row>
    <row r="33" spans="1:14" s="1" customFormat="1" ht="14.1" customHeight="1">
      <c r="A33" s="92">
        <v>16</v>
      </c>
      <c r="B33" s="51" t="s">
        <v>115</v>
      </c>
      <c r="C33" s="52"/>
      <c r="D33" s="59" t="s">
        <v>113</v>
      </c>
      <c r="E33" s="60"/>
      <c r="F33" s="60"/>
      <c r="G33" s="61"/>
      <c r="H33" s="24">
        <f>SUM(I33)-2</f>
        <v>40</v>
      </c>
      <c r="I33" s="24">
        <f>SUM(J33)-2</f>
        <v>42</v>
      </c>
      <c r="J33" s="33">
        <v>44</v>
      </c>
      <c r="K33" s="24">
        <f>SUM(J33)+2</f>
        <v>46</v>
      </c>
      <c r="L33" s="24">
        <f>SUM(K33)+2</f>
        <v>48</v>
      </c>
      <c r="M33" s="24">
        <f>SUM(L33)+2</f>
        <v>50</v>
      </c>
      <c r="N33" s="121">
        <f>SUM(M33)+2</f>
        <v>52</v>
      </c>
    </row>
    <row r="34" spans="1:14" s="1" customFormat="1" ht="14.1" customHeight="1">
      <c r="A34" s="79"/>
      <c r="B34" s="62" t="s">
        <v>114</v>
      </c>
      <c r="C34" s="63"/>
      <c r="D34" s="64" t="s">
        <v>113</v>
      </c>
      <c r="E34" s="65"/>
      <c r="F34" s="65"/>
      <c r="G34" s="66"/>
      <c r="H34" s="36"/>
      <c r="I34" s="36"/>
      <c r="J34" s="35"/>
      <c r="K34" s="36"/>
      <c r="L34" s="36"/>
      <c r="M34" s="36"/>
      <c r="N34" s="122"/>
    </row>
    <row r="35" spans="1:14" s="1" customFormat="1" ht="14.1" customHeight="1">
      <c r="A35" s="92">
        <v>17</v>
      </c>
      <c r="B35" s="51" t="s">
        <v>112</v>
      </c>
      <c r="C35" s="52"/>
      <c r="D35" s="59" t="s">
        <v>111</v>
      </c>
      <c r="E35" s="60"/>
      <c r="F35" s="60"/>
      <c r="G35" s="61"/>
      <c r="H35" s="24">
        <f>SUM(I35)-3.3</f>
        <v>32.600000000000009</v>
      </c>
      <c r="I35" s="24">
        <f>SUM(J35)-3.3</f>
        <v>35.900000000000006</v>
      </c>
      <c r="J35" s="33">
        <v>39.200000000000003</v>
      </c>
      <c r="K35" s="24">
        <f>SUM(J35)+3.2</f>
        <v>42.400000000000006</v>
      </c>
      <c r="L35" s="24">
        <f>SUM(K35)+2.9</f>
        <v>45.300000000000004</v>
      </c>
      <c r="M35" s="24">
        <f>SUM(L35)+2.9</f>
        <v>48.2</v>
      </c>
      <c r="N35" s="121">
        <f>SUM(M35)+2.9</f>
        <v>51.1</v>
      </c>
    </row>
    <row r="36" spans="1:14" s="1" customFormat="1" ht="14.1" customHeight="1">
      <c r="A36" s="79"/>
      <c r="B36" s="62" t="s">
        <v>110</v>
      </c>
      <c r="C36" s="63"/>
      <c r="D36" s="64" t="s">
        <v>160</v>
      </c>
      <c r="E36" s="65"/>
      <c r="F36" s="65"/>
      <c r="G36" s="66"/>
      <c r="H36" s="36"/>
      <c r="I36" s="36"/>
      <c r="J36" s="35"/>
      <c r="K36" s="36"/>
      <c r="L36" s="36"/>
      <c r="M36" s="36"/>
      <c r="N36" s="122"/>
    </row>
    <row r="37" spans="1:14" s="1" customFormat="1" ht="14.1" customHeight="1">
      <c r="A37" s="92">
        <v>18</v>
      </c>
      <c r="B37" s="51" t="s">
        <v>144</v>
      </c>
      <c r="C37" s="52"/>
      <c r="D37" s="59" t="s">
        <v>24</v>
      </c>
      <c r="E37" s="60"/>
      <c r="F37" s="60"/>
      <c r="G37" s="61"/>
      <c r="H37" s="24">
        <f>SUM(I37)-0.2</f>
        <v>4.0999999999999996</v>
      </c>
      <c r="I37" s="24">
        <f>SUM(J37)-0.2</f>
        <v>4.3</v>
      </c>
      <c r="J37" s="23">
        <v>4.5</v>
      </c>
      <c r="K37" s="21">
        <f>SUM(J37)+0.2</f>
        <v>4.7</v>
      </c>
      <c r="L37" s="21">
        <f>SUM(K37)+0.2</f>
        <v>4.9000000000000004</v>
      </c>
      <c r="M37" s="21">
        <f>SUM(L37)+0.2</f>
        <v>5.1000000000000005</v>
      </c>
      <c r="N37" s="123">
        <f>SUM(M37)+0.2</f>
        <v>5.3000000000000007</v>
      </c>
    </row>
    <row r="38" spans="1:14" s="1" customFormat="1" ht="14.1" customHeight="1">
      <c r="A38" s="79"/>
      <c r="B38" s="62" t="s">
        <v>59</v>
      </c>
      <c r="C38" s="63"/>
      <c r="D38" s="64" t="s">
        <v>143</v>
      </c>
      <c r="E38" s="65"/>
      <c r="F38" s="65"/>
      <c r="G38" s="66"/>
      <c r="H38" s="36"/>
      <c r="I38" s="36"/>
      <c r="J38" s="23"/>
      <c r="K38" s="21"/>
      <c r="L38" s="21"/>
      <c r="M38" s="21"/>
      <c r="N38" s="123"/>
    </row>
    <row r="39" spans="1:14" s="1" customFormat="1" ht="14.1" customHeight="1">
      <c r="A39" s="92">
        <v>19</v>
      </c>
      <c r="B39" s="51" t="s">
        <v>142</v>
      </c>
      <c r="C39" s="52"/>
      <c r="D39" s="59" t="s">
        <v>25</v>
      </c>
      <c r="E39" s="60"/>
      <c r="F39" s="60"/>
      <c r="G39" s="61"/>
      <c r="H39" s="24">
        <f>SUM(I39)-0.6</f>
        <v>9.3000000000000007</v>
      </c>
      <c r="I39" s="24">
        <f>SUM(J39)-0.6</f>
        <v>9.9</v>
      </c>
      <c r="J39" s="33">
        <v>10.5</v>
      </c>
      <c r="K39" s="24">
        <f>SUM(J39)+0.6</f>
        <v>11.1</v>
      </c>
      <c r="L39" s="24">
        <f>SUM(K39)+0.6</f>
        <v>11.7</v>
      </c>
      <c r="M39" s="24">
        <f>SUM(L39)+0.6</f>
        <v>12.299999999999999</v>
      </c>
      <c r="N39" s="121">
        <f>SUM(M39)+0.6</f>
        <v>12.899999999999999</v>
      </c>
    </row>
    <row r="40" spans="1:14" s="1" customFormat="1" ht="14.1" customHeight="1">
      <c r="A40" s="79"/>
      <c r="B40" s="62" t="s">
        <v>58</v>
      </c>
      <c r="C40" s="63"/>
      <c r="D40" s="64" t="s">
        <v>141</v>
      </c>
      <c r="E40" s="65"/>
      <c r="F40" s="65"/>
      <c r="G40" s="66"/>
      <c r="H40" s="36"/>
      <c r="I40" s="36"/>
      <c r="J40" s="35"/>
      <c r="K40" s="36"/>
      <c r="L40" s="36"/>
      <c r="M40" s="36"/>
      <c r="N40" s="122"/>
    </row>
    <row r="41" spans="1:14" s="1" customFormat="1" ht="14.1" customHeight="1">
      <c r="A41" s="92">
        <v>20</v>
      </c>
      <c r="B41" s="51" t="s">
        <v>140</v>
      </c>
      <c r="C41" s="52"/>
      <c r="D41" s="57"/>
      <c r="E41" s="57"/>
      <c r="F41" s="57"/>
      <c r="G41" s="57"/>
      <c r="H41" s="24">
        <f>SUM(I41)-0.5</f>
        <v>10</v>
      </c>
      <c r="I41" s="24">
        <f>SUM(J41)-0.5</f>
        <v>10.5</v>
      </c>
      <c r="J41" s="33">
        <v>11</v>
      </c>
      <c r="K41" s="24">
        <f>SUM(J41)+0.5</f>
        <v>11.5</v>
      </c>
      <c r="L41" s="24">
        <f>SUM(K41)+0.5</f>
        <v>12</v>
      </c>
      <c r="M41" s="24">
        <f>SUM(L41)+0.5</f>
        <v>12.5</v>
      </c>
      <c r="N41" s="121">
        <f>SUM(M41)+0.5</f>
        <v>13</v>
      </c>
    </row>
    <row r="42" spans="1:14" s="1" customFormat="1" ht="14.1" customHeight="1">
      <c r="A42" s="79"/>
      <c r="B42" s="45" t="s">
        <v>139</v>
      </c>
      <c r="C42" s="46"/>
      <c r="D42" s="47"/>
      <c r="E42" s="48"/>
      <c r="F42" s="48"/>
      <c r="G42" s="49"/>
      <c r="H42" s="36"/>
      <c r="I42" s="36"/>
      <c r="J42" s="35"/>
      <c r="K42" s="36"/>
      <c r="L42" s="36"/>
      <c r="M42" s="36"/>
      <c r="N42" s="122"/>
    </row>
    <row r="43" spans="1:14" s="1" customFormat="1" ht="14.1" customHeight="1">
      <c r="A43" s="92">
        <v>21</v>
      </c>
      <c r="B43" s="51" t="s">
        <v>138</v>
      </c>
      <c r="C43" s="52"/>
      <c r="D43" s="57"/>
      <c r="E43" s="57"/>
      <c r="F43" s="57"/>
      <c r="G43" s="57"/>
      <c r="H43" s="24">
        <f>SUM(I43)-0.5</f>
        <v>11</v>
      </c>
      <c r="I43" s="24">
        <f>SUM(J43)-0.5</f>
        <v>11.5</v>
      </c>
      <c r="J43" s="33">
        <v>12</v>
      </c>
      <c r="K43" s="24">
        <f>SUM(J43)+0.5</f>
        <v>12.5</v>
      </c>
      <c r="L43" s="24">
        <f>SUM(K43)+0.5</f>
        <v>13</v>
      </c>
      <c r="M43" s="24">
        <f>SUM(L43)+0.5</f>
        <v>13.5</v>
      </c>
      <c r="N43" s="121">
        <f>SUM(M43)+0.5</f>
        <v>14</v>
      </c>
    </row>
    <row r="44" spans="1:14" s="1" customFormat="1" ht="14.1" customHeight="1">
      <c r="A44" s="79"/>
      <c r="B44" s="56" t="s">
        <v>137</v>
      </c>
      <c r="C44" s="56"/>
      <c r="D44" s="47"/>
      <c r="E44" s="48"/>
      <c r="F44" s="48"/>
      <c r="G44" s="49"/>
      <c r="H44" s="36"/>
      <c r="I44" s="36"/>
      <c r="J44" s="35"/>
      <c r="K44" s="36"/>
      <c r="L44" s="36"/>
      <c r="M44" s="36"/>
      <c r="N44" s="122"/>
    </row>
    <row r="45" spans="1:14" s="1" customFormat="1" ht="14.1" customHeight="1">
      <c r="A45" s="92">
        <v>22</v>
      </c>
      <c r="B45" s="51" t="s">
        <v>280</v>
      </c>
      <c r="C45" s="52"/>
      <c r="D45" s="57"/>
      <c r="E45" s="57"/>
      <c r="F45" s="57"/>
      <c r="G45" s="57"/>
      <c r="H45" s="24">
        <f>SUM(I45)-0.5</f>
        <v>9</v>
      </c>
      <c r="I45" s="24">
        <f>SUM(J45)-0.5</f>
        <v>9.5</v>
      </c>
      <c r="J45" s="33">
        <v>10</v>
      </c>
      <c r="K45" s="24">
        <f>SUM(J45)+0.5</f>
        <v>10.5</v>
      </c>
      <c r="L45" s="24">
        <f>SUM(K45)+0.5</f>
        <v>11</v>
      </c>
      <c r="M45" s="24">
        <f>SUM(L45)+0.5</f>
        <v>11.5</v>
      </c>
      <c r="N45" s="121">
        <f>SUM(M45)+0.5</f>
        <v>12</v>
      </c>
    </row>
    <row r="46" spans="1:14" s="1" customFormat="1" ht="14.1" customHeight="1">
      <c r="A46" s="79"/>
      <c r="B46" s="45" t="s">
        <v>281</v>
      </c>
      <c r="C46" s="46"/>
      <c r="D46" s="47"/>
      <c r="E46" s="48"/>
      <c r="F46" s="48"/>
      <c r="G46" s="49"/>
      <c r="H46" s="36"/>
      <c r="I46" s="36"/>
      <c r="J46" s="35"/>
      <c r="K46" s="36"/>
      <c r="L46" s="36"/>
      <c r="M46" s="36"/>
      <c r="N46" s="122"/>
    </row>
    <row r="47" spans="1:14" s="1" customFormat="1" ht="14.1" customHeight="1">
      <c r="A47" s="92">
        <v>23</v>
      </c>
      <c r="B47" s="51" t="s">
        <v>282</v>
      </c>
      <c r="C47" s="52"/>
      <c r="D47" s="57"/>
      <c r="E47" s="57"/>
      <c r="F47" s="57"/>
      <c r="G47" s="57"/>
      <c r="H47" s="24">
        <f>SUM(I47)-0.2</f>
        <v>3.5999999999999996</v>
      </c>
      <c r="I47" s="24">
        <f>SUM(J47)-0.2</f>
        <v>3.8</v>
      </c>
      <c r="J47" s="23">
        <v>4</v>
      </c>
      <c r="K47" s="21">
        <f>SUM(J47)+0.2</f>
        <v>4.2</v>
      </c>
      <c r="L47" s="21">
        <f>SUM(K47)+0.2</f>
        <v>4.4000000000000004</v>
      </c>
      <c r="M47" s="21">
        <f>SUM(L47)+0.2</f>
        <v>4.6000000000000005</v>
      </c>
      <c r="N47" s="123">
        <f>SUM(M47)+0.2</f>
        <v>4.8000000000000007</v>
      </c>
    </row>
    <row r="48" spans="1:14" s="1" customFormat="1" ht="14.1" customHeight="1">
      <c r="A48" s="79"/>
      <c r="B48" s="56" t="s">
        <v>283</v>
      </c>
      <c r="C48" s="56"/>
      <c r="D48" s="47"/>
      <c r="E48" s="48"/>
      <c r="F48" s="48"/>
      <c r="G48" s="49"/>
      <c r="H48" s="36"/>
      <c r="I48" s="36"/>
      <c r="J48" s="23"/>
      <c r="K48" s="21"/>
      <c r="L48" s="21"/>
      <c r="M48" s="21"/>
      <c r="N48" s="123"/>
    </row>
    <row r="49" spans="1:14" s="1" customFormat="1" ht="14.1" customHeight="1">
      <c r="A49" s="92">
        <v>24</v>
      </c>
      <c r="B49" s="51" t="s">
        <v>284</v>
      </c>
      <c r="C49" s="52"/>
      <c r="D49" s="57"/>
      <c r="E49" s="57"/>
      <c r="F49" s="57"/>
      <c r="G49" s="57"/>
      <c r="H49" s="24">
        <f>SUM(I49)-0.5</f>
        <v>8.5</v>
      </c>
      <c r="I49" s="24">
        <f>SUM(J49)-0.5</f>
        <v>9</v>
      </c>
      <c r="J49" s="33">
        <v>9.5</v>
      </c>
      <c r="K49" s="24">
        <f>SUM(J49)+0.5</f>
        <v>10</v>
      </c>
      <c r="L49" s="24">
        <f>SUM(K49)+0.5</f>
        <v>10.5</v>
      </c>
      <c r="M49" s="24">
        <f>SUM(L49)+0.5</f>
        <v>11</v>
      </c>
      <c r="N49" s="121">
        <f>SUM(M49)+0.5</f>
        <v>11.5</v>
      </c>
    </row>
    <row r="50" spans="1:14" s="1" customFormat="1" ht="14.1" customHeight="1">
      <c r="A50" s="79"/>
      <c r="B50" s="45" t="s">
        <v>285</v>
      </c>
      <c r="C50" s="46"/>
      <c r="D50" s="47"/>
      <c r="E50" s="48"/>
      <c r="F50" s="48"/>
      <c r="G50" s="49"/>
      <c r="H50" s="36"/>
      <c r="I50" s="36"/>
      <c r="J50" s="35"/>
      <c r="K50" s="36"/>
      <c r="L50" s="36"/>
      <c r="M50" s="36"/>
      <c r="N50" s="122"/>
    </row>
    <row r="51" spans="1:14" s="1" customFormat="1" ht="14.1" customHeight="1">
      <c r="A51" s="92">
        <v>25</v>
      </c>
      <c r="B51" s="51" t="s">
        <v>286</v>
      </c>
      <c r="C51" s="52"/>
      <c r="D51" s="57"/>
      <c r="E51" s="57"/>
      <c r="F51" s="57"/>
      <c r="G51" s="57"/>
      <c r="H51" s="24">
        <f>SUM(I51)-0.5</f>
        <v>8.5</v>
      </c>
      <c r="I51" s="24">
        <f>SUM(J51)-0.5</f>
        <v>9</v>
      </c>
      <c r="J51" s="33">
        <v>9.5</v>
      </c>
      <c r="K51" s="24">
        <f>SUM(J51)+0.5</f>
        <v>10</v>
      </c>
      <c r="L51" s="24">
        <f>SUM(K51)+0.5</f>
        <v>10.5</v>
      </c>
      <c r="M51" s="24">
        <f>SUM(L51)+0.5</f>
        <v>11</v>
      </c>
      <c r="N51" s="121">
        <f>SUM(M51)+0.5</f>
        <v>11.5</v>
      </c>
    </row>
    <row r="52" spans="1:14" s="1" customFormat="1" ht="14.1" customHeight="1" thickBot="1">
      <c r="A52" s="99"/>
      <c r="B52" s="110" t="s">
        <v>287</v>
      </c>
      <c r="C52" s="110"/>
      <c r="D52" s="30"/>
      <c r="E52" s="31"/>
      <c r="F52" s="31"/>
      <c r="G52" s="32"/>
      <c r="H52" s="25"/>
      <c r="I52" s="25"/>
      <c r="J52" s="34"/>
      <c r="K52" s="25"/>
      <c r="L52" s="25"/>
      <c r="M52" s="25"/>
      <c r="N52" s="124"/>
    </row>
  </sheetData>
  <mergeCells count="303">
    <mergeCell ref="J51:J52"/>
    <mergeCell ref="K51:K52"/>
    <mergeCell ref="L51:L52"/>
    <mergeCell ref="M51:M52"/>
    <mergeCell ref="B52:C52"/>
    <mergeCell ref="D52:G52"/>
    <mergeCell ref="K49:K50"/>
    <mergeCell ref="L49:L50"/>
    <mergeCell ref="M49:M50"/>
    <mergeCell ref="B50:C50"/>
    <mergeCell ref="D50:G50"/>
    <mergeCell ref="J49:J50"/>
    <mergeCell ref="A51:A52"/>
    <mergeCell ref="B51:C51"/>
    <mergeCell ref="D51:G51"/>
    <mergeCell ref="H51:H52"/>
    <mergeCell ref="I51:I52"/>
    <mergeCell ref="A49:A50"/>
    <mergeCell ref="B49:C49"/>
    <mergeCell ref="D49:G49"/>
    <mergeCell ref="H49:H50"/>
    <mergeCell ref="I49:I50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L5:L6"/>
    <mergeCell ref="M5:M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A1:N1"/>
    <mergeCell ref="N3:N4"/>
    <mergeCell ref="A7:A8"/>
    <mergeCell ref="B7:C7"/>
    <mergeCell ref="D7:G7"/>
    <mergeCell ref="H7:H8"/>
    <mergeCell ref="I7:I8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J7:J8"/>
    <mergeCell ref="K7:K8"/>
    <mergeCell ref="L7:L8"/>
    <mergeCell ref="M7:M8"/>
    <mergeCell ref="B8:C8"/>
    <mergeCell ref="D8:G8"/>
    <mergeCell ref="K5:K6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41:N42"/>
    <mergeCell ref="N43:N44"/>
    <mergeCell ref="N45:N46"/>
    <mergeCell ref="N47:N48"/>
    <mergeCell ref="N49:N50"/>
    <mergeCell ref="N51:N5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6509A-E8BF-4C8D-9D9B-31714186866D}">
  <sheetPr codeName="Sheet117">
    <tabColor rgb="FF00B050"/>
    <pageSetUpPr fitToPage="1"/>
  </sheetPr>
  <dimension ref="A1:M52"/>
  <sheetViews>
    <sheetView zoomScale="110" zoomScaleNormal="110" workbookViewId="0">
      <selection activeCell="O7" sqref="O7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356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2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</row>
    <row r="3" spans="1:13" s="1" customFormat="1" ht="14.1" customHeight="1">
      <c r="A3" s="78">
        <v>1</v>
      </c>
      <c r="B3" s="80" t="s">
        <v>149</v>
      </c>
      <c r="C3" s="81"/>
      <c r="D3" s="74" t="s">
        <v>82</v>
      </c>
      <c r="E3" s="82"/>
      <c r="F3" s="82"/>
      <c r="G3" s="83"/>
      <c r="H3" s="58">
        <f>SUM(I3)-3</f>
        <v>45</v>
      </c>
      <c r="I3" s="24">
        <f>SUM(J3)-3</f>
        <v>48</v>
      </c>
      <c r="J3" s="84">
        <v>51</v>
      </c>
      <c r="K3" s="85">
        <f>SUM(J3)+3</f>
        <v>54</v>
      </c>
      <c r="L3" s="85">
        <f>SUM(K3)+3</f>
        <v>57</v>
      </c>
      <c r="M3" s="109">
        <f>SUM(L3)+3</f>
        <v>60</v>
      </c>
    </row>
    <row r="4" spans="1:13" s="1" customFormat="1" ht="14.1" customHeight="1">
      <c r="A4" s="79"/>
      <c r="B4" s="62" t="s">
        <v>108</v>
      </c>
      <c r="C4" s="63"/>
      <c r="D4" s="64" t="s">
        <v>83</v>
      </c>
      <c r="E4" s="65"/>
      <c r="F4" s="65"/>
      <c r="G4" s="66"/>
      <c r="H4" s="56"/>
      <c r="I4" s="36"/>
      <c r="J4" s="35"/>
      <c r="K4" s="36"/>
      <c r="L4" s="36"/>
      <c r="M4" s="37"/>
    </row>
    <row r="5" spans="1:13" s="1" customFormat="1" ht="14.1" customHeight="1">
      <c r="A5" s="92">
        <v>2</v>
      </c>
      <c r="B5" s="40" t="s">
        <v>165</v>
      </c>
      <c r="C5" s="41"/>
      <c r="D5" s="100"/>
      <c r="E5" s="101"/>
      <c r="F5" s="101"/>
      <c r="G5" s="102"/>
      <c r="H5" s="58"/>
      <c r="I5" s="24"/>
      <c r="J5" s="117"/>
      <c r="K5" s="50"/>
      <c r="L5" s="50"/>
      <c r="M5" s="113"/>
    </row>
    <row r="6" spans="1:13" s="1" customFormat="1" ht="14.1" customHeight="1">
      <c r="A6" s="79"/>
      <c r="B6" s="62" t="s">
        <v>164</v>
      </c>
      <c r="C6" s="63"/>
      <c r="D6" s="64"/>
      <c r="E6" s="65"/>
      <c r="F6" s="65"/>
      <c r="G6" s="66"/>
      <c r="H6" s="56"/>
      <c r="I6" s="36"/>
      <c r="J6" s="35"/>
      <c r="K6" s="36"/>
      <c r="L6" s="36"/>
      <c r="M6" s="37"/>
    </row>
    <row r="7" spans="1:13" s="1" customFormat="1" ht="14.1" customHeight="1">
      <c r="A7" s="92">
        <v>3</v>
      </c>
      <c r="B7" s="40" t="s">
        <v>148</v>
      </c>
      <c r="C7" s="41"/>
      <c r="D7" s="100"/>
      <c r="E7" s="101"/>
      <c r="F7" s="101"/>
      <c r="G7" s="102"/>
      <c r="H7" s="58"/>
      <c r="I7" s="24"/>
      <c r="J7" s="117"/>
      <c r="K7" s="50"/>
      <c r="L7" s="50"/>
      <c r="M7" s="113"/>
    </row>
    <row r="8" spans="1:13" s="1" customFormat="1" ht="14.1" customHeight="1">
      <c r="A8" s="79"/>
      <c r="B8" s="62" t="s">
        <v>147</v>
      </c>
      <c r="C8" s="63"/>
      <c r="D8" s="64"/>
      <c r="E8" s="65"/>
      <c r="F8" s="65"/>
      <c r="G8" s="66"/>
      <c r="H8" s="56"/>
      <c r="I8" s="36"/>
      <c r="J8" s="35"/>
      <c r="K8" s="36"/>
      <c r="L8" s="36"/>
      <c r="M8" s="37"/>
    </row>
    <row r="9" spans="1:13" s="1" customFormat="1" ht="14.1" customHeight="1">
      <c r="A9" s="92">
        <v>4</v>
      </c>
      <c r="B9" s="51" t="s">
        <v>163</v>
      </c>
      <c r="C9" s="52"/>
      <c r="D9" s="118"/>
      <c r="E9" s="119"/>
      <c r="F9" s="119"/>
      <c r="G9" s="120"/>
      <c r="H9" s="24"/>
      <c r="I9" s="24"/>
      <c r="J9" s="117"/>
      <c r="K9" s="50"/>
      <c r="L9" s="50"/>
      <c r="M9" s="113"/>
    </row>
    <row r="10" spans="1:13" s="1" customFormat="1" ht="14.1" customHeight="1">
      <c r="A10" s="79"/>
      <c r="B10" s="62" t="s">
        <v>162</v>
      </c>
      <c r="C10" s="63"/>
      <c r="D10" s="114"/>
      <c r="E10" s="115"/>
      <c r="F10" s="115"/>
      <c r="G10" s="116"/>
      <c r="H10" s="36"/>
      <c r="I10" s="36"/>
      <c r="J10" s="35"/>
      <c r="K10" s="36"/>
      <c r="L10" s="36"/>
      <c r="M10" s="37"/>
    </row>
    <row r="11" spans="1:13" s="1" customFormat="1" ht="14.1" customHeight="1">
      <c r="A11" s="92">
        <v>5</v>
      </c>
      <c r="B11" s="51" t="s">
        <v>157</v>
      </c>
      <c r="C11" s="52"/>
      <c r="D11" s="100"/>
      <c r="E11" s="101"/>
      <c r="F11" s="101"/>
      <c r="G11" s="102"/>
      <c r="H11" s="24">
        <f>SUM(I11)-3.5</f>
        <v>60</v>
      </c>
      <c r="I11" s="24">
        <f>SUM(J11)-3.5</f>
        <v>63.5</v>
      </c>
      <c r="J11" s="117">
        <v>67</v>
      </c>
      <c r="K11" s="50">
        <f>SUM(J11)+3.5</f>
        <v>70.5</v>
      </c>
      <c r="L11" s="50">
        <f>SUM(K11)+3.5</f>
        <v>74</v>
      </c>
      <c r="M11" s="113">
        <f>SUM(L11)+3.5</f>
        <v>77.5</v>
      </c>
    </row>
    <row r="12" spans="1:13" s="1" customFormat="1" ht="14.1" customHeight="1">
      <c r="A12" s="79"/>
      <c r="B12" s="62" t="s">
        <v>158</v>
      </c>
      <c r="C12" s="63"/>
      <c r="D12" s="64"/>
      <c r="E12" s="65"/>
      <c r="F12" s="65"/>
      <c r="G12" s="66"/>
      <c r="H12" s="36"/>
      <c r="I12" s="36"/>
      <c r="J12" s="35"/>
      <c r="K12" s="36"/>
      <c r="L12" s="36"/>
      <c r="M12" s="37"/>
    </row>
    <row r="13" spans="1:13" s="1" customFormat="1" ht="14.1" customHeight="1">
      <c r="A13" s="92">
        <v>6</v>
      </c>
      <c r="B13" s="51" t="s">
        <v>13</v>
      </c>
      <c r="C13" s="52"/>
      <c r="D13" s="59" t="s">
        <v>182</v>
      </c>
      <c r="E13" s="60"/>
      <c r="F13" s="60"/>
      <c r="G13" s="61"/>
      <c r="H13" s="24">
        <f>SUM(I13)-4</f>
        <v>63</v>
      </c>
      <c r="I13" s="24">
        <f>SUM(J13)-4</f>
        <v>67</v>
      </c>
      <c r="J13" s="33">
        <v>71</v>
      </c>
      <c r="K13" s="24">
        <f>SUM(J13)+4</f>
        <v>75</v>
      </c>
      <c r="L13" s="24">
        <f>SUM(K13)+4</f>
        <v>79</v>
      </c>
      <c r="M13" s="26">
        <f>SUM(L13)+4</f>
        <v>83</v>
      </c>
    </row>
    <row r="14" spans="1:13" s="1" customFormat="1" ht="14.1" customHeight="1">
      <c r="A14" s="79"/>
      <c r="B14" s="62" t="s">
        <v>55</v>
      </c>
      <c r="C14" s="63"/>
      <c r="D14" s="64" t="s">
        <v>121</v>
      </c>
      <c r="E14" s="65"/>
      <c r="F14" s="65"/>
      <c r="G14" s="66"/>
      <c r="H14" s="36"/>
      <c r="I14" s="36"/>
      <c r="J14" s="35"/>
      <c r="K14" s="36"/>
      <c r="L14" s="36"/>
      <c r="M14" s="37"/>
    </row>
    <row r="15" spans="1:13" s="1" customFormat="1" ht="14.1" customHeight="1">
      <c r="A15" s="92">
        <v>7</v>
      </c>
      <c r="B15" s="51" t="s">
        <v>146</v>
      </c>
      <c r="C15" s="52"/>
      <c r="D15" s="59"/>
      <c r="E15" s="60"/>
      <c r="F15" s="60"/>
      <c r="G15" s="61"/>
      <c r="H15" s="58">
        <f>SUM(I15)-0.7</f>
        <v>12.600000000000001</v>
      </c>
      <c r="I15" s="24">
        <f>SUM(J15)-0.7</f>
        <v>13.3</v>
      </c>
      <c r="J15" s="33">
        <v>14</v>
      </c>
      <c r="K15" s="24">
        <f>SUM(J15)+1.2</f>
        <v>15.2</v>
      </c>
      <c r="L15" s="24">
        <f>SUM(K15)+0.7</f>
        <v>15.899999999999999</v>
      </c>
      <c r="M15" s="111">
        <f>SUM(L15)+0.7</f>
        <v>16.599999999999998</v>
      </c>
    </row>
    <row r="16" spans="1:13" s="1" customFormat="1" ht="14.1" customHeight="1">
      <c r="A16" s="79"/>
      <c r="B16" s="62" t="s">
        <v>145</v>
      </c>
      <c r="C16" s="63"/>
      <c r="D16" s="89" t="s">
        <v>161</v>
      </c>
      <c r="E16" s="90"/>
      <c r="F16" s="90"/>
      <c r="G16" s="91"/>
      <c r="H16" s="56"/>
      <c r="I16" s="36"/>
      <c r="J16" s="35"/>
      <c r="K16" s="36"/>
      <c r="L16" s="36"/>
      <c r="M16" s="112"/>
    </row>
    <row r="17" spans="1:13" s="1" customFormat="1" ht="14.1" customHeight="1">
      <c r="A17" s="92">
        <v>8</v>
      </c>
      <c r="B17" s="51" t="s">
        <v>166</v>
      </c>
      <c r="C17" s="52"/>
      <c r="D17" s="59"/>
      <c r="E17" s="60"/>
      <c r="F17" s="60"/>
      <c r="G17" s="61"/>
      <c r="H17" s="58"/>
      <c r="I17" s="24"/>
      <c r="J17" s="33"/>
      <c r="K17" s="24"/>
      <c r="L17" s="24"/>
      <c r="M17" s="111"/>
    </row>
    <row r="18" spans="1:13" s="1" customFormat="1" ht="14.1" customHeight="1">
      <c r="A18" s="79"/>
      <c r="B18" s="62" t="s">
        <v>167</v>
      </c>
      <c r="C18" s="63"/>
      <c r="D18" s="89" t="s">
        <v>168</v>
      </c>
      <c r="E18" s="90"/>
      <c r="F18" s="90"/>
      <c r="G18" s="91"/>
      <c r="H18" s="56"/>
      <c r="I18" s="36"/>
      <c r="J18" s="35"/>
      <c r="K18" s="36"/>
      <c r="L18" s="36"/>
      <c r="M18" s="112"/>
    </row>
    <row r="19" spans="1:13" s="1" customFormat="1" ht="14.1" customHeight="1">
      <c r="A19" s="92">
        <v>9</v>
      </c>
      <c r="B19" s="51" t="s">
        <v>178</v>
      </c>
      <c r="C19" s="52"/>
      <c r="D19" s="59"/>
      <c r="E19" s="60"/>
      <c r="F19" s="60"/>
      <c r="G19" s="61"/>
      <c r="H19" s="24"/>
      <c r="I19" s="24"/>
      <c r="J19" s="33"/>
      <c r="K19" s="24"/>
      <c r="L19" s="24"/>
      <c r="M19" s="26"/>
    </row>
    <row r="20" spans="1:13" s="1" customFormat="1" ht="14.1" customHeight="1">
      <c r="A20" s="79"/>
      <c r="B20" s="62" t="s">
        <v>177</v>
      </c>
      <c r="C20" s="63"/>
      <c r="D20" s="89"/>
      <c r="E20" s="90"/>
      <c r="F20" s="90"/>
      <c r="G20" s="91"/>
      <c r="H20" s="36"/>
      <c r="I20" s="36"/>
      <c r="J20" s="35"/>
      <c r="K20" s="36"/>
      <c r="L20" s="36"/>
      <c r="M20" s="37"/>
    </row>
    <row r="21" spans="1:13" s="1" customFormat="1" ht="14.1" customHeight="1">
      <c r="A21" s="92">
        <v>10</v>
      </c>
      <c r="B21" s="51" t="s">
        <v>9</v>
      </c>
      <c r="C21" s="52"/>
      <c r="D21" s="59" t="s">
        <v>84</v>
      </c>
      <c r="E21" s="60"/>
      <c r="F21" s="60"/>
      <c r="G21" s="61"/>
      <c r="H21" s="24">
        <f>SUM(I21)-7</f>
        <v>49</v>
      </c>
      <c r="I21" s="24">
        <f>SUM(J21)-7</f>
        <v>56</v>
      </c>
      <c r="J21" s="33">
        <v>63</v>
      </c>
      <c r="K21" s="24">
        <f>SUM(J21)+6</f>
        <v>69</v>
      </c>
      <c r="L21" s="24">
        <f>SUM(K21)+6</f>
        <v>75</v>
      </c>
      <c r="M21" s="26">
        <f>SUM(L21)+6</f>
        <v>81</v>
      </c>
    </row>
    <row r="22" spans="1:13" s="1" customFormat="1" ht="14.1" customHeight="1">
      <c r="A22" s="79"/>
      <c r="B22" s="62" t="s">
        <v>891</v>
      </c>
      <c r="C22" s="63"/>
      <c r="D22" s="64" t="s">
        <v>120</v>
      </c>
      <c r="E22" s="65"/>
      <c r="F22" s="65"/>
      <c r="G22" s="66"/>
      <c r="H22" s="36"/>
      <c r="I22" s="36"/>
      <c r="J22" s="35"/>
      <c r="K22" s="36"/>
      <c r="L22" s="36"/>
      <c r="M22" s="37"/>
    </row>
    <row r="23" spans="1:13" s="1" customFormat="1" ht="14.1" customHeight="1">
      <c r="A23" s="92">
        <v>11</v>
      </c>
      <c r="B23" s="51" t="s">
        <v>16</v>
      </c>
      <c r="C23" s="52"/>
      <c r="D23" s="59" t="s">
        <v>17</v>
      </c>
      <c r="E23" s="60"/>
      <c r="F23" s="60"/>
      <c r="G23" s="61"/>
      <c r="H23" s="24">
        <f>SUM(I23)-2</f>
        <v>38</v>
      </c>
      <c r="I23" s="24">
        <f>SUM(J23)-2</f>
        <v>40</v>
      </c>
      <c r="J23" s="33">
        <v>42</v>
      </c>
      <c r="K23" s="24">
        <f>SUM(J23)+2</f>
        <v>44</v>
      </c>
      <c r="L23" s="24">
        <f>SUM(K23)+2</f>
        <v>46</v>
      </c>
      <c r="M23" s="26">
        <f>SUM(L23)+2</f>
        <v>48</v>
      </c>
    </row>
    <row r="24" spans="1:13" s="1" customFormat="1" ht="14.1" customHeight="1">
      <c r="A24" s="79"/>
      <c r="B24" s="62" t="s">
        <v>57</v>
      </c>
      <c r="C24" s="63"/>
      <c r="D24" s="47" t="s">
        <v>119</v>
      </c>
      <c r="E24" s="48"/>
      <c r="F24" s="48"/>
      <c r="G24" s="49"/>
      <c r="H24" s="36"/>
      <c r="I24" s="36"/>
      <c r="J24" s="35"/>
      <c r="K24" s="36"/>
      <c r="L24" s="36"/>
      <c r="M24" s="37"/>
    </row>
    <row r="25" spans="1:13" s="1" customFormat="1" ht="14.1" customHeight="1">
      <c r="A25" s="92">
        <v>12</v>
      </c>
      <c r="B25" s="51" t="s">
        <v>18</v>
      </c>
      <c r="C25" s="52"/>
      <c r="D25" s="59" t="s">
        <v>15</v>
      </c>
      <c r="E25" s="60"/>
      <c r="F25" s="60"/>
      <c r="G25" s="61"/>
      <c r="H25" s="58">
        <f>SUM(I25)-1.1</f>
        <v>20.599999999999998</v>
      </c>
      <c r="I25" s="24">
        <f>SUM(J25)-1.1</f>
        <v>21.7</v>
      </c>
      <c r="J25" s="33">
        <v>22.8</v>
      </c>
      <c r="K25" s="24">
        <f>SUM(J25)+1.6</f>
        <v>24.400000000000002</v>
      </c>
      <c r="L25" s="24">
        <f>SUM(K25)+1.1</f>
        <v>25.500000000000004</v>
      </c>
      <c r="M25" s="111">
        <f>SUM(L25)+1.1</f>
        <v>26.600000000000005</v>
      </c>
    </row>
    <row r="26" spans="1:13" s="1" customFormat="1" ht="14.1" customHeight="1">
      <c r="A26" s="79"/>
      <c r="B26" s="62" t="s">
        <v>63</v>
      </c>
      <c r="C26" s="63"/>
      <c r="D26" s="64" t="s">
        <v>118</v>
      </c>
      <c r="E26" s="65"/>
      <c r="F26" s="65"/>
      <c r="G26" s="66"/>
      <c r="H26" s="56"/>
      <c r="I26" s="36"/>
      <c r="J26" s="35"/>
      <c r="K26" s="36"/>
      <c r="L26" s="36"/>
      <c r="M26" s="112"/>
    </row>
    <row r="27" spans="1:13" s="1" customFormat="1" ht="14.1" customHeight="1">
      <c r="A27" s="92">
        <v>13</v>
      </c>
      <c r="B27" s="51" t="s">
        <v>19</v>
      </c>
      <c r="C27" s="52"/>
      <c r="D27" s="59" t="s">
        <v>15</v>
      </c>
      <c r="E27" s="60"/>
      <c r="F27" s="60"/>
      <c r="G27" s="61"/>
      <c r="H27" s="58">
        <f>SUM(I27)-1.3</f>
        <v>27.599999999999998</v>
      </c>
      <c r="I27" s="24">
        <f>SUM(J27)-1.3</f>
        <v>28.9</v>
      </c>
      <c r="J27" s="33">
        <v>30.2</v>
      </c>
      <c r="K27" s="24">
        <f>SUM(J27)+1.8</f>
        <v>32</v>
      </c>
      <c r="L27" s="24">
        <f>SUM(K27)+1.3</f>
        <v>33.299999999999997</v>
      </c>
      <c r="M27" s="111">
        <f>SUM(L27)+1.3</f>
        <v>34.599999999999994</v>
      </c>
    </row>
    <row r="28" spans="1:13" s="1" customFormat="1" ht="14.1" customHeight="1">
      <c r="A28" s="79"/>
      <c r="B28" s="62" t="s">
        <v>62</v>
      </c>
      <c r="C28" s="63"/>
      <c r="D28" s="64" t="s">
        <v>118</v>
      </c>
      <c r="E28" s="65"/>
      <c r="F28" s="65"/>
      <c r="G28" s="66"/>
      <c r="H28" s="56"/>
      <c r="I28" s="36"/>
      <c r="J28" s="35"/>
      <c r="K28" s="36"/>
      <c r="L28" s="36"/>
      <c r="M28" s="112"/>
    </row>
    <row r="29" spans="1:13" s="1" customFormat="1" ht="14.1" customHeight="1">
      <c r="A29" s="92">
        <v>14</v>
      </c>
      <c r="B29" s="51" t="s">
        <v>20</v>
      </c>
      <c r="C29" s="52"/>
      <c r="D29" s="59" t="s">
        <v>21</v>
      </c>
      <c r="E29" s="60"/>
      <c r="F29" s="60"/>
      <c r="G29" s="61"/>
      <c r="H29" s="24">
        <f>SUM(I29)-2.6</f>
        <v>41.099999999999994</v>
      </c>
      <c r="I29" s="24">
        <f>SUM(J29)-2.6</f>
        <v>43.699999999999996</v>
      </c>
      <c r="J29" s="33">
        <v>46.3</v>
      </c>
      <c r="K29" s="24">
        <f>SUM(J29)+2.6</f>
        <v>48.9</v>
      </c>
      <c r="L29" s="24">
        <f>SUM(K29)+2.6</f>
        <v>51.5</v>
      </c>
      <c r="M29" s="26">
        <f>SUM(L29)+2.6</f>
        <v>54.1</v>
      </c>
    </row>
    <row r="30" spans="1:13" s="1" customFormat="1" ht="14.1" customHeight="1">
      <c r="A30" s="79"/>
      <c r="B30" s="62" t="s">
        <v>61</v>
      </c>
      <c r="C30" s="63"/>
      <c r="D30" s="64" t="s">
        <v>117</v>
      </c>
      <c r="E30" s="65"/>
      <c r="F30" s="65"/>
      <c r="G30" s="66"/>
      <c r="H30" s="36"/>
      <c r="I30" s="36"/>
      <c r="J30" s="35"/>
      <c r="K30" s="36"/>
      <c r="L30" s="36"/>
      <c r="M30" s="37"/>
    </row>
    <row r="31" spans="1:13" s="1" customFormat="1" ht="14.1" customHeight="1">
      <c r="A31" s="92">
        <v>15</v>
      </c>
      <c r="B31" s="51" t="s">
        <v>22</v>
      </c>
      <c r="C31" s="52"/>
      <c r="D31" s="59" t="s">
        <v>23</v>
      </c>
      <c r="E31" s="60"/>
      <c r="F31" s="60"/>
      <c r="G31" s="61"/>
      <c r="H31" s="24">
        <f>SUM(I31)-6</f>
        <v>31.299999999999997</v>
      </c>
      <c r="I31" s="24">
        <f>SUM(J31)-6</f>
        <v>37.299999999999997</v>
      </c>
      <c r="J31" s="33">
        <v>43.3</v>
      </c>
      <c r="K31" s="24">
        <f>SUM(J31)+4.5</f>
        <v>47.8</v>
      </c>
      <c r="L31" s="24">
        <f>SUM(K31)+5</f>
        <v>52.8</v>
      </c>
      <c r="M31" s="26">
        <f>SUM(L31)+5</f>
        <v>57.8</v>
      </c>
    </row>
    <row r="32" spans="1:13" s="1" customFormat="1" ht="14.1" customHeight="1">
      <c r="A32" s="79"/>
      <c r="B32" s="62" t="s">
        <v>60</v>
      </c>
      <c r="C32" s="63"/>
      <c r="D32" s="64" t="s">
        <v>116</v>
      </c>
      <c r="E32" s="65"/>
      <c r="F32" s="65"/>
      <c r="G32" s="66"/>
      <c r="H32" s="36"/>
      <c r="I32" s="36"/>
      <c r="J32" s="35"/>
      <c r="K32" s="36"/>
      <c r="L32" s="36"/>
      <c r="M32" s="37"/>
    </row>
    <row r="33" spans="1:13" s="1" customFormat="1" ht="14.1" customHeight="1">
      <c r="A33" s="92">
        <v>16</v>
      </c>
      <c r="B33" s="51" t="s">
        <v>115</v>
      </c>
      <c r="C33" s="52"/>
      <c r="D33" s="59" t="s">
        <v>113</v>
      </c>
      <c r="E33" s="60"/>
      <c r="F33" s="60"/>
      <c r="G33" s="61"/>
      <c r="H33" s="24">
        <f>SUM(I33)-2.1</f>
        <v>39.199999999999996</v>
      </c>
      <c r="I33" s="24">
        <f>SUM(J33)-2.1</f>
        <v>41.3</v>
      </c>
      <c r="J33" s="33">
        <v>43.4</v>
      </c>
      <c r="K33" s="24">
        <f>SUM(J33)+2.1</f>
        <v>45.5</v>
      </c>
      <c r="L33" s="24">
        <f>SUM(K33)+2.1</f>
        <v>47.6</v>
      </c>
      <c r="M33" s="26">
        <f>SUM(L33)+2.1</f>
        <v>49.7</v>
      </c>
    </row>
    <row r="34" spans="1:13" s="1" customFormat="1" ht="14.1" customHeight="1">
      <c r="A34" s="79"/>
      <c r="B34" s="62" t="s">
        <v>114</v>
      </c>
      <c r="C34" s="63"/>
      <c r="D34" s="64" t="s">
        <v>113</v>
      </c>
      <c r="E34" s="65"/>
      <c r="F34" s="65"/>
      <c r="G34" s="66"/>
      <c r="H34" s="36"/>
      <c r="I34" s="36"/>
      <c r="J34" s="35"/>
      <c r="K34" s="36"/>
      <c r="L34" s="36"/>
      <c r="M34" s="37"/>
    </row>
    <row r="35" spans="1:13" s="1" customFormat="1" ht="14.1" customHeight="1">
      <c r="A35" s="92">
        <v>17</v>
      </c>
      <c r="B35" s="51" t="s">
        <v>112</v>
      </c>
      <c r="C35" s="52"/>
      <c r="D35" s="59" t="s">
        <v>111</v>
      </c>
      <c r="E35" s="60"/>
      <c r="F35" s="60"/>
      <c r="G35" s="61"/>
      <c r="H35" s="24">
        <f>SUM(I35)-3.5</f>
        <v>32.700000000000003</v>
      </c>
      <c r="I35" s="24">
        <f>SUM(J35)-3.5</f>
        <v>36.200000000000003</v>
      </c>
      <c r="J35" s="33">
        <v>39.700000000000003</v>
      </c>
      <c r="K35" s="24">
        <f>SUM(J35)+3.4</f>
        <v>43.1</v>
      </c>
      <c r="L35" s="24">
        <f>SUM(K35)+3.1</f>
        <v>46.2</v>
      </c>
      <c r="M35" s="26">
        <f>SUM(L35)+3.1</f>
        <v>49.300000000000004</v>
      </c>
    </row>
    <row r="36" spans="1:13" s="1" customFormat="1" ht="14.1" customHeight="1">
      <c r="A36" s="79"/>
      <c r="B36" s="62" t="s">
        <v>110</v>
      </c>
      <c r="C36" s="63"/>
      <c r="D36" s="64" t="s">
        <v>160</v>
      </c>
      <c r="E36" s="65"/>
      <c r="F36" s="65"/>
      <c r="G36" s="66"/>
      <c r="H36" s="36"/>
      <c r="I36" s="36"/>
      <c r="J36" s="35"/>
      <c r="K36" s="36"/>
      <c r="L36" s="36"/>
      <c r="M36" s="37"/>
    </row>
    <row r="37" spans="1:13" s="1" customFormat="1" ht="14.1" customHeight="1">
      <c r="A37" s="92">
        <v>18</v>
      </c>
      <c r="B37" s="51" t="s">
        <v>144</v>
      </c>
      <c r="C37" s="52"/>
      <c r="D37" s="59" t="s">
        <v>24</v>
      </c>
      <c r="E37" s="60"/>
      <c r="F37" s="60"/>
      <c r="G37" s="61"/>
      <c r="H37" s="24">
        <f>SUM(I37)-0.2</f>
        <v>4.0999999999999996</v>
      </c>
      <c r="I37" s="24">
        <f>SUM(J37)-0.2</f>
        <v>4.3</v>
      </c>
      <c r="J37" s="23">
        <v>4.5</v>
      </c>
      <c r="K37" s="21">
        <f>SUM(J37)+0.2</f>
        <v>4.7</v>
      </c>
      <c r="L37" s="21">
        <f>SUM(K37)+0.2</f>
        <v>4.9000000000000004</v>
      </c>
      <c r="M37" s="22">
        <f>SUM(L37)+0.2</f>
        <v>5.1000000000000005</v>
      </c>
    </row>
    <row r="38" spans="1:13" s="1" customFormat="1" ht="14.1" customHeight="1">
      <c r="A38" s="79"/>
      <c r="B38" s="62" t="s">
        <v>59</v>
      </c>
      <c r="C38" s="63"/>
      <c r="D38" s="64" t="s">
        <v>358</v>
      </c>
      <c r="E38" s="65"/>
      <c r="F38" s="65"/>
      <c r="G38" s="66"/>
      <c r="H38" s="36"/>
      <c r="I38" s="36"/>
      <c r="J38" s="23"/>
      <c r="K38" s="21"/>
      <c r="L38" s="21"/>
      <c r="M38" s="22"/>
    </row>
    <row r="39" spans="1:13" s="1" customFormat="1" ht="14.1" customHeight="1">
      <c r="A39" s="92">
        <v>19</v>
      </c>
      <c r="B39" s="51" t="s">
        <v>142</v>
      </c>
      <c r="C39" s="52"/>
      <c r="D39" s="59" t="s">
        <v>25</v>
      </c>
      <c r="E39" s="60"/>
      <c r="F39" s="60"/>
      <c r="G39" s="61"/>
      <c r="H39" s="24">
        <f>SUM(I39)-0.6</f>
        <v>9.3000000000000007</v>
      </c>
      <c r="I39" s="24">
        <f>SUM(J39)-0.6</f>
        <v>9.9</v>
      </c>
      <c r="J39" s="33">
        <v>10.5</v>
      </c>
      <c r="K39" s="24">
        <f>SUM(J39)+0.6</f>
        <v>11.1</v>
      </c>
      <c r="L39" s="24">
        <f>SUM(K39)+0.6</f>
        <v>11.7</v>
      </c>
      <c r="M39" s="26">
        <f>SUM(L39)+0.6</f>
        <v>12.299999999999999</v>
      </c>
    </row>
    <row r="40" spans="1:13" s="1" customFormat="1" ht="14.1" customHeight="1">
      <c r="A40" s="79"/>
      <c r="B40" s="62" t="s">
        <v>58</v>
      </c>
      <c r="C40" s="63"/>
      <c r="D40" s="64" t="s">
        <v>357</v>
      </c>
      <c r="E40" s="65"/>
      <c r="F40" s="65"/>
      <c r="G40" s="66"/>
      <c r="H40" s="36"/>
      <c r="I40" s="36"/>
      <c r="J40" s="35"/>
      <c r="K40" s="36"/>
      <c r="L40" s="36"/>
      <c r="M40" s="37"/>
    </row>
    <row r="41" spans="1:13" s="1" customFormat="1" ht="14.1" customHeight="1">
      <c r="A41" s="92">
        <v>20</v>
      </c>
      <c r="B41" s="51" t="s">
        <v>140</v>
      </c>
      <c r="C41" s="52"/>
      <c r="D41" s="57"/>
      <c r="E41" s="57"/>
      <c r="F41" s="57"/>
      <c r="G41" s="57"/>
      <c r="H41" s="24">
        <f>SUM(I41)-0.5</f>
        <v>10</v>
      </c>
      <c r="I41" s="24">
        <f>SUM(J41)-0.5</f>
        <v>10.5</v>
      </c>
      <c r="J41" s="33">
        <v>11</v>
      </c>
      <c r="K41" s="24">
        <f>SUM(J41)+0.5</f>
        <v>11.5</v>
      </c>
      <c r="L41" s="24">
        <f>SUM(K41)+0.5</f>
        <v>12</v>
      </c>
      <c r="M41" s="26">
        <f>SUM(L41)+0.5</f>
        <v>12.5</v>
      </c>
    </row>
    <row r="42" spans="1:13" s="1" customFormat="1" ht="14.1" customHeight="1">
      <c r="A42" s="79"/>
      <c r="B42" s="45" t="s">
        <v>139</v>
      </c>
      <c r="C42" s="46"/>
      <c r="D42" s="47"/>
      <c r="E42" s="48"/>
      <c r="F42" s="48"/>
      <c r="G42" s="49"/>
      <c r="H42" s="36"/>
      <c r="I42" s="36"/>
      <c r="J42" s="35"/>
      <c r="K42" s="36"/>
      <c r="L42" s="36"/>
      <c r="M42" s="37"/>
    </row>
    <row r="43" spans="1:13" s="1" customFormat="1" ht="14.1" customHeight="1">
      <c r="A43" s="92">
        <v>21</v>
      </c>
      <c r="B43" s="51" t="s">
        <v>138</v>
      </c>
      <c r="C43" s="52"/>
      <c r="D43" s="57"/>
      <c r="E43" s="57"/>
      <c r="F43" s="57"/>
      <c r="G43" s="57"/>
      <c r="H43" s="24">
        <f>SUM(I43)-0.5</f>
        <v>11</v>
      </c>
      <c r="I43" s="24">
        <f>SUM(J43)-0.5</f>
        <v>11.5</v>
      </c>
      <c r="J43" s="33">
        <v>12</v>
      </c>
      <c r="K43" s="24">
        <f>SUM(J43)+0.5</f>
        <v>12.5</v>
      </c>
      <c r="L43" s="24">
        <f>SUM(K43)+0.5</f>
        <v>13</v>
      </c>
      <c r="M43" s="26">
        <f>SUM(L43)+0.5</f>
        <v>13.5</v>
      </c>
    </row>
    <row r="44" spans="1:13" s="1" customFormat="1" ht="14.1" customHeight="1">
      <c r="A44" s="79"/>
      <c r="B44" s="56" t="s">
        <v>137</v>
      </c>
      <c r="C44" s="56"/>
      <c r="D44" s="47"/>
      <c r="E44" s="48"/>
      <c r="F44" s="48"/>
      <c r="G44" s="49"/>
      <c r="H44" s="36"/>
      <c r="I44" s="36"/>
      <c r="J44" s="35"/>
      <c r="K44" s="36"/>
      <c r="L44" s="36"/>
      <c r="M44" s="37"/>
    </row>
    <row r="45" spans="1:13" s="1" customFormat="1" ht="14.1" customHeight="1">
      <c r="A45" s="92">
        <v>22</v>
      </c>
      <c r="B45" s="51"/>
      <c r="C45" s="52"/>
      <c r="D45" s="57"/>
      <c r="E45" s="57"/>
      <c r="F45" s="57"/>
      <c r="G45" s="57"/>
      <c r="H45" s="24"/>
      <c r="I45" s="24"/>
      <c r="J45" s="33"/>
      <c r="K45" s="24"/>
      <c r="L45" s="24"/>
      <c r="M45" s="26"/>
    </row>
    <row r="46" spans="1:13" s="1" customFormat="1" ht="14.1" customHeight="1">
      <c r="A46" s="79"/>
      <c r="B46" s="45"/>
      <c r="C46" s="46"/>
      <c r="D46" s="47"/>
      <c r="E46" s="48"/>
      <c r="F46" s="48"/>
      <c r="G46" s="49"/>
      <c r="H46" s="36"/>
      <c r="I46" s="36"/>
      <c r="J46" s="35"/>
      <c r="K46" s="36"/>
      <c r="L46" s="36"/>
      <c r="M46" s="37"/>
    </row>
    <row r="47" spans="1:13" s="1" customFormat="1" ht="14.1" customHeight="1">
      <c r="A47" s="92">
        <v>23</v>
      </c>
      <c r="B47" s="51"/>
      <c r="C47" s="52"/>
      <c r="D47" s="57"/>
      <c r="E47" s="57"/>
      <c r="F47" s="57"/>
      <c r="G47" s="57"/>
      <c r="H47" s="24"/>
      <c r="I47" s="24"/>
      <c r="J47" s="23"/>
      <c r="K47" s="21"/>
      <c r="L47" s="21"/>
      <c r="M47" s="22"/>
    </row>
    <row r="48" spans="1:13" s="1" customFormat="1" ht="14.1" customHeight="1">
      <c r="A48" s="79"/>
      <c r="B48" s="56"/>
      <c r="C48" s="56"/>
      <c r="D48" s="47"/>
      <c r="E48" s="48"/>
      <c r="F48" s="48"/>
      <c r="G48" s="49"/>
      <c r="H48" s="36"/>
      <c r="I48" s="36"/>
      <c r="J48" s="23"/>
      <c r="K48" s="21"/>
      <c r="L48" s="21"/>
      <c r="M48" s="22"/>
    </row>
    <row r="49" spans="1:13" s="1" customFormat="1" ht="14.1" customHeight="1">
      <c r="A49" s="92">
        <v>24</v>
      </c>
      <c r="B49" s="51"/>
      <c r="C49" s="52"/>
      <c r="D49" s="57"/>
      <c r="E49" s="57"/>
      <c r="F49" s="57"/>
      <c r="G49" s="57"/>
      <c r="H49" s="24"/>
      <c r="I49" s="24"/>
      <c r="J49" s="33"/>
      <c r="K49" s="24"/>
      <c r="L49" s="24"/>
      <c r="M49" s="26"/>
    </row>
    <row r="50" spans="1:13" s="1" customFormat="1" ht="14.1" customHeight="1">
      <c r="A50" s="79"/>
      <c r="B50" s="45"/>
      <c r="C50" s="46"/>
      <c r="D50" s="47"/>
      <c r="E50" s="48"/>
      <c r="F50" s="48"/>
      <c r="G50" s="49"/>
      <c r="H50" s="36"/>
      <c r="I50" s="36"/>
      <c r="J50" s="35"/>
      <c r="K50" s="36"/>
      <c r="L50" s="36"/>
      <c r="M50" s="37"/>
    </row>
    <row r="51" spans="1:13" s="1" customFormat="1" ht="14.1" customHeight="1">
      <c r="A51" s="92">
        <v>25</v>
      </c>
      <c r="B51" s="51"/>
      <c r="C51" s="52"/>
      <c r="D51" s="57"/>
      <c r="E51" s="57"/>
      <c r="F51" s="57"/>
      <c r="G51" s="57"/>
      <c r="H51" s="24"/>
      <c r="I51" s="24"/>
      <c r="J51" s="33"/>
      <c r="K51" s="24"/>
      <c r="L51" s="24"/>
      <c r="M51" s="26"/>
    </row>
    <row r="52" spans="1:13" s="1" customFormat="1" ht="14.1" customHeight="1" thickBot="1">
      <c r="A52" s="99"/>
      <c r="B52" s="110"/>
      <c r="C52" s="110"/>
      <c r="D52" s="30"/>
      <c r="E52" s="31"/>
      <c r="F52" s="31"/>
      <c r="G52" s="32"/>
      <c r="H52" s="25"/>
      <c r="I52" s="25"/>
      <c r="J52" s="34"/>
      <c r="K52" s="25"/>
      <c r="L52" s="25"/>
      <c r="M52" s="27"/>
    </row>
  </sheetData>
  <mergeCells count="278">
    <mergeCell ref="J51:J52"/>
    <mergeCell ref="K51:K52"/>
    <mergeCell ref="L51:L52"/>
    <mergeCell ref="M51:M52"/>
    <mergeCell ref="B52:C52"/>
    <mergeCell ref="D52:G52"/>
    <mergeCell ref="K49:K50"/>
    <mergeCell ref="L49:L50"/>
    <mergeCell ref="M49:M50"/>
    <mergeCell ref="B50:C50"/>
    <mergeCell ref="D50:G50"/>
    <mergeCell ref="J49:J50"/>
    <mergeCell ref="A51:A52"/>
    <mergeCell ref="B51:C51"/>
    <mergeCell ref="D51:G51"/>
    <mergeCell ref="H51:H52"/>
    <mergeCell ref="I51:I52"/>
    <mergeCell ref="A49:A50"/>
    <mergeCell ref="B49:C49"/>
    <mergeCell ref="D49:G49"/>
    <mergeCell ref="H49:H50"/>
    <mergeCell ref="I49:I50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3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2EF37-2CE2-4CA7-B937-6968C477566C}">
  <sheetPr>
    <tabColor rgb="FF00B050"/>
    <pageSetUpPr fitToPage="1"/>
  </sheetPr>
  <dimension ref="A1:P52"/>
  <sheetViews>
    <sheetView zoomScale="110" zoomScaleNormal="110" workbookViewId="0">
      <selection activeCell="N23" sqref="N23:N2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67" t="s">
        <v>567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9"/>
    </row>
    <row r="2" spans="1:16" ht="16.5" customHeight="1" thickBot="1">
      <c r="A2" s="2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  <c r="N2" s="7" t="s">
        <v>229</v>
      </c>
    </row>
    <row r="3" spans="1:16" s="1" customFormat="1" ht="14.1" customHeight="1">
      <c r="A3" s="78">
        <v>1</v>
      </c>
      <c r="B3" s="80" t="s">
        <v>149</v>
      </c>
      <c r="C3" s="81"/>
      <c r="D3" s="74" t="s">
        <v>82</v>
      </c>
      <c r="E3" s="82"/>
      <c r="F3" s="82"/>
      <c r="G3" s="83"/>
      <c r="H3" s="58">
        <f>SUM(I3)-3</f>
        <v>45</v>
      </c>
      <c r="I3" s="24">
        <f>SUM(J3)-3</f>
        <v>48</v>
      </c>
      <c r="J3" s="84">
        <v>51</v>
      </c>
      <c r="K3" s="85">
        <f>SUM(J3)+3</f>
        <v>54</v>
      </c>
      <c r="L3" s="85">
        <f>SUM(K3)+3</f>
        <v>57</v>
      </c>
      <c r="M3" s="85">
        <f>SUM(L3)+3</f>
        <v>60</v>
      </c>
      <c r="N3" s="131">
        <f>SUM(M3)+3</f>
        <v>63</v>
      </c>
    </row>
    <row r="4" spans="1:16" s="1" customFormat="1" ht="14.1" customHeight="1">
      <c r="A4" s="79"/>
      <c r="B4" s="62" t="s">
        <v>108</v>
      </c>
      <c r="C4" s="63"/>
      <c r="D4" s="64" t="s">
        <v>83</v>
      </c>
      <c r="E4" s="65"/>
      <c r="F4" s="65"/>
      <c r="G4" s="66"/>
      <c r="H4" s="56"/>
      <c r="I4" s="36"/>
      <c r="J4" s="35"/>
      <c r="K4" s="36"/>
      <c r="L4" s="36"/>
      <c r="M4" s="36"/>
      <c r="N4" s="122"/>
    </row>
    <row r="5" spans="1:16" s="1" customFormat="1" ht="14.1" customHeight="1">
      <c r="A5" s="92">
        <v>2</v>
      </c>
      <c r="B5" s="40" t="s">
        <v>165</v>
      </c>
      <c r="C5" s="41"/>
      <c r="D5" s="100"/>
      <c r="E5" s="101"/>
      <c r="F5" s="101"/>
      <c r="G5" s="102"/>
      <c r="H5" s="58"/>
      <c r="I5" s="24"/>
      <c r="J5" s="117"/>
      <c r="K5" s="50"/>
      <c r="L5" s="50"/>
      <c r="M5" s="50"/>
      <c r="N5" s="127"/>
    </row>
    <row r="6" spans="1:16" s="1" customFormat="1" ht="14.1" customHeight="1">
      <c r="A6" s="79"/>
      <c r="B6" s="62" t="s">
        <v>164</v>
      </c>
      <c r="C6" s="63"/>
      <c r="D6" s="64"/>
      <c r="E6" s="65"/>
      <c r="F6" s="65"/>
      <c r="G6" s="66"/>
      <c r="H6" s="56"/>
      <c r="I6" s="36"/>
      <c r="J6" s="35"/>
      <c r="K6" s="36"/>
      <c r="L6" s="36"/>
      <c r="M6" s="36"/>
      <c r="N6" s="122"/>
    </row>
    <row r="7" spans="1:16" s="1" customFormat="1" ht="14.1" customHeight="1">
      <c r="A7" s="92">
        <v>3</v>
      </c>
      <c r="B7" s="40" t="s">
        <v>148</v>
      </c>
      <c r="C7" s="41"/>
      <c r="D7" s="100"/>
      <c r="E7" s="101"/>
      <c r="F7" s="101"/>
      <c r="G7" s="102"/>
      <c r="H7" s="58"/>
      <c r="I7" s="24"/>
      <c r="J7" s="117"/>
      <c r="K7" s="50"/>
      <c r="L7" s="50"/>
      <c r="M7" s="50"/>
      <c r="N7" s="127"/>
    </row>
    <row r="8" spans="1:16" s="1" customFormat="1" ht="14.1" customHeight="1">
      <c r="A8" s="79"/>
      <c r="B8" s="62" t="s">
        <v>147</v>
      </c>
      <c r="C8" s="63"/>
      <c r="D8" s="64"/>
      <c r="E8" s="65"/>
      <c r="F8" s="65"/>
      <c r="G8" s="66"/>
      <c r="H8" s="56"/>
      <c r="I8" s="36"/>
      <c r="J8" s="35"/>
      <c r="K8" s="36"/>
      <c r="L8" s="36"/>
      <c r="M8" s="36"/>
      <c r="N8" s="122"/>
    </row>
    <row r="9" spans="1:16" s="1" customFormat="1" ht="14.1" customHeight="1">
      <c r="A9" s="92">
        <v>4</v>
      </c>
      <c r="B9" s="51" t="s">
        <v>163</v>
      </c>
      <c r="C9" s="52"/>
      <c r="D9" s="118"/>
      <c r="E9" s="119"/>
      <c r="F9" s="119"/>
      <c r="G9" s="120"/>
      <c r="H9" s="24">
        <f>SUM(I9)-2.2</f>
        <v>37.599999999999994</v>
      </c>
      <c r="I9" s="24">
        <f>SUM(J9)-2.2</f>
        <v>39.799999999999997</v>
      </c>
      <c r="J9" s="117">
        <v>42</v>
      </c>
      <c r="K9" s="50">
        <f>SUM(J9)+2.2</f>
        <v>44.2</v>
      </c>
      <c r="L9" s="50">
        <f>SUM(K9)+2.2</f>
        <v>46.400000000000006</v>
      </c>
      <c r="M9" s="24">
        <f>SUM(L9)+2.2</f>
        <v>48.600000000000009</v>
      </c>
      <c r="N9" s="26">
        <f>SUM(M9)+2.2</f>
        <v>50.800000000000011</v>
      </c>
    </row>
    <row r="10" spans="1:16" s="1" customFormat="1" ht="14.1" customHeight="1">
      <c r="A10" s="79"/>
      <c r="B10" s="62" t="s">
        <v>162</v>
      </c>
      <c r="C10" s="63"/>
      <c r="D10" s="114"/>
      <c r="E10" s="115"/>
      <c r="F10" s="115"/>
      <c r="G10" s="116"/>
      <c r="H10" s="36"/>
      <c r="I10" s="36"/>
      <c r="J10" s="35"/>
      <c r="K10" s="36"/>
      <c r="L10" s="36"/>
      <c r="M10" s="36"/>
      <c r="N10" s="37"/>
    </row>
    <row r="11" spans="1:16" s="1" customFormat="1" ht="14.1" customHeight="1">
      <c r="A11" s="92">
        <v>5</v>
      </c>
      <c r="B11" s="51" t="s">
        <v>157</v>
      </c>
      <c r="C11" s="52"/>
      <c r="D11" s="100"/>
      <c r="E11" s="101"/>
      <c r="F11" s="101"/>
      <c r="G11" s="102"/>
      <c r="H11" s="58">
        <f>SUM(I11)-4.5</f>
        <v>61</v>
      </c>
      <c r="I11" s="24">
        <f>SUM(J11)-4.5</f>
        <v>65.5</v>
      </c>
      <c r="J11" s="117">
        <v>70</v>
      </c>
      <c r="K11" s="50">
        <f>SUM(J11)+4.5</f>
        <v>74.5</v>
      </c>
      <c r="L11" s="50">
        <f>SUM(K11)+4.5</f>
        <v>79</v>
      </c>
      <c r="M11" s="50">
        <f>SUM(L11)+4.5</f>
        <v>83.5</v>
      </c>
      <c r="N11" s="127">
        <f>SUM(M11)+4.5</f>
        <v>88</v>
      </c>
    </row>
    <row r="12" spans="1:16" s="1" customFormat="1" ht="14.1" customHeight="1">
      <c r="A12" s="79"/>
      <c r="B12" s="62" t="s">
        <v>158</v>
      </c>
      <c r="C12" s="63"/>
      <c r="D12" s="64"/>
      <c r="E12" s="65"/>
      <c r="F12" s="65"/>
      <c r="G12" s="66"/>
      <c r="H12" s="56"/>
      <c r="I12" s="36"/>
      <c r="J12" s="35"/>
      <c r="K12" s="36"/>
      <c r="L12" s="36"/>
      <c r="M12" s="36"/>
      <c r="N12" s="122"/>
    </row>
    <row r="13" spans="1:16" s="1" customFormat="1" ht="14.1" customHeight="1">
      <c r="A13" s="92">
        <v>6</v>
      </c>
      <c r="B13" s="51" t="s">
        <v>13</v>
      </c>
      <c r="C13" s="52"/>
      <c r="D13" s="59" t="s">
        <v>182</v>
      </c>
      <c r="E13" s="60"/>
      <c r="F13" s="60"/>
      <c r="G13" s="61"/>
      <c r="H13" s="58">
        <f>SUM(I13)-5</f>
        <v>62</v>
      </c>
      <c r="I13" s="24">
        <f>SUM(J13)-5</f>
        <v>67</v>
      </c>
      <c r="J13" s="33">
        <v>72</v>
      </c>
      <c r="K13" s="24">
        <f>SUM(J13)+5</f>
        <v>77</v>
      </c>
      <c r="L13" s="24">
        <f>SUM(K13)+5</f>
        <v>82</v>
      </c>
      <c r="M13" s="24">
        <f>SUM(L13)+5</f>
        <v>87</v>
      </c>
      <c r="N13" s="121">
        <f>SUM(M13)+5</f>
        <v>92</v>
      </c>
    </row>
    <row r="14" spans="1:16" s="1" customFormat="1" ht="14.1" customHeight="1">
      <c r="A14" s="79"/>
      <c r="B14" s="62" t="s">
        <v>55</v>
      </c>
      <c r="C14" s="63"/>
      <c r="D14" s="64" t="s">
        <v>121</v>
      </c>
      <c r="E14" s="65"/>
      <c r="F14" s="65"/>
      <c r="G14" s="66"/>
      <c r="H14" s="56"/>
      <c r="I14" s="36"/>
      <c r="J14" s="35"/>
      <c r="K14" s="36"/>
      <c r="L14" s="36"/>
      <c r="M14" s="36"/>
      <c r="N14" s="122"/>
      <c r="P14" s="1" t="s">
        <v>419</v>
      </c>
    </row>
    <row r="15" spans="1:16" s="1" customFormat="1" ht="14.1" customHeight="1">
      <c r="A15" s="92">
        <v>7</v>
      </c>
      <c r="B15" s="51" t="s">
        <v>146</v>
      </c>
      <c r="C15" s="52"/>
      <c r="D15" s="59"/>
      <c r="E15" s="60"/>
      <c r="F15" s="60"/>
      <c r="G15" s="61"/>
      <c r="H15" s="58">
        <f>SUM(I15)-0.7</f>
        <v>9.9000000000000021</v>
      </c>
      <c r="I15" s="24">
        <f>SUM(J15)-0.7</f>
        <v>10.600000000000001</v>
      </c>
      <c r="J15" s="33">
        <v>11.3</v>
      </c>
      <c r="K15" s="24">
        <f>SUM(J15)+0.7</f>
        <v>12</v>
      </c>
      <c r="L15" s="24">
        <f>SUM(K15)+0.7</f>
        <v>12.7</v>
      </c>
      <c r="M15" s="58">
        <f>SUM(L15)+0.7</f>
        <v>13.399999999999999</v>
      </c>
      <c r="N15" s="121">
        <f>SUM(M15)+0.7</f>
        <v>14.099999999999998</v>
      </c>
    </row>
    <row r="16" spans="1:16" s="1" customFormat="1" ht="14.1" customHeight="1">
      <c r="A16" s="79"/>
      <c r="B16" s="62" t="s">
        <v>145</v>
      </c>
      <c r="C16" s="63"/>
      <c r="D16" s="89" t="s">
        <v>179</v>
      </c>
      <c r="E16" s="90"/>
      <c r="F16" s="90"/>
      <c r="G16" s="91"/>
      <c r="H16" s="56"/>
      <c r="I16" s="36"/>
      <c r="J16" s="35"/>
      <c r="K16" s="36"/>
      <c r="L16" s="36"/>
      <c r="M16" s="56"/>
      <c r="N16" s="122"/>
    </row>
    <row r="17" spans="1:14" s="1" customFormat="1" ht="14.1" customHeight="1">
      <c r="A17" s="92">
        <v>8</v>
      </c>
      <c r="B17" s="51" t="s">
        <v>166</v>
      </c>
      <c r="C17" s="52"/>
      <c r="D17" s="59"/>
      <c r="E17" s="60"/>
      <c r="F17" s="60"/>
      <c r="G17" s="61"/>
      <c r="H17" s="58">
        <f>SUM(I17)-0.7</f>
        <v>9.6000000000000014</v>
      </c>
      <c r="I17" s="24">
        <f>SUM(J17)-0.7</f>
        <v>10.3</v>
      </c>
      <c r="J17" s="33">
        <v>11</v>
      </c>
      <c r="K17" s="24">
        <f>SUM(J17)+0.7</f>
        <v>11.7</v>
      </c>
      <c r="L17" s="24">
        <f>SUM(K17)+0.7</f>
        <v>12.399999999999999</v>
      </c>
      <c r="M17" s="58">
        <f>SUM(L17)+0.7</f>
        <v>13.099999999999998</v>
      </c>
      <c r="N17" s="121">
        <f>SUM(M17)+0.7</f>
        <v>13.799999999999997</v>
      </c>
    </row>
    <row r="18" spans="1:14" s="1" customFormat="1" ht="14.1" customHeight="1">
      <c r="A18" s="79"/>
      <c r="B18" s="62" t="s">
        <v>167</v>
      </c>
      <c r="C18" s="63"/>
      <c r="D18" s="89" t="s">
        <v>168</v>
      </c>
      <c r="E18" s="90"/>
      <c r="F18" s="90"/>
      <c r="G18" s="91"/>
      <c r="H18" s="56"/>
      <c r="I18" s="36"/>
      <c r="J18" s="35"/>
      <c r="K18" s="36"/>
      <c r="L18" s="36"/>
      <c r="M18" s="56"/>
      <c r="N18" s="122"/>
    </row>
    <row r="19" spans="1:14" s="1" customFormat="1" ht="14.1" customHeight="1">
      <c r="A19" s="92">
        <v>9</v>
      </c>
      <c r="B19" s="51" t="s">
        <v>178</v>
      </c>
      <c r="C19" s="52"/>
      <c r="D19" s="59"/>
      <c r="E19" s="60"/>
      <c r="F19" s="60"/>
      <c r="G19" s="61"/>
      <c r="H19" s="24">
        <f>SUM(I19)-0</f>
        <v>2.8</v>
      </c>
      <c r="I19" s="24">
        <f>SUM(J19)-0</f>
        <v>2.8</v>
      </c>
      <c r="J19" s="33">
        <v>2.8</v>
      </c>
      <c r="K19" s="24">
        <f>SUM(J19)+0.5</f>
        <v>3.3</v>
      </c>
      <c r="L19" s="24">
        <f>SUM(K19)+0</f>
        <v>3.3</v>
      </c>
      <c r="M19" s="24">
        <f>SUM(L19)+0</f>
        <v>3.3</v>
      </c>
      <c r="N19" s="121">
        <f>SUM(M19)+0</f>
        <v>3.3</v>
      </c>
    </row>
    <row r="20" spans="1:14" s="1" customFormat="1" ht="14.1" customHeight="1">
      <c r="A20" s="79"/>
      <c r="B20" s="62" t="s">
        <v>177</v>
      </c>
      <c r="C20" s="63"/>
      <c r="D20" s="89"/>
      <c r="E20" s="90"/>
      <c r="F20" s="90"/>
      <c r="G20" s="91"/>
      <c r="H20" s="36"/>
      <c r="I20" s="36"/>
      <c r="J20" s="35"/>
      <c r="K20" s="36"/>
      <c r="L20" s="36"/>
      <c r="M20" s="36"/>
      <c r="N20" s="122"/>
    </row>
    <row r="21" spans="1:14" s="1" customFormat="1" ht="14.1" customHeight="1">
      <c r="A21" s="92">
        <v>10</v>
      </c>
      <c r="B21" s="51" t="s">
        <v>9</v>
      </c>
      <c r="C21" s="52"/>
      <c r="D21" s="59" t="s">
        <v>84</v>
      </c>
      <c r="E21" s="60"/>
      <c r="F21" s="60"/>
      <c r="G21" s="61"/>
      <c r="H21" s="24">
        <f>SUM(I21)-7</f>
        <v>50</v>
      </c>
      <c r="I21" s="24">
        <f>SUM(J21)-7</f>
        <v>57</v>
      </c>
      <c r="J21" s="33">
        <v>64</v>
      </c>
      <c r="K21" s="24">
        <f>SUM(J21)+6</f>
        <v>70</v>
      </c>
      <c r="L21" s="24">
        <f>SUM(K21)+6</f>
        <v>76</v>
      </c>
      <c r="M21" s="24">
        <f>SUM(L21)+6</f>
        <v>82</v>
      </c>
      <c r="N21" s="121">
        <f>SUM(M21)+6</f>
        <v>88</v>
      </c>
    </row>
    <row r="22" spans="1:14" s="1" customFormat="1" ht="14.1" customHeight="1">
      <c r="A22" s="79"/>
      <c r="B22" s="62" t="s">
        <v>56</v>
      </c>
      <c r="C22" s="63"/>
      <c r="D22" s="64" t="s">
        <v>120</v>
      </c>
      <c r="E22" s="65"/>
      <c r="F22" s="65"/>
      <c r="G22" s="66"/>
      <c r="H22" s="36"/>
      <c r="I22" s="36"/>
      <c r="J22" s="35"/>
      <c r="K22" s="36"/>
      <c r="L22" s="36"/>
      <c r="M22" s="36"/>
      <c r="N22" s="122"/>
    </row>
    <row r="23" spans="1:14" s="1" customFormat="1" ht="14.1" customHeight="1">
      <c r="A23" s="92">
        <v>11</v>
      </c>
      <c r="B23" s="51" t="s">
        <v>16</v>
      </c>
      <c r="C23" s="52"/>
      <c r="D23" s="59" t="s">
        <v>17</v>
      </c>
      <c r="E23" s="60"/>
      <c r="F23" s="60"/>
      <c r="G23" s="61"/>
      <c r="H23" s="24">
        <f>SUM(I23)-1.8</f>
        <v>33.400000000000006</v>
      </c>
      <c r="I23" s="24">
        <f>SUM(J23)-1.8</f>
        <v>35.200000000000003</v>
      </c>
      <c r="J23" s="33">
        <v>37</v>
      </c>
      <c r="K23" s="24">
        <f>SUM(J23)+1.8</f>
        <v>38.799999999999997</v>
      </c>
      <c r="L23" s="24">
        <f>SUM(K23)+1.8</f>
        <v>40.599999999999994</v>
      </c>
      <c r="M23" s="24">
        <f>SUM(L23)+1.8</f>
        <v>42.399999999999991</v>
      </c>
      <c r="N23" s="26">
        <f>SUM(M23)+1.8</f>
        <v>44.199999999999989</v>
      </c>
    </row>
    <row r="24" spans="1:14" s="1" customFormat="1" ht="14.1" customHeight="1">
      <c r="A24" s="79"/>
      <c r="B24" s="62" t="s">
        <v>57</v>
      </c>
      <c r="C24" s="63"/>
      <c r="D24" s="47" t="s">
        <v>119</v>
      </c>
      <c r="E24" s="48"/>
      <c r="F24" s="48"/>
      <c r="G24" s="49"/>
      <c r="H24" s="36"/>
      <c r="I24" s="36"/>
      <c r="J24" s="35"/>
      <c r="K24" s="36"/>
      <c r="L24" s="36"/>
      <c r="M24" s="36"/>
      <c r="N24" s="37"/>
    </row>
    <row r="25" spans="1:14" s="1" customFormat="1" ht="14.1" customHeight="1">
      <c r="A25" s="92">
        <v>12</v>
      </c>
      <c r="B25" s="51" t="s">
        <v>18</v>
      </c>
      <c r="C25" s="52"/>
      <c r="D25" s="59" t="s">
        <v>15</v>
      </c>
      <c r="E25" s="60"/>
      <c r="F25" s="60"/>
      <c r="G25" s="61"/>
      <c r="H25" s="58">
        <f>SUM(I25)-1.1</f>
        <v>20.999999999999996</v>
      </c>
      <c r="I25" s="24">
        <f>SUM(J25)-1.1</f>
        <v>22.099999999999998</v>
      </c>
      <c r="J25" s="33">
        <v>23.2</v>
      </c>
      <c r="K25" s="24">
        <f>SUM(J25)+1.6</f>
        <v>24.8</v>
      </c>
      <c r="L25" s="24">
        <f>SUM(K25)+1.1</f>
        <v>25.900000000000002</v>
      </c>
      <c r="M25" s="58">
        <f>SUM(L25)+1.1</f>
        <v>27.000000000000004</v>
      </c>
      <c r="N25" s="121">
        <f>SUM(M25)+1.1</f>
        <v>28.100000000000005</v>
      </c>
    </row>
    <row r="26" spans="1:14" s="1" customFormat="1" ht="14.1" customHeight="1">
      <c r="A26" s="79"/>
      <c r="B26" s="62" t="s">
        <v>63</v>
      </c>
      <c r="C26" s="63"/>
      <c r="D26" s="64" t="s">
        <v>118</v>
      </c>
      <c r="E26" s="65"/>
      <c r="F26" s="65"/>
      <c r="G26" s="66"/>
      <c r="H26" s="56"/>
      <c r="I26" s="36"/>
      <c r="J26" s="35"/>
      <c r="K26" s="36"/>
      <c r="L26" s="36"/>
      <c r="M26" s="56"/>
      <c r="N26" s="122"/>
    </row>
    <row r="27" spans="1:14" s="1" customFormat="1" ht="14.1" customHeight="1">
      <c r="A27" s="92">
        <v>13</v>
      </c>
      <c r="B27" s="51" t="s">
        <v>19</v>
      </c>
      <c r="C27" s="52"/>
      <c r="D27" s="59" t="s">
        <v>15</v>
      </c>
      <c r="E27" s="60"/>
      <c r="F27" s="60"/>
      <c r="G27" s="61"/>
      <c r="H27" s="58">
        <f>SUM(I27)-1.3</f>
        <v>26.7</v>
      </c>
      <c r="I27" s="24">
        <f>SUM(J27)-1.3</f>
        <v>28</v>
      </c>
      <c r="J27" s="33">
        <v>29.3</v>
      </c>
      <c r="K27" s="24">
        <f>SUM(J27)+1.8</f>
        <v>31.1</v>
      </c>
      <c r="L27" s="24">
        <f>SUM(K27)+1.3</f>
        <v>32.4</v>
      </c>
      <c r="M27" s="58">
        <f>SUM(L27)+1.3</f>
        <v>33.699999999999996</v>
      </c>
      <c r="N27" s="121">
        <f>SUM(M27)+1.3</f>
        <v>34.999999999999993</v>
      </c>
    </row>
    <row r="28" spans="1:14" s="1" customFormat="1" ht="14.1" customHeight="1">
      <c r="A28" s="79"/>
      <c r="B28" s="62" t="s">
        <v>62</v>
      </c>
      <c r="C28" s="63"/>
      <c r="D28" s="64" t="s">
        <v>118</v>
      </c>
      <c r="E28" s="65"/>
      <c r="F28" s="65"/>
      <c r="G28" s="66"/>
      <c r="H28" s="56"/>
      <c r="I28" s="36"/>
      <c r="J28" s="35"/>
      <c r="K28" s="36"/>
      <c r="L28" s="36"/>
      <c r="M28" s="56"/>
      <c r="N28" s="122"/>
    </row>
    <row r="29" spans="1:14" s="1" customFormat="1" ht="14.1" customHeight="1">
      <c r="A29" s="92">
        <v>14</v>
      </c>
      <c r="B29" s="51" t="s">
        <v>20</v>
      </c>
      <c r="C29" s="52"/>
      <c r="D29" s="59" t="s">
        <v>21</v>
      </c>
      <c r="E29" s="60"/>
      <c r="F29" s="60"/>
      <c r="G29" s="61"/>
      <c r="H29" s="24"/>
      <c r="I29" s="24"/>
      <c r="J29" s="33">
        <v>41.9</v>
      </c>
      <c r="K29" s="24"/>
      <c r="L29" s="24"/>
      <c r="M29" s="24"/>
      <c r="N29" s="121"/>
    </row>
    <row r="30" spans="1:14" s="1" customFormat="1" ht="14.1" customHeight="1">
      <c r="A30" s="79"/>
      <c r="B30" s="62" t="s">
        <v>61</v>
      </c>
      <c r="C30" s="63"/>
      <c r="D30" s="64" t="s">
        <v>117</v>
      </c>
      <c r="E30" s="65"/>
      <c r="F30" s="65"/>
      <c r="G30" s="66"/>
      <c r="H30" s="36"/>
      <c r="I30" s="36"/>
      <c r="J30" s="35"/>
      <c r="K30" s="36"/>
      <c r="L30" s="36"/>
      <c r="M30" s="36"/>
      <c r="N30" s="122"/>
    </row>
    <row r="31" spans="1:14" s="1" customFormat="1" ht="14.1" customHeight="1">
      <c r="A31" s="92">
        <v>15</v>
      </c>
      <c r="B31" s="51" t="s">
        <v>22</v>
      </c>
      <c r="C31" s="52"/>
      <c r="D31" s="59" t="s">
        <v>23</v>
      </c>
      <c r="E31" s="60"/>
      <c r="F31" s="60"/>
      <c r="G31" s="61"/>
      <c r="H31" s="24"/>
      <c r="I31" s="24"/>
      <c r="J31" s="33">
        <v>42.5</v>
      </c>
      <c r="K31" s="24"/>
      <c r="L31" s="24"/>
      <c r="M31" s="24"/>
      <c r="N31" s="121"/>
    </row>
    <row r="32" spans="1:14" s="1" customFormat="1" ht="14.1" customHeight="1">
      <c r="A32" s="79"/>
      <c r="B32" s="62" t="s">
        <v>60</v>
      </c>
      <c r="C32" s="63"/>
      <c r="D32" s="64" t="s">
        <v>116</v>
      </c>
      <c r="E32" s="65"/>
      <c r="F32" s="65"/>
      <c r="G32" s="66"/>
      <c r="H32" s="36"/>
      <c r="I32" s="36"/>
      <c r="J32" s="35"/>
      <c r="K32" s="36"/>
      <c r="L32" s="36"/>
      <c r="M32" s="36"/>
      <c r="N32" s="122"/>
    </row>
    <row r="33" spans="1:14" s="1" customFormat="1" ht="14.1" customHeight="1">
      <c r="A33" s="92">
        <v>16</v>
      </c>
      <c r="B33" s="51" t="s">
        <v>115</v>
      </c>
      <c r="C33" s="52"/>
      <c r="D33" s="59" t="s">
        <v>113</v>
      </c>
      <c r="E33" s="60"/>
      <c r="F33" s="60"/>
      <c r="G33" s="61"/>
      <c r="H33" s="58"/>
      <c r="I33" s="24"/>
      <c r="J33" s="33">
        <v>34</v>
      </c>
      <c r="K33" s="24"/>
      <c r="L33" s="24"/>
      <c r="M33" s="58"/>
      <c r="N33" s="121"/>
    </row>
    <row r="34" spans="1:14" s="1" customFormat="1" ht="14.1" customHeight="1">
      <c r="A34" s="79"/>
      <c r="B34" s="62" t="s">
        <v>114</v>
      </c>
      <c r="C34" s="63"/>
      <c r="D34" s="64" t="s">
        <v>113</v>
      </c>
      <c r="E34" s="65"/>
      <c r="F34" s="65"/>
      <c r="G34" s="66"/>
      <c r="H34" s="56"/>
      <c r="I34" s="36"/>
      <c r="J34" s="35"/>
      <c r="K34" s="36"/>
      <c r="L34" s="36"/>
      <c r="M34" s="56"/>
      <c r="N34" s="122"/>
    </row>
    <row r="35" spans="1:14" s="1" customFormat="1" ht="14.1" customHeight="1">
      <c r="A35" s="92">
        <v>17</v>
      </c>
      <c r="B35" s="51" t="s">
        <v>112</v>
      </c>
      <c r="C35" s="52"/>
      <c r="D35" s="59" t="s">
        <v>111</v>
      </c>
      <c r="E35" s="60"/>
      <c r="F35" s="60"/>
      <c r="G35" s="61"/>
      <c r="H35" s="24"/>
      <c r="I35" s="24"/>
      <c r="J35" s="33">
        <v>39.299999999999997</v>
      </c>
      <c r="K35" s="24"/>
      <c r="L35" s="24"/>
      <c r="M35" s="24"/>
      <c r="N35" s="121"/>
    </row>
    <row r="36" spans="1:14" s="1" customFormat="1" ht="14.1" customHeight="1">
      <c r="A36" s="79"/>
      <c r="B36" s="62" t="s">
        <v>110</v>
      </c>
      <c r="C36" s="63"/>
      <c r="D36" s="64" t="s">
        <v>160</v>
      </c>
      <c r="E36" s="65"/>
      <c r="F36" s="65"/>
      <c r="G36" s="66"/>
      <c r="H36" s="36"/>
      <c r="I36" s="36"/>
      <c r="J36" s="35"/>
      <c r="K36" s="36"/>
      <c r="L36" s="36"/>
      <c r="M36" s="36"/>
      <c r="N36" s="122"/>
    </row>
    <row r="37" spans="1:14" s="1" customFormat="1" ht="14.1" customHeight="1">
      <c r="A37" s="92">
        <v>18</v>
      </c>
      <c r="B37" s="51" t="s">
        <v>144</v>
      </c>
      <c r="C37" s="52"/>
      <c r="D37" s="59" t="s">
        <v>24</v>
      </c>
      <c r="E37" s="60"/>
      <c r="F37" s="60"/>
      <c r="G37" s="61"/>
      <c r="H37" s="24">
        <f>SUM(I37)-0.5</f>
        <v>7.4</v>
      </c>
      <c r="I37" s="24">
        <f>SUM(J37)-0.5</f>
        <v>7.9</v>
      </c>
      <c r="J37" s="23">
        <v>8.4</v>
      </c>
      <c r="K37" s="21">
        <f>SUM(J37)+0.5</f>
        <v>8.9</v>
      </c>
      <c r="L37" s="21">
        <f>SUM(K37)+0.5</f>
        <v>9.4</v>
      </c>
      <c r="M37" s="133">
        <f>SUM(L37)+0.5</f>
        <v>9.9</v>
      </c>
      <c r="N37" s="123">
        <f>SUM(M37)+0.5</f>
        <v>10.4</v>
      </c>
    </row>
    <row r="38" spans="1:14" s="1" customFormat="1" ht="14.1" customHeight="1">
      <c r="A38" s="79"/>
      <c r="B38" s="62" t="s">
        <v>59</v>
      </c>
      <c r="C38" s="63"/>
      <c r="D38" s="64" t="s">
        <v>143</v>
      </c>
      <c r="E38" s="65"/>
      <c r="F38" s="65"/>
      <c r="G38" s="66"/>
      <c r="H38" s="36"/>
      <c r="I38" s="36"/>
      <c r="J38" s="23"/>
      <c r="K38" s="21"/>
      <c r="L38" s="21"/>
      <c r="M38" s="133"/>
      <c r="N38" s="123"/>
    </row>
    <row r="39" spans="1:14" s="1" customFormat="1" ht="14.1" customHeight="1">
      <c r="A39" s="92">
        <v>19</v>
      </c>
      <c r="B39" s="51" t="s">
        <v>142</v>
      </c>
      <c r="C39" s="52"/>
      <c r="D39" s="59" t="s">
        <v>25</v>
      </c>
      <c r="E39" s="60"/>
      <c r="F39" s="60"/>
      <c r="G39" s="61"/>
      <c r="H39" s="24">
        <f>SUM(I39)-0.3</f>
        <v>5</v>
      </c>
      <c r="I39" s="24">
        <f>SUM(J39)-0.3</f>
        <v>5.3</v>
      </c>
      <c r="J39" s="33">
        <v>5.6</v>
      </c>
      <c r="K39" s="24">
        <f>SUM(J39)+0.3</f>
        <v>5.8999999999999995</v>
      </c>
      <c r="L39" s="24">
        <f>SUM(K39)+0.3</f>
        <v>6.1999999999999993</v>
      </c>
      <c r="M39" s="24">
        <f>SUM(L39)+0.3</f>
        <v>6.4999999999999991</v>
      </c>
      <c r="N39" s="121">
        <f>SUM(M39)+0.3</f>
        <v>6.7999999999999989</v>
      </c>
    </row>
    <row r="40" spans="1:14" s="1" customFormat="1" ht="14.1" customHeight="1">
      <c r="A40" s="79"/>
      <c r="B40" s="62" t="s">
        <v>58</v>
      </c>
      <c r="C40" s="63"/>
      <c r="D40" s="64" t="s">
        <v>141</v>
      </c>
      <c r="E40" s="65"/>
      <c r="F40" s="65"/>
      <c r="G40" s="66"/>
      <c r="H40" s="36"/>
      <c r="I40" s="36"/>
      <c r="J40" s="35"/>
      <c r="K40" s="36"/>
      <c r="L40" s="36"/>
      <c r="M40" s="36"/>
      <c r="N40" s="122"/>
    </row>
    <row r="41" spans="1:14" s="1" customFormat="1" ht="14.1" customHeight="1">
      <c r="A41" s="92">
        <v>20</v>
      </c>
      <c r="B41" s="51" t="s">
        <v>546</v>
      </c>
      <c r="C41" s="52"/>
      <c r="D41" s="57"/>
      <c r="E41" s="57"/>
      <c r="F41" s="57"/>
      <c r="G41" s="57"/>
      <c r="H41" s="24">
        <f>SUM(I41)-0.6</f>
        <v>14.8</v>
      </c>
      <c r="I41" s="24">
        <f>SUM(J41)-0.6</f>
        <v>15.4</v>
      </c>
      <c r="J41" s="33">
        <v>16</v>
      </c>
      <c r="K41" s="24">
        <f>SUM(J41)+0.6</f>
        <v>16.600000000000001</v>
      </c>
      <c r="L41" s="24">
        <f>SUM(K41)+0.6</f>
        <v>17.200000000000003</v>
      </c>
      <c r="M41" s="24">
        <f>SUM(L41)+0.6</f>
        <v>17.800000000000004</v>
      </c>
      <c r="N41" s="121">
        <f>SUM(M41)+0.6</f>
        <v>18.400000000000006</v>
      </c>
    </row>
    <row r="42" spans="1:14" s="1" customFormat="1" ht="14.1" customHeight="1">
      <c r="A42" s="79"/>
      <c r="B42" s="45" t="s">
        <v>547</v>
      </c>
      <c r="C42" s="46"/>
      <c r="D42" s="47"/>
      <c r="E42" s="48"/>
      <c r="F42" s="48"/>
      <c r="G42" s="49"/>
      <c r="H42" s="36"/>
      <c r="I42" s="36"/>
      <c r="J42" s="35"/>
      <c r="K42" s="36"/>
      <c r="L42" s="36"/>
      <c r="M42" s="36"/>
      <c r="N42" s="122"/>
    </row>
    <row r="43" spans="1:14" s="1" customFormat="1" ht="14.1" customHeight="1">
      <c r="A43" s="92">
        <v>21</v>
      </c>
      <c r="B43" s="51" t="s">
        <v>548</v>
      </c>
      <c r="C43" s="52"/>
      <c r="D43" s="57"/>
      <c r="E43" s="57"/>
      <c r="F43" s="57"/>
      <c r="G43" s="57"/>
      <c r="H43" s="24">
        <f>SUM(I43)-0.2</f>
        <v>4.0999999999999996</v>
      </c>
      <c r="I43" s="24">
        <f>SUM(J43)-0.2</f>
        <v>4.3</v>
      </c>
      <c r="J43" s="33">
        <v>4.5</v>
      </c>
      <c r="K43" s="24">
        <f>SUM(J43)+0.2</f>
        <v>4.7</v>
      </c>
      <c r="L43" s="24">
        <f>SUM(K43)+0.2</f>
        <v>4.9000000000000004</v>
      </c>
      <c r="M43" s="24">
        <f>SUM(L43)+0.2</f>
        <v>5.1000000000000005</v>
      </c>
      <c r="N43" s="26">
        <f>SUM(M43)+0.2</f>
        <v>5.3000000000000007</v>
      </c>
    </row>
    <row r="44" spans="1:14" s="1" customFormat="1" ht="14.1" customHeight="1">
      <c r="A44" s="92"/>
      <c r="B44" s="45" t="s">
        <v>549</v>
      </c>
      <c r="C44" s="46"/>
      <c r="D44" s="100"/>
      <c r="E44" s="101"/>
      <c r="F44" s="101"/>
      <c r="G44" s="102"/>
      <c r="H44" s="50"/>
      <c r="I44" s="50"/>
      <c r="J44" s="117"/>
      <c r="K44" s="50"/>
      <c r="L44" s="50"/>
      <c r="M44" s="50"/>
      <c r="N44" s="113"/>
    </row>
    <row r="45" spans="1:14" s="1" customFormat="1" ht="14.1" customHeight="1">
      <c r="A45" s="98">
        <v>22</v>
      </c>
      <c r="B45" s="51" t="s">
        <v>284</v>
      </c>
      <c r="C45" s="52"/>
      <c r="D45" s="57"/>
      <c r="E45" s="57"/>
      <c r="F45" s="57"/>
      <c r="G45" s="57"/>
      <c r="H45" s="24">
        <f>SUM(I45)-0.6</f>
        <v>14.3</v>
      </c>
      <c r="I45" s="24">
        <f>SUM(J45)-0.6</f>
        <v>14.9</v>
      </c>
      <c r="J45" s="33">
        <v>15.5</v>
      </c>
      <c r="K45" s="24">
        <f>SUM(J45)+0.6</f>
        <v>16.100000000000001</v>
      </c>
      <c r="L45" s="24">
        <f>SUM(K45)+0.6</f>
        <v>16.700000000000003</v>
      </c>
      <c r="M45" s="24">
        <f>SUM(L45)+0.6</f>
        <v>17.300000000000004</v>
      </c>
      <c r="N45" s="121">
        <f>SUM(M45)+0.6</f>
        <v>17.900000000000006</v>
      </c>
    </row>
    <row r="46" spans="1:14" s="1" customFormat="1" ht="14.1" customHeight="1">
      <c r="A46" s="79"/>
      <c r="B46" s="45" t="s">
        <v>285</v>
      </c>
      <c r="C46" s="46"/>
      <c r="D46" s="47"/>
      <c r="E46" s="48"/>
      <c r="F46" s="48"/>
      <c r="G46" s="49"/>
      <c r="H46" s="36"/>
      <c r="I46" s="36"/>
      <c r="J46" s="35"/>
      <c r="K46" s="36"/>
      <c r="L46" s="36"/>
      <c r="M46" s="36"/>
      <c r="N46" s="122"/>
    </row>
    <row r="47" spans="1:14" s="1" customFormat="1" ht="14.1" customHeight="1">
      <c r="A47" s="92">
        <v>23</v>
      </c>
      <c r="B47" s="51" t="s">
        <v>286</v>
      </c>
      <c r="C47" s="52"/>
      <c r="D47" s="57"/>
      <c r="E47" s="57"/>
      <c r="F47" s="57"/>
      <c r="G47" s="57"/>
      <c r="H47" s="24">
        <f>SUM(I47)-0.6</f>
        <v>12.8</v>
      </c>
      <c r="I47" s="24">
        <f>SUM(J47)-0.6</f>
        <v>13.4</v>
      </c>
      <c r="J47" s="33">
        <v>14</v>
      </c>
      <c r="K47" s="24">
        <f>SUM(J47)+0.6</f>
        <v>14.6</v>
      </c>
      <c r="L47" s="24">
        <f>SUM(K47)+0.6</f>
        <v>15.2</v>
      </c>
      <c r="M47" s="24">
        <f>SUM(L47)+0.6</f>
        <v>15.799999999999999</v>
      </c>
      <c r="N47" s="121">
        <f>SUM(M47)+0.6</f>
        <v>16.399999999999999</v>
      </c>
    </row>
    <row r="48" spans="1:14" s="1" customFormat="1" ht="14.1" customHeight="1">
      <c r="A48" s="79"/>
      <c r="B48" s="56" t="s">
        <v>287</v>
      </c>
      <c r="C48" s="56"/>
      <c r="D48" s="47"/>
      <c r="E48" s="48"/>
      <c r="F48" s="48"/>
      <c r="G48" s="49"/>
      <c r="H48" s="36"/>
      <c r="I48" s="36"/>
      <c r="J48" s="35"/>
      <c r="K48" s="36"/>
      <c r="L48" s="36"/>
      <c r="M48" s="36"/>
      <c r="N48" s="122"/>
    </row>
    <row r="49" spans="1:14" s="1" customFormat="1" ht="14.1" customHeight="1">
      <c r="A49" s="92">
        <v>24</v>
      </c>
      <c r="B49" s="40" t="s">
        <v>140</v>
      </c>
      <c r="C49" s="41"/>
      <c r="D49" s="132"/>
      <c r="E49" s="132"/>
      <c r="F49" s="132"/>
      <c r="G49" s="132"/>
      <c r="H49" s="50">
        <f>SUM(I49)-0.5</f>
        <v>10</v>
      </c>
      <c r="I49" s="50">
        <f>SUM(J49)-0.5</f>
        <v>10.5</v>
      </c>
      <c r="J49" s="117">
        <v>11</v>
      </c>
      <c r="K49" s="50">
        <f>SUM(J49)+0.5</f>
        <v>11.5</v>
      </c>
      <c r="L49" s="50">
        <f>SUM(K49)+0.5</f>
        <v>12</v>
      </c>
      <c r="M49" s="50">
        <f>SUM(L49)+0.5</f>
        <v>12.5</v>
      </c>
      <c r="N49" s="127">
        <f>SUM(M49)+0.5</f>
        <v>13</v>
      </c>
    </row>
    <row r="50" spans="1:14" s="1" customFormat="1" ht="14.1" customHeight="1">
      <c r="A50" s="79"/>
      <c r="B50" s="45" t="s">
        <v>139</v>
      </c>
      <c r="C50" s="46"/>
      <c r="D50" s="47"/>
      <c r="E50" s="48"/>
      <c r="F50" s="48"/>
      <c r="G50" s="49"/>
      <c r="H50" s="36"/>
      <c r="I50" s="36"/>
      <c r="J50" s="35"/>
      <c r="K50" s="36"/>
      <c r="L50" s="36"/>
      <c r="M50" s="36"/>
      <c r="N50" s="122"/>
    </row>
    <row r="51" spans="1:14" s="1" customFormat="1" ht="14.1" customHeight="1">
      <c r="A51" s="92">
        <v>25</v>
      </c>
      <c r="B51" s="51" t="s">
        <v>138</v>
      </c>
      <c r="C51" s="52"/>
      <c r="D51" s="57"/>
      <c r="E51" s="57"/>
      <c r="F51" s="57"/>
      <c r="G51" s="57"/>
      <c r="H51" s="24">
        <f>SUM(I51)-0.5</f>
        <v>12</v>
      </c>
      <c r="I51" s="24">
        <f>SUM(J51)-0.5</f>
        <v>12.5</v>
      </c>
      <c r="J51" s="33">
        <v>13</v>
      </c>
      <c r="K51" s="24">
        <f>SUM(J51)+0.5</f>
        <v>13.5</v>
      </c>
      <c r="L51" s="24">
        <f>SUM(K51)+0.5</f>
        <v>14</v>
      </c>
      <c r="M51" s="24">
        <f>SUM(L51)+0.5</f>
        <v>14.5</v>
      </c>
      <c r="N51" s="26">
        <f>SUM(M51)+0.5</f>
        <v>15</v>
      </c>
    </row>
    <row r="52" spans="1:14" s="1" customFormat="1" ht="14.1" customHeight="1" thickBot="1">
      <c r="A52" s="99"/>
      <c r="B52" s="110" t="s">
        <v>137</v>
      </c>
      <c r="C52" s="110"/>
      <c r="D52" s="30"/>
      <c r="E52" s="31"/>
      <c r="F52" s="31"/>
      <c r="G52" s="32"/>
      <c r="H52" s="25"/>
      <c r="I52" s="25"/>
      <c r="J52" s="34"/>
      <c r="K52" s="25"/>
      <c r="L52" s="25"/>
      <c r="M52" s="25"/>
      <c r="N52" s="27"/>
    </row>
  </sheetData>
  <mergeCells count="303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47:K48"/>
    <mergeCell ref="L47:L48"/>
    <mergeCell ref="M47:M48"/>
    <mergeCell ref="N47:N48"/>
    <mergeCell ref="B48:C48"/>
    <mergeCell ref="D48:G48"/>
    <mergeCell ref="A47:A48"/>
    <mergeCell ref="B47:C47"/>
    <mergeCell ref="D47:G47"/>
    <mergeCell ref="H47:H48"/>
    <mergeCell ref="I47:I48"/>
    <mergeCell ref="J47:J48"/>
    <mergeCell ref="K49:K50"/>
    <mergeCell ref="L49:L50"/>
    <mergeCell ref="M49:M50"/>
    <mergeCell ref="N49:N50"/>
    <mergeCell ref="B50:C50"/>
    <mergeCell ref="D50:G50"/>
    <mergeCell ref="A49:A50"/>
    <mergeCell ref="B49:C49"/>
    <mergeCell ref="D49:G49"/>
    <mergeCell ref="H49:H50"/>
    <mergeCell ref="I49:I50"/>
    <mergeCell ref="J49:J50"/>
    <mergeCell ref="K51:K52"/>
    <mergeCell ref="L51:L52"/>
    <mergeCell ref="M51:M52"/>
    <mergeCell ref="N51:N52"/>
    <mergeCell ref="B52:C52"/>
    <mergeCell ref="D52:G52"/>
    <mergeCell ref="A51:A52"/>
    <mergeCell ref="B51:C51"/>
    <mergeCell ref="D51:G51"/>
    <mergeCell ref="H51:H52"/>
    <mergeCell ref="I51:I52"/>
    <mergeCell ref="J51:J52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F6CFF-6A7E-4A00-9977-00C4063D71FB}">
  <sheetPr>
    <tabColor rgb="FF00B050"/>
    <pageSetUpPr fitToPage="1"/>
  </sheetPr>
  <dimension ref="A1:N61"/>
  <sheetViews>
    <sheetView topLeftCell="A16" zoomScale="110" zoomScaleNormal="110" workbookViewId="0">
      <selection activeCell="B43" sqref="B43:G4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28" t="s">
        <v>439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30"/>
    </row>
    <row r="2" spans="1:14" ht="16.5" customHeight="1" thickBot="1">
      <c r="A2" s="2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  <c r="N2" s="7" t="s">
        <v>229</v>
      </c>
    </row>
    <row r="3" spans="1:14" s="1" customFormat="1" ht="14.1" customHeight="1">
      <c r="A3" s="78">
        <v>1</v>
      </c>
      <c r="B3" s="80" t="s">
        <v>149</v>
      </c>
      <c r="C3" s="81"/>
      <c r="D3" s="74" t="s">
        <v>82</v>
      </c>
      <c r="E3" s="82"/>
      <c r="F3" s="82"/>
      <c r="G3" s="83"/>
      <c r="H3" s="58">
        <f>SUM(I3)-3</f>
        <v>45</v>
      </c>
      <c r="I3" s="24">
        <f>SUM(J3)-3</f>
        <v>48</v>
      </c>
      <c r="J3" s="84">
        <v>51</v>
      </c>
      <c r="K3" s="85">
        <f>SUM(J3)+3</f>
        <v>54</v>
      </c>
      <c r="L3" s="85">
        <f>SUM(K3)+3</f>
        <v>57</v>
      </c>
      <c r="M3" s="85">
        <f>SUM(L3)+3</f>
        <v>60</v>
      </c>
      <c r="N3" s="131">
        <f>SUM(M3)+3</f>
        <v>63</v>
      </c>
    </row>
    <row r="4" spans="1:14" s="1" customFormat="1" ht="14.1" customHeight="1">
      <c r="A4" s="79"/>
      <c r="B4" s="62" t="s">
        <v>108</v>
      </c>
      <c r="C4" s="63"/>
      <c r="D4" s="64" t="s">
        <v>83</v>
      </c>
      <c r="E4" s="65"/>
      <c r="F4" s="65"/>
      <c r="G4" s="66"/>
      <c r="H4" s="56"/>
      <c r="I4" s="36"/>
      <c r="J4" s="35"/>
      <c r="K4" s="36"/>
      <c r="L4" s="36"/>
      <c r="M4" s="36"/>
      <c r="N4" s="122"/>
    </row>
    <row r="5" spans="1:14" s="1" customFormat="1" ht="14.1" customHeight="1">
      <c r="A5" s="92">
        <v>2</v>
      </c>
      <c r="B5" s="40" t="s">
        <v>165</v>
      </c>
      <c r="C5" s="41"/>
      <c r="D5" s="100"/>
      <c r="E5" s="101"/>
      <c r="F5" s="101"/>
      <c r="G5" s="102"/>
      <c r="H5" s="58"/>
      <c r="I5" s="24"/>
      <c r="J5" s="117"/>
      <c r="K5" s="50"/>
      <c r="L5" s="50"/>
      <c r="M5" s="50"/>
      <c r="N5" s="127"/>
    </row>
    <row r="6" spans="1:14" s="1" customFormat="1" ht="14.1" customHeight="1">
      <c r="A6" s="79"/>
      <c r="B6" s="62" t="s">
        <v>164</v>
      </c>
      <c r="C6" s="63"/>
      <c r="D6" s="64"/>
      <c r="E6" s="65"/>
      <c r="F6" s="65"/>
      <c r="G6" s="66"/>
      <c r="H6" s="56"/>
      <c r="I6" s="36"/>
      <c r="J6" s="35"/>
      <c r="K6" s="36"/>
      <c r="L6" s="36"/>
      <c r="M6" s="36"/>
      <c r="N6" s="122"/>
    </row>
    <row r="7" spans="1:14" s="1" customFormat="1" ht="14.1" customHeight="1">
      <c r="A7" s="92">
        <v>3</v>
      </c>
      <c r="B7" s="40" t="s">
        <v>148</v>
      </c>
      <c r="C7" s="41"/>
      <c r="D7" s="100"/>
      <c r="E7" s="101"/>
      <c r="F7" s="101"/>
      <c r="G7" s="102"/>
      <c r="H7" s="58"/>
      <c r="I7" s="24"/>
      <c r="J7" s="117"/>
      <c r="K7" s="50"/>
      <c r="L7" s="50"/>
      <c r="M7" s="50"/>
      <c r="N7" s="127"/>
    </row>
    <row r="8" spans="1:14" s="1" customFormat="1" ht="14.1" customHeight="1">
      <c r="A8" s="79"/>
      <c r="B8" s="62" t="s">
        <v>147</v>
      </c>
      <c r="C8" s="63"/>
      <c r="D8" s="64"/>
      <c r="E8" s="65"/>
      <c r="F8" s="65"/>
      <c r="G8" s="66"/>
      <c r="H8" s="56"/>
      <c r="I8" s="36"/>
      <c r="J8" s="35"/>
      <c r="K8" s="36"/>
      <c r="L8" s="36"/>
      <c r="M8" s="36"/>
      <c r="N8" s="122"/>
    </row>
    <row r="9" spans="1:14" s="1" customFormat="1" ht="14.1" customHeight="1">
      <c r="A9" s="92">
        <v>4</v>
      </c>
      <c r="B9" s="51" t="s">
        <v>163</v>
      </c>
      <c r="C9" s="52"/>
      <c r="D9" s="118"/>
      <c r="E9" s="119"/>
      <c r="F9" s="119"/>
      <c r="G9" s="120"/>
      <c r="H9" s="24"/>
      <c r="I9" s="24"/>
      <c r="J9" s="117"/>
      <c r="K9" s="50"/>
      <c r="L9" s="50"/>
      <c r="M9" s="50"/>
      <c r="N9" s="127"/>
    </row>
    <row r="10" spans="1:14" s="1" customFormat="1" ht="14.1" customHeight="1">
      <c r="A10" s="79"/>
      <c r="B10" s="62" t="s">
        <v>162</v>
      </c>
      <c r="C10" s="63"/>
      <c r="D10" s="114"/>
      <c r="E10" s="115"/>
      <c r="F10" s="115"/>
      <c r="G10" s="116"/>
      <c r="H10" s="36"/>
      <c r="I10" s="36"/>
      <c r="J10" s="35"/>
      <c r="K10" s="36"/>
      <c r="L10" s="36"/>
      <c r="M10" s="36"/>
      <c r="N10" s="122"/>
    </row>
    <row r="11" spans="1:14" s="1" customFormat="1" ht="14.1" customHeight="1">
      <c r="A11" s="92">
        <v>5</v>
      </c>
      <c r="B11" s="51" t="s">
        <v>157</v>
      </c>
      <c r="C11" s="52"/>
      <c r="D11" s="100"/>
      <c r="E11" s="101"/>
      <c r="F11" s="101"/>
      <c r="G11" s="102"/>
      <c r="H11" s="24">
        <f>SUM(I11)-4.5</f>
        <v>64</v>
      </c>
      <c r="I11" s="24">
        <f>SUM(J11)-4.5</f>
        <v>68.5</v>
      </c>
      <c r="J11" s="117">
        <v>73</v>
      </c>
      <c r="K11" s="50">
        <f>SUM(J11)+4.5</f>
        <v>77.5</v>
      </c>
      <c r="L11" s="50">
        <f>SUM(K11)+4.5</f>
        <v>82</v>
      </c>
      <c r="M11" s="50">
        <f>SUM(L11)+4.5</f>
        <v>86.5</v>
      </c>
      <c r="N11" s="127">
        <f>SUM(M11)+4.5</f>
        <v>91</v>
      </c>
    </row>
    <row r="12" spans="1:14" s="1" customFormat="1" ht="14.1" customHeight="1">
      <c r="A12" s="79"/>
      <c r="B12" s="62" t="s">
        <v>158</v>
      </c>
      <c r="C12" s="63"/>
      <c r="D12" s="64"/>
      <c r="E12" s="65"/>
      <c r="F12" s="65"/>
      <c r="G12" s="66"/>
      <c r="H12" s="36"/>
      <c r="I12" s="36"/>
      <c r="J12" s="35"/>
      <c r="K12" s="36"/>
      <c r="L12" s="36"/>
      <c r="M12" s="36"/>
      <c r="N12" s="122"/>
    </row>
    <row r="13" spans="1:14" s="1" customFormat="1" ht="14.1" customHeight="1">
      <c r="A13" s="92">
        <v>6</v>
      </c>
      <c r="B13" s="51" t="s">
        <v>13</v>
      </c>
      <c r="C13" s="52"/>
      <c r="D13" s="59" t="s">
        <v>182</v>
      </c>
      <c r="E13" s="60"/>
      <c r="F13" s="60"/>
      <c r="G13" s="61"/>
      <c r="H13" s="24">
        <f>SUM(I13)-5</f>
        <v>69</v>
      </c>
      <c r="I13" s="24">
        <f>SUM(J13)-5</f>
        <v>74</v>
      </c>
      <c r="J13" s="33">
        <v>79</v>
      </c>
      <c r="K13" s="24">
        <f>SUM(J13)+5</f>
        <v>84</v>
      </c>
      <c r="L13" s="24">
        <f>SUM(K13)+5</f>
        <v>89</v>
      </c>
      <c r="M13" s="24">
        <f>SUM(L13)+5</f>
        <v>94</v>
      </c>
      <c r="N13" s="121">
        <f>SUM(M13)+5</f>
        <v>99</v>
      </c>
    </row>
    <row r="14" spans="1:14" s="1" customFormat="1" ht="14.1" customHeight="1">
      <c r="A14" s="79"/>
      <c r="B14" s="62" t="s">
        <v>55</v>
      </c>
      <c r="C14" s="63"/>
      <c r="D14" s="64" t="s">
        <v>121</v>
      </c>
      <c r="E14" s="65"/>
      <c r="F14" s="65"/>
      <c r="G14" s="66"/>
      <c r="H14" s="36"/>
      <c r="I14" s="36"/>
      <c r="J14" s="35"/>
      <c r="K14" s="36"/>
      <c r="L14" s="36"/>
      <c r="M14" s="36"/>
      <c r="N14" s="122"/>
    </row>
    <row r="15" spans="1:14" s="1" customFormat="1" ht="14.1" customHeight="1">
      <c r="A15" s="92">
        <v>7</v>
      </c>
      <c r="B15" s="51" t="s">
        <v>146</v>
      </c>
      <c r="C15" s="52"/>
      <c r="D15" s="59"/>
      <c r="E15" s="60"/>
      <c r="F15" s="60"/>
      <c r="G15" s="61"/>
      <c r="H15" s="58">
        <f>SUM(I15)-0.7</f>
        <v>12.400000000000002</v>
      </c>
      <c r="I15" s="24">
        <f>SUM(J15)-0.7</f>
        <v>13.100000000000001</v>
      </c>
      <c r="J15" s="33">
        <v>13.8</v>
      </c>
      <c r="K15" s="24">
        <f>SUM(J15)+1.2</f>
        <v>15</v>
      </c>
      <c r="L15" s="24">
        <f>SUM(K15)+0.7</f>
        <v>15.7</v>
      </c>
      <c r="M15" s="58">
        <f>SUM(L15)+0.7</f>
        <v>16.399999999999999</v>
      </c>
      <c r="N15" s="125">
        <f>SUM(M15)+0.7</f>
        <v>17.099999999999998</v>
      </c>
    </row>
    <row r="16" spans="1:14" s="1" customFormat="1" ht="14.1" customHeight="1">
      <c r="A16" s="79"/>
      <c r="B16" s="62" t="s">
        <v>145</v>
      </c>
      <c r="C16" s="63"/>
      <c r="D16" s="89" t="s">
        <v>161</v>
      </c>
      <c r="E16" s="90"/>
      <c r="F16" s="90"/>
      <c r="G16" s="91"/>
      <c r="H16" s="56"/>
      <c r="I16" s="36"/>
      <c r="J16" s="35"/>
      <c r="K16" s="36"/>
      <c r="L16" s="36"/>
      <c r="M16" s="56"/>
      <c r="N16" s="126"/>
    </row>
    <row r="17" spans="1:14" s="1" customFormat="1" ht="14.1" customHeight="1">
      <c r="A17" s="92">
        <v>8</v>
      </c>
      <c r="B17" s="51" t="s">
        <v>166</v>
      </c>
      <c r="C17" s="52"/>
      <c r="D17" s="59"/>
      <c r="E17" s="60"/>
      <c r="F17" s="60"/>
      <c r="G17" s="61"/>
      <c r="H17" s="58"/>
      <c r="I17" s="24"/>
      <c r="J17" s="33"/>
      <c r="K17" s="24"/>
      <c r="L17" s="24"/>
      <c r="M17" s="58"/>
      <c r="N17" s="125"/>
    </row>
    <row r="18" spans="1:14" s="1" customFormat="1" ht="14.1" customHeight="1">
      <c r="A18" s="79"/>
      <c r="B18" s="62" t="s">
        <v>167</v>
      </c>
      <c r="C18" s="63"/>
      <c r="D18" s="89" t="s">
        <v>168</v>
      </c>
      <c r="E18" s="90"/>
      <c r="F18" s="90"/>
      <c r="G18" s="91"/>
      <c r="H18" s="56"/>
      <c r="I18" s="36"/>
      <c r="J18" s="35"/>
      <c r="K18" s="36"/>
      <c r="L18" s="36"/>
      <c r="M18" s="56"/>
      <c r="N18" s="126"/>
    </row>
    <row r="19" spans="1:14" s="1" customFormat="1" ht="14.1" customHeight="1">
      <c r="A19" s="92">
        <v>9</v>
      </c>
      <c r="B19" s="51" t="s">
        <v>178</v>
      </c>
      <c r="C19" s="52"/>
      <c r="D19" s="59"/>
      <c r="E19" s="60"/>
      <c r="F19" s="60"/>
      <c r="G19" s="61"/>
      <c r="H19" s="24"/>
      <c r="I19" s="24"/>
      <c r="J19" s="33"/>
      <c r="K19" s="24"/>
      <c r="L19" s="24"/>
      <c r="M19" s="24"/>
      <c r="N19" s="121"/>
    </row>
    <row r="20" spans="1:14" s="1" customFormat="1" ht="14.1" customHeight="1">
      <c r="A20" s="79"/>
      <c r="B20" s="62" t="s">
        <v>177</v>
      </c>
      <c r="C20" s="63"/>
      <c r="D20" s="89"/>
      <c r="E20" s="90"/>
      <c r="F20" s="90"/>
      <c r="G20" s="91"/>
      <c r="H20" s="36"/>
      <c r="I20" s="36"/>
      <c r="J20" s="35"/>
      <c r="K20" s="36"/>
      <c r="L20" s="36"/>
      <c r="M20" s="36"/>
      <c r="N20" s="122"/>
    </row>
    <row r="21" spans="1:14" s="1" customFormat="1" ht="14.1" customHeight="1">
      <c r="A21" s="92">
        <v>10</v>
      </c>
      <c r="B21" s="51" t="s">
        <v>9</v>
      </c>
      <c r="C21" s="52"/>
      <c r="D21" s="59" t="s">
        <v>84</v>
      </c>
      <c r="E21" s="60"/>
      <c r="F21" s="60"/>
      <c r="G21" s="61"/>
      <c r="H21" s="24">
        <f>SUM(I21)-7</f>
        <v>56</v>
      </c>
      <c r="I21" s="24">
        <f>SUM(J21)-7</f>
        <v>63</v>
      </c>
      <c r="J21" s="33">
        <v>70</v>
      </c>
      <c r="K21" s="24">
        <f>SUM(J21)+6</f>
        <v>76</v>
      </c>
      <c r="L21" s="24">
        <f>SUM(K21)+6</f>
        <v>82</v>
      </c>
      <c r="M21" s="24">
        <f>SUM(L21)+6</f>
        <v>88</v>
      </c>
      <c r="N21" s="121">
        <f>SUM(M21)+6</f>
        <v>94</v>
      </c>
    </row>
    <row r="22" spans="1:14" s="1" customFormat="1" ht="14.1" customHeight="1">
      <c r="A22" s="79"/>
      <c r="B22" s="62" t="s">
        <v>56</v>
      </c>
      <c r="C22" s="63"/>
      <c r="D22" s="64" t="s">
        <v>120</v>
      </c>
      <c r="E22" s="65"/>
      <c r="F22" s="65"/>
      <c r="G22" s="66"/>
      <c r="H22" s="36"/>
      <c r="I22" s="36"/>
      <c r="J22" s="35"/>
      <c r="K22" s="36"/>
      <c r="L22" s="36"/>
      <c r="M22" s="36"/>
      <c r="N22" s="122"/>
    </row>
    <row r="23" spans="1:14" s="1" customFormat="1" ht="14.1" customHeight="1">
      <c r="A23" s="92">
        <v>11</v>
      </c>
      <c r="B23" s="51" t="s">
        <v>440</v>
      </c>
      <c r="C23" s="52"/>
      <c r="D23" s="59" t="s">
        <v>17</v>
      </c>
      <c r="E23" s="60"/>
      <c r="F23" s="60"/>
      <c r="G23" s="61"/>
      <c r="H23" s="24">
        <f>SUM(I23)-1</f>
        <v>20</v>
      </c>
      <c r="I23" s="24">
        <f>SUM(J23)-1</f>
        <v>21</v>
      </c>
      <c r="J23" s="33">
        <v>22</v>
      </c>
      <c r="K23" s="24">
        <f>SUM(J23)+1</f>
        <v>23</v>
      </c>
      <c r="L23" s="24">
        <f>SUM(K23)+1</f>
        <v>24</v>
      </c>
      <c r="M23" s="24">
        <f>SUM(L23)+1</f>
        <v>25</v>
      </c>
      <c r="N23" s="121">
        <f>SUM(M23)+1</f>
        <v>26</v>
      </c>
    </row>
    <row r="24" spans="1:14" s="1" customFormat="1" ht="14.1" customHeight="1">
      <c r="A24" s="79"/>
      <c r="B24" s="62" t="s">
        <v>436</v>
      </c>
      <c r="C24" s="63"/>
      <c r="D24" s="47" t="s">
        <v>119</v>
      </c>
      <c r="E24" s="48"/>
      <c r="F24" s="48"/>
      <c r="G24" s="49"/>
      <c r="H24" s="36"/>
      <c r="I24" s="36"/>
      <c r="J24" s="35"/>
      <c r="K24" s="36"/>
      <c r="L24" s="36"/>
      <c r="M24" s="36"/>
      <c r="N24" s="122"/>
    </row>
    <row r="25" spans="1:14" s="1" customFormat="1" ht="14.1" customHeight="1">
      <c r="A25" s="92">
        <v>12</v>
      </c>
      <c r="B25" s="51" t="s">
        <v>18</v>
      </c>
      <c r="C25" s="52"/>
      <c r="D25" s="59" t="s">
        <v>15</v>
      </c>
      <c r="E25" s="60"/>
      <c r="F25" s="60"/>
      <c r="G25" s="61"/>
      <c r="H25" s="58">
        <f>SUM(I25)-1.1</f>
        <v>22.099999999999998</v>
      </c>
      <c r="I25" s="24">
        <f>SUM(J25)-1.1</f>
        <v>23.2</v>
      </c>
      <c r="J25" s="33">
        <v>24.3</v>
      </c>
      <c r="K25" s="24">
        <f>SUM(J25)+1.6</f>
        <v>25.900000000000002</v>
      </c>
      <c r="L25" s="24">
        <f>SUM(K25)+1.1</f>
        <v>27.000000000000004</v>
      </c>
      <c r="M25" s="58">
        <f>SUM(L25)+1.1</f>
        <v>28.100000000000005</v>
      </c>
      <c r="N25" s="125">
        <f>SUM(M25)+1.1</f>
        <v>29.200000000000006</v>
      </c>
    </row>
    <row r="26" spans="1:14" s="1" customFormat="1" ht="14.1" customHeight="1">
      <c r="A26" s="79"/>
      <c r="B26" s="62" t="s">
        <v>63</v>
      </c>
      <c r="C26" s="63"/>
      <c r="D26" s="64" t="s">
        <v>118</v>
      </c>
      <c r="E26" s="65"/>
      <c r="F26" s="65"/>
      <c r="G26" s="66"/>
      <c r="H26" s="56"/>
      <c r="I26" s="36"/>
      <c r="J26" s="35"/>
      <c r="K26" s="36"/>
      <c r="L26" s="36"/>
      <c r="M26" s="56"/>
      <c r="N26" s="126"/>
    </row>
    <row r="27" spans="1:14" s="1" customFormat="1" ht="14.1" customHeight="1">
      <c r="A27" s="92">
        <v>13</v>
      </c>
      <c r="B27" s="51" t="s">
        <v>19</v>
      </c>
      <c r="C27" s="52"/>
      <c r="D27" s="59" t="s">
        <v>15</v>
      </c>
      <c r="E27" s="60"/>
      <c r="F27" s="60"/>
      <c r="G27" s="61"/>
      <c r="H27" s="58">
        <f>SUM(I27)-1.3</f>
        <v>28.7</v>
      </c>
      <c r="I27" s="24">
        <f>SUM(J27)-1.3</f>
        <v>30</v>
      </c>
      <c r="J27" s="33">
        <v>31.3</v>
      </c>
      <c r="K27" s="24">
        <f>SUM(J27)+1.8</f>
        <v>33.1</v>
      </c>
      <c r="L27" s="24">
        <f>SUM(K27)+1.3</f>
        <v>34.4</v>
      </c>
      <c r="M27" s="58">
        <f>SUM(L27)+1.3</f>
        <v>35.699999999999996</v>
      </c>
      <c r="N27" s="125">
        <f>SUM(M27)+1.3</f>
        <v>36.999999999999993</v>
      </c>
    </row>
    <row r="28" spans="1:14" s="1" customFormat="1" ht="14.1" customHeight="1">
      <c r="A28" s="79"/>
      <c r="B28" s="62" t="s">
        <v>62</v>
      </c>
      <c r="C28" s="63"/>
      <c r="D28" s="64" t="s">
        <v>118</v>
      </c>
      <c r="E28" s="65"/>
      <c r="F28" s="65"/>
      <c r="G28" s="66"/>
      <c r="H28" s="56"/>
      <c r="I28" s="36"/>
      <c r="J28" s="35"/>
      <c r="K28" s="36"/>
      <c r="L28" s="36"/>
      <c r="M28" s="56"/>
      <c r="N28" s="126"/>
    </row>
    <row r="29" spans="1:14" s="1" customFormat="1" ht="14.1" customHeight="1">
      <c r="A29" s="92">
        <v>14</v>
      </c>
      <c r="B29" s="51" t="s">
        <v>20</v>
      </c>
      <c r="C29" s="52"/>
      <c r="D29" s="59" t="s">
        <v>21</v>
      </c>
      <c r="E29" s="60"/>
      <c r="F29" s="60"/>
      <c r="G29" s="61"/>
      <c r="H29" s="24">
        <f>SUM(I29)-3.1</f>
        <v>43.5</v>
      </c>
      <c r="I29" s="24">
        <f>SUM(J29)-3.1</f>
        <v>46.6</v>
      </c>
      <c r="J29" s="33">
        <v>49.7</v>
      </c>
      <c r="K29" s="24">
        <f>SUM(J29)+3.1</f>
        <v>52.800000000000004</v>
      </c>
      <c r="L29" s="24">
        <f>SUM(K29)+3.1</f>
        <v>55.900000000000006</v>
      </c>
      <c r="M29" s="24">
        <f>SUM(L29)+3.1</f>
        <v>59.000000000000007</v>
      </c>
      <c r="N29" s="121">
        <f>SUM(M29)+3.1</f>
        <v>62.100000000000009</v>
      </c>
    </row>
    <row r="30" spans="1:14" s="1" customFormat="1" ht="14.1" customHeight="1">
      <c r="A30" s="79"/>
      <c r="B30" s="62" t="s">
        <v>61</v>
      </c>
      <c r="C30" s="63"/>
      <c r="D30" s="64" t="s">
        <v>117</v>
      </c>
      <c r="E30" s="65"/>
      <c r="F30" s="65"/>
      <c r="G30" s="66"/>
      <c r="H30" s="36"/>
      <c r="I30" s="36"/>
      <c r="J30" s="35"/>
      <c r="K30" s="36"/>
      <c r="L30" s="36"/>
      <c r="M30" s="36"/>
      <c r="N30" s="122"/>
    </row>
    <row r="31" spans="1:14" s="1" customFormat="1" ht="14.1" customHeight="1">
      <c r="A31" s="92">
        <v>15</v>
      </c>
      <c r="B31" s="51" t="s">
        <v>22</v>
      </c>
      <c r="C31" s="52"/>
      <c r="D31" s="59" t="s">
        <v>23</v>
      </c>
      <c r="E31" s="60"/>
      <c r="F31" s="60"/>
      <c r="G31" s="61"/>
      <c r="H31" s="24">
        <f>SUM(I31)-6</f>
        <v>35.200000000000003</v>
      </c>
      <c r="I31" s="24">
        <f>SUM(J31)-6</f>
        <v>41.2</v>
      </c>
      <c r="J31" s="33">
        <v>47.2</v>
      </c>
      <c r="K31" s="24">
        <f>SUM(J31)+4.5</f>
        <v>51.7</v>
      </c>
      <c r="L31" s="24">
        <f>SUM(K31)+5</f>
        <v>56.7</v>
      </c>
      <c r="M31" s="24">
        <f>SUM(L31)+5</f>
        <v>61.7</v>
      </c>
      <c r="N31" s="121">
        <f>SUM(M31)+5</f>
        <v>66.7</v>
      </c>
    </row>
    <row r="32" spans="1:14" s="1" customFormat="1" ht="14.1" customHeight="1">
      <c r="A32" s="79"/>
      <c r="B32" s="62" t="s">
        <v>60</v>
      </c>
      <c r="C32" s="63"/>
      <c r="D32" s="64" t="s">
        <v>116</v>
      </c>
      <c r="E32" s="65"/>
      <c r="F32" s="65"/>
      <c r="G32" s="66"/>
      <c r="H32" s="36"/>
      <c r="I32" s="36"/>
      <c r="J32" s="35"/>
      <c r="K32" s="36"/>
      <c r="L32" s="36"/>
      <c r="M32" s="36"/>
      <c r="N32" s="122"/>
    </row>
    <row r="33" spans="1:14" s="1" customFormat="1" ht="14.1" customHeight="1">
      <c r="A33" s="92">
        <v>16</v>
      </c>
      <c r="B33" s="51" t="s">
        <v>115</v>
      </c>
      <c r="C33" s="52"/>
      <c r="D33" s="59" t="s">
        <v>113</v>
      </c>
      <c r="E33" s="60"/>
      <c r="F33" s="60"/>
      <c r="G33" s="61"/>
      <c r="H33" s="24">
        <f>SUM(I33)-2.3</f>
        <v>38.700000000000003</v>
      </c>
      <c r="I33" s="24">
        <f>SUM(J33)-2.3</f>
        <v>41</v>
      </c>
      <c r="J33" s="33">
        <v>43.3</v>
      </c>
      <c r="K33" s="24">
        <f>SUM(J33)+2.3</f>
        <v>45.599999999999994</v>
      </c>
      <c r="L33" s="24">
        <f>SUM(K33)+2.3</f>
        <v>47.899999999999991</v>
      </c>
      <c r="M33" s="24">
        <f>SUM(L33)+2.3</f>
        <v>50.199999999999989</v>
      </c>
      <c r="N33" s="121">
        <f>SUM(M33)+2.3</f>
        <v>52.499999999999986</v>
      </c>
    </row>
    <row r="34" spans="1:14" s="1" customFormat="1" ht="14.1" customHeight="1">
      <c r="A34" s="79"/>
      <c r="B34" s="62" t="s">
        <v>114</v>
      </c>
      <c r="C34" s="63"/>
      <c r="D34" s="64" t="s">
        <v>113</v>
      </c>
      <c r="E34" s="65"/>
      <c r="F34" s="65"/>
      <c r="G34" s="66"/>
      <c r="H34" s="36"/>
      <c r="I34" s="36"/>
      <c r="J34" s="35"/>
      <c r="K34" s="36"/>
      <c r="L34" s="36"/>
      <c r="M34" s="36"/>
      <c r="N34" s="122"/>
    </row>
    <row r="35" spans="1:14" s="1" customFormat="1" ht="14.1" customHeight="1">
      <c r="A35" s="92">
        <v>17</v>
      </c>
      <c r="B35" s="51" t="s">
        <v>112</v>
      </c>
      <c r="C35" s="52"/>
      <c r="D35" s="59" t="s">
        <v>111</v>
      </c>
      <c r="E35" s="60"/>
      <c r="F35" s="60"/>
      <c r="G35" s="61"/>
      <c r="H35" s="24">
        <f>SUM(I35)-3.2</f>
        <v>34.099999999999994</v>
      </c>
      <c r="I35" s="24">
        <f>SUM(J35)-3.2</f>
        <v>37.299999999999997</v>
      </c>
      <c r="J35" s="33">
        <v>40.5</v>
      </c>
      <c r="K35" s="24">
        <f>SUM(J35)+3.2</f>
        <v>43.7</v>
      </c>
      <c r="L35" s="24">
        <f>SUM(K35)+2.9</f>
        <v>46.6</v>
      </c>
      <c r="M35" s="24">
        <f>SUM(L35)+2.9</f>
        <v>49.5</v>
      </c>
      <c r="N35" s="121">
        <f>SUM(M35)+2.9</f>
        <v>52.4</v>
      </c>
    </row>
    <row r="36" spans="1:14" s="1" customFormat="1" ht="14.1" customHeight="1">
      <c r="A36" s="79"/>
      <c r="B36" s="62" t="s">
        <v>110</v>
      </c>
      <c r="C36" s="63"/>
      <c r="D36" s="64" t="s">
        <v>160</v>
      </c>
      <c r="E36" s="65"/>
      <c r="F36" s="65"/>
      <c r="G36" s="66"/>
      <c r="H36" s="36"/>
      <c r="I36" s="36"/>
      <c r="J36" s="35"/>
      <c r="K36" s="36"/>
      <c r="L36" s="36"/>
      <c r="M36" s="36"/>
      <c r="N36" s="122"/>
    </row>
    <row r="37" spans="1:14" s="1" customFormat="1" ht="14.1" customHeight="1">
      <c r="A37" s="92">
        <v>18</v>
      </c>
      <c r="B37" s="51" t="s">
        <v>441</v>
      </c>
      <c r="C37" s="52"/>
      <c r="D37" s="59"/>
      <c r="E37" s="60"/>
      <c r="F37" s="60"/>
      <c r="G37" s="61"/>
      <c r="H37" s="24">
        <f>SUM(I37)-0.5</f>
        <v>10.5</v>
      </c>
      <c r="I37" s="24">
        <f>SUM(J37)-0.5</f>
        <v>11</v>
      </c>
      <c r="J37" s="33">
        <v>11.5</v>
      </c>
      <c r="K37" s="24">
        <f>SUM(J37)+0.5</f>
        <v>12</v>
      </c>
      <c r="L37" s="24">
        <f>SUM(K37)+0.5</f>
        <v>12.5</v>
      </c>
      <c r="M37" s="24">
        <f>SUM(L37)+0.5</f>
        <v>13</v>
      </c>
      <c r="N37" s="121">
        <f>SUM(M37)+0.5</f>
        <v>13.5</v>
      </c>
    </row>
    <row r="38" spans="1:14" s="1" customFormat="1" ht="14.1" customHeight="1">
      <c r="A38" s="79"/>
      <c r="B38" s="62" t="s">
        <v>442</v>
      </c>
      <c r="C38" s="63"/>
      <c r="D38" s="64"/>
      <c r="E38" s="65"/>
      <c r="F38" s="65"/>
      <c r="G38" s="66"/>
      <c r="H38" s="36"/>
      <c r="I38" s="36"/>
      <c r="J38" s="35"/>
      <c r="K38" s="36"/>
      <c r="L38" s="36"/>
      <c r="M38" s="36"/>
      <c r="N38" s="122"/>
    </row>
    <row r="39" spans="1:14" s="1" customFormat="1" ht="14.1" customHeight="1">
      <c r="A39" s="92">
        <v>19</v>
      </c>
      <c r="B39" s="51" t="s">
        <v>429</v>
      </c>
      <c r="C39" s="52"/>
      <c r="D39" s="59"/>
      <c r="E39" s="60"/>
      <c r="F39" s="60"/>
      <c r="G39" s="61"/>
      <c r="H39" s="24">
        <f>SUM(I39)-0.5</f>
        <v>10</v>
      </c>
      <c r="I39" s="24">
        <f>SUM(J39)-0.5</f>
        <v>10.5</v>
      </c>
      <c r="J39" s="33">
        <v>11</v>
      </c>
      <c r="K39" s="24">
        <f>SUM(J39)+0.5</f>
        <v>11.5</v>
      </c>
      <c r="L39" s="24">
        <f>SUM(K39)+0.5</f>
        <v>12</v>
      </c>
      <c r="M39" s="24">
        <f>SUM(L39)+0.5</f>
        <v>12.5</v>
      </c>
      <c r="N39" s="121">
        <f>SUM(M39)+0.5</f>
        <v>13</v>
      </c>
    </row>
    <row r="40" spans="1:14" s="1" customFormat="1" ht="14.1" customHeight="1">
      <c r="A40" s="79"/>
      <c r="B40" s="62" t="s">
        <v>430</v>
      </c>
      <c r="C40" s="63"/>
      <c r="D40" s="64"/>
      <c r="E40" s="65"/>
      <c r="F40" s="65"/>
      <c r="G40" s="66"/>
      <c r="H40" s="36"/>
      <c r="I40" s="36"/>
      <c r="J40" s="35"/>
      <c r="K40" s="36"/>
      <c r="L40" s="36"/>
      <c r="M40" s="36"/>
      <c r="N40" s="122"/>
    </row>
    <row r="41" spans="1:14" s="1" customFormat="1" ht="14.1" customHeight="1">
      <c r="A41" s="92">
        <v>20</v>
      </c>
      <c r="B41" s="51" t="s">
        <v>138</v>
      </c>
      <c r="C41" s="52"/>
      <c r="D41" s="59"/>
      <c r="E41" s="60"/>
      <c r="F41" s="60"/>
      <c r="G41" s="61"/>
      <c r="H41" s="24">
        <f>SUM(I41)-0.5</f>
        <v>10.5</v>
      </c>
      <c r="I41" s="24">
        <f>SUM(J41)-0.5</f>
        <v>11</v>
      </c>
      <c r="J41" s="33">
        <v>11.5</v>
      </c>
      <c r="K41" s="24">
        <f>SUM(J41)+0.5</f>
        <v>12</v>
      </c>
      <c r="L41" s="24">
        <f>SUM(K41)+0.5</f>
        <v>12.5</v>
      </c>
      <c r="M41" s="24">
        <f>SUM(L41)+0.5</f>
        <v>13</v>
      </c>
      <c r="N41" s="121">
        <f>SUM(M41)+0.5</f>
        <v>13.5</v>
      </c>
    </row>
    <row r="42" spans="1:14" s="1" customFormat="1" ht="14.1" customHeight="1">
      <c r="A42" s="79"/>
      <c r="B42" s="62" t="s">
        <v>431</v>
      </c>
      <c r="C42" s="63"/>
      <c r="D42" s="64"/>
      <c r="E42" s="65"/>
      <c r="F42" s="65"/>
      <c r="G42" s="66"/>
      <c r="H42" s="36"/>
      <c r="I42" s="36"/>
      <c r="J42" s="35"/>
      <c r="K42" s="36"/>
      <c r="L42" s="36"/>
      <c r="M42" s="36"/>
      <c r="N42" s="122"/>
    </row>
    <row r="43" spans="1:14" s="1" customFormat="1" ht="14.1" customHeight="1">
      <c r="A43" s="92">
        <v>21</v>
      </c>
      <c r="B43" s="51" t="s">
        <v>443</v>
      </c>
      <c r="C43" s="52"/>
      <c r="D43" s="59"/>
      <c r="E43" s="60"/>
      <c r="F43" s="60"/>
      <c r="G43" s="61"/>
      <c r="H43" s="24">
        <f>SUM(I43)-3</f>
        <v>77</v>
      </c>
      <c r="I43" s="24">
        <f>SUM(J43)-3</f>
        <v>80</v>
      </c>
      <c r="J43" s="33">
        <v>83</v>
      </c>
      <c r="K43" s="24">
        <f>SUM(J43)+3</f>
        <v>86</v>
      </c>
      <c r="L43" s="24">
        <f>SUM(K43)+3</f>
        <v>89</v>
      </c>
      <c r="M43" s="24">
        <f>SUM(L43)+3</f>
        <v>92</v>
      </c>
      <c r="N43" s="121">
        <f>SUM(M43)+3</f>
        <v>95</v>
      </c>
    </row>
    <row r="44" spans="1:14" s="1" customFormat="1" ht="13.5" customHeight="1">
      <c r="A44" s="79"/>
      <c r="B44" s="62" t="s">
        <v>444</v>
      </c>
      <c r="C44" s="63"/>
      <c r="D44" s="64" t="s">
        <v>445</v>
      </c>
      <c r="E44" s="65"/>
      <c r="F44" s="65"/>
      <c r="G44" s="66"/>
      <c r="H44" s="36"/>
      <c r="I44" s="36"/>
      <c r="J44" s="35"/>
      <c r="K44" s="36"/>
      <c r="L44" s="36"/>
      <c r="M44" s="36"/>
      <c r="N44" s="122"/>
    </row>
    <row r="45" spans="1:14" s="1" customFormat="1" ht="13.5" customHeight="1">
      <c r="A45" s="92">
        <v>22</v>
      </c>
      <c r="B45" s="51"/>
      <c r="C45" s="52"/>
      <c r="D45" s="59"/>
      <c r="E45" s="60"/>
      <c r="F45" s="60"/>
      <c r="G45" s="61"/>
      <c r="H45" s="24"/>
      <c r="I45" s="24"/>
      <c r="J45" s="33"/>
      <c r="K45" s="24"/>
      <c r="L45" s="24"/>
      <c r="M45" s="24"/>
      <c r="N45" s="121"/>
    </row>
    <row r="46" spans="1:14" s="1" customFormat="1" ht="13.5" customHeight="1">
      <c r="A46" s="79"/>
      <c r="B46" s="62"/>
      <c r="C46" s="63"/>
      <c r="D46" s="64"/>
      <c r="E46" s="65"/>
      <c r="F46" s="65"/>
      <c r="G46" s="66"/>
      <c r="H46" s="36"/>
      <c r="I46" s="36"/>
      <c r="J46" s="35"/>
      <c r="K46" s="36"/>
      <c r="L46" s="36"/>
      <c r="M46" s="36"/>
      <c r="N46" s="122"/>
    </row>
    <row r="47" spans="1:14" s="1" customFormat="1" ht="13.5" customHeight="1">
      <c r="A47" s="92">
        <v>23</v>
      </c>
      <c r="B47" s="51"/>
      <c r="C47" s="52"/>
      <c r="D47" s="57"/>
      <c r="E47" s="57"/>
      <c r="F47" s="57"/>
      <c r="G47" s="57"/>
      <c r="H47" s="24"/>
      <c r="I47" s="24"/>
      <c r="J47" s="33"/>
      <c r="K47" s="24"/>
      <c r="L47" s="24"/>
      <c r="M47" s="24"/>
      <c r="N47" s="121"/>
    </row>
    <row r="48" spans="1:14" s="1" customFormat="1" ht="13.5" customHeight="1" thickBot="1">
      <c r="A48" s="99"/>
      <c r="B48" s="110"/>
      <c r="C48" s="110"/>
      <c r="D48" s="30"/>
      <c r="E48" s="31"/>
      <c r="F48" s="31"/>
      <c r="G48" s="32"/>
      <c r="H48" s="25"/>
      <c r="I48" s="25"/>
      <c r="J48" s="34"/>
      <c r="K48" s="25"/>
      <c r="L48" s="25"/>
      <c r="M48" s="25"/>
      <c r="N48" s="124"/>
    </row>
    <row r="49" spans="1:14" s="1" customFormat="1" ht="13.5" customHeight="1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4" s="1" customFormat="1" ht="13.5" customHeight="1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4" s="1" customFormat="1" ht="13.5" customHeight="1">
      <c r="A51"/>
      <c r="B51"/>
      <c r="C51"/>
      <c r="D51"/>
      <c r="E51"/>
      <c r="F51"/>
      <c r="G51"/>
      <c r="H51"/>
      <c r="I51"/>
      <c r="J51"/>
      <c r="K51"/>
      <c r="L51"/>
      <c r="M51"/>
      <c r="N51"/>
    </row>
    <row r="52" spans="1:14" s="1" customFormat="1" ht="13.5" customHeight="1">
      <c r="A52"/>
      <c r="B52"/>
      <c r="C52"/>
      <c r="D52"/>
      <c r="E52"/>
      <c r="F52"/>
      <c r="G52"/>
      <c r="H52"/>
      <c r="I52"/>
      <c r="J52"/>
      <c r="K52"/>
      <c r="L52"/>
      <c r="M52"/>
      <c r="N52"/>
    </row>
    <row r="53" spans="1:14" ht="13.5" customHeight="1"/>
    <row r="54" spans="1:14" ht="13.5" customHeight="1"/>
    <row r="55" spans="1:14" ht="13.5" customHeight="1"/>
    <row r="56" spans="1:14" ht="13.5" customHeight="1"/>
    <row r="57" spans="1:14" ht="13.5" customHeight="1"/>
    <row r="58" spans="1:14" ht="13.5" customHeight="1"/>
    <row r="59" spans="1:14" ht="13.5" customHeight="1"/>
    <row r="60" spans="1:14" ht="13.5" customHeight="1"/>
    <row r="61" spans="1:14" ht="13.5" customHeight="1"/>
  </sheetData>
  <mergeCells count="279">
    <mergeCell ref="N11:N12"/>
    <mergeCell ref="N13:N14"/>
    <mergeCell ref="N15:N16"/>
    <mergeCell ref="N17:N18"/>
    <mergeCell ref="N19:N20"/>
    <mergeCell ref="N21:N22"/>
    <mergeCell ref="K47:K48"/>
    <mergeCell ref="L47:L48"/>
    <mergeCell ref="M47:M48"/>
    <mergeCell ref="N47:N48"/>
    <mergeCell ref="N35:N36"/>
    <mergeCell ref="N37:N38"/>
    <mergeCell ref="N39:N40"/>
    <mergeCell ref="N41:N42"/>
    <mergeCell ref="N43:N44"/>
    <mergeCell ref="N45:N46"/>
    <mergeCell ref="N23:N24"/>
    <mergeCell ref="N25:N26"/>
    <mergeCell ref="N27:N28"/>
    <mergeCell ref="N29:N30"/>
    <mergeCell ref="N31:N32"/>
    <mergeCell ref="N33:N34"/>
    <mergeCell ref="B48:C48"/>
    <mergeCell ref="D48:G48"/>
    <mergeCell ref="A1:N1"/>
    <mergeCell ref="N3:N4"/>
    <mergeCell ref="N5:N6"/>
    <mergeCell ref="N7:N8"/>
    <mergeCell ref="N9:N10"/>
    <mergeCell ref="A47:A48"/>
    <mergeCell ref="B47:C47"/>
    <mergeCell ref="D47:G47"/>
    <mergeCell ref="H47:H48"/>
    <mergeCell ref="I47:I48"/>
    <mergeCell ref="J47:J48"/>
    <mergeCell ref="K45:K46"/>
    <mergeCell ref="L45:L46"/>
    <mergeCell ref="M45:M46"/>
    <mergeCell ref="B46:C46"/>
    <mergeCell ref="D46:G46"/>
    <mergeCell ref="A45:A46"/>
    <mergeCell ref="B45:C45"/>
    <mergeCell ref="D45:G45"/>
    <mergeCell ref="H45:H46"/>
    <mergeCell ref="I45:I46"/>
    <mergeCell ref="J45:J46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6E3C5-41C0-4792-B8C8-B17F6F6D42E7}">
  <sheetPr>
    <tabColor rgb="FF00B050"/>
    <pageSetUpPr fitToPage="1"/>
  </sheetPr>
  <dimension ref="A1:N61"/>
  <sheetViews>
    <sheetView topLeftCell="A4" zoomScale="110" zoomScaleNormal="110" workbookViewId="0">
      <selection activeCell="D14" sqref="D14:G1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28" t="s">
        <v>568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30"/>
    </row>
    <row r="2" spans="1:14" ht="16.5" customHeight="1" thickBot="1">
      <c r="A2" s="2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  <c r="N2" s="7" t="s">
        <v>561</v>
      </c>
    </row>
    <row r="3" spans="1:14" s="1" customFormat="1" ht="14.1" customHeight="1">
      <c r="A3" s="78">
        <v>1</v>
      </c>
      <c r="B3" s="80" t="s">
        <v>149</v>
      </c>
      <c r="C3" s="81"/>
      <c r="D3" s="74" t="s">
        <v>82</v>
      </c>
      <c r="E3" s="82"/>
      <c r="F3" s="82"/>
      <c r="G3" s="83"/>
      <c r="H3" s="58">
        <f>SUM(I3)-3</f>
        <v>47</v>
      </c>
      <c r="I3" s="24">
        <f>SUM(J3)-3</f>
        <v>50</v>
      </c>
      <c r="J3" s="84">
        <v>53</v>
      </c>
      <c r="K3" s="85">
        <f>SUM(J3)+3</f>
        <v>56</v>
      </c>
      <c r="L3" s="85">
        <f>SUM(K3)+3</f>
        <v>59</v>
      </c>
      <c r="M3" s="135">
        <f>SUM(L3)+3</f>
        <v>62</v>
      </c>
      <c r="N3" s="109">
        <f>SUM(M3)+3</f>
        <v>65</v>
      </c>
    </row>
    <row r="4" spans="1:14" s="1" customFormat="1" ht="14.1" customHeight="1">
      <c r="A4" s="79"/>
      <c r="B4" s="62" t="s">
        <v>108</v>
      </c>
      <c r="C4" s="63"/>
      <c r="D4" s="64" t="s">
        <v>83</v>
      </c>
      <c r="E4" s="65"/>
      <c r="F4" s="65"/>
      <c r="G4" s="66"/>
      <c r="H4" s="56"/>
      <c r="I4" s="36"/>
      <c r="J4" s="35"/>
      <c r="K4" s="36"/>
      <c r="L4" s="36"/>
      <c r="M4" s="62"/>
      <c r="N4" s="37"/>
    </row>
    <row r="5" spans="1:14" s="1" customFormat="1" ht="14.1" customHeight="1">
      <c r="A5" s="92">
        <v>2</v>
      </c>
      <c r="B5" s="40" t="s">
        <v>165</v>
      </c>
      <c r="C5" s="41"/>
      <c r="D5" s="100"/>
      <c r="E5" s="101"/>
      <c r="F5" s="101"/>
      <c r="G5" s="102"/>
      <c r="H5" s="24">
        <f>SUM(I5)-1.2</f>
        <v>16.600000000000001</v>
      </c>
      <c r="I5" s="24">
        <f>SUM(J5)-1.2</f>
        <v>17.8</v>
      </c>
      <c r="J5" s="117">
        <v>19</v>
      </c>
      <c r="K5" s="50">
        <f>SUM(J5)+1.2</f>
        <v>20.2</v>
      </c>
      <c r="L5" s="50">
        <f>SUM(K5)+1.2</f>
        <v>21.4</v>
      </c>
      <c r="M5" s="93">
        <f>SUM(L5)+1.2</f>
        <v>22.599999999999998</v>
      </c>
      <c r="N5" s="113">
        <f>SUM(M5)+1.2</f>
        <v>23.799999999999997</v>
      </c>
    </row>
    <row r="6" spans="1:14" s="1" customFormat="1" ht="14.1" customHeight="1">
      <c r="A6" s="79"/>
      <c r="B6" s="62" t="s">
        <v>164</v>
      </c>
      <c r="C6" s="63"/>
      <c r="D6" s="64" t="s">
        <v>569</v>
      </c>
      <c r="E6" s="65"/>
      <c r="F6" s="65"/>
      <c r="G6" s="66"/>
      <c r="H6" s="36"/>
      <c r="I6" s="36"/>
      <c r="J6" s="35"/>
      <c r="K6" s="36"/>
      <c r="L6" s="36"/>
      <c r="M6" s="62"/>
      <c r="N6" s="37"/>
    </row>
    <row r="7" spans="1:14" s="1" customFormat="1" ht="14.1" customHeight="1">
      <c r="A7" s="92">
        <v>3</v>
      </c>
      <c r="B7" s="40" t="s">
        <v>148</v>
      </c>
      <c r="C7" s="41"/>
      <c r="D7" s="100"/>
      <c r="E7" s="101"/>
      <c r="F7" s="101"/>
      <c r="G7" s="102"/>
      <c r="H7" s="24">
        <f>SUM(I7)-1.8</f>
        <v>30.400000000000002</v>
      </c>
      <c r="I7" s="24">
        <f>SUM(J7)-1.8</f>
        <v>32.200000000000003</v>
      </c>
      <c r="J7" s="117">
        <v>34</v>
      </c>
      <c r="K7" s="50">
        <f>SUM(J7)+1.8</f>
        <v>35.799999999999997</v>
      </c>
      <c r="L7" s="50">
        <f>SUM(K7)+1.8</f>
        <v>37.599999999999994</v>
      </c>
      <c r="M7" s="93">
        <f>SUM(L7)+1.8</f>
        <v>39.399999999999991</v>
      </c>
      <c r="N7" s="113">
        <f>SUM(M7)+1.8</f>
        <v>41.199999999999989</v>
      </c>
    </row>
    <row r="8" spans="1:14" s="1" customFormat="1" ht="14.1" customHeight="1">
      <c r="A8" s="79"/>
      <c r="B8" s="62" t="s">
        <v>147</v>
      </c>
      <c r="C8" s="63"/>
      <c r="D8" s="64"/>
      <c r="E8" s="65"/>
      <c r="F8" s="65"/>
      <c r="G8" s="66"/>
      <c r="H8" s="36"/>
      <c r="I8" s="36"/>
      <c r="J8" s="35"/>
      <c r="K8" s="36"/>
      <c r="L8" s="36"/>
      <c r="M8" s="62"/>
      <c r="N8" s="37"/>
    </row>
    <row r="9" spans="1:14" s="1" customFormat="1" ht="14.1" customHeight="1">
      <c r="A9" s="92">
        <v>4</v>
      </c>
      <c r="B9" s="51" t="s">
        <v>163</v>
      </c>
      <c r="C9" s="52"/>
      <c r="D9" s="118"/>
      <c r="E9" s="119"/>
      <c r="F9" s="119"/>
      <c r="G9" s="120"/>
      <c r="H9" s="24">
        <f>SUM(I9)-1.8</f>
        <v>34.400000000000006</v>
      </c>
      <c r="I9" s="24">
        <f>SUM(J9)-1.8</f>
        <v>36.200000000000003</v>
      </c>
      <c r="J9" s="117">
        <v>38</v>
      </c>
      <c r="K9" s="50">
        <f>SUM(J9)+1.8</f>
        <v>39.799999999999997</v>
      </c>
      <c r="L9" s="50">
        <f>SUM(K9)+1.8</f>
        <v>41.599999999999994</v>
      </c>
      <c r="M9" s="93">
        <f>SUM(L9)+1.8</f>
        <v>43.399999999999991</v>
      </c>
      <c r="N9" s="113">
        <f>SUM(M9)+1.8</f>
        <v>45.199999999999989</v>
      </c>
    </row>
    <row r="10" spans="1:14" s="1" customFormat="1" ht="14.1" customHeight="1">
      <c r="A10" s="79"/>
      <c r="B10" s="62" t="s">
        <v>162</v>
      </c>
      <c r="C10" s="63"/>
      <c r="D10" s="114"/>
      <c r="E10" s="115"/>
      <c r="F10" s="115"/>
      <c r="G10" s="116"/>
      <c r="H10" s="36"/>
      <c r="I10" s="36"/>
      <c r="J10" s="35"/>
      <c r="K10" s="36"/>
      <c r="L10" s="36"/>
      <c r="M10" s="62"/>
      <c r="N10" s="37"/>
    </row>
    <row r="11" spans="1:14" s="1" customFormat="1" ht="14.1" customHeight="1">
      <c r="A11" s="92">
        <v>5</v>
      </c>
      <c r="B11" s="51" t="s">
        <v>157</v>
      </c>
      <c r="C11" s="52"/>
      <c r="D11" s="100"/>
      <c r="E11" s="101"/>
      <c r="F11" s="101"/>
      <c r="G11" s="102"/>
      <c r="H11" s="24">
        <f>SUM(I11)-4.5</f>
        <v>63</v>
      </c>
      <c r="I11" s="24">
        <f>SUM(J11)-4.5</f>
        <v>67.5</v>
      </c>
      <c r="J11" s="117">
        <v>72</v>
      </c>
      <c r="K11" s="50">
        <f>SUM(J11)+4.5</f>
        <v>76.5</v>
      </c>
      <c r="L11" s="50">
        <f>SUM(K11)+4.5</f>
        <v>81</v>
      </c>
      <c r="M11" s="93">
        <f>SUM(L11)+4.5</f>
        <v>85.5</v>
      </c>
      <c r="N11" s="113">
        <f>SUM(M11)+4.5</f>
        <v>90</v>
      </c>
    </row>
    <row r="12" spans="1:14" s="1" customFormat="1" ht="14.1" customHeight="1">
      <c r="A12" s="79"/>
      <c r="B12" s="62" t="s">
        <v>158</v>
      </c>
      <c r="C12" s="63"/>
      <c r="D12" s="64"/>
      <c r="E12" s="65"/>
      <c r="F12" s="65"/>
      <c r="G12" s="66"/>
      <c r="H12" s="36"/>
      <c r="I12" s="36"/>
      <c r="J12" s="35"/>
      <c r="K12" s="36"/>
      <c r="L12" s="36"/>
      <c r="M12" s="62"/>
      <c r="N12" s="37"/>
    </row>
    <row r="13" spans="1:14" s="1" customFormat="1" ht="14.1" customHeight="1">
      <c r="A13" s="92">
        <v>6</v>
      </c>
      <c r="B13" s="51" t="s">
        <v>13</v>
      </c>
      <c r="C13" s="52"/>
      <c r="D13" s="59"/>
      <c r="E13" s="60"/>
      <c r="F13" s="60"/>
      <c r="G13" s="61"/>
      <c r="H13" s="24">
        <f>SUM(I13)-5</f>
        <v>67</v>
      </c>
      <c r="I13" s="24">
        <f>SUM(J13)-5</f>
        <v>72</v>
      </c>
      <c r="J13" s="33">
        <v>77</v>
      </c>
      <c r="K13" s="24">
        <f>SUM(J13)+5</f>
        <v>82</v>
      </c>
      <c r="L13" s="24">
        <f>SUM(K13)+5</f>
        <v>87</v>
      </c>
      <c r="M13" s="134">
        <f>SUM(L13)+5</f>
        <v>92</v>
      </c>
      <c r="N13" s="26">
        <f>SUM(M13)+5</f>
        <v>97</v>
      </c>
    </row>
    <row r="14" spans="1:14" s="1" customFormat="1" ht="14.1" customHeight="1">
      <c r="A14" s="79"/>
      <c r="B14" s="62" t="s">
        <v>55</v>
      </c>
      <c r="C14" s="63"/>
      <c r="D14" s="64" t="s">
        <v>570</v>
      </c>
      <c r="E14" s="65"/>
      <c r="F14" s="65"/>
      <c r="G14" s="66"/>
      <c r="H14" s="36"/>
      <c r="I14" s="36"/>
      <c r="J14" s="35"/>
      <c r="K14" s="36"/>
      <c r="L14" s="36"/>
      <c r="M14" s="62"/>
      <c r="N14" s="37"/>
    </row>
    <row r="15" spans="1:14" s="1" customFormat="1" ht="14.1" customHeight="1">
      <c r="A15" s="92">
        <v>7</v>
      </c>
      <c r="B15" s="51" t="s">
        <v>146</v>
      </c>
      <c r="C15" s="52"/>
      <c r="D15" s="59"/>
      <c r="E15" s="60"/>
      <c r="F15" s="60"/>
      <c r="G15" s="61"/>
      <c r="H15" s="58">
        <f>SUM(I15)-0.7</f>
        <v>12.600000000000001</v>
      </c>
      <c r="I15" s="24">
        <f>SUM(J15)-0.7</f>
        <v>13.3</v>
      </c>
      <c r="J15" s="33">
        <v>14</v>
      </c>
      <c r="K15" s="24">
        <f>SUM(J15)+1.2</f>
        <v>15.2</v>
      </c>
      <c r="L15" s="24">
        <f>SUM(K15)+0.7</f>
        <v>15.899999999999999</v>
      </c>
      <c r="M15" s="51">
        <f>SUM(L15)+0.7</f>
        <v>16.599999999999998</v>
      </c>
      <c r="N15" s="111">
        <f>SUM(M15)+0.7</f>
        <v>17.299999999999997</v>
      </c>
    </row>
    <row r="16" spans="1:14" s="1" customFormat="1" ht="14.1" customHeight="1">
      <c r="A16" s="79"/>
      <c r="B16" s="62" t="s">
        <v>145</v>
      </c>
      <c r="C16" s="63"/>
      <c r="D16" s="89" t="s">
        <v>161</v>
      </c>
      <c r="E16" s="90"/>
      <c r="F16" s="90"/>
      <c r="G16" s="91"/>
      <c r="H16" s="56"/>
      <c r="I16" s="36"/>
      <c r="J16" s="35"/>
      <c r="K16" s="36"/>
      <c r="L16" s="36"/>
      <c r="M16" s="45"/>
      <c r="N16" s="112"/>
    </row>
    <row r="17" spans="1:14" s="1" customFormat="1" ht="14.1" customHeight="1">
      <c r="A17" s="92">
        <v>8</v>
      </c>
      <c r="B17" s="51" t="s">
        <v>166</v>
      </c>
      <c r="C17" s="52"/>
      <c r="D17" s="59"/>
      <c r="E17" s="60"/>
      <c r="F17" s="60"/>
      <c r="G17" s="61"/>
      <c r="H17" s="58"/>
      <c r="I17" s="24"/>
      <c r="J17" s="33"/>
      <c r="K17" s="24"/>
      <c r="L17" s="24"/>
      <c r="M17" s="51"/>
      <c r="N17" s="111"/>
    </row>
    <row r="18" spans="1:14" s="1" customFormat="1" ht="14.1" customHeight="1">
      <c r="A18" s="79"/>
      <c r="B18" s="62" t="s">
        <v>167</v>
      </c>
      <c r="C18" s="63"/>
      <c r="D18" s="89" t="s">
        <v>168</v>
      </c>
      <c r="E18" s="90"/>
      <c r="F18" s="90"/>
      <c r="G18" s="91"/>
      <c r="H18" s="56"/>
      <c r="I18" s="36"/>
      <c r="J18" s="35"/>
      <c r="K18" s="36"/>
      <c r="L18" s="36"/>
      <c r="M18" s="45"/>
      <c r="N18" s="112"/>
    </row>
    <row r="19" spans="1:14" s="1" customFormat="1" ht="14.1" customHeight="1">
      <c r="A19" s="92">
        <v>9</v>
      </c>
      <c r="B19" s="51" t="s">
        <v>178</v>
      </c>
      <c r="C19" s="52"/>
      <c r="D19" s="59"/>
      <c r="E19" s="60"/>
      <c r="F19" s="60"/>
      <c r="G19" s="61"/>
      <c r="H19" s="24"/>
      <c r="I19" s="24"/>
      <c r="J19" s="33"/>
      <c r="K19" s="24"/>
      <c r="L19" s="24"/>
      <c r="M19" s="134"/>
      <c r="N19" s="26"/>
    </row>
    <row r="20" spans="1:14" s="1" customFormat="1" ht="14.1" customHeight="1">
      <c r="A20" s="79"/>
      <c r="B20" s="62" t="s">
        <v>177</v>
      </c>
      <c r="C20" s="63"/>
      <c r="D20" s="89"/>
      <c r="E20" s="90"/>
      <c r="F20" s="90"/>
      <c r="G20" s="91"/>
      <c r="H20" s="36"/>
      <c r="I20" s="36"/>
      <c r="J20" s="35"/>
      <c r="K20" s="36"/>
      <c r="L20" s="36"/>
      <c r="M20" s="62"/>
      <c r="N20" s="37"/>
    </row>
    <row r="21" spans="1:14" s="1" customFormat="1" ht="14.1" customHeight="1">
      <c r="A21" s="92">
        <v>10</v>
      </c>
      <c r="B21" s="51" t="s">
        <v>9</v>
      </c>
      <c r="C21" s="52"/>
      <c r="D21" s="59" t="s">
        <v>84</v>
      </c>
      <c r="E21" s="60"/>
      <c r="F21" s="60"/>
      <c r="G21" s="61"/>
      <c r="H21" s="24">
        <f>SUM(I21)-2</f>
        <v>23</v>
      </c>
      <c r="I21" s="24">
        <f>SUM(J21)-2</f>
        <v>25</v>
      </c>
      <c r="J21" s="33">
        <v>27</v>
      </c>
      <c r="K21" s="24">
        <f>SUM(J21)+1.5</f>
        <v>28.5</v>
      </c>
      <c r="L21" s="24">
        <f>SUM(K21)+1.5</f>
        <v>30</v>
      </c>
      <c r="M21" s="134">
        <f>SUM(L21)+1.5</f>
        <v>31.5</v>
      </c>
      <c r="N21" s="26">
        <f>SUM(M21)+1.5</f>
        <v>33</v>
      </c>
    </row>
    <row r="22" spans="1:14" s="1" customFormat="1" ht="14.1" customHeight="1">
      <c r="A22" s="79"/>
      <c r="B22" s="62" t="s">
        <v>56</v>
      </c>
      <c r="C22" s="63"/>
      <c r="D22" s="64" t="s">
        <v>120</v>
      </c>
      <c r="E22" s="65"/>
      <c r="F22" s="65"/>
      <c r="G22" s="66"/>
      <c r="H22" s="36"/>
      <c r="I22" s="36"/>
      <c r="J22" s="35"/>
      <c r="K22" s="36"/>
      <c r="L22" s="36"/>
      <c r="M22" s="62"/>
      <c r="N22" s="37"/>
    </row>
    <row r="23" spans="1:14" s="1" customFormat="1" ht="14.1" customHeight="1">
      <c r="A23" s="92">
        <v>11</v>
      </c>
      <c r="B23" s="51" t="s">
        <v>16</v>
      </c>
      <c r="C23" s="52"/>
      <c r="D23" s="59" t="s">
        <v>17</v>
      </c>
      <c r="E23" s="60"/>
      <c r="F23" s="60"/>
      <c r="G23" s="61"/>
      <c r="H23" s="24">
        <f>SUM(I23)-2.7</f>
        <v>44.599999999999994</v>
      </c>
      <c r="I23" s="24">
        <f>SUM(J23)-2.7</f>
        <v>47.3</v>
      </c>
      <c r="J23" s="33">
        <v>50</v>
      </c>
      <c r="K23" s="24">
        <f>SUM(J23)+2.7</f>
        <v>52.7</v>
      </c>
      <c r="L23" s="24">
        <f>SUM(K23)+2.7</f>
        <v>55.400000000000006</v>
      </c>
      <c r="M23" s="134">
        <f>SUM(L23)+2.7</f>
        <v>58.100000000000009</v>
      </c>
      <c r="N23" s="26">
        <f>SUM(M23)+2.7</f>
        <v>60.800000000000011</v>
      </c>
    </row>
    <row r="24" spans="1:14" s="1" customFormat="1" ht="14.1" customHeight="1">
      <c r="A24" s="79"/>
      <c r="B24" s="62" t="s">
        <v>571</v>
      </c>
      <c r="C24" s="63"/>
      <c r="D24" s="47" t="s">
        <v>119</v>
      </c>
      <c r="E24" s="48"/>
      <c r="F24" s="48"/>
      <c r="G24" s="49"/>
      <c r="H24" s="36"/>
      <c r="I24" s="36"/>
      <c r="J24" s="35"/>
      <c r="K24" s="36"/>
      <c r="L24" s="36"/>
      <c r="M24" s="62"/>
      <c r="N24" s="37"/>
    </row>
    <row r="25" spans="1:14" s="1" customFormat="1" ht="14.1" customHeight="1">
      <c r="A25" s="92">
        <v>12</v>
      </c>
      <c r="B25" s="51" t="s">
        <v>16</v>
      </c>
      <c r="C25" s="52"/>
      <c r="D25" s="59" t="s">
        <v>17</v>
      </c>
      <c r="E25" s="60"/>
      <c r="F25" s="60"/>
      <c r="G25" s="61"/>
      <c r="H25" s="24">
        <f>SUM(I25)-2.7</f>
        <v>50.599999999999994</v>
      </c>
      <c r="I25" s="24">
        <f>SUM(J25)-2.7</f>
        <v>53.3</v>
      </c>
      <c r="J25" s="33">
        <v>56</v>
      </c>
      <c r="K25" s="24">
        <f>SUM(J25)+2.7</f>
        <v>58.7</v>
      </c>
      <c r="L25" s="24">
        <f>SUM(K25)+2.7</f>
        <v>61.400000000000006</v>
      </c>
      <c r="M25" s="134">
        <f>SUM(L25)+2.7</f>
        <v>64.100000000000009</v>
      </c>
      <c r="N25" s="26">
        <f>SUM(M25)+2.7</f>
        <v>66.800000000000011</v>
      </c>
    </row>
    <row r="26" spans="1:14" s="1" customFormat="1" ht="14.1" customHeight="1">
      <c r="A26" s="79"/>
      <c r="B26" s="62" t="s">
        <v>572</v>
      </c>
      <c r="C26" s="63"/>
      <c r="D26" s="47" t="s">
        <v>573</v>
      </c>
      <c r="E26" s="48"/>
      <c r="F26" s="48"/>
      <c r="G26" s="49"/>
      <c r="H26" s="36"/>
      <c r="I26" s="36"/>
      <c r="J26" s="35"/>
      <c r="K26" s="36"/>
      <c r="L26" s="36"/>
      <c r="M26" s="62"/>
      <c r="N26" s="37"/>
    </row>
    <row r="27" spans="1:14" s="1" customFormat="1" ht="14.1" customHeight="1">
      <c r="A27" s="92">
        <v>13</v>
      </c>
      <c r="B27" s="51" t="s">
        <v>18</v>
      </c>
      <c r="C27" s="52"/>
      <c r="D27" s="59" t="s">
        <v>15</v>
      </c>
      <c r="E27" s="60"/>
      <c r="F27" s="60"/>
      <c r="G27" s="61"/>
      <c r="H27" s="58">
        <f>SUM(I27)-1.1</f>
        <v>21.599999999999998</v>
      </c>
      <c r="I27" s="24">
        <f>SUM(J27)-1.1</f>
        <v>22.7</v>
      </c>
      <c r="J27" s="33">
        <v>23.8</v>
      </c>
      <c r="K27" s="24">
        <f>SUM(J27)+1.6</f>
        <v>25.400000000000002</v>
      </c>
      <c r="L27" s="24">
        <f>SUM(K27)+1.1</f>
        <v>26.500000000000004</v>
      </c>
      <c r="M27" s="51">
        <f>SUM(L27)+1.1</f>
        <v>27.600000000000005</v>
      </c>
      <c r="N27" s="111">
        <f>SUM(M27)+1.1</f>
        <v>28.700000000000006</v>
      </c>
    </row>
    <row r="28" spans="1:14" s="1" customFormat="1" ht="14.1" customHeight="1">
      <c r="A28" s="79"/>
      <c r="B28" s="62" t="s">
        <v>63</v>
      </c>
      <c r="C28" s="63"/>
      <c r="D28" s="64" t="s">
        <v>118</v>
      </c>
      <c r="E28" s="65"/>
      <c r="F28" s="65"/>
      <c r="G28" s="66"/>
      <c r="H28" s="56"/>
      <c r="I28" s="36"/>
      <c r="J28" s="35"/>
      <c r="K28" s="36"/>
      <c r="L28" s="36"/>
      <c r="M28" s="45"/>
      <c r="N28" s="112"/>
    </row>
    <row r="29" spans="1:14" s="1" customFormat="1" ht="14.1" customHeight="1">
      <c r="A29" s="92">
        <v>14</v>
      </c>
      <c r="B29" s="51" t="s">
        <v>19</v>
      </c>
      <c r="C29" s="52"/>
      <c r="D29" s="59" t="s">
        <v>15</v>
      </c>
      <c r="E29" s="60"/>
      <c r="F29" s="60"/>
      <c r="G29" s="61"/>
      <c r="H29" s="58">
        <f>SUM(I29)-1.3</f>
        <v>27.099999999999998</v>
      </c>
      <c r="I29" s="24">
        <f>SUM(J29)-1.3</f>
        <v>28.4</v>
      </c>
      <c r="J29" s="33">
        <v>29.7</v>
      </c>
      <c r="K29" s="24">
        <f>SUM(J29)+1.8</f>
        <v>31.5</v>
      </c>
      <c r="L29" s="24">
        <f>SUM(K29)+1.3</f>
        <v>32.799999999999997</v>
      </c>
      <c r="M29" s="51">
        <f>SUM(L29)+1.3</f>
        <v>34.099999999999994</v>
      </c>
      <c r="N29" s="111">
        <f>SUM(M29)+1.3</f>
        <v>35.399999999999991</v>
      </c>
    </row>
    <row r="30" spans="1:14" s="1" customFormat="1" ht="14.1" customHeight="1">
      <c r="A30" s="79"/>
      <c r="B30" s="62" t="s">
        <v>62</v>
      </c>
      <c r="C30" s="63"/>
      <c r="D30" s="64" t="s">
        <v>118</v>
      </c>
      <c r="E30" s="65"/>
      <c r="F30" s="65"/>
      <c r="G30" s="66"/>
      <c r="H30" s="56"/>
      <c r="I30" s="36"/>
      <c r="J30" s="35"/>
      <c r="K30" s="36"/>
      <c r="L30" s="36"/>
      <c r="M30" s="45"/>
      <c r="N30" s="112"/>
    </row>
    <row r="31" spans="1:14" s="1" customFormat="1" ht="14.1" customHeight="1">
      <c r="A31" s="92">
        <v>15</v>
      </c>
      <c r="B31" s="51" t="s">
        <v>20</v>
      </c>
      <c r="C31" s="52"/>
      <c r="D31" s="59" t="s">
        <v>21</v>
      </c>
      <c r="E31" s="60"/>
      <c r="F31" s="60"/>
      <c r="G31" s="61"/>
      <c r="H31" s="24"/>
      <c r="I31" s="24"/>
      <c r="J31" s="33"/>
      <c r="K31" s="24"/>
      <c r="L31" s="24"/>
      <c r="M31" s="134"/>
      <c r="N31" s="26"/>
    </row>
    <row r="32" spans="1:14" s="1" customFormat="1" ht="14.1" customHeight="1">
      <c r="A32" s="79"/>
      <c r="B32" s="62" t="s">
        <v>61</v>
      </c>
      <c r="C32" s="63"/>
      <c r="D32" s="64" t="s">
        <v>117</v>
      </c>
      <c r="E32" s="65"/>
      <c r="F32" s="65"/>
      <c r="G32" s="66"/>
      <c r="H32" s="36"/>
      <c r="I32" s="36"/>
      <c r="J32" s="35"/>
      <c r="K32" s="36"/>
      <c r="L32" s="36"/>
      <c r="M32" s="62"/>
      <c r="N32" s="37"/>
    </row>
    <row r="33" spans="1:14" s="1" customFormat="1" ht="14.1" customHeight="1">
      <c r="A33" s="92">
        <v>16</v>
      </c>
      <c r="B33" s="51" t="s">
        <v>22</v>
      </c>
      <c r="C33" s="52"/>
      <c r="D33" s="59" t="s">
        <v>23</v>
      </c>
      <c r="E33" s="60"/>
      <c r="F33" s="60"/>
      <c r="G33" s="61"/>
      <c r="H33" s="58"/>
      <c r="I33" s="24"/>
      <c r="J33" s="33"/>
      <c r="K33" s="24"/>
      <c r="L33" s="24"/>
      <c r="M33" s="51"/>
      <c r="N33" s="111"/>
    </row>
    <row r="34" spans="1:14" s="1" customFormat="1" ht="14.1" customHeight="1">
      <c r="A34" s="79"/>
      <c r="B34" s="62" t="s">
        <v>60</v>
      </c>
      <c r="C34" s="63"/>
      <c r="D34" s="64" t="s">
        <v>116</v>
      </c>
      <c r="E34" s="65"/>
      <c r="F34" s="65"/>
      <c r="G34" s="66"/>
      <c r="H34" s="56"/>
      <c r="I34" s="36"/>
      <c r="J34" s="35"/>
      <c r="K34" s="36"/>
      <c r="L34" s="36"/>
      <c r="M34" s="45"/>
      <c r="N34" s="112"/>
    </row>
    <row r="35" spans="1:14" s="1" customFormat="1" ht="14.1" customHeight="1">
      <c r="A35" s="92">
        <v>17</v>
      </c>
      <c r="B35" s="51" t="s">
        <v>115</v>
      </c>
      <c r="C35" s="52"/>
      <c r="D35" s="59" t="s">
        <v>113</v>
      </c>
      <c r="E35" s="60"/>
      <c r="F35" s="60"/>
      <c r="G35" s="61"/>
      <c r="H35" s="24"/>
      <c r="I35" s="24"/>
      <c r="J35" s="33"/>
      <c r="K35" s="24"/>
      <c r="L35" s="24"/>
      <c r="M35" s="134"/>
      <c r="N35" s="26"/>
    </row>
    <row r="36" spans="1:14" s="1" customFormat="1" ht="14.1" customHeight="1">
      <c r="A36" s="79"/>
      <c r="B36" s="62" t="s">
        <v>114</v>
      </c>
      <c r="C36" s="63"/>
      <c r="D36" s="64" t="s">
        <v>113</v>
      </c>
      <c r="E36" s="65"/>
      <c r="F36" s="65"/>
      <c r="G36" s="66"/>
      <c r="H36" s="36"/>
      <c r="I36" s="36"/>
      <c r="J36" s="35"/>
      <c r="K36" s="36"/>
      <c r="L36" s="36"/>
      <c r="M36" s="62"/>
      <c r="N36" s="37"/>
    </row>
    <row r="37" spans="1:14" s="1" customFormat="1" ht="14.1" customHeight="1">
      <c r="A37" s="92">
        <v>18</v>
      </c>
      <c r="B37" s="51" t="s">
        <v>112</v>
      </c>
      <c r="C37" s="52"/>
      <c r="D37" s="59" t="s">
        <v>111</v>
      </c>
      <c r="E37" s="60"/>
      <c r="F37" s="60"/>
      <c r="G37" s="61"/>
      <c r="H37" s="24"/>
      <c r="I37" s="24"/>
      <c r="J37" s="33"/>
      <c r="K37" s="24"/>
      <c r="L37" s="24"/>
      <c r="M37" s="134"/>
      <c r="N37" s="26"/>
    </row>
    <row r="38" spans="1:14" s="1" customFormat="1" ht="14.1" customHeight="1">
      <c r="A38" s="79"/>
      <c r="B38" s="62" t="s">
        <v>110</v>
      </c>
      <c r="C38" s="63"/>
      <c r="D38" s="64" t="s">
        <v>160</v>
      </c>
      <c r="E38" s="65"/>
      <c r="F38" s="65"/>
      <c r="G38" s="66"/>
      <c r="H38" s="36"/>
      <c r="I38" s="36"/>
      <c r="J38" s="35"/>
      <c r="K38" s="36"/>
      <c r="L38" s="36"/>
      <c r="M38" s="62"/>
      <c r="N38" s="37"/>
    </row>
    <row r="39" spans="1:14" s="1" customFormat="1" ht="14.1" customHeight="1">
      <c r="A39" s="92">
        <v>19</v>
      </c>
      <c r="B39" s="51" t="s">
        <v>574</v>
      </c>
      <c r="C39" s="52"/>
      <c r="D39" s="59"/>
      <c r="E39" s="60"/>
      <c r="F39" s="60"/>
      <c r="G39" s="61"/>
      <c r="H39" s="58">
        <f>SUM(I39)-2.2</f>
        <v>21.6</v>
      </c>
      <c r="I39" s="24">
        <f>SUM(J39)-2.2</f>
        <v>23.8</v>
      </c>
      <c r="J39" s="33">
        <v>26</v>
      </c>
      <c r="K39" s="24">
        <f>SUM(J39)+1.1</f>
        <v>27.1</v>
      </c>
      <c r="L39" s="24">
        <f>SUM(K39)+1.6</f>
        <v>28.700000000000003</v>
      </c>
      <c r="M39" s="51">
        <f>SUM(L39)+1.6</f>
        <v>30.300000000000004</v>
      </c>
      <c r="N39" s="111">
        <f>SUM(M39)+1.6</f>
        <v>31.900000000000006</v>
      </c>
    </row>
    <row r="40" spans="1:14" s="1" customFormat="1" ht="14.1" customHeight="1">
      <c r="A40" s="79"/>
      <c r="B40" s="62" t="s">
        <v>575</v>
      </c>
      <c r="C40" s="63"/>
      <c r="D40" s="64" t="s">
        <v>576</v>
      </c>
      <c r="E40" s="65"/>
      <c r="F40" s="65"/>
      <c r="G40" s="66"/>
      <c r="H40" s="56"/>
      <c r="I40" s="36"/>
      <c r="J40" s="35"/>
      <c r="K40" s="36"/>
      <c r="L40" s="36"/>
      <c r="M40" s="45"/>
      <c r="N40" s="112"/>
    </row>
    <row r="41" spans="1:14" s="1" customFormat="1" ht="14.1" customHeight="1">
      <c r="A41" s="92">
        <v>20</v>
      </c>
      <c r="B41" s="51"/>
      <c r="C41" s="52"/>
      <c r="D41" s="57"/>
      <c r="E41" s="57"/>
      <c r="F41" s="57"/>
      <c r="G41" s="57"/>
      <c r="H41" s="24"/>
      <c r="I41" s="24"/>
      <c r="J41" s="33"/>
      <c r="K41" s="24"/>
      <c r="L41" s="24"/>
      <c r="M41" s="134"/>
      <c r="N41" s="26"/>
    </row>
    <row r="42" spans="1:14" s="1" customFormat="1" ht="14.1" customHeight="1">
      <c r="A42" s="79"/>
      <c r="B42" s="56"/>
      <c r="C42" s="56"/>
      <c r="D42" s="47"/>
      <c r="E42" s="48"/>
      <c r="F42" s="48"/>
      <c r="G42" s="49"/>
      <c r="H42" s="36"/>
      <c r="I42" s="36"/>
      <c r="J42" s="35"/>
      <c r="K42" s="36"/>
      <c r="L42" s="36"/>
      <c r="M42" s="62"/>
      <c r="N42" s="37"/>
    </row>
    <row r="43" spans="1:14" s="1" customFormat="1" ht="14.1" customHeight="1">
      <c r="A43" s="92">
        <v>21</v>
      </c>
      <c r="B43" s="51"/>
      <c r="C43" s="52"/>
      <c r="D43" s="57"/>
      <c r="E43" s="57"/>
      <c r="F43" s="57"/>
      <c r="G43" s="57"/>
      <c r="H43" s="24"/>
      <c r="I43" s="24"/>
      <c r="J43" s="33"/>
      <c r="K43" s="24"/>
      <c r="L43" s="24"/>
      <c r="M43" s="134"/>
      <c r="N43" s="26"/>
    </row>
    <row r="44" spans="1:14" s="1" customFormat="1" ht="13.5" customHeight="1" thickBot="1">
      <c r="A44" s="99"/>
      <c r="B44" s="110"/>
      <c r="C44" s="110"/>
      <c r="D44" s="30"/>
      <c r="E44" s="31"/>
      <c r="F44" s="31"/>
      <c r="G44" s="32"/>
      <c r="H44" s="25"/>
      <c r="I44" s="25"/>
      <c r="J44" s="34"/>
      <c r="K44" s="25"/>
      <c r="L44" s="25"/>
      <c r="M44" s="104"/>
      <c r="N44" s="27"/>
    </row>
    <row r="45" spans="1:14" s="1" customFormat="1" ht="13.5" customHeight="1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4" s="1" customFormat="1" ht="13.5" customHeight="1">
      <c r="A46"/>
      <c r="B46"/>
      <c r="C46"/>
      <c r="D46"/>
      <c r="E46"/>
      <c r="F46"/>
      <c r="G46"/>
      <c r="H46"/>
      <c r="I46"/>
      <c r="J46"/>
      <c r="K46"/>
      <c r="L46"/>
      <c r="M46"/>
    </row>
    <row r="47" spans="1:14" s="1" customFormat="1" ht="13.5" customHeight="1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4" s="1" customFormat="1" ht="13.5" customHeight="1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1:13" s="1" customFormat="1" ht="13.5" customHeight="1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3" s="1" customFormat="1" ht="13.5" customHeight="1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3" s="1" customFormat="1" ht="13.5" customHeight="1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 s="1" customFormat="1" ht="13.5" customHeight="1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 ht="13.5" customHeight="1"/>
    <row r="54" spans="1:13" ht="13.5" customHeight="1"/>
    <row r="55" spans="1:13" ht="13.5" customHeight="1"/>
    <row r="56" spans="1:13" ht="13.5" customHeight="1"/>
    <row r="57" spans="1:13" ht="13.5" customHeight="1"/>
    <row r="58" spans="1:13" ht="13.5" customHeight="1"/>
    <row r="59" spans="1:13" ht="13.5" customHeight="1"/>
    <row r="60" spans="1:13" ht="13.5" customHeight="1"/>
    <row r="61" spans="1:13" ht="13.5" customHeight="1"/>
  </sheetData>
  <mergeCells count="255">
    <mergeCell ref="L3:L4"/>
    <mergeCell ref="M3:M4"/>
    <mergeCell ref="B4:C4"/>
    <mergeCell ref="D4:G4"/>
    <mergeCell ref="A1:N1"/>
    <mergeCell ref="N3:N4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  <mergeCell ref="B38:C38"/>
    <mergeCell ref="D38:G38"/>
    <mergeCell ref="K35:K36"/>
    <mergeCell ref="L35:L36"/>
    <mergeCell ref="M35:M36"/>
    <mergeCell ref="B36:C36"/>
    <mergeCell ref="D36:G36"/>
    <mergeCell ref="A37:A38"/>
    <mergeCell ref="B37:C37"/>
    <mergeCell ref="D37:G37"/>
    <mergeCell ref="H37:H38"/>
    <mergeCell ref="I37:I38"/>
    <mergeCell ref="A35:A36"/>
    <mergeCell ref="B35:C35"/>
    <mergeCell ref="D35:G35"/>
    <mergeCell ref="H35:H36"/>
    <mergeCell ref="I35:I36"/>
    <mergeCell ref="J35:J36"/>
    <mergeCell ref="A25:A26"/>
    <mergeCell ref="B25:C25"/>
    <mergeCell ref="D25:G25"/>
    <mergeCell ref="H25:H26"/>
    <mergeCell ref="I25:I26"/>
    <mergeCell ref="A43:A44"/>
    <mergeCell ref="B43:C43"/>
    <mergeCell ref="D43:G43"/>
    <mergeCell ref="H43:H44"/>
    <mergeCell ref="I43:I44"/>
    <mergeCell ref="B42:C42"/>
    <mergeCell ref="D42:G42"/>
    <mergeCell ref="A41:A42"/>
    <mergeCell ref="B41:C41"/>
    <mergeCell ref="D41:G41"/>
    <mergeCell ref="H41:H42"/>
    <mergeCell ref="I41:I42"/>
    <mergeCell ref="B40:C40"/>
    <mergeCell ref="D40:G40"/>
    <mergeCell ref="A39:A40"/>
    <mergeCell ref="B39:C39"/>
    <mergeCell ref="D39:G39"/>
    <mergeCell ref="H39:H40"/>
    <mergeCell ref="I39:I40"/>
    <mergeCell ref="J25:J26"/>
    <mergeCell ref="K25:K26"/>
    <mergeCell ref="L25:L26"/>
    <mergeCell ref="M25:M26"/>
    <mergeCell ref="B26:C26"/>
    <mergeCell ref="D26:G26"/>
    <mergeCell ref="K43:K44"/>
    <mergeCell ref="L43:L44"/>
    <mergeCell ref="M43:M44"/>
    <mergeCell ref="B44:C44"/>
    <mergeCell ref="D44:G44"/>
    <mergeCell ref="J43:J44"/>
    <mergeCell ref="J41:J42"/>
    <mergeCell ref="K41:K42"/>
    <mergeCell ref="L41:L42"/>
    <mergeCell ref="M41:M42"/>
    <mergeCell ref="K39:K40"/>
    <mergeCell ref="L39:L40"/>
    <mergeCell ref="M39:M40"/>
    <mergeCell ref="J39:J40"/>
    <mergeCell ref="J37:J38"/>
    <mergeCell ref="K37:K38"/>
    <mergeCell ref="L37:L38"/>
    <mergeCell ref="M37:M38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41:N42"/>
    <mergeCell ref="N43:N44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0E0B7-F70C-4AEF-BDE6-9A11E31CCC12}">
  <sheetPr>
    <tabColor rgb="FF00B050"/>
    <pageSetUpPr fitToPage="1"/>
  </sheetPr>
  <dimension ref="A1:P52"/>
  <sheetViews>
    <sheetView zoomScale="110" zoomScaleNormal="110" workbookViewId="0">
      <selection activeCell="P35" sqref="P35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67" t="s">
        <v>520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9"/>
    </row>
    <row r="2" spans="1:16" ht="16.5" customHeight="1" thickBot="1">
      <c r="A2" s="2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  <c r="N2" s="7" t="s">
        <v>229</v>
      </c>
    </row>
    <row r="3" spans="1:16" s="1" customFormat="1" ht="14.1" customHeight="1">
      <c r="A3" s="78">
        <v>1</v>
      </c>
      <c r="B3" s="80" t="s">
        <v>149</v>
      </c>
      <c r="C3" s="81"/>
      <c r="D3" s="74" t="s">
        <v>82</v>
      </c>
      <c r="E3" s="82"/>
      <c r="F3" s="82"/>
      <c r="G3" s="83"/>
      <c r="H3" s="58">
        <f>SUM(I3)-3</f>
        <v>45</v>
      </c>
      <c r="I3" s="24">
        <f>SUM(J3)-3</f>
        <v>48</v>
      </c>
      <c r="J3" s="84">
        <v>51</v>
      </c>
      <c r="K3" s="85">
        <f>SUM(J3)+3</f>
        <v>54</v>
      </c>
      <c r="L3" s="85">
        <f>SUM(K3)+3</f>
        <v>57</v>
      </c>
      <c r="M3" s="85">
        <f>SUM(L3)+3</f>
        <v>60</v>
      </c>
      <c r="N3" s="138">
        <f>SUM(M3)+3</f>
        <v>63</v>
      </c>
    </row>
    <row r="4" spans="1:16" s="1" customFormat="1" ht="14.1" customHeight="1">
      <c r="A4" s="79"/>
      <c r="B4" s="62" t="s">
        <v>108</v>
      </c>
      <c r="C4" s="63"/>
      <c r="D4" s="64" t="s">
        <v>83</v>
      </c>
      <c r="E4" s="65"/>
      <c r="F4" s="65"/>
      <c r="G4" s="66"/>
      <c r="H4" s="56"/>
      <c r="I4" s="36"/>
      <c r="J4" s="35"/>
      <c r="K4" s="36"/>
      <c r="L4" s="36"/>
      <c r="M4" s="36"/>
      <c r="N4" s="137"/>
    </row>
    <row r="5" spans="1:16" s="1" customFormat="1" ht="14.1" customHeight="1">
      <c r="A5" s="92">
        <v>2</v>
      </c>
      <c r="B5" s="40" t="s">
        <v>165</v>
      </c>
      <c r="C5" s="41"/>
      <c r="D5" s="100"/>
      <c r="E5" s="101"/>
      <c r="F5" s="101"/>
      <c r="G5" s="102"/>
      <c r="H5" s="58"/>
      <c r="I5" s="24"/>
      <c r="J5" s="117"/>
      <c r="K5" s="50"/>
      <c r="L5" s="50"/>
      <c r="M5" s="50"/>
      <c r="N5" s="136"/>
    </row>
    <row r="6" spans="1:16" s="1" customFormat="1" ht="14.1" customHeight="1">
      <c r="A6" s="79"/>
      <c r="B6" s="62" t="s">
        <v>164</v>
      </c>
      <c r="C6" s="63"/>
      <c r="D6" s="64"/>
      <c r="E6" s="65"/>
      <c r="F6" s="65"/>
      <c r="G6" s="66"/>
      <c r="H6" s="56"/>
      <c r="I6" s="36"/>
      <c r="J6" s="35"/>
      <c r="K6" s="36"/>
      <c r="L6" s="36"/>
      <c r="M6" s="36"/>
      <c r="N6" s="137"/>
    </row>
    <row r="7" spans="1:16" s="1" customFormat="1" ht="14.1" customHeight="1">
      <c r="A7" s="92">
        <v>3</v>
      </c>
      <c r="B7" s="40" t="s">
        <v>148</v>
      </c>
      <c r="C7" s="41"/>
      <c r="D7" s="100"/>
      <c r="E7" s="101"/>
      <c r="F7" s="101"/>
      <c r="G7" s="102"/>
      <c r="H7" s="58"/>
      <c r="I7" s="24"/>
      <c r="J7" s="117"/>
      <c r="K7" s="50"/>
      <c r="L7" s="50"/>
      <c r="M7" s="50"/>
      <c r="N7" s="136"/>
    </row>
    <row r="8" spans="1:16" s="1" customFormat="1" ht="14.1" customHeight="1">
      <c r="A8" s="79"/>
      <c r="B8" s="62" t="s">
        <v>147</v>
      </c>
      <c r="C8" s="63"/>
      <c r="D8" s="64"/>
      <c r="E8" s="65"/>
      <c r="F8" s="65"/>
      <c r="G8" s="66"/>
      <c r="H8" s="56"/>
      <c r="I8" s="36"/>
      <c r="J8" s="35"/>
      <c r="K8" s="36"/>
      <c r="L8" s="36"/>
      <c r="M8" s="36"/>
      <c r="N8" s="137"/>
    </row>
    <row r="9" spans="1:16" s="1" customFormat="1" ht="14.1" customHeight="1">
      <c r="A9" s="92">
        <v>4</v>
      </c>
      <c r="B9" s="51" t="s">
        <v>163</v>
      </c>
      <c r="C9" s="52"/>
      <c r="D9" s="118"/>
      <c r="E9" s="119"/>
      <c r="F9" s="119"/>
      <c r="G9" s="120"/>
      <c r="H9" s="24">
        <f>SUM(I9)-2.2</f>
        <v>37.599999999999994</v>
      </c>
      <c r="I9" s="24">
        <f>SUM(J9)-2.2</f>
        <v>39.799999999999997</v>
      </c>
      <c r="J9" s="117">
        <v>42</v>
      </c>
      <c r="K9" s="50">
        <f>SUM(J9)+2.2</f>
        <v>44.2</v>
      </c>
      <c r="L9" s="50">
        <f>SUM(K9)+2.2</f>
        <v>46.400000000000006</v>
      </c>
      <c r="M9" s="24">
        <f>SUM(L9)+2.2</f>
        <v>48.600000000000009</v>
      </c>
      <c r="N9" s="88">
        <f>SUM(M9)+2.2</f>
        <v>50.800000000000011</v>
      </c>
    </row>
    <row r="10" spans="1:16" s="1" customFormat="1" ht="14.1" customHeight="1">
      <c r="A10" s="79"/>
      <c r="B10" s="62" t="s">
        <v>162</v>
      </c>
      <c r="C10" s="63"/>
      <c r="D10" s="114"/>
      <c r="E10" s="115"/>
      <c r="F10" s="115"/>
      <c r="G10" s="116"/>
      <c r="H10" s="36"/>
      <c r="I10" s="36"/>
      <c r="J10" s="35"/>
      <c r="K10" s="36"/>
      <c r="L10" s="36"/>
      <c r="M10" s="36"/>
      <c r="N10" s="87"/>
    </row>
    <row r="11" spans="1:16" s="1" customFormat="1" ht="14.1" customHeight="1">
      <c r="A11" s="92">
        <v>5</v>
      </c>
      <c r="B11" s="51" t="s">
        <v>157</v>
      </c>
      <c r="C11" s="52"/>
      <c r="D11" s="100"/>
      <c r="E11" s="101"/>
      <c r="F11" s="101"/>
      <c r="G11" s="102"/>
      <c r="H11" s="58">
        <f>SUM(I11)-4.5</f>
        <v>65</v>
      </c>
      <c r="I11" s="24">
        <f>SUM(J11)-4.5</f>
        <v>69.5</v>
      </c>
      <c r="J11" s="117">
        <v>74</v>
      </c>
      <c r="K11" s="50">
        <f>SUM(J11)+4.5</f>
        <v>78.5</v>
      </c>
      <c r="L11" s="50">
        <f>SUM(K11)+4.5</f>
        <v>83</v>
      </c>
      <c r="M11" s="50">
        <f>SUM(L11)+4.5</f>
        <v>87.5</v>
      </c>
      <c r="N11" s="136">
        <f>SUM(M11)+4.5</f>
        <v>92</v>
      </c>
    </row>
    <row r="12" spans="1:16" s="1" customFormat="1" ht="14.1" customHeight="1">
      <c r="A12" s="79"/>
      <c r="B12" s="62" t="s">
        <v>158</v>
      </c>
      <c r="C12" s="63"/>
      <c r="D12" s="64"/>
      <c r="E12" s="65"/>
      <c r="F12" s="65"/>
      <c r="G12" s="66"/>
      <c r="H12" s="56"/>
      <c r="I12" s="36"/>
      <c r="J12" s="35"/>
      <c r="K12" s="36"/>
      <c r="L12" s="36"/>
      <c r="M12" s="36"/>
      <c r="N12" s="137"/>
    </row>
    <row r="13" spans="1:16" s="1" customFormat="1" ht="14.1" customHeight="1">
      <c r="A13" s="92">
        <v>6</v>
      </c>
      <c r="B13" s="51" t="s">
        <v>13</v>
      </c>
      <c r="C13" s="52"/>
      <c r="D13" s="59" t="s">
        <v>182</v>
      </c>
      <c r="E13" s="60"/>
      <c r="F13" s="60"/>
      <c r="G13" s="61"/>
      <c r="H13" s="58">
        <f>SUM(I13)-5</f>
        <v>70</v>
      </c>
      <c r="I13" s="24">
        <f>SUM(J13)-5</f>
        <v>75</v>
      </c>
      <c r="J13" s="33">
        <v>80</v>
      </c>
      <c r="K13" s="24">
        <f>SUM(J13)+5</f>
        <v>85</v>
      </c>
      <c r="L13" s="24">
        <f>SUM(K13)+5</f>
        <v>90</v>
      </c>
      <c r="M13" s="24">
        <f>SUM(L13)+5</f>
        <v>95</v>
      </c>
      <c r="N13" s="139">
        <f>SUM(M13)+5</f>
        <v>100</v>
      </c>
    </row>
    <row r="14" spans="1:16" s="1" customFormat="1" ht="14.1" customHeight="1">
      <c r="A14" s="79"/>
      <c r="B14" s="62" t="s">
        <v>55</v>
      </c>
      <c r="C14" s="63"/>
      <c r="D14" s="64" t="s">
        <v>121</v>
      </c>
      <c r="E14" s="65"/>
      <c r="F14" s="65"/>
      <c r="G14" s="66"/>
      <c r="H14" s="56"/>
      <c r="I14" s="36"/>
      <c r="J14" s="35"/>
      <c r="K14" s="36"/>
      <c r="L14" s="36"/>
      <c r="M14" s="36"/>
      <c r="N14" s="137"/>
      <c r="P14" s="1" t="s">
        <v>419</v>
      </c>
    </row>
    <row r="15" spans="1:16" s="1" customFormat="1" ht="14.1" customHeight="1">
      <c r="A15" s="92">
        <v>7</v>
      </c>
      <c r="B15" s="51" t="s">
        <v>146</v>
      </c>
      <c r="C15" s="52"/>
      <c r="D15" s="59"/>
      <c r="E15" s="60"/>
      <c r="F15" s="60"/>
      <c r="G15" s="61"/>
      <c r="H15" s="58">
        <f>SUM(I15)-0.7</f>
        <v>9.6000000000000014</v>
      </c>
      <c r="I15" s="24">
        <f>SUM(J15)-0.7</f>
        <v>10.3</v>
      </c>
      <c r="J15" s="33">
        <v>11</v>
      </c>
      <c r="K15" s="24">
        <f>SUM(J15)+0.7</f>
        <v>11.7</v>
      </c>
      <c r="L15" s="24">
        <f>SUM(K15)+0.7</f>
        <v>12.399999999999999</v>
      </c>
      <c r="M15" s="58">
        <f>SUM(L15)+0.7</f>
        <v>13.099999999999998</v>
      </c>
      <c r="N15" s="139">
        <f>SUM(M15)+0.7</f>
        <v>13.799999999999997</v>
      </c>
    </row>
    <row r="16" spans="1:16" s="1" customFormat="1" ht="14.1" customHeight="1">
      <c r="A16" s="79"/>
      <c r="B16" s="62" t="s">
        <v>145</v>
      </c>
      <c r="C16" s="63"/>
      <c r="D16" s="89" t="s">
        <v>179</v>
      </c>
      <c r="E16" s="90"/>
      <c r="F16" s="90"/>
      <c r="G16" s="91"/>
      <c r="H16" s="56"/>
      <c r="I16" s="36"/>
      <c r="J16" s="35"/>
      <c r="K16" s="36"/>
      <c r="L16" s="36"/>
      <c r="M16" s="56"/>
      <c r="N16" s="137"/>
    </row>
    <row r="17" spans="1:14" s="1" customFormat="1" ht="14.1" customHeight="1">
      <c r="A17" s="92">
        <v>8</v>
      </c>
      <c r="B17" s="51" t="s">
        <v>166</v>
      </c>
      <c r="C17" s="52"/>
      <c r="D17" s="59"/>
      <c r="E17" s="60"/>
      <c r="F17" s="60"/>
      <c r="G17" s="61"/>
      <c r="H17" s="58">
        <f>SUM(I17)-0.7</f>
        <v>9.6000000000000014</v>
      </c>
      <c r="I17" s="24">
        <f>SUM(J17)-0.7</f>
        <v>10.3</v>
      </c>
      <c r="J17" s="33">
        <v>11</v>
      </c>
      <c r="K17" s="24">
        <f>SUM(J17)+0.7</f>
        <v>11.7</v>
      </c>
      <c r="L17" s="24">
        <f>SUM(K17)+0.7</f>
        <v>12.399999999999999</v>
      </c>
      <c r="M17" s="58">
        <f>SUM(L17)+0.7</f>
        <v>13.099999999999998</v>
      </c>
      <c r="N17" s="139">
        <f>SUM(M17)+0.7</f>
        <v>13.799999999999997</v>
      </c>
    </row>
    <row r="18" spans="1:14" s="1" customFormat="1" ht="14.1" customHeight="1">
      <c r="A18" s="79"/>
      <c r="B18" s="62" t="s">
        <v>167</v>
      </c>
      <c r="C18" s="63"/>
      <c r="D18" s="89" t="s">
        <v>168</v>
      </c>
      <c r="E18" s="90"/>
      <c r="F18" s="90"/>
      <c r="G18" s="91"/>
      <c r="H18" s="56"/>
      <c r="I18" s="36"/>
      <c r="J18" s="35"/>
      <c r="K18" s="36"/>
      <c r="L18" s="36"/>
      <c r="M18" s="56"/>
      <c r="N18" s="137"/>
    </row>
    <row r="19" spans="1:14" s="1" customFormat="1" ht="14.1" customHeight="1">
      <c r="A19" s="92">
        <v>9</v>
      </c>
      <c r="B19" s="51" t="s">
        <v>178</v>
      </c>
      <c r="C19" s="52"/>
      <c r="D19" s="59"/>
      <c r="E19" s="60"/>
      <c r="F19" s="60"/>
      <c r="G19" s="61"/>
      <c r="H19" s="24">
        <f>SUM(I19)-0</f>
        <v>2.8</v>
      </c>
      <c r="I19" s="24">
        <f>SUM(J19)-0</f>
        <v>2.8</v>
      </c>
      <c r="J19" s="33">
        <v>2.8</v>
      </c>
      <c r="K19" s="24">
        <f>SUM(J19)+0.5</f>
        <v>3.3</v>
      </c>
      <c r="L19" s="24">
        <f>SUM(K19)+0</f>
        <v>3.3</v>
      </c>
      <c r="M19" s="24">
        <f>SUM(L19)+0</f>
        <v>3.3</v>
      </c>
      <c r="N19" s="139">
        <f>SUM(M19)+0</f>
        <v>3.3</v>
      </c>
    </row>
    <row r="20" spans="1:14" s="1" customFormat="1" ht="14.1" customHeight="1">
      <c r="A20" s="79"/>
      <c r="B20" s="62" t="s">
        <v>177</v>
      </c>
      <c r="C20" s="63"/>
      <c r="D20" s="89"/>
      <c r="E20" s="90"/>
      <c r="F20" s="90"/>
      <c r="G20" s="91"/>
      <c r="H20" s="36"/>
      <c r="I20" s="36"/>
      <c r="J20" s="35"/>
      <c r="K20" s="36"/>
      <c r="L20" s="36"/>
      <c r="M20" s="36"/>
      <c r="N20" s="137"/>
    </row>
    <row r="21" spans="1:14" s="1" customFormat="1" ht="14.1" customHeight="1">
      <c r="A21" s="92">
        <v>10</v>
      </c>
      <c r="B21" s="51" t="s">
        <v>9</v>
      </c>
      <c r="C21" s="52"/>
      <c r="D21" s="59" t="s">
        <v>84</v>
      </c>
      <c r="E21" s="60"/>
      <c r="F21" s="60"/>
      <c r="G21" s="61"/>
      <c r="H21" s="24">
        <f>SUM(I21)-7</f>
        <v>52</v>
      </c>
      <c r="I21" s="24">
        <f>SUM(J21)-7</f>
        <v>59</v>
      </c>
      <c r="J21" s="33">
        <v>66</v>
      </c>
      <c r="K21" s="24">
        <f>SUM(J21)+6</f>
        <v>72</v>
      </c>
      <c r="L21" s="24">
        <f>SUM(K21)+6</f>
        <v>78</v>
      </c>
      <c r="M21" s="24">
        <f>SUM(L21)+6</f>
        <v>84</v>
      </c>
      <c r="N21" s="139">
        <f>SUM(M21)+6</f>
        <v>90</v>
      </c>
    </row>
    <row r="22" spans="1:14" s="1" customFormat="1" ht="14.1" customHeight="1">
      <c r="A22" s="79"/>
      <c r="B22" s="62" t="s">
        <v>56</v>
      </c>
      <c r="C22" s="63"/>
      <c r="D22" s="64" t="s">
        <v>120</v>
      </c>
      <c r="E22" s="65"/>
      <c r="F22" s="65"/>
      <c r="G22" s="66"/>
      <c r="H22" s="36"/>
      <c r="I22" s="36"/>
      <c r="J22" s="35"/>
      <c r="K22" s="36"/>
      <c r="L22" s="36"/>
      <c r="M22" s="36"/>
      <c r="N22" s="137"/>
    </row>
    <row r="23" spans="1:14" s="1" customFormat="1" ht="14.1" customHeight="1">
      <c r="A23" s="92">
        <v>11</v>
      </c>
      <c r="B23" s="51" t="s">
        <v>16</v>
      </c>
      <c r="C23" s="52"/>
      <c r="D23" s="59" t="s">
        <v>17</v>
      </c>
      <c r="E23" s="60"/>
      <c r="F23" s="60"/>
      <c r="G23" s="61"/>
      <c r="H23" s="24">
        <f>SUM(I23)-1.6</f>
        <v>27.799999999999997</v>
      </c>
      <c r="I23" s="24">
        <f>SUM(J23)-1.6</f>
        <v>29.4</v>
      </c>
      <c r="J23" s="33">
        <v>31</v>
      </c>
      <c r="K23" s="24">
        <f>SUM(J23)+1.6</f>
        <v>32.6</v>
      </c>
      <c r="L23" s="24">
        <f>SUM(K23)+1.6</f>
        <v>34.200000000000003</v>
      </c>
      <c r="M23" s="24">
        <f>SUM(L23)+1.6</f>
        <v>35.800000000000004</v>
      </c>
      <c r="N23" s="88">
        <f>SUM(M23)+1.6</f>
        <v>37.400000000000006</v>
      </c>
    </row>
    <row r="24" spans="1:14" s="1" customFormat="1" ht="14.1" customHeight="1">
      <c r="A24" s="79"/>
      <c r="B24" s="62" t="s">
        <v>57</v>
      </c>
      <c r="C24" s="63"/>
      <c r="D24" s="47" t="s">
        <v>119</v>
      </c>
      <c r="E24" s="48"/>
      <c r="F24" s="48"/>
      <c r="G24" s="49"/>
      <c r="H24" s="36"/>
      <c r="I24" s="36"/>
      <c r="J24" s="35"/>
      <c r="K24" s="36"/>
      <c r="L24" s="36"/>
      <c r="M24" s="36"/>
      <c r="N24" s="87"/>
    </row>
    <row r="25" spans="1:14" s="1" customFormat="1" ht="14.1" customHeight="1">
      <c r="A25" s="92">
        <v>12</v>
      </c>
      <c r="B25" s="51" t="s">
        <v>18</v>
      </c>
      <c r="C25" s="52"/>
      <c r="D25" s="59" t="s">
        <v>15</v>
      </c>
      <c r="E25" s="60"/>
      <c r="F25" s="60"/>
      <c r="G25" s="61"/>
      <c r="H25" s="58">
        <f>SUM(I25)-1.1</f>
        <v>20.799999999999997</v>
      </c>
      <c r="I25" s="24">
        <f>SUM(J25)-1.1</f>
        <v>21.9</v>
      </c>
      <c r="J25" s="33">
        <v>23</v>
      </c>
      <c r="K25" s="24">
        <f>SUM(J25)+1.6</f>
        <v>24.6</v>
      </c>
      <c r="L25" s="24">
        <f>SUM(K25)+1.1</f>
        <v>25.700000000000003</v>
      </c>
      <c r="M25" s="58">
        <f>SUM(L25)+1.1</f>
        <v>26.800000000000004</v>
      </c>
      <c r="N25" s="139">
        <f>SUM(M25)+1.1</f>
        <v>27.900000000000006</v>
      </c>
    </row>
    <row r="26" spans="1:14" s="1" customFormat="1" ht="14.1" customHeight="1">
      <c r="A26" s="79"/>
      <c r="B26" s="62" t="s">
        <v>63</v>
      </c>
      <c r="C26" s="63"/>
      <c r="D26" s="64" t="s">
        <v>118</v>
      </c>
      <c r="E26" s="65"/>
      <c r="F26" s="65"/>
      <c r="G26" s="66"/>
      <c r="H26" s="56"/>
      <c r="I26" s="36"/>
      <c r="J26" s="35"/>
      <c r="K26" s="36"/>
      <c r="L26" s="36"/>
      <c r="M26" s="56"/>
      <c r="N26" s="137"/>
    </row>
    <row r="27" spans="1:14" s="1" customFormat="1" ht="14.1" customHeight="1">
      <c r="A27" s="92">
        <v>13</v>
      </c>
      <c r="B27" s="51" t="s">
        <v>19</v>
      </c>
      <c r="C27" s="52"/>
      <c r="D27" s="59" t="s">
        <v>15</v>
      </c>
      <c r="E27" s="60"/>
      <c r="F27" s="60"/>
      <c r="G27" s="61"/>
      <c r="H27" s="58">
        <f>SUM(I27)-1.3</f>
        <v>27.9</v>
      </c>
      <c r="I27" s="24">
        <f>SUM(J27)-1.3</f>
        <v>29.2</v>
      </c>
      <c r="J27" s="33">
        <v>30.5</v>
      </c>
      <c r="K27" s="24">
        <f>SUM(J27)+1.8</f>
        <v>32.299999999999997</v>
      </c>
      <c r="L27" s="24">
        <f>SUM(K27)+1.3</f>
        <v>33.599999999999994</v>
      </c>
      <c r="M27" s="58">
        <f>SUM(L27)+1.3</f>
        <v>34.899999999999991</v>
      </c>
      <c r="N27" s="139">
        <f>SUM(M27)+1.3</f>
        <v>36.199999999999989</v>
      </c>
    </row>
    <row r="28" spans="1:14" s="1" customFormat="1" ht="14.1" customHeight="1">
      <c r="A28" s="79"/>
      <c r="B28" s="62" t="s">
        <v>62</v>
      </c>
      <c r="C28" s="63"/>
      <c r="D28" s="64" t="s">
        <v>118</v>
      </c>
      <c r="E28" s="65"/>
      <c r="F28" s="65"/>
      <c r="G28" s="66"/>
      <c r="H28" s="56"/>
      <c r="I28" s="36"/>
      <c r="J28" s="35"/>
      <c r="K28" s="36"/>
      <c r="L28" s="36"/>
      <c r="M28" s="56"/>
      <c r="N28" s="137"/>
    </row>
    <row r="29" spans="1:14" s="1" customFormat="1" ht="14.1" customHeight="1">
      <c r="A29" s="92">
        <v>14</v>
      </c>
      <c r="B29" s="51" t="s">
        <v>20</v>
      </c>
      <c r="C29" s="52"/>
      <c r="D29" s="59" t="s">
        <v>21</v>
      </c>
      <c r="E29" s="60"/>
      <c r="F29" s="60"/>
      <c r="G29" s="61"/>
      <c r="H29" s="24"/>
      <c r="I29" s="24"/>
      <c r="J29" s="33"/>
      <c r="K29" s="24"/>
      <c r="L29" s="24"/>
      <c r="M29" s="24"/>
      <c r="N29" s="139"/>
    </row>
    <row r="30" spans="1:14" s="1" customFormat="1" ht="14.1" customHeight="1">
      <c r="A30" s="79"/>
      <c r="B30" s="62" t="s">
        <v>61</v>
      </c>
      <c r="C30" s="63"/>
      <c r="D30" s="64" t="s">
        <v>117</v>
      </c>
      <c r="E30" s="65"/>
      <c r="F30" s="65"/>
      <c r="G30" s="66"/>
      <c r="H30" s="36"/>
      <c r="I30" s="36"/>
      <c r="J30" s="35"/>
      <c r="K30" s="36"/>
      <c r="L30" s="36"/>
      <c r="M30" s="36"/>
      <c r="N30" s="137"/>
    </row>
    <row r="31" spans="1:14" s="1" customFormat="1" ht="14.1" customHeight="1">
      <c r="A31" s="92">
        <v>15</v>
      </c>
      <c r="B31" s="51" t="s">
        <v>22</v>
      </c>
      <c r="C31" s="52"/>
      <c r="D31" s="59" t="s">
        <v>23</v>
      </c>
      <c r="E31" s="60"/>
      <c r="F31" s="60"/>
      <c r="G31" s="61"/>
      <c r="H31" s="24"/>
      <c r="I31" s="24"/>
      <c r="J31" s="33"/>
      <c r="K31" s="24"/>
      <c r="L31" s="24"/>
      <c r="M31" s="24"/>
      <c r="N31" s="139"/>
    </row>
    <row r="32" spans="1:14" s="1" customFormat="1" ht="14.1" customHeight="1">
      <c r="A32" s="79"/>
      <c r="B32" s="62" t="s">
        <v>60</v>
      </c>
      <c r="C32" s="63"/>
      <c r="D32" s="64" t="s">
        <v>116</v>
      </c>
      <c r="E32" s="65"/>
      <c r="F32" s="65"/>
      <c r="G32" s="66"/>
      <c r="H32" s="36"/>
      <c r="I32" s="36"/>
      <c r="J32" s="35"/>
      <c r="K32" s="36"/>
      <c r="L32" s="36"/>
      <c r="M32" s="36"/>
      <c r="N32" s="137"/>
    </row>
    <row r="33" spans="1:14" s="1" customFormat="1" ht="14.1" customHeight="1">
      <c r="A33" s="92">
        <v>16</v>
      </c>
      <c r="B33" s="51" t="s">
        <v>115</v>
      </c>
      <c r="C33" s="52"/>
      <c r="D33" s="59" t="s">
        <v>113</v>
      </c>
      <c r="E33" s="60"/>
      <c r="F33" s="60"/>
      <c r="G33" s="61"/>
      <c r="H33" s="58"/>
      <c r="I33" s="24"/>
      <c r="J33" s="33"/>
      <c r="K33" s="24"/>
      <c r="L33" s="24"/>
      <c r="M33" s="58"/>
      <c r="N33" s="139"/>
    </row>
    <row r="34" spans="1:14" s="1" customFormat="1" ht="14.1" customHeight="1">
      <c r="A34" s="79"/>
      <c r="B34" s="62" t="s">
        <v>114</v>
      </c>
      <c r="C34" s="63"/>
      <c r="D34" s="64" t="s">
        <v>113</v>
      </c>
      <c r="E34" s="65"/>
      <c r="F34" s="65"/>
      <c r="G34" s="66"/>
      <c r="H34" s="56"/>
      <c r="I34" s="36"/>
      <c r="J34" s="35"/>
      <c r="K34" s="36"/>
      <c r="L34" s="36"/>
      <c r="M34" s="56"/>
      <c r="N34" s="137"/>
    </row>
    <row r="35" spans="1:14" s="1" customFormat="1" ht="14.1" customHeight="1">
      <c r="A35" s="92">
        <v>17</v>
      </c>
      <c r="B35" s="51" t="s">
        <v>112</v>
      </c>
      <c r="C35" s="52"/>
      <c r="D35" s="59" t="s">
        <v>111</v>
      </c>
      <c r="E35" s="60"/>
      <c r="F35" s="60"/>
      <c r="G35" s="61"/>
      <c r="H35" s="24"/>
      <c r="I35" s="24"/>
      <c r="J35" s="33"/>
      <c r="K35" s="24"/>
      <c r="L35" s="24"/>
      <c r="M35" s="24"/>
      <c r="N35" s="139"/>
    </row>
    <row r="36" spans="1:14" s="1" customFormat="1" ht="14.1" customHeight="1">
      <c r="A36" s="79"/>
      <c r="B36" s="62" t="s">
        <v>110</v>
      </c>
      <c r="C36" s="63"/>
      <c r="D36" s="64" t="s">
        <v>160</v>
      </c>
      <c r="E36" s="65"/>
      <c r="F36" s="65"/>
      <c r="G36" s="66"/>
      <c r="H36" s="36"/>
      <c r="I36" s="36"/>
      <c r="J36" s="35"/>
      <c r="K36" s="36"/>
      <c r="L36" s="36"/>
      <c r="M36" s="36"/>
      <c r="N36" s="137"/>
    </row>
    <row r="37" spans="1:14" s="1" customFormat="1" ht="14.1" customHeight="1">
      <c r="A37" s="92">
        <v>18</v>
      </c>
      <c r="B37" s="51" t="s">
        <v>144</v>
      </c>
      <c r="C37" s="52"/>
      <c r="D37" s="59" t="s">
        <v>24</v>
      </c>
      <c r="E37" s="60"/>
      <c r="F37" s="60"/>
      <c r="G37" s="61"/>
      <c r="H37" s="24">
        <f>SUM(I37)-0.5</f>
        <v>7</v>
      </c>
      <c r="I37" s="24">
        <f>SUM(J37)-0.5</f>
        <v>7.5</v>
      </c>
      <c r="J37" s="23">
        <v>8</v>
      </c>
      <c r="K37" s="21">
        <f>SUM(J37)+0.5</f>
        <v>8.5</v>
      </c>
      <c r="L37" s="21">
        <f>SUM(K37)+0.5</f>
        <v>9</v>
      </c>
      <c r="M37" s="133">
        <f>SUM(L37)+0.5</f>
        <v>9.5</v>
      </c>
      <c r="N37" s="140">
        <f>SUM(M37)+0.5</f>
        <v>10</v>
      </c>
    </row>
    <row r="38" spans="1:14" s="1" customFormat="1" ht="14.1" customHeight="1">
      <c r="A38" s="79"/>
      <c r="B38" s="62" t="s">
        <v>59</v>
      </c>
      <c r="C38" s="63"/>
      <c r="D38" s="64" t="s">
        <v>143</v>
      </c>
      <c r="E38" s="65"/>
      <c r="F38" s="65"/>
      <c r="G38" s="66"/>
      <c r="H38" s="36"/>
      <c r="I38" s="36"/>
      <c r="J38" s="23"/>
      <c r="K38" s="21"/>
      <c r="L38" s="21"/>
      <c r="M38" s="133"/>
      <c r="N38" s="140"/>
    </row>
    <row r="39" spans="1:14" s="1" customFormat="1" ht="14.1" customHeight="1">
      <c r="A39" s="92">
        <v>19</v>
      </c>
      <c r="B39" s="51" t="s">
        <v>142</v>
      </c>
      <c r="C39" s="52"/>
      <c r="D39" s="59" t="s">
        <v>25</v>
      </c>
      <c r="E39" s="60"/>
      <c r="F39" s="60"/>
      <c r="G39" s="61"/>
      <c r="H39" s="24">
        <f>SUM(I39)-0.3</f>
        <v>4.9000000000000004</v>
      </c>
      <c r="I39" s="24">
        <f>SUM(J39)-0.3</f>
        <v>5.2</v>
      </c>
      <c r="J39" s="33">
        <v>5.5</v>
      </c>
      <c r="K39" s="24">
        <f>SUM(J39)+0.3</f>
        <v>5.8</v>
      </c>
      <c r="L39" s="24">
        <f>SUM(K39)+0.3</f>
        <v>6.1</v>
      </c>
      <c r="M39" s="24">
        <f>SUM(L39)+0.3</f>
        <v>6.3999999999999995</v>
      </c>
      <c r="N39" s="139">
        <f>SUM(M39)+0.3</f>
        <v>6.6999999999999993</v>
      </c>
    </row>
    <row r="40" spans="1:14" s="1" customFormat="1" ht="14.1" customHeight="1">
      <c r="A40" s="79"/>
      <c r="B40" s="62" t="s">
        <v>58</v>
      </c>
      <c r="C40" s="63"/>
      <c r="D40" s="64" t="s">
        <v>141</v>
      </c>
      <c r="E40" s="65"/>
      <c r="F40" s="65"/>
      <c r="G40" s="66"/>
      <c r="H40" s="36"/>
      <c r="I40" s="36"/>
      <c r="J40" s="35"/>
      <c r="K40" s="36"/>
      <c r="L40" s="36"/>
      <c r="M40" s="36"/>
      <c r="N40" s="137"/>
    </row>
    <row r="41" spans="1:14" s="1" customFormat="1" ht="14.1" customHeight="1">
      <c r="A41" s="92">
        <v>20</v>
      </c>
      <c r="B41" s="51" t="s">
        <v>140</v>
      </c>
      <c r="C41" s="52"/>
      <c r="D41" s="57"/>
      <c r="E41" s="57"/>
      <c r="F41" s="57"/>
      <c r="G41" s="57"/>
      <c r="H41" s="24">
        <f>SUM(I41)-0.5</f>
        <v>11</v>
      </c>
      <c r="I41" s="24">
        <f>SUM(J41)-0.5</f>
        <v>11.5</v>
      </c>
      <c r="J41" s="33">
        <v>12</v>
      </c>
      <c r="K41" s="24">
        <f>SUM(J41)+0.5</f>
        <v>12.5</v>
      </c>
      <c r="L41" s="24">
        <f>SUM(K41)+0.5</f>
        <v>13</v>
      </c>
      <c r="M41" s="24">
        <f>SUM(L41)+0.5</f>
        <v>13.5</v>
      </c>
      <c r="N41" s="139">
        <f>SUM(M41)+0.5</f>
        <v>14</v>
      </c>
    </row>
    <row r="42" spans="1:14" s="1" customFormat="1" ht="14.1" customHeight="1">
      <c r="A42" s="79"/>
      <c r="B42" s="45" t="s">
        <v>139</v>
      </c>
      <c r="C42" s="46"/>
      <c r="D42" s="47"/>
      <c r="E42" s="48"/>
      <c r="F42" s="48"/>
      <c r="G42" s="49"/>
      <c r="H42" s="36"/>
      <c r="I42" s="36"/>
      <c r="J42" s="35"/>
      <c r="K42" s="36"/>
      <c r="L42" s="36"/>
      <c r="M42" s="36"/>
      <c r="N42" s="137"/>
    </row>
    <row r="43" spans="1:14" s="1" customFormat="1" ht="14.1" customHeight="1">
      <c r="A43" s="92">
        <v>21</v>
      </c>
      <c r="B43" s="51" t="s">
        <v>138</v>
      </c>
      <c r="C43" s="52"/>
      <c r="D43" s="57"/>
      <c r="E43" s="57"/>
      <c r="F43" s="57"/>
      <c r="G43" s="57"/>
      <c r="H43" s="24">
        <f>SUM(I43)-0.5</f>
        <v>10.5</v>
      </c>
      <c r="I43" s="24">
        <f>SUM(J43)-0.5</f>
        <v>11</v>
      </c>
      <c r="J43" s="33">
        <v>11.5</v>
      </c>
      <c r="K43" s="24">
        <f>SUM(J43)+0.5</f>
        <v>12</v>
      </c>
      <c r="L43" s="24">
        <f>SUM(K43)+0.5</f>
        <v>12.5</v>
      </c>
      <c r="M43" s="24">
        <f>SUM(L43)+0.5</f>
        <v>13</v>
      </c>
      <c r="N43" s="88">
        <f>SUM(M43)+0.5</f>
        <v>13.5</v>
      </c>
    </row>
    <row r="44" spans="1:14" s="1" customFormat="1" ht="14.1" customHeight="1" thickBot="1">
      <c r="A44" s="99"/>
      <c r="B44" s="110" t="s">
        <v>137</v>
      </c>
      <c r="C44" s="110"/>
      <c r="D44" s="30"/>
      <c r="E44" s="31"/>
      <c r="F44" s="31"/>
      <c r="G44" s="32"/>
      <c r="H44" s="25"/>
      <c r="I44" s="25"/>
      <c r="J44" s="34"/>
      <c r="K44" s="25"/>
      <c r="L44" s="25"/>
      <c r="M44" s="25"/>
      <c r="N44" s="103"/>
    </row>
    <row r="45" spans="1:14" s="1" customFormat="1" ht="14.1" customHeight="1"/>
    <row r="46" spans="1:14" s="1" customFormat="1" ht="14.1" customHeight="1"/>
    <row r="47" spans="1:14" s="1" customFormat="1" ht="14.1" customHeight="1"/>
    <row r="48" spans="1:14" s="1" customFormat="1" ht="14.1" customHeight="1"/>
    <row r="49" s="1" customFormat="1" ht="14.1" customHeight="1"/>
    <row r="50" s="1" customFormat="1" ht="14.1" customHeight="1"/>
    <row r="51" s="1" customFormat="1" ht="14.1" customHeight="1"/>
    <row r="52" s="1" customFormat="1" ht="14.1" customHeight="1"/>
  </sheetData>
  <mergeCells count="255"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95BB0-C947-4D31-B01D-2B24A0BE0582}">
  <sheetPr>
    <tabColor rgb="FF00B050"/>
    <pageSetUpPr fitToPage="1"/>
  </sheetPr>
  <dimension ref="A1:N52"/>
  <sheetViews>
    <sheetView zoomScale="110" zoomScaleNormal="110" workbookViewId="0">
      <selection activeCell="K9" sqref="K9:K1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7" t="s">
        <v>519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9"/>
    </row>
    <row r="2" spans="1:14" ht="16.5" customHeight="1" thickBot="1">
      <c r="A2" s="2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  <c r="N2" s="7" t="s">
        <v>229</v>
      </c>
    </row>
    <row r="3" spans="1:14" s="1" customFormat="1" ht="14.1" customHeight="1">
      <c r="A3" s="78">
        <v>1</v>
      </c>
      <c r="B3" s="80" t="s">
        <v>149</v>
      </c>
      <c r="C3" s="81"/>
      <c r="D3" s="74" t="s">
        <v>82</v>
      </c>
      <c r="E3" s="82"/>
      <c r="F3" s="82"/>
      <c r="G3" s="83"/>
      <c r="H3" s="58">
        <f>SUM(I3)-3</f>
        <v>45</v>
      </c>
      <c r="I3" s="24">
        <f>SUM(J3)-3</f>
        <v>48</v>
      </c>
      <c r="J3" s="84">
        <v>51</v>
      </c>
      <c r="K3" s="85">
        <f>SUM(J3)+3</f>
        <v>54</v>
      </c>
      <c r="L3" s="85">
        <f>SUM(K3)+3</f>
        <v>57</v>
      </c>
      <c r="M3" s="85">
        <f>SUM(L3)+3</f>
        <v>60</v>
      </c>
      <c r="N3" s="138">
        <f>SUM(M3)+3</f>
        <v>63</v>
      </c>
    </row>
    <row r="4" spans="1:14" s="1" customFormat="1" ht="14.1" customHeight="1">
      <c r="A4" s="79"/>
      <c r="B4" s="62" t="s">
        <v>108</v>
      </c>
      <c r="C4" s="63"/>
      <c r="D4" s="64" t="s">
        <v>83</v>
      </c>
      <c r="E4" s="65"/>
      <c r="F4" s="65"/>
      <c r="G4" s="66"/>
      <c r="H4" s="56"/>
      <c r="I4" s="36"/>
      <c r="J4" s="35"/>
      <c r="K4" s="36"/>
      <c r="L4" s="36"/>
      <c r="M4" s="36"/>
      <c r="N4" s="137"/>
    </row>
    <row r="5" spans="1:14" s="1" customFormat="1" ht="14.1" customHeight="1">
      <c r="A5" s="92">
        <v>2</v>
      </c>
      <c r="B5" s="40" t="s">
        <v>165</v>
      </c>
      <c r="C5" s="41"/>
      <c r="D5" s="100"/>
      <c r="E5" s="101"/>
      <c r="F5" s="101"/>
      <c r="G5" s="102"/>
      <c r="H5" s="58"/>
      <c r="I5" s="24"/>
      <c r="J5" s="117"/>
      <c r="K5" s="50"/>
      <c r="L5" s="50"/>
      <c r="M5" s="50"/>
      <c r="N5" s="136"/>
    </row>
    <row r="6" spans="1:14" s="1" customFormat="1" ht="14.1" customHeight="1">
      <c r="A6" s="79"/>
      <c r="B6" s="62" t="s">
        <v>164</v>
      </c>
      <c r="C6" s="63"/>
      <c r="D6" s="64"/>
      <c r="E6" s="65"/>
      <c r="F6" s="65"/>
      <c r="G6" s="66"/>
      <c r="H6" s="56"/>
      <c r="I6" s="36"/>
      <c r="J6" s="35"/>
      <c r="K6" s="36"/>
      <c r="L6" s="36"/>
      <c r="M6" s="36"/>
      <c r="N6" s="137"/>
    </row>
    <row r="7" spans="1:14" s="1" customFormat="1" ht="14.1" customHeight="1">
      <c r="A7" s="92">
        <v>3</v>
      </c>
      <c r="B7" s="40" t="s">
        <v>148</v>
      </c>
      <c r="C7" s="41"/>
      <c r="D7" s="100"/>
      <c r="E7" s="101"/>
      <c r="F7" s="101"/>
      <c r="G7" s="102"/>
      <c r="H7" s="58"/>
      <c r="I7" s="24"/>
      <c r="J7" s="117"/>
      <c r="K7" s="50"/>
      <c r="L7" s="50"/>
      <c r="M7" s="50"/>
      <c r="N7" s="136"/>
    </row>
    <row r="8" spans="1:14" s="1" customFormat="1" ht="14.1" customHeight="1">
      <c r="A8" s="79"/>
      <c r="B8" s="62" t="s">
        <v>147</v>
      </c>
      <c r="C8" s="63"/>
      <c r="D8" s="64"/>
      <c r="E8" s="65"/>
      <c r="F8" s="65"/>
      <c r="G8" s="66"/>
      <c r="H8" s="56"/>
      <c r="I8" s="36"/>
      <c r="J8" s="35"/>
      <c r="K8" s="36"/>
      <c r="L8" s="36"/>
      <c r="M8" s="36"/>
      <c r="N8" s="137"/>
    </row>
    <row r="9" spans="1:14" s="1" customFormat="1" ht="14.1" customHeight="1">
      <c r="A9" s="92">
        <v>4</v>
      </c>
      <c r="B9" s="51" t="s">
        <v>163</v>
      </c>
      <c r="C9" s="52"/>
      <c r="D9" s="118"/>
      <c r="E9" s="119"/>
      <c r="F9" s="119"/>
      <c r="G9" s="120"/>
      <c r="H9" s="24">
        <f>SUM(I9)-2.2</f>
        <v>37.599999999999994</v>
      </c>
      <c r="I9" s="24">
        <f>SUM(J9)-2.2</f>
        <v>39.799999999999997</v>
      </c>
      <c r="J9" s="117">
        <v>42</v>
      </c>
      <c r="K9" s="50">
        <f>SUM(J9)+2.2</f>
        <v>44.2</v>
      </c>
      <c r="L9" s="50">
        <f>SUM(K9)+2.2</f>
        <v>46.400000000000006</v>
      </c>
      <c r="M9" s="24">
        <f>SUM(L9)+2.2</f>
        <v>48.600000000000009</v>
      </c>
      <c r="N9" s="88">
        <f>SUM(M9)+2.2</f>
        <v>50.800000000000011</v>
      </c>
    </row>
    <row r="10" spans="1:14" s="1" customFormat="1" ht="14.1" customHeight="1">
      <c r="A10" s="79"/>
      <c r="B10" s="62" t="s">
        <v>162</v>
      </c>
      <c r="C10" s="63"/>
      <c r="D10" s="114"/>
      <c r="E10" s="115"/>
      <c r="F10" s="115"/>
      <c r="G10" s="116"/>
      <c r="H10" s="36"/>
      <c r="I10" s="36"/>
      <c r="J10" s="35"/>
      <c r="K10" s="36"/>
      <c r="L10" s="36"/>
      <c r="M10" s="36"/>
      <c r="N10" s="87"/>
    </row>
    <row r="11" spans="1:14" s="1" customFormat="1" ht="14.1" customHeight="1">
      <c r="A11" s="92">
        <v>5</v>
      </c>
      <c r="B11" s="51" t="s">
        <v>157</v>
      </c>
      <c r="C11" s="52"/>
      <c r="D11" s="100"/>
      <c r="E11" s="101"/>
      <c r="F11" s="101"/>
      <c r="G11" s="102"/>
      <c r="H11" s="58">
        <f>SUM(I11)-4.5</f>
        <v>57</v>
      </c>
      <c r="I11" s="24">
        <f>SUM(J11)-4.5</f>
        <v>61.5</v>
      </c>
      <c r="J11" s="117">
        <v>66</v>
      </c>
      <c r="K11" s="50">
        <f>SUM(J11)+4.5</f>
        <v>70.5</v>
      </c>
      <c r="L11" s="50">
        <f>SUM(K11)+4.5</f>
        <v>75</v>
      </c>
      <c r="M11" s="50">
        <f>SUM(L11)+4.5</f>
        <v>79.5</v>
      </c>
      <c r="N11" s="136">
        <f>SUM(M11)+4.5</f>
        <v>84</v>
      </c>
    </row>
    <row r="12" spans="1:14" s="1" customFormat="1" ht="14.1" customHeight="1">
      <c r="A12" s="79"/>
      <c r="B12" s="62" t="s">
        <v>158</v>
      </c>
      <c r="C12" s="63"/>
      <c r="D12" s="64"/>
      <c r="E12" s="65"/>
      <c r="F12" s="65"/>
      <c r="G12" s="66"/>
      <c r="H12" s="56"/>
      <c r="I12" s="36"/>
      <c r="J12" s="35"/>
      <c r="K12" s="36"/>
      <c r="L12" s="36"/>
      <c r="M12" s="36"/>
      <c r="N12" s="137"/>
    </row>
    <row r="13" spans="1:14" s="1" customFormat="1" ht="14.1" customHeight="1">
      <c r="A13" s="92">
        <v>6</v>
      </c>
      <c r="B13" s="51" t="s">
        <v>13</v>
      </c>
      <c r="C13" s="52"/>
      <c r="D13" s="59" t="s">
        <v>182</v>
      </c>
      <c r="E13" s="60"/>
      <c r="F13" s="60"/>
      <c r="G13" s="61"/>
      <c r="H13" s="58">
        <f>SUM(I13)-5</f>
        <v>58</v>
      </c>
      <c r="I13" s="24">
        <f>SUM(J13)-5</f>
        <v>63</v>
      </c>
      <c r="J13" s="33">
        <v>68</v>
      </c>
      <c r="K13" s="24">
        <f>SUM(J13)+5</f>
        <v>73</v>
      </c>
      <c r="L13" s="24">
        <f>SUM(K13)+5</f>
        <v>78</v>
      </c>
      <c r="M13" s="24">
        <f>SUM(L13)+5</f>
        <v>83</v>
      </c>
      <c r="N13" s="139">
        <f>SUM(M13)+5</f>
        <v>88</v>
      </c>
    </row>
    <row r="14" spans="1:14" s="1" customFormat="1" ht="14.1" customHeight="1">
      <c r="A14" s="79"/>
      <c r="B14" s="62" t="s">
        <v>55</v>
      </c>
      <c r="C14" s="63"/>
      <c r="D14" s="64" t="s">
        <v>121</v>
      </c>
      <c r="E14" s="65"/>
      <c r="F14" s="65"/>
      <c r="G14" s="66"/>
      <c r="H14" s="56"/>
      <c r="I14" s="36"/>
      <c r="J14" s="35"/>
      <c r="K14" s="36"/>
      <c r="L14" s="36"/>
      <c r="M14" s="36"/>
      <c r="N14" s="137"/>
    </row>
    <row r="15" spans="1:14" s="1" customFormat="1" ht="14.1" customHeight="1">
      <c r="A15" s="92">
        <v>7</v>
      </c>
      <c r="B15" s="51" t="s">
        <v>146</v>
      </c>
      <c r="C15" s="52"/>
      <c r="D15" s="59"/>
      <c r="E15" s="60"/>
      <c r="F15" s="60"/>
      <c r="G15" s="61"/>
      <c r="H15" s="58">
        <f>SUM(I15)-0.7</f>
        <v>9.6000000000000014</v>
      </c>
      <c r="I15" s="24">
        <f>SUM(J15)-0.7</f>
        <v>10.3</v>
      </c>
      <c r="J15" s="33">
        <v>11</v>
      </c>
      <c r="K15" s="24">
        <f>SUM(J15)+0.7</f>
        <v>11.7</v>
      </c>
      <c r="L15" s="24">
        <f>SUM(K15)+0.7</f>
        <v>12.399999999999999</v>
      </c>
      <c r="M15" s="58">
        <f>SUM(L15)+0.7</f>
        <v>13.099999999999998</v>
      </c>
      <c r="N15" s="139">
        <f>SUM(M15)+0.7</f>
        <v>13.799999999999997</v>
      </c>
    </row>
    <row r="16" spans="1:14" s="1" customFormat="1" ht="14.1" customHeight="1">
      <c r="A16" s="79"/>
      <c r="B16" s="62" t="s">
        <v>145</v>
      </c>
      <c r="C16" s="63"/>
      <c r="D16" s="89" t="s">
        <v>179</v>
      </c>
      <c r="E16" s="90"/>
      <c r="F16" s="90"/>
      <c r="G16" s="91"/>
      <c r="H16" s="56"/>
      <c r="I16" s="36"/>
      <c r="J16" s="35"/>
      <c r="K16" s="36"/>
      <c r="L16" s="36"/>
      <c r="M16" s="56"/>
      <c r="N16" s="137"/>
    </row>
    <row r="17" spans="1:14" s="1" customFormat="1" ht="14.1" customHeight="1">
      <c r="A17" s="92">
        <v>8</v>
      </c>
      <c r="B17" s="51" t="s">
        <v>166</v>
      </c>
      <c r="C17" s="52"/>
      <c r="D17" s="59"/>
      <c r="E17" s="60"/>
      <c r="F17" s="60"/>
      <c r="G17" s="61"/>
      <c r="H17" s="58">
        <f>SUM(I17)-0.7</f>
        <v>9.6000000000000014</v>
      </c>
      <c r="I17" s="24">
        <f>SUM(J17)-0.7</f>
        <v>10.3</v>
      </c>
      <c r="J17" s="33">
        <v>11</v>
      </c>
      <c r="K17" s="24">
        <f>SUM(J17)+0.7</f>
        <v>11.7</v>
      </c>
      <c r="L17" s="24">
        <f>SUM(K17)+0.7</f>
        <v>12.399999999999999</v>
      </c>
      <c r="M17" s="58">
        <f>SUM(L17)+0.7</f>
        <v>13.099999999999998</v>
      </c>
      <c r="N17" s="139">
        <f>SUM(M17)+0.7</f>
        <v>13.799999999999997</v>
      </c>
    </row>
    <row r="18" spans="1:14" s="1" customFormat="1" ht="14.1" customHeight="1">
      <c r="A18" s="79"/>
      <c r="B18" s="62" t="s">
        <v>167</v>
      </c>
      <c r="C18" s="63"/>
      <c r="D18" s="89" t="s">
        <v>168</v>
      </c>
      <c r="E18" s="90"/>
      <c r="F18" s="90"/>
      <c r="G18" s="91"/>
      <c r="H18" s="56"/>
      <c r="I18" s="36"/>
      <c r="J18" s="35"/>
      <c r="K18" s="36"/>
      <c r="L18" s="36"/>
      <c r="M18" s="56"/>
      <c r="N18" s="137"/>
    </row>
    <row r="19" spans="1:14" s="1" customFormat="1" ht="14.1" customHeight="1">
      <c r="A19" s="92">
        <v>9</v>
      </c>
      <c r="B19" s="51" t="s">
        <v>178</v>
      </c>
      <c r="C19" s="52"/>
      <c r="D19" s="59"/>
      <c r="E19" s="60"/>
      <c r="F19" s="60"/>
      <c r="G19" s="61"/>
      <c r="H19" s="24">
        <f>SUM(I19)-0</f>
        <v>2.8</v>
      </c>
      <c r="I19" s="24">
        <f>SUM(J19)-0</f>
        <v>2.8</v>
      </c>
      <c r="J19" s="33">
        <v>2.8</v>
      </c>
      <c r="K19" s="24">
        <f>SUM(J19)+0.5</f>
        <v>3.3</v>
      </c>
      <c r="L19" s="24">
        <f>SUM(K19)+0</f>
        <v>3.3</v>
      </c>
      <c r="M19" s="24">
        <f>SUM(L19)+0</f>
        <v>3.3</v>
      </c>
      <c r="N19" s="139">
        <f>SUM(M19)+0</f>
        <v>3.3</v>
      </c>
    </row>
    <row r="20" spans="1:14" s="1" customFormat="1" ht="14.1" customHeight="1">
      <c r="A20" s="79"/>
      <c r="B20" s="62" t="s">
        <v>177</v>
      </c>
      <c r="C20" s="63"/>
      <c r="D20" s="89"/>
      <c r="E20" s="90"/>
      <c r="F20" s="90"/>
      <c r="G20" s="91"/>
      <c r="H20" s="36"/>
      <c r="I20" s="36"/>
      <c r="J20" s="35"/>
      <c r="K20" s="36"/>
      <c r="L20" s="36"/>
      <c r="M20" s="36"/>
      <c r="N20" s="137"/>
    </row>
    <row r="21" spans="1:14" s="1" customFormat="1" ht="14.1" customHeight="1">
      <c r="A21" s="92">
        <v>10</v>
      </c>
      <c r="B21" s="51" t="s">
        <v>9</v>
      </c>
      <c r="C21" s="52"/>
      <c r="D21" s="59" t="s">
        <v>84</v>
      </c>
      <c r="E21" s="60"/>
      <c r="F21" s="60"/>
      <c r="G21" s="61"/>
      <c r="H21" s="24">
        <f>SUM(I21)-7</f>
        <v>49</v>
      </c>
      <c r="I21" s="24">
        <f>SUM(J21)-7</f>
        <v>56</v>
      </c>
      <c r="J21" s="33">
        <v>63</v>
      </c>
      <c r="K21" s="24">
        <f>SUM(J21)+6</f>
        <v>69</v>
      </c>
      <c r="L21" s="24">
        <f>SUM(K21)+6</f>
        <v>75</v>
      </c>
      <c r="M21" s="24">
        <f>SUM(L21)+6</f>
        <v>81</v>
      </c>
      <c r="N21" s="139">
        <f>SUM(M21)+6</f>
        <v>87</v>
      </c>
    </row>
    <row r="22" spans="1:14" s="1" customFormat="1" ht="14.1" customHeight="1">
      <c r="A22" s="79"/>
      <c r="B22" s="62" t="s">
        <v>56</v>
      </c>
      <c r="C22" s="63"/>
      <c r="D22" s="64" t="s">
        <v>120</v>
      </c>
      <c r="E22" s="65"/>
      <c r="F22" s="65"/>
      <c r="G22" s="66"/>
      <c r="H22" s="36"/>
      <c r="I22" s="36"/>
      <c r="J22" s="35"/>
      <c r="K22" s="36"/>
      <c r="L22" s="36"/>
      <c r="M22" s="36"/>
      <c r="N22" s="137"/>
    </row>
    <row r="23" spans="1:14" s="1" customFormat="1" ht="14.1" customHeight="1">
      <c r="A23" s="92">
        <v>11</v>
      </c>
      <c r="B23" s="51" t="s">
        <v>16</v>
      </c>
      <c r="C23" s="52"/>
      <c r="D23" s="59" t="s">
        <v>17</v>
      </c>
      <c r="E23" s="60"/>
      <c r="F23" s="60"/>
      <c r="G23" s="61"/>
      <c r="H23" s="24">
        <f>SUM(I23)-1.8</f>
        <v>33.400000000000006</v>
      </c>
      <c r="I23" s="24">
        <f>SUM(J23)-1.8</f>
        <v>35.200000000000003</v>
      </c>
      <c r="J23" s="33">
        <v>37</v>
      </c>
      <c r="K23" s="24">
        <f>SUM(J23)+1.8</f>
        <v>38.799999999999997</v>
      </c>
      <c r="L23" s="24">
        <f>SUM(K23)+1.8</f>
        <v>40.599999999999994</v>
      </c>
      <c r="M23" s="24">
        <f>SUM(L23)+1.8</f>
        <v>42.399999999999991</v>
      </c>
      <c r="N23" s="88">
        <f>SUM(M23)+1.8</f>
        <v>44.199999999999989</v>
      </c>
    </row>
    <row r="24" spans="1:14" s="1" customFormat="1" ht="14.1" customHeight="1">
      <c r="A24" s="79"/>
      <c r="B24" s="62" t="s">
        <v>57</v>
      </c>
      <c r="C24" s="63"/>
      <c r="D24" s="47" t="s">
        <v>119</v>
      </c>
      <c r="E24" s="48"/>
      <c r="F24" s="48"/>
      <c r="G24" s="49"/>
      <c r="H24" s="36"/>
      <c r="I24" s="36"/>
      <c r="J24" s="35"/>
      <c r="K24" s="36"/>
      <c r="L24" s="36"/>
      <c r="M24" s="36"/>
      <c r="N24" s="87"/>
    </row>
    <row r="25" spans="1:14" s="1" customFormat="1" ht="14.1" customHeight="1">
      <c r="A25" s="92">
        <v>12</v>
      </c>
      <c r="B25" s="51" t="s">
        <v>18</v>
      </c>
      <c r="C25" s="52"/>
      <c r="D25" s="59" t="s">
        <v>15</v>
      </c>
      <c r="E25" s="60"/>
      <c r="F25" s="60"/>
      <c r="G25" s="61"/>
      <c r="H25" s="58">
        <f>SUM(I25)-1.1</f>
        <v>19.799999999999997</v>
      </c>
      <c r="I25" s="24">
        <f>SUM(J25)-1.1</f>
        <v>20.9</v>
      </c>
      <c r="J25" s="33">
        <v>22</v>
      </c>
      <c r="K25" s="24">
        <f>SUM(J25)+1.6</f>
        <v>23.6</v>
      </c>
      <c r="L25" s="24">
        <f>SUM(K25)+1.1</f>
        <v>24.700000000000003</v>
      </c>
      <c r="M25" s="58">
        <f>SUM(L25)+1.1</f>
        <v>25.800000000000004</v>
      </c>
      <c r="N25" s="139">
        <f>SUM(M25)+1.1</f>
        <v>26.900000000000006</v>
      </c>
    </row>
    <row r="26" spans="1:14" s="1" customFormat="1" ht="14.1" customHeight="1">
      <c r="A26" s="79"/>
      <c r="B26" s="62" t="s">
        <v>63</v>
      </c>
      <c r="C26" s="63"/>
      <c r="D26" s="64" t="s">
        <v>118</v>
      </c>
      <c r="E26" s="65"/>
      <c r="F26" s="65"/>
      <c r="G26" s="66"/>
      <c r="H26" s="56"/>
      <c r="I26" s="36"/>
      <c r="J26" s="35"/>
      <c r="K26" s="36"/>
      <c r="L26" s="36"/>
      <c r="M26" s="56"/>
      <c r="N26" s="137"/>
    </row>
    <row r="27" spans="1:14" s="1" customFormat="1" ht="14.1" customHeight="1">
      <c r="A27" s="92">
        <v>13</v>
      </c>
      <c r="B27" s="51" t="s">
        <v>19</v>
      </c>
      <c r="C27" s="52"/>
      <c r="D27" s="59" t="s">
        <v>15</v>
      </c>
      <c r="E27" s="60"/>
      <c r="F27" s="60"/>
      <c r="G27" s="61"/>
      <c r="H27" s="58">
        <f>SUM(I27)-1.3</f>
        <v>25.9</v>
      </c>
      <c r="I27" s="24">
        <f>SUM(J27)-1.3</f>
        <v>27.2</v>
      </c>
      <c r="J27" s="33">
        <v>28.5</v>
      </c>
      <c r="K27" s="24">
        <f>SUM(J27)+1.8</f>
        <v>30.3</v>
      </c>
      <c r="L27" s="24">
        <f>SUM(K27)+1.3</f>
        <v>31.6</v>
      </c>
      <c r="M27" s="58">
        <f>SUM(L27)+1.3</f>
        <v>32.9</v>
      </c>
      <c r="N27" s="139">
        <f>SUM(M27)+1.3</f>
        <v>34.199999999999996</v>
      </c>
    </row>
    <row r="28" spans="1:14" s="1" customFormat="1" ht="14.1" customHeight="1">
      <c r="A28" s="79"/>
      <c r="B28" s="62" t="s">
        <v>62</v>
      </c>
      <c r="C28" s="63"/>
      <c r="D28" s="64" t="s">
        <v>118</v>
      </c>
      <c r="E28" s="65"/>
      <c r="F28" s="65"/>
      <c r="G28" s="66"/>
      <c r="H28" s="56"/>
      <c r="I28" s="36"/>
      <c r="J28" s="35"/>
      <c r="K28" s="36"/>
      <c r="L28" s="36"/>
      <c r="M28" s="56"/>
      <c r="N28" s="137"/>
    </row>
    <row r="29" spans="1:14" s="1" customFormat="1" ht="14.1" customHeight="1">
      <c r="A29" s="92">
        <v>14</v>
      </c>
      <c r="B29" s="51" t="s">
        <v>20</v>
      </c>
      <c r="C29" s="52"/>
      <c r="D29" s="59" t="s">
        <v>21</v>
      </c>
      <c r="E29" s="60"/>
      <c r="F29" s="60"/>
      <c r="G29" s="61"/>
      <c r="H29" s="24"/>
      <c r="I29" s="24"/>
      <c r="J29" s="33">
        <v>38</v>
      </c>
      <c r="K29" s="24"/>
      <c r="L29" s="24"/>
      <c r="M29" s="24"/>
      <c r="N29" s="139"/>
    </row>
    <row r="30" spans="1:14" s="1" customFormat="1" ht="14.1" customHeight="1">
      <c r="A30" s="79"/>
      <c r="B30" s="62" t="s">
        <v>61</v>
      </c>
      <c r="C30" s="63"/>
      <c r="D30" s="64" t="s">
        <v>117</v>
      </c>
      <c r="E30" s="65"/>
      <c r="F30" s="65"/>
      <c r="G30" s="66"/>
      <c r="H30" s="36"/>
      <c r="I30" s="36"/>
      <c r="J30" s="35"/>
      <c r="K30" s="36"/>
      <c r="L30" s="36"/>
      <c r="M30" s="36"/>
      <c r="N30" s="137"/>
    </row>
    <row r="31" spans="1:14" s="1" customFormat="1" ht="14.1" customHeight="1">
      <c r="A31" s="92">
        <v>15</v>
      </c>
      <c r="B31" s="51" t="s">
        <v>22</v>
      </c>
      <c r="C31" s="52"/>
      <c r="D31" s="59" t="s">
        <v>23</v>
      </c>
      <c r="E31" s="60"/>
      <c r="F31" s="60"/>
      <c r="G31" s="61"/>
      <c r="H31" s="24"/>
      <c r="I31" s="24"/>
      <c r="J31" s="33"/>
      <c r="K31" s="24"/>
      <c r="L31" s="24"/>
      <c r="M31" s="24"/>
      <c r="N31" s="139"/>
    </row>
    <row r="32" spans="1:14" s="1" customFormat="1" ht="14.1" customHeight="1">
      <c r="A32" s="79"/>
      <c r="B32" s="62" t="s">
        <v>60</v>
      </c>
      <c r="C32" s="63"/>
      <c r="D32" s="64" t="s">
        <v>116</v>
      </c>
      <c r="E32" s="65"/>
      <c r="F32" s="65"/>
      <c r="G32" s="66"/>
      <c r="H32" s="36"/>
      <c r="I32" s="36"/>
      <c r="J32" s="35"/>
      <c r="K32" s="36"/>
      <c r="L32" s="36"/>
      <c r="M32" s="36"/>
      <c r="N32" s="137"/>
    </row>
    <row r="33" spans="1:14" s="1" customFormat="1" ht="14.1" customHeight="1">
      <c r="A33" s="92">
        <v>16</v>
      </c>
      <c r="B33" s="51" t="s">
        <v>115</v>
      </c>
      <c r="C33" s="52"/>
      <c r="D33" s="59" t="s">
        <v>113</v>
      </c>
      <c r="E33" s="60"/>
      <c r="F33" s="60"/>
      <c r="G33" s="61"/>
      <c r="H33" s="58">
        <f>SUM(I33)-1.4</f>
        <v>26.6</v>
      </c>
      <c r="I33" s="24">
        <f>SUM(J33)-1.4</f>
        <v>28</v>
      </c>
      <c r="J33" s="33">
        <v>29.4</v>
      </c>
      <c r="K33" s="24">
        <f>SUM(J33)+1.4</f>
        <v>30.799999999999997</v>
      </c>
      <c r="L33" s="24">
        <f>SUM(K33)+1.4</f>
        <v>32.199999999999996</v>
      </c>
      <c r="M33" s="58">
        <f>SUM(L33)+1.4</f>
        <v>33.599999999999994</v>
      </c>
      <c r="N33" s="139">
        <f>SUM(M33)+1.4</f>
        <v>34.999999999999993</v>
      </c>
    </row>
    <row r="34" spans="1:14" s="1" customFormat="1" ht="14.1" customHeight="1">
      <c r="A34" s="79"/>
      <c r="B34" s="62" t="s">
        <v>114</v>
      </c>
      <c r="C34" s="63"/>
      <c r="D34" s="64" t="s">
        <v>113</v>
      </c>
      <c r="E34" s="65"/>
      <c r="F34" s="65"/>
      <c r="G34" s="66"/>
      <c r="H34" s="56"/>
      <c r="I34" s="36"/>
      <c r="J34" s="35"/>
      <c r="K34" s="36"/>
      <c r="L34" s="36"/>
      <c r="M34" s="56"/>
      <c r="N34" s="137"/>
    </row>
    <row r="35" spans="1:14" s="1" customFormat="1" ht="14.1" customHeight="1">
      <c r="A35" s="92">
        <v>17</v>
      </c>
      <c r="B35" s="51" t="s">
        <v>112</v>
      </c>
      <c r="C35" s="52"/>
      <c r="D35" s="59" t="s">
        <v>111</v>
      </c>
      <c r="E35" s="60"/>
      <c r="F35" s="60"/>
      <c r="G35" s="61"/>
      <c r="H35" s="24"/>
      <c r="I35" s="24"/>
      <c r="J35" s="33">
        <v>40</v>
      </c>
      <c r="K35" s="24"/>
      <c r="L35" s="24"/>
      <c r="M35" s="24"/>
      <c r="N35" s="139"/>
    </row>
    <row r="36" spans="1:14" s="1" customFormat="1" ht="14.1" customHeight="1">
      <c r="A36" s="79"/>
      <c r="B36" s="62" t="s">
        <v>110</v>
      </c>
      <c r="C36" s="63"/>
      <c r="D36" s="64" t="s">
        <v>160</v>
      </c>
      <c r="E36" s="65"/>
      <c r="F36" s="65"/>
      <c r="G36" s="66"/>
      <c r="H36" s="36"/>
      <c r="I36" s="36"/>
      <c r="J36" s="35"/>
      <c r="K36" s="36"/>
      <c r="L36" s="36"/>
      <c r="M36" s="36"/>
      <c r="N36" s="137"/>
    </row>
    <row r="37" spans="1:14" s="1" customFormat="1" ht="14.1" customHeight="1">
      <c r="A37" s="92">
        <v>18</v>
      </c>
      <c r="B37" s="51" t="s">
        <v>144</v>
      </c>
      <c r="C37" s="52"/>
      <c r="D37" s="59" t="s">
        <v>24</v>
      </c>
      <c r="E37" s="60"/>
      <c r="F37" s="60"/>
      <c r="G37" s="61"/>
      <c r="H37" s="24">
        <f>SUM(I37)-0.5</f>
        <v>7.5</v>
      </c>
      <c r="I37" s="24">
        <f>SUM(J37)-0.5</f>
        <v>8</v>
      </c>
      <c r="J37" s="23">
        <v>8.5</v>
      </c>
      <c r="K37" s="21">
        <f>SUM(J37)+0.5</f>
        <v>9</v>
      </c>
      <c r="L37" s="21">
        <f>SUM(K37)+0.5</f>
        <v>9.5</v>
      </c>
      <c r="M37" s="133">
        <f>SUM(L37)+0.5</f>
        <v>10</v>
      </c>
      <c r="N37" s="140">
        <f>SUM(M37)+0.5</f>
        <v>10.5</v>
      </c>
    </row>
    <row r="38" spans="1:14" s="1" customFormat="1" ht="14.1" customHeight="1">
      <c r="A38" s="79"/>
      <c r="B38" s="62" t="s">
        <v>59</v>
      </c>
      <c r="C38" s="63"/>
      <c r="D38" s="64" t="s">
        <v>143</v>
      </c>
      <c r="E38" s="65"/>
      <c r="F38" s="65"/>
      <c r="G38" s="66"/>
      <c r="H38" s="36"/>
      <c r="I38" s="36"/>
      <c r="J38" s="23"/>
      <c r="K38" s="21"/>
      <c r="L38" s="21"/>
      <c r="M38" s="133"/>
      <c r="N38" s="140"/>
    </row>
    <row r="39" spans="1:14" s="1" customFormat="1" ht="14.1" customHeight="1">
      <c r="A39" s="92">
        <v>19</v>
      </c>
      <c r="B39" s="51" t="s">
        <v>142</v>
      </c>
      <c r="C39" s="52"/>
      <c r="D39" s="59" t="s">
        <v>25</v>
      </c>
      <c r="E39" s="60"/>
      <c r="F39" s="60"/>
      <c r="G39" s="61"/>
      <c r="H39" s="24">
        <f>SUM(I39)-0.3</f>
        <v>4.9000000000000004</v>
      </c>
      <c r="I39" s="24">
        <f>SUM(J39)-0.3</f>
        <v>5.2</v>
      </c>
      <c r="J39" s="33">
        <v>5.5</v>
      </c>
      <c r="K39" s="24">
        <f>SUM(J39)+0.3</f>
        <v>5.8</v>
      </c>
      <c r="L39" s="24">
        <f>SUM(K39)+0.3</f>
        <v>6.1</v>
      </c>
      <c r="M39" s="24">
        <f>SUM(L39)+0.3</f>
        <v>6.3999999999999995</v>
      </c>
      <c r="N39" s="139">
        <f>SUM(M39)+0.3</f>
        <v>6.6999999999999993</v>
      </c>
    </row>
    <row r="40" spans="1:14" s="1" customFormat="1" ht="14.1" customHeight="1">
      <c r="A40" s="79"/>
      <c r="B40" s="62" t="s">
        <v>58</v>
      </c>
      <c r="C40" s="63"/>
      <c r="D40" s="64" t="s">
        <v>141</v>
      </c>
      <c r="E40" s="65"/>
      <c r="F40" s="65"/>
      <c r="G40" s="66"/>
      <c r="H40" s="36"/>
      <c r="I40" s="36"/>
      <c r="J40" s="35"/>
      <c r="K40" s="36"/>
      <c r="L40" s="36"/>
      <c r="M40" s="36"/>
      <c r="N40" s="137"/>
    </row>
    <row r="41" spans="1:14" s="1" customFormat="1" ht="14.1" customHeight="1">
      <c r="A41" s="92">
        <v>20</v>
      </c>
      <c r="B41" s="51" t="s">
        <v>140</v>
      </c>
      <c r="C41" s="52"/>
      <c r="D41" s="57"/>
      <c r="E41" s="57"/>
      <c r="F41" s="57"/>
      <c r="G41" s="57"/>
      <c r="H41" s="24">
        <f>SUM(I41)-0.5</f>
        <v>11</v>
      </c>
      <c r="I41" s="24">
        <f>SUM(J41)-0.5</f>
        <v>11.5</v>
      </c>
      <c r="J41" s="33">
        <v>12</v>
      </c>
      <c r="K41" s="24">
        <f>SUM(J41)+0.5</f>
        <v>12.5</v>
      </c>
      <c r="L41" s="24">
        <f>SUM(K41)+0.5</f>
        <v>13</v>
      </c>
      <c r="M41" s="24">
        <f>SUM(L41)+0.5</f>
        <v>13.5</v>
      </c>
      <c r="N41" s="139">
        <f>SUM(M41)+0.5</f>
        <v>14</v>
      </c>
    </row>
    <row r="42" spans="1:14" s="1" customFormat="1" ht="14.1" customHeight="1">
      <c r="A42" s="79"/>
      <c r="B42" s="45" t="s">
        <v>139</v>
      </c>
      <c r="C42" s="46"/>
      <c r="D42" s="47"/>
      <c r="E42" s="48"/>
      <c r="F42" s="48"/>
      <c r="G42" s="49"/>
      <c r="H42" s="36"/>
      <c r="I42" s="36"/>
      <c r="J42" s="35"/>
      <c r="K42" s="36"/>
      <c r="L42" s="36"/>
      <c r="M42" s="36"/>
      <c r="N42" s="137"/>
    </row>
    <row r="43" spans="1:14" s="1" customFormat="1" ht="14.1" customHeight="1">
      <c r="A43" s="92">
        <v>21</v>
      </c>
      <c r="B43" s="51" t="s">
        <v>138</v>
      </c>
      <c r="C43" s="52"/>
      <c r="D43" s="57"/>
      <c r="E43" s="57"/>
      <c r="F43" s="57"/>
      <c r="G43" s="57"/>
      <c r="H43" s="24">
        <f>SUM(I43)-0.5</f>
        <v>10.5</v>
      </c>
      <c r="I43" s="24">
        <f>SUM(J43)-0.5</f>
        <v>11</v>
      </c>
      <c r="J43" s="33">
        <v>11.5</v>
      </c>
      <c r="K43" s="24">
        <f>SUM(J43)+0.5</f>
        <v>12</v>
      </c>
      <c r="L43" s="24">
        <f>SUM(K43)+0.5</f>
        <v>12.5</v>
      </c>
      <c r="M43" s="24">
        <f>SUM(L43)+0.5</f>
        <v>13</v>
      </c>
      <c r="N43" s="88">
        <f>SUM(M43)+0.5</f>
        <v>13.5</v>
      </c>
    </row>
    <row r="44" spans="1:14" s="1" customFormat="1" ht="14.1" customHeight="1" thickBot="1">
      <c r="A44" s="99"/>
      <c r="B44" s="110" t="s">
        <v>137</v>
      </c>
      <c r="C44" s="110"/>
      <c r="D44" s="30" t="s">
        <v>518</v>
      </c>
      <c r="E44" s="31"/>
      <c r="F44" s="31"/>
      <c r="G44" s="32"/>
      <c r="H44" s="25"/>
      <c r="I44" s="25"/>
      <c r="J44" s="34"/>
      <c r="K44" s="25"/>
      <c r="L44" s="25"/>
      <c r="M44" s="25"/>
      <c r="N44" s="103"/>
    </row>
    <row r="45" spans="1:14" s="1" customFormat="1" ht="14.1" customHeight="1"/>
    <row r="46" spans="1:14" s="1" customFormat="1" ht="14.1" customHeight="1"/>
    <row r="47" spans="1:14" s="1" customFormat="1" ht="14.1" customHeight="1"/>
    <row r="48" spans="1:14" s="1" customFormat="1" ht="14.1" customHeight="1"/>
    <row r="49" s="1" customFormat="1" ht="14.1" customHeight="1"/>
    <row r="50" s="1" customFormat="1" ht="14.1" customHeight="1"/>
    <row r="51" s="1" customFormat="1" ht="14.1" customHeight="1"/>
    <row r="52" s="1" customFormat="1" ht="14.1" customHeight="1"/>
  </sheetData>
  <mergeCells count="255">
    <mergeCell ref="N37:N38"/>
    <mergeCell ref="N39:N40"/>
    <mergeCell ref="N41:N42"/>
    <mergeCell ref="N43:N44"/>
    <mergeCell ref="N25:N26"/>
    <mergeCell ref="N27:N28"/>
    <mergeCell ref="N29:N30"/>
    <mergeCell ref="N31:N32"/>
    <mergeCell ref="N33:N34"/>
    <mergeCell ref="N35:N36"/>
    <mergeCell ref="N13:N14"/>
    <mergeCell ref="N15:N16"/>
    <mergeCell ref="N17:N18"/>
    <mergeCell ref="N19:N20"/>
    <mergeCell ref="N21:N22"/>
    <mergeCell ref="N23:N24"/>
    <mergeCell ref="A1:N1"/>
    <mergeCell ref="N3:N4"/>
    <mergeCell ref="N5:N6"/>
    <mergeCell ref="N7:N8"/>
    <mergeCell ref="N9:N10"/>
    <mergeCell ref="N11:N1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A23:A24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1:J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BC4FD-FEC7-4775-909B-30D4B142F37D}">
  <sheetPr>
    <tabColor rgb="FF00B050"/>
    <pageSetUpPr fitToPage="1"/>
  </sheetPr>
  <dimension ref="A1:P52"/>
  <sheetViews>
    <sheetView zoomScale="110" zoomScaleNormal="110" workbookViewId="0">
      <selection activeCell="I23" sqref="I23:I2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67" t="s">
        <v>545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9"/>
    </row>
    <row r="2" spans="1:16" ht="16.5" customHeight="1" thickBot="1">
      <c r="A2" s="2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  <c r="N2" s="7" t="s">
        <v>229</v>
      </c>
    </row>
    <row r="3" spans="1:16" s="1" customFormat="1" ht="14.1" customHeight="1">
      <c r="A3" s="78">
        <v>1</v>
      </c>
      <c r="B3" s="80" t="s">
        <v>149</v>
      </c>
      <c r="C3" s="81"/>
      <c r="D3" s="74" t="s">
        <v>82</v>
      </c>
      <c r="E3" s="82"/>
      <c r="F3" s="82"/>
      <c r="G3" s="83"/>
      <c r="H3" s="58">
        <f>SUM(I3)-3</f>
        <v>45</v>
      </c>
      <c r="I3" s="24">
        <f>SUM(J3)-3</f>
        <v>48</v>
      </c>
      <c r="J3" s="84">
        <v>51</v>
      </c>
      <c r="K3" s="85">
        <f>SUM(J3)+3</f>
        <v>54</v>
      </c>
      <c r="L3" s="85">
        <f>SUM(K3)+3</f>
        <v>57</v>
      </c>
      <c r="M3" s="85">
        <f>SUM(L3)+3</f>
        <v>60</v>
      </c>
      <c r="N3" s="131">
        <f>SUM(M3)+3</f>
        <v>63</v>
      </c>
    </row>
    <row r="4" spans="1:16" s="1" customFormat="1" ht="14.1" customHeight="1">
      <c r="A4" s="79"/>
      <c r="B4" s="62" t="s">
        <v>108</v>
      </c>
      <c r="C4" s="63"/>
      <c r="D4" s="64" t="s">
        <v>83</v>
      </c>
      <c r="E4" s="65"/>
      <c r="F4" s="65"/>
      <c r="G4" s="66"/>
      <c r="H4" s="56"/>
      <c r="I4" s="36"/>
      <c r="J4" s="35"/>
      <c r="K4" s="36"/>
      <c r="L4" s="36"/>
      <c r="M4" s="36"/>
      <c r="N4" s="122"/>
    </row>
    <row r="5" spans="1:16" s="1" customFormat="1" ht="14.1" customHeight="1">
      <c r="A5" s="92">
        <v>2</v>
      </c>
      <c r="B5" s="40" t="s">
        <v>165</v>
      </c>
      <c r="C5" s="41"/>
      <c r="D5" s="100"/>
      <c r="E5" s="101"/>
      <c r="F5" s="101"/>
      <c r="G5" s="102"/>
      <c r="H5" s="58"/>
      <c r="I5" s="24"/>
      <c r="J5" s="117"/>
      <c r="K5" s="50"/>
      <c r="L5" s="50"/>
      <c r="M5" s="50"/>
      <c r="N5" s="127"/>
    </row>
    <row r="6" spans="1:16" s="1" customFormat="1" ht="14.1" customHeight="1">
      <c r="A6" s="79"/>
      <c r="B6" s="62" t="s">
        <v>164</v>
      </c>
      <c r="C6" s="63"/>
      <c r="D6" s="64"/>
      <c r="E6" s="65"/>
      <c r="F6" s="65"/>
      <c r="G6" s="66"/>
      <c r="H6" s="56"/>
      <c r="I6" s="36"/>
      <c r="J6" s="35"/>
      <c r="K6" s="36"/>
      <c r="L6" s="36"/>
      <c r="M6" s="36"/>
      <c r="N6" s="122"/>
    </row>
    <row r="7" spans="1:16" s="1" customFormat="1" ht="14.1" customHeight="1">
      <c r="A7" s="92">
        <v>3</v>
      </c>
      <c r="B7" s="40" t="s">
        <v>148</v>
      </c>
      <c r="C7" s="41"/>
      <c r="D7" s="100"/>
      <c r="E7" s="101"/>
      <c r="F7" s="101"/>
      <c r="G7" s="102"/>
      <c r="H7" s="58"/>
      <c r="I7" s="24"/>
      <c r="J7" s="117"/>
      <c r="K7" s="50"/>
      <c r="L7" s="50"/>
      <c r="M7" s="50"/>
      <c r="N7" s="127"/>
    </row>
    <row r="8" spans="1:16" s="1" customFormat="1" ht="14.1" customHeight="1">
      <c r="A8" s="79"/>
      <c r="B8" s="62" t="s">
        <v>147</v>
      </c>
      <c r="C8" s="63"/>
      <c r="D8" s="64"/>
      <c r="E8" s="65"/>
      <c r="F8" s="65"/>
      <c r="G8" s="66"/>
      <c r="H8" s="56"/>
      <c r="I8" s="36"/>
      <c r="J8" s="35"/>
      <c r="K8" s="36"/>
      <c r="L8" s="36"/>
      <c r="M8" s="36"/>
      <c r="N8" s="122"/>
    </row>
    <row r="9" spans="1:16" s="1" customFormat="1" ht="14.1" customHeight="1">
      <c r="A9" s="92">
        <v>4</v>
      </c>
      <c r="B9" s="51" t="s">
        <v>163</v>
      </c>
      <c r="C9" s="52"/>
      <c r="D9" s="118"/>
      <c r="E9" s="119"/>
      <c r="F9" s="119"/>
      <c r="G9" s="120"/>
      <c r="H9" s="24">
        <f>SUM(I9)-2.2</f>
        <v>37.599999999999994</v>
      </c>
      <c r="I9" s="24">
        <f>SUM(J9)-2.2</f>
        <v>39.799999999999997</v>
      </c>
      <c r="J9" s="117">
        <v>42</v>
      </c>
      <c r="K9" s="50">
        <f>SUM(J9)+2.2</f>
        <v>44.2</v>
      </c>
      <c r="L9" s="50">
        <f>SUM(K9)+2.2</f>
        <v>46.400000000000006</v>
      </c>
      <c r="M9" s="24">
        <f>SUM(L9)+2.2</f>
        <v>48.600000000000009</v>
      </c>
      <c r="N9" s="26">
        <f>SUM(M9)+2.2</f>
        <v>50.800000000000011</v>
      </c>
    </row>
    <row r="10" spans="1:16" s="1" customFormat="1" ht="14.1" customHeight="1">
      <c r="A10" s="79"/>
      <c r="B10" s="62" t="s">
        <v>162</v>
      </c>
      <c r="C10" s="63"/>
      <c r="D10" s="114"/>
      <c r="E10" s="115"/>
      <c r="F10" s="115"/>
      <c r="G10" s="116"/>
      <c r="H10" s="36"/>
      <c r="I10" s="36"/>
      <c r="J10" s="35"/>
      <c r="K10" s="36"/>
      <c r="L10" s="36"/>
      <c r="M10" s="36"/>
      <c r="N10" s="37"/>
    </row>
    <row r="11" spans="1:16" s="1" customFormat="1" ht="14.1" customHeight="1">
      <c r="A11" s="92">
        <v>5</v>
      </c>
      <c r="B11" s="51" t="s">
        <v>157</v>
      </c>
      <c r="C11" s="52"/>
      <c r="D11" s="100"/>
      <c r="E11" s="101"/>
      <c r="F11" s="101"/>
      <c r="G11" s="102"/>
      <c r="H11" s="58">
        <f>SUM(I11)-4.5</f>
        <v>63</v>
      </c>
      <c r="I11" s="24">
        <f>SUM(J11)-4.5</f>
        <v>67.5</v>
      </c>
      <c r="J11" s="117">
        <v>72</v>
      </c>
      <c r="K11" s="50">
        <f>SUM(J11)+4.5</f>
        <v>76.5</v>
      </c>
      <c r="L11" s="50">
        <f>SUM(K11)+4.5</f>
        <v>81</v>
      </c>
      <c r="M11" s="50">
        <f>SUM(L11)+4.5</f>
        <v>85.5</v>
      </c>
      <c r="N11" s="127">
        <f>SUM(M11)+4.5</f>
        <v>90</v>
      </c>
    </row>
    <row r="12" spans="1:16" s="1" customFormat="1" ht="14.1" customHeight="1">
      <c r="A12" s="79"/>
      <c r="B12" s="62" t="s">
        <v>158</v>
      </c>
      <c r="C12" s="63"/>
      <c r="D12" s="64"/>
      <c r="E12" s="65"/>
      <c r="F12" s="65"/>
      <c r="G12" s="66"/>
      <c r="H12" s="56"/>
      <c r="I12" s="36"/>
      <c r="J12" s="35"/>
      <c r="K12" s="36"/>
      <c r="L12" s="36"/>
      <c r="M12" s="36"/>
      <c r="N12" s="122"/>
    </row>
    <row r="13" spans="1:16" s="1" customFormat="1" ht="14.1" customHeight="1">
      <c r="A13" s="92">
        <v>6</v>
      </c>
      <c r="B13" s="51" t="s">
        <v>13</v>
      </c>
      <c r="C13" s="52"/>
      <c r="D13" s="59" t="s">
        <v>182</v>
      </c>
      <c r="E13" s="60"/>
      <c r="F13" s="60"/>
      <c r="G13" s="61"/>
      <c r="H13" s="58">
        <f>SUM(I13)-5</f>
        <v>67</v>
      </c>
      <c r="I13" s="24">
        <f>SUM(J13)-5</f>
        <v>72</v>
      </c>
      <c r="J13" s="33">
        <v>77</v>
      </c>
      <c r="K13" s="24">
        <f>SUM(J13)+5</f>
        <v>82</v>
      </c>
      <c r="L13" s="24">
        <f>SUM(K13)+5</f>
        <v>87</v>
      </c>
      <c r="M13" s="24">
        <f>SUM(L13)+5</f>
        <v>92</v>
      </c>
      <c r="N13" s="121">
        <f>SUM(M13)+5</f>
        <v>97</v>
      </c>
    </row>
    <row r="14" spans="1:16" s="1" customFormat="1" ht="14.1" customHeight="1">
      <c r="A14" s="79"/>
      <c r="B14" s="62" t="s">
        <v>55</v>
      </c>
      <c r="C14" s="63"/>
      <c r="D14" s="64" t="s">
        <v>121</v>
      </c>
      <c r="E14" s="65"/>
      <c r="F14" s="65"/>
      <c r="G14" s="66"/>
      <c r="H14" s="56"/>
      <c r="I14" s="36"/>
      <c r="J14" s="35"/>
      <c r="K14" s="36"/>
      <c r="L14" s="36"/>
      <c r="M14" s="36"/>
      <c r="N14" s="122"/>
      <c r="P14" s="1" t="s">
        <v>419</v>
      </c>
    </row>
    <row r="15" spans="1:16" s="1" customFormat="1" ht="14.1" customHeight="1">
      <c r="A15" s="92">
        <v>7</v>
      </c>
      <c r="B15" s="51" t="s">
        <v>146</v>
      </c>
      <c r="C15" s="52"/>
      <c r="D15" s="59"/>
      <c r="E15" s="60"/>
      <c r="F15" s="60"/>
      <c r="G15" s="61"/>
      <c r="H15" s="58">
        <f>SUM(I15)-0.7</f>
        <v>9.6000000000000014</v>
      </c>
      <c r="I15" s="24">
        <f>SUM(J15)-0.7</f>
        <v>10.3</v>
      </c>
      <c r="J15" s="33">
        <v>11</v>
      </c>
      <c r="K15" s="24">
        <f>SUM(J15)+0.7</f>
        <v>11.7</v>
      </c>
      <c r="L15" s="24">
        <f>SUM(K15)+0.7</f>
        <v>12.399999999999999</v>
      </c>
      <c r="M15" s="58">
        <f>SUM(L15)+0.7</f>
        <v>13.099999999999998</v>
      </c>
      <c r="N15" s="121">
        <f>SUM(M15)+0.7</f>
        <v>13.799999999999997</v>
      </c>
    </row>
    <row r="16" spans="1:16" s="1" customFormat="1" ht="14.1" customHeight="1">
      <c r="A16" s="79"/>
      <c r="B16" s="62" t="s">
        <v>145</v>
      </c>
      <c r="C16" s="63"/>
      <c r="D16" s="89" t="s">
        <v>179</v>
      </c>
      <c r="E16" s="90"/>
      <c r="F16" s="90"/>
      <c r="G16" s="91"/>
      <c r="H16" s="56"/>
      <c r="I16" s="36"/>
      <c r="J16" s="35"/>
      <c r="K16" s="36"/>
      <c r="L16" s="36"/>
      <c r="M16" s="56"/>
      <c r="N16" s="122"/>
    </row>
    <row r="17" spans="1:14" s="1" customFormat="1" ht="14.1" customHeight="1">
      <c r="A17" s="92">
        <v>8</v>
      </c>
      <c r="B17" s="51" t="s">
        <v>166</v>
      </c>
      <c r="C17" s="52"/>
      <c r="D17" s="59"/>
      <c r="E17" s="60"/>
      <c r="F17" s="60"/>
      <c r="G17" s="61"/>
      <c r="H17" s="58">
        <f>SUM(I17)-0.7</f>
        <v>9.6000000000000014</v>
      </c>
      <c r="I17" s="24">
        <f>SUM(J17)-0.7</f>
        <v>10.3</v>
      </c>
      <c r="J17" s="33">
        <v>11</v>
      </c>
      <c r="K17" s="24">
        <f>SUM(J17)+0.7</f>
        <v>11.7</v>
      </c>
      <c r="L17" s="24">
        <f>SUM(K17)+0.7</f>
        <v>12.399999999999999</v>
      </c>
      <c r="M17" s="58">
        <f>SUM(L17)+0.7</f>
        <v>13.099999999999998</v>
      </c>
      <c r="N17" s="121">
        <f>SUM(M17)+0.7</f>
        <v>13.799999999999997</v>
      </c>
    </row>
    <row r="18" spans="1:14" s="1" customFormat="1" ht="14.1" customHeight="1">
      <c r="A18" s="79"/>
      <c r="B18" s="62" t="s">
        <v>167</v>
      </c>
      <c r="C18" s="63"/>
      <c r="D18" s="89" t="s">
        <v>168</v>
      </c>
      <c r="E18" s="90"/>
      <c r="F18" s="90"/>
      <c r="G18" s="91"/>
      <c r="H18" s="56"/>
      <c r="I18" s="36"/>
      <c r="J18" s="35"/>
      <c r="K18" s="36"/>
      <c r="L18" s="36"/>
      <c r="M18" s="56"/>
      <c r="N18" s="122"/>
    </row>
    <row r="19" spans="1:14" s="1" customFormat="1" ht="14.1" customHeight="1">
      <c r="A19" s="92">
        <v>9</v>
      </c>
      <c r="B19" s="51" t="s">
        <v>178</v>
      </c>
      <c r="C19" s="52"/>
      <c r="D19" s="59"/>
      <c r="E19" s="60"/>
      <c r="F19" s="60"/>
      <c r="G19" s="61"/>
      <c r="H19" s="24">
        <f>SUM(I19)-0</f>
        <v>2.8</v>
      </c>
      <c r="I19" s="24">
        <f>SUM(J19)-0</f>
        <v>2.8</v>
      </c>
      <c r="J19" s="33">
        <v>2.8</v>
      </c>
      <c r="K19" s="24">
        <f>SUM(J19)+0.5</f>
        <v>3.3</v>
      </c>
      <c r="L19" s="24">
        <f>SUM(K19)+0</f>
        <v>3.3</v>
      </c>
      <c r="M19" s="24">
        <f>SUM(L19)+0</f>
        <v>3.3</v>
      </c>
      <c r="N19" s="121">
        <f>SUM(M19)+0</f>
        <v>3.3</v>
      </c>
    </row>
    <row r="20" spans="1:14" s="1" customFormat="1" ht="14.1" customHeight="1">
      <c r="A20" s="79"/>
      <c r="B20" s="62" t="s">
        <v>177</v>
      </c>
      <c r="C20" s="63"/>
      <c r="D20" s="89"/>
      <c r="E20" s="90"/>
      <c r="F20" s="90"/>
      <c r="G20" s="91"/>
      <c r="H20" s="36"/>
      <c r="I20" s="36"/>
      <c r="J20" s="35"/>
      <c r="K20" s="36"/>
      <c r="L20" s="36"/>
      <c r="M20" s="36"/>
      <c r="N20" s="122"/>
    </row>
    <row r="21" spans="1:14" s="1" customFormat="1" ht="14.1" customHeight="1">
      <c r="A21" s="92">
        <v>10</v>
      </c>
      <c r="B21" s="51" t="s">
        <v>9</v>
      </c>
      <c r="C21" s="52"/>
      <c r="D21" s="59" t="s">
        <v>84</v>
      </c>
      <c r="E21" s="60"/>
      <c r="F21" s="60"/>
      <c r="G21" s="61"/>
      <c r="H21" s="24">
        <f>SUM(I21)-7</f>
        <v>50</v>
      </c>
      <c r="I21" s="24">
        <f>SUM(J21)-7</f>
        <v>57</v>
      </c>
      <c r="J21" s="33">
        <v>64</v>
      </c>
      <c r="K21" s="24">
        <f>SUM(J21)+6</f>
        <v>70</v>
      </c>
      <c r="L21" s="24">
        <f>SUM(K21)+6</f>
        <v>76</v>
      </c>
      <c r="M21" s="24">
        <f>SUM(L21)+6</f>
        <v>82</v>
      </c>
      <c r="N21" s="121">
        <f>SUM(M21)+6</f>
        <v>88</v>
      </c>
    </row>
    <row r="22" spans="1:14" s="1" customFormat="1" ht="14.1" customHeight="1">
      <c r="A22" s="79"/>
      <c r="B22" s="62" t="s">
        <v>56</v>
      </c>
      <c r="C22" s="63"/>
      <c r="D22" s="64" t="s">
        <v>120</v>
      </c>
      <c r="E22" s="65"/>
      <c r="F22" s="65"/>
      <c r="G22" s="66"/>
      <c r="H22" s="36"/>
      <c r="I22" s="36"/>
      <c r="J22" s="35"/>
      <c r="K22" s="36"/>
      <c r="L22" s="36"/>
      <c r="M22" s="36"/>
      <c r="N22" s="122"/>
    </row>
    <row r="23" spans="1:14" s="1" customFormat="1" ht="14.1" customHeight="1">
      <c r="A23" s="92">
        <v>11</v>
      </c>
      <c r="B23" s="51" t="s">
        <v>16</v>
      </c>
      <c r="C23" s="52"/>
      <c r="D23" s="59" t="s">
        <v>17</v>
      </c>
      <c r="E23" s="60"/>
      <c r="F23" s="60"/>
      <c r="G23" s="61"/>
      <c r="H23" s="24">
        <f>SUM(I23)-2</f>
        <v>38</v>
      </c>
      <c r="I23" s="24">
        <f>SUM(J23)-2</f>
        <v>40</v>
      </c>
      <c r="J23" s="33">
        <v>42</v>
      </c>
      <c r="K23" s="24">
        <f>SUM(J23)+2</f>
        <v>44</v>
      </c>
      <c r="L23" s="24">
        <f>SUM(K23)+2</f>
        <v>46</v>
      </c>
      <c r="M23" s="24">
        <f>SUM(L23)+2</f>
        <v>48</v>
      </c>
      <c r="N23" s="26">
        <f>SUM(M23)+2</f>
        <v>50</v>
      </c>
    </row>
    <row r="24" spans="1:14" s="1" customFormat="1" ht="14.1" customHeight="1">
      <c r="A24" s="79"/>
      <c r="B24" s="62" t="s">
        <v>57</v>
      </c>
      <c r="C24" s="63"/>
      <c r="D24" s="47" t="s">
        <v>119</v>
      </c>
      <c r="E24" s="48"/>
      <c r="F24" s="48"/>
      <c r="G24" s="49"/>
      <c r="H24" s="36"/>
      <c r="I24" s="36"/>
      <c r="J24" s="35"/>
      <c r="K24" s="36"/>
      <c r="L24" s="36"/>
      <c r="M24" s="36"/>
      <c r="N24" s="37"/>
    </row>
    <row r="25" spans="1:14" s="1" customFormat="1" ht="14.1" customHeight="1">
      <c r="A25" s="92">
        <v>12</v>
      </c>
      <c r="B25" s="51" t="s">
        <v>18</v>
      </c>
      <c r="C25" s="52"/>
      <c r="D25" s="59" t="s">
        <v>15</v>
      </c>
      <c r="E25" s="60"/>
      <c r="F25" s="60"/>
      <c r="G25" s="61"/>
      <c r="H25" s="58">
        <f>SUM(I25)-1.1</f>
        <v>21.299999999999997</v>
      </c>
      <c r="I25" s="24">
        <f>SUM(J25)-1.1</f>
        <v>22.4</v>
      </c>
      <c r="J25" s="33">
        <v>23.5</v>
      </c>
      <c r="K25" s="24">
        <f>SUM(J25)+1.6</f>
        <v>25.1</v>
      </c>
      <c r="L25" s="24">
        <f>SUM(K25)+1.1</f>
        <v>26.200000000000003</v>
      </c>
      <c r="M25" s="58">
        <f>SUM(L25)+1.1</f>
        <v>27.300000000000004</v>
      </c>
      <c r="N25" s="121">
        <f>SUM(M25)+1.1</f>
        <v>28.400000000000006</v>
      </c>
    </row>
    <row r="26" spans="1:14" s="1" customFormat="1" ht="14.1" customHeight="1">
      <c r="A26" s="79"/>
      <c r="B26" s="62" t="s">
        <v>63</v>
      </c>
      <c r="C26" s="63"/>
      <c r="D26" s="64" t="s">
        <v>118</v>
      </c>
      <c r="E26" s="65"/>
      <c r="F26" s="65"/>
      <c r="G26" s="66"/>
      <c r="H26" s="56"/>
      <c r="I26" s="36"/>
      <c r="J26" s="35"/>
      <c r="K26" s="36"/>
      <c r="L26" s="36"/>
      <c r="M26" s="56"/>
      <c r="N26" s="122"/>
    </row>
    <row r="27" spans="1:14" s="1" customFormat="1" ht="14.1" customHeight="1">
      <c r="A27" s="92">
        <v>13</v>
      </c>
      <c r="B27" s="51" t="s">
        <v>19</v>
      </c>
      <c r="C27" s="52"/>
      <c r="D27" s="59" t="s">
        <v>15</v>
      </c>
      <c r="E27" s="60"/>
      <c r="F27" s="60"/>
      <c r="G27" s="61"/>
      <c r="H27" s="58">
        <f>SUM(I27)-1.3</f>
        <v>27.9</v>
      </c>
      <c r="I27" s="24">
        <f>SUM(J27)-1.3</f>
        <v>29.2</v>
      </c>
      <c r="J27" s="33">
        <v>30.5</v>
      </c>
      <c r="K27" s="24">
        <f>SUM(J27)+1.8</f>
        <v>32.299999999999997</v>
      </c>
      <c r="L27" s="24">
        <f>SUM(K27)+1.3</f>
        <v>33.599999999999994</v>
      </c>
      <c r="M27" s="58">
        <f>SUM(L27)+1.3</f>
        <v>34.899999999999991</v>
      </c>
      <c r="N27" s="121">
        <f>SUM(M27)+1.3</f>
        <v>36.199999999999989</v>
      </c>
    </row>
    <row r="28" spans="1:14" s="1" customFormat="1" ht="14.1" customHeight="1">
      <c r="A28" s="79"/>
      <c r="B28" s="62" t="s">
        <v>62</v>
      </c>
      <c r="C28" s="63"/>
      <c r="D28" s="64" t="s">
        <v>118</v>
      </c>
      <c r="E28" s="65"/>
      <c r="F28" s="65"/>
      <c r="G28" s="66"/>
      <c r="H28" s="56"/>
      <c r="I28" s="36"/>
      <c r="J28" s="35"/>
      <c r="K28" s="36"/>
      <c r="L28" s="36"/>
      <c r="M28" s="56"/>
      <c r="N28" s="122"/>
    </row>
    <row r="29" spans="1:14" s="1" customFormat="1" ht="14.1" customHeight="1">
      <c r="A29" s="92">
        <v>14</v>
      </c>
      <c r="B29" s="51" t="s">
        <v>20</v>
      </c>
      <c r="C29" s="52"/>
      <c r="D29" s="59" t="s">
        <v>21</v>
      </c>
      <c r="E29" s="60"/>
      <c r="F29" s="60"/>
      <c r="G29" s="61"/>
      <c r="H29" s="24"/>
      <c r="I29" s="24"/>
      <c r="J29" s="33"/>
      <c r="K29" s="24"/>
      <c r="L29" s="24"/>
      <c r="M29" s="24"/>
      <c r="N29" s="121"/>
    </row>
    <row r="30" spans="1:14" s="1" customFormat="1" ht="14.1" customHeight="1">
      <c r="A30" s="79"/>
      <c r="B30" s="62" t="s">
        <v>61</v>
      </c>
      <c r="C30" s="63"/>
      <c r="D30" s="64" t="s">
        <v>117</v>
      </c>
      <c r="E30" s="65"/>
      <c r="F30" s="65"/>
      <c r="G30" s="66"/>
      <c r="H30" s="36"/>
      <c r="I30" s="36"/>
      <c r="J30" s="35"/>
      <c r="K30" s="36"/>
      <c r="L30" s="36"/>
      <c r="M30" s="36"/>
      <c r="N30" s="122"/>
    </row>
    <row r="31" spans="1:14" s="1" customFormat="1" ht="14.1" customHeight="1">
      <c r="A31" s="92">
        <v>15</v>
      </c>
      <c r="B31" s="51" t="s">
        <v>22</v>
      </c>
      <c r="C31" s="52"/>
      <c r="D31" s="59" t="s">
        <v>23</v>
      </c>
      <c r="E31" s="60"/>
      <c r="F31" s="60"/>
      <c r="G31" s="61"/>
      <c r="H31" s="24"/>
      <c r="I31" s="24"/>
      <c r="J31" s="33"/>
      <c r="K31" s="24"/>
      <c r="L31" s="24"/>
      <c r="M31" s="24"/>
      <c r="N31" s="121"/>
    </row>
    <row r="32" spans="1:14" s="1" customFormat="1" ht="14.1" customHeight="1">
      <c r="A32" s="79"/>
      <c r="B32" s="62" t="s">
        <v>60</v>
      </c>
      <c r="C32" s="63"/>
      <c r="D32" s="64" t="s">
        <v>116</v>
      </c>
      <c r="E32" s="65"/>
      <c r="F32" s="65"/>
      <c r="G32" s="66"/>
      <c r="H32" s="36"/>
      <c r="I32" s="36"/>
      <c r="J32" s="35"/>
      <c r="K32" s="36"/>
      <c r="L32" s="36"/>
      <c r="M32" s="36"/>
      <c r="N32" s="122"/>
    </row>
    <row r="33" spans="1:14" s="1" customFormat="1" ht="14.1" customHeight="1">
      <c r="A33" s="92">
        <v>16</v>
      </c>
      <c r="B33" s="51" t="s">
        <v>115</v>
      </c>
      <c r="C33" s="52"/>
      <c r="D33" s="59" t="s">
        <v>113</v>
      </c>
      <c r="E33" s="60"/>
      <c r="F33" s="60"/>
      <c r="G33" s="61"/>
      <c r="H33" s="58"/>
      <c r="I33" s="24"/>
      <c r="J33" s="33"/>
      <c r="K33" s="24"/>
      <c r="L33" s="24"/>
      <c r="M33" s="58"/>
      <c r="N33" s="121"/>
    </row>
    <row r="34" spans="1:14" s="1" customFormat="1" ht="14.1" customHeight="1">
      <c r="A34" s="79"/>
      <c r="B34" s="62" t="s">
        <v>114</v>
      </c>
      <c r="C34" s="63"/>
      <c r="D34" s="64" t="s">
        <v>113</v>
      </c>
      <c r="E34" s="65"/>
      <c r="F34" s="65"/>
      <c r="G34" s="66"/>
      <c r="H34" s="56"/>
      <c r="I34" s="36"/>
      <c r="J34" s="35"/>
      <c r="K34" s="36"/>
      <c r="L34" s="36"/>
      <c r="M34" s="56"/>
      <c r="N34" s="122"/>
    </row>
    <row r="35" spans="1:14" s="1" customFormat="1" ht="14.1" customHeight="1">
      <c r="A35" s="92">
        <v>17</v>
      </c>
      <c r="B35" s="51" t="s">
        <v>112</v>
      </c>
      <c r="C35" s="52"/>
      <c r="D35" s="59" t="s">
        <v>111</v>
      </c>
      <c r="E35" s="60"/>
      <c r="F35" s="60"/>
      <c r="G35" s="61"/>
      <c r="H35" s="24"/>
      <c r="I35" s="24"/>
      <c r="J35" s="33"/>
      <c r="K35" s="24"/>
      <c r="L35" s="24"/>
      <c r="M35" s="24"/>
      <c r="N35" s="121"/>
    </row>
    <row r="36" spans="1:14" s="1" customFormat="1" ht="14.1" customHeight="1">
      <c r="A36" s="79"/>
      <c r="B36" s="62" t="s">
        <v>110</v>
      </c>
      <c r="C36" s="63"/>
      <c r="D36" s="64" t="s">
        <v>160</v>
      </c>
      <c r="E36" s="65"/>
      <c r="F36" s="65"/>
      <c r="G36" s="66"/>
      <c r="H36" s="36"/>
      <c r="I36" s="36"/>
      <c r="J36" s="35"/>
      <c r="K36" s="36"/>
      <c r="L36" s="36"/>
      <c r="M36" s="36"/>
      <c r="N36" s="122"/>
    </row>
    <row r="37" spans="1:14" s="1" customFormat="1" ht="14.1" customHeight="1">
      <c r="A37" s="92">
        <v>18</v>
      </c>
      <c r="B37" s="51" t="s">
        <v>144</v>
      </c>
      <c r="C37" s="52"/>
      <c r="D37" s="59" t="s">
        <v>24</v>
      </c>
      <c r="E37" s="60"/>
      <c r="F37" s="60"/>
      <c r="G37" s="61"/>
      <c r="H37" s="24">
        <f>SUM(I37)-0.2</f>
        <v>3.5999999999999996</v>
      </c>
      <c r="I37" s="24">
        <f>SUM(J37)-0.2</f>
        <v>3.8</v>
      </c>
      <c r="J37" s="23">
        <v>4</v>
      </c>
      <c r="K37" s="21">
        <f>SUM(J37)+0.2</f>
        <v>4.2</v>
      </c>
      <c r="L37" s="21">
        <f>SUM(K37)+0.2</f>
        <v>4.4000000000000004</v>
      </c>
      <c r="M37" s="133">
        <f>SUM(L37)+0.2</f>
        <v>4.6000000000000005</v>
      </c>
      <c r="N37" s="123">
        <f>SUM(M37)+0.2</f>
        <v>4.8000000000000007</v>
      </c>
    </row>
    <row r="38" spans="1:14" s="1" customFormat="1" ht="14.1" customHeight="1">
      <c r="A38" s="79"/>
      <c r="B38" s="62" t="s">
        <v>59</v>
      </c>
      <c r="C38" s="63"/>
      <c r="D38" s="64" t="s">
        <v>143</v>
      </c>
      <c r="E38" s="65"/>
      <c r="F38" s="65"/>
      <c r="G38" s="66"/>
      <c r="H38" s="36"/>
      <c r="I38" s="36"/>
      <c r="J38" s="23"/>
      <c r="K38" s="21"/>
      <c r="L38" s="21"/>
      <c r="M38" s="133"/>
      <c r="N38" s="123"/>
    </row>
    <row r="39" spans="1:14" s="1" customFormat="1" ht="14.1" customHeight="1">
      <c r="A39" s="92">
        <v>19</v>
      </c>
      <c r="B39" s="51" t="s">
        <v>142</v>
      </c>
      <c r="C39" s="52"/>
      <c r="D39" s="59" t="s">
        <v>25</v>
      </c>
      <c r="E39" s="60"/>
      <c r="F39" s="60"/>
      <c r="G39" s="61"/>
      <c r="H39" s="24">
        <f>SUM(I39)-0.6</f>
        <v>9.3000000000000007</v>
      </c>
      <c r="I39" s="24">
        <f>SUM(J39)-0.6</f>
        <v>9.9</v>
      </c>
      <c r="J39" s="33">
        <v>10.5</v>
      </c>
      <c r="K39" s="24">
        <f>SUM(J39)+0.6</f>
        <v>11.1</v>
      </c>
      <c r="L39" s="24">
        <f>SUM(K39)+0.6</f>
        <v>11.7</v>
      </c>
      <c r="M39" s="24">
        <f>SUM(L39)+0.6</f>
        <v>12.299999999999999</v>
      </c>
      <c r="N39" s="121">
        <f>SUM(M39)+0.6</f>
        <v>12.899999999999999</v>
      </c>
    </row>
    <row r="40" spans="1:14" s="1" customFormat="1" ht="14.1" customHeight="1">
      <c r="A40" s="79"/>
      <c r="B40" s="62" t="s">
        <v>58</v>
      </c>
      <c r="C40" s="63"/>
      <c r="D40" s="64" t="s">
        <v>141</v>
      </c>
      <c r="E40" s="65"/>
      <c r="F40" s="65"/>
      <c r="G40" s="66"/>
      <c r="H40" s="36"/>
      <c r="I40" s="36"/>
      <c r="J40" s="35"/>
      <c r="K40" s="36"/>
      <c r="L40" s="36"/>
      <c r="M40" s="36"/>
      <c r="N40" s="122"/>
    </row>
    <row r="41" spans="1:14" s="1" customFormat="1" ht="14.1" customHeight="1">
      <c r="A41" s="92">
        <v>20</v>
      </c>
      <c r="B41" s="51" t="s">
        <v>546</v>
      </c>
      <c r="C41" s="52"/>
      <c r="D41" s="57"/>
      <c r="E41" s="57"/>
      <c r="F41" s="57"/>
      <c r="G41" s="57"/>
      <c r="H41" s="24">
        <f>SUM(I41)-0.6</f>
        <v>13.8</v>
      </c>
      <c r="I41" s="24">
        <f>SUM(J41)-0.6</f>
        <v>14.4</v>
      </c>
      <c r="J41" s="33">
        <v>15</v>
      </c>
      <c r="K41" s="24">
        <f>SUM(J41)+0.6</f>
        <v>15.6</v>
      </c>
      <c r="L41" s="24">
        <f>SUM(K41)+0.6</f>
        <v>16.2</v>
      </c>
      <c r="M41" s="24">
        <f>SUM(L41)+0.6</f>
        <v>16.8</v>
      </c>
      <c r="N41" s="121">
        <f>SUM(M41)+0.6</f>
        <v>17.400000000000002</v>
      </c>
    </row>
    <row r="42" spans="1:14" s="1" customFormat="1" ht="14.1" customHeight="1">
      <c r="A42" s="79"/>
      <c r="B42" s="45" t="s">
        <v>547</v>
      </c>
      <c r="C42" s="46"/>
      <c r="D42" s="47"/>
      <c r="E42" s="48"/>
      <c r="F42" s="48"/>
      <c r="G42" s="49"/>
      <c r="H42" s="36"/>
      <c r="I42" s="36"/>
      <c r="J42" s="35"/>
      <c r="K42" s="36"/>
      <c r="L42" s="36"/>
      <c r="M42" s="36"/>
      <c r="N42" s="122"/>
    </row>
    <row r="43" spans="1:14" s="1" customFormat="1" ht="14.1" customHeight="1">
      <c r="A43" s="92">
        <v>21</v>
      </c>
      <c r="B43" s="51" t="s">
        <v>548</v>
      </c>
      <c r="C43" s="52"/>
      <c r="D43" s="57"/>
      <c r="E43" s="57"/>
      <c r="F43" s="57"/>
      <c r="G43" s="57"/>
      <c r="H43" s="24">
        <f>SUM(I43)-0.2</f>
        <v>4.5999999999999996</v>
      </c>
      <c r="I43" s="24">
        <f>SUM(J43)-0.2</f>
        <v>4.8</v>
      </c>
      <c r="J43" s="33">
        <v>5</v>
      </c>
      <c r="K43" s="24">
        <f>SUM(J43)+0.2</f>
        <v>5.2</v>
      </c>
      <c r="L43" s="24">
        <f>SUM(K43)+0.2</f>
        <v>5.4</v>
      </c>
      <c r="M43" s="24">
        <f>SUM(L43)+0.2</f>
        <v>5.6000000000000005</v>
      </c>
      <c r="N43" s="26">
        <f>SUM(M43)+0.2</f>
        <v>5.8000000000000007</v>
      </c>
    </row>
    <row r="44" spans="1:14" s="1" customFormat="1" ht="14.1" customHeight="1">
      <c r="A44" s="92"/>
      <c r="B44" s="45" t="s">
        <v>549</v>
      </c>
      <c r="C44" s="46"/>
      <c r="D44" s="100"/>
      <c r="E44" s="101"/>
      <c r="F44" s="101"/>
      <c r="G44" s="102"/>
      <c r="H44" s="50"/>
      <c r="I44" s="50"/>
      <c r="J44" s="117"/>
      <c r="K44" s="50"/>
      <c r="L44" s="50"/>
      <c r="M44" s="50"/>
      <c r="N44" s="113"/>
    </row>
    <row r="45" spans="1:14" s="1" customFormat="1" ht="14.1" customHeight="1">
      <c r="A45" s="98">
        <v>22</v>
      </c>
      <c r="B45" s="51" t="s">
        <v>284</v>
      </c>
      <c r="C45" s="52"/>
      <c r="D45" s="57"/>
      <c r="E45" s="57"/>
      <c r="F45" s="57"/>
      <c r="G45" s="57"/>
      <c r="H45" s="24">
        <f>SUM(I45)-0.6</f>
        <v>13.3</v>
      </c>
      <c r="I45" s="24">
        <f>SUM(J45)-0.6</f>
        <v>13.9</v>
      </c>
      <c r="J45" s="33">
        <v>14.5</v>
      </c>
      <c r="K45" s="24">
        <f>SUM(J45)+0.6</f>
        <v>15.1</v>
      </c>
      <c r="L45" s="24">
        <f>SUM(K45)+0.6</f>
        <v>15.7</v>
      </c>
      <c r="M45" s="24">
        <f>SUM(L45)+0.6</f>
        <v>16.3</v>
      </c>
      <c r="N45" s="121">
        <f>SUM(M45)+0.6</f>
        <v>16.900000000000002</v>
      </c>
    </row>
    <row r="46" spans="1:14" s="1" customFormat="1" ht="14.1" customHeight="1">
      <c r="A46" s="79"/>
      <c r="B46" s="45" t="s">
        <v>285</v>
      </c>
      <c r="C46" s="46"/>
      <c r="D46" s="47"/>
      <c r="E46" s="48"/>
      <c r="F46" s="48"/>
      <c r="G46" s="49"/>
      <c r="H46" s="36"/>
      <c r="I46" s="36"/>
      <c r="J46" s="35"/>
      <c r="K46" s="36"/>
      <c r="L46" s="36"/>
      <c r="M46" s="36"/>
      <c r="N46" s="122"/>
    </row>
    <row r="47" spans="1:14" s="1" customFormat="1" ht="14.1" customHeight="1">
      <c r="A47" s="92">
        <v>23</v>
      </c>
      <c r="B47" s="51" t="s">
        <v>286</v>
      </c>
      <c r="C47" s="52"/>
      <c r="D47" s="57"/>
      <c r="E47" s="57"/>
      <c r="F47" s="57"/>
      <c r="G47" s="57"/>
      <c r="H47" s="24">
        <f>SUM(I47)-0.6</f>
        <v>12.8</v>
      </c>
      <c r="I47" s="24">
        <f>SUM(J47)-0.6</f>
        <v>13.4</v>
      </c>
      <c r="J47" s="33">
        <v>14</v>
      </c>
      <c r="K47" s="24">
        <f>SUM(J47)+0.6</f>
        <v>14.6</v>
      </c>
      <c r="L47" s="24">
        <f>SUM(K47)+0.6</f>
        <v>15.2</v>
      </c>
      <c r="M47" s="24">
        <f>SUM(L47)+0.6</f>
        <v>15.799999999999999</v>
      </c>
      <c r="N47" s="121">
        <f>SUM(M47)+0.6</f>
        <v>16.399999999999999</v>
      </c>
    </row>
    <row r="48" spans="1:14" s="1" customFormat="1" ht="14.1" customHeight="1">
      <c r="A48" s="79"/>
      <c r="B48" s="56" t="s">
        <v>287</v>
      </c>
      <c r="C48" s="56"/>
      <c r="D48" s="47"/>
      <c r="E48" s="48"/>
      <c r="F48" s="48"/>
      <c r="G48" s="49"/>
      <c r="H48" s="36"/>
      <c r="I48" s="36"/>
      <c r="J48" s="35"/>
      <c r="K48" s="36"/>
      <c r="L48" s="36"/>
      <c r="M48" s="36"/>
      <c r="N48" s="122"/>
    </row>
    <row r="49" spans="1:14" s="1" customFormat="1" ht="14.1" customHeight="1">
      <c r="A49" s="92">
        <v>24</v>
      </c>
      <c r="B49" s="40" t="s">
        <v>140</v>
      </c>
      <c r="C49" s="41"/>
      <c r="D49" s="132"/>
      <c r="E49" s="132"/>
      <c r="F49" s="132"/>
      <c r="G49" s="132"/>
      <c r="H49" s="50">
        <f>SUM(I49)-0.5</f>
        <v>10.8</v>
      </c>
      <c r="I49" s="50">
        <f>SUM(J49)-0.5</f>
        <v>11.3</v>
      </c>
      <c r="J49" s="117">
        <v>11.8</v>
      </c>
      <c r="K49" s="50">
        <f>SUM(J49)+0.5</f>
        <v>12.3</v>
      </c>
      <c r="L49" s="50">
        <f>SUM(K49)+0.5</f>
        <v>12.8</v>
      </c>
      <c r="M49" s="50">
        <f>SUM(L49)+0.5</f>
        <v>13.3</v>
      </c>
      <c r="N49" s="127">
        <f>SUM(M49)+0.5</f>
        <v>13.8</v>
      </c>
    </row>
    <row r="50" spans="1:14" s="1" customFormat="1" ht="14.1" customHeight="1">
      <c r="A50" s="79"/>
      <c r="B50" s="45" t="s">
        <v>139</v>
      </c>
      <c r="C50" s="46"/>
      <c r="D50" s="47"/>
      <c r="E50" s="48"/>
      <c r="F50" s="48"/>
      <c r="G50" s="49"/>
      <c r="H50" s="36"/>
      <c r="I50" s="36"/>
      <c r="J50" s="35"/>
      <c r="K50" s="36"/>
      <c r="L50" s="36"/>
      <c r="M50" s="36"/>
      <c r="N50" s="122"/>
    </row>
    <row r="51" spans="1:14" s="1" customFormat="1" ht="14.1" customHeight="1">
      <c r="A51" s="92">
        <v>25</v>
      </c>
      <c r="B51" s="51" t="s">
        <v>138</v>
      </c>
      <c r="C51" s="52"/>
      <c r="D51" s="57"/>
      <c r="E51" s="57"/>
      <c r="F51" s="57"/>
      <c r="G51" s="57"/>
      <c r="H51" s="24">
        <f>SUM(I51)-0.5</f>
        <v>11.8</v>
      </c>
      <c r="I51" s="24">
        <f>SUM(J51)-0.5</f>
        <v>12.3</v>
      </c>
      <c r="J51" s="33">
        <v>12.8</v>
      </c>
      <c r="K51" s="24">
        <f>SUM(J51)+0.5</f>
        <v>13.3</v>
      </c>
      <c r="L51" s="24">
        <f>SUM(K51)+0.5</f>
        <v>13.8</v>
      </c>
      <c r="M51" s="24">
        <f>SUM(L51)+0.5</f>
        <v>14.3</v>
      </c>
      <c r="N51" s="26">
        <f>SUM(M51)+0.5</f>
        <v>14.8</v>
      </c>
    </row>
    <row r="52" spans="1:14" s="1" customFormat="1" ht="14.1" customHeight="1" thickBot="1">
      <c r="A52" s="99"/>
      <c r="B52" s="110" t="s">
        <v>137</v>
      </c>
      <c r="C52" s="110"/>
      <c r="D52" s="30"/>
      <c r="E52" s="31"/>
      <c r="F52" s="31"/>
      <c r="G52" s="32"/>
      <c r="H52" s="25"/>
      <c r="I52" s="25"/>
      <c r="J52" s="34"/>
      <c r="K52" s="25"/>
      <c r="L52" s="25"/>
      <c r="M52" s="25"/>
      <c r="N52" s="27"/>
    </row>
  </sheetData>
  <mergeCells count="303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47:K48"/>
    <mergeCell ref="L47:L48"/>
    <mergeCell ref="M47:M48"/>
    <mergeCell ref="N47:N48"/>
    <mergeCell ref="B48:C48"/>
    <mergeCell ref="D48:G48"/>
    <mergeCell ref="A47:A48"/>
    <mergeCell ref="B47:C47"/>
    <mergeCell ref="D47:G47"/>
    <mergeCell ref="H47:H48"/>
    <mergeCell ref="I47:I48"/>
    <mergeCell ref="J47:J48"/>
    <mergeCell ref="K49:K50"/>
    <mergeCell ref="L49:L50"/>
    <mergeCell ref="M49:M50"/>
    <mergeCell ref="N49:N50"/>
    <mergeCell ref="B50:C50"/>
    <mergeCell ref="D50:G50"/>
    <mergeCell ref="A49:A50"/>
    <mergeCell ref="B49:C49"/>
    <mergeCell ref="D49:G49"/>
    <mergeCell ref="H49:H50"/>
    <mergeCell ref="I49:I50"/>
    <mergeCell ref="J49:J50"/>
    <mergeCell ref="K51:K52"/>
    <mergeCell ref="L51:L52"/>
    <mergeCell ref="M51:M52"/>
    <mergeCell ref="N51:N52"/>
    <mergeCell ref="B52:C52"/>
    <mergeCell ref="D52:G52"/>
    <mergeCell ref="A51:A52"/>
    <mergeCell ref="B51:C51"/>
    <mergeCell ref="D51:G51"/>
    <mergeCell ref="H51:H52"/>
    <mergeCell ref="I51:I52"/>
    <mergeCell ref="J51:J52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5F33A-EB3C-4C65-8118-9B5747A7696F}">
  <sheetPr>
    <tabColor rgb="FF00B050"/>
    <pageSetUpPr fitToPage="1"/>
  </sheetPr>
  <dimension ref="A1:P52"/>
  <sheetViews>
    <sheetView topLeftCell="A10" zoomScale="110" zoomScaleNormal="110" workbookViewId="0">
      <selection activeCell="L23" sqref="L23:L2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67" t="s">
        <v>680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9"/>
    </row>
    <row r="2" spans="1:16" ht="16.5" customHeight="1" thickBot="1">
      <c r="A2" s="2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  <c r="N2" s="7" t="s">
        <v>229</v>
      </c>
    </row>
    <row r="3" spans="1:16" s="1" customFormat="1" ht="14.1" customHeight="1">
      <c r="A3" s="78">
        <v>1</v>
      </c>
      <c r="B3" s="80" t="s">
        <v>149</v>
      </c>
      <c r="C3" s="81"/>
      <c r="D3" s="74" t="s">
        <v>82</v>
      </c>
      <c r="E3" s="82"/>
      <c r="F3" s="82"/>
      <c r="G3" s="83"/>
      <c r="H3" s="58">
        <f>SUM(I3)-3</f>
        <v>45</v>
      </c>
      <c r="I3" s="24">
        <f>SUM(J3)-3</f>
        <v>48</v>
      </c>
      <c r="J3" s="84">
        <v>51</v>
      </c>
      <c r="K3" s="85">
        <f>SUM(J3)+3</f>
        <v>54</v>
      </c>
      <c r="L3" s="85">
        <f>SUM(K3)+3</f>
        <v>57</v>
      </c>
      <c r="M3" s="85">
        <f>SUM(L3)+3</f>
        <v>60</v>
      </c>
      <c r="N3" s="131">
        <f>SUM(M3)+3</f>
        <v>63</v>
      </c>
    </row>
    <row r="4" spans="1:16" s="1" customFormat="1" ht="14.1" customHeight="1">
      <c r="A4" s="79"/>
      <c r="B4" s="62" t="s">
        <v>108</v>
      </c>
      <c r="C4" s="63"/>
      <c r="D4" s="64" t="s">
        <v>83</v>
      </c>
      <c r="E4" s="65"/>
      <c r="F4" s="65"/>
      <c r="G4" s="66"/>
      <c r="H4" s="56"/>
      <c r="I4" s="36"/>
      <c r="J4" s="35"/>
      <c r="K4" s="36"/>
      <c r="L4" s="36"/>
      <c r="M4" s="36"/>
      <c r="N4" s="122"/>
    </row>
    <row r="5" spans="1:16" s="1" customFormat="1" ht="14.1" customHeight="1">
      <c r="A5" s="92">
        <v>2</v>
      </c>
      <c r="B5" s="40" t="s">
        <v>165</v>
      </c>
      <c r="C5" s="41"/>
      <c r="D5" s="100"/>
      <c r="E5" s="101"/>
      <c r="F5" s="101"/>
      <c r="G5" s="102"/>
      <c r="H5" s="58"/>
      <c r="I5" s="24"/>
      <c r="J5" s="117"/>
      <c r="K5" s="50"/>
      <c r="L5" s="50"/>
      <c r="M5" s="50"/>
      <c r="N5" s="127"/>
    </row>
    <row r="6" spans="1:16" s="1" customFormat="1" ht="14.1" customHeight="1">
      <c r="A6" s="79"/>
      <c r="B6" s="62" t="s">
        <v>164</v>
      </c>
      <c r="C6" s="63"/>
      <c r="D6" s="64"/>
      <c r="E6" s="65"/>
      <c r="F6" s="65"/>
      <c r="G6" s="66"/>
      <c r="H6" s="56"/>
      <c r="I6" s="36"/>
      <c r="J6" s="35"/>
      <c r="K6" s="36"/>
      <c r="L6" s="36"/>
      <c r="M6" s="36"/>
      <c r="N6" s="122"/>
    </row>
    <row r="7" spans="1:16" s="1" customFormat="1" ht="14.1" customHeight="1">
      <c r="A7" s="92">
        <v>3</v>
      </c>
      <c r="B7" s="40" t="s">
        <v>148</v>
      </c>
      <c r="C7" s="41"/>
      <c r="D7" s="100"/>
      <c r="E7" s="101"/>
      <c r="F7" s="101"/>
      <c r="G7" s="102"/>
      <c r="H7" s="58"/>
      <c r="I7" s="24"/>
      <c r="J7" s="117"/>
      <c r="K7" s="50"/>
      <c r="L7" s="50"/>
      <c r="M7" s="50"/>
      <c r="N7" s="127"/>
    </row>
    <row r="8" spans="1:16" s="1" customFormat="1" ht="14.1" customHeight="1">
      <c r="A8" s="79"/>
      <c r="B8" s="62" t="s">
        <v>147</v>
      </c>
      <c r="C8" s="63"/>
      <c r="D8" s="64"/>
      <c r="E8" s="65"/>
      <c r="F8" s="65"/>
      <c r="G8" s="66"/>
      <c r="H8" s="56"/>
      <c r="I8" s="36"/>
      <c r="J8" s="35"/>
      <c r="K8" s="36"/>
      <c r="L8" s="36"/>
      <c r="M8" s="36"/>
      <c r="N8" s="122"/>
    </row>
    <row r="9" spans="1:16" s="1" customFormat="1" ht="14.1" customHeight="1">
      <c r="A9" s="92">
        <v>4</v>
      </c>
      <c r="B9" s="51" t="s">
        <v>163</v>
      </c>
      <c r="C9" s="52"/>
      <c r="D9" s="118"/>
      <c r="E9" s="119"/>
      <c r="F9" s="119"/>
      <c r="G9" s="120"/>
      <c r="H9" s="24">
        <f>SUM(I9)-2.2</f>
        <v>37.599999999999994</v>
      </c>
      <c r="I9" s="24">
        <f>SUM(J9)-2.2</f>
        <v>39.799999999999997</v>
      </c>
      <c r="J9" s="117">
        <v>42</v>
      </c>
      <c r="K9" s="50">
        <f>SUM(J9)+2.2</f>
        <v>44.2</v>
      </c>
      <c r="L9" s="50">
        <f>SUM(K9)+2.2</f>
        <v>46.400000000000006</v>
      </c>
      <c r="M9" s="24">
        <f>SUM(L9)+2.2</f>
        <v>48.600000000000009</v>
      </c>
      <c r="N9" s="26">
        <f>SUM(M9)+2.2</f>
        <v>50.800000000000011</v>
      </c>
    </row>
    <row r="10" spans="1:16" s="1" customFormat="1" ht="14.1" customHeight="1">
      <c r="A10" s="79"/>
      <c r="B10" s="62" t="s">
        <v>162</v>
      </c>
      <c r="C10" s="63"/>
      <c r="D10" s="114"/>
      <c r="E10" s="115"/>
      <c r="F10" s="115"/>
      <c r="G10" s="116"/>
      <c r="H10" s="36"/>
      <c r="I10" s="36"/>
      <c r="J10" s="35"/>
      <c r="K10" s="36"/>
      <c r="L10" s="36"/>
      <c r="M10" s="36"/>
      <c r="N10" s="37"/>
    </row>
    <row r="11" spans="1:16" s="1" customFormat="1" ht="14.1" customHeight="1">
      <c r="A11" s="92">
        <v>5</v>
      </c>
      <c r="B11" s="51" t="s">
        <v>157</v>
      </c>
      <c r="C11" s="52"/>
      <c r="D11" s="100"/>
      <c r="E11" s="101"/>
      <c r="F11" s="101"/>
      <c r="G11" s="102"/>
      <c r="H11" s="58">
        <f>SUM(I11)-4.5</f>
        <v>63</v>
      </c>
      <c r="I11" s="24">
        <f>SUM(J11)-4.5</f>
        <v>67.5</v>
      </c>
      <c r="J11" s="117">
        <v>72</v>
      </c>
      <c r="K11" s="50">
        <f>SUM(J11)+4.5</f>
        <v>76.5</v>
      </c>
      <c r="L11" s="50">
        <f>SUM(K11)+4.5</f>
        <v>81</v>
      </c>
      <c r="M11" s="50">
        <f>SUM(L11)+4.5</f>
        <v>85.5</v>
      </c>
      <c r="N11" s="127">
        <f>SUM(M11)+4.5</f>
        <v>90</v>
      </c>
    </row>
    <row r="12" spans="1:16" s="1" customFormat="1" ht="14.1" customHeight="1">
      <c r="A12" s="79"/>
      <c r="B12" s="62" t="s">
        <v>158</v>
      </c>
      <c r="C12" s="63"/>
      <c r="D12" s="64"/>
      <c r="E12" s="65"/>
      <c r="F12" s="65"/>
      <c r="G12" s="66"/>
      <c r="H12" s="56"/>
      <c r="I12" s="36"/>
      <c r="J12" s="35"/>
      <c r="K12" s="36"/>
      <c r="L12" s="36"/>
      <c r="M12" s="36"/>
      <c r="N12" s="122"/>
    </row>
    <row r="13" spans="1:16" s="1" customFormat="1" ht="14.1" customHeight="1">
      <c r="A13" s="92">
        <v>6</v>
      </c>
      <c r="B13" s="51" t="s">
        <v>13</v>
      </c>
      <c r="C13" s="52"/>
      <c r="D13" s="59" t="s">
        <v>182</v>
      </c>
      <c r="E13" s="60"/>
      <c r="F13" s="60"/>
      <c r="G13" s="61"/>
      <c r="H13" s="58">
        <f>SUM(I13)-5</f>
        <v>67</v>
      </c>
      <c r="I13" s="24">
        <f>SUM(J13)-5</f>
        <v>72</v>
      </c>
      <c r="J13" s="33">
        <v>77</v>
      </c>
      <c r="K13" s="24">
        <f>SUM(J13)+5</f>
        <v>82</v>
      </c>
      <c r="L13" s="24">
        <f>SUM(K13)+5</f>
        <v>87</v>
      </c>
      <c r="M13" s="24">
        <f>SUM(L13)+5</f>
        <v>92</v>
      </c>
      <c r="N13" s="121">
        <f>SUM(M13)+5</f>
        <v>97</v>
      </c>
    </row>
    <row r="14" spans="1:16" s="1" customFormat="1" ht="14.1" customHeight="1">
      <c r="A14" s="79"/>
      <c r="B14" s="62" t="s">
        <v>55</v>
      </c>
      <c r="C14" s="63"/>
      <c r="D14" s="64" t="s">
        <v>121</v>
      </c>
      <c r="E14" s="65"/>
      <c r="F14" s="65"/>
      <c r="G14" s="66"/>
      <c r="H14" s="56"/>
      <c r="I14" s="36"/>
      <c r="J14" s="35"/>
      <c r="K14" s="36"/>
      <c r="L14" s="36"/>
      <c r="M14" s="36"/>
      <c r="N14" s="122"/>
      <c r="P14" s="1" t="s">
        <v>419</v>
      </c>
    </row>
    <row r="15" spans="1:16" s="1" customFormat="1" ht="14.1" customHeight="1">
      <c r="A15" s="92">
        <v>7</v>
      </c>
      <c r="B15" s="51" t="s">
        <v>146</v>
      </c>
      <c r="C15" s="52"/>
      <c r="D15" s="59"/>
      <c r="E15" s="60"/>
      <c r="F15" s="60"/>
      <c r="G15" s="61"/>
      <c r="H15" s="58">
        <f>SUM(I15)-0.7</f>
        <v>9.6000000000000014</v>
      </c>
      <c r="I15" s="24">
        <f>SUM(J15)-0.7</f>
        <v>10.3</v>
      </c>
      <c r="J15" s="33">
        <v>11</v>
      </c>
      <c r="K15" s="24">
        <f>SUM(J15)+0.7</f>
        <v>11.7</v>
      </c>
      <c r="L15" s="24">
        <f>SUM(K15)+0.7</f>
        <v>12.399999999999999</v>
      </c>
      <c r="M15" s="58">
        <f>SUM(L15)+0.7</f>
        <v>13.099999999999998</v>
      </c>
      <c r="N15" s="121">
        <f>SUM(M15)+0.7</f>
        <v>13.799999999999997</v>
      </c>
    </row>
    <row r="16" spans="1:16" s="1" customFormat="1" ht="14.1" customHeight="1">
      <c r="A16" s="79"/>
      <c r="B16" s="62" t="s">
        <v>145</v>
      </c>
      <c r="C16" s="63"/>
      <c r="D16" s="89" t="s">
        <v>179</v>
      </c>
      <c r="E16" s="90"/>
      <c r="F16" s="90"/>
      <c r="G16" s="91"/>
      <c r="H16" s="56"/>
      <c r="I16" s="36"/>
      <c r="J16" s="35"/>
      <c r="K16" s="36"/>
      <c r="L16" s="36"/>
      <c r="M16" s="56"/>
      <c r="N16" s="122"/>
    </row>
    <row r="17" spans="1:14" s="1" customFormat="1" ht="14.1" customHeight="1">
      <c r="A17" s="92">
        <v>8</v>
      </c>
      <c r="B17" s="51" t="s">
        <v>166</v>
      </c>
      <c r="C17" s="52"/>
      <c r="D17" s="59"/>
      <c r="E17" s="60"/>
      <c r="F17" s="60"/>
      <c r="G17" s="61"/>
      <c r="H17" s="58">
        <f>SUM(I17)-0.7</f>
        <v>9.6000000000000014</v>
      </c>
      <c r="I17" s="24">
        <f>SUM(J17)-0.7</f>
        <v>10.3</v>
      </c>
      <c r="J17" s="33">
        <v>11</v>
      </c>
      <c r="K17" s="24">
        <f>SUM(J17)+0.7</f>
        <v>11.7</v>
      </c>
      <c r="L17" s="24">
        <f>SUM(K17)+0.7</f>
        <v>12.399999999999999</v>
      </c>
      <c r="M17" s="58">
        <f>SUM(L17)+0.7</f>
        <v>13.099999999999998</v>
      </c>
      <c r="N17" s="121">
        <f>SUM(M17)+0.7</f>
        <v>13.799999999999997</v>
      </c>
    </row>
    <row r="18" spans="1:14" s="1" customFormat="1" ht="14.1" customHeight="1">
      <c r="A18" s="79"/>
      <c r="B18" s="62" t="s">
        <v>167</v>
      </c>
      <c r="C18" s="63"/>
      <c r="D18" s="89" t="s">
        <v>168</v>
      </c>
      <c r="E18" s="90"/>
      <c r="F18" s="90"/>
      <c r="G18" s="91"/>
      <c r="H18" s="56"/>
      <c r="I18" s="36"/>
      <c r="J18" s="35"/>
      <c r="K18" s="36"/>
      <c r="L18" s="36"/>
      <c r="M18" s="56"/>
      <c r="N18" s="122"/>
    </row>
    <row r="19" spans="1:14" s="1" customFormat="1" ht="14.1" customHeight="1">
      <c r="A19" s="92">
        <v>9</v>
      </c>
      <c r="B19" s="51" t="s">
        <v>178</v>
      </c>
      <c r="C19" s="52"/>
      <c r="D19" s="59"/>
      <c r="E19" s="60"/>
      <c r="F19" s="60"/>
      <c r="G19" s="61"/>
      <c r="H19" s="24">
        <f>SUM(I19)-0</f>
        <v>2.8</v>
      </c>
      <c r="I19" s="24">
        <f>SUM(J19)-0</f>
        <v>2.8</v>
      </c>
      <c r="J19" s="33">
        <v>2.8</v>
      </c>
      <c r="K19" s="24">
        <f>SUM(J19)+0.5</f>
        <v>3.3</v>
      </c>
      <c r="L19" s="24">
        <f>SUM(K19)+0</f>
        <v>3.3</v>
      </c>
      <c r="M19" s="24">
        <f>SUM(L19)+0</f>
        <v>3.3</v>
      </c>
      <c r="N19" s="121">
        <f>SUM(M19)+0</f>
        <v>3.3</v>
      </c>
    </row>
    <row r="20" spans="1:14" s="1" customFormat="1" ht="14.1" customHeight="1">
      <c r="A20" s="79"/>
      <c r="B20" s="62" t="s">
        <v>177</v>
      </c>
      <c r="C20" s="63"/>
      <c r="D20" s="89"/>
      <c r="E20" s="90"/>
      <c r="F20" s="90"/>
      <c r="G20" s="91"/>
      <c r="H20" s="36"/>
      <c r="I20" s="36"/>
      <c r="J20" s="35"/>
      <c r="K20" s="36"/>
      <c r="L20" s="36"/>
      <c r="M20" s="36"/>
      <c r="N20" s="122"/>
    </row>
    <row r="21" spans="1:14" s="1" customFormat="1" ht="14.1" customHeight="1">
      <c r="A21" s="92">
        <v>10</v>
      </c>
      <c r="B21" s="51" t="s">
        <v>9</v>
      </c>
      <c r="C21" s="52"/>
      <c r="D21" s="59" t="s">
        <v>84</v>
      </c>
      <c r="E21" s="60"/>
      <c r="F21" s="60"/>
      <c r="G21" s="61"/>
      <c r="H21" s="24">
        <f>SUM(I21)-2.5</f>
        <v>24</v>
      </c>
      <c r="I21" s="24">
        <f>SUM(J21)-2.5</f>
        <v>26.5</v>
      </c>
      <c r="J21" s="33">
        <v>29</v>
      </c>
      <c r="K21" s="24">
        <f>SUM(J21)+2</f>
        <v>31</v>
      </c>
      <c r="L21" s="24">
        <f>SUM(K21)+2</f>
        <v>33</v>
      </c>
      <c r="M21" s="24">
        <f>SUM(L21)+2</f>
        <v>35</v>
      </c>
      <c r="N21" s="121">
        <f>SUM(M21)+2</f>
        <v>37</v>
      </c>
    </row>
    <row r="22" spans="1:14" s="1" customFormat="1" ht="14.1" customHeight="1">
      <c r="A22" s="79"/>
      <c r="B22" s="62" t="s">
        <v>56</v>
      </c>
      <c r="C22" s="63"/>
      <c r="D22" s="64" t="s">
        <v>120</v>
      </c>
      <c r="E22" s="65"/>
      <c r="F22" s="65"/>
      <c r="G22" s="66"/>
      <c r="H22" s="36"/>
      <c r="I22" s="36"/>
      <c r="J22" s="35"/>
      <c r="K22" s="36"/>
      <c r="L22" s="36"/>
      <c r="M22" s="36"/>
      <c r="N22" s="122"/>
    </row>
    <row r="23" spans="1:14" s="1" customFormat="1" ht="14.1" customHeight="1">
      <c r="A23" s="92">
        <v>11</v>
      </c>
      <c r="B23" s="51" t="s">
        <v>16</v>
      </c>
      <c r="C23" s="52"/>
      <c r="D23" s="59" t="s">
        <v>17</v>
      </c>
      <c r="E23" s="60"/>
      <c r="F23" s="60"/>
      <c r="G23" s="61"/>
      <c r="H23" s="24">
        <f>SUM(I23)-2.4</f>
        <v>45.2</v>
      </c>
      <c r="I23" s="24">
        <f>SUM(J23)-2.4</f>
        <v>47.6</v>
      </c>
      <c r="J23" s="33">
        <v>50</v>
      </c>
      <c r="K23" s="24">
        <f>SUM(J23)+2.4</f>
        <v>52.4</v>
      </c>
      <c r="L23" s="24">
        <f>SUM(K23)+2.4</f>
        <v>54.8</v>
      </c>
      <c r="M23" s="24">
        <f>SUM(L23)+2.4</f>
        <v>57.199999999999996</v>
      </c>
      <c r="N23" s="26">
        <f>SUM(M23)+2.4</f>
        <v>59.599999999999994</v>
      </c>
    </row>
    <row r="24" spans="1:14" s="1" customFormat="1" ht="14.1" customHeight="1">
      <c r="A24" s="79"/>
      <c r="B24" s="62" t="s">
        <v>57</v>
      </c>
      <c r="C24" s="63"/>
      <c r="D24" s="47" t="s">
        <v>119</v>
      </c>
      <c r="E24" s="48"/>
      <c r="F24" s="48"/>
      <c r="G24" s="49"/>
      <c r="H24" s="36"/>
      <c r="I24" s="36"/>
      <c r="J24" s="35"/>
      <c r="K24" s="36"/>
      <c r="L24" s="36"/>
      <c r="M24" s="36"/>
      <c r="N24" s="37"/>
    </row>
    <row r="25" spans="1:14" s="1" customFormat="1" ht="14.1" customHeight="1">
      <c r="A25" s="92">
        <v>12</v>
      </c>
      <c r="B25" s="51" t="s">
        <v>18</v>
      </c>
      <c r="C25" s="52"/>
      <c r="D25" s="59" t="s">
        <v>15</v>
      </c>
      <c r="E25" s="60"/>
      <c r="F25" s="60"/>
      <c r="G25" s="61"/>
      <c r="H25" s="58">
        <f>SUM(I25)-1.1</f>
        <v>20.799999999999997</v>
      </c>
      <c r="I25" s="24">
        <f>SUM(J25)-1.1</f>
        <v>21.9</v>
      </c>
      <c r="J25" s="33">
        <v>23</v>
      </c>
      <c r="K25" s="24">
        <f>SUM(J25)+1.6</f>
        <v>24.6</v>
      </c>
      <c r="L25" s="24">
        <f>SUM(K25)+1.1</f>
        <v>25.700000000000003</v>
      </c>
      <c r="M25" s="58">
        <f>SUM(L25)+1.1</f>
        <v>26.800000000000004</v>
      </c>
      <c r="N25" s="121">
        <f>SUM(M25)+1.1</f>
        <v>27.900000000000006</v>
      </c>
    </row>
    <row r="26" spans="1:14" s="1" customFormat="1" ht="14.1" customHeight="1">
      <c r="A26" s="79"/>
      <c r="B26" s="62" t="s">
        <v>63</v>
      </c>
      <c r="C26" s="63"/>
      <c r="D26" s="64" t="s">
        <v>118</v>
      </c>
      <c r="E26" s="65"/>
      <c r="F26" s="65"/>
      <c r="G26" s="66"/>
      <c r="H26" s="56"/>
      <c r="I26" s="36"/>
      <c r="J26" s="35"/>
      <c r="K26" s="36"/>
      <c r="L26" s="36"/>
      <c r="M26" s="56"/>
      <c r="N26" s="122"/>
    </row>
    <row r="27" spans="1:14" s="1" customFormat="1" ht="14.1" customHeight="1">
      <c r="A27" s="92">
        <v>13</v>
      </c>
      <c r="B27" s="51" t="s">
        <v>19</v>
      </c>
      <c r="C27" s="52"/>
      <c r="D27" s="59" t="s">
        <v>15</v>
      </c>
      <c r="E27" s="60"/>
      <c r="F27" s="60"/>
      <c r="G27" s="61"/>
      <c r="H27" s="58">
        <f>SUM(I27)-1.3</f>
        <v>27.9</v>
      </c>
      <c r="I27" s="24">
        <f>SUM(J27)-1.3</f>
        <v>29.2</v>
      </c>
      <c r="J27" s="33">
        <v>30.5</v>
      </c>
      <c r="K27" s="24">
        <f>SUM(J27)+1.8</f>
        <v>32.299999999999997</v>
      </c>
      <c r="L27" s="24">
        <f>SUM(K27)+1.3</f>
        <v>33.599999999999994</v>
      </c>
      <c r="M27" s="58">
        <f>SUM(L27)+1.3</f>
        <v>34.899999999999991</v>
      </c>
      <c r="N27" s="121">
        <f>SUM(M27)+1.3</f>
        <v>36.199999999999989</v>
      </c>
    </row>
    <row r="28" spans="1:14" s="1" customFormat="1" ht="14.1" customHeight="1">
      <c r="A28" s="79"/>
      <c r="B28" s="62" t="s">
        <v>62</v>
      </c>
      <c r="C28" s="63"/>
      <c r="D28" s="64" t="s">
        <v>118</v>
      </c>
      <c r="E28" s="65"/>
      <c r="F28" s="65"/>
      <c r="G28" s="66"/>
      <c r="H28" s="56"/>
      <c r="I28" s="36"/>
      <c r="J28" s="35"/>
      <c r="K28" s="36"/>
      <c r="L28" s="36"/>
      <c r="M28" s="56"/>
      <c r="N28" s="122"/>
    </row>
    <row r="29" spans="1:14" s="1" customFormat="1" ht="14.1" customHeight="1">
      <c r="A29" s="92">
        <v>14</v>
      </c>
      <c r="B29" s="51" t="s">
        <v>20</v>
      </c>
      <c r="C29" s="52"/>
      <c r="D29" s="59" t="s">
        <v>21</v>
      </c>
      <c r="E29" s="60"/>
      <c r="F29" s="60"/>
      <c r="G29" s="61"/>
      <c r="H29" s="24"/>
      <c r="I29" s="24"/>
      <c r="J29" s="33"/>
      <c r="K29" s="24"/>
      <c r="L29" s="24"/>
      <c r="M29" s="24"/>
      <c r="N29" s="121"/>
    </row>
    <row r="30" spans="1:14" s="1" customFormat="1" ht="14.1" customHeight="1">
      <c r="A30" s="79"/>
      <c r="B30" s="62" t="s">
        <v>61</v>
      </c>
      <c r="C30" s="63"/>
      <c r="D30" s="64" t="s">
        <v>117</v>
      </c>
      <c r="E30" s="65"/>
      <c r="F30" s="65"/>
      <c r="G30" s="66"/>
      <c r="H30" s="36"/>
      <c r="I30" s="36"/>
      <c r="J30" s="35"/>
      <c r="K30" s="36"/>
      <c r="L30" s="36"/>
      <c r="M30" s="36"/>
      <c r="N30" s="122"/>
    </row>
    <row r="31" spans="1:14" s="1" customFormat="1" ht="14.1" customHeight="1">
      <c r="A31" s="92">
        <v>15</v>
      </c>
      <c r="B31" s="51" t="s">
        <v>22</v>
      </c>
      <c r="C31" s="52"/>
      <c r="D31" s="59" t="s">
        <v>23</v>
      </c>
      <c r="E31" s="60"/>
      <c r="F31" s="60"/>
      <c r="G31" s="61"/>
      <c r="H31" s="24"/>
      <c r="I31" s="24"/>
      <c r="J31" s="33"/>
      <c r="K31" s="24"/>
      <c r="L31" s="24"/>
      <c r="M31" s="24"/>
      <c r="N31" s="121"/>
    </row>
    <row r="32" spans="1:14" s="1" customFormat="1" ht="14.1" customHeight="1">
      <c r="A32" s="79"/>
      <c r="B32" s="62" t="s">
        <v>60</v>
      </c>
      <c r="C32" s="63"/>
      <c r="D32" s="64" t="s">
        <v>116</v>
      </c>
      <c r="E32" s="65"/>
      <c r="F32" s="65"/>
      <c r="G32" s="66"/>
      <c r="H32" s="36"/>
      <c r="I32" s="36"/>
      <c r="J32" s="35"/>
      <c r="K32" s="36"/>
      <c r="L32" s="36"/>
      <c r="M32" s="36"/>
      <c r="N32" s="122"/>
    </row>
    <row r="33" spans="1:14" s="1" customFormat="1" ht="14.1" customHeight="1">
      <c r="A33" s="92">
        <v>16</v>
      </c>
      <c r="B33" s="51" t="s">
        <v>115</v>
      </c>
      <c r="C33" s="52"/>
      <c r="D33" s="59" t="s">
        <v>113</v>
      </c>
      <c r="E33" s="60"/>
      <c r="F33" s="60"/>
      <c r="G33" s="61"/>
      <c r="H33" s="58"/>
      <c r="I33" s="24"/>
      <c r="J33" s="33"/>
      <c r="K33" s="24"/>
      <c r="L33" s="24"/>
      <c r="M33" s="58"/>
      <c r="N33" s="121"/>
    </row>
    <row r="34" spans="1:14" s="1" customFormat="1" ht="14.1" customHeight="1">
      <c r="A34" s="79"/>
      <c r="B34" s="62" t="s">
        <v>114</v>
      </c>
      <c r="C34" s="63"/>
      <c r="D34" s="64" t="s">
        <v>113</v>
      </c>
      <c r="E34" s="65"/>
      <c r="F34" s="65"/>
      <c r="G34" s="66"/>
      <c r="H34" s="56"/>
      <c r="I34" s="36"/>
      <c r="J34" s="35"/>
      <c r="K34" s="36"/>
      <c r="L34" s="36"/>
      <c r="M34" s="56"/>
      <c r="N34" s="122"/>
    </row>
    <row r="35" spans="1:14" s="1" customFormat="1" ht="14.1" customHeight="1">
      <c r="A35" s="92">
        <v>17</v>
      </c>
      <c r="B35" s="51" t="s">
        <v>112</v>
      </c>
      <c r="C35" s="52"/>
      <c r="D35" s="59" t="s">
        <v>111</v>
      </c>
      <c r="E35" s="60"/>
      <c r="F35" s="60"/>
      <c r="G35" s="61"/>
      <c r="H35" s="24"/>
      <c r="I35" s="24"/>
      <c r="J35" s="33"/>
      <c r="K35" s="24"/>
      <c r="L35" s="24"/>
      <c r="M35" s="24"/>
      <c r="N35" s="121"/>
    </row>
    <row r="36" spans="1:14" s="1" customFormat="1" ht="14.1" customHeight="1">
      <c r="A36" s="79"/>
      <c r="B36" s="62" t="s">
        <v>110</v>
      </c>
      <c r="C36" s="63"/>
      <c r="D36" s="64" t="s">
        <v>160</v>
      </c>
      <c r="E36" s="65"/>
      <c r="F36" s="65"/>
      <c r="G36" s="66"/>
      <c r="H36" s="36"/>
      <c r="I36" s="36"/>
      <c r="J36" s="35"/>
      <c r="K36" s="36"/>
      <c r="L36" s="36"/>
      <c r="M36" s="36"/>
      <c r="N36" s="122"/>
    </row>
    <row r="37" spans="1:14" s="1" customFormat="1" ht="14.1" customHeight="1">
      <c r="A37" s="92">
        <v>18</v>
      </c>
      <c r="B37" s="51" t="s">
        <v>398</v>
      </c>
      <c r="C37" s="52"/>
      <c r="D37" s="59"/>
      <c r="E37" s="60"/>
      <c r="F37" s="60"/>
      <c r="G37" s="61"/>
      <c r="H37" s="24">
        <f>SUM(I37)-0.5</f>
        <v>9</v>
      </c>
      <c r="I37" s="24">
        <f>SUM(J37)-0.5</f>
        <v>9.5</v>
      </c>
      <c r="J37" s="23">
        <v>10</v>
      </c>
      <c r="K37" s="21">
        <f>SUM(J37)+0.5</f>
        <v>10.5</v>
      </c>
      <c r="L37" s="21">
        <f>SUM(K37)+0.5</f>
        <v>11</v>
      </c>
      <c r="M37" s="133">
        <f>SUM(L37)+0.5</f>
        <v>11.5</v>
      </c>
      <c r="N37" s="123">
        <f>SUM(M37)+0.5</f>
        <v>12</v>
      </c>
    </row>
    <row r="38" spans="1:14" s="1" customFormat="1" ht="14.1" customHeight="1">
      <c r="A38" s="79"/>
      <c r="B38" s="62" t="s">
        <v>425</v>
      </c>
      <c r="C38" s="63"/>
      <c r="D38" s="64" t="s">
        <v>683</v>
      </c>
      <c r="E38" s="65"/>
      <c r="F38" s="65"/>
      <c r="G38" s="66"/>
      <c r="H38" s="36"/>
      <c r="I38" s="36"/>
      <c r="J38" s="23"/>
      <c r="K38" s="21"/>
      <c r="L38" s="21"/>
      <c r="M38" s="133"/>
      <c r="N38" s="123"/>
    </row>
    <row r="39" spans="1:14" s="1" customFormat="1" ht="14.1" customHeight="1">
      <c r="A39" s="92">
        <v>19</v>
      </c>
      <c r="B39" s="51" t="s">
        <v>429</v>
      </c>
      <c r="C39" s="52"/>
      <c r="D39" s="59"/>
      <c r="E39" s="60"/>
      <c r="F39" s="60"/>
      <c r="G39" s="61"/>
      <c r="H39" s="24">
        <f>SUM(I39)-0.5</f>
        <v>11</v>
      </c>
      <c r="I39" s="24">
        <f>SUM(J39)-0.5</f>
        <v>11.5</v>
      </c>
      <c r="J39" s="33">
        <v>12</v>
      </c>
      <c r="K39" s="24">
        <f>SUM(J39)+0.5</f>
        <v>12.5</v>
      </c>
      <c r="L39" s="24">
        <f>SUM(K39)+0.5</f>
        <v>13</v>
      </c>
      <c r="M39" s="24">
        <f>SUM(L39)+0.5</f>
        <v>13.5</v>
      </c>
      <c r="N39" s="121">
        <f>SUM(M39)+0.5</f>
        <v>14</v>
      </c>
    </row>
    <row r="40" spans="1:14" s="1" customFormat="1" ht="14.1" customHeight="1">
      <c r="A40" s="79"/>
      <c r="B40" s="62" t="s">
        <v>430</v>
      </c>
      <c r="C40" s="63"/>
      <c r="D40" s="64"/>
      <c r="E40" s="65"/>
      <c r="F40" s="65"/>
      <c r="G40" s="66"/>
      <c r="H40" s="36"/>
      <c r="I40" s="36"/>
      <c r="J40" s="35"/>
      <c r="K40" s="36"/>
      <c r="L40" s="36"/>
      <c r="M40" s="36"/>
      <c r="N40" s="122"/>
    </row>
    <row r="41" spans="1:14" s="1" customFormat="1" ht="14.1" customHeight="1">
      <c r="A41" s="92">
        <v>20</v>
      </c>
      <c r="B41" s="51" t="s">
        <v>138</v>
      </c>
      <c r="C41" s="52"/>
      <c r="D41" s="59"/>
      <c r="E41" s="60"/>
      <c r="F41" s="60"/>
      <c r="G41" s="61"/>
      <c r="H41" s="24">
        <f>SUM(I41)-0.5</f>
        <v>11</v>
      </c>
      <c r="I41" s="24">
        <f>SUM(J41)-0.5</f>
        <v>11.5</v>
      </c>
      <c r="J41" s="33">
        <v>12</v>
      </c>
      <c r="K41" s="24">
        <f>SUM(J41)+0.5</f>
        <v>12.5</v>
      </c>
      <c r="L41" s="24">
        <f>SUM(K41)+0.5</f>
        <v>13</v>
      </c>
      <c r="M41" s="24">
        <f>SUM(L41)+0.5</f>
        <v>13.5</v>
      </c>
      <c r="N41" s="121">
        <f>SUM(M41)+0.5</f>
        <v>14</v>
      </c>
    </row>
    <row r="42" spans="1:14" s="1" customFormat="1" ht="14.1" customHeight="1">
      <c r="A42" s="79"/>
      <c r="B42" s="62" t="s">
        <v>431</v>
      </c>
      <c r="C42" s="63"/>
      <c r="D42" s="64"/>
      <c r="E42" s="65"/>
      <c r="F42" s="65"/>
      <c r="G42" s="66"/>
      <c r="H42" s="36"/>
      <c r="I42" s="36"/>
      <c r="J42" s="35"/>
      <c r="K42" s="36"/>
      <c r="L42" s="36"/>
      <c r="M42" s="36"/>
      <c r="N42" s="122"/>
    </row>
    <row r="43" spans="1:14" s="1" customFormat="1" ht="14.1" customHeight="1">
      <c r="A43" s="98">
        <v>21</v>
      </c>
      <c r="B43" s="51"/>
      <c r="C43" s="52"/>
      <c r="D43" s="57"/>
      <c r="E43" s="57"/>
      <c r="F43" s="57"/>
      <c r="G43" s="57"/>
      <c r="H43" s="24"/>
      <c r="I43" s="24"/>
      <c r="J43" s="33"/>
      <c r="K43" s="24"/>
      <c r="L43" s="24"/>
      <c r="M43" s="24"/>
      <c r="N43" s="26"/>
    </row>
    <row r="44" spans="1:14" s="1" customFormat="1" ht="14.1" customHeight="1">
      <c r="A44" s="79"/>
      <c r="B44" s="45"/>
      <c r="C44" s="46"/>
      <c r="D44" s="47"/>
      <c r="E44" s="48"/>
      <c r="F44" s="48"/>
      <c r="G44" s="49"/>
      <c r="H44" s="36"/>
      <c r="I44" s="36"/>
      <c r="J44" s="35"/>
      <c r="K44" s="36"/>
      <c r="L44" s="36"/>
      <c r="M44" s="36"/>
      <c r="N44" s="37"/>
    </row>
    <row r="45" spans="1:14" s="1" customFormat="1" ht="14.1" customHeight="1">
      <c r="A45" s="92">
        <v>22</v>
      </c>
      <c r="B45" s="40"/>
      <c r="C45" s="41"/>
      <c r="D45" s="132"/>
      <c r="E45" s="132"/>
      <c r="F45" s="132"/>
      <c r="G45" s="132"/>
      <c r="H45" s="50"/>
      <c r="I45" s="50"/>
      <c r="J45" s="117"/>
      <c r="K45" s="50"/>
      <c r="L45" s="50"/>
      <c r="M45" s="50"/>
      <c r="N45" s="113"/>
    </row>
    <row r="46" spans="1:14" s="1" customFormat="1" ht="14.1" customHeight="1" thickBot="1">
      <c r="A46" s="99"/>
      <c r="B46" s="110"/>
      <c r="C46" s="110"/>
      <c r="D46" s="30"/>
      <c r="E46" s="31"/>
      <c r="F46" s="31"/>
      <c r="G46" s="32"/>
      <c r="H46" s="25"/>
      <c r="I46" s="25"/>
      <c r="J46" s="34"/>
      <c r="K46" s="25"/>
      <c r="L46" s="25"/>
      <c r="M46" s="25"/>
      <c r="N46" s="27"/>
    </row>
    <row r="47" spans="1:14" s="1" customFormat="1" ht="14.1" customHeight="1">
      <c r="A47"/>
      <c r="B47"/>
      <c r="C47"/>
      <c r="D47"/>
      <c r="E47"/>
      <c r="F47"/>
      <c r="G47"/>
      <c r="H47"/>
      <c r="I47"/>
      <c r="J47"/>
      <c r="K47"/>
      <c r="L47"/>
      <c r="M47"/>
      <c r="N47"/>
    </row>
    <row r="48" spans="1:14" s="1" customFormat="1" ht="14.1" customHeight="1">
      <c r="A48"/>
      <c r="B48"/>
      <c r="C48"/>
      <c r="D48"/>
      <c r="E48"/>
      <c r="F48"/>
      <c r="G48"/>
      <c r="H48"/>
      <c r="I48"/>
      <c r="J48"/>
      <c r="K48"/>
      <c r="L48"/>
      <c r="M48"/>
      <c r="N48"/>
    </row>
    <row r="49" spans="1:14" s="1" customFormat="1" ht="14.1" customHeight="1">
      <c r="A49"/>
      <c r="B49"/>
      <c r="C49"/>
      <c r="D49"/>
      <c r="E49"/>
      <c r="F49"/>
      <c r="G49"/>
      <c r="H49"/>
      <c r="I49"/>
      <c r="J49"/>
      <c r="K49"/>
      <c r="L49"/>
      <c r="M49"/>
      <c r="N49"/>
    </row>
    <row r="50" spans="1:14" s="1" customFormat="1" ht="14.1" customHeight="1">
      <c r="A50"/>
      <c r="B50"/>
      <c r="C50"/>
      <c r="D50"/>
      <c r="E50"/>
      <c r="F50"/>
      <c r="G50"/>
      <c r="H50"/>
      <c r="I50"/>
      <c r="J50"/>
      <c r="K50"/>
      <c r="L50"/>
      <c r="M50"/>
      <c r="N50"/>
    </row>
    <row r="51" spans="1:14" s="1" customFormat="1" ht="14.1" customHeight="1">
      <c r="A51"/>
      <c r="B51"/>
      <c r="C51"/>
      <c r="D51"/>
      <c r="E51"/>
      <c r="F51"/>
      <c r="G51"/>
      <c r="H51"/>
      <c r="I51"/>
      <c r="J51"/>
      <c r="K51"/>
      <c r="L51"/>
      <c r="M51"/>
      <c r="N51"/>
    </row>
    <row r="52" spans="1:14" s="1" customFormat="1" ht="14.1" customHeight="1">
      <c r="A52"/>
      <c r="B52"/>
      <c r="C52"/>
      <c r="D52"/>
      <c r="E52"/>
      <c r="F52"/>
      <c r="G52"/>
      <c r="H52"/>
      <c r="I52"/>
      <c r="J52"/>
      <c r="K52"/>
      <c r="L52"/>
      <c r="M52"/>
      <c r="N52"/>
    </row>
  </sheetData>
  <mergeCells count="267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1298C-A063-4E7D-979A-D17EB8F359B3}">
  <sheetPr>
    <tabColor rgb="FF00B050"/>
    <pageSetUpPr fitToPage="1"/>
  </sheetPr>
  <dimension ref="A1:N52"/>
  <sheetViews>
    <sheetView topLeftCell="A22" zoomScale="110" zoomScaleNormal="110" workbookViewId="0">
      <selection activeCell="M45" sqref="A1:M4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67" t="s">
        <v>841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2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464</v>
      </c>
      <c r="I2" s="9" t="s">
        <v>71</v>
      </c>
      <c r="J2" s="9" t="s">
        <v>72</v>
      </c>
      <c r="K2" s="5" t="s">
        <v>73</v>
      </c>
      <c r="L2" s="9" t="s">
        <v>74</v>
      </c>
      <c r="M2" s="9" t="s">
        <v>169</v>
      </c>
    </row>
    <row r="3" spans="1:13" s="1" customFormat="1" ht="14.1" customHeight="1">
      <c r="A3" s="78">
        <v>1</v>
      </c>
      <c r="B3" s="80" t="s">
        <v>149</v>
      </c>
      <c r="C3" s="81"/>
      <c r="D3" s="74" t="s">
        <v>82</v>
      </c>
      <c r="E3" s="82"/>
      <c r="F3" s="82"/>
      <c r="G3" s="83"/>
      <c r="H3" s="58">
        <f>SUM(I3)-2</f>
        <v>43</v>
      </c>
      <c r="I3" s="58">
        <f>SUM(J3)-3</f>
        <v>45</v>
      </c>
      <c r="J3" s="24">
        <f>SUM(K3)-3</f>
        <v>48</v>
      </c>
      <c r="K3" s="84">
        <v>51</v>
      </c>
      <c r="L3" s="85">
        <f>SUM(K3)+3</f>
        <v>54</v>
      </c>
      <c r="M3" s="109">
        <f>SUM(L3)+3</f>
        <v>57</v>
      </c>
    </row>
    <row r="4" spans="1:13" s="1" customFormat="1" ht="14.1" customHeight="1">
      <c r="A4" s="79"/>
      <c r="B4" s="62" t="s">
        <v>108</v>
      </c>
      <c r="C4" s="63"/>
      <c r="D4" s="64" t="s">
        <v>83</v>
      </c>
      <c r="E4" s="65"/>
      <c r="F4" s="65"/>
      <c r="G4" s="66"/>
      <c r="H4" s="56"/>
      <c r="I4" s="56"/>
      <c r="J4" s="36"/>
      <c r="K4" s="35"/>
      <c r="L4" s="36"/>
      <c r="M4" s="37"/>
    </row>
    <row r="5" spans="1:13" s="1" customFormat="1" ht="14.1" customHeight="1">
      <c r="A5" s="92">
        <v>2</v>
      </c>
      <c r="B5" s="40" t="s">
        <v>165</v>
      </c>
      <c r="C5" s="41"/>
      <c r="D5" s="100"/>
      <c r="E5" s="101"/>
      <c r="F5" s="101"/>
      <c r="G5" s="102"/>
      <c r="H5" s="58"/>
      <c r="I5" s="58"/>
      <c r="J5" s="24"/>
      <c r="K5" s="117"/>
      <c r="L5" s="50"/>
      <c r="M5" s="113"/>
    </row>
    <row r="6" spans="1:13" s="1" customFormat="1" ht="14.1" customHeight="1">
      <c r="A6" s="79"/>
      <c r="B6" s="62" t="s">
        <v>164</v>
      </c>
      <c r="C6" s="63"/>
      <c r="D6" s="64"/>
      <c r="E6" s="65"/>
      <c r="F6" s="65"/>
      <c r="G6" s="66"/>
      <c r="H6" s="56"/>
      <c r="I6" s="56"/>
      <c r="J6" s="36"/>
      <c r="K6" s="35"/>
      <c r="L6" s="36"/>
      <c r="M6" s="37"/>
    </row>
    <row r="7" spans="1:13" s="1" customFormat="1" ht="14.1" customHeight="1">
      <c r="A7" s="92">
        <v>3</v>
      </c>
      <c r="B7" s="40" t="s">
        <v>148</v>
      </c>
      <c r="C7" s="41"/>
      <c r="D7" s="100"/>
      <c r="E7" s="101"/>
      <c r="F7" s="101"/>
      <c r="G7" s="102"/>
      <c r="H7" s="58"/>
      <c r="I7" s="58"/>
      <c r="J7" s="24"/>
      <c r="K7" s="117"/>
      <c r="L7" s="50"/>
      <c r="M7" s="113"/>
    </row>
    <row r="8" spans="1:13" s="1" customFormat="1" ht="14.1" customHeight="1">
      <c r="A8" s="79"/>
      <c r="B8" s="62" t="s">
        <v>147</v>
      </c>
      <c r="C8" s="63"/>
      <c r="D8" s="64"/>
      <c r="E8" s="65"/>
      <c r="F8" s="65"/>
      <c r="G8" s="66"/>
      <c r="H8" s="56"/>
      <c r="I8" s="56"/>
      <c r="J8" s="36"/>
      <c r="K8" s="35"/>
      <c r="L8" s="36"/>
      <c r="M8" s="37"/>
    </row>
    <row r="9" spans="1:13" s="1" customFormat="1" ht="14.1" customHeight="1">
      <c r="A9" s="92">
        <v>4</v>
      </c>
      <c r="B9" s="51" t="s">
        <v>163</v>
      </c>
      <c r="C9" s="52"/>
      <c r="D9" s="118"/>
      <c r="E9" s="119"/>
      <c r="F9" s="119"/>
      <c r="G9" s="120"/>
      <c r="H9" s="24"/>
      <c r="I9" s="24"/>
      <c r="J9" s="24"/>
      <c r="K9" s="117"/>
      <c r="L9" s="50"/>
      <c r="M9" s="113"/>
    </row>
    <row r="10" spans="1:13" s="1" customFormat="1" ht="14.1" customHeight="1">
      <c r="A10" s="79"/>
      <c r="B10" s="62" t="s">
        <v>162</v>
      </c>
      <c r="C10" s="63"/>
      <c r="D10" s="114"/>
      <c r="E10" s="115"/>
      <c r="F10" s="115"/>
      <c r="G10" s="116"/>
      <c r="H10" s="36"/>
      <c r="I10" s="36"/>
      <c r="J10" s="36"/>
      <c r="K10" s="35"/>
      <c r="L10" s="36"/>
      <c r="M10" s="37"/>
    </row>
    <row r="11" spans="1:13" s="1" customFormat="1" ht="14.1" customHeight="1">
      <c r="A11" s="92">
        <v>5</v>
      </c>
      <c r="B11" s="51" t="s">
        <v>157</v>
      </c>
      <c r="C11" s="52"/>
      <c r="D11" s="100"/>
      <c r="E11" s="101"/>
      <c r="F11" s="101"/>
      <c r="G11" s="102"/>
      <c r="H11" s="24">
        <f>SUM(I11)-3.5</f>
        <v>61.900000000000006</v>
      </c>
      <c r="I11" s="24">
        <f>SUM(J11)-3.5</f>
        <v>65.400000000000006</v>
      </c>
      <c r="J11" s="24">
        <f>SUM(K11)-3.5</f>
        <v>68.900000000000006</v>
      </c>
      <c r="K11" s="117">
        <v>72.400000000000006</v>
      </c>
      <c r="L11" s="50">
        <f>SUM(K11)+3.5</f>
        <v>75.900000000000006</v>
      </c>
      <c r="M11" s="113">
        <f>SUM(L11)+3.5</f>
        <v>79.400000000000006</v>
      </c>
    </row>
    <row r="12" spans="1:13" s="1" customFormat="1" ht="14.1" customHeight="1">
      <c r="A12" s="79"/>
      <c r="B12" s="62" t="s">
        <v>158</v>
      </c>
      <c r="C12" s="63"/>
      <c r="D12" s="64"/>
      <c r="E12" s="65"/>
      <c r="F12" s="65"/>
      <c r="G12" s="66"/>
      <c r="H12" s="36"/>
      <c r="I12" s="36"/>
      <c r="J12" s="36"/>
      <c r="K12" s="35"/>
      <c r="L12" s="36"/>
      <c r="M12" s="37"/>
    </row>
    <row r="13" spans="1:13" s="1" customFormat="1" ht="14.1" customHeight="1">
      <c r="A13" s="92">
        <v>6</v>
      </c>
      <c r="B13" s="51" t="s">
        <v>13</v>
      </c>
      <c r="C13" s="52"/>
      <c r="D13" s="59" t="s">
        <v>182</v>
      </c>
      <c r="E13" s="60"/>
      <c r="F13" s="60"/>
      <c r="G13" s="61"/>
      <c r="H13" s="24">
        <f>SUM(I13)-4</f>
        <v>64</v>
      </c>
      <c r="I13" s="24">
        <f>SUM(J13)-4</f>
        <v>68</v>
      </c>
      <c r="J13" s="24">
        <f>SUM(K13)-4</f>
        <v>72</v>
      </c>
      <c r="K13" s="33">
        <v>76</v>
      </c>
      <c r="L13" s="24">
        <f>SUM(K13)+4</f>
        <v>80</v>
      </c>
      <c r="M13" s="26">
        <f>SUM(L13)+4</f>
        <v>84</v>
      </c>
    </row>
    <row r="14" spans="1:13" s="1" customFormat="1" ht="14.1" customHeight="1">
      <c r="A14" s="79"/>
      <c r="B14" s="62" t="s">
        <v>55</v>
      </c>
      <c r="C14" s="63"/>
      <c r="D14" s="64" t="s">
        <v>121</v>
      </c>
      <c r="E14" s="65"/>
      <c r="F14" s="65"/>
      <c r="G14" s="66"/>
      <c r="H14" s="36"/>
      <c r="I14" s="36"/>
      <c r="J14" s="36"/>
      <c r="K14" s="35"/>
      <c r="L14" s="36"/>
      <c r="M14" s="37"/>
    </row>
    <row r="15" spans="1:13" s="1" customFormat="1" ht="14.1" customHeight="1">
      <c r="A15" s="92">
        <v>7</v>
      </c>
      <c r="B15" s="51" t="s">
        <v>146</v>
      </c>
      <c r="C15" s="52"/>
      <c r="D15" s="59"/>
      <c r="E15" s="60"/>
      <c r="F15" s="60"/>
      <c r="G15" s="61"/>
      <c r="H15" s="58">
        <f>SUM(I15)-0.7</f>
        <v>12.400000000000002</v>
      </c>
      <c r="I15" s="58">
        <f>SUM(J15)-0.7</f>
        <v>13.100000000000001</v>
      </c>
      <c r="J15" s="24">
        <f>SUM(K15)-0.7</f>
        <v>13.8</v>
      </c>
      <c r="K15" s="33">
        <v>14.5</v>
      </c>
      <c r="L15" s="24">
        <f>SUM(K15)+1.2</f>
        <v>15.7</v>
      </c>
      <c r="M15" s="26">
        <f>SUM(L15)+0.7</f>
        <v>16.399999999999999</v>
      </c>
    </row>
    <row r="16" spans="1:13" s="1" customFormat="1" ht="14.1" customHeight="1">
      <c r="A16" s="79"/>
      <c r="B16" s="62" t="s">
        <v>145</v>
      </c>
      <c r="C16" s="63"/>
      <c r="D16" s="89" t="s">
        <v>161</v>
      </c>
      <c r="E16" s="90"/>
      <c r="F16" s="90"/>
      <c r="G16" s="91"/>
      <c r="H16" s="56"/>
      <c r="I16" s="56"/>
      <c r="J16" s="36"/>
      <c r="K16" s="35"/>
      <c r="L16" s="36"/>
      <c r="M16" s="37"/>
    </row>
    <row r="17" spans="1:13" s="1" customFormat="1" ht="14.1" customHeight="1">
      <c r="A17" s="92">
        <v>8</v>
      </c>
      <c r="B17" s="51" t="s">
        <v>166</v>
      </c>
      <c r="C17" s="52"/>
      <c r="D17" s="59"/>
      <c r="E17" s="60"/>
      <c r="F17" s="60"/>
      <c r="G17" s="61"/>
      <c r="H17" s="58"/>
      <c r="I17" s="58"/>
      <c r="J17" s="24"/>
      <c r="K17" s="33"/>
      <c r="L17" s="24"/>
      <c r="M17" s="26"/>
    </row>
    <row r="18" spans="1:13" s="1" customFormat="1" ht="14.1" customHeight="1">
      <c r="A18" s="79"/>
      <c r="B18" s="62" t="s">
        <v>167</v>
      </c>
      <c r="C18" s="63"/>
      <c r="D18" s="89" t="s">
        <v>168</v>
      </c>
      <c r="E18" s="90"/>
      <c r="F18" s="90"/>
      <c r="G18" s="91"/>
      <c r="H18" s="56"/>
      <c r="I18" s="56"/>
      <c r="J18" s="36"/>
      <c r="K18" s="35"/>
      <c r="L18" s="36"/>
      <c r="M18" s="37"/>
    </row>
    <row r="19" spans="1:13" s="1" customFormat="1" ht="14.1" customHeight="1">
      <c r="A19" s="92">
        <v>9</v>
      </c>
      <c r="B19" s="51" t="s">
        <v>178</v>
      </c>
      <c r="C19" s="52"/>
      <c r="D19" s="59"/>
      <c r="E19" s="60"/>
      <c r="F19" s="60"/>
      <c r="G19" s="61"/>
      <c r="H19" s="24"/>
      <c r="I19" s="24"/>
      <c r="J19" s="24"/>
      <c r="K19" s="33"/>
      <c r="L19" s="24"/>
      <c r="M19" s="26"/>
    </row>
    <row r="20" spans="1:13" s="1" customFormat="1" ht="14.1" customHeight="1">
      <c r="A20" s="79"/>
      <c r="B20" s="62" t="s">
        <v>177</v>
      </c>
      <c r="C20" s="63"/>
      <c r="D20" s="89"/>
      <c r="E20" s="90"/>
      <c r="F20" s="90"/>
      <c r="G20" s="91"/>
      <c r="H20" s="36"/>
      <c r="I20" s="36"/>
      <c r="J20" s="36"/>
      <c r="K20" s="35"/>
      <c r="L20" s="36"/>
      <c r="M20" s="37"/>
    </row>
    <row r="21" spans="1:13" s="1" customFormat="1" ht="14.1" customHeight="1">
      <c r="A21" s="92">
        <v>10</v>
      </c>
      <c r="B21" s="51" t="s">
        <v>9</v>
      </c>
      <c r="C21" s="52"/>
      <c r="D21" s="59" t="s">
        <v>84</v>
      </c>
      <c r="E21" s="60"/>
      <c r="F21" s="60"/>
      <c r="G21" s="61"/>
      <c r="H21" s="24">
        <f>SUM(I21)-7</f>
        <v>46.2</v>
      </c>
      <c r="I21" s="24">
        <f>SUM(J21)-7</f>
        <v>53.2</v>
      </c>
      <c r="J21" s="24">
        <f>SUM(K21)-7</f>
        <v>60.2</v>
      </c>
      <c r="K21" s="33">
        <v>67.2</v>
      </c>
      <c r="L21" s="24">
        <f>SUM(K21)+6</f>
        <v>73.2</v>
      </c>
      <c r="M21" s="26">
        <f>SUM(L21)+6</f>
        <v>79.2</v>
      </c>
    </row>
    <row r="22" spans="1:13" s="1" customFormat="1" ht="14.1" customHeight="1">
      <c r="A22" s="79"/>
      <c r="B22" s="62" t="s">
        <v>56</v>
      </c>
      <c r="C22" s="63"/>
      <c r="D22" s="64" t="s">
        <v>120</v>
      </c>
      <c r="E22" s="65"/>
      <c r="F22" s="65"/>
      <c r="G22" s="66"/>
      <c r="H22" s="36"/>
      <c r="I22" s="36"/>
      <c r="J22" s="36"/>
      <c r="K22" s="35"/>
      <c r="L22" s="36"/>
      <c r="M22" s="37"/>
    </row>
    <row r="23" spans="1:13" s="1" customFormat="1" ht="14.1" customHeight="1">
      <c r="A23" s="92">
        <v>11</v>
      </c>
      <c r="B23" s="51" t="s">
        <v>16</v>
      </c>
      <c r="C23" s="52"/>
      <c r="D23" s="59" t="s">
        <v>845</v>
      </c>
      <c r="E23" s="60"/>
      <c r="F23" s="60"/>
      <c r="G23" s="61"/>
      <c r="H23" s="24">
        <f>SUM(I23)-1</f>
        <v>19</v>
      </c>
      <c r="I23" s="24">
        <f>SUM(J23)-1</f>
        <v>20</v>
      </c>
      <c r="J23" s="24">
        <f>SUM(K23)-1</f>
        <v>21</v>
      </c>
      <c r="K23" s="33">
        <v>22</v>
      </c>
      <c r="L23" s="24">
        <f>SUM(K23)+1</f>
        <v>23</v>
      </c>
      <c r="M23" s="26">
        <f t="shared" ref="M23" si="0">SUM(L23)+1</f>
        <v>24</v>
      </c>
    </row>
    <row r="24" spans="1:13" s="1" customFormat="1" ht="14.1" customHeight="1">
      <c r="A24" s="79"/>
      <c r="B24" s="62" t="s">
        <v>57</v>
      </c>
      <c r="C24" s="63"/>
      <c r="D24" s="47" t="s">
        <v>844</v>
      </c>
      <c r="E24" s="48"/>
      <c r="F24" s="48"/>
      <c r="G24" s="49"/>
      <c r="H24" s="36"/>
      <c r="I24" s="36"/>
      <c r="J24" s="36"/>
      <c r="K24" s="35"/>
      <c r="L24" s="36"/>
      <c r="M24" s="37"/>
    </row>
    <row r="25" spans="1:13" s="1" customFormat="1" ht="14.1" customHeight="1">
      <c r="A25" s="92">
        <v>12</v>
      </c>
      <c r="B25" s="51" t="s">
        <v>18</v>
      </c>
      <c r="C25" s="52"/>
      <c r="D25" s="59" t="s">
        <v>843</v>
      </c>
      <c r="E25" s="60"/>
      <c r="F25" s="60"/>
      <c r="G25" s="61"/>
      <c r="H25" s="58">
        <f>SUM(I25)-1.1</f>
        <v>19.699999999999996</v>
      </c>
      <c r="I25" s="58">
        <f>SUM(J25)-1.1</f>
        <v>20.799999999999997</v>
      </c>
      <c r="J25" s="24">
        <f>SUM(K25)-1.1</f>
        <v>21.9</v>
      </c>
      <c r="K25" s="33">
        <v>23</v>
      </c>
      <c r="L25" s="24">
        <f>SUM(K25)+1.5</f>
        <v>24.5</v>
      </c>
      <c r="M25" s="26">
        <f>SUM(L25)+1.1</f>
        <v>25.6</v>
      </c>
    </row>
    <row r="26" spans="1:13" s="1" customFormat="1" ht="14.1" customHeight="1">
      <c r="A26" s="79"/>
      <c r="B26" s="62" t="s">
        <v>63</v>
      </c>
      <c r="C26" s="63"/>
      <c r="D26" s="64" t="s">
        <v>118</v>
      </c>
      <c r="E26" s="65"/>
      <c r="F26" s="65"/>
      <c r="G26" s="66"/>
      <c r="H26" s="56"/>
      <c r="I26" s="56"/>
      <c r="J26" s="36"/>
      <c r="K26" s="35"/>
      <c r="L26" s="36"/>
      <c r="M26" s="37"/>
    </row>
    <row r="27" spans="1:13" s="1" customFormat="1" ht="14.1" customHeight="1">
      <c r="A27" s="92">
        <v>13</v>
      </c>
      <c r="B27" s="51" t="s">
        <v>19</v>
      </c>
      <c r="C27" s="52"/>
      <c r="D27" s="59" t="s">
        <v>15</v>
      </c>
      <c r="E27" s="60"/>
      <c r="F27" s="60"/>
      <c r="G27" s="61"/>
      <c r="H27" s="58">
        <f>SUM(I27)-1.3</f>
        <v>26.799999999999997</v>
      </c>
      <c r="I27" s="58">
        <f>SUM(J27)-1.3</f>
        <v>28.099999999999998</v>
      </c>
      <c r="J27" s="24">
        <f>SUM(K27)-1.3</f>
        <v>29.4</v>
      </c>
      <c r="K27" s="33">
        <v>30.7</v>
      </c>
      <c r="L27" s="24">
        <f>SUM(K27)+1.8</f>
        <v>32.5</v>
      </c>
      <c r="M27" s="26">
        <f>SUM(L27)+1.3</f>
        <v>33.799999999999997</v>
      </c>
    </row>
    <row r="28" spans="1:13" s="1" customFormat="1" ht="14.1" customHeight="1">
      <c r="A28" s="79"/>
      <c r="B28" s="62" t="s">
        <v>62</v>
      </c>
      <c r="C28" s="63"/>
      <c r="D28" s="64" t="s">
        <v>118</v>
      </c>
      <c r="E28" s="65"/>
      <c r="F28" s="65"/>
      <c r="G28" s="66"/>
      <c r="H28" s="56"/>
      <c r="I28" s="56"/>
      <c r="J28" s="36"/>
      <c r="K28" s="35"/>
      <c r="L28" s="36"/>
      <c r="M28" s="37"/>
    </row>
    <row r="29" spans="1:13" s="1" customFormat="1" ht="14.1" customHeight="1">
      <c r="A29" s="92">
        <v>14</v>
      </c>
      <c r="B29" s="51" t="s">
        <v>20</v>
      </c>
      <c r="C29" s="52"/>
      <c r="D29" s="59" t="s">
        <v>21</v>
      </c>
      <c r="E29" s="60"/>
      <c r="F29" s="60"/>
      <c r="G29" s="61"/>
      <c r="H29" s="24">
        <f t="shared" ref="H29:I29" si="1">SUM(I29)-2.7</f>
        <v>39.599999999999994</v>
      </c>
      <c r="I29" s="24">
        <f t="shared" si="1"/>
        <v>42.3</v>
      </c>
      <c r="J29" s="24">
        <f>SUM(K29)-2.7</f>
        <v>45</v>
      </c>
      <c r="K29" s="33">
        <v>47.7</v>
      </c>
      <c r="L29" s="24">
        <f>SUM(K29)+2.6</f>
        <v>50.300000000000004</v>
      </c>
      <c r="M29" s="26">
        <f t="shared" ref="M29" si="2">SUM(L29)+2.6</f>
        <v>52.900000000000006</v>
      </c>
    </row>
    <row r="30" spans="1:13" s="1" customFormat="1" ht="14.1" customHeight="1">
      <c r="A30" s="79"/>
      <c r="B30" s="62" t="s">
        <v>61</v>
      </c>
      <c r="C30" s="63"/>
      <c r="D30" s="64" t="s">
        <v>117</v>
      </c>
      <c r="E30" s="65"/>
      <c r="F30" s="65"/>
      <c r="G30" s="66"/>
      <c r="H30" s="36"/>
      <c r="I30" s="36"/>
      <c r="J30" s="36"/>
      <c r="K30" s="35"/>
      <c r="L30" s="36"/>
      <c r="M30" s="37"/>
    </row>
    <row r="31" spans="1:13" s="1" customFormat="1" ht="14.1" customHeight="1">
      <c r="A31" s="92">
        <v>15</v>
      </c>
      <c r="B31" s="51" t="s">
        <v>22</v>
      </c>
      <c r="C31" s="52"/>
      <c r="D31" s="59" t="s">
        <v>23</v>
      </c>
      <c r="E31" s="60"/>
      <c r="F31" s="60"/>
      <c r="G31" s="61"/>
      <c r="H31" s="24">
        <f>SUM(I31)-6</f>
        <v>27</v>
      </c>
      <c r="I31" s="24">
        <f>SUM(J31)-6</f>
        <v>33</v>
      </c>
      <c r="J31" s="24">
        <f>SUM(K31)-6</f>
        <v>39</v>
      </c>
      <c r="K31" s="33">
        <v>45</v>
      </c>
      <c r="L31" s="24">
        <f>SUM(K31)+4.5</f>
        <v>49.5</v>
      </c>
      <c r="M31" s="26">
        <f>SUM(L31)+5</f>
        <v>54.5</v>
      </c>
    </row>
    <row r="32" spans="1:13" s="1" customFormat="1" ht="14.1" customHeight="1">
      <c r="A32" s="79"/>
      <c r="B32" s="62" t="s">
        <v>60</v>
      </c>
      <c r="C32" s="63"/>
      <c r="D32" s="64" t="s">
        <v>116</v>
      </c>
      <c r="E32" s="65"/>
      <c r="F32" s="65"/>
      <c r="G32" s="66"/>
      <c r="H32" s="36"/>
      <c r="I32" s="36"/>
      <c r="J32" s="36"/>
      <c r="K32" s="35"/>
      <c r="L32" s="36"/>
      <c r="M32" s="37"/>
    </row>
    <row r="33" spans="1:13" s="1" customFormat="1" ht="14.1" customHeight="1">
      <c r="A33" s="92">
        <v>16</v>
      </c>
      <c r="B33" s="51" t="s">
        <v>115</v>
      </c>
      <c r="C33" s="52"/>
      <c r="D33" s="59" t="s">
        <v>113</v>
      </c>
      <c r="E33" s="60"/>
      <c r="F33" s="60"/>
      <c r="G33" s="61"/>
      <c r="H33" s="24">
        <f>SUM(I33)-1.9</f>
        <v>36.100000000000009</v>
      </c>
      <c r="I33" s="24">
        <f>SUM(J33)-1.9</f>
        <v>38.000000000000007</v>
      </c>
      <c r="J33" s="24">
        <f>SUM(K33)-1.8</f>
        <v>39.900000000000006</v>
      </c>
      <c r="K33" s="33">
        <v>41.7</v>
      </c>
      <c r="L33" s="24">
        <f>SUM(K33)+1.9</f>
        <v>43.6</v>
      </c>
      <c r="M33" s="26">
        <f t="shared" ref="M33" si="3">SUM(L33)+1.9</f>
        <v>45.5</v>
      </c>
    </row>
    <row r="34" spans="1:13" s="1" customFormat="1" ht="14.1" customHeight="1">
      <c r="A34" s="79"/>
      <c r="B34" s="62" t="s">
        <v>114</v>
      </c>
      <c r="C34" s="63"/>
      <c r="D34" s="64" t="s">
        <v>113</v>
      </c>
      <c r="E34" s="65"/>
      <c r="F34" s="65"/>
      <c r="G34" s="66"/>
      <c r="H34" s="36"/>
      <c r="I34" s="36"/>
      <c r="J34" s="36"/>
      <c r="K34" s="35"/>
      <c r="L34" s="36"/>
      <c r="M34" s="37"/>
    </row>
    <row r="35" spans="1:13" s="1" customFormat="1" ht="14.1" customHeight="1">
      <c r="A35" s="92">
        <v>17</v>
      </c>
      <c r="B35" s="51" t="s">
        <v>112</v>
      </c>
      <c r="C35" s="52"/>
      <c r="D35" s="59" t="s">
        <v>111</v>
      </c>
      <c r="E35" s="60"/>
      <c r="F35" s="60"/>
      <c r="G35" s="61"/>
      <c r="H35" s="24">
        <f>SUM(I35)-3.3</f>
        <v>29.300000000000008</v>
      </c>
      <c r="I35" s="24">
        <f>SUM(J35)-3.3</f>
        <v>32.600000000000009</v>
      </c>
      <c r="J35" s="24">
        <f>SUM(K35)-3.3</f>
        <v>35.900000000000006</v>
      </c>
      <c r="K35" s="33">
        <v>39.200000000000003</v>
      </c>
      <c r="L35" s="24">
        <f>SUM(K35)+3.2</f>
        <v>42.400000000000006</v>
      </c>
      <c r="M35" s="26">
        <f>SUM(L35)+2.9</f>
        <v>45.300000000000004</v>
      </c>
    </row>
    <row r="36" spans="1:13" s="1" customFormat="1" ht="14.1" customHeight="1">
      <c r="A36" s="79"/>
      <c r="B36" s="62" t="s">
        <v>110</v>
      </c>
      <c r="C36" s="63"/>
      <c r="D36" s="64" t="s">
        <v>160</v>
      </c>
      <c r="E36" s="65"/>
      <c r="F36" s="65"/>
      <c r="G36" s="66"/>
      <c r="H36" s="36"/>
      <c r="I36" s="36"/>
      <c r="J36" s="36"/>
      <c r="K36" s="35"/>
      <c r="L36" s="36"/>
      <c r="M36" s="37"/>
    </row>
    <row r="37" spans="1:13" s="1" customFormat="1" ht="14.1" customHeight="1">
      <c r="A37" s="92">
        <v>18</v>
      </c>
      <c r="B37" s="51" t="s">
        <v>144</v>
      </c>
      <c r="C37" s="52"/>
      <c r="D37" s="59" t="s">
        <v>24</v>
      </c>
      <c r="E37" s="60"/>
      <c r="F37" s="60"/>
      <c r="G37" s="61"/>
      <c r="H37" s="24">
        <f t="shared" ref="H37:I37" si="4">SUM(I37)-0.2</f>
        <v>4.3999999999999995</v>
      </c>
      <c r="I37" s="24">
        <f t="shared" si="4"/>
        <v>4.5999999999999996</v>
      </c>
      <c r="J37" s="24">
        <f>SUM(K37)-0.2</f>
        <v>4.8</v>
      </c>
      <c r="K37" s="23">
        <v>5</v>
      </c>
      <c r="L37" s="21">
        <f>SUM(K37)+0.2</f>
        <v>5.2</v>
      </c>
      <c r="M37" s="22">
        <f>SUM(L37)+0.2</f>
        <v>5.4</v>
      </c>
    </row>
    <row r="38" spans="1:13" s="1" customFormat="1" ht="14.1" customHeight="1">
      <c r="A38" s="79"/>
      <c r="B38" s="62" t="s">
        <v>59</v>
      </c>
      <c r="C38" s="63"/>
      <c r="D38" s="64" t="s">
        <v>143</v>
      </c>
      <c r="E38" s="65"/>
      <c r="F38" s="65"/>
      <c r="G38" s="66"/>
      <c r="H38" s="36"/>
      <c r="I38" s="36"/>
      <c r="J38" s="36"/>
      <c r="K38" s="23"/>
      <c r="L38" s="21"/>
      <c r="M38" s="22"/>
    </row>
    <row r="39" spans="1:13" s="1" customFormat="1" ht="14.1" customHeight="1">
      <c r="A39" s="92">
        <v>19</v>
      </c>
      <c r="B39" s="51" t="s">
        <v>142</v>
      </c>
      <c r="C39" s="52"/>
      <c r="D39" s="59" t="s">
        <v>25</v>
      </c>
      <c r="E39" s="60"/>
      <c r="F39" s="60"/>
      <c r="G39" s="61"/>
      <c r="H39" s="24">
        <f t="shared" ref="H39:I39" si="5">SUM(I39)-0.6</f>
        <v>9.1000000000000014</v>
      </c>
      <c r="I39" s="24">
        <f t="shared" si="5"/>
        <v>9.7000000000000011</v>
      </c>
      <c r="J39" s="24">
        <f>SUM(K39)-0.6</f>
        <v>10.3</v>
      </c>
      <c r="K39" s="33">
        <v>10.9</v>
      </c>
      <c r="L39" s="24">
        <f>SUM(K39)+0.6</f>
        <v>11.5</v>
      </c>
      <c r="M39" s="26">
        <f>SUM(L39)+0.6</f>
        <v>12.1</v>
      </c>
    </row>
    <row r="40" spans="1:13" s="1" customFormat="1" ht="14.1" customHeight="1">
      <c r="A40" s="79"/>
      <c r="B40" s="62" t="s">
        <v>58</v>
      </c>
      <c r="C40" s="63"/>
      <c r="D40" s="64" t="s">
        <v>141</v>
      </c>
      <c r="E40" s="65"/>
      <c r="F40" s="65"/>
      <c r="G40" s="66"/>
      <c r="H40" s="36"/>
      <c r="I40" s="36"/>
      <c r="J40" s="36"/>
      <c r="K40" s="35"/>
      <c r="L40" s="36"/>
      <c r="M40" s="37"/>
    </row>
    <row r="41" spans="1:13" s="1" customFormat="1" ht="14.1" customHeight="1">
      <c r="A41" s="92">
        <v>20</v>
      </c>
      <c r="B41" s="51" t="s">
        <v>140</v>
      </c>
      <c r="C41" s="52"/>
      <c r="D41" s="57"/>
      <c r="E41" s="57"/>
      <c r="F41" s="57"/>
      <c r="G41" s="57"/>
      <c r="H41" s="24">
        <f>SUM(I41)-0.5</f>
        <v>10</v>
      </c>
      <c r="I41" s="24">
        <f>SUM(J41)-0.5</f>
        <v>10.5</v>
      </c>
      <c r="J41" s="24">
        <f>SUM(K41)-0.5</f>
        <v>11</v>
      </c>
      <c r="K41" s="33">
        <v>11.5</v>
      </c>
      <c r="L41" s="24">
        <f>SUM(K41)+0.5</f>
        <v>12</v>
      </c>
      <c r="M41" s="26">
        <f>SUM(L41)+0.5</f>
        <v>12.5</v>
      </c>
    </row>
    <row r="42" spans="1:13" s="1" customFormat="1" ht="14.1" customHeight="1">
      <c r="A42" s="79"/>
      <c r="B42" s="45" t="s">
        <v>139</v>
      </c>
      <c r="C42" s="46"/>
      <c r="D42" s="47"/>
      <c r="E42" s="48"/>
      <c r="F42" s="48"/>
      <c r="G42" s="49"/>
      <c r="H42" s="36"/>
      <c r="I42" s="36"/>
      <c r="J42" s="36"/>
      <c r="K42" s="35"/>
      <c r="L42" s="36"/>
      <c r="M42" s="37"/>
    </row>
    <row r="43" spans="1:13" s="1" customFormat="1" ht="14.1" customHeight="1">
      <c r="A43" s="92">
        <v>21</v>
      </c>
      <c r="B43" s="51" t="s">
        <v>138</v>
      </c>
      <c r="C43" s="52"/>
      <c r="D43" s="57"/>
      <c r="E43" s="57"/>
      <c r="F43" s="57"/>
      <c r="G43" s="57"/>
      <c r="H43" s="24">
        <f>SUM(I43)-0.5</f>
        <v>10.5</v>
      </c>
      <c r="I43" s="24">
        <f>SUM(J43)-0.5</f>
        <v>11</v>
      </c>
      <c r="J43" s="24">
        <f>SUM(K43)-0.5</f>
        <v>11.5</v>
      </c>
      <c r="K43" s="33">
        <v>12</v>
      </c>
      <c r="L43" s="24">
        <f>SUM(K43)+0.5</f>
        <v>12.5</v>
      </c>
      <c r="M43" s="26">
        <f>SUM(L43)+0.5</f>
        <v>13</v>
      </c>
    </row>
    <row r="44" spans="1:13" s="1" customFormat="1" ht="14.1" customHeight="1">
      <c r="A44" s="79"/>
      <c r="B44" s="56" t="s">
        <v>137</v>
      </c>
      <c r="C44" s="56"/>
      <c r="D44" s="47"/>
      <c r="E44" s="48"/>
      <c r="F44" s="48"/>
      <c r="G44" s="49"/>
      <c r="H44" s="36"/>
      <c r="I44" s="36"/>
      <c r="J44" s="36"/>
      <c r="K44" s="35"/>
      <c r="L44" s="36"/>
      <c r="M44" s="37"/>
    </row>
    <row r="45" spans="1:13" s="1" customFormat="1" ht="14.1" customHeight="1">
      <c r="A45" s="92">
        <v>22</v>
      </c>
      <c r="B45" s="51" t="s">
        <v>443</v>
      </c>
      <c r="C45" s="52"/>
      <c r="D45" s="59"/>
      <c r="E45" s="60"/>
      <c r="F45" s="60"/>
      <c r="G45" s="61"/>
      <c r="H45" s="24">
        <f>SUM(I45)-3</f>
        <v>78</v>
      </c>
      <c r="I45" s="24">
        <f>SUM(J45)-3</f>
        <v>81</v>
      </c>
      <c r="J45" s="24">
        <f>SUM(K45)-3</f>
        <v>84</v>
      </c>
      <c r="K45" s="33">
        <v>87</v>
      </c>
      <c r="L45" s="24">
        <f>SUM(K45)+3</f>
        <v>90</v>
      </c>
      <c r="M45" s="26">
        <f>SUM(L45)+3</f>
        <v>93</v>
      </c>
    </row>
    <row r="46" spans="1:13" s="1" customFormat="1" ht="14.1" customHeight="1" thickBot="1">
      <c r="A46" s="99"/>
      <c r="B46" s="104" t="s">
        <v>444</v>
      </c>
      <c r="C46" s="105"/>
      <c r="D46" s="106" t="s">
        <v>842</v>
      </c>
      <c r="E46" s="107"/>
      <c r="F46" s="107"/>
      <c r="G46" s="108"/>
      <c r="H46" s="25"/>
      <c r="I46" s="25"/>
      <c r="J46" s="25"/>
      <c r="K46" s="34"/>
      <c r="L46" s="25"/>
      <c r="M46" s="27"/>
    </row>
    <row r="47" spans="1:13" s="1" customFormat="1" ht="14.1" customHeight="1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3" s="1" customFormat="1" ht="14.1" customHeight="1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1:14" s="1" customFormat="1" ht="14.1" customHeight="1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4" s="1" customFormat="1" ht="14.1" customHeight="1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4" s="1" customFormat="1" ht="14.1" customHeight="1">
      <c r="A51"/>
      <c r="B51"/>
      <c r="C51"/>
      <c r="D51"/>
      <c r="E51"/>
      <c r="F51"/>
      <c r="G51"/>
      <c r="H51"/>
      <c r="I51"/>
      <c r="J51"/>
      <c r="K51"/>
      <c r="L51"/>
      <c r="M51"/>
      <c r="N51"/>
    </row>
    <row r="52" spans="1:14" s="1" customFormat="1" ht="14.1" customHeight="1">
      <c r="A52"/>
      <c r="B52"/>
      <c r="C52"/>
      <c r="D52"/>
      <c r="E52"/>
      <c r="F52"/>
      <c r="G52"/>
      <c r="H52"/>
      <c r="I52"/>
      <c r="J52"/>
      <c r="K52"/>
      <c r="L52"/>
      <c r="M52"/>
      <c r="N52"/>
    </row>
  </sheetData>
  <mergeCells count="245">
    <mergeCell ref="A5:A6"/>
    <mergeCell ref="B5:C5"/>
    <mergeCell ref="D5:G5"/>
    <mergeCell ref="I5:I6"/>
    <mergeCell ref="J5:J6"/>
    <mergeCell ref="B2:C2"/>
    <mergeCell ref="D2:G2"/>
    <mergeCell ref="A3:A4"/>
    <mergeCell ref="B3:C3"/>
    <mergeCell ref="D3:G3"/>
    <mergeCell ref="I3:I4"/>
    <mergeCell ref="J3:J4"/>
    <mergeCell ref="K5:K6"/>
    <mergeCell ref="L5:L6"/>
    <mergeCell ref="M5:M6"/>
    <mergeCell ref="B6:C6"/>
    <mergeCell ref="D6:G6"/>
    <mergeCell ref="M3:M4"/>
    <mergeCell ref="B4:C4"/>
    <mergeCell ref="D4:G4"/>
    <mergeCell ref="K3:K4"/>
    <mergeCell ref="L3:L4"/>
    <mergeCell ref="H3:H4"/>
    <mergeCell ref="H5:H6"/>
    <mergeCell ref="L7:L8"/>
    <mergeCell ref="M7:M8"/>
    <mergeCell ref="B8:C8"/>
    <mergeCell ref="D8:G8"/>
    <mergeCell ref="A7:A8"/>
    <mergeCell ref="B7:C7"/>
    <mergeCell ref="D7:G7"/>
    <mergeCell ref="I7:I8"/>
    <mergeCell ref="J7:J8"/>
    <mergeCell ref="K7:K8"/>
    <mergeCell ref="H7:H8"/>
    <mergeCell ref="L9:L10"/>
    <mergeCell ref="M9:M10"/>
    <mergeCell ref="B10:C10"/>
    <mergeCell ref="D10:G10"/>
    <mergeCell ref="A9:A10"/>
    <mergeCell ref="B9:C9"/>
    <mergeCell ref="D9:G9"/>
    <mergeCell ref="I9:I10"/>
    <mergeCell ref="J9:J10"/>
    <mergeCell ref="K9:K10"/>
    <mergeCell ref="H9:H10"/>
    <mergeCell ref="L11:L12"/>
    <mergeCell ref="M11:M12"/>
    <mergeCell ref="B12:C12"/>
    <mergeCell ref="D12:G12"/>
    <mergeCell ref="A11:A12"/>
    <mergeCell ref="B11:C11"/>
    <mergeCell ref="D11:G11"/>
    <mergeCell ref="I11:I12"/>
    <mergeCell ref="J11:J12"/>
    <mergeCell ref="K11:K12"/>
    <mergeCell ref="H11:H12"/>
    <mergeCell ref="L13:L14"/>
    <mergeCell ref="M13:M14"/>
    <mergeCell ref="B14:C14"/>
    <mergeCell ref="D14:G14"/>
    <mergeCell ref="A13:A14"/>
    <mergeCell ref="B13:C13"/>
    <mergeCell ref="D13:G13"/>
    <mergeCell ref="I13:I14"/>
    <mergeCell ref="J13:J14"/>
    <mergeCell ref="K13:K14"/>
    <mergeCell ref="H13:H14"/>
    <mergeCell ref="L15:L16"/>
    <mergeCell ref="M15:M16"/>
    <mergeCell ref="B16:C16"/>
    <mergeCell ref="D16:G16"/>
    <mergeCell ref="A15:A16"/>
    <mergeCell ref="B15:C15"/>
    <mergeCell ref="D15:G15"/>
    <mergeCell ref="I15:I16"/>
    <mergeCell ref="J15:J16"/>
    <mergeCell ref="K15:K16"/>
    <mergeCell ref="H15:H16"/>
    <mergeCell ref="L17:L18"/>
    <mergeCell ref="M17:M18"/>
    <mergeCell ref="B18:C18"/>
    <mergeCell ref="D18:G18"/>
    <mergeCell ref="A17:A18"/>
    <mergeCell ref="B17:C17"/>
    <mergeCell ref="D17:G17"/>
    <mergeCell ref="I17:I18"/>
    <mergeCell ref="J17:J18"/>
    <mergeCell ref="K17:K18"/>
    <mergeCell ref="H17:H18"/>
    <mergeCell ref="L19:L20"/>
    <mergeCell ref="M19:M20"/>
    <mergeCell ref="B20:C20"/>
    <mergeCell ref="D20:G20"/>
    <mergeCell ref="A19:A20"/>
    <mergeCell ref="B19:C19"/>
    <mergeCell ref="D19:G19"/>
    <mergeCell ref="I19:I20"/>
    <mergeCell ref="J19:J20"/>
    <mergeCell ref="K19:K20"/>
    <mergeCell ref="H19:H20"/>
    <mergeCell ref="L21:L22"/>
    <mergeCell ref="M21:M22"/>
    <mergeCell ref="B22:C22"/>
    <mergeCell ref="D22:G22"/>
    <mergeCell ref="A21:A22"/>
    <mergeCell ref="B21:C21"/>
    <mergeCell ref="D21:G21"/>
    <mergeCell ref="I21:I22"/>
    <mergeCell ref="J21:J22"/>
    <mergeCell ref="K21:K22"/>
    <mergeCell ref="H21:H22"/>
    <mergeCell ref="L23:L24"/>
    <mergeCell ref="M23:M24"/>
    <mergeCell ref="B24:C24"/>
    <mergeCell ref="D24:G24"/>
    <mergeCell ref="A23:A24"/>
    <mergeCell ref="B23:C23"/>
    <mergeCell ref="D23:G23"/>
    <mergeCell ref="I23:I24"/>
    <mergeCell ref="J23:J24"/>
    <mergeCell ref="K23:K24"/>
    <mergeCell ref="H23:H24"/>
    <mergeCell ref="L25:L26"/>
    <mergeCell ref="M25:M26"/>
    <mergeCell ref="B26:C26"/>
    <mergeCell ref="D26:G26"/>
    <mergeCell ref="A25:A26"/>
    <mergeCell ref="B25:C25"/>
    <mergeCell ref="D25:G25"/>
    <mergeCell ref="I25:I26"/>
    <mergeCell ref="J25:J26"/>
    <mergeCell ref="K25:K26"/>
    <mergeCell ref="H25:H26"/>
    <mergeCell ref="L27:L28"/>
    <mergeCell ref="M27:M28"/>
    <mergeCell ref="B28:C28"/>
    <mergeCell ref="D28:G28"/>
    <mergeCell ref="A27:A28"/>
    <mergeCell ref="B27:C27"/>
    <mergeCell ref="D27:G27"/>
    <mergeCell ref="I27:I28"/>
    <mergeCell ref="J27:J28"/>
    <mergeCell ref="K27:K28"/>
    <mergeCell ref="H27:H28"/>
    <mergeCell ref="L29:L30"/>
    <mergeCell ref="M29:M30"/>
    <mergeCell ref="B30:C30"/>
    <mergeCell ref="D30:G30"/>
    <mergeCell ref="A29:A30"/>
    <mergeCell ref="B29:C29"/>
    <mergeCell ref="D29:G29"/>
    <mergeCell ref="I29:I30"/>
    <mergeCell ref="J29:J30"/>
    <mergeCell ref="K29:K30"/>
    <mergeCell ref="H29:H30"/>
    <mergeCell ref="L31:L32"/>
    <mergeCell ref="M31:M32"/>
    <mergeCell ref="B32:C32"/>
    <mergeCell ref="D32:G32"/>
    <mergeCell ref="A31:A32"/>
    <mergeCell ref="B31:C31"/>
    <mergeCell ref="D31:G31"/>
    <mergeCell ref="I31:I32"/>
    <mergeCell ref="J31:J32"/>
    <mergeCell ref="K31:K32"/>
    <mergeCell ref="H31:H32"/>
    <mergeCell ref="L33:L34"/>
    <mergeCell ref="M33:M34"/>
    <mergeCell ref="B34:C34"/>
    <mergeCell ref="D34:G34"/>
    <mergeCell ref="A33:A34"/>
    <mergeCell ref="B33:C33"/>
    <mergeCell ref="D33:G33"/>
    <mergeCell ref="I33:I34"/>
    <mergeCell ref="J33:J34"/>
    <mergeCell ref="K33:K34"/>
    <mergeCell ref="H33:H34"/>
    <mergeCell ref="L35:L36"/>
    <mergeCell ref="M35:M36"/>
    <mergeCell ref="B36:C36"/>
    <mergeCell ref="D36:G36"/>
    <mergeCell ref="A35:A36"/>
    <mergeCell ref="B35:C35"/>
    <mergeCell ref="D35:G35"/>
    <mergeCell ref="I35:I36"/>
    <mergeCell ref="J35:J36"/>
    <mergeCell ref="K35:K36"/>
    <mergeCell ref="H35:H36"/>
    <mergeCell ref="L37:L38"/>
    <mergeCell ref="M37:M38"/>
    <mergeCell ref="B38:C38"/>
    <mergeCell ref="D38:G38"/>
    <mergeCell ref="A37:A38"/>
    <mergeCell ref="B37:C37"/>
    <mergeCell ref="D37:G37"/>
    <mergeCell ref="I37:I38"/>
    <mergeCell ref="J37:J38"/>
    <mergeCell ref="K37:K38"/>
    <mergeCell ref="H37:H38"/>
    <mergeCell ref="L39:L40"/>
    <mergeCell ref="M39:M40"/>
    <mergeCell ref="B40:C40"/>
    <mergeCell ref="D40:G40"/>
    <mergeCell ref="A39:A40"/>
    <mergeCell ref="B39:C39"/>
    <mergeCell ref="D39:G39"/>
    <mergeCell ref="I39:I40"/>
    <mergeCell ref="J39:J40"/>
    <mergeCell ref="K39:K40"/>
    <mergeCell ref="H39:H40"/>
    <mergeCell ref="M41:M42"/>
    <mergeCell ref="B42:C42"/>
    <mergeCell ref="D42:G42"/>
    <mergeCell ref="A41:A42"/>
    <mergeCell ref="B41:C41"/>
    <mergeCell ref="D41:G41"/>
    <mergeCell ref="I41:I42"/>
    <mergeCell ref="J41:J42"/>
    <mergeCell ref="K41:K42"/>
    <mergeCell ref="H41:H42"/>
    <mergeCell ref="H43:H44"/>
    <mergeCell ref="H45:H46"/>
    <mergeCell ref="A1:M1"/>
    <mergeCell ref="L45:L46"/>
    <mergeCell ref="M45:M46"/>
    <mergeCell ref="B46:C46"/>
    <mergeCell ref="D46:G46"/>
    <mergeCell ref="A45:A46"/>
    <mergeCell ref="B45:C45"/>
    <mergeCell ref="D45:G45"/>
    <mergeCell ref="I45:I46"/>
    <mergeCell ref="J45:J46"/>
    <mergeCell ref="K45:K46"/>
    <mergeCell ref="L43:L44"/>
    <mergeCell ref="M43:M44"/>
    <mergeCell ref="B44:C44"/>
    <mergeCell ref="D44:G44"/>
    <mergeCell ref="A43:A44"/>
    <mergeCell ref="B43:C43"/>
    <mergeCell ref="D43:G43"/>
    <mergeCell ref="I43:I44"/>
    <mergeCell ref="J43:J44"/>
    <mergeCell ref="K43:K44"/>
    <mergeCell ref="L41:L42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7CCB3-0A20-428D-AA10-7BB8F964406C}">
  <sheetPr>
    <tabColor rgb="FF00B050"/>
    <pageSetUpPr fitToPage="1"/>
  </sheetPr>
  <dimension ref="A1:N52"/>
  <sheetViews>
    <sheetView zoomScale="110" zoomScaleNormal="110" workbookViewId="0">
      <selection activeCell="P17" sqref="P17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7" t="s">
        <v>684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9"/>
    </row>
    <row r="2" spans="1:14" ht="16.5" customHeight="1" thickBot="1">
      <c r="A2" s="2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  <c r="N2" s="9" t="s">
        <v>229</v>
      </c>
    </row>
    <row r="3" spans="1:14" s="1" customFormat="1" ht="14.1" customHeight="1">
      <c r="A3" s="78">
        <v>1</v>
      </c>
      <c r="B3" s="80" t="s">
        <v>149</v>
      </c>
      <c r="C3" s="81"/>
      <c r="D3" s="74" t="s">
        <v>82</v>
      </c>
      <c r="E3" s="82"/>
      <c r="F3" s="82"/>
      <c r="G3" s="83"/>
      <c r="H3" s="58">
        <f>SUM(I3)-3</f>
        <v>45</v>
      </c>
      <c r="I3" s="24">
        <f>SUM(J3)-3</f>
        <v>48</v>
      </c>
      <c r="J3" s="84">
        <v>51</v>
      </c>
      <c r="K3" s="85">
        <f>SUM(J3)+3</f>
        <v>54</v>
      </c>
      <c r="L3" s="85">
        <f>SUM(K3)+3</f>
        <v>57</v>
      </c>
      <c r="M3" s="85">
        <f>SUM(L3)+3</f>
        <v>60</v>
      </c>
      <c r="N3" s="131">
        <f>SUM(M3)+3</f>
        <v>63</v>
      </c>
    </row>
    <row r="4" spans="1:14" s="1" customFormat="1" ht="14.1" customHeight="1">
      <c r="A4" s="79"/>
      <c r="B4" s="62" t="s">
        <v>108</v>
      </c>
      <c r="C4" s="63"/>
      <c r="D4" s="64" t="s">
        <v>83</v>
      </c>
      <c r="E4" s="65"/>
      <c r="F4" s="65"/>
      <c r="G4" s="66"/>
      <c r="H4" s="56"/>
      <c r="I4" s="36"/>
      <c r="J4" s="35"/>
      <c r="K4" s="36"/>
      <c r="L4" s="36"/>
      <c r="M4" s="36"/>
      <c r="N4" s="122"/>
    </row>
    <row r="5" spans="1:14" s="1" customFormat="1" ht="14.1" customHeight="1">
      <c r="A5" s="92">
        <v>2</v>
      </c>
      <c r="B5" s="40" t="s">
        <v>165</v>
      </c>
      <c r="C5" s="41"/>
      <c r="D5" s="100"/>
      <c r="E5" s="101"/>
      <c r="F5" s="101"/>
      <c r="G5" s="102"/>
      <c r="H5" s="58"/>
      <c r="I5" s="24"/>
      <c r="J5" s="117"/>
      <c r="K5" s="50"/>
      <c r="L5" s="50"/>
      <c r="M5" s="50"/>
      <c r="N5" s="127"/>
    </row>
    <row r="6" spans="1:14" s="1" customFormat="1" ht="14.1" customHeight="1">
      <c r="A6" s="79"/>
      <c r="B6" s="62" t="s">
        <v>164</v>
      </c>
      <c r="C6" s="63"/>
      <c r="D6" s="64"/>
      <c r="E6" s="65"/>
      <c r="F6" s="65"/>
      <c r="G6" s="66"/>
      <c r="H6" s="56"/>
      <c r="I6" s="36"/>
      <c r="J6" s="35"/>
      <c r="K6" s="36"/>
      <c r="L6" s="36"/>
      <c r="M6" s="36"/>
      <c r="N6" s="122"/>
    </row>
    <row r="7" spans="1:14" s="1" customFormat="1" ht="14.1" customHeight="1">
      <c r="A7" s="92">
        <v>3</v>
      </c>
      <c r="B7" s="40" t="s">
        <v>148</v>
      </c>
      <c r="C7" s="41"/>
      <c r="D7" s="100"/>
      <c r="E7" s="101"/>
      <c r="F7" s="101"/>
      <c r="G7" s="102"/>
      <c r="H7" s="58"/>
      <c r="I7" s="24"/>
      <c r="J7" s="117"/>
      <c r="K7" s="50"/>
      <c r="L7" s="50"/>
      <c r="M7" s="50"/>
      <c r="N7" s="127"/>
    </row>
    <row r="8" spans="1:14" s="1" customFormat="1" ht="14.1" customHeight="1">
      <c r="A8" s="79"/>
      <c r="B8" s="62" t="s">
        <v>147</v>
      </c>
      <c r="C8" s="63"/>
      <c r="D8" s="64"/>
      <c r="E8" s="65"/>
      <c r="F8" s="65"/>
      <c r="G8" s="66"/>
      <c r="H8" s="56"/>
      <c r="I8" s="36"/>
      <c r="J8" s="35"/>
      <c r="K8" s="36"/>
      <c r="L8" s="36"/>
      <c r="M8" s="36"/>
      <c r="N8" s="122"/>
    </row>
    <row r="9" spans="1:14" s="1" customFormat="1" ht="14.1" customHeight="1">
      <c r="A9" s="92">
        <v>4</v>
      </c>
      <c r="B9" s="51" t="s">
        <v>163</v>
      </c>
      <c r="C9" s="52"/>
      <c r="D9" s="118"/>
      <c r="E9" s="119"/>
      <c r="F9" s="119"/>
      <c r="G9" s="120"/>
      <c r="H9" s="24">
        <f>SUM(I9)-2.2</f>
        <v>37.599999999999994</v>
      </c>
      <c r="I9" s="24">
        <f>SUM(J9)-2.2</f>
        <v>39.799999999999997</v>
      </c>
      <c r="J9" s="117">
        <v>42</v>
      </c>
      <c r="K9" s="50">
        <f>SUM(J9)+2.2</f>
        <v>44.2</v>
      </c>
      <c r="L9" s="50">
        <f>SUM(K9)+2.2</f>
        <v>46.400000000000006</v>
      </c>
      <c r="M9" s="50">
        <f>SUM(L9)+2.2</f>
        <v>48.600000000000009</v>
      </c>
      <c r="N9" s="113">
        <f>SUM(M9)+2.2</f>
        <v>50.800000000000011</v>
      </c>
    </row>
    <row r="10" spans="1:14" s="1" customFormat="1" ht="14.1" customHeight="1">
      <c r="A10" s="79"/>
      <c r="B10" s="62" t="s">
        <v>162</v>
      </c>
      <c r="C10" s="63"/>
      <c r="D10" s="114"/>
      <c r="E10" s="115"/>
      <c r="F10" s="115"/>
      <c r="G10" s="116"/>
      <c r="H10" s="36"/>
      <c r="I10" s="36"/>
      <c r="J10" s="35"/>
      <c r="K10" s="36"/>
      <c r="L10" s="36"/>
      <c r="M10" s="36"/>
      <c r="N10" s="37"/>
    </row>
    <row r="11" spans="1:14" s="1" customFormat="1" ht="14.1" customHeight="1">
      <c r="A11" s="92">
        <v>5</v>
      </c>
      <c r="B11" s="51" t="s">
        <v>157</v>
      </c>
      <c r="C11" s="52"/>
      <c r="D11" s="100"/>
      <c r="E11" s="101"/>
      <c r="F11" s="101"/>
      <c r="G11" s="102"/>
      <c r="H11" s="58">
        <f>SUM(I11)-4.5</f>
        <v>57</v>
      </c>
      <c r="I11" s="24">
        <f>SUM(J11)-4.5</f>
        <v>61.5</v>
      </c>
      <c r="J11" s="117">
        <v>66</v>
      </c>
      <c r="K11" s="50">
        <f>SUM(J11)+4.5</f>
        <v>70.5</v>
      </c>
      <c r="L11" s="50">
        <f>SUM(K11)+4.5</f>
        <v>75</v>
      </c>
      <c r="M11" s="50">
        <f>SUM(L11)+4.5</f>
        <v>79.5</v>
      </c>
      <c r="N11" s="127">
        <f>SUM(M11)+4.5</f>
        <v>84</v>
      </c>
    </row>
    <row r="12" spans="1:14" s="1" customFormat="1" ht="14.1" customHeight="1">
      <c r="A12" s="79"/>
      <c r="B12" s="62" t="s">
        <v>158</v>
      </c>
      <c r="C12" s="63"/>
      <c r="D12" s="64"/>
      <c r="E12" s="65"/>
      <c r="F12" s="65"/>
      <c r="G12" s="66"/>
      <c r="H12" s="56"/>
      <c r="I12" s="36"/>
      <c r="J12" s="35"/>
      <c r="K12" s="36"/>
      <c r="L12" s="36"/>
      <c r="M12" s="36"/>
      <c r="N12" s="122"/>
    </row>
    <row r="13" spans="1:14" s="1" customFormat="1" ht="14.1" customHeight="1">
      <c r="A13" s="92">
        <v>6</v>
      </c>
      <c r="B13" s="51" t="s">
        <v>13</v>
      </c>
      <c r="C13" s="52"/>
      <c r="D13" s="59" t="s">
        <v>182</v>
      </c>
      <c r="E13" s="60"/>
      <c r="F13" s="60"/>
      <c r="G13" s="61"/>
      <c r="H13" s="58">
        <f>SUM(I13)-5</f>
        <v>58</v>
      </c>
      <c r="I13" s="24">
        <f>SUM(J13)-5</f>
        <v>63</v>
      </c>
      <c r="J13" s="33">
        <v>68</v>
      </c>
      <c r="K13" s="24">
        <f>SUM(J13)+5</f>
        <v>73</v>
      </c>
      <c r="L13" s="24">
        <f>SUM(K13)+5</f>
        <v>78</v>
      </c>
      <c r="M13" s="24">
        <f>SUM(L13)+5</f>
        <v>83</v>
      </c>
      <c r="N13" s="121">
        <f>SUM(M13)+5</f>
        <v>88</v>
      </c>
    </row>
    <row r="14" spans="1:14" s="1" customFormat="1" ht="14.1" customHeight="1">
      <c r="A14" s="79"/>
      <c r="B14" s="62" t="s">
        <v>55</v>
      </c>
      <c r="C14" s="63"/>
      <c r="D14" s="64" t="s">
        <v>121</v>
      </c>
      <c r="E14" s="65"/>
      <c r="F14" s="65"/>
      <c r="G14" s="66"/>
      <c r="H14" s="56"/>
      <c r="I14" s="36"/>
      <c r="J14" s="35"/>
      <c r="K14" s="36"/>
      <c r="L14" s="36"/>
      <c r="M14" s="36"/>
      <c r="N14" s="122"/>
    </row>
    <row r="15" spans="1:14" s="1" customFormat="1" ht="14.1" customHeight="1">
      <c r="A15" s="92">
        <v>7</v>
      </c>
      <c r="B15" s="51" t="s">
        <v>146</v>
      </c>
      <c r="C15" s="52"/>
      <c r="D15" s="59"/>
      <c r="E15" s="60"/>
      <c r="F15" s="60"/>
      <c r="G15" s="61"/>
      <c r="H15" s="58">
        <f>SUM(I15)-0.7</f>
        <v>9.3000000000000007</v>
      </c>
      <c r="I15" s="24">
        <f>SUM(J15)-0.7</f>
        <v>10</v>
      </c>
      <c r="J15" s="33">
        <v>10.7</v>
      </c>
      <c r="K15" s="24">
        <f>SUM(J15)+0.7</f>
        <v>11.399999999999999</v>
      </c>
      <c r="L15" s="24">
        <f>SUM(K15)+0.7</f>
        <v>12.099999999999998</v>
      </c>
      <c r="M15" s="58">
        <f>SUM(L15)+0.7</f>
        <v>12.799999999999997</v>
      </c>
      <c r="N15" s="125">
        <f>SUM(M15)+0.7</f>
        <v>13.499999999999996</v>
      </c>
    </row>
    <row r="16" spans="1:14" s="1" customFormat="1" ht="14.1" customHeight="1">
      <c r="A16" s="79"/>
      <c r="B16" s="62" t="s">
        <v>145</v>
      </c>
      <c r="C16" s="63"/>
      <c r="D16" s="89" t="s">
        <v>179</v>
      </c>
      <c r="E16" s="90"/>
      <c r="F16" s="90"/>
      <c r="G16" s="91"/>
      <c r="H16" s="56"/>
      <c r="I16" s="36"/>
      <c r="J16" s="35"/>
      <c r="K16" s="36"/>
      <c r="L16" s="36"/>
      <c r="M16" s="56"/>
      <c r="N16" s="126"/>
    </row>
    <row r="17" spans="1:14" s="1" customFormat="1" ht="14.1" customHeight="1">
      <c r="A17" s="92">
        <v>8</v>
      </c>
      <c r="B17" s="51" t="s">
        <v>166</v>
      </c>
      <c r="C17" s="52"/>
      <c r="D17" s="59"/>
      <c r="E17" s="60"/>
      <c r="F17" s="60"/>
      <c r="G17" s="61"/>
      <c r="H17" s="58">
        <f>SUM(I17)-0.7</f>
        <v>9.3000000000000007</v>
      </c>
      <c r="I17" s="24">
        <f>SUM(J17)-0.7</f>
        <v>10</v>
      </c>
      <c r="J17" s="33">
        <v>10.7</v>
      </c>
      <c r="K17" s="24">
        <f>SUM(J17)+0.7</f>
        <v>11.399999999999999</v>
      </c>
      <c r="L17" s="24">
        <f>SUM(K17)+0.7</f>
        <v>12.099999999999998</v>
      </c>
      <c r="M17" s="58">
        <f>SUM(L17)+0.7</f>
        <v>12.799999999999997</v>
      </c>
      <c r="N17" s="125">
        <f>SUM(M17)+0.7</f>
        <v>13.499999999999996</v>
      </c>
    </row>
    <row r="18" spans="1:14" s="1" customFormat="1" ht="14.1" customHeight="1">
      <c r="A18" s="79"/>
      <c r="B18" s="62" t="s">
        <v>167</v>
      </c>
      <c r="C18" s="63"/>
      <c r="D18" s="89" t="s">
        <v>168</v>
      </c>
      <c r="E18" s="90"/>
      <c r="F18" s="90"/>
      <c r="G18" s="91"/>
      <c r="H18" s="56"/>
      <c r="I18" s="36"/>
      <c r="J18" s="35"/>
      <c r="K18" s="36"/>
      <c r="L18" s="36"/>
      <c r="M18" s="56"/>
      <c r="N18" s="126"/>
    </row>
    <row r="19" spans="1:14" s="1" customFormat="1" ht="14.1" customHeight="1">
      <c r="A19" s="92">
        <v>9</v>
      </c>
      <c r="B19" s="51" t="s">
        <v>178</v>
      </c>
      <c r="C19" s="52"/>
      <c r="D19" s="59"/>
      <c r="E19" s="60"/>
      <c r="F19" s="60"/>
      <c r="G19" s="61"/>
      <c r="H19" s="24">
        <f>SUM(I19)-0</f>
        <v>2.8</v>
      </c>
      <c r="I19" s="24">
        <f>SUM(J19)-0</f>
        <v>2.8</v>
      </c>
      <c r="J19" s="33">
        <v>2.8</v>
      </c>
      <c r="K19" s="24">
        <f>SUM(J19)+0.5</f>
        <v>3.3</v>
      </c>
      <c r="L19" s="24">
        <f>SUM(K19)+0</f>
        <v>3.3</v>
      </c>
      <c r="M19" s="24">
        <f>SUM(L19)+0</f>
        <v>3.3</v>
      </c>
      <c r="N19" s="26">
        <f>SUM(M19)+0</f>
        <v>3.3</v>
      </c>
    </row>
    <row r="20" spans="1:14" s="1" customFormat="1" ht="14.1" customHeight="1">
      <c r="A20" s="79"/>
      <c r="B20" s="62" t="s">
        <v>177</v>
      </c>
      <c r="C20" s="63"/>
      <c r="D20" s="89"/>
      <c r="E20" s="90"/>
      <c r="F20" s="90"/>
      <c r="G20" s="91"/>
      <c r="H20" s="36"/>
      <c r="I20" s="36"/>
      <c r="J20" s="35"/>
      <c r="K20" s="36"/>
      <c r="L20" s="36"/>
      <c r="M20" s="36"/>
      <c r="N20" s="37"/>
    </row>
    <row r="21" spans="1:14" s="1" customFormat="1" ht="14.1" customHeight="1">
      <c r="A21" s="92">
        <v>10</v>
      </c>
      <c r="B21" s="51" t="s">
        <v>9</v>
      </c>
      <c r="C21" s="52"/>
      <c r="D21" s="59" t="s">
        <v>84</v>
      </c>
      <c r="E21" s="60"/>
      <c r="F21" s="60"/>
      <c r="G21" s="61"/>
      <c r="H21" s="24">
        <f>SUM(I21)-7</f>
        <v>49</v>
      </c>
      <c r="I21" s="24">
        <f>SUM(J21)-7</f>
        <v>56</v>
      </c>
      <c r="J21" s="33">
        <v>63</v>
      </c>
      <c r="K21" s="24">
        <f>SUM(J21)+6</f>
        <v>69</v>
      </c>
      <c r="L21" s="24">
        <f>SUM(K21)+6</f>
        <v>75</v>
      </c>
      <c r="M21" s="24">
        <f>SUM(L21)+6</f>
        <v>81</v>
      </c>
      <c r="N21" s="26">
        <f>SUM(M21)+6</f>
        <v>87</v>
      </c>
    </row>
    <row r="22" spans="1:14" s="1" customFormat="1" ht="14.1" customHeight="1">
      <c r="A22" s="79"/>
      <c r="B22" s="62" t="s">
        <v>56</v>
      </c>
      <c r="C22" s="63"/>
      <c r="D22" s="64" t="s">
        <v>120</v>
      </c>
      <c r="E22" s="65"/>
      <c r="F22" s="65"/>
      <c r="G22" s="66"/>
      <c r="H22" s="36"/>
      <c r="I22" s="36"/>
      <c r="J22" s="35"/>
      <c r="K22" s="36"/>
      <c r="L22" s="36"/>
      <c r="M22" s="36"/>
      <c r="N22" s="37"/>
    </row>
    <row r="23" spans="1:14" s="1" customFormat="1" ht="14.1" customHeight="1">
      <c r="A23" s="92">
        <v>11</v>
      </c>
      <c r="B23" s="51" t="s">
        <v>16</v>
      </c>
      <c r="C23" s="52"/>
      <c r="D23" s="59" t="s">
        <v>17</v>
      </c>
      <c r="E23" s="60"/>
      <c r="F23" s="60"/>
      <c r="G23" s="61"/>
      <c r="H23" s="24">
        <f>SUM(I23)-1.8</f>
        <v>33.400000000000006</v>
      </c>
      <c r="I23" s="24">
        <f>SUM(J23)-1.8</f>
        <v>35.200000000000003</v>
      </c>
      <c r="J23" s="33">
        <v>37</v>
      </c>
      <c r="K23" s="24">
        <f>SUM(J23)+1.8</f>
        <v>38.799999999999997</v>
      </c>
      <c r="L23" s="24">
        <f>SUM(K23)+1.8</f>
        <v>40.599999999999994</v>
      </c>
      <c r="M23" s="24">
        <f>SUM(L23)+1.8</f>
        <v>42.399999999999991</v>
      </c>
      <c r="N23" s="26">
        <f>SUM(M23)+1.8</f>
        <v>44.199999999999989</v>
      </c>
    </row>
    <row r="24" spans="1:14" s="1" customFormat="1" ht="14.1" customHeight="1">
      <c r="A24" s="79"/>
      <c r="B24" s="62" t="s">
        <v>57</v>
      </c>
      <c r="C24" s="63"/>
      <c r="D24" s="47" t="s">
        <v>119</v>
      </c>
      <c r="E24" s="48"/>
      <c r="F24" s="48"/>
      <c r="G24" s="49"/>
      <c r="H24" s="36"/>
      <c r="I24" s="36"/>
      <c r="J24" s="35"/>
      <c r="K24" s="36"/>
      <c r="L24" s="36"/>
      <c r="M24" s="36"/>
      <c r="N24" s="37"/>
    </row>
    <row r="25" spans="1:14" s="1" customFormat="1" ht="14.1" customHeight="1">
      <c r="A25" s="92">
        <v>12</v>
      </c>
      <c r="B25" s="51" t="s">
        <v>18</v>
      </c>
      <c r="C25" s="52"/>
      <c r="D25" s="59" t="s">
        <v>15</v>
      </c>
      <c r="E25" s="60"/>
      <c r="F25" s="60"/>
      <c r="G25" s="61"/>
      <c r="H25" s="58">
        <f>SUM(I25)-1.1</f>
        <v>19.799999999999997</v>
      </c>
      <c r="I25" s="24">
        <f>SUM(J25)-1.1</f>
        <v>20.9</v>
      </c>
      <c r="J25" s="33">
        <v>22</v>
      </c>
      <c r="K25" s="24">
        <f>SUM(J25)+1.6</f>
        <v>23.6</v>
      </c>
      <c r="L25" s="24">
        <f>SUM(K25)+1.1</f>
        <v>24.700000000000003</v>
      </c>
      <c r="M25" s="58">
        <f>SUM(L25)+1.1</f>
        <v>25.800000000000004</v>
      </c>
      <c r="N25" s="125">
        <f>SUM(M25)+1.1</f>
        <v>26.900000000000006</v>
      </c>
    </row>
    <row r="26" spans="1:14" s="1" customFormat="1" ht="14.1" customHeight="1">
      <c r="A26" s="79"/>
      <c r="B26" s="62" t="s">
        <v>63</v>
      </c>
      <c r="C26" s="63"/>
      <c r="D26" s="64" t="s">
        <v>118</v>
      </c>
      <c r="E26" s="65"/>
      <c r="F26" s="65"/>
      <c r="G26" s="66"/>
      <c r="H26" s="56"/>
      <c r="I26" s="36"/>
      <c r="J26" s="35"/>
      <c r="K26" s="36"/>
      <c r="L26" s="36"/>
      <c r="M26" s="56"/>
      <c r="N26" s="126"/>
    </row>
    <row r="27" spans="1:14" s="1" customFormat="1" ht="14.1" customHeight="1">
      <c r="A27" s="92">
        <v>13</v>
      </c>
      <c r="B27" s="51" t="s">
        <v>19</v>
      </c>
      <c r="C27" s="52"/>
      <c r="D27" s="59" t="s">
        <v>15</v>
      </c>
      <c r="E27" s="60"/>
      <c r="F27" s="60"/>
      <c r="G27" s="61"/>
      <c r="H27" s="58">
        <f>SUM(I27)-1.3</f>
        <v>25.9</v>
      </c>
      <c r="I27" s="24">
        <f>SUM(J27)-1.3</f>
        <v>27.2</v>
      </c>
      <c r="J27" s="33">
        <v>28.5</v>
      </c>
      <c r="K27" s="24">
        <f>SUM(J27)+1.8</f>
        <v>30.3</v>
      </c>
      <c r="L27" s="24">
        <f>SUM(K27)+1.3</f>
        <v>31.6</v>
      </c>
      <c r="M27" s="58">
        <f>SUM(L27)+1.3</f>
        <v>32.9</v>
      </c>
      <c r="N27" s="125">
        <f>SUM(M27)+1.3</f>
        <v>34.199999999999996</v>
      </c>
    </row>
    <row r="28" spans="1:14" s="1" customFormat="1" ht="14.1" customHeight="1">
      <c r="A28" s="79"/>
      <c r="B28" s="62" t="s">
        <v>62</v>
      </c>
      <c r="C28" s="63"/>
      <c r="D28" s="64" t="s">
        <v>118</v>
      </c>
      <c r="E28" s="65"/>
      <c r="F28" s="65"/>
      <c r="G28" s="66"/>
      <c r="H28" s="56"/>
      <c r="I28" s="36"/>
      <c r="J28" s="35"/>
      <c r="K28" s="36"/>
      <c r="L28" s="36"/>
      <c r="M28" s="56"/>
      <c r="N28" s="126"/>
    </row>
    <row r="29" spans="1:14" s="1" customFormat="1" ht="14.1" customHeight="1">
      <c r="A29" s="92">
        <v>14</v>
      </c>
      <c r="B29" s="51" t="s">
        <v>20</v>
      </c>
      <c r="C29" s="52"/>
      <c r="D29" s="59" t="s">
        <v>21</v>
      </c>
      <c r="E29" s="60"/>
      <c r="F29" s="60"/>
      <c r="G29" s="61"/>
      <c r="H29" s="24"/>
      <c r="I29" s="24"/>
      <c r="J29" s="33">
        <v>38</v>
      </c>
      <c r="K29" s="24"/>
      <c r="L29" s="24"/>
      <c r="M29" s="24"/>
      <c r="N29" s="121"/>
    </row>
    <row r="30" spans="1:14" s="1" customFormat="1" ht="14.1" customHeight="1">
      <c r="A30" s="79"/>
      <c r="B30" s="62" t="s">
        <v>61</v>
      </c>
      <c r="C30" s="63"/>
      <c r="D30" s="64" t="s">
        <v>117</v>
      </c>
      <c r="E30" s="65"/>
      <c r="F30" s="65"/>
      <c r="G30" s="66"/>
      <c r="H30" s="36"/>
      <c r="I30" s="36"/>
      <c r="J30" s="35"/>
      <c r="K30" s="36"/>
      <c r="L30" s="36"/>
      <c r="M30" s="36"/>
      <c r="N30" s="122"/>
    </row>
    <row r="31" spans="1:14" s="1" customFormat="1" ht="14.1" customHeight="1">
      <c r="A31" s="92">
        <v>15</v>
      </c>
      <c r="B31" s="51" t="s">
        <v>22</v>
      </c>
      <c r="C31" s="52"/>
      <c r="D31" s="59" t="s">
        <v>23</v>
      </c>
      <c r="E31" s="60"/>
      <c r="F31" s="60"/>
      <c r="G31" s="61"/>
      <c r="H31" s="24"/>
      <c r="I31" s="24"/>
      <c r="J31" s="33"/>
      <c r="K31" s="24"/>
      <c r="L31" s="24"/>
      <c r="M31" s="24"/>
      <c r="N31" s="26"/>
    </row>
    <row r="32" spans="1:14" s="1" customFormat="1" ht="14.1" customHeight="1">
      <c r="A32" s="79"/>
      <c r="B32" s="62" t="s">
        <v>60</v>
      </c>
      <c r="C32" s="63"/>
      <c r="D32" s="64" t="s">
        <v>116</v>
      </c>
      <c r="E32" s="65"/>
      <c r="F32" s="65"/>
      <c r="G32" s="66"/>
      <c r="H32" s="36"/>
      <c r="I32" s="36"/>
      <c r="J32" s="35"/>
      <c r="K32" s="36"/>
      <c r="L32" s="36"/>
      <c r="M32" s="36"/>
      <c r="N32" s="37"/>
    </row>
    <row r="33" spans="1:14" s="1" customFormat="1" ht="14.1" customHeight="1">
      <c r="A33" s="92">
        <v>16</v>
      </c>
      <c r="B33" s="51" t="s">
        <v>115</v>
      </c>
      <c r="C33" s="52"/>
      <c r="D33" s="59" t="s">
        <v>113</v>
      </c>
      <c r="E33" s="60"/>
      <c r="F33" s="60"/>
      <c r="G33" s="61"/>
      <c r="H33" s="58">
        <f>SUM(I33)-1.4</f>
        <v>26.6</v>
      </c>
      <c r="I33" s="24">
        <f>SUM(J33)-1.4</f>
        <v>28</v>
      </c>
      <c r="J33" s="33">
        <v>29.4</v>
      </c>
      <c r="K33" s="24">
        <f>SUM(J33)+1.4</f>
        <v>30.799999999999997</v>
      </c>
      <c r="L33" s="24">
        <f>SUM(K33)+1.4</f>
        <v>32.199999999999996</v>
      </c>
      <c r="M33" s="58">
        <f>SUM(L33)+1.4</f>
        <v>33.599999999999994</v>
      </c>
      <c r="N33" s="125">
        <f>SUM(M33)+1.4</f>
        <v>34.999999999999993</v>
      </c>
    </row>
    <row r="34" spans="1:14" s="1" customFormat="1" ht="14.1" customHeight="1">
      <c r="A34" s="79"/>
      <c r="B34" s="62" t="s">
        <v>114</v>
      </c>
      <c r="C34" s="63"/>
      <c r="D34" s="64" t="s">
        <v>113</v>
      </c>
      <c r="E34" s="65"/>
      <c r="F34" s="65"/>
      <c r="G34" s="66"/>
      <c r="H34" s="56"/>
      <c r="I34" s="36"/>
      <c r="J34" s="35"/>
      <c r="K34" s="36"/>
      <c r="L34" s="36"/>
      <c r="M34" s="56"/>
      <c r="N34" s="126"/>
    </row>
    <row r="35" spans="1:14" s="1" customFormat="1" ht="14.1" customHeight="1">
      <c r="A35" s="92">
        <v>17</v>
      </c>
      <c r="B35" s="51" t="s">
        <v>112</v>
      </c>
      <c r="C35" s="52"/>
      <c r="D35" s="59" t="s">
        <v>111</v>
      </c>
      <c r="E35" s="60"/>
      <c r="F35" s="60"/>
      <c r="G35" s="61"/>
      <c r="H35" s="24"/>
      <c r="I35" s="24"/>
      <c r="J35" s="33">
        <v>38</v>
      </c>
      <c r="K35" s="24"/>
      <c r="L35" s="24"/>
      <c r="M35" s="24"/>
      <c r="N35" s="121"/>
    </row>
    <row r="36" spans="1:14" s="1" customFormat="1" ht="14.1" customHeight="1">
      <c r="A36" s="79"/>
      <c r="B36" s="62" t="s">
        <v>110</v>
      </c>
      <c r="C36" s="63"/>
      <c r="D36" s="64" t="s">
        <v>160</v>
      </c>
      <c r="E36" s="65"/>
      <c r="F36" s="65"/>
      <c r="G36" s="66"/>
      <c r="H36" s="36"/>
      <c r="I36" s="36"/>
      <c r="J36" s="35"/>
      <c r="K36" s="36"/>
      <c r="L36" s="36"/>
      <c r="M36" s="36"/>
      <c r="N36" s="122"/>
    </row>
    <row r="37" spans="1:14" s="1" customFormat="1" ht="14.1" customHeight="1">
      <c r="A37" s="92">
        <v>18</v>
      </c>
      <c r="B37" s="51" t="s">
        <v>144</v>
      </c>
      <c r="C37" s="52"/>
      <c r="D37" s="59" t="s">
        <v>24</v>
      </c>
      <c r="E37" s="60"/>
      <c r="F37" s="60"/>
      <c r="G37" s="61"/>
      <c r="H37" s="24">
        <f>SUM(I37)-0.2</f>
        <v>4.0999999999999996</v>
      </c>
      <c r="I37" s="24">
        <f>SUM(J37)-0.2</f>
        <v>4.3</v>
      </c>
      <c r="J37" s="23">
        <v>4.5</v>
      </c>
      <c r="K37" s="21">
        <f>SUM(J37)+0.2</f>
        <v>4.7</v>
      </c>
      <c r="L37" s="21">
        <f>SUM(K37)+0.2</f>
        <v>4.9000000000000004</v>
      </c>
      <c r="M37" s="21">
        <f>SUM(L37)+0.2</f>
        <v>5.1000000000000005</v>
      </c>
      <c r="N37" s="22">
        <f>SUM(M37)+0.2</f>
        <v>5.3000000000000007</v>
      </c>
    </row>
    <row r="38" spans="1:14" s="1" customFormat="1" ht="14.1" customHeight="1">
      <c r="A38" s="79"/>
      <c r="B38" s="62" t="s">
        <v>59</v>
      </c>
      <c r="C38" s="63"/>
      <c r="D38" s="64" t="s">
        <v>143</v>
      </c>
      <c r="E38" s="65"/>
      <c r="F38" s="65"/>
      <c r="G38" s="66"/>
      <c r="H38" s="36"/>
      <c r="I38" s="36"/>
      <c r="J38" s="23"/>
      <c r="K38" s="21"/>
      <c r="L38" s="21"/>
      <c r="M38" s="21"/>
      <c r="N38" s="22"/>
    </row>
    <row r="39" spans="1:14" s="1" customFormat="1" ht="14.1" customHeight="1">
      <c r="A39" s="92">
        <v>19</v>
      </c>
      <c r="B39" s="51" t="s">
        <v>142</v>
      </c>
      <c r="C39" s="52"/>
      <c r="D39" s="59" t="s">
        <v>25</v>
      </c>
      <c r="E39" s="60"/>
      <c r="F39" s="60"/>
      <c r="G39" s="61"/>
      <c r="H39" s="24">
        <f>SUM(I39)-0.6</f>
        <v>9.3000000000000007</v>
      </c>
      <c r="I39" s="24">
        <f>SUM(J39)-0.6</f>
        <v>9.9</v>
      </c>
      <c r="J39" s="33">
        <v>10.5</v>
      </c>
      <c r="K39" s="24">
        <f>SUM(J39)+0.6</f>
        <v>11.1</v>
      </c>
      <c r="L39" s="24">
        <f>SUM(K39)+0.6</f>
        <v>11.7</v>
      </c>
      <c r="M39" s="24">
        <f>SUM(L39)+0.6</f>
        <v>12.299999999999999</v>
      </c>
      <c r="N39" s="26">
        <f>SUM(M39)+0.6</f>
        <v>12.899999999999999</v>
      </c>
    </row>
    <row r="40" spans="1:14" s="1" customFormat="1" ht="14.1" customHeight="1">
      <c r="A40" s="79"/>
      <c r="B40" s="62" t="s">
        <v>58</v>
      </c>
      <c r="C40" s="63"/>
      <c r="D40" s="64" t="s">
        <v>141</v>
      </c>
      <c r="E40" s="65"/>
      <c r="F40" s="65"/>
      <c r="G40" s="66"/>
      <c r="H40" s="36"/>
      <c r="I40" s="36"/>
      <c r="J40" s="35"/>
      <c r="K40" s="36"/>
      <c r="L40" s="36"/>
      <c r="M40" s="36"/>
      <c r="N40" s="37"/>
    </row>
    <row r="41" spans="1:14" s="1" customFormat="1" ht="14.1" customHeight="1">
      <c r="A41" s="92">
        <v>20</v>
      </c>
      <c r="B41" s="51" t="s">
        <v>140</v>
      </c>
      <c r="C41" s="52"/>
      <c r="D41" s="57"/>
      <c r="E41" s="57"/>
      <c r="F41" s="57"/>
      <c r="G41" s="57"/>
      <c r="H41" s="24">
        <f>SUM(I41)-0.5</f>
        <v>10.5</v>
      </c>
      <c r="I41" s="24">
        <f>SUM(J41)-0.5</f>
        <v>11</v>
      </c>
      <c r="J41" s="33">
        <v>11.5</v>
      </c>
      <c r="K41" s="24">
        <f>SUM(J41)+0.5</f>
        <v>12</v>
      </c>
      <c r="L41" s="24">
        <f>SUM(K41)+0.5</f>
        <v>12.5</v>
      </c>
      <c r="M41" s="24">
        <f>SUM(L41)+0.5</f>
        <v>13</v>
      </c>
      <c r="N41" s="121">
        <f>SUM(M41)+0.5</f>
        <v>13.5</v>
      </c>
    </row>
    <row r="42" spans="1:14" s="1" customFormat="1" ht="14.1" customHeight="1">
      <c r="A42" s="79"/>
      <c r="B42" s="45" t="s">
        <v>139</v>
      </c>
      <c r="C42" s="46"/>
      <c r="D42" s="47"/>
      <c r="E42" s="48"/>
      <c r="F42" s="48"/>
      <c r="G42" s="49"/>
      <c r="H42" s="36"/>
      <c r="I42" s="36"/>
      <c r="J42" s="35"/>
      <c r="K42" s="36"/>
      <c r="L42" s="36"/>
      <c r="M42" s="36"/>
      <c r="N42" s="122"/>
    </row>
    <row r="43" spans="1:14" s="1" customFormat="1" ht="14.1" customHeight="1">
      <c r="A43" s="92">
        <v>21</v>
      </c>
      <c r="B43" s="51" t="s">
        <v>138</v>
      </c>
      <c r="C43" s="52"/>
      <c r="D43" s="57"/>
      <c r="E43" s="57"/>
      <c r="F43" s="57"/>
      <c r="G43" s="57"/>
      <c r="H43" s="24">
        <f>SUM(I43)-0.5</f>
        <v>11.5</v>
      </c>
      <c r="I43" s="24">
        <f>SUM(J43)-0.5</f>
        <v>12</v>
      </c>
      <c r="J43" s="33">
        <v>12.5</v>
      </c>
      <c r="K43" s="24">
        <f>SUM(J43)+0.5</f>
        <v>13</v>
      </c>
      <c r="L43" s="24">
        <f>SUM(K43)+0.5</f>
        <v>13.5</v>
      </c>
      <c r="M43" s="24">
        <f>SUM(L43)+0.5</f>
        <v>14</v>
      </c>
      <c r="N43" s="121">
        <f>SUM(M43)+0.5</f>
        <v>14.5</v>
      </c>
    </row>
    <row r="44" spans="1:14" s="1" customFormat="1" ht="14.1" customHeight="1" thickBot="1">
      <c r="A44" s="99"/>
      <c r="B44" s="110" t="s">
        <v>137</v>
      </c>
      <c r="C44" s="110"/>
      <c r="D44" s="30"/>
      <c r="E44" s="31"/>
      <c r="F44" s="31"/>
      <c r="G44" s="32"/>
      <c r="H44" s="25"/>
      <c r="I44" s="25"/>
      <c r="J44" s="34"/>
      <c r="K44" s="25"/>
      <c r="L44" s="25"/>
      <c r="M44" s="25"/>
      <c r="N44" s="124"/>
    </row>
    <row r="45" spans="1:14" s="1" customFormat="1" ht="14.1" customHeight="1"/>
    <row r="46" spans="1:14" s="1" customFormat="1" ht="14.1" customHeight="1"/>
    <row r="47" spans="1:14" s="1" customFormat="1" ht="14.1" customHeight="1"/>
    <row r="48" spans="1:14" s="1" customFormat="1" ht="14.1" customHeight="1"/>
    <row r="49" s="1" customFormat="1" ht="14.1" customHeight="1"/>
    <row r="50" s="1" customFormat="1" ht="14.1" customHeight="1"/>
    <row r="51" s="1" customFormat="1" ht="14.1" customHeight="1"/>
    <row r="52" s="1" customFormat="1" ht="14.1" customHeight="1"/>
  </sheetData>
  <mergeCells count="255"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E040B-5708-4670-A106-5E033D1FCA73}">
  <sheetPr>
    <tabColor rgb="FF00B050"/>
    <pageSetUpPr fitToPage="1"/>
  </sheetPr>
  <dimension ref="A1:M61"/>
  <sheetViews>
    <sheetView topLeftCell="A19" zoomScale="110" zoomScaleNormal="110" workbookViewId="0">
      <selection activeCell="I23" sqref="I23:I2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67" t="s">
        <v>771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2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</row>
    <row r="3" spans="1:13" s="1" customFormat="1" ht="14.1" customHeight="1">
      <c r="A3" s="78">
        <v>1</v>
      </c>
      <c r="B3" s="80" t="s">
        <v>149</v>
      </c>
      <c r="C3" s="81"/>
      <c r="D3" s="74" t="s">
        <v>82</v>
      </c>
      <c r="E3" s="82"/>
      <c r="F3" s="82"/>
      <c r="G3" s="83"/>
      <c r="H3" s="58">
        <f>SUM(I3)-3</f>
        <v>45</v>
      </c>
      <c r="I3" s="24">
        <f>SUM(J3)-3</f>
        <v>48</v>
      </c>
      <c r="J3" s="84">
        <v>51</v>
      </c>
      <c r="K3" s="85">
        <f>SUM(J3)+3</f>
        <v>54</v>
      </c>
      <c r="L3" s="85">
        <f>SUM(K3)+3</f>
        <v>57</v>
      </c>
      <c r="M3" s="109">
        <f>SUM(L3)+3</f>
        <v>60</v>
      </c>
    </row>
    <row r="4" spans="1:13" s="1" customFormat="1" ht="14.1" customHeight="1">
      <c r="A4" s="79"/>
      <c r="B4" s="62" t="s">
        <v>108</v>
      </c>
      <c r="C4" s="63"/>
      <c r="D4" s="64" t="s">
        <v>83</v>
      </c>
      <c r="E4" s="65"/>
      <c r="F4" s="65"/>
      <c r="G4" s="66"/>
      <c r="H4" s="56"/>
      <c r="I4" s="36"/>
      <c r="J4" s="35"/>
      <c r="K4" s="36"/>
      <c r="L4" s="36"/>
      <c r="M4" s="37"/>
    </row>
    <row r="5" spans="1:13" s="1" customFormat="1" ht="14.1" customHeight="1">
      <c r="A5" s="92">
        <v>2</v>
      </c>
      <c r="B5" s="40" t="s">
        <v>165</v>
      </c>
      <c r="C5" s="41"/>
      <c r="D5" s="100"/>
      <c r="E5" s="101"/>
      <c r="F5" s="101"/>
      <c r="G5" s="102"/>
      <c r="H5" s="24"/>
      <c r="I5" s="24"/>
      <c r="J5" s="117"/>
      <c r="K5" s="50"/>
      <c r="L5" s="50"/>
      <c r="M5" s="113"/>
    </row>
    <row r="6" spans="1:13" s="1" customFormat="1" ht="14.1" customHeight="1">
      <c r="A6" s="79"/>
      <c r="B6" s="62" t="s">
        <v>164</v>
      </c>
      <c r="C6" s="63"/>
      <c r="D6" s="64"/>
      <c r="E6" s="65"/>
      <c r="F6" s="65"/>
      <c r="G6" s="66"/>
      <c r="H6" s="36"/>
      <c r="I6" s="36"/>
      <c r="J6" s="35"/>
      <c r="K6" s="36"/>
      <c r="L6" s="36"/>
      <c r="M6" s="37"/>
    </row>
    <row r="7" spans="1:13" s="1" customFormat="1" ht="14.1" customHeight="1">
      <c r="A7" s="92">
        <v>3</v>
      </c>
      <c r="B7" s="40" t="s">
        <v>148</v>
      </c>
      <c r="C7" s="41"/>
      <c r="D7" s="100"/>
      <c r="E7" s="101"/>
      <c r="F7" s="101"/>
      <c r="G7" s="102"/>
      <c r="H7" s="24"/>
      <c r="I7" s="24"/>
      <c r="J7" s="117"/>
      <c r="K7" s="50"/>
      <c r="L7" s="50"/>
      <c r="M7" s="113"/>
    </row>
    <row r="8" spans="1:13" s="1" customFormat="1" ht="14.1" customHeight="1">
      <c r="A8" s="79"/>
      <c r="B8" s="62" t="s">
        <v>147</v>
      </c>
      <c r="C8" s="63"/>
      <c r="D8" s="64"/>
      <c r="E8" s="65"/>
      <c r="F8" s="65"/>
      <c r="G8" s="66"/>
      <c r="H8" s="36"/>
      <c r="I8" s="36"/>
      <c r="J8" s="35"/>
      <c r="K8" s="36"/>
      <c r="L8" s="36"/>
      <c r="M8" s="37"/>
    </row>
    <row r="9" spans="1:13" s="1" customFormat="1" ht="14.1" customHeight="1">
      <c r="A9" s="92">
        <v>4</v>
      </c>
      <c r="B9" s="51" t="s">
        <v>163</v>
      </c>
      <c r="C9" s="52"/>
      <c r="D9" s="118"/>
      <c r="E9" s="119"/>
      <c r="F9" s="119"/>
      <c r="G9" s="120"/>
      <c r="H9" s="24"/>
      <c r="I9" s="24"/>
      <c r="J9" s="117"/>
      <c r="K9" s="50"/>
      <c r="L9" s="50"/>
      <c r="M9" s="113"/>
    </row>
    <row r="10" spans="1:13" s="1" customFormat="1" ht="14.1" customHeight="1">
      <c r="A10" s="79"/>
      <c r="B10" s="62" t="s">
        <v>162</v>
      </c>
      <c r="C10" s="63"/>
      <c r="D10" s="114"/>
      <c r="E10" s="115"/>
      <c r="F10" s="115"/>
      <c r="G10" s="116"/>
      <c r="H10" s="36"/>
      <c r="I10" s="36"/>
      <c r="J10" s="35"/>
      <c r="K10" s="36"/>
      <c r="L10" s="36"/>
      <c r="M10" s="37"/>
    </row>
    <row r="11" spans="1:13" s="1" customFormat="1" ht="14.1" customHeight="1">
      <c r="A11" s="92">
        <v>5</v>
      </c>
      <c r="B11" s="51" t="s">
        <v>157</v>
      </c>
      <c r="C11" s="52"/>
      <c r="D11" s="100"/>
      <c r="E11" s="101"/>
      <c r="F11" s="101"/>
      <c r="G11" s="102"/>
      <c r="H11" s="24">
        <f>SUM(I11)-4.5</f>
        <v>65</v>
      </c>
      <c r="I11" s="24">
        <f>SUM(J11)-4.5</f>
        <v>69.5</v>
      </c>
      <c r="J11" s="117">
        <v>74</v>
      </c>
      <c r="K11" s="50">
        <f>SUM(J11)+4.5</f>
        <v>78.5</v>
      </c>
      <c r="L11" s="50">
        <f>SUM(K11)+4.5</f>
        <v>83</v>
      </c>
      <c r="M11" s="113">
        <f>SUM(L11)+4.5</f>
        <v>87.5</v>
      </c>
    </row>
    <row r="12" spans="1:13" s="1" customFormat="1" ht="14.1" customHeight="1">
      <c r="A12" s="79"/>
      <c r="B12" s="62" t="s">
        <v>158</v>
      </c>
      <c r="C12" s="63"/>
      <c r="D12" s="64"/>
      <c r="E12" s="65"/>
      <c r="F12" s="65"/>
      <c r="G12" s="66"/>
      <c r="H12" s="36"/>
      <c r="I12" s="36"/>
      <c r="J12" s="35"/>
      <c r="K12" s="36"/>
      <c r="L12" s="36"/>
      <c r="M12" s="37"/>
    </row>
    <row r="13" spans="1:13" s="1" customFormat="1" ht="14.1" customHeight="1">
      <c r="A13" s="92">
        <v>6</v>
      </c>
      <c r="B13" s="51" t="s">
        <v>13</v>
      </c>
      <c r="C13" s="52"/>
      <c r="D13" s="59"/>
      <c r="E13" s="60"/>
      <c r="F13" s="60"/>
      <c r="G13" s="61"/>
      <c r="H13" s="24">
        <f>SUM(I13)-5</f>
        <v>68.7</v>
      </c>
      <c r="I13" s="24">
        <f>SUM(J13)-5</f>
        <v>73.7</v>
      </c>
      <c r="J13" s="33">
        <v>78.7</v>
      </c>
      <c r="K13" s="24">
        <f>SUM(J13)+5</f>
        <v>83.7</v>
      </c>
      <c r="L13" s="24">
        <f>SUM(K13)+5</f>
        <v>88.7</v>
      </c>
      <c r="M13" s="26">
        <f>SUM(L13)+5</f>
        <v>93.7</v>
      </c>
    </row>
    <row r="14" spans="1:13" s="1" customFormat="1" ht="14.1" customHeight="1">
      <c r="A14" s="79"/>
      <c r="B14" s="62" t="s">
        <v>55</v>
      </c>
      <c r="C14" s="63"/>
      <c r="D14" s="64"/>
      <c r="E14" s="65"/>
      <c r="F14" s="65"/>
      <c r="G14" s="66"/>
      <c r="H14" s="36"/>
      <c r="I14" s="36"/>
      <c r="J14" s="35"/>
      <c r="K14" s="36"/>
      <c r="L14" s="36"/>
      <c r="M14" s="37"/>
    </row>
    <row r="15" spans="1:13" s="1" customFormat="1" ht="14.1" customHeight="1">
      <c r="A15" s="92">
        <v>7</v>
      </c>
      <c r="B15" s="51" t="s">
        <v>146</v>
      </c>
      <c r="C15" s="52"/>
      <c r="D15" s="59"/>
      <c r="E15" s="60"/>
      <c r="F15" s="60"/>
      <c r="G15" s="61"/>
      <c r="H15" s="58">
        <f>SUM(I15)-0.7</f>
        <v>12.600000000000001</v>
      </c>
      <c r="I15" s="24">
        <f>SUM(J15)-0.7</f>
        <v>13.3</v>
      </c>
      <c r="J15" s="33">
        <v>14</v>
      </c>
      <c r="K15" s="24">
        <f>SUM(J15)+1.2</f>
        <v>15.2</v>
      </c>
      <c r="L15" s="24">
        <f>SUM(K15)+0.7</f>
        <v>15.899999999999999</v>
      </c>
      <c r="M15" s="111">
        <f>SUM(L15)+0.7</f>
        <v>16.599999999999998</v>
      </c>
    </row>
    <row r="16" spans="1:13" s="1" customFormat="1" ht="14.1" customHeight="1">
      <c r="A16" s="79"/>
      <c r="B16" s="62" t="s">
        <v>145</v>
      </c>
      <c r="C16" s="63"/>
      <c r="D16" s="89" t="s">
        <v>161</v>
      </c>
      <c r="E16" s="90"/>
      <c r="F16" s="90"/>
      <c r="G16" s="91"/>
      <c r="H16" s="56"/>
      <c r="I16" s="36"/>
      <c r="J16" s="35"/>
      <c r="K16" s="36"/>
      <c r="L16" s="36"/>
      <c r="M16" s="112"/>
    </row>
    <row r="17" spans="1:13" s="1" customFormat="1" ht="14.1" customHeight="1">
      <c r="A17" s="92">
        <v>8</v>
      </c>
      <c r="B17" s="51" t="s">
        <v>166</v>
      </c>
      <c r="C17" s="52"/>
      <c r="D17" s="59"/>
      <c r="E17" s="60"/>
      <c r="F17" s="60"/>
      <c r="G17" s="61"/>
      <c r="H17" s="58"/>
      <c r="I17" s="24"/>
      <c r="J17" s="33"/>
      <c r="K17" s="24"/>
      <c r="L17" s="24"/>
      <c r="M17" s="111"/>
    </row>
    <row r="18" spans="1:13" s="1" customFormat="1" ht="14.1" customHeight="1">
      <c r="A18" s="79"/>
      <c r="B18" s="62" t="s">
        <v>167</v>
      </c>
      <c r="C18" s="63"/>
      <c r="D18" s="89" t="s">
        <v>168</v>
      </c>
      <c r="E18" s="90"/>
      <c r="F18" s="90"/>
      <c r="G18" s="91"/>
      <c r="H18" s="56"/>
      <c r="I18" s="36"/>
      <c r="J18" s="35"/>
      <c r="K18" s="36"/>
      <c r="L18" s="36"/>
      <c r="M18" s="112"/>
    </row>
    <row r="19" spans="1:13" s="1" customFormat="1" ht="14.1" customHeight="1">
      <c r="A19" s="92">
        <v>9</v>
      </c>
      <c r="B19" s="51" t="s">
        <v>178</v>
      </c>
      <c r="C19" s="52"/>
      <c r="D19" s="59"/>
      <c r="E19" s="60"/>
      <c r="F19" s="60"/>
      <c r="G19" s="61"/>
      <c r="H19" s="24"/>
      <c r="I19" s="24"/>
      <c r="J19" s="33"/>
      <c r="K19" s="24"/>
      <c r="L19" s="24"/>
      <c r="M19" s="26"/>
    </row>
    <row r="20" spans="1:13" s="1" customFormat="1" ht="14.1" customHeight="1">
      <c r="A20" s="79"/>
      <c r="B20" s="62" t="s">
        <v>177</v>
      </c>
      <c r="C20" s="63"/>
      <c r="D20" s="89"/>
      <c r="E20" s="90"/>
      <c r="F20" s="90"/>
      <c r="G20" s="91"/>
      <c r="H20" s="36"/>
      <c r="I20" s="36"/>
      <c r="J20" s="35"/>
      <c r="K20" s="36"/>
      <c r="L20" s="36"/>
      <c r="M20" s="37"/>
    </row>
    <row r="21" spans="1:13" s="1" customFormat="1" ht="14.1" customHeight="1">
      <c r="A21" s="92">
        <v>10</v>
      </c>
      <c r="B21" s="51" t="s">
        <v>9</v>
      </c>
      <c r="C21" s="52"/>
      <c r="D21" s="59" t="s">
        <v>84</v>
      </c>
      <c r="E21" s="60"/>
      <c r="F21" s="60"/>
      <c r="G21" s="61"/>
      <c r="H21" s="24">
        <f>SUM(I21)-2</f>
        <v>24.3</v>
      </c>
      <c r="I21" s="24">
        <f>SUM(J21)-2</f>
        <v>26.3</v>
      </c>
      <c r="J21" s="33">
        <v>28.3</v>
      </c>
      <c r="K21" s="24">
        <f>SUM(J21)+1.5</f>
        <v>29.8</v>
      </c>
      <c r="L21" s="24">
        <f>SUM(K21)+1.5</f>
        <v>31.3</v>
      </c>
      <c r="M21" s="26">
        <f>SUM(L21)+1.5</f>
        <v>32.799999999999997</v>
      </c>
    </row>
    <row r="22" spans="1:13" s="1" customFormat="1" ht="14.1" customHeight="1">
      <c r="A22" s="79"/>
      <c r="B22" s="62" t="s">
        <v>56</v>
      </c>
      <c r="C22" s="63"/>
      <c r="D22" s="64" t="s">
        <v>120</v>
      </c>
      <c r="E22" s="65"/>
      <c r="F22" s="65"/>
      <c r="G22" s="66"/>
      <c r="H22" s="36"/>
      <c r="I22" s="36"/>
      <c r="J22" s="35"/>
      <c r="K22" s="36"/>
      <c r="L22" s="36"/>
      <c r="M22" s="37"/>
    </row>
    <row r="23" spans="1:13" s="1" customFormat="1" ht="14.1" customHeight="1">
      <c r="A23" s="92">
        <v>11</v>
      </c>
      <c r="B23" s="51" t="s">
        <v>16</v>
      </c>
      <c r="C23" s="52"/>
      <c r="D23" s="59" t="s">
        <v>17</v>
      </c>
      <c r="E23" s="60"/>
      <c r="F23" s="60"/>
      <c r="G23" s="61"/>
      <c r="H23" s="24">
        <f>SUM(I23)-2.8</f>
        <v>46.7</v>
      </c>
      <c r="I23" s="24">
        <f>SUM(J23)-2.8</f>
        <v>49.5</v>
      </c>
      <c r="J23" s="33">
        <v>52.3</v>
      </c>
      <c r="K23" s="24">
        <f>SUM(J23)+2.8</f>
        <v>55.099999999999994</v>
      </c>
      <c r="L23" s="24">
        <f>SUM(K23)+2.8</f>
        <v>57.899999999999991</v>
      </c>
      <c r="M23" s="26">
        <f>SUM(L23)+2.8</f>
        <v>60.699999999999989</v>
      </c>
    </row>
    <row r="24" spans="1:13" s="1" customFormat="1" ht="14.1" customHeight="1">
      <c r="A24" s="79"/>
      <c r="B24" s="62" t="s">
        <v>772</v>
      </c>
      <c r="C24" s="63"/>
      <c r="D24" s="47" t="s">
        <v>119</v>
      </c>
      <c r="E24" s="48"/>
      <c r="F24" s="48"/>
      <c r="G24" s="49"/>
      <c r="H24" s="36"/>
      <c r="I24" s="36"/>
      <c r="J24" s="35"/>
      <c r="K24" s="36"/>
      <c r="L24" s="36"/>
      <c r="M24" s="37"/>
    </row>
    <row r="25" spans="1:13" s="1" customFormat="1" ht="14.1" customHeight="1">
      <c r="A25" s="92">
        <v>12</v>
      </c>
      <c r="B25" s="51" t="s">
        <v>18</v>
      </c>
      <c r="C25" s="52"/>
      <c r="D25" s="59" t="s">
        <v>15</v>
      </c>
      <c r="E25" s="60"/>
      <c r="F25" s="60"/>
      <c r="G25" s="61"/>
      <c r="H25" s="58">
        <f>SUM(I25)-1.1</f>
        <v>21.599999999999998</v>
      </c>
      <c r="I25" s="24">
        <f>SUM(J25)-1.1</f>
        <v>22.7</v>
      </c>
      <c r="J25" s="33">
        <v>23.8</v>
      </c>
      <c r="K25" s="24">
        <f>SUM(J25)+1.6</f>
        <v>25.400000000000002</v>
      </c>
      <c r="L25" s="24">
        <f>SUM(K25)+1.1</f>
        <v>26.500000000000004</v>
      </c>
      <c r="M25" s="111">
        <f>SUM(L25)+1.1</f>
        <v>27.600000000000005</v>
      </c>
    </row>
    <row r="26" spans="1:13" s="1" customFormat="1" ht="14.1" customHeight="1">
      <c r="A26" s="79"/>
      <c r="B26" s="62" t="s">
        <v>63</v>
      </c>
      <c r="C26" s="63"/>
      <c r="D26" s="64" t="s">
        <v>118</v>
      </c>
      <c r="E26" s="65"/>
      <c r="F26" s="65"/>
      <c r="G26" s="66"/>
      <c r="H26" s="56"/>
      <c r="I26" s="36"/>
      <c r="J26" s="35"/>
      <c r="K26" s="36"/>
      <c r="L26" s="36"/>
      <c r="M26" s="112"/>
    </row>
    <row r="27" spans="1:13" s="1" customFormat="1" ht="14.1" customHeight="1">
      <c r="A27" s="92">
        <v>13</v>
      </c>
      <c r="B27" s="51" t="s">
        <v>19</v>
      </c>
      <c r="C27" s="52"/>
      <c r="D27" s="59" t="s">
        <v>15</v>
      </c>
      <c r="E27" s="60"/>
      <c r="F27" s="60"/>
      <c r="G27" s="61"/>
      <c r="H27" s="58">
        <f>SUM(I27)-1.3</f>
        <v>27.099999999999998</v>
      </c>
      <c r="I27" s="24">
        <f>SUM(J27)-1.3</f>
        <v>28.4</v>
      </c>
      <c r="J27" s="33">
        <v>29.7</v>
      </c>
      <c r="K27" s="24">
        <f>SUM(J27)+1.8</f>
        <v>31.5</v>
      </c>
      <c r="L27" s="24">
        <f>SUM(K27)+1.3</f>
        <v>32.799999999999997</v>
      </c>
      <c r="M27" s="111">
        <f>SUM(L27)+1.3</f>
        <v>34.099999999999994</v>
      </c>
    </row>
    <row r="28" spans="1:13" s="1" customFormat="1" ht="14.1" customHeight="1">
      <c r="A28" s="79"/>
      <c r="B28" s="62" t="s">
        <v>62</v>
      </c>
      <c r="C28" s="63"/>
      <c r="D28" s="64" t="s">
        <v>118</v>
      </c>
      <c r="E28" s="65"/>
      <c r="F28" s="65"/>
      <c r="G28" s="66"/>
      <c r="H28" s="56"/>
      <c r="I28" s="36"/>
      <c r="J28" s="35"/>
      <c r="K28" s="36"/>
      <c r="L28" s="36"/>
      <c r="M28" s="112"/>
    </row>
    <row r="29" spans="1:13" s="1" customFormat="1" ht="14.1" customHeight="1">
      <c r="A29" s="92">
        <v>14</v>
      </c>
      <c r="B29" s="51" t="s">
        <v>20</v>
      </c>
      <c r="C29" s="52"/>
      <c r="D29" s="59" t="s">
        <v>21</v>
      </c>
      <c r="E29" s="60"/>
      <c r="F29" s="60"/>
      <c r="G29" s="61"/>
      <c r="H29" s="58"/>
      <c r="I29" s="24"/>
      <c r="J29" s="33"/>
      <c r="K29" s="24"/>
      <c r="L29" s="24"/>
      <c r="M29" s="111"/>
    </row>
    <row r="30" spans="1:13" s="1" customFormat="1" ht="14.1" customHeight="1">
      <c r="A30" s="79"/>
      <c r="B30" s="62" t="s">
        <v>61</v>
      </c>
      <c r="C30" s="63"/>
      <c r="D30" s="64" t="s">
        <v>117</v>
      </c>
      <c r="E30" s="65"/>
      <c r="F30" s="65"/>
      <c r="G30" s="66"/>
      <c r="H30" s="56"/>
      <c r="I30" s="36"/>
      <c r="J30" s="35"/>
      <c r="K30" s="36"/>
      <c r="L30" s="36"/>
      <c r="M30" s="112"/>
    </row>
    <row r="31" spans="1:13" s="1" customFormat="1" ht="14.1" customHeight="1">
      <c r="A31" s="92">
        <v>15</v>
      </c>
      <c r="B31" s="51" t="s">
        <v>22</v>
      </c>
      <c r="C31" s="52"/>
      <c r="D31" s="59" t="s">
        <v>23</v>
      </c>
      <c r="E31" s="60"/>
      <c r="F31" s="60"/>
      <c r="G31" s="61"/>
      <c r="H31" s="24"/>
      <c r="I31" s="24"/>
      <c r="J31" s="33"/>
      <c r="K31" s="24"/>
      <c r="L31" s="24"/>
      <c r="M31" s="26"/>
    </row>
    <row r="32" spans="1:13" s="1" customFormat="1" ht="14.1" customHeight="1">
      <c r="A32" s="79"/>
      <c r="B32" s="62" t="s">
        <v>60</v>
      </c>
      <c r="C32" s="63"/>
      <c r="D32" s="64" t="s">
        <v>116</v>
      </c>
      <c r="E32" s="65"/>
      <c r="F32" s="65"/>
      <c r="G32" s="66"/>
      <c r="H32" s="36"/>
      <c r="I32" s="36"/>
      <c r="J32" s="35"/>
      <c r="K32" s="36"/>
      <c r="L32" s="36"/>
      <c r="M32" s="37"/>
    </row>
    <row r="33" spans="1:13" s="1" customFormat="1" ht="14.1" customHeight="1">
      <c r="A33" s="92">
        <v>16</v>
      </c>
      <c r="B33" s="51" t="s">
        <v>115</v>
      </c>
      <c r="C33" s="52"/>
      <c r="D33" s="59" t="s">
        <v>113</v>
      </c>
      <c r="E33" s="60"/>
      <c r="F33" s="60"/>
      <c r="G33" s="61"/>
      <c r="H33" s="58"/>
      <c r="I33" s="24"/>
      <c r="J33" s="33"/>
      <c r="K33" s="24"/>
      <c r="L33" s="24"/>
      <c r="M33" s="111"/>
    </row>
    <row r="34" spans="1:13" s="1" customFormat="1" ht="14.1" customHeight="1">
      <c r="A34" s="79"/>
      <c r="B34" s="62" t="s">
        <v>114</v>
      </c>
      <c r="C34" s="63"/>
      <c r="D34" s="64" t="s">
        <v>113</v>
      </c>
      <c r="E34" s="65"/>
      <c r="F34" s="65"/>
      <c r="G34" s="66"/>
      <c r="H34" s="56"/>
      <c r="I34" s="36"/>
      <c r="J34" s="35"/>
      <c r="K34" s="36"/>
      <c r="L34" s="36"/>
      <c r="M34" s="112"/>
    </row>
    <row r="35" spans="1:13" s="1" customFormat="1" ht="14.1" customHeight="1">
      <c r="A35" s="92">
        <v>17</v>
      </c>
      <c r="B35" s="51" t="s">
        <v>112</v>
      </c>
      <c r="C35" s="52"/>
      <c r="D35" s="59" t="s">
        <v>111</v>
      </c>
      <c r="E35" s="60"/>
      <c r="F35" s="60"/>
      <c r="G35" s="61"/>
      <c r="H35" s="24"/>
      <c r="I35" s="24"/>
      <c r="J35" s="33"/>
      <c r="K35" s="24"/>
      <c r="L35" s="24"/>
      <c r="M35" s="26"/>
    </row>
    <row r="36" spans="1:13" s="1" customFormat="1" ht="14.1" customHeight="1">
      <c r="A36" s="79"/>
      <c r="B36" s="62" t="s">
        <v>110</v>
      </c>
      <c r="C36" s="63"/>
      <c r="D36" s="64" t="s">
        <v>160</v>
      </c>
      <c r="E36" s="65"/>
      <c r="F36" s="65"/>
      <c r="G36" s="66"/>
      <c r="H36" s="36"/>
      <c r="I36" s="36"/>
      <c r="J36" s="35"/>
      <c r="K36" s="36"/>
      <c r="L36" s="36"/>
      <c r="M36" s="37"/>
    </row>
    <row r="37" spans="1:13" s="1" customFormat="1" ht="14.1" customHeight="1">
      <c r="A37" s="92">
        <v>18</v>
      </c>
      <c r="B37" s="51" t="s">
        <v>574</v>
      </c>
      <c r="C37" s="52"/>
      <c r="D37" s="59"/>
      <c r="E37" s="60"/>
      <c r="F37" s="60"/>
      <c r="G37" s="61"/>
      <c r="H37" s="24">
        <f>SUM(I37)-2</f>
        <v>24.3</v>
      </c>
      <c r="I37" s="24">
        <f>SUM(J37)-2</f>
        <v>26.3</v>
      </c>
      <c r="J37" s="33">
        <v>28.3</v>
      </c>
      <c r="K37" s="24">
        <f>SUM(J37)+1.5</f>
        <v>29.8</v>
      </c>
      <c r="L37" s="24">
        <f>SUM(K37)+1.5</f>
        <v>31.3</v>
      </c>
      <c r="M37" s="26">
        <f>SUM(L37)+1.5</f>
        <v>32.799999999999997</v>
      </c>
    </row>
    <row r="38" spans="1:13" s="1" customFormat="1" ht="14.1" customHeight="1">
      <c r="A38" s="79"/>
      <c r="B38" s="62" t="s">
        <v>575</v>
      </c>
      <c r="C38" s="63"/>
      <c r="D38" s="64" t="s">
        <v>773</v>
      </c>
      <c r="E38" s="65"/>
      <c r="F38" s="65"/>
      <c r="G38" s="66"/>
      <c r="H38" s="36"/>
      <c r="I38" s="36"/>
      <c r="J38" s="35"/>
      <c r="K38" s="36"/>
      <c r="L38" s="36"/>
      <c r="M38" s="37"/>
    </row>
    <row r="39" spans="1:13" s="1" customFormat="1" ht="14.1" customHeight="1">
      <c r="A39" s="92">
        <v>19</v>
      </c>
      <c r="B39" s="51" t="s">
        <v>574</v>
      </c>
      <c r="C39" s="52"/>
      <c r="D39" s="59"/>
      <c r="E39" s="60"/>
      <c r="F39" s="60"/>
      <c r="G39" s="61"/>
      <c r="H39" s="24">
        <f>SUM(I39)-0.6</f>
        <v>12.600000000000001</v>
      </c>
      <c r="I39" s="24">
        <f>SUM(J39)-0.6</f>
        <v>13.200000000000001</v>
      </c>
      <c r="J39" s="33">
        <v>13.8</v>
      </c>
      <c r="K39" s="24">
        <f>SUM(J39)+1.1</f>
        <v>14.9</v>
      </c>
      <c r="L39" s="24">
        <f>SUM(K39)+0.6</f>
        <v>15.5</v>
      </c>
      <c r="M39" s="26">
        <f>SUM(L39)+0.6</f>
        <v>16.100000000000001</v>
      </c>
    </row>
    <row r="40" spans="1:13" s="1" customFormat="1" ht="14.1" customHeight="1">
      <c r="A40" s="79"/>
      <c r="B40" s="62" t="s">
        <v>575</v>
      </c>
      <c r="C40" s="63"/>
      <c r="D40" s="64" t="s">
        <v>774</v>
      </c>
      <c r="E40" s="65"/>
      <c r="F40" s="65"/>
      <c r="G40" s="66"/>
      <c r="H40" s="36"/>
      <c r="I40" s="36"/>
      <c r="J40" s="35"/>
      <c r="K40" s="36"/>
      <c r="L40" s="36"/>
      <c r="M40" s="37"/>
    </row>
    <row r="41" spans="1:13" s="1" customFormat="1" ht="14.1" customHeight="1">
      <c r="A41" s="92">
        <v>20</v>
      </c>
      <c r="B41" s="51" t="s">
        <v>429</v>
      </c>
      <c r="C41" s="52"/>
      <c r="D41" s="57"/>
      <c r="E41" s="57"/>
      <c r="F41" s="57"/>
      <c r="G41" s="57"/>
      <c r="H41" s="24">
        <f>SUM(I41)-0.5</f>
        <v>10</v>
      </c>
      <c r="I41" s="24">
        <f>SUM(J41)-0.5</f>
        <v>10.5</v>
      </c>
      <c r="J41" s="33">
        <v>11</v>
      </c>
      <c r="K41" s="24">
        <f>SUM(J41)+0.5</f>
        <v>11.5</v>
      </c>
      <c r="L41" s="24">
        <f>SUM(K41)+0.5</f>
        <v>12</v>
      </c>
      <c r="M41" s="26">
        <f>SUM(L41)+0.5</f>
        <v>12.5</v>
      </c>
    </row>
    <row r="42" spans="1:13" s="1" customFormat="1" ht="14.1" customHeight="1">
      <c r="A42" s="79"/>
      <c r="B42" s="62" t="s">
        <v>430</v>
      </c>
      <c r="C42" s="63"/>
      <c r="D42" s="47"/>
      <c r="E42" s="48"/>
      <c r="F42" s="48"/>
      <c r="G42" s="49"/>
      <c r="H42" s="36"/>
      <c r="I42" s="36"/>
      <c r="J42" s="35"/>
      <c r="K42" s="36"/>
      <c r="L42" s="36"/>
      <c r="M42" s="37"/>
    </row>
    <row r="43" spans="1:13" s="1" customFormat="1" ht="14.1" customHeight="1">
      <c r="A43" s="92">
        <v>21</v>
      </c>
      <c r="B43" s="51" t="s">
        <v>138</v>
      </c>
      <c r="C43" s="52"/>
      <c r="D43" s="57"/>
      <c r="E43" s="57"/>
      <c r="F43" s="57"/>
      <c r="G43" s="57"/>
      <c r="H43" s="24">
        <f>SUM(I43)-0.5</f>
        <v>9</v>
      </c>
      <c r="I43" s="24">
        <f>SUM(J43)-0.5</f>
        <v>9.5</v>
      </c>
      <c r="J43" s="33">
        <v>10</v>
      </c>
      <c r="K43" s="24">
        <f>SUM(J43)+0.5</f>
        <v>10.5</v>
      </c>
      <c r="L43" s="24">
        <f>SUM(K43)+0.5</f>
        <v>11</v>
      </c>
      <c r="M43" s="26">
        <f>SUM(L43)+0.5</f>
        <v>11.5</v>
      </c>
    </row>
    <row r="44" spans="1:13" s="1" customFormat="1" ht="13.5" customHeight="1">
      <c r="A44" s="79"/>
      <c r="B44" s="62" t="s">
        <v>431</v>
      </c>
      <c r="C44" s="63"/>
      <c r="D44" s="47"/>
      <c r="E44" s="48"/>
      <c r="F44" s="48"/>
      <c r="G44" s="49"/>
      <c r="H44" s="36"/>
      <c r="I44" s="36"/>
      <c r="J44" s="35"/>
      <c r="K44" s="36"/>
      <c r="L44" s="36"/>
      <c r="M44" s="37"/>
    </row>
    <row r="45" spans="1:13" s="1" customFormat="1" ht="13.5" customHeight="1">
      <c r="A45" s="92">
        <v>22</v>
      </c>
      <c r="B45" s="51"/>
      <c r="C45" s="52"/>
      <c r="D45" s="57"/>
      <c r="E45" s="57"/>
      <c r="F45" s="57"/>
      <c r="G45" s="57"/>
      <c r="H45" s="24"/>
      <c r="I45" s="24"/>
      <c r="J45" s="33"/>
      <c r="K45" s="24"/>
      <c r="L45" s="24"/>
      <c r="M45" s="26"/>
    </row>
    <row r="46" spans="1:13" s="1" customFormat="1" ht="13.5" customHeight="1" thickBot="1">
      <c r="A46" s="99"/>
      <c r="B46" s="110"/>
      <c r="C46" s="110"/>
      <c r="D46" s="30"/>
      <c r="E46" s="31"/>
      <c r="F46" s="31"/>
      <c r="G46" s="32"/>
      <c r="H46" s="25"/>
      <c r="I46" s="25"/>
      <c r="J46" s="34"/>
      <c r="K46" s="25"/>
      <c r="L46" s="25"/>
      <c r="M46" s="27"/>
    </row>
    <row r="47" spans="1:13" s="1" customFormat="1" ht="13.5" customHeight="1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3" s="1" customFormat="1" ht="13.5" customHeight="1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1:13" s="1" customFormat="1" ht="13.5" customHeight="1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3" s="1" customFormat="1" ht="13.5" customHeight="1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3" s="1" customFormat="1" ht="13.5" customHeight="1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 s="1" customFormat="1" ht="13.5" customHeight="1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 ht="13.5" customHeight="1"/>
    <row r="54" spans="1:13" ht="13.5" customHeight="1"/>
    <row r="55" spans="1:13" ht="13.5" customHeight="1"/>
    <row r="56" spans="1:13" ht="13.5" customHeight="1"/>
    <row r="57" spans="1:13" ht="13.5" customHeight="1"/>
    <row r="58" spans="1:13" ht="13.5" customHeight="1"/>
    <row r="59" spans="1:13" ht="13.5" customHeight="1"/>
    <row r="60" spans="1:13" ht="13.5" customHeight="1"/>
    <row r="61" spans="1:13" ht="13.5" customHeight="1"/>
  </sheetData>
  <mergeCells count="245">
    <mergeCell ref="B44:C44"/>
    <mergeCell ref="D44:G44"/>
    <mergeCell ref="A1:M1"/>
    <mergeCell ref="A43:A44"/>
    <mergeCell ref="B43:C43"/>
    <mergeCell ref="D43:G43"/>
    <mergeCell ref="H43:H44"/>
    <mergeCell ref="I43:I44"/>
    <mergeCell ref="J43:J44"/>
    <mergeCell ref="K43:K44"/>
    <mergeCell ref="L43:L44"/>
    <mergeCell ref="M43:M44"/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K45:K46"/>
    <mergeCell ref="L45:L46"/>
    <mergeCell ref="M45:M46"/>
    <mergeCell ref="B46:C46"/>
    <mergeCell ref="D46:G46"/>
    <mergeCell ref="A45:A46"/>
    <mergeCell ref="B45:C45"/>
    <mergeCell ref="D45:G45"/>
    <mergeCell ref="H45:H46"/>
    <mergeCell ref="I45:I46"/>
    <mergeCell ref="J45:J46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AE07-2A0B-450E-A990-58E3E2357AA5}">
  <sheetPr>
    <tabColor rgb="FF00B050"/>
    <pageSetUpPr fitToPage="1"/>
  </sheetPr>
  <dimension ref="A1:P52"/>
  <sheetViews>
    <sheetView zoomScale="110" zoomScaleNormal="110" workbookViewId="0">
      <selection activeCell="N23" sqref="N23:N2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67" t="s">
        <v>687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9"/>
    </row>
    <row r="2" spans="1:16" ht="16.5" customHeight="1" thickBot="1">
      <c r="A2" s="2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  <c r="N2" s="7" t="s">
        <v>229</v>
      </c>
    </row>
    <row r="3" spans="1:16" s="1" customFormat="1" ht="14.1" customHeight="1">
      <c r="A3" s="78">
        <v>1</v>
      </c>
      <c r="B3" s="80" t="s">
        <v>149</v>
      </c>
      <c r="C3" s="81"/>
      <c r="D3" s="74" t="s">
        <v>82</v>
      </c>
      <c r="E3" s="82"/>
      <c r="F3" s="82"/>
      <c r="G3" s="83"/>
      <c r="H3" s="58">
        <f>SUM(I3)-3</f>
        <v>45</v>
      </c>
      <c r="I3" s="24">
        <f>SUM(J3)-3</f>
        <v>48</v>
      </c>
      <c r="J3" s="84">
        <v>51</v>
      </c>
      <c r="K3" s="85">
        <f>SUM(J3)+3</f>
        <v>54</v>
      </c>
      <c r="L3" s="85">
        <f>SUM(K3)+3</f>
        <v>57</v>
      </c>
      <c r="M3" s="85">
        <f>SUM(L3)+3</f>
        <v>60</v>
      </c>
      <c r="N3" s="138">
        <f>SUM(M3)+3</f>
        <v>63</v>
      </c>
    </row>
    <row r="4" spans="1:16" s="1" customFormat="1" ht="14.1" customHeight="1">
      <c r="A4" s="79"/>
      <c r="B4" s="62" t="s">
        <v>108</v>
      </c>
      <c r="C4" s="63"/>
      <c r="D4" s="64" t="s">
        <v>83</v>
      </c>
      <c r="E4" s="65"/>
      <c r="F4" s="65"/>
      <c r="G4" s="66"/>
      <c r="H4" s="56"/>
      <c r="I4" s="36"/>
      <c r="J4" s="35"/>
      <c r="K4" s="36"/>
      <c r="L4" s="36"/>
      <c r="M4" s="36"/>
      <c r="N4" s="137"/>
    </row>
    <row r="5" spans="1:16" s="1" customFormat="1" ht="14.1" customHeight="1">
      <c r="A5" s="92">
        <v>2</v>
      </c>
      <c r="B5" s="40" t="s">
        <v>165</v>
      </c>
      <c r="C5" s="41"/>
      <c r="D5" s="100"/>
      <c r="E5" s="101"/>
      <c r="F5" s="101"/>
      <c r="G5" s="102"/>
      <c r="H5" s="58"/>
      <c r="I5" s="24"/>
      <c r="J5" s="117"/>
      <c r="K5" s="50"/>
      <c r="L5" s="50"/>
      <c r="M5" s="50"/>
      <c r="N5" s="136"/>
    </row>
    <row r="6" spans="1:16" s="1" customFormat="1" ht="14.1" customHeight="1">
      <c r="A6" s="79"/>
      <c r="B6" s="62" t="s">
        <v>164</v>
      </c>
      <c r="C6" s="63"/>
      <c r="D6" s="64"/>
      <c r="E6" s="65"/>
      <c r="F6" s="65"/>
      <c r="G6" s="66"/>
      <c r="H6" s="56"/>
      <c r="I6" s="36"/>
      <c r="J6" s="35"/>
      <c r="K6" s="36"/>
      <c r="L6" s="36"/>
      <c r="M6" s="36"/>
      <c r="N6" s="137"/>
    </row>
    <row r="7" spans="1:16" s="1" customFormat="1" ht="14.1" customHeight="1">
      <c r="A7" s="92">
        <v>3</v>
      </c>
      <c r="B7" s="40" t="s">
        <v>148</v>
      </c>
      <c r="C7" s="41"/>
      <c r="D7" s="100"/>
      <c r="E7" s="101"/>
      <c r="F7" s="101"/>
      <c r="G7" s="102"/>
      <c r="H7" s="58"/>
      <c r="I7" s="24"/>
      <c r="J7" s="117"/>
      <c r="K7" s="50"/>
      <c r="L7" s="50"/>
      <c r="M7" s="50"/>
      <c r="N7" s="136"/>
    </row>
    <row r="8" spans="1:16" s="1" customFormat="1" ht="14.1" customHeight="1">
      <c r="A8" s="79"/>
      <c r="B8" s="62" t="s">
        <v>147</v>
      </c>
      <c r="C8" s="63"/>
      <c r="D8" s="64"/>
      <c r="E8" s="65"/>
      <c r="F8" s="65"/>
      <c r="G8" s="66"/>
      <c r="H8" s="56"/>
      <c r="I8" s="36"/>
      <c r="J8" s="35"/>
      <c r="K8" s="36"/>
      <c r="L8" s="36"/>
      <c r="M8" s="36"/>
      <c r="N8" s="137"/>
    </row>
    <row r="9" spans="1:16" s="1" customFormat="1" ht="14.1" customHeight="1">
      <c r="A9" s="92">
        <v>4</v>
      </c>
      <c r="B9" s="51" t="s">
        <v>163</v>
      </c>
      <c r="C9" s="52"/>
      <c r="D9" s="118"/>
      <c r="E9" s="119"/>
      <c r="F9" s="119"/>
      <c r="G9" s="120"/>
      <c r="H9" s="24">
        <f>SUM(I9)-2.2</f>
        <v>37.599999999999994</v>
      </c>
      <c r="I9" s="24">
        <f>SUM(J9)-2.2</f>
        <v>39.799999999999997</v>
      </c>
      <c r="J9" s="117">
        <v>42</v>
      </c>
      <c r="K9" s="50">
        <f>SUM(J9)+2.2</f>
        <v>44.2</v>
      </c>
      <c r="L9" s="50">
        <f>SUM(K9)+2.2</f>
        <v>46.400000000000006</v>
      </c>
      <c r="M9" s="24">
        <f>SUM(L9)+2.2</f>
        <v>48.600000000000009</v>
      </c>
      <c r="N9" s="88">
        <f>SUM(M9)+2.2</f>
        <v>50.800000000000011</v>
      </c>
    </row>
    <row r="10" spans="1:16" s="1" customFormat="1" ht="14.1" customHeight="1">
      <c r="A10" s="79"/>
      <c r="B10" s="62" t="s">
        <v>162</v>
      </c>
      <c r="C10" s="63"/>
      <c r="D10" s="114"/>
      <c r="E10" s="115"/>
      <c r="F10" s="115"/>
      <c r="G10" s="116"/>
      <c r="H10" s="36"/>
      <c r="I10" s="36"/>
      <c r="J10" s="35"/>
      <c r="K10" s="36"/>
      <c r="L10" s="36"/>
      <c r="M10" s="36"/>
      <c r="N10" s="87"/>
    </row>
    <row r="11" spans="1:16" s="1" customFormat="1" ht="14.1" customHeight="1">
      <c r="A11" s="92">
        <v>5</v>
      </c>
      <c r="B11" s="51" t="s">
        <v>157</v>
      </c>
      <c r="C11" s="52"/>
      <c r="D11" s="100"/>
      <c r="E11" s="101"/>
      <c r="F11" s="101"/>
      <c r="G11" s="102"/>
      <c r="H11" s="58">
        <f>SUM(I11)-4.5</f>
        <v>63</v>
      </c>
      <c r="I11" s="24">
        <f>SUM(J11)-4.5</f>
        <v>67.5</v>
      </c>
      <c r="J11" s="117">
        <v>72</v>
      </c>
      <c r="K11" s="50">
        <f>SUM(J11)+4.5</f>
        <v>76.5</v>
      </c>
      <c r="L11" s="50">
        <f>SUM(K11)+4.5</f>
        <v>81</v>
      </c>
      <c r="M11" s="50">
        <f>SUM(L11)+4.5</f>
        <v>85.5</v>
      </c>
      <c r="N11" s="136">
        <f>SUM(M11)+4.5</f>
        <v>90</v>
      </c>
    </row>
    <row r="12" spans="1:16" s="1" customFormat="1" ht="14.1" customHeight="1">
      <c r="A12" s="79"/>
      <c r="B12" s="62" t="s">
        <v>158</v>
      </c>
      <c r="C12" s="63"/>
      <c r="D12" s="64"/>
      <c r="E12" s="65"/>
      <c r="F12" s="65"/>
      <c r="G12" s="66"/>
      <c r="H12" s="56"/>
      <c r="I12" s="36"/>
      <c r="J12" s="35"/>
      <c r="K12" s="36"/>
      <c r="L12" s="36"/>
      <c r="M12" s="36"/>
      <c r="N12" s="137"/>
    </row>
    <row r="13" spans="1:16" s="1" customFormat="1" ht="14.1" customHeight="1">
      <c r="A13" s="92">
        <v>6</v>
      </c>
      <c r="B13" s="51" t="s">
        <v>13</v>
      </c>
      <c r="C13" s="52"/>
      <c r="D13" s="59" t="s">
        <v>182</v>
      </c>
      <c r="E13" s="60"/>
      <c r="F13" s="60"/>
      <c r="G13" s="61"/>
      <c r="H13" s="58">
        <f>SUM(I13)-5</f>
        <v>64</v>
      </c>
      <c r="I13" s="24">
        <f>SUM(J13)-5</f>
        <v>69</v>
      </c>
      <c r="J13" s="33">
        <v>74</v>
      </c>
      <c r="K13" s="24">
        <f>SUM(J13)+5</f>
        <v>79</v>
      </c>
      <c r="L13" s="24">
        <f>SUM(K13)+5</f>
        <v>84</v>
      </c>
      <c r="M13" s="24">
        <f>SUM(L13)+5</f>
        <v>89</v>
      </c>
      <c r="N13" s="139">
        <f>SUM(M13)+5</f>
        <v>94</v>
      </c>
    </row>
    <row r="14" spans="1:16" s="1" customFormat="1" ht="14.1" customHeight="1">
      <c r="A14" s="79"/>
      <c r="B14" s="62" t="s">
        <v>55</v>
      </c>
      <c r="C14" s="63"/>
      <c r="D14" s="64" t="s">
        <v>121</v>
      </c>
      <c r="E14" s="65"/>
      <c r="F14" s="65"/>
      <c r="G14" s="66"/>
      <c r="H14" s="56"/>
      <c r="I14" s="36"/>
      <c r="J14" s="35"/>
      <c r="K14" s="36"/>
      <c r="L14" s="36"/>
      <c r="M14" s="36"/>
      <c r="N14" s="137"/>
      <c r="P14" s="1" t="s">
        <v>419</v>
      </c>
    </row>
    <row r="15" spans="1:16" s="1" customFormat="1" ht="14.1" customHeight="1">
      <c r="A15" s="92">
        <v>7</v>
      </c>
      <c r="B15" s="51" t="s">
        <v>146</v>
      </c>
      <c r="C15" s="52"/>
      <c r="D15" s="59"/>
      <c r="E15" s="60"/>
      <c r="F15" s="60"/>
      <c r="G15" s="61"/>
      <c r="H15" s="58">
        <f>SUM(I15)-0.7</f>
        <v>9.6000000000000014</v>
      </c>
      <c r="I15" s="24">
        <f>SUM(J15)-0.7</f>
        <v>10.3</v>
      </c>
      <c r="J15" s="33">
        <v>11</v>
      </c>
      <c r="K15" s="24">
        <f>SUM(J15)+0.7</f>
        <v>11.7</v>
      </c>
      <c r="L15" s="24">
        <f>SUM(K15)+0.7</f>
        <v>12.399999999999999</v>
      </c>
      <c r="M15" s="58">
        <f>SUM(L15)+0.7</f>
        <v>13.099999999999998</v>
      </c>
      <c r="N15" s="139">
        <f>SUM(M15)+0.7</f>
        <v>13.799999999999997</v>
      </c>
    </row>
    <row r="16" spans="1:16" s="1" customFormat="1" ht="14.1" customHeight="1">
      <c r="A16" s="79"/>
      <c r="B16" s="62" t="s">
        <v>145</v>
      </c>
      <c r="C16" s="63"/>
      <c r="D16" s="89" t="s">
        <v>179</v>
      </c>
      <c r="E16" s="90"/>
      <c r="F16" s="90"/>
      <c r="G16" s="91"/>
      <c r="H16" s="56"/>
      <c r="I16" s="36"/>
      <c r="J16" s="35"/>
      <c r="K16" s="36"/>
      <c r="L16" s="36"/>
      <c r="M16" s="56"/>
      <c r="N16" s="137"/>
    </row>
    <row r="17" spans="1:14" s="1" customFormat="1" ht="14.1" customHeight="1">
      <c r="A17" s="92">
        <v>8</v>
      </c>
      <c r="B17" s="51" t="s">
        <v>166</v>
      </c>
      <c r="C17" s="52"/>
      <c r="D17" s="59"/>
      <c r="E17" s="60"/>
      <c r="F17" s="60"/>
      <c r="G17" s="61"/>
      <c r="H17" s="58">
        <f>SUM(I17)-0.7</f>
        <v>9.6000000000000014</v>
      </c>
      <c r="I17" s="24">
        <f>SUM(J17)-0.7</f>
        <v>10.3</v>
      </c>
      <c r="J17" s="33">
        <v>11</v>
      </c>
      <c r="K17" s="24">
        <f>SUM(J17)+0.7</f>
        <v>11.7</v>
      </c>
      <c r="L17" s="24">
        <f>SUM(K17)+0.7</f>
        <v>12.399999999999999</v>
      </c>
      <c r="M17" s="58">
        <f>SUM(L17)+0.7</f>
        <v>13.099999999999998</v>
      </c>
      <c r="N17" s="139">
        <f>SUM(M17)+0.7</f>
        <v>13.799999999999997</v>
      </c>
    </row>
    <row r="18" spans="1:14" s="1" customFormat="1" ht="14.1" customHeight="1">
      <c r="A18" s="79"/>
      <c r="B18" s="62" t="s">
        <v>167</v>
      </c>
      <c r="C18" s="63"/>
      <c r="D18" s="89" t="s">
        <v>168</v>
      </c>
      <c r="E18" s="90"/>
      <c r="F18" s="90"/>
      <c r="G18" s="91"/>
      <c r="H18" s="56"/>
      <c r="I18" s="36"/>
      <c r="J18" s="35"/>
      <c r="K18" s="36"/>
      <c r="L18" s="36"/>
      <c r="M18" s="56"/>
      <c r="N18" s="137"/>
    </row>
    <row r="19" spans="1:14" s="1" customFormat="1" ht="14.1" customHeight="1">
      <c r="A19" s="92">
        <v>9</v>
      </c>
      <c r="B19" s="51" t="s">
        <v>178</v>
      </c>
      <c r="C19" s="52"/>
      <c r="D19" s="59"/>
      <c r="E19" s="60"/>
      <c r="F19" s="60"/>
      <c r="G19" s="61"/>
      <c r="H19" s="24">
        <f>SUM(I19)-0</f>
        <v>2.8</v>
      </c>
      <c r="I19" s="24">
        <f>SUM(J19)-0</f>
        <v>2.8</v>
      </c>
      <c r="J19" s="33">
        <v>2.8</v>
      </c>
      <c r="K19" s="24">
        <f>SUM(J19)+0.5</f>
        <v>3.3</v>
      </c>
      <c r="L19" s="24">
        <f>SUM(K19)+0</f>
        <v>3.3</v>
      </c>
      <c r="M19" s="24">
        <f>SUM(L19)+0</f>
        <v>3.3</v>
      </c>
      <c r="N19" s="139">
        <f>SUM(M19)+0</f>
        <v>3.3</v>
      </c>
    </row>
    <row r="20" spans="1:14" s="1" customFormat="1" ht="14.1" customHeight="1">
      <c r="A20" s="79"/>
      <c r="B20" s="62" t="s">
        <v>177</v>
      </c>
      <c r="C20" s="63"/>
      <c r="D20" s="89"/>
      <c r="E20" s="90"/>
      <c r="F20" s="90"/>
      <c r="G20" s="91"/>
      <c r="H20" s="36"/>
      <c r="I20" s="36"/>
      <c r="J20" s="35"/>
      <c r="K20" s="36"/>
      <c r="L20" s="36"/>
      <c r="M20" s="36"/>
      <c r="N20" s="137"/>
    </row>
    <row r="21" spans="1:14" s="1" customFormat="1" ht="14.1" customHeight="1">
      <c r="A21" s="92">
        <v>10</v>
      </c>
      <c r="B21" s="51" t="s">
        <v>9</v>
      </c>
      <c r="C21" s="52"/>
      <c r="D21" s="59" t="s">
        <v>84</v>
      </c>
      <c r="E21" s="60"/>
      <c r="F21" s="60"/>
      <c r="G21" s="61"/>
      <c r="H21" s="24">
        <f>SUM(I21)-7</f>
        <v>50</v>
      </c>
      <c r="I21" s="24">
        <f>SUM(J21)-7</f>
        <v>57</v>
      </c>
      <c r="J21" s="33">
        <v>64</v>
      </c>
      <c r="K21" s="24">
        <f>SUM(J21)+6</f>
        <v>70</v>
      </c>
      <c r="L21" s="24">
        <f>SUM(K21)+6</f>
        <v>76</v>
      </c>
      <c r="M21" s="24">
        <f>SUM(L21)+6</f>
        <v>82</v>
      </c>
      <c r="N21" s="139">
        <f>SUM(M21)+6</f>
        <v>88</v>
      </c>
    </row>
    <row r="22" spans="1:14" s="1" customFormat="1" ht="14.1" customHeight="1">
      <c r="A22" s="79"/>
      <c r="B22" s="62" t="s">
        <v>56</v>
      </c>
      <c r="C22" s="63"/>
      <c r="D22" s="64" t="s">
        <v>120</v>
      </c>
      <c r="E22" s="65"/>
      <c r="F22" s="65"/>
      <c r="G22" s="66"/>
      <c r="H22" s="36"/>
      <c r="I22" s="36"/>
      <c r="J22" s="35"/>
      <c r="K22" s="36"/>
      <c r="L22" s="36"/>
      <c r="M22" s="36"/>
      <c r="N22" s="137"/>
    </row>
    <row r="23" spans="1:14" s="1" customFormat="1" ht="14.1" customHeight="1">
      <c r="A23" s="92">
        <v>11</v>
      </c>
      <c r="B23" s="51" t="s">
        <v>16</v>
      </c>
      <c r="C23" s="52"/>
      <c r="D23" s="59" t="s">
        <v>17</v>
      </c>
      <c r="E23" s="60"/>
      <c r="F23" s="60"/>
      <c r="G23" s="61"/>
      <c r="H23" s="24">
        <f>SUM(I23)-2</f>
        <v>36</v>
      </c>
      <c r="I23" s="24">
        <f>SUM(J23)-2</f>
        <v>38</v>
      </c>
      <c r="J23" s="33">
        <v>40</v>
      </c>
      <c r="K23" s="24">
        <f>SUM(J23)+2</f>
        <v>42</v>
      </c>
      <c r="L23" s="24">
        <f>SUM(K23)+2</f>
        <v>44</v>
      </c>
      <c r="M23" s="24">
        <f>SUM(L23)+2</f>
        <v>46</v>
      </c>
      <c r="N23" s="88">
        <f>SUM(M23)+2</f>
        <v>48</v>
      </c>
    </row>
    <row r="24" spans="1:14" s="1" customFormat="1" ht="14.1" customHeight="1">
      <c r="A24" s="79"/>
      <c r="B24" s="62" t="s">
        <v>57</v>
      </c>
      <c r="C24" s="63"/>
      <c r="D24" s="47" t="s">
        <v>119</v>
      </c>
      <c r="E24" s="48"/>
      <c r="F24" s="48"/>
      <c r="G24" s="49"/>
      <c r="H24" s="36"/>
      <c r="I24" s="36"/>
      <c r="J24" s="35"/>
      <c r="K24" s="36"/>
      <c r="L24" s="36"/>
      <c r="M24" s="36"/>
      <c r="N24" s="87"/>
    </row>
    <row r="25" spans="1:14" s="1" customFormat="1" ht="14.1" customHeight="1">
      <c r="A25" s="92">
        <v>12</v>
      </c>
      <c r="B25" s="51" t="s">
        <v>18</v>
      </c>
      <c r="C25" s="52"/>
      <c r="D25" s="59" t="s">
        <v>15</v>
      </c>
      <c r="E25" s="60"/>
      <c r="F25" s="60"/>
      <c r="G25" s="61"/>
      <c r="H25" s="58">
        <f>SUM(I25)-1.1</f>
        <v>20.799999999999997</v>
      </c>
      <c r="I25" s="24">
        <f>SUM(J25)-1.1</f>
        <v>21.9</v>
      </c>
      <c r="J25" s="33">
        <v>23</v>
      </c>
      <c r="K25" s="24">
        <f>SUM(J25)+1.6</f>
        <v>24.6</v>
      </c>
      <c r="L25" s="24">
        <f>SUM(K25)+1.1</f>
        <v>25.700000000000003</v>
      </c>
      <c r="M25" s="58">
        <f>SUM(L25)+1.1</f>
        <v>26.800000000000004</v>
      </c>
      <c r="N25" s="139">
        <f>SUM(M25)+1.1</f>
        <v>27.900000000000006</v>
      </c>
    </row>
    <row r="26" spans="1:14" s="1" customFormat="1" ht="14.1" customHeight="1">
      <c r="A26" s="79"/>
      <c r="B26" s="62" t="s">
        <v>63</v>
      </c>
      <c r="C26" s="63"/>
      <c r="D26" s="64" t="s">
        <v>118</v>
      </c>
      <c r="E26" s="65"/>
      <c r="F26" s="65"/>
      <c r="G26" s="66"/>
      <c r="H26" s="56"/>
      <c r="I26" s="36"/>
      <c r="J26" s="35"/>
      <c r="K26" s="36"/>
      <c r="L26" s="36"/>
      <c r="M26" s="56"/>
      <c r="N26" s="137"/>
    </row>
    <row r="27" spans="1:14" s="1" customFormat="1" ht="14.1" customHeight="1">
      <c r="A27" s="92">
        <v>13</v>
      </c>
      <c r="B27" s="51" t="s">
        <v>19</v>
      </c>
      <c r="C27" s="52"/>
      <c r="D27" s="59" t="s">
        <v>15</v>
      </c>
      <c r="E27" s="60"/>
      <c r="F27" s="60"/>
      <c r="G27" s="61"/>
      <c r="H27" s="58">
        <f>SUM(I27)-1.3</f>
        <v>27.9</v>
      </c>
      <c r="I27" s="24">
        <f>SUM(J27)-1.3</f>
        <v>29.2</v>
      </c>
      <c r="J27" s="33">
        <v>30.5</v>
      </c>
      <c r="K27" s="24">
        <f>SUM(J27)+1.8</f>
        <v>32.299999999999997</v>
      </c>
      <c r="L27" s="24">
        <f>SUM(K27)+1.3</f>
        <v>33.599999999999994</v>
      </c>
      <c r="M27" s="58">
        <f>SUM(L27)+1.3</f>
        <v>34.899999999999991</v>
      </c>
      <c r="N27" s="139">
        <f>SUM(M27)+1.3</f>
        <v>36.199999999999989</v>
      </c>
    </row>
    <row r="28" spans="1:14" s="1" customFormat="1" ht="14.1" customHeight="1">
      <c r="A28" s="79"/>
      <c r="B28" s="62" t="s">
        <v>62</v>
      </c>
      <c r="C28" s="63"/>
      <c r="D28" s="64" t="s">
        <v>118</v>
      </c>
      <c r="E28" s="65"/>
      <c r="F28" s="65"/>
      <c r="G28" s="66"/>
      <c r="H28" s="56"/>
      <c r="I28" s="36"/>
      <c r="J28" s="35"/>
      <c r="K28" s="36"/>
      <c r="L28" s="36"/>
      <c r="M28" s="56"/>
      <c r="N28" s="137"/>
    </row>
    <row r="29" spans="1:14" s="1" customFormat="1" ht="14.1" customHeight="1">
      <c r="A29" s="92">
        <v>14</v>
      </c>
      <c r="B29" s="51" t="s">
        <v>20</v>
      </c>
      <c r="C29" s="52"/>
      <c r="D29" s="59" t="s">
        <v>21</v>
      </c>
      <c r="E29" s="60"/>
      <c r="F29" s="60"/>
      <c r="G29" s="61"/>
      <c r="H29" s="24"/>
      <c r="I29" s="24"/>
      <c r="J29" s="33"/>
      <c r="K29" s="24"/>
      <c r="L29" s="24"/>
      <c r="M29" s="24"/>
      <c r="N29" s="139"/>
    </row>
    <row r="30" spans="1:14" s="1" customFormat="1" ht="14.1" customHeight="1">
      <c r="A30" s="79"/>
      <c r="B30" s="62" t="s">
        <v>61</v>
      </c>
      <c r="C30" s="63"/>
      <c r="D30" s="64" t="s">
        <v>117</v>
      </c>
      <c r="E30" s="65"/>
      <c r="F30" s="65"/>
      <c r="G30" s="66"/>
      <c r="H30" s="36"/>
      <c r="I30" s="36"/>
      <c r="J30" s="35"/>
      <c r="K30" s="36"/>
      <c r="L30" s="36"/>
      <c r="M30" s="36"/>
      <c r="N30" s="137"/>
    </row>
    <row r="31" spans="1:14" s="1" customFormat="1" ht="14.1" customHeight="1">
      <c r="A31" s="92">
        <v>15</v>
      </c>
      <c r="B31" s="51" t="s">
        <v>22</v>
      </c>
      <c r="C31" s="52"/>
      <c r="D31" s="59" t="s">
        <v>23</v>
      </c>
      <c r="E31" s="60"/>
      <c r="F31" s="60"/>
      <c r="G31" s="61"/>
      <c r="H31" s="24"/>
      <c r="I31" s="24"/>
      <c r="J31" s="33"/>
      <c r="K31" s="24"/>
      <c r="L31" s="24"/>
      <c r="M31" s="24"/>
      <c r="N31" s="139"/>
    </row>
    <row r="32" spans="1:14" s="1" customFormat="1" ht="14.1" customHeight="1">
      <c r="A32" s="79"/>
      <c r="B32" s="62" t="s">
        <v>60</v>
      </c>
      <c r="C32" s="63"/>
      <c r="D32" s="64" t="s">
        <v>116</v>
      </c>
      <c r="E32" s="65"/>
      <c r="F32" s="65"/>
      <c r="G32" s="66"/>
      <c r="H32" s="36"/>
      <c r="I32" s="36"/>
      <c r="J32" s="35"/>
      <c r="K32" s="36"/>
      <c r="L32" s="36"/>
      <c r="M32" s="36"/>
      <c r="N32" s="137"/>
    </row>
    <row r="33" spans="1:14" s="1" customFormat="1" ht="14.1" customHeight="1">
      <c r="A33" s="92">
        <v>16</v>
      </c>
      <c r="B33" s="51" t="s">
        <v>115</v>
      </c>
      <c r="C33" s="52"/>
      <c r="D33" s="59" t="s">
        <v>113</v>
      </c>
      <c r="E33" s="60"/>
      <c r="F33" s="60"/>
      <c r="G33" s="61"/>
      <c r="H33" s="58"/>
      <c r="I33" s="24"/>
      <c r="J33" s="33"/>
      <c r="K33" s="24"/>
      <c r="L33" s="24"/>
      <c r="M33" s="58"/>
      <c r="N33" s="139"/>
    </row>
    <row r="34" spans="1:14" s="1" customFormat="1" ht="14.1" customHeight="1">
      <c r="A34" s="79"/>
      <c r="B34" s="62" t="s">
        <v>114</v>
      </c>
      <c r="C34" s="63"/>
      <c r="D34" s="64" t="s">
        <v>113</v>
      </c>
      <c r="E34" s="65"/>
      <c r="F34" s="65"/>
      <c r="G34" s="66"/>
      <c r="H34" s="56"/>
      <c r="I34" s="36"/>
      <c r="J34" s="35"/>
      <c r="K34" s="36"/>
      <c r="L34" s="36"/>
      <c r="M34" s="56"/>
      <c r="N34" s="137"/>
    </row>
    <row r="35" spans="1:14" s="1" customFormat="1" ht="14.1" customHeight="1">
      <c r="A35" s="92">
        <v>17</v>
      </c>
      <c r="B35" s="51" t="s">
        <v>112</v>
      </c>
      <c r="C35" s="52"/>
      <c r="D35" s="59" t="s">
        <v>111</v>
      </c>
      <c r="E35" s="60"/>
      <c r="F35" s="60"/>
      <c r="G35" s="61"/>
      <c r="H35" s="24"/>
      <c r="I35" s="24"/>
      <c r="J35" s="33"/>
      <c r="K35" s="24"/>
      <c r="L35" s="24"/>
      <c r="M35" s="24"/>
      <c r="N35" s="139"/>
    </row>
    <row r="36" spans="1:14" s="1" customFormat="1" ht="14.1" customHeight="1">
      <c r="A36" s="79"/>
      <c r="B36" s="62" t="s">
        <v>110</v>
      </c>
      <c r="C36" s="63"/>
      <c r="D36" s="64" t="s">
        <v>160</v>
      </c>
      <c r="E36" s="65"/>
      <c r="F36" s="65"/>
      <c r="G36" s="66"/>
      <c r="H36" s="36"/>
      <c r="I36" s="36"/>
      <c r="J36" s="35"/>
      <c r="K36" s="36"/>
      <c r="L36" s="36"/>
      <c r="M36" s="36"/>
      <c r="N36" s="137"/>
    </row>
    <row r="37" spans="1:14" s="1" customFormat="1" ht="14.1" customHeight="1">
      <c r="A37" s="92">
        <v>18</v>
      </c>
      <c r="B37" s="51" t="s">
        <v>144</v>
      </c>
      <c r="C37" s="52"/>
      <c r="D37" s="59" t="s">
        <v>24</v>
      </c>
      <c r="E37" s="60"/>
      <c r="F37" s="60"/>
      <c r="G37" s="61"/>
      <c r="H37" s="24">
        <f>SUM(I37)-0.5</f>
        <v>7.5</v>
      </c>
      <c r="I37" s="24">
        <f>SUM(J37)-0.5</f>
        <v>8</v>
      </c>
      <c r="J37" s="23">
        <v>8.5</v>
      </c>
      <c r="K37" s="21">
        <f>SUM(J37)+0.5</f>
        <v>9</v>
      </c>
      <c r="L37" s="21">
        <f>SUM(K37)+0.5</f>
        <v>9.5</v>
      </c>
      <c r="M37" s="133">
        <f>SUM(L37)+0.5</f>
        <v>10</v>
      </c>
      <c r="N37" s="140">
        <f>SUM(M37)+0.5</f>
        <v>10.5</v>
      </c>
    </row>
    <row r="38" spans="1:14" s="1" customFormat="1" ht="14.1" customHeight="1">
      <c r="A38" s="79"/>
      <c r="B38" s="62" t="s">
        <v>59</v>
      </c>
      <c r="C38" s="63"/>
      <c r="D38" s="64" t="s">
        <v>143</v>
      </c>
      <c r="E38" s="65"/>
      <c r="F38" s="65"/>
      <c r="G38" s="66"/>
      <c r="H38" s="36"/>
      <c r="I38" s="36"/>
      <c r="J38" s="23"/>
      <c r="K38" s="21"/>
      <c r="L38" s="21"/>
      <c r="M38" s="133"/>
      <c r="N38" s="140"/>
    </row>
    <row r="39" spans="1:14" s="1" customFormat="1" ht="14.1" customHeight="1">
      <c r="A39" s="92">
        <v>19</v>
      </c>
      <c r="B39" s="51" t="s">
        <v>142</v>
      </c>
      <c r="C39" s="52"/>
      <c r="D39" s="59" t="s">
        <v>25</v>
      </c>
      <c r="E39" s="60"/>
      <c r="F39" s="60"/>
      <c r="G39" s="61"/>
      <c r="H39" s="24">
        <f>SUM(I39)-0.3</f>
        <v>4.4000000000000004</v>
      </c>
      <c r="I39" s="24">
        <f>SUM(J39)-0.3</f>
        <v>4.7</v>
      </c>
      <c r="J39" s="33">
        <v>5</v>
      </c>
      <c r="K39" s="24">
        <f>SUM(J39)+0.3</f>
        <v>5.3</v>
      </c>
      <c r="L39" s="24">
        <f>SUM(K39)+0.3</f>
        <v>5.6</v>
      </c>
      <c r="M39" s="24">
        <f>SUM(L39)+0.3</f>
        <v>5.8999999999999995</v>
      </c>
      <c r="N39" s="139">
        <f>SUM(M39)+0.3</f>
        <v>6.1999999999999993</v>
      </c>
    </row>
    <row r="40" spans="1:14" s="1" customFormat="1" ht="14.1" customHeight="1">
      <c r="A40" s="79"/>
      <c r="B40" s="62" t="s">
        <v>58</v>
      </c>
      <c r="C40" s="63"/>
      <c r="D40" s="64" t="s">
        <v>141</v>
      </c>
      <c r="E40" s="65"/>
      <c r="F40" s="65"/>
      <c r="G40" s="66"/>
      <c r="H40" s="36"/>
      <c r="I40" s="36"/>
      <c r="J40" s="35"/>
      <c r="K40" s="36"/>
      <c r="L40" s="36"/>
      <c r="M40" s="36"/>
      <c r="N40" s="137"/>
    </row>
    <row r="41" spans="1:14" s="1" customFormat="1" ht="14.1" customHeight="1">
      <c r="A41" s="92">
        <v>20</v>
      </c>
      <c r="B41" s="51" t="s">
        <v>140</v>
      </c>
      <c r="C41" s="52"/>
      <c r="D41" s="57"/>
      <c r="E41" s="57"/>
      <c r="F41" s="57"/>
      <c r="G41" s="57"/>
      <c r="H41" s="24">
        <f>SUM(I41)-0.5</f>
        <v>10</v>
      </c>
      <c r="I41" s="24">
        <f>SUM(J41)-0.5</f>
        <v>10.5</v>
      </c>
      <c r="J41" s="33">
        <v>11</v>
      </c>
      <c r="K41" s="24">
        <f>SUM(J41)+0.5</f>
        <v>11.5</v>
      </c>
      <c r="L41" s="24">
        <f>SUM(K41)+0.5</f>
        <v>12</v>
      </c>
      <c r="M41" s="24">
        <f>SUM(L41)+0.5</f>
        <v>12.5</v>
      </c>
      <c r="N41" s="139">
        <f>SUM(M41)+0.5</f>
        <v>13</v>
      </c>
    </row>
    <row r="42" spans="1:14" s="1" customFormat="1" ht="14.1" customHeight="1">
      <c r="A42" s="79"/>
      <c r="B42" s="45" t="s">
        <v>139</v>
      </c>
      <c r="C42" s="46"/>
      <c r="D42" s="47"/>
      <c r="E42" s="48"/>
      <c r="F42" s="48"/>
      <c r="G42" s="49"/>
      <c r="H42" s="36"/>
      <c r="I42" s="36"/>
      <c r="J42" s="35"/>
      <c r="K42" s="36"/>
      <c r="L42" s="36"/>
      <c r="M42" s="36"/>
      <c r="N42" s="137"/>
    </row>
    <row r="43" spans="1:14" s="1" customFormat="1" ht="14.1" customHeight="1">
      <c r="A43" s="92">
        <v>21</v>
      </c>
      <c r="B43" s="51" t="s">
        <v>138</v>
      </c>
      <c r="C43" s="52"/>
      <c r="D43" s="57"/>
      <c r="E43" s="57"/>
      <c r="F43" s="57"/>
      <c r="G43" s="57"/>
      <c r="H43" s="24">
        <f>SUM(I43)-0.5</f>
        <v>11</v>
      </c>
      <c r="I43" s="24">
        <f>SUM(J43)-0.5</f>
        <v>11.5</v>
      </c>
      <c r="J43" s="33">
        <v>12</v>
      </c>
      <c r="K43" s="24">
        <f>SUM(J43)+0.5</f>
        <v>12.5</v>
      </c>
      <c r="L43" s="24">
        <f>SUM(K43)+0.5</f>
        <v>13</v>
      </c>
      <c r="M43" s="24">
        <f>SUM(L43)+0.5</f>
        <v>13.5</v>
      </c>
      <c r="N43" s="88">
        <f>SUM(M43)+0.5</f>
        <v>14</v>
      </c>
    </row>
    <row r="44" spans="1:14" s="1" customFormat="1" ht="14.1" customHeight="1" thickBot="1">
      <c r="A44" s="99"/>
      <c r="B44" s="110" t="s">
        <v>137</v>
      </c>
      <c r="C44" s="110"/>
      <c r="D44" s="30"/>
      <c r="E44" s="31"/>
      <c r="F44" s="31"/>
      <c r="G44" s="32"/>
      <c r="H44" s="25"/>
      <c r="I44" s="25"/>
      <c r="J44" s="34"/>
      <c r="K44" s="25"/>
      <c r="L44" s="25"/>
      <c r="M44" s="25"/>
      <c r="N44" s="103"/>
    </row>
    <row r="45" spans="1:14" s="1" customFormat="1" ht="14.1" customHeight="1"/>
    <row r="46" spans="1:14" s="1" customFormat="1" ht="14.1" customHeight="1"/>
    <row r="47" spans="1:14" s="1" customFormat="1" ht="14.1" customHeight="1"/>
    <row r="48" spans="1:14" s="1" customFormat="1" ht="14.1" customHeight="1"/>
    <row r="49" s="1" customFormat="1" ht="14.1" customHeight="1"/>
    <row r="50" s="1" customFormat="1" ht="14.1" customHeight="1"/>
    <row r="51" s="1" customFormat="1" ht="14.1" customHeight="1"/>
    <row r="52" s="1" customFormat="1" ht="14.1" customHeight="1"/>
  </sheetData>
  <mergeCells count="255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CA903-2D79-4F67-97E4-9192DC14E049}">
  <sheetPr>
    <tabColor rgb="FF00B050"/>
    <pageSetUpPr fitToPage="1"/>
  </sheetPr>
  <dimension ref="A1:N52"/>
  <sheetViews>
    <sheetView topLeftCell="A13" zoomScale="110" zoomScaleNormal="110" workbookViewId="0">
      <selection activeCell="B43" sqref="B43:C4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28" t="s">
        <v>760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30"/>
    </row>
    <row r="2" spans="1:14" ht="16.5" customHeight="1" thickBot="1">
      <c r="A2" s="2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  <c r="N2" s="7" t="s">
        <v>229</v>
      </c>
    </row>
    <row r="3" spans="1:14" s="1" customFormat="1" ht="14.1" customHeight="1">
      <c r="A3" s="78">
        <v>1</v>
      </c>
      <c r="B3" s="80" t="s">
        <v>149</v>
      </c>
      <c r="C3" s="81"/>
      <c r="D3" s="74" t="s">
        <v>82</v>
      </c>
      <c r="E3" s="82"/>
      <c r="F3" s="82"/>
      <c r="G3" s="83"/>
      <c r="H3" s="58">
        <f>SUM(I3)-3</f>
        <v>45</v>
      </c>
      <c r="I3" s="24">
        <f>SUM(J3)-3</f>
        <v>48</v>
      </c>
      <c r="J3" s="84">
        <v>51</v>
      </c>
      <c r="K3" s="85">
        <f>SUM(J3)+3</f>
        <v>54</v>
      </c>
      <c r="L3" s="85">
        <f>SUM(K3)+3</f>
        <v>57</v>
      </c>
      <c r="M3" s="85">
        <f>SUM(L3)+3</f>
        <v>60</v>
      </c>
      <c r="N3" s="131">
        <f>SUM(M3)+3</f>
        <v>63</v>
      </c>
    </row>
    <row r="4" spans="1:14" s="1" customFormat="1" ht="14.1" customHeight="1">
      <c r="A4" s="79"/>
      <c r="B4" s="62" t="s">
        <v>108</v>
      </c>
      <c r="C4" s="63"/>
      <c r="D4" s="64" t="s">
        <v>83</v>
      </c>
      <c r="E4" s="65"/>
      <c r="F4" s="65"/>
      <c r="G4" s="66"/>
      <c r="H4" s="56"/>
      <c r="I4" s="36"/>
      <c r="J4" s="35"/>
      <c r="K4" s="36"/>
      <c r="L4" s="36"/>
      <c r="M4" s="36"/>
      <c r="N4" s="122"/>
    </row>
    <row r="5" spans="1:14" s="1" customFormat="1" ht="14.1" customHeight="1">
      <c r="A5" s="92">
        <v>2</v>
      </c>
      <c r="B5" s="40" t="s">
        <v>165</v>
      </c>
      <c r="C5" s="41"/>
      <c r="D5" s="100"/>
      <c r="E5" s="101"/>
      <c r="F5" s="101"/>
      <c r="G5" s="102"/>
      <c r="H5" s="58"/>
      <c r="I5" s="24"/>
      <c r="J5" s="117"/>
      <c r="K5" s="50"/>
      <c r="L5" s="50"/>
      <c r="M5" s="50"/>
      <c r="N5" s="127"/>
    </row>
    <row r="6" spans="1:14" s="1" customFormat="1" ht="14.1" customHeight="1">
      <c r="A6" s="79"/>
      <c r="B6" s="62" t="s">
        <v>164</v>
      </c>
      <c r="C6" s="63"/>
      <c r="D6" s="64"/>
      <c r="E6" s="65"/>
      <c r="F6" s="65"/>
      <c r="G6" s="66"/>
      <c r="H6" s="56"/>
      <c r="I6" s="36"/>
      <c r="J6" s="35"/>
      <c r="K6" s="36"/>
      <c r="L6" s="36"/>
      <c r="M6" s="36"/>
      <c r="N6" s="122"/>
    </row>
    <row r="7" spans="1:14" s="1" customFormat="1" ht="14.1" customHeight="1">
      <c r="A7" s="92">
        <v>3</v>
      </c>
      <c r="B7" s="40" t="s">
        <v>148</v>
      </c>
      <c r="C7" s="41"/>
      <c r="D7" s="100"/>
      <c r="E7" s="101"/>
      <c r="F7" s="101"/>
      <c r="G7" s="102"/>
      <c r="H7" s="58"/>
      <c r="I7" s="24"/>
      <c r="J7" s="117"/>
      <c r="K7" s="50"/>
      <c r="L7" s="50"/>
      <c r="M7" s="50"/>
      <c r="N7" s="127"/>
    </row>
    <row r="8" spans="1:14" s="1" customFormat="1" ht="14.1" customHeight="1">
      <c r="A8" s="79"/>
      <c r="B8" s="62" t="s">
        <v>147</v>
      </c>
      <c r="C8" s="63"/>
      <c r="D8" s="64"/>
      <c r="E8" s="65"/>
      <c r="F8" s="65"/>
      <c r="G8" s="66"/>
      <c r="H8" s="56"/>
      <c r="I8" s="36"/>
      <c r="J8" s="35"/>
      <c r="K8" s="36"/>
      <c r="L8" s="36"/>
      <c r="M8" s="36"/>
      <c r="N8" s="122"/>
    </row>
    <row r="9" spans="1:14" s="1" customFormat="1" ht="14.1" customHeight="1">
      <c r="A9" s="92">
        <v>4</v>
      </c>
      <c r="B9" s="51" t="s">
        <v>163</v>
      </c>
      <c r="C9" s="52"/>
      <c r="D9" s="118"/>
      <c r="E9" s="119"/>
      <c r="F9" s="119"/>
      <c r="G9" s="120"/>
      <c r="H9" s="24"/>
      <c r="I9" s="24"/>
      <c r="J9" s="117"/>
      <c r="K9" s="50"/>
      <c r="L9" s="50"/>
      <c r="M9" s="50"/>
      <c r="N9" s="127"/>
    </row>
    <row r="10" spans="1:14" s="1" customFormat="1" ht="14.1" customHeight="1">
      <c r="A10" s="79"/>
      <c r="B10" s="62" t="s">
        <v>162</v>
      </c>
      <c r="C10" s="63"/>
      <c r="D10" s="114"/>
      <c r="E10" s="115"/>
      <c r="F10" s="115"/>
      <c r="G10" s="116"/>
      <c r="H10" s="36"/>
      <c r="I10" s="36"/>
      <c r="J10" s="35"/>
      <c r="K10" s="36"/>
      <c r="L10" s="36"/>
      <c r="M10" s="36"/>
      <c r="N10" s="122"/>
    </row>
    <row r="11" spans="1:14" s="1" customFormat="1" ht="14.1" customHeight="1">
      <c r="A11" s="92">
        <v>5</v>
      </c>
      <c r="B11" s="51" t="s">
        <v>157</v>
      </c>
      <c r="C11" s="52"/>
      <c r="D11" s="100"/>
      <c r="E11" s="101"/>
      <c r="F11" s="101"/>
      <c r="G11" s="102"/>
      <c r="H11" s="24">
        <f>SUM(I11)-4.5</f>
        <v>66</v>
      </c>
      <c r="I11" s="24">
        <f>SUM(J11)-4.5</f>
        <v>70.5</v>
      </c>
      <c r="J11" s="117">
        <v>75</v>
      </c>
      <c r="K11" s="50">
        <f>SUM(J11)+4.5</f>
        <v>79.5</v>
      </c>
      <c r="L11" s="50">
        <f>SUM(K11)+4.5</f>
        <v>84</v>
      </c>
      <c r="M11" s="50">
        <f>SUM(L11)+4.5</f>
        <v>88.5</v>
      </c>
      <c r="N11" s="127">
        <f>SUM(M11)+4.5</f>
        <v>93</v>
      </c>
    </row>
    <row r="12" spans="1:14" s="1" customFormat="1" ht="14.1" customHeight="1">
      <c r="A12" s="79"/>
      <c r="B12" s="62" t="s">
        <v>158</v>
      </c>
      <c r="C12" s="63"/>
      <c r="D12" s="64"/>
      <c r="E12" s="65"/>
      <c r="F12" s="65"/>
      <c r="G12" s="66"/>
      <c r="H12" s="36"/>
      <c r="I12" s="36"/>
      <c r="J12" s="35"/>
      <c r="K12" s="36"/>
      <c r="L12" s="36"/>
      <c r="M12" s="36"/>
      <c r="N12" s="122"/>
    </row>
    <row r="13" spans="1:14" s="1" customFormat="1" ht="14.1" customHeight="1">
      <c r="A13" s="92">
        <v>6</v>
      </c>
      <c r="B13" s="51" t="s">
        <v>13</v>
      </c>
      <c r="C13" s="52"/>
      <c r="D13" s="59" t="s">
        <v>182</v>
      </c>
      <c r="E13" s="60"/>
      <c r="F13" s="60"/>
      <c r="G13" s="61"/>
      <c r="H13" s="24">
        <f>SUM(I13)-5</f>
        <v>68.8</v>
      </c>
      <c r="I13" s="24">
        <f>SUM(J13)-5</f>
        <v>73.8</v>
      </c>
      <c r="J13" s="33">
        <v>78.8</v>
      </c>
      <c r="K13" s="24">
        <f>SUM(J13)+5</f>
        <v>83.8</v>
      </c>
      <c r="L13" s="24">
        <f>SUM(K13)+5</f>
        <v>88.8</v>
      </c>
      <c r="M13" s="24">
        <f>SUM(L13)+5</f>
        <v>93.8</v>
      </c>
      <c r="N13" s="121">
        <f>SUM(M13)+5</f>
        <v>98.8</v>
      </c>
    </row>
    <row r="14" spans="1:14" s="1" customFormat="1" ht="14.1" customHeight="1">
      <c r="A14" s="79"/>
      <c r="B14" s="62" t="s">
        <v>761</v>
      </c>
      <c r="C14" s="63"/>
      <c r="D14" s="64" t="s">
        <v>121</v>
      </c>
      <c r="E14" s="65"/>
      <c r="F14" s="65"/>
      <c r="G14" s="66"/>
      <c r="H14" s="36"/>
      <c r="I14" s="36"/>
      <c r="J14" s="35"/>
      <c r="K14" s="36"/>
      <c r="L14" s="36"/>
      <c r="M14" s="36"/>
      <c r="N14" s="122"/>
    </row>
    <row r="15" spans="1:14" s="1" customFormat="1" ht="14.1" customHeight="1">
      <c r="A15" s="92">
        <v>7</v>
      </c>
      <c r="B15" s="51" t="s">
        <v>146</v>
      </c>
      <c r="C15" s="52"/>
      <c r="D15" s="59"/>
      <c r="E15" s="60"/>
      <c r="F15" s="60"/>
      <c r="G15" s="61"/>
      <c r="H15" s="58">
        <f>SUM(I15)-0.7</f>
        <v>13.400000000000002</v>
      </c>
      <c r="I15" s="24">
        <f>SUM(J15)-0.7</f>
        <v>14.100000000000001</v>
      </c>
      <c r="J15" s="33">
        <v>14.8</v>
      </c>
      <c r="K15" s="24">
        <f>SUM(J15)+1.2</f>
        <v>16</v>
      </c>
      <c r="L15" s="24">
        <f>SUM(K15)+0.7</f>
        <v>16.7</v>
      </c>
      <c r="M15" s="58">
        <f>SUM(L15)+0.7</f>
        <v>17.399999999999999</v>
      </c>
      <c r="N15" s="125">
        <f>SUM(M15)+0.7</f>
        <v>18.099999999999998</v>
      </c>
    </row>
    <row r="16" spans="1:14" s="1" customFormat="1" ht="14.1" customHeight="1">
      <c r="A16" s="79"/>
      <c r="B16" s="62" t="s">
        <v>145</v>
      </c>
      <c r="C16" s="63"/>
      <c r="D16" s="89" t="s">
        <v>161</v>
      </c>
      <c r="E16" s="90"/>
      <c r="F16" s="90"/>
      <c r="G16" s="91"/>
      <c r="H16" s="56"/>
      <c r="I16" s="36"/>
      <c r="J16" s="35"/>
      <c r="K16" s="36"/>
      <c r="L16" s="36"/>
      <c r="M16" s="56"/>
      <c r="N16" s="126"/>
    </row>
    <row r="17" spans="1:14" s="1" customFormat="1" ht="14.1" customHeight="1">
      <c r="A17" s="92">
        <v>8</v>
      </c>
      <c r="B17" s="51" t="s">
        <v>166</v>
      </c>
      <c r="C17" s="52"/>
      <c r="D17" s="59"/>
      <c r="E17" s="60"/>
      <c r="F17" s="60"/>
      <c r="G17" s="61"/>
      <c r="H17" s="58"/>
      <c r="I17" s="24"/>
      <c r="J17" s="33"/>
      <c r="K17" s="24"/>
      <c r="L17" s="24"/>
      <c r="M17" s="58"/>
      <c r="N17" s="125"/>
    </row>
    <row r="18" spans="1:14" s="1" customFormat="1" ht="14.1" customHeight="1">
      <c r="A18" s="79"/>
      <c r="B18" s="62" t="s">
        <v>167</v>
      </c>
      <c r="C18" s="63"/>
      <c r="D18" s="89" t="s">
        <v>168</v>
      </c>
      <c r="E18" s="90"/>
      <c r="F18" s="90"/>
      <c r="G18" s="91"/>
      <c r="H18" s="56"/>
      <c r="I18" s="36"/>
      <c r="J18" s="35"/>
      <c r="K18" s="36"/>
      <c r="L18" s="36"/>
      <c r="M18" s="56"/>
      <c r="N18" s="126"/>
    </row>
    <row r="19" spans="1:14" s="1" customFormat="1" ht="14.1" customHeight="1">
      <c r="A19" s="92">
        <v>9</v>
      </c>
      <c r="B19" s="51" t="s">
        <v>178</v>
      </c>
      <c r="C19" s="52"/>
      <c r="D19" s="59"/>
      <c r="E19" s="60"/>
      <c r="F19" s="60"/>
      <c r="G19" s="61"/>
      <c r="H19" s="24"/>
      <c r="I19" s="24"/>
      <c r="J19" s="33"/>
      <c r="K19" s="24"/>
      <c r="L19" s="24"/>
      <c r="M19" s="24"/>
      <c r="N19" s="121"/>
    </row>
    <row r="20" spans="1:14" s="1" customFormat="1" ht="14.1" customHeight="1">
      <c r="A20" s="79"/>
      <c r="B20" s="62" t="s">
        <v>177</v>
      </c>
      <c r="C20" s="63"/>
      <c r="D20" s="89"/>
      <c r="E20" s="90"/>
      <c r="F20" s="90"/>
      <c r="G20" s="91"/>
      <c r="H20" s="36"/>
      <c r="I20" s="36"/>
      <c r="J20" s="35"/>
      <c r="K20" s="36"/>
      <c r="L20" s="36"/>
      <c r="M20" s="36"/>
      <c r="N20" s="122"/>
    </row>
    <row r="21" spans="1:14" s="1" customFormat="1" ht="14.1" customHeight="1">
      <c r="A21" s="92">
        <v>10</v>
      </c>
      <c r="B21" s="51" t="s">
        <v>9</v>
      </c>
      <c r="C21" s="52"/>
      <c r="D21" s="59" t="s">
        <v>84</v>
      </c>
      <c r="E21" s="60"/>
      <c r="F21" s="60"/>
      <c r="G21" s="61"/>
      <c r="H21" s="24">
        <f>SUM(I21)-7</f>
        <v>53</v>
      </c>
      <c r="I21" s="24">
        <f>SUM(J21)-7</f>
        <v>60</v>
      </c>
      <c r="J21" s="33">
        <v>67</v>
      </c>
      <c r="K21" s="24">
        <f>SUM(J21)+6</f>
        <v>73</v>
      </c>
      <c r="L21" s="24">
        <f>SUM(K21)+6</f>
        <v>79</v>
      </c>
      <c r="M21" s="24">
        <f>SUM(L21)+6</f>
        <v>85</v>
      </c>
      <c r="N21" s="121">
        <f>SUM(M21)+6</f>
        <v>91</v>
      </c>
    </row>
    <row r="22" spans="1:14" s="1" customFormat="1" ht="14.1" customHeight="1">
      <c r="A22" s="79"/>
      <c r="B22" s="62" t="s">
        <v>56</v>
      </c>
      <c r="C22" s="63"/>
      <c r="D22" s="64" t="s">
        <v>120</v>
      </c>
      <c r="E22" s="65"/>
      <c r="F22" s="65"/>
      <c r="G22" s="66"/>
      <c r="H22" s="36"/>
      <c r="I22" s="36"/>
      <c r="J22" s="35"/>
      <c r="K22" s="36"/>
      <c r="L22" s="36"/>
      <c r="M22" s="36"/>
      <c r="N22" s="122"/>
    </row>
    <row r="23" spans="1:14" s="1" customFormat="1" ht="14.1" customHeight="1">
      <c r="A23" s="92">
        <v>11</v>
      </c>
      <c r="B23" s="51" t="s">
        <v>16</v>
      </c>
      <c r="C23" s="52"/>
      <c r="D23" s="59" t="s">
        <v>17</v>
      </c>
      <c r="E23" s="60"/>
      <c r="F23" s="60"/>
      <c r="G23" s="61"/>
      <c r="H23" s="24">
        <f>SUM(I23)-2.2</f>
        <v>37.599999999999994</v>
      </c>
      <c r="I23" s="24">
        <f>SUM(J23)-2.2</f>
        <v>39.799999999999997</v>
      </c>
      <c r="J23" s="33">
        <v>42</v>
      </c>
      <c r="K23" s="24">
        <f>SUM(J23)+2.2</f>
        <v>44.2</v>
      </c>
      <c r="L23" s="24">
        <f>SUM(K23)+2.2</f>
        <v>46.400000000000006</v>
      </c>
      <c r="M23" s="24">
        <f>SUM(L23)+2.2</f>
        <v>48.600000000000009</v>
      </c>
      <c r="N23" s="121">
        <f>SUM(M23)+2.2</f>
        <v>50.800000000000011</v>
      </c>
    </row>
    <row r="24" spans="1:14" s="1" customFormat="1" ht="14.1" customHeight="1">
      <c r="A24" s="79"/>
      <c r="B24" s="62" t="s">
        <v>57</v>
      </c>
      <c r="C24" s="63"/>
      <c r="D24" s="47" t="s">
        <v>119</v>
      </c>
      <c r="E24" s="48"/>
      <c r="F24" s="48"/>
      <c r="G24" s="49"/>
      <c r="H24" s="36"/>
      <c r="I24" s="36"/>
      <c r="J24" s="35"/>
      <c r="K24" s="36"/>
      <c r="L24" s="36"/>
      <c r="M24" s="36"/>
      <c r="N24" s="122"/>
    </row>
    <row r="25" spans="1:14" s="1" customFormat="1" ht="14.1" customHeight="1">
      <c r="A25" s="92">
        <v>12</v>
      </c>
      <c r="B25" s="51" t="s">
        <v>18</v>
      </c>
      <c r="C25" s="52"/>
      <c r="D25" s="59" t="s">
        <v>15</v>
      </c>
      <c r="E25" s="60"/>
      <c r="F25" s="60"/>
      <c r="G25" s="61"/>
      <c r="H25" s="58">
        <f>SUM(I25)-1.1</f>
        <v>21.099999999999998</v>
      </c>
      <c r="I25" s="24">
        <f>SUM(J25)-1.1</f>
        <v>22.2</v>
      </c>
      <c r="J25" s="33">
        <v>23.3</v>
      </c>
      <c r="K25" s="24">
        <f>SUM(J25)+1.6</f>
        <v>24.900000000000002</v>
      </c>
      <c r="L25" s="24">
        <f>SUM(K25)+1.1</f>
        <v>26.000000000000004</v>
      </c>
      <c r="M25" s="58">
        <f>SUM(L25)+1.1</f>
        <v>27.100000000000005</v>
      </c>
      <c r="N25" s="125">
        <f>SUM(M25)+1.1</f>
        <v>28.200000000000006</v>
      </c>
    </row>
    <row r="26" spans="1:14" s="1" customFormat="1" ht="14.1" customHeight="1">
      <c r="A26" s="79"/>
      <c r="B26" s="62" t="s">
        <v>63</v>
      </c>
      <c r="C26" s="63"/>
      <c r="D26" s="64" t="s">
        <v>118</v>
      </c>
      <c r="E26" s="65"/>
      <c r="F26" s="65"/>
      <c r="G26" s="66"/>
      <c r="H26" s="56"/>
      <c r="I26" s="36"/>
      <c r="J26" s="35"/>
      <c r="K26" s="36"/>
      <c r="L26" s="36"/>
      <c r="M26" s="56"/>
      <c r="N26" s="126"/>
    </row>
    <row r="27" spans="1:14" s="1" customFormat="1" ht="14.1" customHeight="1">
      <c r="A27" s="92">
        <v>13</v>
      </c>
      <c r="B27" s="51" t="s">
        <v>19</v>
      </c>
      <c r="C27" s="52"/>
      <c r="D27" s="59" t="s">
        <v>15</v>
      </c>
      <c r="E27" s="60"/>
      <c r="F27" s="60"/>
      <c r="G27" s="61"/>
      <c r="H27" s="58">
        <f>SUM(I27)-1.3</f>
        <v>29.2</v>
      </c>
      <c r="I27" s="24">
        <f>SUM(J27)-1.3</f>
        <v>30.5</v>
      </c>
      <c r="J27" s="33">
        <v>31.8</v>
      </c>
      <c r="K27" s="24">
        <f>SUM(J27)+1.8</f>
        <v>33.6</v>
      </c>
      <c r="L27" s="24">
        <f>SUM(K27)+1.3</f>
        <v>34.9</v>
      </c>
      <c r="M27" s="58">
        <f>SUM(L27)+1.3</f>
        <v>36.199999999999996</v>
      </c>
      <c r="N27" s="125">
        <f>SUM(M27)+1.3</f>
        <v>37.499999999999993</v>
      </c>
    </row>
    <row r="28" spans="1:14" s="1" customFormat="1" ht="14.1" customHeight="1">
      <c r="A28" s="79"/>
      <c r="B28" s="62" t="s">
        <v>62</v>
      </c>
      <c r="C28" s="63"/>
      <c r="D28" s="64" t="s">
        <v>118</v>
      </c>
      <c r="E28" s="65"/>
      <c r="F28" s="65"/>
      <c r="G28" s="66"/>
      <c r="H28" s="56"/>
      <c r="I28" s="36"/>
      <c r="J28" s="35"/>
      <c r="K28" s="36"/>
      <c r="L28" s="36"/>
      <c r="M28" s="56"/>
      <c r="N28" s="126"/>
    </row>
    <row r="29" spans="1:14" s="1" customFormat="1" ht="14.1" customHeight="1">
      <c r="A29" s="92">
        <v>14</v>
      </c>
      <c r="B29" s="51" t="s">
        <v>20</v>
      </c>
      <c r="C29" s="52"/>
      <c r="D29" s="59" t="s">
        <v>21</v>
      </c>
      <c r="E29" s="60"/>
      <c r="F29" s="60"/>
      <c r="G29" s="61"/>
      <c r="H29" s="24"/>
      <c r="I29" s="24"/>
      <c r="J29" s="33"/>
      <c r="K29" s="24"/>
      <c r="L29" s="24"/>
      <c r="M29" s="24"/>
      <c r="N29" s="121"/>
    </row>
    <row r="30" spans="1:14" s="1" customFormat="1" ht="14.1" customHeight="1">
      <c r="A30" s="79"/>
      <c r="B30" s="62" t="s">
        <v>61</v>
      </c>
      <c r="C30" s="63"/>
      <c r="D30" s="64" t="s">
        <v>117</v>
      </c>
      <c r="E30" s="65"/>
      <c r="F30" s="65"/>
      <c r="G30" s="66"/>
      <c r="H30" s="36"/>
      <c r="I30" s="36"/>
      <c r="J30" s="35"/>
      <c r="K30" s="36"/>
      <c r="L30" s="36"/>
      <c r="M30" s="36"/>
      <c r="N30" s="122"/>
    </row>
    <row r="31" spans="1:14" s="1" customFormat="1" ht="14.1" customHeight="1">
      <c r="A31" s="92">
        <v>15</v>
      </c>
      <c r="B31" s="51" t="s">
        <v>22</v>
      </c>
      <c r="C31" s="52"/>
      <c r="D31" s="59" t="s">
        <v>23</v>
      </c>
      <c r="E31" s="60"/>
      <c r="F31" s="60"/>
      <c r="G31" s="61"/>
      <c r="H31" s="24">
        <f>SUM(I31)-6</f>
        <v>33</v>
      </c>
      <c r="I31" s="24">
        <f>SUM(J31)-6</f>
        <v>39</v>
      </c>
      <c r="J31" s="33">
        <v>45</v>
      </c>
      <c r="K31" s="24">
        <f>SUM(J31)+4.5</f>
        <v>49.5</v>
      </c>
      <c r="L31" s="24">
        <f>SUM(K31)+5</f>
        <v>54.5</v>
      </c>
      <c r="M31" s="24">
        <f>SUM(L31)+5</f>
        <v>59.5</v>
      </c>
      <c r="N31" s="121">
        <f>SUM(M31)+5</f>
        <v>64.5</v>
      </c>
    </row>
    <row r="32" spans="1:14" s="1" customFormat="1" ht="14.1" customHeight="1">
      <c r="A32" s="79"/>
      <c r="B32" s="62" t="s">
        <v>60</v>
      </c>
      <c r="C32" s="63"/>
      <c r="D32" s="64" t="s">
        <v>116</v>
      </c>
      <c r="E32" s="65"/>
      <c r="F32" s="65"/>
      <c r="G32" s="66"/>
      <c r="H32" s="36"/>
      <c r="I32" s="36"/>
      <c r="J32" s="35"/>
      <c r="K32" s="36"/>
      <c r="L32" s="36"/>
      <c r="M32" s="36"/>
      <c r="N32" s="122"/>
    </row>
    <row r="33" spans="1:14" s="1" customFormat="1" ht="14.1" customHeight="1">
      <c r="A33" s="92">
        <v>16</v>
      </c>
      <c r="B33" s="51" t="s">
        <v>115</v>
      </c>
      <c r="C33" s="52"/>
      <c r="D33" s="59" t="s">
        <v>113</v>
      </c>
      <c r="E33" s="60"/>
      <c r="F33" s="60"/>
      <c r="G33" s="61"/>
      <c r="H33" s="24"/>
      <c r="I33" s="24"/>
      <c r="J33" s="33"/>
      <c r="K33" s="24"/>
      <c r="L33" s="24"/>
      <c r="M33" s="24"/>
      <c r="N33" s="121"/>
    </row>
    <row r="34" spans="1:14" s="1" customFormat="1" ht="14.1" customHeight="1">
      <c r="A34" s="79"/>
      <c r="B34" s="62" t="s">
        <v>114</v>
      </c>
      <c r="C34" s="63"/>
      <c r="D34" s="64" t="s">
        <v>113</v>
      </c>
      <c r="E34" s="65"/>
      <c r="F34" s="65"/>
      <c r="G34" s="66"/>
      <c r="H34" s="36"/>
      <c r="I34" s="36"/>
      <c r="J34" s="35"/>
      <c r="K34" s="36"/>
      <c r="L34" s="36"/>
      <c r="M34" s="36"/>
      <c r="N34" s="122"/>
    </row>
    <row r="35" spans="1:14" s="1" customFormat="1" ht="14.1" customHeight="1">
      <c r="A35" s="92">
        <v>17</v>
      </c>
      <c r="B35" s="51" t="s">
        <v>112</v>
      </c>
      <c r="C35" s="52"/>
      <c r="D35" s="59" t="s">
        <v>111</v>
      </c>
      <c r="E35" s="60"/>
      <c r="F35" s="60"/>
      <c r="G35" s="61"/>
      <c r="H35" s="24"/>
      <c r="I35" s="24"/>
      <c r="J35" s="33"/>
      <c r="K35" s="24"/>
      <c r="L35" s="24"/>
      <c r="M35" s="24"/>
      <c r="N35" s="121"/>
    </row>
    <row r="36" spans="1:14" s="1" customFormat="1" ht="14.1" customHeight="1">
      <c r="A36" s="79"/>
      <c r="B36" s="62" t="s">
        <v>110</v>
      </c>
      <c r="C36" s="63"/>
      <c r="D36" s="64" t="s">
        <v>160</v>
      </c>
      <c r="E36" s="65"/>
      <c r="F36" s="65"/>
      <c r="G36" s="66"/>
      <c r="H36" s="36"/>
      <c r="I36" s="36"/>
      <c r="J36" s="35"/>
      <c r="K36" s="36"/>
      <c r="L36" s="36"/>
      <c r="M36" s="36"/>
      <c r="N36" s="122"/>
    </row>
    <row r="37" spans="1:14" s="1" customFormat="1" ht="14.1" customHeight="1">
      <c r="A37" s="92">
        <v>18</v>
      </c>
      <c r="B37" s="51" t="s">
        <v>447</v>
      </c>
      <c r="C37" s="52"/>
      <c r="D37" s="59"/>
      <c r="E37" s="60"/>
      <c r="F37" s="60"/>
      <c r="G37" s="61"/>
      <c r="H37" s="24">
        <f>SUM(I37)-0.6</f>
        <v>7.8000000000000007</v>
      </c>
      <c r="I37" s="24">
        <f>SUM(J37)-0.6</f>
        <v>8.4</v>
      </c>
      <c r="J37" s="23">
        <v>9</v>
      </c>
      <c r="K37" s="21">
        <f>SUM(J37)+0.6</f>
        <v>9.6</v>
      </c>
      <c r="L37" s="21">
        <f>SUM(K37)+0.6</f>
        <v>10.199999999999999</v>
      </c>
      <c r="M37" s="21">
        <f>SUM(L37)+0.6</f>
        <v>10.799999999999999</v>
      </c>
      <c r="N37" s="123">
        <f>SUM(M37)+0.6</f>
        <v>11.399999999999999</v>
      </c>
    </row>
    <row r="38" spans="1:14" s="1" customFormat="1" ht="14.1" customHeight="1">
      <c r="A38" s="79"/>
      <c r="B38" s="62" t="s">
        <v>762</v>
      </c>
      <c r="C38" s="63"/>
      <c r="D38" s="64"/>
      <c r="E38" s="65"/>
      <c r="F38" s="65"/>
      <c r="G38" s="66"/>
      <c r="H38" s="36"/>
      <c r="I38" s="36"/>
      <c r="J38" s="23"/>
      <c r="K38" s="21"/>
      <c r="L38" s="21"/>
      <c r="M38" s="21"/>
      <c r="N38" s="123"/>
    </row>
    <row r="39" spans="1:14" s="1" customFormat="1" ht="14.1" customHeight="1">
      <c r="A39" s="92">
        <v>19</v>
      </c>
      <c r="B39" s="51" t="s">
        <v>140</v>
      </c>
      <c r="C39" s="52"/>
      <c r="D39" s="57"/>
      <c r="E39" s="57"/>
      <c r="F39" s="57"/>
      <c r="G39" s="57"/>
      <c r="H39" s="24">
        <f>SUM(I39)-0.5</f>
        <v>9.5</v>
      </c>
      <c r="I39" s="24">
        <f>SUM(J39)-0.5</f>
        <v>10</v>
      </c>
      <c r="J39" s="33">
        <v>10.5</v>
      </c>
      <c r="K39" s="24">
        <f>SUM(J39)+0.5</f>
        <v>11</v>
      </c>
      <c r="L39" s="24">
        <f>SUM(K39)+0.5</f>
        <v>11.5</v>
      </c>
      <c r="M39" s="24">
        <f>SUM(L39)+0.5</f>
        <v>12</v>
      </c>
      <c r="N39" s="121">
        <f>SUM(M39)+0.5</f>
        <v>12.5</v>
      </c>
    </row>
    <row r="40" spans="1:14" s="1" customFormat="1" ht="14.1" customHeight="1">
      <c r="A40" s="79"/>
      <c r="B40" s="45" t="s">
        <v>139</v>
      </c>
      <c r="C40" s="46"/>
      <c r="D40" s="47"/>
      <c r="E40" s="48"/>
      <c r="F40" s="48"/>
      <c r="G40" s="49"/>
      <c r="H40" s="36"/>
      <c r="I40" s="36"/>
      <c r="J40" s="35"/>
      <c r="K40" s="36"/>
      <c r="L40" s="36"/>
      <c r="M40" s="36"/>
      <c r="N40" s="122"/>
    </row>
    <row r="41" spans="1:14" s="1" customFormat="1" ht="14.1" customHeight="1">
      <c r="A41" s="92">
        <v>20</v>
      </c>
      <c r="B41" s="51" t="s">
        <v>138</v>
      </c>
      <c r="C41" s="52"/>
      <c r="D41" s="57"/>
      <c r="E41" s="57"/>
      <c r="F41" s="57"/>
      <c r="G41" s="57"/>
      <c r="H41" s="24">
        <f>SUM(I41)-0.5</f>
        <v>10</v>
      </c>
      <c r="I41" s="24">
        <f>SUM(J41)-0.5</f>
        <v>10.5</v>
      </c>
      <c r="J41" s="33">
        <v>11</v>
      </c>
      <c r="K41" s="24">
        <f>SUM(J41)+0.5</f>
        <v>11.5</v>
      </c>
      <c r="L41" s="24">
        <f>SUM(K41)+0.5</f>
        <v>12</v>
      </c>
      <c r="M41" s="24">
        <f>SUM(L41)+0.5</f>
        <v>12.5</v>
      </c>
      <c r="N41" s="121">
        <f>SUM(M41)+0.5</f>
        <v>13</v>
      </c>
    </row>
    <row r="42" spans="1:14" s="1" customFormat="1" ht="14.1" customHeight="1">
      <c r="A42" s="79"/>
      <c r="B42" s="56" t="s">
        <v>137</v>
      </c>
      <c r="C42" s="56"/>
      <c r="D42" s="47"/>
      <c r="E42" s="48"/>
      <c r="F42" s="48"/>
      <c r="G42" s="49"/>
      <c r="H42" s="36"/>
      <c r="I42" s="36"/>
      <c r="J42" s="35"/>
      <c r="K42" s="36"/>
      <c r="L42" s="36"/>
      <c r="M42" s="36"/>
      <c r="N42" s="122"/>
    </row>
    <row r="43" spans="1:14" s="1" customFormat="1" ht="14.1" customHeight="1">
      <c r="A43" s="92">
        <v>21</v>
      </c>
      <c r="B43" s="51" t="s">
        <v>432</v>
      </c>
      <c r="C43" s="52"/>
      <c r="D43" s="57"/>
      <c r="E43" s="57"/>
      <c r="F43" s="57"/>
      <c r="G43" s="57"/>
      <c r="H43" s="24">
        <f>SUM(I43)-2.2</f>
        <v>49.599999999999994</v>
      </c>
      <c r="I43" s="24">
        <f>SUM(J43)-2.2</f>
        <v>51.8</v>
      </c>
      <c r="J43" s="33">
        <v>54</v>
      </c>
      <c r="K43" s="24">
        <f>SUM(J43)+2.2</f>
        <v>56.2</v>
      </c>
      <c r="L43" s="24">
        <f>SUM(K43)+2.2</f>
        <v>58.400000000000006</v>
      </c>
      <c r="M43" s="24">
        <f>SUM(L43)+2.2</f>
        <v>60.600000000000009</v>
      </c>
      <c r="N43" s="121">
        <f>SUM(M43)+2.2</f>
        <v>62.800000000000011</v>
      </c>
    </row>
    <row r="44" spans="1:14" s="1" customFormat="1" ht="14.1" customHeight="1">
      <c r="A44" s="79"/>
      <c r="B44" s="56" t="s">
        <v>433</v>
      </c>
      <c r="C44" s="56"/>
      <c r="D44" s="47"/>
      <c r="E44" s="48"/>
      <c r="F44" s="48"/>
      <c r="G44" s="49"/>
      <c r="H44" s="36"/>
      <c r="I44" s="36"/>
      <c r="J44" s="35"/>
      <c r="K44" s="36"/>
      <c r="L44" s="36"/>
      <c r="M44" s="36"/>
      <c r="N44" s="122"/>
    </row>
    <row r="45" spans="1:14" s="1" customFormat="1" ht="14.1" customHeight="1">
      <c r="A45" s="92">
        <v>22</v>
      </c>
      <c r="B45" s="51"/>
      <c r="C45" s="52"/>
      <c r="D45" s="57"/>
      <c r="E45" s="57"/>
      <c r="F45" s="57"/>
      <c r="G45" s="57"/>
      <c r="H45" s="24"/>
      <c r="I45" s="24"/>
      <c r="J45" s="33"/>
      <c r="K45" s="24"/>
      <c r="L45" s="24"/>
      <c r="M45" s="24"/>
      <c r="N45" s="121"/>
    </row>
    <row r="46" spans="1:14" s="1" customFormat="1" ht="14.1" customHeight="1">
      <c r="A46" s="79"/>
      <c r="B46" s="45"/>
      <c r="C46" s="46"/>
      <c r="D46" s="47"/>
      <c r="E46" s="48"/>
      <c r="F46" s="48"/>
      <c r="G46" s="49"/>
      <c r="H46" s="36"/>
      <c r="I46" s="36"/>
      <c r="J46" s="35"/>
      <c r="K46" s="36"/>
      <c r="L46" s="36"/>
      <c r="M46" s="36"/>
      <c r="N46" s="122"/>
    </row>
    <row r="47" spans="1:14" s="1" customFormat="1" ht="14.1" customHeight="1">
      <c r="A47" s="92">
        <v>23</v>
      </c>
      <c r="B47" s="51"/>
      <c r="C47" s="52"/>
      <c r="D47" s="57"/>
      <c r="E47" s="57"/>
      <c r="F47" s="57"/>
      <c r="G47" s="57"/>
      <c r="H47" s="24"/>
      <c r="I47" s="24"/>
      <c r="J47" s="33"/>
      <c r="K47" s="24"/>
      <c r="L47" s="24"/>
      <c r="M47" s="24"/>
      <c r="N47" s="121"/>
    </row>
    <row r="48" spans="1:14" s="1" customFormat="1" ht="14.1" customHeight="1" thickBot="1">
      <c r="A48" s="99"/>
      <c r="B48" s="110"/>
      <c r="C48" s="110"/>
      <c r="D48" s="30"/>
      <c r="E48" s="31"/>
      <c r="F48" s="31"/>
      <c r="G48" s="32"/>
      <c r="H48" s="25"/>
      <c r="I48" s="25"/>
      <c r="J48" s="34"/>
      <c r="K48" s="25"/>
      <c r="L48" s="25"/>
      <c r="M48" s="25"/>
      <c r="N48" s="124"/>
    </row>
    <row r="49" spans="1:14" s="1" customFormat="1" ht="14.1" customHeight="1">
      <c r="A49"/>
      <c r="B49"/>
      <c r="C49"/>
      <c r="D49"/>
      <c r="E49"/>
      <c r="F49"/>
      <c r="G49"/>
      <c r="H49"/>
      <c r="I49"/>
      <c r="J49"/>
      <c r="K49"/>
      <c r="L49"/>
      <c r="M49"/>
      <c r="N49"/>
    </row>
    <row r="50" spans="1:14" s="1" customFormat="1" ht="14.1" customHeight="1">
      <c r="A50"/>
      <c r="B50"/>
      <c r="C50"/>
      <c r="D50"/>
      <c r="E50"/>
      <c r="F50"/>
      <c r="G50"/>
      <c r="H50"/>
      <c r="I50"/>
      <c r="J50"/>
      <c r="K50"/>
      <c r="L50"/>
      <c r="M50"/>
      <c r="N50"/>
    </row>
    <row r="51" spans="1:14" s="1" customFormat="1" ht="14.1" customHeight="1">
      <c r="A51"/>
      <c r="B51"/>
      <c r="C51"/>
      <c r="D51"/>
      <c r="E51"/>
      <c r="F51"/>
      <c r="G51"/>
      <c r="H51"/>
      <c r="I51"/>
      <c r="J51"/>
      <c r="K51"/>
      <c r="L51"/>
      <c r="M51"/>
      <c r="N51"/>
    </row>
    <row r="52" spans="1:14" s="1" customFormat="1" ht="14.1" customHeight="1">
      <c r="A52"/>
      <c r="B52"/>
      <c r="C52"/>
      <c r="D52"/>
      <c r="E52"/>
      <c r="F52"/>
      <c r="G52"/>
      <c r="H52"/>
      <c r="I52"/>
      <c r="J52"/>
      <c r="K52"/>
      <c r="L52"/>
      <c r="M52"/>
      <c r="N52"/>
    </row>
  </sheetData>
  <mergeCells count="279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47:K48"/>
    <mergeCell ref="L47:L48"/>
    <mergeCell ref="M47:M48"/>
    <mergeCell ref="N47:N48"/>
    <mergeCell ref="B48:C48"/>
    <mergeCell ref="D48:G48"/>
    <mergeCell ref="A47:A48"/>
    <mergeCell ref="B47:C47"/>
    <mergeCell ref="D47:G47"/>
    <mergeCell ref="H47:H48"/>
    <mergeCell ref="I47:I48"/>
    <mergeCell ref="J47:J48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8A97A-7CAE-4AFD-A479-2EE40FD6D9FD}">
  <sheetPr>
    <tabColor rgb="FF00B050"/>
    <pageSetUpPr fitToPage="1"/>
  </sheetPr>
  <dimension ref="A1:N52"/>
  <sheetViews>
    <sheetView topLeftCell="A19" zoomScale="110" zoomScaleNormal="110" workbookViewId="0">
      <selection activeCell="I11" sqref="I11:I1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28" t="s">
        <v>665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30"/>
    </row>
    <row r="2" spans="1:14" ht="16.5" customHeight="1" thickBot="1">
      <c r="A2" s="2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  <c r="N2" s="7" t="s">
        <v>229</v>
      </c>
    </row>
    <row r="3" spans="1:14" s="1" customFormat="1" ht="14.1" customHeight="1">
      <c r="A3" s="78">
        <v>1</v>
      </c>
      <c r="B3" s="80" t="s">
        <v>149</v>
      </c>
      <c r="C3" s="81"/>
      <c r="D3" s="74" t="s">
        <v>82</v>
      </c>
      <c r="E3" s="82"/>
      <c r="F3" s="82"/>
      <c r="G3" s="83"/>
      <c r="H3" s="58">
        <f>SUM(I3)-3</f>
        <v>45</v>
      </c>
      <c r="I3" s="24">
        <f>SUM(J3)-3</f>
        <v>48</v>
      </c>
      <c r="J3" s="84">
        <v>51</v>
      </c>
      <c r="K3" s="85">
        <f>SUM(J3)+3</f>
        <v>54</v>
      </c>
      <c r="L3" s="85">
        <f>SUM(K3)+3</f>
        <v>57</v>
      </c>
      <c r="M3" s="85">
        <f>SUM(L3)+3</f>
        <v>60</v>
      </c>
      <c r="N3" s="131">
        <f>SUM(M3)+3</f>
        <v>63</v>
      </c>
    </row>
    <row r="4" spans="1:14" s="1" customFormat="1" ht="14.1" customHeight="1">
      <c r="A4" s="79"/>
      <c r="B4" s="62" t="s">
        <v>108</v>
      </c>
      <c r="C4" s="63"/>
      <c r="D4" s="64" t="s">
        <v>83</v>
      </c>
      <c r="E4" s="65"/>
      <c r="F4" s="65"/>
      <c r="G4" s="66"/>
      <c r="H4" s="56"/>
      <c r="I4" s="36"/>
      <c r="J4" s="35"/>
      <c r="K4" s="36"/>
      <c r="L4" s="36"/>
      <c r="M4" s="36"/>
      <c r="N4" s="122"/>
    </row>
    <row r="5" spans="1:14" s="1" customFormat="1" ht="14.1" customHeight="1">
      <c r="A5" s="92">
        <v>2</v>
      </c>
      <c r="B5" s="40" t="s">
        <v>165</v>
      </c>
      <c r="C5" s="41"/>
      <c r="D5" s="100"/>
      <c r="E5" s="101"/>
      <c r="F5" s="101"/>
      <c r="G5" s="102"/>
      <c r="H5" s="58"/>
      <c r="I5" s="24"/>
      <c r="J5" s="117"/>
      <c r="K5" s="50"/>
      <c r="L5" s="50"/>
      <c r="M5" s="50"/>
      <c r="N5" s="127"/>
    </row>
    <row r="6" spans="1:14" s="1" customFormat="1" ht="14.1" customHeight="1">
      <c r="A6" s="79"/>
      <c r="B6" s="62" t="s">
        <v>164</v>
      </c>
      <c r="C6" s="63"/>
      <c r="D6" s="64"/>
      <c r="E6" s="65"/>
      <c r="F6" s="65"/>
      <c r="G6" s="66"/>
      <c r="H6" s="56"/>
      <c r="I6" s="36"/>
      <c r="J6" s="35"/>
      <c r="K6" s="36"/>
      <c r="L6" s="36"/>
      <c r="M6" s="36"/>
      <c r="N6" s="122"/>
    </row>
    <row r="7" spans="1:14" s="1" customFormat="1" ht="14.1" customHeight="1">
      <c r="A7" s="92">
        <v>3</v>
      </c>
      <c r="B7" s="40" t="s">
        <v>148</v>
      </c>
      <c r="C7" s="41"/>
      <c r="D7" s="100"/>
      <c r="E7" s="101"/>
      <c r="F7" s="101"/>
      <c r="G7" s="102"/>
      <c r="H7" s="58"/>
      <c r="I7" s="24"/>
      <c r="J7" s="117"/>
      <c r="K7" s="50"/>
      <c r="L7" s="50"/>
      <c r="M7" s="50"/>
      <c r="N7" s="127"/>
    </row>
    <row r="8" spans="1:14" s="1" customFormat="1" ht="14.1" customHeight="1">
      <c r="A8" s="79"/>
      <c r="B8" s="62" t="s">
        <v>147</v>
      </c>
      <c r="C8" s="63"/>
      <c r="D8" s="64"/>
      <c r="E8" s="65"/>
      <c r="F8" s="65"/>
      <c r="G8" s="66"/>
      <c r="H8" s="56"/>
      <c r="I8" s="36"/>
      <c r="J8" s="35"/>
      <c r="K8" s="36"/>
      <c r="L8" s="36"/>
      <c r="M8" s="36"/>
      <c r="N8" s="122"/>
    </row>
    <row r="9" spans="1:14" s="1" customFormat="1" ht="14.1" customHeight="1">
      <c r="A9" s="92">
        <v>4</v>
      </c>
      <c r="B9" s="51" t="s">
        <v>163</v>
      </c>
      <c r="C9" s="52"/>
      <c r="D9" s="118"/>
      <c r="E9" s="119"/>
      <c r="F9" s="119"/>
      <c r="G9" s="120"/>
      <c r="H9" s="24"/>
      <c r="I9" s="24"/>
      <c r="J9" s="117"/>
      <c r="K9" s="50"/>
      <c r="L9" s="50"/>
      <c r="M9" s="50"/>
      <c r="N9" s="127"/>
    </row>
    <row r="10" spans="1:14" s="1" customFormat="1" ht="14.1" customHeight="1">
      <c r="A10" s="79"/>
      <c r="B10" s="62" t="s">
        <v>162</v>
      </c>
      <c r="C10" s="63"/>
      <c r="D10" s="114"/>
      <c r="E10" s="115"/>
      <c r="F10" s="115"/>
      <c r="G10" s="116"/>
      <c r="H10" s="36"/>
      <c r="I10" s="36"/>
      <c r="J10" s="35"/>
      <c r="K10" s="36"/>
      <c r="L10" s="36"/>
      <c r="M10" s="36"/>
      <c r="N10" s="122"/>
    </row>
    <row r="11" spans="1:14" s="1" customFormat="1" ht="14.1" customHeight="1">
      <c r="A11" s="92">
        <v>5</v>
      </c>
      <c r="B11" s="51" t="s">
        <v>157</v>
      </c>
      <c r="C11" s="52"/>
      <c r="D11" s="100"/>
      <c r="E11" s="101"/>
      <c r="F11" s="101"/>
      <c r="G11" s="102"/>
      <c r="H11" s="24">
        <f>SUM(I11)-3.5</f>
        <v>64.8</v>
      </c>
      <c r="I11" s="24">
        <f>SUM(J11)-3.5</f>
        <v>68.3</v>
      </c>
      <c r="J11" s="117">
        <v>71.8</v>
      </c>
      <c r="K11" s="50">
        <f>SUM(J11)+3.5</f>
        <v>75.3</v>
      </c>
      <c r="L11" s="50">
        <f>SUM(K11)+3.5</f>
        <v>78.8</v>
      </c>
      <c r="M11" s="50">
        <f>SUM(L11)+3.5</f>
        <v>82.3</v>
      </c>
      <c r="N11" s="127">
        <f>SUM(M11)+3.5</f>
        <v>85.8</v>
      </c>
    </row>
    <row r="12" spans="1:14" s="1" customFormat="1" ht="14.1" customHeight="1">
      <c r="A12" s="79"/>
      <c r="B12" s="62" t="s">
        <v>158</v>
      </c>
      <c r="C12" s="63"/>
      <c r="D12" s="64"/>
      <c r="E12" s="65"/>
      <c r="F12" s="65"/>
      <c r="G12" s="66"/>
      <c r="H12" s="36"/>
      <c r="I12" s="36"/>
      <c r="J12" s="35"/>
      <c r="K12" s="36"/>
      <c r="L12" s="36"/>
      <c r="M12" s="36"/>
      <c r="N12" s="122"/>
    </row>
    <row r="13" spans="1:14" s="1" customFormat="1" ht="14.1" customHeight="1">
      <c r="A13" s="92">
        <v>6</v>
      </c>
      <c r="B13" s="51" t="s">
        <v>13</v>
      </c>
      <c r="C13" s="52"/>
      <c r="D13" s="59" t="s">
        <v>182</v>
      </c>
      <c r="E13" s="60"/>
      <c r="F13" s="60"/>
      <c r="G13" s="61"/>
      <c r="H13" s="24">
        <f>SUM(I13)-4</f>
        <v>68.8</v>
      </c>
      <c r="I13" s="24">
        <f>SUM(J13)-4</f>
        <v>72.8</v>
      </c>
      <c r="J13" s="33">
        <v>76.8</v>
      </c>
      <c r="K13" s="24">
        <f>SUM(J13)+4</f>
        <v>80.8</v>
      </c>
      <c r="L13" s="24">
        <f>SUM(K13)+4</f>
        <v>84.8</v>
      </c>
      <c r="M13" s="24">
        <f>SUM(L13)+4</f>
        <v>88.8</v>
      </c>
      <c r="N13" s="121">
        <f>SUM(M13)+4</f>
        <v>92.8</v>
      </c>
    </row>
    <row r="14" spans="1:14" s="1" customFormat="1" ht="14.1" customHeight="1">
      <c r="A14" s="79"/>
      <c r="B14" s="62" t="s">
        <v>55</v>
      </c>
      <c r="C14" s="63"/>
      <c r="D14" s="64" t="s">
        <v>121</v>
      </c>
      <c r="E14" s="65"/>
      <c r="F14" s="65"/>
      <c r="G14" s="66"/>
      <c r="H14" s="36"/>
      <c r="I14" s="36"/>
      <c r="J14" s="35"/>
      <c r="K14" s="36"/>
      <c r="L14" s="36"/>
      <c r="M14" s="36"/>
      <c r="N14" s="122"/>
    </row>
    <row r="15" spans="1:14" s="1" customFormat="1" ht="14.1" customHeight="1">
      <c r="A15" s="92">
        <v>7</v>
      </c>
      <c r="B15" s="51" t="s">
        <v>146</v>
      </c>
      <c r="C15" s="52"/>
      <c r="D15" s="59"/>
      <c r="E15" s="60"/>
      <c r="F15" s="60"/>
      <c r="G15" s="61"/>
      <c r="H15" s="58">
        <f>SUM(I15)-0.7</f>
        <v>12.3</v>
      </c>
      <c r="I15" s="24">
        <f>SUM(J15)-0.7</f>
        <v>13</v>
      </c>
      <c r="J15" s="33">
        <v>13.7</v>
      </c>
      <c r="K15" s="24">
        <f>SUM(J15)+1.2</f>
        <v>14.899999999999999</v>
      </c>
      <c r="L15" s="24">
        <f>SUM(K15)+0.7</f>
        <v>15.599999999999998</v>
      </c>
      <c r="M15" s="58">
        <f>SUM(L15)+0.7</f>
        <v>16.299999999999997</v>
      </c>
      <c r="N15" s="125">
        <f>SUM(M15)+0.7</f>
        <v>16.999999999999996</v>
      </c>
    </row>
    <row r="16" spans="1:14" s="1" customFormat="1" ht="14.1" customHeight="1">
      <c r="A16" s="79"/>
      <c r="B16" s="62" t="s">
        <v>145</v>
      </c>
      <c r="C16" s="63"/>
      <c r="D16" s="89" t="s">
        <v>161</v>
      </c>
      <c r="E16" s="90"/>
      <c r="F16" s="90"/>
      <c r="G16" s="91"/>
      <c r="H16" s="56"/>
      <c r="I16" s="36"/>
      <c r="J16" s="35"/>
      <c r="K16" s="36"/>
      <c r="L16" s="36"/>
      <c r="M16" s="56"/>
      <c r="N16" s="126"/>
    </row>
    <row r="17" spans="1:14" s="1" customFormat="1" ht="14.1" customHeight="1">
      <c r="A17" s="92">
        <v>8</v>
      </c>
      <c r="B17" s="51" t="s">
        <v>166</v>
      </c>
      <c r="C17" s="52"/>
      <c r="D17" s="59"/>
      <c r="E17" s="60"/>
      <c r="F17" s="60"/>
      <c r="G17" s="61"/>
      <c r="H17" s="58"/>
      <c r="I17" s="24"/>
      <c r="J17" s="33"/>
      <c r="K17" s="24"/>
      <c r="L17" s="24"/>
      <c r="M17" s="58"/>
      <c r="N17" s="125"/>
    </row>
    <row r="18" spans="1:14" s="1" customFormat="1" ht="14.1" customHeight="1">
      <c r="A18" s="79"/>
      <c r="B18" s="62" t="s">
        <v>167</v>
      </c>
      <c r="C18" s="63"/>
      <c r="D18" s="89" t="s">
        <v>168</v>
      </c>
      <c r="E18" s="90"/>
      <c r="F18" s="90"/>
      <c r="G18" s="91"/>
      <c r="H18" s="56"/>
      <c r="I18" s="36"/>
      <c r="J18" s="35"/>
      <c r="K18" s="36"/>
      <c r="L18" s="36"/>
      <c r="M18" s="56"/>
      <c r="N18" s="126"/>
    </row>
    <row r="19" spans="1:14" s="1" customFormat="1" ht="14.1" customHeight="1">
      <c r="A19" s="92">
        <v>9</v>
      </c>
      <c r="B19" s="51" t="s">
        <v>178</v>
      </c>
      <c r="C19" s="52"/>
      <c r="D19" s="59"/>
      <c r="E19" s="60"/>
      <c r="F19" s="60"/>
      <c r="G19" s="61"/>
      <c r="H19" s="24"/>
      <c r="I19" s="24"/>
      <c r="J19" s="33"/>
      <c r="K19" s="24"/>
      <c r="L19" s="24"/>
      <c r="M19" s="24"/>
      <c r="N19" s="121"/>
    </row>
    <row r="20" spans="1:14" s="1" customFormat="1" ht="14.1" customHeight="1">
      <c r="A20" s="79"/>
      <c r="B20" s="62" t="s">
        <v>177</v>
      </c>
      <c r="C20" s="63"/>
      <c r="D20" s="89"/>
      <c r="E20" s="90"/>
      <c r="F20" s="90"/>
      <c r="G20" s="91"/>
      <c r="H20" s="36"/>
      <c r="I20" s="36"/>
      <c r="J20" s="35"/>
      <c r="K20" s="36"/>
      <c r="L20" s="36"/>
      <c r="M20" s="36"/>
      <c r="N20" s="122"/>
    </row>
    <row r="21" spans="1:14" s="1" customFormat="1" ht="14.1" customHeight="1">
      <c r="A21" s="92">
        <v>10</v>
      </c>
      <c r="B21" s="51" t="s">
        <v>9</v>
      </c>
      <c r="C21" s="52"/>
      <c r="D21" s="59" t="s">
        <v>84</v>
      </c>
      <c r="E21" s="60"/>
      <c r="F21" s="60"/>
      <c r="G21" s="61"/>
      <c r="H21" s="24">
        <f>SUM(I21)-7</f>
        <v>50</v>
      </c>
      <c r="I21" s="24">
        <f>SUM(J21)-7</f>
        <v>57</v>
      </c>
      <c r="J21" s="33">
        <v>64</v>
      </c>
      <c r="K21" s="24">
        <f>SUM(J21)+6</f>
        <v>70</v>
      </c>
      <c r="L21" s="24">
        <f>SUM(K21)+6</f>
        <v>76</v>
      </c>
      <c r="M21" s="24">
        <f>SUM(L21)+6</f>
        <v>82</v>
      </c>
      <c r="N21" s="121">
        <f>SUM(M21)+6</f>
        <v>88</v>
      </c>
    </row>
    <row r="22" spans="1:14" s="1" customFormat="1" ht="14.1" customHeight="1">
      <c r="A22" s="79"/>
      <c r="B22" s="62" t="s">
        <v>56</v>
      </c>
      <c r="C22" s="63"/>
      <c r="D22" s="64" t="s">
        <v>120</v>
      </c>
      <c r="E22" s="65"/>
      <c r="F22" s="65"/>
      <c r="G22" s="66"/>
      <c r="H22" s="36"/>
      <c r="I22" s="36"/>
      <c r="J22" s="35"/>
      <c r="K22" s="36"/>
      <c r="L22" s="36"/>
      <c r="M22" s="36"/>
      <c r="N22" s="122"/>
    </row>
    <row r="23" spans="1:14" s="1" customFormat="1" ht="14.1" customHeight="1">
      <c r="A23" s="92">
        <v>11</v>
      </c>
      <c r="B23" s="51" t="s">
        <v>16</v>
      </c>
      <c r="C23" s="52"/>
      <c r="D23" s="59" t="s">
        <v>17</v>
      </c>
      <c r="E23" s="60"/>
      <c r="F23" s="60"/>
      <c r="G23" s="61"/>
      <c r="H23" s="24">
        <f>SUM(I23)-1.8</f>
        <v>36.400000000000006</v>
      </c>
      <c r="I23" s="24">
        <f>SUM(J23)-1.8</f>
        <v>38.200000000000003</v>
      </c>
      <c r="J23" s="33">
        <v>40</v>
      </c>
      <c r="K23" s="24">
        <f>SUM(J23)+1.8</f>
        <v>41.8</v>
      </c>
      <c r="L23" s="24">
        <f>SUM(K23)+1.8</f>
        <v>43.599999999999994</v>
      </c>
      <c r="M23" s="24">
        <f>SUM(L23)+1.8</f>
        <v>45.399999999999991</v>
      </c>
      <c r="N23" s="121">
        <f>SUM(M23)+1.8</f>
        <v>47.199999999999989</v>
      </c>
    </row>
    <row r="24" spans="1:14" s="1" customFormat="1" ht="14.1" customHeight="1">
      <c r="A24" s="79"/>
      <c r="B24" s="62" t="s">
        <v>57</v>
      </c>
      <c r="C24" s="63"/>
      <c r="D24" s="47" t="s">
        <v>119</v>
      </c>
      <c r="E24" s="48"/>
      <c r="F24" s="48"/>
      <c r="G24" s="49"/>
      <c r="H24" s="36"/>
      <c r="I24" s="36"/>
      <c r="J24" s="35"/>
      <c r="K24" s="36"/>
      <c r="L24" s="36"/>
      <c r="M24" s="36"/>
      <c r="N24" s="122"/>
    </row>
    <row r="25" spans="1:14" s="1" customFormat="1" ht="14.1" customHeight="1">
      <c r="A25" s="92">
        <v>12</v>
      </c>
      <c r="B25" s="51" t="s">
        <v>18</v>
      </c>
      <c r="C25" s="52"/>
      <c r="D25" s="59" t="s">
        <v>15</v>
      </c>
      <c r="E25" s="60"/>
      <c r="F25" s="60"/>
      <c r="G25" s="61"/>
      <c r="H25" s="58">
        <f>SUM(I25)-1.1</f>
        <v>21.499999999999996</v>
      </c>
      <c r="I25" s="24">
        <f>SUM(J25)-1.1</f>
        <v>22.599999999999998</v>
      </c>
      <c r="J25" s="33">
        <v>23.7</v>
      </c>
      <c r="K25" s="24">
        <f>SUM(J25)+1.6</f>
        <v>25.3</v>
      </c>
      <c r="L25" s="24">
        <f>SUM(K25)+1.1</f>
        <v>26.400000000000002</v>
      </c>
      <c r="M25" s="58">
        <f>SUM(L25)+1.1</f>
        <v>27.500000000000004</v>
      </c>
      <c r="N25" s="125">
        <f>SUM(M25)+1.1</f>
        <v>28.600000000000005</v>
      </c>
    </row>
    <row r="26" spans="1:14" s="1" customFormat="1" ht="14.1" customHeight="1">
      <c r="A26" s="79"/>
      <c r="B26" s="62" t="s">
        <v>63</v>
      </c>
      <c r="C26" s="63"/>
      <c r="D26" s="64" t="s">
        <v>118</v>
      </c>
      <c r="E26" s="65"/>
      <c r="F26" s="65"/>
      <c r="G26" s="66"/>
      <c r="H26" s="56"/>
      <c r="I26" s="36"/>
      <c r="J26" s="35"/>
      <c r="K26" s="36"/>
      <c r="L26" s="36"/>
      <c r="M26" s="56"/>
      <c r="N26" s="126"/>
    </row>
    <row r="27" spans="1:14" s="1" customFormat="1" ht="14.1" customHeight="1">
      <c r="A27" s="92">
        <v>13</v>
      </c>
      <c r="B27" s="51" t="s">
        <v>19</v>
      </c>
      <c r="C27" s="52"/>
      <c r="D27" s="59" t="s">
        <v>15</v>
      </c>
      <c r="E27" s="60"/>
      <c r="F27" s="60"/>
      <c r="G27" s="61"/>
      <c r="H27" s="58">
        <f>SUM(I27)-1.3</f>
        <v>28</v>
      </c>
      <c r="I27" s="24">
        <f>SUM(J27)-1.3</f>
        <v>29.3</v>
      </c>
      <c r="J27" s="33">
        <v>30.6</v>
      </c>
      <c r="K27" s="24">
        <f>SUM(J27)+1.8</f>
        <v>32.4</v>
      </c>
      <c r="L27" s="24">
        <f>SUM(K27)+1.3</f>
        <v>33.699999999999996</v>
      </c>
      <c r="M27" s="58">
        <f>SUM(L27)+1.3</f>
        <v>34.999999999999993</v>
      </c>
      <c r="N27" s="125">
        <f>SUM(M27)+1.3</f>
        <v>36.29999999999999</v>
      </c>
    </row>
    <row r="28" spans="1:14" s="1" customFormat="1" ht="14.1" customHeight="1">
      <c r="A28" s="79"/>
      <c r="B28" s="62" t="s">
        <v>62</v>
      </c>
      <c r="C28" s="63"/>
      <c r="D28" s="64" t="s">
        <v>118</v>
      </c>
      <c r="E28" s="65"/>
      <c r="F28" s="65"/>
      <c r="G28" s="66"/>
      <c r="H28" s="56"/>
      <c r="I28" s="36"/>
      <c r="J28" s="35"/>
      <c r="K28" s="36"/>
      <c r="L28" s="36"/>
      <c r="M28" s="56"/>
      <c r="N28" s="126"/>
    </row>
    <row r="29" spans="1:14" s="1" customFormat="1" ht="14.1" customHeight="1">
      <c r="A29" s="92">
        <v>14</v>
      </c>
      <c r="B29" s="51" t="s">
        <v>20</v>
      </c>
      <c r="C29" s="52"/>
      <c r="D29" s="59" t="s">
        <v>21</v>
      </c>
      <c r="E29" s="60"/>
      <c r="F29" s="60"/>
      <c r="G29" s="61"/>
      <c r="H29" s="24">
        <f>SUM(I29)-2.7</f>
        <v>44.599999999999994</v>
      </c>
      <c r="I29" s="24">
        <f>SUM(J29)-2.7</f>
        <v>47.3</v>
      </c>
      <c r="J29" s="33">
        <v>50</v>
      </c>
      <c r="K29" s="24">
        <f>SUM(J29)+2.6</f>
        <v>52.6</v>
      </c>
      <c r="L29" s="24">
        <f>SUM(K29)+2.6</f>
        <v>55.2</v>
      </c>
      <c r="M29" s="24">
        <f>SUM(L29)+2.6</f>
        <v>57.800000000000004</v>
      </c>
      <c r="N29" s="121">
        <f>SUM(M29)+2.6</f>
        <v>60.400000000000006</v>
      </c>
    </row>
    <row r="30" spans="1:14" s="1" customFormat="1" ht="14.1" customHeight="1">
      <c r="A30" s="79"/>
      <c r="B30" s="62" t="s">
        <v>61</v>
      </c>
      <c r="C30" s="63"/>
      <c r="D30" s="64" t="s">
        <v>117</v>
      </c>
      <c r="E30" s="65"/>
      <c r="F30" s="65"/>
      <c r="G30" s="66"/>
      <c r="H30" s="36"/>
      <c r="I30" s="36"/>
      <c r="J30" s="35"/>
      <c r="K30" s="36"/>
      <c r="L30" s="36"/>
      <c r="M30" s="36"/>
      <c r="N30" s="122"/>
    </row>
    <row r="31" spans="1:14" s="1" customFormat="1" ht="14.1" customHeight="1">
      <c r="A31" s="92">
        <v>15</v>
      </c>
      <c r="B31" s="51" t="s">
        <v>22</v>
      </c>
      <c r="C31" s="52"/>
      <c r="D31" s="59" t="s">
        <v>23</v>
      </c>
      <c r="E31" s="60"/>
      <c r="F31" s="60"/>
      <c r="G31" s="61"/>
      <c r="H31" s="24">
        <f>SUM(I31)-6</f>
        <v>30.200000000000003</v>
      </c>
      <c r="I31" s="24">
        <f>SUM(J31)-6</f>
        <v>36.200000000000003</v>
      </c>
      <c r="J31" s="33">
        <v>42.2</v>
      </c>
      <c r="K31" s="24">
        <f>SUM(J31)+4.5</f>
        <v>46.7</v>
      </c>
      <c r="L31" s="24">
        <f>SUM(K31)+5</f>
        <v>51.7</v>
      </c>
      <c r="M31" s="24">
        <f>SUM(L31)+5</f>
        <v>56.7</v>
      </c>
      <c r="N31" s="121">
        <f>SUM(M31)+5</f>
        <v>61.7</v>
      </c>
    </row>
    <row r="32" spans="1:14" s="1" customFormat="1" ht="14.1" customHeight="1">
      <c r="A32" s="79"/>
      <c r="B32" s="62" t="s">
        <v>60</v>
      </c>
      <c r="C32" s="63"/>
      <c r="D32" s="64" t="s">
        <v>116</v>
      </c>
      <c r="E32" s="65"/>
      <c r="F32" s="65"/>
      <c r="G32" s="66"/>
      <c r="H32" s="36"/>
      <c r="I32" s="36"/>
      <c r="J32" s="35"/>
      <c r="K32" s="36"/>
      <c r="L32" s="36"/>
      <c r="M32" s="36"/>
      <c r="N32" s="122"/>
    </row>
    <row r="33" spans="1:14" s="1" customFormat="1" ht="14.1" customHeight="1">
      <c r="A33" s="92">
        <v>16</v>
      </c>
      <c r="B33" s="51" t="s">
        <v>115</v>
      </c>
      <c r="C33" s="52"/>
      <c r="D33" s="59" t="s">
        <v>113</v>
      </c>
      <c r="E33" s="60"/>
      <c r="F33" s="60"/>
      <c r="G33" s="61"/>
      <c r="H33" s="24">
        <f>SUM(I33)-2</f>
        <v>40.799999999999997</v>
      </c>
      <c r="I33" s="24">
        <f>SUM(J33)-2</f>
        <v>42.8</v>
      </c>
      <c r="J33" s="33">
        <v>44.8</v>
      </c>
      <c r="K33" s="24">
        <f>SUM(J33)+2</f>
        <v>46.8</v>
      </c>
      <c r="L33" s="24">
        <f>SUM(K33)+2</f>
        <v>48.8</v>
      </c>
      <c r="M33" s="24">
        <f>SUM(L33)+2</f>
        <v>50.8</v>
      </c>
      <c r="N33" s="121">
        <f>SUM(M33)+2</f>
        <v>52.8</v>
      </c>
    </row>
    <row r="34" spans="1:14" s="1" customFormat="1" ht="14.1" customHeight="1">
      <c r="A34" s="79"/>
      <c r="B34" s="62" t="s">
        <v>114</v>
      </c>
      <c r="C34" s="63"/>
      <c r="D34" s="64" t="s">
        <v>113</v>
      </c>
      <c r="E34" s="65"/>
      <c r="F34" s="65"/>
      <c r="G34" s="66"/>
      <c r="H34" s="36"/>
      <c r="I34" s="36"/>
      <c r="J34" s="35"/>
      <c r="K34" s="36"/>
      <c r="L34" s="36"/>
      <c r="M34" s="36"/>
      <c r="N34" s="122"/>
    </row>
    <row r="35" spans="1:14" s="1" customFormat="1" ht="14.1" customHeight="1">
      <c r="A35" s="92">
        <v>17</v>
      </c>
      <c r="B35" s="51" t="s">
        <v>112</v>
      </c>
      <c r="C35" s="52"/>
      <c r="D35" s="59" t="s">
        <v>111</v>
      </c>
      <c r="E35" s="60"/>
      <c r="F35" s="60"/>
      <c r="G35" s="61"/>
      <c r="H35" s="24">
        <f>SUM(I35)-3.5</f>
        <v>32.700000000000003</v>
      </c>
      <c r="I35" s="24">
        <f>SUM(J35)-3.5</f>
        <v>36.200000000000003</v>
      </c>
      <c r="J35" s="33">
        <v>39.700000000000003</v>
      </c>
      <c r="K35" s="24">
        <f>SUM(J35)+3.4</f>
        <v>43.1</v>
      </c>
      <c r="L35" s="24">
        <f>SUM(K35)+3.1</f>
        <v>46.2</v>
      </c>
      <c r="M35" s="24">
        <f>SUM(L35)+3.1</f>
        <v>49.300000000000004</v>
      </c>
      <c r="N35" s="121">
        <f>SUM(M35)+3.1</f>
        <v>52.400000000000006</v>
      </c>
    </row>
    <row r="36" spans="1:14" s="1" customFormat="1" ht="14.1" customHeight="1">
      <c r="A36" s="79"/>
      <c r="B36" s="62" t="s">
        <v>110</v>
      </c>
      <c r="C36" s="63"/>
      <c r="D36" s="64" t="s">
        <v>160</v>
      </c>
      <c r="E36" s="65"/>
      <c r="F36" s="65"/>
      <c r="G36" s="66"/>
      <c r="H36" s="36"/>
      <c r="I36" s="36"/>
      <c r="J36" s="35"/>
      <c r="K36" s="36"/>
      <c r="L36" s="36"/>
      <c r="M36" s="36"/>
      <c r="N36" s="122"/>
    </row>
    <row r="37" spans="1:14" s="1" customFormat="1" ht="14.1" customHeight="1">
      <c r="A37" s="92">
        <v>18</v>
      </c>
      <c r="B37" s="51" t="s">
        <v>398</v>
      </c>
      <c r="C37" s="52"/>
      <c r="D37" s="59"/>
      <c r="E37" s="60"/>
      <c r="F37" s="60"/>
      <c r="G37" s="61"/>
      <c r="H37" s="24">
        <f>SUM(I37)-0.5</f>
        <v>10</v>
      </c>
      <c r="I37" s="24">
        <f>SUM(J37)-0.5</f>
        <v>10.5</v>
      </c>
      <c r="J37" s="23">
        <v>11</v>
      </c>
      <c r="K37" s="21">
        <f>SUM(J37)+0.5</f>
        <v>11.5</v>
      </c>
      <c r="L37" s="21">
        <f>SUM(K37)+0.5</f>
        <v>12</v>
      </c>
      <c r="M37" s="21">
        <f>SUM(L37)+0.5</f>
        <v>12.5</v>
      </c>
      <c r="N37" s="123">
        <f>SUM(M37)+0.5</f>
        <v>13</v>
      </c>
    </row>
    <row r="38" spans="1:14" s="1" customFormat="1" ht="14.1" customHeight="1">
      <c r="A38" s="79"/>
      <c r="B38" s="62" t="s">
        <v>425</v>
      </c>
      <c r="C38" s="63"/>
      <c r="D38" s="64"/>
      <c r="E38" s="65"/>
      <c r="F38" s="65"/>
      <c r="G38" s="66"/>
      <c r="H38" s="36"/>
      <c r="I38" s="36"/>
      <c r="J38" s="23"/>
      <c r="K38" s="21"/>
      <c r="L38" s="21"/>
      <c r="M38" s="21"/>
      <c r="N38" s="123"/>
    </row>
    <row r="39" spans="1:14" s="1" customFormat="1" ht="14.1" customHeight="1">
      <c r="A39" s="92">
        <v>19</v>
      </c>
      <c r="B39" s="51" t="s">
        <v>140</v>
      </c>
      <c r="C39" s="52"/>
      <c r="D39" s="57"/>
      <c r="E39" s="57"/>
      <c r="F39" s="57"/>
      <c r="G39" s="57"/>
      <c r="H39" s="24">
        <f>SUM(I39)-0.5</f>
        <v>10</v>
      </c>
      <c r="I39" s="24">
        <f>SUM(J39)-0.5</f>
        <v>10.5</v>
      </c>
      <c r="J39" s="33">
        <v>11</v>
      </c>
      <c r="K39" s="24">
        <f>SUM(J39)+0.5</f>
        <v>11.5</v>
      </c>
      <c r="L39" s="24">
        <f>SUM(K39)+0.5</f>
        <v>12</v>
      </c>
      <c r="M39" s="24">
        <f>SUM(L39)+0.5</f>
        <v>12.5</v>
      </c>
      <c r="N39" s="121">
        <f>SUM(M39)+0.5</f>
        <v>13</v>
      </c>
    </row>
    <row r="40" spans="1:14" s="1" customFormat="1" ht="14.1" customHeight="1">
      <c r="A40" s="79"/>
      <c r="B40" s="45" t="s">
        <v>139</v>
      </c>
      <c r="C40" s="46"/>
      <c r="D40" s="47"/>
      <c r="E40" s="48"/>
      <c r="F40" s="48"/>
      <c r="G40" s="49"/>
      <c r="H40" s="36"/>
      <c r="I40" s="36"/>
      <c r="J40" s="35"/>
      <c r="K40" s="36"/>
      <c r="L40" s="36"/>
      <c r="M40" s="36"/>
      <c r="N40" s="122"/>
    </row>
    <row r="41" spans="1:14" s="1" customFormat="1" ht="14.1" customHeight="1">
      <c r="A41" s="92">
        <v>20</v>
      </c>
      <c r="B41" s="51" t="s">
        <v>138</v>
      </c>
      <c r="C41" s="52"/>
      <c r="D41" s="57"/>
      <c r="E41" s="57"/>
      <c r="F41" s="57"/>
      <c r="G41" s="57"/>
      <c r="H41" s="24">
        <f>SUM(I41)-0.5</f>
        <v>11</v>
      </c>
      <c r="I41" s="24">
        <f>SUM(J41)-0.5</f>
        <v>11.5</v>
      </c>
      <c r="J41" s="33">
        <v>12</v>
      </c>
      <c r="K41" s="24">
        <f>SUM(J41)+0.5</f>
        <v>12.5</v>
      </c>
      <c r="L41" s="24">
        <f>SUM(K41)+0.5</f>
        <v>13</v>
      </c>
      <c r="M41" s="24">
        <f>SUM(L41)+0.5</f>
        <v>13.5</v>
      </c>
      <c r="N41" s="121">
        <f>SUM(M41)+0.5</f>
        <v>14</v>
      </c>
    </row>
    <row r="42" spans="1:14" s="1" customFormat="1" ht="14.1" customHeight="1">
      <c r="A42" s="79"/>
      <c r="B42" s="56" t="s">
        <v>137</v>
      </c>
      <c r="C42" s="56"/>
      <c r="D42" s="47"/>
      <c r="E42" s="48"/>
      <c r="F42" s="48"/>
      <c r="G42" s="49"/>
      <c r="H42" s="36"/>
      <c r="I42" s="36"/>
      <c r="J42" s="35"/>
      <c r="K42" s="36"/>
      <c r="L42" s="36"/>
      <c r="M42" s="36"/>
      <c r="N42" s="122"/>
    </row>
    <row r="43" spans="1:14" s="1" customFormat="1" ht="14.1" customHeight="1">
      <c r="A43" s="92">
        <v>21</v>
      </c>
      <c r="B43" s="51"/>
      <c r="C43" s="52"/>
      <c r="D43" s="57"/>
      <c r="E43" s="57"/>
      <c r="F43" s="57"/>
      <c r="G43" s="57"/>
      <c r="H43" s="24"/>
      <c r="I43" s="24"/>
      <c r="J43" s="33"/>
      <c r="K43" s="24"/>
      <c r="L43" s="24"/>
      <c r="M43" s="24"/>
      <c r="N43" s="121"/>
    </row>
    <row r="44" spans="1:14" s="1" customFormat="1" ht="14.1" customHeight="1">
      <c r="A44" s="79"/>
      <c r="B44" s="56"/>
      <c r="C44" s="56"/>
      <c r="D44" s="47"/>
      <c r="E44" s="48"/>
      <c r="F44" s="48"/>
      <c r="G44" s="49"/>
      <c r="H44" s="36"/>
      <c r="I44" s="36"/>
      <c r="J44" s="35"/>
      <c r="K44" s="36"/>
      <c r="L44" s="36"/>
      <c r="M44" s="36"/>
      <c r="N44" s="122"/>
    </row>
    <row r="45" spans="1:14" s="1" customFormat="1" ht="14.1" customHeight="1">
      <c r="A45" s="92">
        <v>22</v>
      </c>
      <c r="B45" s="51"/>
      <c r="C45" s="52"/>
      <c r="D45" s="57"/>
      <c r="E45" s="57"/>
      <c r="F45" s="57"/>
      <c r="G45" s="57"/>
      <c r="H45" s="24"/>
      <c r="I45" s="24"/>
      <c r="J45" s="33"/>
      <c r="K45" s="24"/>
      <c r="L45" s="24"/>
      <c r="M45" s="24"/>
      <c r="N45" s="121"/>
    </row>
    <row r="46" spans="1:14" s="1" customFormat="1" ht="14.1" customHeight="1">
      <c r="A46" s="79"/>
      <c r="B46" s="45"/>
      <c r="C46" s="46"/>
      <c r="D46" s="47"/>
      <c r="E46" s="48"/>
      <c r="F46" s="48"/>
      <c r="G46" s="49"/>
      <c r="H46" s="36"/>
      <c r="I46" s="36"/>
      <c r="J46" s="35"/>
      <c r="K46" s="36"/>
      <c r="L46" s="36"/>
      <c r="M46" s="36"/>
      <c r="N46" s="122"/>
    </row>
    <row r="47" spans="1:14" s="1" customFormat="1" ht="14.1" customHeight="1">
      <c r="A47" s="92">
        <v>23</v>
      </c>
      <c r="B47" s="51"/>
      <c r="C47" s="52"/>
      <c r="D47" s="57"/>
      <c r="E47" s="57"/>
      <c r="F47" s="57"/>
      <c r="G47" s="57"/>
      <c r="H47" s="24"/>
      <c r="I47" s="24"/>
      <c r="J47" s="33"/>
      <c r="K47" s="24"/>
      <c r="L47" s="24"/>
      <c r="M47" s="24"/>
      <c r="N47" s="121"/>
    </row>
    <row r="48" spans="1:14" s="1" customFormat="1" ht="14.1" customHeight="1" thickBot="1">
      <c r="A48" s="99"/>
      <c r="B48" s="110"/>
      <c r="C48" s="110"/>
      <c r="D48" s="30"/>
      <c r="E48" s="31"/>
      <c r="F48" s="31"/>
      <c r="G48" s="32"/>
      <c r="H48" s="25"/>
      <c r="I48" s="25"/>
      <c r="J48" s="34"/>
      <c r="K48" s="25"/>
      <c r="L48" s="25"/>
      <c r="M48" s="25"/>
      <c r="N48" s="124"/>
    </row>
    <row r="49" spans="1:14" s="1" customFormat="1" ht="14.1" customHeight="1">
      <c r="A49"/>
      <c r="B49"/>
      <c r="C49"/>
      <c r="D49"/>
      <c r="E49"/>
      <c r="F49"/>
      <c r="G49"/>
      <c r="H49"/>
      <c r="I49"/>
      <c r="J49"/>
      <c r="K49"/>
      <c r="L49"/>
      <c r="M49"/>
      <c r="N49"/>
    </row>
    <row r="50" spans="1:14" s="1" customFormat="1" ht="14.1" customHeight="1">
      <c r="A50"/>
      <c r="B50"/>
      <c r="C50"/>
      <c r="D50"/>
      <c r="E50"/>
      <c r="F50"/>
      <c r="G50"/>
      <c r="H50"/>
      <c r="I50"/>
      <c r="J50"/>
      <c r="K50"/>
      <c r="L50"/>
      <c r="M50"/>
      <c r="N50"/>
    </row>
    <row r="51" spans="1:14" s="1" customFormat="1" ht="14.1" customHeight="1">
      <c r="A51"/>
      <c r="B51"/>
      <c r="C51"/>
      <c r="D51"/>
      <c r="E51"/>
      <c r="F51"/>
      <c r="G51"/>
      <c r="H51"/>
      <c r="I51"/>
      <c r="J51"/>
      <c r="K51"/>
      <c r="L51"/>
      <c r="M51"/>
      <c r="N51"/>
    </row>
    <row r="52" spans="1:14" s="1" customFormat="1" ht="14.1" customHeight="1">
      <c r="A52"/>
      <c r="B52"/>
      <c r="C52"/>
      <c r="D52"/>
      <c r="E52"/>
      <c r="F52"/>
      <c r="G52"/>
      <c r="H52"/>
      <c r="I52"/>
      <c r="J52"/>
      <c r="K52"/>
      <c r="L52"/>
      <c r="M52"/>
      <c r="N52"/>
    </row>
  </sheetData>
  <mergeCells count="279">
    <mergeCell ref="N45:N46"/>
    <mergeCell ref="N47:N48"/>
    <mergeCell ref="N37:N38"/>
    <mergeCell ref="N39:N40"/>
    <mergeCell ref="N41:N42"/>
    <mergeCell ref="N43:N44"/>
    <mergeCell ref="N25:N26"/>
    <mergeCell ref="N27:N28"/>
    <mergeCell ref="N29:N30"/>
    <mergeCell ref="N31:N32"/>
    <mergeCell ref="N33:N34"/>
    <mergeCell ref="N35:N36"/>
    <mergeCell ref="N13:N14"/>
    <mergeCell ref="N15:N16"/>
    <mergeCell ref="N17:N18"/>
    <mergeCell ref="N19:N20"/>
    <mergeCell ref="N21:N22"/>
    <mergeCell ref="N23:N24"/>
    <mergeCell ref="A1:N1"/>
    <mergeCell ref="N3:N4"/>
    <mergeCell ref="N5:N6"/>
    <mergeCell ref="N7:N8"/>
    <mergeCell ref="N9:N10"/>
    <mergeCell ref="N11:N1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A23:A24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1:J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004CC-8B2B-4667-AF3E-F88F67364C20}">
  <sheetPr>
    <tabColor rgb="FF00B050"/>
    <pageSetUpPr fitToPage="1"/>
  </sheetPr>
  <dimension ref="A1:N52"/>
  <sheetViews>
    <sheetView zoomScale="110" zoomScaleNormal="110" workbookViewId="0">
      <selection activeCell="N23" sqref="N23:N2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7" t="s">
        <v>908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9"/>
    </row>
    <row r="2" spans="1:14" ht="16.5" customHeight="1" thickBot="1">
      <c r="A2" s="2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  <c r="N2" s="7" t="s">
        <v>229</v>
      </c>
    </row>
    <row r="3" spans="1:14" s="1" customFormat="1" ht="14.1" customHeight="1">
      <c r="A3" s="78">
        <v>1</v>
      </c>
      <c r="B3" s="80" t="s">
        <v>149</v>
      </c>
      <c r="C3" s="81"/>
      <c r="D3" s="74" t="s">
        <v>82</v>
      </c>
      <c r="E3" s="82"/>
      <c r="F3" s="82"/>
      <c r="G3" s="83"/>
      <c r="H3" s="58">
        <f>SUM(I3)-3</f>
        <v>45</v>
      </c>
      <c r="I3" s="24">
        <f>SUM(J3)-3</f>
        <v>48</v>
      </c>
      <c r="J3" s="84">
        <v>51</v>
      </c>
      <c r="K3" s="85">
        <f>SUM(J3)+3</f>
        <v>54</v>
      </c>
      <c r="L3" s="85">
        <f>SUM(K3)+3</f>
        <v>57</v>
      </c>
      <c r="M3" s="85">
        <f>SUM(L3)+3</f>
        <v>60</v>
      </c>
      <c r="N3" s="131">
        <f>SUM(M3)+3</f>
        <v>63</v>
      </c>
    </row>
    <row r="4" spans="1:14" s="1" customFormat="1" ht="14.1" customHeight="1">
      <c r="A4" s="79"/>
      <c r="B4" s="62" t="s">
        <v>108</v>
      </c>
      <c r="C4" s="63"/>
      <c r="D4" s="64" t="s">
        <v>83</v>
      </c>
      <c r="E4" s="65"/>
      <c r="F4" s="65"/>
      <c r="G4" s="66"/>
      <c r="H4" s="56"/>
      <c r="I4" s="36"/>
      <c r="J4" s="35"/>
      <c r="K4" s="36"/>
      <c r="L4" s="36"/>
      <c r="M4" s="36"/>
      <c r="N4" s="122"/>
    </row>
    <row r="5" spans="1:14" s="1" customFormat="1" ht="14.1" customHeight="1">
      <c r="A5" s="92">
        <v>2</v>
      </c>
      <c r="B5" s="40" t="s">
        <v>165</v>
      </c>
      <c r="C5" s="41"/>
      <c r="D5" s="100"/>
      <c r="E5" s="101"/>
      <c r="F5" s="101"/>
      <c r="G5" s="102"/>
      <c r="H5" s="58"/>
      <c r="I5" s="24"/>
      <c r="J5" s="117"/>
      <c r="K5" s="50"/>
      <c r="L5" s="50"/>
      <c r="M5" s="50"/>
      <c r="N5" s="127"/>
    </row>
    <row r="6" spans="1:14" s="1" customFormat="1" ht="14.1" customHeight="1">
      <c r="A6" s="79"/>
      <c r="B6" s="62" t="s">
        <v>164</v>
      </c>
      <c r="C6" s="63"/>
      <c r="D6" s="64"/>
      <c r="E6" s="65"/>
      <c r="F6" s="65"/>
      <c r="G6" s="66"/>
      <c r="H6" s="56"/>
      <c r="I6" s="36"/>
      <c r="J6" s="35"/>
      <c r="K6" s="36"/>
      <c r="L6" s="36"/>
      <c r="M6" s="36"/>
      <c r="N6" s="122"/>
    </row>
    <row r="7" spans="1:14" s="1" customFormat="1" ht="14.1" customHeight="1">
      <c r="A7" s="92">
        <v>3</v>
      </c>
      <c r="B7" s="40" t="s">
        <v>148</v>
      </c>
      <c r="C7" s="41"/>
      <c r="D7" s="100"/>
      <c r="E7" s="101"/>
      <c r="F7" s="101"/>
      <c r="G7" s="102"/>
      <c r="H7" s="58"/>
      <c r="I7" s="24"/>
      <c r="J7" s="117"/>
      <c r="K7" s="50"/>
      <c r="L7" s="50"/>
      <c r="M7" s="50"/>
      <c r="N7" s="127"/>
    </row>
    <row r="8" spans="1:14" s="1" customFormat="1" ht="14.1" customHeight="1">
      <c r="A8" s="79"/>
      <c r="B8" s="62" t="s">
        <v>147</v>
      </c>
      <c r="C8" s="63"/>
      <c r="D8" s="64"/>
      <c r="E8" s="65"/>
      <c r="F8" s="65"/>
      <c r="G8" s="66"/>
      <c r="H8" s="56"/>
      <c r="I8" s="36"/>
      <c r="J8" s="35"/>
      <c r="K8" s="36"/>
      <c r="L8" s="36"/>
      <c r="M8" s="36"/>
      <c r="N8" s="122"/>
    </row>
    <row r="9" spans="1:14" s="1" customFormat="1" ht="14.1" customHeight="1">
      <c r="A9" s="92">
        <v>4</v>
      </c>
      <c r="B9" s="51" t="s">
        <v>163</v>
      </c>
      <c r="C9" s="52"/>
      <c r="D9" s="118"/>
      <c r="E9" s="119"/>
      <c r="F9" s="119"/>
      <c r="G9" s="120"/>
      <c r="H9" s="24">
        <f>SUM(I9)-2.2</f>
        <v>37.599999999999994</v>
      </c>
      <c r="I9" s="24">
        <f>SUM(J9)-2.2</f>
        <v>39.799999999999997</v>
      </c>
      <c r="J9" s="117">
        <v>42</v>
      </c>
      <c r="K9" s="50">
        <f>SUM(J9)+2.2</f>
        <v>44.2</v>
      </c>
      <c r="L9" s="50">
        <f>SUM(K9)+2.2</f>
        <v>46.400000000000006</v>
      </c>
      <c r="M9" s="24">
        <f>SUM(L9)+2.2</f>
        <v>48.600000000000009</v>
      </c>
      <c r="N9" s="26">
        <f>SUM(M9)+2.2</f>
        <v>50.800000000000011</v>
      </c>
    </row>
    <row r="10" spans="1:14" s="1" customFormat="1" ht="14.1" customHeight="1">
      <c r="A10" s="79"/>
      <c r="B10" s="62" t="s">
        <v>162</v>
      </c>
      <c r="C10" s="63"/>
      <c r="D10" s="114"/>
      <c r="E10" s="115"/>
      <c r="F10" s="115"/>
      <c r="G10" s="116"/>
      <c r="H10" s="36"/>
      <c r="I10" s="36"/>
      <c r="J10" s="35"/>
      <c r="K10" s="36"/>
      <c r="L10" s="36"/>
      <c r="M10" s="36"/>
      <c r="N10" s="37"/>
    </row>
    <row r="11" spans="1:14" s="1" customFormat="1" ht="14.1" customHeight="1">
      <c r="A11" s="92">
        <v>5</v>
      </c>
      <c r="B11" s="51" t="s">
        <v>157</v>
      </c>
      <c r="C11" s="52"/>
      <c r="D11" s="100"/>
      <c r="E11" s="101"/>
      <c r="F11" s="101"/>
      <c r="G11" s="102"/>
      <c r="H11" s="58">
        <f>SUM(I11)-4.5</f>
        <v>59</v>
      </c>
      <c r="I11" s="24">
        <f>SUM(J11)-4.5</f>
        <v>63.5</v>
      </c>
      <c r="J11" s="117">
        <v>68</v>
      </c>
      <c r="K11" s="50">
        <f>SUM(J11)+4.5</f>
        <v>72.5</v>
      </c>
      <c r="L11" s="50">
        <f>SUM(K11)+4.5</f>
        <v>77</v>
      </c>
      <c r="M11" s="50">
        <f>SUM(L11)+4.5</f>
        <v>81.5</v>
      </c>
      <c r="N11" s="127">
        <f>SUM(M11)+4.5</f>
        <v>86</v>
      </c>
    </row>
    <row r="12" spans="1:14" s="1" customFormat="1" ht="14.1" customHeight="1">
      <c r="A12" s="79"/>
      <c r="B12" s="62" t="s">
        <v>158</v>
      </c>
      <c r="C12" s="63"/>
      <c r="D12" s="64"/>
      <c r="E12" s="65"/>
      <c r="F12" s="65"/>
      <c r="G12" s="66"/>
      <c r="H12" s="56"/>
      <c r="I12" s="36"/>
      <c r="J12" s="35"/>
      <c r="K12" s="36"/>
      <c r="L12" s="36"/>
      <c r="M12" s="36"/>
      <c r="N12" s="122"/>
    </row>
    <row r="13" spans="1:14" s="1" customFormat="1" ht="14.1" customHeight="1">
      <c r="A13" s="92">
        <v>6</v>
      </c>
      <c r="B13" s="51" t="s">
        <v>13</v>
      </c>
      <c r="C13" s="52"/>
      <c r="D13" s="59" t="s">
        <v>182</v>
      </c>
      <c r="E13" s="60"/>
      <c r="F13" s="60"/>
      <c r="G13" s="61"/>
      <c r="H13" s="58">
        <f>SUM(I13)-5</f>
        <v>62</v>
      </c>
      <c r="I13" s="24">
        <f>SUM(J13)-5</f>
        <v>67</v>
      </c>
      <c r="J13" s="33">
        <v>72</v>
      </c>
      <c r="K13" s="24">
        <f>SUM(J13)+5</f>
        <v>77</v>
      </c>
      <c r="L13" s="24">
        <f>SUM(K13)+5</f>
        <v>82</v>
      </c>
      <c r="M13" s="24">
        <f>SUM(L13)+5</f>
        <v>87</v>
      </c>
      <c r="N13" s="121">
        <f>SUM(M13)+5</f>
        <v>92</v>
      </c>
    </row>
    <row r="14" spans="1:14" s="1" customFormat="1" ht="14.1" customHeight="1">
      <c r="A14" s="79"/>
      <c r="B14" s="62" t="s">
        <v>55</v>
      </c>
      <c r="C14" s="63"/>
      <c r="D14" s="64" t="s">
        <v>121</v>
      </c>
      <c r="E14" s="65"/>
      <c r="F14" s="65"/>
      <c r="G14" s="66"/>
      <c r="H14" s="56"/>
      <c r="I14" s="36"/>
      <c r="J14" s="35"/>
      <c r="K14" s="36"/>
      <c r="L14" s="36"/>
      <c r="M14" s="36"/>
      <c r="N14" s="122"/>
    </row>
    <row r="15" spans="1:14" s="1" customFormat="1" ht="14.1" customHeight="1">
      <c r="A15" s="92">
        <v>7</v>
      </c>
      <c r="B15" s="51" t="s">
        <v>146</v>
      </c>
      <c r="C15" s="52"/>
      <c r="D15" s="59"/>
      <c r="E15" s="60"/>
      <c r="F15" s="60"/>
      <c r="G15" s="61"/>
      <c r="H15" s="58">
        <f>SUM(I15)-0.7</f>
        <v>9.6000000000000014</v>
      </c>
      <c r="I15" s="24">
        <f>SUM(J15)-0.7</f>
        <v>10.3</v>
      </c>
      <c r="J15" s="33">
        <v>11</v>
      </c>
      <c r="K15" s="24">
        <f>SUM(J15)+0.7</f>
        <v>11.7</v>
      </c>
      <c r="L15" s="24">
        <f>SUM(K15)+0.7</f>
        <v>12.399999999999999</v>
      </c>
      <c r="M15" s="58">
        <f>SUM(L15)+0.7</f>
        <v>13.099999999999998</v>
      </c>
      <c r="N15" s="121">
        <f>SUM(M15)+0.7</f>
        <v>13.799999999999997</v>
      </c>
    </row>
    <row r="16" spans="1:14" s="1" customFormat="1" ht="14.1" customHeight="1">
      <c r="A16" s="79"/>
      <c r="B16" s="62" t="s">
        <v>145</v>
      </c>
      <c r="C16" s="63"/>
      <c r="D16" s="89" t="s">
        <v>179</v>
      </c>
      <c r="E16" s="90"/>
      <c r="F16" s="90"/>
      <c r="G16" s="91"/>
      <c r="H16" s="56"/>
      <c r="I16" s="36"/>
      <c r="J16" s="35"/>
      <c r="K16" s="36"/>
      <c r="L16" s="36"/>
      <c r="M16" s="56"/>
      <c r="N16" s="122"/>
    </row>
    <row r="17" spans="1:14" s="1" customFormat="1" ht="14.1" customHeight="1">
      <c r="A17" s="92">
        <v>8</v>
      </c>
      <c r="B17" s="51" t="s">
        <v>166</v>
      </c>
      <c r="C17" s="52"/>
      <c r="D17" s="59"/>
      <c r="E17" s="60"/>
      <c r="F17" s="60"/>
      <c r="G17" s="61"/>
      <c r="H17" s="58">
        <f>SUM(I17)-0.7</f>
        <v>9.6000000000000014</v>
      </c>
      <c r="I17" s="24">
        <f>SUM(J17)-0.7</f>
        <v>10.3</v>
      </c>
      <c r="J17" s="33">
        <v>11</v>
      </c>
      <c r="K17" s="24">
        <f>SUM(J17)+0.7</f>
        <v>11.7</v>
      </c>
      <c r="L17" s="24">
        <f>SUM(K17)+0.7</f>
        <v>12.399999999999999</v>
      </c>
      <c r="M17" s="58">
        <f>SUM(L17)+0.7</f>
        <v>13.099999999999998</v>
      </c>
      <c r="N17" s="121">
        <f>SUM(M17)+0.7</f>
        <v>13.799999999999997</v>
      </c>
    </row>
    <row r="18" spans="1:14" s="1" customFormat="1" ht="14.1" customHeight="1">
      <c r="A18" s="79"/>
      <c r="B18" s="62" t="s">
        <v>167</v>
      </c>
      <c r="C18" s="63"/>
      <c r="D18" s="89" t="s">
        <v>168</v>
      </c>
      <c r="E18" s="90"/>
      <c r="F18" s="90"/>
      <c r="G18" s="91"/>
      <c r="H18" s="56"/>
      <c r="I18" s="36"/>
      <c r="J18" s="35"/>
      <c r="K18" s="36"/>
      <c r="L18" s="36"/>
      <c r="M18" s="56"/>
      <c r="N18" s="122"/>
    </row>
    <row r="19" spans="1:14" s="1" customFormat="1" ht="14.1" customHeight="1">
      <c r="A19" s="92">
        <v>9</v>
      </c>
      <c r="B19" s="51" t="s">
        <v>178</v>
      </c>
      <c r="C19" s="52"/>
      <c r="D19" s="59"/>
      <c r="E19" s="60"/>
      <c r="F19" s="60"/>
      <c r="G19" s="61"/>
      <c r="H19" s="24">
        <f>SUM(I19)-0</f>
        <v>2.8</v>
      </c>
      <c r="I19" s="24">
        <f>SUM(J19)-0</f>
        <v>2.8</v>
      </c>
      <c r="J19" s="33">
        <v>2.8</v>
      </c>
      <c r="K19" s="24">
        <f>SUM(J19)+0.5</f>
        <v>3.3</v>
      </c>
      <c r="L19" s="24">
        <f>SUM(K19)+0</f>
        <v>3.3</v>
      </c>
      <c r="M19" s="24">
        <f>SUM(L19)+0</f>
        <v>3.3</v>
      </c>
      <c r="N19" s="121">
        <f>SUM(M19)+0</f>
        <v>3.3</v>
      </c>
    </row>
    <row r="20" spans="1:14" s="1" customFormat="1" ht="14.1" customHeight="1">
      <c r="A20" s="79"/>
      <c r="B20" s="62" t="s">
        <v>177</v>
      </c>
      <c r="C20" s="63"/>
      <c r="D20" s="89"/>
      <c r="E20" s="90"/>
      <c r="F20" s="90"/>
      <c r="G20" s="91"/>
      <c r="H20" s="36"/>
      <c r="I20" s="36"/>
      <c r="J20" s="35"/>
      <c r="K20" s="36"/>
      <c r="L20" s="36"/>
      <c r="M20" s="36"/>
      <c r="N20" s="122"/>
    </row>
    <row r="21" spans="1:14" s="1" customFormat="1" ht="14.1" customHeight="1">
      <c r="A21" s="92">
        <v>10</v>
      </c>
      <c r="B21" s="51" t="s">
        <v>9</v>
      </c>
      <c r="C21" s="52"/>
      <c r="D21" s="59" t="s">
        <v>84</v>
      </c>
      <c r="E21" s="60"/>
      <c r="F21" s="60"/>
      <c r="G21" s="61"/>
      <c r="H21" s="24">
        <f>SUM(I21)-7</f>
        <v>52</v>
      </c>
      <c r="I21" s="24">
        <f>SUM(J21)-7</f>
        <v>59</v>
      </c>
      <c r="J21" s="33">
        <v>66</v>
      </c>
      <c r="K21" s="24">
        <f>SUM(J21)+6</f>
        <v>72</v>
      </c>
      <c r="L21" s="24">
        <f>SUM(K21)+6</f>
        <v>78</v>
      </c>
      <c r="M21" s="24">
        <f>SUM(L21)+6</f>
        <v>84</v>
      </c>
      <c r="N21" s="121">
        <f>SUM(M21)+6</f>
        <v>90</v>
      </c>
    </row>
    <row r="22" spans="1:14" s="1" customFormat="1" ht="14.1" customHeight="1">
      <c r="A22" s="79"/>
      <c r="B22" s="62" t="s">
        <v>56</v>
      </c>
      <c r="C22" s="63"/>
      <c r="D22" s="64" t="s">
        <v>120</v>
      </c>
      <c r="E22" s="65"/>
      <c r="F22" s="65"/>
      <c r="G22" s="66"/>
      <c r="H22" s="36"/>
      <c r="I22" s="36"/>
      <c r="J22" s="35"/>
      <c r="K22" s="36"/>
      <c r="L22" s="36"/>
      <c r="M22" s="36"/>
      <c r="N22" s="122"/>
    </row>
    <row r="23" spans="1:14" s="1" customFormat="1" ht="14.1" customHeight="1">
      <c r="A23" s="92">
        <v>11</v>
      </c>
      <c r="B23" s="51" t="s">
        <v>16</v>
      </c>
      <c r="C23" s="52"/>
      <c r="D23" s="59" t="s">
        <v>17</v>
      </c>
      <c r="E23" s="60"/>
      <c r="F23" s="60"/>
      <c r="G23" s="61"/>
      <c r="H23" s="24">
        <f>SUM(I23)-1.8</f>
        <v>31.400000000000002</v>
      </c>
      <c r="I23" s="24">
        <f>SUM(J23)-1.8</f>
        <v>33.200000000000003</v>
      </c>
      <c r="J23" s="33">
        <v>35</v>
      </c>
      <c r="K23" s="24">
        <f>SUM(J23)+1.8</f>
        <v>36.799999999999997</v>
      </c>
      <c r="L23" s="24">
        <f>SUM(K23)+1.8</f>
        <v>38.599999999999994</v>
      </c>
      <c r="M23" s="24">
        <f>SUM(L23)+1.8</f>
        <v>40.399999999999991</v>
      </c>
      <c r="N23" s="26">
        <f>SUM(M23)+1.8</f>
        <v>42.199999999999989</v>
      </c>
    </row>
    <row r="24" spans="1:14" s="1" customFormat="1" ht="14.1" customHeight="1">
      <c r="A24" s="79"/>
      <c r="B24" s="62" t="s">
        <v>57</v>
      </c>
      <c r="C24" s="63"/>
      <c r="D24" s="47" t="s">
        <v>119</v>
      </c>
      <c r="E24" s="48"/>
      <c r="F24" s="48"/>
      <c r="G24" s="49"/>
      <c r="H24" s="36"/>
      <c r="I24" s="36"/>
      <c r="J24" s="35"/>
      <c r="K24" s="36"/>
      <c r="L24" s="36"/>
      <c r="M24" s="36"/>
      <c r="N24" s="37"/>
    </row>
    <row r="25" spans="1:14" s="1" customFormat="1" ht="14.1" customHeight="1">
      <c r="A25" s="92">
        <v>12</v>
      </c>
      <c r="B25" s="51" t="s">
        <v>18</v>
      </c>
      <c r="C25" s="52"/>
      <c r="D25" s="59" t="s">
        <v>15</v>
      </c>
      <c r="E25" s="60"/>
      <c r="F25" s="60"/>
      <c r="G25" s="61"/>
      <c r="H25" s="58">
        <f>SUM(I25)-1.1</f>
        <v>20.799999999999997</v>
      </c>
      <c r="I25" s="24">
        <f>SUM(J25)-1.1</f>
        <v>21.9</v>
      </c>
      <c r="J25" s="33">
        <v>23</v>
      </c>
      <c r="K25" s="24">
        <f>SUM(J25)+1.6</f>
        <v>24.6</v>
      </c>
      <c r="L25" s="24">
        <f>SUM(K25)+1.1</f>
        <v>25.700000000000003</v>
      </c>
      <c r="M25" s="58">
        <f>SUM(L25)+1.1</f>
        <v>26.800000000000004</v>
      </c>
      <c r="N25" s="121">
        <f>SUM(M25)+1.1</f>
        <v>27.900000000000006</v>
      </c>
    </row>
    <row r="26" spans="1:14" s="1" customFormat="1" ht="14.1" customHeight="1">
      <c r="A26" s="79"/>
      <c r="B26" s="62" t="s">
        <v>63</v>
      </c>
      <c r="C26" s="63"/>
      <c r="D26" s="64" t="s">
        <v>118</v>
      </c>
      <c r="E26" s="65"/>
      <c r="F26" s="65"/>
      <c r="G26" s="66"/>
      <c r="H26" s="56"/>
      <c r="I26" s="36"/>
      <c r="J26" s="35"/>
      <c r="K26" s="36"/>
      <c r="L26" s="36"/>
      <c r="M26" s="56"/>
      <c r="N26" s="122"/>
    </row>
    <row r="27" spans="1:14" s="1" customFormat="1" ht="14.1" customHeight="1">
      <c r="A27" s="92">
        <v>13</v>
      </c>
      <c r="B27" s="51" t="s">
        <v>19</v>
      </c>
      <c r="C27" s="52"/>
      <c r="D27" s="59" t="s">
        <v>15</v>
      </c>
      <c r="E27" s="60"/>
      <c r="F27" s="60"/>
      <c r="G27" s="61"/>
      <c r="H27" s="58">
        <f>SUM(I27)-1.3</f>
        <v>27.4</v>
      </c>
      <c r="I27" s="24">
        <f>SUM(J27)-1.3</f>
        <v>28.7</v>
      </c>
      <c r="J27" s="33">
        <v>30</v>
      </c>
      <c r="K27" s="24">
        <f>SUM(J27)+1.8</f>
        <v>31.8</v>
      </c>
      <c r="L27" s="24">
        <f>SUM(K27)+1.3</f>
        <v>33.1</v>
      </c>
      <c r="M27" s="58">
        <f>SUM(L27)+1.3</f>
        <v>34.4</v>
      </c>
      <c r="N27" s="121">
        <f>SUM(M27)+1.3</f>
        <v>35.699999999999996</v>
      </c>
    </row>
    <row r="28" spans="1:14" s="1" customFormat="1" ht="14.1" customHeight="1">
      <c r="A28" s="79"/>
      <c r="B28" s="62" t="s">
        <v>62</v>
      </c>
      <c r="C28" s="63"/>
      <c r="D28" s="64" t="s">
        <v>118</v>
      </c>
      <c r="E28" s="65"/>
      <c r="F28" s="65"/>
      <c r="G28" s="66"/>
      <c r="H28" s="56"/>
      <c r="I28" s="36"/>
      <c r="J28" s="35"/>
      <c r="K28" s="36"/>
      <c r="L28" s="36"/>
      <c r="M28" s="56"/>
      <c r="N28" s="122"/>
    </row>
    <row r="29" spans="1:14" s="1" customFormat="1" ht="14.1" customHeight="1">
      <c r="A29" s="92">
        <v>14</v>
      </c>
      <c r="B29" s="51" t="s">
        <v>20</v>
      </c>
      <c r="C29" s="52"/>
      <c r="D29" s="59" t="s">
        <v>21</v>
      </c>
      <c r="E29" s="60"/>
      <c r="F29" s="60"/>
      <c r="G29" s="61"/>
      <c r="H29" s="24"/>
      <c r="I29" s="24"/>
      <c r="J29" s="33"/>
      <c r="K29" s="24"/>
      <c r="L29" s="24"/>
      <c r="M29" s="24"/>
      <c r="N29" s="121"/>
    </row>
    <row r="30" spans="1:14" s="1" customFormat="1" ht="14.1" customHeight="1">
      <c r="A30" s="79"/>
      <c r="B30" s="62" t="s">
        <v>61</v>
      </c>
      <c r="C30" s="63"/>
      <c r="D30" s="64" t="s">
        <v>117</v>
      </c>
      <c r="E30" s="65"/>
      <c r="F30" s="65"/>
      <c r="G30" s="66"/>
      <c r="H30" s="36"/>
      <c r="I30" s="36"/>
      <c r="J30" s="35"/>
      <c r="K30" s="36"/>
      <c r="L30" s="36"/>
      <c r="M30" s="36"/>
      <c r="N30" s="122"/>
    </row>
    <row r="31" spans="1:14" s="1" customFormat="1" ht="14.1" customHeight="1">
      <c r="A31" s="92">
        <v>15</v>
      </c>
      <c r="B31" s="51" t="s">
        <v>22</v>
      </c>
      <c r="C31" s="52"/>
      <c r="D31" s="59" t="s">
        <v>23</v>
      </c>
      <c r="E31" s="60"/>
      <c r="F31" s="60"/>
      <c r="G31" s="61"/>
      <c r="H31" s="24"/>
      <c r="I31" s="24"/>
      <c r="J31" s="33"/>
      <c r="K31" s="24"/>
      <c r="L31" s="24"/>
      <c r="M31" s="24"/>
      <c r="N31" s="121"/>
    </row>
    <row r="32" spans="1:14" s="1" customFormat="1" ht="14.1" customHeight="1">
      <c r="A32" s="79"/>
      <c r="B32" s="62" t="s">
        <v>60</v>
      </c>
      <c r="C32" s="63"/>
      <c r="D32" s="64" t="s">
        <v>116</v>
      </c>
      <c r="E32" s="65"/>
      <c r="F32" s="65"/>
      <c r="G32" s="66"/>
      <c r="H32" s="36"/>
      <c r="I32" s="36"/>
      <c r="J32" s="35"/>
      <c r="K32" s="36"/>
      <c r="L32" s="36"/>
      <c r="M32" s="36"/>
      <c r="N32" s="122"/>
    </row>
    <row r="33" spans="1:14" s="1" customFormat="1" ht="14.1" customHeight="1">
      <c r="A33" s="92">
        <v>16</v>
      </c>
      <c r="B33" s="51" t="s">
        <v>115</v>
      </c>
      <c r="C33" s="52"/>
      <c r="D33" s="59" t="s">
        <v>113</v>
      </c>
      <c r="E33" s="60"/>
      <c r="F33" s="60"/>
      <c r="G33" s="61"/>
      <c r="H33" s="58"/>
      <c r="I33" s="24"/>
      <c r="J33" s="33"/>
      <c r="K33" s="24"/>
      <c r="L33" s="24"/>
      <c r="M33" s="58"/>
      <c r="N33" s="121"/>
    </row>
    <row r="34" spans="1:14" s="1" customFormat="1" ht="14.1" customHeight="1">
      <c r="A34" s="79"/>
      <c r="B34" s="62" t="s">
        <v>114</v>
      </c>
      <c r="C34" s="63"/>
      <c r="D34" s="64" t="s">
        <v>113</v>
      </c>
      <c r="E34" s="65"/>
      <c r="F34" s="65"/>
      <c r="G34" s="66"/>
      <c r="H34" s="56"/>
      <c r="I34" s="36"/>
      <c r="J34" s="35"/>
      <c r="K34" s="36"/>
      <c r="L34" s="36"/>
      <c r="M34" s="56"/>
      <c r="N34" s="122"/>
    </row>
    <row r="35" spans="1:14" s="1" customFormat="1" ht="14.1" customHeight="1">
      <c r="A35" s="92">
        <v>17</v>
      </c>
      <c r="B35" s="51" t="s">
        <v>112</v>
      </c>
      <c r="C35" s="52"/>
      <c r="D35" s="59" t="s">
        <v>111</v>
      </c>
      <c r="E35" s="60"/>
      <c r="F35" s="60"/>
      <c r="G35" s="61"/>
      <c r="H35" s="24"/>
      <c r="I35" s="24"/>
      <c r="J35" s="33"/>
      <c r="K35" s="24"/>
      <c r="L35" s="24"/>
      <c r="M35" s="24"/>
      <c r="N35" s="121"/>
    </row>
    <row r="36" spans="1:14" s="1" customFormat="1" ht="14.1" customHeight="1">
      <c r="A36" s="79"/>
      <c r="B36" s="62" t="s">
        <v>110</v>
      </c>
      <c r="C36" s="63"/>
      <c r="D36" s="64" t="s">
        <v>160</v>
      </c>
      <c r="E36" s="65"/>
      <c r="F36" s="65"/>
      <c r="G36" s="66"/>
      <c r="H36" s="36"/>
      <c r="I36" s="36"/>
      <c r="J36" s="35"/>
      <c r="K36" s="36"/>
      <c r="L36" s="36"/>
      <c r="M36" s="36"/>
      <c r="N36" s="122"/>
    </row>
    <row r="37" spans="1:14" s="1" customFormat="1" ht="14.1" customHeight="1">
      <c r="A37" s="92">
        <v>18</v>
      </c>
      <c r="B37" s="51" t="s">
        <v>144</v>
      </c>
      <c r="C37" s="52"/>
      <c r="D37" s="59" t="s">
        <v>24</v>
      </c>
      <c r="E37" s="60"/>
      <c r="F37" s="60"/>
      <c r="G37" s="61"/>
      <c r="H37" s="24">
        <f>SUM(I37)-0.6</f>
        <v>7.3000000000000007</v>
      </c>
      <c r="I37" s="24">
        <f>SUM(J37)-0.6</f>
        <v>7.9</v>
      </c>
      <c r="J37" s="23">
        <v>8.5</v>
      </c>
      <c r="K37" s="21">
        <f>SUM(J37)+0.6</f>
        <v>9.1</v>
      </c>
      <c r="L37" s="21">
        <f>SUM(K37)+0.6</f>
        <v>9.6999999999999993</v>
      </c>
      <c r="M37" s="133">
        <f>SUM(L37)+0.6</f>
        <v>10.299999999999999</v>
      </c>
      <c r="N37" s="123">
        <f>SUM(M37)+0.6</f>
        <v>10.899999999999999</v>
      </c>
    </row>
    <row r="38" spans="1:14" s="1" customFormat="1" ht="14.1" customHeight="1">
      <c r="A38" s="79"/>
      <c r="B38" s="62" t="s">
        <v>59</v>
      </c>
      <c r="C38" s="63"/>
      <c r="D38" s="64" t="s">
        <v>143</v>
      </c>
      <c r="E38" s="65"/>
      <c r="F38" s="65"/>
      <c r="G38" s="66"/>
      <c r="H38" s="36"/>
      <c r="I38" s="36"/>
      <c r="J38" s="23"/>
      <c r="K38" s="21"/>
      <c r="L38" s="21"/>
      <c r="M38" s="133"/>
      <c r="N38" s="123"/>
    </row>
    <row r="39" spans="1:14" s="1" customFormat="1" ht="14.1" customHeight="1">
      <c r="A39" s="92">
        <v>19</v>
      </c>
      <c r="B39" s="51" t="s">
        <v>142</v>
      </c>
      <c r="C39" s="52"/>
      <c r="D39" s="59" t="s">
        <v>25</v>
      </c>
      <c r="E39" s="60"/>
      <c r="F39" s="60"/>
      <c r="G39" s="61"/>
      <c r="H39" s="24">
        <f>SUM(I39)-0.2</f>
        <v>5.0999999999999996</v>
      </c>
      <c r="I39" s="24">
        <f>SUM(J39)-0.2</f>
        <v>5.3</v>
      </c>
      <c r="J39" s="33">
        <v>5.5</v>
      </c>
      <c r="K39" s="24">
        <f>SUM(J39)+0.2</f>
        <v>5.7</v>
      </c>
      <c r="L39" s="24">
        <f>SUM(K39)+0.2</f>
        <v>5.9</v>
      </c>
      <c r="M39" s="24">
        <f>SUM(L39)+0.2</f>
        <v>6.1000000000000005</v>
      </c>
      <c r="N39" s="121">
        <f>SUM(M39)+0.2</f>
        <v>6.3000000000000007</v>
      </c>
    </row>
    <row r="40" spans="1:14" s="1" customFormat="1" ht="14.1" customHeight="1">
      <c r="A40" s="79"/>
      <c r="B40" s="62" t="s">
        <v>58</v>
      </c>
      <c r="C40" s="63"/>
      <c r="D40" s="64" t="s">
        <v>141</v>
      </c>
      <c r="E40" s="65"/>
      <c r="F40" s="65"/>
      <c r="G40" s="66"/>
      <c r="H40" s="36"/>
      <c r="I40" s="36"/>
      <c r="J40" s="35"/>
      <c r="K40" s="36"/>
      <c r="L40" s="36"/>
      <c r="M40" s="36"/>
      <c r="N40" s="122"/>
    </row>
    <row r="41" spans="1:14" s="1" customFormat="1" ht="14.1" customHeight="1">
      <c r="A41" s="92">
        <v>20</v>
      </c>
      <c r="B41" s="51" t="s">
        <v>140</v>
      </c>
      <c r="C41" s="52"/>
      <c r="D41" s="57"/>
      <c r="E41" s="57"/>
      <c r="F41" s="57"/>
      <c r="G41" s="57"/>
      <c r="H41" s="24">
        <f>SUM(I41)-0.5</f>
        <v>10</v>
      </c>
      <c r="I41" s="24">
        <f>SUM(J41)-0.5</f>
        <v>10.5</v>
      </c>
      <c r="J41" s="33">
        <v>11</v>
      </c>
      <c r="K41" s="24">
        <f>SUM(J41)+0.5</f>
        <v>11.5</v>
      </c>
      <c r="L41" s="24">
        <f>SUM(K41)+0.5</f>
        <v>12</v>
      </c>
      <c r="M41" s="24">
        <f>SUM(L41)+0.5</f>
        <v>12.5</v>
      </c>
      <c r="N41" s="121">
        <f>SUM(M41)+0.5</f>
        <v>13</v>
      </c>
    </row>
    <row r="42" spans="1:14" s="1" customFormat="1" ht="14.1" customHeight="1">
      <c r="A42" s="79"/>
      <c r="B42" s="45" t="s">
        <v>139</v>
      </c>
      <c r="C42" s="46"/>
      <c r="D42" s="47"/>
      <c r="E42" s="48"/>
      <c r="F42" s="48"/>
      <c r="G42" s="49"/>
      <c r="H42" s="36"/>
      <c r="I42" s="36"/>
      <c r="J42" s="35"/>
      <c r="K42" s="36"/>
      <c r="L42" s="36"/>
      <c r="M42" s="36"/>
      <c r="N42" s="122"/>
    </row>
    <row r="43" spans="1:14" s="1" customFormat="1" ht="14.1" customHeight="1">
      <c r="A43" s="92">
        <v>21</v>
      </c>
      <c r="B43" s="51" t="s">
        <v>138</v>
      </c>
      <c r="C43" s="52"/>
      <c r="D43" s="57"/>
      <c r="E43" s="57"/>
      <c r="F43" s="57"/>
      <c r="G43" s="57"/>
      <c r="H43" s="24">
        <f>SUM(I43)-0.5</f>
        <v>10</v>
      </c>
      <c r="I43" s="24">
        <f>SUM(J43)-0.5</f>
        <v>10.5</v>
      </c>
      <c r="J43" s="33">
        <v>11</v>
      </c>
      <c r="K43" s="24">
        <f>SUM(J43)+0.5</f>
        <v>11.5</v>
      </c>
      <c r="L43" s="24">
        <f>SUM(K43)+0.5</f>
        <v>12</v>
      </c>
      <c r="M43" s="24">
        <f>SUM(L43)+0.5</f>
        <v>12.5</v>
      </c>
      <c r="N43" s="26">
        <f>SUM(M43)+0.5</f>
        <v>13</v>
      </c>
    </row>
    <row r="44" spans="1:14" s="1" customFormat="1" ht="14.1" customHeight="1">
      <c r="A44" s="92"/>
      <c r="B44" s="141" t="s">
        <v>137</v>
      </c>
      <c r="C44" s="141"/>
      <c r="D44" s="100"/>
      <c r="E44" s="101"/>
      <c r="F44" s="101"/>
      <c r="G44" s="102"/>
      <c r="H44" s="50"/>
      <c r="I44" s="50"/>
      <c r="J44" s="117"/>
      <c r="K44" s="50"/>
      <c r="L44" s="50"/>
      <c r="M44" s="50"/>
      <c r="N44" s="113"/>
    </row>
    <row r="45" spans="1:14" s="1" customFormat="1" ht="14.1" customHeight="1">
      <c r="A45" s="98">
        <v>22</v>
      </c>
      <c r="B45" s="51" t="s">
        <v>909</v>
      </c>
      <c r="C45" s="52"/>
      <c r="D45" s="57"/>
      <c r="E45" s="57"/>
      <c r="F45" s="57"/>
      <c r="G45" s="57"/>
      <c r="H45" s="24">
        <f>SUM(I45)-0.4</f>
        <v>4.6999999999999993</v>
      </c>
      <c r="I45" s="24">
        <f>SUM(J45)-0.4</f>
        <v>5.0999999999999996</v>
      </c>
      <c r="J45" s="33">
        <v>5.5</v>
      </c>
      <c r="K45" s="24">
        <f>SUM(J45)+0.4</f>
        <v>5.9</v>
      </c>
      <c r="L45" s="24">
        <f>SUM(K45)+0.4</f>
        <v>6.3000000000000007</v>
      </c>
      <c r="M45" s="24">
        <f>SUM(L45)+0.4</f>
        <v>6.7000000000000011</v>
      </c>
      <c r="N45" s="26">
        <f>SUM(M45)+0.4</f>
        <v>7.1000000000000014</v>
      </c>
    </row>
    <row r="46" spans="1:14" s="1" customFormat="1" ht="14.1" customHeight="1" thickBot="1">
      <c r="A46" s="99"/>
      <c r="B46" s="110" t="s">
        <v>910</v>
      </c>
      <c r="C46" s="110"/>
      <c r="D46" s="30"/>
      <c r="E46" s="31"/>
      <c r="F46" s="31"/>
      <c r="G46" s="32"/>
      <c r="H46" s="25"/>
      <c r="I46" s="25"/>
      <c r="J46" s="34"/>
      <c r="K46" s="25"/>
      <c r="L46" s="25"/>
      <c r="M46" s="25"/>
      <c r="N46" s="27"/>
    </row>
    <row r="47" spans="1:14" s="1" customFormat="1" ht="14.1" customHeight="1"/>
    <row r="48" spans="1:14" s="1" customFormat="1" ht="14.1" customHeight="1"/>
    <row r="49" s="1" customFormat="1" ht="14.1" customHeight="1"/>
    <row r="50" s="1" customFormat="1" ht="14.1" customHeight="1"/>
    <row r="51" s="1" customFormat="1" ht="14.1" customHeight="1"/>
    <row r="52" s="1" customFormat="1" ht="14.1" customHeight="1"/>
  </sheetData>
  <mergeCells count="267"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E3A09-AD05-411F-AD51-4CDB33D32224}">
  <sheetPr>
    <tabColor rgb="FF00B050"/>
    <pageSetUpPr fitToPage="1"/>
  </sheetPr>
  <dimension ref="A1:N52"/>
  <sheetViews>
    <sheetView topLeftCell="A22" zoomScale="110" zoomScaleNormal="110" workbookViewId="0">
      <selection activeCell="I11" sqref="I11:I1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28" t="s">
        <v>679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30"/>
    </row>
    <row r="2" spans="1:14" ht="16.5" customHeight="1" thickBot="1">
      <c r="A2" s="2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  <c r="N2" s="7" t="s">
        <v>561</v>
      </c>
    </row>
    <row r="3" spans="1:14" s="1" customFormat="1" ht="14.1" customHeight="1">
      <c r="A3" s="78">
        <v>1</v>
      </c>
      <c r="B3" s="80" t="s">
        <v>149</v>
      </c>
      <c r="C3" s="81"/>
      <c r="D3" s="74" t="s">
        <v>82</v>
      </c>
      <c r="E3" s="82"/>
      <c r="F3" s="82"/>
      <c r="G3" s="83"/>
      <c r="H3" s="58">
        <f>SUM(I3)-3</f>
        <v>45</v>
      </c>
      <c r="I3" s="24">
        <f>SUM(J3)-3</f>
        <v>48</v>
      </c>
      <c r="J3" s="84">
        <v>51</v>
      </c>
      <c r="K3" s="85">
        <f>SUM(J3)+3</f>
        <v>54</v>
      </c>
      <c r="L3" s="85">
        <f>SUM(K3)+3</f>
        <v>57</v>
      </c>
      <c r="M3" s="85">
        <f>SUM(L3)+3</f>
        <v>60</v>
      </c>
      <c r="N3" s="131">
        <f>SUM(M3)+3</f>
        <v>63</v>
      </c>
    </row>
    <row r="4" spans="1:14" s="1" customFormat="1" ht="14.1" customHeight="1">
      <c r="A4" s="79"/>
      <c r="B4" s="62" t="s">
        <v>108</v>
      </c>
      <c r="C4" s="63"/>
      <c r="D4" s="64" t="s">
        <v>83</v>
      </c>
      <c r="E4" s="65"/>
      <c r="F4" s="65"/>
      <c r="G4" s="66"/>
      <c r="H4" s="56"/>
      <c r="I4" s="36"/>
      <c r="J4" s="35"/>
      <c r="K4" s="36"/>
      <c r="L4" s="36"/>
      <c r="M4" s="36"/>
      <c r="N4" s="122"/>
    </row>
    <row r="5" spans="1:14" s="1" customFormat="1" ht="14.1" customHeight="1">
      <c r="A5" s="92">
        <v>2</v>
      </c>
      <c r="B5" s="40" t="s">
        <v>165</v>
      </c>
      <c r="C5" s="41"/>
      <c r="D5" s="100"/>
      <c r="E5" s="101"/>
      <c r="F5" s="101"/>
      <c r="G5" s="102"/>
      <c r="H5" s="58"/>
      <c r="I5" s="24"/>
      <c r="J5" s="117"/>
      <c r="K5" s="50"/>
      <c r="L5" s="50"/>
      <c r="M5" s="50"/>
      <c r="N5" s="127"/>
    </row>
    <row r="6" spans="1:14" s="1" customFormat="1" ht="14.1" customHeight="1">
      <c r="A6" s="79"/>
      <c r="B6" s="62" t="s">
        <v>164</v>
      </c>
      <c r="C6" s="63"/>
      <c r="D6" s="64"/>
      <c r="E6" s="65"/>
      <c r="F6" s="65"/>
      <c r="G6" s="66"/>
      <c r="H6" s="56"/>
      <c r="I6" s="36"/>
      <c r="J6" s="35"/>
      <c r="K6" s="36"/>
      <c r="L6" s="36"/>
      <c r="M6" s="36"/>
      <c r="N6" s="122"/>
    </row>
    <row r="7" spans="1:14" s="1" customFormat="1" ht="14.1" customHeight="1">
      <c r="A7" s="92">
        <v>3</v>
      </c>
      <c r="B7" s="40" t="s">
        <v>148</v>
      </c>
      <c r="C7" s="41"/>
      <c r="D7" s="100"/>
      <c r="E7" s="101"/>
      <c r="F7" s="101"/>
      <c r="G7" s="102"/>
      <c r="H7" s="58"/>
      <c r="I7" s="24"/>
      <c r="J7" s="117"/>
      <c r="K7" s="50"/>
      <c r="L7" s="50"/>
      <c r="M7" s="50"/>
      <c r="N7" s="127"/>
    </row>
    <row r="8" spans="1:14" s="1" customFormat="1" ht="14.1" customHeight="1">
      <c r="A8" s="79"/>
      <c r="B8" s="62" t="s">
        <v>147</v>
      </c>
      <c r="C8" s="63"/>
      <c r="D8" s="64"/>
      <c r="E8" s="65"/>
      <c r="F8" s="65"/>
      <c r="G8" s="66"/>
      <c r="H8" s="56"/>
      <c r="I8" s="36"/>
      <c r="J8" s="35"/>
      <c r="K8" s="36"/>
      <c r="L8" s="36"/>
      <c r="M8" s="36"/>
      <c r="N8" s="122"/>
    </row>
    <row r="9" spans="1:14" s="1" customFormat="1" ht="14.1" customHeight="1">
      <c r="A9" s="92">
        <v>4</v>
      </c>
      <c r="B9" s="51" t="s">
        <v>163</v>
      </c>
      <c r="C9" s="52"/>
      <c r="D9" s="118"/>
      <c r="E9" s="119"/>
      <c r="F9" s="119"/>
      <c r="G9" s="120"/>
      <c r="H9" s="24"/>
      <c r="I9" s="24"/>
      <c r="J9" s="117"/>
      <c r="K9" s="50"/>
      <c r="L9" s="50"/>
      <c r="M9" s="50"/>
      <c r="N9" s="127"/>
    </row>
    <row r="10" spans="1:14" s="1" customFormat="1" ht="14.1" customHeight="1">
      <c r="A10" s="79"/>
      <c r="B10" s="62" t="s">
        <v>162</v>
      </c>
      <c r="C10" s="63"/>
      <c r="D10" s="114"/>
      <c r="E10" s="115"/>
      <c r="F10" s="115"/>
      <c r="G10" s="116"/>
      <c r="H10" s="36"/>
      <c r="I10" s="36"/>
      <c r="J10" s="35"/>
      <c r="K10" s="36"/>
      <c r="L10" s="36"/>
      <c r="M10" s="36"/>
      <c r="N10" s="122"/>
    </row>
    <row r="11" spans="1:14" s="1" customFormat="1" ht="14.1" customHeight="1">
      <c r="A11" s="92">
        <v>5</v>
      </c>
      <c r="B11" s="51" t="s">
        <v>157</v>
      </c>
      <c r="C11" s="52"/>
      <c r="D11" s="100"/>
      <c r="E11" s="101"/>
      <c r="F11" s="101"/>
      <c r="G11" s="102"/>
      <c r="H11" s="24">
        <f>SUM(I11)-3.5</f>
        <v>65.5</v>
      </c>
      <c r="I11" s="24">
        <f>SUM(J11)-3.5</f>
        <v>69</v>
      </c>
      <c r="J11" s="117">
        <v>72.5</v>
      </c>
      <c r="K11" s="50">
        <f>SUM(J11)+3.5</f>
        <v>76</v>
      </c>
      <c r="L11" s="50">
        <f>SUM(K11)+3.5</f>
        <v>79.5</v>
      </c>
      <c r="M11" s="50">
        <f>SUM(L11)+3.5</f>
        <v>83</v>
      </c>
      <c r="N11" s="127">
        <f>SUM(M11)+3.5</f>
        <v>86.5</v>
      </c>
    </row>
    <row r="12" spans="1:14" s="1" customFormat="1" ht="14.1" customHeight="1">
      <c r="A12" s="79"/>
      <c r="B12" s="62" t="s">
        <v>158</v>
      </c>
      <c r="C12" s="63"/>
      <c r="D12" s="64"/>
      <c r="E12" s="65"/>
      <c r="F12" s="65"/>
      <c r="G12" s="66"/>
      <c r="H12" s="36"/>
      <c r="I12" s="36"/>
      <c r="J12" s="35"/>
      <c r="K12" s="36"/>
      <c r="L12" s="36"/>
      <c r="M12" s="36"/>
      <c r="N12" s="122"/>
    </row>
    <row r="13" spans="1:14" s="1" customFormat="1" ht="14.1" customHeight="1">
      <c r="A13" s="92">
        <v>6</v>
      </c>
      <c r="B13" s="51" t="s">
        <v>13</v>
      </c>
      <c r="C13" s="52"/>
      <c r="D13" s="59" t="s">
        <v>182</v>
      </c>
      <c r="E13" s="60"/>
      <c r="F13" s="60"/>
      <c r="G13" s="61"/>
      <c r="H13" s="24">
        <f>SUM(I13)-4</f>
        <v>72</v>
      </c>
      <c r="I13" s="24">
        <f>SUM(J13)-4</f>
        <v>76</v>
      </c>
      <c r="J13" s="33">
        <v>80</v>
      </c>
      <c r="K13" s="24">
        <f>SUM(J13)+4</f>
        <v>84</v>
      </c>
      <c r="L13" s="24">
        <f>SUM(K13)+4</f>
        <v>88</v>
      </c>
      <c r="M13" s="24">
        <f>SUM(L13)+4</f>
        <v>92</v>
      </c>
      <c r="N13" s="121">
        <f>SUM(M13)+4</f>
        <v>96</v>
      </c>
    </row>
    <row r="14" spans="1:14" s="1" customFormat="1" ht="14.1" customHeight="1">
      <c r="A14" s="79"/>
      <c r="B14" s="62" t="s">
        <v>55</v>
      </c>
      <c r="C14" s="63"/>
      <c r="D14" s="64" t="s">
        <v>121</v>
      </c>
      <c r="E14" s="65"/>
      <c r="F14" s="65"/>
      <c r="G14" s="66"/>
      <c r="H14" s="36"/>
      <c r="I14" s="36"/>
      <c r="J14" s="35"/>
      <c r="K14" s="36"/>
      <c r="L14" s="36"/>
      <c r="M14" s="36"/>
      <c r="N14" s="122"/>
    </row>
    <row r="15" spans="1:14" s="1" customFormat="1" ht="14.1" customHeight="1">
      <c r="A15" s="92">
        <v>7</v>
      </c>
      <c r="B15" s="51" t="s">
        <v>146</v>
      </c>
      <c r="C15" s="52"/>
      <c r="D15" s="59"/>
      <c r="E15" s="60"/>
      <c r="F15" s="60"/>
      <c r="G15" s="61"/>
      <c r="H15" s="58">
        <f>SUM(I15)-0.7</f>
        <v>13.000000000000002</v>
      </c>
      <c r="I15" s="24">
        <f>SUM(J15)-0.7</f>
        <v>13.700000000000001</v>
      </c>
      <c r="J15" s="33">
        <v>14.4</v>
      </c>
      <c r="K15" s="24">
        <f>SUM(J15)+1.2</f>
        <v>15.6</v>
      </c>
      <c r="L15" s="24">
        <f>SUM(K15)+0.7</f>
        <v>16.3</v>
      </c>
      <c r="M15" s="58">
        <f>SUM(L15)+0.7</f>
        <v>17</v>
      </c>
      <c r="N15" s="125">
        <f>SUM(M15)+0.7</f>
        <v>17.7</v>
      </c>
    </row>
    <row r="16" spans="1:14" s="1" customFormat="1" ht="14.1" customHeight="1">
      <c r="A16" s="79"/>
      <c r="B16" s="62" t="s">
        <v>145</v>
      </c>
      <c r="C16" s="63"/>
      <c r="D16" s="89" t="s">
        <v>161</v>
      </c>
      <c r="E16" s="90"/>
      <c r="F16" s="90"/>
      <c r="G16" s="91"/>
      <c r="H16" s="56"/>
      <c r="I16" s="36"/>
      <c r="J16" s="35"/>
      <c r="K16" s="36"/>
      <c r="L16" s="36"/>
      <c r="M16" s="56"/>
      <c r="N16" s="126"/>
    </row>
    <row r="17" spans="1:14" s="1" customFormat="1" ht="14.1" customHeight="1">
      <c r="A17" s="92">
        <v>8</v>
      </c>
      <c r="B17" s="51" t="s">
        <v>166</v>
      </c>
      <c r="C17" s="52"/>
      <c r="D17" s="59"/>
      <c r="E17" s="60"/>
      <c r="F17" s="60"/>
      <c r="G17" s="61"/>
      <c r="H17" s="58"/>
      <c r="I17" s="24"/>
      <c r="J17" s="33"/>
      <c r="K17" s="24"/>
      <c r="L17" s="24"/>
      <c r="M17" s="58"/>
      <c r="N17" s="125"/>
    </row>
    <row r="18" spans="1:14" s="1" customFormat="1" ht="14.1" customHeight="1">
      <c r="A18" s="79"/>
      <c r="B18" s="62" t="s">
        <v>167</v>
      </c>
      <c r="C18" s="63"/>
      <c r="D18" s="89" t="s">
        <v>168</v>
      </c>
      <c r="E18" s="90"/>
      <c r="F18" s="90"/>
      <c r="G18" s="91"/>
      <c r="H18" s="56"/>
      <c r="I18" s="36"/>
      <c r="J18" s="35"/>
      <c r="K18" s="36"/>
      <c r="L18" s="36"/>
      <c r="M18" s="56"/>
      <c r="N18" s="126"/>
    </row>
    <row r="19" spans="1:14" s="1" customFormat="1" ht="14.1" customHeight="1">
      <c r="A19" s="92">
        <v>9</v>
      </c>
      <c r="B19" s="51" t="s">
        <v>178</v>
      </c>
      <c r="C19" s="52"/>
      <c r="D19" s="59"/>
      <c r="E19" s="60"/>
      <c r="F19" s="60"/>
      <c r="G19" s="61"/>
      <c r="H19" s="24"/>
      <c r="I19" s="24"/>
      <c r="J19" s="33"/>
      <c r="K19" s="24"/>
      <c r="L19" s="24"/>
      <c r="M19" s="24"/>
      <c r="N19" s="121"/>
    </row>
    <row r="20" spans="1:14" s="1" customFormat="1" ht="14.1" customHeight="1">
      <c r="A20" s="79"/>
      <c r="B20" s="62" t="s">
        <v>177</v>
      </c>
      <c r="C20" s="63"/>
      <c r="D20" s="89"/>
      <c r="E20" s="90"/>
      <c r="F20" s="90"/>
      <c r="G20" s="91"/>
      <c r="H20" s="36"/>
      <c r="I20" s="36"/>
      <c r="J20" s="35"/>
      <c r="K20" s="36"/>
      <c r="L20" s="36"/>
      <c r="M20" s="36"/>
      <c r="N20" s="122"/>
    </row>
    <row r="21" spans="1:14" s="1" customFormat="1" ht="14.1" customHeight="1">
      <c r="A21" s="92">
        <v>10</v>
      </c>
      <c r="B21" s="51" t="s">
        <v>9</v>
      </c>
      <c r="C21" s="52"/>
      <c r="D21" s="59" t="s">
        <v>84</v>
      </c>
      <c r="E21" s="60"/>
      <c r="F21" s="60"/>
      <c r="G21" s="61"/>
      <c r="H21" s="24">
        <f>SUM(I21)-7</f>
        <v>53</v>
      </c>
      <c r="I21" s="24">
        <f>SUM(J21)-7</f>
        <v>60</v>
      </c>
      <c r="J21" s="33">
        <v>67</v>
      </c>
      <c r="K21" s="24">
        <f>SUM(J21)+6</f>
        <v>73</v>
      </c>
      <c r="L21" s="24">
        <f>SUM(K21)+6</f>
        <v>79</v>
      </c>
      <c r="M21" s="24">
        <f>SUM(L21)+6</f>
        <v>85</v>
      </c>
      <c r="N21" s="121">
        <f>SUM(M21)+6</f>
        <v>91</v>
      </c>
    </row>
    <row r="22" spans="1:14" s="1" customFormat="1" ht="14.1" customHeight="1">
      <c r="A22" s="79"/>
      <c r="B22" s="62" t="s">
        <v>56</v>
      </c>
      <c r="C22" s="63"/>
      <c r="D22" s="64" t="s">
        <v>120</v>
      </c>
      <c r="E22" s="65"/>
      <c r="F22" s="65"/>
      <c r="G22" s="66"/>
      <c r="H22" s="36"/>
      <c r="I22" s="36"/>
      <c r="J22" s="35"/>
      <c r="K22" s="36"/>
      <c r="L22" s="36"/>
      <c r="M22" s="36"/>
      <c r="N22" s="122"/>
    </row>
    <row r="23" spans="1:14" s="1" customFormat="1" ht="14.1" customHeight="1">
      <c r="A23" s="92">
        <v>11</v>
      </c>
      <c r="B23" s="51" t="s">
        <v>16</v>
      </c>
      <c r="C23" s="52"/>
      <c r="D23" s="59" t="s">
        <v>17</v>
      </c>
      <c r="E23" s="60"/>
      <c r="F23" s="60"/>
      <c r="G23" s="61"/>
      <c r="H23" s="24">
        <f>SUM(I23)-1</f>
        <v>20</v>
      </c>
      <c r="I23" s="24">
        <f>SUM(J23)-1</f>
        <v>21</v>
      </c>
      <c r="J23" s="33">
        <v>22</v>
      </c>
      <c r="K23" s="24">
        <f>SUM(J23)+1</f>
        <v>23</v>
      </c>
      <c r="L23" s="24">
        <f t="shared" ref="L23:N23" si="0">SUM(K23)+1</f>
        <v>24</v>
      </c>
      <c r="M23" s="24">
        <f t="shared" si="0"/>
        <v>25</v>
      </c>
      <c r="N23" s="121">
        <f t="shared" si="0"/>
        <v>26</v>
      </c>
    </row>
    <row r="24" spans="1:14" s="1" customFormat="1" ht="14.1" customHeight="1">
      <c r="A24" s="79"/>
      <c r="B24" s="62" t="s">
        <v>57</v>
      </c>
      <c r="C24" s="63"/>
      <c r="D24" s="47" t="s">
        <v>119</v>
      </c>
      <c r="E24" s="48"/>
      <c r="F24" s="48"/>
      <c r="G24" s="49"/>
      <c r="H24" s="36"/>
      <c r="I24" s="36"/>
      <c r="J24" s="35"/>
      <c r="K24" s="36"/>
      <c r="L24" s="36"/>
      <c r="M24" s="36"/>
      <c r="N24" s="122"/>
    </row>
    <row r="25" spans="1:14" s="1" customFormat="1" ht="14.1" customHeight="1">
      <c r="A25" s="92">
        <v>12</v>
      </c>
      <c r="B25" s="51" t="s">
        <v>18</v>
      </c>
      <c r="C25" s="52"/>
      <c r="D25" s="59" t="s">
        <v>15</v>
      </c>
      <c r="E25" s="60"/>
      <c r="F25" s="60"/>
      <c r="G25" s="61"/>
      <c r="H25" s="58">
        <f>SUM(I25)-1.1</f>
        <v>20.599999999999998</v>
      </c>
      <c r="I25" s="24">
        <f>SUM(J25)-1.1</f>
        <v>21.7</v>
      </c>
      <c r="J25" s="33">
        <v>22.8</v>
      </c>
      <c r="K25" s="24">
        <f>SUM(J25)+1.5</f>
        <v>24.3</v>
      </c>
      <c r="L25" s="24">
        <f>SUM(K25)+1.1</f>
        <v>25.400000000000002</v>
      </c>
      <c r="M25" s="58">
        <f>SUM(L25)+1.1</f>
        <v>26.500000000000004</v>
      </c>
      <c r="N25" s="125">
        <f>SUM(M25)+1.1</f>
        <v>27.600000000000005</v>
      </c>
    </row>
    <row r="26" spans="1:14" s="1" customFormat="1" ht="14.1" customHeight="1">
      <c r="A26" s="79"/>
      <c r="B26" s="62" t="s">
        <v>63</v>
      </c>
      <c r="C26" s="63"/>
      <c r="D26" s="64" t="s">
        <v>118</v>
      </c>
      <c r="E26" s="65"/>
      <c r="F26" s="65"/>
      <c r="G26" s="66"/>
      <c r="H26" s="56"/>
      <c r="I26" s="36"/>
      <c r="J26" s="35"/>
      <c r="K26" s="36"/>
      <c r="L26" s="36"/>
      <c r="M26" s="56"/>
      <c r="N26" s="126"/>
    </row>
    <row r="27" spans="1:14" s="1" customFormat="1" ht="14.1" customHeight="1">
      <c r="A27" s="92">
        <v>13</v>
      </c>
      <c r="B27" s="51" t="s">
        <v>19</v>
      </c>
      <c r="C27" s="52"/>
      <c r="D27" s="59" t="s">
        <v>15</v>
      </c>
      <c r="E27" s="60"/>
      <c r="F27" s="60"/>
      <c r="G27" s="61"/>
      <c r="H27" s="58">
        <f>SUM(I27)-1.3</f>
        <v>27.9</v>
      </c>
      <c r="I27" s="24">
        <f>SUM(J27)-1.3</f>
        <v>29.2</v>
      </c>
      <c r="J27" s="33">
        <v>30.5</v>
      </c>
      <c r="K27" s="24">
        <f>SUM(J27)+1.8</f>
        <v>32.299999999999997</v>
      </c>
      <c r="L27" s="24">
        <f>SUM(K27)+1.3</f>
        <v>33.599999999999994</v>
      </c>
      <c r="M27" s="58">
        <f>SUM(L27)+1.3</f>
        <v>34.899999999999991</v>
      </c>
      <c r="N27" s="125">
        <f>SUM(M27)+1.3</f>
        <v>36.199999999999989</v>
      </c>
    </row>
    <row r="28" spans="1:14" s="1" customFormat="1" ht="14.1" customHeight="1">
      <c r="A28" s="79"/>
      <c r="B28" s="62" t="s">
        <v>62</v>
      </c>
      <c r="C28" s="63"/>
      <c r="D28" s="64" t="s">
        <v>118</v>
      </c>
      <c r="E28" s="65"/>
      <c r="F28" s="65"/>
      <c r="G28" s="66"/>
      <c r="H28" s="56"/>
      <c r="I28" s="36"/>
      <c r="J28" s="35"/>
      <c r="K28" s="36"/>
      <c r="L28" s="36"/>
      <c r="M28" s="56"/>
      <c r="N28" s="126"/>
    </row>
    <row r="29" spans="1:14" s="1" customFormat="1" ht="14.1" customHeight="1">
      <c r="A29" s="92">
        <v>14</v>
      </c>
      <c r="B29" s="51" t="s">
        <v>20</v>
      </c>
      <c r="C29" s="52"/>
      <c r="D29" s="59" t="s">
        <v>21</v>
      </c>
      <c r="E29" s="60"/>
      <c r="F29" s="60"/>
      <c r="G29" s="61"/>
      <c r="H29" s="24">
        <f>SUM(I29)-2.7</f>
        <v>43.9</v>
      </c>
      <c r="I29" s="24">
        <f>SUM(J29)-2.8</f>
        <v>46.6</v>
      </c>
      <c r="J29" s="33">
        <v>49.4</v>
      </c>
      <c r="K29" s="24">
        <f>SUM(J29)+2.6</f>
        <v>52</v>
      </c>
      <c r="L29" s="24">
        <f>SUM(K29)+2.7</f>
        <v>54.7</v>
      </c>
      <c r="M29" s="24">
        <f t="shared" ref="M29:N29" si="1">SUM(L29)+2.6</f>
        <v>57.300000000000004</v>
      </c>
      <c r="N29" s="121">
        <f t="shared" si="1"/>
        <v>59.900000000000006</v>
      </c>
    </row>
    <row r="30" spans="1:14" s="1" customFormat="1" ht="14.1" customHeight="1">
      <c r="A30" s="79"/>
      <c r="B30" s="62" t="s">
        <v>61</v>
      </c>
      <c r="C30" s="63"/>
      <c r="D30" s="64" t="s">
        <v>117</v>
      </c>
      <c r="E30" s="65"/>
      <c r="F30" s="65"/>
      <c r="G30" s="66"/>
      <c r="H30" s="36"/>
      <c r="I30" s="36"/>
      <c r="J30" s="35"/>
      <c r="K30" s="36"/>
      <c r="L30" s="36"/>
      <c r="M30" s="36"/>
      <c r="N30" s="122"/>
    </row>
    <row r="31" spans="1:14" s="1" customFormat="1" ht="14.1" customHeight="1">
      <c r="A31" s="92">
        <v>15</v>
      </c>
      <c r="B31" s="51" t="s">
        <v>22</v>
      </c>
      <c r="C31" s="52"/>
      <c r="D31" s="59" t="s">
        <v>23</v>
      </c>
      <c r="E31" s="60"/>
      <c r="F31" s="60"/>
      <c r="G31" s="61"/>
      <c r="H31" s="24">
        <f>SUM(I31)-6</f>
        <v>33</v>
      </c>
      <c r="I31" s="24">
        <f>SUM(J31)-6</f>
        <v>39</v>
      </c>
      <c r="J31" s="33">
        <v>45</v>
      </c>
      <c r="K31" s="24">
        <f>SUM(J31)+4.5</f>
        <v>49.5</v>
      </c>
      <c r="L31" s="24">
        <f>SUM(K31)+5</f>
        <v>54.5</v>
      </c>
      <c r="M31" s="24">
        <f>SUM(L31)+5</f>
        <v>59.5</v>
      </c>
      <c r="N31" s="121">
        <f>SUM(M31)+5</f>
        <v>64.5</v>
      </c>
    </row>
    <row r="32" spans="1:14" s="1" customFormat="1" ht="14.1" customHeight="1">
      <c r="A32" s="79"/>
      <c r="B32" s="62" t="s">
        <v>60</v>
      </c>
      <c r="C32" s="63"/>
      <c r="D32" s="64" t="s">
        <v>116</v>
      </c>
      <c r="E32" s="65"/>
      <c r="F32" s="65"/>
      <c r="G32" s="66"/>
      <c r="H32" s="36"/>
      <c r="I32" s="36"/>
      <c r="J32" s="35"/>
      <c r="K32" s="36"/>
      <c r="L32" s="36"/>
      <c r="M32" s="36"/>
      <c r="N32" s="122"/>
    </row>
    <row r="33" spans="1:14" s="1" customFormat="1" ht="14.1" customHeight="1">
      <c r="A33" s="92">
        <v>16</v>
      </c>
      <c r="B33" s="51" t="s">
        <v>115</v>
      </c>
      <c r="C33" s="52"/>
      <c r="D33" s="59" t="s">
        <v>113</v>
      </c>
      <c r="E33" s="60"/>
      <c r="F33" s="60"/>
      <c r="G33" s="61"/>
      <c r="H33" s="24">
        <f>SUM(I33)-1.9</f>
        <v>38.400000000000006</v>
      </c>
      <c r="I33" s="24">
        <f>SUM(J33)-1.9</f>
        <v>40.300000000000004</v>
      </c>
      <c r="J33" s="33">
        <v>42.2</v>
      </c>
      <c r="K33" s="24">
        <f>SUM(J33)+1.9</f>
        <v>44.1</v>
      </c>
      <c r="L33" s="24">
        <f t="shared" ref="L33:N33" si="2">SUM(K33)+1.9</f>
        <v>46</v>
      </c>
      <c r="M33" s="24">
        <f>SUM(L33)+1.8</f>
        <v>47.8</v>
      </c>
      <c r="N33" s="121">
        <f t="shared" si="2"/>
        <v>49.699999999999996</v>
      </c>
    </row>
    <row r="34" spans="1:14" s="1" customFormat="1" ht="14.1" customHeight="1">
      <c r="A34" s="79"/>
      <c r="B34" s="62" t="s">
        <v>114</v>
      </c>
      <c r="C34" s="63"/>
      <c r="D34" s="64" t="s">
        <v>113</v>
      </c>
      <c r="E34" s="65"/>
      <c r="F34" s="65"/>
      <c r="G34" s="66"/>
      <c r="H34" s="36"/>
      <c r="I34" s="36"/>
      <c r="J34" s="35"/>
      <c r="K34" s="36"/>
      <c r="L34" s="36"/>
      <c r="M34" s="36"/>
      <c r="N34" s="122"/>
    </row>
    <row r="35" spans="1:14" s="1" customFormat="1" ht="14.1" customHeight="1">
      <c r="A35" s="92">
        <v>17</v>
      </c>
      <c r="B35" s="51" t="s">
        <v>112</v>
      </c>
      <c r="C35" s="52"/>
      <c r="D35" s="59" t="s">
        <v>111</v>
      </c>
      <c r="E35" s="60"/>
      <c r="F35" s="60"/>
      <c r="G35" s="61"/>
      <c r="H35" s="24">
        <f>SUM(I35)-3.3</f>
        <v>32.600000000000009</v>
      </c>
      <c r="I35" s="24">
        <f>SUM(J35)-3.3</f>
        <v>35.900000000000006</v>
      </c>
      <c r="J35" s="33">
        <v>39.200000000000003</v>
      </c>
      <c r="K35" s="24">
        <f>SUM(J35)+3.2</f>
        <v>42.400000000000006</v>
      </c>
      <c r="L35" s="24">
        <f>SUM(K35)+2.9</f>
        <v>45.300000000000004</v>
      </c>
      <c r="M35" s="24">
        <f>SUM(L35)+2.9</f>
        <v>48.2</v>
      </c>
      <c r="N35" s="121">
        <f>SUM(M35)+2.9</f>
        <v>51.1</v>
      </c>
    </row>
    <row r="36" spans="1:14" s="1" customFormat="1" ht="14.1" customHeight="1">
      <c r="A36" s="79"/>
      <c r="B36" s="62" t="s">
        <v>110</v>
      </c>
      <c r="C36" s="63"/>
      <c r="D36" s="64" t="s">
        <v>160</v>
      </c>
      <c r="E36" s="65"/>
      <c r="F36" s="65"/>
      <c r="G36" s="66"/>
      <c r="H36" s="36"/>
      <c r="I36" s="36"/>
      <c r="J36" s="35"/>
      <c r="K36" s="36"/>
      <c r="L36" s="36"/>
      <c r="M36" s="36"/>
      <c r="N36" s="122"/>
    </row>
    <row r="37" spans="1:14" s="1" customFormat="1" ht="14.1" customHeight="1">
      <c r="A37" s="92">
        <v>18</v>
      </c>
      <c r="B37" s="51" t="s">
        <v>144</v>
      </c>
      <c r="C37" s="52"/>
      <c r="D37" s="59" t="s">
        <v>24</v>
      </c>
      <c r="E37" s="60"/>
      <c r="F37" s="60"/>
      <c r="G37" s="61"/>
      <c r="H37" s="24">
        <f>SUM(I37)-0.2</f>
        <v>4.5999999999999996</v>
      </c>
      <c r="I37" s="24">
        <f>SUM(J37)-0.2</f>
        <v>4.8</v>
      </c>
      <c r="J37" s="23">
        <v>5</v>
      </c>
      <c r="K37" s="21">
        <f>SUM(J37)+0.2</f>
        <v>5.2</v>
      </c>
      <c r="L37" s="21">
        <f>SUM(K37)+0.2</f>
        <v>5.4</v>
      </c>
      <c r="M37" s="21">
        <f>SUM(L37)+0.2</f>
        <v>5.6000000000000005</v>
      </c>
      <c r="N37" s="123">
        <f>SUM(M37)+0.2</f>
        <v>5.8000000000000007</v>
      </c>
    </row>
    <row r="38" spans="1:14" s="1" customFormat="1" ht="14.1" customHeight="1">
      <c r="A38" s="79"/>
      <c r="B38" s="62" t="s">
        <v>59</v>
      </c>
      <c r="C38" s="63"/>
      <c r="D38" s="64" t="s">
        <v>143</v>
      </c>
      <c r="E38" s="65"/>
      <c r="F38" s="65"/>
      <c r="G38" s="66"/>
      <c r="H38" s="36"/>
      <c r="I38" s="36"/>
      <c r="J38" s="23"/>
      <c r="K38" s="21"/>
      <c r="L38" s="21"/>
      <c r="M38" s="21"/>
      <c r="N38" s="123"/>
    </row>
    <row r="39" spans="1:14" s="1" customFormat="1" ht="14.1" customHeight="1">
      <c r="A39" s="92">
        <v>19</v>
      </c>
      <c r="B39" s="51" t="s">
        <v>142</v>
      </c>
      <c r="C39" s="52"/>
      <c r="D39" s="59" t="s">
        <v>25</v>
      </c>
      <c r="E39" s="60"/>
      <c r="F39" s="60"/>
      <c r="G39" s="61"/>
      <c r="H39" s="24">
        <f>SUM(I39)-0.6</f>
        <v>9.8000000000000007</v>
      </c>
      <c r="I39" s="24">
        <f>SUM(J39)-0.6</f>
        <v>10.4</v>
      </c>
      <c r="J39" s="33">
        <v>11</v>
      </c>
      <c r="K39" s="24">
        <f>SUM(J39)+0.6</f>
        <v>11.6</v>
      </c>
      <c r="L39" s="24">
        <f>SUM(K39)+0.6</f>
        <v>12.2</v>
      </c>
      <c r="M39" s="24">
        <f>SUM(L39)+0.6</f>
        <v>12.799999999999999</v>
      </c>
      <c r="N39" s="121">
        <f>SUM(M39)+0.6</f>
        <v>13.399999999999999</v>
      </c>
    </row>
    <row r="40" spans="1:14" s="1" customFormat="1" ht="14.1" customHeight="1">
      <c r="A40" s="79"/>
      <c r="B40" s="62" t="s">
        <v>58</v>
      </c>
      <c r="C40" s="63"/>
      <c r="D40" s="64" t="s">
        <v>141</v>
      </c>
      <c r="E40" s="65"/>
      <c r="F40" s="65"/>
      <c r="G40" s="66"/>
      <c r="H40" s="36"/>
      <c r="I40" s="36"/>
      <c r="J40" s="35"/>
      <c r="K40" s="36"/>
      <c r="L40" s="36"/>
      <c r="M40" s="36"/>
      <c r="N40" s="122"/>
    </row>
    <row r="41" spans="1:14" s="1" customFormat="1" ht="14.1" customHeight="1">
      <c r="A41" s="92">
        <v>20</v>
      </c>
      <c r="B41" s="51" t="s">
        <v>140</v>
      </c>
      <c r="C41" s="52"/>
      <c r="D41" s="57"/>
      <c r="E41" s="57"/>
      <c r="F41" s="57"/>
      <c r="G41" s="57"/>
      <c r="H41" s="24">
        <f>SUM(I41)-0.5</f>
        <v>10</v>
      </c>
      <c r="I41" s="24">
        <f>SUM(J41)-0.5</f>
        <v>10.5</v>
      </c>
      <c r="J41" s="33">
        <v>11</v>
      </c>
      <c r="K41" s="24">
        <f>SUM(J41)+0.5</f>
        <v>11.5</v>
      </c>
      <c r="L41" s="24">
        <f>SUM(K41)+0.5</f>
        <v>12</v>
      </c>
      <c r="M41" s="24">
        <f>SUM(L41)+0.5</f>
        <v>12.5</v>
      </c>
      <c r="N41" s="121">
        <f>SUM(M41)+0.5</f>
        <v>13</v>
      </c>
    </row>
    <row r="42" spans="1:14" s="1" customFormat="1" ht="14.1" customHeight="1">
      <c r="A42" s="79"/>
      <c r="B42" s="45" t="s">
        <v>139</v>
      </c>
      <c r="C42" s="46"/>
      <c r="D42" s="47"/>
      <c r="E42" s="48"/>
      <c r="F42" s="48"/>
      <c r="G42" s="49"/>
      <c r="H42" s="36"/>
      <c r="I42" s="36"/>
      <c r="J42" s="35"/>
      <c r="K42" s="36"/>
      <c r="L42" s="36"/>
      <c r="M42" s="36"/>
      <c r="N42" s="122"/>
    </row>
    <row r="43" spans="1:14" s="1" customFormat="1" ht="14.1" customHeight="1">
      <c r="A43" s="92">
        <v>21</v>
      </c>
      <c r="B43" s="51" t="s">
        <v>138</v>
      </c>
      <c r="C43" s="52"/>
      <c r="D43" s="57"/>
      <c r="E43" s="57"/>
      <c r="F43" s="57"/>
      <c r="G43" s="57"/>
      <c r="H43" s="24">
        <f>SUM(I43)-0.5</f>
        <v>10</v>
      </c>
      <c r="I43" s="24">
        <f>SUM(J43)-0.5</f>
        <v>10.5</v>
      </c>
      <c r="J43" s="33">
        <v>11</v>
      </c>
      <c r="K43" s="24">
        <f>SUM(J43)+0.5</f>
        <v>11.5</v>
      </c>
      <c r="L43" s="24">
        <f>SUM(K43)+0.5</f>
        <v>12</v>
      </c>
      <c r="M43" s="24">
        <f>SUM(L43)+0.5</f>
        <v>12.5</v>
      </c>
      <c r="N43" s="121">
        <f>SUM(M43)+0.5</f>
        <v>13</v>
      </c>
    </row>
    <row r="44" spans="1:14" s="1" customFormat="1" ht="14.1" customHeight="1">
      <c r="A44" s="79"/>
      <c r="B44" s="56" t="s">
        <v>137</v>
      </c>
      <c r="C44" s="56"/>
      <c r="D44" s="47"/>
      <c r="E44" s="48"/>
      <c r="F44" s="48"/>
      <c r="G44" s="49"/>
      <c r="H44" s="36"/>
      <c r="I44" s="36"/>
      <c r="J44" s="35"/>
      <c r="K44" s="36"/>
      <c r="L44" s="36"/>
      <c r="M44" s="36"/>
      <c r="N44" s="122"/>
    </row>
    <row r="45" spans="1:14" s="1" customFormat="1" ht="14.1" customHeight="1">
      <c r="A45" s="92">
        <v>22</v>
      </c>
      <c r="B45" s="51" t="s">
        <v>443</v>
      </c>
      <c r="C45" s="52"/>
      <c r="D45" s="59"/>
      <c r="E45" s="60"/>
      <c r="F45" s="60"/>
      <c r="G45" s="61"/>
      <c r="H45" s="24">
        <f>SUM(I45)-3</f>
        <v>77</v>
      </c>
      <c r="I45" s="24">
        <f>SUM(J45)-3</f>
        <v>80</v>
      </c>
      <c r="J45" s="33">
        <v>83</v>
      </c>
      <c r="K45" s="24">
        <f>SUM(J45)+3</f>
        <v>86</v>
      </c>
      <c r="L45" s="24">
        <f>SUM(K45)+3</f>
        <v>89</v>
      </c>
      <c r="M45" s="24">
        <f>SUM(L45)+3</f>
        <v>92</v>
      </c>
      <c r="N45" s="121">
        <f>SUM(M45)+3</f>
        <v>95</v>
      </c>
    </row>
    <row r="46" spans="1:14" s="1" customFormat="1" ht="14.1" customHeight="1">
      <c r="A46" s="79"/>
      <c r="B46" s="62" t="s">
        <v>444</v>
      </c>
      <c r="C46" s="63"/>
      <c r="D46" s="64" t="s">
        <v>445</v>
      </c>
      <c r="E46" s="65"/>
      <c r="F46" s="65"/>
      <c r="G46" s="66"/>
      <c r="H46" s="36"/>
      <c r="I46" s="36"/>
      <c r="J46" s="35"/>
      <c r="K46" s="36"/>
      <c r="L46" s="36"/>
      <c r="M46" s="36"/>
      <c r="N46" s="122"/>
    </row>
    <row r="47" spans="1:14" s="1" customFormat="1" ht="14.1" customHeight="1">
      <c r="A47" s="92">
        <v>23</v>
      </c>
      <c r="B47" s="51" t="s">
        <v>176</v>
      </c>
      <c r="C47" s="52"/>
      <c r="D47" s="53"/>
      <c r="E47" s="54"/>
      <c r="F47" s="54"/>
      <c r="G47" s="55"/>
      <c r="H47" s="24">
        <f>SUM(I47)-0.1</f>
        <v>1.2999999999999998</v>
      </c>
      <c r="I47" s="24">
        <f>SUM(J47)-0.1</f>
        <v>1.4</v>
      </c>
      <c r="J47" s="33">
        <v>1.5</v>
      </c>
      <c r="K47" s="24">
        <f>SUM(J47)+0.1</f>
        <v>1.6</v>
      </c>
      <c r="L47" s="24">
        <f t="shared" ref="L47:N47" si="3">SUM(K47)+0.1</f>
        <v>1.7000000000000002</v>
      </c>
      <c r="M47" s="24">
        <f t="shared" si="3"/>
        <v>1.8000000000000003</v>
      </c>
      <c r="N47" s="26">
        <f t="shared" si="3"/>
        <v>1.9000000000000004</v>
      </c>
    </row>
    <row r="48" spans="1:14" s="1" customFormat="1" ht="14.1" customHeight="1">
      <c r="A48" s="79"/>
      <c r="B48" s="45" t="s">
        <v>175</v>
      </c>
      <c r="C48" s="46"/>
      <c r="D48" s="47" t="s">
        <v>681</v>
      </c>
      <c r="E48" s="48"/>
      <c r="F48" s="48"/>
      <c r="G48" s="49"/>
      <c r="H48" s="50"/>
      <c r="I48" s="50"/>
      <c r="J48" s="35"/>
      <c r="K48" s="50"/>
      <c r="L48" s="50"/>
      <c r="M48" s="50"/>
      <c r="N48" s="113"/>
    </row>
    <row r="49" spans="1:14" s="1" customFormat="1" ht="14.1" customHeight="1">
      <c r="A49" s="92">
        <v>24</v>
      </c>
      <c r="B49" s="40" t="s">
        <v>174</v>
      </c>
      <c r="C49" s="41"/>
      <c r="D49" s="42"/>
      <c r="E49" s="43"/>
      <c r="F49" s="43"/>
      <c r="G49" s="44"/>
      <c r="H49" s="24">
        <f>SUM(I49)-2.3</f>
        <v>12.399999999999999</v>
      </c>
      <c r="I49" s="24">
        <f>SUM(J49)-2.3</f>
        <v>14.7</v>
      </c>
      <c r="J49" s="33">
        <v>17</v>
      </c>
      <c r="K49" s="24">
        <f>SUM(J49)+1.4</f>
        <v>18.399999999999999</v>
      </c>
      <c r="L49" s="24">
        <f>SUM(K49)+1.9</f>
        <v>20.299999999999997</v>
      </c>
      <c r="M49" s="24">
        <f t="shared" ref="M49:N49" si="4">SUM(L49)+1.9</f>
        <v>22.199999999999996</v>
      </c>
      <c r="N49" s="26">
        <f t="shared" si="4"/>
        <v>24.099999999999994</v>
      </c>
    </row>
    <row r="50" spans="1:14" s="1" customFormat="1" ht="14.1" customHeight="1" thickBot="1">
      <c r="A50" s="99"/>
      <c r="B50" s="28" t="s">
        <v>173</v>
      </c>
      <c r="C50" s="29"/>
      <c r="D50" s="30" t="s">
        <v>682</v>
      </c>
      <c r="E50" s="31"/>
      <c r="F50" s="31"/>
      <c r="G50" s="32"/>
      <c r="H50" s="25"/>
      <c r="I50" s="25"/>
      <c r="J50" s="34"/>
      <c r="K50" s="25"/>
      <c r="L50" s="25"/>
      <c r="M50" s="25"/>
      <c r="N50" s="27"/>
    </row>
    <row r="51" spans="1:14" s="1" customFormat="1" ht="14.1" customHeight="1">
      <c r="A51"/>
      <c r="B51"/>
      <c r="C51"/>
      <c r="D51"/>
      <c r="E51"/>
      <c r="F51"/>
      <c r="G51"/>
      <c r="H51"/>
      <c r="I51"/>
      <c r="J51"/>
      <c r="K51"/>
      <c r="L51"/>
      <c r="M51"/>
      <c r="N51"/>
    </row>
    <row r="52" spans="1:14" s="1" customFormat="1" ht="14.1" customHeight="1">
      <c r="A52"/>
      <c r="B52"/>
      <c r="C52"/>
      <c r="D52"/>
      <c r="E52"/>
      <c r="F52"/>
      <c r="G52"/>
      <c r="H52"/>
      <c r="I52"/>
      <c r="J52"/>
      <c r="K52"/>
      <c r="L52"/>
      <c r="M52"/>
      <c r="N52"/>
    </row>
  </sheetData>
  <mergeCells count="291">
    <mergeCell ref="K49:K50"/>
    <mergeCell ref="L49:L50"/>
    <mergeCell ref="M49:M50"/>
    <mergeCell ref="N49:N50"/>
    <mergeCell ref="B50:C50"/>
    <mergeCell ref="D50:G50"/>
    <mergeCell ref="A49:A50"/>
    <mergeCell ref="B49:C49"/>
    <mergeCell ref="D49:G49"/>
    <mergeCell ref="H49:H50"/>
    <mergeCell ref="I49:I50"/>
    <mergeCell ref="J49:J50"/>
    <mergeCell ref="K47:K48"/>
    <mergeCell ref="L47:L48"/>
    <mergeCell ref="M47:M48"/>
    <mergeCell ref="N47:N48"/>
    <mergeCell ref="B48:C48"/>
    <mergeCell ref="D48:G48"/>
    <mergeCell ref="A47:A48"/>
    <mergeCell ref="B47:C47"/>
    <mergeCell ref="D47:G47"/>
    <mergeCell ref="H47:H48"/>
    <mergeCell ref="I47:I48"/>
    <mergeCell ref="J47:J48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E2B0F-7B6D-4037-9F79-3BB8BE3A52A4}">
  <sheetPr>
    <tabColor rgb="FF00B050"/>
    <pageSetUpPr fitToPage="1"/>
  </sheetPr>
  <dimension ref="A1:P52"/>
  <sheetViews>
    <sheetView topLeftCell="A4" zoomScale="110" zoomScaleNormal="110" workbookViewId="0">
      <selection activeCell="N23" sqref="N23:N2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67" t="s">
        <v>824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9"/>
    </row>
    <row r="2" spans="1:16" ht="16.5" customHeight="1" thickBot="1">
      <c r="A2" s="2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  <c r="N2" s="7" t="s">
        <v>229</v>
      </c>
    </row>
    <row r="3" spans="1:16" s="1" customFormat="1" ht="14.1" customHeight="1">
      <c r="A3" s="78">
        <v>1</v>
      </c>
      <c r="B3" s="80" t="s">
        <v>149</v>
      </c>
      <c r="C3" s="81"/>
      <c r="D3" s="74" t="s">
        <v>82</v>
      </c>
      <c r="E3" s="82"/>
      <c r="F3" s="82"/>
      <c r="G3" s="83"/>
      <c r="H3" s="58">
        <f>SUM(I3)-3</f>
        <v>45</v>
      </c>
      <c r="I3" s="24">
        <f>SUM(J3)-3</f>
        <v>48</v>
      </c>
      <c r="J3" s="84">
        <v>51</v>
      </c>
      <c r="K3" s="85">
        <f>SUM(J3)+3</f>
        <v>54</v>
      </c>
      <c r="L3" s="85">
        <f>SUM(K3)+3</f>
        <v>57</v>
      </c>
      <c r="M3" s="85">
        <f>SUM(L3)+3</f>
        <v>60</v>
      </c>
      <c r="N3" s="131">
        <f>SUM(M3)+3</f>
        <v>63</v>
      </c>
    </row>
    <row r="4" spans="1:16" s="1" customFormat="1" ht="14.1" customHeight="1">
      <c r="A4" s="79"/>
      <c r="B4" s="62" t="s">
        <v>108</v>
      </c>
      <c r="C4" s="63"/>
      <c r="D4" s="64" t="s">
        <v>83</v>
      </c>
      <c r="E4" s="65"/>
      <c r="F4" s="65"/>
      <c r="G4" s="66"/>
      <c r="H4" s="56"/>
      <c r="I4" s="36"/>
      <c r="J4" s="35"/>
      <c r="K4" s="36"/>
      <c r="L4" s="36"/>
      <c r="M4" s="36"/>
      <c r="N4" s="122"/>
    </row>
    <row r="5" spans="1:16" s="1" customFormat="1" ht="14.1" customHeight="1">
      <c r="A5" s="92">
        <v>2</v>
      </c>
      <c r="B5" s="40" t="s">
        <v>165</v>
      </c>
      <c r="C5" s="41"/>
      <c r="D5" s="100"/>
      <c r="E5" s="101"/>
      <c r="F5" s="101"/>
      <c r="G5" s="102"/>
      <c r="H5" s="58"/>
      <c r="I5" s="24"/>
      <c r="J5" s="117"/>
      <c r="K5" s="50"/>
      <c r="L5" s="50"/>
      <c r="M5" s="50"/>
      <c r="N5" s="127"/>
    </row>
    <row r="6" spans="1:16" s="1" customFormat="1" ht="14.1" customHeight="1">
      <c r="A6" s="79"/>
      <c r="B6" s="62" t="s">
        <v>164</v>
      </c>
      <c r="C6" s="63"/>
      <c r="D6" s="64"/>
      <c r="E6" s="65"/>
      <c r="F6" s="65"/>
      <c r="G6" s="66"/>
      <c r="H6" s="56"/>
      <c r="I6" s="36"/>
      <c r="J6" s="35"/>
      <c r="K6" s="36"/>
      <c r="L6" s="36"/>
      <c r="M6" s="36"/>
      <c r="N6" s="122"/>
    </row>
    <row r="7" spans="1:16" s="1" customFormat="1" ht="14.1" customHeight="1">
      <c r="A7" s="92">
        <v>3</v>
      </c>
      <c r="B7" s="40" t="s">
        <v>148</v>
      </c>
      <c r="C7" s="41"/>
      <c r="D7" s="100"/>
      <c r="E7" s="101"/>
      <c r="F7" s="101"/>
      <c r="G7" s="102"/>
      <c r="H7" s="58"/>
      <c r="I7" s="24"/>
      <c r="J7" s="117"/>
      <c r="K7" s="50"/>
      <c r="L7" s="50"/>
      <c r="M7" s="50"/>
      <c r="N7" s="127"/>
    </row>
    <row r="8" spans="1:16" s="1" customFormat="1" ht="14.1" customHeight="1">
      <c r="A8" s="79"/>
      <c r="B8" s="62" t="s">
        <v>147</v>
      </c>
      <c r="C8" s="63"/>
      <c r="D8" s="64"/>
      <c r="E8" s="65"/>
      <c r="F8" s="65"/>
      <c r="G8" s="66"/>
      <c r="H8" s="56"/>
      <c r="I8" s="36"/>
      <c r="J8" s="35"/>
      <c r="K8" s="36"/>
      <c r="L8" s="36"/>
      <c r="M8" s="36"/>
      <c r="N8" s="122"/>
    </row>
    <row r="9" spans="1:16" s="1" customFormat="1" ht="14.1" customHeight="1">
      <c r="A9" s="92">
        <v>4</v>
      </c>
      <c r="B9" s="51" t="s">
        <v>163</v>
      </c>
      <c r="C9" s="52"/>
      <c r="D9" s="118"/>
      <c r="E9" s="119"/>
      <c r="F9" s="119"/>
      <c r="G9" s="120"/>
      <c r="H9" s="24">
        <f>SUM(I9)-2.2</f>
        <v>37.599999999999994</v>
      </c>
      <c r="I9" s="24">
        <f>SUM(J9)-2.2</f>
        <v>39.799999999999997</v>
      </c>
      <c r="J9" s="117">
        <v>42</v>
      </c>
      <c r="K9" s="50">
        <f>SUM(J9)+2.2</f>
        <v>44.2</v>
      </c>
      <c r="L9" s="50">
        <f>SUM(K9)+2.2</f>
        <v>46.400000000000006</v>
      </c>
      <c r="M9" s="24">
        <f>SUM(L9)+2.2</f>
        <v>48.600000000000009</v>
      </c>
      <c r="N9" s="26">
        <f>SUM(M9)+2.2</f>
        <v>50.800000000000011</v>
      </c>
    </row>
    <row r="10" spans="1:16" s="1" customFormat="1" ht="14.1" customHeight="1">
      <c r="A10" s="79"/>
      <c r="B10" s="62" t="s">
        <v>162</v>
      </c>
      <c r="C10" s="63"/>
      <c r="D10" s="114"/>
      <c r="E10" s="115"/>
      <c r="F10" s="115"/>
      <c r="G10" s="116"/>
      <c r="H10" s="36"/>
      <c r="I10" s="36"/>
      <c r="J10" s="35"/>
      <c r="K10" s="36"/>
      <c r="L10" s="36"/>
      <c r="M10" s="36"/>
      <c r="N10" s="37"/>
    </row>
    <row r="11" spans="1:16" s="1" customFormat="1" ht="14.1" customHeight="1">
      <c r="A11" s="92">
        <v>5</v>
      </c>
      <c r="B11" s="51" t="s">
        <v>157</v>
      </c>
      <c r="C11" s="52"/>
      <c r="D11" s="100"/>
      <c r="E11" s="101"/>
      <c r="F11" s="101"/>
      <c r="G11" s="102"/>
      <c r="H11" s="58">
        <f>SUM(I11)-4.5</f>
        <v>64</v>
      </c>
      <c r="I11" s="24">
        <f>SUM(J11)-4.5</f>
        <v>68.5</v>
      </c>
      <c r="J11" s="117">
        <v>73</v>
      </c>
      <c r="K11" s="50">
        <f>SUM(J11)+4.5</f>
        <v>77.5</v>
      </c>
      <c r="L11" s="50">
        <f>SUM(K11)+4.5</f>
        <v>82</v>
      </c>
      <c r="M11" s="50">
        <f>SUM(L11)+4.5</f>
        <v>86.5</v>
      </c>
      <c r="N11" s="127">
        <f>SUM(M11)+4.5</f>
        <v>91</v>
      </c>
    </row>
    <row r="12" spans="1:16" s="1" customFormat="1" ht="14.1" customHeight="1">
      <c r="A12" s="79"/>
      <c r="B12" s="62" t="s">
        <v>158</v>
      </c>
      <c r="C12" s="63"/>
      <c r="D12" s="64"/>
      <c r="E12" s="65"/>
      <c r="F12" s="65"/>
      <c r="G12" s="66"/>
      <c r="H12" s="56"/>
      <c r="I12" s="36"/>
      <c r="J12" s="35"/>
      <c r="K12" s="36"/>
      <c r="L12" s="36"/>
      <c r="M12" s="36"/>
      <c r="N12" s="122"/>
    </row>
    <row r="13" spans="1:16" s="1" customFormat="1" ht="14.1" customHeight="1">
      <c r="A13" s="92">
        <v>6</v>
      </c>
      <c r="B13" s="51" t="s">
        <v>13</v>
      </c>
      <c r="C13" s="52"/>
      <c r="D13" s="59" t="s">
        <v>182</v>
      </c>
      <c r="E13" s="60"/>
      <c r="F13" s="60"/>
      <c r="G13" s="61"/>
      <c r="H13" s="58">
        <f>SUM(I13)-5</f>
        <v>67</v>
      </c>
      <c r="I13" s="24">
        <f>SUM(J13)-5</f>
        <v>72</v>
      </c>
      <c r="J13" s="33">
        <v>77</v>
      </c>
      <c r="K13" s="24">
        <f>SUM(J13)+5</f>
        <v>82</v>
      </c>
      <c r="L13" s="24">
        <f>SUM(K13)+5</f>
        <v>87</v>
      </c>
      <c r="M13" s="24">
        <f>SUM(L13)+5</f>
        <v>92</v>
      </c>
      <c r="N13" s="121">
        <f>SUM(M13)+5</f>
        <v>97</v>
      </c>
    </row>
    <row r="14" spans="1:16" s="1" customFormat="1" ht="14.1" customHeight="1">
      <c r="A14" s="79"/>
      <c r="B14" s="62" t="s">
        <v>55</v>
      </c>
      <c r="C14" s="63"/>
      <c r="D14" s="64" t="s">
        <v>121</v>
      </c>
      <c r="E14" s="65"/>
      <c r="F14" s="65"/>
      <c r="G14" s="66"/>
      <c r="H14" s="56"/>
      <c r="I14" s="36"/>
      <c r="J14" s="35"/>
      <c r="K14" s="36"/>
      <c r="L14" s="36"/>
      <c r="M14" s="36"/>
      <c r="N14" s="122"/>
      <c r="P14" s="1" t="s">
        <v>419</v>
      </c>
    </row>
    <row r="15" spans="1:16" s="1" customFormat="1" ht="14.1" customHeight="1">
      <c r="A15" s="92">
        <v>7</v>
      </c>
      <c r="B15" s="51" t="s">
        <v>146</v>
      </c>
      <c r="C15" s="52"/>
      <c r="D15" s="59"/>
      <c r="E15" s="60"/>
      <c r="F15" s="60"/>
      <c r="G15" s="61"/>
      <c r="H15" s="58">
        <f>SUM(I15)-0.7</f>
        <v>9.6000000000000014</v>
      </c>
      <c r="I15" s="24">
        <f>SUM(J15)-0.7</f>
        <v>10.3</v>
      </c>
      <c r="J15" s="33">
        <v>11</v>
      </c>
      <c r="K15" s="24">
        <f>SUM(J15)+0.7</f>
        <v>11.7</v>
      </c>
      <c r="L15" s="24">
        <f>SUM(K15)+0.7</f>
        <v>12.399999999999999</v>
      </c>
      <c r="M15" s="58">
        <f>SUM(L15)+0.7</f>
        <v>13.099999999999998</v>
      </c>
      <c r="N15" s="121">
        <f>SUM(M15)+0.7</f>
        <v>13.799999999999997</v>
      </c>
    </row>
    <row r="16" spans="1:16" s="1" customFormat="1" ht="14.1" customHeight="1">
      <c r="A16" s="79"/>
      <c r="B16" s="62" t="s">
        <v>145</v>
      </c>
      <c r="C16" s="63"/>
      <c r="D16" s="89" t="s">
        <v>179</v>
      </c>
      <c r="E16" s="90"/>
      <c r="F16" s="90"/>
      <c r="G16" s="91"/>
      <c r="H16" s="56"/>
      <c r="I16" s="36"/>
      <c r="J16" s="35"/>
      <c r="K16" s="36"/>
      <c r="L16" s="36"/>
      <c r="M16" s="56"/>
      <c r="N16" s="122"/>
    </row>
    <row r="17" spans="1:14" s="1" customFormat="1" ht="14.1" customHeight="1">
      <c r="A17" s="92">
        <v>8</v>
      </c>
      <c r="B17" s="51" t="s">
        <v>166</v>
      </c>
      <c r="C17" s="52"/>
      <c r="D17" s="59"/>
      <c r="E17" s="60"/>
      <c r="F17" s="60"/>
      <c r="G17" s="61"/>
      <c r="H17" s="58">
        <f>SUM(I17)-0.7</f>
        <v>9.6000000000000014</v>
      </c>
      <c r="I17" s="24">
        <f>SUM(J17)-0.7</f>
        <v>10.3</v>
      </c>
      <c r="J17" s="33">
        <v>11</v>
      </c>
      <c r="K17" s="24">
        <f>SUM(J17)+0.7</f>
        <v>11.7</v>
      </c>
      <c r="L17" s="24">
        <f>SUM(K17)+0.7</f>
        <v>12.399999999999999</v>
      </c>
      <c r="M17" s="58">
        <f>SUM(L17)+0.7</f>
        <v>13.099999999999998</v>
      </c>
      <c r="N17" s="121">
        <f>SUM(M17)+0.7</f>
        <v>13.799999999999997</v>
      </c>
    </row>
    <row r="18" spans="1:14" s="1" customFormat="1" ht="14.1" customHeight="1">
      <c r="A18" s="79"/>
      <c r="B18" s="62" t="s">
        <v>167</v>
      </c>
      <c r="C18" s="63"/>
      <c r="D18" s="89" t="s">
        <v>168</v>
      </c>
      <c r="E18" s="90"/>
      <c r="F18" s="90"/>
      <c r="G18" s="91"/>
      <c r="H18" s="56"/>
      <c r="I18" s="36"/>
      <c r="J18" s="35"/>
      <c r="K18" s="36"/>
      <c r="L18" s="36"/>
      <c r="M18" s="56"/>
      <c r="N18" s="122"/>
    </row>
    <row r="19" spans="1:14" s="1" customFormat="1" ht="14.1" customHeight="1">
      <c r="A19" s="92">
        <v>9</v>
      </c>
      <c r="B19" s="51" t="s">
        <v>178</v>
      </c>
      <c r="C19" s="52"/>
      <c r="D19" s="59"/>
      <c r="E19" s="60"/>
      <c r="F19" s="60"/>
      <c r="G19" s="61"/>
      <c r="H19" s="24">
        <f>SUM(I19)-0</f>
        <v>2.8</v>
      </c>
      <c r="I19" s="24">
        <f>SUM(J19)-0</f>
        <v>2.8</v>
      </c>
      <c r="J19" s="33">
        <v>2.8</v>
      </c>
      <c r="K19" s="24">
        <f>SUM(J19)+0.5</f>
        <v>3.3</v>
      </c>
      <c r="L19" s="24">
        <f>SUM(K19)+0</f>
        <v>3.3</v>
      </c>
      <c r="M19" s="24">
        <f>SUM(L19)+0</f>
        <v>3.3</v>
      </c>
      <c r="N19" s="121">
        <f>SUM(M19)+0</f>
        <v>3.3</v>
      </c>
    </row>
    <row r="20" spans="1:14" s="1" customFormat="1" ht="14.1" customHeight="1">
      <c r="A20" s="79"/>
      <c r="B20" s="62" t="s">
        <v>177</v>
      </c>
      <c r="C20" s="63"/>
      <c r="D20" s="89"/>
      <c r="E20" s="90"/>
      <c r="F20" s="90"/>
      <c r="G20" s="91"/>
      <c r="H20" s="36"/>
      <c r="I20" s="36"/>
      <c r="J20" s="35"/>
      <c r="K20" s="36"/>
      <c r="L20" s="36"/>
      <c r="M20" s="36"/>
      <c r="N20" s="122"/>
    </row>
    <row r="21" spans="1:14" s="1" customFormat="1" ht="14.1" customHeight="1">
      <c r="A21" s="92">
        <v>10</v>
      </c>
      <c r="B21" s="51" t="s">
        <v>9</v>
      </c>
      <c r="C21" s="52"/>
      <c r="D21" s="59" t="s">
        <v>84</v>
      </c>
      <c r="E21" s="60"/>
      <c r="F21" s="60"/>
      <c r="G21" s="61"/>
      <c r="H21" s="24">
        <f>SUM(I21)-7</f>
        <v>52</v>
      </c>
      <c r="I21" s="24">
        <f>SUM(J21)-7</f>
        <v>59</v>
      </c>
      <c r="J21" s="33">
        <v>66</v>
      </c>
      <c r="K21" s="24">
        <f>SUM(J21)+6</f>
        <v>72</v>
      </c>
      <c r="L21" s="24">
        <f>SUM(K21)+6</f>
        <v>78</v>
      </c>
      <c r="M21" s="24">
        <f>SUM(L21)+6</f>
        <v>84</v>
      </c>
      <c r="N21" s="121">
        <f>SUM(M21)+6</f>
        <v>90</v>
      </c>
    </row>
    <row r="22" spans="1:14" s="1" customFormat="1" ht="14.1" customHeight="1">
      <c r="A22" s="79"/>
      <c r="B22" s="62" t="s">
        <v>56</v>
      </c>
      <c r="C22" s="63"/>
      <c r="D22" s="64" t="s">
        <v>120</v>
      </c>
      <c r="E22" s="65"/>
      <c r="F22" s="65"/>
      <c r="G22" s="66"/>
      <c r="H22" s="36"/>
      <c r="I22" s="36"/>
      <c r="J22" s="35"/>
      <c r="K22" s="36"/>
      <c r="L22" s="36"/>
      <c r="M22" s="36"/>
      <c r="N22" s="122"/>
    </row>
    <row r="23" spans="1:14" s="1" customFormat="1" ht="14.1" customHeight="1">
      <c r="A23" s="92">
        <v>11</v>
      </c>
      <c r="B23" s="51" t="s">
        <v>16</v>
      </c>
      <c r="C23" s="52"/>
      <c r="D23" s="59" t="s">
        <v>17</v>
      </c>
      <c r="E23" s="60"/>
      <c r="F23" s="60"/>
      <c r="G23" s="61"/>
      <c r="H23" s="24">
        <f>SUM(I23)-2</f>
        <v>34</v>
      </c>
      <c r="I23" s="24">
        <f>SUM(J23)-2</f>
        <v>36</v>
      </c>
      <c r="J23" s="33">
        <v>38</v>
      </c>
      <c r="K23" s="24">
        <f>SUM(J23)+2</f>
        <v>40</v>
      </c>
      <c r="L23" s="24">
        <f>SUM(K23)+2</f>
        <v>42</v>
      </c>
      <c r="M23" s="24">
        <f>SUM(L23)+2</f>
        <v>44</v>
      </c>
      <c r="N23" s="26">
        <f>SUM(M23)+2</f>
        <v>46</v>
      </c>
    </row>
    <row r="24" spans="1:14" s="1" customFormat="1" ht="14.1" customHeight="1">
      <c r="A24" s="79"/>
      <c r="B24" s="62" t="s">
        <v>57</v>
      </c>
      <c r="C24" s="63"/>
      <c r="D24" s="47" t="s">
        <v>119</v>
      </c>
      <c r="E24" s="48"/>
      <c r="F24" s="48"/>
      <c r="G24" s="49"/>
      <c r="H24" s="36"/>
      <c r="I24" s="36"/>
      <c r="J24" s="35"/>
      <c r="K24" s="36"/>
      <c r="L24" s="36"/>
      <c r="M24" s="36"/>
      <c r="N24" s="37"/>
    </row>
    <row r="25" spans="1:14" s="1" customFormat="1" ht="14.1" customHeight="1">
      <c r="A25" s="92">
        <v>12</v>
      </c>
      <c r="B25" s="51" t="s">
        <v>18</v>
      </c>
      <c r="C25" s="52"/>
      <c r="D25" s="59" t="s">
        <v>15</v>
      </c>
      <c r="E25" s="60"/>
      <c r="F25" s="60"/>
      <c r="G25" s="61"/>
      <c r="H25" s="58">
        <f>SUM(I25)-1.1</f>
        <v>20.799999999999997</v>
      </c>
      <c r="I25" s="24">
        <f>SUM(J25)-1.1</f>
        <v>21.9</v>
      </c>
      <c r="J25" s="33">
        <v>23</v>
      </c>
      <c r="K25" s="24">
        <f>SUM(J25)+1.6</f>
        <v>24.6</v>
      </c>
      <c r="L25" s="24">
        <f>SUM(K25)+1.1</f>
        <v>25.700000000000003</v>
      </c>
      <c r="M25" s="58">
        <f>SUM(L25)+1.1</f>
        <v>26.800000000000004</v>
      </c>
      <c r="N25" s="121">
        <f>SUM(M25)+1.1</f>
        <v>27.900000000000006</v>
      </c>
    </row>
    <row r="26" spans="1:14" s="1" customFormat="1" ht="14.1" customHeight="1">
      <c r="A26" s="79"/>
      <c r="B26" s="62" t="s">
        <v>63</v>
      </c>
      <c r="C26" s="63"/>
      <c r="D26" s="64" t="s">
        <v>118</v>
      </c>
      <c r="E26" s="65"/>
      <c r="F26" s="65"/>
      <c r="G26" s="66"/>
      <c r="H26" s="56"/>
      <c r="I26" s="36"/>
      <c r="J26" s="35"/>
      <c r="K26" s="36"/>
      <c r="L26" s="36"/>
      <c r="M26" s="56"/>
      <c r="N26" s="122"/>
    </row>
    <row r="27" spans="1:14" s="1" customFormat="1" ht="14.1" customHeight="1">
      <c r="A27" s="92">
        <v>13</v>
      </c>
      <c r="B27" s="51" t="s">
        <v>19</v>
      </c>
      <c r="C27" s="52"/>
      <c r="D27" s="59" t="s">
        <v>15</v>
      </c>
      <c r="E27" s="60"/>
      <c r="F27" s="60"/>
      <c r="G27" s="61"/>
      <c r="H27" s="58">
        <f>SUM(I27)-1.3</f>
        <v>27.4</v>
      </c>
      <c r="I27" s="24">
        <f>SUM(J27)-1.3</f>
        <v>28.7</v>
      </c>
      <c r="J27" s="33">
        <v>30</v>
      </c>
      <c r="K27" s="24">
        <f>SUM(J27)+1.8</f>
        <v>31.8</v>
      </c>
      <c r="L27" s="24">
        <f>SUM(K27)+1.3</f>
        <v>33.1</v>
      </c>
      <c r="M27" s="58">
        <f>SUM(L27)+1.3</f>
        <v>34.4</v>
      </c>
      <c r="N27" s="121">
        <f>SUM(M27)+1.3</f>
        <v>35.699999999999996</v>
      </c>
    </row>
    <row r="28" spans="1:14" s="1" customFormat="1" ht="14.1" customHeight="1">
      <c r="A28" s="79"/>
      <c r="B28" s="62" t="s">
        <v>62</v>
      </c>
      <c r="C28" s="63"/>
      <c r="D28" s="64" t="s">
        <v>118</v>
      </c>
      <c r="E28" s="65"/>
      <c r="F28" s="65"/>
      <c r="G28" s="66"/>
      <c r="H28" s="56"/>
      <c r="I28" s="36"/>
      <c r="J28" s="35"/>
      <c r="K28" s="36"/>
      <c r="L28" s="36"/>
      <c r="M28" s="56"/>
      <c r="N28" s="122"/>
    </row>
    <row r="29" spans="1:14" s="1" customFormat="1" ht="14.1" customHeight="1">
      <c r="A29" s="92">
        <v>14</v>
      </c>
      <c r="B29" s="51" t="s">
        <v>20</v>
      </c>
      <c r="C29" s="52"/>
      <c r="D29" s="59" t="s">
        <v>21</v>
      </c>
      <c r="E29" s="60"/>
      <c r="F29" s="60"/>
      <c r="G29" s="61"/>
      <c r="H29" s="24"/>
      <c r="I29" s="24"/>
      <c r="J29" s="33"/>
      <c r="K29" s="24"/>
      <c r="L29" s="24"/>
      <c r="M29" s="24"/>
      <c r="N29" s="121"/>
    </row>
    <row r="30" spans="1:14" s="1" customFormat="1" ht="14.1" customHeight="1">
      <c r="A30" s="79"/>
      <c r="B30" s="62" t="s">
        <v>61</v>
      </c>
      <c r="C30" s="63"/>
      <c r="D30" s="64" t="s">
        <v>117</v>
      </c>
      <c r="E30" s="65"/>
      <c r="F30" s="65"/>
      <c r="G30" s="66"/>
      <c r="H30" s="36"/>
      <c r="I30" s="36"/>
      <c r="J30" s="35"/>
      <c r="K30" s="36"/>
      <c r="L30" s="36"/>
      <c r="M30" s="36"/>
      <c r="N30" s="122"/>
    </row>
    <row r="31" spans="1:14" s="1" customFormat="1" ht="14.1" customHeight="1">
      <c r="A31" s="92">
        <v>15</v>
      </c>
      <c r="B31" s="51" t="s">
        <v>22</v>
      </c>
      <c r="C31" s="52"/>
      <c r="D31" s="59" t="s">
        <v>23</v>
      </c>
      <c r="E31" s="60"/>
      <c r="F31" s="60"/>
      <c r="G31" s="61"/>
      <c r="H31" s="24"/>
      <c r="I31" s="24"/>
      <c r="J31" s="33"/>
      <c r="K31" s="24"/>
      <c r="L31" s="24"/>
      <c r="M31" s="24"/>
      <c r="N31" s="121"/>
    </row>
    <row r="32" spans="1:14" s="1" customFormat="1" ht="14.1" customHeight="1">
      <c r="A32" s="79"/>
      <c r="B32" s="62" t="s">
        <v>60</v>
      </c>
      <c r="C32" s="63"/>
      <c r="D32" s="64" t="s">
        <v>116</v>
      </c>
      <c r="E32" s="65"/>
      <c r="F32" s="65"/>
      <c r="G32" s="66"/>
      <c r="H32" s="36"/>
      <c r="I32" s="36"/>
      <c r="J32" s="35"/>
      <c r="K32" s="36"/>
      <c r="L32" s="36"/>
      <c r="M32" s="36"/>
      <c r="N32" s="122"/>
    </row>
    <row r="33" spans="1:14" s="1" customFormat="1" ht="14.1" customHeight="1">
      <c r="A33" s="92">
        <v>16</v>
      </c>
      <c r="B33" s="51" t="s">
        <v>115</v>
      </c>
      <c r="C33" s="52"/>
      <c r="D33" s="59" t="s">
        <v>113</v>
      </c>
      <c r="E33" s="60"/>
      <c r="F33" s="60"/>
      <c r="G33" s="61"/>
      <c r="H33" s="58"/>
      <c r="I33" s="24"/>
      <c r="J33" s="33"/>
      <c r="K33" s="24"/>
      <c r="L33" s="24"/>
      <c r="M33" s="58"/>
      <c r="N33" s="121"/>
    </row>
    <row r="34" spans="1:14" s="1" customFormat="1" ht="14.1" customHeight="1">
      <c r="A34" s="79"/>
      <c r="B34" s="62" t="s">
        <v>114</v>
      </c>
      <c r="C34" s="63"/>
      <c r="D34" s="64" t="s">
        <v>113</v>
      </c>
      <c r="E34" s="65"/>
      <c r="F34" s="65"/>
      <c r="G34" s="66"/>
      <c r="H34" s="56"/>
      <c r="I34" s="36"/>
      <c r="J34" s="35"/>
      <c r="K34" s="36"/>
      <c r="L34" s="36"/>
      <c r="M34" s="56"/>
      <c r="N34" s="122"/>
    </row>
    <row r="35" spans="1:14" s="1" customFormat="1" ht="14.1" customHeight="1">
      <c r="A35" s="92">
        <v>17</v>
      </c>
      <c r="B35" s="51" t="s">
        <v>112</v>
      </c>
      <c r="C35" s="52"/>
      <c r="D35" s="59" t="s">
        <v>111</v>
      </c>
      <c r="E35" s="60"/>
      <c r="F35" s="60"/>
      <c r="G35" s="61"/>
      <c r="H35" s="24"/>
      <c r="I35" s="24"/>
      <c r="J35" s="33"/>
      <c r="K35" s="24"/>
      <c r="L35" s="24"/>
      <c r="M35" s="24"/>
      <c r="N35" s="121"/>
    </row>
    <row r="36" spans="1:14" s="1" customFormat="1" ht="14.1" customHeight="1">
      <c r="A36" s="79"/>
      <c r="B36" s="62" t="s">
        <v>110</v>
      </c>
      <c r="C36" s="63"/>
      <c r="D36" s="64" t="s">
        <v>160</v>
      </c>
      <c r="E36" s="65"/>
      <c r="F36" s="65"/>
      <c r="G36" s="66"/>
      <c r="H36" s="36"/>
      <c r="I36" s="36"/>
      <c r="J36" s="35"/>
      <c r="K36" s="36"/>
      <c r="L36" s="36"/>
      <c r="M36" s="36"/>
      <c r="N36" s="122"/>
    </row>
    <row r="37" spans="1:14" s="1" customFormat="1" ht="14.1" customHeight="1">
      <c r="A37" s="92">
        <v>18</v>
      </c>
      <c r="B37" s="51" t="s">
        <v>144</v>
      </c>
      <c r="C37" s="52"/>
      <c r="D37" s="59" t="s">
        <v>24</v>
      </c>
      <c r="E37" s="60"/>
      <c r="F37" s="60"/>
      <c r="G37" s="61"/>
      <c r="H37" s="24">
        <f>SUM(I37)-0.5</f>
        <v>7</v>
      </c>
      <c r="I37" s="24">
        <f>SUM(J37)-0.5</f>
        <v>7.5</v>
      </c>
      <c r="J37" s="23">
        <v>8</v>
      </c>
      <c r="K37" s="21">
        <f>SUM(J37)+0.5</f>
        <v>8.5</v>
      </c>
      <c r="L37" s="21">
        <f>SUM(K37)+0.5</f>
        <v>9</v>
      </c>
      <c r="M37" s="133">
        <f>SUM(L37)+0.5</f>
        <v>9.5</v>
      </c>
      <c r="N37" s="123">
        <f>SUM(M37)+0.5</f>
        <v>10</v>
      </c>
    </row>
    <row r="38" spans="1:14" s="1" customFormat="1" ht="14.1" customHeight="1">
      <c r="A38" s="79"/>
      <c r="B38" s="62" t="s">
        <v>59</v>
      </c>
      <c r="C38" s="63"/>
      <c r="D38" s="64" t="s">
        <v>143</v>
      </c>
      <c r="E38" s="65"/>
      <c r="F38" s="65"/>
      <c r="G38" s="66"/>
      <c r="H38" s="36"/>
      <c r="I38" s="36"/>
      <c r="J38" s="23"/>
      <c r="K38" s="21"/>
      <c r="L38" s="21"/>
      <c r="M38" s="133"/>
      <c r="N38" s="123"/>
    </row>
    <row r="39" spans="1:14" s="1" customFormat="1" ht="14.1" customHeight="1">
      <c r="A39" s="92">
        <v>19</v>
      </c>
      <c r="B39" s="51" t="s">
        <v>142</v>
      </c>
      <c r="C39" s="52"/>
      <c r="D39" s="59" t="s">
        <v>25</v>
      </c>
      <c r="E39" s="60"/>
      <c r="F39" s="60"/>
      <c r="G39" s="61"/>
      <c r="H39" s="24">
        <f>SUM(I39)-0.3</f>
        <v>5.9</v>
      </c>
      <c r="I39" s="24">
        <f>SUM(J39)-0.3</f>
        <v>6.2</v>
      </c>
      <c r="J39" s="33">
        <v>6.5</v>
      </c>
      <c r="K39" s="24">
        <f>SUM(J39)+0.3</f>
        <v>6.8</v>
      </c>
      <c r="L39" s="24">
        <f>SUM(K39)+0.3</f>
        <v>7.1</v>
      </c>
      <c r="M39" s="24">
        <f>SUM(L39)+0.3</f>
        <v>7.3999999999999995</v>
      </c>
      <c r="N39" s="121">
        <f>SUM(M39)+0.3</f>
        <v>7.6999999999999993</v>
      </c>
    </row>
    <row r="40" spans="1:14" s="1" customFormat="1" ht="14.1" customHeight="1">
      <c r="A40" s="79"/>
      <c r="B40" s="62" t="s">
        <v>58</v>
      </c>
      <c r="C40" s="63"/>
      <c r="D40" s="64" t="s">
        <v>141</v>
      </c>
      <c r="E40" s="65"/>
      <c r="F40" s="65"/>
      <c r="G40" s="66"/>
      <c r="H40" s="36"/>
      <c r="I40" s="36"/>
      <c r="J40" s="35"/>
      <c r="K40" s="36"/>
      <c r="L40" s="36"/>
      <c r="M40" s="36"/>
      <c r="N40" s="122"/>
    </row>
    <row r="41" spans="1:14" s="1" customFormat="1" ht="14.1" customHeight="1">
      <c r="A41" s="92">
        <v>20</v>
      </c>
      <c r="B41" s="51" t="s">
        <v>140</v>
      </c>
      <c r="C41" s="52"/>
      <c r="D41" s="57"/>
      <c r="E41" s="57"/>
      <c r="F41" s="57"/>
      <c r="G41" s="57"/>
      <c r="H41" s="24">
        <f>SUM(I41)-0.5</f>
        <v>11</v>
      </c>
      <c r="I41" s="24">
        <f>SUM(J41)-0.5</f>
        <v>11.5</v>
      </c>
      <c r="J41" s="33">
        <v>12</v>
      </c>
      <c r="K41" s="24">
        <f>SUM(J41)+0.5</f>
        <v>12.5</v>
      </c>
      <c r="L41" s="24">
        <f>SUM(K41)+0.5</f>
        <v>13</v>
      </c>
      <c r="M41" s="24">
        <f>SUM(L41)+0.5</f>
        <v>13.5</v>
      </c>
      <c r="N41" s="121">
        <f>SUM(M41)+0.5</f>
        <v>14</v>
      </c>
    </row>
    <row r="42" spans="1:14" s="1" customFormat="1" ht="14.1" customHeight="1">
      <c r="A42" s="79"/>
      <c r="B42" s="45" t="s">
        <v>139</v>
      </c>
      <c r="C42" s="46"/>
      <c r="D42" s="47"/>
      <c r="E42" s="48"/>
      <c r="F42" s="48"/>
      <c r="G42" s="49"/>
      <c r="H42" s="36"/>
      <c r="I42" s="36"/>
      <c r="J42" s="35"/>
      <c r="K42" s="36"/>
      <c r="L42" s="36"/>
      <c r="M42" s="36"/>
      <c r="N42" s="122"/>
    </row>
    <row r="43" spans="1:14" s="1" customFormat="1" ht="14.1" customHeight="1">
      <c r="A43" s="92">
        <v>21</v>
      </c>
      <c r="B43" s="51" t="s">
        <v>138</v>
      </c>
      <c r="C43" s="52"/>
      <c r="D43" s="57"/>
      <c r="E43" s="57"/>
      <c r="F43" s="57"/>
      <c r="G43" s="57"/>
      <c r="H43" s="24">
        <f>SUM(I43)-0.5</f>
        <v>11</v>
      </c>
      <c r="I43" s="24">
        <f>SUM(J43)-0.5</f>
        <v>11.5</v>
      </c>
      <c r="J43" s="33">
        <v>12</v>
      </c>
      <c r="K43" s="24">
        <f>SUM(J43)+0.5</f>
        <v>12.5</v>
      </c>
      <c r="L43" s="24">
        <f>SUM(K43)+0.5</f>
        <v>13</v>
      </c>
      <c r="M43" s="24">
        <f>SUM(L43)+0.5</f>
        <v>13.5</v>
      </c>
      <c r="N43" s="26">
        <f>SUM(M43)+0.5</f>
        <v>14</v>
      </c>
    </row>
    <row r="44" spans="1:14" s="1" customFormat="1" ht="14.1" customHeight="1" thickBot="1">
      <c r="A44" s="99"/>
      <c r="B44" s="110" t="s">
        <v>137</v>
      </c>
      <c r="C44" s="110"/>
      <c r="D44" s="30"/>
      <c r="E44" s="31"/>
      <c r="F44" s="31"/>
      <c r="G44" s="32"/>
      <c r="H44" s="25"/>
      <c r="I44" s="25"/>
      <c r="J44" s="34"/>
      <c r="K44" s="25"/>
      <c r="L44" s="25"/>
      <c r="M44" s="25"/>
      <c r="N44" s="27"/>
    </row>
    <row r="45" spans="1:14" s="1" customFormat="1" ht="14.1" customHeight="1"/>
    <row r="46" spans="1:14" s="1" customFormat="1" ht="14.1" customHeight="1"/>
    <row r="47" spans="1:14" s="1" customFormat="1" ht="14.1" customHeight="1"/>
    <row r="48" spans="1:14" s="1" customFormat="1" ht="14.1" customHeight="1"/>
    <row r="49" s="1" customFormat="1" ht="14.1" customHeight="1"/>
    <row r="50" s="1" customFormat="1" ht="14.1" customHeight="1"/>
    <row r="51" s="1" customFormat="1" ht="14.1" customHeight="1"/>
    <row r="52" s="1" customFormat="1" ht="14.1" customHeight="1"/>
  </sheetData>
  <mergeCells count="255"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443E5-A6F7-4A0C-8603-2A578858EACA}">
  <sheetPr>
    <tabColor rgb="FF00B050"/>
    <pageSetUpPr fitToPage="1"/>
  </sheetPr>
  <dimension ref="A1:P52"/>
  <sheetViews>
    <sheetView topLeftCell="A7" zoomScale="110" zoomScaleNormal="110" workbookViewId="0">
      <selection activeCell="R15" sqref="R15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67" t="s">
        <v>901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9"/>
    </row>
    <row r="2" spans="1:16" ht="16.5" customHeight="1" thickBot="1">
      <c r="A2" s="2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  <c r="N2" s="7" t="s">
        <v>229</v>
      </c>
    </row>
    <row r="3" spans="1:16" s="1" customFormat="1" ht="14.1" customHeight="1">
      <c r="A3" s="78">
        <v>1</v>
      </c>
      <c r="B3" s="80" t="s">
        <v>149</v>
      </c>
      <c r="C3" s="81"/>
      <c r="D3" s="74" t="s">
        <v>82</v>
      </c>
      <c r="E3" s="82"/>
      <c r="F3" s="82"/>
      <c r="G3" s="83"/>
      <c r="H3" s="58">
        <f>SUM(I3)-3</f>
        <v>45</v>
      </c>
      <c r="I3" s="24">
        <f>SUM(J3)-3</f>
        <v>48</v>
      </c>
      <c r="J3" s="84">
        <v>51</v>
      </c>
      <c r="K3" s="85">
        <f>SUM(J3)+3</f>
        <v>54</v>
      </c>
      <c r="L3" s="85">
        <f>SUM(K3)+3</f>
        <v>57</v>
      </c>
      <c r="M3" s="85">
        <f>SUM(L3)+3</f>
        <v>60</v>
      </c>
      <c r="N3" s="131">
        <f>SUM(M3)+3</f>
        <v>63</v>
      </c>
    </row>
    <row r="4" spans="1:16" s="1" customFormat="1" ht="14.1" customHeight="1">
      <c r="A4" s="79"/>
      <c r="B4" s="62" t="s">
        <v>108</v>
      </c>
      <c r="C4" s="63"/>
      <c r="D4" s="64" t="s">
        <v>83</v>
      </c>
      <c r="E4" s="65"/>
      <c r="F4" s="65"/>
      <c r="G4" s="66"/>
      <c r="H4" s="56"/>
      <c r="I4" s="36"/>
      <c r="J4" s="35"/>
      <c r="K4" s="36"/>
      <c r="L4" s="36"/>
      <c r="M4" s="36"/>
      <c r="N4" s="122"/>
    </row>
    <row r="5" spans="1:16" s="1" customFormat="1" ht="14.1" customHeight="1">
      <c r="A5" s="92">
        <v>2</v>
      </c>
      <c r="B5" s="40" t="s">
        <v>165</v>
      </c>
      <c r="C5" s="41"/>
      <c r="D5" s="100"/>
      <c r="E5" s="101"/>
      <c r="F5" s="101"/>
      <c r="G5" s="102"/>
      <c r="H5" s="58"/>
      <c r="I5" s="24"/>
      <c r="J5" s="117"/>
      <c r="K5" s="50"/>
      <c r="L5" s="50"/>
      <c r="M5" s="50"/>
      <c r="N5" s="127"/>
    </row>
    <row r="6" spans="1:16" s="1" customFormat="1" ht="14.1" customHeight="1">
      <c r="A6" s="79"/>
      <c r="B6" s="62" t="s">
        <v>164</v>
      </c>
      <c r="C6" s="63"/>
      <c r="D6" s="64"/>
      <c r="E6" s="65"/>
      <c r="F6" s="65"/>
      <c r="G6" s="66"/>
      <c r="H6" s="56"/>
      <c r="I6" s="36"/>
      <c r="J6" s="35"/>
      <c r="K6" s="36"/>
      <c r="L6" s="36"/>
      <c r="M6" s="36"/>
      <c r="N6" s="122"/>
    </row>
    <row r="7" spans="1:16" s="1" customFormat="1" ht="14.1" customHeight="1">
      <c r="A7" s="92">
        <v>3</v>
      </c>
      <c r="B7" s="40" t="s">
        <v>148</v>
      </c>
      <c r="C7" s="41"/>
      <c r="D7" s="100"/>
      <c r="E7" s="101"/>
      <c r="F7" s="101"/>
      <c r="G7" s="102"/>
      <c r="H7" s="58"/>
      <c r="I7" s="24"/>
      <c r="J7" s="117"/>
      <c r="K7" s="50"/>
      <c r="L7" s="50"/>
      <c r="M7" s="50"/>
      <c r="N7" s="127"/>
    </row>
    <row r="8" spans="1:16" s="1" customFormat="1" ht="14.1" customHeight="1">
      <c r="A8" s="79"/>
      <c r="B8" s="62" t="s">
        <v>147</v>
      </c>
      <c r="C8" s="63"/>
      <c r="D8" s="64"/>
      <c r="E8" s="65"/>
      <c r="F8" s="65"/>
      <c r="G8" s="66"/>
      <c r="H8" s="56"/>
      <c r="I8" s="36"/>
      <c r="J8" s="35"/>
      <c r="K8" s="36"/>
      <c r="L8" s="36"/>
      <c r="M8" s="36"/>
      <c r="N8" s="122"/>
    </row>
    <row r="9" spans="1:16" s="1" customFormat="1" ht="14.1" customHeight="1">
      <c r="A9" s="92">
        <v>4</v>
      </c>
      <c r="B9" s="51" t="s">
        <v>163</v>
      </c>
      <c r="C9" s="52"/>
      <c r="D9" s="118"/>
      <c r="E9" s="119"/>
      <c r="F9" s="119"/>
      <c r="G9" s="120"/>
      <c r="H9" s="24">
        <f>SUM(I9)-2.2</f>
        <v>37.599999999999994</v>
      </c>
      <c r="I9" s="24">
        <f>SUM(J9)-2.2</f>
        <v>39.799999999999997</v>
      </c>
      <c r="J9" s="117">
        <v>42</v>
      </c>
      <c r="K9" s="50">
        <f>SUM(J9)+2.2</f>
        <v>44.2</v>
      </c>
      <c r="L9" s="50">
        <f>SUM(K9)+2.2</f>
        <v>46.400000000000006</v>
      </c>
      <c r="M9" s="24">
        <f>SUM(L9)+2.2</f>
        <v>48.600000000000009</v>
      </c>
      <c r="N9" s="26">
        <f>SUM(M9)+2.2</f>
        <v>50.800000000000011</v>
      </c>
    </row>
    <row r="10" spans="1:16" s="1" customFormat="1" ht="14.1" customHeight="1">
      <c r="A10" s="79"/>
      <c r="B10" s="62" t="s">
        <v>162</v>
      </c>
      <c r="C10" s="63"/>
      <c r="D10" s="114"/>
      <c r="E10" s="115"/>
      <c r="F10" s="115"/>
      <c r="G10" s="116"/>
      <c r="H10" s="36"/>
      <c r="I10" s="36"/>
      <c r="J10" s="35"/>
      <c r="K10" s="36"/>
      <c r="L10" s="36"/>
      <c r="M10" s="36"/>
      <c r="N10" s="37"/>
    </row>
    <row r="11" spans="1:16" s="1" customFormat="1" ht="14.1" customHeight="1">
      <c r="A11" s="92">
        <v>5</v>
      </c>
      <c r="B11" s="51" t="s">
        <v>157</v>
      </c>
      <c r="C11" s="52"/>
      <c r="D11" s="100"/>
      <c r="E11" s="101"/>
      <c r="F11" s="101"/>
      <c r="G11" s="102"/>
      <c r="H11" s="58">
        <f>SUM(I11)-4.5</f>
        <v>61</v>
      </c>
      <c r="I11" s="24">
        <f>SUM(J11)-4.5</f>
        <v>65.5</v>
      </c>
      <c r="J11" s="117">
        <v>70</v>
      </c>
      <c r="K11" s="50">
        <f>SUM(J11)+4.5</f>
        <v>74.5</v>
      </c>
      <c r="L11" s="50">
        <f>SUM(K11)+4.5</f>
        <v>79</v>
      </c>
      <c r="M11" s="50">
        <f>SUM(L11)+4.5</f>
        <v>83.5</v>
      </c>
      <c r="N11" s="127">
        <f>SUM(M11)+4.5</f>
        <v>88</v>
      </c>
    </row>
    <row r="12" spans="1:16" s="1" customFormat="1" ht="14.1" customHeight="1">
      <c r="A12" s="79"/>
      <c r="B12" s="62" t="s">
        <v>158</v>
      </c>
      <c r="C12" s="63"/>
      <c r="D12" s="64"/>
      <c r="E12" s="65"/>
      <c r="F12" s="65"/>
      <c r="G12" s="66"/>
      <c r="H12" s="56"/>
      <c r="I12" s="36"/>
      <c r="J12" s="35"/>
      <c r="K12" s="36"/>
      <c r="L12" s="36"/>
      <c r="M12" s="36"/>
      <c r="N12" s="122"/>
    </row>
    <row r="13" spans="1:16" s="1" customFormat="1" ht="14.1" customHeight="1">
      <c r="A13" s="92">
        <v>6</v>
      </c>
      <c r="B13" s="51" t="s">
        <v>13</v>
      </c>
      <c r="C13" s="52"/>
      <c r="D13" s="59" t="s">
        <v>182</v>
      </c>
      <c r="E13" s="60"/>
      <c r="F13" s="60"/>
      <c r="G13" s="61"/>
      <c r="H13" s="58">
        <f>SUM(I13)-5</f>
        <v>66</v>
      </c>
      <c r="I13" s="24">
        <f>SUM(J13)-5</f>
        <v>71</v>
      </c>
      <c r="J13" s="33">
        <v>76</v>
      </c>
      <c r="K13" s="24">
        <f>SUM(J13)+5</f>
        <v>81</v>
      </c>
      <c r="L13" s="24">
        <f>SUM(K13)+5</f>
        <v>86</v>
      </c>
      <c r="M13" s="24">
        <f>SUM(L13)+5</f>
        <v>91</v>
      </c>
      <c r="N13" s="121">
        <f>SUM(M13)+5</f>
        <v>96</v>
      </c>
    </row>
    <row r="14" spans="1:16" s="1" customFormat="1" ht="14.1" customHeight="1">
      <c r="A14" s="79"/>
      <c r="B14" s="62" t="s">
        <v>55</v>
      </c>
      <c r="C14" s="63"/>
      <c r="D14" s="64" t="s">
        <v>121</v>
      </c>
      <c r="E14" s="65"/>
      <c r="F14" s="65"/>
      <c r="G14" s="66"/>
      <c r="H14" s="56"/>
      <c r="I14" s="36"/>
      <c r="J14" s="35"/>
      <c r="K14" s="36"/>
      <c r="L14" s="36"/>
      <c r="M14" s="36"/>
      <c r="N14" s="122"/>
      <c r="P14" s="1" t="s">
        <v>419</v>
      </c>
    </row>
    <row r="15" spans="1:16" s="1" customFormat="1" ht="14.1" customHeight="1">
      <c r="A15" s="92">
        <v>7</v>
      </c>
      <c r="B15" s="51" t="s">
        <v>146</v>
      </c>
      <c r="C15" s="52"/>
      <c r="D15" s="59"/>
      <c r="E15" s="60"/>
      <c r="F15" s="60"/>
      <c r="G15" s="61"/>
      <c r="H15" s="58">
        <f>SUM(I15)-0.7</f>
        <v>9.6000000000000014</v>
      </c>
      <c r="I15" s="24">
        <f>SUM(J15)-0.7</f>
        <v>10.3</v>
      </c>
      <c r="J15" s="33">
        <v>11</v>
      </c>
      <c r="K15" s="24">
        <f>SUM(J15)+0.7</f>
        <v>11.7</v>
      </c>
      <c r="L15" s="24">
        <f>SUM(K15)+0.7</f>
        <v>12.399999999999999</v>
      </c>
      <c r="M15" s="58">
        <f>SUM(L15)+0.7</f>
        <v>13.099999999999998</v>
      </c>
      <c r="N15" s="121">
        <f>SUM(M15)+0.7</f>
        <v>13.799999999999997</v>
      </c>
    </row>
    <row r="16" spans="1:16" s="1" customFormat="1" ht="14.1" customHeight="1">
      <c r="A16" s="79"/>
      <c r="B16" s="62" t="s">
        <v>145</v>
      </c>
      <c r="C16" s="63"/>
      <c r="D16" s="89" t="s">
        <v>179</v>
      </c>
      <c r="E16" s="90"/>
      <c r="F16" s="90"/>
      <c r="G16" s="91"/>
      <c r="H16" s="56"/>
      <c r="I16" s="36"/>
      <c r="J16" s="35"/>
      <c r="K16" s="36"/>
      <c r="L16" s="36"/>
      <c r="M16" s="56"/>
      <c r="N16" s="122"/>
    </row>
    <row r="17" spans="1:14" s="1" customFormat="1" ht="14.1" customHeight="1">
      <c r="A17" s="92">
        <v>8</v>
      </c>
      <c r="B17" s="51" t="s">
        <v>166</v>
      </c>
      <c r="C17" s="52"/>
      <c r="D17" s="59"/>
      <c r="E17" s="60"/>
      <c r="F17" s="60"/>
      <c r="G17" s="61"/>
      <c r="H17" s="58">
        <f>SUM(I17)-0.7</f>
        <v>9.6000000000000014</v>
      </c>
      <c r="I17" s="24">
        <f>SUM(J17)-0.7</f>
        <v>10.3</v>
      </c>
      <c r="J17" s="33">
        <v>11</v>
      </c>
      <c r="K17" s="24">
        <f>SUM(J17)+0.7</f>
        <v>11.7</v>
      </c>
      <c r="L17" s="24">
        <f>SUM(K17)+0.7</f>
        <v>12.399999999999999</v>
      </c>
      <c r="M17" s="58">
        <f>SUM(L17)+0.7</f>
        <v>13.099999999999998</v>
      </c>
      <c r="N17" s="121">
        <f>SUM(M17)+0.7</f>
        <v>13.799999999999997</v>
      </c>
    </row>
    <row r="18" spans="1:14" s="1" customFormat="1" ht="14.1" customHeight="1">
      <c r="A18" s="79"/>
      <c r="B18" s="62" t="s">
        <v>167</v>
      </c>
      <c r="C18" s="63"/>
      <c r="D18" s="89" t="s">
        <v>168</v>
      </c>
      <c r="E18" s="90"/>
      <c r="F18" s="90"/>
      <c r="G18" s="91"/>
      <c r="H18" s="56"/>
      <c r="I18" s="36"/>
      <c r="J18" s="35"/>
      <c r="K18" s="36"/>
      <c r="L18" s="36"/>
      <c r="M18" s="56"/>
      <c r="N18" s="122"/>
    </row>
    <row r="19" spans="1:14" s="1" customFormat="1" ht="14.1" customHeight="1">
      <c r="A19" s="92">
        <v>9</v>
      </c>
      <c r="B19" s="51" t="s">
        <v>178</v>
      </c>
      <c r="C19" s="52"/>
      <c r="D19" s="59"/>
      <c r="E19" s="60"/>
      <c r="F19" s="60"/>
      <c r="G19" s="61"/>
      <c r="H19" s="24">
        <f>SUM(I19)-0</f>
        <v>2.8</v>
      </c>
      <c r="I19" s="24">
        <f>SUM(J19)-0</f>
        <v>2.8</v>
      </c>
      <c r="J19" s="33">
        <v>2.8</v>
      </c>
      <c r="K19" s="24">
        <f>SUM(J19)+0.5</f>
        <v>3.3</v>
      </c>
      <c r="L19" s="24">
        <f>SUM(K19)+0</f>
        <v>3.3</v>
      </c>
      <c r="M19" s="24">
        <f>SUM(L19)+0</f>
        <v>3.3</v>
      </c>
      <c r="N19" s="121">
        <f>SUM(M19)+0</f>
        <v>3.3</v>
      </c>
    </row>
    <row r="20" spans="1:14" s="1" customFormat="1" ht="14.1" customHeight="1">
      <c r="A20" s="79"/>
      <c r="B20" s="62" t="s">
        <v>177</v>
      </c>
      <c r="C20" s="63"/>
      <c r="D20" s="89"/>
      <c r="E20" s="90"/>
      <c r="F20" s="90"/>
      <c r="G20" s="91"/>
      <c r="H20" s="36"/>
      <c r="I20" s="36"/>
      <c r="J20" s="35"/>
      <c r="K20" s="36"/>
      <c r="L20" s="36"/>
      <c r="M20" s="36"/>
      <c r="N20" s="122"/>
    </row>
    <row r="21" spans="1:14" s="1" customFormat="1" ht="14.1" customHeight="1">
      <c r="A21" s="92">
        <v>10</v>
      </c>
      <c r="B21" s="51" t="s">
        <v>9</v>
      </c>
      <c r="C21" s="52"/>
      <c r="D21" s="59" t="s">
        <v>84</v>
      </c>
      <c r="E21" s="60"/>
      <c r="F21" s="60"/>
      <c r="G21" s="61"/>
      <c r="H21" s="24">
        <f>SUM(I21)-7</f>
        <v>52</v>
      </c>
      <c r="I21" s="24">
        <f>SUM(J21)-7</f>
        <v>59</v>
      </c>
      <c r="J21" s="33">
        <v>66</v>
      </c>
      <c r="K21" s="24">
        <f>SUM(J21)+6</f>
        <v>72</v>
      </c>
      <c r="L21" s="24">
        <f>SUM(K21)+6</f>
        <v>78</v>
      </c>
      <c r="M21" s="24">
        <f>SUM(L21)+6</f>
        <v>84</v>
      </c>
      <c r="N21" s="121">
        <f>SUM(M21)+6</f>
        <v>90</v>
      </c>
    </row>
    <row r="22" spans="1:14" s="1" customFormat="1" ht="14.1" customHeight="1">
      <c r="A22" s="79"/>
      <c r="B22" s="62" t="s">
        <v>56</v>
      </c>
      <c r="C22" s="63"/>
      <c r="D22" s="64" t="s">
        <v>120</v>
      </c>
      <c r="E22" s="65"/>
      <c r="F22" s="65"/>
      <c r="G22" s="66"/>
      <c r="H22" s="36"/>
      <c r="I22" s="36"/>
      <c r="J22" s="35"/>
      <c r="K22" s="36"/>
      <c r="L22" s="36"/>
      <c r="M22" s="36"/>
      <c r="N22" s="122"/>
    </row>
    <row r="23" spans="1:14" s="1" customFormat="1" ht="14.1" customHeight="1">
      <c r="A23" s="92">
        <v>11</v>
      </c>
      <c r="B23" s="51" t="s">
        <v>16</v>
      </c>
      <c r="C23" s="52"/>
      <c r="D23" s="59" t="s">
        <v>17</v>
      </c>
      <c r="E23" s="60"/>
      <c r="F23" s="60"/>
      <c r="G23" s="61"/>
      <c r="H23" s="24">
        <f>SUM(I23)-2.2</f>
        <v>36.599999999999994</v>
      </c>
      <c r="I23" s="24">
        <f>SUM(J23)-2.2</f>
        <v>38.799999999999997</v>
      </c>
      <c r="J23" s="33">
        <v>41</v>
      </c>
      <c r="K23" s="24">
        <f>SUM(J23)+2.2</f>
        <v>43.2</v>
      </c>
      <c r="L23" s="24">
        <f>SUM(K23)+2.2</f>
        <v>45.400000000000006</v>
      </c>
      <c r="M23" s="24">
        <f>SUM(L23)+2.2</f>
        <v>47.600000000000009</v>
      </c>
      <c r="N23" s="26">
        <f>SUM(M23)+2.2</f>
        <v>49.800000000000011</v>
      </c>
    </row>
    <row r="24" spans="1:14" s="1" customFormat="1" ht="14.1" customHeight="1">
      <c r="A24" s="79"/>
      <c r="B24" s="62" t="s">
        <v>57</v>
      </c>
      <c r="C24" s="63"/>
      <c r="D24" s="47" t="s">
        <v>119</v>
      </c>
      <c r="E24" s="48"/>
      <c r="F24" s="48"/>
      <c r="G24" s="49"/>
      <c r="H24" s="36"/>
      <c r="I24" s="36"/>
      <c r="J24" s="35"/>
      <c r="K24" s="36"/>
      <c r="L24" s="36"/>
      <c r="M24" s="36"/>
      <c r="N24" s="37"/>
    </row>
    <row r="25" spans="1:14" s="1" customFormat="1" ht="14.1" customHeight="1">
      <c r="A25" s="92">
        <v>12</v>
      </c>
      <c r="B25" s="51" t="s">
        <v>18</v>
      </c>
      <c r="C25" s="52"/>
      <c r="D25" s="59" t="s">
        <v>15</v>
      </c>
      <c r="E25" s="60"/>
      <c r="F25" s="60"/>
      <c r="G25" s="61"/>
      <c r="H25" s="58">
        <f>SUM(I25)-1.1</f>
        <v>20.799999999999997</v>
      </c>
      <c r="I25" s="24">
        <f>SUM(J25)-1.1</f>
        <v>21.9</v>
      </c>
      <c r="J25" s="33">
        <v>23</v>
      </c>
      <c r="K25" s="24">
        <f>SUM(J25)+1.6</f>
        <v>24.6</v>
      </c>
      <c r="L25" s="24">
        <f>SUM(K25)+1.1</f>
        <v>25.700000000000003</v>
      </c>
      <c r="M25" s="58">
        <f>SUM(L25)+1.1</f>
        <v>26.800000000000004</v>
      </c>
      <c r="N25" s="121">
        <f>SUM(M25)+1.1</f>
        <v>27.900000000000006</v>
      </c>
    </row>
    <row r="26" spans="1:14" s="1" customFormat="1" ht="14.1" customHeight="1">
      <c r="A26" s="79"/>
      <c r="B26" s="62" t="s">
        <v>63</v>
      </c>
      <c r="C26" s="63"/>
      <c r="D26" s="64" t="s">
        <v>118</v>
      </c>
      <c r="E26" s="65"/>
      <c r="F26" s="65"/>
      <c r="G26" s="66"/>
      <c r="H26" s="56"/>
      <c r="I26" s="36"/>
      <c r="J26" s="35"/>
      <c r="K26" s="36"/>
      <c r="L26" s="36"/>
      <c r="M26" s="56"/>
      <c r="N26" s="122"/>
    </row>
    <row r="27" spans="1:14" s="1" customFormat="1" ht="14.1" customHeight="1">
      <c r="A27" s="92">
        <v>13</v>
      </c>
      <c r="B27" s="51" t="s">
        <v>19</v>
      </c>
      <c r="C27" s="52"/>
      <c r="D27" s="59" t="s">
        <v>15</v>
      </c>
      <c r="E27" s="60"/>
      <c r="F27" s="60"/>
      <c r="G27" s="61"/>
      <c r="H27" s="58">
        <f>SUM(I27)-1.3</f>
        <v>27.9</v>
      </c>
      <c r="I27" s="24">
        <f>SUM(J27)-1.3</f>
        <v>29.2</v>
      </c>
      <c r="J27" s="33">
        <v>30.5</v>
      </c>
      <c r="K27" s="24">
        <f>SUM(J27)+1.8</f>
        <v>32.299999999999997</v>
      </c>
      <c r="L27" s="24">
        <f>SUM(K27)+1.3</f>
        <v>33.599999999999994</v>
      </c>
      <c r="M27" s="58">
        <f>SUM(L27)+1.3</f>
        <v>34.899999999999991</v>
      </c>
      <c r="N27" s="121">
        <f>SUM(M27)+1.3</f>
        <v>36.199999999999989</v>
      </c>
    </row>
    <row r="28" spans="1:14" s="1" customFormat="1" ht="14.1" customHeight="1">
      <c r="A28" s="79"/>
      <c r="B28" s="62" t="s">
        <v>62</v>
      </c>
      <c r="C28" s="63"/>
      <c r="D28" s="64" t="s">
        <v>118</v>
      </c>
      <c r="E28" s="65"/>
      <c r="F28" s="65"/>
      <c r="G28" s="66"/>
      <c r="H28" s="56"/>
      <c r="I28" s="36"/>
      <c r="J28" s="35"/>
      <c r="K28" s="36"/>
      <c r="L28" s="36"/>
      <c r="M28" s="56"/>
      <c r="N28" s="122"/>
    </row>
    <row r="29" spans="1:14" s="1" customFormat="1" ht="14.1" customHeight="1">
      <c r="A29" s="92">
        <v>14</v>
      </c>
      <c r="B29" s="51" t="s">
        <v>20</v>
      </c>
      <c r="C29" s="52"/>
      <c r="D29" s="59" t="s">
        <v>21</v>
      </c>
      <c r="E29" s="60"/>
      <c r="F29" s="60"/>
      <c r="G29" s="61"/>
      <c r="H29" s="24"/>
      <c r="I29" s="24"/>
      <c r="J29" s="33"/>
      <c r="K29" s="24"/>
      <c r="L29" s="24"/>
      <c r="M29" s="24"/>
      <c r="N29" s="121"/>
    </row>
    <row r="30" spans="1:14" s="1" customFormat="1" ht="14.1" customHeight="1">
      <c r="A30" s="79"/>
      <c r="B30" s="62" t="s">
        <v>61</v>
      </c>
      <c r="C30" s="63"/>
      <c r="D30" s="64" t="s">
        <v>117</v>
      </c>
      <c r="E30" s="65"/>
      <c r="F30" s="65"/>
      <c r="G30" s="66"/>
      <c r="H30" s="36"/>
      <c r="I30" s="36"/>
      <c r="J30" s="35"/>
      <c r="K30" s="36"/>
      <c r="L30" s="36"/>
      <c r="M30" s="36"/>
      <c r="N30" s="122"/>
    </row>
    <row r="31" spans="1:14" s="1" customFormat="1" ht="14.1" customHeight="1">
      <c r="A31" s="92">
        <v>15</v>
      </c>
      <c r="B31" s="51" t="s">
        <v>22</v>
      </c>
      <c r="C31" s="52"/>
      <c r="D31" s="59" t="s">
        <v>23</v>
      </c>
      <c r="E31" s="60"/>
      <c r="F31" s="60"/>
      <c r="G31" s="61"/>
      <c r="H31" s="24"/>
      <c r="I31" s="24"/>
      <c r="J31" s="33"/>
      <c r="K31" s="24"/>
      <c r="L31" s="24"/>
      <c r="M31" s="24"/>
      <c r="N31" s="121"/>
    </row>
    <row r="32" spans="1:14" s="1" customFormat="1" ht="14.1" customHeight="1">
      <c r="A32" s="79"/>
      <c r="B32" s="62" t="s">
        <v>60</v>
      </c>
      <c r="C32" s="63"/>
      <c r="D32" s="64" t="s">
        <v>116</v>
      </c>
      <c r="E32" s="65"/>
      <c r="F32" s="65"/>
      <c r="G32" s="66"/>
      <c r="H32" s="36"/>
      <c r="I32" s="36"/>
      <c r="J32" s="35"/>
      <c r="K32" s="36"/>
      <c r="L32" s="36"/>
      <c r="M32" s="36"/>
      <c r="N32" s="122"/>
    </row>
    <row r="33" spans="1:14" s="1" customFormat="1" ht="14.1" customHeight="1">
      <c r="A33" s="92">
        <v>16</v>
      </c>
      <c r="B33" s="51" t="s">
        <v>115</v>
      </c>
      <c r="C33" s="52"/>
      <c r="D33" s="59" t="s">
        <v>113</v>
      </c>
      <c r="E33" s="60"/>
      <c r="F33" s="60"/>
      <c r="G33" s="61"/>
      <c r="H33" s="58"/>
      <c r="I33" s="24"/>
      <c r="J33" s="33"/>
      <c r="K33" s="24"/>
      <c r="L33" s="24"/>
      <c r="M33" s="58"/>
      <c r="N33" s="121"/>
    </row>
    <row r="34" spans="1:14" s="1" customFormat="1" ht="14.1" customHeight="1">
      <c r="A34" s="79"/>
      <c r="B34" s="62" t="s">
        <v>114</v>
      </c>
      <c r="C34" s="63"/>
      <c r="D34" s="64" t="s">
        <v>113</v>
      </c>
      <c r="E34" s="65"/>
      <c r="F34" s="65"/>
      <c r="G34" s="66"/>
      <c r="H34" s="56"/>
      <c r="I34" s="36"/>
      <c r="J34" s="35"/>
      <c r="K34" s="36"/>
      <c r="L34" s="36"/>
      <c r="M34" s="56"/>
      <c r="N34" s="122"/>
    </row>
    <row r="35" spans="1:14" s="1" customFormat="1" ht="14.1" customHeight="1">
      <c r="A35" s="92">
        <v>17</v>
      </c>
      <c r="B35" s="51" t="s">
        <v>112</v>
      </c>
      <c r="C35" s="52"/>
      <c r="D35" s="59" t="s">
        <v>111</v>
      </c>
      <c r="E35" s="60"/>
      <c r="F35" s="60"/>
      <c r="G35" s="61"/>
      <c r="H35" s="24"/>
      <c r="I35" s="24"/>
      <c r="J35" s="33"/>
      <c r="K35" s="24"/>
      <c r="L35" s="24"/>
      <c r="M35" s="24"/>
      <c r="N35" s="121"/>
    </row>
    <row r="36" spans="1:14" s="1" customFormat="1" ht="14.1" customHeight="1">
      <c r="A36" s="79"/>
      <c r="B36" s="62" t="s">
        <v>110</v>
      </c>
      <c r="C36" s="63"/>
      <c r="D36" s="64" t="s">
        <v>160</v>
      </c>
      <c r="E36" s="65"/>
      <c r="F36" s="65"/>
      <c r="G36" s="66"/>
      <c r="H36" s="36"/>
      <c r="I36" s="36"/>
      <c r="J36" s="35"/>
      <c r="K36" s="36"/>
      <c r="L36" s="36"/>
      <c r="M36" s="36"/>
      <c r="N36" s="122"/>
    </row>
    <row r="37" spans="1:14" s="1" customFormat="1" ht="14.1" customHeight="1">
      <c r="A37" s="92">
        <v>18</v>
      </c>
      <c r="B37" s="51" t="s">
        <v>144</v>
      </c>
      <c r="C37" s="52"/>
      <c r="D37" s="59" t="s">
        <v>24</v>
      </c>
      <c r="E37" s="60"/>
      <c r="F37" s="60"/>
      <c r="G37" s="61"/>
      <c r="H37" s="24">
        <f>SUM(I37)-0.5</f>
        <v>7.5</v>
      </c>
      <c r="I37" s="24">
        <f>SUM(J37)-0.5</f>
        <v>8</v>
      </c>
      <c r="J37" s="23">
        <v>8.5</v>
      </c>
      <c r="K37" s="21">
        <f>SUM(J37)+0.5</f>
        <v>9</v>
      </c>
      <c r="L37" s="21">
        <f>SUM(K37)+0.5</f>
        <v>9.5</v>
      </c>
      <c r="M37" s="133">
        <f>SUM(L37)+0.5</f>
        <v>10</v>
      </c>
      <c r="N37" s="123">
        <f>SUM(M37)+0.5</f>
        <v>10.5</v>
      </c>
    </row>
    <row r="38" spans="1:14" s="1" customFormat="1" ht="14.1" customHeight="1">
      <c r="A38" s="79"/>
      <c r="B38" s="62" t="s">
        <v>59</v>
      </c>
      <c r="C38" s="63"/>
      <c r="D38" s="64" t="s">
        <v>143</v>
      </c>
      <c r="E38" s="65"/>
      <c r="F38" s="65"/>
      <c r="G38" s="66"/>
      <c r="H38" s="36"/>
      <c r="I38" s="36"/>
      <c r="J38" s="23"/>
      <c r="K38" s="21"/>
      <c r="L38" s="21"/>
      <c r="M38" s="133"/>
      <c r="N38" s="123"/>
    </row>
    <row r="39" spans="1:14" s="1" customFormat="1" ht="14.1" customHeight="1">
      <c r="A39" s="92">
        <v>19</v>
      </c>
      <c r="B39" s="51" t="s">
        <v>142</v>
      </c>
      <c r="C39" s="52"/>
      <c r="D39" s="59" t="s">
        <v>25</v>
      </c>
      <c r="E39" s="60"/>
      <c r="F39" s="60"/>
      <c r="G39" s="61"/>
      <c r="H39" s="24">
        <f>SUM(I39)-0.3</f>
        <v>4.4000000000000004</v>
      </c>
      <c r="I39" s="24">
        <f>SUM(J39)-0.3</f>
        <v>4.7</v>
      </c>
      <c r="J39" s="33">
        <v>5</v>
      </c>
      <c r="K39" s="24">
        <f>SUM(J39)+0.3</f>
        <v>5.3</v>
      </c>
      <c r="L39" s="24">
        <f>SUM(K39)+0.3</f>
        <v>5.6</v>
      </c>
      <c r="M39" s="24">
        <f>SUM(L39)+0.3</f>
        <v>5.8999999999999995</v>
      </c>
      <c r="N39" s="121">
        <f>SUM(M39)+0.3</f>
        <v>6.1999999999999993</v>
      </c>
    </row>
    <row r="40" spans="1:14" s="1" customFormat="1" ht="14.1" customHeight="1">
      <c r="A40" s="79"/>
      <c r="B40" s="62" t="s">
        <v>58</v>
      </c>
      <c r="C40" s="63"/>
      <c r="D40" s="64" t="s">
        <v>141</v>
      </c>
      <c r="E40" s="65"/>
      <c r="F40" s="65"/>
      <c r="G40" s="66"/>
      <c r="H40" s="36"/>
      <c r="I40" s="36"/>
      <c r="J40" s="35"/>
      <c r="K40" s="36"/>
      <c r="L40" s="36"/>
      <c r="M40" s="36"/>
      <c r="N40" s="122"/>
    </row>
    <row r="41" spans="1:14" s="1" customFormat="1" ht="14.1" customHeight="1">
      <c r="A41" s="92">
        <v>20</v>
      </c>
      <c r="B41" s="51" t="s">
        <v>140</v>
      </c>
      <c r="C41" s="52"/>
      <c r="D41" s="57"/>
      <c r="E41" s="57"/>
      <c r="F41" s="57"/>
      <c r="G41" s="57"/>
      <c r="H41" s="24">
        <f>SUM(I41)-0.5</f>
        <v>10</v>
      </c>
      <c r="I41" s="24">
        <f>SUM(J41)-0.5</f>
        <v>10.5</v>
      </c>
      <c r="J41" s="33">
        <v>11</v>
      </c>
      <c r="K41" s="24">
        <f>SUM(J41)+0.5</f>
        <v>11.5</v>
      </c>
      <c r="L41" s="24">
        <f>SUM(K41)+0.5</f>
        <v>12</v>
      </c>
      <c r="M41" s="24">
        <f>SUM(L41)+0.5</f>
        <v>12.5</v>
      </c>
      <c r="N41" s="121">
        <f>SUM(M41)+0.5</f>
        <v>13</v>
      </c>
    </row>
    <row r="42" spans="1:14" s="1" customFormat="1" ht="14.1" customHeight="1">
      <c r="A42" s="79"/>
      <c r="B42" s="45" t="s">
        <v>139</v>
      </c>
      <c r="C42" s="46"/>
      <c r="D42" s="47"/>
      <c r="E42" s="48"/>
      <c r="F42" s="48"/>
      <c r="G42" s="49"/>
      <c r="H42" s="36"/>
      <c r="I42" s="36"/>
      <c r="J42" s="35"/>
      <c r="K42" s="36"/>
      <c r="L42" s="36"/>
      <c r="M42" s="36"/>
      <c r="N42" s="122"/>
    </row>
    <row r="43" spans="1:14" s="1" customFormat="1" ht="14.1" customHeight="1">
      <c r="A43" s="92">
        <v>21</v>
      </c>
      <c r="B43" s="51" t="s">
        <v>138</v>
      </c>
      <c r="C43" s="52"/>
      <c r="D43" s="57"/>
      <c r="E43" s="57"/>
      <c r="F43" s="57"/>
      <c r="G43" s="57"/>
      <c r="H43" s="24">
        <f>SUM(I43)-0.5</f>
        <v>11</v>
      </c>
      <c r="I43" s="24">
        <f>SUM(J43)-0.5</f>
        <v>11.5</v>
      </c>
      <c r="J43" s="33">
        <v>12</v>
      </c>
      <c r="K43" s="24">
        <f>SUM(J43)+0.5</f>
        <v>12.5</v>
      </c>
      <c r="L43" s="24">
        <f>SUM(K43)+0.5</f>
        <v>13</v>
      </c>
      <c r="M43" s="24">
        <f>SUM(L43)+0.5</f>
        <v>13.5</v>
      </c>
      <c r="N43" s="26">
        <f>SUM(M43)+0.5</f>
        <v>14</v>
      </c>
    </row>
    <row r="44" spans="1:14" s="1" customFormat="1" ht="14.1" customHeight="1" thickBot="1">
      <c r="A44" s="99"/>
      <c r="B44" s="110" t="s">
        <v>137</v>
      </c>
      <c r="C44" s="110"/>
      <c r="D44" s="30"/>
      <c r="E44" s="31"/>
      <c r="F44" s="31"/>
      <c r="G44" s="32"/>
      <c r="H44" s="25"/>
      <c r="I44" s="25"/>
      <c r="J44" s="34"/>
      <c r="K44" s="25"/>
      <c r="L44" s="25"/>
      <c r="M44" s="25"/>
      <c r="N44" s="27"/>
    </row>
    <row r="45" spans="1:14" s="1" customFormat="1" ht="14.1" customHeight="1"/>
    <row r="46" spans="1:14" s="1" customFormat="1" ht="14.1" customHeight="1"/>
    <row r="47" spans="1:14" s="1" customFormat="1" ht="14.1" customHeight="1"/>
    <row r="48" spans="1:14" s="1" customFormat="1" ht="14.1" customHeight="1"/>
    <row r="49" s="1" customFormat="1" ht="14.1" customHeight="1"/>
    <row r="50" s="1" customFormat="1" ht="14.1" customHeight="1"/>
    <row r="51" s="1" customFormat="1" ht="14.1" customHeight="1"/>
    <row r="52" s="1" customFormat="1" ht="14.1" customHeight="1"/>
  </sheetData>
  <mergeCells count="255"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96150-B706-42F6-83A5-3DE6097916C5}">
  <sheetPr>
    <tabColor rgb="FF00B050"/>
    <pageSetUpPr fitToPage="1"/>
  </sheetPr>
  <dimension ref="A1:P52"/>
  <sheetViews>
    <sheetView zoomScale="110" zoomScaleNormal="110" workbookViewId="0">
      <selection activeCell="N23" sqref="N23:N2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67" t="s">
        <v>902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9"/>
    </row>
    <row r="2" spans="1:16" ht="16.5" customHeight="1" thickBot="1">
      <c r="A2" s="2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  <c r="N2" s="7" t="s">
        <v>229</v>
      </c>
    </row>
    <row r="3" spans="1:16" s="1" customFormat="1" ht="14.1" customHeight="1">
      <c r="A3" s="78">
        <v>1</v>
      </c>
      <c r="B3" s="80" t="s">
        <v>149</v>
      </c>
      <c r="C3" s="81"/>
      <c r="D3" s="74" t="s">
        <v>82</v>
      </c>
      <c r="E3" s="82"/>
      <c r="F3" s="82"/>
      <c r="G3" s="83"/>
      <c r="H3" s="58">
        <f>SUM(I3)-3</f>
        <v>45</v>
      </c>
      <c r="I3" s="24">
        <f>SUM(J3)-3</f>
        <v>48</v>
      </c>
      <c r="J3" s="84">
        <v>51</v>
      </c>
      <c r="K3" s="85">
        <f>SUM(J3)+3</f>
        <v>54</v>
      </c>
      <c r="L3" s="85">
        <f>SUM(K3)+3</f>
        <v>57</v>
      </c>
      <c r="M3" s="85">
        <f>SUM(L3)+3</f>
        <v>60</v>
      </c>
      <c r="N3" s="131">
        <f>SUM(M3)+3</f>
        <v>63</v>
      </c>
    </row>
    <row r="4" spans="1:16" s="1" customFormat="1" ht="14.1" customHeight="1">
      <c r="A4" s="79"/>
      <c r="B4" s="62" t="s">
        <v>108</v>
      </c>
      <c r="C4" s="63"/>
      <c r="D4" s="64" t="s">
        <v>83</v>
      </c>
      <c r="E4" s="65"/>
      <c r="F4" s="65"/>
      <c r="G4" s="66"/>
      <c r="H4" s="56"/>
      <c r="I4" s="36"/>
      <c r="J4" s="35"/>
      <c r="K4" s="36"/>
      <c r="L4" s="36"/>
      <c r="M4" s="36"/>
      <c r="N4" s="122"/>
    </row>
    <row r="5" spans="1:16" s="1" customFormat="1" ht="14.1" customHeight="1">
      <c r="A5" s="92">
        <v>2</v>
      </c>
      <c r="B5" s="40" t="s">
        <v>165</v>
      </c>
      <c r="C5" s="41"/>
      <c r="D5" s="100"/>
      <c r="E5" s="101"/>
      <c r="F5" s="101"/>
      <c r="G5" s="102"/>
      <c r="H5" s="58"/>
      <c r="I5" s="24"/>
      <c r="J5" s="117"/>
      <c r="K5" s="50"/>
      <c r="L5" s="50"/>
      <c r="M5" s="50"/>
      <c r="N5" s="127"/>
    </row>
    <row r="6" spans="1:16" s="1" customFormat="1" ht="14.1" customHeight="1">
      <c r="A6" s="79"/>
      <c r="B6" s="62" t="s">
        <v>164</v>
      </c>
      <c r="C6" s="63"/>
      <c r="D6" s="64"/>
      <c r="E6" s="65"/>
      <c r="F6" s="65"/>
      <c r="G6" s="66"/>
      <c r="H6" s="56"/>
      <c r="I6" s="36"/>
      <c r="J6" s="35"/>
      <c r="K6" s="36"/>
      <c r="L6" s="36"/>
      <c r="M6" s="36"/>
      <c r="N6" s="122"/>
    </row>
    <row r="7" spans="1:16" s="1" customFormat="1" ht="14.1" customHeight="1">
      <c r="A7" s="92">
        <v>3</v>
      </c>
      <c r="B7" s="40" t="s">
        <v>148</v>
      </c>
      <c r="C7" s="41"/>
      <c r="D7" s="100"/>
      <c r="E7" s="101"/>
      <c r="F7" s="101"/>
      <c r="G7" s="102"/>
      <c r="H7" s="58"/>
      <c r="I7" s="24"/>
      <c r="J7" s="117"/>
      <c r="K7" s="50"/>
      <c r="L7" s="50"/>
      <c r="M7" s="50"/>
      <c r="N7" s="127"/>
    </row>
    <row r="8" spans="1:16" s="1" customFormat="1" ht="14.1" customHeight="1">
      <c r="A8" s="79"/>
      <c r="B8" s="62" t="s">
        <v>147</v>
      </c>
      <c r="C8" s="63"/>
      <c r="D8" s="64"/>
      <c r="E8" s="65"/>
      <c r="F8" s="65"/>
      <c r="G8" s="66"/>
      <c r="H8" s="56"/>
      <c r="I8" s="36"/>
      <c r="J8" s="35"/>
      <c r="K8" s="36"/>
      <c r="L8" s="36"/>
      <c r="M8" s="36"/>
      <c r="N8" s="122"/>
    </row>
    <row r="9" spans="1:16" s="1" customFormat="1" ht="14.1" customHeight="1">
      <c r="A9" s="92">
        <v>4</v>
      </c>
      <c r="B9" s="51" t="s">
        <v>163</v>
      </c>
      <c r="C9" s="52"/>
      <c r="D9" s="118"/>
      <c r="E9" s="119"/>
      <c r="F9" s="119"/>
      <c r="G9" s="120"/>
      <c r="H9" s="24">
        <f>SUM(I9)-2.2</f>
        <v>37.599999999999994</v>
      </c>
      <c r="I9" s="24">
        <f>SUM(J9)-2.2</f>
        <v>39.799999999999997</v>
      </c>
      <c r="J9" s="117">
        <v>42</v>
      </c>
      <c r="K9" s="50">
        <f>SUM(J9)+2.2</f>
        <v>44.2</v>
      </c>
      <c r="L9" s="50">
        <f>SUM(K9)+2.2</f>
        <v>46.400000000000006</v>
      </c>
      <c r="M9" s="24">
        <f>SUM(L9)+2.2</f>
        <v>48.600000000000009</v>
      </c>
      <c r="N9" s="26">
        <f>SUM(M9)+2.2</f>
        <v>50.800000000000011</v>
      </c>
    </row>
    <row r="10" spans="1:16" s="1" customFormat="1" ht="14.1" customHeight="1">
      <c r="A10" s="79"/>
      <c r="B10" s="62" t="s">
        <v>162</v>
      </c>
      <c r="C10" s="63"/>
      <c r="D10" s="114"/>
      <c r="E10" s="115"/>
      <c r="F10" s="115"/>
      <c r="G10" s="116"/>
      <c r="H10" s="36"/>
      <c r="I10" s="36"/>
      <c r="J10" s="35"/>
      <c r="K10" s="36"/>
      <c r="L10" s="36"/>
      <c r="M10" s="36"/>
      <c r="N10" s="37"/>
    </row>
    <row r="11" spans="1:16" s="1" customFormat="1" ht="14.1" customHeight="1">
      <c r="A11" s="92">
        <v>5</v>
      </c>
      <c r="B11" s="51" t="s">
        <v>157</v>
      </c>
      <c r="C11" s="52"/>
      <c r="D11" s="100"/>
      <c r="E11" s="101"/>
      <c r="F11" s="101"/>
      <c r="G11" s="102"/>
      <c r="H11" s="58">
        <f>SUM(I11)-4.5</f>
        <v>61</v>
      </c>
      <c r="I11" s="24">
        <f>SUM(J11)-4.5</f>
        <v>65.5</v>
      </c>
      <c r="J11" s="117">
        <v>70</v>
      </c>
      <c r="K11" s="50">
        <f>SUM(J11)+4.5</f>
        <v>74.5</v>
      </c>
      <c r="L11" s="50">
        <f>SUM(K11)+4.5</f>
        <v>79</v>
      </c>
      <c r="M11" s="50">
        <f>SUM(L11)+4.5</f>
        <v>83.5</v>
      </c>
      <c r="N11" s="127">
        <f>SUM(M11)+4.5</f>
        <v>88</v>
      </c>
    </row>
    <row r="12" spans="1:16" s="1" customFormat="1" ht="14.1" customHeight="1">
      <c r="A12" s="79"/>
      <c r="B12" s="62" t="s">
        <v>158</v>
      </c>
      <c r="C12" s="63"/>
      <c r="D12" s="64"/>
      <c r="E12" s="65"/>
      <c r="F12" s="65"/>
      <c r="G12" s="66"/>
      <c r="H12" s="56"/>
      <c r="I12" s="36"/>
      <c r="J12" s="35"/>
      <c r="K12" s="36"/>
      <c r="L12" s="36"/>
      <c r="M12" s="36"/>
      <c r="N12" s="122"/>
    </row>
    <row r="13" spans="1:16" s="1" customFormat="1" ht="14.1" customHeight="1">
      <c r="A13" s="92">
        <v>6</v>
      </c>
      <c r="B13" s="51" t="s">
        <v>13</v>
      </c>
      <c r="C13" s="52"/>
      <c r="D13" s="59" t="s">
        <v>182</v>
      </c>
      <c r="E13" s="60"/>
      <c r="F13" s="60"/>
      <c r="G13" s="61"/>
      <c r="H13" s="58">
        <f>SUM(I13)-5</f>
        <v>66</v>
      </c>
      <c r="I13" s="24">
        <f>SUM(J13)-5</f>
        <v>71</v>
      </c>
      <c r="J13" s="33">
        <v>76</v>
      </c>
      <c r="K13" s="24">
        <f>SUM(J13)+5</f>
        <v>81</v>
      </c>
      <c r="L13" s="24">
        <f>SUM(K13)+5</f>
        <v>86</v>
      </c>
      <c r="M13" s="24">
        <f>SUM(L13)+5</f>
        <v>91</v>
      </c>
      <c r="N13" s="121">
        <f>SUM(M13)+5</f>
        <v>96</v>
      </c>
    </row>
    <row r="14" spans="1:16" s="1" customFormat="1" ht="14.1" customHeight="1">
      <c r="A14" s="79"/>
      <c r="B14" s="62" t="s">
        <v>55</v>
      </c>
      <c r="C14" s="63"/>
      <c r="D14" s="64" t="s">
        <v>121</v>
      </c>
      <c r="E14" s="65"/>
      <c r="F14" s="65"/>
      <c r="G14" s="66"/>
      <c r="H14" s="56"/>
      <c r="I14" s="36"/>
      <c r="J14" s="35"/>
      <c r="K14" s="36"/>
      <c r="L14" s="36"/>
      <c r="M14" s="36"/>
      <c r="N14" s="122"/>
      <c r="P14" s="1" t="s">
        <v>419</v>
      </c>
    </row>
    <row r="15" spans="1:16" s="1" customFormat="1" ht="14.1" customHeight="1">
      <c r="A15" s="92">
        <v>7</v>
      </c>
      <c r="B15" s="51" t="s">
        <v>146</v>
      </c>
      <c r="C15" s="52"/>
      <c r="D15" s="59"/>
      <c r="E15" s="60"/>
      <c r="F15" s="60"/>
      <c r="G15" s="61"/>
      <c r="H15" s="58">
        <f>SUM(I15)-0.7</f>
        <v>9.6000000000000014</v>
      </c>
      <c r="I15" s="24">
        <f>SUM(J15)-0.7</f>
        <v>10.3</v>
      </c>
      <c r="J15" s="33">
        <v>11</v>
      </c>
      <c r="K15" s="24">
        <f>SUM(J15)+0.7</f>
        <v>11.7</v>
      </c>
      <c r="L15" s="24">
        <f>SUM(K15)+0.7</f>
        <v>12.399999999999999</v>
      </c>
      <c r="M15" s="58">
        <f>SUM(L15)+0.7</f>
        <v>13.099999999999998</v>
      </c>
      <c r="N15" s="121">
        <f>SUM(M15)+0.7</f>
        <v>13.799999999999997</v>
      </c>
    </row>
    <row r="16" spans="1:16" s="1" customFormat="1" ht="14.1" customHeight="1">
      <c r="A16" s="79"/>
      <c r="B16" s="62" t="s">
        <v>145</v>
      </c>
      <c r="C16" s="63"/>
      <c r="D16" s="89" t="s">
        <v>179</v>
      </c>
      <c r="E16" s="90"/>
      <c r="F16" s="90"/>
      <c r="G16" s="91"/>
      <c r="H16" s="56"/>
      <c r="I16" s="36"/>
      <c r="J16" s="35"/>
      <c r="K16" s="36"/>
      <c r="L16" s="36"/>
      <c r="M16" s="56"/>
      <c r="N16" s="122"/>
    </row>
    <row r="17" spans="1:14" s="1" customFormat="1" ht="14.1" customHeight="1">
      <c r="A17" s="92">
        <v>8</v>
      </c>
      <c r="B17" s="51" t="s">
        <v>166</v>
      </c>
      <c r="C17" s="52"/>
      <c r="D17" s="59"/>
      <c r="E17" s="60"/>
      <c r="F17" s="60"/>
      <c r="G17" s="61"/>
      <c r="H17" s="58">
        <f>SUM(I17)-0.7</f>
        <v>9.6000000000000014</v>
      </c>
      <c r="I17" s="24">
        <f>SUM(J17)-0.7</f>
        <v>10.3</v>
      </c>
      <c r="J17" s="33">
        <v>11</v>
      </c>
      <c r="K17" s="24">
        <f>SUM(J17)+0.7</f>
        <v>11.7</v>
      </c>
      <c r="L17" s="24">
        <f>SUM(K17)+0.7</f>
        <v>12.399999999999999</v>
      </c>
      <c r="M17" s="58">
        <f>SUM(L17)+0.7</f>
        <v>13.099999999999998</v>
      </c>
      <c r="N17" s="121">
        <f>SUM(M17)+0.7</f>
        <v>13.799999999999997</v>
      </c>
    </row>
    <row r="18" spans="1:14" s="1" customFormat="1" ht="14.1" customHeight="1">
      <c r="A18" s="79"/>
      <c r="B18" s="62" t="s">
        <v>167</v>
      </c>
      <c r="C18" s="63"/>
      <c r="D18" s="89" t="s">
        <v>168</v>
      </c>
      <c r="E18" s="90"/>
      <c r="F18" s="90"/>
      <c r="G18" s="91"/>
      <c r="H18" s="56"/>
      <c r="I18" s="36"/>
      <c r="J18" s="35"/>
      <c r="K18" s="36"/>
      <c r="L18" s="36"/>
      <c r="M18" s="56"/>
      <c r="N18" s="122"/>
    </row>
    <row r="19" spans="1:14" s="1" customFormat="1" ht="14.1" customHeight="1">
      <c r="A19" s="92">
        <v>9</v>
      </c>
      <c r="B19" s="51" t="s">
        <v>178</v>
      </c>
      <c r="C19" s="52"/>
      <c r="D19" s="59"/>
      <c r="E19" s="60"/>
      <c r="F19" s="60"/>
      <c r="G19" s="61"/>
      <c r="H19" s="24">
        <f>SUM(I19)-0</f>
        <v>2.8</v>
      </c>
      <c r="I19" s="24">
        <f>SUM(J19)-0</f>
        <v>2.8</v>
      </c>
      <c r="J19" s="33">
        <v>2.8</v>
      </c>
      <c r="K19" s="24">
        <f>SUM(J19)+0.5</f>
        <v>3.3</v>
      </c>
      <c r="L19" s="24">
        <f>SUM(K19)+0</f>
        <v>3.3</v>
      </c>
      <c r="M19" s="24">
        <f>SUM(L19)+0</f>
        <v>3.3</v>
      </c>
      <c r="N19" s="121">
        <f>SUM(M19)+0</f>
        <v>3.3</v>
      </c>
    </row>
    <row r="20" spans="1:14" s="1" customFormat="1" ht="14.1" customHeight="1">
      <c r="A20" s="79"/>
      <c r="B20" s="62" t="s">
        <v>177</v>
      </c>
      <c r="C20" s="63"/>
      <c r="D20" s="89"/>
      <c r="E20" s="90"/>
      <c r="F20" s="90"/>
      <c r="G20" s="91"/>
      <c r="H20" s="36"/>
      <c r="I20" s="36"/>
      <c r="J20" s="35"/>
      <c r="K20" s="36"/>
      <c r="L20" s="36"/>
      <c r="M20" s="36"/>
      <c r="N20" s="122"/>
    </row>
    <row r="21" spans="1:14" s="1" customFormat="1" ht="14.1" customHeight="1">
      <c r="A21" s="92">
        <v>10</v>
      </c>
      <c r="B21" s="51" t="s">
        <v>9</v>
      </c>
      <c r="C21" s="52"/>
      <c r="D21" s="59" t="s">
        <v>84</v>
      </c>
      <c r="E21" s="60"/>
      <c r="F21" s="60"/>
      <c r="G21" s="61"/>
      <c r="H21" s="24">
        <f>SUM(I21)-7</f>
        <v>52</v>
      </c>
      <c r="I21" s="24">
        <f>SUM(J21)-7</f>
        <v>59</v>
      </c>
      <c r="J21" s="33">
        <v>66</v>
      </c>
      <c r="K21" s="24">
        <f>SUM(J21)+6</f>
        <v>72</v>
      </c>
      <c r="L21" s="24">
        <f>SUM(K21)+6</f>
        <v>78</v>
      </c>
      <c r="M21" s="24">
        <f>SUM(L21)+6</f>
        <v>84</v>
      </c>
      <c r="N21" s="121">
        <f>SUM(M21)+6</f>
        <v>90</v>
      </c>
    </row>
    <row r="22" spans="1:14" s="1" customFormat="1" ht="14.1" customHeight="1">
      <c r="A22" s="79"/>
      <c r="B22" s="62" t="s">
        <v>56</v>
      </c>
      <c r="C22" s="63"/>
      <c r="D22" s="64" t="s">
        <v>120</v>
      </c>
      <c r="E22" s="65"/>
      <c r="F22" s="65"/>
      <c r="G22" s="66"/>
      <c r="H22" s="36"/>
      <c r="I22" s="36"/>
      <c r="J22" s="35"/>
      <c r="K22" s="36"/>
      <c r="L22" s="36"/>
      <c r="M22" s="36"/>
      <c r="N22" s="122"/>
    </row>
    <row r="23" spans="1:14" s="1" customFormat="1" ht="14.1" customHeight="1">
      <c r="A23" s="92">
        <v>11</v>
      </c>
      <c r="B23" s="51" t="s">
        <v>16</v>
      </c>
      <c r="C23" s="52"/>
      <c r="D23" s="59" t="s">
        <v>17</v>
      </c>
      <c r="E23" s="60"/>
      <c r="F23" s="60"/>
      <c r="G23" s="61"/>
      <c r="H23" s="24">
        <f>SUM(I23)-2.2</f>
        <v>36.599999999999994</v>
      </c>
      <c r="I23" s="24">
        <f>SUM(J23)-2.2</f>
        <v>38.799999999999997</v>
      </c>
      <c r="J23" s="33">
        <v>41</v>
      </c>
      <c r="K23" s="24">
        <f>SUM(J23)+2.2</f>
        <v>43.2</v>
      </c>
      <c r="L23" s="24">
        <f>SUM(K23)+2.2</f>
        <v>45.400000000000006</v>
      </c>
      <c r="M23" s="24">
        <f>SUM(L23)+2.2</f>
        <v>47.600000000000009</v>
      </c>
      <c r="N23" s="26">
        <f>SUM(M23)+2.2</f>
        <v>49.800000000000011</v>
      </c>
    </row>
    <row r="24" spans="1:14" s="1" customFormat="1" ht="14.1" customHeight="1">
      <c r="A24" s="79"/>
      <c r="B24" s="62" t="s">
        <v>57</v>
      </c>
      <c r="C24" s="63"/>
      <c r="D24" s="47" t="s">
        <v>119</v>
      </c>
      <c r="E24" s="48"/>
      <c r="F24" s="48"/>
      <c r="G24" s="49"/>
      <c r="H24" s="36"/>
      <c r="I24" s="36"/>
      <c r="J24" s="35"/>
      <c r="K24" s="36"/>
      <c r="L24" s="36"/>
      <c r="M24" s="36"/>
      <c r="N24" s="37"/>
    </row>
    <row r="25" spans="1:14" s="1" customFormat="1" ht="14.1" customHeight="1">
      <c r="A25" s="92">
        <v>12</v>
      </c>
      <c r="B25" s="51" t="s">
        <v>18</v>
      </c>
      <c r="C25" s="52"/>
      <c r="D25" s="59" t="s">
        <v>15</v>
      </c>
      <c r="E25" s="60"/>
      <c r="F25" s="60"/>
      <c r="G25" s="61"/>
      <c r="H25" s="58">
        <f>SUM(I25)-1.1</f>
        <v>20.799999999999997</v>
      </c>
      <c r="I25" s="24">
        <f>SUM(J25)-1.1</f>
        <v>21.9</v>
      </c>
      <c r="J25" s="33">
        <v>23</v>
      </c>
      <c r="K25" s="24">
        <f>SUM(J25)+1.6</f>
        <v>24.6</v>
      </c>
      <c r="L25" s="24">
        <f>SUM(K25)+1.1</f>
        <v>25.700000000000003</v>
      </c>
      <c r="M25" s="58">
        <f>SUM(L25)+1.1</f>
        <v>26.800000000000004</v>
      </c>
      <c r="N25" s="121">
        <f>SUM(M25)+1.1</f>
        <v>27.900000000000006</v>
      </c>
    </row>
    <row r="26" spans="1:14" s="1" customFormat="1" ht="14.1" customHeight="1">
      <c r="A26" s="79"/>
      <c r="B26" s="62" t="s">
        <v>63</v>
      </c>
      <c r="C26" s="63"/>
      <c r="D26" s="64" t="s">
        <v>118</v>
      </c>
      <c r="E26" s="65"/>
      <c r="F26" s="65"/>
      <c r="G26" s="66"/>
      <c r="H26" s="56"/>
      <c r="I26" s="36"/>
      <c r="J26" s="35"/>
      <c r="K26" s="36"/>
      <c r="L26" s="36"/>
      <c r="M26" s="56"/>
      <c r="N26" s="122"/>
    </row>
    <row r="27" spans="1:14" s="1" customFormat="1" ht="14.1" customHeight="1">
      <c r="A27" s="92">
        <v>13</v>
      </c>
      <c r="B27" s="51" t="s">
        <v>19</v>
      </c>
      <c r="C27" s="52"/>
      <c r="D27" s="59" t="s">
        <v>15</v>
      </c>
      <c r="E27" s="60"/>
      <c r="F27" s="60"/>
      <c r="G27" s="61"/>
      <c r="H27" s="58">
        <f>SUM(I27)-1.3</f>
        <v>27.9</v>
      </c>
      <c r="I27" s="24">
        <f>SUM(J27)-1.3</f>
        <v>29.2</v>
      </c>
      <c r="J27" s="33">
        <v>30.5</v>
      </c>
      <c r="K27" s="24">
        <f>SUM(J27)+1.8</f>
        <v>32.299999999999997</v>
      </c>
      <c r="L27" s="24">
        <f>SUM(K27)+1.3</f>
        <v>33.599999999999994</v>
      </c>
      <c r="M27" s="58">
        <f>SUM(L27)+1.3</f>
        <v>34.899999999999991</v>
      </c>
      <c r="N27" s="121">
        <f>SUM(M27)+1.3</f>
        <v>36.199999999999989</v>
      </c>
    </row>
    <row r="28" spans="1:14" s="1" customFormat="1" ht="14.1" customHeight="1">
      <c r="A28" s="79"/>
      <c r="B28" s="62" t="s">
        <v>62</v>
      </c>
      <c r="C28" s="63"/>
      <c r="D28" s="64" t="s">
        <v>118</v>
      </c>
      <c r="E28" s="65"/>
      <c r="F28" s="65"/>
      <c r="G28" s="66"/>
      <c r="H28" s="56"/>
      <c r="I28" s="36"/>
      <c r="J28" s="35"/>
      <c r="K28" s="36"/>
      <c r="L28" s="36"/>
      <c r="M28" s="56"/>
      <c r="N28" s="122"/>
    </row>
    <row r="29" spans="1:14" s="1" customFormat="1" ht="14.1" customHeight="1">
      <c r="A29" s="92">
        <v>14</v>
      </c>
      <c r="B29" s="51" t="s">
        <v>20</v>
      </c>
      <c r="C29" s="52"/>
      <c r="D29" s="59" t="s">
        <v>21</v>
      </c>
      <c r="E29" s="60"/>
      <c r="F29" s="60"/>
      <c r="G29" s="61"/>
      <c r="H29" s="24"/>
      <c r="I29" s="24"/>
      <c r="J29" s="33"/>
      <c r="K29" s="24"/>
      <c r="L29" s="24"/>
      <c r="M29" s="24"/>
      <c r="N29" s="121"/>
    </row>
    <row r="30" spans="1:14" s="1" customFormat="1" ht="14.1" customHeight="1">
      <c r="A30" s="79"/>
      <c r="B30" s="62" t="s">
        <v>61</v>
      </c>
      <c r="C30" s="63"/>
      <c r="D30" s="64" t="s">
        <v>117</v>
      </c>
      <c r="E30" s="65"/>
      <c r="F30" s="65"/>
      <c r="G30" s="66"/>
      <c r="H30" s="36"/>
      <c r="I30" s="36"/>
      <c r="J30" s="35"/>
      <c r="K30" s="36"/>
      <c r="L30" s="36"/>
      <c r="M30" s="36"/>
      <c r="N30" s="122"/>
    </row>
    <row r="31" spans="1:14" s="1" customFormat="1" ht="14.1" customHeight="1">
      <c r="A31" s="92">
        <v>15</v>
      </c>
      <c r="B31" s="51" t="s">
        <v>22</v>
      </c>
      <c r="C31" s="52"/>
      <c r="D31" s="59" t="s">
        <v>23</v>
      </c>
      <c r="E31" s="60"/>
      <c r="F31" s="60"/>
      <c r="G31" s="61"/>
      <c r="H31" s="24"/>
      <c r="I31" s="24"/>
      <c r="J31" s="33"/>
      <c r="K31" s="24"/>
      <c r="L31" s="24"/>
      <c r="M31" s="24"/>
      <c r="N31" s="121"/>
    </row>
    <row r="32" spans="1:14" s="1" customFormat="1" ht="14.1" customHeight="1">
      <c r="A32" s="79"/>
      <c r="B32" s="62" t="s">
        <v>60</v>
      </c>
      <c r="C32" s="63"/>
      <c r="D32" s="64" t="s">
        <v>116</v>
      </c>
      <c r="E32" s="65"/>
      <c r="F32" s="65"/>
      <c r="G32" s="66"/>
      <c r="H32" s="36"/>
      <c r="I32" s="36"/>
      <c r="J32" s="35"/>
      <c r="K32" s="36"/>
      <c r="L32" s="36"/>
      <c r="M32" s="36"/>
      <c r="N32" s="122"/>
    </row>
    <row r="33" spans="1:14" s="1" customFormat="1" ht="14.1" customHeight="1">
      <c r="A33" s="92">
        <v>16</v>
      </c>
      <c r="B33" s="51" t="s">
        <v>115</v>
      </c>
      <c r="C33" s="52"/>
      <c r="D33" s="59" t="s">
        <v>113</v>
      </c>
      <c r="E33" s="60"/>
      <c r="F33" s="60"/>
      <c r="G33" s="61"/>
      <c r="H33" s="58"/>
      <c r="I33" s="24"/>
      <c r="J33" s="33"/>
      <c r="K33" s="24"/>
      <c r="L33" s="24"/>
      <c r="M33" s="58"/>
      <c r="N33" s="121"/>
    </row>
    <row r="34" spans="1:14" s="1" customFormat="1" ht="14.1" customHeight="1">
      <c r="A34" s="79"/>
      <c r="B34" s="62" t="s">
        <v>114</v>
      </c>
      <c r="C34" s="63"/>
      <c r="D34" s="64" t="s">
        <v>113</v>
      </c>
      <c r="E34" s="65"/>
      <c r="F34" s="65"/>
      <c r="G34" s="66"/>
      <c r="H34" s="56"/>
      <c r="I34" s="36"/>
      <c r="J34" s="35"/>
      <c r="K34" s="36"/>
      <c r="L34" s="36"/>
      <c r="M34" s="56"/>
      <c r="N34" s="122"/>
    </row>
    <row r="35" spans="1:14" s="1" customFormat="1" ht="14.1" customHeight="1">
      <c r="A35" s="92">
        <v>17</v>
      </c>
      <c r="B35" s="51" t="s">
        <v>112</v>
      </c>
      <c r="C35" s="52"/>
      <c r="D35" s="59" t="s">
        <v>111</v>
      </c>
      <c r="E35" s="60"/>
      <c r="F35" s="60"/>
      <c r="G35" s="61"/>
      <c r="H35" s="24"/>
      <c r="I35" s="24"/>
      <c r="J35" s="33"/>
      <c r="K35" s="24"/>
      <c r="L35" s="24"/>
      <c r="M35" s="24"/>
      <c r="N35" s="121"/>
    </row>
    <row r="36" spans="1:14" s="1" customFormat="1" ht="14.1" customHeight="1">
      <c r="A36" s="79"/>
      <c r="B36" s="62" t="s">
        <v>110</v>
      </c>
      <c r="C36" s="63"/>
      <c r="D36" s="64" t="s">
        <v>160</v>
      </c>
      <c r="E36" s="65"/>
      <c r="F36" s="65"/>
      <c r="G36" s="66"/>
      <c r="H36" s="36"/>
      <c r="I36" s="36"/>
      <c r="J36" s="35"/>
      <c r="K36" s="36"/>
      <c r="L36" s="36"/>
      <c r="M36" s="36"/>
      <c r="N36" s="122"/>
    </row>
    <row r="37" spans="1:14" s="1" customFormat="1" ht="14.1" customHeight="1">
      <c r="A37" s="92">
        <v>18</v>
      </c>
      <c r="B37" s="51" t="s">
        <v>144</v>
      </c>
      <c r="C37" s="52"/>
      <c r="D37" s="59" t="s">
        <v>24</v>
      </c>
      <c r="E37" s="60"/>
      <c r="F37" s="60"/>
      <c r="G37" s="61"/>
      <c r="H37" s="24">
        <f>SUM(I37)-0.2</f>
        <v>5.1999999999999993</v>
      </c>
      <c r="I37" s="24">
        <f>SUM(J37)-0.2</f>
        <v>5.3999999999999995</v>
      </c>
      <c r="J37" s="23">
        <v>5.6</v>
      </c>
      <c r="K37" s="21">
        <f>SUM(J37)+0.2</f>
        <v>5.8</v>
      </c>
      <c r="L37" s="21">
        <f>SUM(K37)+0.2</f>
        <v>6</v>
      </c>
      <c r="M37" s="133">
        <f>SUM(L37)+0.2</f>
        <v>6.2</v>
      </c>
      <c r="N37" s="123">
        <f>SUM(M37)+0.2</f>
        <v>6.4</v>
      </c>
    </row>
    <row r="38" spans="1:14" s="1" customFormat="1" ht="14.1" customHeight="1">
      <c r="A38" s="79"/>
      <c r="B38" s="62" t="s">
        <v>59</v>
      </c>
      <c r="C38" s="63"/>
      <c r="D38" s="64" t="s">
        <v>143</v>
      </c>
      <c r="E38" s="65"/>
      <c r="F38" s="65"/>
      <c r="G38" s="66"/>
      <c r="H38" s="36"/>
      <c r="I38" s="36"/>
      <c r="J38" s="23"/>
      <c r="K38" s="21"/>
      <c r="L38" s="21"/>
      <c r="M38" s="133"/>
      <c r="N38" s="123"/>
    </row>
    <row r="39" spans="1:14" s="1" customFormat="1" ht="14.1" customHeight="1">
      <c r="A39" s="92">
        <v>19</v>
      </c>
      <c r="B39" s="51" t="s">
        <v>142</v>
      </c>
      <c r="C39" s="52"/>
      <c r="D39" s="59" t="s">
        <v>25</v>
      </c>
      <c r="E39" s="60"/>
      <c r="F39" s="60"/>
      <c r="G39" s="61"/>
      <c r="H39" s="24">
        <f>SUM(I39)-0.6</f>
        <v>7.8000000000000007</v>
      </c>
      <c r="I39" s="24">
        <f>SUM(J39)-0.6</f>
        <v>8.4</v>
      </c>
      <c r="J39" s="33">
        <v>9</v>
      </c>
      <c r="K39" s="24">
        <f>SUM(J39)+0.6</f>
        <v>9.6</v>
      </c>
      <c r="L39" s="24">
        <f>SUM(K39)+0.6</f>
        <v>10.199999999999999</v>
      </c>
      <c r="M39" s="24">
        <f>SUM(L39)+0.6</f>
        <v>10.799999999999999</v>
      </c>
      <c r="N39" s="121">
        <f>SUM(M39)+0.6</f>
        <v>11.399999999999999</v>
      </c>
    </row>
    <row r="40" spans="1:14" s="1" customFormat="1" ht="14.1" customHeight="1">
      <c r="A40" s="79"/>
      <c r="B40" s="62" t="s">
        <v>58</v>
      </c>
      <c r="C40" s="63"/>
      <c r="D40" s="64" t="s">
        <v>141</v>
      </c>
      <c r="E40" s="65"/>
      <c r="F40" s="65"/>
      <c r="G40" s="66"/>
      <c r="H40" s="36"/>
      <c r="I40" s="36"/>
      <c r="J40" s="35"/>
      <c r="K40" s="36"/>
      <c r="L40" s="36"/>
      <c r="M40" s="36"/>
      <c r="N40" s="122"/>
    </row>
    <row r="41" spans="1:14" s="1" customFormat="1" ht="14.1" customHeight="1">
      <c r="A41" s="92">
        <v>20</v>
      </c>
      <c r="B41" s="51" t="s">
        <v>140</v>
      </c>
      <c r="C41" s="52"/>
      <c r="D41" s="57"/>
      <c r="E41" s="57"/>
      <c r="F41" s="57"/>
      <c r="G41" s="57"/>
      <c r="H41" s="24">
        <f>SUM(I41)-0.5</f>
        <v>10.5</v>
      </c>
      <c r="I41" s="24">
        <f>SUM(J41)-0.5</f>
        <v>11</v>
      </c>
      <c r="J41" s="33">
        <v>11.5</v>
      </c>
      <c r="K41" s="24">
        <f>SUM(J41)+0.5</f>
        <v>12</v>
      </c>
      <c r="L41" s="24">
        <f>SUM(K41)+0.5</f>
        <v>12.5</v>
      </c>
      <c r="M41" s="24">
        <f>SUM(L41)+0.5</f>
        <v>13</v>
      </c>
      <c r="N41" s="121">
        <f>SUM(M41)+0.5</f>
        <v>13.5</v>
      </c>
    </row>
    <row r="42" spans="1:14" s="1" customFormat="1" ht="14.1" customHeight="1">
      <c r="A42" s="79"/>
      <c r="B42" s="45" t="s">
        <v>139</v>
      </c>
      <c r="C42" s="46"/>
      <c r="D42" s="47"/>
      <c r="E42" s="48"/>
      <c r="F42" s="48"/>
      <c r="G42" s="49"/>
      <c r="H42" s="36"/>
      <c r="I42" s="36"/>
      <c r="J42" s="35"/>
      <c r="K42" s="36"/>
      <c r="L42" s="36"/>
      <c r="M42" s="36"/>
      <c r="N42" s="122"/>
    </row>
    <row r="43" spans="1:14" s="1" customFormat="1" ht="14.1" customHeight="1">
      <c r="A43" s="92">
        <v>21</v>
      </c>
      <c r="B43" s="51" t="s">
        <v>138</v>
      </c>
      <c r="C43" s="52"/>
      <c r="D43" s="57"/>
      <c r="E43" s="57"/>
      <c r="F43" s="57"/>
      <c r="G43" s="57"/>
      <c r="H43" s="24">
        <f>SUM(I43)-0.5</f>
        <v>11</v>
      </c>
      <c r="I43" s="24">
        <f>SUM(J43)-0.5</f>
        <v>11.5</v>
      </c>
      <c r="J43" s="33">
        <v>12</v>
      </c>
      <c r="K43" s="24">
        <f>SUM(J43)+0.5</f>
        <v>12.5</v>
      </c>
      <c r="L43" s="24">
        <f>SUM(K43)+0.5</f>
        <v>13</v>
      </c>
      <c r="M43" s="24">
        <f>SUM(L43)+0.5</f>
        <v>13.5</v>
      </c>
      <c r="N43" s="26">
        <f>SUM(M43)+0.5</f>
        <v>14</v>
      </c>
    </row>
    <row r="44" spans="1:14" s="1" customFormat="1" ht="14.1" customHeight="1">
      <c r="A44" s="92"/>
      <c r="B44" s="141" t="s">
        <v>137</v>
      </c>
      <c r="C44" s="141"/>
      <c r="D44" s="100"/>
      <c r="E44" s="101"/>
      <c r="F44" s="101"/>
      <c r="G44" s="102"/>
      <c r="H44" s="50"/>
      <c r="I44" s="50"/>
      <c r="J44" s="117"/>
      <c r="K44" s="50"/>
      <c r="L44" s="50"/>
      <c r="M44" s="50"/>
      <c r="N44" s="113"/>
    </row>
    <row r="45" spans="1:14" s="1" customFormat="1" ht="14.1" customHeight="1">
      <c r="A45" s="98">
        <v>22</v>
      </c>
      <c r="B45" s="51" t="s">
        <v>903</v>
      </c>
      <c r="C45" s="52"/>
      <c r="D45" s="57"/>
      <c r="E45" s="57"/>
      <c r="F45" s="57"/>
      <c r="G45" s="57"/>
      <c r="H45" s="24">
        <f>SUM(I45)-0.4</f>
        <v>8.1999999999999993</v>
      </c>
      <c r="I45" s="24">
        <f>SUM(J45)-0.4</f>
        <v>8.6</v>
      </c>
      <c r="J45" s="33">
        <v>9</v>
      </c>
      <c r="K45" s="24">
        <f>SUM(J45)+0.4</f>
        <v>9.4</v>
      </c>
      <c r="L45" s="24">
        <f>SUM(K45)+0.4</f>
        <v>9.8000000000000007</v>
      </c>
      <c r="M45" s="24">
        <f>SUM(L45)+0.4</f>
        <v>10.200000000000001</v>
      </c>
      <c r="N45" s="121">
        <f>SUM(M45)+0.4</f>
        <v>10.600000000000001</v>
      </c>
    </row>
    <row r="46" spans="1:14" s="1" customFormat="1" ht="14.1" customHeight="1">
      <c r="A46" s="79"/>
      <c r="B46" s="45" t="s">
        <v>904</v>
      </c>
      <c r="C46" s="46"/>
      <c r="D46" s="47" t="s">
        <v>905</v>
      </c>
      <c r="E46" s="48"/>
      <c r="F46" s="48"/>
      <c r="G46" s="49"/>
      <c r="H46" s="36"/>
      <c r="I46" s="36"/>
      <c r="J46" s="35"/>
      <c r="K46" s="36"/>
      <c r="L46" s="36"/>
      <c r="M46" s="36"/>
      <c r="N46" s="122"/>
    </row>
    <row r="47" spans="1:14" s="1" customFormat="1" ht="14.1" customHeight="1">
      <c r="A47" s="92">
        <v>23</v>
      </c>
      <c r="B47" s="51" t="s">
        <v>903</v>
      </c>
      <c r="C47" s="52"/>
      <c r="D47" s="57"/>
      <c r="E47" s="57"/>
      <c r="F47" s="57"/>
      <c r="G47" s="57"/>
      <c r="H47" s="24">
        <f>SUM(I47)-0.4</f>
        <v>8.6999999999999993</v>
      </c>
      <c r="I47" s="24">
        <f>SUM(J47)-0.4</f>
        <v>9.1</v>
      </c>
      <c r="J47" s="33">
        <v>9.5</v>
      </c>
      <c r="K47" s="24">
        <f>SUM(J47)+0.4</f>
        <v>9.9</v>
      </c>
      <c r="L47" s="24">
        <f>SUM(K47)+0.4</f>
        <v>10.3</v>
      </c>
      <c r="M47" s="24">
        <f>SUM(L47)+0.4</f>
        <v>10.700000000000001</v>
      </c>
      <c r="N47" s="26">
        <f>SUM(M47)+0.4</f>
        <v>11.100000000000001</v>
      </c>
    </row>
    <row r="48" spans="1:14" s="1" customFormat="1" ht="14.1" customHeight="1" thickBot="1">
      <c r="A48" s="99"/>
      <c r="B48" s="28" t="s">
        <v>904</v>
      </c>
      <c r="C48" s="29"/>
      <c r="D48" s="30" t="s">
        <v>906</v>
      </c>
      <c r="E48" s="31"/>
      <c r="F48" s="31"/>
      <c r="G48" s="32"/>
      <c r="H48" s="25"/>
      <c r="I48" s="25"/>
      <c r="J48" s="34"/>
      <c r="K48" s="25"/>
      <c r="L48" s="25"/>
      <c r="M48" s="25"/>
      <c r="N48" s="27"/>
    </row>
    <row r="49" s="1" customFormat="1" ht="14.1" customHeight="1"/>
    <row r="50" s="1" customFormat="1" ht="14.1" customHeight="1"/>
    <row r="51" s="1" customFormat="1" ht="14.1" customHeight="1"/>
    <row r="52" s="1" customFormat="1" ht="14.1" customHeight="1"/>
  </sheetData>
  <mergeCells count="279">
    <mergeCell ref="K47:K48"/>
    <mergeCell ref="L47:L48"/>
    <mergeCell ref="M47:M48"/>
    <mergeCell ref="N47:N48"/>
    <mergeCell ref="B48:C48"/>
    <mergeCell ref="D48:G48"/>
    <mergeCell ref="A47:A48"/>
    <mergeCell ref="B47:C47"/>
    <mergeCell ref="D47:G47"/>
    <mergeCell ref="H47:H48"/>
    <mergeCell ref="I47:I48"/>
    <mergeCell ref="J47:J48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26466-F3FA-4980-A492-9F9A0485706E}">
  <sheetPr>
    <tabColor rgb="FF00B050"/>
    <pageSetUpPr fitToPage="1"/>
  </sheetPr>
  <dimension ref="A1:M52"/>
  <sheetViews>
    <sheetView zoomScale="110" zoomScaleNormal="110" workbookViewId="0">
      <selection activeCell="P9" sqref="P9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752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2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464</v>
      </c>
      <c r="I2" s="9" t="s">
        <v>71</v>
      </c>
      <c r="J2" s="9" t="s">
        <v>72</v>
      </c>
      <c r="K2" s="5" t="s">
        <v>73</v>
      </c>
      <c r="L2" s="9" t="s">
        <v>74</v>
      </c>
      <c r="M2" s="9" t="s">
        <v>169</v>
      </c>
    </row>
    <row r="3" spans="1:13" s="1" customFormat="1" ht="14.1" customHeight="1">
      <c r="A3" s="78">
        <v>1</v>
      </c>
      <c r="B3" s="80" t="s">
        <v>149</v>
      </c>
      <c r="C3" s="81"/>
      <c r="D3" s="74" t="s">
        <v>82</v>
      </c>
      <c r="E3" s="82"/>
      <c r="F3" s="82"/>
      <c r="G3" s="83"/>
      <c r="H3" s="58">
        <f>SUM(I3)-2</f>
        <v>43</v>
      </c>
      <c r="I3" s="58">
        <f>SUM(J3)-3</f>
        <v>45</v>
      </c>
      <c r="J3" s="24">
        <f>SUM(K3)-3</f>
        <v>48</v>
      </c>
      <c r="K3" s="84">
        <v>51</v>
      </c>
      <c r="L3" s="85">
        <f>SUM(K3)+3</f>
        <v>54</v>
      </c>
      <c r="M3" s="109">
        <f>SUM(L3)+3</f>
        <v>57</v>
      </c>
    </row>
    <row r="4" spans="1:13" s="1" customFormat="1" ht="14.1" customHeight="1">
      <c r="A4" s="79"/>
      <c r="B4" s="62" t="s">
        <v>108</v>
      </c>
      <c r="C4" s="63"/>
      <c r="D4" s="64" t="s">
        <v>83</v>
      </c>
      <c r="E4" s="65"/>
      <c r="F4" s="65"/>
      <c r="G4" s="66"/>
      <c r="H4" s="56"/>
      <c r="I4" s="56"/>
      <c r="J4" s="36"/>
      <c r="K4" s="35"/>
      <c r="L4" s="36"/>
      <c r="M4" s="37"/>
    </row>
    <row r="5" spans="1:13" s="1" customFormat="1" ht="14.1" customHeight="1">
      <c r="A5" s="92">
        <v>2</v>
      </c>
      <c r="B5" s="40" t="s">
        <v>165</v>
      </c>
      <c r="C5" s="41"/>
      <c r="D5" s="100"/>
      <c r="E5" s="101"/>
      <c r="F5" s="101"/>
      <c r="G5" s="102"/>
      <c r="H5" s="58"/>
      <c r="I5" s="58"/>
      <c r="J5" s="24"/>
      <c r="K5" s="117"/>
      <c r="L5" s="50"/>
      <c r="M5" s="113"/>
    </row>
    <row r="6" spans="1:13" s="1" customFormat="1" ht="14.1" customHeight="1">
      <c r="A6" s="79"/>
      <c r="B6" s="62" t="s">
        <v>164</v>
      </c>
      <c r="C6" s="63"/>
      <c r="D6" s="64"/>
      <c r="E6" s="65"/>
      <c r="F6" s="65"/>
      <c r="G6" s="66"/>
      <c r="H6" s="56"/>
      <c r="I6" s="56"/>
      <c r="J6" s="36"/>
      <c r="K6" s="35"/>
      <c r="L6" s="36"/>
      <c r="M6" s="37"/>
    </row>
    <row r="7" spans="1:13" s="1" customFormat="1" ht="14.1" customHeight="1">
      <c r="A7" s="92">
        <v>3</v>
      </c>
      <c r="B7" s="40" t="s">
        <v>148</v>
      </c>
      <c r="C7" s="41"/>
      <c r="D7" s="100"/>
      <c r="E7" s="101"/>
      <c r="F7" s="101"/>
      <c r="G7" s="102"/>
      <c r="H7" s="58"/>
      <c r="I7" s="58"/>
      <c r="J7" s="24"/>
      <c r="K7" s="117"/>
      <c r="L7" s="50"/>
      <c r="M7" s="113"/>
    </row>
    <row r="8" spans="1:13" s="1" customFormat="1" ht="14.1" customHeight="1">
      <c r="A8" s="79"/>
      <c r="B8" s="62" t="s">
        <v>147</v>
      </c>
      <c r="C8" s="63"/>
      <c r="D8" s="64"/>
      <c r="E8" s="65"/>
      <c r="F8" s="65"/>
      <c r="G8" s="66"/>
      <c r="H8" s="56"/>
      <c r="I8" s="56"/>
      <c r="J8" s="36"/>
      <c r="K8" s="35"/>
      <c r="L8" s="36"/>
      <c r="M8" s="37"/>
    </row>
    <row r="9" spans="1:13" s="1" customFormat="1" ht="14.1" customHeight="1">
      <c r="A9" s="92">
        <v>4</v>
      </c>
      <c r="B9" s="51" t="s">
        <v>163</v>
      </c>
      <c r="C9" s="52"/>
      <c r="D9" s="118"/>
      <c r="E9" s="119"/>
      <c r="F9" s="119"/>
      <c r="G9" s="120"/>
      <c r="H9" s="24"/>
      <c r="I9" s="24"/>
      <c r="J9" s="24"/>
      <c r="K9" s="117"/>
      <c r="L9" s="50"/>
      <c r="M9" s="113"/>
    </row>
    <row r="10" spans="1:13" s="1" customFormat="1" ht="14.1" customHeight="1">
      <c r="A10" s="79"/>
      <c r="B10" s="62" t="s">
        <v>162</v>
      </c>
      <c r="C10" s="63"/>
      <c r="D10" s="114"/>
      <c r="E10" s="115"/>
      <c r="F10" s="115"/>
      <c r="G10" s="116"/>
      <c r="H10" s="36"/>
      <c r="I10" s="36"/>
      <c r="J10" s="36"/>
      <c r="K10" s="35"/>
      <c r="L10" s="36"/>
      <c r="M10" s="37"/>
    </row>
    <row r="11" spans="1:13" s="1" customFormat="1" ht="14.1" customHeight="1">
      <c r="A11" s="92">
        <v>5</v>
      </c>
      <c r="B11" s="51" t="s">
        <v>157</v>
      </c>
      <c r="C11" s="52"/>
      <c r="D11" s="100"/>
      <c r="E11" s="101"/>
      <c r="F11" s="101"/>
      <c r="G11" s="102"/>
      <c r="H11" s="24">
        <f>SUM(I11)-3.5</f>
        <v>56.099999999999994</v>
      </c>
      <c r="I11" s="24">
        <f>SUM(J11)-3.5</f>
        <v>59.599999999999994</v>
      </c>
      <c r="J11" s="24">
        <f>SUM(K11)-3.5</f>
        <v>63.099999999999994</v>
      </c>
      <c r="K11" s="117">
        <v>66.599999999999994</v>
      </c>
      <c r="L11" s="50">
        <f>SUM(K11)+3.5</f>
        <v>70.099999999999994</v>
      </c>
      <c r="M11" s="113">
        <f>SUM(L11)+3.5</f>
        <v>73.599999999999994</v>
      </c>
    </row>
    <row r="12" spans="1:13" s="1" customFormat="1" ht="14.1" customHeight="1">
      <c r="A12" s="79"/>
      <c r="B12" s="62" t="s">
        <v>158</v>
      </c>
      <c r="C12" s="63"/>
      <c r="D12" s="64"/>
      <c r="E12" s="65"/>
      <c r="F12" s="65"/>
      <c r="G12" s="66"/>
      <c r="H12" s="36"/>
      <c r="I12" s="36"/>
      <c r="J12" s="36"/>
      <c r="K12" s="35"/>
      <c r="L12" s="36"/>
      <c r="M12" s="37"/>
    </row>
    <row r="13" spans="1:13" s="1" customFormat="1" ht="14.1" customHeight="1">
      <c r="A13" s="92">
        <v>6</v>
      </c>
      <c r="B13" s="51" t="s">
        <v>13</v>
      </c>
      <c r="C13" s="52"/>
      <c r="D13" s="59"/>
      <c r="E13" s="60"/>
      <c r="F13" s="60"/>
      <c r="G13" s="61"/>
      <c r="H13" s="24">
        <f>SUM(I13)-4</f>
        <v>70.3</v>
      </c>
      <c r="I13" s="24">
        <f>SUM(J13)-4</f>
        <v>74.3</v>
      </c>
      <c r="J13" s="24">
        <f>SUM(K13)-4</f>
        <v>78.3</v>
      </c>
      <c r="K13" s="33">
        <v>82.3</v>
      </c>
      <c r="L13" s="24">
        <f>SUM(K13)+4</f>
        <v>86.3</v>
      </c>
      <c r="M13" s="26">
        <f>SUM(L13)+4</f>
        <v>90.3</v>
      </c>
    </row>
    <row r="14" spans="1:13" s="1" customFormat="1" ht="14.1" customHeight="1">
      <c r="A14" s="79"/>
      <c r="B14" s="62" t="s">
        <v>55</v>
      </c>
      <c r="C14" s="63"/>
      <c r="D14" s="64" t="s">
        <v>754</v>
      </c>
      <c r="E14" s="65"/>
      <c r="F14" s="65"/>
      <c r="G14" s="66"/>
      <c r="H14" s="36"/>
      <c r="I14" s="36"/>
      <c r="J14" s="36"/>
      <c r="K14" s="35"/>
      <c r="L14" s="36"/>
      <c r="M14" s="37"/>
    </row>
    <row r="15" spans="1:13" s="1" customFormat="1" ht="14.1" customHeight="1">
      <c r="A15" s="92">
        <v>7</v>
      </c>
      <c r="B15" s="51" t="s">
        <v>146</v>
      </c>
      <c r="C15" s="52"/>
      <c r="D15" s="59"/>
      <c r="E15" s="60"/>
      <c r="F15" s="60"/>
      <c r="G15" s="61"/>
      <c r="H15" s="58">
        <f>SUM(I15)-0.7</f>
        <v>12.200000000000003</v>
      </c>
      <c r="I15" s="58">
        <f>SUM(J15)-0.7</f>
        <v>12.900000000000002</v>
      </c>
      <c r="J15" s="24">
        <f>SUM(K15)-0.7</f>
        <v>13.600000000000001</v>
      </c>
      <c r="K15" s="33">
        <v>14.3</v>
      </c>
      <c r="L15" s="24">
        <f>SUM(K15)+1.2</f>
        <v>15.5</v>
      </c>
      <c r="M15" s="26">
        <f>SUM(L15)+0.7</f>
        <v>16.2</v>
      </c>
    </row>
    <row r="16" spans="1:13" s="1" customFormat="1" ht="14.1" customHeight="1">
      <c r="A16" s="79"/>
      <c r="B16" s="62" t="s">
        <v>145</v>
      </c>
      <c r="C16" s="63"/>
      <c r="D16" s="89" t="s">
        <v>161</v>
      </c>
      <c r="E16" s="90"/>
      <c r="F16" s="90"/>
      <c r="G16" s="91"/>
      <c r="H16" s="56"/>
      <c r="I16" s="56"/>
      <c r="J16" s="36"/>
      <c r="K16" s="35"/>
      <c r="L16" s="36"/>
      <c r="M16" s="37"/>
    </row>
    <row r="17" spans="1:13" s="1" customFormat="1" ht="14.1" customHeight="1">
      <c r="A17" s="92">
        <v>8</v>
      </c>
      <c r="B17" s="51" t="s">
        <v>166</v>
      </c>
      <c r="C17" s="52"/>
      <c r="D17" s="59"/>
      <c r="E17" s="60"/>
      <c r="F17" s="60"/>
      <c r="G17" s="61"/>
      <c r="H17" s="58"/>
      <c r="I17" s="58"/>
      <c r="J17" s="24"/>
      <c r="K17" s="33"/>
      <c r="L17" s="24"/>
      <c r="M17" s="26"/>
    </row>
    <row r="18" spans="1:13" s="1" customFormat="1" ht="14.1" customHeight="1">
      <c r="A18" s="79"/>
      <c r="B18" s="62" t="s">
        <v>167</v>
      </c>
      <c r="C18" s="63"/>
      <c r="D18" s="89" t="s">
        <v>168</v>
      </c>
      <c r="E18" s="90"/>
      <c r="F18" s="90"/>
      <c r="G18" s="91"/>
      <c r="H18" s="56"/>
      <c r="I18" s="56"/>
      <c r="J18" s="36"/>
      <c r="K18" s="35"/>
      <c r="L18" s="36"/>
      <c r="M18" s="37"/>
    </row>
    <row r="19" spans="1:13" s="1" customFormat="1" ht="14.1" customHeight="1">
      <c r="A19" s="92">
        <v>9</v>
      </c>
      <c r="B19" s="51" t="s">
        <v>178</v>
      </c>
      <c r="C19" s="52"/>
      <c r="D19" s="59"/>
      <c r="E19" s="60"/>
      <c r="F19" s="60"/>
      <c r="G19" s="61"/>
      <c r="H19" s="24"/>
      <c r="I19" s="24"/>
      <c r="J19" s="24"/>
      <c r="K19" s="33"/>
      <c r="L19" s="24"/>
      <c r="M19" s="26"/>
    </row>
    <row r="20" spans="1:13" s="1" customFormat="1" ht="14.1" customHeight="1">
      <c r="A20" s="79"/>
      <c r="B20" s="62" t="s">
        <v>177</v>
      </c>
      <c r="C20" s="63"/>
      <c r="D20" s="89"/>
      <c r="E20" s="90"/>
      <c r="F20" s="90"/>
      <c r="G20" s="91"/>
      <c r="H20" s="36"/>
      <c r="I20" s="36"/>
      <c r="J20" s="36"/>
      <c r="K20" s="35"/>
      <c r="L20" s="36"/>
      <c r="M20" s="37"/>
    </row>
    <row r="21" spans="1:13" s="1" customFormat="1" ht="14.1" customHeight="1">
      <c r="A21" s="92">
        <v>10</v>
      </c>
      <c r="B21" s="51" t="s">
        <v>9</v>
      </c>
      <c r="C21" s="52"/>
      <c r="D21" s="59" t="s">
        <v>84</v>
      </c>
      <c r="E21" s="60"/>
      <c r="F21" s="60"/>
      <c r="G21" s="61"/>
      <c r="H21" s="24">
        <f>SUM(I21)-7</f>
        <v>46</v>
      </c>
      <c r="I21" s="24">
        <f>SUM(J21)-7</f>
        <v>53</v>
      </c>
      <c r="J21" s="24">
        <f>SUM(K21)-7</f>
        <v>60</v>
      </c>
      <c r="K21" s="33">
        <v>67</v>
      </c>
      <c r="L21" s="24">
        <f>SUM(K21)+6</f>
        <v>73</v>
      </c>
      <c r="M21" s="26">
        <f>SUM(L21)+6</f>
        <v>79</v>
      </c>
    </row>
    <row r="22" spans="1:13" s="1" customFormat="1" ht="14.1" customHeight="1">
      <c r="A22" s="79"/>
      <c r="B22" s="62" t="s">
        <v>56</v>
      </c>
      <c r="C22" s="63"/>
      <c r="D22" s="64" t="s">
        <v>120</v>
      </c>
      <c r="E22" s="65"/>
      <c r="F22" s="65"/>
      <c r="G22" s="66"/>
      <c r="H22" s="36"/>
      <c r="I22" s="36"/>
      <c r="J22" s="36"/>
      <c r="K22" s="35"/>
      <c r="L22" s="36"/>
      <c r="M22" s="37"/>
    </row>
    <row r="23" spans="1:13" s="1" customFormat="1" ht="14.1" customHeight="1">
      <c r="A23" s="92">
        <v>11</v>
      </c>
      <c r="B23" s="51" t="s">
        <v>16</v>
      </c>
      <c r="C23" s="52"/>
      <c r="D23" s="59" t="s">
        <v>17</v>
      </c>
      <c r="E23" s="60"/>
      <c r="F23" s="60"/>
      <c r="G23" s="61"/>
      <c r="H23" s="24">
        <f>SUM(I23)-1</f>
        <v>18</v>
      </c>
      <c r="I23" s="24">
        <f>SUM(J23)-1</f>
        <v>19</v>
      </c>
      <c r="J23" s="24">
        <f>SUM(K23)-1</f>
        <v>20</v>
      </c>
      <c r="K23" s="33">
        <v>21</v>
      </c>
      <c r="L23" s="24">
        <f>SUM(K23)+1</f>
        <v>22</v>
      </c>
      <c r="M23" s="26">
        <f t="shared" ref="M23" si="0">SUM(L23)+1</f>
        <v>23</v>
      </c>
    </row>
    <row r="24" spans="1:13" s="1" customFormat="1" ht="14.1" customHeight="1">
      <c r="A24" s="79"/>
      <c r="B24" s="62" t="s">
        <v>57</v>
      </c>
      <c r="C24" s="63"/>
      <c r="D24" s="47" t="s">
        <v>119</v>
      </c>
      <c r="E24" s="48"/>
      <c r="F24" s="48"/>
      <c r="G24" s="49"/>
      <c r="H24" s="36"/>
      <c r="I24" s="36"/>
      <c r="J24" s="36"/>
      <c r="K24" s="35"/>
      <c r="L24" s="36"/>
      <c r="M24" s="37"/>
    </row>
    <row r="25" spans="1:13" s="1" customFormat="1" ht="14.1" customHeight="1">
      <c r="A25" s="92">
        <v>12</v>
      </c>
      <c r="B25" s="51" t="s">
        <v>18</v>
      </c>
      <c r="C25" s="52"/>
      <c r="D25" s="59" t="s">
        <v>15</v>
      </c>
      <c r="E25" s="60"/>
      <c r="F25" s="60"/>
      <c r="G25" s="61"/>
      <c r="H25" s="58">
        <f>SUM(I25)-1.1</f>
        <v>19.499999999999996</v>
      </c>
      <c r="I25" s="58">
        <f>SUM(J25)-1.1</f>
        <v>20.599999999999998</v>
      </c>
      <c r="J25" s="24">
        <f>SUM(K25)-1.1</f>
        <v>21.7</v>
      </c>
      <c r="K25" s="33">
        <v>22.8</v>
      </c>
      <c r="L25" s="24">
        <f>SUM(K25)+1.6</f>
        <v>24.400000000000002</v>
      </c>
      <c r="M25" s="26">
        <f>SUM(L25)+1.1</f>
        <v>25.500000000000004</v>
      </c>
    </row>
    <row r="26" spans="1:13" s="1" customFormat="1" ht="14.1" customHeight="1">
      <c r="A26" s="79"/>
      <c r="B26" s="62" t="s">
        <v>63</v>
      </c>
      <c r="C26" s="63"/>
      <c r="D26" s="64" t="s">
        <v>118</v>
      </c>
      <c r="E26" s="65"/>
      <c r="F26" s="65"/>
      <c r="G26" s="66"/>
      <c r="H26" s="56"/>
      <c r="I26" s="56"/>
      <c r="J26" s="36"/>
      <c r="K26" s="35"/>
      <c r="L26" s="36"/>
      <c r="M26" s="37"/>
    </row>
    <row r="27" spans="1:13" s="1" customFormat="1" ht="14.1" customHeight="1">
      <c r="A27" s="92">
        <v>13</v>
      </c>
      <c r="B27" s="51" t="s">
        <v>19</v>
      </c>
      <c r="C27" s="52"/>
      <c r="D27" s="59" t="s">
        <v>15</v>
      </c>
      <c r="E27" s="60"/>
      <c r="F27" s="60"/>
      <c r="G27" s="61"/>
      <c r="H27" s="58">
        <f>SUM(I27)-1.3</f>
        <v>26.9</v>
      </c>
      <c r="I27" s="58">
        <f>SUM(J27)-1.3</f>
        <v>28.2</v>
      </c>
      <c r="J27" s="24">
        <f>SUM(K27)-1.3</f>
        <v>29.5</v>
      </c>
      <c r="K27" s="33">
        <v>30.8</v>
      </c>
      <c r="L27" s="24">
        <f>SUM(K27)+1.8</f>
        <v>32.6</v>
      </c>
      <c r="M27" s="26">
        <f>SUM(L27)+1.3</f>
        <v>33.9</v>
      </c>
    </row>
    <row r="28" spans="1:13" s="1" customFormat="1" ht="14.1" customHeight="1">
      <c r="A28" s="79"/>
      <c r="B28" s="62" t="s">
        <v>62</v>
      </c>
      <c r="C28" s="63"/>
      <c r="D28" s="64" t="s">
        <v>118</v>
      </c>
      <c r="E28" s="65"/>
      <c r="F28" s="65"/>
      <c r="G28" s="66"/>
      <c r="H28" s="56"/>
      <c r="I28" s="56"/>
      <c r="J28" s="36"/>
      <c r="K28" s="35"/>
      <c r="L28" s="36"/>
      <c r="M28" s="37"/>
    </row>
    <row r="29" spans="1:13" s="1" customFormat="1" ht="14.1" customHeight="1">
      <c r="A29" s="92">
        <v>14</v>
      </c>
      <c r="B29" s="51" t="s">
        <v>20</v>
      </c>
      <c r="C29" s="52"/>
      <c r="D29" s="59" t="s">
        <v>21</v>
      </c>
      <c r="E29" s="60"/>
      <c r="F29" s="60"/>
      <c r="G29" s="61"/>
      <c r="H29" s="24">
        <f>SUM(I29)-2.8</f>
        <v>42.400000000000006</v>
      </c>
      <c r="I29" s="24">
        <f>SUM(J29)-2.8</f>
        <v>45.2</v>
      </c>
      <c r="J29" s="24">
        <f>SUM(K29)-2.8</f>
        <v>48</v>
      </c>
      <c r="K29" s="33">
        <v>50.8</v>
      </c>
      <c r="L29" s="24">
        <f>SUM(K29)+2.6</f>
        <v>53.4</v>
      </c>
      <c r="M29" s="26">
        <f t="shared" ref="M29" si="1">SUM(L29)+2.6</f>
        <v>56</v>
      </c>
    </row>
    <row r="30" spans="1:13" s="1" customFormat="1" ht="14.1" customHeight="1">
      <c r="A30" s="79"/>
      <c r="B30" s="62" t="s">
        <v>61</v>
      </c>
      <c r="C30" s="63"/>
      <c r="D30" s="64" t="s">
        <v>117</v>
      </c>
      <c r="E30" s="65"/>
      <c r="F30" s="65"/>
      <c r="G30" s="66"/>
      <c r="H30" s="36"/>
      <c r="I30" s="36"/>
      <c r="J30" s="36"/>
      <c r="K30" s="35"/>
      <c r="L30" s="36"/>
      <c r="M30" s="37"/>
    </row>
    <row r="31" spans="1:13" s="1" customFormat="1" ht="14.1" customHeight="1">
      <c r="A31" s="92">
        <v>15</v>
      </c>
      <c r="B31" s="51" t="s">
        <v>22</v>
      </c>
      <c r="C31" s="52"/>
      <c r="D31" s="59" t="s">
        <v>23</v>
      </c>
      <c r="E31" s="60"/>
      <c r="F31" s="60"/>
      <c r="G31" s="61"/>
      <c r="H31" s="24">
        <f>SUM(I31)-6</f>
        <v>27</v>
      </c>
      <c r="I31" s="24">
        <f>SUM(J31)-6</f>
        <v>33</v>
      </c>
      <c r="J31" s="24">
        <f>SUM(K31)-6</f>
        <v>39</v>
      </c>
      <c r="K31" s="33">
        <v>45</v>
      </c>
      <c r="L31" s="24">
        <f>SUM(K31)+4.5</f>
        <v>49.5</v>
      </c>
      <c r="M31" s="26">
        <f>SUM(L31)+5</f>
        <v>54.5</v>
      </c>
    </row>
    <row r="32" spans="1:13" s="1" customFormat="1" ht="14.1" customHeight="1">
      <c r="A32" s="79"/>
      <c r="B32" s="62" t="s">
        <v>60</v>
      </c>
      <c r="C32" s="63"/>
      <c r="D32" s="64" t="s">
        <v>116</v>
      </c>
      <c r="E32" s="65"/>
      <c r="F32" s="65"/>
      <c r="G32" s="66"/>
      <c r="H32" s="36"/>
      <c r="I32" s="36"/>
      <c r="J32" s="36"/>
      <c r="K32" s="35"/>
      <c r="L32" s="36"/>
      <c r="M32" s="37"/>
    </row>
    <row r="33" spans="1:13" s="1" customFormat="1" ht="14.1" customHeight="1">
      <c r="A33" s="92">
        <v>16</v>
      </c>
      <c r="B33" s="51" t="s">
        <v>115</v>
      </c>
      <c r="C33" s="52"/>
      <c r="D33" s="59" t="s">
        <v>113</v>
      </c>
      <c r="E33" s="60"/>
      <c r="F33" s="60"/>
      <c r="G33" s="61"/>
      <c r="H33" s="24">
        <f>SUM(I33)-2</f>
        <v>37.799999999999997</v>
      </c>
      <c r="I33" s="24">
        <f>SUM(J33)-2</f>
        <v>39.799999999999997</v>
      </c>
      <c r="J33" s="24">
        <f>SUM(K33)-2</f>
        <v>41.8</v>
      </c>
      <c r="K33" s="33">
        <v>43.8</v>
      </c>
      <c r="L33" s="24">
        <f>SUM(K33)+2</f>
        <v>45.8</v>
      </c>
      <c r="M33" s="26">
        <f t="shared" ref="M33" si="2">SUM(L33)+2</f>
        <v>47.8</v>
      </c>
    </row>
    <row r="34" spans="1:13" s="1" customFormat="1" ht="14.1" customHeight="1">
      <c r="A34" s="79"/>
      <c r="B34" s="62" t="s">
        <v>114</v>
      </c>
      <c r="C34" s="63"/>
      <c r="D34" s="64" t="s">
        <v>113</v>
      </c>
      <c r="E34" s="65"/>
      <c r="F34" s="65"/>
      <c r="G34" s="66"/>
      <c r="H34" s="36"/>
      <c r="I34" s="36"/>
      <c r="J34" s="36"/>
      <c r="K34" s="35"/>
      <c r="L34" s="36"/>
      <c r="M34" s="37"/>
    </row>
    <row r="35" spans="1:13" s="1" customFormat="1" ht="14.1" customHeight="1">
      <c r="A35" s="92">
        <v>17</v>
      </c>
      <c r="B35" s="51" t="s">
        <v>112</v>
      </c>
      <c r="C35" s="52"/>
      <c r="D35" s="59" t="s">
        <v>111</v>
      </c>
      <c r="E35" s="60"/>
      <c r="F35" s="60"/>
      <c r="G35" s="61"/>
      <c r="H35" s="24">
        <f>SUM(I35)-3.5</f>
        <v>28.700000000000003</v>
      </c>
      <c r="I35" s="24">
        <f>SUM(J35)-3.5</f>
        <v>32.200000000000003</v>
      </c>
      <c r="J35" s="24">
        <f>SUM(K35)-3.5</f>
        <v>35.700000000000003</v>
      </c>
      <c r="K35" s="33">
        <v>39.200000000000003</v>
      </c>
      <c r="L35" s="24">
        <f>SUM(K35)+3.2</f>
        <v>42.400000000000006</v>
      </c>
      <c r="M35" s="26">
        <f>SUM(L35)+3</f>
        <v>45.400000000000006</v>
      </c>
    </row>
    <row r="36" spans="1:13" s="1" customFormat="1" ht="14.1" customHeight="1">
      <c r="A36" s="79"/>
      <c r="B36" s="62" t="s">
        <v>110</v>
      </c>
      <c r="C36" s="63"/>
      <c r="D36" s="64" t="s">
        <v>160</v>
      </c>
      <c r="E36" s="65"/>
      <c r="F36" s="65"/>
      <c r="G36" s="66"/>
      <c r="H36" s="36"/>
      <c r="I36" s="36"/>
      <c r="J36" s="36"/>
      <c r="K36" s="35"/>
      <c r="L36" s="36"/>
      <c r="M36" s="37"/>
    </row>
    <row r="37" spans="1:13" s="1" customFormat="1" ht="14.1" customHeight="1">
      <c r="A37" s="92">
        <v>18</v>
      </c>
      <c r="B37" s="51" t="s">
        <v>144</v>
      </c>
      <c r="C37" s="52"/>
      <c r="D37" s="59" t="s">
        <v>24</v>
      </c>
      <c r="E37" s="60"/>
      <c r="F37" s="60"/>
      <c r="G37" s="61"/>
      <c r="H37" s="24">
        <f>SUM(I37)-0.2</f>
        <v>3.3999999999999995</v>
      </c>
      <c r="I37" s="24">
        <f>SUM(J37)-0.2</f>
        <v>3.5999999999999996</v>
      </c>
      <c r="J37" s="24">
        <f>SUM(K37)-0.2</f>
        <v>3.8</v>
      </c>
      <c r="K37" s="23">
        <v>4</v>
      </c>
      <c r="L37" s="21">
        <f>SUM(K37)+0.2</f>
        <v>4.2</v>
      </c>
      <c r="M37" s="22">
        <f>SUM(L37)+0.2</f>
        <v>4.4000000000000004</v>
      </c>
    </row>
    <row r="38" spans="1:13" s="1" customFormat="1" ht="14.1" customHeight="1">
      <c r="A38" s="79"/>
      <c r="B38" s="62" t="s">
        <v>59</v>
      </c>
      <c r="C38" s="63"/>
      <c r="D38" s="64" t="s">
        <v>143</v>
      </c>
      <c r="E38" s="65"/>
      <c r="F38" s="65"/>
      <c r="G38" s="66"/>
      <c r="H38" s="36"/>
      <c r="I38" s="36"/>
      <c r="J38" s="36"/>
      <c r="K38" s="23"/>
      <c r="L38" s="21"/>
      <c r="M38" s="22"/>
    </row>
    <row r="39" spans="1:13" s="1" customFormat="1" ht="14.1" customHeight="1">
      <c r="A39" s="92">
        <v>19</v>
      </c>
      <c r="B39" s="51" t="s">
        <v>142</v>
      </c>
      <c r="C39" s="52"/>
      <c r="D39" s="59" t="s">
        <v>25</v>
      </c>
      <c r="E39" s="60"/>
      <c r="F39" s="60"/>
      <c r="G39" s="61"/>
      <c r="H39" s="24">
        <f>SUM(I39)-0.6</f>
        <v>8.0000000000000018</v>
      </c>
      <c r="I39" s="24">
        <f>SUM(J39)-0.6</f>
        <v>8.6000000000000014</v>
      </c>
      <c r="J39" s="24">
        <f>SUM(K39)-0.6</f>
        <v>9.2000000000000011</v>
      </c>
      <c r="K39" s="33">
        <v>9.8000000000000007</v>
      </c>
      <c r="L39" s="24">
        <f>SUM(K39)+0.6</f>
        <v>10.4</v>
      </c>
      <c r="M39" s="26">
        <f>SUM(L39)+0.6</f>
        <v>11</v>
      </c>
    </row>
    <row r="40" spans="1:13" s="1" customFormat="1" ht="14.1" customHeight="1">
      <c r="A40" s="79"/>
      <c r="B40" s="62" t="s">
        <v>58</v>
      </c>
      <c r="C40" s="63"/>
      <c r="D40" s="64" t="s">
        <v>141</v>
      </c>
      <c r="E40" s="65"/>
      <c r="F40" s="65"/>
      <c r="G40" s="66"/>
      <c r="H40" s="36"/>
      <c r="I40" s="36"/>
      <c r="J40" s="36"/>
      <c r="K40" s="35"/>
      <c r="L40" s="36"/>
      <c r="M40" s="37"/>
    </row>
    <row r="41" spans="1:13" s="1" customFormat="1" ht="14.1" customHeight="1">
      <c r="A41" s="92">
        <v>20</v>
      </c>
      <c r="B41" s="51" t="s">
        <v>140</v>
      </c>
      <c r="C41" s="52"/>
      <c r="D41" s="57"/>
      <c r="E41" s="57"/>
      <c r="F41" s="57"/>
      <c r="G41" s="57"/>
      <c r="H41" s="24">
        <f>SUM(I41)-0.5</f>
        <v>9.5</v>
      </c>
      <c r="I41" s="24">
        <f>SUM(J41)-0.5</f>
        <v>10</v>
      </c>
      <c r="J41" s="24">
        <f>SUM(K41)-0.5</f>
        <v>10.5</v>
      </c>
      <c r="K41" s="33">
        <v>11</v>
      </c>
      <c r="L41" s="24">
        <f>SUM(K41)+0.5</f>
        <v>11.5</v>
      </c>
      <c r="M41" s="26">
        <f>SUM(L41)+0.5</f>
        <v>12</v>
      </c>
    </row>
    <row r="42" spans="1:13" s="1" customFormat="1" ht="14.1" customHeight="1">
      <c r="A42" s="79"/>
      <c r="B42" s="45" t="s">
        <v>139</v>
      </c>
      <c r="C42" s="46"/>
      <c r="D42" s="47"/>
      <c r="E42" s="48"/>
      <c r="F42" s="48"/>
      <c r="G42" s="49"/>
      <c r="H42" s="36"/>
      <c r="I42" s="36"/>
      <c r="J42" s="36"/>
      <c r="K42" s="35"/>
      <c r="L42" s="36"/>
      <c r="M42" s="37"/>
    </row>
    <row r="43" spans="1:13" s="1" customFormat="1" ht="14.1" customHeight="1">
      <c r="A43" s="92">
        <v>21</v>
      </c>
      <c r="B43" s="51" t="s">
        <v>138</v>
      </c>
      <c r="C43" s="52"/>
      <c r="D43" s="57"/>
      <c r="E43" s="57"/>
      <c r="F43" s="57"/>
      <c r="G43" s="57"/>
      <c r="H43" s="24">
        <f>SUM(I43)-0.5</f>
        <v>10.5</v>
      </c>
      <c r="I43" s="24">
        <f>SUM(J43)-0.5</f>
        <v>11</v>
      </c>
      <c r="J43" s="24">
        <f>SUM(K43)-0.5</f>
        <v>11.5</v>
      </c>
      <c r="K43" s="33">
        <v>12</v>
      </c>
      <c r="L43" s="24">
        <f>SUM(K43)+0.5</f>
        <v>12.5</v>
      </c>
      <c r="M43" s="26">
        <f>SUM(L43)+0.5</f>
        <v>13</v>
      </c>
    </row>
    <row r="44" spans="1:13" s="1" customFormat="1" ht="14.1" customHeight="1">
      <c r="A44" s="79"/>
      <c r="B44" s="56" t="s">
        <v>137</v>
      </c>
      <c r="C44" s="56"/>
      <c r="D44" s="47"/>
      <c r="E44" s="48"/>
      <c r="F44" s="48"/>
      <c r="G44" s="49"/>
      <c r="H44" s="36"/>
      <c r="I44" s="36"/>
      <c r="J44" s="36"/>
      <c r="K44" s="35"/>
      <c r="L44" s="36"/>
      <c r="M44" s="37"/>
    </row>
    <row r="45" spans="1:13" s="1" customFormat="1" ht="14.1" customHeight="1">
      <c r="A45" s="92">
        <v>22</v>
      </c>
      <c r="B45" s="51" t="s">
        <v>176</v>
      </c>
      <c r="C45" s="52"/>
      <c r="D45" s="53"/>
      <c r="E45" s="54"/>
      <c r="F45" s="54"/>
      <c r="G45" s="55"/>
      <c r="H45" s="24">
        <f>SUM(I45)-0.2</f>
        <v>1.9999999999999998</v>
      </c>
      <c r="I45" s="24">
        <f>SUM(J45)-0.2</f>
        <v>2.1999999999999997</v>
      </c>
      <c r="J45" s="24">
        <f>SUM(K45)-0.2</f>
        <v>2.4</v>
      </c>
      <c r="K45" s="33">
        <v>2.6</v>
      </c>
      <c r="L45" s="24">
        <f>SUM(K45)+0.2</f>
        <v>2.8000000000000003</v>
      </c>
      <c r="M45" s="26">
        <f t="shared" ref="M45" si="3">SUM(L45)+0.2</f>
        <v>3.0000000000000004</v>
      </c>
    </row>
    <row r="46" spans="1:13" s="1" customFormat="1" ht="14.1" customHeight="1">
      <c r="A46" s="79"/>
      <c r="B46" s="45" t="s">
        <v>175</v>
      </c>
      <c r="C46" s="46"/>
      <c r="D46" s="47" t="s">
        <v>681</v>
      </c>
      <c r="E46" s="48"/>
      <c r="F46" s="48"/>
      <c r="G46" s="49"/>
      <c r="H46" s="50"/>
      <c r="I46" s="50"/>
      <c r="J46" s="50"/>
      <c r="K46" s="35"/>
      <c r="L46" s="50"/>
      <c r="M46" s="113"/>
    </row>
    <row r="47" spans="1:13" s="1" customFormat="1" ht="14.1" customHeight="1">
      <c r="A47" s="92">
        <v>23</v>
      </c>
      <c r="B47" s="40" t="s">
        <v>174</v>
      </c>
      <c r="C47" s="41"/>
      <c r="D47" s="42"/>
      <c r="E47" s="43"/>
      <c r="F47" s="43"/>
      <c r="G47" s="44"/>
      <c r="H47" s="24">
        <f>SUM(I47)-0.9</f>
        <v>4.9999999999999991</v>
      </c>
      <c r="I47" s="24">
        <f>SUM(J47)-0.4</f>
        <v>5.8999999999999995</v>
      </c>
      <c r="J47" s="24">
        <f>SUM(K47)-0.4</f>
        <v>6.3</v>
      </c>
      <c r="K47" s="33">
        <v>6.7</v>
      </c>
      <c r="L47" s="24">
        <f>SUM(K47)+0.4</f>
        <v>7.1000000000000005</v>
      </c>
      <c r="M47" s="26">
        <f>SUM(L47)+0.4</f>
        <v>7.5000000000000009</v>
      </c>
    </row>
    <row r="48" spans="1:13" s="1" customFormat="1" ht="14.1" customHeight="1">
      <c r="A48" s="92"/>
      <c r="B48" s="40" t="s">
        <v>173</v>
      </c>
      <c r="C48" s="41"/>
      <c r="D48" s="100" t="s">
        <v>753</v>
      </c>
      <c r="E48" s="101"/>
      <c r="F48" s="101"/>
      <c r="G48" s="102"/>
      <c r="H48" s="50"/>
      <c r="I48" s="50"/>
      <c r="J48" s="50"/>
      <c r="K48" s="117"/>
      <c r="L48" s="50"/>
      <c r="M48" s="113"/>
    </row>
    <row r="49" spans="1:13" s="1" customFormat="1" ht="14.1" customHeight="1">
      <c r="A49" s="98">
        <v>24</v>
      </c>
      <c r="B49" s="51" t="s">
        <v>174</v>
      </c>
      <c r="C49" s="52"/>
      <c r="D49" s="53"/>
      <c r="E49" s="54"/>
      <c r="F49" s="54"/>
      <c r="G49" s="55"/>
      <c r="H49" s="24">
        <f>SUM(I49)-0.1</f>
        <v>2.9</v>
      </c>
      <c r="I49" s="24">
        <f>SUM(J49)-0.1</f>
        <v>3</v>
      </c>
      <c r="J49" s="24">
        <f>SUM(K49)-0.1</f>
        <v>3.1</v>
      </c>
      <c r="K49" s="33">
        <v>3.2</v>
      </c>
      <c r="L49" s="24">
        <f>SUM(K49)+0.1</f>
        <v>3.3000000000000003</v>
      </c>
      <c r="M49" s="26">
        <f t="shared" ref="M49" si="4">SUM(L49)+0.1</f>
        <v>3.4000000000000004</v>
      </c>
    </row>
    <row r="50" spans="1:13" s="1" customFormat="1" ht="14.1" customHeight="1" thickBot="1">
      <c r="A50" s="99"/>
      <c r="B50" s="28" t="s">
        <v>214</v>
      </c>
      <c r="C50" s="29"/>
      <c r="D50" s="30" t="s">
        <v>898</v>
      </c>
      <c r="E50" s="31"/>
      <c r="F50" s="31"/>
      <c r="G50" s="32"/>
      <c r="H50" s="25"/>
      <c r="I50" s="25"/>
      <c r="J50" s="25"/>
      <c r="K50" s="34"/>
      <c r="L50" s="25"/>
      <c r="M50" s="27"/>
    </row>
    <row r="51" spans="1:13" s="1" customFormat="1" ht="14.1" customHeight="1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 s="1" customFormat="1" ht="14.1" customHeight="1">
      <c r="A52"/>
      <c r="B52"/>
      <c r="C52"/>
      <c r="D52"/>
      <c r="E52"/>
      <c r="F52"/>
      <c r="G52"/>
      <c r="H52"/>
      <c r="I52"/>
      <c r="J52"/>
      <c r="K52"/>
      <c r="L52"/>
      <c r="M52"/>
    </row>
  </sheetData>
  <mergeCells count="267">
    <mergeCell ref="A1:M1"/>
    <mergeCell ref="B2:C2"/>
    <mergeCell ref="D2:G2"/>
    <mergeCell ref="A3:A4"/>
    <mergeCell ref="B3:C3"/>
    <mergeCell ref="D3:G3"/>
    <mergeCell ref="I3:I4"/>
    <mergeCell ref="J3:J4"/>
    <mergeCell ref="K3:K4"/>
    <mergeCell ref="L3:L4"/>
    <mergeCell ref="M3:M4"/>
    <mergeCell ref="B4:C4"/>
    <mergeCell ref="D4:G4"/>
    <mergeCell ref="H3:H4"/>
    <mergeCell ref="K7:K8"/>
    <mergeCell ref="L7:L8"/>
    <mergeCell ref="M7:M8"/>
    <mergeCell ref="B8:C8"/>
    <mergeCell ref="D8:G8"/>
    <mergeCell ref="L5:L6"/>
    <mergeCell ref="M5:M6"/>
    <mergeCell ref="H5:H6"/>
    <mergeCell ref="H7:H8"/>
    <mergeCell ref="A5:A6"/>
    <mergeCell ref="B5:C5"/>
    <mergeCell ref="D5:G5"/>
    <mergeCell ref="I5:I6"/>
    <mergeCell ref="J5:J6"/>
    <mergeCell ref="K5:K6"/>
    <mergeCell ref="B6:C6"/>
    <mergeCell ref="D6:G6"/>
    <mergeCell ref="A11:A12"/>
    <mergeCell ref="B11:C11"/>
    <mergeCell ref="D11:G11"/>
    <mergeCell ref="I11:I12"/>
    <mergeCell ref="J11:J12"/>
    <mergeCell ref="A9:A10"/>
    <mergeCell ref="B9:C9"/>
    <mergeCell ref="D9:G9"/>
    <mergeCell ref="I9:I10"/>
    <mergeCell ref="J9:J10"/>
    <mergeCell ref="A7:A8"/>
    <mergeCell ref="B7:C7"/>
    <mergeCell ref="D7:G7"/>
    <mergeCell ref="I7:I8"/>
    <mergeCell ref="J7:J8"/>
    <mergeCell ref="K11:K12"/>
    <mergeCell ref="L11:L12"/>
    <mergeCell ref="M11:M12"/>
    <mergeCell ref="B12:C12"/>
    <mergeCell ref="D12:G12"/>
    <mergeCell ref="L9:L10"/>
    <mergeCell ref="M9:M10"/>
    <mergeCell ref="B10:C10"/>
    <mergeCell ref="D10:G10"/>
    <mergeCell ref="K9:K10"/>
    <mergeCell ref="H9:H10"/>
    <mergeCell ref="H11:H12"/>
    <mergeCell ref="A15:A16"/>
    <mergeCell ref="B15:C15"/>
    <mergeCell ref="D15:G15"/>
    <mergeCell ref="I15:I16"/>
    <mergeCell ref="J15:J16"/>
    <mergeCell ref="A13:A14"/>
    <mergeCell ref="B13:C13"/>
    <mergeCell ref="D13:G13"/>
    <mergeCell ref="I13:I14"/>
    <mergeCell ref="J13:J14"/>
    <mergeCell ref="K15:K16"/>
    <mergeCell ref="L15:L16"/>
    <mergeCell ref="M15:M16"/>
    <mergeCell ref="B16:C16"/>
    <mergeCell ref="D16:G16"/>
    <mergeCell ref="L13:L14"/>
    <mergeCell ref="M13:M14"/>
    <mergeCell ref="B14:C14"/>
    <mergeCell ref="D14:G14"/>
    <mergeCell ref="K13:K14"/>
    <mergeCell ref="H13:H14"/>
    <mergeCell ref="H15:H16"/>
    <mergeCell ref="A19:A20"/>
    <mergeCell ref="B19:C19"/>
    <mergeCell ref="D19:G19"/>
    <mergeCell ref="I19:I20"/>
    <mergeCell ref="J19:J20"/>
    <mergeCell ref="A17:A18"/>
    <mergeCell ref="B17:C17"/>
    <mergeCell ref="D17:G17"/>
    <mergeCell ref="I17:I18"/>
    <mergeCell ref="J17:J18"/>
    <mergeCell ref="K19:K20"/>
    <mergeCell ref="L19:L20"/>
    <mergeCell ref="M19:M20"/>
    <mergeCell ref="B20:C20"/>
    <mergeCell ref="D20:G20"/>
    <mergeCell ref="L17:L18"/>
    <mergeCell ref="M17:M18"/>
    <mergeCell ref="B18:C18"/>
    <mergeCell ref="D18:G18"/>
    <mergeCell ref="K17:K18"/>
    <mergeCell ref="H17:H18"/>
    <mergeCell ref="H19:H20"/>
    <mergeCell ref="A23:A24"/>
    <mergeCell ref="B23:C23"/>
    <mergeCell ref="D23:G23"/>
    <mergeCell ref="I23:I24"/>
    <mergeCell ref="J23:J24"/>
    <mergeCell ref="A21:A22"/>
    <mergeCell ref="B21:C21"/>
    <mergeCell ref="D21:G21"/>
    <mergeCell ref="I21:I22"/>
    <mergeCell ref="J21:J22"/>
    <mergeCell ref="K23:K24"/>
    <mergeCell ref="L23:L24"/>
    <mergeCell ref="M23:M24"/>
    <mergeCell ref="B24:C24"/>
    <mergeCell ref="D24:G24"/>
    <mergeCell ref="L21:L22"/>
    <mergeCell ref="M21:M22"/>
    <mergeCell ref="B22:C22"/>
    <mergeCell ref="D22:G22"/>
    <mergeCell ref="K21:K22"/>
    <mergeCell ref="H21:H22"/>
    <mergeCell ref="H23:H24"/>
    <mergeCell ref="A27:A28"/>
    <mergeCell ref="B27:C27"/>
    <mergeCell ref="D27:G27"/>
    <mergeCell ref="I27:I28"/>
    <mergeCell ref="J27:J28"/>
    <mergeCell ref="A25:A26"/>
    <mergeCell ref="B25:C25"/>
    <mergeCell ref="D25:G25"/>
    <mergeCell ref="I25:I26"/>
    <mergeCell ref="J25:J26"/>
    <mergeCell ref="K27:K28"/>
    <mergeCell ref="L27:L28"/>
    <mergeCell ref="M27:M28"/>
    <mergeCell ref="B28:C28"/>
    <mergeCell ref="D28:G28"/>
    <mergeCell ref="L25:L26"/>
    <mergeCell ref="M25:M26"/>
    <mergeCell ref="B26:C26"/>
    <mergeCell ref="D26:G26"/>
    <mergeCell ref="K25:K26"/>
    <mergeCell ref="H25:H26"/>
    <mergeCell ref="H27:H28"/>
    <mergeCell ref="A31:A32"/>
    <mergeCell ref="B31:C31"/>
    <mergeCell ref="D31:G31"/>
    <mergeCell ref="I31:I32"/>
    <mergeCell ref="J31:J32"/>
    <mergeCell ref="A29:A30"/>
    <mergeCell ref="B29:C29"/>
    <mergeCell ref="D29:G29"/>
    <mergeCell ref="I29:I30"/>
    <mergeCell ref="J29:J30"/>
    <mergeCell ref="K31:K32"/>
    <mergeCell ref="L31:L32"/>
    <mergeCell ref="M31:M32"/>
    <mergeCell ref="B32:C32"/>
    <mergeCell ref="D32:G32"/>
    <mergeCell ref="L29:L30"/>
    <mergeCell ref="M29:M30"/>
    <mergeCell ref="B30:C30"/>
    <mergeCell ref="D30:G30"/>
    <mergeCell ref="K29:K30"/>
    <mergeCell ref="H29:H30"/>
    <mergeCell ref="H31:H32"/>
    <mergeCell ref="A35:A36"/>
    <mergeCell ref="B35:C35"/>
    <mergeCell ref="D35:G35"/>
    <mergeCell ref="I35:I36"/>
    <mergeCell ref="J35:J36"/>
    <mergeCell ref="A33:A34"/>
    <mergeCell ref="B33:C33"/>
    <mergeCell ref="D33:G33"/>
    <mergeCell ref="I33:I34"/>
    <mergeCell ref="J33:J34"/>
    <mergeCell ref="K35:K36"/>
    <mergeCell ref="L35:L36"/>
    <mergeCell ref="M35:M36"/>
    <mergeCell ref="B36:C36"/>
    <mergeCell ref="D36:G36"/>
    <mergeCell ref="L33:L34"/>
    <mergeCell ref="M33:M34"/>
    <mergeCell ref="B34:C34"/>
    <mergeCell ref="D34:G34"/>
    <mergeCell ref="K33:K34"/>
    <mergeCell ref="H33:H34"/>
    <mergeCell ref="H35:H36"/>
    <mergeCell ref="A39:A40"/>
    <mergeCell ref="B39:C39"/>
    <mergeCell ref="D39:G39"/>
    <mergeCell ref="I39:I40"/>
    <mergeCell ref="J39:J40"/>
    <mergeCell ref="A37:A38"/>
    <mergeCell ref="B37:C37"/>
    <mergeCell ref="D37:G37"/>
    <mergeCell ref="I37:I38"/>
    <mergeCell ref="J37:J38"/>
    <mergeCell ref="K39:K40"/>
    <mergeCell ref="L39:L40"/>
    <mergeCell ref="M39:M40"/>
    <mergeCell ref="B40:C40"/>
    <mergeCell ref="D40:G40"/>
    <mergeCell ref="L37:L38"/>
    <mergeCell ref="M37:M38"/>
    <mergeCell ref="B38:C38"/>
    <mergeCell ref="D38:G38"/>
    <mergeCell ref="K37:K38"/>
    <mergeCell ref="H37:H38"/>
    <mergeCell ref="H39:H40"/>
    <mergeCell ref="A43:A44"/>
    <mergeCell ref="B43:C43"/>
    <mergeCell ref="D43:G43"/>
    <mergeCell ref="I43:I44"/>
    <mergeCell ref="J43:J44"/>
    <mergeCell ref="A41:A42"/>
    <mergeCell ref="B41:C41"/>
    <mergeCell ref="D41:G41"/>
    <mergeCell ref="I41:I42"/>
    <mergeCell ref="J41:J42"/>
    <mergeCell ref="K43:K44"/>
    <mergeCell ref="L43:L44"/>
    <mergeCell ref="M43:M44"/>
    <mergeCell ref="B44:C44"/>
    <mergeCell ref="D44:G44"/>
    <mergeCell ref="L41:L42"/>
    <mergeCell ref="M41:M42"/>
    <mergeCell ref="B42:C42"/>
    <mergeCell ref="D42:G42"/>
    <mergeCell ref="K41:K42"/>
    <mergeCell ref="H41:H42"/>
    <mergeCell ref="H43:H44"/>
    <mergeCell ref="A47:A48"/>
    <mergeCell ref="B47:C47"/>
    <mergeCell ref="D47:G47"/>
    <mergeCell ref="I47:I48"/>
    <mergeCell ref="J47:J48"/>
    <mergeCell ref="A45:A46"/>
    <mergeCell ref="B45:C45"/>
    <mergeCell ref="D45:G45"/>
    <mergeCell ref="I45:I46"/>
    <mergeCell ref="J45:J46"/>
    <mergeCell ref="K47:K48"/>
    <mergeCell ref="L47:L48"/>
    <mergeCell ref="M47:M48"/>
    <mergeCell ref="B48:C48"/>
    <mergeCell ref="D48:G48"/>
    <mergeCell ref="L45:L46"/>
    <mergeCell ref="M45:M46"/>
    <mergeCell ref="B46:C46"/>
    <mergeCell ref="D46:G46"/>
    <mergeCell ref="K45:K46"/>
    <mergeCell ref="H45:H46"/>
    <mergeCell ref="H47:H48"/>
    <mergeCell ref="L49:L50"/>
    <mergeCell ref="M49:M50"/>
    <mergeCell ref="B50:C50"/>
    <mergeCell ref="D50:G50"/>
    <mergeCell ref="A49:A50"/>
    <mergeCell ref="B49:C49"/>
    <mergeCell ref="D49:G49"/>
    <mergeCell ref="I49:I50"/>
    <mergeCell ref="J49:J50"/>
    <mergeCell ref="K49:K50"/>
    <mergeCell ref="H49:H50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E0488-006C-4208-86FB-CA6B9DB8571D}">
  <sheetPr>
    <tabColor rgb="FF00B050"/>
    <pageSetUpPr fitToPage="1"/>
  </sheetPr>
  <dimension ref="A1:P52"/>
  <sheetViews>
    <sheetView zoomScale="110" zoomScaleNormal="110" workbookViewId="0">
      <selection activeCell="K23" sqref="K23:K2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67" t="s">
        <v>823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9"/>
    </row>
    <row r="2" spans="1:16" ht="16.5" customHeight="1" thickBot="1">
      <c r="A2" s="2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  <c r="N2" s="7" t="s">
        <v>229</v>
      </c>
    </row>
    <row r="3" spans="1:16" s="1" customFormat="1" ht="14.1" customHeight="1">
      <c r="A3" s="78">
        <v>1</v>
      </c>
      <c r="B3" s="80" t="s">
        <v>149</v>
      </c>
      <c r="C3" s="81"/>
      <c r="D3" s="74" t="s">
        <v>82</v>
      </c>
      <c r="E3" s="82"/>
      <c r="F3" s="82"/>
      <c r="G3" s="83"/>
      <c r="H3" s="58">
        <f>SUM(I3)-3</f>
        <v>45</v>
      </c>
      <c r="I3" s="24">
        <f>SUM(J3)-3</f>
        <v>48</v>
      </c>
      <c r="J3" s="84">
        <v>51</v>
      </c>
      <c r="K3" s="85">
        <f>SUM(J3)+3</f>
        <v>54</v>
      </c>
      <c r="L3" s="85">
        <f>SUM(K3)+3</f>
        <v>57</v>
      </c>
      <c r="M3" s="85">
        <f>SUM(L3)+3</f>
        <v>60</v>
      </c>
      <c r="N3" s="138">
        <f>SUM(M3)+3</f>
        <v>63</v>
      </c>
    </row>
    <row r="4" spans="1:16" s="1" customFormat="1" ht="14.1" customHeight="1">
      <c r="A4" s="79"/>
      <c r="B4" s="62" t="s">
        <v>108</v>
      </c>
      <c r="C4" s="63"/>
      <c r="D4" s="64" t="s">
        <v>83</v>
      </c>
      <c r="E4" s="65"/>
      <c r="F4" s="65"/>
      <c r="G4" s="66"/>
      <c r="H4" s="56"/>
      <c r="I4" s="36"/>
      <c r="J4" s="35"/>
      <c r="K4" s="36"/>
      <c r="L4" s="36"/>
      <c r="M4" s="36"/>
      <c r="N4" s="137"/>
    </row>
    <row r="5" spans="1:16" s="1" customFormat="1" ht="14.1" customHeight="1">
      <c r="A5" s="92">
        <v>2</v>
      </c>
      <c r="B5" s="40" t="s">
        <v>165</v>
      </c>
      <c r="C5" s="41"/>
      <c r="D5" s="100"/>
      <c r="E5" s="101"/>
      <c r="F5" s="101"/>
      <c r="G5" s="102"/>
      <c r="H5" s="58"/>
      <c r="I5" s="24"/>
      <c r="J5" s="117"/>
      <c r="K5" s="50"/>
      <c r="L5" s="50"/>
      <c r="M5" s="50"/>
      <c r="N5" s="136"/>
    </row>
    <row r="6" spans="1:16" s="1" customFormat="1" ht="14.1" customHeight="1">
      <c r="A6" s="79"/>
      <c r="B6" s="62" t="s">
        <v>164</v>
      </c>
      <c r="C6" s="63"/>
      <c r="D6" s="64"/>
      <c r="E6" s="65"/>
      <c r="F6" s="65"/>
      <c r="G6" s="66"/>
      <c r="H6" s="56"/>
      <c r="I6" s="36"/>
      <c r="J6" s="35"/>
      <c r="K6" s="36"/>
      <c r="L6" s="36"/>
      <c r="M6" s="36"/>
      <c r="N6" s="137"/>
    </row>
    <row r="7" spans="1:16" s="1" customFormat="1" ht="14.1" customHeight="1">
      <c r="A7" s="92">
        <v>3</v>
      </c>
      <c r="B7" s="40" t="s">
        <v>148</v>
      </c>
      <c r="C7" s="41"/>
      <c r="D7" s="100"/>
      <c r="E7" s="101"/>
      <c r="F7" s="101"/>
      <c r="G7" s="102"/>
      <c r="H7" s="58"/>
      <c r="I7" s="24"/>
      <c r="J7" s="117"/>
      <c r="K7" s="50"/>
      <c r="L7" s="50"/>
      <c r="M7" s="50"/>
      <c r="N7" s="136"/>
    </row>
    <row r="8" spans="1:16" s="1" customFormat="1" ht="14.1" customHeight="1">
      <c r="A8" s="79"/>
      <c r="B8" s="62" t="s">
        <v>147</v>
      </c>
      <c r="C8" s="63"/>
      <c r="D8" s="64"/>
      <c r="E8" s="65"/>
      <c r="F8" s="65"/>
      <c r="G8" s="66"/>
      <c r="H8" s="56"/>
      <c r="I8" s="36"/>
      <c r="J8" s="35"/>
      <c r="K8" s="36"/>
      <c r="L8" s="36"/>
      <c r="M8" s="36"/>
      <c r="N8" s="137"/>
    </row>
    <row r="9" spans="1:16" s="1" customFormat="1" ht="14.1" customHeight="1">
      <c r="A9" s="92">
        <v>4</v>
      </c>
      <c r="B9" s="51" t="s">
        <v>163</v>
      </c>
      <c r="C9" s="52"/>
      <c r="D9" s="118"/>
      <c r="E9" s="119"/>
      <c r="F9" s="119"/>
      <c r="G9" s="120"/>
      <c r="H9" s="24">
        <f>SUM(I9)-2.2</f>
        <v>37.599999999999994</v>
      </c>
      <c r="I9" s="24">
        <f>SUM(J9)-2.2</f>
        <v>39.799999999999997</v>
      </c>
      <c r="J9" s="117">
        <v>42</v>
      </c>
      <c r="K9" s="50">
        <f>SUM(J9)+2.2</f>
        <v>44.2</v>
      </c>
      <c r="L9" s="50">
        <f>SUM(K9)+2.2</f>
        <v>46.400000000000006</v>
      </c>
      <c r="M9" s="24">
        <f>SUM(L9)+2.2</f>
        <v>48.600000000000009</v>
      </c>
      <c r="N9" s="88">
        <f>SUM(M9)+2.2</f>
        <v>50.800000000000011</v>
      </c>
    </row>
    <row r="10" spans="1:16" s="1" customFormat="1" ht="14.1" customHeight="1">
      <c r="A10" s="79"/>
      <c r="B10" s="62" t="s">
        <v>162</v>
      </c>
      <c r="C10" s="63"/>
      <c r="D10" s="114"/>
      <c r="E10" s="115"/>
      <c r="F10" s="115"/>
      <c r="G10" s="116"/>
      <c r="H10" s="36"/>
      <c r="I10" s="36"/>
      <c r="J10" s="35"/>
      <c r="K10" s="36"/>
      <c r="L10" s="36"/>
      <c r="M10" s="36"/>
      <c r="N10" s="87"/>
    </row>
    <row r="11" spans="1:16" s="1" customFormat="1" ht="14.1" customHeight="1">
      <c r="A11" s="92">
        <v>5</v>
      </c>
      <c r="B11" s="51" t="s">
        <v>157</v>
      </c>
      <c r="C11" s="52"/>
      <c r="D11" s="100"/>
      <c r="E11" s="101"/>
      <c r="F11" s="101"/>
      <c r="G11" s="102"/>
      <c r="H11" s="58">
        <f>SUM(I11)-4.5</f>
        <v>63</v>
      </c>
      <c r="I11" s="24">
        <f>SUM(J11)-4.5</f>
        <v>67.5</v>
      </c>
      <c r="J11" s="117">
        <v>72</v>
      </c>
      <c r="K11" s="50">
        <f>SUM(J11)+4.5</f>
        <v>76.5</v>
      </c>
      <c r="L11" s="50">
        <f>SUM(K11)+4.5</f>
        <v>81</v>
      </c>
      <c r="M11" s="50">
        <f>SUM(L11)+4.5</f>
        <v>85.5</v>
      </c>
      <c r="N11" s="136">
        <f>SUM(M11)+4.5</f>
        <v>90</v>
      </c>
    </row>
    <row r="12" spans="1:16" s="1" customFormat="1" ht="14.1" customHeight="1">
      <c r="A12" s="79"/>
      <c r="B12" s="62" t="s">
        <v>158</v>
      </c>
      <c r="C12" s="63"/>
      <c r="D12" s="64"/>
      <c r="E12" s="65"/>
      <c r="F12" s="65"/>
      <c r="G12" s="66"/>
      <c r="H12" s="56"/>
      <c r="I12" s="36"/>
      <c r="J12" s="35"/>
      <c r="K12" s="36"/>
      <c r="L12" s="36"/>
      <c r="M12" s="36"/>
      <c r="N12" s="137"/>
    </row>
    <row r="13" spans="1:16" s="1" customFormat="1" ht="14.1" customHeight="1">
      <c r="A13" s="92">
        <v>6</v>
      </c>
      <c r="B13" s="51" t="s">
        <v>13</v>
      </c>
      <c r="C13" s="52"/>
      <c r="D13" s="59" t="s">
        <v>182</v>
      </c>
      <c r="E13" s="60"/>
      <c r="F13" s="60"/>
      <c r="G13" s="61"/>
      <c r="H13" s="58">
        <f>SUM(I13)-5</f>
        <v>66</v>
      </c>
      <c r="I13" s="24">
        <f>SUM(J13)-5</f>
        <v>71</v>
      </c>
      <c r="J13" s="33">
        <v>76</v>
      </c>
      <c r="K13" s="24">
        <f>SUM(J13)+5</f>
        <v>81</v>
      </c>
      <c r="L13" s="24">
        <f>SUM(K13)+5</f>
        <v>86</v>
      </c>
      <c r="M13" s="24">
        <f>SUM(L13)+5</f>
        <v>91</v>
      </c>
      <c r="N13" s="139">
        <f>SUM(M13)+5</f>
        <v>96</v>
      </c>
    </row>
    <row r="14" spans="1:16" s="1" customFormat="1" ht="14.1" customHeight="1">
      <c r="A14" s="79"/>
      <c r="B14" s="62" t="s">
        <v>55</v>
      </c>
      <c r="C14" s="63"/>
      <c r="D14" s="64" t="s">
        <v>121</v>
      </c>
      <c r="E14" s="65"/>
      <c r="F14" s="65"/>
      <c r="G14" s="66"/>
      <c r="H14" s="56"/>
      <c r="I14" s="36"/>
      <c r="J14" s="35"/>
      <c r="K14" s="36"/>
      <c r="L14" s="36"/>
      <c r="M14" s="36"/>
      <c r="N14" s="137"/>
      <c r="P14" s="1" t="s">
        <v>419</v>
      </c>
    </row>
    <row r="15" spans="1:16" s="1" customFormat="1" ht="14.1" customHeight="1">
      <c r="A15" s="92">
        <v>7</v>
      </c>
      <c r="B15" s="51" t="s">
        <v>146</v>
      </c>
      <c r="C15" s="52"/>
      <c r="D15" s="59"/>
      <c r="E15" s="60"/>
      <c r="F15" s="60"/>
      <c r="G15" s="61"/>
      <c r="H15" s="58">
        <f>SUM(I15)-0.7</f>
        <v>9.6000000000000014</v>
      </c>
      <c r="I15" s="24">
        <f>SUM(J15)-0.7</f>
        <v>10.3</v>
      </c>
      <c r="J15" s="33">
        <v>11</v>
      </c>
      <c r="K15" s="24">
        <f>SUM(J15)+0.7</f>
        <v>11.7</v>
      </c>
      <c r="L15" s="24">
        <f>SUM(K15)+0.7</f>
        <v>12.399999999999999</v>
      </c>
      <c r="M15" s="58">
        <f>SUM(L15)+0.7</f>
        <v>13.099999999999998</v>
      </c>
      <c r="N15" s="139">
        <f>SUM(M15)+0.7</f>
        <v>13.799999999999997</v>
      </c>
    </row>
    <row r="16" spans="1:16" s="1" customFormat="1" ht="14.1" customHeight="1">
      <c r="A16" s="79"/>
      <c r="B16" s="62" t="s">
        <v>145</v>
      </c>
      <c r="C16" s="63"/>
      <c r="D16" s="89" t="s">
        <v>179</v>
      </c>
      <c r="E16" s="90"/>
      <c r="F16" s="90"/>
      <c r="G16" s="91"/>
      <c r="H16" s="56"/>
      <c r="I16" s="36"/>
      <c r="J16" s="35"/>
      <c r="K16" s="36"/>
      <c r="L16" s="36"/>
      <c r="M16" s="56"/>
      <c r="N16" s="137"/>
    </row>
    <row r="17" spans="1:14" s="1" customFormat="1" ht="14.1" customHeight="1">
      <c r="A17" s="92">
        <v>8</v>
      </c>
      <c r="B17" s="51" t="s">
        <v>166</v>
      </c>
      <c r="C17" s="52"/>
      <c r="D17" s="59"/>
      <c r="E17" s="60"/>
      <c r="F17" s="60"/>
      <c r="G17" s="61"/>
      <c r="H17" s="58">
        <f>SUM(I17)-0.7</f>
        <v>9.6000000000000014</v>
      </c>
      <c r="I17" s="24">
        <f>SUM(J17)-0.7</f>
        <v>10.3</v>
      </c>
      <c r="J17" s="33">
        <v>11</v>
      </c>
      <c r="K17" s="24">
        <f>SUM(J17)+0.7</f>
        <v>11.7</v>
      </c>
      <c r="L17" s="24">
        <f>SUM(K17)+0.7</f>
        <v>12.399999999999999</v>
      </c>
      <c r="M17" s="58">
        <f>SUM(L17)+0.7</f>
        <v>13.099999999999998</v>
      </c>
      <c r="N17" s="139">
        <f>SUM(M17)+0.7</f>
        <v>13.799999999999997</v>
      </c>
    </row>
    <row r="18" spans="1:14" s="1" customFormat="1" ht="14.1" customHeight="1">
      <c r="A18" s="79"/>
      <c r="B18" s="62" t="s">
        <v>167</v>
      </c>
      <c r="C18" s="63"/>
      <c r="D18" s="89" t="s">
        <v>168</v>
      </c>
      <c r="E18" s="90"/>
      <c r="F18" s="90"/>
      <c r="G18" s="91"/>
      <c r="H18" s="56"/>
      <c r="I18" s="36"/>
      <c r="J18" s="35"/>
      <c r="K18" s="36"/>
      <c r="L18" s="36"/>
      <c r="M18" s="56"/>
      <c r="N18" s="137"/>
    </row>
    <row r="19" spans="1:14" s="1" customFormat="1" ht="14.1" customHeight="1">
      <c r="A19" s="92">
        <v>9</v>
      </c>
      <c r="B19" s="51" t="s">
        <v>178</v>
      </c>
      <c r="C19" s="52"/>
      <c r="D19" s="59"/>
      <c r="E19" s="60"/>
      <c r="F19" s="60"/>
      <c r="G19" s="61"/>
      <c r="H19" s="24">
        <f>SUM(I19)-0</f>
        <v>2.8</v>
      </c>
      <c r="I19" s="24">
        <f>SUM(J19)-0</f>
        <v>2.8</v>
      </c>
      <c r="J19" s="33">
        <v>2.8</v>
      </c>
      <c r="K19" s="24">
        <f>SUM(J19)+0.5</f>
        <v>3.3</v>
      </c>
      <c r="L19" s="24">
        <f>SUM(K19)+0</f>
        <v>3.3</v>
      </c>
      <c r="M19" s="24">
        <f>SUM(L19)+0</f>
        <v>3.3</v>
      </c>
      <c r="N19" s="139">
        <f>SUM(M19)+0</f>
        <v>3.3</v>
      </c>
    </row>
    <row r="20" spans="1:14" s="1" customFormat="1" ht="14.1" customHeight="1">
      <c r="A20" s="79"/>
      <c r="B20" s="62" t="s">
        <v>177</v>
      </c>
      <c r="C20" s="63"/>
      <c r="D20" s="89"/>
      <c r="E20" s="90"/>
      <c r="F20" s="90"/>
      <c r="G20" s="91"/>
      <c r="H20" s="36"/>
      <c r="I20" s="36"/>
      <c r="J20" s="35"/>
      <c r="K20" s="36"/>
      <c r="L20" s="36"/>
      <c r="M20" s="36"/>
      <c r="N20" s="137"/>
    </row>
    <row r="21" spans="1:14" s="1" customFormat="1" ht="14.1" customHeight="1">
      <c r="A21" s="92">
        <v>10</v>
      </c>
      <c r="B21" s="51" t="s">
        <v>9</v>
      </c>
      <c r="C21" s="52"/>
      <c r="D21" s="59" t="s">
        <v>84</v>
      </c>
      <c r="E21" s="60"/>
      <c r="F21" s="60"/>
      <c r="G21" s="61"/>
      <c r="H21" s="24">
        <f>SUM(I21)-7</f>
        <v>50</v>
      </c>
      <c r="I21" s="24">
        <f>SUM(J21)-7</f>
        <v>57</v>
      </c>
      <c r="J21" s="33">
        <v>64</v>
      </c>
      <c r="K21" s="24">
        <f>SUM(J21)+6</f>
        <v>70</v>
      </c>
      <c r="L21" s="24">
        <f>SUM(K21)+6</f>
        <v>76</v>
      </c>
      <c r="M21" s="24">
        <f>SUM(L21)+6</f>
        <v>82</v>
      </c>
      <c r="N21" s="139">
        <f>SUM(M21)+6</f>
        <v>88</v>
      </c>
    </row>
    <row r="22" spans="1:14" s="1" customFormat="1" ht="14.1" customHeight="1">
      <c r="A22" s="79"/>
      <c r="B22" s="62" t="s">
        <v>56</v>
      </c>
      <c r="C22" s="63"/>
      <c r="D22" s="64" t="s">
        <v>120</v>
      </c>
      <c r="E22" s="65"/>
      <c r="F22" s="65"/>
      <c r="G22" s="66"/>
      <c r="H22" s="36"/>
      <c r="I22" s="36"/>
      <c r="J22" s="35"/>
      <c r="K22" s="36"/>
      <c r="L22" s="36"/>
      <c r="M22" s="36"/>
      <c r="N22" s="137"/>
    </row>
    <row r="23" spans="1:14" s="1" customFormat="1" ht="14.1" customHeight="1">
      <c r="A23" s="92">
        <v>11</v>
      </c>
      <c r="B23" s="51" t="s">
        <v>16</v>
      </c>
      <c r="C23" s="52"/>
      <c r="D23" s="59" t="s">
        <v>17</v>
      </c>
      <c r="E23" s="60"/>
      <c r="F23" s="60"/>
      <c r="G23" s="61"/>
      <c r="H23" s="24">
        <f>SUM(I23)-2.2</f>
        <v>36.599999999999994</v>
      </c>
      <c r="I23" s="24">
        <f>SUM(J23)-2.2</f>
        <v>38.799999999999997</v>
      </c>
      <c r="J23" s="33">
        <v>41</v>
      </c>
      <c r="K23" s="24">
        <f>SUM(J23)+2.2</f>
        <v>43.2</v>
      </c>
      <c r="L23" s="24">
        <f>SUM(K23)+2.2</f>
        <v>45.400000000000006</v>
      </c>
      <c r="M23" s="24">
        <f>SUM(L23)+2.2</f>
        <v>47.600000000000009</v>
      </c>
      <c r="N23" s="88">
        <f>SUM(M23)+2.2</f>
        <v>49.800000000000011</v>
      </c>
    </row>
    <row r="24" spans="1:14" s="1" customFormat="1" ht="14.1" customHeight="1">
      <c r="A24" s="79"/>
      <c r="B24" s="62" t="s">
        <v>57</v>
      </c>
      <c r="C24" s="63"/>
      <c r="D24" s="47" t="s">
        <v>119</v>
      </c>
      <c r="E24" s="48"/>
      <c r="F24" s="48"/>
      <c r="G24" s="49"/>
      <c r="H24" s="36"/>
      <c r="I24" s="36"/>
      <c r="J24" s="35"/>
      <c r="K24" s="36"/>
      <c r="L24" s="36"/>
      <c r="M24" s="36"/>
      <c r="N24" s="87"/>
    </row>
    <row r="25" spans="1:14" s="1" customFormat="1" ht="14.1" customHeight="1">
      <c r="A25" s="92">
        <v>12</v>
      </c>
      <c r="B25" s="51" t="s">
        <v>18</v>
      </c>
      <c r="C25" s="52"/>
      <c r="D25" s="59" t="s">
        <v>15</v>
      </c>
      <c r="E25" s="60"/>
      <c r="F25" s="60"/>
      <c r="G25" s="61"/>
      <c r="H25" s="58">
        <f>SUM(I25)-1.1</f>
        <v>20.299999999999997</v>
      </c>
      <c r="I25" s="24">
        <f>SUM(J25)-1.1</f>
        <v>21.4</v>
      </c>
      <c r="J25" s="33">
        <v>22.5</v>
      </c>
      <c r="K25" s="24">
        <f>SUM(J25)+1.6</f>
        <v>24.1</v>
      </c>
      <c r="L25" s="24">
        <f>SUM(K25)+1.1</f>
        <v>25.200000000000003</v>
      </c>
      <c r="M25" s="58">
        <f>SUM(L25)+1.1</f>
        <v>26.300000000000004</v>
      </c>
      <c r="N25" s="139">
        <f>SUM(M25)+1.1</f>
        <v>27.400000000000006</v>
      </c>
    </row>
    <row r="26" spans="1:14" s="1" customFormat="1" ht="14.1" customHeight="1">
      <c r="A26" s="79"/>
      <c r="B26" s="62" t="s">
        <v>63</v>
      </c>
      <c r="C26" s="63"/>
      <c r="D26" s="64" t="s">
        <v>118</v>
      </c>
      <c r="E26" s="65"/>
      <c r="F26" s="65"/>
      <c r="G26" s="66"/>
      <c r="H26" s="56"/>
      <c r="I26" s="36"/>
      <c r="J26" s="35"/>
      <c r="K26" s="36"/>
      <c r="L26" s="36"/>
      <c r="M26" s="56"/>
      <c r="N26" s="137"/>
    </row>
    <row r="27" spans="1:14" s="1" customFormat="1" ht="14.1" customHeight="1">
      <c r="A27" s="92">
        <v>13</v>
      </c>
      <c r="B27" s="51" t="s">
        <v>19</v>
      </c>
      <c r="C27" s="52"/>
      <c r="D27" s="59" t="s">
        <v>15</v>
      </c>
      <c r="E27" s="60"/>
      <c r="F27" s="60"/>
      <c r="G27" s="61"/>
      <c r="H27" s="58">
        <f>SUM(I27)-1.3</f>
        <v>26.9</v>
      </c>
      <c r="I27" s="24">
        <f>SUM(J27)-1.3</f>
        <v>28.2</v>
      </c>
      <c r="J27" s="33">
        <v>29.5</v>
      </c>
      <c r="K27" s="24">
        <f>SUM(J27)+1.8</f>
        <v>31.3</v>
      </c>
      <c r="L27" s="24">
        <f>SUM(K27)+1.3</f>
        <v>32.6</v>
      </c>
      <c r="M27" s="58">
        <f>SUM(L27)+1.3</f>
        <v>33.9</v>
      </c>
      <c r="N27" s="139">
        <f>SUM(M27)+1.3</f>
        <v>35.199999999999996</v>
      </c>
    </row>
    <row r="28" spans="1:14" s="1" customFormat="1" ht="14.1" customHeight="1">
      <c r="A28" s="79"/>
      <c r="B28" s="62" t="s">
        <v>62</v>
      </c>
      <c r="C28" s="63"/>
      <c r="D28" s="64" t="s">
        <v>118</v>
      </c>
      <c r="E28" s="65"/>
      <c r="F28" s="65"/>
      <c r="G28" s="66"/>
      <c r="H28" s="56"/>
      <c r="I28" s="36"/>
      <c r="J28" s="35"/>
      <c r="K28" s="36"/>
      <c r="L28" s="36"/>
      <c r="M28" s="56"/>
      <c r="N28" s="137"/>
    </row>
    <row r="29" spans="1:14" s="1" customFormat="1" ht="14.1" customHeight="1">
      <c r="A29" s="92">
        <v>14</v>
      </c>
      <c r="B29" s="51" t="s">
        <v>20</v>
      </c>
      <c r="C29" s="52"/>
      <c r="D29" s="59" t="s">
        <v>21</v>
      </c>
      <c r="E29" s="60"/>
      <c r="F29" s="60"/>
      <c r="G29" s="61"/>
      <c r="H29" s="24"/>
      <c r="I29" s="24"/>
      <c r="J29" s="33"/>
      <c r="K29" s="24"/>
      <c r="L29" s="24"/>
      <c r="M29" s="24"/>
      <c r="N29" s="139"/>
    </row>
    <row r="30" spans="1:14" s="1" customFormat="1" ht="14.1" customHeight="1">
      <c r="A30" s="79"/>
      <c r="B30" s="62" t="s">
        <v>61</v>
      </c>
      <c r="C30" s="63"/>
      <c r="D30" s="64" t="s">
        <v>117</v>
      </c>
      <c r="E30" s="65"/>
      <c r="F30" s="65"/>
      <c r="G30" s="66"/>
      <c r="H30" s="36"/>
      <c r="I30" s="36"/>
      <c r="J30" s="35"/>
      <c r="K30" s="36"/>
      <c r="L30" s="36"/>
      <c r="M30" s="36"/>
      <c r="N30" s="137"/>
    </row>
    <row r="31" spans="1:14" s="1" customFormat="1" ht="14.1" customHeight="1">
      <c r="A31" s="92">
        <v>15</v>
      </c>
      <c r="B31" s="51" t="s">
        <v>22</v>
      </c>
      <c r="C31" s="52"/>
      <c r="D31" s="59" t="s">
        <v>23</v>
      </c>
      <c r="E31" s="60"/>
      <c r="F31" s="60"/>
      <c r="G31" s="61"/>
      <c r="H31" s="24"/>
      <c r="I31" s="24"/>
      <c r="J31" s="33"/>
      <c r="K31" s="24"/>
      <c r="L31" s="24"/>
      <c r="M31" s="24"/>
      <c r="N31" s="139"/>
    </row>
    <row r="32" spans="1:14" s="1" customFormat="1" ht="14.1" customHeight="1">
      <c r="A32" s="79"/>
      <c r="B32" s="62" t="s">
        <v>60</v>
      </c>
      <c r="C32" s="63"/>
      <c r="D32" s="64" t="s">
        <v>116</v>
      </c>
      <c r="E32" s="65"/>
      <c r="F32" s="65"/>
      <c r="G32" s="66"/>
      <c r="H32" s="36"/>
      <c r="I32" s="36"/>
      <c r="J32" s="35"/>
      <c r="K32" s="36"/>
      <c r="L32" s="36"/>
      <c r="M32" s="36"/>
      <c r="N32" s="137"/>
    </row>
    <row r="33" spans="1:14" s="1" customFormat="1" ht="14.1" customHeight="1">
      <c r="A33" s="92">
        <v>16</v>
      </c>
      <c r="B33" s="51" t="s">
        <v>115</v>
      </c>
      <c r="C33" s="52"/>
      <c r="D33" s="59" t="s">
        <v>113</v>
      </c>
      <c r="E33" s="60"/>
      <c r="F33" s="60"/>
      <c r="G33" s="61"/>
      <c r="H33" s="58"/>
      <c r="I33" s="24"/>
      <c r="J33" s="33"/>
      <c r="K33" s="24"/>
      <c r="L33" s="24"/>
      <c r="M33" s="58"/>
      <c r="N33" s="139"/>
    </row>
    <row r="34" spans="1:14" s="1" customFormat="1" ht="14.1" customHeight="1">
      <c r="A34" s="79"/>
      <c r="B34" s="62" t="s">
        <v>114</v>
      </c>
      <c r="C34" s="63"/>
      <c r="D34" s="64" t="s">
        <v>113</v>
      </c>
      <c r="E34" s="65"/>
      <c r="F34" s="65"/>
      <c r="G34" s="66"/>
      <c r="H34" s="56"/>
      <c r="I34" s="36"/>
      <c r="J34" s="35"/>
      <c r="K34" s="36"/>
      <c r="L34" s="36"/>
      <c r="M34" s="56"/>
      <c r="N34" s="137"/>
    </row>
    <row r="35" spans="1:14" s="1" customFormat="1" ht="14.1" customHeight="1">
      <c r="A35" s="92">
        <v>17</v>
      </c>
      <c r="B35" s="51" t="s">
        <v>112</v>
      </c>
      <c r="C35" s="52"/>
      <c r="D35" s="59" t="s">
        <v>111</v>
      </c>
      <c r="E35" s="60"/>
      <c r="F35" s="60"/>
      <c r="G35" s="61"/>
      <c r="H35" s="24"/>
      <c r="I35" s="24"/>
      <c r="J35" s="33"/>
      <c r="K35" s="24"/>
      <c r="L35" s="24"/>
      <c r="M35" s="24"/>
      <c r="N35" s="139"/>
    </row>
    <row r="36" spans="1:14" s="1" customFormat="1" ht="14.1" customHeight="1">
      <c r="A36" s="79"/>
      <c r="B36" s="62" t="s">
        <v>110</v>
      </c>
      <c r="C36" s="63"/>
      <c r="D36" s="64" t="s">
        <v>160</v>
      </c>
      <c r="E36" s="65"/>
      <c r="F36" s="65"/>
      <c r="G36" s="66"/>
      <c r="H36" s="36"/>
      <c r="I36" s="36"/>
      <c r="J36" s="35"/>
      <c r="K36" s="36"/>
      <c r="L36" s="36"/>
      <c r="M36" s="36"/>
      <c r="N36" s="137"/>
    </row>
    <row r="37" spans="1:14" s="1" customFormat="1" ht="14.1" customHeight="1">
      <c r="A37" s="92">
        <v>18</v>
      </c>
      <c r="B37" s="51" t="s">
        <v>144</v>
      </c>
      <c r="C37" s="52"/>
      <c r="D37" s="59" t="s">
        <v>24</v>
      </c>
      <c r="E37" s="60"/>
      <c r="F37" s="60"/>
      <c r="G37" s="61"/>
      <c r="H37" s="24">
        <f>SUM(I37)-0.5</f>
        <v>7</v>
      </c>
      <c r="I37" s="24">
        <f>SUM(J37)-0.5</f>
        <v>7.5</v>
      </c>
      <c r="J37" s="23">
        <v>8</v>
      </c>
      <c r="K37" s="21">
        <f>SUM(J37)+0.5</f>
        <v>8.5</v>
      </c>
      <c r="L37" s="21">
        <f>SUM(K37)+0.5</f>
        <v>9</v>
      </c>
      <c r="M37" s="133">
        <f>SUM(L37)+0.5</f>
        <v>9.5</v>
      </c>
      <c r="N37" s="140">
        <f>SUM(M37)+0.5</f>
        <v>10</v>
      </c>
    </row>
    <row r="38" spans="1:14" s="1" customFormat="1" ht="14.1" customHeight="1">
      <c r="A38" s="79"/>
      <c r="B38" s="62" t="s">
        <v>59</v>
      </c>
      <c r="C38" s="63"/>
      <c r="D38" s="64" t="s">
        <v>143</v>
      </c>
      <c r="E38" s="65"/>
      <c r="F38" s="65"/>
      <c r="G38" s="66"/>
      <c r="H38" s="36"/>
      <c r="I38" s="36"/>
      <c r="J38" s="23"/>
      <c r="K38" s="21"/>
      <c r="L38" s="21"/>
      <c r="M38" s="133"/>
      <c r="N38" s="140"/>
    </row>
    <row r="39" spans="1:14" s="1" customFormat="1" ht="14.1" customHeight="1">
      <c r="A39" s="92">
        <v>19</v>
      </c>
      <c r="B39" s="51" t="s">
        <v>142</v>
      </c>
      <c r="C39" s="52"/>
      <c r="D39" s="59" t="s">
        <v>25</v>
      </c>
      <c r="E39" s="60"/>
      <c r="F39" s="60"/>
      <c r="G39" s="61"/>
      <c r="H39" s="24">
        <f>SUM(I39)-0.3</f>
        <v>5.9</v>
      </c>
      <c r="I39" s="24">
        <f>SUM(J39)-0.3</f>
        <v>6.2</v>
      </c>
      <c r="J39" s="33">
        <v>6.5</v>
      </c>
      <c r="K39" s="24">
        <f>SUM(J39)+0.3</f>
        <v>6.8</v>
      </c>
      <c r="L39" s="24">
        <f>SUM(K39)+0.3</f>
        <v>7.1</v>
      </c>
      <c r="M39" s="24">
        <f>SUM(L39)+0.3</f>
        <v>7.3999999999999995</v>
      </c>
      <c r="N39" s="139">
        <f>SUM(M39)+0.3</f>
        <v>7.6999999999999993</v>
      </c>
    </row>
    <row r="40" spans="1:14" s="1" customFormat="1" ht="14.1" customHeight="1">
      <c r="A40" s="79"/>
      <c r="B40" s="62" t="s">
        <v>58</v>
      </c>
      <c r="C40" s="63"/>
      <c r="D40" s="64" t="s">
        <v>141</v>
      </c>
      <c r="E40" s="65"/>
      <c r="F40" s="65"/>
      <c r="G40" s="66"/>
      <c r="H40" s="36"/>
      <c r="I40" s="36"/>
      <c r="J40" s="35"/>
      <c r="K40" s="36"/>
      <c r="L40" s="36"/>
      <c r="M40" s="36"/>
      <c r="N40" s="137"/>
    </row>
    <row r="41" spans="1:14" s="1" customFormat="1" ht="14.1" customHeight="1">
      <c r="A41" s="92">
        <v>20</v>
      </c>
      <c r="B41" s="51" t="s">
        <v>140</v>
      </c>
      <c r="C41" s="52"/>
      <c r="D41" s="57"/>
      <c r="E41" s="57"/>
      <c r="F41" s="57"/>
      <c r="G41" s="57"/>
      <c r="H41" s="24">
        <f>SUM(I41)-0.5</f>
        <v>10</v>
      </c>
      <c r="I41" s="24">
        <f>SUM(J41)-0.5</f>
        <v>10.5</v>
      </c>
      <c r="J41" s="33">
        <v>11</v>
      </c>
      <c r="K41" s="24">
        <f>SUM(J41)+0.5</f>
        <v>11.5</v>
      </c>
      <c r="L41" s="24">
        <f>SUM(K41)+0.5</f>
        <v>12</v>
      </c>
      <c r="M41" s="24">
        <f>SUM(L41)+0.5</f>
        <v>12.5</v>
      </c>
      <c r="N41" s="139">
        <f>SUM(M41)+0.5</f>
        <v>13</v>
      </c>
    </row>
    <row r="42" spans="1:14" s="1" customFormat="1" ht="14.1" customHeight="1">
      <c r="A42" s="79"/>
      <c r="B42" s="45" t="s">
        <v>139</v>
      </c>
      <c r="C42" s="46"/>
      <c r="D42" s="47"/>
      <c r="E42" s="48"/>
      <c r="F42" s="48"/>
      <c r="G42" s="49"/>
      <c r="H42" s="36"/>
      <c r="I42" s="36"/>
      <c r="J42" s="35"/>
      <c r="K42" s="36"/>
      <c r="L42" s="36"/>
      <c r="M42" s="36"/>
      <c r="N42" s="137"/>
    </row>
    <row r="43" spans="1:14" s="1" customFormat="1" ht="14.1" customHeight="1">
      <c r="A43" s="92">
        <v>21</v>
      </c>
      <c r="B43" s="51" t="s">
        <v>138</v>
      </c>
      <c r="C43" s="52"/>
      <c r="D43" s="57"/>
      <c r="E43" s="57"/>
      <c r="F43" s="57"/>
      <c r="G43" s="57"/>
      <c r="H43" s="24">
        <f>SUM(I43)-0.5</f>
        <v>11.5</v>
      </c>
      <c r="I43" s="24">
        <f>SUM(J43)-0.5</f>
        <v>12</v>
      </c>
      <c r="J43" s="33">
        <v>12.5</v>
      </c>
      <c r="K43" s="24">
        <f>SUM(J43)+0.5</f>
        <v>13</v>
      </c>
      <c r="L43" s="24">
        <f>SUM(K43)+0.5</f>
        <v>13.5</v>
      </c>
      <c r="M43" s="24">
        <f>SUM(L43)+0.5</f>
        <v>14</v>
      </c>
      <c r="N43" s="88">
        <f>SUM(M43)+0.5</f>
        <v>14.5</v>
      </c>
    </row>
    <row r="44" spans="1:14" s="1" customFormat="1" ht="14.1" customHeight="1" thickBot="1">
      <c r="A44" s="99"/>
      <c r="B44" s="110" t="s">
        <v>137</v>
      </c>
      <c r="C44" s="110"/>
      <c r="D44" s="30"/>
      <c r="E44" s="31"/>
      <c r="F44" s="31"/>
      <c r="G44" s="32"/>
      <c r="H44" s="25"/>
      <c r="I44" s="25"/>
      <c r="J44" s="34"/>
      <c r="K44" s="25"/>
      <c r="L44" s="25"/>
      <c r="M44" s="25"/>
      <c r="N44" s="103"/>
    </row>
    <row r="45" spans="1:14" s="1" customFormat="1" ht="14.1" customHeight="1"/>
    <row r="46" spans="1:14" s="1" customFormat="1" ht="14.1" customHeight="1"/>
    <row r="47" spans="1:14" s="1" customFormat="1" ht="14.1" customHeight="1"/>
    <row r="48" spans="1:14" s="1" customFormat="1" ht="14.1" customHeight="1"/>
    <row r="49" s="1" customFormat="1" ht="14.1" customHeight="1"/>
    <row r="50" s="1" customFormat="1" ht="14.1" customHeight="1"/>
    <row r="51" s="1" customFormat="1" ht="14.1" customHeight="1"/>
    <row r="52" s="1" customFormat="1" ht="14.1" customHeight="1"/>
  </sheetData>
  <mergeCells count="255"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30256-4A9C-4338-97EB-48C353F12C30}">
  <sheetPr codeName="Sheet106">
    <tabColor rgb="FF00B050"/>
    <pageSetUpPr fitToPage="1"/>
  </sheetPr>
  <dimension ref="A1:M74"/>
  <sheetViews>
    <sheetView topLeftCell="A7" zoomScale="110" zoomScaleNormal="110" workbookViewId="0">
      <selection activeCell="B6" sqref="B6:C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261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24">
        <f>SUM(I3)-3</f>
        <v>34</v>
      </c>
      <c r="I3" s="24">
        <f>SUM(J3)-3</f>
        <v>37</v>
      </c>
      <c r="J3" s="75">
        <v>40</v>
      </c>
      <c r="K3" s="76">
        <f>SUM(J3)+2.5</f>
        <v>42.5</v>
      </c>
      <c r="L3" s="76">
        <f>SUM(K3)+2.5</f>
        <v>45</v>
      </c>
      <c r="M3" s="77">
        <f>SUM(L3)+2.5</f>
        <v>47.5</v>
      </c>
    </row>
    <row r="4" spans="1:13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24"/>
      <c r="L4" s="24"/>
      <c r="M4" s="26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SUM(I5)-2</f>
        <v>34</v>
      </c>
      <c r="I5" s="24">
        <f>SUM(J5)-2</f>
        <v>36</v>
      </c>
      <c r="J5" s="33">
        <v>38</v>
      </c>
      <c r="K5" s="24">
        <f>SUM(J5)+1.8</f>
        <v>39.799999999999997</v>
      </c>
      <c r="L5" s="24">
        <f>SUM(K5)+1.8</f>
        <v>41.599999999999994</v>
      </c>
      <c r="M5" s="26">
        <f>SUM(L5)+1.8</f>
        <v>43.399999999999991</v>
      </c>
    </row>
    <row r="6" spans="1:13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37"/>
    </row>
    <row r="7" spans="1:13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36.5</v>
      </c>
      <c r="I7" s="24">
        <f>SUM(J7)-2.25</f>
        <v>38.75</v>
      </c>
      <c r="J7" s="33">
        <v>41</v>
      </c>
      <c r="K7" s="24">
        <f>SUM(J7)+2</f>
        <v>43</v>
      </c>
      <c r="L7" s="24">
        <f>SUM(K7)+2</f>
        <v>45</v>
      </c>
      <c r="M7" s="26">
        <f>SUM(L7)+2</f>
        <v>47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37"/>
    </row>
    <row r="9" spans="1:13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SUM(I9)-1.8</f>
        <v>30.400000000000002</v>
      </c>
      <c r="I9" s="24">
        <f>SUM(J9)-1.8</f>
        <v>32.200000000000003</v>
      </c>
      <c r="J9" s="33">
        <v>34</v>
      </c>
      <c r="K9" s="24">
        <f>SUM(J9)+1.6</f>
        <v>35.6</v>
      </c>
      <c r="L9" s="24">
        <f>SUM(K9)+1.6</f>
        <v>37.200000000000003</v>
      </c>
      <c r="M9" s="26">
        <f>SUM(L9)+1.6</f>
        <v>38.800000000000004</v>
      </c>
    </row>
    <row r="10" spans="1:13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7"/>
    </row>
    <row r="11" spans="1:13" s="1" customFormat="1" ht="14.1" customHeight="1">
      <c r="A11" s="38">
        <v>5</v>
      </c>
      <c r="B11" s="58" t="s">
        <v>262</v>
      </c>
      <c r="C11" s="58"/>
      <c r="D11" s="57"/>
      <c r="E11" s="57"/>
      <c r="F11" s="57"/>
      <c r="G11" s="57"/>
      <c r="H11" s="24">
        <f>SUM(I11)-0</f>
        <v>2.5</v>
      </c>
      <c r="I11" s="24">
        <f>SUM(J11)-0</f>
        <v>2.5</v>
      </c>
      <c r="J11" s="33">
        <v>2.5</v>
      </c>
      <c r="K11" s="24">
        <f>SUM(J11)+0.3</f>
        <v>2.8</v>
      </c>
      <c r="L11" s="24">
        <f>SUM(K11)+0</f>
        <v>2.8</v>
      </c>
      <c r="M11" s="26">
        <f>SUM(L11)+0</f>
        <v>2.8</v>
      </c>
    </row>
    <row r="12" spans="1:13" s="1" customFormat="1" ht="14.1" customHeight="1">
      <c r="A12" s="38"/>
      <c r="B12" s="56" t="s">
        <v>263</v>
      </c>
      <c r="C12" s="56"/>
      <c r="D12" s="47"/>
      <c r="E12" s="48"/>
      <c r="F12" s="48"/>
      <c r="G12" s="49"/>
      <c r="H12" s="36"/>
      <c r="I12" s="36"/>
      <c r="J12" s="35"/>
      <c r="K12" s="36"/>
      <c r="L12" s="36"/>
      <c r="M12" s="37"/>
    </row>
    <row r="13" spans="1:13" s="1" customFormat="1" ht="14.1" customHeight="1">
      <c r="A13" s="38">
        <v>6</v>
      </c>
      <c r="B13" s="58" t="s">
        <v>10</v>
      </c>
      <c r="C13" s="58"/>
      <c r="D13" s="57" t="s">
        <v>0</v>
      </c>
      <c r="E13" s="57"/>
      <c r="F13" s="57"/>
      <c r="G13" s="57"/>
      <c r="H13" s="24">
        <f>SUM(I13)-0.8</f>
        <v>14.399999999999999</v>
      </c>
      <c r="I13" s="24">
        <f>SUM(J13)-0.8</f>
        <v>15.2</v>
      </c>
      <c r="J13" s="23">
        <v>16</v>
      </c>
      <c r="K13" s="21">
        <f>SUM(J13)+0.8</f>
        <v>16.8</v>
      </c>
      <c r="L13" s="21">
        <f>SUM(K13)+0.8</f>
        <v>17.600000000000001</v>
      </c>
      <c r="M13" s="22">
        <f>SUM(L13)+0.8</f>
        <v>18.400000000000002</v>
      </c>
    </row>
    <row r="14" spans="1:13" s="1" customFormat="1" ht="14.1" customHeight="1">
      <c r="A14" s="38"/>
      <c r="B14" s="56" t="s">
        <v>28</v>
      </c>
      <c r="C14" s="56"/>
      <c r="D14" s="47" t="s">
        <v>51</v>
      </c>
      <c r="E14" s="48"/>
      <c r="F14" s="48"/>
      <c r="G14" s="49"/>
      <c r="H14" s="36"/>
      <c r="I14" s="36"/>
      <c r="J14" s="23"/>
      <c r="K14" s="21"/>
      <c r="L14" s="21"/>
      <c r="M14" s="22"/>
    </row>
    <row r="15" spans="1:13" s="1" customFormat="1" ht="14.1" customHeight="1">
      <c r="A15" s="38">
        <v>7</v>
      </c>
      <c r="B15" s="58" t="s">
        <v>264</v>
      </c>
      <c r="C15" s="58"/>
      <c r="D15" s="57"/>
      <c r="E15" s="57"/>
      <c r="F15" s="57"/>
      <c r="G15" s="57"/>
      <c r="H15" s="24">
        <f>SUM(I15)-0</f>
        <v>3</v>
      </c>
      <c r="I15" s="24">
        <f>SUM(J15)-0</f>
        <v>3</v>
      </c>
      <c r="J15" s="33">
        <v>3</v>
      </c>
      <c r="K15" s="24">
        <f>SUM(J15)+0.3</f>
        <v>3.3</v>
      </c>
      <c r="L15" s="24">
        <f>SUM(K15)+0</f>
        <v>3.3</v>
      </c>
      <c r="M15" s="26">
        <f>SUM(L15)+0</f>
        <v>3.3</v>
      </c>
    </row>
    <row r="16" spans="1:13" s="1" customFormat="1" ht="14.1" customHeight="1">
      <c r="A16" s="38"/>
      <c r="B16" s="56" t="s">
        <v>265</v>
      </c>
      <c r="C16" s="56"/>
      <c r="D16" s="47"/>
      <c r="E16" s="48"/>
      <c r="F16" s="48"/>
      <c r="G16" s="49"/>
      <c r="H16" s="36"/>
      <c r="I16" s="36"/>
      <c r="J16" s="35"/>
      <c r="K16" s="36"/>
      <c r="L16" s="36"/>
      <c r="M16" s="37"/>
    </row>
    <row r="17" spans="1:13" s="1" customFormat="1" ht="14.1" customHeight="1">
      <c r="A17" s="38">
        <v>8</v>
      </c>
      <c r="B17" s="58" t="s">
        <v>1</v>
      </c>
      <c r="C17" s="58"/>
      <c r="D17" s="57" t="s">
        <v>180</v>
      </c>
      <c r="E17" s="57"/>
      <c r="F17" s="57"/>
      <c r="G17" s="57"/>
      <c r="H17" s="24">
        <f>SUM(I17)-0.6</f>
        <v>14.8</v>
      </c>
      <c r="I17" s="24">
        <f>SUM(J17)-0.6</f>
        <v>15.4</v>
      </c>
      <c r="J17" s="23">
        <v>16</v>
      </c>
      <c r="K17" s="21">
        <f>SUM(J17)+0.6</f>
        <v>16.600000000000001</v>
      </c>
      <c r="L17" s="21">
        <f>SUM(K17)+0.6</f>
        <v>17.200000000000003</v>
      </c>
      <c r="M17" s="22">
        <f>SUM(L17)+0.6</f>
        <v>17.800000000000004</v>
      </c>
    </row>
    <row r="18" spans="1:13" s="1" customFormat="1" ht="14.1" customHeight="1">
      <c r="A18" s="38"/>
      <c r="B18" s="56" t="s">
        <v>29</v>
      </c>
      <c r="C18" s="56"/>
      <c r="D18" s="47" t="s">
        <v>154</v>
      </c>
      <c r="E18" s="48"/>
      <c r="F18" s="48"/>
      <c r="G18" s="49"/>
      <c r="H18" s="36"/>
      <c r="I18" s="36"/>
      <c r="J18" s="23"/>
      <c r="K18" s="21"/>
      <c r="L18" s="21"/>
      <c r="M18" s="22"/>
    </row>
    <row r="19" spans="1:13" s="1" customFormat="1" ht="14.1" customHeight="1">
      <c r="A19" s="38">
        <v>9</v>
      </c>
      <c r="B19" s="58" t="s">
        <v>2</v>
      </c>
      <c r="C19" s="58"/>
      <c r="D19" s="57" t="s">
        <v>3</v>
      </c>
      <c r="E19" s="57"/>
      <c r="F19" s="57"/>
      <c r="G19" s="57"/>
      <c r="H19" s="24">
        <f>SUM(I19)-0.3</f>
        <v>6.5</v>
      </c>
      <c r="I19" s="24">
        <f>SUM(J19)-0.3</f>
        <v>6.8</v>
      </c>
      <c r="J19" s="23">
        <v>7.1</v>
      </c>
      <c r="K19" s="21">
        <f>SUM(J19)+0.3</f>
        <v>7.3999999999999995</v>
      </c>
      <c r="L19" s="21">
        <f>SUM(K19)+0.3</f>
        <v>7.6999999999999993</v>
      </c>
      <c r="M19" s="22">
        <f>SUM(L19)+0.3</f>
        <v>7.9999999999999991</v>
      </c>
    </row>
    <row r="20" spans="1:13" s="1" customFormat="1" ht="14.1" customHeight="1">
      <c r="A20" s="38"/>
      <c r="B20" s="56" t="s">
        <v>30</v>
      </c>
      <c r="C20" s="56"/>
      <c r="D20" s="47" t="s">
        <v>155</v>
      </c>
      <c r="E20" s="48"/>
      <c r="F20" s="48"/>
      <c r="G20" s="49"/>
      <c r="H20" s="36"/>
      <c r="I20" s="36"/>
      <c r="J20" s="23"/>
      <c r="K20" s="21"/>
      <c r="L20" s="21"/>
      <c r="M20" s="22"/>
    </row>
    <row r="21" spans="1:13" s="1" customFormat="1" ht="14.1" customHeight="1">
      <c r="A21" s="38">
        <v>10</v>
      </c>
      <c r="B21" s="51" t="s">
        <v>85</v>
      </c>
      <c r="C21" s="52"/>
      <c r="D21" s="59" t="s">
        <v>86</v>
      </c>
      <c r="E21" s="60"/>
      <c r="F21" s="60"/>
      <c r="G21" s="61"/>
      <c r="H21" s="24">
        <f>SUM(I21)-1.6</f>
        <v>38.199999999999996</v>
      </c>
      <c r="I21" s="24">
        <f>SUM(J21)-1.6</f>
        <v>39.799999999999997</v>
      </c>
      <c r="J21" s="23">
        <v>41.4</v>
      </c>
      <c r="K21" s="21">
        <f>SUM(J21)+1.6</f>
        <v>43</v>
      </c>
      <c r="L21" s="21">
        <f>SUM(K21)+1.6</f>
        <v>44.6</v>
      </c>
      <c r="M21" s="22">
        <f>SUM(L21)+1.6</f>
        <v>46.2</v>
      </c>
    </row>
    <row r="22" spans="1:13" s="1" customFormat="1" ht="14.1" customHeight="1">
      <c r="A22" s="38"/>
      <c r="B22" s="56" t="s">
        <v>37</v>
      </c>
      <c r="C22" s="56"/>
      <c r="D22" s="47" t="s">
        <v>156</v>
      </c>
      <c r="E22" s="48"/>
      <c r="F22" s="48"/>
      <c r="G22" s="49"/>
      <c r="H22" s="36"/>
      <c r="I22" s="36"/>
      <c r="J22" s="23"/>
      <c r="K22" s="21"/>
      <c r="L22" s="21"/>
      <c r="M22" s="22"/>
    </row>
    <row r="23" spans="1:13" s="1" customFormat="1" ht="14.1" customHeight="1">
      <c r="A23" s="38">
        <v>11</v>
      </c>
      <c r="B23" s="58" t="s">
        <v>4</v>
      </c>
      <c r="C23" s="58"/>
      <c r="D23" s="57" t="s">
        <v>5</v>
      </c>
      <c r="E23" s="57"/>
      <c r="F23" s="57"/>
      <c r="G23" s="57"/>
      <c r="H23" s="24">
        <f>SUM(I23)-3.5</f>
        <v>28</v>
      </c>
      <c r="I23" s="24">
        <f>SUM(J23)-3.5</f>
        <v>31.5</v>
      </c>
      <c r="J23" s="23">
        <v>35</v>
      </c>
      <c r="K23" s="21">
        <f>SUM(J23)+3.6</f>
        <v>38.6</v>
      </c>
      <c r="L23" s="21">
        <f>SUM(K23)+3.6</f>
        <v>42.2</v>
      </c>
      <c r="M23" s="22">
        <f>SUM(L23)+3.6</f>
        <v>45.800000000000004</v>
      </c>
    </row>
    <row r="24" spans="1:13" s="1" customFormat="1" ht="14.1" customHeight="1">
      <c r="A24" s="38"/>
      <c r="B24" s="56" t="s">
        <v>31</v>
      </c>
      <c r="C24" s="56"/>
      <c r="D24" s="47" t="s">
        <v>54</v>
      </c>
      <c r="E24" s="48"/>
      <c r="F24" s="48"/>
      <c r="G24" s="49"/>
      <c r="H24" s="36"/>
      <c r="I24" s="36"/>
      <c r="J24" s="23"/>
      <c r="K24" s="21"/>
      <c r="L24" s="21"/>
      <c r="M24" s="22"/>
    </row>
    <row r="25" spans="1:13" s="1" customFormat="1" ht="14.1" customHeight="1">
      <c r="A25" s="38">
        <v>12</v>
      </c>
      <c r="B25" s="58" t="s">
        <v>6</v>
      </c>
      <c r="C25" s="58"/>
      <c r="D25" s="59" t="s">
        <v>7</v>
      </c>
      <c r="E25" s="60"/>
      <c r="F25" s="60"/>
      <c r="G25" s="61"/>
      <c r="H25" s="24">
        <f>SUM(I25)-1.6</f>
        <v>29.4</v>
      </c>
      <c r="I25" s="24">
        <f>SUM(J25)-1.6</f>
        <v>31</v>
      </c>
      <c r="J25" s="23">
        <v>32.6</v>
      </c>
      <c r="K25" s="21">
        <f>SUM(J25)+1.6</f>
        <v>34.200000000000003</v>
      </c>
      <c r="L25" s="21">
        <f>SUM(K25)+1.6</f>
        <v>35.800000000000004</v>
      </c>
      <c r="M25" s="22">
        <f>SUM(L25)+1.6</f>
        <v>37.400000000000006</v>
      </c>
    </row>
    <row r="26" spans="1:13" s="1" customFormat="1" ht="14.1" customHeight="1">
      <c r="A26" s="38"/>
      <c r="B26" s="56" t="s">
        <v>32</v>
      </c>
      <c r="C26" s="56"/>
      <c r="D26" s="47" t="s">
        <v>76</v>
      </c>
      <c r="E26" s="48"/>
      <c r="F26" s="48"/>
      <c r="G26" s="49"/>
      <c r="H26" s="36"/>
      <c r="I26" s="36"/>
      <c r="J26" s="23"/>
      <c r="K26" s="21"/>
      <c r="L26" s="21"/>
      <c r="M26" s="22"/>
    </row>
    <row r="27" spans="1:13" s="1" customFormat="1" ht="14.1" customHeight="1">
      <c r="A27" s="38">
        <v>13</v>
      </c>
      <c r="B27" s="51" t="s">
        <v>77</v>
      </c>
      <c r="C27" s="52"/>
      <c r="D27" s="57" t="s">
        <v>78</v>
      </c>
      <c r="E27" s="57"/>
      <c r="F27" s="57"/>
      <c r="G27" s="57"/>
      <c r="H27" s="24">
        <f>SUM(I27)-0.6</f>
        <v>14</v>
      </c>
      <c r="I27" s="24">
        <f>SUM(J27)-0.6</f>
        <v>14.6</v>
      </c>
      <c r="J27" s="23">
        <v>15.2</v>
      </c>
      <c r="K27" s="21">
        <f>SUM(J27)+0.6</f>
        <v>15.799999999999999</v>
      </c>
      <c r="L27" s="21">
        <f>SUM(K27)+0.6</f>
        <v>16.399999999999999</v>
      </c>
      <c r="M27" s="22">
        <f>SUM(L27)+0.6</f>
        <v>17</v>
      </c>
    </row>
    <row r="28" spans="1:13" s="1" customFormat="1" ht="14.1" customHeight="1">
      <c r="A28" s="38"/>
      <c r="B28" s="56" t="s">
        <v>33</v>
      </c>
      <c r="C28" s="56"/>
      <c r="D28" s="47" t="s">
        <v>79</v>
      </c>
      <c r="E28" s="48"/>
      <c r="F28" s="48"/>
      <c r="G28" s="49"/>
      <c r="H28" s="36"/>
      <c r="I28" s="36"/>
      <c r="J28" s="23"/>
      <c r="K28" s="21"/>
      <c r="L28" s="21"/>
      <c r="M28" s="22"/>
    </row>
    <row r="29" spans="1:13" s="1" customFormat="1" ht="14.1" customHeight="1">
      <c r="A29" s="38">
        <v>14</v>
      </c>
      <c r="B29" s="51" t="s">
        <v>176</v>
      </c>
      <c r="C29" s="52"/>
      <c r="D29" s="53" t="s">
        <v>103</v>
      </c>
      <c r="E29" s="54"/>
      <c r="F29" s="54"/>
      <c r="G29" s="55"/>
      <c r="H29" s="24">
        <f>SUM(I29)-0.3</f>
        <v>3.4000000000000004</v>
      </c>
      <c r="I29" s="24">
        <f>SUM(J29)-0.3</f>
        <v>3.7</v>
      </c>
      <c r="J29" s="23">
        <v>4</v>
      </c>
      <c r="K29" s="21">
        <f>SUM(J29)+0.3</f>
        <v>4.3</v>
      </c>
      <c r="L29" s="21">
        <f>SUM(K29)+0.3</f>
        <v>4.5999999999999996</v>
      </c>
      <c r="M29" s="22">
        <f>SUM(L29)+0.3</f>
        <v>4.8999999999999995</v>
      </c>
    </row>
    <row r="30" spans="1:13" s="1" customFormat="1" ht="14.1" customHeight="1" thickBot="1">
      <c r="A30" s="147"/>
      <c r="B30" s="142" t="s">
        <v>175</v>
      </c>
      <c r="C30" s="143"/>
      <c r="D30" s="144" t="s">
        <v>104</v>
      </c>
      <c r="E30" s="145"/>
      <c r="F30" s="145"/>
      <c r="G30" s="146"/>
      <c r="H30" s="148"/>
      <c r="I30" s="148"/>
      <c r="J30" s="151"/>
      <c r="K30" s="149"/>
      <c r="L30" s="149"/>
      <c r="M30" s="150"/>
    </row>
    <row r="31" spans="1:13" ht="14.1" customHeight="1" thickTop="1">
      <c r="A31" s="71">
        <v>15</v>
      </c>
      <c r="B31" s="40" t="s">
        <v>149</v>
      </c>
      <c r="C31" s="41"/>
      <c r="D31" s="100" t="s">
        <v>82</v>
      </c>
      <c r="E31" s="101"/>
      <c r="F31" s="101"/>
      <c r="G31" s="102"/>
      <c r="H31" s="141">
        <f>SUM(I31)-3</f>
        <v>45</v>
      </c>
      <c r="I31" s="50">
        <f>SUM(J31)-3</f>
        <v>48</v>
      </c>
      <c r="J31" s="117">
        <v>51</v>
      </c>
      <c r="K31" s="50">
        <f>SUM(J31)+3</f>
        <v>54</v>
      </c>
      <c r="L31" s="50">
        <f>SUM(K31)+3</f>
        <v>57</v>
      </c>
      <c r="M31" s="113">
        <f>SUM(L31)+3</f>
        <v>60</v>
      </c>
    </row>
    <row r="32" spans="1:13" ht="14.1" customHeight="1">
      <c r="A32" s="38"/>
      <c r="B32" s="62" t="s">
        <v>108</v>
      </c>
      <c r="C32" s="63"/>
      <c r="D32" s="64" t="s">
        <v>83</v>
      </c>
      <c r="E32" s="65"/>
      <c r="F32" s="65"/>
      <c r="G32" s="66"/>
      <c r="H32" s="56"/>
      <c r="I32" s="36"/>
      <c r="J32" s="35"/>
      <c r="K32" s="36"/>
      <c r="L32" s="36"/>
      <c r="M32" s="37"/>
    </row>
    <row r="33" spans="1:13" ht="14.1" customHeight="1">
      <c r="A33" s="38">
        <v>16</v>
      </c>
      <c r="B33" s="40" t="s">
        <v>165</v>
      </c>
      <c r="C33" s="41"/>
      <c r="D33" s="100"/>
      <c r="E33" s="101"/>
      <c r="F33" s="101"/>
      <c r="G33" s="102"/>
      <c r="H33" s="58"/>
      <c r="I33" s="24"/>
      <c r="J33" s="117"/>
      <c r="K33" s="50"/>
      <c r="L33" s="50"/>
      <c r="M33" s="113"/>
    </row>
    <row r="34" spans="1:13" ht="14.1" customHeight="1">
      <c r="A34" s="38"/>
      <c r="B34" s="62" t="s">
        <v>164</v>
      </c>
      <c r="C34" s="63"/>
      <c r="D34" s="64"/>
      <c r="E34" s="65"/>
      <c r="F34" s="65"/>
      <c r="G34" s="66"/>
      <c r="H34" s="56"/>
      <c r="I34" s="36"/>
      <c r="J34" s="35"/>
      <c r="K34" s="36"/>
      <c r="L34" s="36"/>
      <c r="M34" s="37"/>
    </row>
    <row r="35" spans="1:13" ht="14.1" customHeight="1">
      <c r="A35" s="38">
        <v>17</v>
      </c>
      <c r="B35" s="40" t="s">
        <v>148</v>
      </c>
      <c r="C35" s="41"/>
      <c r="D35" s="100"/>
      <c r="E35" s="101"/>
      <c r="F35" s="101"/>
      <c r="G35" s="102"/>
      <c r="H35" s="58"/>
      <c r="I35" s="24"/>
      <c r="J35" s="117"/>
      <c r="K35" s="50"/>
      <c r="L35" s="50"/>
      <c r="M35" s="113"/>
    </row>
    <row r="36" spans="1:13" ht="14.1" customHeight="1">
      <c r="A36" s="38"/>
      <c r="B36" s="62" t="s">
        <v>147</v>
      </c>
      <c r="C36" s="63"/>
      <c r="D36" s="64"/>
      <c r="E36" s="65"/>
      <c r="F36" s="65"/>
      <c r="G36" s="66"/>
      <c r="H36" s="56"/>
      <c r="I36" s="36"/>
      <c r="J36" s="35"/>
      <c r="K36" s="36"/>
      <c r="L36" s="36"/>
      <c r="M36" s="37"/>
    </row>
    <row r="37" spans="1:13" ht="14.1" customHeight="1">
      <c r="A37" s="38">
        <v>18</v>
      </c>
      <c r="B37" s="51" t="s">
        <v>163</v>
      </c>
      <c r="C37" s="52"/>
      <c r="D37" s="118"/>
      <c r="E37" s="119"/>
      <c r="F37" s="119"/>
      <c r="G37" s="120"/>
      <c r="H37" s="24"/>
      <c r="I37" s="24"/>
      <c r="J37" s="117"/>
      <c r="K37" s="50"/>
      <c r="L37" s="50"/>
      <c r="M37" s="113"/>
    </row>
    <row r="38" spans="1:13" ht="14.1" customHeight="1">
      <c r="A38" s="38"/>
      <c r="B38" s="62" t="s">
        <v>162</v>
      </c>
      <c r="C38" s="63"/>
      <c r="D38" s="114"/>
      <c r="E38" s="115"/>
      <c r="F38" s="115"/>
      <c r="G38" s="116"/>
      <c r="H38" s="36"/>
      <c r="I38" s="36"/>
      <c r="J38" s="35"/>
      <c r="K38" s="36"/>
      <c r="L38" s="36"/>
      <c r="M38" s="37"/>
    </row>
    <row r="39" spans="1:13" ht="14.1" customHeight="1">
      <c r="A39" s="38">
        <v>19</v>
      </c>
      <c r="B39" s="51" t="s">
        <v>157</v>
      </c>
      <c r="C39" s="52"/>
      <c r="D39" s="100"/>
      <c r="E39" s="101"/>
      <c r="F39" s="101"/>
      <c r="G39" s="102"/>
      <c r="H39" s="24">
        <f>SUM(I39)-3.5</f>
        <v>65.599999999999994</v>
      </c>
      <c r="I39" s="24">
        <f>SUM(J39)-3.5</f>
        <v>69.099999999999994</v>
      </c>
      <c r="J39" s="117">
        <v>72.599999999999994</v>
      </c>
      <c r="K39" s="50">
        <f>SUM(J39)+3.5</f>
        <v>76.099999999999994</v>
      </c>
      <c r="L39" s="50">
        <f>SUM(K39)+3.5</f>
        <v>79.599999999999994</v>
      </c>
      <c r="M39" s="113">
        <f>SUM(L39)+3.5</f>
        <v>83.1</v>
      </c>
    </row>
    <row r="40" spans="1:13" ht="14.1" customHeight="1">
      <c r="A40" s="38"/>
      <c r="B40" s="62" t="s">
        <v>158</v>
      </c>
      <c r="C40" s="63"/>
      <c r="D40" s="64"/>
      <c r="E40" s="65"/>
      <c r="F40" s="65"/>
      <c r="G40" s="66"/>
      <c r="H40" s="36"/>
      <c r="I40" s="36"/>
      <c r="J40" s="35"/>
      <c r="K40" s="36"/>
      <c r="L40" s="36"/>
      <c r="M40" s="37"/>
    </row>
    <row r="41" spans="1:13" ht="14.1" customHeight="1">
      <c r="A41" s="38">
        <v>20</v>
      </c>
      <c r="B41" s="51" t="s">
        <v>13</v>
      </c>
      <c r="C41" s="52"/>
      <c r="D41" s="59" t="s">
        <v>182</v>
      </c>
      <c r="E41" s="60"/>
      <c r="F41" s="60"/>
      <c r="G41" s="61"/>
      <c r="H41" s="24">
        <f>SUM(I41)-4</f>
        <v>68.8</v>
      </c>
      <c r="I41" s="24">
        <f>SUM(J41)-4</f>
        <v>72.8</v>
      </c>
      <c r="J41" s="33">
        <v>76.8</v>
      </c>
      <c r="K41" s="24">
        <f>SUM(J41)+4</f>
        <v>80.8</v>
      </c>
      <c r="L41" s="24">
        <f>SUM(K41)+4</f>
        <v>84.8</v>
      </c>
      <c r="M41" s="26">
        <f>SUM(L41)+4</f>
        <v>88.8</v>
      </c>
    </row>
    <row r="42" spans="1:13" ht="14.1" customHeight="1">
      <c r="A42" s="38"/>
      <c r="B42" s="62" t="s">
        <v>55</v>
      </c>
      <c r="C42" s="63"/>
      <c r="D42" s="64" t="s">
        <v>121</v>
      </c>
      <c r="E42" s="65"/>
      <c r="F42" s="65"/>
      <c r="G42" s="66"/>
      <c r="H42" s="36"/>
      <c r="I42" s="36"/>
      <c r="J42" s="35"/>
      <c r="K42" s="36"/>
      <c r="L42" s="36"/>
      <c r="M42" s="37"/>
    </row>
    <row r="43" spans="1:13" ht="14.1" customHeight="1">
      <c r="A43" s="38">
        <v>21</v>
      </c>
      <c r="B43" s="51" t="s">
        <v>146</v>
      </c>
      <c r="C43" s="52"/>
      <c r="D43" s="59"/>
      <c r="E43" s="60"/>
      <c r="F43" s="60"/>
      <c r="G43" s="61"/>
      <c r="H43" s="58">
        <f>SUM(I43)-0.7</f>
        <v>13.600000000000001</v>
      </c>
      <c r="I43" s="24">
        <f>SUM(J43)-0.7</f>
        <v>14.3</v>
      </c>
      <c r="J43" s="33">
        <v>15</v>
      </c>
      <c r="K43" s="24">
        <f>SUM(J43)+1.2</f>
        <v>16.2</v>
      </c>
      <c r="L43" s="24">
        <f>SUM(K43)+0.7</f>
        <v>16.899999999999999</v>
      </c>
      <c r="M43" s="111">
        <f>SUM(L43)+0.7</f>
        <v>17.599999999999998</v>
      </c>
    </row>
    <row r="44" spans="1:13" ht="14.1" customHeight="1">
      <c r="A44" s="38"/>
      <c r="B44" s="62" t="s">
        <v>145</v>
      </c>
      <c r="C44" s="63"/>
      <c r="D44" s="89" t="s">
        <v>179</v>
      </c>
      <c r="E44" s="90"/>
      <c r="F44" s="90"/>
      <c r="G44" s="91"/>
      <c r="H44" s="56"/>
      <c r="I44" s="36"/>
      <c r="J44" s="35"/>
      <c r="K44" s="36"/>
      <c r="L44" s="36"/>
      <c r="M44" s="112"/>
    </row>
    <row r="45" spans="1:13" ht="14.1" customHeight="1">
      <c r="A45" s="38">
        <v>22</v>
      </c>
      <c r="B45" s="51" t="s">
        <v>166</v>
      </c>
      <c r="C45" s="52"/>
      <c r="D45" s="59"/>
      <c r="E45" s="60"/>
      <c r="F45" s="60"/>
      <c r="G45" s="61"/>
      <c r="H45" s="58"/>
      <c r="I45" s="24"/>
      <c r="J45" s="33"/>
      <c r="K45" s="24"/>
      <c r="L45" s="24"/>
      <c r="M45" s="111"/>
    </row>
    <row r="46" spans="1:13" ht="14.1" customHeight="1">
      <c r="A46" s="38"/>
      <c r="B46" s="62" t="s">
        <v>167</v>
      </c>
      <c r="C46" s="63"/>
      <c r="D46" s="89" t="s">
        <v>168</v>
      </c>
      <c r="E46" s="90"/>
      <c r="F46" s="90"/>
      <c r="G46" s="91"/>
      <c r="H46" s="56"/>
      <c r="I46" s="36"/>
      <c r="J46" s="35"/>
      <c r="K46" s="36"/>
      <c r="L46" s="36"/>
      <c r="M46" s="112"/>
    </row>
    <row r="47" spans="1:13" ht="14.1" customHeight="1">
      <c r="A47" s="38">
        <v>23</v>
      </c>
      <c r="B47" s="51" t="s">
        <v>178</v>
      </c>
      <c r="C47" s="52"/>
      <c r="D47" s="59"/>
      <c r="E47" s="60"/>
      <c r="F47" s="60"/>
      <c r="G47" s="61"/>
      <c r="H47" s="24"/>
      <c r="I47" s="24"/>
      <c r="J47" s="33"/>
      <c r="K47" s="24"/>
      <c r="L47" s="24"/>
      <c r="M47" s="26"/>
    </row>
    <row r="48" spans="1:13" ht="14.1" customHeight="1">
      <c r="A48" s="38"/>
      <c r="B48" s="62" t="s">
        <v>177</v>
      </c>
      <c r="C48" s="63"/>
      <c r="D48" s="89"/>
      <c r="E48" s="90"/>
      <c r="F48" s="90"/>
      <c r="G48" s="91"/>
      <c r="H48" s="36"/>
      <c r="I48" s="36"/>
      <c r="J48" s="35"/>
      <c r="K48" s="36"/>
      <c r="L48" s="36"/>
      <c r="M48" s="37"/>
    </row>
    <row r="49" spans="1:13" ht="14.1" customHeight="1">
      <c r="A49" s="38">
        <v>24</v>
      </c>
      <c r="B49" s="51" t="s">
        <v>9</v>
      </c>
      <c r="C49" s="52"/>
      <c r="D49" s="59" t="s">
        <v>84</v>
      </c>
      <c r="E49" s="60"/>
      <c r="F49" s="60"/>
      <c r="G49" s="61"/>
      <c r="H49" s="24">
        <f>SUM(I49)-7</f>
        <v>51</v>
      </c>
      <c r="I49" s="24">
        <f>SUM(J49)-7</f>
        <v>58</v>
      </c>
      <c r="J49" s="33">
        <v>65</v>
      </c>
      <c r="K49" s="24">
        <f>SUM(J49)+6</f>
        <v>71</v>
      </c>
      <c r="L49" s="24">
        <f>SUM(K49)+6</f>
        <v>77</v>
      </c>
      <c r="M49" s="26">
        <f>SUM(L49)+6</f>
        <v>83</v>
      </c>
    </row>
    <row r="50" spans="1:13" ht="14.1" customHeight="1">
      <c r="A50" s="38"/>
      <c r="B50" s="62" t="s">
        <v>56</v>
      </c>
      <c r="C50" s="63"/>
      <c r="D50" s="64" t="s">
        <v>120</v>
      </c>
      <c r="E50" s="65"/>
      <c r="F50" s="65"/>
      <c r="G50" s="66"/>
      <c r="H50" s="36"/>
      <c r="I50" s="36"/>
      <c r="J50" s="35"/>
      <c r="K50" s="36"/>
      <c r="L50" s="36"/>
      <c r="M50" s="37"/>
    </row>
    <row r="51" spans="1:13" ht="14.1" customHeight="1">
      <c r="A51" s="38">
        <v>25</v>
      </c>
      <c r="B51" s="51" t="s">
        <v>16</v>
      </c>
      <c r="C51" s="52"/>
      <c r="D51" s="59" t="s">
        <v>17</v>
      </c>
      <c r="E51" s="60"/>
      <c r="F51" s="60"/>
      <c r="G51" s="61"/>
      <c r="H51" s="24">
        <f>SUM(I51)-1.8</f>
        <v>35.400000000000006</v>
      </c>
      <c r="I51" s="24">
        <f>SUM(J51)-1.8</f>
        <v>37.200000000000003</v>
      </c>
      <c r="J51" s="33">
        <v>39</v>
      </c>
      <c r="K51" s="24">
        <f>SUM(J51)+1.8</f>
        <v>40.799999999999997</v>
      </c>
      <c r="L51" s="24">
        <f>SUM(K51)+1.8</f>
        <v>42.599999999999994</v>
      </c>
      <c r="M51" s="26">
        <f>SUM(L51)+1.8</f>
        <v>44.399999999999991</v>
      </c>
    </row>
    <row r="52" spans="1:13" ht="14.1" customHeight="1">
      <c r="A52" s="38"/>
      <c r="B52" s="62" t="s">
        <v>57</v>
      </c>
      <c r="C52" s="63"/>
      <c r="D52" s="47" t="s">
        <v>119</v>
      </c>
      <c r="E52" s="48"/>
      <c r="F52" s="48"/>
      <c r="G52" s="49"/>
      <c r="H52" s="36"/>
      <c r="I52" s="36"/>
      <c r="J52" s="35"/>
      <c r="K52" s="36"/>
      <c r="L52" s="36"/>
      <c r="M52" s="37"/>
    </row>
    <row r="53" spans="1:13" ht="14.1" customHeight="1">
      <c r="A53" s="38">
        <v>26</v>
      </c>
      <c r="B53" s="51" t="s">
        <v>18</v>
      </c>
      <c r="C53" s="52"/>
      <c r="D53" s="59" t="s">
        <v>15</v>
      </c>
      <c r="E53" s="60"/>
      <c r="F53" s="60"/>
      <c r="G53" s="61"/>
      <c r="H53" s="58">
        <f>SUM(I53)-1.1</f>
        <v>21.599999999999998</v>
      </c>
      <c r="I53" s="24">
        <f>SUM(J53)-1.1</f>
        <v>22.7</v>
      </c>
      <c r="J53" s="33">
        <v>23.8</v>
      </c>
      <c r="K53" s="24">
        <f>SUM(J53)+1.6</f>
        <v>25.400000000000002</v>
      </c>
      <c r="L53" s="24">
        <f>SUM(K53)+1.1</f>
        <v>26.500000000000004</v>
      </c>
      <c r="M53" s="111">
        <f>SUM(L53)+1.1</f>
        <v>27.600000000000005</v>
      </c>
    </row>
    <row r="54" spans="1:13" ht="14.1" customHeight="1">
      <c r="A54" s="38"/>
      <c r="B54" s="62" t="s">
        <v>63</v>
      </c>
      <c r="C54" s="63"/>
      <c r="D54" s="64" t="s">
        <v>118</v>
      </c>
      <c r="E54" s="65"/>
      <c r="F54" s="65"/>
      <c r="G54" s="66"/>
      <c r="H54" s="56"/>
      <c r="I54" s="36"/>
      <c r="J54" s="35"/>
      <c r="K54" s="36"/>
      <c r="L54" s="36"/>
      <c r="M54" s="112"/>
    </row>
    <row r="55" spans="1:13" ht="14.1" customHeight="1">
      <c r="A55" s="38">
        <v>27</v>
      </c>
      <c r="B55" s="51" t="s">
        <v>19</v>
      </c>
      <c r="C55" s="52"/>
      <c r="D55" s="59" t="s">
        <v>15</v>
      </c>
      <c r="E55" s="60"/>
      <c r="F55" s="60"/>
      <c r="G55" s="61"/>
      <c r="H55" s="58">
        <f>SUM(I55)-1.3</f>
        <v>28.5</v>
      </c>
      <c r="I55" s="24">
        <f>SUM(J55)-1.3</f>
        <v>29.8</v>
      </c>
      <c r="J55" s="33">
        <v>31.1</v>
      </c>
      <c r="K55" s="24">
        <f>SUM(J55)+1.8</f>
        <v>32.9</v>
      </c>
      <c r="L55" s="24">
        <f>SUM(K55)+1.3</f>
        <v>34.199999999999996</v>
      </c>
      <c r="M55" s="111">
        <f>SUM(L55)+1.3</f>
        <v>35.499999999999993</v>
      </c>
    </row>
    <row r="56" spans="1:13" ht="14.1" customHeight="1">
      <c r="A56" s="38"/>
      <c r="B56" s="62" t="s">
        <v>62</v>
      </c>
      <c r="C56" s="63"/>
      <c r="D56" s="64" t="s">
        <v>118</v>
      </c>
      <c r="E56" s="65"/>
      <c r="F56" s="65"/>
      <c r="G56" s="66"/>
      <c r="H56" s="56"/>
      <c r="I56" s="36"/>
      <c r="J56" s="35"/>
      <c r="K56" s="36"/>
      <c r="L56" s="36"/>
      <c r="M56" s="112"/>
    </row>
    <row r="57" spans="1:13" ht="14.1" customHeight="1">
      <c r="A57" s="38">
        <v>28</v>
      </c>
      <c r="B57" s="51" t="s">
        <v>20</v>
      </c>
      <c r="C57" s="52"/>
      <c r="D57" s="59" t="s">
        <v>21</v>
      </c>
      <c r="E57" s="60"/>
      <c r="F57" s="60"/>
      <c r="G57" s="61"/>
      <c r="H57" s="24">
        <f>SUM(I57)-2.7</f>
        <v>42.999999999999993</v>
      </c>
      <c r="I57" s="24">
        <f>SUM(J57)-2.7</f>
        <v>45.699999999999996</v>
      </c>
      <c r="J57" s="33">
        <v>48.4</v>
      </c>
      <c r="K57" s="24">
        <f>SUM(J57)+2.6</f>
        <v>51</v>
      </c>
      <c r="L57" s="24">
        <f>SUM(K57)+2.6</f>
        <v>53.6</v>
      </c>
      <c r="M57" s="26">
        <f>SUM(L57)+2.6</f>
        <v>56.2</v>
      </c>
    </row>
    <row r="58" spans="1:13" ht="14.1" customHeight="1">
      <c r="A58" s="38"/>
      <c r="B58" s="62" t="s">
        <v>61</v>
      </c>
      <c r="C58" s="63"/>
      <c r="D58" s="64" t="s">
        <v>117</v>
      </c>
      <c r="E58" s="65"/>
      <c r="F58" s="65"/>
      <c r="G58" s="66"/>
      <c r="H58" s="36"/>
      <c r="I58" s="36"/>
      <c r="J58" s="35"/>
      <c r="K58" s="36"/>
      <c r="L58" s="36"/>
      <c r="M58" s="37"/>
    </row>
    <row r="59" spans="1:13" ht="14.1" customHeight="1">
      <c r="A59" s="38">
        <v>29</v>
      </c>
      <c r="B59" s="51" t="s">
        <v>22</v>
      </c>
      <c r="C59" s="52"/>
      <c r="D59" s="59" t="s">
        <v>23</v>
      </c>
      <c r="E59" s="60"/>
      <c r="F59" s="60"/>
      <c r="G59" s="61"/>
      <c r="H59" s="24">
        <f>SUM(I59)-6</f>
        <v>30.4</v>
      </c>
      <c r="I59" s="24">
        <f>SUM(J59)-6</f>
        <v>36.4</v>
      </c>
      <c r="J59" s="33">
        <v>42.4</v>
      </c>
      <c r="K59" s="24">
        <f>SUM(J59)+4.5</f>
        <v>46.9</v>
      </c>
      <c r="L59" s="24">
        <f>SUM(K59)+5</f>
        <v>51.9</v>
      </c>
      <c r="M59" s="26">
        <f>SUM(L59)+5</f>
        <v>56.9</v>
      </c>
    </row>
    <row r="60" spans="1:13" ht="14.1" customHeight="1">
      <c r="A60" s="38"/>
      <c r="B60" s="62" t="s">
        <v>60</v>
      </c>
      <c r="C60" s="63"/>
      <c r="D60" s="64" t="s">
        <v>116</v>
      </c>
      <c r="E60" s="65"/>
      <c r="F60" s="65"/>
      <c r="G60" s="66"/>
      <c r="H60" s="36"/>
      <c r="I60" s="36"/>
      <c r="J60" s="35"/>
      <c r="K60" s="36"/>
      <c r="L60" s="36"/>
      <c r="M60" s="37"/>
    </row>
    <row r="61" spans="1:13" ht="14.1" customHeight="1">
      <c r="A61" s="38">
        <v>30</v>
      </c>
      <c r="B61" s="51" t="s">
        <v>115</v>
      </c>
      <c r="C61" s="52"/>
      <c r="D61" s="59" t="s">
        <v>113</v>
      </c>
      <c r="E61" s="60"/>
      <c r="F61" s="60"/>
      <c r="G61" s="61"/>
      <c r="H61" s="24">
        <f>SUM(I61)-2</f>
        <v>39.1</v>
      </c>
      <c r="I61" s="24">
        <f>SUM(J61)-2</f>
        <v>41.1</v>
      </c>
      <c r="J61" s="33">
        <v>43.1</v>
      </c>
      <c r="K61" s="24">
        <f>SUM(J61)+2</f>
        <v>45.1</v>
      </c>
      <c r="L61" s="24">
        <f>SUM(K61)+2</f>
        <v>47.1</v>
      </c>
      <c r="M61" s="26">
        <f>SUM(L61)+2</f>
        <v>49.1</v>
      </c>
    </row>
    <row r="62" spans="1:13" ht="14.1" customHeight="1">
      <c r="A62" s="38"/>
      <c r="B62" s="62" t="s">
        <v>114</v>
      </c>
      <c r="C62" s="63"/>
      <c r="D62" s="64" t="s">
        <v>113</v>
      </c>
      <c r="E62" s="65"/>
      <c r="F62" s="65"/>
      <c r="G62" s="66"/>
      <c r="H62" s="36"/>
      <c r="I62" s="36"/>
      <c r="J62" s="35"/>
      <c r="K62" s="36"/>
      <c r="L62" s="36"/>
      <c r="M62" s="37"/>
    </row>
    <row r="63" spans="1:13" ht="14.1" customHeight="1">
      <c r="A63" s="38">
        <v>31</v>
      </c>
      <c r="B63" s="51" t="s">
        <v>112</v>
      </c>
      <c r="C63" s="52"/>
      <c r="D63" s="59" t="s">
        <v>111</v>
      </c>
      <c r="E63" s="60"/>
      <c r="F63" s="60"/>
      <c r="G63" s="61"/>
      <c r="H63" s="24">
        <f>SUM(I63)-3.4</f>
        <v>33</v>
      </c>
      <c r="I63" s="24">
        <f>SUM(J63)-3.4</f>
        <v>36.4</v>
      </c>
      <c r="J63" s="33">
        <v>39.799999999999997</v>
      </c>
      <c r="K63" s="24">
        <f>SUM(J63)+3.3</f>
        <v>43.099999999999994</v>
      </c>
      <c r="L63" s="24">
        <f>SUM(K63)+3</f>
        <v>46.099999999999994</v>
      </c>
      <c r="M63" s="26">
        <f>SUM(L63)+3</f>
        <v>49.099999999999994</v>
      </c>
    </row>
    <row r="64" spans="1:13" ht="14.1" customHeight="1">
      <c r="A64" s="38"/>
      <c r="B64" s="62" t="s">
        <v>110</v>
      </c>
      <c r="C64" s="63"/>
      <c r="D64" s="64" t="s">
        <v>160</v>
      </c>
      <c r="E64" s="65"/>
      <c r="F64" s="65"/>
      <c r="G64" s="66"/>
      <c r="H64" s="36"/>
      <c r="I64" s="36"/>
      <c r="J64" s="35"/>
      <c r="K64" s="36"/>
      <c r="L64" s="36"/>
      <c r="M64" s="37"/>
    </row>
    <row r="65" spans="1:13" ht="14.1" customHeight="1">
      <c r="A65" s="38">
        <v>32</v>
      </c>
      <c r="B65" s="51" t="s">
        <v>144</v>
      </c>
      <c r="C65" s="52"/>
      <c r="D65" s="59" t="s">
        <v>24</v>
      </c>
      <c r="E65" s="60"/>
      <c r="F65" s="60"/>
      <c r="G65" s="61"/>
      <c r="H65" s="24">
        <f>SUM(I65)-0.2</f>
        <v>4.5999999999999996</v>
      </c>
      <c r="I65" s="24">
        <f>SUM(J65)-0.2</f>
        <v>4.8</v>
      </c>
      <c r="J65" s="23">
        <v>5</v>
      </c>
      <c r="K65" s="21">
        <f>SUM(J65)+0.2</f>
        <v>5.2</v>
      </c>
      <c r="L65" s="21">
        <f>SUM(K65)+0.2</f>
        <v>5.4</v>
      </c>
      <c r="M65" s="22">
        <f>SUM(L65)+0.2</f>
        <v>5.6000000000000005</v>
      </c>
    </row>
    <row r="66" spans="1:13" ht="14.1" customHeight="1">
      <c r="A66" s="38"/>
      <c r="B66" s="62" t="s">
        <v>59</v>
      </c>
      <c r="C66" s="63"/>
      <c r="D66" s="64" t="s">
        <v>143</v>
      </c>
      <c r="E66" s="65"/>
      <c r="F66" s="65"/>
      <c r="G66" s="66"/>
      <c r="H66" s="36"/>
      <c r="I66" s="36"/>
      <c r="J66" s="23"/>
      <c r="K66" s="21"/>
      <c r="L66" s="21"/>
      <c r="M66" s="22"/>
    </row>
    <row r="67" spans="1:13" ht="14.1" customHeight="1">
      <c r="A67" s="38">
        <v>33</v>
      </c>
      <c r="B67" s="51" t="s">
        <v>142</v>
      </c>
      <c r="C67" s="52"/>
      <c r="D67" s="59" t="s">
        <v>25</v>
      </c>
      <c r="E67" s="60"/>
      <c r="F67" s="60"/>
      <c r="G67" s="61"/>
      <c r="H67" s="24">
        <f>SUM(I67)-0.6</f>
        <v>9.4</v>
      </c>
      <c r="I67" s="24">
        <f>SUM(J67)-0.6</f>
        <v>10</v>
      </c>
      <c r="J67" s="33">
        <v>10.6</v>
      </c>
      <c r="K67" s="24">
        <f>SUM(J67)+0.6</f>
        <v>11.2</v>
      </c>
      <c r="L67" s="24">
        <f>SUM(K67)+0.6</f>
        <v>11.799999999999999</v>
      </c>
      <c r="M67" s="26">
        <f>SUM(L67)+0.6</f>
        <v>12.399999999999999</v>
      </c>
    </row>
    <row r="68" spans="1:13" ht="14.1" customHeight="1">
      <c r="A68" s="38"/>
      <c r="B68" s="62" t="s">
        <v>58</v>
      </c>
      <c r="C68" s="63"/>
      <c r="D68" s="64" t="s">
        <v>141</v>
      </c>
      <c r="E68" s="65"/>
      <c r="F68" s="65"/>
      <c r="G68" s="66"/>
      <c r="H68" s="36"/>
      <c r="I68" s="36"/>
      <c r="J68" s="35"/>
      <c r="K68" s="36"/>
      <c r="L68" s="36"/>
      <c r="M68" s="37"/>
    </row>
    <row r="69" spans="1:13" ht="14.1" customHeight="1">
      <c r="A69" s="38">
        <v>34</v>
      </c>
      <c r="B69" s="51" t="s">
        <v>140</v>
      </c>
      <c r="C69" s="52"/>
      <c r="D69" s="57"/>
      <c r="E69" s="57"/>
      <c r="F69" s="57"/>
      <c r="G69" s="57"/>
      <c r="H69" s="24">
        <f>SUM(I69)-0.5</f>
        <v>10</v>
      </c>
      <c r="I69" s="24">
        <f>SUM(J69)-0.5</f>
        <v>10.5</v>
      </c>
      <c r="J69" s="33">
        <v>11</v>
      </c>
      <c r="K69" s="24">
        <f>SUM(J69)+0.5</f>
        <v>11.5</v>
      </c>
      <c r="L69" s="24">
        <f>SUM(K69)+0.5</f>
        <v>12</v>
      </c>
      <c r="M69" s="26">
        <f>SUM(L69)+0.5</f>
        <v>12.5</v>
      </c>
    </row>
    <row r="70" spans="1:13" ht="14.1" customHeight="1">
      <c r="A70" s="38"/>
      <c r="B70" s="45" t="s">
        <v>139</v>
      </c>
      <c r="C70" s="46"/>
      <c r="D70" s="47"/>
      <c r="E70" s="48"/>
      <c r="F70" s="48"/>
      <c r="G70" s="49"/>
      <c r="H70" s="36"/>
      <c r="I70" s="36"/>
      <c r="J70" s="35"/>
      <c r="K70" s="36"/>
      <c r="L70" s="36"/>
      <c r="M70" s="37"/>
    </row>
    <row r="71" spans="1:13" ht="14.1" customHeight="1">
      <c r="A71" s="38">
        <v>35</v>
      </c>
      <c r="B71" s="51" t="s">
        <v>138</v>
      </c>
      <c r="C71" s="52"/>
      <c r="D71" s="57"/>
      <c r="E71" s="57"/>
      <c r="F71" s="57"/>
      <c r="G71" s="57"/>
      <c r="H71" s="24">
        <f>SUM(I71)-0.5</f>
        <v>10</v>
      </c>
      <c r="I71" s="24">
        <f>SUM(J71)-0.5</f>
        <v>10.5</v>
      </c>
      <c r="J71" s="33">
        <v>11</v>
      </c>
      <c r="K71" s="24">
        <f>SUM(J71)+0.5</f>
        <v>11.5</v>
      </c>
      <c r="L71" s="24">
        <f>SUM(K71)+0.5</f>
        <v>12</v>
      </c>
      <c r="M71" s="26">
        <f>SUM(L71)+0.5</f>
        <v>12.5</v>
      </c>
    </row>
    <row r="72" spans="1:13" ht="14.1" customHeight="1">
      <c r="A72" s="38"/>
      <c r="B72" s="56" t="s">
        <v>137</v>
      </c>
      <c r="C72" s="56"/>
      <c r="D72" s="47"/>
      <c r="E72" s="48"/>
      <c r="F72" s="48"/>
      <c r="G72" s="49"/>
      <c r="H72" s="36"/>
      <c r="I72" s="36"/>
      <c r="J72" s="35"/>
      <c r="K72" s="36"/>
      <c r="L72" s="36"/>
      <c r="M72" s="37"/>
    </row>
    <row r="73" spans="1:13" s="1" customFormat="1" ht="14.1" customHeight="1">
      <c r="A73" s="38">
        <v>36</v>
      </c>
      <c r="B73" s="141" t="s">
        <v>266</v>
      </c>
      <c r="C73" s="141"/>
      <c r="D73" s="132"/>
      <c r="E73" s="132"/>
      <c r="F73" s="132"/>
      <c r="G73" s="132"/>
      <c r="H73" s="50">
        <f>SUM(I73)-0</f>
        <v>4</v>
      </c>
      <c r="I73" s="50">
        <f>SUM(J73)-0</f>
        <v>4</v>
      </c>
      <c r="J73" s="117">
        <v>4</v>
      </c>
      <c r="K73" s="50">
        <f>SUM(J73)+0.3</f>
        <v>4.3</v>
      </c>
      <c r="L73" s="50">
        <f>SUM(K73)+0</f>
        <v>4.3</v>
      </c>
      <c r="M73" s="113">
        <f>SUM(L73)+0</f>
        <v>4.3</v>
      </c>
    </row>
    <row r="74" spans="1:13" s="1" customFormat="1" ht="14.1" customHeight="1" thickBot="1">
      <c r="A74" s="39"/>
      <c r="B74" s="110" t="s">
        <v>267</v>
      </c>
      <c r="C74" s="110"/>
      <c r="D74" s="30"/>
      <c r="E74" s="31"/>
      <c r="F74" s="31"/>
      <c r="G74" s="32"/>
      <c r="H74" s="25"/>
      <c r="I74" s="25"/>
      <c r="J74" s="34"/>
      <c r="K74" s="25"/>
      <c r="L74" s="25"/>
      <c r="M74" s="27"/>
    </row>
  </sheetData>
  <mergeCells count="399">
    <mergeCell ref="D74:G74"/>
    <mergeCell ref="K71:K72"/>
    <mergeCell ref="L71:L72"/>
    <mergeCell ref="M71:M72"/>
    <mergeCell ref="B72:C72"/>
    <mergeCell ref="D72:G72"/>
    <mergeCell ref="J71:J72"/>
    <mergeCell ref="A73:A74"/>
    <mergeCell ref="B73:C73"/>
    <mergeCell ref="D73:G73"/>
    <mergeCell ref="H73:H74"/>
    <mergeCell ref="I73:I74"/>
    <mergeCell ref="A71:A72"/>
    <mergeCell ref="B71:C71"/>
    <mergeCell ref="D71:G71"/>
    <mergeCell ref="H71:H72"/>
    <mergeCell ref="I71:I72"/>
    <mergeCell ref="J73:J74"/>
    <mergeCell ref="K73:K74"/>
    <mergeCell ref="L73:L74"/>
    <mergeCell ref="M73:M74"/>
    <mergeCell ref="B74:C74"/>
    <mergeCell ref="J69:J70"/>
    <mergeCell ref="K69:K70"/>
    <mergeCell ref="L69:L70"/>
    <mergeCell ref="M69:M70"/>
    <mergeCell ref="B70:C70"/>
    <mergeCell ref="D70:G70"/>
    <mergeCell ref="K67:K68"/>
    <mergeCell ref="L67:L68"/>
    <mergeCell ref="M67:M68"/>
    <mergeCell ref="B68:C68"/>
    <mergeCell ref="D68:G68"/>
    <mergeCell ref="J67:J68"/>
    <mergeCell ref="A69:A70"/>
    <mergeCell ref="B69:C69"/>
    <mergeCell ref="D69:G69"/>
    <mergeCell ref="H69:H70"/>
    <mergeCell ref="I69:I70"/>
    <mergeCell ref="A67:A68"/>
    <mergeCell ref="B67:C67"/>
    <mergeCell ref="D67:G67"/>
    <mergeCell ref="H67:H68"/>
    <mergeCell ref="I67:I68"/>
    <mergeCell ref="J65:J66"/>
    <mergeCell ref="K65:K66"/>
    <mergeCell ref="L65:L66"/>
    <mergeCell ref="M65:M66"/>
    <mergeCell ref="B66:C66"/>
    <mergeCell ref="D66:G66"/>
    <mergeCell ref="K63:K64"/>
    <mergeCell ref="L63:L64"/>
    <mergeCell ref="M63:M64"/>
    <mergeCell ref="B64:C64"/>
    <mergeCell ref="D64:G64"/>
    <mergeCell ref="J63:J64"/>
    <mergeCell ref="A65:A66"/>
    <mergeCell ref="B65:C65"/>
    <mergeCell ref="D65:G65"/>
    <mergeCell ref="H65:H66"/>
    <mergeCell ref="I65:I66"/>
    <mergeCell ref="A63:A64"/>
    <mergeCell ref="B63:C63"/>
    <mergeCell ref="D63:G63"/>
    <mergeCell ref="H63:H64"/>
    <mergeCell ref="I63:I64"/>
    <mergeCell ref="J61:J62"/>
    <mergeCell ref="K61:K62"/>
    <mergeCell ref="L61:L62"/>
    <mergeCell ref="M61:M62"/>
    <mergeCell ref="B62:C62"/>
    <mergeCell ref="D62:G62"/>
    <mergeCell ref="K59:K60"/>
    <mergeCell ref="L59:L60"/>
    <mergeCell ref="M59:M60"/>
    <mergeCell ref="B60:C60"/>
    <mergeCell ref="D60:G60"/>
    <mergeCell ref="J59:J60"/>
    <mergeCell ref="A61:A62"/>
    <mergeCell ref="B61:C61"/>
    <mergeCell ref="D61:G61"/>
    <mergeCell ref="H61:H62"/>
    <mergeCell ref="I61:I62"/>
    <mergeCell ref="A59:A60"/>
    <mergeCell ref="B59:C59"/>
    <mergeCell ref="D59:G59"/>
    <mergeCell ref="H59:H60"/>
    <mergeCell ref="I59:I60"/>
    <mergeCell ref="J57:J58"/>
    <mergeCell ref="K57:K58"/>
    <mergeCell ref="L57:L58"/>
    <mergeCell ref="M57:M58"/>
    <mergeCell ref="B58:C58"/>
    <mergeCell ref="D58:G58"/>
    <mergeCell ref="K55:K56"/>
    <mergeCell ref="L55:L56"/>
    <mergeCell ref="M55:M56"/>
    <mergeCell ref="B56:C56"/>
    <mergeCell ref="D56:G56"/>
    <mergeCell ref="J55:J56"/>
    <mergeCell ref="A57:A58"/>
    <mergeCell ref="B57:C57"/>
    <mergeCell ref="D57:G57"/>
    <mergeCell ref="H57:H58"/>
    <mergeCell ref="I57:I58"/>
    <mergeCell ref="A55:A56"/>
    <mergeCell ref="B55:C55"/>
    <mergeCell ref="D55:G55"/>
    <mergeCell ref="H55:H56"/>
    <mergeCell ref="I55:I56"/>
    <mergeCell ref="J53:J54"/>
    <mergeCell ref="K53:K54"/>
    <mergeCell ref="L53:L54"/>
    <mergeCell ref="M53:M54"/>
    <mergeCell ref="B54:C54"/>
    <mergeCell ref="D54:G54"/>
    <mergeCell ref="K51:K52"/>
    <mergeCell ref="L51:L52"/>
    <mergeCell ref="M51:M52"/>
    <mergeCell ref="B52:C52"/>
    <mergeCell ref="D52:G52"/>
    <mergeCell ref="J51:J52"/>
    <mergeCell ref="A53:A54"/>
    <mergeCell ref="B53:C53"/>
    <mergeCell ref="D53:G53"/>
    <mergeCell ref="H53:H54"/>
    <mergeCell ref="I53:I54"/>
    <mergeCell ref="A51:A52"/>
    <mergeCell ref="B51:C51"/>
    <mergeCell ref="D51:G51"/>
    <mergeCell ref="H51:H52"/>
    <mergeCell ref="I51:I52"/>
    <mergeCell ref="J49:J50"/>
    <mergeCell ref="K49:K50"/>
    <mergeCell ref="L49:L50"/>
    <mergeCell ref="M49:M50"/>
    <mergeCell ref="B50:C50"/>
    <mergeCell ref="D50:G50"/>
    <mergeCell ref="K47:K48"/>
    <mergeCell ref="L47:L48"/>
    <mergeCell ref="M47:M48"/>
    <mergeCell ref="B48:C48"/>
    <mergeCell ref="D48:G48"/>
    <mergeCell ref="J47:J48"/>
    <mergeCell ref="A49:A50"/>
    <mergeCell ref="B49:C49"/>
    <mergeCell ref="D49:G49"/>
    <mergeCell ref="H49:H50"/>
    <mergeCell ref="I49:I50"/>
    <mergeCell ref="A47:A48"/>
    <mergeCell ref="B47:C47"/>
    <mergeCell ref="D47:G47"/>
    <mergeCell ref="H47:H48"/>
    <mergeCell ref="I47:I48"/>
    <mergeCell ref="J45:J46"/>
    <mergeCell ref="K45:K46"/>
    <mergeCell ref="L45:L46"/>
    <mergeCell ref="M45:M46"/>
    <mergeCell ref="B46:C46"/>
    <mergeCell ref="D46:G46"/>
    <mergeCell ref="K43:K44"/>
    <mergeCell ref="L43:L44"/>
    <mergeCell ref="M43:M44"/>
    <mergeCell ref="B44:C44"/>
    <mergeCell ref="D44:G44"/>
    <mergeCell ref="J43:J44"/>
    <mergeCell ref="A45:A46"/>
    <mergeCell ref="B45:C45"/>
    <mergeCell ref="D45:G45"/>
    <mergeCell ref="H45:H46"/>
    <mergeCell ref="I45:I46"/>
    <mergeCell ref="A43:A44"/>
    <mergeCell ref="B43:C43"/>
    <mergeCell ref="D43:G43"/>
    <mergeCell ref="H43:H44"/>
    <mergeCell ref="I43:I44"/>
    <mergeCell ref="J41:J42"/>
    <mergeCell ref="K41:K42"/>
    <mergeCell ref="L41:L42"/>
    <mergeCell ref="M41:M42"/>
    <mergeCell ref="B42:C42"/>
    <mergeCell ref="D42:G42"/>
    <mergeCell ref="K39:K40"/>
    <mergeCell ref="L39:L40"/>
    <mergeCell ref="M39:M40"/>
    <mergeCell ref="B40:C40"/>
    <mergeCell ref="D40:G40"/>
    <mergeCell ref="J39:J40"/>
    <mergeCell ref="A41:A42"/>
    <mergeCell ref="B41:C41"/>
    <mergeCell ref="D41:G41"/>
    <mergeCell ref="H41:H42"/>
    <mergeCell ref="I41:I42"/>
    <mergeCell ref="A39:A40"/>
    <mergeCell ref="B39:C39"/>
    <mergeCell ref="D39:G39"/>
    <mergeCell ref="H39:H40"/>
    <mergeCell ref="I39:I40"/>
    <mergeCell ref="J37:J38"/>
    <mergeCell ref="K37:K38"/>
    <mergeCell ref="L37:L38"/>
    <mergeCell ref="M37:M38"/>
    <mergeCell ref="B38:C38"/>
    <mergeCell ref="D38:G38"/>
    <mergeCell ref="K35:K36"/>
    <mergeCell ref="L35:L36"/>
    <mergeCell ref="M35:M36"/>
    <mergeCell ref="B36:C36"/>
    <mergeCell ref="D36:G36"/>
    <mergeCell ref="J35:J36"/>
    <mergeCell ref="A37:A38"/>
    <mergeCell ref="B37:C37"/>
    <mergeCell ref="D37:G37"/>
    <mergeCell ref="H37:H38"/>
    <mergeCell ref="I37:I38"/>
    <mergeCell ref="A35:A36"/>
    <mergeCell ref="B35:C35"/>
    <mergeCell ref="D35:G35"/>
    <mergeCell ref="H35:H36"/>
    <mergeCell ref="I35:I36"/>
    <mergeCell ref="K29:K30"/>
    <mergeCell ref="L29:L30"/>
    <mergeCell ref="M29:M30"/>
    <mergeCell ref="J29:J30"/>
    <mergeCell ref="J27:J28"/>
    <mergeCell ref="K27:K28"/>
    <mergeCell ref="L27:L28"/>
    <mergeCell ref="M27:M28"/>
    <mergeCell ref="K15:K16"/>
    <mergeCell ref="L15:L16"/>
    <mergeCell ref="M15:M16"/>
    <mergeCell ref="J15:J16"/>
    <mergeCell ref="K25:K26"/>
    <mergeCell ref="L25:L26"/>
    <mergeCell ref="M25:M26"/>
    <mergeCell ref="K21:K22"/>
    <mergeCell ref="L21:L22"/>
    <mergeCell ref="M21:M22"/>
    <mergeCell ref="J21:J22"/>
    <mergeCell ref="J19:J20"/>
    <mergeCell ref="K19:K20"/>
    <mergeCell ref="L19:L20"/>
    <mergeCell ref="M19:M20"/>
    <mergeCell ref="K33:K34"/>
    <mergeCell ref="L33:L34"/>
    <mergeCell ref="M33:M34"/>
    <mergeCell ref="B34:C34"/>
    <mergeCell ref="D34:G34"/>
    <mergeCell ref="J33:J34"/>
    <mergeCell ref="J31:J32"/>
    <mergeCell ref="K31:K32"/>
    <mergeCell ref="L31:L32"/>
    <mergeCell ref="M31:M32"/>
    <mergeCell ref="B31:C31"/>
    <mergeCell ref="D31:G31"/>
    <mergeCell ref="H31:H32"/>
    <mergeCell ref="I31:I32"/>
    <mergeCell ref="B28:C28"/>
    <mergeCell ref="D28:G28"/>
    <mergeCell ref="B26:C26"/>
    <mergeCell ref="D26:G26"/>
    <mergeCell ref="A27:A28"/>
    <mergeCell ref="J11:J12"/>
    <mergeCell ref="K11:K12"/>
    <mergeCell ref="L11:L12"/>
    <mergeCell ref="M11:M12"/>
    <mergeCell ref="B12:C12"/>
    <mergeCell ref="D12:G12"/>
    <mergeCell ref="B16:C16"/>
    <mergeCell ref="D16:G16"/>
    <mergeCell ref="A15:A16"/>
    <mergeCell ref="B15:C15"/>
    <mergeCell ref="D15:G15"/>
    <mergeCell ref="H15:H16"/>
    <mergeCell ref="I15:I16"/>
    <mergeCell ref="B27:C27"/>
    <mergeCell ref="D27:G27"/>
    <mergeCell ref="H27:H28"/>
    <mergeCell ref="I27:I28"/>
    <mergeCell ref="A25:A26"/>
    <mergeCell ref="B25:C25"/>
    <mergeCell ref="A33:A34"/>
    <mergeCell ref="B33:C33"/>
    <mergeCell ref="D33:G33"/>
    <mergeCell ref="H33:H34"/>
    <mergeCell ref="I33:I34"/>
    <mergeCell ref="B32:C32"/>
    <mergeCell ref="D32:G32"/>
    <mergeCell ref="B30:C30"/>
    <mergeCell ref="D30:G30"/>
    <mergeCell ref="A29:A30"/>
    <mergeCell ref="B29:C29"/>
    <mergeCell ref="D29:G29"/>
    <mergeCell ref="H29:H30"/>
    <mergeCell ref="I29:I30"/>
    <mergeCell ref="A31:A32"/>
    <mergeCell ref="D25:G25"/>
    <mergeCell ref="H25:H26"/>
    <mergeCell ref="I25:I26"/>
    <mergeCell ref="J25:J26"/>
    <mergeCell ref="J23:J24"/>
    <mergeCell ref="K23:K24"/>
    <mergeCell ref="L23:L24"/>
    <mergeCell ref="M23:M24"/>
    <mergeCell ref="B24:C24"/>
    <mergeCell ref="D24:G24"/>
    <mergeCell ref="B22:C22"/>
    <mergeCell ref="D22:G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3:J14"/>
    <mergeCell ref="K13:K14"/>
    <mergeCell ref="L13:L14"/>
    <mergeCell ref="M13:M14"/>
    <mergeCell ref="B14:C14"/>
    <mergeCell ref="D14:G14"/>
    <mergeCell ref="K9:K10"/>
    <mergeCell ref="L9:L10"/>
    <mergeCell ref="M9:M10"/>
    <mergeCell ref="B10:C10"/>
    <mergeCell ref="D10:G10"/>
    <mergeCell ref="J9:J10"/>
    <mergeCell ref="B11:C11"/>
    <mergeCell ref="D11:G11"/>
    <mergeCell ref="H11:H12"/>
    <mergeCell ref="I11:I12"/>
    <mergeCell ref="A5:A6"/>
    <mergeCell ref="B5:C5"/>
    <mergeCell ref="D5:G5"/>
    <mergeCell ref="H5:H6"/>
    <mergeCell ref="I5:I6"/>
    <mergeCell ref="J5:J6"/>
    <mergeCell ref="B6:C6"/>
    <mergeCell ref="D6:G6"/>
    <mergeCell ref="A13:A14"/>
    <mergeCell ref="B13:C13"/>
    <mergeCell ref="D13:G13"/>
    <mergeCell ref="H13:H14"/>
    <mergeCell ref="I13:I14"/>
    <mergeCell ref="A9:A10"/>
    <mergeCell ref="B9:C9"/>
    <mergeCell ref="D9:G9"/>
    <mergeCell ref="H9:H10"/>
    <mergeCell ref="I9:I10"/>
    <mergeCell ref="A11:A12"/>
    <mergeCell ref="A7:A8"/>
    <mergeCell ref="B7:C7"/>
    <mergeCell ref="D7:G7"/>
    <mergeCell ref="H7:H8"/>
    <mergeCell ref="I7:I8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2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6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703D8-D2B5-4E3A-8D0E-C6F84A18A80E}">
  <sheetPr>
    <tabColor rgb="FF00B050"/>
    <pageSetUpPr fitToPage="1"/>
  </sheetPr>
  <dimension ref="A1:N74"/>
  <sheetViews>
    <sheetView zoomScale="110" zoomScaleNormal="110" workbookViewId="0">
      <selection activeCell="P46" sqref="P4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  <col min="14" max="14" width="5.375" customWidth="1"/>
  </cols>
  <sheetData>
    <row r="1" spans="1:14" ht="16.5" customHeight="1" thickBot="1">
      <c r="A1" s="67" t="s">
        <v>637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9"/>
    </row>
    <row r="2" spans="1:14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16" t="s">
        <v>170</v>
      </c>
      <c r="N2" s="9" t="s">
        <v>561</v>
      </c>
    </row>
    <row r="3" spans="1:14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24">
        <f>SUM(I3)-3.5</f>
        <v>40</v>
      </c>
      <c r="I3" s="24">
        <f>SUM(J3)-3.5</f>
        <v>43.5</v>
      </c>
      <c r="J3" s="75">
        <v>47</v>
      </c>
      <c r="K3" s="76">
        <f>SUM(J3)+3</f>
        <v>50</v>
      </c>
      <c r="L3" s="76">
        <f t="shared" ref="L3:N3" si="0">SUM(K3)+3</f>
        <v>53</v>
      </c>
      <c r="M3" s="163">
        <f t="shared" si="0"/>
        <v>56</v>
      </c>
      <c r="N3" s="77">
        <f t="shared" si="0"/>
        <v>59</v>
      </c>
    </row>
    <row r="4" spans="1:14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24"/>
      <c r="L4" s="24"/>
      <c r="M4" s="134"/>
      <c r="N4" s="26"/>
    </row>
    <row r="5" spans="1:14" s="1" customFormat="1" ht="14.1" customHeight="1">
      <c r="A5" s="71">
        <v>2</v>
      </c>
      <c r="B5" s="164" t="s">
        <v>101</v>
      </c>
      <c r="C5" s="165"/>
      <c r="D5" s="100" t="s">
        <v>102</v>
      </c>
      <c r="E5" s="101"/>
      <c r="F5" s="101"/>
      <c r="G5" s="102"/>
      <c r="H5" s="24">
        <f>SUM(I5)-4.5</f>
        <v>45</v>
      </c>
      <c r="I5" s="24">
        <f>SUM(J5)-4.5</f>
        <v>49.5</v>
      </c>
      <c r="J5" s="23">
        <v>54</v>
      </c>
      <c r="K5" s="21">
        <f>SUM(J5)+4.5</f>
        <v>58.5</v>
      </c>
      <c r="L5" s="21">
        <f t="shared" ref="L5" si="1">SUM(K5)+4.5</f>
        <v>63</v>
      </c>
      <c r="M5" s="21">
        <f t="shared" ref="M5" si="2">SUM(L5)+4.5</f>
        <v>67.5</v>
      </c>
      <c r="N5" s="22">
        <f t="shared" ref="N5" si="3">SUM(M5)+4.5</f>
        <v>72</v>
      </c>
    </row>
    <row r="6" spans="1:14" s="1" customFormat="1" ht="14.1" customHeight="1">
      <c r="A6" s="38"/>
      <c r="B6" s="45" t="s">
        <v>99</v>
      </c>
      <c r="C6" s="46"/>
      <c r="D6" s="47" t="s">
        <v>100</v>
      </c>
      <c r="E6" s="48"/>
      <c r="F6" s="48"/>
      <c r="G6" s="49"/>
      <c r="H6" s="36"/>
      <c r="I6" s="36"/>
      <c r="J6" s="23"/>
      <c r="K6" s="21"/>
      <c r="L6" s="21"/>
      <c r="M6" s="21"/>
      <c r="N6" s="22"/>
    </row>
    <row r="7" spans="1:14" s="1" customFormat="1" ht="14.1" customHeight="1">
      <c r="A7" s="71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39.5</v>
      </c>
      <c r="I7" s="24">
        <f>SUM(J7)-2.25</f>
        <v>41.75</v>
      </c>
      <c r="J7" s="33">
        <v>44</v>
      </c>
      <c r="K7" s="24">
        <f>SUM(J7)+2</f>
        <v>46</v>
      </c>
      <c r="L7" s="24">
        <f>SUM(K7)+2</f>
        <v>48</v>
      </c>
      <c r="M7" s="134">
        <f>SUM(L7)+2</f>
        <v>50</v>
      </c>
      <c r="N7" s="26">
        <f>SUM(M7)+2</f>
        <v>52</v>
      </c>
    </row>
    <row r="8" spans="1:14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62"/>
      <c r="N8" s="37"/>
    </row>
    <row r="9" spans="1:14" s="1" customFormat="1" ht="14.1" customHeight="1">
      <c r="A9" s="71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SUM(I9)-1.7</f>
        <v>29.6</v>
      </c>
      <c r="I9" s="24">
        <f>SUM(J9)-1.7</f>
        <v>31.3</v>
      </c>
      <c r="J9" s="33">
        <v>33</v>
      </c>
      <c r="K9" s="24">
        <f>SUM(J9)+1.5</f>
        <v>34.5</v>
      </c>
      <c r="L9" s="24">
        <f t="shared" ref="L9:N9" si="4">SUM(K9)+1.5</f>
        <v>36</v>
      </c>
      <c r="M9" s="24">
        <f t="shared" si="4"/>
        <v>37.5</v>
      </c>
      <c r="N9" s="26">
        <f t="shared" si="4"/>
        <v>39</v>
      </c>
    </row>
    <row r="10" spans="1:14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6"/>
      <c r="N10" s="37"/>
    </row>
    <row r="11" spans="1:14" s="1" customFormat="1" ht="14.1" customHeight="1">
      <c r="A11" s="71">
        <v>5</v>
      </c>
      <c r="B11" s="58" t="s">
        <v>10</v>
      </c>
      <c r="C11" s="58"/>
      <c r="D11" s="57" t="s">
        <v>0</v>
      </c>
      <c r="E11" s="57"/>
      <c r="F11" s="57"/>
      <c r="G11" s="57"/>
      <c r="H11" s="24"/>
      <c r="I11" s="24"/>
      <c r="J11" s="23"/>
      <c r="K11" s="21"/>
      <c r="L11" s="21"/>
      <c r="M11" s="153"/>
      <c r="N11" s="22"/>
    </row>
    <row r="12" spans="1:14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153"/>
      <c r="N12" s="22"/>
    </row>
    <row r="13" spans="1:14" s="1" customFormat="1" ht="14.1" customHeight="1">
      <c r="A13" s="71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15.799999999999999</v>
      </c>
      <c r="I13" s="24">
        <f>SUM(J13)-0.6</f>
        <v>16.399999999999999</v>
      </c>
      <c r="J13" s="23">
        <v>17</v>
      </c>
      <c r="K13" s="21">
        <f>SUM(J13)+0.6</f>
        <v>17.600000000000001</v>
      </c>
      <c r="L13" s="21">
        <f>SUM(K13)+0.6</f>
        <v>18.200000000000003</v>
      </c>
      <c r="M13" s="153">
        <f>SUM(L13)+0.6</f>
        <v>18.800000000000004</v>
      </c>
      <c r="N13" s="22">
        <f>SUM(M13)+0.6</f>
        <v>19.400000000000006</v>
      </c>
    </row>
    <row r="14" spans="1:14" s="1" customFormat="1" ht="14.1" customHeight="1">
      <c r="A14" s="38"/>
      <c r="B14" s="56" t="s">
        <v>29</v>
      </c>
      <c r="C14" s="56"/>
      <c r="D14" s="47" t="s">
        <v>154</v>
      </c>
      <c r="E14" s="48"/>
      <c r="F14" s="48"/>
      <c r="G14" s="49"/>
      <c r="H14" s="36"/>
      <c r="I14" s="36"/>
      <c r="J14" s="23"/>
      <c r="K14" s="21"/>
      <c r="L14" s="21"/>
      <c r="M14" s="153"/>
      <c r="N14" s="22"/>
    </row>
    <row r="15" spans="1:14" s="1" customFormat="1" ht="14.1" customHeight="1">
      <c r="A15" s="71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5.9</v>
      </c>
      <c r="I15" s="24">
        <f>SUM(J15)-0.3</f>
        <v>6.2</v>
      </c>
      <c r="J15" s="23">
        <v>6.5</v>
      </c>
      <c r="K15" s="21">
        <f>SUM(J15)+0.3</f>
        <v>6.8</v>
      </c>
      <c r="L15" s="21">
        <f>SUM(K15)+0.3</f>
        <v>7.1</v>
      </c>
      <c r="M15" s="153">
        <f>SUM(L15)+0.3</f>
        <v>7.3999999999999995</v>
      </c>
      <c r="N15" s="22">
        <f>SUM(M15)+0.3</f>
        <v>7.6999999999999993</v>
      </c>
    </row>
    <row r="16" spans="1:14" s="1" customFormat="1" ht="14.1" customHeight="1">
      <c r="A16" s="38"/>
      <c r="B16" s="56" t="s">
        <v>30</v>
      </c>
      <c r="C16" s="56"/>
      <c r="D16" s="47" t="s">
        <v>155</v>
      </c>
      <c r="E16" s="48"/>
      <c r="F16" s="48"/>
      <c r="G16" s="49"/>
      <c r="H16" s="36"/>
      <c r="I16" s="36"/>
      <c r="J16" s="23"/>
      <c r="K16" s="21"/>
      <c r="L16" s="21"/>
      <c r="M16" s="153"/>
      <c r="N16" s="22"/>
    </row>
    <row r="17" spans="1:14" s="1" customFormat="1" ht="14.1" customHeight="1">
      <c r="A17" s="71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40.799999999999997</v>
      </c>
      <c r="I17" s="24">
        <f>SUM(J17)-1.6</f>
        <v>42.4</v>
      </c>
      <c r="J17" s="23">
        <v>44</v>
      </c>
      <c r="K17" s="21">
        <f>SUM(J17)+1.6</f>
        <v>45.6</v>
      </c>
      <c r="L17" s="21">
        <f>SUM(K17)+1.6</f>
        <v>47.2</v>
      </c>
      <c r="M17" s="153">
        <f>SUM(L17)+1.6</f>
        <v>48.800000000000004</v>
      </c>
      <c r="N17" s="22">
        <f>SUM(M17)+1.6</f>
        <v>50.400000000000006</v>
      </c>
    </row>
    <row r="18" spans="1:14" s="1" customFormat="1" ht="14.1" customHeight="1">
      <c r="A18" s="38"/>
      <c r="B18" s="56" t="s">
        <v>37</v>
      </c>
      <c r="C18" s="56"/>
      <c r="D18" s="47" t="s">
        <v>156</v>
      </c>
      <c r="E18" s="48"/>
      <c r="F18" s="48"/>
      <c r="G18" s="49"/>
      <c r="H18" s="36"/>
      <c r="I18" s="36"/>
      <c r="J18" s="23"/>
      <c r="K18" s="21"/>
      <c r="L18" s="21"/>
      <c r="M18" s="153"/>
      <c r="N18" s="22"/>
    </row>
    <row r="19" spans="1:14" s="1" customFormat="1" ht="14.1" customHeight="1">
      <c r="A19" s="71">
        <v>9</v>
      </c>
      <c r="B19" s="58" t="s">
        <v>4</v>
      </c>
      <c r="C19" s="58"/>
      <c r="D19" s="57" t="s">
        <v>5</v>
      </c>
      <c r="E19" s="57"/>
      <c r="F19" s="57"/>
      <c r="G19" s="57"/>
      <c r="H19" s="24"/>
      <c r="I19" s="24"/>
      <c r="J19" s="23"/>
      <c r="K19" s="21"/>
      <c r="L19" s="21"/>
      <c r="M19" s="21"/>
      <c r="N19" s="22"/>
    </row>
    <row r="20" spans="1:14" s="1" customFormat="1" ht="14.1" customHeight="1">
      <c r="A20" s="38"/>
      <c r="B20" s="56" t="s">
        <v>31</v>
      </c>
      <c r="C20" s="56"/>
      <c r="D20" s="47" t="s">
        <v>54</v>
      </c>
      <c r="E20" s="48"/>
      <c r="F20" s="48"/>
      <c r="G20" s="49"/>
      <c r="H20" s="36"/>
      <c r="I20" s="36"/>
      <c r="J20" s="23"/>
      <c r="K20" s="21"/>
      <c r="L20" s="21"/>
      <c r="M20" s="21"/>
      <c r="N20" s="22"/>
    </row>
    <row r="21" spans="1:14" s="1" customFormat="1" ht="14.1" customHeight="1">
      <c r="A21" s="71">
        <v>10</v>
      </c>
      <c r="B21" s="58" t="s">
        <v>6</v>
      </c>
      <c r="C21" s="58"/>
      <c r="D21" s="59" t="s">
        <v>7</v>
      </c>
      <c r="E21" s="60"/>
      <c r="F21" s="60"/>
      <c r="G21" s="61"/>
      <c r="H21" s="24">
        <f>SUM(I21)-1.7</f>
        <v>30.599999999999998</v>
      </c>
      <c r="I21" s="24">
        <f>SUM(J21)-1.7</f>
        <v>32.299999999999997</v>
      </c>
      <c r="J21" s="23">
        <v>34</v>
      </c>
      <c r="K21" s="21">
        <f>SUM(J21)+1.7</f>
        <v>35.700000000000003</v>
      </c>
      <c r="L21" s="21">
        <f t="shared" ref="L21:N21" si="5">SUM(K21)+1.7</f>
        <v>37.400000000000006</v>
      </c>
      <c r="M21" s="21">
        <f t="shared" si="5"/>
        <v>39.100000000000009</v>
      </c>
      <c r="N21" s="22">
        <f t="shared" si="5"/>
        <v>40.800000000000011</v>
      </c>
    </row>
    <row r="22" spans="1:14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9"/>
      <c r="H22" s="36"/>
      <c r="I22" s="36"/>
      <c r="J22" s="23"/>
      <c r="K22" s="21"/>
      <c r="L22" s="21"/>
      <c r="M22" s="21"/>
      <c r="N22" s="22"/>
    </row>
    <row r="23" spans="1:14" s="1" customFormat="1" ht="14.1" customHeight="1">
      <c r="A23" s="71">
        <v>11</v>
      </c>
      <c r="B23" s="51" t="s">
        <v>77</v>
      </c>
      <c r="C23" s="52"/>
      <c r="D23" s="57" t="s">
        <v>78</v>
      </c>
      <c r="E23" s="57"/>
      <c r="F23" s="57"/>
      <c r="G23" s="57"/>
      <c r="H23" s="24">
        <f>SUM(I23)-0.6</f>
        <v>14</v>
      </c>
      <c r="I23" s="24">
        <f>SUM(J23)-0.6</f>
        <v>14.6</v>
      </c>
      <c r="J23" s="23">
        <v>15.2</v>
      </c>
      <c r="K23" s="21">
        <f>SUM(J23)+0.6</f>
        <v>15.799999999999999</v>
      </c>
      <c r="L23" s="21">
        <f>SUM(K23)+0.6</f>
        <v>16.399999999999999</v>
      </c>
      <c r="M23" s="153">
        <f>SUM(L23)+0.6</f>
        <v>17</v>
      </c>
      <c r="N23" s="22">
        <f>SUM(M23)+0.6</f>
        <v>17.600000000000001</v>
      </c>
    </row>
    <row r="24" spans="1:14" s="1" customFormat="1" ht="14.1" customHeight="1">
      <c r="A24" s="38"/>
      <c r="B24" s="56" t="s">
        <v>33</v>
      </c>
      <c r="C24" s="56"/>
      <c r="D24" s="47" t="s">
        <v>79</v>
      </c>
      <c r="E24" s="48"/>
      <c r="F24" s="48"/>
      <c r="G24" s="49"/>
      <c r="H24" s="36"/>
      <c r="I24" s="36"/>
      <c r="J24" s="23"/>
      <c r="K24" s="21"/>
      <c r="L24" s="21"/>
      <c r="M24" s="153"/>
      <c r="N24" s="22"/>
    </row>
    <row r="25" spans="1:14" s="1" customFormat="1" ht="14.1" customHeight="1">
      <c r="A25" s="71">
        <v>12</v>
      </c>
      <c r="B25" s="51" t="s">
        <v>176</v>
      </c>
      <c r="C25" s="52"/>
      <c r="D25" s="53" t="s">
        <v>103</v>
      </c>
      <c r="E25" s="54"/>
      <c r="F25" s="54"/>
      <c r="G25" s="55"/>
      <c r="H25" s="24">
        <f>SUM(I25)-0.2</f>
        <v>3.5999999999999996</v>
      </c>
      <c r="I25" s="24">
        <f>SUM(J25)-0.2</f>
        <v>3.8</v>
      </c>
      <c r="J25" s="23">
        <v>4</v>
      </c>
      <c r="K25" s="21">
        <f>SUM(J25)+0.2</f>
        <v>4.2</v>
      </c>
      <c r="L25" s="21">
        <f t="shared" ref="L25:N25" si="6">SUM(K25)+0.2</f>
        <v>4.4000000000000004</v>
      </c>
      <c r="M25" s="153">
        <f t="shared" si="6"/>
        <v>4.6000000000000005</v>
      </c>
      <c r="N25" s="22">
        <f t="shared" si="6"/>
        <v>4.8000000000000007</v>
      </c>
    </row>
    <row r="26" spans="1:14" s="1" customFormat="1" ht="14.1" customHeight="1" thickBot="1">
      <c r="A26" s="154"/>
      <c r="B26" s="40" t="s">
        <v>175</v>
      </c>
      <c r="C26" s="41"/>
      <c r="D26" s="100" t="s">
        <v>104</v>
      </c>
      <c r="E26" s="101"/>
      <c r="F26" s="101"/>
      <c r="G26" s="102"/>
      <c r="H26" s="50"/>
      <c r="I26" s="50"/>
      <c r="J26" s="33"/>
      <c r="K26" s="24"/>
      <c r="L26" s="24"/>
      <c r="M26" s="134"/>
      <c r="N26" s="26"/>
    </row>
    <row r="27" spans="1:14" s="1" customFormat="1" ht="14.1" customHeight="1" thickTop="1">
      <c r="A27" s="157">
        <v>13</v>
      </c>
      <c r="B27" s="158" t="s">
        <v>149</v>
      </c>
      <c r="C27" s="159"/>
      <c r="D27" s="160" t="s">
        <v>82</v>
      </c>
      <c r="E27" s="161"/>
      <c r="F27" s="161"/>
      <c r="G27" s="162"/>
      <c r="H27" s="156">
        <f>SUM(I27)-3</f>
        <v>45</v>
      </c>
      <c r="I27" s="156">
        <f>SUM(J27)-3</f>
        <v>48</v>
      </c>
      <c r="J27" s="155">
        <v>51</v>
      </c>
      <c r="K27" s="156">
        <f>SUM(J27)+3</f>
        <v>54</v>
      </c>
      <c r="L27" s="156">
        <f t="shared" ref="L27:N27" si="7">SUM(K27)+3</f>
        <v>57</v>
      </c>
      <c r="M27" s="156">
        <f t="shared" si="7"/>
        <v>60</v>
      </c>
      <c r="N27" s="152">
        <f t="shared" si="7"/>
        <v>63</v>
      </c>
    </row>
    <row r="28" spans="1:14" s="1" customFormat="1" ht="14.1" customHeight="1">
      <c r="A28" s="38"/>
      <c r="B28" s="62" t="s">
        <v>108</v>
      </c>
      <c r="C28" s="63"/>
      <c r="D28" s="64" t="s">
        <v>83</v>
      </c>
      <c r="E28" s="65"/>
      <c r="F28" s="65"/>
      <c r="G28" s="66"/>
      <c r="H28" s="36"/>
      <c r="I28" s="36"/>
      <c r="J28" s="35"/>
      <c r="K28" s="36"/>
      <c r="L28" s="36"/>
      <c r="M28" s="36"/>
      <c r="N28" s="37"/>
    </row>
    <row r="29" spans="1:14" s="1" customFormat="1" ht="14.1" customHeight="1">
      <c r="A29" s="71">
        <v>14</v>
      </c>
      <c r="B29" s="51" t="s">
        <v>157</v>
      </c>
      <c r="C29" s="52"/>
      <c r="D29" s="100"/>
      <c r="E29" s="101"/>
      <c r="F29" s="101"/>
      <c r="G29" s="102"/>
      <c r="H29" s="24">
        <f>SUM(I29)-3.5</f>
        <v>64.900000000000006</v>
      </c>
      <c r="I29" s="24">
        <f>SUM(J29)-3.5</f>
        <v>68.400000000000006</v>
      </c>
      <c r="J29" s="117">
        <v>71.900000000000006</v>
      </c>
      <c r="K29" s="50">
        <f>SUM(J29)+3.5</f>
        <v>75.400000000000006</v>
      </c>
      <c r="L29" s="50">
        <f>SUM(K29)+3.5</f>
        <v>78.900000000000006</v>
      </c>
      <c r="M29" s="93">
        <f>SUM(L29)+3.5</f>
        <v>82.4</v>
      </c>
      <c r="N29" s="113">
        <f>SUM(M29)+3.5</f>
        <v>85.9</v>
      </c>
    </row>
    <row r="30" spans="1:14" s="1" customFormat="1" ht="14.1" customHeight="1">
      <c r="A30" s="38"/>
      <c r="B30" s="62" t="s">
        <v>158</v>
      </c>
      <c r="C30" s="63"/>
      <c r="D30" s="64"/>
      <c r="E30" s="65"/>
      <c r="F30" s="65"/>
      <c r="G30" s="66"/>
      <c r="H30" s="36"/>
      <c r="I30" s="36"/>
      <c r="J30" s="35"/>
      <c r="K30" s="36"/>
      <c r="L30" s="36"/>
      <c r="M30" s="62"/>
      <c r="N30" s="37"/>
    </row>
    <row r="31" spans="1:14" ht="14.1" customHeight="1">
      <c r="A31" s="71">
        <v>15</v>
      </c>
      <c r="B31" s="51" t="s">
        <v>13</v>
      </c>
      <c r="C31" s="52"/>
      <c r="D31" s="59"/>
      <c r="E31" s="60"/>
      <c r="F31" s="60"/>
      <c r="G31" s="61"/>
      <c r="H31" s="24">
        <f>SUM(I31)-4</f>
        <v>69</v>
      </c>
      <c r="I31" s="24">
        <f>SUM(J31)-4</f>
        <v>73</v>
      </c>
      <c r="J31" s="33">
        <v>77</v>
      </c>
      <c r="K31" s="24">
        <f>SUM(J31)+4</f>
        <v>81</v>
      </c>
      <c r="L31" s="24">
        <f>SUM(K31)+4</f>
        <v>85</v>
      </c>
      <c r="M31" s="134">
        <f>SUM(L31)+4</f>
        <v>89</v>
      </c>
      <c r="N31" s="26">
        <f>SUM(M31)+4</f>
        <v>93</v>
      </c>
    </row>
    <row r="32" spans="1:14" ht="14.1" customHeight="1">
      <c r="A32" s="38"/>
      <c r="B32" s="62" t="s">
        <v>55</v>
      </c>
      <c r="C32" s="63"/>
      <c r="D32" s="64" t="s">
        <v>638</v>
      </c>
      <c r="E32" s="65"/>
      <c r="F32" s="65"/>
      <c r="G32" s="66"/>
      <c r="H32" s="36"/>
      <c r="I32" s="36"/>
      <c r="J32" s="35"/>
      <c r="K32" s="36"/>
      <c r="L32" s="36"/>
      <c r="M32" s="62"/>
      <c r="N32" s="37"/>
    </row>
    <row r="33" spans="1:14" ht="14.1" customHeight="1">
      <c r="A33" s="71">
        <v>16</v>
      </c>
      <c r="B33" s="51" t="s">
        <v>146</v>
      </c>
      <c r="C33" s="52"/>
      <c r="D33" s="59"/>
      <c r="E33" s="60"/>
      <c r="F33" s="60"/>
      <c r="G33" s="61"/>
      <c r="H33" s="58">
        <f>SUM(I33)-0.7</f>
        <v>12.600000000000001</v>
      </c>
      <c r="I33" s="24">
        <f>SUM(J33)-0.7</f>
        <v>13.3</v>
      </c>
      <c r="J33" s="33">
        <v>14</v>
      </c>
      <c r="K33" s="24">
        <f>SUM(J33)+1.2</f>
        <v>15.2</v>
      </c>
      <c r="L33" s="24">
        <f t="shared" ref="L33:N33" si="8">SUM(K33)+0.7</f>
        <v>15.899999999999999</v>
      </c>
      <c r="M33" s="134">
        <f t="shared" si="8"/>
        <v>16.599999999999998</v>
      </c>
      <c r="N33" s="26">
        <f t="shared" si="8"/>
        <v>17.299999999999997</v>
      </c>
    </row>
    <row r="34" spans="1:14" ht="14.1" customHeight="1">
      <c r="A34" s="38"/>
      <c r="B34" s="62" t="s">
        <v>145</v>
      </c>
      <c r="C34" s="63"/>
      <c r="D34" s="89" t="s">
        <v>179</v>
      </c>
      <c r="E34" s="90"/>
      <c r="F34" s="90"/>
      <c r="G34" s="91"/>
      <c r="H34" s="56"/>
      <c r="I34" s="36"/>
      <c r="J34" s="35"/>
      <c r="K34" s="36"/>
      <c r="L34" s="36"/>
      <c r="M34" s="62"/>
      <c r="N34" s="37"/>
    </row>
    <row r="35" spans="1:14" ht="14.1" customHeight="1">
      <c r="A35" s="71">
        <v>17</v>
      </c>
      <c r="B35" s="51" t="s">
        <v>166</v>
      </c>
      <c r="C35" s="52"/>
      <c r="D35" s="59"/>
      <c r="E35" s="60"/>
      <c r="F35" s="60"/>
      <c r="G35" s="61"/>
      <c r="H35" s="58"/>
      <c r="I35" s="24"/>
      <c r="J35" s="33"/>
      <c r="K35" s="24"/>
      <c r="L35" s="24"/>
      <c r="M35" s="51"/>
      <c r="N35" s="111"/>
    </row>
    <row r="36" spans="1:14" ht="14.1" customHeight="1">
      <c r="A36" s="38"/>
      <c r="B36" s="62" t="s">
        <v>167</v>
      </c>
      <c r="C36" s="63"/>
      <c r="D36" s="89" t="s">
        <v>168</v>
      </c>
      <c r="E36" s="90"/>
      <c r="F36" s="90"/>
      <c r="G36" s="91"/>
      <c r="H36" s="56"/>
      <c r="I36" s="36"/>
      <c r="J36" s="35"/>
      <c r="K36" s="36"/>
      <c r="L36" s="36"/>
      <c r="M36" s="45"/>
      <c r="N36" s="112"/>
    </row>
    <row r="37" spans="1:14" ht="14.1" customHeight="1">
      <c r="A37" s="71">
        <v>18</v>
      </c>
      <c r="B37" s="51" t="s">
        <v>178</v>
      </c>
      <c r="C37" s="52"/>
      <c r="D37" s="59"/>
      <c r="E37" s="60"/>
      <c r="F37" s="60"/>
      <c r="G37" s="61"/>
      <c r="H37" s="24"/>
      <c r="I37" s="24"/>
      <c r="J37" s="33"/>
      <c r="K37" s="24"/>
      <c r="L37" s="24"/>
      <c r="M37" s="134"/>
      <c r="N37" s="26"/>
    </row>
    <row r="38" spans="1:14" ht="14.1" customHeight="1">
      <c r="A38" s="38"/>
      <c r="B38" s="62" t="s">
        <v>177</v>
      </c>
      <c r="C38" s="63"/>
      <c r="D38" s="89"/>
      <c r="E38" s="90"/>
      <c r="F38" s="90"/>
      <c r="G38" s="91"/>
      <c r="H38" s="36"/>
      <c r="I38" s="36"/>
      <c r="J38" s="35"/>
      <c r="K38" s="36"/>
      <c r="L38" s="36"/>
      <c r="M38" s="62"/>
      <c r="N38" s="37"/>
    </row>
    <row r="39" spans="1:14" ht="14.1" customHeight="1">
      <c r="A39" s="71">
        <v>19</v>
      </c>
      <c r="B39" s="51" t="s">
        <v>9</v>
      </c>
      <c r="C39" s="52"/>
      <c r="D39" s="59" t="s">
        <v>84</v>
      </c>
      <c r="E39" s="60"/>
      <c r="F39" s="60"/>
      <c r="G39" s="61"/>
      <c r="H39" s="24">
        <f>SUM(I39)-7</f>
        <v>53.5</v>
      </c>
      <c r="I39" s="24">
        <f>SUM(J39)-7</f>
        <v>60.5</v>
      </c>
      <c r="J39" s="33">
        <v>67.5</v>
      </c>
      <c r="K39" s="24">
        <f>SUM(J39)+6</f>
        <v>73.5</v>
      </c>
      <c r="L39" s="24">
        <f>SUM(K39)+6</f>
        <v>79.5</v>
      </c>
      <c r="M39" s="134">
        <f>SUM(L39)+6</f>
        <v>85.5</v>
      </c>
      <c r="N39" s="26">
        <f>SUM(M39)+6</f>
        <v>91.5</v>
      </c>
    </row>
    <row r="40" spans="1:14" ht="14.1" customHeight="1">
      <c r="A40" s="38"/>
      <c r="B40" s="62" t="s">
        <v>56</v>
      </c>
      <c r="C40" s="63"/>
      <c r="D40" s="64" t="s">
        <v>120</v>
      </c>
      <c r="E40" s="65"/>
      <c r="F40" s="65"/>
      <c r="G40" s="66"/>
      <c r="H40" s="36"/>
      <c r="I40" s="36"/>
      <c r="J40" s="35"/>
      <c r="K40" s="36"/>
      <c r="L40" s="36"/>
      <c r="M40" s="62"/>
      <c r="N40" s="37"/>
    </row>
    <row r="41" spans="1:14" ht="14.1" customHeight="1">
      <c r="A41" s="71">
        <v>20</v>
      </c>
      <c r="B41" s="51" t="s">
        <v>16</v>
      </c>
      <c r="C41" s="52"/>
      <c r="D41" s="59" t="s">
        <v>17</v>
      </c>
      <c r="E41" s="60"/>
      <c r="F41" s="60"/>
      <c r="G41" s="61"/>
      <c r="H41" s="24">
        <f>SUM(I41)-1</f>
        <v>20</v>
      </c>
      <c r="I41" s="24">
        <f>SUM(J41)-1</f>
        <v>21</v>
      </c>
      <c r="J41" s="33">
        <v>22</v>
      </c>
      <c r="K41" s="24">
        <f>SUM(J41)+1</f>
        <v>23</v>
      </c>
      <c r="L41" s="24">
        <f t="shared" ref="L41:N41" si="9">SUM(K41)+1</f>
        <v>24</v>
      </c>
      <c r="M41" s="24">
        <f t="shared" si="9"/>
        <v>25</v>
      </c>
      <c r="N41" s="26">
        <f t="shared" si="9"/>
        <v>26</v>
      </c>
    </row>
    <row r="42" spans="1:14" ht="14.1" customHeight="1">
      <c r="A42" s="38"/>
      <c r="B42" s="62" t="s">
        <v>57</v>
      </c>
      <c r="C42" s="63"/>
      <c r="D42" s="47" t="s">
        <v>119</v>
      </c>
      <c r="E42" s="48"/>
      <c r="F42" s="48"/>
      <c r="G42" s="49"/>
      <c r="H42" s="36"/>
      <c r="I42" s="36"/>
      <c r="J42" s="35"/>
      <c r="K42" s="36"/>
      <c r="L42" s="36"/>
      <c r="M42" s="36"/>
      <c r="N42" s="37"/>
    </row>
    <row r="43" spans="1:14" ht="14.1" customHeight="1">
      <c r="A43" s="71">
        <v>21</v>
      </c>
      <c r="B43" s="51" t="s">
        <v>18</v>
      </c>
      <c r="C43" s="52"/>
      <c r="D43" s="59" t="s">
        <v>15</v>
      </c>
      <c r="E43" s="60"/>
      <c r="F43" s="60"/>
      <c r="G43" s="61"/>
      <c r="H43" s="58">
        <f>SUM(I43)-1.1</f>
        <v>20.599999999999998</v>
      </c>
      <c r="I43" s="24">
        <f>SUM(J43)-1.1</f>
        <v>21.7</v>
      </c>
      <c r="J43" s="33">
        <v>22.8</v>
      </c>
      <c r="K43" s="24">
        <f>SUM(J43)+1.6</f>
        <v>24.400000000000002</v>
      </c>
      <c r="L43" s="24">
        <f>SUM(K43)+1.1</f>
        <v>25.500000000000004</v>
      </c>
      <c r="M43" s="51">
        <f>SUM(L43)+1.1</f>
        <v>26.600000000000005</v>
      </c>
      <c r="N43" s="111">
        <f>SUM(M43)+1.1</f>
        <v>27.700000000000006</v>
      </c>
    </row>
    <row r="44" spans="1:14" ht="14.1" customHeight="1">
      <c r="A44" s="38"/>
      <c r="B44" s="62" t="s">
        <v>63</v>
      </c>
      <c r="C44" s="63"/>
      <c r="D44" s="64" t="s">
        <v>118</v>
      </c>
      <c r="E44" s="65"/>
      <c r="F44" s="65"/>
      <c r="G44" s="66"/>
      <c r="H44" s="56"/>
      <c r="I44" s="36"/>
      <c r="J44" s="35"/>
      <c r="K44" s="36"/>
      <c r="L44" s="36"/>
      <c r="M44" s="45"/>
      <c r="N44" s="112"/>
    </row>
    <row r="45" spans="1:14" ht="14.1" customHeight="1">
      <c r="A45" s="71">
        <v>22</v>
      </c>
      <c r="B45" s="51" t="s">
        <v>19</v>
      </c>
      <c r="C45" s="52"/>
      <c r="D45" s="59" t="s">
        <v>15</v>
      </c>
      <c r="E45" s="60"/>
      <c r="F45" s="60"/>
      <c r="G45" s="61"/>
      <c r="H45" s="58">
        <f>SUM(I45)-1.3</f>
        <v>28</v>
      </c>
      <c r="I45" s="24">
        <f>SUM(J45)-1.3</f>
        <v>29.3</v>
      </c>
      <c r="J45" s="33">
        <v>30.6</v>
      </c>
      <c r="K45" s="24">
        <f>SUM(J45)+1.8</f>
        <v>32.4</v>
      </c>
      <c r="L45" s="24">
        <f>SUM(K45)+1.3</f>
        <v>33.699999999999996</v>
      </c>
      <c r="M45" s="51">
        <f>SUM(L45)+1.3</f>
        <v>34.999999999999993</v>
      </c>
      <c r="N45" s="111">
        <f>SUM(M45)+1.3</f>
        <v>36.29999999999999</v>
      </c>
    </row>
    <row r="46" spans="1:14" ht="14.1" customHeight="1">
      <c r="A46" s="38"/>
      <c r="B46" s="62" t="s">
        <v>62</v>
      </c>
      <c r="C46" s="63"/>
      <c r="D46" s="64" t="s">
        <v>118</v>
      </c>
      <c r="E46" s="65"/>
      <c r="F46" s="65"/>
      <c r="G46" s="66"/>
      <c r="H46" s="56"/>
      <c r="I46" s="36"/>
      <c r="J46" s="35"/>
      <c r="K46" s="36"/>
      <c r="L46" s="36"/>
      <c r="M46" s="45"/>
      <c r="N46" s="112"/>
    </row>
    <row r="47" spans="1:14" ht="14.1" customHeight="1">
      <c r="A47" s="71">
        <v>23</v>
      </c>
      <c r="B47" s="51" t="s">
        <v>20</v>
      </c>
      <c r="C47" s="52"/>
      <c r="D47" s="59" t="s">
        <v>21</v>
      </c>
      <c r="E47" s="60"/>
      <c r="F47" s="60"/>
      <c r="G47" s="61"/>
      <c r="H47" s="24">
        <f>SUM(I47)-2.7</f>
        <v>42.399999999999991</v>
      </c>
      <c r="I47" s="24">
        <f>SUM(J47)-2.7</f>
        <v>45.099999999999994</v>
      </c>
      <c r="J47" s="33">
        <v>47.8</v>
      </c>
      <c r="K47" s="24">
        <f>SUM(J47)+2.6</f>
        <v>50.4</v>
      </c>
      <c r="L47" s="24">
        <f>SUM(K47)+2.6</f>
        <v>53</v>
      </c>
      <c r="M47" s="24">
        <f>SUM(L47)+2.6</f>
        <v>55.6</v>
      </c>
      <c r="N47" s="26">
        <f>SUM(M47)+2.6</f>
        <v>58.2</v>
      </c>
    </row>
    <row r="48" spans="1:14" ht="14.1" customHeight="1">
      <c r="A48" s="38"/>
      <c r="B48" s="62" t="s">
        <v>61</v>
      </c>
      <c r="C48" s="63"/>
      <c r="D48" s="64" t="s">
        <v>117</v>
      </c>
      <c r="E48" s="65"/>
      <c r="F48" s="65"/>
      <c r="G48" s="66"/>
      <c r="H48" s="36"/>
      <c r="I48" s="36"/>
      <c r="J48" s="35"/>
      <c r="K48" s="36"/>
      <c r="L48" s="36"/>
      <c r="M48" s="36"/>
      <c r="N48" s="37"/>
    </row>
    <row r="49" spans="1:14" ht="14.1" customHeight="1">
      <c r="A49" s="71">
        <v>24</v>
      </c>
      <c r="B49" s="51" t="s">
        <v>22</v>
      </c>
      <c r="C49" s="52"/>
      <c r="D49" s="59" t="s">
        <v>23</v>
      </c>
      <c r="E49" s="60"/>
      <c r="F49" s="60"/>
      <c r="G49" s="61"/>
      <c r="H49" s="24">
        <f>SUM(I49)-6</f>
        <v>34</v>
      </c>
      <c r="I49" s="24">
        <f>SUM(J49)-6</f>
        <v>40</v>
      </c>
      <c r="J49" s="33">
        <v>46</v>
      </c>
      <c r="K49" s="24">
        <f>SUM(J49)+4.5</f>
        <v>50.5</v>
      </c>
      <c r="L49" s="24">
        <f>SUM(K49)+5</f>
        <v>55.5</v>
      </c>
      <c r="M49" s="134">
        <f>SUM(L49)+5</f>
        <v>60.5</v>
      </c>
      <c r="N49" s="26">
        <f>SUM(M49)+5</f>
        <v>65.5</v>
      </c>
    </row>
    <row r="50" spans="1:14" ht="14.1" customHeight="1">
      <c r="A50" s="38"/>
      <c r="B50" s="62" t="s">
        <v>60</v>
      </c>
      <c r="C50" s="63"/>
      <c r="D50" s="64" t="s">
        <v>116</v>
      </c>
      <c r="E50" s="65"/>
      <c r="F50" s="65"/>
      <c r="G50" s="66"/>
      <c r="H50" s="36"/>
      <c r="I50" s="36"/>
      <c r="J50" s="35"/>
      <c r="K50" s="36"/>
      <c r="L50" s="36"/>
      <c r="M50" s="62"/>
      <c r="N50" s="37"/>
    </row>
    <row r="51" spans="1:14" ht="14.1" customHeight="1">
      <c r="A51" s="71">
        <v>25</v>
      </c>
      <c r="B51" s="51" t="s">
        <v>115</v>
      </c>
      <c r="C51" s="52"/>
      <c r="D51" s="59" t="s">
        <v>113</v>
      </c>
      <c r="E51" s="60"/>
      <c r="F51" s="60"/>
      <c r="G51" s="61"/>
      <c r="H51" s="24">
        <f>SUM(I51)-1.9</f>
        <v>37.400000000000006</v>
      </c>
      <c r="I51" s="24">
        <f>SUM(J51)-1.9</f>
        <v>39.300000000000004</v>
      </c>
      <c r="J51" s="33">
        <v>41.2</v>
      </c>
      <c r="K51" s="24">
        <f>SUM(J51)+1.9</f>
        <v>43.1</v>
      </c>
      <c r="L51" s="24">
        <f t="shared" ref="L51:M51" si="10">SUM(K51)+1.9</f>
        <v>45</v>
      </c>
      <c r="M51" s="24">
        <f t="shared" si="10"/>
        <v>46.9</v>
      </c>
      <c r="N51" s="26">
        <f>SUM(M51)+1.9</f>
        <v>48.8</v>
      </c>
    </row>
    <row r="52" spans="1:14" ht="13.5" customHeight="1">
      <c r="A52" s="38"/>
      <c r="B52" s="62" t="s">
        <v>114</v>
      </c>
      <c r="C52" s="63"/>
      <c r="D52" s="64" t="s">
        <v>113</v>
      </c>
      <c r="E52" s="65"/>
      <c r="F52" s="65"/>
      <c r="G52" s="66"/>
      <c r="H52" s="36"/>
      <c r="I52" s="36"/>
      <c r="J52" s="35"/>
      <c r="K52" s="36"/>
      <c r="L52" s="36"/>
      <c r="M52" s="36"/>
      <c r="N52" s="37"/>
    </row>
    <row r="53" spans="1:14" ht="14.1" customHeight="1">
      <c r="A53" s="71">
        <v>26</v>
      </c>
      <c r="B53" s="51" t="s">
        <v>112</v>
      </c>
      <c r="C53" s="52"/>
      <c r="D53" s="59" t="s">
        <v>111</v>
      </c>
      <c r="E53" s="60"/>
      <c r="F53" s="60"/>
      <c r="G53" s="61"/>
      <c r="H53" s="24">
        <f>SUM(I53)-3.2</f>
        <v>32.299999999999997</v>
      </c>
      <c r="I53" s="24">
        <f>SUM(J53)-3.2</f>
        <v>35.5</v>
      </c>
      <c r="J53" s="33">
        <v>38.700000000000003</v>
      </c>
      <c r="K53" s="24">
        <f>SUM(J53)+3.2</f>
        <v>41.900000000000006</v>
      </c>
      <c r="L53" s="24">
        <f>SUM(K53)+2.9</f>
        <v>44.800000000000004</v>
      </c>
      <c r="M53" s="24">
        <f t="shared" ref="M53:N53" si="11">SUM(L53)+2.9</f>
        <v>47.7</v>
      </c>
      <c r="N53" s="26">
        <f t="shared" si="11"/>
        <v>50.6</v>
      </c>
    </row>
    <row r="54" spans="1:14" ht="14.1" customHeight="1">
      <c r="A54" s="38"/>
      <c r="B54" s="62" t="s">
        <v>110</v>
      </c>
      <c r="C54" s="63"/>
      <c r="D54" s="64" t="s">
        <v>160</v>
      </c>
      <c r="E54" s="65"/>
      <c r="F54" s="65"/>
      <c r="G54" s="66"/>
      <c r="H54" s="36"/>
      <c r="I54" s="36"/>
      <c r="J54" s="35"/>
      <c r="K54" s="36"/>
      <c r="L54" s="36"/>
      <c r="M54" s="36"/>
      <c r="N54" s="37"/>
    </row>
    <row r="55" spans="1:14" ht="14.1" customHeight="1">
      <c r="A55" s="71">
        <v>27</v>
      </c>
      <c r="B55" s="51" t="s">
        <v>144</v>
      </c>
      <c r="C55" s="52"/>
      <c r="D55" s="59" t="s">
        <v>24</v>
      </c>
      <c r="E55" s="60"/>
      <c r="F55" s="60"/>
      <c r="G55" s="61"/>
      <c r="H55" s="24">
        <f>SUM(I55)-0.2</f>
        <v>4.5</v>
      </c>
      <c r="I55" s="24">
        <f>SUM(J55)-0.2</f>
        <v>4.7</v>
      </c>
      <c r="J55" s="23">
        <v>4.9000000000000004</v>
      </c>
      <c r="K55" s="21">
        <f>SUM(J55)+0.2</f>
        <v>5.1000000000000005</v>
      </c>
      <c r="L55" s="21">
        <f>SUM(K55)+0.2</f>
        <v>5.3000000000000007</v>
      </c>
      <c r="M55" s="153">
        <f>SUM(L55)+0.2</f>
        <v>5.5000000000000009</v>
      </c>
      <c r="N55" s="22">
        <f>SUM(M55)+0.2</f>
        <v>5.7000000000000011</v>
      </c>
    </row>
    <row r="56" spans="1:14" ht="14.1" customHeight="1">
      <c r="A56" s="38"/>
      <c r="B56" s="62" t="s">
        <v>59</v>
      </c>
      <c r="C56" s="63"/>
      <c r="D56" s="64" t="s">
        <v>143</v>
      </c>
      <c r="E56" s="65"/>
      <c r="F56" s="65"/>
      <c r="G56" s="66"/>
      <c r="H56" s="36"/>
      <c r="I56" s="36"/>
      <c r="J56" s="23"/>
      <c r="K56" s="21"/>
      <c r="L56" s="21"/>
      <c r="M56" s="153"/>
      <c r="N56" s="22"/>
    </row>
    <row r="57" spans="1:14" ht="14.1" customHeight="1">
      <c r="A57" s="71">
        <v>28</v>
      </c>
      <c r="B57" s="51" t="s">
        <v>142</v>
      </c>
      <c r="C57" s="52"/>
      <c r="D57" s="59" t="s">
        <v>25</v>
      </c>
      <c r="E57" s="60"/>
      <c r="F57" s="60"/>
      <c r="G57" s="61"/>
      <c r="H57" s="24">
        <f>SUM(I57)-0.6</f>
        <v>9.7000000000000011</v>
      </c>
      <c r="I57" s="24">
        <f>SUM(J57)-0.6</f>
        <v>10.3</v>
      </c>
      <c r="J57" s="33">
        <v>10.9</v>
      </c>
      <c r="K57" s="24">
        <f>SUM(J57)+0.6</f>
        <v>11.5</v>
      </c>
      <c r="L57" s="24">
        <f>SUM(K57)+0.6</f>
        <v>12.1</v>
      </c>
      <c r="M57" s="134">
        <f>SUM(L57)+0.6</f>
        <v>12.7</v>
      </c>
      <c r="N57" s="26">
        <f>SUM(M57)+0.6</f>
        <v>13.299999999999999</v>
      </c>
    </row>
    <row r="58" spans="1:14" ht="14.1" customHeight="1">
      <c r="A58" s="38"/>
      <c r="B58" s="62" t="s">
        <v>58</v>
      </c>
      <c r="C58" s="63"/>
      <c r="D58" s="64" t="s">
        <v>141</v>
      </c>
      <c r="E58" s="65"/>
      <c r="F58" s="65"/>
      <c r="G58" s="66"/>
      <c r="H58" s="36"/>
      <c r="I58" s="36"/>
      <c r="J58" s="35"/>
      <c r="K58" s="36"/>
      <c r="L58" s="36"/>
      <c r="M58" s="62"/>
      <c r="N58" s="37"/>
    </row>
    <row r="59" spans="1:14" ht="14.1" customHeight="1">
      <c r="A59" s="71">
        <v>29</v>
      </c>
      <c r="B59" s="51" t="s">
        <v>140</v>
      </c>
      <c r="C59" s="52"/>
      <c r="D59" s="57"/>
      <c r="E59" s="57"/>
      <c r="F59" s="57"/>
      <c r="G59" s="57"/>
      <c r="H59" s="24">
        <f>SUM(I59)-0.5</f>
        <v>10</v>
      </c>
      <c r="I59" s="24">
        <f>SUM(J59)-0.5</f>
        <v>10.5</v>
      </c>
      <c r="J59" s="33">
        <v>11</v>
      </c>
      <c r="K59" s="24">
        <f>SUM(J59)+0.5</f>
        <v>11.5</v>
      </c>
      <c r="L59" s="24">
        <f>SUM(K59)+0.5</f>
        <v>12</v>
      </c>
      <c r="M59" s="134">
        <f>SUM(L59)+0.5</f>
        <v>12.5</v>
      </c>
      <c r="N59" s="26">
        <f>SUM(M59)+0.5</f>
        <v>13</v>
      </c>
    </row>
    <row r="60" spans="1:14" ht="14.1" customHeight="1">
      <c r="A60" s="38"/>
      <c r="B60" s="45" t="s">
        <v>139</v>
      </c>
      <c r="C60" s="46"/>
      <c r="D60" s="47"/>
      <c r="E60" s="48"/>
      <c r="F60" s="48"/>
      <c r="G60" s="49"/>
      <c r="H60" s="36"/>
      <c r="I60" s="36"/>
      <c r="J60" s="35"/>
      <c r="K60" s="36"/>
      <c r="L60" s="36"/>
      <c r="M60" s="62"/>
      <c r="N60" s="37"/>
    </row>
    <row r="61" spans="1:14" ht="14.1" customHeight="1">
      <c r="A61" s="71">
        <v>30</v>
      </c>
      <c r="B61" s="51" t="s">
        <v>138</v>
      </c>
      <c r="C61" s="52"/>
      <c r="D61" s="57"/>
      <c r="E61" s="57"/>
      <c r="F61" s="57"/>
      <c r="G61" s="57"/>
      <c r="H61" s="24">
        <f>SUM(I61)-0.5</f>
        <v>10</v>
      </c>
      <c r="I61" s="24">
        <f>SUM(J61)-0.5</f>
        <v>10.5</v>
      </c>
      <c r="J61" s="33">
        <v>11</v>
      </c>
      <c r="K61" s="24">
        <f>SUM(J61)+0.5</f>
        <v>11.5</v>
      </c>
      <c r="L61" s="24">
        <f>SUM(K61)+0.5</f>
        <v>12</v>
      </c>
      <c r="M61" s="134">
        <f>SUM(L61)+0.5</f>
        <v>12.5</v>
      </c>
      <c r="N61" s="26">
        <f>SUM(M61)+0.5</f>
        <v>13</v>
      </c>
    </row>
    <row r="62" spans="1:14" ht="14.1" customHeight="1">
      <c r="A62" s="154"/>
      <c r="B62" s="141" t="s">
        <v>137</v>
      </c>
      <c r="C62" s="141"/>
      <c r="D62" s="100"/>
      <c r="E62" s="101"/>
      <c r="F62" s="101"/>
      <c r="G62" s="102"/>
      <c r="H62" s="50"/>
      <c r="I62" s="50"/>
      <c r="J62" s="117"/>
      <c r="K62" s="50"/>
      <c r="L62" s="50"/>
      <c r="M62" s="93"/>
      <c r="N62" s="113"/>
    </row>
    <row r="63" spans="1:14" ht="14.1" customHeight="1">
      <c r="A63" s="38">
        <v>31</v>
      </c>
      <c r="B63" s="51" t="s">
        <v>713</v>
      </c>
      <c r="C63" s="52"/>
      <c r="D63" s="59"/>
      <c r="E63" s="60"/>
      <c r="F63" s="60"/>
      <c r="G63" s="61"/>
      <c r="H63" s="24">
        <f>SUM(I63)-3</f>
        <v>77</v>
      </c>
      <c r="I63" s="24">
        <f>SUM(J63)-3</f>
        <v>80</v>
      </c>
      <c r="J63" s="33">
        <v>83</v>
      </c>
      <c r="K63" s="24">
        <f>SUM(J63)+3</f>
        <v>86</v>
      </c>
      <c r="L63" s="24">
        <f t="shared" ref="L63:N63" si="12">SUM(K63)+3</f>
        <v>89</v>
      </c>
      <c r="M63" s="24">
        <f t="shared" si="12"/>
        <v>92</v>
      </c>
      <c r="N63" s="26">
        <f t="shared" si="12"/>
        <v>95</v>
      </c>
    </row>
    <row r="64" spans="1:14" ht="14.1" customHeight="1" thickBot="1">
      <c r="A64" s="39"/>
      <c r="B64" s="28" t="s">
        <v>714</v>
      </c>
      <c r="C64" s="29"/>
      <c r="D64" s="30"/>
      <c r="E64" s="31"/>
      <c r="F64" s="31"/>
      <c r="G64" s="32"/>
      <c r="H64" s="25"/>
      <c r="I64" s="25"/>
      <c r="J64" s="34"/>
      <c r="K64" s="25"/>
      <c r="L64" s="25"/>
      <c r="M64" s="25"/>
      <c r="N64" s="27"/>
    </row>
    <row r="65" spans="1:14" ht="14.1" customHeight="1"/>
    <row r="66" spans="1:14" ht="14.1" customHeight="1"/>
    <row r="67" spans="1:14" ht="14.1" customHeight="1"/>
    <row r="68" spans="1:14" ht="14.1" customHeight="1"/>
    <row r="69" spans="1:14" ht="14.1" customHeight="1"/>
    <row r="70" spans="1:14" ht="14.1" customHeight="1"/>
    <row r="71" spans="1:14" ht="14.1" customHeight="1">
      <c r="N71" s="1"/>
    </row>
    <row r="72" spans="1:14" ht="14.1" customHeight="1">
      <c r="N72" s="1"/>
    </row>
    <row r="73" spans="1:14" s="1" customFormat="1" ht="14.1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</row>
    <row r="74" spans="1:14" s="1" customFormat="1" ht="14.1" customHeight="1">
      <c r="A74"/>
      <c r="B74"/>
      <c r="C74"/>
      <c r="D74"/>
      <c r="E74"/>
      <c r="F74"/>
      <c r="G74"/>
      <c r="H74"/>
      <c r="I74"/>
      <c r="J74"/>
      <c r="K74"/>
      <c r="L74"/>
      <c r="M74"/>
      <c r="N74"/>
    </row>
  </sheetData>
  <mergeCells count="375">
    <mergeCell ref="K63:K64"/>
    <mergeCell ref="L63:L64"/>
    <mergeCell ref="M63:M64"/>
    <mergeCell ref="N63:N64"/>
    <mergeCell ref="A63:A64"/>
    <mergeCell ref="B63:C63"/>
    <mergeCell ref="B64:C64"/>
    <mergeCell ref="D63:G63"/>
    <mergeCell ref="D64:G64"/>
    <mergeCell ref="H63:H64"/>
    <mergeCell ref="I63:I64"/>
    <mergeCell ref="J63:J64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H17:H18"/>
    <mergeCell ref="I17:I18"/>
    <mergeCell ref="J17:J18"/>
    <mergeCell ref="J15:J16"/>
    <mergeCell ref="K15:K16"/>
    <mergeCell ref="L15:L16"/>
    <mergeCell ref="M15:M16"/>
    <mergeCell ref="B16:C16"/>
    <mergeCell ref="D16:G16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51:A52"/>
    <mergeCell ref="B51:C51"/>
    <mergeCell ref="D51:G51"/>
    <mergeCell ref="H51:H52"/>
    <mergeCell ref="I51:I52"/>
    <mergeCell ref="A49:A50"/>
    <mergeCell ref="B49:C49"/>
    <mergeCell ref="D49:G49"/>
    <mergeCell ref="H49:H50"/>
    <mergeCell ref="I49:I50"/>
    <mergeCell ref="J51:J52"/>
    <mergeCell ref="K51:K52"/>
    <mergeCell ref="L51:L52"/>
    <mergeCell ref="M51:M52"/>
    <mergeCell ref="B52:C52"/>
    <mergeCell ref="D52:G52"/>
    <mergeCell ref="K49:K50"/>
    <mergeCell ref="L49:L50"/>
    <mergeCell ref="M49:M50"/>
    <mergeCell ref="B50:C50"/>
    <mergeCell ref="D50:G50"/>
    <mergeCell ref="J49:J50"/>
    <mergeCell ref="K53:K54"/>
    <mergeCell ref="L53:L54"/>
    <mergeCell ref="M53:M54"/>
    <mergeCell ref="B54:C54"/>
    <mergeCell ref="D54:G54"/>
    <mergeCell ref="J53:J54"/>
    <mergeCell ref="A53:A54"/>
    <mergeCell ref="B53:C53"/>
    <mergeCell ref="D53:G53"/>
    <mergeCell ref="H53:H54"/>
    <mergeCell ref="I53:I54"/>
    <mergeCell ref="A57:A58"/>
    <mergeCell ref="B57:C57"/>
    <mergeCell ref="D57:G57"/>
    <mergeCell ref="H57:H58"/>
    <mergeCell ref="I57:I58"/>
    <mergeCell ref="A55:A56"/>
    <mergeCell ref="B55:C55"/>
    <mergeCell ref="D55:G55"/>
    <mergeCell ref="H55:H56"/>
    <mergeCell ref="I55:I56"/>
    <mergeCell ref="J57:J58"/>
    <mergeCell ref="K57:K58"/>
    <mergeCell ref="L57:L58"/>
    <mergeCell ref="M57:M58"/>
    <mergeCell ref="B58:C58"/>
    <mergeCell ref="D58:G58"/>
    <mergeCell ref="K55:K56"/>
    <mergeCell ref="L55:L56"/>
    <mergeCell ref="M55:M56"/>
    <mergeCell ref="B56:C56"/>
    <mergeCell ref="D56:G56"/>
    <mergeCell ref="J55:J56"/>
    <mergeCell ref="A61:A62"/>
    <mergeCell ref="B61:C61"/>
    <mergeCell ref="D61:G61"/>
    <mergeCell ref="H61:H62"/>
    <mergeCell ref="I61:I62"/>
    <mergeCell ref="A59:A60"/>
    <mergeCell ref="B59:C59"/>
    <mergeCell ref="D59:G59"/>
    <mergeCell ref="H59:H60"/>
    <mergeCell ref="I59:I60"/>
    <mergeCell ref="J61:J62"/>
    <mergeCell ref="K61:K62"/>
    <mergeCell ref="L61:L62"/>
    <mergeCell ref="M61:M62"/>
    <mergeCell ref="B62:C62"/>
    <mergeCell ref="D62:G62"/>
    <mergeCell ref="K59:K60"/>
    <mergeCell ref="L59:L60"/>
    <mergeCell ref="M59:M60"/>
    <mergeCell ref="B60:C60"/>
    <mergeCell ref="D60:G60"/>
    <mergeCell ref="J59:J60"/>
    <mergeCell ref="A1:N1"/>
    <mergeCell ref="N3:N4"/>
    <mergeCell ref="N5:N6"/>
    <mergeCell ref="N7:N8"/>
    <mergeCell ref="N9:N10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A19:A20"/>
    <mergeCell ref="B19:C19"/>
    <mergeCell ref="D19:G19"/>
    <mergeCell ref="H19:H20"/>
    <mergeCell ref="I19:I20"/>
    <mergeCell ref="A17:A18"/>
    <mergeCell ref="B17:C17"/>
    <mergeCell ref="D17:G17"/>
    <mergeCell ref="N23:N24"/>
    <mergeCell ref="N25:N26"/>
    <mergeCell ref="N27:N28"/>
    <mergeCell ref="N29:N30"/>
    <mergeCell ref="N31:N32"/>
    <mergeCell ref="N33:N34"/>
    <mergeCell ref="N11:N12"/>
    <mergeCell ref="N13:N14"/>
    <mergeCell ref="N15:N16"/>
    <mergeCell ref="N17:N18"/>
    <mergeCell ref="N19:N20"/>
    <mergeCell ref="N21:N22"/>
    <mergeCell ref="N57:N58"/>
    <mergeCell ref="N59:N60"/>
    <mergeCell ref="N61:N62"/>
    <mergeCell ref="N47:N48"/>
    <mergeCell ref="N49:N50"/>
    <mergeCell ref="N51:N52"/>
    <mergeCell ref="N53:N54"/>
    <mergeCell ref="N55:N56"/>
    <mergeCell ref="N35:N36"/>
    <mergeCell ref="N37:N38"/>
    <mergeCell ref="N39:N40"/>
    <mergeCell ref="N41:N42"/>
    <mergeCell ref="N43:N44"/>
    <mergeCell ref="N45:N46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80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ECB6C-C44A-4A9E-8C3C-AD6B2464BA0F}">
  <sheetPr>
    <tabColor rgb="FF00B050"/>
    <pageSetUpPr fitToPage="1"/>
  </sheetPr>
  <dimension ref="A1:M74"/>
  <sheetViews>
    <sheetView zoomScale="110" zoomScaleNormal="110" workbookViewId="0">
      <selection activeCell="P48" sqref="P4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  <col min="14" max="14" width="5.375" customWidth="1"/>
  </cols>
  <sheetData>
    <row r="1" spans="1:13" ht="16.5" customHeight="1" thickBot="1">
      <c r="A1" s="67" t="s">
        <v>725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169">
        <v>1</v>
      </c>
      <c r="B3" s="80" t="s">
        <v>45</v>
      </c>
      <c r="C3" s="81"/>
      <c r="D3" s="74" t="s">
        <v>184</v>
      </c>
      <c r="E3" s="82"/>
      <c r="F3" s="82"/>
      <c r="G3" s="83"/>
      <c r="H3" s="85">
        <f>SUM(I3)-3.5</f>
        <v>40</v>
      </c>
      <c r="I3" s="85">
        <f>SUM(J3)-3.5</f>
        <v>43.5</v>
      </c>
      <c r="J3" s="84">
        <v>47</v>
      </c>
      <c r="K3" s="85">
        <f>SUM(J3)+3</f>
        <v>50</v>
      </c>
      <c r="L3" s="85">
        <f t="shared" ref="L3" si="0">SUM(K3)+3</f>
        <v>53</v>
      </c>
      <c r="M3" s="109">
        <f t="shared" ref="M3" si="1">SUM(L3)+3</f>
        <v>56</v>
      </c>
    </row>
    <row r="4" spans="1:13" s="1" customFormat="1" ht="14.1" customHeight="1">
      <c r="A4" s="166"/>
      <c r="B4" s="40" t="s">
        <v>42</v>
      </c>
      <c r="C4" s="41"/>
      <c r="D4" s="100" t="s">
        <v>124</v>
      </c>
      <c r="E4" s="101"/>
      <c r="F4" s="101"/>
      <c r="G4" s="102"/>
      <c r="H4" s="50"/>
      <c r="I4" s="50"/>
      <c r="J4" s="117"/>
      <c r="K4" s="50"/>
      <c r="L4" s="50"/>
      <c r="M4" s="113"/>
    </row>
    <row r="5" spans="1:13" s="1" customFormat="1" ht="14.1" customHeight="1">
      <c r="A5" s="154">
        <v>2</v>
      </c>
      <c r="B5" s="51" t="s">
        <v>726</v>
      </c>
      <c r="C5" s="52"/>
      <c r="D5" s="59"/>
      <c r="E5" s="60"/>
      <c r="F5" s="60"/>
      <c r="G5" s="61"/>
      <c r="H5" s="24">
        <f>SUM(I5)-0.2</f>
        <v>2.5999999999999996</v>
      </c>
      <c r="I5" s="24">
        <f>SUM(J5)-0.2</f>
        <v>2.8</v>
      </c>
      <c r="J5" s="33">
        <v>3</v>
      </c>
      <c r="K5" s="24">
        <f>SUM(J5)+0.2</f>
        <v>3.2</v>
      </c>
      <c r="L5" s="24">
        <f t="shared" ref="L5:M5" si="2">SUM(K5)+0.2</f>
        <v>3.4000000000000004</v>
      </c>
      <c r="M5" s="26">
        <f t="shared" si="2"/>
        <v>3.6000000000000005</v>
      </c>
    </row>
    <row r="6" spans="1:13" s="1" customFormat="1" ht="14.1" customHeight="1">
      <c r="A6" s="71"/>
      <c r="B6" s="45" t="s">
        <v>727</v>
      </c>
      <c r="C6" s="46"/>
      <c r="D6" s="47" t="s">
        <v>728</v>
      </c>
      <c r="E6" s="48"/>
      <c r="F6" s="48"/>
      <c r="G6" s="49"/>
      <c r="H6" s="36"/>
      <c r="I6" s="36"/>
      <c r="J6" s="35"/>
      <c r="K6" s="36"/>
      <c r="L6" s="36"/>
      <c r="M6" s="37"/>
    </row>
    <row r="7" spans="1:13" s="1" customFormat="1" ht="14.1" customHeight="1">
      <c r="A7" s="154">
        <v>3</v>
      </c>
      <c r="B7" s="141" t="s">
        <v>43</v>
      </c>
      <c r="C7" s="141"/>
      <c r="D7" s="132" t="s">
        <v>44</v>
      </c>
      <c r="E7" s="132"/>
      <c r="F7" s="132"/>
      <c r="G7" s="132"/>
      <c r="H7" s="50">
        <f>SUM(I7)-2.2</f>
        <v>39.599999999999994</v>
      </c>
      <c r="I7" s="50">
        <f>SUM(J7)-2.2</f>
        <v>41.8</v>
      </c>
      <c r="J7" s="117">
        <v>44</v>
      </c>
      <c r="K7" s="50">
        <f>SUM(J7)+2</f>
        <v>46</v>
      </c>
      <c r="L7" s="50">
        <f t="shared" ref="L7:M7" si="3">SUM(K7)+2</f>
        <v>48</v>
      </c>
      <c r="M7" s="113">
        <f t="shared" si="3"/>
        <v>50</v>
      </c>
    </row>
    <row r="8" spans="1:13" s="1" customFormat="1" ht="14.1" customHeight="1">
      <c r="A8" s="71"/>
      <c r="B8" s="56" t="s">
        <v>26</v>
      </c>
      <c r="C8" s="56"/>
      <c r="D8" s="47" t="s">
        <v>48</v>
      </c>
      <c r="E8" s="48"/>
      <c r="F8" s="48"/>
      <c r="G8" s="49"/>
      <c r="H8" s="36"/>
      <c r="I8" s="36"/>
      <c r="J8" s="35"/>
      <c r="K8" s="36"/>
      <c r="L8" s="36"/>
      <c r="M8" s="37"/>
    </row>
    <row r="9" spans="1:13" s="1" customFormat="1" ht="14.1" customHeight="1">
      <c r="A9" s="154">
        <v>4</v>
      </c>
      <c r="B9" s="58" t="s">
        <v>41</v>
      </c>
      <c r="C9" s="58"/>
      <c r="D9" s="57" t="s">
        <v>84</v>
      </c>
      <c r="E9" s="57"/>
      <c r="F9" s="57"/>
      <c r="G9" s="57"/>
      <c r="H9" s="24">
        <f>SUM(I9)-2.25</f>
        <v>37.5</v>
      </c>
      <c r="I9" s="24">
        <f>SUM(J9)-2.25</f>
        <v>39.75</v>
      </c>
      <c r="J9" s="33">
        <v>42</v>
      </c>
      <c r="K9" s="24">
        <f>SUM(J9)+2</f>
        <v>44</v>
      </c>
      <c r="L9" s="24">
        <f>SUM(K9)+2</f>
        <v>46</v>
      </c>
      <c r="M9" s="26">
        <f>SUM(L9)+2</f>
        <v>48</v>
      </c>
    </row>
    <row r="10" spans="1:13" s="1" customFormat="1" ht="14.1" customHeight="1">
      <c r="A10" s="71"/>
      <c r="B10" s="56" t="s">
        <v>46</v>
      </c>
      <c r="C10" s="56"/>
      <c r="D10" s="47" t="s">
        <v>49</v>
      </c>
      <c r="E10" s="48"/>
      <c r="F10" s="48"/>
      <c r="G10" s="49"/>
      <c r="H10" s="36"/>
      <c r="I10" s="36"/>
      <c r="J10" s="35"/>
      <c r="K10" s="36"/>
      <c r="L10" s="36"/>
      <c r="M10" s="37"/>
    </row>
    <row r="11" spans="1:13" s="1" customFormat="1" ht="14.1" customHeight="1">
      <c r="A11" s="154">
        <v>5</v>
      </c>
      <c r="B11" s="58" t="s">
        <v>47</v>
      </c>
      <c r="C11" s="58"/>
      <c r="D11" s="57" t="s">
        <v>8</v>
      </c>
      <c r="E11" s="57"/>
      <c r="F11" s="57"/>
      <c r="G11" s="57"/>
      <c r="H11" s="24">
        <f>SUM(I11)-2.25</f>
        <v>37.5</v>
      </c>
      <c r="I11" s="24">
        <f>SUM(J11)-2.25</f>
        <v>39.75</v>
      </c>
      <c r="J11" s="33">
        <v>42</v>
      </c>
      <c r="K11" s="24">
        <f>SUM(J11)+2</f>
        <v>44</v>
      </c>
      <c r="L11" s="24">
        <f t="shared" ref="L11:M11" si="4">SUM(K11)+2</f>
        <v>46</v>
      </c>
      <c r="M11" s="26">
        <f t="shared" si="4"/>
        <v>48</v>
      </c>
    </row>
    <row r="12" spans="1:13" s="1" customFormat="1" ht="14.1" customHeight="1">
      <c r="A12" s="71"/>
      <c r="B12" s="56" t="s">
        <v>27</v>
      </c>
      <c r="C12" s="56"/>
      <c r="D12" s="47" t="s">
        <v>50</v>
      </c>
      <c r="E12" s="48"/>
      <c r="F12" s="48"/>
      <c r="G12" s="49"/>
      <c r="H12" s="36"/>
      <c r="I12" s="36"/>
      <c r="J12" s="35"/>
      <c r="K12" s="36"/>
      <c r="L12" s="36"/>
      <c r="M12" s="37"/>
    </row>
    <row r="13" spans="1:13" s="1" customFormat="1" ht="14.1" customHeight="1">
      <c r="A13" s="154">
        <v>6</v>
      </c>
      <c r="B13" s="58" t="s">
        <v>10</v>
      </c>
      <c r="C13" s="58"/>
      <c r="D13" s="57" t="s">
        <v>0</v>
      </c>
      <c r="E13" s="57"/>
      <c r="F13" s="57"/>
      <c r="G13" s="57"/>
      <c r="H13" s="24">
        <f>SUM(I13)-0.8</f>
        <v>14.2</v>
      </c>
      <c r="I13" s="24">
        <f>SUM(J13)-0.8</f>
        <v>15</v>
      </c>
      <c r="J13" s="23">
        <v>15.8</v>
      </c>
      <c r="K13" s="24">
        <f>SUM(J13)+0.8</f>
        <v>16.600000000000001</v>
      </c>
      <c r="L13" s="24">
        <f t="shared" ref="L13:M13" si="5">SUM(K13)+0.8</f>
        <v>17.400000000000002</v>
      </c>
      <c r="M13" s="26">
        <f t="shared" si="5"/>
        <v>18.200000000000003</v>
      </c>
    </row>
    <row r="14" spans="1:13" s="1" customFormat="1" ht="14.1" customHeight="1">
      <c r="A14" s="71"/>
      <c r="B14" s="56" t="s">
        <v>28</v>
      </c>
      <c r="C14" s="56"/>
      <c r="D14" s="47" t="s">
        <v>51</v>
      </c>
      <c r="E14" s="48"/>
      <c r="F14" s="48"/>
      <c r="G14" s="49"/>
      <c r="H14" s="36"/>
      <c r="I14" s="36"/>
      <c r="J14" s="23"/>
      <c r="K14" s="36"/>
      <c r="L14" s="36"/>
      <c r="M14" s="37"/>
    </row>
    <row r="15" spans="1:13" s="1" customFormat="1" ht="14.1" customHeight="1">
      <c r="A15" s="154">
        <v>7</v>
      </c>
      <c r="B15" s="58" t="s">
        <v>1</v>
      </c>
      <c r="C15" s="58"/>
      <c r="D15" s="57" t="s">
        <v>180</v>
      </c>
      <c r="E15" s="57"/>
      <c r="F15" s="57"/>
      <c r="G15" s="57"/>
      <c r="H15" s="24">
        <f>SUM(I15)-0.6</f>
        <v>16.799999999999997</v>
      </c>
      <c r="I15" s="24">
        <f>SUM(J15)-0.6</f>
        <v>17.399999999999999</v>
      </c>
      <c r="J15" s="23">
        <v>18</v>
      </c>
      <c r="K15" s="21">
        <f>SUM(J15)+0.6</f>
        <v>18.600000000000001</v>
      </c>
      <c r="L15" s="21">
        <f>SUM(K15)+0.6</f>
        <v>19.200000000000003</v>
      </c>
      <c r="M15" s="22">
        <f>SUM(L15)+0.6</f>
        <v>19.800000000000004</v>
      </c>
    </row>
    <row r="16" spans="1:13" s="1" customFormat="1" ht="14.1" customHeight="1">
      <c r="A16" s="71"/>
      <c r="B16" s="56" t="s">
        <v>29</v>
      </c>
      <c r="C16" s="56"/>
      <c r="D16" s="47" t="s">
        <v>154</v>
      </c>
      <c r="E16" s="48"/>
      <c r="F16" s="48"/>
      <c r="G16" s="49"/>
      <c r="H16" s="36"/>
      <c r="I16" s="36"/>
      <c r="J16" s="23"/>
      <c r="K16" s="21"/>
      <c r="L16" s="21"/>
      <c r="M16" s="22"/>
    </row>
    <row r="17" spans="1:13" s="1" customFormat="1" ht="14.1" customHeight="1">
      <c r="A17" s="154">
        <v>8</v>
      </c>
      <c r="B17" s="58" t="s">
        <v>2</v>
      </c>
      <c r="C17" s="58"/>
      <c r="D17" s="57" t="s">
        <v>3</v>
      </c>
      <c r="E17" s="57"/>
      <c r="F17" s="57"/>
      <c r="G17" s="57"/>
      <c r="H17" s="24">
        <f>SUM(I17)-0.3</f>
        <v>6.7</v>
      </c>
      <c r="I17" s="24">
        <f>SUM(J17)-0.3</f>
        <v>7</v>
      </c>
      <c r="J17" s="23">
        <v>7.3</v>
      </c>
      <c r="K17" s="21">
        <f>SUM(J17)+0.3</f>
        <v>7.6</v>
      </c>
      <c r="L17" s="21">
        <f>SUM(K17)+0.3</f>
        <v>7.8999999999999995</v>
      </c>
      <c r="M17" s="22">
        <f>SUM(L17)+0.3</f>
        <v>8.1999999999999993</v>
      </c>
    </row>
    <row r="18" spans="1:13" s="1" customFormat="1" ht="14.1" customHeight="1">
      <c r="A18" s="71"/>
      <c r="B18" s="56" t="s">
        <v>30</v>
      </c>
      <c r="C18" s="56"/>
      <c r="D18" s="47" t="s">
        <v>155</v>
      </c>
      <c r="E18" s="48"/>
      <c r="F18" s="48"/>
      <c r="G18" s="49"/>
      <c r="H18" s="36"/>
      <c r="I18" s="36"/>
      <c r="J18" s="23"/>
      <c r="K18" s="21"/>
      <c r="L18" s="21"/>
      <c r="M18" s="22"/>
    </row>
    <row r="19" spans="1:13" s="1" customFormat="1" ht="14.1" customHeight="1">
      <c r="A19" s="154">
        <v>9</v>
      </c>
      <c r="B19" s="51" t="s">
        <v>85</v>
      </c>
      <c r="C19" s="52"/>
      <c r="D19" s="59" t="s">
        <v>86</v>
      </c>
      <c r="E19" s="60"/>
      <c r="F19" s="60"/>
      <c r="G19" s="61"/>
      <c r="H19" s="24">
        <f>SUM(I19)-1.6</f>
        <v>42.8</v>
      </c>
      <c r="I19" s="24">
        <f>SUM(J19)-1.6</f>
        <v>44.4</v>
      </c>
      <c r="J19" s="23">
        <v>46</v>
      </c>
      <c r="K19" s="21">
        <f>SUM(J19)+1.6</f>
        <v>47.6</v>
      </c>
      <c r="L19" s="21">
        <f>SUM(K19)+1.6</f>
        <v>49.2</v>
      </c>
      <c r="M19" s="22">
        <f>SUM(L19)+1.6</f>
        <v>50.800000000000004</v>
      </c>
    </row>
    <row r="20" spans="1:13" s="1" customFormat="1" ht="14.1" customHeight="1">
      <c r="A20" s="71"/>
      <c r="B20" s="56" t="s">
        <v>37</v>
      </c>
      <c r="C20" s="56"/>
      <c r="D20" s="47" t="s">
        <v>156</v>
      </c>
      <c r="E20" s="48"/>
      <c r="F20" s="48"/>
      <c r="G20" s="49"/>
      <c r="H20" s="36"/>
      <c r="I20" s="36"/>
      <c r="J20" s="23"/>
      <c r="K20" s="21"/>
      <c r="L20" s="21"/>
      <c r="M20" s="22"/>
    </row>
    <row r="21" spans="1:13" s="1" customFormat="1" ht="14.1" customHeight="1">
      <c r="A21" s="154">
        <v>10</v>
      </c>
      <c r="B21" s="58" t="s">
        <v>4</v>
      </c>
      <c r="C21" s="58"/>
      <c r="D21" s="57" t="s">
        <v>5</v>
      </c>
      <c r="E21" s="57"/>
      <c r="F21" s="57"/>
      <c r="G21" s="57"/>
      <c r="H21" s="24">
        <f>SUM(I21)-3.4</f>
        <v>25.200000000000003</v>
      </c>
      <c r="I21" s="24">
        <f>SUM(J21)-3.4</f>
        <v>28.6</v>
      </c>
      <c r="J21" s="23">
        <v>32</v>
      </c>
      <c r="K21" s="21">
        <f>SUM(J21)+3.5</f>
        <v>35.5</v>
      </c>
      <c r="L21" s="21">
        <f t="shared" ref="L21:M21" si="6">SUM(K21)+3.5</f>
        <v>39</v>
      </c>
      <c r="M21" s="22">
        <f t="shared" si="6"/>
        <v>42.5</v>
      </c>
    </row>
    <row r="22" spans="1:13" s="1" customFormat="1" ht="14.1" customHeight="1">
      <c r="A22" s="71"/>
      <c r="B22" s="56" t="s">
        <v>31</v>
      </c>
      <c r="C22" s="56"/>
      <c r="D22" s="47" t="s">
        <v>54</v>
      </c>
      <c r="E22" s="48"/>
      <c r="F22" s="48"/>
      <c r="G22" s="49"/>
      <c r="H22" s="36"/>
      <c r="I22" s="36"/>
      <c r="J22" s="23"/>
      <c r="K22" s="21"/>
      <c r="L22" s="21"/>
      <c r="M22" s="22"/>
    </row>
    <row r="23" spans="1:13" s="1" customFormat="1" ht="14.1" customHeight="1">
      <c r="A23" s="154">
        <v>11</v>
      </c>
      <c r="B23" s="58" t="s">
        <v>6</v>
      </c>
      <c r="C23" s="58"/>
      <c r="D23" s="59" t="s">
        <v>7</v>
      </c>
      <c r="E23" s="60"/>
      <c r="F23" s="60"/>
      <c r="G23" s="61"/>
      <c r="H23" s="24">
        <f>SUM(I23)-1.6</f>
        <v>27.799999999999997</v>
      </c>
      <c r="I23" s="24">
        <f>SUM(J23)-1.6</f>
        <v>29.4</v>
      </c>
      <c r="J23" s="23">
        <v>31</v>
      </c>
      <c r="K23" s="21">
        <f>SUM(J23)+1.6</f>
        <v>32.6</v>
      </c>
      <c r="L23" s="21">
        <f t="shared" ref="L23:M23" si="7">SUM(K23)+1.6</f>
        <v>34.200000000000003</v>
      </c>
      <c r="M23" s="22">
        <f t="shared" si="7"/>
        <v>35.800000000000004</v>
      </c>
    </row>
    <row r="24" spans="1:13" s="1" customFormat="1" ht="14.1" customHeight="1">
      <c r="A24" s="71"/>
      <c r="B24" s="56" t="s">
        <v>32</v>
      </c>
      <c r="C24" s="56"/>
      <c r="D24" s="47" t="s">
        <v>76</v>
      </c>
      <c r="E24" s="48"/>
      <c r="F24" s="48"/>
      <c r="G24" s="49"/>
      <c r="H24" s="36"/>
      <c r="I24" s="36"/>
      <c r="J24" s="23"/>
      <c r="K24" s="21"/>
      <c r="L24" s="21"/>
      <c r="M24" s="22"/>
    </row>
    <row r="25" spans="1:13" s="1" customFormat="1" ht="14.1" customHeight="1">
      <c r="A25" s="154">
        <v>12</v>
      </c>
      <c r="B25" s="51" t="s">
        <v>77</v>
      </c>
      <c r="C25" s="52"/>
      <c r="D25" s="57" t="s">
        <v>78</v>
      </c>
      <c r="E25" s="57"/>
      <c r="F25" s="57"/>
      <c r="G25" s="57"/>
      <c r="H25" s="24">
        <f>SUM(I25)-0.6</f>
        <v>14</v>
      </c>
      <c r="I25" s="24">
        <f>SUM(J25)-0.6</f>
        <v>14.6</v>
      </c>
      <c r="J25" s="23">
        <v>15.2</v>
      </c>
      <c r="K25" s="21">
        <f>SUM(J25)+0.6</f>
        <v>15.799999999999999</v>
      </c>
      <c r="L25" s="21">
        <f>SUM(K25)+0.6</f>
        <v>16.399999999999999</v>
      </c>
      <c r="M25" s="22">
        <f>SUM(L25)+0.6</f>
        <v>17</v>
      </c>
    </row>
    <row r="26" spans="1:13" s="1" customFormat="1" ht="14.1" customHeight="1">
      <c r="A26" s="71"/>
      <c r="B26" s="56" t="s">
        <v>33</v>
      </c>
      <c r="C26" s="56"/>
      <c r="D26" s="47" t="s">
        <v>79</v>
      </c>
      <c r="E26" s="48"/>
      <c r="F26" s="48"/>
      <c r="G26" s="49"/>
      <c r="H26" s="36"/>
      <c r="I26" s="36"/>
      <c r="J26" s="23"/>
      <c r="K26" s="21"/>
      <c r="L26" s="21"/>
      <c r="M26" s="22"/>
    </row>
    <row r="27" spans="1:13" s="1" customFormat="1" ht="14.1" customHeight="1">
      <c r="A27" s="154">
        <v>13</v>
      </c>
      <c r="B27" s="51" t="s">
        <v>176</v>
      </c>
      <c r="C27" s="52"/>
      <c r="D27" s="53" t="s">
        <v>103</v>
      </c>
      <c r="E27" s="54"/>
      <c r="F27" s="54"/>
      <c r="G27" s="55"/>
      <c r="H27" s="24">
        <f>SUM(I27)-0.2</f>
        <v>4.0999999999999996</v>
      </c>
      <c r="I27" s="24">
        <f>SUM(J27)-0.2</f>
        <v>4.3</v>
      </c>
      <c r="J27" s="23">
        <v>4.5</v>
      </c>
      <c r="K27" s="21">
        <f>SUM(J27)+0.2</f>
        <v>4.7</v>
      </c>
      <c r="L27" s="21">
        <f t="shared" ref="L27:M27" si="8">SUM(K27)+0.2</f>
        <v>4.9000000000000004</v>
      </c>
      <c r="M27" s="22">
        <f t="shared" si="8"/>
        <v>5.1000000000000005</v>
      </c>
    </row>
    <row r="28" spans="1:13" s="1" customFormat="1" ht="14.1" customHeight="1" thickBot="1">
      <c r="A28" s="166"/>
      <c r="B28" s="40" t="s">
        <v>175</v>
      </c>
      <c r="C28" s="41"/>
      <c r="D28" s="100" t="s">
        <v>104</v>
      </c>
      <c r="E28" s="101"/>
      <c r="F28" s="101"/>
      <c r="G28" s="102"/>
      <c r="H28" s="50"/>
      <c r="I28" s="50"/>
      <c r="J28" s="33"/>
      <c r="K28" s="24"/>
      <c r="L28" s="24"/>
      <c r="M28" s="26"/>
    </row>
    <row r="29" spans="1:13" s="1" customFormat="1" ht="14.1" customHeight="1" thickTop="1">
      <c r="A29" s="167">
        <v>14</v>
      </c>
      <c r="B29" s="158" t="s">
        <v>149</v>
      </c>
      <c r="C29" s="159"/>
      <c r="D29" s="160" t="s">
        <v>82</v>
      </c>
      <c r="E29" s="161"/>
      <c r="F29" s="161"/>
      <c r="G29" s="162"/>
      <c r="H29" s="156">
        <f>SUM(I29)-3</f>
        <v>45</v>
      </c>
      <c r="I29" s="156">
        <f>SUM(J29)-3</f>
        <v>48</v>
      </c>
      <c r="J29" s="155">
        <v>51</v>
      </c>
      <c r="K29" s="156">
        <f>SUM(J29)+3</f>
        <v>54</v>
      </c>
      <c r="L29" s="156">
        <f t="shared" ref="L29:M29" si="9">SUM(K29)+3</f>
        <v>57</v>
      </c>
      <c r="M29" s="152">
        <f t="shared" si="9"/>
        <v>60</v>
      </c>
    </row>
    <row r="30" spans="1:13" s="1" customFormat="1" ht="14.1" customHeight="1">
      <c r="A30" s="71"/>
      <c r="B30" s="62" t="s">
        <v>108</v>
      </c>
      <c r="C30" s="63"/>
      <c r="D30" s="64" t="s">
        <v>83</v>
      </c>
      <c r="E30" s="65"/>
      <c r="F30" s="65"/>
      <c r="G30" s="66"/>
      <c r="H30" s="36"/>
      <c r="I30" s="36"/>
      <c r="J30" s="35"/>
      <c r="K30" s="36"/>
      <c r="L30" s="36"/>
      <c r="M30" s="37"/>
    </row>
    <row r="31" spans="1:13" ht="14.1" customHeight="1">
      <c r="A31" s="154">
        <v>15</v>
      </c>
      <c r="B31" s="51" t="s">
        <v>157</v>
      </c>
      <c r="C31" s="52"/>
      <c r="D31" s="100"/>
      <c r="E31" s="101"/>
      <c r="F31" s="101"/>
      <c r="G31" s="102"/>
      <c r="H31" s="24">
        <f>SUM(I31)-3.5</f>
        <v>65.5</v>
      </c>
      <c r="I31" s="24">
        <f>SUM(J31)-3.5</f>
        <v>69</v>
      </c>
      <c r="J31" s="117">
        <v>72.5</v>
      </c>
      <c r="K31" s="50">
        <f>SUM(J31)+3.5</f>
        <v>76</v>
      </c>
      <c r="L31" s="50">
        <f>SUM(K31)+3.5</f>
        <v>79.5</v>
      </c>
      <c r="M31" s="113">
        <f>SUM(L31)+3.5</f>
        <v>83</v>
      </c>
    </row>
    <row r="32" spans="1:13" ht="14.1" customHeight="1">
      <c r="A32" s="71"/>
      <c r="B32" s="62" t="s">
        <v>158</v>
      </c>
      <c r="C32" s="63"/>
      <c r="D32" s="64"/>
      <c r="E32" s="65"/>
      <c r="F32" s="65"/>
      <c r="G32" s="66"/>
      <c r="H32" s="36"/>
      <c r="I32" s="36"/>
      <c r="J32" s="35"/>
      <c r="K32" s="36"/>
      <c r="L32" s="36"/>
      <c r="M32" s="37"/>
    </row>
    <row r="33" spans="1:13" ht="14.1" customHeight="1">
      <c r="A33" s="154">
        <v>16</v>
      </c>
      <c r="B33" s="51" t="s">
        <v>13</v>
      </c>
      <c r="C33" s="52"/>
      <c r="D33" s="59"/>
      <c r="E33" s="60"/>
      <c r="F33" s="60"/>
      <c r="G33" s="61"/>
      <c r="H33" s="24">
        <f>SUM(I33)-4</f>
        <v>70</v>
      </c>
      <c r="I33" s="24">
        <f>SUM(J33)-4</f>
        <v>74</v>
      </c>
      <c r="J33" s="33">
        <v>78</v>
      </c>
      <c r="K33" s="24">
        <f>SUM(J33)+4</f>
        <v>82</v>
      </c>
      <c r="L33" s="24">
        <f>SUM(K33)+4</f>
        <v>86</v>
      </c>
      <c r="M33" s="26">
        <f>SUM(L33)+4</f>
        <v>90</v>
      </c>
    </row>
    <row r="34" spans="1:13" ht="14.1" customHeight="1">
      <c r="A34" s="71"/>
      <c r="B34" s="62" t="s">
        <v>55</v>
      </c>
      <c r="C34" s="63"/>
      <c r="D34" s="64" t="s">
        <v>638</v>
      </c>
      <c r="E34" s="65"/>
      <c r="F34" s="65"/>
      <c r="G34" s="66"/>
      <c r="H34" s="36"/>
      <c r="I34" s="36"/>
      <c r="J34" s="35"/>
      <c r="K34" s="36"/>
      <c r="L34" s="36"/>
      <c r="M34" s="37"/>
    </row>
    <row r="35" spans="1:13" ht="14.1" customHeight="1">
      <c r="A35" s="154">
        <v>17</v>
      </c>
      <c r="B35" s="51" t="s">
        <v>146</v>
      </c>
      <c r="C35" s="52"/>
      <c r="D35" s="59"/>
      <c r="E35" s="60"/>
      <c r="F35" s="60"/>
      <c r="G35" s="61"/>
      <c r="H35" s="58">
        <f>SUM(I35)-0.7</f>
        <v>12.600000000000001</v>
      </c>
      <c r="I35" s="24">
        <f>SUM(J35)-0.7</f>
        <v>13.3</v>
      </c>
      <c r="J35" s="33">
        <v>14</v>
      </c>
      <c r="K35" s="24">
        <f>SUM(J35)+1.2</f>
        <v>15.2</v>
      </c>
      <c r="L35" s="24">
        <f t="shared" ref="L35:M35" si="10">SUM(K35)+0.7</f>
        <v>15.899999999999999</v>
      </c>
      <c r="M35" s="26">
        <f t="shared" si="10"/>
        <v>16.599999999999998</v>
      </c>
    </row>
    <row r="36" spans="1:13" ht="14.1" customHeight="1">
      <c r="A36" s="71"/>
      <c r="B36" s="62" t="s">
        <v>145</v>
      </c>
      <c r="C36" s="63"/>
      <c r="D36" s="89" t="s">
        <v>179</v>
      </c>
      <c r="E36" s="90"/>
      <c r="F36" s="90"/>
      <c r="G36" s="91"/>
      <c r="H36" s="56"/>
      <c r="I36" s="36"/>
      <c r="J36" s="35"/>
      <c r="K36" s="36"/>
      <c r="L36" s="36"/>
      <c r="M36" s="37"/>
    </row>
    <row r="37" spans="1:13" ht="14.1" customHeight="1">
      <c r="A37" s="154">
        <v>18</v>
      </c>
      <c r="B37" s="51" t="s">
        <v>166</v>
      </c>
      <c r="C37" s="52"/>
      <c r="D37" s="59"/>
      <c r="E37" s="60"/>
      <c r="F37" s="60"/>
      <c r="G37" s="61"/>
      <c r="H37" s="58"/>
      <c r="I37" s="24"/>
      <c r="J37" s="33"/>
      <c r="K37" s="24"/>
      <c r="L37" s="24"/>
      <c r="M37" s="111"/>
    </row>
    <row r="38" spans="1:13" ht="14.1" customHeight="1">
      <c r="A38" s="71"/>
      <c r="B38" s="62" t="s">
        <v>167</v>
      </c>
      <c r="C38" s="63"/>
      <c r="D38" s="89" t="s">
        <v>168</v>
      </c>
      <c r="E38" s="90"/>
      <c r="F38" s="90"/>
      <c r="G38" s="91"/>
      <c r="H38" s="56"/>
      <c r="I38" s="36"/>
      <c r="J38" s="35"/>
      <c r="K38" s="36"/>
      <c r="L38" s="36"/>
      <c r="M38" s="112"/>
    </row>
    <row r="39" spans="1:13" ht="14.1" customHeight="1">
      <c r="A39" s="154">
        <v>19</v>
      </c>
      <c r="B39" s="51" t="s">
        <v>178</v>
      </c>
      <c r="C39" s="52"/>
      <c r="D39" s="59"/>
      <c r="E39" s="60"/>
      <c r="F39" s="60"/>
      <c r="G39" s="61"/>
      <c r="H39" s="24"/>
      <c r="I39" s="24"/>
      <c r="J39" s="33"/>
      <c r="K39" s="24"/>
      <c r="L39" s="24"/>
      <c r="M39" s="26"/>
    </row>
    <row r="40" spans="1:13" ht="14.1" customHeight="1">
      <c r="A40" s="71"/>
      <c r="B40" s="62" t="s">
        <v>177</v>
      </c>
      <c r="C40" s="63"/>
      <c r="D40" s="89"/>
      <c r="E40" s="90"/>
      <c r="F40" s="90"/>
      <c r="G40" s="91"/>
      <c r="H40" s="36"/>
      <c r="I40" s="36"/>
      <c r="J40" s="35"/>
      <c r="K40" s="36"/>
      <c r="L40" s="36"/>
      <c r="M40" s="37"/>
    </row>
    <row r="41" spans="1:13" ht="14.1" customHeight="1">
      <c r="A41" s="154">
        <v>20</v>
      </c>
      <c r="B41" s="51" t="s">
        <v>9</v>
      </c>
      <c r="C41" s="52"/>
      <c r="D41" s="59" t="s">
        <v>84</v>
      </c>
      <c r="E41" s="60"/>
      <c r="F41" s="60"/>
      <c r="G41" s="61"/>
      <c r="H41" s="24">
        <f>SUM(I41)-7</f>
        <v>53.5</v>
      </c>
      <c r="I41" s="24">
        <f>SUM(J41)-7</f>
        <v>60.5</v>
      </c>
      <c r="J41" s="33">
        <v>67.5</v>
      </c>
      <c r="K41" s="24">
        <f>SUM(J41)+6</f>
        <v>73.5</v>
      </c>
      <c r="L41" s="24">
        <f>SUM(K41)+6</f>
        <v>79.5</v>
      </c>
      <c r="M41" s="26">
        <f>SUM(L41)+6</f>
        <v>85.5</v>
      </c>
    </row>
    <row r="42" spans="1:13" ht="14.1" customHeight="1">
      <c r="A42" s="71"/>
      <c r="B42" s="62" t="s">
        <v>56</v>
      </c>
      <c r="C42" s="63"/>
      <c r="D42" s="64" t="s">
        <v>120</v>
      </c>
      <c r="E42" s="65"/>
      <c r="F42" s="65"/>
      <c r="G42" s="66"/>
      <c r="H42" s="36"/>
      <c r="I42" s="36"/>
      <c r="J42" s="35"/>
      <c r="K42" s="36"/>
      <c r="L42" s="36"/>
      <c r="M42" s="37"/>
    </row>
    <row r="43" spans="1:13" ht="14.1" customHeight="1">
      <c r="A43" s="154">
        <v>21</v>
      </c>
      <c r="B43" s="51" t="s">
        <v>16</v>
      </c>
      <c r="C43" s="52"/>
      <c r="D43" s="59" t="s">
        <v>17</v>
      </c>
      <c r="E43" s="60"/>
      <c r="F43" s="60"/>
      <c r="G43" s="61"/>
      <c r="H43" s="24">
        <f>SUM(I43)-1</f>
        <v>20</v>
      </c>
      <c r="I43" s="24">
        <f>SUM(J43)-1</f>
        <v>21</v>
      </c>
      <c r="J43" s="33">
        <v>22</v>
      </c>
      <c r="K43" s="24">
        <f>SUM(J43)+1</f>
        <v>23</v>
      </c>
      <c r="L43" s="24">
        <f t="shared" ref="L43:M43" si="11">SUM(K43)+1</f>
        <v>24</v>
      </c>
      <c r="M43" s="26">
        <f t="shared" si="11"/>
        <v>25</v>
      </c>
    </row>
    <row r="44" spans="1:13" ht="14.1" customHeight="1">
      <c r="A44" s="71"/>
      <c r="B44" s="62" t="s">
        <v>57</v>
      </c>
      <c r="C44" s="63"/>
      <c r="D44" s="47" t="s">
        <v>119</v>
      </c>
      <c r="E44" s="48"/>
      <c r="F44" s="48"/>
      <c r="G44" s="49"/>
      <c r="H44" s="36"/>
      <c r="I44" s="36"/>
      <c r="J44" s="35"/>
      <c r="K44" s="36"/>
      <c r="L44" s="36"/>
      <c r="M44" s="37"/>
    </row>
    <row r="45" spans="1:13" ht="14.1" customHeight="1">
      <c r="A45" s="154">
        <v>22</v>
      </c>
      <c r="B45" s="51" t="s">
        <v>18</v>
      </c>
      <c r="C45" s="52"/>
      <c r="D45" s="59" t="s">
        <v>15</v>
      </c>
      <c r="E45" s="60"/>
      <c r="F45" s="60"/>
      <c r="G45" s="61"/>
      <c r="H45" s="24">
        <f>SUM(I45)-1.1</f>
        <v>20.599999999999998</v>
      </c>
      <c r="I45" s="24">
        <f>SUM(J45)-1.1</f>
        <v>21.7</v>
      </c>
      <c r="J45" s="33">
        <v>22.8</v>
      </c>
      <c r="K45" s="24">
        <f>SUM(J45)+1.5</f>
        <v>24.3</v>
      </c>
      <c r="L45" s="24">
        <f>SUM(K45)+1.1</f>
        <v>25.400000000000002</v>
      </c>
      <c r="M45" s="26">
        <f t="shared" ref="M45" si="12">SUM(L45)+1.1</f>
        <v>26.500000000000004</v>
      </c>
    </row>
    <row r="46" spans="1:13" ht="14.1" customHeight="1">
      <c r="A46" s="71"/>
      <c r="B46" s="62" t="s">
        <v>63</v>
      </c>
      <c r="C46" s="63"/>
      <c r="D46" s="64" t="s">
        <v>118</v>
      </c>
      <c r="E46" s="65"/>
      <c r="F46" s="65"/>
      <c r="G46" s="66"/>
      <c r="H46" s="36"/>
      <c r="I46" s="36"/>
      <c r="J46" s="35"/>
      <c r="K46" s="36"/>
      <c r="L46" s="36"/>
      <c r="M46" s="37"/>
    </row>
    <row r="47" spans="1:13" ht="14.1" customHeight="1">
      <c r="A47" s="154">
        <v>23</v>
      </c>
      <c r="B47" s="51" t="s">
        <v>19</v>
      </c>
      <c r="C47" s="52"/>
      <c r="D47" s="59" t="s">
        <v>15</v>
      </c>
      <c r="E47" s="60"/>
      <c r="F47" s="60"/>
      <c r="G47" s="61"/>
      <c r="H47" s="58">
        <f>SUM(I47)-1.3</f>
        <v>27.9</v>
      </c>
      <c r="I47" s="24">
        <f>SUM(J47)-1.3</f>
        <v>29.2</v>
      </c>
      <c r="J47" s="33">
        <v>30.5</v>
      </c>
      <c r="K47" s="24">
        <f>SUM(J47)+1.8</f>
        <v>32.299999999999997</v>
      </c>
      <c r="L47" s="24">
        <f>SUM(K47)+1.4</f>
        <v>33.699999999999996</v>
      </c>
      <c r="M47" s="111">
        <f>SUM(L47)+1.3</f>
        <v>34.999999999999993</v>
      </c>
    </row>
    <row r="48" spans="1:13" ht="14.1" customHeight="1">
      <c r="A48" s="71"/>
      <c r="B48" s="62" t="s">
        <v>62</v>
      </c>
      <c r="C48" s="63"/>
      <c r="D48" s="64" t="s">
        <v>118</v>
      </c>
      <c r="E48" s="65"/>
      <c r="F48" s="65"/>
      <c r="G48" s="66"/>
      <c r="H48" s="56"/>
      <c r="I48" s="36"/>
      <c r="J48" s="35"/>
      <c r="K48" s="36"/>
      <c r="L48" s="36"/>
      <c r="M48" s="112"/>
    </row>
    <row r="49" spans="1:13" ht="14.1" customHeight="1">
      <c r="A49" s="154">
        <v>24</v>
      </c>
      <c r="B49" s="51" t="s">
        <v>20</v>
      </c>
      <c r="C49" s="52"/>
      <c r="D49" s="59" t="s">
        <v>21</v>
      </c>
      <c r="E49" s="60"/>
      <c r="F49" s="60"/>
      <c r="G49" s="61"/>
      <c r="H49" s="24">
        <f>SUM(I49)-2.7</f>
        <v>42.8</v>
      </c>
      <c r="I49" s="24">
        <f>SUM(J49)-2.7</f>
        <v>45.5</v>
      </c>
      <c r="J49" s="33">
        <v>48.2</v>
      </c>
      <c r="K49" s="24">
        <f>SUM(J49)+2.6</f>
        <v>50.800000000000004</v>
      </c>
      <c r="L49" s="24">
        <f>SUM(K49)+2.6</f>
        <v>53.400000000000006</v>
      </c>
      <c r="M49" s="26">
        <f>SUM(L49)+2.6</f>
        <v>56.000000000000007</v>
      </c>
    </row>
    <row r="50" spans="1:13" ht="14.1" customHeight="1">
      <c r="A50" s="71"/>
      <c r="B50" s="62" t="s">
        <v>61</v>
      </c>
      <c r="C50" s="63"/>
      <c r="D50" s="64" t="s">
        <v>117</v>
      </c>
      <c r="E50" s="65"/>
      <c r="F50" s="65"/>
      <c r="G50" s="66"/>
      <c r="H50" s="36"/>
      <c r="I50" s="36"/>
      <c r="J50" s="35"/>
      <c r="K50" s="36"/>
      <c r="L50" s="36"/>
      <c r="M50" s="37"/>
    </row>
    <row r="51" spans="1:13" ht="14.1" customHeight="1">
      <c r="A51" s="154">
        <v>25</v>
      </c>
      <c r="B51" s="51" t="s">
        <v>22</v>
      </c>
      <c r="C51" s="52"/>
      <c r="D51" s="59" t="s">
        <v>23</v>
      </c>
      <c r="E51" s="60"/>
      <c r="F51" s="60"/>
      <c r="G51" s="61"/>
      <c r="H51" s="24">
        <f>SUM(I51)-6</f>
        <v>34</v>
      </c>
      <c r="I51" s="24">
        <f>SUM(J51)-6</f>
        <v>40</v>
      </c>
      <c r="J51" s="33">
        <v>46</v>
      </c>
      <c r="K51" s="24">
        <f>SUM(J51)+4.4</f>
        <v>50.4</v>
      </c>
      <c r="L51" s="24">
        <f>SUM(K51)+5</f>
        <v>55.4</v>
      </c>
      <c r="M51" s="26">
        <f>SUM(L51)+5</f>
        <v>60.4</v>
      </c>
    </row>
    <row r="52" spans="1:13" ht="13.5" customHeight="1">
      <c r="A52" s="71"/>
      <c r="B52" s="62" t="s">
        <v>60</v>
      </c>
      <c r="C52" s="63"/>
      <c r="D52" s="64" t="s">
        <v>116</v>
      </c>
      <c r="E52" s="65"/>
      <c r="F52" s="65"/>
      <c r="G52" s="66"/>
      <c r="H52" s="36"/>
      <c r="I52" s="36"/>
      <c r="J52" s="35"/>
      <c r="K52" s="36"/>
      <c r="L52" s="36"/>
      <c r="M52" s="37"/>
    </row>
    <row r="53" spans="1:13" ht="14.1" customHeight="1">
      <c r="A53" s="154">
        <v>26</v>
      </c>
      <c r="B53" s="51" t="s">
        <v>115</v>
      </c>
      <c r="C53" s="52"/>
      <c r="D53" s="59" t="s">
        <v>113</v>
      </c>
      <c r="E53" s="60"/>
      <c r="F53" s="60"/>
      <c r="G53" s="61"/>
      <c r="H53" s="24">
        <f>SUM(I53)-1.9</f>
        <v>37.400000000000006</v>
      </c>
      <c r="I53" s="24">
        <f>SUM(J53)-1.9</f>
        <v>39.300000000000004</v>
      </c>
      <c r="J53" s="33">
        <v>41.2</v>
      </c>
      <c r="K53" s="24">
        <f>SUM(J53)+1.8</f>
        <v>43</v>
      </c>
      <c r="L53" s="24">
        <f t="shared" ref="L53:M53" si="13">SUM(K53)+1.9</f>
        <v>44.9</v>
      </c>
      <c r="M53" s="26">
        <f t="shared" si="13"/>
        <v>46.8</v>
      </c>
    </row>
    <row r="54" spans="1:13" ht="14.1" customHeight="1">
      <c r="A54" s="71"/>
      <c r="B54" s="62" t="s">
        <v>114</v>
      </c>
      <c r="C54" s="63"/>
      <c r="D54" s="64" t="s">
        <v>113</v>
      </c>
      <c r="E54" s="65"/>
      <c r="F54" s="65"/>
      <c r="G54" s="66"/>
      <c r="H54" s="36"/>
      <c r="I54" s="36"/>
      <c r="J54" s="35"/>
      <c r="K54" s="36"/>
      <c r="L54" s="36"/>
      <c r="M54" s="37"/>
    </row>
    <row r="55" spans="1:13" ht="14.1" customHeight="1">
      <c r="A55" s="154">
        <v>27</v>
      </c>
      <c r="B55" s="51" t="s">
        <v>112</v>
      </c>
      <c r="C55" s="52"/>
      <c r="D55" s="59" t="s">
        <v>111</v>
      </c>
      <c r="E55" s="60"/>
      <c r="F55" s="60"/>
      <c r="G55" s="61"/>
      <c r="H55" s="24">
        <f>SUM(I55)-3.2</f>
        <v>32.299999999999997</v>
      </c>
      <c r="I55" s="24">
        <f>SUM(J55)-3.2</f>
        <v>35.5</v>
      </c>
      <c r="J55" s="33">
        <v>38.700000000000003</v>
      </c>
      <c r="K55" s="24">
        <f>SUM(J55)+3.2</f>
        <v>41.900000000000006</v>
      </c>
      <c r="L55" s="24">
        <f>SUM(K55)+2.9</f>
        <v>44.800000000000004</v>
      </c>
      <c r="M55" s="26">
        <f t="shared" ref="M55" si="14">SUM(L55)+2.9</f>
        <v>47.7</v>
      </c>
    </row>
    <row r="56" spans="1:13" ht="14.1" customHeight="1">
      <c r="A56" s="71"/>
      <c r="B56" s="62" t="s">
        <v>110</v>
      </c>
      <c r="C56" s="63"/>
      <c r="D56" s="64" t="s">
        <v>160</v>
      </c>
      <c r="E56" s="65"/>
      <c r="F56" s="65"/>
      <c r="G56" s="66"/>
      <c r="H56" s="36"/>
      <c r="I56" s="36"/>
      <c r="J56" s="35"/>
      <c r="K56" s="36"/>
      <c r="L56" s="36"/>
      <c r="M56" s="37"/>
    </row>
    <row r="57" spans="1:13" ht="14.1" customHeight="1">
      <c r="A57" s="154">
        <v>28</v>
      </c>
      <c r="B57" s="51" t="s">
        <v>144</v>
      </c>
      <c r="C57" s="52"/>
      <c r="D57" s="59" t="s">
        <v>24</v>
      </c>
      <c r="E57" s="60"/>
      <c r="F57" s="60"/>
      <c r="G57" s="61"/>
      <c r="H57" s="24">
        <f>SUM(I57)-0.2</f>
        <v>4.5</v>
      </c>
      <c r="I57" s="24">
        <f>SUM(J57)-0.2</f>
        <v>4.7</v>
      </c>
      <c r="J57" s="23">
        <v>4.9000000000000004</v>
      </c>
      <c r="K57" s="21">
        <f>SUM(J57)+0.2</f>
        <v>5.1000000000000005</v>
      </c>
      <c r="L57" s="21">
        <f>SUM(K57)+0.2</f>
        <v>5.3000000000000007</v>
      </c>
      <c r="M57" s="22">
        <f>SUM(L57)+0.2</f>
        <v>5.5000000000000009</v>
      </c>
    </row>
    <row r="58" spans="1:13" ht="14.1" customHeight="1">
      <c r="A58" s="71"/>
      <c r="B58" s="62" t="s">
        <v>59</v>
      </c>
      <c r="C58" s="63"/>
      <c r="D58" s="64" t="s">
        <v>143</v>
      </c>
      <c r="E58" s="65"/>
      <c r="F58" s="65"/>
      <c r="G58" s="66"/>
      <c r="H58" s="36"/>
      <c r="I58" s="36"/>
      <c r="J58" s="23"/>
      <c r="K58" s="21"/>
      <c r="L58" s="21"/>
      <c r="M58" s="22"/>
    </row>
    <row r="59" spans="1:13" ht="14.1" customHeight="1">
      <c r="A59" s="154">
        <v>29</v>
      </c>
      <c r="B59" s="51" t="s">
        <v>142</v>
      </c>
      <c r="C59" s="52"/>
      <c r="D59" s="59" t="s">
        <v>25</v>
      </c>
      <c r="E59" s="60"/>
      <c r="F59" s="60"/>
      <c r="G59" s="61"/>
      <c r="H59" s="24">
        <f>SUM(I59)-0.6</f>
        <v>9.7000000000000011</v>
      </c>
      <c r="I59" s="24">
        <f>SUM(J59)-0.6</f>
        <v>10.3</v>
      </c>
      <c r="J59" s="33">
        <v>10.9</v>
      </c>
      <c r="K59" s="24">
        <f>SUM(J59)+0.6</f>
        <v>11.5</v>
      </c>
      <c r="L59" s="24">
        <f>SUM(K59)+0.6</f>
        <v>12.1</v>
      </c>
      <c r="M59" s="26">
        <f>SUM(L59)+0.6</f>
        <v>12.7</v>
      </c>
    </row>
    <row r="60" spans="1:13" ht="14.1" customHeight="1">
      <c r="A60" s="71"/>
      <c r="B60" s="62" t="s">
        <v>58</v>
      </c>
      <c r="C60" s="63"/>
      <c r="D60" s="64" t="s">
        <v>141</v>
      </c>
      <c r="E60" s="65"/>
      <c r="F60" s="65"/>
      <c r="G60" s="66"/>
      <c r="H60" s="36"/>
      <c r="I60" s="36"/>
      <c r="J60" s="35"/>
      <c r="K60" s="36"/>
      <c r="L60" s="36"/>
      <c r="M60" s="37"/>
    </row>
    <row r="61" spans="1:13" ht="14.1" customHeight="1">
      <c r="A61" s="154">
        <v>30</v>
      </c>
      <c r="B61" s="51" t="s">
        <v>140</v>
      </c>
      <c r="C61" s="52"/>
      <c r="D61" s="57"/>
      <c r="E61" s="57"/>
      <c r="F61" s="57"/>
      <c r="G61" s="57"/>
      <c r="H61" s="24">
        <f>SUM(I61)-0.5</f>
        <v>10</v>
      </c>
      <c r="I61" s="24">
        <f>SUM(J61)-0.5</f>
        <v>10.5</v>
      </c>
      <c r="J61" s="33">
        <v>11</v>
      </c>
      <c r="K61" s="24">
        <f>SUM(J61)+0.5</f>
        <v>11.5</v>
      </c>
      <c r="L61" s="24">
        <f>SUM(K61)+0.5</f>
        <v>12</v>
      </c>
      <c r="M61" s="26">
        <f>SUM(L61)+0.5</f>
        <v>12.5</v>
      </c>
    </row>
    <row r="62" spans="1:13" ht="14.1" customHeight="1">
      <c r="A62" s="71"/>
      <c r="B62" s="45" t="s">
        <v>139</v>
      </c>
      <c r="C62" s="46"/>
      <c r="D62" s="47"/>
      <c r="E62" s="48"/>
      <c r="F62" s="48"/>
      <c r="G62" s="49"/>
      <c r="H62" s="36"/>
      <c r="I62" s="36"/>
      <c r="J62" s="35"/>
      <c r="K62" s="36"/>
      <c r="L62" s="36"/>
      <c r="M62" s="37"/>
    </row>
    <row r="63" spans="1:13" ht="14.1" customHeight="1">
      <c r="A63" s="154">
        <v>31</v>
      </c>
      <c r="B63" s="51" t="s">
        <v>138</v>
      </c>
      <c r="C63" s="52"/>
      <c r="D63" s="57"/>
      <c r="E63" s="57"/>
      <c r="F63" s="57"/>
      <c r="G63" s="57"/>
      <c r="H63" s="24">
        <f>SUM(I63)-0.5</f>
        <v>10</v>
      </c>
      <c r="I63" s="24">
        <f>SUM(J63)-0.5</f>
        <v>10.5</v>
      </c>
      <c r="J63" s="33">
        <v>11</v>
      </c>
      <c r="K63" s="24">
        <f>SUM(J63)+0.5</f>
        <v>11.5</v>
      </c>
      <c r="L63" s="24">
        <f>SUM(K63)+0.5</f>
        <v>12</v>
      </c>
      <c r="M63" s="26">
        <f>SUM(L63)+0.5</f>
        <v>12.5</v>
      </c>
    </row>
    <row r="64" spans="1:13" ht="14.1" customHeight="1">
      <c r="A64" s="71"/>
      <c r="B64" s="141" t="s">
        <v>137</v>
      </c>
      <c r="C64" s="141"/>
      <c r="D64" s="100"/>
      <c r="E64" s="101"/>
      <c r="F64" s="101"/>
      <c r="G64" s="102"/>
      <c r="H64" s="50"/>
      <c r="I64" s="50"/>
      <c r="J64" s="117"/>
      <c r="K64" s="50"/>
      <c r="L64" s="50"/>
      <c r="M64" s="113"/>
    </row>
    <row r="65" spans="1:13" ht="14.1" customHeight="1">
      <c r="A65" s="154">
        <v>32</v>
      </c>
      <c r="B65" s="51"/>
      <c r="C65" s="52"/>
      <c r="D65" s="59"/>
      <c r="E65" s="60"/>
      <c r="F65" s="60"/>
      <c r="G65" s="61"/>
      <c r="H65" s="24"/>
      <c r="I65" s="24"/>
      <c r="J65" s="33"/>
      <c r="K65" s="24"/>
      <c r="L65" s="24"/>
      <c r="M65" s="26"/>
    </row>
    <row r="66" spans="1:13" ht="14.1" customHeight="1" thickBot="1">
      <c r="A66" s="168"/>
      <c r="B66" s="28"/>
      <c r="C66" s="29"/>
      <c r="D66" s="30"/>
      <c r="E66" s="31"/>
      <c r="F66" s="31"/>
      <c r="G66" s="32"/>
      <c r="H66" s="25"/>
      <c r="I66" s="25"/>
      <c r="J66" s="34"/>
      <c r="K66" s="25"/>
      <c r="L66" s="25"/>
      <c r="M66" s="27"/>
    </row>
    <row r="67" spans="1:13" ht="14.1" customHeight="1"/>
    <row r="68" spans="1:13" ht="14.1" customHeight="1"/>
    <row r="69" spans="1:13" ht="14.1" customHeight="1"/>
    <row r="70" spans="1:13" ht="14.1" customHeight="1"/>
    <row r="71" spans="1:13" ht="14.1" customHeight="1"/>
    <row r="72" spans="1:13" ht="14.1" customHeight="1"/>
    <row r="73" spans="1:13" s="1" customFormat="1" ht="14.1" customHeight="1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13" s="1" customFormat="1" ht="14.1" customHeight="1">
      <c r="A74"/>
      <c r="B74"/>
      <c r="C74"/>
      <c r="D74"/>
      <c r="E74"/>
      <c r="F74"/>
      <c r="G74"/>
      <c r="H74"/>
      <c r="I74"/>
      <c r="J74"/>
      <c r="K74"/>
      <c r="L74"/>
      <c r="M74"/>
    </row>
  </sheetData>
  <mergeCells count="355">
    <mergeCell ref="K3:K4"/>
    <mergeCell ref="L3:L4"/>
    <mergeCell ref="M3:M4"/>
    <mergeCell ref="B4:C4"/>
    <mergeCell ref="D4:G4"/>
    <mergeCell ref="A3:A4"/>
    <mergeCell ref="B3:C3"/>
    <mergeCell ref="D3:G3"/>
    <mergeCell ref="H3:H4"/>
    <mergeCell ref="I3:I4"/>
    <mergeCell ref="J3:J4"/>
    <mergeCell ref="K65:K66"/>
    <mergeCell ref="L65:L66"/>
    <mergeCell ref="M65:M66"/>
    <mergeCell ref="B66:C66"/>
    <mergeCell ref="D66:G66"/>
    <mergeCell ref="A65:A66"/>
    <mergeCell ref="B65:C65"/>
    <mergeCell ref="D65:G65"/>
    <mergeCell ref="H65:H66"/>
    <mergeCell ref="I65:I66"/>
    <mergeCell ref="J65:J66"/>
    <mergeCell ref="K63:K64"/>
    <mergeCell ref="L63:L64"/>
    <mergeCell ref="M63:M64"/>
    <mergeCell ref="B64:C64"/>
    <mergeCell ref="D64:G64"/>
    <mergeCell ref="A63:A64"/>
    <mergeCell ref="B63:C63"/>
    <mergeCell ref="D63:G63"/>
    <mergeCell ref="H63:H64"/>
    <mergeCell ref="I63:I64"/>
    <mergeCell ref="J63:J64"/>
    <mergeCell ref="K61:K62"/>
    <mergeCell ref="L61:L62"/>
    <mergeCell ref="M61:M62"/>
    <mergeCell ref="B62:C62"/>
    <mergeCell ref="D62:G62"/>
    <mergeCell ref="A61:A62"/>
    <mergeCell ref="B61:C61"/>
    <mergeCell ref="D61:G61"/>
    <mergeCell ref="H61:H62"/>
    <mergeCell ref="I61:I62"/>
    <mergeCell ref="J61:J62"/>
    <mergeCell ref="K59:K60"/>
    <mergeCell ref="L59:L60"/>
    <mergeCell ref="M59:M60"/>
    <mergeCell ref="B60:C60"/>
    <mergeCell ref="D60:G60"/>
    <mergeCell ref="A59:A60"/>
    <mergeCell ref="B59:C59"/>
    <mergeCell ref="D59:G59"/>
    <mergeCell ref="H59:H60"/>
    <mergeCell ref="I59:I60"/>
    <mergeCell ref="J59:J60"/>
    <mergeCell ref="K57:K58"/>
    <mergeCell ref="L57:L58"/>
    <mergeCell ref="M57:M58"/>
    <mergeCell ref="B58:C58"/>
    <mergeCell ref="D58:G58"/>
    <mergeCell ref="A57:A58"/>
    <mergeCell ref="B57:C57"/>
    <mergeCell ref="D57:G57"/>
    <mergeCell ref="H57:H58"/>
    <mergeCell ref="I57:I58"/>
    <mergeCell ref="J57:J58"/>
    <mergeCell ref="K55:K56"/>
    <mergeCell ref="L55:L56"/>
    <mergeCell ref="M55:M56"/>
    <mergeCell ref="B56:C56"/>
    <mergeCell ref="D56:G56"/>
    <mergeCell ref="A55:A56"/>
    <mergeCell ref="B55:C55"/>
    <mergeCell ref="D55:G55"/>
    <mergeCell ref="H55:H56"/>
    <mergeCell ref="I55:I56"/>
    <mergeCell ref="J55:J56"/>
    <mergeCell ref="K53:K54"/>
    <mergeCell ref="L53:L54"/>
    <mergeCell ref="M53:M54"/>
    <mergeCell ref="B54:C54"/>
    <mergeCell ref="D54:G54"/>
    <mergeCell ref="A53:A54"/>
    <mergeCell ref="B53:C53"/>
    <mergeCell ref="D53:G53"/>
    <mergeCell ref="H53:H54"/>
    <mergeCell ref="I53:I54"/>
    <mergeCell ref="J53:J54"/>
    <mergeCell ref="K51:K52"/>
    <mergeCell ref="L51:L52"/>
    <mergeCell ref="M51:M52"/>
    <mergeCell ref="B52:C52"/>
    <mergeCell ref="D52:G52"/>
    <mergeCell ref="A51:A52"/>
    <mergeCell ref="B51:C51"/>
    <mergeCell ref="D51:G51"/>
    <mergeCell ref="H51:H52"/>
    <mergeCell ref="I51:I52"/>
    <mergeCell ref="J51:J52"/>
    <mergeCell ref="K49:K50"/>
    <mergeCell ref="L49:L50"/>
    <mergeCell ref="M49:M50"/>
    <mergeCell ref="B50:C50"/>
    <mergeCell ref="D50:G50"/>
    <mergeCell ref="A49:A50"/>
    <mergeCell ref="B49:C49"/>
    <mergeCell ref="D49:G49"/>
    <mergeCell ref="H49:H50"/>
    <mergeCell ref="I49:I50"/>
    <mergeCell ref="J49:J50"/>
    <mergeCell ref="K47:K48"/>
    <mergeCell ref="L47:L48"/>
    <mergeCell ref="M47:M48"/>
    <mergeCell ref="B48:C48"/>
    <mergeCell ref="D48:G48"/>
    <mergeCell ref="A47:A48"/>
    <mergeCell ref="B47:C47"/>
    <mergeCell ref="D47:G47"/>
    <mergeCell ref="H47:H48"/>
    <mergeCell ref="I47:I48"/>
    <mergeCell ref="J47:J48"/>
    <mergeCell ref="K45:K46"/>
    <mergeCell ref="L45:L46"/>
    <mergeCell ref="M45:M46"/>
    <mergeCell ref="B46:C46"/>
    <mergeCell ref="D46:G46"/>
    <mergeCell ref="A45:A46"/>
    <mergeCell ref="B45:C45"/>
    <mergeCell ref="D45:G45"/>
    <mergeCell ref="H45:H46"/>
    <mergeCell ref="I45:I46"/>
    <mergeCell ref="J45:J46"/>
    <mergeCell ref="K43:K44"/>
    <mergeCell ref="L43:L44"/>
    <mergeCell ref="M43:M44"/>
    <mergeCell ref="B44:C44"/>
    <mergeCell ref="D44:G44"/>
    <mergeCell ref="A43:A44"/>
    <mergeCell ref="B43:C43"/>
    <mergeCell ref="D43:G43"/>
    <mergeCell ref="H43:H44"/>
    <mergeCell ref="I43:I44"/>
    <mergeCell ref="J43:J44"/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D6:G6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A1:M1"/>
    <mergeCell ref="A7:A8"/>
    <mergeCell ref="B7:C7"/>
    <mergeCell ref="D7:G7"/>
    <mergeCell ref="H7:H8"/>
    <mergeCell ref="I7:I8"/>
    <mergeCell ref="B2:C2"/>
    <mergeCell ref="D2:G2"/>
    <mergeCell ref="A5:A6"/>
    <mergeCell ref="B5:C5"/>
    <mergeCell ref="D5:G5"/>
    <mergeCell ref="H5:H6"/>
    <mergeCell ref="I5:I6"/>
    <mergeCell ref="J5:J6"/>
    <mergeCell ref="K5:K6"/>
    <mergeCell ref="J7:J8"/>
    <mergeCell ref="K7:K8"/>
    <mergeCell ref="L7:L8"/>
    <mergeCell ref="M7:M8"/>
    <mergeCell ref="B8:C8"/>
    <mergeCell ref="D8:G8"/>
    <mergeCell ref="L5:L6"/>
    <mergeCell ref="M5:M6"/>
    <mergeCell ref="B6:C6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7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C280F-06EB-40C8-BE13-55E2D74B9185}">
  <sheetPr>
    <tabColor rgb="FF00B050"/>
    <pageSetUpPr fitToPage="1"/>
  </sheetPr>
  <dimension ref="A1:N81"/>
  <sheetViews>
    <sheetView topLeftCell="A4" zoomScale="110" zoomScaleNormal="110" workbookViewId="0">
      <selection activeCell="Q31" sqref="Q31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28" t="s">
        <v>669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30"/>
    </row>
    <row r="2" spans="1:14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  <c r="N2" s="9" t="s">
        <v>229</v>
      </c>
    </row>
    <row r="3" spans="1:14" s="1" customFormat="1" ht="14.1" customHeight="1">
      <c r="A3" s="71">
        <v>1</v>
      </c>
      <c r="B3" s="72" t="s">
        <v>670</v>
      </c>
      <c r="C3" s="72"/>
      <c r="D3" s="73" t="s">
        <v>184</v>
      </c>
      <c r="E3" s="73"/>
      <c r="F3" s="73"/>
      <c r="G3" s="74"/>
      <c r="H3" s="24">
        <f>SUM(I3)-2</f>
        <v>24</v>
      </c>
      <c r="I3" s="24">
        <f>SUM(J3)-2</f>
        <v>26</v>
      </c>
      <c r="J3" s="75">
        <v>28</v>
      </c>
      <c r="K3" s="76">
        <f>SUM(J3)+2</f>
        <v>30</v>
      </c>
      <c r="L3" s="76">
        <f>SUM(K3)+2</f>
        <v>32</v>
      </c>
      <c r="M3" s="76">
        <f>SUM(L3)+2</f>
        <v>34</v>
      </c>
      <c r="N3" s="171">
        <f>SUM(M3)+2</f>
        <v>36</v>
      </c>
    </row>
    <row r="4" spans="1:14" s="1" customFormat="1" ht="14.1" customHeight="1">
      <c r="A4" s="38"/>
      <c r="B4" s="56" t="s">
        <v>671</v>
      </c>
      <c r="C4" s="56"/>
      <c r="D4" s="47" t="s">
        <v>124</v>
      </c>
      <c r="E4" s="48"/>
      <c r="F4" s="48"/>
      <c r="G4" s="48"/>
      <c r="H4" s="36"/>
      <c r="I4" s="36"/>
      <c r="J4" s="33"/>
      <c r="K4" s="24"/>
      <c r="L4" s="24"/>
      <c r="M4" s="24"/>
      <c r="N4" s="121"/>
    </row>
    <row r="5" spans="1:14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SUM(I5)-2.2</f>
        <v>33.599999999999994</v>
      </c>
      <c r="I5" s="24">
        <f>SUM(J5)-2.2</f>
        <v>35.799999999999997</v>
      </c>
      <c r="J5" s="33">
        <v>38</v>
      </c>
      <c r="K5" s="24">
        <f>SUM(J5)+2</f>
        <v>40</v>
      </c>
      <c r="L5" s="24">
        <f>SUM(K5)+2</f>
        <v>42</v>
      </c>
      <c r="M5" s="24">
        <f>SUM(L5)+2</f>
        <v>44</v>
      </c>
      <c r="N5" s="121">
        <f>SUM(M5)+2</f>
        <v>46</v>
      </c>
    </row>
    <row r="6" spans="1:14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36"/>
      <c r="N6" s="122"/>
    </row>
    <row r="7" spans="1:14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33.5</v>
      </c>
      <c r="I7" s="24">
        <f>SUM(J7)-2.25</f>
        <v>35.75</v>
      </c>
      <c r="J7" s="33">
        <v>38</v>
      </c>
      <c r="K7" s="24">
        <f>SUM(J7)+2</f>
        <v>40</v>
      </c>
      <c r="L7" s="24">
        <f>SUM(K7)+2</f>
        <v>42</v>
      </c>
      <c r="M7" s="24">
        <f>SUM(L7)+2</f>
        <v>44</v>
      </c>
      <c r="N7" s="121">
        <f>SUM(M7)+2</f>
        <v>46</v>
      </c>
    </row>
    <row r="8" spans="1:14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36"/>
      <c r="N8" s="122"/>
    </row>
    <row r="9" spans="1:14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SUM(I9)-2.25</f>
        <v>33.5</v>
      </c>
      <c r="I9" s="24">
        <f>SUM(J9)-2.25</f>
        <v>35.75</v>
      </c>
      <c r="J9" s="33">
        <v>38</v>
      </c>
      <c r="K9" s="24">
        <f>SUM(J9)+2</f>
        <v>40</v>
      </c>
      <c r="L9" s="24">
        <f>SUM(K9)+2</f>
        <v>42</v>
      </c>
      <c r="M9" s="24">
        <f>SUM(L9)+2</f>
        <v>44</v>
      </c>
      <c r="N9" s="121">
        <f>SUM(M9)+2</f>
        <v>46</v>
      </c>
    </row>
    <row r="10" spans="1:14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6"/>
      <c r="N10" s="122"/>
    </row>
    <row r="11" spans="1:14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SUM(I11)-0.8</f>
        <v>13.899999999999999</v>
      </c>
      <c r="I11" s="24">
        <f>SUM(J11)-0.8</f>
        <v>14.7</v>
      </c>
      <c r="J11" s="23">
        <v>15.5</v>
      </c>
      <c r="K11" s="21">
        <f>SUM(J11)+0.8</f>
        <v>16.3</v>
      </c>
      <c r="L11" s="21">
        <f>SUM(K11)+0.8</f>
        <v>17.100000000000001</v>
      </c>
      <c r="M11" s="21">
        <f>SUM(L11)+0.8</f>
        <v>17.900000000000002</v>
      </c>
      <c r="N11" s="123">
        <f>SUM(M11)+0.8</f>
        <v>18.700000000000003</v>
      </c>
    </row>
    <row r="12" spans="1:14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1"/>
      <c r="N12" s="123"/>
    </row>
    <row r="13" spans="1:14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14.200000000000001</v>
      </c>
      <c r="I13" s="24">
        <f>SUM(J13)-0.6</f>
        <v>14.8</v>
      </c>
      <c r="J13" s="23">
        <v>15.4</v>
      </c>
      <c r="K13" s="21">
        <f>SUM(J13)+0.6</f>
        <v>16</v>
      </c>
      <c r="L13" s="21">
        <f>SUM(K13)+0.6</f>
        <v>16.600000000000001</v>
      </c>
      <c r="M13" s="21">
        <f>SUM(L13)+0.6</f>
        <v>17.200000000000003</v>
      </c>
      <c r="N13" s="123">
        <f>SUM(M13)+0.6</f>
        <v>17.800000000000004</v>
      </c>
    </row>
    <row r="14" spans="1:14" s="1" customFormat="1" ht="14.1" customHeight="1">
      <c r="A14" s="38"/>
      <c r="B14" s="56" t="s">
        <v>29</v>
      </c>
      <c r="C14" s="56"/>
      <c r="D14" s="47" t="s">
        <v>154</v>
      </c>
      <c r="E14" s="48"/>
      <c r="F14" s="48"/>
      <c r="G14" s="49"/>
      <c r="H14" s="36"/>
      <c r="I14" s="36"/>
      <c r="J14" s="23"/>
      <c r="K14" s="21"/>
      <c r="L14" s="21"/>
      <c r="M14" s="21"/>
      <c r="N14" s="123"/>
    </row>
    <row r="15" spans="1:14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5.7</v>
      </c>
      <c r="I15" s="24">
        <f>SUM(J15)-0.3</f>
        <v>6</v>
      </c>
      <c r="J15" s="23">
        <v>6.3</v>
      </c>
      <c r="K15" s="21">
        <f>SUM(J15)+0.3</f>
        <v>6.6</v>
      </c>
      <c r="L15" s="21">
        <f>SUM(K15)+0.3</f>
        <v>6.8999999999999995</v>
      </c>
      <c r="M15" s="21">
        <f>SUM(L15)+0.3</f>
        <v>7.1999999999999993</v>
      </c>
      <c r="N15" s="123">
        <f>SUM(M15)+0.3</f>
        <v>7.4999999999999991</v>
      </c>
    </row>
    <row r="16" spans="1:14" s="1" customFormat="1" ht="14.1" customHeight="1">
      <c r="A16" s="38"/>
      <c r="B16" s="56" t="s">
        <v>30</v>
      </c>
      <c r="C16" s="56"/>
      <c r="D16" s="47" t="s">
        <v>155</v>
      </c>
      <c r="E16" s="48"/>
      <c r="F16" s="48"/>
      <c r="G16" s="49"/>
      <c r="H16" s="36"/>
      <c r="I16" s="36"/>
      <c r="J16" s="23"/>
      <c r="K16" s="21"/>
      <c r="L16" s="21"/>
      <c r="M16" s="21"/>
      <c r="N16" s="123"/>
    </row>
    <row r="17" spans="1:14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38.799999999999997</v>
      </c>
      <c r="I17" s="24">
        <f>SUM(J17)-1.6</f>
        <v>40.4</v>
      </c>
      <c r="J17" s="23">
        <v>42</v>
      </c>
      <c r="K17" s="21">
        <f>SUM(J17)+1.6</f>
        <v>43.6</v>
      </c>
      <c r="L17" s="21">
        <f>SUM(K17)+1.6</f>
        <v>45.2</v>
      </c>
      <c r="M17" s="21">
        <f>SUM(L17)+1.6</f>
        <v>46.800000000000004</v>
      </c>
      <c r="N17" s="123">
        <f>SUM(M17)+1.6</f>
        <v>48.400000000000006</v>
      </c>
    </row>
    <row r="18" spans="1:14" s="1" customFormat="1" ht="14.1" customHeight="1">
      <c r="A18" s="38"/>
      <c r="B18" s="56" t="s">
        <v>37</v>
      </c>
      <c r="C18" s="56"/>
      <c r="D18" s="47" t="s">
        <v>156</v>
      </c>
      <c r="E18" s="48"/>
      <c r="F18" s="48"/>
      <c r="G18" s="49"/>
      <c r="H18" s="36"/>
      <c r="I18" s="36"/>
      <c r="J18" s="23"/>
      <c r="K18" s="21"/>
      <c r="L18" s="21"/>
      <c r="M18" s="21"/>
      <c r="N18" s="123"/>
    </row>
    <row r="19" spans="1:14" s="1" customFormat="1" ht="14.1" customHeight="1">
      <c r="A19" s="38">
        <v>9</v>
      </c>
      <c r="B19" s="58" t="s">
        <v>4</v>
      </c>
      <c r="C19" s="58"/>
      <c r="D19" s="57" t="s">
        <v>5</v>
      </c>
      <c r="E19" s="57"/>
      <c r="F19" s="57"/>
      <c r="G19" s="57"/>
      <c r="H19" s="24">
        <f>SUM(I19)-3.4</f>
        <v>28.200000000000003</v>
      </c>
      <c r="I19" s="24">
        <f>SUM(J19)-3.4</f>
        <v>31.6</v>
      </c>
      <c r="J19" s="23">
        <v>35</v>
      </c>
      <c r="K19" s="21">
        <f>SUM(J19)+3.5</f>
        <v>38.5</v>
      </c>
      <c r="L19" s="21">
        <f>SUM(K19)+3.5</f>
        <v>42</v>
      </c>
      <c r="M19" s="21">
        <f>SUM(L19)+3.5</f>
        <v>45.5</v>
      </c>
      <c r="N19" s="123">
        <f>SUM(M19)+3.5</f>
        <v>49</v>
      </c>
    </row>
    <row r="20" spans="1:14" s="1" customFormat="1" ht="14.1" customHeight="1">
      <c r="A20" s="38"/>
      <c r="B20" s="56" t="s">
        <v>31</v>
      </c>
      <c r="C20" s="56"/>
      <c r="D20" s="47" t="s">
        <v>54</v>
      </c>
      <c r="E20" s="48"/>
      <c r="F20" s="48"/>
      <c r="G20" s="49"/>
      <c r="H20" s="36"/>
      <c r="I20" s="36"/>
      <c r="J20" s="23"/>
      <c r="K20" s="21"/>
      <c r="L20" s="21"/>
      <c r="M20" s="21"/>
      <c r="N20" s="123"/>
    </row>
    <row r="21" spans="1:14" s="1" customFormat="1" ht="14.1" customHeight="1">
      <c r="A21" s="38">
        <v>10</v>
      </c>
      <c r="B21" s="58" t="s">
        <v>6</v>
      </c>
      <c r="C21" s="58"/>
      <c r="D21" s="59" t="s">
        <v>7</v>
      </c>
      <c r="E21" s="60"/>
      <c r="F21" s="60"/>
      <c r="G21" s="61"/>
      <c r="H21" s="24">
        <f>SUM(I21)-1.6</f>
        <v>27.599999999999998</v>
      </c>
      <c r="I21" s="24">
        <f>SUM(J21)-1.6</f>
        <v>29.2</v>
      </c>
      <c r="J21" s="23">
        <v>30.8</v>
      </c>
      <c r="K21" s="21">
        <f>SUM(J21)+1.6</f>
        <v>32.4</v>
      </c>
      <c r="L21" s="21">
        <f>SUM(K21)+1.6</f>
        <v>34</v>
      </c>
      <c r="M21" s="21">
        <f>SUM(L21)+1.6</f>
        <v>35.6</v>
      </c>
      <c r="N21" s="123">
        <f>SUM(M21)+1.6</f>
        <v>37.200000000000003</v>
      </c>
    </row>
    <row r="22" spans="1:14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9"/>
      <c r="H22" s="36"/>
      <c r="I22" s="36"/>
      <c r="J22" s="23"/>
      <c r="K22" s="21"/>
      <c r="L22" s="21"/>
      <c r="M22" s="21"/>
      <c r="N22" s="123"/>
    </row>
    <row r="23" spans="1:14" s="1" customFormat="1" ht="14.1" customHeight="1">
      <c r="A23" s="38">
        <v>11</v>
      </c>
      <c r="B23" s="51" t="s">
        <v>77</v>
      </c>
      <c r="C23" s="52"/>
      <c r="D23" s="57" t="s">
        <v>78</v>
      </c>
      <c r="E23" s="57"/>
      <c r="F23" s="57"/>
      <c r="G23" s="57"/>
      <c r="H23" s="24">
        <f>SUM(I23)-0.6</f>
        <v>14</v>
      </c>
      <c r="I23" s="24">
        <f>SUM(J23)-0.6</f>
        <v>14.6</v>
      </c>
      <c r="J23" s="23">
        <v>15.2</v>
      </c>
      <c r="K23" s="21">
        <f>SUM(J23)+0.6</f>
        <v>15.799999999999999</v>
      </c>
      <c r="L23" s="21">
        <f>SUM(K23)+0.6</f>
        <v>16.399999999999999</v>
      </c>
      <c r="M23" s="21">
        <f>SUM(L23)+0.6</f>
        <v>17</v>
      </c>
      <c r="N23" s="123">
        <f>SUM(M23)+0.6</f>
        <v>17.600000000000001</v>
      </c>
    </row>
    <row r="24" spans="1:14" s="1" customFormat="1" ht="14.1" customHeight="1">
      <c r="A24" s="38"/>
      <c r="B24" s="56" t="s">
        <v>33</v>
      </c>
      <c r="C24" s="56"/>
      <c r="D24" s="47" t="s">
        <v>79</v>
      </c>
      <c r="E24" s="48"/>
      <c r="F24" s="48"/>
      <c r="G24" s="49"/>
      <c r="H24" s="36"/>
      <c r="I24" s="36"/>
      <c r="J24" s="23"/>
      <c r="K24" s="21"/>
      <c r="L24" s="21"/>
      <c r="M24" s="21"/>
      <c r="N24" s="123"/>
    </row>
    <row r="25" spans="1:14" s="1" customFormat="1" ht="14.1" customHeight="1">
      <c r="A25" s="38">
        <v>12</v>
      </c>
      <c r="B25" s="58" t="s">
        <v>672</v>
      </c>
      <c r="C25" s="58"/>
      <c r="D25" s="59"/>
      <c r="E25" s="60"/>
      <c r="F25" s="60"/>
      <c r="G25" s="61"/>
      <c r="H25" s="24">
        <f>SUM(I25)-3.5</f>
        <v>36.299999999999997</v>
      </c>
      <c r="I25" s="24">
        <f>SUM(J25)-3.5</f>
        <v>39.799999999999997</v>
      </c>
      <c r="J25" s="23">
        <v>43.3</v>
      </c>
      <c r="K25" s="21">
        <f>SUM(J25)+3</f>
        <v>46.3</v>
      </c>
      <c r="L25" s="21">
        <f>SUM(K25)+3</f>
        <v>49.3</v>
      </c>
      <c r="M25" s="21">
        <f>SUM(L25)+3</f>
        <v>52.3</v>
      </c>
      <c r="N25" s="123">
        <f>SUM(M25)+3</f>
        <v>55.3</v>
      </c>
    </row>
    <row r="26" spans="1:14" s="1" customFormat="1" ht="14.1" customHeight="1">
      <c r="A26" s="38"/>
      <c r="B26" s="56" t="s">
        <v>673</v>
      </c>
      <c r="C26" s="56"/>
      <c r="D26" s="47"/>
      <c r="E26" s="48"/>
      <c r="F26" s="48"/>
      <c r="G26" s="49"/>
      <c r="H26" s="36"/>
      <c r="I26" s="36"/>
      <c r="J26" s="23"/>
      <c r="K26" s="21"/>
      <c r="L26" s="21"/>
      <c r="M26" s="21"/>
      <c r="N26" s="123"/>
    </row>
    <row r="27" spans="1:14" s="1" customFormat="1" ht="14.1" customHeight="1">
      <c r="A27" s="38">
        <v>13</v>
      </c>
      <c r="B27" s="58" t="s">
        <v>674</v>
      </c>
      <c r="C27" s="58"/>
      <c r="D27" s="59"/>
      <c r="E27" s="60"/>
      <c r="F27" s="60"/>
      <c r="G27" s="61"/>
      <c r="H27" s="24">
        <f>SUM(I27)-2</f>
        <v>26</v>
      </c>
      <c r="I27" s="24">
        <f>SUM(J27)-2</f>
        <v>28</v>
      </c>
      <c r="J27" s="23">
        <v>30</v>
      </c>
      <c r="K27" s="21">
        <f>SUM(J27)+1.8</f>
        <v>31.8</v>
      </c>
      <c r="L27" s="21">
        <f>SUM(K27)+1.8</f>
        <v>33.6</v>
      </c>
      <c r="M27" s="21">
        <f>SUM(L27)+1.8</f>
        <v>35.4</v>
      </c>
      <c r="N27" s="123">
        <f>SUM(M27)+1.8</f>
        <v>37.199999999999996</v>
      </c>
    </row>
    <row r="28" spans="1:14" s="1" customFormat="1" ht="14.1" customHeight="1">
      <c r="A28" s="38"/>
      <c r="B28" s="56" t="s">
        <v>675</v>
      </c>
      <c r="C28" s="56"/>
      <c r="D28" s="47"/>
      <c r="E28" s="48"/>
      <c r="F28" s="48"/>
      <c r="G28" s="49"/>
      <c r="H28" s="36"/>
      <c r="I28" s="36"/>
      <c r="J28" s="23"/>
      <c r="K28" s="21"/>
      <c r="L28" s="21"/>
      <c r="M28" s="21"/>
      <c r="N28" s="123"/>
    </row>
    <row r="29" spans="1:14" s="1" customFormat="1" ht="14.1" customHeight="1">
      <c r="A29" s="38">
        <v>14</v>
      </c>
      <c r="B29" s="51" t="s">
        <v>176</v>
      </c>
      <c r="C29" s="52"/>
      <c r="D29" s="53" t="s">
        <v>103</v>
      </c>
      <c r="E29" s="54"/>
      <c r="F29" s="54"/>
      <c r="G29" s="55"/>
      <c r="H29" s="24">
        <f>SUM(I29)-0.3</f>
        <v>3.4000000000000004</v>
      </c>
      <c r="I29" s="24">
        <f>SUM(J29)-0.3</f>
        <v>3.7</v>
      </c>
      <c r="J29" s="23">
        <v>4</v>
      </c>
      <c r="K29" s="21">
        <f>SUM(J29)+0.3</f>
        <v>4.3</v>
      </c>
      <c r="L29" s="21">
        <f>SUM(K29)+0.3</f>
        <v>4.5999999999999996</v>
      </c>
      <c r="M29" s="21">
        <f>SUM(L29)+0.3</f>
        <v>4.8999999999999995</v>
      </c>
      <c r="N29" s="123">
        <f>SUM(M29)+0.3</f>
        <v>5.1999999999999993</v>
      </c>
    </row>
    <row r="30" spans="1:14" s="1" customFormat="1" ht="14.1" customHeight="1">
      <c r="A30" s="154"/>
      <c r="B30" s="40" t="s">
        <v>175</v>
      </c>
      <c r="C30" s="41"/>
      <c r="D30" s="100" t="s">
        <v>104</v>
      </c>
      <c r="E30" s="101"/>
      <c r="F30" s="101"/>
      <c r="G30" s="102"/>
      <c r="H30" s="50"/>
      <c r="I30" s="50"/>
      <c r="J30" s="33"/>
      <c r="K30" s="24"/>
      <c r="L30" s="24"/>
      <c r="M30" s="24"/>
      <c r="N30" s="121"/>
    </row>
    <row r="31" spans="1:14" ht="14.1" customHeight="1">
      <c r="A31" s="38">
        <v>15</v>
      </c>
      <c r="B31" s="51"/>
      <c r="C31" s="52"/>
      <c r="D31" s="53"/>
      <c r="E31" s="54"/>
      <c r="F31" s="54"/>
      <c r="G31" s="55"/>
      <c r="H31" s="24"/>
      <c r="I31" s="24"/>
      <c r="J31" s="23"/>
      <c r="K31" s="21"/>
      <c r="L31" s="21"/>
      <c r="M31" s="21"/>
      <c r="N31" s="123"/>
    </row>
    <row r="32" spans="1:14" ht="14.1" customHeight="1" thickBot="1">
      <c r="A32" s="147"/>
      <c r="B32" s="142"/>
      <c r="C32" s="143"/>
      <c r="D32" s="144"/>
      <c r="E32" s="145"/>
      <c r="F32" s="145"/>
      <c r="G32" s="146"/>
      <c r="H32" s="148"/>
      <c r="I32" s="148"/>
      <c r="J32" s="151"/>
      <c r="K32" s="149"/>
      <c r="L32" s="149"/>
      <c r="M32" s="149"/>
      <c r="N32" s="170"/>
    </row>
    <row r="33" spans="1:14" ht="14.1" customHeight="1" thickTop="1">
      <c r="A33" s="71">
        <v>16</v>
      </c>
      <c r="B33" s="40" t="s">
        <v>149</v>
      </c>
      <c r="C33" s="41"/>
      <c r="D33" s="100" t="s">
        <v>82</v>
      </c>
      <c r="E33" s="101"/>
      <c r="F33" s="101"/>
      <c r="G33" s="102"/>
      <c r="H33" s="141">
        <f>SUM(I33)-3</f>
        <v>45</v>
      </c>
      <c r="I33" s="50">
        <f>SUM(J33)-3</f>
        <v>48</v>
      </c>
      <c r="J33" s="117">
        <v>51</v>
      </c>
      <c r="K33" s="50">
        <f>SUM(J33)+3</f>
        <v>54</v>
      </c>
      <c r="L33" s="50">
        <f>SUM(K33)+3</f>
        <v>57</v>
      </c>
      <c r="M33" s="50">
        <f>SUM(L33)+3</f>
        <v>60</v>
      </c>
      <c r="N33" s="127">
        <f>SUM(M33)+3</f>
        <v>63</v>
      </c>
    </row>
    <row r="34" spans="1:14" ht="14.1" customHeight="1">
      <c r="A34" s="38"/>
      <c r="B34" s="62" t="s">
        <v>108</v>
      </c>
      <c r="C34" s="63"/>
      <c r="D34" s="64" t="s">
        <v>83</v>
      </c>
      <c r="E34" s="65"/>
      <c r="F34" s="65"/>
      <c r="G34" s="66"/>
      <c r="H34" s="56"/>
      <c r="I34" s="36"/>
      <c r="J34" s="35"/>
      <c r="K34" s="36"/>
      <c r="L34" s="36"/>
      <c r="M34" s="36"/>
      <c r="N34" s="122"/>
    </row>
    <row r="35" spans="1:14" ht="14.1" customHeight="1">
      <c r="A35" s="38">
        <v>17</v>
      </c>
      <c r="B35" s="51" t="s">
        <v>157</v>
      </c>
      <c r="C35" s="52"/>
      <c r="D35" s="100"/>
      <c r="E35" s="101"/>
      <c r="F35" s="101"/>
      <c r="G35" s="102"/>
      <c r="H35" s="24">
        <f>SUM(I35)-3.5</f>
        <v>65.5</v>
      </c>
      <c r="I35" s="24">
        <f>SUM(J35)-3.5</f>
        <v>69</v>
      </c>
      <c r="J35" s="117">
        <v>72.5</v>
      </c>
      <c r="K35" s="50">
        <f>SUM(J35)+3.5</f>
        <v>76</v>
      </c>
      <c r="L35" s="50">
        <f>SUM(K35)+3.5</f>
        <v>79.5</v>
      </c>
      <c r="M35" s="50">
        <f>SUM(L35)+3.5</f>
        <v>83</v>
      </c>
      <c r="N35" s="127">
        <f>SUM(M35)+3.5</f>
        <v>86.5</v>
      </c>
    </row>
    <row r="36" spans="1:14" ht="14.1" customHeight="1">
      <c r="A36" s="38"/>
      <c r="B36" s="62" t="s">
        <v>158</v>
      </c>
      <c r="C36" s="63"/>
      <c r="D36" s="64"/>
      <c r="E36" s="65"/>
      <c r="F36" s="65"/>
      <c r="G36" s="66"/>
      <c r="H36" s="36"/>
      <c r="I36" s="36"/>
      <c r="J36" s="35"/>
      <c r="K36" s="36"/>
      <c r="L36" s="36"/>
      <c r="M36" s="36"/>
      <c r="N36" s="122"/>
    </row>
    <row r="37" spans="1:14" ht="14.1" customHeight="1">
      <c r="A37" s="38">
        <v>18</v>
      </c>
      <c r="B37" s="51" t="s">
        <v>13</v>
      </c>
      <c r="C37" s="52"/>
      <c r="D37" s="59" t="s">
        <v>182</v>
      </c>
      <c r="E37" s="60"/>
      <c r="F37" s="60"/>
      <c r="G37" s="61"/>
      <c r="H37" s="24">
        <f>SUM(I37)-4</f>
        <v>75.599999999999994</v>
      </c>
      <c r="I37" s="24">
        <f>SUM(J37)-4</f>
        <v>79.599999999999994</v>
      </c>
      <c r="J37" s="33">
        <v>83.6</v>
      </c>
      <c r="K37" s="24">
        <f>SUM(J37)+4</f>
        <v>87.6</v>
      </c>
      <c r="L37" s="24">
        <f>SUM(K37)+4</f>
        <v>91.6</v>
      </c>
      <c r="M37" s="24">
        <f>SUM(L37)+4</f>
        <v>95.6</v>
      </c>
      <c r="N37" s="121">
        <f>SUM(M37)+4</f>
        <v>99.6</v>
      </c>
    </row>
    <row r="38" spans="1:14" ht="14.1" customHeight="1">
      <c r="A38" s="38"/>
      <c r="B38" s="62" t="s">
        <v>912</v>
      </c>
      <c r="C38" s="63"/>
      <c r="D38" s="64" t="s">
        <v>121</v>
      </c>
      <c r="E38" s="65"/>
      <c r="F38" s="65"/>
      <c r="G38" s="66"/>
      <c r="H38" s="36"/>
      <c r="I38" s="36"/>
      <c r="J38" s="35"/>
      <c r="K38" s="36"/>
      <c r="L38" s="36"/>
      <c r="M38" s="36"/>
      <c r="N38" s="122"/>
    </row>
    <row r="39" spans="1:14" ht="14.1" customHeight="1">
      <c r="A39" s="38">
        <v>19</v>
      </c>
      <c r="B39" s="51" t="s">
        <v>146</v>
      </c>
      <c r="C39" s="52"/>
      <c r="D39" s="59"/>
      <c r="E39" s="60"/>
      <c r="F39" s="60"/>
      <c r="G39" s="61"/>
      <c r="H39" s="58">
        <f>SUM(I39)-0.7</f>
        <v>11.700000000000001</v>
      </c>
      <c r="I39" s="24">
        <f>SUM(J39)-0.7</f>
        <v>12.4</v>
      </c>
      <c r="J39" s="33">
        <v>13.1</v>
      </c>
      <c r="K39" s="24">
        <f>SUM(J39)+1.2</f>
        <v>14.299999999999999</v>
      </c>
      <c r="L39" s="24">
        <f>SUM(K39)+0.7</f>
        <v>14.999999999999998</v>
      </c>
      <c r="M39" s="58">
        <f>SUM(L39)+0.7</f>
        <v>15.699999999999998</v>
      </c>
      <c r="N39" s="125">
        <f>SUM(M39)+0.7</f>
        <v>16.399999999999999</v>
      </c>
    </row>
    <row r="40" spans="1:14" ht="14.1" customHeight="1">
      <c r="A40" s="38"/>
      <c r="B40" s="62" t="s">
        <v>145</v>
      </c>
      <c r="C40" s="63"/>
      <c r="D40" s="89" t="s">
        <v>179</v>
      </c>
      <c r="E40" s="90"/>
      <c r="F40" s="90"/>
      <c r="G40" s="91"/>
      <c r="H40" s="56"/>
      <c r="I40" s="36"/>
      <c r="J40" s="35"/>
      <c r="K40" s="36"/>
      <c r="L40" s="36"/>
      <c r="M40" s="56"/>
      <c r="N40" s="126"/>
    </row>
    <row r="41" spans="1:14" ht="14.1" customHeight="1">
      <c r="A41" s="38">
        <v>20</v>
      </c>
      <c r="B41" s="51" t="s">
        <v>9</v>
      </c>
      <c r="C41" s="52"/>
      <c r="D41" s="59" t="s">
        <v>84</v>
      </c>
      <c r="E41" s="60"/>
      <c r="F41" s="60"/>
      <c r="G41" s="61"/>
      <c r="H41" s="24">
        <f>SUM(I41)-7</f>
        <v>48.5</v>
      </c>
      <c r="I41" s="24">
        <f>SUM(J41)-7</f>
        <v>55.5</v>
      </c>
      <c r="J41" s="33">
        <v>62.5</v>
      </c>
      <c r="K41" s="24">
        <f>SUM(J41)+6</f>
        <v>68.5</v>
      </c>
      <c r="L41" s="24">
        <f>SUM(K41)+6</f>
        <v>74.5</v>
      </c>
      <c r="M41" s="24">
        <f>SUM(L41)+6</f>
        <v>80.5</v>
      </c>
      <c r="N41" s="121">
        <f>SUM(M41)+6</f>
        <v>86.5</v>
      </c>
    </row>
    <row r="42" spans="1:14" ht="14.1" customHeight="1">
      <c r="A42" s="38"/>
      <c r="B42" s="62" t="s">
        <v>56</v>
      </c>
      <c r="C42" s="63"/>
      <c r="D42" s="64" t="s">
        <v>120</v>
      </c>
      <c r="E42" s="65"/>
      <c r="F42" s="65"/>
      <c r="G42" s="66"/>
      <c r="H42" s="36"/>
      <c r="I42" s="36"/>
      <c r="J42" s="35"/>
      <c r="K42" s="36"/>
      <c r="L42" s="36"/>
      <c r="M42" s="36"/>
      <c r="N42" s="122"/>
    </row>
    <row r="43" spans="1:14" ht="14.1" customHeight="1">
      <c r="A43" s="38">
        <v>21</v>
      </c>
      <c r="B43" s="51" t="s">
        <v>16</v>
      </c>
      <c r="C43" s="52"/>
      <c r="D43" s="59" t="s">
        <v>17</v>
      </c>
      <c r="E43" s="60"/>
      <c r="F43" s="60"/>
      <c r="G43" s="61"/>
      <c r="H43" s="24">
        <f>SUM(I43)-1.8</f>
        <v>38.400000000000006</v>
      </c>
      <c r="I43" s="24">
        <f>SUM(J43)-1.8</f>
        <v>40.200000000000003</v>
      </c>
      <c r="J43" s="33">
        <v>42</v>
      </c>
      <c r="K43" s="24">
        <f>SUM(J43)+1.8</f>
        <v>43.8</v>
      </c>
      <c r="L43" s="24">
        <f>SUM(K43)+1.8</f>
        <v>45.599999999999994</v>
      </c>
      <c r="M43" s="24">
        <f>SUM(L43)+1.8</f>
        <v>47.399999999999991</v>
      </c>
      <c r="N43" s="121">
        <f>SUM(M43)+1.8</f>
        <v>49.199999999999989</v>
      </c>
    </row>
    <row r="44" spans="1:14" ht="14.1" customHeight="1">
      <c r="A44" s="38"/>
      <c r="B44" s="62" t="s">
        <v>57</v>
      </c>
      <c r="C44" s="63"/>
      <c r="D44" s="47" t="s">
        <v>119</v>
      </c>
      <c r="E44" s="48"/>
      <c r="F44" s="48"/>
      <c r="G44" s="49"/>
      <c r="H44" s="36"/>
      <c r="I44" s="36"/>
      <c r="J44" s="35"/>
      <c r="K44" s="36"/>
      <c r="L44" s="36"/>
      <c r="M44" s="36"/>
      <c r="N44" s="122"/>
    </row>
    <row r="45" spans="1:14" ht="14.1" customHeight="1">
      <c r="A45" s="38">
        <v>22</v>
      </c>
      <c r="B45" s="51" t="s">
        <v>18</v>
      </c>
      <c r="C45" s="52"/>
      <c r="D45" s="59" t="s">
        <v>15</v>
      </c>
      <c r="E45" s="60"/>
      <c r="F45" s="60"/>
      <c r="G45" s="61"/>
      <c r="H45" s="58">
        <f>SUM(I45)-1.1</f>
        <v>21.599999999999998</v>
      </c>
      <c r="I45" s="24">
        <f>SUM(J45)-1.1</f>
        <v>22.7</v>
      </c>
      <c r="J45" s="33">
        <v>23.8</v>
      </c>
      <c r="K45" s="24">
        <f>SUM(J45)+1.6</f>
        <v>25.400000000000002</v>
      </c>
      <c r="L45" s="24">
        <f>SUM(K45)+1.1</f>
        <v>26.500000000000004</v>
      </c>
      <c r="M45" s="58">
        <f>SUM(L45)+1.1</f>
        <v>27.600000000000005</v>
      </c>
      <c r="N45" s="125">
        <f>SUM(M45)+1.1</f>
        <v>28.700000000000006</v>
      </c>
    </row>
    <row r="46" spans="1:14" ht="14.1" customHeight="1">
      <c r="A46" s="38"/>
      <c r="B46" s="62" t="s">
        <v>63</v>
      </c>
      <c r="C46" s="63"/>
      <c r="D46" s="64" t="s">
        <v>118</v>
      </c>
      <c r="E46" s="65"/>
      <c r="F46" s="65"/>
      <c r="G46" s="66"/>
      <c r="H46" s="56"/>
      <c r="I46" s="36"/>
      <c r="J46" s="35"/>
      <c r="K46" s="36"/>
      <c r="L46" s="36"/>
      <c r="M46" s="56"/>
      <c r="N46" s="126"/>
    </row>
    <row r="47" spans="1:14" ht="14.1" customHeight="1">
      <c r="A47" s="38">
        <v>23</v>
      </c>
      <c r="B47" s="51" t="s">
        <v>19</v>
      </c>
      <c r="C47" s="52"/>
      <c r="D47" s="59" t="s">
        <v>15</v>
      </c>
      <c r="E47" s="60"/>
      <c r="F47" s="60"/>
      <c r="G47" s="61"/>
      <c r="H47" s="58">
        <f>SUM(I47)-1.3</f>
        <v>28.299999999999997</v>
      </c>
      <c r="I47" s="24">
        <f>SUM(J47)-1.3</f>
        <v>29.599999999999998</v>
      </c>
      <c r="J47" s="33">
        <v>30.9</v>
      </c>
      <c r="K47" s="24">
        <f>SUM(J47)+1.8</f>
        <v>32.699999999999996</v>
      </c>
      <c r="L47" s="24">
        <f>SUM(K47)+1.3</f>
        <v>33.999999999999993</v>
      </c>
      <c r="M47" s="58">
        <f>SUM(L47)+1.3</f>
        <v>35.29999999999999</v>
      </c>
      <c r="N47" s="125">
        <f>SUM(M47)+1.3</f>
        <v>36.599999999999987</v>
      </c>
    </row>
    <row r="48" spans="1:14" ht="14.1" customHeight="1">
      <c r="A48" s="38"/>
      <c r="B48" s="62" t="s">
        <v>62</v>
      </c>
      <c r="C48" s="63"/>
      <c r="D48" s="64" t="s">
        <v>118</v>
      </c>
      <c r="E48" s="65"/>
      <c r="F48" s="65"/>
      <c r="G48" s="66"/>
      <c r="H48" s="56"/>
      <c r="I48" s="36"/>
      <c r="J48" s="35"/>
      <c r="K48" s="36"/>
      <c r="L48" s="36"/>
      <c r="M48" s="56"/>
      <c r="N48" s="126"/>
    </row>
    <row r="49" spans="1:14" ht="14.1" customHeight="1">
      <c r="A49" s="38">
        <v>24</v>
      </c>
      <c r="B49" s="51" t="s">
        <v>20</v>
      </c>
      <c r="C49" s="52"/>
      <c r="D49" s="59" t="s">
        <v>21</v>
      </c>
      <c r="E49" s="60"/>
      <c r="F49" s="60"/>
      <c r="G49" s="61"/>
      <c r="H49" s="24">
        <f>SUM(I49)-2.7</f>
        <v>47.099999999999994</v>
      </c>
      <c r="I49" s="24">
        <f>SUM(J49)-2.7</f>
        <v>49.8</v>
      </c>
      <c r="J49" s="33">
        <v>52.5</v>
      </c>
      <c r="K49" s="24">
        <f>SUM(J49)+2.6</f>
        <v>55.1</v>
      </c>
      <c r="L49" s="24">
        <f>SUM(K49)+2.6</f>
        <v>57.7</v>
      </c>
      <c r="M49" s="24">
        <f>SUM(L49)+2.6</f>
        <v>60.300000000000004</v>
      </c>
      <c r="N49" s="121">
        <f>SUM(M49)+2.6</f>
        <v>62.900000000000006</v>
      </c>
    </row>
    <row r="50" spans="1:14" ht="14.1" customHeight="1">
      <c r="A50" s="38"/>
      <c r="B50" s="62" t="s">
        <v>61</v>
      </c>
      <c r="C50" s="63"/>
      <c r="D50" s="64" t="s">
        <v>117</v>
      </c>
      <c r="E50" s="65"/>
      <c r="F50" s="65"/>
      <c r="G50" s="66"/>
      <c r="H50" s="36"/>
      <c r="I50" s="36"/>
      <c r="J50" s="35"/>
      <c r="K50" s="36"/>
      <c r="L50" s="36"/>
      <c r="M50" s="36"/>
      <c r="N50" s="122"/>
    </row>
    <row r="51" spans="1:14" ht="14.1" customHeight="1">
      <c r="A51" s="38">
        <v>25</v>
      </c>
      <c r="B51" s="51" t="s">
        <v>22</v>
      </c>
      <c r="C51" s="52"/>
      <c r="D51" s="59" t="s">
        <v>23</v>
      </c>
      <c r="E51" s="60"/>
      <c r="F51" s="60"/>
      <c r="G51" s="61"/>
      <c r="H51" s="24">
        <f>SUM(I51)-6</f>
        <v>28.299999999999997</v>
      </c>
      <c r="I51" s="24">
        <f>SUM(J51)-6</f>
        <v>34.299999999999997</v>
      </c>
      <c r="J51" s="33">
        <v>40.299999999999997</v>
      </c>
      <c r="K51" s="24">
        <f>SUM(J51)+4.5</f>
        <v>44.8</v>
      </c>
      <c r="L51" s="24">
        <f>SUM(K51)+5</f>
        <v>49.8</v>
      </c>
      <c r="M51" s="24">
        <f>SUM(L51)+5</f>
        <v>54.8</v>
      </c>
      <c r="N51" s="121">
        <f>SUM(M51)+5</f>
        <v>59.8</v>
      </c>
    </row>
    <row r="52" spans="1:14" ht="14.1" customHeight="1">
      <c r="A52" s="38"/>
      <c r="B52" s="62" t="s">
        <v>60</v>
      </c>
      <c r="C52" s="63"/>
      <c r="D52" s="64" t="s">
        <v>116</v>
      </c>
      <c r="E52" s="65"/>
      <c r="F52" s="65"/>
      <c r="G52" s="66"/>
      <c r="H52" s="36"/>
      <c r="I52" s="36"/>
      <c r="J52" s="35"/>
      <c r="K52" s="36"/>
      <c r="L52" s="36"/>
      <c r="M52" s="36"/>
      <c r="N52" s="122"/>
    </row>
    <row r="53" spans="1:14" ht="14.1" customHeight="1">
      <c r="A53" s="38">
        <v>26</v>
      </c>
      <c r="B53" s="51" t="s">
        <v>115</v>
      </c>
      <c r="C53" s="52"/>
      <c r="D53" s="59" t="s">
        <v>113</v>
      </c>
      <c r="E53" s="60"/>
      <c r="F53" s="60"/>
      <c r="G53" s="61"/>
      <c r="H53" s="24">
        <f>SUM(I53)-2</f>
        <v>43.2</v>
      </c>
      <c r="I53" s="24">
        <f>SUM(J53)-2</f>
        <v>45.2</v>
      </c>
      <c r="J53" s="33">
        <v>47.2</v>
      </c>
      <c r="K53" s="24">
        <f>SUM(J53)+2</f>
        <v>49.2</v>
      </c>
      <c r="L53" s="24">
        <f>SUM(K53)+2</f>
        <v>51.2</v>
      </c>
      <c r="M53" s="24">
        <f>SUM(L53)+2</f>
        <v>53.2</v>
      </c>
      <c r="N53" s="121">
        <f>SUM(M53)+2</f>
        <v>55.2</v>
      </c>
    </row>
    <row r="54" spans="1:14" ht="14.1" customHeight="1">
      <c r="A54" s="38"/>
      <c r="B54" s="62" t="s">
        <v>114</v>
      </c>
      <c r="C54" s="63"/>
      <c r="D54" s="64" t="s">
        <v>113</v>
      </c>
      <c r="E54" s="65"/>
      <c r="F54" s="65"/>
      <c r="G54" s="66"/>
      <c r="H54" s="36"/>
      <c r="I54" s="36"/>
      <c r="J54" s="35"/>
      <c r="K54" s="36"/>
      <c r="L54" s="36"/>
      <c r="M54" s="36"/>
      <c r="N54" s="122"/>
    </row>
    <row r="55" spans="1:14" ht="14.1" customHeight="1">
      <c r="A55" s="38">
        <v>27</v>
      </c>
      <c r="B55" s="51" t="s">
        <v>112</v>
      </c>
      <c r="C55" s="52"/>
      <c r="D55" s="59" t="s">
        <v>111</v>
      </c>
      <c r="E55" s="60"/>
      <c r="F55" s="60"/>
      <c r="G55" s="61"/>
      <c r="H55" s="24">
        <f>SUM(I55)-3.3</f>
        <v>31.2</v>
      </c>
      <c r="I55" s="24">
        <f>SUM(J55)-3.3</f>
        <v>34.5</v>
      </c>
      <c r="J55" s="33">
        <v>37.799999999999997</v>
      </c>
      <c r="K55" s="24">
        <f>SUM(J55)+3.2</f>
        <v>41</v>
      </c>
      <c r="L55" s="24">
        <f>SUM(K55)+2.9</f>
        <v>43.9</v>
      </c>
      <c r="M55" s="24">
        <f>SUM(L55)+2.9</f>
        <v>46.8</v>
      </c>
      <c r="N55" s="121">
        <f>SUM(M55)+2.9</f>
        <v>49.699999999999996</v>
      </c>
    </row>
    <row r="56" spans="1:14" ht="14.1" customHeight="1">
      <c r="A56" s="38"/>
      <c r="B56" s="62" t="s">
        <v>110</v>
      </c>
      <c r="C56" s="63"/>
      <c r="D56" s="64" t="s">
        <v>160</v>
      </c>
      <c r="E56" s="65"/>
      <c r="F56" s="65"/>
      <c r="G56" s="66"/>
      <c r="H56" s="36"/>
      <c r="I56" s="36"/>
      <c r="J56" s="35"/>
      <c r="K56" s="36"/>
      <c r="L56" s="36"/>
      <c r="M56" s="36"/>
      <c r="N56" s="122"/>
    </row>
    <row r="57" spans="1:14" ht="14.1" customHeight="1">
      <c r="A57" s="38">
        <v>28</v>
      </c>
      <c r="B57" s="51" t="s">
        <v>144</v>
      </c>
      <c r="C57" s="52"/>
      <c r="D57" s="59" t="s">
        <v>24</v>
      </c>
      <c r="E57" s="60"/>
      <c r="F57" s="60"/>
      <c r="G57" s="61"/>
      <c r="H57" s="24">
        <f>SUM(I57)-0.2</f>
        <v>5.1999999999999993</v>
      </c>
      <c r="I57" s="24">
        <f>SUM(J57)-0.2</f>
        <v>5.3999999999999995</v>
      </c>
      <c r="J57" s="23">
        <v>5.6</v>
      </c>
      <c r="K57" s="21">
        <f>SUM(J57)+0.2</f>
        <v>5.8</v>
      </c>
      <c r="L57" s="21">
        <f>SUM(K57)+0.2</f>
        <v>6</v>
      </c>
      <c r="M57" s="21">
        <f>SUM(L57)+0.2</f>
        <v>6.2</v>
      </c>
      <c r="N57" s="123">
        <f>SUM(M57)+0.2</f>
        <v>6.4</v>
      </c>
    </row>
    <row r="58" spans="1:14" ht="14.1" customHeight="1">
      <c r="A58" s="38"/>
      <c r="B58" s="62" t="s">
        <v>59</v>
      </c>
      <c r="C58" s="63"/>
      <c r="D58" s="64" t="s">
        <v>143</v>
      </c>
      <c r="E58" s="65"/>
      <c r="F58" s="65"/>
      <c r="G58" s="66"/>
      <c r="H58" s="36"/>
      <c r="I58" s="36"/>
      <c r="J58" s="23"/>
      <c r="K58" s="21"/>
      <c r="L58" s="21"/>
      <c r="M58" s="21"/>
      <c r="N58" s="123"/>
    </row>
    <row r="59" spans="1:14" ht="14.1" customHeight="1">
      <c r="A59" s="38">
        <v>29</v>
      </c>
      <c r="B59" s="51" t="s">
        <v>142</v>
      </c>
      <c r="C59" s="52"/>
      <c r="D59" s="59" t="s">
        <v>25</v>
      </c>
      <c r="E59" s="60"/>
      <c r="F59" s="60"/>
      <c r="G59" s="61"/>
      <c r="H59" s="24">
        <f>SUM(I59)-0.6</f>
        <v>9.6000000000000014</v>
      </c>
      <c r="I59" s="24">
        <f>SUM(J59)-0.6</f>
        <v>10.200000000000001</v>
      </c>
      <c r="J59" s="33">
        <v>10.8</v>
      </c>
      <c r="K59" s="24">
        <f>SUM(J59)+0.6</f>
        <v>11.4</v>
      </c>
      <c r="L59" s="24">
        <f>SUM(K59)+0.6</f>
        <v>12</v>
      </c>
      <c r="M59" s="24">
        <f>SUM(L59)+0.6</f>
        <v>12.6</v>
      </c>
      <c r="N59" s="121">
        <f>SUM(M59)+0.6</f>
        <v>13.2</v>
      </c>
    </row>
    <row r="60" spans="1:14" ht="14.1" customHeight="1">
      <c r="A60" s="38"/>
      <c r="B60" s="62" t="s">
        <v>58</v>
      </c>
      <c r="C60" s="63"/>
      <c r="D60" s="64" t="s">
        <v>141</v>
      </c>
      <c r="E60" s="65"/>
      <c r="F60" s="65"/>
      <c r="G60" s="66"/>
      <c r="H60" s="36"/>
      <c r="I60" s="36"/>
      <c r="J60" s="35"/>
      <c r="K60" s="36"/>
      <c r="L60" s="36"/>
      <c r="M60" s="36"/>
      <c r="N60" s="122"/>
    </row>
    <row r="61" spans="1:14" ht="14.1" customHeight="1">
      <c r="A61" s="38">
        <v>30</v>
      </c>
      <c r="B61" s="51" t="s">
        <v>443</v>
      </c>
      <c r="C61" s="52"/>
      <c r="D61" s="59"/>
      <c r="E61" s="60"/>
      <c r="F61" s="60"/>
      <c r="G61" s="61"/>
      <c r="H61" s="24">
        <f>SUM(I61)-3</f>
        <v>77</v>
      </c>
      <c r="I61" s="24">
        <f>SUM(J61)-3</f>
        <v>80</v>
      </c>
      <c r="J61" s="33">
        <v>83</v>
      </c>
      <c r="K61" s="24">
        <f>SUM(J61)+3</f>
        <v>86</v>
      </c>
      <c r="L61" s="24">
        <f>SUM(K61)+3</f>
        <v>89</v>
      </c>
      <c r="M61" s="24">
        <f>SUM(L61)+3</f>
        <v>92</v>
      </c>
      <c r="N61" s="121">
        <f>SUM(M61)+3</f>
        <v>95</v>
      </c>
    </row>
    <row r="62" spans="1:14" ht="14.1" customHeight="1">
      <c r="A62" s="38"/>
      <c r="B62" s="62" t="s">
        <v>677</v>
      </c>
      <c r="C62" s="63"/>
      <c r="D62" s="64" t="s">
        <v>678</v>
      </c>
      <c r="E62" s="65"/>
      <c r="F62" s="65"/>
      <c r="G62" s="66"/>
      <c r="H62" s="36"/>
      <c r="I62" s="36"/>
      <c r="J62" s="35"/>
      <c r="K62" s="36"/>
      <c r="L62" s="36"/>
      <c r="M62" s="36"/>
      <c r="N62" s="122"/>
    </row>
    <row r="63" spans="1:14" ht="14.1" customHeight="1">
      <c r="A63" s="38">
        <v>31</v>
      </c>
      <c r="B63" s="141"/>
      <c r="C63" s="141"/>
      <c r="D63" s="132"/>
      <c r="E63" s="132"/>
      <c r="F63" s="132"/>
      <c r="G63" s="132"/>
      <c r="H63" s="50"/>
      <c r="I63" s="50"/>
      <c r="J63" s="117"/>
      <c r="K63" s="50"/>
      <c r="L63" s="50"/>
      <c r="M63" s="50"/>
      <c r="N63" s="127"/>
    </row>
    <row r="64" spans="1:14" ht="14.1" customHeight="1" thickBot="1">
      <c r="A64" s="39"/>
      <c r="B64" s="110"/>
      <c r="C64" s="110"/>
      <c r="D64" s="30"/>
      <c r="E64" s="31"/>
      <c r="F64" s="31"/>
      <c r="G64" s="32"/>
      <c r="H64" s="25"/>
      <c r="I64" s="25"/>
      <c r="J64" s="34"/>
      <c r="K64" s="25"/>
      <c r="L64" s="25"/>
      <c r="M64" s="25"/>
      <c r="N64" s="124"/>
    </row>
    <row r="65" spans="1:14" ht="14.1" customHeight="1"/>
    <row r="66" spans="1:14" ht="14.1" customHeight="1"/>
    <row r="67" spans="1:14" ht="14.1" customHeight="1"/>
    <row r="68" spans="1:14" ht="13.5" customHeight="1"/>
    <row r="69" spans="1:14" ht="13.5" customHeight="1"/>
    <row r="70" spans="1:14" ht="13.5" customHeight="1"/>
    <row r="71" spans="1:14" ht="13.5" customHeight="1"/>
    <row r="72" spans="1:14" ht="13.5" customHeight="1"/>
    <row r="73" spans="1:14" s="1" customFormat="1" ht="13.5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</row>
    <row r="74" spans="1:14" s="1" customFormat="1" ht="13.5" customHeight="1">
      <c r="A74"/>
      <c r="B74"/>
      <c r="C74"/>
      <c r="D74"/>
      <c r="E74"/>
      <c r="F74"/>
      <c r="G74"/>
      <c r="H74"/>
      <c r="I74"/>
      <c r="J74"/>
      <c r="K74"/>
      <c r="L74"/>
      <c r="M74"/>
      <c r="N74"/>
    </row>
    <row r="75" spans="1:14" ht="13.5" customHeight="1"/>
    <row r="76" spans="1:14" ht="13.5" customHeight="1"/>
    <row r="77" spans="1:14" ht="13.5" customHeight="1"/>
    <row r="78" spans="1:14" ht="13.5" customHeight="1"/>
    <row r="79" spans="1:14" ht="13.5" customHeight="1"/>
    <row r="80" spans="1:14" ht="13.5" customHeight="1"/>
    <row r="81" ht="13.5" customHeight="1"/>
  </sheetData>
  <mergeCells count="375"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9:A30"/>
    <mergeCell ref="B29:C29"/>
    <mergeCell ref="D29:G29"/>
    <mergeCell ref="H29:H30"/>
    <mergeCell ref="I29:I30"/>
    <mergeCell ref="A25:A26"/>
    <mergeCell ref="B25:C25"/>
    <mergeCell ref="D25:G25"/>
    <mergeCell ref="H25:H26"/>
    <mergeCell ref="I25:I26"/>
    <mergeCell ref="J29:J30"/>
    <mergeCell ref="K29:K30"/>
    <mergeCell ref="L29:L30"/>
    <mergeCell ref="M29:M30"/>
    <mergeCell ref="B30:C30"/>
    <mergeCell ref="D30:G30"/>
    <mergeCell ref="K25:K26"/>
    <mergeCell ref="L25:L26"/>
    <mergeCell ref="M25:M26"/>
    <mergeCell ref="B26:C26"/>
    <mergeCell ref="D26:G26"/>
    <mergeCell ref="J25:J26"/>
    <mergeCell ref="M27:M28"/>
    <mergeCell ref="B28:C28"/>
    <mergeCell ref="D28:G28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  <mergeCell ref="J35:J36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51:A52"/>
    <mergeCell ref="B51:C51"/>
    <mergeCell ref="D51:G51"/>
    <mergeCell ref="H51:H52"/>
    <mergeCell ref="I51:I52"/>
    <mergeCell ref="A49:A50"/>
    <mergeCell ref="B49:C49"/>
    <mergeCell ref="D49:G49"/>
    <mergeCell ref="H49:H50"/>
    <mergeCell ref="I49:I50"/>
    <mergeCell ref="J51:J52"/>
    <mergeCell ref="K51:K52"/>
    <mergeCell ref="L51:L52"/>
    <mergeCell ref="M51:M52"/>
    <mergeCell ref="B52:C52"/>
    <mergeCell ref="D52:G52"/>
    <mergeCell ref="K49:K50"/>
    <mergeCell ref="L49:L50"/>
    <mergeCell ref="M49:M50"/>
    <mergeCell ref="B50:C50"/>
    <mergeCell ref="D50:G50"/>
    <mergeCell ref="J49:J50"/>
    <mergeCell ref="A55:A56"/>
    <mergeCell ref="B55:C55"/>
    <mergeCell ref="D55:G55"/>
    <mergeCell ref="H55:H56"/>
    <mergeCell ref="I55:I56"/>
    <mergeCell ref="A53:A54"/>
    <mergeCell ref="B53:C53"/>
    <mergeCell ref="D53:G53"/>
    <mergeCell ref="H53:H54"/>
    <mergeCell ref="I53:I54"/>
    <mergeCell ref="J57:J58"/>
    <mergeCell ref="J55:J56"/>
    <mergeCell ref="K55:K56"/>
    <mergeCell ref="L55:L56"/>
    <mergeCell ref="M55:M56"/>
    <mergeCell ref="B56:C56"/>
    <mergeCell ref="D56:G56"/>
    <mergeCell ref="K53:K54"/>
    <mergeCell ref="L53:L54"/>
    <mergeCell ref="M53:M54"/>
    <mergeCell ref="B54:C54"/>
    <mergeCell ref="D54:G54"/>
    <mergeCell ref="J53:J54"/>
    <mergeCell ref="D58:G58"/>
    <mergeCell ref="A59:A60"/>
    <mergeCell ref="B59:C59"/>
    <mergeCell ref="D59:G59"/>
    <mergeCell ref="H59:H60"/>
    <mergeCell ref="I59:I60"/>
    <mergeCell ref="A57:A58"/>
    <mergeCell ref="B57:C57"/>
    <mergeCell ref="D57:G57"/>
    <mergeCell ref="H57:H58"/>
    <mergeCell ref="I57:I58"/>
    <mergeCell ref="M63:M64"/>
    <mergeCell ref="B64:C64"/>
    <mergeCell ref="D64:G64"/>
    <mergeCell ref="A1:N1"/>
    <mergeCell ref="N3:N4"/>
    <mergeCell ref="N5:N6"/>
    <mergeCell ref="N7:N8"/>
    <mergeCell ref="N9:N10"/>
    <mergeCell ref="A63:A64"/>
    <mergeCell ref="B63:C63"/>
    <mergeCell ref="D63:G63"/>
    <mergeCell ref="H63:H64"/>
    <mergeCell ref="I63:I64"/>
    <mergeCell ref="J63:J64"/>
    <mergeCell ref="J59:J60"/>
    <mergeCell ref="K59:K60"/>
    <mergeCell ref="L59:L60"/>
    <mergeCell ref="M59:M60"/>
    <mergeCell ref="B60:C60"/>
    <mergeCell ref="D60:G60"/>
    <mergeCell ref="K57:K58"/>
    <mergeCell ref="L57:L58"/>
    <mergeCell ref="M57:M58"/>
    <mergeCell ref="B58:C58"/>
    <mergeCell ref="N23:N24"/>
    <mergeCell ref="N25:N26"/>
    <mergeCell ref="N29:N30"/>
    <mergeCell ref="N31:N32"/>
    <mergeCell ref="N33:N34"/>
    <mergeCell ref="N11:N12"/>
    <mergeCell ref="N13:N14"/>
    <mergeCell ref="N15:N16"/>
    <mergeCell ref="N17:N18"/>
    <mergeCell ref="N19:N20"/>
    <mergeCell ref="N21:N22"/>
    <mergeCell ref="N27:N28"/>
    <mergeCell ref="N63:N64"/>
    <mergeCell ref="A27:A28"/>
    <mergeCell ref="B27:C27"/>
    <mergeCell ref="D27:G27"/>
    <mergeCell ref="H27:H28"/>
    <mergeCell ref="I27:I28"/>
    <mergeCell ref="J27:J28"/>
    <mergeCell ref="K27:K28"/>
    <mergeCell ref="L27:L28"/>
    <mergeCell ref="N51:N52"/>
    <mergeCell ref="N53:N54"/>
    <mergeCell ref="N55:N56"/>
    <mergeCell ref="N57:N58"/>
    <mergeCell ref="N59:N60"/>
    <mergeCell ref="N41:N42"/>
    <mergeCell ref="N43:N44"/>
    <mergeCell ref="N45:N46"/>
    <mergeCell ref="N47:N48"/>
    <mergeCell ref="N49:N50"/>
    <mergeCell ref="N35:N36"/>
    <mergeCell ref="N37:N38"/>
    <mergeCell ref="N39:N40"/>
    <mergeCell ref="K63:K64"/>
    <mergeCell ref="L63:L64"/>
    <mergeCell ref="N61:N62"/>
    <mergeCell ref="B62:C62"/>
    <mergeCell ref="D62:G62"/>
    <mergeCell ref="A61:A62"/>
    <mergeCell ref="B61:C61"/>
    <mergeCell ref="D61:G61"/>
    <mergeCell ref="H61:H62"/>
    <mergeCell ref="I61:I62"/>
    <mergeCell ref="J61:J62"/>
    <mergeCell ref="K61:K62"/>
    <mergeCell ref="L61:L62"/>
    <mergeCell ref="M61:M62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8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340F1-BA6A-4B48-AEB5-68ABA44DB674}">
  <sheetPr>
    <tabColor rgb="FF00B050"/>
    <pageSetUpPr fitToPage="1"/>
  </sheetPr>
  <dimension ref="A1:N81"/>
  <sheetViews>
    <sheetView zoomScale="110" zoomScaleNormal="110" workbookViewId="0">
      <selection activeCell="Q41" sqref="Q41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28" t="s">
        <v>835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30"/>
    </row>
    <row r="2" spans="1:14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  <c r="N2" s="9" t="s">
        <v>229</v>
      </c>
    </row>
    <row r="3" spans="1:14" s="1" customFormat="1" ht="14.1" customHeight="1">
      <c r="A3" s="71">
        <v>1</v>
      </c>
      <c r="B3" s="72" t="s">
        <v>670</v>
      </c>
      <c r="C3" s="72"/>
      <c r="D3" s="73" t="s">
        <v>184</v>
      </c>
      <c r="E3" s="73"/>
      <c r="F3" s="73"/>
      <c r="G3" s="74"/>
      <c r="H3" s="24">
        <f>SUM(I3)-3.5</f>
        <v>34.5</v>
      </c>
      <c r="I3" s="24">
        <f>SUM(J3)-3.5</f>
        <v>38</v>
      </c>
      <c r="J3" s="75">
        <v>41.5</v>
      </c>
      <c r="K3" s="76">
        <f>SUM(J3)+3</f>
        <v>44.5</v>
      </c>
      <c r="L3" s="76">
        <f t="shared" ref="L3:N3" si="0">SUM(K3)+3</f>
        <v>47.5</v>
      </c>
      <c r="M3" s="76">
        <f t="shared" si="0"/>
        <v>50.5</v>
      </c>
      <c r="N3" s="77">
        <f t="shared" si="0"/>
        <v>53.5</v>
      </c>
    </row>
    <row r="4" spans="1:14" s="1" customFormat="1" ht="14.1" customHeight="1">
      <c r="A4" s="38"/>
      <c r="B4" s="56" t="s">
        <v>671</v>
      </c>
      <c r="C4" s="56"/>
      <c r="D4" s="47" t="s">
        <v>124</v>
      </c>
      <c r="E4" s="48"/>
      <c r="F4" s="48"/>
      <c r="G4" s="48"/>
      <c r="H4" s="36"/>
      <c r="I4" s="36"/>
      <c r="J4" s="33"/>
      <c r="K4" s="24"/>
      <c r="L4" s="24"/>
      <c r="M4" s="24"/>
      <c r="N4" s="26"/>
    </row>
    <row r="5" spans="1:14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SUM(I5)-2.4</f>
        <v>38.1</v>
      </c>
      <c r="I5" s="24">
        <f>SUM(J5)-2.4</f>
        <v>40.5</v>
      </c>
      <c r="J5" s="33">
        <v>42.9</v>
      </c>
      <c r="K5" s="24">
        <f>SUM(J5)+2.2</f>
        <v>45.1</v>
      </c>
      <c r="L5" s="24">
        <f t="shared" ref="L5:N5" si="1">SUM(K5)+2.2</f>
        <v>47.300000000000004</v>
      </c>
      <c r="M5" s="24">
        <f t="shared" si="1"/>
        <v>49.500000000000007</v>
      </c>
      <c r="N5" s="26">
        <f t="shared" si="1"/>
        <v>51.70000000000001</v>
      </c>
    </row>
    <row r="6" spans="1:14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36"/>
      <c r="N6" s="37"/>
    </row>
    <row r="7" spans="1:14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35.5</v>
      </c>
      <c r="I7" s="24">
        <f>SUM(J7)-2.25</f>
        <v>37.75</v>
      </c>
      <c r="J7" s="33">
        <v>40</v>
      </c>
      <c r="K7" s="24">
        <f>SUM(J7)+2</f>
        <v>42</v>
      </c>
      <c r="L7" s="24">
        <f>SUM(K7)+2</f>
        <v>44</v>
      </c>
      <c r="M7" s="24">
        <f>SUM(L7)+2</f>
        <v>46</v>
      </c>
      <c r="N7" s="121">
        <f>SUM(M7)+2</f>
        <v>48</v>
      </c>
    </row>
    <row r="8" spans="1:14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36"/>
      <c r="N8" s="122"/>
    </row>
    <row r="9" spans="1:14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SUM(I9)-1.8</f>
        <v>29.9</v>
      </c>
      <c r="I9" s="24">
        <f>SUM(J9)-1.8</f>
        <v>31.7</v>
      </c>
      <c r="J9" s="33">
        <v>33.5</v>
      </c>
      <c r="K9" s="24">
        <f>SUM(J9)+1.6</f>
        <v>35.1</v>
      </c>
      <c r="L9" s="24">
        <f t="shared" ref="L9:N9" si="2">SUM(K9)+1.6</f>
        <v>36.700000000000003</v>
      </c>
      <c r="M9" s="24">
        <f t="shared" si="2"/>
        <v>38.300000000000004</v>
      </c>
      <c r="N9" s="26">
        <f t="shared" si="2"/>
        <v>39.900000000000006</v>
      </c>
    </row>
    <row r="10" spans="1:14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6"/>
      <c r="N10" s="37"/>
    </row>
    <row r="11" spans="1:14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SUM(I11)-0.8</f>
        <v>13.799999999999999</v>
      </c>
      <c r="I11" s="24">
        <f>SUM(J11)-0.8</f>
        <v>14.6</v>
      </c>
      <c r="J11" s="23">
        <v>15.4</v>
      </c>
      <c r="K11" s="21">
        <f>SUM(J11)+0.8</f>
        <v>16.2</v>
      </c>
      <c r="L11" s="21">
        <f>SUM(K11)+0.8</f>
        <v>17</v>
      </c>
      <c r="M11" s="21">
        <f>SUM(L11)+0.8</f>
        <v>17.8</v>
      </c>
      <c r="N11" s="123">
        <f>SUM(M11)+0.8</f>
        <v>18.600000000000001</v>
      </c>
    </row>
    <row r="12" spans="1:14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1"/>
      <c r="N12" s="123"/>
    </row>
    <row r="13" spans="1:14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16.099999999999998</v>
      </c>
      <c r="I13" s="24">
        <f>SUM(J13)-0.6</f>
        <v>16.7</v>
      </c>
      <c r="J13" s="23">
        <v>17.3</v>
      </c>
      <c r="K13" s="21">
        <f>SUM(J13)+0.6</f>
        <v>17.900000000000002</v>
      </c>
      <c r="L13" s="21">
        <f>SUM(K13)+0.6</f>
        <v>18.500000000000004</v>
      </c>
      <c r="M13" s="21">
        <f>SUM(L13)+0.6</f>
        <v>19.100000000000005</v>
      </c>
      <c r="N13" s="123">
        <f>SUM(M13)+0.6</f>
        <v>19.700000000000006</v>
      </c>
    </row>
    <row r="14" spans="1:14" s="1" customFormat="1" ht="14.1" customHeight="1">
      <c r="A14" s="38"/>
      <c r="B14" s="56" t="s">
        <v>29</v>
      </c>
      <c r="C14" s="56"/>
      <c r="D14" s="47" t="s">
        <v>154</v>
      </c>
      <c r="E14" s="48"/>
      <c r="F14" s="48"/>
      <c r="G14" s="49"/>
      <c r="H14" s="36"/>
      <c r="I14" s="36"/>
      <c r="J14" s="23"/>
      <c r="K14" s="21"/>
      <c r="L14" s="21"/>
      <c r="M14" s="21"/>
      <c r="N14" s="123"/>
    </row>
    <row r="15" spans="1:14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6.4</v>
      </c>
      <c r="I15" s="24">
        <f>SUM(J15)-0.3</f>
        <v>6.7</v>
      </c>
      <c r="J15" s="23">
        <v>7</v>
      </c>
      <c r="K15" s="21">
        <f>SUM(J15)+0.3</f>
        <v>7.3</v>
      </c>
      <c r="L15" s="21">
        <f>SUM(K15)+0.3</f>
        <v>7.6</v>
      </c>
      <c r="M15" s="21">
        <f>SUM(L15)+0.3</f>
        <v>7.8999999999999995</v>
      </c>
      <c r="N15" s="123">
        <f>SUM(M15)+0.3</f>
        <v>8.1999999999999993</v>
      </c>
    </row>
    <row r="16" spans="1:14" s="1" customFormat="1" ht="14.1" customHeight="1">
      <c r="A16" s="38"/>
      <c r="B16" s="56" t="s">
        <v>30</v>
      </c>
      <c r="C16" s="56"/>
      <c r="D16" s="47" t="s">
        <v>155</v>
      </c>
      <c r="E16" s="48"/>
      <c r="F16" s="48"/>
      <c r="G16" s="49"/>
      <c r="H16" s="36"/>
      <c r="I16" s="36"/>
      <c r="J16" s="23"/>
      <c r="K16" s="21"/>
      <c r="L16" s="21"/>
      <c r="M16" s="21"/>
      <c r="N16" s="123"/>
    </row>
    <row r="17" spans="1:14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42.8</v>
      </c>
      <c r="I17" s="24">
        <f>SUM(J17)-1.6</f>
        <v>44.4</v>
      </c>
      <c r="J17" s="23">
        <v>46</v>
      </c>
      <c r="K17" s="21">
        <f>SUM(J17)+1.6</f>
        <v>47.6</v>
      </c>
      <c r="L17" s="21">
        <f>SUM(K17)+1.6</f>
        <v>49.2</v>
      </c>
      <c r="M17" s="21">
        <f>SUM(L17)+1.6</f>
        <v>50.800000000000004</v>
      </c>
      <c r="N17" s="123">
        <f>SUM(M17)+1.6</f>
        <v>52.400000000000006</v>
      </c>
    </row>
    <row r="18" spans="1:14" s="1" customFormat="1" ht="14.1" customHeight="1">
      <c r="A18" s="38"/>
      <c r="B18" s="56" t="s">
        <v>37</v>
      </c>
      <c r="C18" s="56"/>
      <c r="D18" s="47" t="s">
        <v>156</v>
      </c>
      <c r="E18" s="48"/>
      <c r="F18" s="48"/>
      <c r="G18" s="49"/>
      <c r="H18" s="36"/>
      <c r="I18" s="36"/>
      <c r="J18" s="23"/>
      <c r="K18" s="21"/>
      <c r="L18" s="21"/>
      <c r="M18" s="21"/>
      <c r="N18" s="123"/>
    </row>
    <row r="19" spans="1:14" s="1" customFormat="1" ht="14.1" customHeight="1">
      <c r="A19" s="38">
        <v>9</v>
      </c>
      <c r="B19" s="58" t="s">
        <v>4</v>
      </c>
      <c r="C19" s="58"/>
      <c r="D19" s="57" t="s">
        <v>5</v>
      </c>
      <c r="E19" s="57"/>
      <c r="F19" s="57"/>
      <c r="G19" s="57"/>
      <c r="H19" s="24">
        <f>SUM(I19)-3.3</f>
        <v>25.9</v>
      </c>
      <c r="I19" s="24">
        <f>SUM(J19)-3.3</f>
        <v>29.2</v>
      </c>
      <c r="J19" s="23">
        <v>32.5</v>
      </c>
      <c r="K19" s="21">
        <f>SUM(J19)+3.4</f>
        <v>35.9</v>
      </c>
      <c r="L19" s="21">
        <f t="shared" ref="L19:N19" si="3">SUM(K19)+3.4</f>
        <v>39.299999999999997</v>
      </c>
      <c r="M19" s="21">
        <f t="shared" si="3"/>
        <v>42.699999999999996</v>
      </c>
      <c r="N19" s="22">
        <f t="shared" si="3"/>
        <v>46.099999999999994</v>
      </c>
    </row>
    <row r="20" spans="1:14" s="1" customFormat="1" ht="14.1" customHeight="1">
      <c r="A20" s="38"/>
      <c r="B20" s="56" t="s">
        <v>31</v>
      </c>
      <c r="C20" s="56"/>
      <c r="D20" s="47" t="s">
        <v>54</v>
      </c>
      <c r="E20" s="48"/>
      <c r="F20" s="48"/>
      <c r="G20" s="49"/>
      <c r="H20" s="36"/>
      <c r="I20" s="36"/>
      <c r="J20" s="23"/>
      <c r="K20" s="21"/>
      <c r="L20" s="21"/>
      <c r="M20" s="21"/>
      <c r="N20" s="22"/>
    </row>
    <row r="21" spans="1:14" s="1" customFormat="1" ht="14.1" customHeight="1">
      <c r="A21" s="38">
        <v>10</v>
      </c>
      <c r="B21" s="58" t="s">
        <v>6</v>
      </c>
      <c r="C21" s="58"/>
      <c r="D21" s="59" t="s">
        <v>7</v>
      </c>
      <c r="E21" s="60"/>
      <c r="F21" s="60"/>
      <c r="G21" s="61"/>
      <c r="H21" s="24">
        <f>SUM(I21)-1.5</f>
        <v>27.299999999999997</v>
      </c>
      <c r="I21" s="24">
        <f>SUM(J21)-1.6</f>
        <v>28.799999999999997</v>
      </c>
      <c r="J21" s="23">
        <v>30.4</v>
      </c>
      <c r="K21" s="21">
        <f>SUM(J21)+1.6</f>
        <v>32</v>
      </c>
      <c r="L21" s="21">
        <f>SUM(K21)+1.6</f>
        <v>33.6</v>
      </c>
      <c r="M21" s="21">
        <f>SUM(L21)+1.6</f>
        <v>35.200000000000003</v>
      </c>
      <c r="N21" s="123">
        <f>SUM(M21)+1.5</f>
        <v>36.700000000000003</v>
      </c>
    </row>
    <row r="22" spans="1:14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9"/>
      <c r="H22" s="36"/>
      <c r="I22" s="36"/>
      <c r="J22" s="23"/>
      <c r="K22" s="21"/>
      <c r="L22" s="21"/>
      <c r="M22" s="21"/>
      <c r="N22" s="123"/>
    </row>
    <row r="23" spans="1:14" s="1" customFormat="1" ht="14.1" customHeight="1">
      <c r="A23" s="38">
        <v>11</v>
      </c>
      <c r="B23" s="51" t="s">
        <v>77</v>
      </c>
      <c r="C23" s="52"/>
      <c r="D23" s="57" t="s">
        <v>78</v>
      </c>
      <c r="E23" s="57"/>
      <c r="F23" s="57"/>
      <c r="G23" s="57"/>
      <c r="H23" s="24">
        <f>SUM(I23)-0.6</f>
        <v>14</v>
      </c>
      <c r="I23" s="24">
        <f>SUM(J23)-0.6</f>
        <v>14.6</v>
      </c>
      <c r="J23" s="23">
        <v>15.2</v>
      </c>
      <c r="K23" s="21">
        <f>SUM(J23)+0.6</f>
        <v>15.799999999999999</v>
      </c>
      <c r="L23" s="21">
        <f>SUM(K23)+0.6</f>
        <v>16.399999999999999</v>
      </c>
      <c r="M23" s="21">
        <f>SUM(L23)+0.6</f>
        <v>17</v>
      </c>
      <c r="N23" s="22">
        <f>SUM(M23)+0.6</f>
        <v>17.600000000000001</v>
      </c>
    </row>
    <row r="24" spans="1:14" s="1" customFormat="1" ht="14.1" customHeight="1">
      <c r="A24" s="38"/>
      <c r="B24" s="56" t="s">
        <v>33</v>
      </c>
      <c r="C24" s="56"/>
      <c r="D24" s="47" t="s">
        <v>79</v>
      </c>
      <c r="E24" s="48"/>
      <c r="F24" s="48"/>
      <c r="G24" s="49"/>
      <c r="H24" s="36"/>
      <c r="I24" s="36"/>
      <c r="J24" s="23"/>
      <c r="K24" s="21"/>
      <c r="L24" s="21"/>
      <c r="M24" s="21"/>
      <c r="N24" s="22"/>
    </row>
    <row r="25" spans="1:14" s="1" customFormat="1" ht="14.1" customHeight="1">
      <c r="A25" s="38">
        <v>12</v>
      </c>
      <c r="B25" s="51" t="s">
        <v>176</v>
      </c>
      <c r="C25" s="52"/>
      <c r="D25" s="53" t="s">
        <v>103</v>
      </c>
      <c r="E25" s="54"/>
      <c r="F25" s="54"/>
      <c r="G25" s="55"/>
      <c r="H25" s="24">
        <f>SUM(I25)-0.3</f>
        <v>4.4000000000000004</v>
      </c>
      <c r="I25" s="24">
        <f>SUM(J25)-0.3</f>
        <v>4.7</v>
      </c>
      <c r="J25" s="23">
        <v>5</v>
      </c>
      <c r="K25" s="21">
        <f>SUM(J25)+0.3</f>
        <v>5.3</v>
      </c>
      <c r="L25" s="21">
        <f>SUM(K25)+0.3</f>
        <v>5.6</v>
      </c>
      <c r="M25" s="21">
        <f>SUM(L25)+0.3</f>
        <v>5.8999999999999995</v>
      </c>
      <c r="N25" s="123">
        <f>SUM(M25)+0.3</f>
        <v>6.1999999999999993</v>
      </c>
    </row>
    <row r="26" spans="1:14" s="1" customFormat="1" ht="14.1" customHeight="1" thickBot="1">
      <c r="A26" s="154"/>
      <c r="B26" s="40" t="s">
        <v>175</v>
      </c>
      <c r="C26" s="41"/>
      <c r="D26" s="100" t="s">
        <v>104</v>
      </c>
      <c r="E26" s="101"/>
      <c r="F26" s="101"/>
      <c r="G26" s="102"/>
      <c r="H26" s="50"/>
      <c r="I26" s="50"/>
      <c r="J26" s="33"/>
      <c r="K26" s="24"/>
      <c r="L26" s="24"/>
      <c r="M26" s="24"/>
      <c r="N26" s="121"/>
    </row>
    <row r="27" spans="1:14" s="1" customFormat="1" ht="14.1" customHeight="1" thickTop="1">
      <c r="A27" s="157">
        <v>13</v>
      </c>
      <c r="B27" s="158" t="s">
        <v>149</v>
      </c>
      <c r="C27" s="159"/>
      <c r="D27" s="160" t="s">
        <v>82</v>
      </c>
      <c r="E27" s="161"/>
      <c r="F27" s="161"/>
      <c r="G27" s="162"/>
      <c r="H27" s="173">
        <f>SUM(I27)-3</f>
        <v>45</v>
      </c>
      <c r="I27" s="156">
        <f>SUM(J27)-3</f>
        <v>48</v>
      </c>
      <c r="J27" s="155">
        <v>51</v>
      </c>
      <c r="K27" s="156">
        <f>SUM(J27)+3</f>
        <v>54</v>
      </c>
      <c r="L27" s="156">
        <f>SUM(K27)+3</f>
        <v>57</v>
      </c>
      <c r="M27" s="156">
        <f>SUM(L27)+3</f>
        <v>60</v>
      </c>
      <c r="N27" s="172">
        <f>SUM(M27)+3</f>
        <v>63</v>
      </c>
    </row>
    <row r="28" spans="1:14" s="1" customFormat="1" ht="14.1" customHeight="1">
      <c r="A28" s="38"/>
      <c r="B28" s="62" t="s">
        <v>108</v>
      </c>
      <c r="C28" s="63"/>
      <c r="D28" s="64" t="s">
        <v>83</v>
      </c>
      <c r="E28" s="65"/>
      <c r="F28" s="65"/>
      <c r="G28" s="66"/>
      <c r="H28" s="56"/>
      <c r="I28" s="36"/>
      <c r="J28" s="35"/>
      <c r="K28" s="36"/>
      <c r="L28" s="36"/>
      <c r="M28" s="36"/>
      <c r="N28" s="122"/>
    </row>
    <row r="29" spans="1:14" s="1" customFormat="1" ht="14.1" customHeight="1">
      <c r="A29" s="38">
        <v>14</v>
      </c>
      <c r="B29" s="51" t="s">
        <v>157</v>
      </c>
      <c r="C29" s="52"/>
      <c r="D29" s="100"/>
      <c r="E29" s="101"/>
      <c r="F29" s="101"/>
      <c r="G29" s="102"/>
      <c r="H29" s="24">
        <f>SUM(I29)-3.5</f>
        <v>63</v>
      </c>
      <c r="I29" s="24">
        <f>SUM(J29)-3.5</f>
        <v>66.5</v>
      </c>
      <c r="J29" s="117">
        <v>70</v>
      </c>
      <c r="K29" s="50">
        <f>SUM(J29)+3.5</f>
        <v>73.5</v>
      </c>
      <c r="L29" s="50">
        <f>SUM(K29)+3.5</f>
        <v>77</v>
      </c>
      <c r="M29" s="50">
        <f>SUM(L29)+3.5</f>
        <v>80.5</v>
      </c>
      <c r="N29" s="127">
        <f>SUM(M29)+3.5</f>
        <v>84</v>
      </c>
    </row>
    <row r="30" spans="1:14" s="1" customFormat="1" ht="14.1" customHeight="1">
      <c r="A30" s="38"/>
      <c r="B30" s="62" t="s">
        <v>158</v>
      </c>
      <c r="C30" s="63"/>
      <c r="D30" s="64"/>
      <c r="E30" s="65"/>
      <c r="F30" s="65"/>
      <c r="G30" s="66"/>
      <c r="H30" s="36"/>
      <c r="I30" s="36"/>
      <c r="J30" s="35"/>
      <c r="K30" s="36"/>
      <c r="L30" s="36"/>
      <c r="M30" s="36"/>
      <c r="N30" s="122"/>
    </row>
    <row r="31" spans="1:14" ht="14.1" customHeight="1">
      <c r="A31" s="38">
        <v>15</v>
      </c>
      <c r="B31" s="51" t="s">
        <v>13</v>
      </c>
      <c r="C31" s="52"/>
      <c r="D31" s="59" t="s">
        <v>182</v>
      </c>
      <c r="E31" s="60"/>
      <c r="F31" s="60"/>
      <c r="G31" s="61"/>
      <c r="H31" s="24">
        <f>SUM(I31)-4</f>
        <v>68</v>
      </c>
      <c r="I31" s="24">
        <f>SUM(J31)-4</f>
        <v>72</v>
      </c>
      <c r="J31" s="33">
        <v>76</v>
      </c>
      <c r="K31" s="24">
        <f>SUM(J31)+4</f>
        <v>80</v>
      </c>
      <c r="L31" s="24">
        <f>SUM(K31)+4</f>
        <v>84</v>
      </c>
      <c r="M31" s="24">
        <f>SUM(L31)+4</f>
        <v>88</v>
      </c>
      <c r="N31" s="121">
        <f>SUM(M31)+4</f>
        <v>92</v>
      </c>
    </row>
    <row r="32" spans="1:14" ht="14.1" customHeight="1">
      <c r="A32" s="38"/>
      <c r="B32" s="62" t="s">
        <v>55</v>
      </c>
      <c r="C32" s="63"/>
      <c r="D32" s="64" t="s">
        <v>121</v>
      </c>
      <c r="E32" s="65"/>
      <c r="F32" s="65"/>
      <c r="G32" s="66"/>
      <c r="H32" s="36"/>
      <c r="I32" s="36"/>
      <c r="J32" s="35"/>
      <c r="K32" s="36"/>
      <c r="L32" s="36"/>
      <c r="M32" s="36"/>
      <c r="N32" s="122"/>
    </row>
    <row r="33" spans="1:14" ht="14.1" customHeight="1">
      <c r="A33" s="38">
        <v>16</v>
      </c>
      <c r="B33" s="51" t="s">
        <v>146</v>
      </c>
      <c r="C33" s="52"/>
      <c r="D33" s="59"/>
      <c r="E33" s="60"/>
      <c r="F33" s="60"/>
      <c r="G33" s="61"/>
      <c r="H33" s="58">
        <f>SUM(I33)-0.7</f>
        <v>12.600000000000001</v>
      </c>
      <c r="I33" s="24">
        <f>SUM(J33)-0.7</f>
        <v>13.3</v>
      </c>
      <c r="J33" s="33">
        <v>14</v>
      </c>
      <c r="K33" s="24">
        <f>SUM(J33)+1.2</f>
        <v>15.2</v>
      </c>
      <c r="L33" s="24">
        <f>SUM(K33)+0.7</f>
        <v>15.899999999999999</v>
      </c>
      <c r="M33" s="58">
        <f>SUM(L33)+0.7</f>
        <v>16.599999999999998</v>
      </c>
      <c r="N33" s="125">
        <f>SUM(M33)+0.7</f>
        <v>17.299999999999997</v>
      </c>
    </row>
    <row r="34" spans="1:14" ht="14.1" customHeight="1">
      <c r="A34" s="38"/>
      <c r="B34" s="62" t="s">
        <v>145</v>
      </c>
      <c r="C34" s="63"/>
      <c r="D34" s="64" t="s">
        <v>825</v>
      </c>
      <c r="E34" s="65"/>
      <c r="F34" s="65"/>
      <c r="G34" s="66"/>
      <c r="H34" s="56"/>
      <c r="I34" s="36"/>
      <c r="J34" s="35"/>
      <c r="K34" s="36"/>
      <c r="L34" s="36"/>
      <c r="M34" s="56"/>
      <c r="N34" s="126"/>
    </row>
    <row r="35" spans="1:14" ht="14.1" customHeight="1">
      <c r="A35" s="38">
        <v>17</v>
      </c>
      <c r="B35" s="51" t="s">
        <v>9</v>
      </c>
      <c r="C35" s="52"/>
      <c r="D35" s="59" t="s">
        <v>84</v>
      </c>
      <c r="E35" s="60"/>
      <c r="F35" s="60"/>
      <c r="G35" s="61"/>
      <c r="H35" s="24">
        <f>SUM(I35)-7</f>
        <v>52</v>
      </c>
      <c r="I35" s="24">
        <f>SUM(J35)-7</f>
        <v>59</v>
      </c>
      <c r="J35" s="33">
        <v>66</v>
      </c>
      <c r="K35" s="24">
        <f>SUM(J35)+6</f>
        <v>72</v>
      </c>
      <c r="L35" s="24">
        <f>SUM(K35)+6</f>
        <v>78</v>
      </c>
      <c r="M35" s="24">
        <f>SUM(L35)+6</f>
        <v>84</v>
      </c>
      <c r="N35" s="121">
        <f>SUM(M35)+6</f>
        <v>90</v>
      </c>
    </row>
    <row r="36" spans="1:14" ht="14.1" customHeight="1">
      <c r="A36" s="38"/>
      <c r="B36" s="62" t="s">
        <v>56</v>
      </c>
      <c r="C36" s="63"/>
      <c r="D36" s="64" t="s">
        <v>120</v>
      </c>
      <c r="E36" s="65"/>
      <c r="F36" s="65"/>
      <c r="G36" s="66"/>
      <c r="H36" s="36"/>
      <c r="I36" s="36"/>
      <c r="J36" s="35"/>
      <c r="K36" s="36"/>
      <c r="L36" s="36"/>
      <c r="M36" s="36"/>
      <c r="N36" s="122"/>
    </row>
    <row r="37" spans="1:14" ht="14.1" customHeight="1">
      <c r="A37" s="38">
        <v>18</v>
      </c>
      <c r="B37" s="51" t="s">
        <v>16</v>
      </c>
      <c r="C37" s="52"/>
      <c r="D37" s="59" t="s">
        <v>17</v>
      </c>
      <c r="E37" s="60"/>
      <c r="F37" s="60"/>
      <c r="G37" s="61"/>
      <c r="H37" s="24">
        <f>SUM(I37)-1.8</f>
        <v>36.400000000000006</v>
      </c>
      <c r="I37" s="24">
        <f>SUM(J37)-1.8</f>
        <v>38.200000000000003</v>
      </c>
      <c r="J37" s="33">
        <v>40</v>
      </c>
      <c r="K37" s="24">
        <f>SUM(J37)+1.8</f>
        <v>41.8</v>
      </c>
      <c r="L37" s="24">
        <f t="shared" ref="L37:N37" si="4">SUM(K37)+1.8</f>
        <v>43.599999999999994</v>
      </c>
      <c r="M37" s="24">
        <f t="shared" si="4"/>
        <v>45.399999999999991</v>
      </c>
      <c r="N37" s="26">
        <f t="shared" si="4"/>
        <v>47.199999999999989</v>
      </c>
    </row>
    <row r="38" spans="1:14" ht="14.1" customHeight="1">
      <c r="A38" s="38"/>
      <c r="B38" s="62" t="s">
        <v>57</v>
      </c>
      <c r="C38" s="63"/>
      <c r="D38" s="47" t="s">
        <v>119</v>
      </c>
      <c r="E38" s="48"/>
      <c r="F38" s="48"/>
      <c r="G38" s="49"/>
      <c r="H38" s="36"/>
      <c r="I38" s="36"/>
      <c r="J38" s="35"/>
      <c r="K38" s="36"/>
      <c r="L38" s="36"/>
      <c r="M38" s="36"/>
      <c r="N38" s="37"/>
    </row>
    <row r="39" spans="1:14" ht="14.1" customHeight="1">
      <c r="A39" s="38">
        <v>19</v>
      </c>
      <c r="B39" s="51" t="s">
        <v>18</v>
      </c>
      <c r="C39" s="52"/>
      <c r="D39" s="59" t="s">
        <v>15</v>
      </c>
      <c r="E39" s="60"/>
      <c r="F39" s="60"/>
      <c r="G39" s="61"/>
      <c r="H39" s="58">
        <f>SUM(I39)-1.1</f>
        <v>20.799999999999997</v>
      </c>
      <c r="I39" s="24">
        <f>SUM(J39)-1.1</f>
        <v>21.9</v>
      </c>
      <c r="J39" s="33">
        <v>23</v>
      </c>
      <c r="K39" s="24">
        <f>SUM(J39)+1.6</f>
        <v>24.6</v>
      </c>
      <c r="L39" s="24">
        <f>SUM(K39)+1.1</f>
        <v>25.700000000000003</v>
      </c>
      <c r="M39" s="58">
        <f>SUM(L39)+1.1</f>
        <v>26.800000000000004</v>
      </c>
      <c r="N39" s="125">
        <f>SUM(M39)+1.1</f>
        <v>27.900000000000006</v>
      </c>
    </row>
    <row r="40" spans="1:14" ht="14.1" customHeight="1">
      <c r="A40" s="38"/>
      <c r="B40" s="62" t="s">
        <v>63</v>
      </c>
      <c r="C40" s="63"/>
      <c r="D40" s="64" t="s">
        <v>118</v>
      </c>
      <c r="E40" s="65"/>
      <c r="F40" s="65"/>
      <c r="G40" s="66"/>
      <c r="H40" s="56"/>
      <c r="I40" s="36"/>
      <c r="J40" s="35"/>
      <c r="K40" s="36"/>
      <c r="L40" s="36"/>
      <c r="M40" s="56"/>
      <c r="N40" s="126"/>
    </row>
    <row r="41" spans="1:14" ht="14.1" customHeight="1">
      <c r="A41" s="38">
        <v>20</v>
      </c>
      <c r="B41" s="51" t="s">
        <v>19</v>
      </c>
      <c r="C41" s="52"/>
      <c r="D41" s="59" t="s">
        <v>15</v>
      </c>
      <c r="E41" s="60"/>
      <c r="F41" s="60"/>
      <c r="G41" s="61"/>
      <c r="H41" s="58">
        <f>SUM(I41)-1.3</f>
        <v>27</v>
      </c>
      <c r="I41" s="24">
        <f>SUM(J41)-1.3</f>
        <v>28.3</v>
      </c>
      <c r="J41" s="33">
        <v>29.6</v>
      </c>
      <c r="K41" s="24">
        <f>SUM(J41)+1.8</f>
        <v>31.400000000000002</v>
      </c>
      <c r="L41" s="24">
        <f>SUM(K41)+1.3</f>
        <v>32.700000000000003</v>
      </c>
      <c r="M41" s="58">
        <f>SUM(L41)+1.3</f>
        <v>34</v>
      </c>
      <c r="N41" s="125">
        <f>SUM(M41)+1.3</f>
        <v>35.299999999999997</v>
      </c>
    </row>
    <row r="42" spans="1:14" ht="14.1" customHeight="1">
      <c r="A42" s="38"/>
      <c r="B42" s="62" t="s">
        <v>62</v>
      </c>
      <c r="C42" s="63"/>
      <c r="D42" s="64" t="s">
        <v>118</v>
      </c>
      <c r="E42" s="65"/>
      <c r="F42" s="65"/>
      <c r="G42" s="66"/>
      <c r="H42" s="56"/>
      <c r="I42" s="36"/>
      <c r="J42" s="35"/>
      <c r="K42" s="36"/>
      <c r="L42" s="36"/>
      <c r="M42" s="56"/>
      <c r="N42" s="126"/>
    </row>
    <row r="43" spans="1:14" ht="14.1" customHeight="1">
      <c r="A43" s="38">
        <v>21</v>
      </c>
      <c r="B43" s="51" t="s">
        <v>20</v>
      </c>
      <c r="C43" s="52"/>
      <c r="D43" s="59" t="s">
        <v>21</v>
      </c>
      <c r="E43" s="60"/>
      <c r="F43" s="60"/>
      <c r="G43" s="61"/>
      <c r="H43" s="24">
        <f>SUM(I43)-2.7</f>
        <v>42.899999999999991</v>
      </c>
      <c r="I43" s="24">
        <f>SUM(J43)-2.7</f>
        <v>45.599999999999994</v>
      </c>
      <c r="J43" s="33">
        <v>48.3</v>
      </c>
      <c r="K43" s="24">
        <f>SUM(J43)+2.6</f>
        <v>50.9</v>
      </c>
      <c r="L43" s="24">
        <f>SUM(K43)+2.6</f>
        <v>53.5</v>
      </c>
      <c r="M43" s="24">
        <f>SUM(L43)+2.7</f>
        <v>56.2</v>
      </c>
      <c r="N43" s="121">
        <f>SUM(M43)+2.6</f>
        <v>58.800000000000004</v>
      </c>
    </row>
    <row r="44" spans="1:14" ht="14.1" customHeight="1">
      <c r="A44" s="38"/>
      <c r="B44" s="62" t="s">
        <v>61</v>
      </c>
      <c r="C44" s="63"/>
      <c r="D44" s="64" t="s">
        <v>117</v>
      </c>
      <c r="E44" s="65"/>
      <c r="F44" s="65"/>
      <c r="G44" s="66"/>
      <c r="H44" s="36"/>
      <c r="I44" s="36"/>
      <c r="J44" s="35"/>
      <c r="K44" s="36"/>
      <c r="L44" s="36"/>
      <c r="M44" s="36"/>
      <c r="N44" s="122"/>
    </row>
    <row r="45" spans="1:14" ht="14.1" customHeight="1">
      <c r="A45" s="38">
        <v>22</v>
      </c>
      <c r="B45" s="51" t="s">
        <v>22</v>
      </c>
      <c r="C45" s="52"/>
      <c r="D45" s="59" t="s">
        <v>23</v>
      </c>
      <c r="E45" s="60"/>
      <c r="F45" s="60"/>
      <c r="G45" s="61"/>
      <c r="H45" s="24">
        <f>SUM(I45)-6</f>
        <v>32.799999999999997</v>
      </c>
      <c r="I45" s="24">
        <f>SUM(J45)-6</f>
        <v>38.799999999999997</v>
      </c>
      <c r="J45" s="33">
        <v>44.8</v>
      </c>
      <c r="K45" s="24">
        <f>SUM(J45)+4.5</f>
        <v>49.3</v>
      </c>
      <c r="L45" s="24">
        <f>SUM(K45)+5</f>
        <v>54.3</v>
      </c>
      <c r="M45" s="24">
        <f>SUM(L45)+5</f>
        <v>59.3</v>
      </c>
      <c r="N45" s="121">
        <f>SUM(M45)+5</f>
        <v>64.3</v>
      </c>
    </row>
    <row r="46" spans="1:14" ht="14.1" customHeight="1">
      <c r="A46" s="38"/>
      <c r="B46" s="62" t="s">
        <v>60</v>
      </c>
      <c r="C46" s="63"/>
      <c r="D46" s="64" t="s">
        <v>116</v>
      </c>
      <c r="E46" s="65"/>
      <c r="F46" s="65"/>
      <c r="G46" s="66"/>
      <c r="H46" s="36"/>
      <c r="I46" s="36"/>
      <c r="J46" s="35"/>
      <c r="K46" s="36"/>
      <c r="L46" s="36"/>
      <c r="M46" s="36"/>
      <c r="N46" s="122"/>
    </row>
    <row r="47" spans="1:14" ht="14.1" customHeight="1">
      <c r="A47" s="38">
        <v>23</v>
      </c>
      <c r="B47" s="51" t="s">
        <v>115</v>
      </c>
      <c r="C47" s="52"/>
      <c r="D47" s="59" t="s">
        <v>113</v>
      </c>
      <c r="E47" s="60"/>
      <c r="F47" s="60"/>
      <c r="G47" s="61"/>
      <c r="H47" s="24">
        <f>SUM(I47)-1.9</f>
        <v>39.200000000000003</v>
      </c>
      <c r="I47" s="24">
        <f>SUM(J47)-1.9</f>
        <v>41.1</v>
      </c>
      <c r="J47" s="33">
        <v>43</v>
      </c>
      <c r="K47" s="24">
        <f>SUM(J47)+2</f>
        <v>45</v>
      </c>
      <c r="L47" s="24">
        <f t="shared" ref="L47:N47" si="5">SUM(K47)+1.9</f>
        <v>46.9</v>
      </c>
      <c r="M47" s="24">
        <f t="shared" si="5"/>
        <v>48.8</v>
      </c>
      <c r="N47" s="26">
        <f t="shared" si="5"/>
        <v>50.699999999999996</v>
      </c>
    </row>
    <row r="48" spans="1:14" ht="14.1" customHeight="1">
      <c r="A48" s="38"/>
      <c r="B48" s="62" t="s">
        <v>114</v>
      </c>
      <c r="C48" s="63"/>
      <c r="D48" s="64" t="s">
        <v>113</v>
      </c>
      <c r="E48" s="65"/>
      <c r="F48" s="65"/>
      <c r="G48" s="66"/>
      <c r="H48" s="36"/>
      <c r="I48" s="36"/>
      <c r="J48" s="35"/>
      <c r="K48" s="36"/>
      <c r="L48" s="36"/>
      <c r="M48" s="36"/>
      <c r="N48" s="37"/>
    </row>
    <row r="49" spans="1:14" ht="14.1" customHeight="1">
      <c r="A49" s="38">
        <v>24</v>
      </c>
      <c r="B49" s="51" t="s">
        <v>112</v>
      </c>
      <c r="C49" s="52"/>
      <c r="D49" s="59" t="s">
        <v>111</v>
      </c>
      <c r="E49" s="60"/>
      <c r="F49" s="60"/>
      <c r="G49" s="61"/>
      <c r="H49" s="24">
        <f>SUM(I49)-3.5</f>
        <v>32.700000000000003</v>
      </c>
      <c r="I49" s="24">
        <f>SUM(J49)-3.4</f>
        <v>36.200000000000003</v>
      </c>
      <c r="J49" s="33">
        <v>39.6</v>
      </c>
      <c r="K49" s="24">
        <f>SUM(J49)+3.3</f>
        <v>42.9</v>
      </c>
      <c r="L49" s="24">
        <f>SUM(K49)+3</f>
        <v>45.9</v>
      </c>
      <c r="M49" s="24">
        <f t="shared" ref="M49:N49" si="6">SUM(L49)+3</f>
        <v>48.9</v>
      </c>
      <c r="N49" s="26">
        <f t="shared" si="6"/>
        <v>51.9</v>
      </c>
    </row>
    <row r="50" spans="1:14" ht="14.1" customHeight="1">
      <c r="A50" s="38"/>
      <c r="B50" s="62" t="s">
        <v>110</v>
      </c>
      <c r="C50" s="63"/>
      <c r="D50" s="64" t="s">
        <v>160</v>
      </c>
      <c r="E50" s="65"/>
      <c r="F50" s="65"/>
      <c r="G50" s="66"/>
      <c r="H50" s="36"/>
      <c r="I50" s="36"/>
      <c r="J50" s="35"/>
      <c r="K50" s="36"/>
      <c r="L50" s="36"/>
      <c r="M50" s="36"/>
      <c r="N50" s="37"/>
    </row>
    <row r="51" spans="1:14" ht="14.1" customHeight="1">
      <c r="A51" s="38">
        <v>25</v>
      </c>
      <c r="B51" s="51" t="s">
        <v>743</v>
      </c>
      <c r="C51" s="52"/>
      <c r="D51" s="57"/>
      <c r="E51" s="57"/>
      <c r="F51" s="57"/>
      <c r="G51" s="57"/>
      <c r="H51" s="24">
        <f>SUM(I51)-1</f>
        <v>16</v>
      </c>
      <c r="I51" s="24">
        <f>SUM(J51)-1</f>
        <v>17</v>
      </c>
      <c r="J51" s="23">
        <v>18</v>
      </c>
      <c r="K51" s="21">
        <f>SUM(J51)+1</f>
        <v>19</v>
      </c>
      <c r="L51" s="21">
        <f t="shared" ref="L51:N51" si="7">SUM(K51)+1</f>
        <v>20</v>
      </c>
      <c r="M51" s="21">
        <f t="shared" si="7"/>
        <v>21</v>
      </c>
      <c r="N51" s="22">
        <f t="shared" si="7"/>
        <v>22</v>
      </c>
    </row>
    <row r="52" spans="1:14" ht="14.1" customHeight="1">
      <c r="A52" s="38"/>
      <c r="B52" s="56" t="s">
        <v>744</v>
      </c>
      <c r="C52" s="56"/>
      <c r="D52" s="89" t="s">
        <v>826</v>
      </c>
      <c r="E52" s="48"/>
      <c r="F52" s="48"/>
      <c r="G52" s="49"/>
      <c r="H52" s="36"/>
      <c r="I52" s="36"/>
      <c r="J52" s="23"/>
      <c r="K52" s="21"/>
      <c r="L52" s="21"/>
      <c r="M52" s="21"/>
      <c r="N52" s="22"/>
    </row>
    <row r="53" spans="1:14" ht="14.1" customHeight="1">
      <c r="A53" s="38">
        <v>26</v>
      </c>
      <c r="B53" s="51" t="s">
        <v>745</v>
      </c>
      <c r="C53" s="52"/>
      <c r="D53" s="57"/>
      <c r="E53" s="57"/>
      <c r="F53" s="57"/>
      <c r="G53" s="57"/>
      <c r="H53" s="24">
        <f>SUM(I53)-0.5</f>
        <v>8</v>
      </c>
      <c r="I53" s="24">
        <f>SUM(J53)-0.5</f>
        <v>8.5</v>
      </c>
      <c r="J53" s="33">
        <v>9</v>
      </c>
      <c r="K53" s="24">
        <f>SUM(J53)+0.5</f>
        <v>9.5</v>
      </c>
      <c r="L53" s="24">
        <f t="shared" ref="L53:M53" si="8">SUM(K53)+0.5</f>
        <v>10</v>
      </c>
      <c r="M53" s="24">
        <f t="shared" si="8"/>
        <v>10.5</v>
      </c>
      <c r="N53" s="26">
        <f>SUM(M53)+0.5</f>
        <v>11</v>
      </c>
    </row>
    <row r="54" spans="1:14" ht="14.1" customHeight="1">
      <c r="A54" s="38"/>
      <c r="B54" s="56" t="s">
        <v>648</v>
      </c>
      <c r="C54" s="56"/>
      <c r="D54" s="89" t="s">
        <v>826</v>
      </c>
      <c r="E54" s="48"/>
      <c r="F54" s="48"/>
      <c r="G54" s="49"/>
      <c r="H54" s="36"/>
      <c r="I54" s="36"/>
      <c r="J54" s="35"/>
      <c r="K54" s="36"/>
      <c r="L54" s="36"/>
      <c r="M54" s="36"/>
      <c r="N54" s="37"/>
    </row>
    <row r="55" spans="1:14" ht="14.1" customHeight="1">
      <c r="A55" s="38">
        <v>27</v>
      </c>
      <c r="B55" s="51" t="s">
        <v>746</v>
      </c>
      <c r="C55" s="52"/>
      <c r="D55" s="57"/>
      <c r="E55" s="57"/>
      <c r="F55" s="57"/>
      <c r="G55" s="57"/>
      <c r="H55" s="24">
        <f>SUM(I55)-0.5</f>
        <v>8</v>
      </c>
      <c r="I55" s="24">
        <f>SUM(J55)-0.5</f>
        <v>8.5</v>
      </c>
      <c r="J55" s="33">
        <v>9</v>
      </c>
      <c r="K55" s="24">
        <f>SUM(J55)+0.5</f>
        <v>9.5</v>
      </c>
      <c r="L55" s="24">
        <f t="shared" ref="L55:N55" si="9">SUM(K55)+0.5</f>
        <v>10</v>
      </c>
      <c r="M55" s="24">
        <f t="shared" si="9"/>
        <v>10.5</v>
      </c>
      <c r="N55" s="26">
        <f t="shared" si="9"/>
        <v>11</v>
      </c>
    </row>
    <row r="56" spans="1:14" ht="14.1" customHeight="1" thickBot="1">
      <c r="A56" s="39"/>
      <c r="B56" s="110" t="s">
        <v>650</v>
      </c>
      <c r="C56" s="110"/>
      <c r="D56" s="30" t="s">
        <v>477</v>
      </c>
      <c r="E56" s="31"/>
      <c r="F56" s="31"/>
      <c r="G56" s="32"/>
      <c r="H56" s="25"/>
      <c r="I56" s="25"/>
      <c r="J56" s="34"/>
      <c r="K56" s="25"/>
      <c r="L56" s="25"/>
      <c r="M56" s="25"/>
      <c r="N56" s="27"/>
    </row>
    <row r="57" spans="1:14" ht="14.1" customHeight="1"/>
    <row r="58" spans="1:14" ht="14.1" customHeight="1"/>
    <row r="59" spans="1:14" ht="14.1" customHeight="1"/>
    <row r="60" spans="1:14" ht="14.1" customHeight="1"/>
    <row r="61" spans="1:14" ht="14.1" customHeight="1"/>
    <row r="62" spans="1:14" ht="14.1" customHeight="1"/>
    <row r="63" spans="1:14" ht="14.1" customHeight="1"/>
    <row r="64" spans="1:14" ht="14.1" customHeight="1"/>
    <row r="65" spans="1:14" ht="14.1" customHeight="1"/>
    <row r="66" spans="1:14" ht="14.1" customHeight="1"/>
    <row r="67" spans="1:14" ht="14.1" customHeight="1"/>
    <row r="68" spans="1:14" ht="13.5" customHeight="1"/>
    <row r="69" spans="1:14" ht="13.5" customHeight="1"/>
    <row r="70" spans="1:14" ht="13.5" customHeight="1"/>
    <row r="71" spans="1:14" ht="13.5" customHeight="1"/>
    <row r="72" spans="1:14" ht="13.5" customHeight="1"/>
    <row r="73" spans="1:14" s="1" customFormat="1" ht="13.5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</row>
    <row r="74" spans="1:14" s="1" customFormat="1" ht="13.5" customHeight="1">
      <c r="A74"/>
      <c r="B74"/>
      <c r="C74"/>
      <c r="D74"/>
      <c r="E74"/>
      <c r="F74"/>
      <c r="G74"/>
      <c r="H74"/>
      <c r="I74"/>
      <c r="J74"/>
      <c r="K74"/>
      <c r="L74"/>
      <c r="M74"/>
      <c r="N74"/>
    </row>
    <row r="75" spans="1:14" ht="13.5" customHeight="1"/>
    <row r="76" spans="1:14" ht="13.5" customHeight="1"/>
    <row r="77" spans="1:14" ht="13.5" customHeight="1"/>
    <row r="78" spans="1:14" ht="13.5" customHeight="1"/>
    <row r="79" spans="1:14" ht="13.5" customHeight="1"/>
    <row r="80" spans="1:14" ht="13.5" customHeight="1"/>
    <row r="81" ht="13.5" customHeight="1"/>
  </sheetData>
  <mergeCells count="327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47:K48"/>
    <mergeCell ref="L47:L48"/>
    <mergeCell ref="M47:M48"/>
    <mergeCell ref="N47:N48"/>
    <mergeCell ref="B48:C48"/>
    <mergeCell ref="D48:G48"/>
    <mergeCell ref="A47:A48"/>
    <mergeCell ref="B47:C47"/>
    <mergeCell ref="D47:G47"/>
    <mergeCell ref="H47:H48"/>
    <mergeCell ref="I47:I48"/>
    <mergeCell ref="J47:J48"/>
    <mergeCell ref="K49:K50"/>
    <mergeCell ref="L49:L50"/>
    <mergeCell ref="M49:M50"/>
    <mergeCell ref="N49:N50"/>
    <mergeCell ref="B50:C50"/>
    <mergeCell ref="D50:G50"/>
    <mergeCell ref="A49:A50"/>
    <mergeCell ref="B49:C49"/>
    <mergeCell ref="D49:G49"/>
    <mergeCell ref="H49:H50"/>
    <mergeCell ref="I49:I50"/>
    <mergeCell ref="J49:J50"/>
    <mergeCell ref="K51:K52"/>
    <mergeCell ref="L51:L52"/>
    <mergeCell ref="M51:M52"/>
    <mergeCell ref="N51:N52"/>
    <mergeCell ref="B52:C52"/>
    <mergeCell ref="D52:G52"/>
    <mergeCell ref="A51:A52"/>
    <mergeCell ref="B51:C51"/>
    <mergeCell ref="D51:G51"/>
    <mergeCell ref="H51:H52"/>
    <mergeCell ref="I51:I52"/>
    <mergeCell ref="J51:J52"/>
    <mergeCell ref="K53:K54"/>
    <mergeCell ref="L53:L54"/>
    <mergeCell ref="M53:M54"/>
    <mergeCell ref="N53:N54"/>
    <mergeCell ref="B54:C54"/>
    <mergeCell ref="D54:G54"/>
    <mergeCell ref="A53:A54"/>
    <mergeCell ref="B53:C53"/>
    <mergeCell ref="D53:G53"/>
    <mergeCell ref="H53:H54"/>
    <mergeCell ref="I53:I54"/>
    <mergeCell ref="J53:J54"/>
    <mergeCell ref="K55:K56"/>
    <mergeCell ref="L55:L56"/>
    <mergeCell ref="M55:M56"/>
    <mergeCell ref="N55:N56"/>
    <mergeCell ref="B56:C56"/>
    <mergeCell ref="D56:G56"/>
    <mergeCell ref="A55:A56"/>
    <mergeCell ref="B55:C55"/>
    <mergeCell ref="D55:G55"/>
    <mergeCell ref="H55:H56"/>
    <mergeCell ref="I55:I56"/>
    <mergeCell ref="J55:J56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1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F09E8-5EFB-4617-9D83-1A304591A4E0}">
  <sheetPr>
    <tabColor rgb="FF00B050"/>
    <pageSetUpPr fitToPage="1"/>
  </sheetPr>
  <dimension ref="A1:M76"/>
  <sheetViews>
    <sheetView topLeftCell="A13" zoomScale="110" zoomScaleNormal="110" workbookViewId="0">
      <selection activeCell="R50" sqref="R5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67" t="s">
        <v>876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174">
        <f>SUM(I3)-3.5</f>
        <v>36</v>
      </c>
      <c r="I3" s="24">
        <f>SUM(J3)-3.5</f>
        <v>39.5</v>
      </c>
      <c r="J3" s="75">
        <v>43</v>
      </c>
      <c r="K3" s="76">
        <f>SUM(J3)+3</f>
        <v>46</v>
      </c>
      <c r="L3" s="76">
        <f t="shared" ref="L3:M3" si="0">SUM(K3)+3</f>
        <v>49</v>
      </c>
      <c r="M3" s="77">
        <f t="shared" si="0"/>
        <v>52</v>
      </c>
    </row>
    <row r="4" spans="1:13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175"/>
      <c r="I4" s="36"/>
      <c r="J4" s="33"/>
      <c r="K4" s="24"/>
      <c r="L4" s="24"/>
      <c r="M4" s="26"/>
    </row>
    <row r="5" spans="1:13" s="1" customFormat="1" ht="14.1" customHeight="1">
      <c r="A5" s="38">
        <v>2</v>
      </c>
      <c r="B5" s="164" t="s">
        <v>101</v>
      </c>
      <c r="C5" s="165"/>
      <c r="D5" s="100" t="s">
        <v>102</v>
      </c>
      <c r="E5" s="101"/>
      <c r="F5" s="101"/>
      <c r="G5" s="102"/>
      <c r="H5" s="174">
        <f>SUM(I5)-4.5</f>
        <v>45</v>
      </c>
      <c r="I5" s="24">
        <f>SUM(J5)-4.5</f>
        <v>49.5</v>
      </c>
      <c r="J5" s="23">
        <v>54</v>
      </c>
      <c r="K5" s="21">
        <f>SUM(J5)+4.5</f>
        <v>58.5</v>
      </c>
      <c r="L5" s="21">
        <f>SUM(K5)+4.5</f>
        <v>63</v>
      </c>
      <c r="M5" s="22">
        <f>SUM(L5)+4.5</f>
        <v>67.5</v>
      </c>
    </row>
    <row r="6" spans="1:13" s="1" customFormat="1" ht="14.1" customHeight="1">
      <c r="A6" s="38"/>
      <c r="B6" s="45" t="s">
        <v>99</v>
      </c>
      <c r="C6" s="46"/>
      <c r="D6" s="47" t="s">
        <v>100</v>
      </c>
      <c r="E6" s="48"/>
      <c r="F6" s="48"/>
      <c r="G6" s="49"/>
      <c r="H6" s="175"/>
      <c r="I6" s="36"/>
      <c r="J6" s="23"/>
      <c r="K6" s="21"/>
      <c r="L6" s="21"/>
      <c r="M6" s="22"/>
    </row>
    <row r="7" spans="1:13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174">
        <f>SUM(I7)-2.25</f>
        <v>36.5</v>
      </c>
      <c r="I7" s="24">
        <f>SUM(J7)-2.25</f>
        <v>38.75</v>
      </c>
      <c r="J7" s="33">
        <v>41</v>
      </c>
      <c r="K7" s="24">
        <f>SUM(J7)+2</f>
        <v>43</v>
      </c>
      <c r="L7" s="24">
        <f>SUM(K7)+2</f>
        <v>45</v>
      </c>
      <c r="M7" s="26">
        <f>SUM(L7)+2</f>
        <v>47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175"/>
      <c r="I8" s="36"/>
      <c r="J8" s="35"/>
      <c r="K8" s="36"/>
      <c r="L8" s="36"/>
      <c r="M8" s="37"/>
    </row>
    <row r="9" spans="1:13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174">
        <f>SUM(I9)-1.8</f>
        <v>28.4</v>
      </c>
      <c r="I9" s="24">
        <f>SUM(J9)-1.8</f>
        <v>30.2</v>
      </c>
      <c r="J9" s="33">
        <v>32</v>
      </c>
      <c r="K9" s="24">
        <f>SUM(J9)+1.6</f>
        <v>33.6</v>
      </c>
      <c r="L9" s="24">
        <f>SUM(K9)+1.6</f>
        <v>35.200000000000003</v>
      </c>
      <c r="M9" s="26">
        <f>SUM(L9)+1.6</f>
        <v>36.800000000000004</v>
      </c>
    </row>
    <row r="10" spans="1:13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175"/>
      <c r="I10" s="36"/>
      <c r="J10" s="35"/>
      <c r="K10" s="36"/>
      <c r="L10" s="36"/>
      <c r="M10" s="37"/>
    </row>
    <row r="11" spans="1:13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174"/>
      <c r="I11" s="24"/>
      <c r="J11" s="23"/>
      <c r="K11" s="21"/>
      <c r="L11" s="21"/>
      <c r="M11" s="22"/>
    </row>
    <row r="12" spans="1:13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175"/>
      <c r="I12" s="36"/>
      <c r="J12" s="23"/>
      <c r="K12" s="21"/>
      <c r="L12" s="21"/>
      <c r="M12" s="22"/>
    </row>
    <row r="13" spans="1:13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174">
        <f>SUM(I13)-0.6</f>
        <v>14.8</v>
      </c>
      <c r="I13" s="24">
        <f>SUM(J13)-0.6</f>
        <v>15.4</v>
      </c>
      <c r="J13" s="23">
        <v>16</v>
      </c>
      <c r="K13" s="21">
        <f>SUM(J13)+0.6</f>
        <v>16.600000000000001</v>
      </c>
      <c r="L13" s="21">
        <f>SUM(K13)+0.6</f>
        <v>17.200000000000003</v>
      </c>
      <c r="M13" s="22">
        <f>SUM(L13)+0.6</f>
        <v>17.800000000000004</v>
      </c>
    </row>
    <row r="14" spans="1:13" s="1" customFormat="1" ht="14.1" customHeight="1">
      <c r="A14" s="38"/>
      <c r="B14" s="56" t="s">
        <v>29</v>
      </c>
      <c r="C14" s="56"/>
      <c r="D14" s="47" t="s">
        <v>154</v>
      </c>
      <c r="E14" s="48"/>
      <c r="F14" s="48"/>
      <c r="G14" s="49"/>
      <c r="H14" s="175"/>
      <c r="I14" s="36"/>
      <c r="J14" s="23"/>
      <c r="K14" s="21"/>
      <c r="L14" s="21"/>
      <c r="M14" s="22"/>
    </row>
    <row r="15" spans="1:13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174">
        <f>SUM(I15)-0.3</f>
        <v>6.1000000000000005</v>
      </c>
      <c r="I15" s="24">
        <f>SUM(J15)-0.3</f>
        <v>6.4</v>
      </c>
      <c r="J15" s="23">
        <v>6.7</v>
      </c>
      <c r="K15" s="21">
        <f>SUM(J15)+0.3</f>
        <v>7</v>
      </c>
      <c r="L15" s="21">
        <f>SUM(K15)+0.3</f>
        <v>7.3</v>
      </c>
      <c r="M15" s="22">
        <f>SUM(L15)+0.3</f>
        <v>7.6</v>
      </c>
    </row>
    <row r="16" spans="1:13" s="1" customFormat="1" ht="14.1" customHeight="1">
      <c r="A16" s="38"/>
      <c r="B16" s="56" t="s">
        <v>30</v>
      </c>
      <c r="C16" s="56"/>
      <c r="D16" s="47" t="s">
        <v>155</v>
      </c>
      <c r="E16" s="48"/>
      <c r="F16" s="48"/>
      <c r="G16" s="49"/>
      <c r="H16" s="175"/>
      <c r="I16" s="36"/>
      <c r="J16" s="23"/>
      <c r="K16" s="21"/>
      <c r="L16" s="21"/>
      <c r="M16" s="22"/>
    </row>
    <row r="17" spans="1:13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174">
        <f>SUM(I17)-1.6</f>
        <v>40.799999999999997</v>
      </c>
      <c r="I17" s="24">
        <f>SUM(J17)-1.6</f>
        <v>42.4</v>
      </c>
      <c r="J17" s="23">
        <v>44</v>
      </c>
      <c r="K17" s="21">
        <f>SUM(J17)+1.6</f>
        <v>45.6</v>
      </c>
      <c r="L17" s="21">
        <f>SUM(K17)+1.6</f>
        <v>47.2</v>
      </c>
      <c r="M17" s="22">
        <f>SUM(L17)+1.6</f>
        <v>48.800000000000004</v>
      </c>
    </row>
    <row r="18" spans="1:13" s="1" customFormat="1" ht="14.1" customHeight="1">
      <c r="A18" s="38"/>
      <c r="B18" s="56" t="s">
        <v>37</v>
      </c>
      <c r="C18" s="56"/>
      <c r="D18" s="47" t="s">
        <v>156</v>
      </c>
      <c r="E18" s="48"/>
      <c r="F18" s="48"/>
      <c r="G18" s="49"/>
      <c r="H18" s="175"/>
      <c r="I18" s="36"/>
      <c r="J18" s="23"/>
      <c r="K18" s="21"/>
      <c r="L18" s="21"/>
      <c r="M18" s="22"/>
    </row>
    <row r="19" spans="1:13" s="1" customFormat="1" ht="14.1" customHeight="1">
      <c r="A19" s="38">
        <v>9</v>
      </c>
      <c r="B19" s="58" t="s">
        <v>4</v>
      </c>
      <c r="C19" s="58"/>
      <c r="D19" s="57" t="s">
        <v>5</v>
      </c>
      <c r="E19" s="57"/>
      <c r="F19" s="57"/>
      <c r="G19" s="57"/>
      <c r="H19" s="174"/>
      <c r="I19" s="24"/>
      <c r="J19" s="23"/>
      <c r="K19" s="21"/>
      <c r="L19" s="21"/>
      <c r="M19" s="22"/>
    </row>
    <row r="20" spans="1:13" s="1" customFormat="1" ht="14.1" customHeight="1">
      <c r="A20" s="38"/>
      <c r="B20" s="56" t="s">
        <v>31</v>
      </c>
      <c r="C20" s="56"/>
      <c r="D20" s="47" t="s">
        <v>54</v>
      </c>
      <c r="E20" s="48"/>
      <c r="F20" s="48"/>
      <c r="G20" s="49"/>
      <c r="H20" s="175"/>
      <c r="I20" s="36"/>
      <c r="J20" s="23"/>
      <c r="K20" s="21"/>
      <c r="L20" s="21"/>
      <c r="M20" s="22"/>
    </row>
    <row r="21" spans="1:13" s="1" customFormat="1" ht="14.1" customHeight="1">
      <c r="A21" s="38">
        <v>10</v>
      </c>
      <c r="B21" s="58" t="s">
        <v>6</v>
      </c>
      <c r="C21" s="58"/>
      <c r="D21" s="59" t="s">
        <v>7</v>
      </c>
      <c r="E21" s="60"/>
      <c r="F21" s="60"/>
      <c r="G21" s="61"/>
      <c r="H21" s="174">
        <f>SUM(I21)-1.7</f>
        <v>28.6</v>
      </c>
      <c r="I21" s="24">
        <f>SUM(J21)-1.7</f>
        <v>30.3</v>
      </c>
      <c r="J21" s="23">
        <v>32</v>
      </c>
      <c r="K21" s="21">
        <f>SUM(J21)+1.7</f>
        <v>33.700000000000003</v>
      </c>
      <c r="L21" s="21">
        <f t="shared" ref="L21:M21" si="1">SUM(K21)+1.7</f>
        <v>35.400000000000006</v>
      </c>
      <c r="M21" s="22">
        <f t="shared" si="1"/>
        <v>37.100000000000009</v>
      </c>
    </row>
    <row r="22" spans="1:13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9"/>
      <c r="H22" s="175"/>
      <c r="I22" s="36"/>
      <c r="J22" s="23"/>
      <c r="K22" s="21"/>
      <c r="L22" s="21"/>
      <c r="M22" s="22"/>
    </row>
    <row r="23" spans="1:13" s="1" customFormat="1" ht="14.1" customHeight="1">
      <c r="A23" s="38">
        <v>11</v>
      </c>
      <c r="B23" s="51" t="s">
        <v>77</v>
      </c>
      <c r="C23" s="52"/>
      <c r="D23" s="57" t="s">
        <v>78</v>
      </c>
      <c r="E23" s="57"/>
      <c r="F23" s="57"/>
      <c r="G23" s="57"/>
      <c r="H23" s="174">
        <f>SUM(I23)-0.6</f>
        <v>14</v>
      </c>
      <c r="I23" s="24">
        <f>SUM(J23)-0.6</f>
        <v>14.6</v>
      </c>
      <c r="J23" s="23">
        <v>15.2</v>
      </c>
      <c r="K23" s="21">
        <f>SUM(J23)+0.6</f>
        <v>15.799999999999999</v>
      </c>
      <c r="L23" s="21">
        <f>SUM(K23)+0.6</f>
        <v>16.399999999999999</v>
      </c>
      <c r="M23" s="22">
        <f>SUM(L23)+0.6</f>
        <v>17</v>
      </c>
    </row>
    <row r="24" spans="1:13" s="1" customFormat="1" ht="14.1" customHeight="1">
      <c r="A24" s="38"/>
      <c r="B24" s="56" t="s">
        <v>33</v>
      </c>
      <c r="C24" s="56"/>
      <c r="D24" s="47" t="s">
        <v>79</v>
      </c>
      <c r="E24" s="48"/>
      <c r="F24" s="48"/>
      <c r="G24" s="49"/>
      <c r="H24" s="175"/>
      <c r="I24" s="36"/>
      <c r="J24" s="23"/>
      <c r="K24" s="21"/>
      <c r="L24" s="21"/>
      <c r="M24" s="22"/>
    </row>
    <row r="25" spans="1:13" s="1" customFormat="1" ht="14.1" customHeight="1">
      <c r="A25" s="38">
        <v>12</v>
      </c>
      <c r="B25" s="51" t="s">
        <v>176</v>
      </c>
      <c r="C25" s="52"/>
      <c r="D25" s="53" t="s">
        <v>882</v>
      </c>
      <c r="E25" s="54"/>
      <c r="F25" s="54"/>
      <c r="G25" s="55"/>
      <c r="H25" s="174">
        <f>SUM(I25)-0.6</f>
        <v>5.0000000000000009</v>
      </c>
      <c r="I25" s="24">
        <f>SUM(J25)-0.6</f>
        <v>5.6000000000000005</v>
      </c>
      <c r="J25" s="23">
        <v>6.2</v>
      </c>
      <c r="K25" s="21">
        <f>SUM(J25)+0.6</f>
        <v>6.8</v>
      </c>
      <c r="L25" s="21">
        <f t="shared" ref="L25" si="2">SUM(K25)+0.6</f>
        <v>7.3999999999999995</v>
      </c>
      <c r="M25" s="22">
        <f t="shared" ref="M25" si="3">SUM(L25)+0.6</f>
        <v>7.9999999999999991</v>
      </c>
    </row>
    <row r="26" spans="1:13" s="1" customFormat="1" ht="14.1" customHeight="1">
      <c r="A26" s="38"/>
      <c r="B26" s="45" t="s">
        <v>175</v>
      </c>
      <c r="C26" s="46"/>
      <c r="D26" s="47" t="s">
        <v>881</v>
      </c>
      <c r="E26" s="48"/>
      <c r="F26" s="48"/>
      <c r="G26" s="49"/>
      <c r="H26" s="176"/>
      <c r="I26" s="50"/>
      <c r="J26" s="33"/>
      <c r="K26" s="24"/>
      <c r="L26" s="24"/>
      <c r="M26" s="26"/>
    </row>
    <row r="27" spans="1:13" s="1" customFormat="1" ht="14.1" customHeight="1">
      <c r="A27" s="38">
        <v>13</v>
      </c>
      <c r="B27" s="40" t="s">
        <v>174</v>
      </c>
      <c r="C27" s="41"/>
      <c r="D27" s="42" t="s">
        <v>106</v>
      </c>
      <c r="E27" s="43"/>
      <c r="F27" s="43"/>
      <c r="G27" s="44"/>
      <c r="H27" s="174">
        <f>SUM(I27)-0.4</f>
        <v>5.1999999999999993</v>
      </c>
      <c r="I27" s="24">
        <f>SUM(J27)-0.4</f>
        <v>5.6</v>
      </c>
      <c r="J27" s="23">
        <v>6</v>
      </c>
      <c r="K27" s="21">
        <f>SUM(J27)+0.4</f>
        <v>6.4</v>
      </c>
      <c r="L27" s="21">
        <f t="shared" ref="L27:M27" si="4">SUM(K27)+0.4</f>
        <v>6.8000000000000007</v>
      </c>
      <c r="M27" s="22">
        <f t="shared" si="4"/>
        <v>7.2000000000000011</v>
      </c>
    </row>
    <row r="28" spans="1:13" s="1" customFormat="1" ht="14.1" customHeight="1" thickBot="1">
      <c r="A28" s="38"/>
      <c r="B28" s="45" t="s">
        <v>173</v>
      </c>
      <c r="C28" s="46"/>
      <c r="D28" s="47" t="s">
        <v>105</v>
      </c>
      <c r="E28" s="48"/>
      <c r="F28" s="48"/>
      <c r="G28" s="49"/>
      <c r="H28" s="176"/>
      <c r="I28" s="50"/>
      <c r="J28" s="33"/>
      <c r="K28" s="24"/>
      <c r="L28" s="24"/>
      <c r="M28" s="26"/>
    </row>
    <row r="29" spans="1:13" s="1" customFormat="1" ht="14.1" customHeight="1" thickTop="1">
      <c r="A29" s="157">
        <v>14</v>
      </c>
      <c r="B29" s="158" t="s">
        <v>149</v>
      </c>
      <c r="C29" s="159"/>
      <c r="D29" s="160"/>
      <c r="E29" s="161"/>
      <c r="F29" s="161"/>
      <c r="G29" s="162"/>
      <c r="H29" s="178">
        <f>SUM(I29)-3</f>
        <v>45</v>
      </c>
      <c r="I29" s="156">
        <f>SUM(J29)-3</f>
        <v>48</v>
      </c>
      <c r="J29" s="155">
        <v>51</v>
      </c>
      <c r="K29" s="156">
        <f>SUM(J29)+3</f>
        <v>54</v>
      </c>
      <c r="L29" s="156">
        <f>SUM(K29)+3</f>
        <v>57</v>
      </c>
      <c r="M29" s="152">
        <f>SUM(L29)+3</f>
        <v>60</v>
      </c>
    </row>
    <row r="30" spans="1:13" s="1" customFormat="1" ht="14.1" customHeight="1">
      <c r="A30" s="38"/>
      <c r="B30" s="62" t="s">
        <v>108</v>
      </c>
      <c r="C30" s="63"/>
      <c r="D30" s="64" t="s">
        <v>884</v>
      </c>
      <c r="E30" s="65"/>
      <c r="F30" s="65"/>
      <c r="G30" s="66"/>
      <c r="H30" s="175"/>
      <c r="I30" s="36"/>
      <c r="J30" s="35"/>
      <c r="K30" s="36"/>
      <c r="L30" s="36"/>
      <c r="M30" s="37"/>
    </row>
    <row r="31" spans="1:13" ht="14.1" customHeight="1">
      <c r="A31" s="38">
        <v>15</v>
      </c>
      <c r="B31" s="40" t="s">
        <v>165</v>
      </c>
      <c r="C31" s="41"/>
      <c r="D31" s="100"/>
      <c r="E31" s="101"/>
      <c r="F31" s="101"/>
      <c r="G31" s="102"/>
      <c r="H31" s="174"/>
      <c r="I31" s="24"/>
      <c r="J31" s="33"/>
      <c r="K31" s="24"/>
      <c r="L31" s="50"/>
      <c r="M31" s="26"/>
    </row>
    <row r="32" spans="1:13" ht="14.1" customHeight="1">
      <c r="A32" s="38"/>
      <c r="B32" s="62" t="s">
        <v>164</v>
      </c>
      <c r="C32" s="63"/>
      <c r="D32" s="64"/>
      <c r="E32" s="65"/>
      <c r="F32" s="65"/>
      <c r="G32" s="66"/>
      <c r="H32" s="176"/>
      <c r="I32" s="50"/>
      <c r="J32" s="117"/>
      <c r="K32" s="50"/>
      <c r="L32" s="50"/>
      <c r="M32" s="113"/>
    </row>
    <row r="33" spans="1:13" ht="14.1" customHeight="1">
      <c r="A33" s="38">
        <v>16</v>
      </c>
      <c r="B33" s="51" t="s">
        <v>885</v>
      </c>
      <c r="C33" s="52"/>
      <c r="D33" s="57"/>
      <c r="E33" s="57"/>
      <c r="F33" s="57"/>
      <c r="G33" s="57"/>
      <c r="H33" s="174">
        <f t="shared" ref="H33" si="5">SUM(I33)-3</f>
        <v>77</v>
      </c>
      <c r="I33" s="24">
        <f t="shared" ref="I33" si="6">SUM(J33)-3</f>
        <v>80</v>
      </c>
      <c r="J33" s="33">
        <v>83</v>
      </c>
      <c r="K33" s="24">
        <f>SUM(J33)+5</f>
        <v>88</v>
      </c>
      <c r="L33" s="24">
        <f t="shared" ref="L33:M33" si="7">SUM(K33)+3</f>
        <v>91</v>
      </c>
      <c r="M33" s="26">
        <f t="shared" si="7"/>
        <v>94</v>
      </c>
    </row>
    <row r="34" spans="1:13" ht="14.1" customHeight="1">
      <c r="A34" s="38"/>
      <c r="B34" s="62" t="s">
        <v>886</v>
      </c>
      <c r="C34" s="63"/>
      <c r="D34" s="47" t="s">
        <v>883</v>
      </c>
      <c r="E34" s="48"/>
      <c r="F34" s="48"/>
      <c r="G34" s="49"/>
      <c r="H34" s="175"/>
      <c r="I34" s="36"/>
      <c r="J34" s="35"/>
      <c r="K34" s="36"/>
      <c r="L34" s="36"/>
      <c r="M34" s="37"/>
    </row>
    <row r="35" spans="1:13" ht="14.1" customHeight="1">
      <c r="A35" s="38">
        <v>17</v>
      </c>
      <c r="B35" s="51" t="s">
        <v>163</v>
      </c>
      <c r="C35" s="52"/>
      <c r="D35" s="118"/>
      <c r="E35" s="119"/>
      <c r="F35" s="119"/>
      <c r="G35" s="120"/>
      <c r="H35" s="174"/>
      <c r="I35" s="24"/>
      <c r="J35" s="117"/>
      <c r="K35" s="50"/>
      <c r="L35" s="50"/>
      <c r="M35" s="26"/>
    </row>
    <row r="36" spans="1:13" ht="14.1" customHeight="1">
      <c r="A36" s="38"/>
      <c r="B36" s="62" t="s">
        <v>162</v>
      </c>
      <c r="C36" s="63"/>
      <c r="D36" s="114"/>
      <c r="E36" s="115"/>
      <c r="F36" s="115"/>
      <c r="G36" s="116"/>
      <c r="H36" s="175"/>
      <c r="I36" s="36"/>
      <c r="J36" s="35"/>
      <c r="K36" s="36"/>
      <c r="L36" s="36"/>
      <c r="M36" s="37"/>
    </row>
    <row r="37" spans="1:13" ht="14.1" customHeight="1">
      <c r="A37" s="38">
        <v>18</v>
      </c>
      <c r="B37" s="51" t="s">
        <v>157</v>
      </c>
      <c r="C37" s="52"/>
      <c r="D37" s="100"/>
      <c r="E37" s="101"/>
      <c r="F37" s="101"/>
      <c r="G37" s="102"/>
      <c r="H37" s="174">
        <f>SUM(I37)-3.5</f>
        <v>63</v>
      </c>
      <c r="I37" s="24">
        <f>SUM(J37)-3.5</f>
        <v>66.5</v>
      </c>
      <c r="J37" s="117">
        <v>70</v>
      </c>
      <c r="K37" s="50">
        <f>SUM(J37)+3.5</f>
        <v>73.5</v>
      </c>
      <c r="L37" s="50">
        <f>SUM(K37)+3.5</f>
        <v>77</v>
      </c>
      <c r="M37" s="113">
        <f>SUM(L37)+3.5</f>
        <v>80.5</v>
      </c>
    </row>
    <row r="38" spans="1:13" ht="14.1" customHeight="1">
      <c r="A38" s="38"/>
      <c r="B38" s="62" t="s">
        <v>158</v>
      </c>
      <c r="C38" s="63"/>
      <c r="D38" s="64"/>
      <c r="E38" s="65"/>
      <c r="F38" s="65"/>
      <c r="G38" s="66"/>
      <c r="H38" s="175"/>
      <c r="I38" s="36"/>
      <c r="J38" s="35"/>
      <c r="K38" s="36"/>
      <c r="L38" s="36"/>
      <c r="M38" s="37"/>
    </row>
    <row r="39" spans="1:13" ht="14.1" customHeight="1">
      <c r="A39" s="38">
        <v>19</v>
      </c>
      <c r="B39" s="51" t="s">
        <v>13</v>
      </c>
      <c r="C39" s="52"/>
      <c r="D39" s="59" t="s">
        <v>182</v>
      </c>
      <c r="E39" s="60"/>
      <c r="F39" s="60"/>
      <c r="G39" s="61"/>
      <c r="H39" s="174">
        <f>SUM(I39)-4</f>
        <v>66.5</v>
      </c>
      <c r="I39" s="24">
        <f>SUM(J39)-4</f>
        <v>70.5</v>
      </c>
      <c r="J39" s="33">
        <v>74.5</v>
      </c>
      <c r="K39" s="24">
        <f>SUM(J39)+4</f>
        <v>78.5</v>
      </c>
      <c r="L39" s="24">
        <f>SUM(K39)+4</f>
        <v>82.5</v>
      </c>
      <c r="M39" s="26">
        <f>SUM(L39)+4</f>
        <v>86.5</v>
      </c>
    </row>
    <row r="40" spans="1:13" ht="14.1" customHeight="1">
      <c r="A40" s="38"/>
      <c r="B40" s="62" t="s">
        <v>55</v>
      </c>
      <c r="C40" s="63"/>
      <c r="D40" s="64" t="s">
        <v>121</v>
      </c>
      <c r="E40" s="65"/>
      <c r="F40" s="65"/>
      <c r="G40" s="66"/>
      <c r="H40" s="175"/>
      <c r="I40" s="36"/>
      <c r="J40" s="35"/>
      <c r="K40" s="36"/>
      <c r="L40" s="36"/>
      <c r="M40" s="37"/>
    </row>
    <row r="41" spans="1:13" ht="14.1" customHeight="1">
      <c r="A41" s="38">
        <v>20</v>
      </c>
      <c r="B41" s="51" t="s">
        <v>146</v>
      </c>
      <c r="C41" s="52"/>
      <c r="D41" s="59"/>
      <c r="E41" s="60"/>
      <c r="F41" s="60"/>
      <c r="G41" s="61"/>
      <c r="H41" s="174">
        <f>SUM(I41)-0.7</f>
        <v>12.900000000000002</v>
      </c>
      <c r="I41" s="24">
        <f>SUM(J41)-0.7</f>
        <v>13.600000000000001</v>
      </c>
      <c r="J41" s="33">
        <v>14.3</v>
      </c>
      <c r="K41" s="24">
        <f>SUM(J41)+1.2</f>
        <v>15.5</v>
      </c>
      <c r="L41" s="24">
        <f>SUM(K41)+0.7</f>
        <v>16.2</v>
      </c>
      <c r="M41" s="111">
        <f>SUM(L41)+0.7</f>
        <v>16.899999999999999</v>
      </c>
    </row>
    <row r="42" spans="1:13" ht="14.1" customHeight="1">
      <c r="A42" s="38"/>
      <c r="B42" s="62" t="s">
        <v>145</v>
      </c>
      <c r="C42" s="63"/>
      <c r="D42" s="64" t="s">
        <v>825</v>
      </c>
      <c r="E42" s="90"/>
      <c r="F42" s="90"/>
      <c r="G42" s="91"/>
      <c r="H42" s="175"/>
      <c r="I42" s="36"/>
      <c r="J42" s="35"/>
      <c r="K42" s="36"/>
      <c r="L42" s="36"/>
      <c r="M42" s="112"/>
    </row>
    <row r="43" spans="1:13" ht="14.1" customHeight="1">
      <c r="A43" s="38">
        <v>21</v>
      </c>
      <c r="B43" s="51" t="s">
        <v>166</v>
      </c>
      <c r="C43" s="52"/>
      <c r="D43" s="59"/>
      <c r="E43" s="60"/>
      <c r="F43" s="60"/>
      <c r="G43" s="61"/>
      <c r="H43" s="174"/>
      <c r="I43" s="24"/>
      <c r="J43" s="33"/>
      <c r="K43" s="24"/>
      <c r="L43" s="24"/>
      <c r="M43" s="111"/>
    </row>
    <row r="44" spans="1:13" ht="14.1" customHeight="1">
      <c r="A44" s="38"/>
      <c r="B44" s="62" t="s">
        <v>167</v>
      </c>
      <c r="C44" s="63"/>
      <c r="D44" s="89" t="s">
        <v>168</v>
      </c>
      <c r="E44" s="90"/>
      <c r="F44" s="90"/>
      <c r="G44" s="91"/>
      <c r="H44" s="175"/>
      <c r="I44" s="36"/>
      <c r="J44" s="35"/>
      <c r="K44" s="36"/>
      <c r="L44" s="36"/>
      <c r="M44" s="112"/>
    </row>
    <row r="45" spans="1:13" ht="14.1" customHeight="1">
      <c r="A45" s="38">
        <v>22</v>
      </c>
      <c r="B45" s="51" t="s">
        <v>178</v>
      </c>
      <c r="C45" s="52"/>
      <c r="D45" s="59"/>
      <c r="E45" s="60"/>
      <c r="F45" s="60"/>
      <c r="G45" s="61"/>
      <c r="H45" s="174"/>
      <c r="I45" s="24"/>
      <c r="J45" s="33"/>
      <c r="K45" s="24"/>
      <c r="L45" s="24"/>
      <c r="M45" s="26"/>
    </row>
    <row r="46" spans="1:13" ht="14.1" customHeight="1">
      <c r="A46" s="38"/>
      <c r="B46" s="62" t="s">
        <v>177</v>
      </c>
      <c r="C46" s="63"/>
      <c r="D46" s="89"/>
      <c r="E46" s="90"/>
      <c r="F46" s="90"/>
      <c r="G46" s="91"/>
      <c r="H46" s="175"/>
      <c r="I46" s="36"/>
      <c r="J46" s="35"/>
      <c r="K46" s="36"/>
      <c r="L46" s="36"/>
      <c r="M46" s="37"/>
    </row>
    <row r="47" spans="1:13" ht="14.1" customHeight="1">
      <c r="A47" s="38">
        <v>23</v>
      </c>
      <c r="B47" s="51" t="s">
        <v>9</v>
      </c>
      <c r="C47" s="52"/>
      <c r="D47" s="59" t="s">
        <v>84</v>
      </c>
      <c r="E47" s="60"/>
      <c r="F47" s="60"/>
      <c r="G47" s="61"/>
      <c r="H47" s="174">
        <f>SUM(I47)-7</f>
        <v>53</v>
      </c>
      <c r="I47" s="24">
        <f>SUM(J47)-7</f>
        <v>60</v>
      </c>
      <c r="J47" s="33">
        <v>67</v>
      </c>
      <c r="K47" s="24">
        <f>SUM(J47)+6</f>
        <v>73</v>
      </c>
      <c r="L47" s="24">
        <f>SUM(K47)+6</f>
        <v>79</v>
      </c>
      <c r="M47" s="26">
        <f>SUM(L47)+6</f>
        <v>85</v>
      </c>
    </row>
    <row r="48" spans="1:13" ht="14.1" customHeight="1">
      <c r="A48" s="38"/>
      <c r="B48" s="62" t="s">
        <v>56</v>
      </c>
      <c r="C48" s="63"/>
      <c r="D48" s="64" t="s">
        <v>120</v>
      </c>
      <c r="E48" s="65"/>
      <c r="F48" s="65"/>
      <c r="G48" s="66"/>
      <c r="H48" s="175"/>
      <c r="I48" s="36"/>
      <c r="J48" s="35"/>
      <c r="K48" s="36"/>
      <c r="L48" s="36"/>
      <c r="M48" s="37"/>
    </row>
    <row r="49" spans="1:13" ht="14.1" customHeight="1">
      <c r="A49" s="38">
        <v>24</v>
      </c>
      <c r="B49" s="51" t="s">
        <v>888</v>
      </c>
      <c r="C49" s="52"/>
      <c r="D49" s="59" t="s">
        <v>17</v>
      </c>
      <c r="E49" s="60"/>
      <c r="F49" s="60"/>
      <c r="G49" s="61"/>
      <c r="H49" s="174">
        <f>SUM(I49)-1.8</f>
        <v>36.400000000000006</v>
      </c>
      <c r="I49" s="24">
        <f>SUM(J49)-1.8</f>
        <v>38.200000000000003</v>
      </c>
      <c r="J49" s="33">
        <v>40</v>
      </c>
      <c r="K49" s="24">
        <f>SUM(J49)+1.8</f>
        <v>41.8</v>
      </c>
      <c r="L49" s="24">
        <f t="shared" ref="L49:M49" si="8">SUM(K49)+1.8</f>
        <v>43.599999999999994</v>
      </c>
      <c r="M49" s="26">
        <f t="shared" si="8"/>
        <v>45.399999999999991</v>
      </c>
    </row>
    <row r="50" spans="1:13" ht="14.1" customHeight="1">
      <c r="A50" s="38"/>
      <c r="B50" s="62" t="s">
        <v>57</v>
      </c>
      <c r="C50" s="63"/>
      <c r="D50" s="47" t="s">
        <v>119</v>
      </c>
      <c r="E50" s="48"/>
      <c r="F50" s="48"/>
      <c r="G50" s="49"/>
      <c r="H50" s="175"/>
      <c r="I50" s="36"/>
      <c r="J50" s="35"/>
      <c r="K50" s="36"/>
      <c r="L50" s="36"/>
      <c r="M50" s="37"/>
    </row>
    <row r="51" spans="1:13" ht="14.1" customHeight="1">
      <c r="A51" s="38">
        <v>25</v>
      </c>
      <c r="B51" s="51" t="s">
        <v>399</v>
      </c>
      <c r="C51" s="52"/>
      <c r="D51" s="57"/>
      <c r="E51" s="57"/>
      <c r="F51" s="57"/>
      <c r="G51" s="57"/>
      <c r="H51" s="174">
        <f>SUM(I51)-1.8</f>
        <v>48.400000000000006</v>
      </c>
      <c r="I51" s="24">
        <f>SUM(J51)-1.8</f>
        <v>50.2</v>
      </c>
      <c r="J51" s="33">
        <v>52</v>
      </c>
      <c r="K51" s="24">
        <f>SUM(J51)+1.8</f>
        <v>53.8</v>
      </c>
      <c r="L51" s="24">
        <f t="shared" ref="L51:M51" si="9">SUM(K51)+1.8</f>
        <v>55.599999999999994</v>
      </c>
      <c r="M51" s="26">
        <f t="shared" si="9"/>
        <v>57.399999999999991</v>
      </c>
    </row>
    <row r="52" spans="1:13" ht="14.1" customHeight="1">
      <c r="A52" s="38"/>
      <c r="B52" s="62" t="s">
        <v>889</v>
      </c>
      <c r="C52" s="63"/>
      <c r="D52" s="47" t="s">
        <v>890</v>
      </c>
      <c r="E52" s="48"/>
      <c r="F52" s="48"/>
      <c r="G52" s="49"/>
      <c r="H52" s="175"/>
      <c r="I52" s="36"/>
      <c r="J52" s="35"/>
      <c r="K52" s="36"/>
      <c r="L52" s="36"/>
      <c r="M52" s="37"/>
    </row>
    <row r="53" spans="1:13" ht="14.1" customHeight="1">
      <c r="A53" s="38">
        <v>26</v>
      </c>
      <c r="B53" s="51" t="s">
        <v>18</v>
      </c>
      <c r="C53" s="52"/>
      <c r="D53" s="59" t="s">
        <v>15</v>
      </c>
      <c r="E53" s="60"/>
      <c r="F53" s="60"/>
      <c r="G53" s="61"/>
      <c r="H53" s="174">
        <f>SUM(I53)-1.1</f>
        <v>20.599999999999998</v>
      </c>
      <c r="I53" s="24">
        <f>SUM(J53)-1.1</f>
        <v>21.7</v>
      </c>
      <c r="J53" s="33">
        <v>22.8</v>
      </c>
      <c r="K53" s="24">
        <f>SUM(J53)+1.6</f>
        <v>24.400000000000002</v>
      </c>
      <c r="L53" s="24">
        <f>SUM(K53)+1.1</f>
        <v>25.500000000000004</v>
      </c>
      <c r="M53" s="111">
        <f>SUM(L53)+1.1</f>
        <v>26.600000000000005</v>
      </c>
    </row>
    <row r="54" spans="1:13" ht="14.1" customHeight="1">
      <c r="A54" s="38"/>
      <c r="B54" s="62" t="s">
        <v>63</v>
      </c>
      <c r="C54" s="63"/>
      <c r="D54" s="64" t="s">
        <v>118</v>
      </c>
      <c r="E54" s="65"/>
      <c r="F54" s="65"/>
      <c r="G54" s="66"/>
      <c r="H54" s="175"/>
      <c r="I54" s="36"/>
      <c r="J54" s="35"/>
      <c r="K54" s="36"/>
      <c r="L54" s="36"/>
      <c r="M54" s="112"/>
    </row>
    <row r="55" spans="1:13" ht="14.1" customHeight="1">
      <c r="A55" s="38">
        <v>27</v>
      </c>
      <c r="B55" s="51" t="s">
        <v>19</v>
      </c>
      <c r="C55" s="52"/>
      <c r="D55" s="59" t="s">
        <v>15</v>
      </c>
      <c r="E55" s="60"/>
      <c r="F55" s="60"/>
      <c r="G55" s="61"/>
      <c r="H55" s="174">
        <f>SUM(I55)-1.3</f>
        <v>27.9</v>
      </c>
      <c r="I55" s="24">
        <f>SUM(J55)-1.3</f>
        <v>29.2</v>
      </c>
      <c r="J55" s="33">
        <v>30.5</v>
      </c>
      <c r="K55" s="24">
        <f>SUM(J55)+1.8</f>
        <v>32.299999999999997</v>
      </c>
      <c r="L55" s="24">
        <f>SUM(K55)+1.3</f>
        <v>33.599999999999994</v>
      </c>
      <c r="M55" s="111">
        <f>SUM(L55)+1.3</f>
        <v>34.899999999999991</v>
      </c>
    </row>
    <row r="56" spans="1:13" ht="14.1" customHeight="1">
      <c r="A56" s="38"/>
      <c r="B56" s="62" t="s">
        <v>62</v>
      </c>
      <c r="C56" s="63"/>
      <c r="D56" s="64" t="s">
        <v>118</v>
      </c>
      <c r="E56" s="65"/>
      <c r="F56" s="65"/>
      <c r="G56" s="66"/>
      <c r="H56" s="175"/>
      <c r="I56" s="36"/>
      <c r="J56" s="35"/>
      <c r="K56" s="36"/>
      <c r="L56" s="36"/>
      <c r="M56" s="112"/>
    </row>
    <row r="57" spans="1:13" ht="14.1" customHeight="1">
      <c r="A57" s="38">
        <v>28</v>
      </c>
      <c r="B57" s="51" t="s">
        <v>20</v>
      </c>
      <c r="C57" s="52"/>
      <c r="D57" s="59" t="s">
        <v>21</v>
      </c>
      <c r="E57" s="60"/>
      <c r="F57" s="60"/>
      <c r="G57" s="61"/>
      <c r="H57" s="174">
        <f>SUM(I57)-2.7</f>
        <v>41.999999999999993</v>
      </c>
      <c r="I57" s="24">
        <f>SUM(J57)-2.7</f>
        <v>44.699999999999996</v>
      </c>
      <c r="J57" s="33">
        <v>47.4</v>
      </c>
      <c r="K57" s="24">
        <f>SUM(J57)+2.6</f>
        <v>50</v>
      </c>
      <c r="L57" s="24">
        <f>SUM(K57)+2.6</f>
        <v>52.6</v>
      </c>
      <c r="M57" s="26">
        <f>SUM(L57)+2.6</f>
        <v>55.2</v>
      </c>
    </row>
    <row r="58" spans="1:13" ht="14.1" customHeight="1">
      <c r="A58" s="38"/>
      <c r="B58" s="62" t="s">
        <v>61</v>
      </c>
      <c r="C58" s="63"/>
      <c r="D58" s="64" t="s">
        <v>117</v>
      </c>
      <c r="E58" s="65"/>
      <c r="F58" s="65"/>
      <c r="G58" s="66"/>
      <c r="H58" s="175"/>
      <c r="I58" s="36"/>
      <c r="J58" s="35"/>
      <c r="K58" s="36"/>
      <c r="L58" s="36"/>
      <c r="M58" s="37"/>
    </row>
    <row r="59" spans="1:13" ht="14.1" customHeight="1">
      <c r="A59" s="38">
        <v>29</v>
      </c>
      <c r="B59" s="51" t="s">
        <v>22</v>
      </c>
      <c r="C59" s="52"/>
      <c r="D59" s="59" t="s">
        <v>23</v>
      </c>
      <c r="E59" s="60"/>
      <c r="F59" s="60"/>
      <c r="G59" s="61"/>
      <c r="H59" s="174">
        <f>SUM(I59)-6</f>
        <v>33</v>
      </c>
      <c r="I59" s="24">
        <f>SUM(J59)-6</f>
        <v>39</v>
      </c>
      <c r="J59" s="33">
        <v>45</v>
      </c>
      <c r="K59" s="24">
        <f>SUM(J59)+4.5</f>
        <v>49.5</v>
      </c>
      <c r="L59" s="24">
        <f>SUM(K59)+5</f>
        <v>54.5</v>
      </c>
      <c r="M59" s="26">
        <f>SUM(L59)+5</f>
        <v>59.5</v>
      </c>
    </row>
    <row r="60" spans="1:13" ht="14.1" customHeight="1">
      <c r="A60" s="38"/>
      <c r="B60" s="62" t="s">
        <v>60</v>
      </c>
      <c r="C60" s="63"/>
      <c r="D60" s="64" t="s">
        <v>116</v>
      </c>
      <c r="E60" s="65"/>
      <c r="F60" s="65"/>
      <c r="G60" s="66"/>
      <c r="H60" s="175"/>
      <c r="I60" s="36"/>
      <c r="J60" s="35"/>
      <c r="K60" s="36"/>
      <c r="L60" s="36"/>
      <c r="M60" s="37"/>
    </row>
    <row r="61" spans="1:13" ht="14.1" customHeight="1">
      <c r="A61" s="38">
        <v>30</v>
      </c>
      <c r="B61" s="51" t="s">
        <v>115</v>
      </c>
      <c r="C61" s="52"/>
      <c r="D61" s="59" t="s">
        <v>113</v>
      </c>
      <c r="E61" s="60"/>
      <c r="F61" s="60"/>
      <c r="G61" s="61"/>
      <c r="H61" s="174">
        <f>SUM(I61)-1.9</f>
        <v>38.800000000000004</v>
      </c>
      <c r="I61" s="24">
        <f>SUM(J61)-1.9</f>
        <v>40.700000000000003</v>
      </c>
      <c r="J61" s="33">
        <v>42.6</v>
      </c>
      <c r="K61" s="24">
        <f>SUM(J61)+1.9</f>
        <v>44.5</v>
      </c>
      <c r="L61" s="24">
        <f t="shared" ref="L61:M61" si="10">SUM(K61)+1.9</f>
        <v>46.4</v>
      </c>
      <c r="M61" s="26">
        <f t="shared" si="10"/>
        <v>48.3</v>
      </c>
    </row>
    <row r="62" spans="1:13" ht="14.1" customHeight="1">
      <c r="A62" s="38"/>
      <c r="B62" s="62" t="s">
        <v>114</v>
      </c>
      <c r="C62" s="63"/>
      <c r="D62" s="64" t="s">
        <v>113</v>
      </c>
      <c r="E62" s="65"/>
      <c r="F62" s="65"/>
      <c r="G62" s="66"/>
      <c r="H62" s="175"/>
      <c r="I62" s="36"/>
      <c r="J62" s="35"/>
      <c r="K62" s="36"/>
      <c r="L62" s="36"/>
      <c r="M62" s="37"/>
    </row>
    <row r="63" spans="1:13" ht="14.1" customHeight="1">
      <c r="A63" s="38">
        <v>31</v>
      </c>
      <c r="B63" s="51" t="s">
        <v>112</v>
      </c>
      <c r="C63" s="52"/>
      <c r="D63" s="59" t="s">
        <v>111</v>
      </c>
      <c r="E63" s="60"/>
      <c r="F63" s="60"/>
      <c r="G63" s="61"/>
      <c r="H63" s="174">
        <f>SUM(I63)-3.3</f>
        <v>32.400000000000006</v>
      </c>
      <c r="I63" s="24">
        <f>SUM(J63)-3.3</f>
        <v>35.700000000000003</v>
      </c>
      <c r="J63" s="33">
        <v>39</v>
      </c>
      <c r="K63" s="24">
        <f>SUM(J63)+3.2</f>
        <v>42.2</v>
      </c>
      <c r="L63" s="24">
        <f>SUM(K63)+2.9</f>
        <v>45.1</v>
      </c>
      <c r="M63" s="26">
        <f t="shared" ref="M63" si="11">SUM(L63)+2.9</f>
        <v>48</v>
      </c>
    </row>
    <row r="64" spans="1:13" ht="14.1" customHeight="1">
      <c r="A64" s="38"/>
      <c r="B64" s="62" t="s">
        <v>110</v>
      </c>
      <c r="C64" s="63"/>
      <c r="D64" s="64" t="s">
        <v>160</v>
      </c>
      <c r="E64" s="65"/>
      <c r="F64" s="65"/>
      <c r="G64" s="66"/>
      <c r="H64" s="175"/>
      <c r="I64" s="36"/>
      <c r="J64" s="35"/>
      <c r="K64" s="36"/>
      <c r="L64" s="36"/>
      <c r="M64" s="37"/>
    </row>
    <row r="65" spans="1:13" ht="14.1" customHeight="1">
      <c r="A65" s="38">
        <v>32</v>
      </c>
      <c r="B65" s="51" t="s">
        <v>144</v>
      </c>
      <c r="C65" s="52"/>
      <c r="D65" s="59" t="s">
        <v>24</v>
      </c>
      <c r="E65" s="60"/>
      <c r="F65" s="60"/>
      <c r="G65" s="61"/>
      <c r="H65" s="174">
        <f>SUM(I65)-0.2</f>
        <v>4.5</v>
      </c>
      <c r="I65" s="24">
        <f>SUM(J65)-0.2</f>
        <v>4.7</v>
      </c>
      <c r="J65" s="23">
        <v>4.9000000000000004</v>
      </c>
      <c r="K65" s="21">
        <f>SUM(J65)+0.2</f>
        <v>5.1000000000000005</v>
      </c>
      <c r="L65" s="21">
        <f>SUM(K65)+0.2</f>
        <v>5.3000000000000007</v>
      </c>
      <c r="M65" s="22">
        <f>SUM(L65)+0.2</f>
        <v>5.5000000000000009</v>
      </c>
    </row>
    <row r="66" spans="1:13" ht="14.1" customHeight="1">
      <c r="A66" s="38"/>
      <c r="B66" s="62" t="s">
        <v>59</v>
      </c>
      <c r="C66" s="63"/>
      <c r="D66" s="64" t="s">
        <v>143</v>
      </c>
      <c r="E66" s="65"/>
      <c r="F66" s="65"/>
      <c r="G66" s="66"/>
      <c r="H66" s="175"/>
      <c r="I66" s="36"/>
      <c r="J66" s="23"/>
      <c r="K66" s="21"/>
      <c r="L66" s="21"/>
      <c r="M66" s="22"/>
    </row>
    <row r="67" spans="1:13" ht="14.1" customHeight="1">
      <c r="A67" s="38">
        <v>33</v>
      </c>
      <c r="B67" s="51" t="s">
        <v>142</v>
      </c>
      <c r="C67" s="52"/>
      <c r="D67" s="59" t="s">
        <v>25</v>
      </c>
      <c r="E67" s="60"/>
      <c r="F67" s="60"/>
      <c r="G67" s="61"/>
      <c r="H67" s="174">
        <f>SUM(I67)-0.6</f>
        <v>9.2000000000000011</v>
      </c>
      <c r="I67" s="24">
        <f>SUM(J67)-0.6</f>
        <v>9.8000000000000007</v>
      </c>
      <c r="J67" s="33">
        <v>10.4</v>
      </c>
      <c r="K67" s="24">
        <f>SUM(J67)+0.6</f>
        <v>11</v>
      </c>
      <c r="L67" s="24">
        <f>SUM(K67)+0.6</f>
        <v>11.6</v>
      </c>
      <c r="M67" s="26">
        <f>SUM(L67)+0.6</f>
        <v>12.2</v>
      </c>
    </row>
    <row r="68" spans="1:13" ht="14.1" customHeight="1">
      <c r="A68" s="38"/>
      <c r="B68" s="62" t="s">
        <v>58</v>
      </c>
      <c r="C68" s="63"/>
      <c r="D68" s="64" t="s">
        <v>141</v>
      </c>
      <c r="E68" s="65"/>
      <c r="F68" s="65"/>
      <c r="G68" s="66"/>
      <c r="H68" s="175"/>
      <c r="I68" s="36"/>
      <c r="J68" s="35"/>
      <c r="K68" s="36"/>
      <c r="L68" s="36"/>
      <c r="M68" s="37"/>
    </row>
    <row r="69" spans="1:13" ht="14.1" customHeight="1">
      <c r="A69" s="38">
        <v>34</v>
      </c>
      <c r="B69" s="51" t="s">
        <v>140</v>
      </c>
      <c r="C69" s="52"/>
      <c r="D69" s="57"/>
      <c r="E69" s="57"/>
      <c r="F69" s="57"/>
      <c r="G69" s="57"/>
      <c r="H69" s="174">
        <f>SUM(I69)-0.5</f>
        <v>10</v>
      </c>
      <c r="I69" s="24">
        <f>SUM(J69)-0.5</f>
        <v>10.5</v>
      </c>
      <c r="J69" s="33">
        <v>11</v>
      </c>
      <c r="K69" s="24">
        <f>SUM(J69)+0.5</f>
        <v>11.5</v>
      </c>
      <c r="L69" s="24">
        <f>SUM(K69)+0.5</f>
        <v>12</v>
      </c>
      <c r="M69" s="26">
        <f>SUM(L69)+0.5</f>
        <v>12.5</v>
      </c>
    </row>
    <row r="70" spans="1:13" ht="14.1" customHeight="1">
      <c r="A70" s="38"/>
      <c r="B70" s="45" t="s">
        <v>139</v>
      </c>
      <c r="C70" s="46"/>
      <c r="D70" s="47"/>
      <c r="E70" s="48"/>
      <c r="F70" s="48"/>
      <c r="G70" s="49"/>
      <c r="H70" s="175"/>
      <c r="I70" s="36"/>
      <c r="J70" s="35"/>
      <c r="K70" s="36"/>
      <c r="L70" s="36"/>
      <c r="M70" s="37"/>
    </row>
    <row r="71" spans="1:13" ht="14.1" customHeight="1">
      <c r="A71" s="38">
        <v>35</v>
      </c>
      <c r="B71" s="51" t="s">
        <v>138</v>
      </c>
      <c r="C71" s="52"/>
      <c r="D71" s="57"/>
      <c r="E71" s="57"/>
      <c r="F71" s="57"/>
      <c r="G71" s="57"/>
      <c r="H71" s="174">
        <f>SUM(I71)-0.5</f>
        <v>11</v>
      </c>
      <c r="I71" s="24">
        <f>SUM(J71)-0.5</f>
        <v>11.5</v>
      </c>
      <c r="J71" s="33">
        <v>12</v>
      </c>
      <c r="K71" s="24">
        <f>SUM(J71)+0.5</f>
        <v>12.5</v>
      </c>
      <c r="L71" s="24">
        <f>SUM(K71)+0.5</f>
        <v>13</v>
      </c>
      <c r="M71" s="26">
        <f>SUM(L71)+0.5</f>
        <v>13.5</v>
      </c>
    </row>
    <row r="72" spans="1:13" ht="14.1" customHeight="1">
      <c r="A72" s="38"/>
      <c r="B72" s="56" t="s">
        <v>137</v>
      </c>
      <c r="C72" s="56"/>
      <c r="D72" s="47"/>
      <c r="E72" s="48"/>
      <c r="F72" s="48"/>
      <c r="G72" s="49"/>
      <c r="H72" s="175"/>
      <c r="I72" s="36"/>
      <c r="J72" s="35"/>
      <c r="K72" s="36"/>
      <c r="L72" s="36"/>
      <c r="M72" s="37"/>
    </row>
    <row r="73" spans="1:13" s="1" customFormat="1" ht="14.1" customHeight="1">
      <c r="A73" s="38">
        <v>36</v>
      </c>
      <c r="B73" s="51" t="s">
        <v>213</v>
      </c>
      <c r="C73" s="52"/>
      <c r="D73" s="53"/>
      <c r="E73" s="54"/>
      <c r="F73" s="54"/>
      <c r="G73" s="55"/>
      <c r="H73" s="174">
        <f>SUM(I73)</f>
        <v>1.5</v>
      </c>
      <c r="I73" s="24">
        <f>SUM(J73)</f>
        <v>1.5</v>
      </c>
      <c r="J73" s="33">
        <v>1.5</v>
      </c>
      <c r="K73" s="24">
        <f>SUM(J73)</f>
        <v>1.5</v>
      </c>
      <c r="L73" s="24">
        <f t="shared" ref="L73:M73" si="12">SUM(K73)</f>
        <v>1.5</v>
      </c>
      <c r="M73" s="26">
        <f t="shared" si="12"/>
        <v>1.5</v>
      </c>
    </row>
    <row r="74" spans="1:13" s="1" customFormat="1" ht="14.1" customHeight="1" thickBot="1">
      <c r="A74" s="39"/>
      <c r="B74" s="28" t="s">
        <v>214</v>
      </c>
      <c r="C74" s="29"/>
      <c r="D74" s="30" t="s">
        <v>887</v>
      </c>
      <c r="E74" s="31"/>
      <c r="F74" s="31"/>
      <c r="G74" s="32"/>
      <c r="H74" s="177"/>
      <c r="I74" s="25"/>
      <c r="J74" s="34"/>
      <c r="K74" s="25"/>
      <c r="L74" s="25"/>
      <c r="M74" s="27"/>
    </row>
    <row r="75" spans="1:13" ht="13.5" customHeight="1"/>
    <row r="76" spans="1:13" ht="13.5" customHeight="1"/>
  </sheetData>
  <mergeCells count="399">
    <mergeCell ref="A1:M1"/>
    <mergeCell ref="B52:C52"/>
    <mergeCell ref="D52:G52"/>
    <mergeCell ref="A51:A52"/>
    <mergeCell ref="B51:C51"/>
    <mergeCell ref="D51:G51"/>
    <mergeCell ref="H51:H52"/>
    <mergeCell ref="I51:I52"/>
    <mergeCell ref="J51:J52"/>
    <mergeCell ref="K51:K52"/>
    <mergeCell ref="L51:L52"/>
    <mergeCell ref="M51:M52"/>
    <mergeCell ref="B2:C2"/>
    <mergeCell ref="D2:G2"/>
    <mergeCell ref="B3:C3"/>
    <mergeCell ref="D3:G3"/>
    <mergeCell ref="H3:H4"/>
    <mergeCell ref="I3:I4"/>
    <mergeCell ref="J3:J4"/>
    <mergeCell ref="K3:K4"/>
    <mergeCell ref="L3:L4"/>
    <mergeCell ref="B4:C4"/>
    <mergeCell ref="D4:G4"/>
    <mergeCell ref="A3:A4"/>
    <mergeCell ref="M3:M4"/>
    <mergeCell ref="A7:A8"/>
    <mergeCell ref="B7:C7"/>
    <mergeCell ref="D7:G7"/>
    <mergeCell ref="H7:H8"/>
    <mergeCell ref="I7:I8"/>
    <mergeCell ref="J7:J8"/>
    <mergeCell ref="K7:K8"/>
    <mergeCell ref="A5:A6"/>
    <mergeCell ref="B5:C5"/>
    <mergeCell ref="D5:G5"/>
    <mergeCell ref="H5:H6"/>
    <mergeCell ref="I5:I6"/>
    <mergeCell ref="J5:J6"/>
    <mergeCell ref="B6:C6"/>
    <mergeCell ref="D6:G6"/>
    <mergeCell ref="L7:L8"/>
    <mergeCell ref="M7:M8"/>
    <mergeCell ref="B8:C8"/>
    <mergeCell ref="D8:G8"/>
    <mergeCell ref="K5:K6"/>
    <mergeCell ref="L5:L6"/>
    <mergeCell ref="M5:M6"/>
    <mergeCell ref="L9:L10"/>
    <mergeCell ref="M9:M10"/>
    <mergeCell ref="B10:C10"/>
    <mergeCell ref="D10:G10"/>
    <mergeCell ref="J9:J10"/>
    <mergeCell ref="A13:A14"/>
    <mergeCell ref="B11:C11"/>
    <mergeCell ref="D11:G11"/>
    <mergeCell ref="H11:H12"/>
    <mergeCell ref="I11:I12"/>
    <mergeCell ref="K11:K12"/>
    <mergeCell ref="L11:L12"/>
    <mergeCell ref="M11:M12"/>
    <mergeCell ref="B12:C12"/>
    <mergeCell ref="D12:G12"/>
    <mergeCell ref="J11:J12"/>
    <mergeCell ref="A11:A12"/>
    <mergeCell ref="A9:A10"/>
    <mergeCell ref="B9:C9"/>
    <mergeCell ref="D9:G9"/>
    <mergeCell ref="H9:H10"/>
    <mergeCell ref="I9:I10"/>
    <mergeCell ref="K9:K10"/>
    <mergeCell ref="A15:A16"/>
    <mergeCell ref="B15:C15"/>
    <mergeCell ref="D15:G15"/>
    <mergeCell ref="H15:H16"/>
    <mergeCell ref="I15:I16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9:A30"/>
    <mergeCell ref="B29:C29"/>
    <mergeCell ref="D29:G29"/>
    <mergeCell ref="H29:H30"/>
    <mergeCell ref="I29:I30"/>
    <mergeCell ref="J29:J30"/>
    <mergeCell ref="K29:K30"/>
    <mergeCell ref="L29:L30"/>
    <mergeCell ref="M29:M30"/>
    <mergeCell ref="B30:C30"/>
    <mergeCell ref="D30:G30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  <mergeCell ref="A37:A38"/>
    <mergeCell ref="B37:C37"/>
    <mergeCell ref="D37:G37"/>
    <mergeCell ref="H37:H38"/>
    <mergeCell ref="I37:I38"/>
    <mergeCell ref="A35:A36"/>
    <mergeCell ref="B35:C35"/>
    <mergeCell ref="D35:G35"/>
    <mergeCell ref="H35:H36"/>
    <mergeCell ref="I35:I36"/>
    <mergeCell ref="J37:J38"/>
    <mergeCell ref="K37:K38"/>
    <mergeCell ref="L37:L38"/>
    <mergeCell ref="M37:M38"/>
    <mergeCell ref="B38:C38"/>
    <mergeCell ref="D38:G38"/>
    <mergeCell ref="K35:K36"/>
    <mergeCell ref="L35:L36"/>
    <mergeCell ref="M35:M36"/>
    <mergeCell ref="B36:C36"/>
    <mergeCell ref="D36:G36"/>
    <mergeCell ref="J35:J36"/>
    <mergeCell ref="A41:A42"/>
    <mergeCell ref="B41:C41"/>
    <mergeCell ref="D41:G41"/>
    <mergeCell ref="H41:H42"/>
    <mergeCell ref="I41:I42"/>
    <mergeCell ref="A39:A40"/>
    <mergeCell ref="B39:C39"/>
    <mergeCell ref="D39:G39"/>
    <mergeCell ref="H39:H40"/>
    <mergeCell ref="I39:I40"/>
    <mergeCell ref="L41:L42"/>
    <mergeCell ref="M41:M42"/>
    <mergeCell ref="B42:C42"/>
    <mergeCell ref="D42:G42"/>
    <mergeCell ref="K39:K40"/>
    <mergeCell ref="L39:L40"/>
    <mergeCell ref="M39:M40"/>
    <mergeCell ref="B40:C40"/>
    <mergeCell ref="D40:G40"/>
    <mergeCell ref="J39:J40"/>
    <mergeCell ref="J41:J42"/>
    <mergeCell ref="K41:K42"/>
    <mergeCell ref="B46:C46"/>
    <mergeCell ref="D46:G46"/>
    <mergeCell ref="K43:K44"/>
    <mergeCell ref="L43:L44"/>
    <mergeCell ref="M43:M44"/>
    <mergeCell ref="B44:C44"/>
    <mergeCell ref="D44:G44"/>
    <mergeCell ref="J43:J44"/>
    <mergeCell ref="A45:A46"/>
    <mergeCell ref="B45:C45"/>
    <mergeCell ref="D45:G45"/>
    <mergeCell ref="H45:H46"/>
    <mergeCell ref="I45:I46"/>
    <mergeCell ref="A43:A44"/>
    <mergeCell ref="B43:C43"/>
    <mergeCell ref="D43:G43"/>
    <mergeCell ref="H43:H44"/>
    <mergeCell ref="I43:I44"/>
    <mergeCell ref="L45:L46"/>
    <mergeCell ref="M45:M46"/>
    <mergeCell ref="D50:G50"/>
    <mergeCell ref="K47:K48"/>
    <mergeCell ref="L47:L48"/>
    <mergeCell ref="M47:M48"/>
    <mergeCell ref="B48:C48"/>
    <mergeCell ref="D48:G48"/>
    <mergeCell ref="J47:J48"/>
    <mergeCell ref="A49:A50"/>
    <mergeCell ref="B49:C49"/>
    <mergeCell ref="D49:G49"/>
    <mergeCell ref="H49:H50"/>
    <mergeCell ref="I49:I50"/>
    <mergeCell ref="A47:A48"/>
    <mergeCell ref="B47:C47"/>
    <mergeCell ref="D47:G47"/>
    <mergeCell ref="H47:H48"/>
    <mergeCell ref="I47:I48"/>
    <mergeCell ref="L49:L50"/>
    <mergeCell ref="A55:A56"/>
    <mergeCell ref="B55:C55"/>
    <mergeCell ref="D55:G55"/>
    <mergeCell ref="H55:H56"/>
    <mergeCell ref="I55:I56"/>
    <mergeCell ref="A53:A54"/>
    <mergeCell ref="B53:C53"/>
    <mergeCell ref="D53:G53"/>
    <mergeCell ref="H53:H54"/>
    <mergeCell ref="I53:I54"/>
    <mergeCell ref="A57:A58"/>
    <mergeCell ref="B57:C57"/>
    <mergeCell ref="D57:G57"/>
    <mergeCell ref="H57:H58"/>
    <mergeCell ref="I57:I58"/>
    <mergeCell ref="B60:C60"/>
    <mergeCell ref="D60:G60"/>
    <mergeCell ref="B58:C58"/>
    <mergeCell ref="D58:G58"/>
    <mergeCell ref="A59:A60"/>
    <mergeCell ref="B61:C61"/>
    <mergeCell ref="D61:G61"/>
    <mergeCell ref="B59:C59"/>
    <mergeCell ref="D59:G59"/>
    <mergeCell ref="H59:H60"/>
    <mergeCell ref="I59:I60"/>
    <mergeCell ref="H61:H62"/>
    <mergeCell ref="I61:I62"/>
    <mergeCell ref="B62:C62"/>
    <mergeCell ref="D62:G62"/>
    <mergeCell ref="A61:A62"/>
    <mergeCell ref="A73:A74"/>
    <mergeCell ref="B73:C73"/>
    <mergeCell ref="D73:G73"/>
    <mergeCell ref="H73:H74"/>
    <mergeCell ref="I73:I74"/>
    <mergeCell ref="A63:A64"/>
    <mergeCell ref="B63:C63"/>
    <mergeCell ref="D63:G63"/>
    <mergeCell ref="H63:H64"/>
    <mergeCell ref="I63:I64"/>
    <mergeCell ref="B64:C64"/>
    <mergeCell ref="D64:G64"/>
    <mergeCell ref="A69:A70"/>
    <mergeCell ref="B69:C69"/>
    <mergeCell ref="D69:G69"/>
    <mergeCell ref="H69:H70"/>
    <mergeCell ref="I69:I70"/>
    <mergeCell ref="A67:A68"/>
    <mergeCell ref="B67:C67"/>
    <mergeCell ref="A65:A66"/>
    <mergeCell ref="B65:C65"/>
    <mergeCell ref="D65:G65"/>
    <mergeCell ref="H65:H66"/>
    <mergeCell ref="I65:I66"/>
    <mergeCell ref="J67:J68"/>
    <mergeCell ref="D68:G68"/>
    <mergeCell ref="B66:C66"/>
    <mergeCell ref="D66:G66"/>
    <mergeCell ref="L69:L70"/>
    <mergeCell ref="M69:M70"/>
    <mergeCell ref="B70:C70"/>
    <mergeCell ref="D70:G70"/>
    <mergeCell ref="L67:L68"/>
    <mergeCell ref="M67:M68"/>
    <mergeCell ref="K67:K68"/>
    <mergeCell ref="D67:G67"/>
    <mergeCell ref="H67:H68"/>
    <mergeCell ref="I67:I68"/>
    <mergeCell ref="B68:C68"/>
    <mergeCell ref="K73:K74"/>
    <mergeCell ref="L73:L74"/>
    <mergeCell ref="M73:M74"/>
    <mergeCell ref="J69:J70"/>
    <mergeCell ref="L71:L72"/>
    <mergeCell ref="M71:M72"/>
    <mergeCell ref="B74:C74"/>
    <mergeCell ref="D74:G74"/>
    <mergeCell ref="J73:J74"/>
    <mergeCell ref="K69:K70"/>
    <mergeCell ref="B28:C28"/>
    <mergeCell ref="D28:G28"/>
    <mergeCell ref="J55:J56"/>
    <mergeCell ref="K55:K56"/>
    <mergeCell ref="L55:L56"/>
    <mergeCell ref="M55:M56"/>
    <mergeCell ref="B56:C56"/>
    <mergeCell ref="D56:G56"/>
    <mergeCell ref="K53:K54"/>
    <mergeCell ref="L53:L54"/>
    <mergeCell ref="M53:M54"/>
    <mergeCell ref="B54:C54"/>
    <mergeCell ref="D54:G54"/>
    <mergeCell ref="J53:J54"/>
    <mergeCell ref="J49:J50"/>
    <mergeCell ref="K49:K50"/>
    <mergeCell ref="I27:I28"/>
    <mergeCell ref="J27:J28"/>
    <mergeCell ref="K27:K28"/>
    <mergeCell ref="L27:L28"/>
    <mergeCell ref="M27:M28"/>
    <mergeCell ref="J45:J46"/>
    <mergeCell ref="K45:K46"/>
    <mergeCell ref="B50:C50"/>
    <mergeCell ref="J59:J60"/>
    <mergeCell ref="K59:K60"/>
    <mergeCell ref="L59:L60"/>
    <mergeCell ref="M59:M60"/>
    <mergeCell ref="M49:M50"/>
    <mergeCell ref="J65:J66"/>
    <mergeCell ref="K61:K62"/>
    <mergeCell ref="L61:L62"/>
    <mergeCell ref="M61:M62"/>
    <mergeCell ref="K65:K66"/>
    <mergeCell ref="L65:L66"/>
    <mergeCell ref="M65:M66"/>
    <mergeCell ref="L57:L58"/>
    <mergeCell ref="M57:M58"/>
    <mergeCell ref="K57:K58"/>
    <mergeCell ref="J63:J64"/>
    <mergeCell ref="K63:K64"/>
    <mergeCell ref="L63:L64"/>
    <mergeCell ref="M63:M64"/>
    <mergeCell ref="J57:J58"/>
    <mergeCell ref="J61:J62"/>
    <mergeCell ref="L25:L26"/>
    <mergeCell ref="M25:M26"/>
    <mergeCell ref="B26:C26"/>
    <mergeCell ref="D26:G26"/>
    <mergeCell ref="A71:A72"/>
    <mergeCell ref="B71:C71"/>
    <mergeCell ref="D71:G71"/>
    <mergeCell ref="H71:H72"/>
    <mergeCell ref="I71:I72"/>
    <mergeCell ref="J71:J72"/>
    <mergeCell ref="K71:K72"/>
    <mergeCell ref="B72:C72"/>
    <mergeCell ref="D72:G72"/>
    <mergeCell ref="A25:A26"/>
    <mergeCell ref="B25:C25"/>
    <mergeCell ref="D25:G25"/>
    <mergeCell ref="H25:H26"/>
    <mergeCell ref="I25:I26"/>
    <mergeCell ref="J25:J26"/>
    <mergeCell ref="K25:K26"/>
    <mergeCell ref="A27:A28"/>
    <mergeCell ref="B27:C27"/>
    <mergeCell ref="D27:G27"/>
    <mergeCell ref="H27:H28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6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DC360-ED7A-4775-AE9E-4952C7F103F0}">
  <sheetPr codeName="Sheet184">
    <tabColor rgb="FF00B050"/>
    <pageSetUpPr fitToPage="1"/>
  </sheetPr>
  <dimension ref="A1:M51"/>
  <sheetViews>
    <sheetView zoomScale="110" zoomScaleNormal="110" workbookViewId="0">
      <selection activeCell="H11" sqref="H11:H12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8" width="5.5" style="8" customWidth="1"/>
    <col min="9" max="13" width="5.5" customWidth="1"/>
  </cols>
  <sheetData>
    <row r="1" spans="1:13" ht="16.5" customHeight="1" thickBot="1">
      <c r="A1" s="67" t="s">
        <v>253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3" t="s">
        <v>68</v>
      </c>
      <c r="B2" s="179" t="s">
        <v>69</v>
      </c>
      <c r="C2" s="180"/>
      <c r="D2" s="179" t="s">
        <v>70</v>
      </c>
      <c r="E2" s="181"/>
      <c r="F2" s="181"/>
      <c r="G2" s="18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</row>
    <row r="3" spans="1:13" s="1" customFormat="1" ht="14.1" customHeight="1">
      <c r="A3" s="78">
        <v>1</v>
      </c>
      <c r="B3" s="80" t="s">
        <v>149</v>
      </c>
      <c r="C3" s="81"/>
      <c r="D3" s="74" t="s">
        <v>82</v>
      </c>
      <c r="E3" s="82"/>
      <c r="F3" s="82"/>
      <c r="G3" s="83"/>
      <c r="H3" s="58">
        <f>SUM(I3)-3</f>
        <v>47</v>
      </c>
      <c r="I3" s="24">
        <f>SUM(J3)-3</f>
        <v>50</v>
      </c>
      <c r="J3" s="84">
        <v>53</v>
      </c>
      <c r="K3" s="85">
        <f>SUM(J3)+3</f>
        <v>56</v>
      </c>
      <c r="L3" s="85">
        <f>SUM(K3)+3</f>
        <v>59</v>
      </c>
      <c r="M3" s="109">
        <f>SUM(L3)+3</f>
        <v>62</v>
      </c>
    </row>
    <row r="4" spans="1:13" s="1" customFormat="1" ht="14.1" customHeight="1">
      <c r="A4" s="79"/>
      <c r="B4" s="62" t="s">
        <v>108</v>
      </c>
      <c r="C4" s="63"/>
      <c r="D4" s="64" t="s">
        <v>83</v>
      </c>
      <c r="E4" s="65"/>
      <c r="F4" s="65"/>
      <c r="G4" s="66"/>
      <c r="H4" s="56"/>
      <c r="I4" s="36"/>
      <c r="J4" s="35"/>
      <c r="K4" s="36"/>
      <c r="L4" s="36"/>
      <c r="M4" s="37"/>
    </row>
    <row r="5" spans="1:13" s="1" customFormat="1" ht="14.1" customHeight="1">
      <c r="A5" s="92">
        <v>2</v>
      </c>
      <c r="B5" s="40" t="s">
        <v>165</v>
      </c>
      <c r="C5" s="41"/>
      <c r="D5" s="100"/>
      <c r="E5" s="101"/>
      <c r="F5" s="101"/>
      <c r="G5" s="102"/>
      <c r="H5" s="24">
        <f>SUM(I5)-1.3</f>
        <v>17.399999999999999</v>
      </c>
      <c r="I5" s="24">
        <f>SUM(J5)-1.3</f>
        <v>18.7</v>
      </c>
      <c r="J5" s="117">
        <v>20</v>
      </c>
      <c r="K5" s="50">
        <f>SUM(J5)+1.3</f>
        <v>21.3</v>
      </c>
      <c r="L5" s="50">
        <f>SUM(K5)+1.3</f>
        <v>22.6</v>
      </c>
      <c r="M5" s="113">
        <f>SUM(L5)+1.3</f>
        <v>23.900000000000002</v>
      </c>
    </row>
    <row r="6" spans="1:13" s="1" customFormat="1" ht="14.1" customHeight="1">
      <c r="A6" s="79"/>
      <c r="B6" s="62" t="s">
        <v>164</v>
      </c>
      <c r="C6" s="63"/>
      <c r="D6" s="64"/>
      <c r="E6" s="65"/>
      <c r="F6" s="65"/>
      <c r="G6" s="66"/>
      <c r="H6" s="36"/>
      <c r="I6" s="36"/>
      <c r="J6" s="35"/>
      <c r="K6" s="36"/>
      <c r="L6" s="36"/>
      <c r="M6" s="37"/>
    </row>
    <row r="7" spans="1:13" s="1" customFormat="1" ht="14.1" customHeight="1">
      <c r="A7" s="92">
        <v>3</v>
      </c>
      <c r="B7" s="40" t="s">
        <v>148</v>
      </c>
      <c r="C7" s="41"/>
      <c r="D7" s="100"/>
      <c r="E7" s="101"/>
      <c r="F7" s="101"/>
      <c r="G7" s="102"/>
      <c r="H7" s="24">
        <f>SUM(I7)-1.7</f>
        <v>29.6</v>
      </c>
      <c r="I7" s="24">
        <f>SUM(J7)-1.7</f>
        <v>31.3</v>
      </c>
      <c r="J7" s="117">
        <v>33</v>
      </c>
      <c r="K7" s="50">
        <f>SUM(J7)+1.7</f>
        <v>34.700000000000003</v>
      </c>
      <c r="L7" s="50">
        <f>SUM(K7)+1.7</f>
        <v>36.400000000000006</v>
      </c>
      <c r="M7" s="113">
        <f>SUM(L7)+1.7</f>
        <v>38.100000000000009</v>
      </c>
    </row>
    <row r="8" spans="1:13" s="1" customFormat="1" ht="14.1" customHeight="1">
      <c r="A8" s="79"/>
      <c r="B8" s="62" t="s">
        <v>147</v>
      </c>
      <c r="C8" s="63"/>
      <c r="D8" s="64"/>
      <c r="E8" s="65"/>
      <c r="F8" s="65"/>
      <c r="G8" s="66"/>
      <c r="H8" s="36"/>
      <c r="I8" s="36"/>
      <c r="J8" s="35"/>
      <c r="K8" s="36"/>
      <c r="L8" s="36"/>
      <c r="M8" s="37"/>
    </row>
    <row r="9" spans="1:13" s="1" customFormat="1" ht="14.1" customHeight="1">
      <c r="A9" s="92">
        <v>4</v>
      </c>
      <c r="B9" s="51" t="s">
        <v>163</v>
      </c>
      <c r="C9" s="52"/>
      <c r="D9" s="118"/>
      <c r="E9" s="119"/>
      <c r="F9" s="119"/>
      <c r="G9" s="120"/>
      <c r="H9" s="24">
        <f>SUM(I9)-1.7</f>
        <v>34.599999999999994</v>
      </c>
      <c r="I9" s="24">
        <f>SUM(J9)-1.7</f>
        <v>36.299999999999997</v>
      </c>
      <c r="J9" s="117">
        <v>38</v>
      </c>
      <c r="K9" s="50">
        <f>SUM(J9)+1.7</f>
        <v>39.700000000000003</v>
      </c>
      <c r="L9" s="50">
        <f>SUM(K9)+1.7</f>
        <v>41.400000000000006</v>
      </c>
      <c r="M9" s="113">
        <f>SUM(L9)+1.7</f>
        <v>43.100000000000009</v>
      </c>
    </row>
    <row r="10" spans="1:13" s="1" customFormat="1" ht="14.1" customHeight="1">
      <c r="A10" s="79"/>
      <c r="B10" s="62" t="s">
        <v>162</v>
      </c>
      <c r="C10" s="63"/>
      <c r="D10" s="114"/>
      <c r="E10" s="115"/>
      <c r="F10" s="115"/>
      <c r="G10" s="116"/>
      <c r="H10" s="36"/>
      <c r="I10" s="36"/>
      <c r="J10" s="35"/>
      <c r="K10" s="36"/>
      <c r="L10" s="36"/>
      <c r="M10" s="37"/>
    </row>
    <row r="11" spans="1:13" s="1" customFormat="1" ht="14.1" customHeight="1">
      <c r="A11" s="92">
        <v>5</v>
      </c>
      <c r="B11" s="51" t="s">
        <v>157</v>
      </c>
      <c r="C11" s="52"/>
      <c r="D11" s="100"/>
      <c r="E11" s="101"/>
      <c r="F11" s="101"/>
      <c r="G11" s="102"/>
      <c r="H11" s="58">
        <f>SUM(I11)-4.5</f>
        <v>63.2</v>
      </c>
      <c r="I11" s="24">
        <f>SUM(J11)-4.5</f>
        <v>67.7</v>
      </c>
      <c r="J11" s="117">
        <v>72.2</v>
      </c>
      <c r="K11" s="50">
        <f>SUM(J11)+4.5</f>
        <v>76.7</v>
      </c>
      <c r="L11" s="50">
        <f>SUM(K11)+4.5</f>
        <v>81.2</v>
      </c>
      <c r="M11" s="113">
        <f>SUM(L11)+4.5</f>
        <v>85.7</v>
      </c>
    </row>
    <row r="12" spans="1:13" s="1" customFormat="1" ht="14.1" customHeight="1">
      <c r="A12" s="79"/>
      <c r="B12" s="62" t="s">
        <v>158</v>
      </c>
      <c r="C12" s="63"/>
      <c r="D12" s="64"/>
      <c r="E12" s="65"/>
      <c r="F12" s="65"/>
      <c r="G12" s="66"/>
      <c r="H12" s="56"/>
      <c r="I12" s="36"/>
      <c r="J12" s="35"/>
      <c r="K12" s="36"/>
      <c r="L12" s="36"/>
      <c r="M12" s="37"/>
    </row>
    <row r="13" spans="1:13" s="1" customFormat="1" ht="14.1" customHeight="1">
      <c r="A13" s="92">
        <v>6</v>
      </c>
      <c r="B13" s="51" t="s">
        <v>152</v>
      </c>
      <c r="C13" s="52"/>
      <c r="D13" s="182" t="s">
        <v>84</v>
      </c>
      <c r="E13" s="183"/>
      <c r="F13" s="183"/>
      <c r="G13" s="184"/>
      <c r="H13" s="58">
        <f>SUM(I13)-2.5</f>
        <v>24.7</v>
      </c>
      <c r="I13" s="24">
        <f>SUM(J13)-2.5</f>
        <v>27.2</v>
      </c>
      <c r="J13" s="33">
        <v>29.7</v>
      </c>
      <c r="K13" s="24">
        <f>SUM(J13)+2.5</f>
        <v>32.200000000000003</v>
      </c>
      <c r="L13" s="24">
        <f>SUM(K13)+2.5</f>
        <v>34.700000000000003</v>
      </c>
      <c r="M13" s="111">
        <f>SUM(L13)+2.5</f>
        <v>37.200000000000003</v>
      </c>
    </row>
    <row r="14" spans="1:13" s="1" customFormat="1" ht="14.1" customHeight="1">
      <c r="A14" s="79"/>
      <c r="B14" s="62" t="s">
        <v>151</v>
      </c>
      <c r="C14" s="63"/>
      <c r="D14" s="114" t="s">
        <v>150</v>
      </c>
      <c r="E14" s="115"/>
      <c r="F14" s="115"/>
      <c r="G14" s="116"/>
      <c r="H14" s="56"/>
      <c r="I14" s="36"/>
      <c r="J14" s="35"/>
      <c r="K14" s="36"/>
      <c r="L14" s="36"/>
      <c r="M14" s="112"/>
    </row>
    <row r="15" spans="1:13" s="1" customFormat="1" ht="14.1" customHeight="1">
      <c r="A15" s="92">
        <v>7</v>
      </c>
      <c r="B15" s="141" t="s">
        <v>47</v>
      </c>
      <c r="C15" s="141"/>
      <c r="D15" s="132"/>
      <c r="E15" s="132"/>
      <c r="F15" s="132"/>
      <c r="G15" s="132"/>
      <c r="H15" s="50">
        <f>SUM(I15)-3</f>
        <v>37.5</v>
      </c>
      <c r="I15" s="50">
        <f>SUM(J15)-3</f>
        <v>40.5</v>
      </c>
      <c r="J15" s="117">
        <v>43.5</v>
      </c>
      <c r="K15" s="50">
        <f>SUM(J15)+2.8</f>
        <v>46.3</v>
      </c>
      <c r="L15" s="50">
        <f>SUM(K15)+3</f>
        <v>49.3</v>
      </c>
      <c r="M15" s="113">
        <f>SUM(L15)+3</f>
        <v>52.3</v>
      </c>
    </row>
    <row r="16" spans="1:13" s="1" customFormat="1" ht="14.1" customHeight="1" thickBot="1">
      <c r="A16" s="99"/>
      <c r="B16" s="110" t="s">
        <v>27</v>
      </c>
      <c r="C16" s="110"/>
      <c r="D16" s="30" t="s">
        <v>252</v>
      </c>
      <c r="E16" s="31"/>
      <c r="F16" s="31"/>
      <c r="G16" s="32"/>
      <c r="H16" s="25"/>
      <c r="I16" s="25"/>
      <c r="J16" s="34"/>
      <c r="K16" s="25"/>
      <c r="L16" s="25"/>
      <c r="M16" s="27"/>
    </row>
    <row r="17" ht="14.1" customHeight="1"/>
    <row r="18" ht="14.1" customHeight="1"/>
    <row r="19" ht="14.1" customHeight="1"/>
    <row r="20" ht="14.1" customHeight="1"/>
    <row r="21" ht="14.1" customHeight="1"/>
    <row r="22" ht="14.1" customHeight="1"/>
    <row r="23" ht="14.1" customHeight="1"/>
    <row r="24" ht="14.1" customHeight="1"/>
    <row r="25" ht="14.1" customHeight="1"/>
    <row r="26" ht="14.1" customHeight="1"/>
    <row r="27" ht="14.1" customHeight="1"/>
    <row r="28" ht="14.1" customHeight="1"/>
    <row r="29" ht="14.1" customHeight="1"/>
    <row r="30" ht="14.1" customHeight="1"/>
    <row r="31" ht="14.1" customHeight="1"/>
    <row r="32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80">
    <mergeCell ref="K15:K16"/>
    <mergeCell ref="L15:L16"/>
    <mergeCell ref="M15:M16"/>
    <mergeCell ref="B16:C16"/>
    <mergeCell ref="D15:G15"/>
    <mergeCell ref="H15:H16"/>
    <mergeCell ref="I15:I16"/>
    <mergeCell ref="J15:J16"/>
    <mergeCell ref="A13:A14"/>
    <mergeCell ref="B13:C13"/>
    <mergeCell ref="D16:G16"/>
    <mergeCell ref="A15:A16"/>
    <mergeCell ref="B15:C15"/>
    <mergeCell ref="B14:C14"/>
    <mergeCell ref="D14:G14"/>
    <mergeCell ref="A9:A10"/>
    <mergeCell ref="B9:C9"/>
    <mergeCell ref="M11:M12"/>
    <mergeCell ref="B12:C12"/>
    <mergeCell ref="D12:G12"/>
    <mergeCell ref="A11:A12"/>
    <mergeCell ref="B11:C11"/>
    <mergeCell ref="B10:C10"/>
    <mergeCell ref="J11:J12"/>
    <mergeCell ref="K11:K12"/>
    <mergeCell ref="L11:L12"/>
    <mergeCell ref="L9:L10"/>
    <mergeCell ref="M9:M10"/>
    <mergeCell ref="D9:G9"/>
    <mergeCell ref="H9:H10"/>
    <mergeCell ref="J9:J10"/>
    <mergeCell ref="M13:M14"/>
    <mergeCell ref="D13:G13"/>
    <mergeCell ref="H13:H14"/>
    <mergeCell ref="K7:K8"/>
    <mergeCell ref="L7:L8"/>
    <mergeCell ref="I9:I10"/>
    <mergeCell ref="D11:G11"/>
    <mergeCell ref="H11:H12"/>
    <mergeCell ref="I11:I12"/>
    <mergeCell ref="D10:G10"/>
    <mergeCell ref="M7:M8"/>
    <mergeCell ref="J13:J14"/>
    <mergeCell ref="I13:I14"/>
    <mergeCell ref="K13:K14"/>
    <mergeCell ref="L13:L14"/>
    <mergeCell ref="K9:K10"/>
    <mergeCell ref="K5:K6"/>
    <mergeCell ref="L5:L6"/>
    <mergeCell ref="M5:M6"/>
    <mergeCell ref="B6:C6"/>
    <mergeCell ref="D6:G6"/>
    <mergeCell ref="J5:J6"/>
    <mergeCell ref="J7:J8"/>
    <mergeCell ref="A5:A6"/>
    <mergeCell ref="B5:C5"/>
    <mergeCell ref="D5:G5"/>
    <mergeCell ref="H5:H6"/>
    <mergeCell ref="I5:I6"/>
    <mergeCell ref="A7:A8"/>
    <mergeCell ref="B7:C7"/>
    <mergeCell ref="D7:G7"/>
    <mergeCell ref="H7:H8"/>
    <mergeCell ref="I7:I8"/>
    <mergeCell ref="B8:C8"/>
    <mergeCell ref="D8:G8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7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E05A4-076F-4520-AFAD-0AB512D30082}">
  <sheetPr codeName="Sheet182">
    <tabColor rgb="FF00B050"/>
    <pageSetUpPr fitToPage="1"/>
  </sheetPr>
  <dimension ref="A1:N51"/>
  <sheetViews>
    <sheetView zoomScale="110" zoomScaleNormal="110" workbookViewId="0">
      <selection activeCell="K11" sqref="K11:K12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8" width="5.5" style="8" customWidth="1"/>
    <col min="9" max="14" width="5.5" customWidth="1"/>
  </cols>
  <sheetData>
    <row r="1" spans="1:14" ht="16.5" customHeight="1" thickBot="1">
      <c r="A1" s="67" t="s">
        <v>216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9"/>
    </row>
    <row r="2" spans="1:14" ht="16.5" customHeight="1" thickBot="1">
      <c r="A2" s="3" t="s">
        <v>68</v>
      </c>
      <c r="B2" s="179" t="s">
        <v>69</v>
      </c>
      <c r="C2" s="180"/>
      <c r="D2" s="179" t="s">
        <v>70</v>
      </c>
      <c r="E2" s="181"/>
      <c r="F2" s="181"/>
      <c r="G2" s="18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  <c r="N2" s="7" t="s">
        <v>229</v>
      </c>
    </row>
    <row r="3" spans="1:14" s="1" customFormat="1" ht="14.1" customHeight="1">
      <c r="A3" s="78">
        <v>1</v>
      </c>
      <c r="B3" s="80" t="s">
        <v>149</v>
      </c>
      <c r="C3" s="81"/>
      <c r="D3" s="74" t="s">
        <v>82</v>
      </c>
      <c r="E3" s="82"/>
      <c r="F3" s="82"/>
      <c r="G3" s="83"/>
      <c r="H3" s="185">
        <f>SUM(I3)-3</f>
        <v>47</v>
      </c>
      <c r="I3" s="85">
        <f>SUM(J3)-3</f>
        <v>50</v>
      </c>
      <c r="J3" s="84">
        <v>53</v>
      </c>
      <c r="K3" s="85">
        <f>SUM(J3)+3</f>
        <v>56</v>
      </c>
      <c r="L3" s="85">
        <f>SUM(K3)+3</f>
        <v>59</v>
      </c>
      <c r="M3" s="85">
        <f>SUM(L3)+3</f>
        <v>62</v>
      </c>
      <c r="N3" s="131">
        <f>SUM(M3)+3</f>
        <v>65</v>
      </c>
    </row>
    <row r="4" spans="1:14" s="1" customFormat="1" ht="14.1" customHeight="1">
      <c r="A4" s="79"/>
      <c r="B4" s="62" t="s">
        <v>108</v>
      </c>
      <c r="C4" s="63"/>
      <c r="D4" s="64" t="s">
        <v>83</v>
      </c>
      <c r="E4" s="65"/>
      <c r="F4" s="65"/>
      <c r="G4" s="66"/>
      <c r="H4" s="175"/>
      <c r="I4" s="36"/>
      <c r="J4" s="35"/>
      <c r="K4" s="36"/>
      <c r="L4" s="36"/>
      <c r="M4" s="36"/>
      <c r="N4" s="122"/>
    </row>
    <row r="5" spans="1:14" s="1" customFormat="1" ht="14.1" customHeight="1">
      <c r="A5" s="92">
        <v>2</v>
      </c>
      <c r="B5" s="40" t="s">
        <v>165</v>
      </c>
      <c r="C5" s="41"/>
      <c r="D5" s="100"/>
      <c r="E5" s="101"/>
      <c r="F5" s="101"/>
      <c r="G5" s="102"/>
      <c r="H5" s="176">
        <f>SUM(I5)-1.2</f>
        <v>17.600000000000001</v>
      </c>
      <c r="I5" s="50">
        <f>SUM(J5)-1.2</f>
        <v>18.8</v>
      </c>
      <c r="J5" s="117">
        <v>20</v>
      </c>
      <c r="K5" s="50">
        <f>SUM(J5)+1.2</f>
        <v>21.2</v>
      </c>
      <c r="L5" s="50">
        <f>SUM(K5)+1.2</f>
        <v>22.4</v>
      </c>
      <c r="M5" s="50">
        <f>SUM(L5)+1.2</f>
        <v>23.599999999999998</v>
      </c>
      <c r="N5" s="127">
        <f>SUM(M5)+1.2</f>
        <v>24.799999999999997</v>
      </c>
    </row>
    <row r="6" spans="1:14" s="1" customFormat="1" ht="14.1" customHeight="1">
      <c r="A6" s="79"/>
      <c r="B6" s="62" t="s">
        <v>164</v>
      </c>
      <c r="C6" s="63"/>
      <c r="D6" s="64"/>
      <c r="E6" s="65"/>
      <c r="F6" s="65"/>
      <c r="G6" s="66"/>
      <c r="H6" s="175"/>
      <c r="I6" s="36"/>
      <c r="J6" s="35"/>
      <c r="K6" s="36"/>
      <c r="L6" s="36"/>
      <c r="M6" s="36"/>
      <c r="N6" s="122"/>
    </row>
    <row r="7" spans="1:14" s="1" customFormat="1" ht="14.1" customHeight="1">
      <c r="A7" s="92">
        <v>3</v>
      </c>
      <c r="B7" s="40" t="s">
        <v>148</v>
      </c>
      <c r="C7" s="41"/>
      <c r="D7" s="100"/>
      <c r="E7" s="101"/>
      <c r="F7" s="101"/>
      <c r="G7" s="102"/>
      <c r="H7" s="174">
        <f>SUM(I7)-1.8</f>
        <v>29.4</v>
      </c>
      <c r="I7" s="24">
        <f>SUM(J7)-1.8</f>
        <v>31.2</v>
      </c>
      <c r="J7" s="33">
        <v>33</v>
      </c>
      <c r="K7" s="24">
        <f>SUM(J7)+1.8</f>
        <v>34.799999999999997</v>
      </c>
      <c r="L7" s="24">
        <f>SUM(K7)+1.8</f>
        <v>36.599999999999994</v>
      </c>
      <c r="M7" s="24">
        <f>SUM(L7)+1.8</f>
        <v>38.399999999999991</v>
      </c>
      <c r="N7" s="121">
        <f>SUM(M7)+1.8</f>
        <v>40.199999999999989</v>
      </c>
    </row>
    <row r="8" spans="1:14" s="1" customFormat="1" ht="14.1" customHeight="1">
      <c r="A8" s="79"/>
      <c r="B8" s="62" t="s">
        <v>147</v>
      </c>
      <c r="C8" s="63"/>
      <c r="D8" s="64"/>
      <c r="E8" s="65"/>
      <c r="F8" s="65"/>
      <c r="G8" s="66"/>
      <c r="H8" s="175"/>
      <c r="I8" s="36"/>
      <c r="J8" s="35"/>
      <c r="K8" s="36"/>
      <c r="L8" s="36"/>
      <c r="M8" s="36"/>
      <c r="N8" s="122"/>
    </row>
    <row r="9" spans="1:14" s="1" customFormat="1" ht="14.1" customHeight="1">
      <c r="A9" s="92">
        <v>4</v>
      </c>
      <c r="B9" s="51" t="s">
        <v>163</v>
      </c>
      <c r="C9" s="52"/>
      <c r="D9" s="118"/>
      <c r="E9" s="119"/>
      <c r="F9" s="119"/>
      <c r="G9" s="120"/>
      <c r="H9" s="174">
        <f>SUM(I9)-1.8</f>
        <v>34.900000000000006</v>
      </c>
      <c r="I9" s="24">
        <f>SUM(J9)-1.8</f>
        <v>36.700000000000003</v>
      </c>
      <c r="J9" s="33">
        <v>38.5</v>
      </c>
      <c r="K9" s="24">
        <f>SUM(J9)+1.8</f>
        <v>40.299999999999997</v>
      </c>
      <c r="L9" s="24">
        <f>SUM(K9)+1.8</f>
        <v>42.099999999999994</v>
      </c>
      <c r="M9" s="24">
        <f>SUM(L9)+1.8</f>
        <v>43.899999999999991</v>
      </c>
      <c r="N9" s="121">
        <f>SUM(M9)+1.8</f>
        <v>45.699999999999989</v>
      </c>
    </row>
    <row r="10" spans="1:14" s="1" customFormat="1" ht="14.1" customHeight="1">
      <c r="A10" s="79"/>
      <c r="B10" s="62" t="s">
        <v>162</v>
      </c>
      <c r="C10" s="63"/>
      <c r="D10" s="114"/>
      <c r="E10" s="115"/>
      <c r="F10" s="115"/>
      <c r="G10" s="116"/>
      <c r="H10" s="175"/>
      <c r="I10" s="36"/>
      <c r="J10" s="35"/>
      <c r="K10" s="36"/>
      <c r="L10" s="36"/>
      <c r="M10" s="36"/>
      <c r="N10" s="122"/>
    </row>
    <row r="11" spans="1:14" s="1" customFormat="1" ht="14.1" customHeight="1">
      <c r="A11" s="92">
        <v>5</v>
      </c>
      <c r="B11" s="51" t="s">
        <v>157</v>
      </c>
      <c r="C11" s="52"/>
      <c r="D11" s="100"/>
      <c r="E11" s="101"/>
      <c r="F11" s="101"/>
      <c r="G11" s="102"/>
      <c r="H11" s="174">
        <f>SUM(I11)-4.5</f>
        <v>66.8</v>
      </c>
      <c r="I11" s="24">
        <f>SUM(J11)-4.5</f>
        <v>71.3</v>
      </c>
      <c r="J11" s="117">
        <v>75.8</v>
      </c>
      <c r="K11" s="50">
        <f>SUM(J11)+4.5</f>
        <v>80.3</v>
      </c>
      <c r="L11" s="50">
        <f>SUM(K11)+4.5</f>
        <v>84.8</v>
      </c>
      <c r="M11" s="50">
        <f>SUM(L11)+4.5</f>
        <v>89.3</v>
      </c>
      <c r="N11" s="127">
        <f>SUM(M11)+4.5</f>
        <v>93.8</v>
      </c>
    </row>
    <row r="12" spans="1:14" s="1" customFormat="1" ht="14.1" customHeight="1">
      <c r="A12" s="79"/>
      <c r="B12" s="62" t="s">
        <v>158</v>
      </c>
      <c r="C12" s="63"/>
      <c r="D12" s="64"/>
      <c r="E12" s="65"/>
      <c r="F12" s="65"/>
      <c r="G12" s="66"/>
      <c r="H12" s="175"/>
      <c r="I12" s="36"/>
      <c r="J12" s="35"/>
      <c r="K12" s="36"/>
      <c r="L12" s="36"/>
      <c r="M12" s="36"/>
      <c r="N12" s="122"/>
    </row>
    <row r="13" spans="1:14" s="1" customFormat="1" ht="14.1" customHeight="1">
      <c r="A13" s="92">
        <v>6</v>
      </c>
      <c r="B13" s="51" t="s">
        <v>152</v>
      </c>
      <c r="C13" s="52"/>
      <c r="D13" s="182" t="s">
        <v>84</v>
      </c>
      <c r="E13" s="183"/>
      <c r="F13" s="183"/>
      <c r="G13" s="184"/>
      <c r="H13" s="174">
        <f>SUM(I13)-2.5</f>
        <v>24</v>
      </c>
      <c r="I13" s="24">
        <f>SUM(J13)-2.5</f>
        <v>26.5</v>
      </c>
      <c r="J13" s="117">
        <v>29</v>
      </c>
      <c r="K13" s="50">
        <f>SUM(J13)+2.5</f>
        <v>31.5</v>
      </c>
      <c r="L13" s="50">
        <f>SUM(K13)+2.5</f>
        <v>34</v>
      </c>
      <c r="M13" s="50">
        <f>SUM(L13)+2.5</f>
        <v>36.5</v>
      </c>
      <c r="N13" s="127">
        <f>SUM(M13)+2.5</f>
        <v>39</v>
      </c>
    </row>
    <row r="14" spans="1:14" s="1" customFormat="1" ht="14.1" customHeight="1">
      <c r="A14" s="79"/>
      <c r="B14" s="36" t="s">
        <v>151</v>
      </c>
      <c r="C14" s="36"/>
      <c r="D14" s="114" t="s">
        <v>150</v>
      </c>
      <c r="E14" s="115"/>
      <c r="F14" s="115"/>
      <c r="G14" s="116"/>
      <c r="H14" s="175"/>
      <c r="I14" s="36"/>
      <c r="J14" s="35"/>
      <c r="K14" s="36"/>
      <c r="L14" s="36"/>
      <c r="M14" s="36"/>
      <c r="N14" s="122"/>
    </row>
    <row r="15" spans="1:14" s="1" customFormat="1" ht="14.1" customHeight="1">
      <c r="A15" s="98">
        <v>7</v>
      </c>
      <c r="B15" s="58" t="s">
        <v>47</v>
      </c>
      <c r="C15" s="58"/>
      <c r="D15" s="182"/>
      <c r="E15" s="183"/>
      <c r="F15" s="183"/>
      <c r="G15" s="184"/>
      <c r="H15" s="174">
        <f>SUM(I15)-3.3</f>
        <v>66.800000000000011</v>
      </c>
      <c r="I15" s="24">
        <f>SUM(J15)-3.3</f>
        <v>70.100000000000009</v>
      </c>
      <c r="J15" s="33">
        <v>73.400000000000006</v>
      </c>
      <c r="K15" s="24">
        <f>SUM(J15)+3.1</f>
        <v>76.5</v>
      </c>
      <c r="L15" s="24">
        <f>SUM(K15)+3.2</f>
        <v>79.7</v>
      </c>
      <c r="M15" s="24">
        <f>SUM(L15)+3.3</f>
        <v>83</v>
      </c>
      <c r="N15" s="121">
        <f>SUM(M15)+3.3</f>
        <v>86.3</v>
      </c>
    </row>
    <row r="16" spans="1:14" s="1" customFormat="1" ht="14.1" customHeight="1" thickBot="1">
      <c r="A16" s="186"/>
      <c r="B16" s="189" t="s">
        <v>27</v>
      </c>
      <c r="C16" s="189"/>
      <c r="D16" s="190" t="s">
        <v>183</v>
      </c>
      <c r="E16" s="191"/>
      <c r="F16" s="191"/>
      <c r="G16" s="192"/>
      <c r="H16" s="187"/>
      <c r="I16" s="148"/>
      <c r="J16" s="188"/>
      <c r="K16" s="148"/>
      <c r="L16" s="148"/>
      <c r="M16" s="148"/>
      <c r="N16" s="193"/>
    </row>
    <row r="17" spans="1:14" s="1" customFormat="1" ht="14.1" customHeight="1" thickTop="1">
      <c r="A17" s="92">
        <v>8</v>
      </c>
      <c r="B17" s="40" t="s">
        <v>13</v>
      </c>
      <c r="C17" s="41"/>
      <c r="D17" s="100" t="s">
        <v>14</v>
      </c>
      <c r="E17" s="101"/>
      <c r="F17" s="101"/>
      <c r="G17" s="102"/>
      <c r="H17" s="176">
        <f>SUM(I17)-3.2</f>
        <v>53.699999999999996</v>
      </c>
      <c r="I17" s="50">
        <f>SUM(J17)-3.2</f>
        <v>56.9</v>
      </c>
      <c r="J17" s="117">
        <v>60.1</v>
      </c>
      <c r="K17" s="50">
        <f>SUM(J17)+3.2</f>
        <v>63.300000000000004</v>
      </c>
      <c r="L17" s="50">
        <f>SUM(K17)+3.2</f>
        <v>66.5</v>
      </c>
      <c r="M17" s="50">
        <f>SUM(L17)+3.2</f>
        <v>69.7</v>
      </c>
      <c r="N17" s="127">
        <f>SUM(M17)+3.2</f>
        <v>72.900000000000006</v>
      </c>
    </row>
    <row r="18" spans="1:14" s="1" customFormat="1" ht="14.1" customHeight="1">
      <c r="A18" s="79"/>
      <c r="B18" s="62" t="s">
        <v>55</v>
      </c>
      <c r="C18" s="63"/>
      <c r="D18" s="64" t="s">
        <v>121</v>
      </c>
      <c r="E18" s="65"/>
      <c r="F18" s="65"/>
      <c r="G18" s="66"/>
      <c r="H18" s="175"/>
      <c r="I18" s="36"/>
      <c r="J18" s="35"/>
      <c r="K18" s="36"/>
      <c r="L18" s="36"/>
      <c r="M18" s="36"/>
      <c r="N18" s="122"/>
    </row>
    <row r="19" spans="1:14" s="1" customFormat="1" ht="14.1" customHeight="1">
      <c r="A19" s="92">
        <v>9</v>
      </c>
      <c r="B19" s="51" t="s">
        <v>146</v>
      </c>
      <c r="C19" s="52"/>
      <c r="D19" s="59"/>
      <c r="E19" s="60"/>
      <c r="F19" s="60"/>
      <c r="G19" s="61"/>
      <c r="H19" s="174">
        <f>SUM(I19)-0.7</f>
        <v>12.100000000000001</v>
      </c>
      <c r="I19" s="24">
        <f>SUM(J19)-0.7</f>
        <v>12.8</v>
      </c>
      <c r="J19" s="33">
        <v>13.5</v>
      </c>
      <c r="K19" s="24">
        <f>SUM(J19)+1.2</f>
        <v>14.7</v>
      </c>
      <c r="L19" s="24">
        <f>SUM(K19)+0.7</f>
        <v>15.399999999999999</v>
      </c>
      <c r="M19" s="24">
        <f>SUM(L19)+0.7</f>
        <v>16.099999999999998</v>
      </c>
      <c r="N19" s="121">
        <f>SUM(M19)+0.7</f>
        <v>16.799999999999997</v>
      </c>
    </row>
    <row r="20" spans="1:14" s="1" customFormat="1" ht="14.1" customHeight="1">
      <c r="A20" s="79"/>
      <c r="B20" s="62" t="s">
        <v>145</v>
      </c>
      <c r="C20" s="63"/>
      <c r="D20" s="89" t="s">
        <v>159</v>
      </c>
      <c r="E20" s="90"/>
      <c r="F20" s="90"/>
      <c r="G20" s="91"/>
      <c r="H20" s="175"/>
      <c r="I20" s="36"/>
      <c r="J20" s="35"/>
      <c r="K20" s="36"/>
      <c r="L20" s="36"/>
      <c r="M20" s="36"/>
      <c r="N20" s="122"/>
    </row>
    <row r="21" spans="1:14" s="1" customFormat="1" ht="14.1" customHeight="1">
      <c r="A21" s="92">
        <v>10</v>
      </c>
      <c r="B21" s="51" t="s">
        <v>9</v>
      </c>
      <c r="C21" s="52"/>
      <c r="D21" s="59" t="s">
        <v>84</v>
      </c>
      <c r="E21" s="60"/>
      <c r="F21" s="60"/>
      <c r="G21" s="61"/>
      <c r="H21" s="174">
        <f>SUM(I21)-1.5</f>
        <v>21.5</v>
      </c>
      <c r="I21" s="24">
        <f>SUM(J21)-1.5</f>
        <v>23</v>
      </c>
      <c r="J21" s="33">
        <v>24.5</v>
      </c>
      <c r="K21" s="24">
        <f>SUM(J21)+1.5</f>
        <v>26</v>
      </c>
      <c r="L21" s="24">
        <f>SUM(K21)+1.5</f>
        <v>27.5</v>
      </c>
      <c r="M21" s="24">
        <f>SUM(L21)+1.5</f>
        <v>29</v>
      </c>
      <c r="N21" s="121">
        <f>SUM(M21)+1.5</f>
        <v>30.5</v>
      </c>
    </row>
    <row r="22" spans="1:14" s="1" customFormat="1" ht="14.1" customHeight="1">
      <c r="A22" s="79"/>
      <c r="B22" s="62" t="s">
        <v>56</v>
      </c>
      <c r="C22" s="63"/>
      <c r="D22" s="64" t="s">
        <v>120</v>
      </c>
      <c r="E22" s="65"/>
      <c r="F22" s="65"/>
      <c r="G22" s="66"/>
      <c r="H22" s="175"/>
      <c r="I22" s="36"/>
      <c r="J22" s="35"/>
      <c r="K22" s="36"/>
      <c r="L22" s="36"/>
      <c r="M22" s="36"/>
      <c r="N22" s="122"/>
    </row>
    <row r="23" spans="1:14" s="1" customFormat="1" ht="14.1" customHeight="1">
      <c r="A23" s="92">
        <v>11</v>
      </c>
      <c r="B23" s="51" t="s">
        <v>16</v>
      </c>
      <c r="C23" s="52"/>
      <c r="D23" s="59" t="s">
        <v>17</v>
      </c>
      <c r="E23" s="60"/>
      <c r="F23" s="60"/>
      <c r="G23" s="61"/>
      <c r="H23" s="174">
        <f>SUM(I23)-2</f>
        <v>31</v>
      </c>
      <c r="I23" s="24">
        <f>SUM(J23)-2</f>
        <v>33</v>
      </c>
      <c r="J23" s="33">
        <v>35</v>
      </c>
      <c r="K23" s="24">
        <f>SUM(J23)+2</f>
        <v>37</v>
      </c>
      <c r="L23" s="24">
        <f>SUM(K23)+2</f>
        <v>39</v>
      </c>
      <c r="M23" s="24">
        <f>SUM(L23)+2</f>
        <v>41</v>
      </c>
      <c r="N23" s="121">
        <f>SUM(M23)+2</f>
        <v>43</v>
      </c>
    </row>
    <row r="24" spans="1:14" s="1" customFormat="1" ht="14.1" customHeight="1">
      <c r="A24" s="79"/>
      <c r="B24" s="62" t="s">
        <v>57</v>
      </c>
      <c r="C24" s="63"/>
      <c r="D24" s="47" t="s">
        <v>119</v>
      </c>
      <c r="E24" s="48"/>
      <c r="F24" s="48"/>
      <c r="G24" s="49"/>
      <c r="H24" s="175"/>
      <c r="I24" s="36"/>
      <c r="J24" s="35"/>
      <c r="K24" s="36"/>
      <c r="L24" s="36"/>
      <c r="M24" s="36"/>
      <c r="N24" s="122"/>
    </row>
    <row r="25" spans="1:14" s="1" customFormat="1" ht="14.1" customHeight="1">
      <c r="A25" s="92">
        <v>12</v>
      </c>
      <c r="B25" s="51" t="s">
        <v>18</v>
      </c>
      <c r="C25" s="52"/>
      <c r="D25" s="59" t="s">
        <v>15</v>
      </c>
      <c r="E25" s="60"/>
      <c r="F25" s="60"/>
      <c r="G25" s="61"/>
      <c r="H25" s="174">
        <f>SUM(I25)-1</f>
        <v>20</v>
      </c>
      <c r="I25" s="24">
        <f>SUM(J25)-1</f>
        <v>21</v>
      </c>
      <c r="J25" s="33">
        <v>22</v>
      </c>
      <c r="K25" s="24">
        <f>SUM(J25)+1.5</f>
        <v>23.5</v>
      </c>
      <c r="L25" s="24">
        <f>SUM(K25)+1</f>
        <v>24.5</v>
      </c>
      <c r="M25" s="24">
        <f>SUM(L25)+1</f>
        <v>25.5</v>
      </c>
      <c r="N25" s="121">
        <f>SUM(M25)+1</f>
        <v>26.5</v>
      </c>
    </row>
    <row r="26" spans="1:14" s="1" customFormat="1" ht="14.1" customHeight="1">
      <c r="A26" s="79"/>
      <c r="B26" s="62" t="s">
        <v>63</v>
      </c>
      <c r="C26" s="63"/>
      <c r="D26" s="64" t="s">
        <v>118</v>
      </c>
      <c r="E26" s="65"/>
      <c r="F26" s="65"/>
      <c r="G26" s="66"/>
      <c r="H26" s="175"/>
      <c r="I26" s="36"/>
      <c r="J26" s="35"/>
      <c r="K26" s="36"/>
      <c r="L26" s="36"/>
      <c r="M26" s="36"/>
      <c r="N26" s="122"/>
    </row>
    <row r="27" spans="1:14" s="1" customFormat="1" ht="14.1" customHeight="1">
      <c r="A27" s="92">
        <v>13</v>
      </c>
      <c r="B27" s="51" t="s">
        <v>19</v>
      </c>
      <c r="C27" s="52"/>
      <c r="D27" s="59" t="s">
        <v>15</v>
      </c>
      <c r="E27" s="60"/>
      <c r="F27" s="60"/>
      <c r="G27" s="61"/>
      <c r="H27" s="174">
        <f>SUM(I27)-1.2</f>
        <v>22.200000000000003</v>
      </c>
      <c r="I27" s="24">
        <f>SUM(J27)-1.2</f>
        <v>23.400000000000002</v>
      </c>
      <c r="J27" s="33">
        <v>24.6</v>
      </c>
      <c r="K27" s="24">
        <f>SUM(J27)+1.7</f>
        <v>26.3</v>
      </c>
      <c r="L27" s="24">
        <f>SUM(K27)+1.2</f>
        <v>27.5</v>
      </c>
      <c r="M27" s="24">
        <f>SUM(L27)+1.2</f>
        <v>28.7</v>
      </c>
      <c r="N27" s="121">
        <f>SUM(M27)+1.2</f>
        <v>29.9</v>
      </c>
    </row>
    <row r="28" spans="1:14" s="1" customFormat="1" ht="14.1" customHeight="1" thickBot="1">
      <c r="A28" s="99"/>
      <c r="B28" s="104" t="s">
        <v>62</v>
      </c>
      <c r="C28" s="105"/>
      <c r="D28" s="106" t="s">
        <v>118</v>
      </c>
      <c r="E28" s="107"/>
      <c r="F28" s="107"/>
      <c r="G28" s="108"/>
      <c r="H28" s="177"/>
      <c r="I28" s="25"/>
      <c r="J28" s="34"/>
      <c r="K28" s="25"/>
      <c r="L28" s="25"/>
      <c r="M28" s="25"/>
      <c r="N28" s="124"/>
    </row>
    <row r="29" spans="1:14" ht="14.1" customHeight="1"/>
    <row r="30" spans="1:14" ht="14.1" customHeight="1"/>
    <row r="31" spans="1:14" ht="14.1" customHeight="1"/>
    <row r="32" spans="1:14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9">
    <mergeCell ref="N27:N28"/>
    <mergeCell ref="A1:N1"/>
    <mergeCell ref="N15:N16"/>
    <mergeCell ref="N17:N18"/>
    <mergeCell ref="N19:N20"/>
    <mergeCell ref="N21:N22"/>
    <mergeCell ref="N23:N24"/>
    <mergeCell ref="N25:N26"/>
    <mergeCell ref="N3:N4"/>
    <mergeCell ref="N5:N6"/>
    <mergeCell ref="N7:N8"/>
    <mergeCell ref="N9:N10"/>
    <mergeCell ref="N11:N12"/>
    <mergeCell ref="N13:N14"/>
    <mergeCell ref="J27:J28"/>
    <mergeCell ref="K27:K28"/>
    <mergeCell ref="L27:L28"/>
    <mergeCell ref="M27:M28"/>
    <mergeCell ref="J23:J24"/>
    <mergeCell ref="K23:K24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I7:I8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I3:I4"/>
    <mergeCell ref="J3:J4"/>
    <mergeCell ref="K3:K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6:C6"/>
    <mergeCell ref="B2:C2"/>
    <mergeCell ref="D2:G2"/>
    <mergeCell ref="A3:A4"/>
    <mergeCell ref="B3:C3"/>
    <mergeCell ref="D3:G3"/>
    <mergeCell ref="H3:H4"/>
    <mergeCell ref="A7:A8"/>
    <mergeCell ref="B7:C7"/>
    <mergeCell ref="D7:G7"/>
    <mergeCell ref="H7:H8"/>
    <mergeCell ref="D6:G6"/>
  </mergeCells>
  <phoneticPr fontId="12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85E88-DF8F-4AFD-896D-83B9CDBA16ED}">
  <sheetPr>
    <tabColor rgb="FF00B050"/>
    <pageSetUpPr fitToPage="1"/>
  </sheetPr>
  <dimension ref="A1:O57"/>
  <sheetViews>
    <sheetView zoomScale="110" zoomScaleNormal="110" workbookViewId="0">
      <selection activeCell="H11" sqref="H11:H12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8" width="5.5" style="8" customWidth="1"/>
    <col min="9" max="13" width="5.5" customWidth="1"/>
  </cols>
  <sheetData>
    <row r="1" spans="1:13" ht="16.5" customHeight="1" thickBot="1">
      <c r="A1" s="67" t="s">
        <v>413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3" t="s">
        <v>68</v>
      </c>
      <c r="B2" s="179" t="s">
        <v>69</v>
      </c>
      <c r="C2" s="180"/>
      <c r="D2" s="179" t="s">
        <v>70</v>
      </c>
      <c r="E2" s="181"/>
      <c r="F2" s="181"/>
      <c r="G2" s="18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</row>
    <row r="3" spans="1:13" s="1" customFormat="1" ht="14.1" customHeight="1">
      <c r="A3" s="78">
        <v>1</v>
      </c>
      <c r="B3" s="80" t="s">
        <v>149</v>
      </c>
      <c r="C3" s="81"/>
      <c r="D3" s="74" t="s">
        <v>82</v>
      </c>
      <c r="E3" s="82"/>
      <c r="F3" s="82"/>
      <c r="G3" s="83"/>
      <c r="H3" s="85">
        <f>SUM(I3)-3</f>
        <v>45</v>
      </c>
      <c r="I3" s="85">
        <f>SUM(J3)-3</f>
        <v>48</v>
      </c>
      <c r="J3" s="84">
        <v>51</v>
      </c>
      <c r="K3" s="85">
        <f>SUM(J3)+3</f>
        <v>54</v>
      </c>
      <c r="L3" s="85">
        <f>SUM(K3)+3</f>
        <v>57</v>
      </c>
      <c r="M3" s="86">
        <f>SUM(L3)+3</f>
        <v>60</v>
      </c>
    </row>
    <row r="4" spans="1:13" s="1" customFormat="1" ht="14.1" customHeight="1">
      <c r="A4" s="79"/>
      <c r="B4" s="62" t="s">
        <v>108</v>
      </c>
      <c r="C4" s="63"/>
      <c r="D4" s="64" t="s">
        <v>83</v>
      </c>
      <c r="E4" s="65"/>
      <c r="F4" s="65"/>
      <c r="G4" s="66"/>
      <c r="H4" s="36"/>
      <c r="I4" s="36"/>
      <c r="J4" s="35"/>
      <c r="K4" s="36"/>
      <c r="L4" s="36"/>
      <c r="M4" s="87"/>
    </row>
    <row r="5" spans="1:13" s="1" customFormat="1" ht="14.1" customHeight="1">
      <c r="A5" s="92">
        <v>2</v>
      </c>
      <c r="B5" s="40" t="s">
        <v>165</v>
      </c>
      <c r="C5" s="41"/>
      <c r="D5" s="100"/>
      <c r="E5" s="101"/>
      <c r="F5" s="101"/>
      <c r="G5" s="102"/>
      <c r="H5" s="50"/>
      <c r="I5" s="50"/>
      <c r="J5" s="117"/>
      <c r="K5" s="50"/>
      <c r="L5" s="50"/>
      <c r="M5" s="194"/>
    </row>
    <row r="6" spans="1:13" s="1" customFormat="1" ht="14.1" customHeight="1">
      <c r="A6" s="79"/>
      <c r="B6" s="62" t="s">
        <v>164</v>
      </c>
      <c r="C6" s="63"/>
      <c r="D6" s="64"/>
      <c r="E6" s="65"/>
      <c r="F6" s="65"/>
      <c r="G6" s="66"/>
      <c r="H6" s="36"/>
      <c r="I6" s="36"/>
      <c r="J6" s="35"/>
      <c r="K6" s="36"/>
      <c r="L6" s="36"/>
      <c r="M6" s="87"/>
    </row>
    <row r="7" spans="1:13" s="1" customFormat="1" ht="14.1" customHeight="1">
      <c r="A7" s="92">
        <v>3</v>
      </c>
      <c r="B7" s="40" t="s">
        <v>148</v>
      </c>
      <c r="C7" s="41"/>
      <c r="D7" s="100"/>
      <c r="E7" s="101"/>
      <c r="F7" s="101"/>
      <c r="G7" s="102"/>
      <c r="H7" s="24"/>
      <c r="I7" s="24"/>
      <c r="J7" s="33"/>
      <c r="K7" s="24"/>
      <c r="L7" s="24"/>
      <c r="M7" s="88"/>
    </row>
    <row r="8" spans="1:13" s="1" customFormat="1" ht="14.1" customHeight="1">
      <c r="A8" s="79"/>
      <c r="B8" s="62" t="s">
        <v>147</v>
      </c>
      <c r="C8" s="63"/>
      <c r="D8" s="64"/>
      <c r="E8" s="65"/>
      <c r="F8" s="65"/>
      <c r="G8" s="66"/>
      <c r="H8" s="36"/>
      <c r="I8" s="36"/>
      <c r="J8" s="35"/>
      <c r="K8" s="36"/>
      <c r="L8" s="36"/>
      <c r="M8" s="87"/>
    </row>
    <row r="9" spans="1:13" s="1" customFormat="1" ht="14.1" customHeight="1">
      <c r="A9" s="92">
        <v>4</v>
      </c>
      <c r="B9" s="51" t="s">
        <v>163</v>
      </c>
      <c r="C9" s="52"/>
      <c r="D9" s="118"/>
      <c r="E9" s="119"/>
      <c r="F9" s="119"/>
      <c r="G9" s="120"/>
      <c r="H9" s="24"/>
      <c r="I9" s="24"/>
      <c r="J9" s="33"/>
      <c r="K9" s="24"/>
      <c r="L9" s="24"/>
      <c r="M9" s="88"/>
    </row>
    <row r="10" spans="1:13" s="1" customFormat="1" ht="14.1" customHeight="1">
      <c r="A10" s="79"/>
      <c r="B10" s="62" t="s">
        <v>162</v>
      </c>
      <c r="C10" s="63"/>
      <c r="D10" s="114"/>
      <c r="E10" s="115"/>
      <c r="F10" s="115"/>
      <c r="G10" s="116"/>
      <c r="H10" s="36"/>
      <c r="I10" s="36"/>
      <c r="J10" s="35"/>
      <c r="K10" s="36"/>
      <c r="L10" s="36"/>
      <c r="M10" s="87"/>
    </row>
    <row r="11" spans="1:13" s="1" customFormat="1" ht="14.1" customHeight="1">
      <c r="A11" s="92">
        <v>5</v>
      </c>
      <c r="B11" s="51" t="s">
        <v>157</v>
      </c>
      <c r="C11" s="52"/>
      <c r="D11" s="100"/>
      <c r="E11" s="101"/>
      <c r="F11" s="101"/>
      <c r="G11" s="102"/>
      <c r="H11" s="58">
        <f>SUM(I11)-4.5</f>
        <v>67</v>
      </c>
      <c r="I11" s="24">
        <f>SUM(J11)-4.5</f>
        <v>71.5</v>
      </c>
      <c r="J11" s="117">
        <v>76</v>
      </c>
      <c r="K11" s="50">
        <f>SUM(J11)+4.5</f>
        <v>80.5</v>
      </c>
      <c r="L11" s="50">
        <f>SUM(K11)+4.5</f>
        <v>85</v>
      </c>
      <c r="M11" s="194">
        <f>SUM(L11)+4.5</f>
        <v>89.5</v>
      </c>
    </row>
    <row r="12" spans="1:13" s="1" customFormat="1" ht="14.1" customHeight="1">
      <c r="A12" s="79"/>
      <c r="B12" s="62" t="s">
        <v>158</v>
      </c>
      <c r="C12" s="63"/>
      <c r="D12" s="64"/>
      <c r="E12" s="65"/>
      <c r="F12" s="65"/>
      <c r="G12" s="66"/>
      <c r="H12" s="56"/>
      <c r="I12" s="36"/>
      <c r="J12" s="35"/>
      <c r="K12" s="36"/>
      <c r="L12" s="36"/>
      <c r="M12" s="87"/>
    </row>
    <row r="13" spans="1:13" s="1" customFormat="1" ht="14.1" customHeight="1">
      <c r="A13" s="92">
        <v>6</v>
      </c>
      <c r="B13" s="51" t="s">
        <v>152</v>
      </c>
      <c r="C13" s="52"/>
      <c r="D13" s="182" t="s">
        <v>84</v>
      </c>
      <c r="E13" s="183"/>
      <c r="F13" s="183"/>
      <c r="G13" s="184"/>
      <c r="H13" s="24">
        <f>SUM(I13)-2.5</f>
        <v>24</v>
      </c>
      <c r="I13" s="24">
        <f>SUM(J13)-2.5</f>
        <v>26.5</v>
      </c>
      <c r="J13" s="117">
        <v>29</v>
      </c>
      <c r="K13" s="50">
        <f>SUM(J13)+2.5</f>
        <v>31.5</v>
      </c>
      <c r="L13" s="50">
        <f>SUM(K13)+2.5</f>
        <v>34</v>
      </c>
      <c r="M13" s="194">
        <f>SUM(L13)+2.5</f>
        <v>36.5</v>
      </c>
    </row>
    <row r="14" spans="1:13" s="1" customFormat="1" ht="14.1" customHeight="1">
      <c r="A14" s="79"/>
      <c r="B14" s="36" t="s">
        <v>151</v>
      </c>
      <c r="C14" s="36"/>
      <c r="D14" s="114" t="s">
        <v>150</v>
      </c>
      <c r="E14" s="115"/>
      <c r="F14" s="115"/>
      <c r="G14" s="116"/>
      <c r="H14" s="36"/>
      <c r="I14" s="36"/>
      <c r="J14" s="35"/>
      <c r="K14" s="36"/>
      <c r="L14" s="36"/>
      <c r="M14" s="87"/>
    </row>
    <row r="15" spans="1:13" s="1" customFormat="1" ht="14.1" customHeight="1">
      <c r="A15" s="92">
        <v>7</v>
      </c>
      <c r="B15" s="195" t="s">
        <v>414</v>
      </c>
      <c r="C15" s="196"/>
      <c r="D15" s="182"/>
      <c r="E15" s="183"/>
      <c r="F15" s="183"/>
      <c r="G15" s="184"/>
      <c r="H15" s="24">
        <f>SUM(I15)-0.8</f>
        <v>7.3999999999999995</v>
      </c>
      <c r="I15" s="24">
        <f>SUM(J15)-0.8</f>
        <v>8.1999999999999993</v>
      </c>
      <c r="J15" s="117">
        <v>9</v>
      </c>
      <c r="K15" s="50">
        <f>SUM(J15)+0.8</f>
        <v>9.8000000000000007</v>
      </c>
      <c r="L15" s="50">
        <f>SUM(K15)+0.8</f>
        <v>10.600000000000001</v>
      </c>
      <c r="M15" s="194">
        <f>SUM(L15)+0.8</f>
        <v>11.400000000000002</v>
      </c>
    </row>
    <row r="16" spans="1:13" s="1" customFormat="1" ht="14.1" customHeight="1">
      <c r="A16" s="79"/>
      <c r="B16" s="36" t="s">
        <v>415</v>
      </c>
      <c r="C16" s="36"/>
      <c r="D16" s="114" t="s">
        <v>416</v>
      </c>
      <c r="E16" s="115"/>
      <c r="F16" s="115"/>
      <c r="G16" s="116"/>
      <c r="H16" s="36"/>
      <c r="I16" s="36"/>
      <c r="J16" s="35"/>
      <c r="K16" s="36"/>
      <c r="L16" s="36"/>
      <c r="M16" s="87"/>
    </row>
    <row r="17" spans="1:15" s="1" customFormat="1" ht="14.1" customHeight="1">
      <c r="A17" s="98">
        <v>8</v>
      </c>
      <c r="B17" s="58" t="s">
        <v>417</v>
      </c>
      <c r="C17" s="58"/>
      <c r="D17" s="182"/>
      <c r="E17" s="183"/>
      <c r="F17" s="183"/>
      <c r="G17" s="184"/>
      <c r="H17" s="24">
        <f>SUM(I17)-5</f>
        <v>65</v>
      </c>
      <c r="I17" s="24">
        <f>SUM(J17)-5</f>
        <v>70</v>
      </c>
      <c r="J17" s="33">
        <v>75</v>
      </c>
      <c r="K17" s="24">
        <f>SUM(J17)+5</f>
        <v>80</v>
      </c>
      <c r="L17" s="24">
        <f>SUM(K17)+5</f>
        <v>85</v>
      </c>
      <c r="M17" s="88">
        <f>SUM(L17)+5</f>
        <v>90</v>
      </c>
    </row>
    <row r="18" spans="1:15" s="1" customFormat="1" ht="14.1" customHeight="1" thickBot="1">
      <c r="A18" s="186"/>
      <c r="B18" s="189" t="s">
        <v>418</v>
      </c>
      <c r="C18" s="189"/>
      <c r="D18" s="190"/>
      <c r="E18" s="191"/>
      <c r="F18" s="191"/>
      <c r="G18" s="192"/>
      <c r="H18" s="148"/>
      <c r="I18" s="148"/>
      <c r="J18" s="188"/>
      <c r="K18" s="148"/>
      <c r="L18" s="148"/>
      <c r="M18" s="197"/>
    </row>
    <row r="19" spans="1:15" s="1" customFormat="1" ht="14.1" customHeight="1" thickTop="1">
      <c r="A19" s="92">
        <v>9</v>
      </c>
      <c r="B19" s="40" t="s">
        <v>13</v>
      </c>
      <c r="C19" s="41"/>
      <c r="D19" s="100" t="s">
        <v>14</v>
      </c>
      <c r="E19" s="101"/>
      <c r="F19" s="101"/>
      <c r="G19" s="102"/>
      <c r="H19" s="50">
        <f>SUM(I19)-3.2</f>
        <v>53.599999999999994</v>
      </c>
      <c r="I19" s="50">
        <f>SUM(J19)-3.2</f>
        <v>56.8</v>
      </c>
      <c r="J19" s="117">
        <v>60</v>
      </c>
      <c r="K19" s="50">
        <f>SUM(J19)+3.2</f>
        <v>63.2</v>
      </c>
      <c r="L19" s="50">
        <f>SUM(K19)+3.2</f>
        <v>66.400000000000006</v>
      </c>
      <c r="M19" s="194">
        <f>SUM(L19)+3.2</f>
        <v>69.600000000000009</v>
      </c>
    </row>
    <row r="20" spans="1:15" s="1" customFormat="1" ht="14.1" customHeight="1">
      <c r="A20" s="79"/>
      <c r="B20" s="62" t="s">
        <v>55</v>
      </c>
      <c r="C20" s="63"/>
      <c r="D20" s="64" t="s">
        <v>121</v>
      </c>
      <c r="E20" s="65"/>
      <c r="F20" s="65"/>
      <c r="G20" s="66"/>
      <c r="H20" s="36"/>
      <c r="I20" s="36"/>
      <c r="J20" s="35"/>
      <c r="K20" s="36"/>
      <c r="L20" s="36"/>
      <c r="M20" s="87"/>
    </row>
    <row r="21" spans="1:15" s="1" customFormat="1" ht="14.1" customHeight="1">
      <c r="A21" s="92">
        <v>10</v>
      </c>
      <c r="B21" s="51" t="s">
        <v>146</v>
      </c>
      <c r="C21" s="52"/>
      <c r="D21" s="59"/>
      <c r="E21" s="60"/>
      <c r="F21" s="60"/>
      <c r="G21" s="61"/>
      <c r="H21" s="24">
        <f>SUM(I21)-0.7</f>
        <v>10.600000000000001</v>
      </c>
      <c r="I21" s="24">
        <f>SUM(J21)-0.7</f>
        <v>11.3</v>
      </c>
      <c r="J21" s="33">
        <v>12</v>
      </c>
      <c r="K21" s="24">
        <f>SUM(J21)+1.2</f>
        <v>13.2</v>
      </c>
      <c r="L21" s="24">
        <f>SUM(K21)+0.7</f>
        <v>13.899999999999999</v>
      </c>
      <c r="M21" s="88">
        <f>SUM(L21)+0.7</f>
        <v>14.599999999999998</v>
      </c>
      <c r="O21" s="1" t="s">
        <v>419</v>
      </c>
    </row>
    <row r="22" spans="1:15" s="1" customFormat="1" ht="14.1" customHeight="1">
      <c r="A22" s="79"/>
      <c r="B22" s="62" t="s">
        <v>145</v>
      </c>
      <c r="C22" s="63"/>
      <c r="D22" s="89" t="s">
        <v>159</v>
      </c>
      <c r="E22" s="90"/>
      <c r="F22" s="90"/>
      <c r="G22" s="91"/>
      <c r="H22" s="36"/>
      <c r="I22" s="36"/>
      <c r="J22" s="35"/>
      <c r="K22" s="36"/>
      <c r="L22" s="36"/>
      <c r="M22" s="87"/>
    </row>
    <row r="23" spans="1:15" s="1" customFormat="1" ht="14.1" customHeight="1">
      <c r="A23" s="92">
        <v>11</v>
      </c>
      <c r="B23" s="51" t="s">
        <v>9</v>
      </c>
      <c r="C23" s="52"/>
      <c r="D23" s="59" t="s">
        <v>84</v>
      </c>
      <c r="E23" s="60"/>
      <c r="F23" s="60"/>
      <c r="G23" s="61"/>
      <c r="H23" s="24">
        <f>SUM(I23)-1.5</f>
        <v>20.5</v>
      </c>
      <c r="I23" s="24">
        <f>SUM(J23)-1.5</f>
        <v>22</v>
      </c>
      <c r="J23" s="33">
        <v>23.5</v>
      </c>
      <c r="K23" s="24">
        <f>SUM(J23)+1.5</f>
        <v>25</v>
      </c>
      <c r="L23" s="24">
        <f>SUM(K23)+1.5</f>
        <v>26.5</v>
      </c>
      <c r="M23" s="88">
        <f>SUM(L23)+1.5</f>
        <v>28</v>
      </c>
    </row>
    <row r="24" spans="1:15" s="1" customFormat="1" ht="14.1" customHeight="1">
      <c r="A24" s="79"/>
      <c r="B24" s="62" t="s">
        <v>56</v>
      </c>
      <c r="C24" s="63"/>
      <c r="D24" s="64" t="s">
        <v>120</v>
      </c>
      <c r="E24" s="65"/>
      <c r="F24" s="65"/>
      <c r="G24" s="66"/>
      <c r="H24" s="36"/>
      <c r="I24" s="36"/>
      <c r="J24" s="35"/>
      <c r="K24" s="36"/>
      <c r="L24" s="36"/>
      <c r="M24" s="87"/>
    </row>
    <row r="25" spans="1:15" s="1" customFormat="1" ht="14.1" customHeight="1">
      <c r="A25" s="92">
        <v>12</v>
      </c>
      <c r="B25" s="51" t="s">
        <v>16</v>
      </c>
      <c r="C25" s="52"/>
      <c r="D25" s="59" t="s">
        <v>17</v>
      </c>
      <c r="E25" s="60"/>
      <c r="F25" s="60"/>
      <c r="G25" s="61"/>
      <c r="H25" s="24">
        <f>SUM(I25)-1.8</f>
        <v>31.400000000000002</v>
      </c>
      <c r="I25" s="24">
        <f>SUM(J25)-1.8</f>
        <v>33.200000000000003</v>
      </c>
      <c r="J25" s="33">
        <v>35</v>
      </c>
      <c r="K25" s="24">
        <f>SUM(J25)+1.8</f>
        <v>36.799999999999997</v>
      </c>
      <c r="L25" s="24">
        <f>SUM(K25)+1.8</f>
        <v>38.599999999999994</v>
      </c>
      <c r="M25" s="88">
        <f>SUM(L25)+1.8</f>
        <v>40.399999999999991</v>
      </c>
    </row>
    <row r="26" spans="1:15" s="1" customFormat="1" ht="14.1" customHeight="1">
      <c r="A26" s="79"/>
      <c r="B26" s="62" t="s">
        <v>57</v>
      </c>
      <c r="C26" s="63"/>
      <c r="D26" s="47" t="s">
        <v>119</v>
      </c>
      <c r="E26" s="48"/>
      <c r="F26" s="48"/>
      <c r="G26" s="49"/>
      <c r="H26" s="36"/>
      <c r="I26" s="36"/>
      <c r="J26" s="35"/>
      <c r="K26" s="36"/>
      <c r="L26" s="36"/>
      <c r="M26" s="87"/>
    </row>
    <row r="27" spans="1:15" s="1" customFormat="1" ht="14.1" customHeight="1">
      <c r="A27" s="92">
        <v>13</v>
      </c>
      <c r="B27" s="51" t="s">
        <v>18</v>
      </c>
      <c r="C27" s="52"/>
      <c r="D27" s="59" t="s">
        <v>15</v>
      </c>
      <c r="E27" s="60"/>
      <c r="F27" s="60"/>
      <c r="G27" s="61"/>
      <c r="H27" s="24">
        <f>SUM(I27)-1</f>
        <v>19.3</v>
      </c>
      <c r="I27" s="24">
        <f>SUM(J27)-1</f>
        <v>20.3</v>
      </c>
      <c r="J27" s="33">
        <v>21.3</v>
      </c>
      <c r="K27" s="24">
        <f>SUM(J27)+1.5</f>
        <v>22.8</v>
      </c>
      <c r="L27" s="24">
        <f>SUM(K27)+1</f>
        <v>23.8</v>
      </c>
      <c r="M27" s="88">
        <f>SUM(L27)+1</f>
        <v>24.8</v>
      </c>
    </row>
    <row r="28" spans="1:15" s="1" customFormat="1" ht="14.1" customHeight="1">
      <c r="A28" s="79"/>
      <c r="B28" s="62" t="s">
        <v>63</v>
      </c>
      <c r="C28" s="63"/>
      <c r="D28" s="64" t="s">
        <v>118</v>
      </c>
      <c r="E28" s="65"/>
      <c r="F28" s="65"/>
      <c r="G28" s="66"/>
      <c r="H28" s="36"/>
      <c r="I28" s="36"/>
      <c r="J28" s="35"/>
      <c r="K28" s="36"/>
      <c r="L28" s="36"/>
      <c r="M28" s="87"/>
    </row>
    <row r="29" spans="1:15" s="1" customFormat="1" ht="14.1" customHeight="1">
      <c r="A29" s="92">
        <v>14</v>
      </c>
      <c r="B29" s="51" t="s">
        <v>19</v>
      </c>
      <c r="C29" s="52"/>
      <c r="D29" s="59" t="s">
        <v>15</v>
      </c>
      <c r="E29" s="60"/>
      <c r="F29" s="60"/>
      <c r="G29" s="61"/>
      <c r="H29" s="24">
        <f>SUM(I29)-1.2</f>
        <v>21.400000000000002</v>
      </c>
      <c r="I29" s="24">
        <f>SUM(J29)-1.2</f>
        <v>22.6</v>
      </c>
      <c r="J29" s="33">
        <v>23.8</v>
      </c>
      <c r="K29" s="24">
        <f>SUM(J29)+1.7</f>
        <v>25.5</v>
      </c>
      <c r="L29" s="24">
        <f>SUM(K29)+1.2</f>
        <v>26.7</v>
      </c>
      <c r="M29" s="88">
        <f>SUM(L29)+1.2</f>
        <v>27.9</v>
      </c>
    </row>
    <row r="30" spans="1:15" s="1" customFormat="1" ht="14.1" customHeight="1" thickBot="1">
      <c r="A30" s="99"/>
      <c r="B30" s="104" t="s">
        <v>62</v>
      </c>
      <c r="C30" s="105"/>
      <c r="D30" s="106" t="s">
        <v>118</v>
      </c>
      <c r="E30" s="107"/>
      <c r="F30" s="107"/>
      <c r="G30" s="108"/>
      <c r="H30" s="25"/>
      <c r="I30" s="25"/>
      <c r="J30" s="34"/>
      <c r="K30" s="25"/>
      <c r="L30" s="25"/>
      <c r="M30" s="103"/>
    </row>
    <row r="31" spans="1:15" s="1" customFormat="1" ht="14.1" customHeight="1">
      <c r="A31"/>
      <c r="B31"/>
      <c r="C31"/>
      <c r="D31"/>
      <c r="E31"/>
      <c r="F31"/>
      <c r="G31"/>
      <c r="H31" s="8"/>
      <c r="I31"/>
      <c r="J31"/>
      <c r="K31"/>
      <c r="L31"/>
      <c r="M31"/>
    </row>
    <row r="32" spans="1:15" s="1" customFormat="1" ht="14.1" customHeight="1">
      <c r="A32"/>
      <c r="B32"/>
      <c r="C32"/>
      <c r="D32"/>
      <c r="E32"/>
      <c r="F32"/>
      <c r="G32"/>
      <c r="H32" s="8"/>
      <c r="I32"/>
      <c r="J32"/>
      <c r="K32"/>
      <c r="L32"/>
      <c r="M32"/>
    </row>
    <row r="33" spans="1:13" s="1" customFormat="1" ht="14.1" customHeight="1">
      <c r="A33"/>
      <c r="B33"/>
      <c r="C33"/>
      <c r="D33"/>
      <c r="E33"/>
      <c r="F33"/>
      <c r="G33"/>
      <c r="H33" s="8"/>
      <c r="I33"/>
      <c r="J33"/>
      <c r="K33"/>
      <c r="L33"/>
      <c r="M33"/>
    </row>
    <row r="34" spans="1:13" s="1" customFormat="1" ht="14.1" customHeight="1">
      <c r="A34"/>
      <c r="B34"/>
      <c r="C34"/>
      <c r="D34"/>
      <c r="E34"/>
      <c r="F34"/>
      <c r="G34"/>
      <c r="H34" s="8"/>
      <c r="I34"/>
      <c r="J34"/>
      <c r="K34"/>
      <c r="L34"/>
      <c r="M34"/>
    </row>
    <row r="35" spans="1:13" ht="14.1" customHeight="1"/>
    <row r="36" spans="1:13" ht="14.1" customHeight="1"/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157"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DADAE-E5EB-4908-9205-918B106EF137}">
  <sheetPr codeName="Sheet183">
    <tabColor rgb="FF00B050"/>
    <pageSetUpPr fitToPage="1"/>
  </sheetPr>
  <dimension ref="A1:M57"/>
  <sheetViews>
    <sheetView zoomScale="110" zoomScaleNormal="110" workbookViewId="0">
      <selection activeCell="H11" sqref="H11:H12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8" width="5.5" style="8" customWidth="1"/>
    <col min="9" max="13" width="5.5" customWidth="1"/>
  </cols>
  <sheetData>
    <row r="1" spans="1:13" ht="16.5" customHeight="1" thickBot="1">
      <c r="A1" s="67" t="s">
        <v>217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3" t="s">
        <v>68</v>
      </c>
      <c r="B2" s="179" t="s">
        <v>69</v>
      </c>
      <c r="C2" s="180"/>
      <c r="D2" s="179" t="s">
        <v>70</v>
      </c>
      <c r="E2" s="181"/>
      <c r="F2" s="181"/>
      <c r="G2" s="18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</row>
    <row r="3" spans="1:13" s="1" customFormat="1" ht="14.1" customHeight="1">
      <c r="A3" s="78">
        <v>1</v>
      </c>
      <c r="B3" s="80" t="s">
        <v>149</v>
      </c>
      <c r="C3" s="81"/>
      <c r="D3" s="74" t="s">
        <v>82</v>
      </c>
      <c r="E3" s="82"/>
      <c r="F3" s="82"/>
      <c r="G3" s="83"/>
      <c r="H3" s="85">
        <f>SUM(I3)-3</f>
        <v>45</v>
      </c>
      <c r="I3" s="85">
        <f>SUM(J3)-3</f>
        <v>48</v>
      </c>
      <c r="J3" s="84">
        <v>51</v>
      </c>
      <c r="K3" s="85">
        <f>SUM(J3)+3</f>
        <v>54</v>
      </c>
      <c r="L3" s="85">
        <f>SUM(K3)+3</f>
        <v>57</v>
      </c>
      <c r="M3" s="86">
        <f>SUM(L3)+3</f>
        <v>60</v>
      </c>
    </row>
    <row r="4" spans="1:13" s="1" customFormat="1" ht="14.1" customHeight="1">
      <c r="A4" s="79"/>
      <c r="B4" s="62" t="s">
        <v>108</v>
      </c>
      <c r="C4" s="63"/>
      <c r="D4" s="64" t="s">
        <v>83</v>
      </c>
      <c r="E4" s="65"/>
      <c r="F4" s="65"/>
      <c r="G4" s="66"/>
      <c r="H4" s="36"/>
      <c r="I4" s="36"/>
      <c r="J4" s="35"/>
      <c r="K4" s="36"/>
      <c r="L4" s="36"/>
      <c r="M4" s="87"/>
    </row>
    <row r="5" spans="1:13" s="1" customFormat="1" ht="14.1" customHeight="1">
      <c r="A5" s="92">
        <v>2</v>
      </c>
      <c r="B5" s="40" t="s">
        <v>165</v>
      </c>
      <c r="C5" s="41"/>
      <c r="D5" s="100"/>
      <c r="E5" s="101"/>
      <c r="F5" s="101"/>
      <c r="G5" s="102"/>
      <c r="H5" s="50"/>
      <c r="I5" s="50"/>
      <c r="J5" s="117"/>
      <c r="K5" s="50"/>
      <c r="L5" s="50"/>
      <c r="M5" s="194"/>
    </row>
    <row r="6" spans="1:13" s="1" customFormat="1" ht="14.1" customHeight="1">
      <c r="A6" s="79"/>
      <c r="B6" s="62" t="s">
        <v>164</v>
      </c>
      <c r="C6" s="63"/>
      <c r="D6" s="64"/>
      <c r="E6" s="65"/>
      <c r="F6" s="65"/>
      <c r="G6" s="66"/>
      <c r="H6" s="36"/>
      <c r="I6" s="36"/>
      <c r="J6" s="35"/>
      <c r="K6" s="36"/>
      <c r="L6" s="36"/>
      <c r="M6" s="87"/>
    </row>
    <row r="7" spans="1:13" s="1" customFormat="1" ht="14.1" customHeight="1">
      <c r="A7" s="92">
        <v>3</v>
      </c>
      <c r="B7" s="40" t="s">
        <v>148</v>
      </c>
      <c r="C7" s="41"/>
      <c r="D7" s="100"/>
      <c r="E7" s="101"/>
      <c r="F7" s="101"/>
      <c r="G7" s="102"/>
      <c r="H7" s="24"/>
      <c r="I7" s="24"/>
      <c r="J7" s="33"/>
      <c r="K7" s="24"/>
      <c r="L7" s="24"/>
      <c r="M7" s="88"/>
    </row>
    <row r="8" spans="1:13" s="1" customFormat="1" ht="14.1" customHeight="1">
      <c r="A8" s="79"/>
      <c r="B8" s="62" t="s">
        <v>147</v>
      </c>
      <c r="C8" s="63"/>
      <c r="D8" s="64"/>
      <c r="E8" s="65"/>
      <c r="F8" s="65"/>
      <c r="G8" s="66"/>
      <c r="H8" s="36"/>
      <c r="I8" s="36"/>
      <c r="J8" s="35"/>
      <c r="K8" s="36"/>
      <c r="L8" s="36"/>
      <c r="M8" s="87"/>
    </row>
    <row r="9" spans="1:13" s="1" customFormat="1" ht="14.1" customHeight="1">
      <c r="A9" s="92">
        <v>4</v>
      </c>
      <c r="B9" s="51" t="s">
        <v>163</v>
      </c>
      <c r="C9" s="52"/>
      <c r="D9" s="118"/>
      <c r="E9" s="119"/>
      <c r="F9" s="119"/>
      <c r="G9" s="120"/>
      <c r="H9" s="24"/>
      <c r="I9" s="24"/>
      <c r="J9" s="33"/>
      <c r="K9" s="24"/>
      <c r="L9" s="24"/>
      <c r="M9" s="88"/>
    </row>
    <row r="10" spans="1:13" s="1" customFormat="1" ht="14.1" customHeight="1">
      <c r="A10" s="79"/>
      <c r="B10" s="62" t="s">
        <v>162</v>
      </c>
      <c r="C10" s="63"/>
      <c r="D10" s="114"/>
      <c r="E10" s="115"/>
      <c r="F10" s="115"/>
      <c r="G10" s="116"/>
      <c r="H10" s="36"/>
      <c r="I10" s="36"/>
      <c r="J10" s="35"/>
      <c r="K10" s="36"/>
      <c r="L10" s="36"/>
      <c r="M10" s="87"/>
    </row>
    <row r="11" spans="1:13" s="1" customFormat="1" ht="14.1" customHeight="1">
      <c r="A11" s="92">
        <v>5</v>
      </c>
      <c r="B11" s="51" t="s">
        <v>157</v>
      </c>
      <c r="C11" s="52"/>
      <c r="D11" s="100"/>
      <c r="E11" s="101"/>
      <c r="F11" s="101"/>
      <c r="G11" s="102"/>
      <c r="H11" s="58">
        <f>SUM(I11)-4.5</f>
        <v>67</v>
      </c>
      <c r="I11" s="24">
        <f>SUM(J11)-4.5</f>
        <v>71.5</v>
      </c>
      <c r="J11" s="117">
        <v>76</v>
      </c>
      <c r="K11" s="50">
        <f>SUM(J11)+4.5</f>
        <v>80.5</v>
      </c>
      <c r="L11" s="50">
        <f>SUM(K11)+4.5</f>
        <v>85</v>
      </c>
      <c r="M11" s="194">
        <f>SUM(L11)+4.5</f>
        <v>89.5</v>
      </c>
    </row>
    <row r="12" spans="1:13" s="1" customFormat="1" ht="14.1" customHeight="1">
      <c r="A12" s="79"/>
      <c r="B12" s="62" t="s">
        <v>158</v>
      </c>
      <c r="C12" s="63"/>
      <c r="D12" s="64"/>
      <c r="E12" s="65"/>
      <c r="F12" s="65"/>
      <c r="G12" s="66"/>
      <c r="H12" s="56"/>
      <c r="I12" s="36"/>
      <c r="J12" s="35"/>
      <c r="K12" s="36"/>
      <c r="L12" s="36"/>
      <c r="M12" s="87"/>
    </row>
    <row r="13" spans="1:13" s="1" customFormat="1" ht="14.1" customHeight="1">
      <c r="A13" s="92">
        <v>6</v>
      </c>
      <c r="B13" s="51" t="s">
        <v>152</v>
      </c>
      <c r="C13" s="52"/>
      <c r="D13" s="182" t="s">
        <v>84</v>
      </c>
      <c r="E13" s="183"/>
      <c r="F13" s="183"/>
      <c r="G13" s="184"/>
      <c r="H13" s="24">
        <f>SUM(I13)-2.5</f>
        <v>26</v>
      </c>
      <c r="I13" s="24">
        <f>SUM(J13)-2.5</f>
        <v>28.5</v>
      </c>
      <c r="J13" s="117">
        <v>31</v>
      </c>
      <c r="K13" s="50">
        <f>SUM(J13)+2.5</f>
        <v>33.5</v>
      </c>
      <c r="L13" s="50">
        <f>SUM(K13)+2.5</f>
        <v>36</v>
      </c>
      <c r="M13" s="194">
        <f>SUM(L13)+2.5</f>
        <v>38.5</v>
      </c>
    </row>
    <row r="14" spans="1:13" s="1" customFormat="1" ht="14.1" customHeight="1">
      <c r="A14" s="79"/>
      <c r="B14" s="36" t="s">
        <v>151</v>
      </c>
      <c r="C14" s="36"/>
      <c r="D14" s="114" t="s">
        <v>150</v>
      </c>
      <c r="E14" s="115"/>
      <c r="F14" s="115"/>
      <c r="G14" s="116"/>
      <c r="H14" s="36"/>
      <c r="I14" s="36"/>
      <c r="J14" s="35"/>
      <c r="K14" s="36"/>
      <c r="L14" s="36"/>
      <c r="M14" s="87"/>
    </row>
    <row r="15" spans="1:13" s="1" customFormat="1" ht="14.1" customHeight="1">
      <c r="A15" s="92">
        <v>7</v>
      </c>
      <c r="B15" s="195" t="s">
        <v>218</v>
      </c>
      <c r="C15" s="196"/>
      <c r="D15" s="182"/>
      <c r="E15" s="183"/>
      <c r="F15" s="183"/>
      <c r="G15" s="184"/>
      <c r="H15" s="24">
        <f>SUM(I15)-0.85</f>
        <v>7</v>
      </c>
      <c r="I15" s="24">
        <f>SUM(J15)-0.85</f>
        <v>7.85</v>
      </c>
      <c r="J15" s="117">
        <v>8.6999999999999993</v>
      </c>
      <c r="K15" s="50">
        <f>SUM(J15)+0.7</f>
        <v>9.3999999999999986</v>
      </c>
      <c r="L15" s="50">
        <f>SUM(K15)+0.85</f>
        <v>10.249999999999998</v>
      </c>
      <c r="M15" s="194">
        <f>SUM(L15)+0.85</f>
        <v>11.099999999999998</v>
      </c>
    </row>
    <row r="16" spans="1:13" s="1" customFormat="1" ht="14.1" customHeight="1">
      <c r="A16" s="79"/>
      <c r="B16" s="36" t="s">
        <v>219</v>
      </c>
      <c r="C16" s="36"/>
      <c r="D16" s="114" t="s">
        <v>220</v>
      </c>
      <c r="E16" s="115"/>
      <c r="F16" s="115"/>
      <c r="G16" s="116"/>
      <c r="H16" s="36"/>
      <c r="I16" s="36"/>
      <c r="J16" s="35"/>
      <c r="K16" s="36"/>
      <c r="L16" s="36"/>
      <c r="M16" s="87"/>
    </row>
    <row r="17" spans="1:13" s="1" customFormat="1" ht="14.1" customHeight="1">
      <c r="A17" s="92">
        <v>8</v>
      </c>
      <c r="B17" s="195" t="s">
        <v>222</v>
      </c>
      <c r="C17" s="196"/>
      <c r="D17" s="182"/>
      <c r="E17" s="183"/>
      <c r="F17" s="183"/>
      <c r="G17" s="184"/>
      <c r="H17" s="24">
        <f>SUM(I17)-0.825</f>
        <v>6.85</v>
      </c>
      <c r="I17" s="24">
        <f>SUM(J17)-0.825</f>
        <v>7.6749999999999998</v>
      </c>
      <c r="J17" s="117">
        <v>8.5</v>
      </c>
      <c r="K17" s="50">
        <f>SUM(J17)+0.65</f>
        <v>9.15</v>
      </c>
      <c r="L17" s="50">
        <f>SUM(K17)+0.825</f>
        <v>9.9749999999999996</v>
      </c>
      <c r="M17" s="194">
        <f>SUM(L17)+0.825</f>
        <v>10.799999999999999</v>
      </c>
    </row>
    <row r="18" spans="1:13" s="1" customFormat="1" ht="14.1" customHeight="1">
      <c r="A18" s="79"/>
      <c r="B18" s="36" t="s">
        <v>221</v>
      </c>
      <c r="C18" s="36"/>
      <c r="D18" s="114" t="s">
        <v>225</v>
      </c>
      <c r="E18" s="115"/>
      <c r="F18" s="115"/>
      <c r="G18" s="116"/>
      <c r="H18" s="36"/>
      <c r="I18" s="36"/>
      <c r="J18" s="35"/>
      <c r="K18" s="36"/>
      <c r="L18" s="36"/>
      <c r="M18" s="87"/>
    </row>
    <row r="19" spans="1:13" s="1" customFormat="1" ht="14.1" customHeight="1">
      <c r="A19" s="92">
        <v>9</v>
      </c>
      <c r="B19" s="195" t="s">
        <v>223</v>
      </c>
      <c r="C19" s="196"/>
      <c r="D19" s="182"/>
      <c r="E19" s="183"/>
      <c r="F19" s="183"/>
      <c r="G19" s="184"/>
      <c r="H19" s="24">
        <f>SUM(I19)-0.825</f>
        <v>6.85</v>
      </c>
      <c r="I19" s="24">
        <f>SUM(J19)-0.825</f>
        <v>7.6749999999999998</v>
      </c>
      <c r="J19" s="117">
        <v>8.5</v>
      </c>
      <c r="K19" s="50">
        <f>SUM(J19)+0.65</f>
        <v>9.15</v>
      </c>
      <c r="L19" s="50">
        <f>SUM(K19)+0.825</f>
        <v>9.9749999999999996</v>
      </c>
      <c r="M19" s="194">
        <f>SUM(L19)+0.825</f>
        <v>10.799999999999999</v>
      </c>
    </row>
    <row r="20" spans="1:13" s="1" customFormat="1" ht="14.1" customHeight="1">
      <c r="A20" s="79"/>
      <c r="B20" s="36" t="s">
        <v>224</v>
      </c>
      <c r="C20" s="36"/>
      <c r="D20" s="114" t="s">
        <v>225</v>
      </c>
      <c r="E20" s="115"/>
      <c r="F20" s="115"/>
      <c r="G20" s="116"/>
      <c r="H20" s="36"/>
      <c r="I20" s="36"/>
      <c r="J20" s="35"/>
      <c r="K20" s="36"/>
      <c r="L20" s="36"/>
      <c r="M20" s="87"/>
    </row>
    <row r="21" spans="1:13" s="1" customFormat="1" ht="14.1" customHeight="1">
      <c r="A21" s="98">
        <v>10</v>
      </c>
      <c r="B21" s="58" t="s">
        <v>47</v>
      </c>
      <c r="C21" s="58"/>
      <c r="D21" s="182"/>
      <c r="E21" s="183"/>
      <c r="F21" s="183"/>
      <c r="G21" s="184"/>
      <c r="H21" s="24"/>
      <c r="I21" s="24"/>
      <c r="J21" s="33"/>
      <c r="K21" s="24"/>
      <c r="L21" s="24"/>
      <c r="M21" s="88"/>
    </row>
    <row r="22" spans="1:13" s="1" customFormat="1" ht="14.1" customHeight="1" thickBot="1">
      <c r="A22" s="186"/>
      <c r="B22" s="189" t="s">
        <v>27</v>
      </c>
      <c r="C22" s="189"/>
      <c r="D22" s="190" t="s">
        <v>183</v>
      </c>
      <c r="E22" s="191"/>
      <c r="F22" s="191"/>
      <c r="G22" s="192"/>
      <c r="H22" s="148"/>
      <c r="I22" s="148"/>
      <c r="J22" s="188"/>
      <c r="K22" s="148"/>
      <c r="L22" s="148"/>
      <c r="M22" s="197"/>
    </row>
    <row r="23" spans="1:13" s="1" customFormat="1" ht="14.1" customHeight="1" thickTop="1">
      <c r="A23" s="92">
        <v>11</v>
      </c>
      <c r="B23" s="40" t="s">
        <v>13</v>
      </c>
      <c r="C23" s="41"/>
      <c r="D23" s="100" t="s">
        <v>14</v>
      </c>
      <c r="E23" s="101"/>
      <c r="F23" s="101"/>
      <c r="G23" s="102"/>
      <c r="H23" s="50">
        <f>SUM(I23)-3.2</f>
        <v>53.699999999999996</v>
      </c>
      <c r="I23" s="50">
        <f>SUM(J23)-3.2</f>
        <v>56.9</v>
      </c>
      <c r="J23" s="117">
        <v>60.1</v>
      </c>
      <c r="K23" s="50">
        <f>SUM(J23)+3.2</f>
        <v>63.300000000000004</v>
      </c>
      <c r="L23" s="50">
        <f>SUM(K23)+3.2</f>
        <v>66.5</v>
      </c>
      <c r="M23" s="194">
        <f>SUM(L23)+3.2</f>
        <v>69.7</v>
      </c>
    </row>
    <row r="24" spans="1:13" s="1" customFormat="1" ht="14.1" customHeight="1">
      <c r="A24" s="79"/>
      <c r="B24" s="62" t="s">
        <v>55</v>
      </c>
      <c r="C24" s="63"/>
      <c r="D24" s="64" t="s">
        <v>121</v>
      </c>
      <c r="E24" s="65"/>
      <c r="F24" s="65"/>
      <c r="G24" s="66"/>
      <c r="H24" s="36"/>
      <c r="I24" s="36"/>
      <c r="J24" s="35"/>
      <c r="K24" s="36"/>
      <c r="L24" s="36"/>
      <c r="M24" s="87"/>
    </row>
    <row r="25" spans="1:13" s="1" customFormat="1" ht="14.1" customHeight="1">
      <c r="A25" s="92">
        <v>12</v>
      </c>
      <c r="B25" s="51" t="s">
        <v>146</v>
      </c>
      <c r="C25" s="52"/>
      <c r="D25" s="59"/>
      <c r="E25" s="60"/>
      <c r="F25" s="60"/>
      <c r="G25" s="61"/>
      <c r="H25" s="24">
        <f>SUM(I25)-0.7</f>
        <v>12.900000000000002</v>
      </c>
      <c r="I25" s="24">
        <f>SUM(J25)-0.7</f>
        <v>13.600000000000001</v>
      </c>
      <c r="J25" s="33">
        <v>14.3</v>
      </c>
      <c r="K25" s="24">
        <f>SUM(J25)+1.2</f>
        <v>15.5</v>
      </c>
      <c r="L25" s="24">
        <f>SUM(K25)+0.7</f>
        <v>16.2</v>
      </c>
      <c r="M25" s="88">
        <f>SUM(L25)+0.7</f>
        <v>16.899999999999999</v>
      </c>
    </row>
    <row r="26" spans="1:13" s="1" customFormat="1" ht="14.1" customHeight="1">
      <c r="A26" s="79"/>
      <c r="B26" s="62" t="s">
        <v>145</v>
      </c>
      <c r="C26" s="63"/>
      <c r="D26" s="89" t="s">
        <v>159</v>
      </c>
      <c r="E26" s="90"/>
      <c r="F26" s="90"/>
      <c r="G26" s="91"/>
      <c r="H26" s="36"/>
      <c r="I26" s="36"/>
      <c r="J26" s="35"/>
      <c r="K26" s="36"/>
      <c r="L26" s="36"/>
      <c r="M26" s="87"/>
    </row>
    <row r="27" spans="1:13" s="1" customFormat="1" ht="14.1" customHeight="1">
      <c r="A27" s="92">
        <v>13</v>
      </c>
      <c r="B27" s="51" t="s">
        <v>9</v>
      </c>
      <c r="C27" s="52"/>
      <c r="D27" s="59" t="s">
        <v>84</v>
      </c>
      <c r="E27" s="60"/>
      <c r="F27" s="60"/>
      <c r="G27" s="61"/>
      <c r="H27" s="24">
        <f>SUM(I27)-1.5</f>
        <v>21.3</v>
      </c>
      <c r="I27" s="24">
        <f>SUM(J27)-1.5</f>
        <v>22.8</v>
      </c>
      <c r="J27" s="33">
        <v>24.3</v>
      </c>
      <c r="K27" s="24">
        <f>SUM(J27)+1.5</f>
        <v>25.8</v>
      </c>
      <c r="L27" s="24">
        <f>SUM(K27)+1.5</f>
        <v>27.3</v>
      </c>
      <c r="M27" s="88">
        <f>SUM(L27)+1.5</f>
        <v>28.8</v>
      </c>
    </row>
    <row r="28" spans="1:13" s="1" customFormat="1" ht="14.1" customHeight="1">
      <c r="A28" s="79"/>
      <c r="B28" s="62" t="s">
        <v>56</v>
      </c>
      <c r="C28" s="63"/>
      <c r="D28" s="64" t="s">
        <v>120</v>
      </c>
      <c r="E28" s="65"/>
      <c r="F28" s="65"/>
      <c r="G28" s="66"/>
      <c r="H28" s="36"/>
      <c r="I28" s="36"/>
      <c r="J28" s="35"/>
      <c r="K28" s="36"/>
      <c r="L28" s="36"/>
      <c r="M28" s="87"/>
    </row>
    <row r="29" spans="1:13" s="1" customFormat="1" ht="14.1" customHeight="1">
      <c r="A29" s="92">
        <v>14</v>
      </c>
      <c r="B29" s="51" t="s">
        <v>16</v>
      </c>
      <c r="C29" s="52"/>
      <c r="D29" s="59" t="s">
        <v>17</v>
      </c>
      <c r="E29" s="60"/>
      <c r="F29" s="60"/>
      <c r="G29" s="61"/>
      <c r="H29" s="24">
        <f>SUM(I29)-2</f>
        <v>31</v>
      </c>
      <c r="I29" s="24">
        <f>SUM(J29)-2</f>
        <v>33</v>
      </c>
      <c r="J29" s="33">
        <v>35</v>
      </c>
      <c r="K29" s="24">
        <f>SUM(J29)+2</f>
        <v>37</v>
      </c>
      <c r="L29" s="24">
        <f>SUM(K29)+2</f>
        <v>39</v>
      </c>
      <c r="M29" s="88">
        <f>SUM(L29)+2</f>
        <v>41</v>
      </c>
    </row>
    <row r="30" spans="1:13" s="1" customFormat="1" ht="14.1" customHeight="1">
      <c r="A30" s="79"/>
      <c r="B30" s="62" t="s">
        <v>57</v>
      </c>
      <c r="C30" s="63"/>
      <c r="D30" s="47" t="s">
        <v>119</v>
      </c>
      <c r="E30" s="48"/>
      <c r="F30" s="48"/>
      <c r="G30" s="49"/>
      <c r="H30" s="36"/>
      <c r="I30" s="36"/>
      <c r="J30" s="35"/>
      <c r="K30" s="36"/>
      <c r="L30" s="36"/>
      <c r="M30" s="87"/>
    </row>
    <row r="31" spans="1:13" s="1" customFormat="1" ht="14.1" customHeight="1">
      <c r="A31" s="92">
        <v>15</v>
      </c>
      <c r="B31" s="51" t="s">
        <v>18</v>
      </c>
      <c r="C31" s="52"/>
      <c r="D31" s="59" t="s">
        <v>15</v>
      </c>
      <c r="E31" s="60"/>
      <c r="F31" s="60"/>
      <c r="G31" s="61"/>
      <c r="H31" s="24">
        <f>SUM(I31)-1</f>
        <v>20.8</v>
      </c>
      <c r="I31" s="24">
        <f>SUM(J31)-1</f>
        <v>21.8</v>
      </c>
      <c r="J31" s="33">
        <v>22.8</v>
      </c>
      <c r="K31" s="24">
        <f>SUM(J31)+1.5</f>
        <v>24.3</v>
      </c>
      <c r="L31" s="24">
        <f>SUM(K31)+1</f>
        <v>25.3</v>
      </c>
      <c r="M31" s="88">
        <f>SUM(L31)+1</f>
        <v>26.3</v>
      </c>
    </row>
    <row r="32" spans="1:13" s="1" customFormat="1" ht="14.1" customHeight="1">
      <c r="A32" s="79"/>
      <c r="B32" s="62" t="s">
        <v>63</v>
      </c>
      <c r="C32" s="63"/>
      <c r="D32" s="64" t="s">
        <v>118</v>
      </c>
      <c r="E32" s="65"/>
      <c r="F32" s="65"/>
      <c r="G32" s="66"/>
      <c r="H32" s="36"/>
      <c r="I32" s="36"/>
      <c r="J32" s="35"/>
      <c r="K32" s="36"/>
      <c r="L32" s="36"/>
      <c r="M32" s="87"/>
    </row>
    <row r="33" spans="1:13" s="1" customFormat="1" ht="14.1" customHeight="1">
      <c r="A33" s="92">
        <v>16</v>
      </c>
      <c r="B33" s="51" t="s">
        <v>19</v>
      </c>
      <c r="C33" s="52"/>
      <c r="D33" s="59" t="s">
        <v>15</v>
      </c>
      <c r="E33" s="60"/>
      <c r="F33" s="60"/>
      <c r="G33" s="61"/>
      <c r="H33" s="24">
        <f>SUM(I33)-1.2</f>
        <v>23.1</v>
      </c>
      <c r="I33" s="24">
        <f>SUM(J33)-1.2</f>
        <v>24.3</v>
      </c>
      <c r="J33" s="33">
        <v>25.5</v>
      </c>
      <c r="K33" s="24">
        <f>SUM(J33)+1.7</f>
        <v>27.2</v>
      </c>
      <c r="L33" s="24">
        <f>SUM(K33)+1.2</f>
        <v>28.4</v>
      </c>
      <c r="M33" s="88">
        <f>SUM(L33)+1.2</f>
        <v>29.599999999999998</v>
      </c>
    </row>
    <row r="34" spans="1:13" s="1" customFormat="1" ht="14.1" customHeight="1" thickBot="1">
      <c r="A34" s="99"/>
      <c r="B34" s="104" t="s">
        <v>62</v>
      </c>
      <c r="C34" s="105"/>
      <c r="D34" s="106" t="s">
        <v>118</v>
      </c>
      <c r="E34" s="107"/>
      <c r="F34" s="107"/>
      <c r="G34" s="108"/>
      <c r="H34" s="25"/>
      <c r="I34" s="25"/>
      <c r="J34" s="34"/>
      <c r="K34" s="25"/>
      <c r="L34" s="25"/>
      <c r="M34" s="103"/>
    </row>
    <row r="35" spans="1:13" ht="14.1" customHeight="1"/>
    <row r="36" spans="1:13" ht="14.1" customHeight="1"/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179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K5:K6"/>
    <mergeCell ref="L5:L6"/>
    <mergeCell ref="M5:M6"/>
    <mergeCell ref="B6:C6"/>
    <mergeCell ref="D6:G6"/>
    <mergeCell ref="A7:A8"/>
    <mergeCell ref="B7:C7"/>
    <mergeCell ref="D7:G7"/>
    <mergeCell ref="H7:H8"/>
    <mergeCell ref="I7:I8"/>
    <mergeCell ref="J7:J8"/>
    <mergeCell ref="K7:K8"/>
    <mergeCell ref="L7:L8"/>
    <mergeCell ref="M7:M8"/>
    <mergeCell ref="B8:C8"/>
    <mergeCell ref="D8:G8"/>
    <mergeCell ref="A9:A10"/>
    <mergeCell ref="B9:C9"/>
    <mergeCell ref="D9:G9"/>
    <mergeCell ref="H9:H10"/>
    <mergeCell ref="I9:I10"/>
    <mergeCell ref="J9:J10"/>
    <mergeCell ref="K9:K10"/>
    <mergeCell ref="L9:L10"/>
    <mergeCell ref="M9:M10"/>
    <mergeCell ref="B10:C10"/>
    <mergeCell ref="D10:G10"/>
    <mergeCell ref="A11:A12"/>
    <mergeCell ref="B11:C11"/>
    <mergeCell ref="D11:G11"/>
    <mergeCell ref="H11:H12"/>
    <mergeCell ref="I11:I12"/>
    <mergeCell ref="J11:J12"/>
    <mergeCell ref="K11:K12"/>
    <mergeCell ref="L11:L12"/>
    <mergeCell ref="M11:M12"/>
    <mergeCell ref="B12:C12"/>
    <mergeCell ref="D12:G12"/>
    <mergeCell ref="A13:A14"/>
    <mergeCell ref="B13:C13"/>
    <mergeCell ref="D13:G13"/>
    <mergeCell ref="H13:H14"/>
    <mergeCell ref="I13:I14"/>
    <mergeCell ref="J13:J14"/>
    <mergeCell ref="K13:K14"/>
    <mergeCell ref="L13:L14"/>
    <mergeCell ref="M13:M14"/>
    <mergeCell ref="B14:C14"/>
    <mergeCell ref="D14:G14"/>
    <mergeCell ref="A21:A22"/>
    <mergeCell ref="B21:C21"/>
    <mergeCell ref="D21:G21"/>
    <mergeCell ref="H21:H22"/>
    <mergeCell ref="I21:I22"/>
    <mergeCell ref="J21:J22"/>
    <mergeCell ref="K21:K22"/>
    <mergeCell ref="L21:L22"/>
    <mergeCell ref="M21:M22"/>
    <mergeCell ref="B22:C22"/>
    <mergeCell ref="D22:G22"/>
    <mergeCell ref="A23:A24"/>
    <mergeCell ref="B23:C23"/>
    <mergeCell ref="D23:G23"/>
    <mergeCell ref="H23:H24"/>
    <mergeCell ref="I23:I24"/>
    <mergeCell ref="J23:J24"/>
    <mergeCell ref="K23:K24"/>
    <mergeCell ref="L23:L24"/>
    <mergeCell ref="M23:M24"/>
    <mergeCell ref="B24:C24"/>
    <mergeCell ref="D24:G24"/>
    <mergeCell ref="A25:A26"/>
    <mergeCell ref="B25:C25"/>
    <mergeCell ref="D25:G25"/>
    <mergeCell ref="H25:H26"/>
    <mergeCell ref="I25:I26"/>
    <mergeCell ref="J25:J26"/>
    <mergeCell ref="K25:K26"/>
    <mergeCell ref="L25:L26"/>
    <mergeCell ref="M25:M26"/>
    <mergeCell ref="B26:C26"/>
    <mergeCell ref="D26:G26"/>
    <mergeCell ref="A27:A28"/>
    <mergeCell ref="B27:C27"/>
    <mergeCell ref="D27:G27"/>
    <mergeCell ref="H27:H28"/>
    <mergeCell ref="I27:I28"/>
    <mergeCell ref="J27:J28"/>
    <mergeCell ref="K27:K28"/>
    <mergeCell ref="L27:L28"/>
    <mergeCell ref="M27:M28"/>
    <mergeCell ref="B28:C28"/>
    <mergeCell ref="D28:G28"/>
    <mergeCell ref="A29:A30"/>
    <mergeCell ref="B29:C29"/>
    <mergeCell ref="D29:G29"/>
    <mergeCell ref="H29:H30"/>
    <mergeCell ref="I29:I30"/>
    <mergeCell ref="J29:J30"/>
    <mergeCell ref="K29:K30"/>
    <mergeCell ref="L29:L30"/>
    <mergeCell ref="M29:M30"/>
    <mergeCell ref="B30:C30"/>
    <mergeCell ref="D30:G30"/>
    <mergeCell ref="A31:A32"/>
    <mergeCell ref="B31:C31"/>
    <mergeCell ref="D31:G31"/>
    <mergeCell ref="H31:H32"/>
    <mergeCell ref="I31:I32"/>
    <mergeCell ref="J31:J32"/>
    <mergeCell ref="K31:K32"/>
    <mergeCell ref="L31:L32"/>
    <mergeCell ref="M31:M32"/>
    <mergeCell ref="B32:C32"/>
    <mergeCell ref="D32:G32"/>
    <mergeCell ref="A33:A34"/>
    <mergeCell ref="B33:C33"/>
    <mergeCell ref="D33:G33"/>
    <mergeCell ref="H33:H34"/>
    <mergeCell ref="I33:I34"/>
    <mergeCell ref="J33:J34"/>
    <mergeCell ref="K33:K34"/>
    <mergeCell ref="L33:L34"/>
    <mergeCell ref="M33:M34"/>
    <mergeCell ref="B34:C34"/>
    <mergeCell ref="D34:G34"/>
    <mergeCell ref="A15:A16"/>
    <mergeCell ref="B15:C15"/>
    <mergeCell ref="D15:G15"/>
    <mergeCell ref="H15:H16"/>
    <mergeCell ref="I15:I16"/>
    <mergeCell ref="J15:J16"/>
    <mergeCell ref="K15:K16"/>
    <mergeCell ref="L15:L16"/>
    <mergeCell ref="M15:M16"/>
    <mergeCell ref="B16:C16"/>
    <mergeCell ref="D16:G16"/>
    <mergeCell ref="A17:A18"/>
    <mergeCell ref="B17:C17"/>
    <mergeCell ref="D17:G17"/>
    <mergeCell ref="H17:H18"/>
    <mergeCell ref="I17:I18"/>
    <mergeCell ref="J19:J20"/>
    <mergeCell ref="J17:J18"/>
    <mergeCell ref="K17:K18"/>
    <mergeCell ref="L17:L18"/>
    <mergeCell ref="A19:A20"/>
    <mergeCell ref="M17:M18"/>
    <mergeCell ref="B18:C18"/>
    <mergeCell ref="D18:G18"/>
    <mergeCell ref="K19:K20"/>
    <mergeCell ref="L19:L20"/>
    <mergeCell ref="M19:M20"/>
    <mergeCell ref="I19:I20"/>
    <mergeCell ref="B20:C20"/>
    <mergeCell ref="D20:G20"/>
    <mergeCell ref="B19:C19"/>
    <mergeCell ref="D19:G19"/>
    <mergeCell ref="H19:H20"/>
  </mergeCells>
  <phoneticPr fontId="1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007F4-434E-44E4-B969-9ABF799F684F}">
  <sheetPr codeName="Sheet181">
    <tabColor rgb="FF00B050"/>
    <pageSetUpPr fitToPage="1"/>
  </sheetPr>
  <dimension ref="A1:M51"/>
  <sheetViews>
    <sheetView zoomScale="110" zoomScaleNormal="110" workbookViewId="0">
      <selection activeCell="H11" sqref="H11:H12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8" width="5.5" style="8" customWidth="1"/>
    <col min="9" max="13" width="5.5" customWidth="1"/>
  </cols>
  <sheetData>
    <row r="1" spans="1:13" ht="16.5" customHeight="1" thickBot="1">
      <c r="A1" s="67" t="s">
        <v>185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3" t="s">
        <v>68</v>
      </c>
      <c r="B2" s="179" t="s">
        <v>69</v>
      </c>
      <c r="C2" s="180"/>
      <c r="D2" s="179" t="s">
        <v>70</v>
      </c>
      <c r="E2" s="181"/>
      <c r="F2" s="181"/>
      <c r="G2" s="18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</row>
    <row r="3" spans="1:13" s="1" customFormat="1" ht="14.1" customHeight="1">
      <c r="A3" s="78">
        <v>1</v>
      </c>
      <c r="B3" s="80" t="s">
        <v>149</v>
      </c>
      <c r="C3" s="81"/>
      <c r="D3" s="74" t="s">
        <v>82</v>
      </c>
      <c r="E3" s="82"/>
      <c r="F3" s="82"/>
      <c r="G3" s="83"/>
      <c r="H3" s="24">
        <f>SUM(I3)-3</f>
        <v>45</v>
      </c>
      <c r="I3" s="24">
        <f>SUM(J3)-3</f>
        <v>48</v>
      </c>
      <c r="J3" s="84">
        <v>51</v>
      </c>
      <c r="K3" s="85">
        <f>SUM(J3)+3</f>
        <v>54</v>
      </c>
      <c r="L3" s="85">
        <f>SUM(K3)+3</f>
        <v>57</v>
      </c>
      <c r="M3" s="109">
        <f>SUM(L3)+3</f>
        <v>60</v>
      </c>
    </row>
    <row r="4" spans="1:13" s="1" customFormat="1" ht="14.1" customHeight="1">
      <c r="A4" s="79"/>
      <c r="B4" s="62" t="s">
        <v>108</v>
      </c>
      <c r="C4" s="63"/>
      <c r="D4" s="64" t="s">
        <v>83</v>
      </c>
      <c r="E4" s="65"/>
      <c r="F4" s="65"/>
      <c r="G4" s="66"/>
      <c r="H4" s="36"/>
      <c r="I4" s="36"/>
      <c r="J4" s="35"/>
      <c r="K4" s="36"/>
      <c r="L4" s="36"/>
      <c r="M4" s="37"/>
    </row>
    <row r="5" spans="1:13" s="1" customFormat="1" ht="14.1" customHeight="1">
      <c r="A5" s="92">
        <v>2</v>
      </c>
      <c r="B5" s="40" t="s">
        <v>165</v>
      </c>
      <c r="C5" s="41"/>
      <c r="D5" s="100"/>
      <c r="E5" s="101"/>
      <c r="F5" s="101"/>
      <c r="G5" s="102"/>
      <c r="H5" s="24"/>
      <c r="I5" s="24"/>
      <c r="J5" s="117"/>
      <c r="K5" s="50"/>
      <c r="L5" s="50"/>
      <c r="M5" s="113"/>
    </row>
    <row r="6" spans="1:13" s="1" customFormat="1" ht="14.1" customHeight="1">
      <c r="A6" s="79"/>
      <c r="B6" s="62" t="s">
        <v>164</v>
      </c>
      <c r="C6" s="63"/>
      <c r="D6" s="64"/>
      <c r="E6" s="65"/>
      <c r="F6" s="65"/>
      <c r="G6" s="66"/>
      <c r="H6" s="36"/>
      <c r="I6" s="36"/>
      <c r="J6" s="35"/>
      <c r="K6" s="36"/>
      <c r="L6" s="36"/>
      <c r="M6" s="37"/>
    </row>
    <row r="7" spans="1:13" s="1" customFormat="1" ht="14.1" customHeight="1">
      <c r="A7" s="92">
        <v>3</v>
      </c>
      <c r="B7" s="40" t="s">
        <v>148</v>
      </c>
      <c r="C7" s="41"/>
      <c r="D7" s="100"/>
      <c r="E7" s="101"/>
      <c r="F7" s="101"/>
      <c r="G7" s="102"/>
      <c r="H7" s="24"/>
      <c r="I7" s="24"/>
      <c r="J7" s="117"/>
      <c r="K7" s="50"/>
      <c r="L7" s="50"/>
      <c r="M7" s="113"/>
    </row>
    <row r="8" spans="1:13" s="1" customFormat="1" ht="14.1" customHeight="1">
      <c r="A8" s="79"/>
      <c r="B8" s="62" t="s">
        <v>147</v>
      </c>
      <c r="C8" s="63"/>
      <c r="D8" s="64"/>
      <c r="E8" s="65"/>
      <c r="F8" s="65"/>
      <c r="G8" s="66"/>
      <c r="H8" s="36"/>
      <c r="I8" s="36"/>
      <c r="J8" s="35"/>
      <c r="K8" s="36"/>
      <c r="L8" s="36"/>
      <c r="M8" s="37"/>
    </row>
    <row r="9" spans="1:13" s="1" customFormat="1" ht="14.1" customHeight="1">
      <c r="A9" s="92">
        <v>4</v>
      </c>
      <c r="B9" s="51" t="s">
        <v>163</v>
      </c>
      <c r="C9" s="52"/>
      <c r="D9" s="118"/>
      <c r="E9" s="119"/>
      <c r="F9" s="119"/>
      <c r="G9" s="120"/>
      <c r="H9" s="24"/>
      <c r="I9" s="24"/>
      <c r="J9" s="117"/>
      <c r="K9" s="50"/>
      <c r="L9" s="50"/>
      <c r="M9" s="113"/>
    </row>
    <row r="10" spans="1:13" s="1" customFormat="1" ht="14.1" customHeight="1">
      <c r="A10" s="79"/>
      <c r="B10" s="62" t="s">
        <v>162</v>
      </c>
      <c r="C10" s="63"/>
      <c r="D10" s="114"/>
      <c r="E10" s="115"/>
      <c r="F10" s="115"/>
      <c r="G10" s="116"/>
      <c r="H10" s="36"/>
      <c r="I10" s="36"/>
      <c r="J10" s="35"/>
      <c r="K10" s="36"/>
      <c r="L10" s="36"/>
      <c r="M10" s="37"/>
    </row>
    <row r="11" spans="1:13" s="1" customFormat="1" ht="14.1" customHeight="1">
      <c r="A11" s="92">
        <v>5</v>
      </c>
      <c r="B11" s="51" t="s">
        <v>157</v>
      </c>
      <c r="C11" s="52"/>
      <c r="D11" s="100"/>
      <c r="E11" s="101"/>
      <c r="F11" s="101"/>
      <c r="G11" s="102"/>
      <c r="H11" s="58">
        <f>SUM(I11)-4.5</f>
        <v>63</v>
      </c>
      <c r="I11" s="24">
        <f>SUM(J11)-4.5</f>
        <v>67.5</v>
      </c>
      <c r="J11" s="117">
        <v>72</v>
      </c>
      <c r="K11" s="50">
        <f>SUM(J11)+4.5</f>
        <v>76.5</v>
      </c>
      <c r="L11" s="50">
        <f>SUM(K11)+4.5</f>
        <v>81</v>
      </c>
      <c r="M11" s="113">
        <f>SUM(L11)+4.5</f>
        <v>85.5</v>
      </c>
    </row>
    <row r="12" spans="1:13" s="1" customFormat="1" ht="14.1" customHeight="1">
      <c r="A12" s="79"/>
      <c r="B12" s="62" t="s">
        <v>158</v>
      </c>
      <c r="C12" s="63"/>
      <c r="D12" s="64"/>
      <c r="E12" s="65"/>
      <c r="F12" s="65"/>
      <c r="G12" s="66"/>
      <c r="H12" s="56"/>
      <c r="I12" s="36"/>
      <c r="J12" s="35"/>
      <c r="K12" s="36"/>
      <c r="L12" s="36"/>
      <c r="M12" s="37"/>
    </row>
    <row r="13" spans="1:13" s="1" customFormat="1" ht="14.1" customHeight="1">
      <c r="A13" s="92">
        <v>6</v>
      </c>
      <c r="B13" s="51" t="s">
        <v>186</v>
      </c>
      <c r="C13" s="52"/>
      <c r="D13" s="182"/>
      <c r="E13" s="183"/>
      <c r="F13" s="183"/>
      <c r="G13" s="184"/>
      <c r="H13" s="24">
        <f>SUM(I13)-6</f>
        <v>42</v>
      </c>
      <c r="I13" s="24">
        <f>SUM(J13)-6</f>
        <v>48</v>
      </c>
      <c r="J13" s="117">
        <v>54</v>
      </c>
      <c r="K13" s="50">
        <f>SUM(J13)+5</f>
        <v>59</v>
      </c>
      <c r="L13" s="50">
        <f>SUM(K13)+5</f>
        <v>64</v>
      </c>
      <c r="M13" s="113">
        <f>SUM(L13)+5</f>
        <v>69</v>
      </c>
    </row>
    <row r="14" spans="1:13" s="1" customFormat="1" ht="14.1" customHeight="1">
      <c r="A14" s="79"/>
      <c r="B14" s="36" t="s">
        <v>187</v>
      </c>
      <c r="C14" s="36"/>
      <c r="D14" s="114" t="s">
        <v>188</v>
      </c>
      <c r="E14" s="115"/>
      <c r="F14" s="115"/>
      <c r="G14" s="116"/>
      <c r="H14" s="36"/>
      <c r="I14" s="36"/>
      <c r="J14" s="35"/>
      <c r="K14" s="36"/>
      <c r="L14" s="36"/>
      <c r="M14" s="37"/>
    </row>
    <row r="15" spans="1:13" s="1" customFormat="1" ht="13.5" customHeight="1">
      <c r="A15" s="92">
        <v>7</v>
      </c>
      <c r="B15" s="51" t="s">
        <v>189</v>
      </c>
      <c r="C15" s="52"/>
      <c r="D15" s="182"/>
      <c r="E15" s="183"/>
      <c r="F15" s="183"/>
      <c r="G15" s="184"/>
      <c r="H15" s="24">
        <f>SUM(I15)-1.8</f>
        <v>9.3999999999999986</v>
      </c>
      <c r="I15" s="24">
        <f>SUM(J15)-1.8</f>
        <v>11.2</v>
      </c>
      <c r="J15" s="117">
        <v>13</v>
      </c>
      <c r="K15" s="50">
        <f>SUM(J15)+1</f>
        <v>14</v>
      </c>
      <c r="L15" s="50">
        <f>SUM(K15)+1.5</f>
        <v>15.5</v>
      </c>
      <c r="M15" s="113">
        <f>SUM(L15)+1.5</f>
        <v>17</v>
      </c>
    </row>
    <row r="16" spans="1:13" s="1" customFormat="1" ht="14.1" customHeight="1">
      <c r="A16" s="79"/>
      <c r="B16" s="36" t="s">
        <v>190</v>
      </c>
      <c r="C16" s="36"/>
      <c r="D16" s="114" t="s">
        <v>194</v>
      </c>
      <c r="E16" s="115"/>
      <c r="F16" s="115"/>
      <c r="G16" s="116"/>
      <c r="H16" s="36"/>
      <c r="I16" s="36"/>
      <c r="J16" s="35"/>
      <c r="K16" s="36"/>
      <c r="L16" s="36"/>
      <c r="M16" s="37"/>
    </row>
    <row r="17" spans="1:13" ht="14.1" customHeight="1">
      <c r="A17" s="92">
        <v>8</v>
      </c>
      <c r="B17" s="51" t="s">
        <v>191</v>
      </c>
      <c r="C17" s="52"/>
      <c r="D17" s="182"/>
      <c r="E17" s="183"/>
      <c r="F17" s="183"/>
      <c r="G17" s="184"/>
      <c r="H17" s="24">
        <f>SUM(I17)-2</f>
        <v>14.100000000000001</v>
      </c>
      <c r="I17" s="24">
        <f>SUM(J17)-2</f>
        <v>16.100000000000001</v>
      </c>
      <c r="J17" s="117">
        <v>18.100000000000001</v>
      </c>
      <c r="K17" s="50">
        <f>SUM(J17)+1.6</f>
        <v>19.700000000000003</v>
      </c>
      <c r="L17" s="50">
        <f>SUM(K17)+1.6</f>
        <v>21.300000000000004</v>
      </c>
      <c r="M17" s="113">
        <f>SUM(L17)+1.6</f>
        <v>22.900000000000006</v>
      </c>
    </row>
    <row r="18" spans="1:13" ht="14.1" customHeight="1">
      <c r="A18" s="79"/>
      <c r="B18" s="36" t="s">
        <v>193</v>
      </c>
      <c r="C18" s="36"/>
      <c r="D18" s="114"/>
      <c r="E18" s="115"/>
      <c r="F18" s="115"/>
      <c r="G18" s="116"/>
      <c r="H18" s="36"/>
      <c r="I18" s="36"/>
      <c r="J18" s="35"/>
      <c r="K18" s="36"/>
      <c r="L18" s="36"/>
      <c r="M18" s="37"/>
    </row>
    <row r="19" spans="1:13" ht="14.1" customHeight="1">
      <c r="A19" s="92">
        <v>9</v>
      </c>
      <c r="B19" s="51" t="s">
        <v>192</v>
      </c>
      <c r="C19" s="52"/>
      <c r="D19" s="182"/>
      <c r="E19" s="183"/>
      <c r="F19" s="183"/>
      <c r="G19" s="184"/>
      <c r="H19" s="24">
        <f>SUM(I19)-2.2</f>
        <v>15.700000000000003</v>
      </c>
      <c r="I19" s="24">
        <f>SUM(J19)-2.2</f>
        <v>17.900000000000002</v>
      </c>
      <c r="J19" s="117">
        <v>20.100000000000001</v>
      </c>
      <c r="K19" s="50">
        <f>SUM(J19)+1.9</f>
        <v>22</v>
      </c>
      <c r="L19" s="50">
        <f>SUM(K19)+1.9</f>
        <v>23.9</v>
      </c>
      <c r="M19" s="113">
        <f>SUM(L19)+1.9</f>
        <v>25.799999999999997</v>
      </c>
    </row>
    <row r="20" spans="1:13" ht="14.1" customHeight="1">
      <c r="A20" s="79"/>
      <c r="B20" s="36" t="s">
        <v>195</v>
      </c>
      <c r="C20" s="36"/>
      <c r="D20" s="114" t="s">
        <v>196</v>
      </c>
      <c r="E20" s="115"/>
      <c r="F20" s="115"/>
      <c r="G20" s="116"/>
      <c r="H20" s="36"/>
      <c r="I20" s="36"/>
      <c r="J20" s="35"/>
      <c r="K20" s="36"/>
      <c r="L20" s="36"/>
      <c r="M20" s="37"/>
    </row>
    <row r="21" spans="1:13" ht="14.1" customHeight="1">
      <c r="A21" s="92">
        <v>10</v>
      </c>
      <c r="B21" s="141"/>
      <c r="C21" s="141"/>
      <c r="D21" s="198"/>
      <c r="E21" s="199"/>
      <c r="F21" s="199"/>
      <c r="G21" s="200"/>
      <c r="H21" s="24"/>
      <c r="I21" s="24"/>
      <c r="J21" s="33"/>
      <c r="K21" s="24"/>
      <c r="L21" s="24"/>
      <c r="M21" s="26"/>
    </row>
    <row r="22" spans="1:13" ht="14.1" customHeight="1" thickBot="1">
      <c r="A22" s="99"/>
      <c r="B22" s="110"/>
      <c r="C22" s="110"/>
      <c r="D22" s="201"/>
      <c r="E22" s="202"/>
      <c r="F22" s="202"/>
      <c r="G22" s="203"/>
      <c r="H22" s="25"/>
      <c r="I22" s="25"/>
      <c r="J22" s="34"/>
      <c r="K22" s="25"/>
      <c r="L22" s="25"/>
      <c r="M22" s="27"/>
    </row>
    <row r="23" spans="1:13" ht="14.1" customHeight="1"/>
    <row r="24" spans="1:13" ht="14.1" customHeight="1"/>
    <row r="25" spans="1:13" ht="14.1" customHeight="1"/>
    <row r="26" spans="1:13" ht="14.1" customHeight="1"/>
    <row r="27" spans="1:13" ht="14.1" customHeight="1"/>
    <row r="28" spans="1:13" ht="14.1" customHeight="1"/>
    <row r="29" spans="1:13" ht="14.1" customHeight="1"/>
    <row r="30" spans="1:13" ht="14.1" customHeight="1"/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13">
    <mergeCell ref="M21:M22"/>
    <mergeCell ref="B22:C22"/>
    <mergeCell ref="D22:G22"/>
    <mergeCell ref="A19:A20"/>
    <mergeCell ref="B19:C19"/>
    <mergeCell ref="D19:G19"/>
    <mergeCell ref="H19:H20"/>
    <mergeCell ref="J19:J20"/>
    <mergeCell ref="J17:J18"/>
    <mergeCell ref="A17:A18"/>
    <mergeCell ref="J21:J22"/>
    <mergeCell ref="M17:M18"/>
    <mergeCell ref="B18:C18"/>
    <mergeCell ref="D18:G18"/>
    <mergeCell ref="K19:K20"/>
    <mergeCell ref="L19:L20"/>
    <mergeCell ref="M19:M20"/>
    <mergeCell ref="I19:I20"/>
    <mergeCell ref="B20:C20"/>
    <mergeCell ref="D20:G20"/>
    <mergeCell ref="B16:C16"/>
    <mergeCell ref="D16:G16"/>
    <mergeCell ref="B17:C17"/>
    <mergeCell ref="D17:G17"/>
    <mergeCell ref="H17:H18"/>
    <mergeCell ref="I17:I18"/>
    <mergeCell ref="K21:K22"/>
    <mergeCell ref="L21:L22"/>
    <mergeCell ref="K17:K18"/>
    <mergeCell ref="L17:L18"/>
    <mergeCell ref="J15:J16"/>
    <mergeCell ref="K13:K14"/>
    <mergeCell ref="L13:L14"/>
    <mergeCell ref="M13:M14"/>
    <mergeCell ref="B14:C14"/>
    <mergeCell ref="D14:G14"/>
    <mergeCell ref="A21:A22"/>
    <mergeCell ref="B21:C21"/>
    <mergeCell ref="D21:G21"/>
    <mergeCell ref="H21:H22"/>
    <mergeCell ref="I21:I22"/>
    <mergeCell ref="A13:A14"/>
    <mergeCell ref="B13:C13"/>
    <mergeCell ref="D13:G13"/>
    <mergeCell ref="H13:H14"/>
    <mergeCell ref="I13:I14"/>
    <mergeCell ref="J13:J14"/>
    <mergeCell ref="A15:A16"/>
    <mergeCell ref="B15:C15"/>
    <mergeCell ref="D15:G15"/>
    <mergeCell ref="H15:H16"/>
    <mergeCell ref="I15:I16"/>
    <mergeCell ref="K15:K16"/>
    <mergeCell ref="L15:L16"/>
    <mergeCell ref="M15:M16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77DF1-5D53-4DFA-AA51-221D5A0969D5}">
  <sheetPr>
    <tabColor rgb="FF00B050"/>
    <pageSetUpPr fitToPage="1"/>
  </sheetPr>
  <dimension ref="A1:M51"/>
  <sheetViews>
    <sheetView zoomScale="110" zoomScaleNormal="110" workbookViewId="0">
      <selection activeCell="H11" sqref="H11:H12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8" width="5.5" style="8" customWidth="1"/>
    <col min="9" max="13" width="5.5" customWidth="1"/>
  </cols>
  <sheetData>
    <row r="1" spans="1:13" ht="16.5" customHeight="1" thickBot="1">
      <c r="A1" s="67" t="s">
        <v>479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3" t="s">
        <v>68</v>
      </c>
      <c r="B2" s="179" t="s">
        <v>69</v>
      </c>
      <c r="C2" s="180"/>
      <c r="D2" s="179" t="s">
        <v>70</v>
      </c>
      <c r="E2" s="181"/>
      <c r="F2" s="181"/>
      <c r="G2" s="18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</row>
    <row r="3" spans="1:13" s="1" customFormat="1" ht="14.1" customHeight="1">
      <c r="A3" s="78">
        <v>1</v>
      </c>
      <c r="B3" s="80" t="s">
        <v>149</v>
      </c>
      <c r="C3" s="81"/>
      <c r="D3" s="74" t="s">
        <v>82</v>
      </c>
      <c r="E3" s="82"/>
      <c r="F3" s="82"/>
      <c r="G3" s="83"/>
      <c r="H3" s="24">
        <f>SUM(I3)-3</f>
        <v>47</v>
      </c>
      <c r="I3" s="24">
        <f>SUM(J3)-3</f>
        <v>50</v>
      </c>
      <c r="J3" s="84">
        <v>53</v>
      </c>
      <c r="K3" s="85">
        <f>SUM(J3)+3</f>
        <v>56</v>
      </c>
      <c r="L3" s="85">
        <f>SUM(K3)+3</f>
        <v>59</v>
      </c>
      <c r="M3" s="109">
        <f>SUM(L3)+3</f>
        <v>62</v>
      </c>
    </row>
    <row r="4" spans="1:13" s="1" customFormat="1" ht="14.1" customHeight="1">
      <c r="A4" s="79"/>
      <c r="B4" s="62" t="s">
        <v>108</v>
      </c>
      <c r="C4" s="63"/>
      <c r="D4" s="64" t="s">
        <v>83</v>
      </c>
      <c r="E4" s="65"/>
      <c r="F4" s="65"/>
      <c r="G4" s="66"/>
      <c r="H4" s="36"/>
      <c r="I4" s="36"/>
      <c r="J4" s="35"/>
      <c r="K4" s="36"/>
      <c r="L4" s="36"/>
      <c r="M4" s="37"/>
    </row>
    <row r="5" spans="1:13" s="1" customFormat="1" ht="14.1" customHeight="1">
      <c r="A5" s="92">
        <v>2</v>
      </c>
      <c r="B5" s="40" t="s">
        <v>165</v>
      </c>
      <c r="C5" s="41"/>
      <c r="D5" s="100"/>
      <c r="E5" s="101"/>
      <c r="F5" s="101"/>
      <c r="G5" s="102"/>
      <c r="H5" s="24">
        <f>SUM(I5)-1</f>
        <v>15</v>
      </c>
      <c r="I5" s="24">
        <f>SUM(J5)-1</f>
        <v>16</v>
      </c>
      <c r="J5" s="117">
        <v>17</v>
      </c>
      <c r="K5" s="50">
        <f>SUM(J5)+1</f>
        <v>18</v>
      </c>
      <c r="L5" s="50">
        <f>SUM(K5)+1</f>
        <v>19</v>
      </c>
      <c r="M5" s="113">
        <f>SUM(L5)+1</f>
        <v>20</v>
      </c>
    </row>
    <row r="6" spans="1:13" s="1" customFormat="1" ht="14.1" customHeight="1">
      <c r="A6" s="79"/>
      <c r="B6" s="62" t="s">
        <v>164</v>
      </c>
      <c r="C6" s="63"/>
      <c r="D6" s="64"/>
      <c r="E6" s="65"/>
      <c r="F6" s="65"/>
      <c r="G6" s="66"/>
      <c r="H6" s="36"/>
      <c r="I6" s="36"/>
      <c r="J6" s="35"/>
      <c r="K6" s="36"/>
      <c r="L6" s="36"/>
      <c r="M6" s="37"/>
    </row>
    <row r="7" spans="1:13" s="1" customFormat="1" ht="14.1" customHeight="1">
      <c r="A7" s="92">
        <v>3</v>
      </c>
      <c r="B7" s="40" t="s">
        <v>148</v>
      </c>
      <c r="C7" s="41"/>
      <c r="D7" s="100"/>
      <c r="E7" s="101"/>
      <c r="F7" s="101"/>
      <c r="G7" s="102"/>
      <c r="H7" s="24">
        <f>SUM(I7)-2</f>
        <v>32</v>
      </c>
      <c r="I7" s="24">
        <f>SUM(J7)-2</f>
        <v>34</v>
      </c>
      <c r="J7" s="117">
        <v>36</v>
      </c>
      <c r="K7" s="50">
        <f>SUM(J7)+2</f>
        <v>38</v>
      </c>
      <c r="L7" s="50">
        <f>SUM(K7)+2</f>
        <v>40</v>
      </c>
      <c r="M7" s="113">
        <f>SUM(L7)+2</f>
        <v>42</v>
      </c>
    </row>
    <row r="8" spans="1:13" s="1" customFormat="1" ht="14.1" customHeight="1">
      <c r="A8" s="79"/>
      <c r="B8" s="62" t="s">
        <v>147</v>
      </c>
      <c r="C8" s="63"/>
      <c r="D8" s="64"/>
      <c r="E8" s="65"/>
      <c r="F8" s="65"/>
      <c r="G8" s="66"/>
      <c r="H8" s="36"/>
      <c r="I8" s="36"/>
      <c r="J8" s="35"/>
      <c r="K8" s="36"/>
      <c r="L8" s="36"/>
      <c r="M8" s="37"/>
    </row>
    <row r="9" spans="1:13" s="1" customFormat="1" ht="14.1" customHeight="1">
      <c r="A9" s="92">
        <v>4</v>
      </c>
      <c r="B9" s="51" t="s">
        <v>163</v>
      </c>
      <c r="C9" s="52"/>
      <c r="D9" s="118"/>
      <c r="E9" s="119"/>
      <c r="F9" s="119"/>
      <c r="G9" s="120"/>
      <c r="H9" s="24">
        <f>SUM(I9)-2</f>
        <v>36</v>
      </c>
      <c r="I9" s="24">
        <f>SUM(J9)-2</f>
        <v>38</v>
      </c>
      <c r="J9" s="117">
        <v>40</v>
      </c>
      <c r="K9" s="50">
        <f>SUM(J9)+2</f>
        <v>42</v>
      </c>
      <c r="L9" s="50">
        <f>SUM(K9)+2</f>
        <v>44</v>
      </c>
      <c r="M9" s="113">
        <f>SUM(L9)+2</f>
        <v>46</v>
      </c>
    </row>
    <row r="10" spans="1:13" s="1" customFormat="1" ht="14.1" customHeight="1">
      <c r="A10" s="79"/>
      <c r="B10" s="62" t="s">
        <v>162</v>
      </c>
      <c r="C10" s="63"/>
      <c r="D10" s="114"/>
      <c r="E10" s="115"/>
      <c r="F10" s="115"/>
      <c r="G10" s="116"/>
      <c r="H10" s="36"/>
      <c r="I10" s="36"/>
      <c r="J10" s="35"/>
      <c r="K10" s="36"/>
      <c r="L10" s="36"/>
      <c r="M10" s="37"/>
    </row>
    <row r="11" spans="1:13" s="1" customFormat="1" ht="14.1" customHeight="1">
      <c r="A11" s="92">
        <v>5</v>
      </c>
      <c r="B11" s="51" t="s">
        <v>157</v>
      </c>
      <c r="C11" s="52"/>
      <c r="D11" s="100"/>
      <c r="E11" s="101"/>
      <c r="F11" s="101"/>
      <c r="G11" s="102"/>
      <c r="H11" s="24">
        <f>SUM(I11)-4.5</f>
        <v>65</v>
      </c>
      <c r="I11" s="24">
        <f>SUM(J11)-4.5</f>
        <v>69.5</v>
      </c>
      <c r="J11" s="117">
        <v>74</v>
      </c>
      <c r="K11" s="50">
        <f>SUM(J11)+4.5</f>
        <v>78.5</v>
      </c>
      <c r="L11" s="50">
        <f>SUM(K11)+4.5</f>
        <v>83</v>
      </c>
      <c r="M11" s="113">
        <f>SUM(L11)+4.5</f>
        <v>87.5</v>
      </c>
    </row>
    <row r="12" spans="1:13" s="1" customFormat="1" ht="14.1" customHeight="1">
      <c r="A12" s="79"/>
      <c r="B12" s="62" t="s">
        <v>158</v>
      </c>
      <c r="C12" s="63"/>
      <c r="D12" s="64"/>
      <c r="E12" s="65"/>
      <c r="F12" s="65"/>
      <c r="G12" s="66"/>
      <c r="H12" s="36"/>
      <c r="I12" s="36"/>
      <c r="J12" s="35"/>
      <c r="K12" s="36"/>
      <c r="L12" s="36"/>
      <c r="M12" s="37"/>
    </row>
    <row r="13" spans="1:13" s="1" customFormat="1" ht="14.1" customHeight="1">
      <c r="A13" s="92">
        <v>6</v>
      </c>
      <c r="B13" s="51" t="s">
        <v>152</v>
      </c>
      <c r="C13" s="52"/>
      <c r="D13" s="182" t="s">
        <v>84</v>
      </c>
      <c r="E13" s="183"/>
      <c r="F13" s="183"/>
      <c r="G13" s="184"/>
      <c r="H13" s="24">
        <f>SUM(I13)-2.5</f>
        <v>24.2</v>
      </c>
      <c r="I13" s="24">
        <f>SUM(J13)-2.5</f>
        <v>26.7</v>
      </c>
      <c r="J13" s="33">
        <v>29.2</v>
      </c>
      <c r="K13" s="24">
        <f>SUM(J13)+2.5</f>
        <v>31.7</v>
      </c>
      <c r="L13" s="24">
        <f>SUM(K13)+2.5</f>
        <v>34.200000000000003</v>
      </c>
      <c r="M13" s="111">
        <f>SUM(L13)+2.5</f>
        <v>36.700000000000003</v>
      </c>
    </row>
    <row r="14" spans="1:13" s="1" customFormat="1" ht="14.1" customHeight="1">
      <c r="A14" s="79"/>
      <c r="B14" s="62" t="s">
        <v>151</v>
      </c>
      <c r="C14" s="63"/>
      <c r="D14" s="114" t="s">
        <v>150</v>
      </c>
      <c r="E14" s="115"/>
      <c r="F14" s="115"/>
      <c r="G14" s="116"/>
      <c r="H14" s="36"/>
      <c r="I14" s="36"/>
      <c r="J14" s="35"/>
      <c r="K14" s="36"/>
      <c r="L14" s="36"/>
      <c r="M14" s="112"/>
    </row>
    <row r="15" spans="1:13" s="1" customFormat="1" ht="14.1" customHeight="1">
      <c r="A15" s="92">
        <v>7</v>
      </c>
      <c r="B15" s="141"/>
      <c r="C15" s="141"/>
      <c r="D15" s="132"/>
      <c r="E15" s="132"/>
      <c r="F15" s="132"/>
      <c r="G15" s="132"/>
      <c r="H15" s="176"/>
      <c r="I15" s="50"/>
      <c r="J15" s="117"/>
      <c r="K15" s="50"/>
      <c r="L15" s="50"/>
      <c r="M15" s="113"/>
    </row>
    <row r="16" spans="1:13" s="1" customFormat="1" ht="14.1" customHeight="1" thickBot="1">
      <c r="A16" s="99"/>
      <c r="B16" s="110"/>
      <c r="C16" s="110"/>
      <c r="D16" s="30"/>
      <c r="E16" s="31"/>
      <c r="F16" s="31"/>
      <c r="G16" s="32"/>
      <c r="H16" s="177"/>
      <c r="I16" s="25"/>
      <c r="J16" s="34"/>
      <c r="K16" s="25"/>
      <c r="L16" s="25"/>
      <c r="M16" s="27"/>
    </row>
    <row r="17" ht="14.1" customHeight="1"/>
    <row r="18" ht="14.1" customHeight="1"/>
    <row r="19" ht="14.1" customHeight="1"/>
    <row r="20" ht="14.1" customHeight="1"/>
    <row r="21" ht="14.1" customHeight="1"/>
    <row r="22" ht="14.1" customHeight="1"/>
    <row r="23" ht="14.1" customHeight="1"/>
    <row r="24" ht="14.1" customHeight="1"/>
    <row r="25" ht="14.1" customHeight="1"/>
    <row r="26" ht="14.1" customHeight="1"/>
    <row r="27" ht="14.1" customHeight="1"/>
    <row r="28" ht="14.1" customHeight="1"/>
    <row r="29" ht="14.1" customHeight="1"/>
    <row r="30" ht="14.1" customHeight="1"/>
    <row r="31" ht="14.1" customHeight="1"/>
    <row r="32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80"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K7:K8"/>
    <mergeCell ref="L7:L8"/>
    <mergeCell ref="M7:M8"/>
    <mergeCell ref="B8:C8"/>
    <mergeCell ref="D8:G8"/>
    <mergeCell ref="J7:J8"/>
    <mergeCell ref="K5:K6"/>
    <mergeCell ref="L5:L6"/>
    <mergeCell ref="M5:M6"/>
    <mergeCell ref="B6:C6"/>
    <mergeCell ref="D6:G6"/>
    <mergeCell ref="J5:J6"/>
    <mergeCell ref="A7:A8"/>
    <mergeCell ref="B7:C7"/>
    <mergeCell ref="D7:G7"/>
    <mergeCell ref="H7:H8"/>
    <mergeCell ref="I7:I8"/>
    <mergeCell ref="A5:A6"/>
    <mergeCell ref="B5:C5"/>
    <mergeCell ref="D5:G5"/>
    <mergeCell ref="H5:H6"/>
    <mergeCell ref="I5:I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8A9A-9495-4964-B9E5-D574A8C4D842}">
  <sheetPr>
    <tabColor rgb="FF00B050"/>
    <pageSetUpPr fitToPage="1"/>
  </sheetPr>
  <dimension ref="A1:N51"/>
  <sheetViews>
    <sheetView topLeftCell="A4" zoomScale="110" zoomScaleNormal="110" workbookViewId="0">
      <selection activeCell="N11" sqref="N11:N12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8" width="5.5" style="8" customWidth="1"/>
    <col min="9" max="14" width="5.5" customWidth="1"/>
  </cols>
  <sheetData>
    <row r="1" spans="1:14" ht="16.5" customHeight="1" thickBot="1">
      <c r="A1" s="67" t="s">
        <v>636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9"/>
    </row>
    <row r="2" spans="1:14" ht="16.5" customHeight="1" thickBot="1">
      <c r="A2" s="3" t="s">
        <v>68</v>
      </c>
      <c r="B2" s="179" t="s">
        <v>69</v>
      </c>
      <c r="C2" s="180"/>
      <c r="D2" s="179" t="s">
        <v>70</v>
      </c>
      <c r="E2" s="181"/>
      <c r="F2" s="181"/>
      <c r="G2" s="18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  <c r="N2" s="7" t="s">
        <v>229</v>
      </c>
    </row>
    <row r="3" spans="1:14" s="1" customFormat="1" ht="14.1" customHeight="1">
      <c r="A3" s="78">
        <v>1</v>
      </c>
      <c r="B3" s="80" t="s">
        <v>149</v>
      </c>
      <c r="C3" s="81"/>
      <c r="D3" s="74" t="s">
        <v>82</v>
      </c>
      <c r="E3" s="82"/>
      <c r="F3" s="82"/>
      <c r="G3" s="83"/>
      <c r="H3" s="185">
        <f>SUM(I3)-3</f>
        <v>47</v>
      </c>
      <c r="I3" s="85">
        <f>SUM(J3)-3</f>
        <v>50</v>
      </c>
      <c r="J3" s="84">
        <v>53</v>
      </c>
      <c r="K3" s="85">
        <f>SUM(J3)+3</f>
        <v>56</v>
      </c>
      <c r="L3" s="85">
        <f>SUM(K3)+3</f>
        <v>59</v>
      </c>
      <c r="M3" s="85">
        <f>SUM(L3)+3</f>
        <v>62</v>
      </c>
      <c r="N3" s="131">
        <f>SUM(M3)+3</f>
        <v>65</v>
      </c>
    </row>
    <row r="4" spans="1:14" s="1" customFormat="1" ht="14.1" customHeight="1">
      <c r="A4" s="79"/>
      <c r="B4" s="62" t="s">
        <v>108</v>
      </c>
      <c r="C4" s="63"/>
      <c r="D4" s="64" t="s">
        <v>83</v>
      </c>
      <c r="E4" s="65"/>
      <c r="F4" s="65"/>
      <c r="G4" s="66"/>
      <c r="H4" s="175"/>
      <c r="I4" s="36"/>
      <c r="J4" s="35"/>
      <c r="K4" s="36"/>
      <c r="L4" s="36"/>
      <c r="M4" s="36"/>
      <c r="N4" s="122"/>
    </row>
    <row r="5" spans="1:14" s="1" customFormat="1" ht="14.1" customHeight="1">
      <c r="A5" s="92">
        <v>2</v>
      </c>
      <c r="B5" s="40" t="s">
        <v>165</v>
      </c>
      <c r="C5" s="41"/>
      <c r="D5" s="100"/>
      <c r="E5" s="101"/>
      <c r="F5" s="101"/>
      <c r="G5" s="102"/>
      <c r="H5" s="176">
        <f>SUM(I5)-1.2</f>
        <v>17.600000000000001</v>
      </c>
      <c r="I5" s="50">
        <f>SUM(J5)-1.2</f>
        <v>18.8</v>
      </c>
      <c r="J5" s="117">
        <v>20</v>
      </c>
      <c r="K5" s="50">
        <f>SUM(J5)+1.2</f>
        <v>21.2</v>
      </c>
      <c r="L5" s="50">
        <f>SUM(K5)+1.2</f>
        <v>22.4</v>
      </c>
      <c r="M5" s="50">
        <f>SUM(L5)+1.2</f>
        <v>23.599999999999998</v>
      </c>
      <c r="N5" s="127">
        <f>SUM(M5)+1.2</f>
        <v>24.799999999999997</v>
      </c>
    </row>
    <row r="6" spans="1:14" s="1" customFormat="1" ht="14.1" customHeight="1">
      <c r="A6" s="79"/>
      <c r="B6" s="62" t="s">
        <v>164</v>
      </c>
      <c r="C6" s="63"/>
      <c r="D6" s="64"/>
      <c r="E6" s="65"/>
      <c r="F6" s="65"/>
      <c r="G6" s="66"/>
      <c r="H6" s="175"/>
      <c r="I6" s="36"/>
      <c r="J6" s="35"/>
      <c r="K6" s="36"/>
      <c r="L6" s="36"/>
      <c r="M6" s="36"/>
      <c r="N6" s="122"/>
    </row>
    <row r="7" spans="1:14" s="1" customFormat="1" ht="14.1" customHeight="1">
      <c r="A7" s="92">
        <v>3</v>
      </c>
      <c r="B7" s="40" t="s">
        <v>148</v>
      </c>
      <c r="C7" s="41"/>
      <c r="D7" s="100"/>
      <c r="E7" s="101"/>
      <c r="F7" s="101"/>
      <c r="G7" s="102"/>
      <c r="H7" s="174">
        <f>SUM(I7)-1.8</f>
        <v>29.4</v>
      </c>
      <c r="I7" s="24">
        <f>SUM(J7)-1.8</f>
        <v>31.2</v>
      </c>
      <c r="J7" s="33">
        <v>33</v>
      </c>
      <c r="K7" s="24">
        <f>SUM(J7)+1.8</f>
        <v>34.799999999999997</v>
      </c>
      <c r="L7" s="24">
        <f>SUM(K7)+1.8</f>
        <v>36.599999999999994</v>
      </c>
      <c r="M7" s="24">
        <f>SUM(L7)+1.8</f>
        <v>38.399999999999991</v>
      </c>
      <c r="N7" s="121">
        <f>SUM(M7)+1.8</f>
        <v>40.199999999999989</v>
      </c>
    </row>
    <row r="8" spans="1:14" s="1" customFormat="1" ht="14.1" customHeight="1">
      <c r="A8" s="79"/>
      <c r="B8" s="62" t="s">
        <v>147</v>
      </c>
      <c r="C8" s="63"/>
      <c r="D8" s="64"/>
      <c r="E8" s="65"/>
      <c r="F8" s="65"/>
      <c r="G8" s="66"/>
      <c r="H8" s="175"/>
      <c r="I8" s="36"/>
      <c r="J8" s="35"/>
      <c r="K8" s="36"/>
      <c r="L8" s="36"/>
      <c r="M8" s="36"/>
      <c r="N8" s="122"/>
    </row>
    <row r="9" spans="1:14" s="1" customFormat="1" ht="14.1" customHeight="1">
      <c r="A9" s="92">
        <v>4</v>
      </c>
      <c r="B9" s="51" t="s">
        <v>163</v>
      </c>
      <c r="C9" s="52"/>
      <c r="D9" s="118"/>
      <c r="E9" s="119"/>
      <c r="F9" s="119"/>
      <c r="G9" s="120"/>
      <c r="H9" s="174">
        <f>SUM(I9)-1.8</f>
        <v>34.900000000000006</v>
      </c>
      <c r="I9" s="24">
        <f>SUM(J9)-1.8</f>
        <v>36.700000000000003</v>
      </c>
      <c r="J9" s="33">
        <v>38.5</v>
      </c>
      <c r="K9" s="24">
        <f>SUM(J9)+1.8</f>
        <v>40.299999999999997</v>
      </c>
      <c r="L9" s="24">
        <f>SUM(K9)+1.8</f>
        <v>42.099999999999994</v>
      </c>
      <c r="M9" s="24">
        <f>SUM(L9)+1.8</f>
        <v>43.899999999999991</v>
      </c>
      <c r="N9" s="121">
        <f>SUM(M9)+1.8</f>
        <v>45.699999999999989</v>
      </c>
    </row>
    <row r="10" spans="1:14" s="1" customFormat="1" ht="14.1" customHeight="1">
      <c r="A10" s="79"/>
      <c r="B10" s="62" t="s">
        <v>162</v>
      </c>
      <c r="C10" s="63"/>
      <c r="D10" s="114"/>
      <c r="E10" s="115"/>
      <c r="F10" s="115"/>
      <c r="G10" s="116"/>
      <c r="H10" s="175"/>
      <c r="I10" s="36"/>
      <c r="J10" s="35"/>
      <c r="K10" s="36"/>
      <c r="L10" s="36"/>
      <c r="M10" s="36"/>
      <c r="N10" s="122"/>
    </row>
    <row r="11" spans="1:14" s="1" customFormat="1" ht="14.1" customHeight="1">
      <c r="A11" s="92">
        <v>5</v>
      </c>
      <c r="B11" s="51" t="s">
        <v>157</v>
      </c>
      <c r="C11" s="52"/>
      <c r="D11" s="100"/>
      <c r="E11" s="101"/>
      <c r="F11" s="101"/>
      <c r="G11" s="102"/>
      <c r="H11" s="174">
        <f>SUM(I11)-4.5</f>
        <v>66.8</v>
      </c>
      <c r="I11" s="24">
        <f>SUM(J11)-4.5</f>
        <v>71.3</v>
      </c>
      <c r="J11" s="117">
        <v>75.8</v>
      </c>
      <c r="K11" s="50">
        <f>SUM(J11)+4.5</f>
        <v>80.3</v>
      </c>
      <c r="L11" s="50">
        <f>SUM(K11)+4.5</f>
        <v>84.8</v>
      </c>
      <c r="M11" s="50">
        <f>SUM(L11)+4.5</f>
        <v>89.3</v>
      </c>
      <c r="N11" s="127">
        <f>SUM(M11)+4.5</f>
        <v>93.8</v>
      </c>
    </row>
    <row r="12" spans="1:14" s="1" customFormat="1" ht="14.1" customHeight="1">
      <c r="A12" s="79"/>
      <c r="B12" s="62" t="s">
        <v>158</v>
      </c>
      <c r="C12" s="63"/>
      <c r="D12" s="64"/>
      <c r="E12" s="65"/>
      <c r="F12" s="65"/>
      <c r="G12" s="66"/>
      <c r="H12" s="175"/>
      <c r="I12" s="36"/>
      <c r="J12" s="35"/>
      <c r="K12" s="36"/>
      <c r="L12" s="36"/>
      <c r="M12" s="36"/>
      <c r="N12" s="122"/>
    </row>
    <row r="13" spans="1:14" s="1" customFormat="1" ht="14.1" customHeight="1">
      <c r="A13" s="92">
        <v>6</v>
      </c>
      <c r="B13" s="51" t="s">
        <v>152</v>
      </c>
      <c r="C13" s="52"/>
      <c r="D13" s="182" t="s">
        <v>84</v>
      </c>
      <c r="E13" s="183"/>
      <c r="F13" s="183"/>
      <c r="G13" s="184"/>
      <c r="H13" s="174">
        <f>SUM(I13)-2.5</f>
        <v>24</v>
      </c>
      <c r="I13" s="24">
        <f>SUM(J13)-2.5</f>
        <v>26.5</v>
      </c>
      <c r="J13" s="117">
        <v>29</v>
      </c>
      <c r="K13" s="50">
        <f>SUM(J13)+2.5</f>
        <v>31.5</v>
      </c>
      <c r="L13" s="50">
        <f>SUM(K13)+2.5</f>
        <v>34</v>
      </c>
      <c r="M13" s="50">
        <f>SUM(L13)+2.5</f>
        <v>36.5</v>
      </c>
      <c r="N13" s="127">
        <f>SUM(M13)+2.5</f>
        <v>39</v>
      </c>
    </row>
    <row r="14" spans="1:14" s="1" customFormat="1" ht="14.1" customHeight="1">
      <c r="A14" s="79"/>
      <c r="B14" s="36" t="s">
        <v>151</v>
      </c>
      <c r="C14" s="36"/>
      <c r="D14" s="114" t="s">
        <v>150</v>
      </c>
      <c r="E14" s="115"/>
      <c r="F14" s="115"/>
      <c r="G14" s="116"/>
      <c r="H14" s="175"/>
      <c r="I14" s="36"/>
      <c r="J14" s="35"/>
      <c r="K14" s="36"/>
      <c r="L14" s="36"/>
      <c r="M14" s="36"/>
      <c r="N14" s="122"/>
    </row>
    <row r="15" spans="1:14" s="1" customFormat="1" ht="14.1" customHeight="1">
      <c r="A15" s="98">
        <v>7</v>
      </c>
      <c r="B15" s="58"/>
      <c r="C15" s="58"/>
      <c r="D15" s="182"/>
      <c r="E15" s="183"/>
      <c r="F15" s="183"/>
      <c r="G15" s="184"/>
      <c r="H15" s="174"/>
      <c r="I15" s="24"/>
      <c r="J15" s="33"/>
      <c r="K15" s="24"/>
      <c r="L15" s="24"/>
      <c r="M15" s="24"/>
      <c r="N15" s="121"/>
    </row>
    <row r="16" spans="1:14" s="1" customFormat="1" ht="14.1" customHeight="1" thickBot="1">
      <c r="A16" s="186"/>
      <c r="B16" s="189"/>
      <c r="C16" s="189"/>
      <c r="D16" s="190"/>
      <c r="E16" s="191"/>
      <c r="F16" s="191"/>
      <c r="G16" s="192"/>
      <c r="H16" s="187"/>
      <c r="I16" s="148"/>
      <c r="J16" s="188"/>
      <c r="K16" s="148"/>
      <c r="L16" s="148"/>
      <c r="M16" s="148"/>
      <c r="N16" s="193"/>
    </row>
    <row r="17" spans="1:14" s="1" customFormat="1" ht="14.1" customHeight="1" thickTop="1">
      <c r="A17" s="92">
        <v>8</v>
      </c>
      <c r="B17" s="40" t="s">
        <v>13</v>
      </c>
      <c r="C17" s="41"/>
      <c r="D17" s="100" t="s">
        <v>14</v>
      </c>
      <c r="E17" s="101"/>
      <c r="F17" s="101"/>
      <c r="G17" s="102"/>
      <c r="H17" s="176">
        <f>SUM(I17)-3.2</f>
        <v>53.699999999999996</v>
      </c>
      <c r="I17" s="50">
        <f>SUM(J17)-3.2</f>
        <v>56.9</v>
      </c>
      <c r="J17" s="117">
        <v>60.1</v>
      </c>
      <c r="K17" s="50">
        <f>SUM(J17)+3.2</f>
        <v>63.300000000000004</v>
      </c>
      <c r="L17" s="50">
        <f>SUM(K17)+3.2</f>
        <v>66.5</v>
      </c>
      <c r="M17" s="50">
        <f>SUM(L17)+3.2</f>
        <v>69.7</v>
      </c>
      <c r="N17" s="127">
        <f>SUM(M17)+3.2</f>
        <v>72.900000000000006</v>
      </c>
    </row>
    <row r="18" spans="1:14" s="1" customFormat="1" ht="14.1" customHeight="1">
      <c r="A18" s="79"/>
      <c r="B18" s="62" t="s">
        <v>55</v>
      </c>
      <c r="C18" s="63"/>
      <c r="D18" s="64" t="s">
        <v>121</v>
      </c>
      <c r="E18" s="65"/>
      <c r="F18" s="65"/>
      <c r="G18" s="66"/>
      <c r="H18" s="175"/>
      <c r="I18" s="36"/>
      <c r="J18" s="35"/>
      <c r="K18" s="36"/>
      <c r="L18" s="36"/>
      <c r="M18" s="36"/>
      <c r="N18" s="122"/>
    </row>
    <row r="19" spans="1:14" s="1" customFormat="1" ht="14.1" customHeight="1">
      <c r="A19" s="92">
        <v>9</v>
      </c>
      <c r="B19" s="51" t="s">
        <v>146</v>
      </c>
      <c r="C19" s="52"/>
      <c r="D19" s="59"/>
      <c r="E19" s="60"/>
      <c r="F19" s="60"/>
      <c r="G19" s="61"/>
      <c r="H19" s="174">
        <f>SUM(I19)-0.7</f>
        <v>12.3</v>
      </c>
      <c r="I19" s="24">
        <f>SUM(J19)-0.7</f>
        <v>13</v>
      </c>
      <c r="J19" s="33">
        <v>13.7</v>
      </c>
      <c r="K19" s="24">
        <f>SUM(J19)+1.2</f>
        <v>14.899999999999999</v>
      </c>
      <c r="L19" s="24">
        <f>SUM(K19)+0.7</f>
        <v>15.599999999999998</v>
      </c>
      <c r="M19" s="24">
        <f>SUM(L19)+0.7</f>
        <v>16.299999999999997</v>
      </c>
      <c r="N19" s="121">
        <f>SUM(M19)+0.7</f>
        <v>16.999999999999996</v>
      </c>
    </row>
    <row r="20" spans="1:14" s="1" customFormat="1" ht="14.1" customHeight="1">
      <c r="A20" s="79"/>
      <c r="B20" s="62" t="s">
        <v>145</v>
      </c>
      <c r="C20" s="63"/>
      <c r="D20" s="89" t="s">
        <v>159</v>
      </c>
      <c r="E20" s="90"/>
      <c r="F20" s="90"/>
      <c r="G20" s="91"/>
      <c r="H20" s="175"/>
      <c r="I20" s="36"/>
      <c r="J20" s="35"/>
      <c r="K20" s="36"/>
      <c r="L20" s="36"/>
      <c r="M20" s="36"/>
      <c r="N20" s="122"/>
    </row>
    <row r="21" spans="1:14" s="1" customFormat="1" ht="14.1" customHeight="1">
      <c r="A21" s="92">
        <v>10</v>
      </c>
      <c r="B21" s="51" t="s">
        <v>9</v>
      </c>
      <c r="C21" s="52"/>
      <c r="D21" s="59" t="s">
        <v>84</v>
      </c>
      <c r="E21" s="60"/>
      <c r="F21" s="60"/>
      <c r="G21" s="61"/>
      <c r="H21" s="174">
        <f>SUM(I21)-1.5</f>
        <v>21.7</v>
      </c>
      <c r="I21" s="24">
        <f>SUM(J21)-1.5</f>
        <v>23.2</v>
      </c>
      <c r="J21" s="33">
        <v>24.7</v>
      </c>
      <c r="K21" s="24">
        <f>SUM(J21)+1.5</f>
        <v>26.2</v>
      </c>
      <c r="L21" s="24">
        <f>SUM(K21)+1.5</f>
        <v>27.7</v>
      </c>
      <c r="M21" s="24">
        <f>SUM(L21)+1.5</f>
        <v>29.2</v>
      </c>
      <c r="N21" s="121">
        <f>SUM(M21)+1.5</f>
        <v>30.7</v>
      </c>
    </row>
    <row r="22" spans="1:14" s="1" customFormat="1" ht="14.1" customHeight="1">
      <c r="A22" s="79"/>
      <c r="B22" s="62" t="s">
        <v>56</v>
      </c>
      <c r="C22" s="63"/>
      <c r="D22" s="64" t="s">
        <v>120</v>
      </c>
      <c r="E22" s="65"/>
      <c r="F22" s="65"/>
      <c r="G22" s="66"/>
      <c r="H22" s="175"/>
      <c r="I22" s="36"/>
      <c r="J22" s="35"/>
      <c r="K22" s="36"/>
      <c r="L22" s="36"/>
      <c r="M22" s="36"/>
      <c r="N22" s="122"/>
    </row>
    <row r="23" spans="1:14" s="1" customFormat="1" ht="14.1" customHeight="1">
      <c r="A23" s="92">
        <v>11</v>
      </c>
      <c r="B23" s="51" t="s">
        <v>16</v>
      </c>
      <c r="C23" s="52"/>
      <c r="D23" s="59" t="s">
        <v>17</v>
      </c>
      <c r="E23" s="60"/>
      <c r="F23" s="60"/>
      <c r="G23" s="61"/>
      <c r="H23" s="174">
        <f>SUM(I23)-1.9</f>
        <v>31.200000000000003</v>
      </c>
      <c r="I23" s="24">
        <f>SUM(J23)-1.9</f>
        <v>33.1</v>
      </c>
      <c r="J23" s="33">
        <v>35</v>
      </c>
      <c r="K23" s="24">
        <f>SUM(J23)+1.9</f>
        <v>36.9</v>
      </c>
      <c r="L23" s="24">
        <f>SUM(K23)+1.9</f>
        <v>38.799999999999997</v>
      </c>
      <c r="M23" s="24">
        <f>SUM(L23)+1.9</f>
        <v>40.699999999999996</v>
      </c>
      <c r="N23" s="121">
        <f>SUM(M23)+1.9</f>
        <v>42.599999999999994</v>
      </c>
    </row>
    <row r="24" spans="1:14" s="1" customFormat="1" ht="14.1" customHeight="1">
      <c r="A24" s="79"/>
      <c r="B24" s="62" t="s">
        <v>57</v>
      </c>
      <c r="C24" s="63"/>
      <c r="D24" s="47" t="s">
        <v>119</v>
      </c>
      <c r="E24" s="48"/>
      <c r="F24" s="48"/>
      <c r="G24" s="49"/>
      <c r="H24" s="175"/>
      <c r="I24" s="36"/>
      <c r="J24" s="35"/>
      <c r="K24" s="36"/>
      <c r="L24" s="36"/>
      <c r="M24" s="36"/>
      <c r="N24" s="122"/>
    </row>
    <row r="25" spans="1:14" s="1" customFormat="1" ht="14.1" customHeight="1">
      <c r="A25" s="92">
        <v>12</v>
      </c>
      <c r="B25" s="51" t="s">
        <v>18</v>
      </c>
      <c r="C25" s="52"/>
      <c r="D25" s="59" t="s">
        <v>15</v>
      </c>
      <c r="E25" s="60"/>
      <c r="F25" s="60"/>
      <c r="G25" s="61"/>
      <c r="H25" s="174">
        <f>SUM(I25)-1</f>
        <v>20.2</v>
      </c>
      <c r="I25" s="24">
        <f>SUM(J25)-1</f>
        <v>21.2</v>
      </c>
      <c r="J25" s="33">
        <v>22.2</v>
      </c>
      <c r="K25" s="24">
        <f>SUM(J25)+1.5</f>
        <v>23.7</v>
      </c>
      <c r="L25" s="24">
        <f>SUM(K25)+1</f>
        <v>24.7</v>
      </c>
      <c r="M25" s="24">
        <f>SUM(L25)+1</f>
        <v>25.7</v>
      </c>
      <c r="N25" s="121">
        <f>SUM(M25)+1</f>
        <v>26.7</v>
      </c>
    </row>
    <row r="26" spans="1:14" s="1" customFormat="1" ht="14.1" customHeight="1">
      <c r="A26" s="79"/>
      <c r="B26" s="62" t="s">
        <v>63</v>
      </c>
      <c r="C26" s="63"/>
      <c r="D26" s="64" t="s">
        <v>118</v>
      </c>
      <c r="E26" s="65"/>
      <c r="F26" s="65"/>
      <c r="G26" s="66"/>
      <c r="H26" s="175"/>
      <c r="I26" s="36"/>
      <c r="J26" s="35"/>
      <c r="K26" s="36"/>
      <c r="L26" s="36"/>
      <c r="M26" s="36"/>
      <c r="N26" s="122"/>
    </row>
    <row r="27" spans="1:14" s="1" customFormat="1" ht="14.1" customHeight="1">
      <c r="A27" s="92">
        <v>13</v>
      </c>
      <c r="B27" s="51" t="s">
        <v>19</v>
      </c>
      <c r="C27" s="52"/>
      <c r="D27" s="59" t="s">
        <v>15</v>
      </c>
      <c r="E27" s="60"/>
      <c r="F27" s="60"/>
      <c r="G27" s="61"/>
      <c r="H27" s="174">
        <f>SUM(I27)-1.2</f>
        <v>22.400000000000002</v>
      </c>
      <c r="I27" s="24">
        <f>SUM(J27)-1.2</f>
        <v>23.6</v>
      </c>
      <c r="J27" s="33">
        <v>24.8</v>
      </c>
      <c r="K27" s="24">
        <f>SUM(J27)+1.7</f>
        <v>26.5</v>
      </c>
      <c r="L27" s="24">
        <f>SUM(K27)+1.2</f>
        <v>27.7</v>
      </c>
      <c r="M27" s="24">
        <f>SUM(L27)+1.2</f>
        <v>28.9</v>
      </c>
      <c r="N27" s="121">
        <f>SUM(M27)+1.2</f>
        <v>30.099999999999998</v>
      </c>
    </row>
    <row r="28" spans="1:14" s="1" customFormat="1" ht="14.1" customHeight="1" thickBot="1">
      <c r="A28" s="99"/>
      <c r="B28" s="104" t="s">
        <v>62</v>
      </c>
      <c r="C28" s="105"/>
      <c r="D28" s="106" t="s">
        <v>118</v>
      </c>
      <c r="E28" s="107"/>
      <c r="F28" s="107"/>
      <c r="G28" s="108"/>
      <c r="H28" s="177"/>
      <c r="I28" s="25"/>
      <c r="J28" s="34"/>
      <c r="K28" s="25"/>
      <c r="L28" s="25"/>
      <c r="M28" s="25"/>
      <c r="N28" s="124"/>
    </row>
    <row r="29" spans="1:14" ht="14.1" customHeight="1"/>
    <row r="30" spans="1:14" ht="14.1" customHeight="1"/>
    <row r="31" spans="1:14" ht="14.1" customHeight="1"/>
    <row r="32" spans="1:14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9"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A9DF6-7CF5-4ADB-A1D5-1793EE482F1D}">
  <sheetPr>
    <tabColor rgb="FF00B050"/>
    <pageSetUpPr fitToPage="1"/>
  </sheetPr>
  <dimension ref="A1:M51"/>
  <sheetViews>
    <sheetView zoomScale="110" zoomScaleNormal="110" workbookViewId="0">
      <selection activeCell="H11" sqref="H11:H12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8" width="5.5" style="8" customWidth="1"/>
    <col min="9" max="13" width="5.5" customWidth="1"/>
  </cols>
  <sheetData>
    <row r="1" spans="1:13" ht="16.5" customHeight="1" thickBot="1">
      <c r="A1" s="67" t="s">
        <v>628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3" t="s">
        <v>68</v>
      </c>
      <c r="B2" s="179" t="s">
        <v>69</v>
      </c>
      <c r="C2" s="180"/>
      <c r="D2" s="179" t="s">
        <v>70</v>
      </c>
      <c r="E2" s="181"/>
      <c r="F2" s="181"/>
      <c r="G2" s="18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</row>
    <row r="3" spans="1:13" s="1" customFormat="1" ht="14.1" customHeight="1">
      <c r="A3" s="78">
        <v>1</v>
      </c>
      <c r="B3" s="80" t="s">
        <v>149</v>
      </c>
      <c r="C3" s="81"/>
      <c r="D3" s="74" t="s">
        <v>82</v>
      </c>
      <c r="E3" s="82"/>
      <c r="F3" s="82"/>
      <c r="G3" s="83"/>
      <c r="H3" s="24">
        <f>SUM(I3)-2.5</f>
        <v>42</v>
      </c>
      <c r="I3" s="24">
        <f>SUM(J3)-2.5</f>
        <v>44.5</v>
      </c>
      <c r="J3" s="84">
        <v>47</v>
      </c>
      <c r="K3" s="85">
        <f>SUM(J3)+2.5</f>
        <v>49.5</v>
      </c>
      <c r="L3" s="185">
        <f>SUM(K3)+2.5</f>
        <v>52</v>
      </c>
      <c r="M3" s="86">
        <f>SUM(L3)+2.5</f>
        <v>54.5</v>
      </c>
    </row>
    <row r="4" spans="1:13" s="1" customFormat="1" ht="14.1" customHeight="1">
      <c r="A4" s="79"/>
      <c r="B4" s="62" t="s">
        <v>108</v>
      </c>
      <c r="C4" s="63"/>
      <c r="D4" s="64" t="s">
        <v>83</v>
      </c>
      <c r="E4" s="65"/>
      <c r="F4" s="65"/>
      <c r="G4" s="66"/>
      <c r="H4" s="36"/>
      <c r="I4" s="36"/>
      <c r="J4" s="35"/>
      <c r="K4" s="36"/>
      <c r="L4" s="175"/>
      <c r="M4" s="87"/>
    </row>
    <row r="5" spans="1:13" s="1" customFormat="1" ht="14.1" customHeight="1">
      <c r="A5" s="92">
        <v>2</v>
      </c>
      <c r="B5" s="40" t="s">
        <v>165</v>
      </c>
      <c r="C5" s="41"/>
      <c r="D5" s="100"/>
      <c r="E5" s="101"/>
      <c r="F5" s="101"/>
      <c r="G5" s="102"/>
      <c r="H5" s="24"/>
      <c r="I5" s="24"/>
      <c r="J5" s="117"/>
      <c r="K5" s="50"/>
      <c r="L5" s="176"/>
      <c r="M5" s="194"/>
    </row>
    <row r="6" spans="1:13" s="1" customFormat="1" ht="14.1" customHeight="1">
      <c r="A6" s="79"/>
      <c r="B6" s="62" t="s">
        <v>164</v>
      </c>
      <c r="C6" s="63"/>
      <c r="D6" s="64"/>
      <c r="E6" s="65"/>
      <c r="F6" s="65"/>
      <c r="G6" s="66"/>
      <c r="H6" s="36"/>
      <c r="I6" s="36"/>
      <c r="J6" s="35"/>
      <c r="K6" s="36"/>
      <c r="L6" s="175"/>
      <c r="M6" s="87"/>
    </row>
    <row r="7" spans="1:13" s="1" customFormat="1" ht="14.1" customHeight="1">
      <c r="A7" s="92">
        <v>3</v>
      </c>
      <c r="B7" s="40" t="s">
        <v>148</v>
      </c>
      <c r="C7" s="41"/>
      <c r="D7" s="100"/>
      <c r="E7" s="101"/>
      <c r="F7" s="101"/>
      <c r="G7" s="102"/>
      <c r="H7" s="24"/>
      <c r="I7" s="24"/>
      <c r="J7" s="117"/>
      <c r="K7" s="50"/>
      <c r="L7" s="176"/>
      <c r="M7" s="194"/>
    </row>
    <row r="8" spans="1:13" s="1" customFormat="1" ht="14.1" customHeight="1">
      <c r="A8" s="79"/>
      <c r="B8" s="62" t="s">
        <v>147</v>
      </c>
      <c r="C8" s="63"/>
      <c r="D8" s="64"/>
      <c r="E8" s="65"/>
      <c r="F8" s="65"/>
      <c r="G8" s="66"/>
      <c r="H8" s="36"/>
      <c r="I8" s="36"/>
      <c r="J8" s="35"/>
      <c r="K8" s="36"/>
      <c r="L8" s="175"/>
      <c r="M8" s="87"/>
    </row>
    <row r="9" spans="1:13" s="1" customFormat="1" ht="14.1" customHeight="1">
      <c r="A9" s="92">
        <v>4</v>
      </c>
      <c r="B9" s="51" t="s">
        <v>163</v>
      </c>
      <c r="C9" s="52"/>
      <c r="D9" s="118"/>
      <c r="E9" s="119"/>
      <c r="F9" s="119"/>
      <c r="G9" s="120"/>
      <c r="H9" s="24"/>
      <c r="I9" s="24"/>
      <c r="J9" s="117"/>
      <c r="K9" s="50"/>
      <c r="L9" s="176"/>
      <c r="M9" s="194"/>
    </row>
    <row r="10" spans="1:13" s="1" customFormat="1" ht="14.1" customHeight="1">
      <c r="A10" s="79"/>
      <c r="B10" s="62" t="s">
        <v>162</v>
      </c>
      <c r="C10" s="63"/>
      <c r="D10" s="114"/>
      <c r="E10" s="115"/>
      <c r="F10" s="115"/>
      <c r="G10" s="116"/>
      <c r="H10" s="36"/>
      <c r="I10" s="36"/>
      <c r="J10" s="35"/>
      <c r="K10" s="36"/>
      <c r="L10" s="175"/>
      <c r="M10" s="87"/>
    </row>
    <row r="11" spans="1:13" s="1" customFormat="1" ht="14.1" customHeight="1">
      <c r="A11" s="92">
        <v>5</v>
      </c>
      <c r="B11" s="51" t="s">
        <v>157</v>
      </c>
      <c r="C11" s="52"/>
      <c r="D11" s="100"/>
      <c r="E11" s="101"/>
      <c r="F11" s="101"/>
      <c r="G11" s="102"/>
      <c r="H11" s="58">
        <f>SUM(I11)-4.5</f>
        <v>63</v>
      </c>
      <c r="I11" s="24">
        <f>SUM(J11)-4.5</f>
        <v>67.5</v>
      </c>
      <c r="J11" s="117">
        <v>72</v>
      </c>
      <c r="K11" s="50">
        <f>SUM(J11)+4.5</f>
        <v>76.5</v>
      </c>
      <c r="L11" s="176">
        <f>SUM(K11)+4.5</f>
        <v>81</v>
      </c>
      <c r="M11" s="194">
        <f>SUM(L11)+4.5</f>
        <v>85.5</v>
      </c>
    </row>
    <row r="12" spans="1:13" s="1" customFormat="1" ht="14.1" customHeight="1">
      <c r="A12" s="79"/>
      <c r="B12" s="62" t="s">
        <v>158</v>
      </c>
      <c r="C12" s="63"/>
      <c r="D12" s="64"/>
      <c r="E12" s="65"/>
      <c r="F12" s="65"/>
      <c r="G12" s="66"/>
      <c r="H12" s="56"/>
      <c r="I12" s="36"/>
      <c r="J12" s="35"/>
      <c r="K12" s="36"/>
      <c r="L12" s="175"/>
      <c r="M12" s="87"/>
    </row>
    <row r="13" spans="1:13" s="1" customFormat="1" ht="14.1" customHeight="1">
      <c r="A13" s="92">
        <v>6</v>
      </c>
      <c r="B13" s="51" t="s">
        <v>186</v>
      </c>
      <c r="C13" s="52"/>
      <c r="D13" s="182"/>
      <c r="E13" s="183"/>
      <c r="F13" s="183"/>
      <c r="G13" s="184"/>
      <c r="H13" s="24">
        <f>SUM(I13)-2.5</f>
        <v>27</v>
      </c>
      <c r="I13" s="24">
        <f>SUM(J13)-2.5</f>
        <v>29.5</v>
      </c>
      <c r="J13" s="117">
        <v>32</v>
      </c>
      <c r="K13" s="50">
        <f>SUM(J13)+2.5</f>
        <v>34.5</v>
      </c>
      <c r="L13" s="176">
        <f>SUM(K13)+2.5</f>
        <v>37</v>
      </c>
      <c r="M13" s="194">
        <f>SUM(L13)+2.5</f>
        <v>39.5</v>
      </c>
    </row>
    <row r="14" spans="1:13" s="1" customFormat="1" ht="14.1" customHeight="1">
      <c r="A14" s="79"/>
      <c r="B14" s="36" t="s">
        <v>187</v>
      </c>
      <c r="C14" s="36"/>
      <c r="D14" s="114"/>
      <c r="E14" s="115"/>
      <c r="F14" s="115"/>
      <c r="G14" s="116"/>
      <c r="H14" s="36"/>
      <c r="I14" s="36"/>
      <c r="J14" s="35"/>
      <c r="K14" s="36"/>
      <c r="L14" s="175"/>
      <c r="M14" s="87"/>
    </row>
    <row r="15" spans="1:13" s="1" customFormat="1" ht="13.5" customHeight="1">
      <c r="A15" s="92">
        <v>7</v>
      </c>
      <c r="B15" s="51" t="s">
        <v>189</v>
      </c>
      <c r="C15" s="52"/>
      <c r="D15" s="182"/>
      <c r="E15" s="183"/>
      <c r="F15" s="183"/>
      <c r="G15" s="184"/>
      <c r="H15" s="24">
        <f>SUM(I15)-1.4</f>
        <v>12.2</v>
      </c>
      <c r="I15" s="24">
        <f>SUM(J15)-1.4</f>
        <v>13.6</v>
      </c>
      <c r="J15" s="117">
        <v>15</v>
      </c>
      <c r="K15" s="50">
        <f>SUM(J15)+0.9</f>
        <v>15.9</v>
      </c>
      <c r="L15" s="176">
        <f>SUM(K15)+1.4</f>
        <v>17.3</v>
      </c>
      <c r="M15" s="194">
        <f>SUM(L15)+1.4</f>
        <v>18.7</v>
      </c>
    </row>
    <row r="16" spans="1:13" s="1" customFormat="1" ht="14.1" customHeight="1">
      <c r="A16" s="79"/>
      <c r="B16" s="36" t="s">
        <v>190</v>
      </c>
      <c r="C16" s="36"/>
      <c r="D16" s="114" t="s">
        <v>629</v>
      </c>
      <c r="E16" s="115"/>
      <c r="F16" s="115"/>
      <c r="G16" s="116"/>
      <c r="H16" s="36"/>
      <c r="I16" s="36"/>
      <c r="J16" s="35"/>
      <c r="K16" s="36"/>
      <c r="L16" s="175"/>
      <c r="M16" s="87"/>
    </row>
    <row r="17" spans="1:13" ht="14.1" customHeight="1">
      <c r="A17" s="92">
        <v>8</v>
      </c>
      <c r="B17" s="51" t="s">
        <v>191</v>
      </c>
      <c r="C17" s="52"/>
      <c r="D17" s="182"/>
      <c r="E17" s="183"/>
      <c r="F17" s="183"/>
      <c r="G17" s="184"/>
      <c r="H17" s="24">
        <f>SUM(I17)-1.1</f>
        <v>12.3</v>
      </c>
      <c r="I17" s="24">
        <f>SUM(J17)-1.1</f>
        <v>13.4</v>
      </c>
      <c r="J17" s="117">
        <v>14.5</v>
      </c>
      <c r="K17" s="50">
        <f>SUM(J17)+1.1</f>
        <v>15.6</v>
      </c>
      <c r="L17" s="176">
        <f>SUM(K17)+1.1</f>
        <v>16.7</v>
      </c>
      <c r="M17" s="194">
        <f>SUM(L17)+1.1</f>
        <v>17.8</v>
      </c>
    </row>
    <row r="18" spans="1:13" ht="14.1" customHeight="1">
      <c r="A18" s="79"/>
      <c r="B18" s="36" t="s">
        <v>193</v>
      </c>
      <c r="C18" s="36"/>
      <c r="D18" s="114" t="s">
        <v>477</v>
      </c>
      <c r="E18" s="115"/>
      <c r="F18" s="115"/>
      <c r="G18" s="116"/>
      <c r="H18" s="36"/>
      <c r="I18" s="36"/>
      <c r="J18" s="35"/>
      <c r="K18" s="36"/>
      <c r="L18" s="175"/>
      <c r="M18" s="87"/>
    </row>
    <row r="19" spans="1:13" ht="14.1" customHeight="1">
      <c r="A19" s="92">
        <v>9</v>
      </c>
      <c r="B19" s="51"/>
      <c r="C19" s="52"/>
      <c r="D19" s="182"/>
      <c r="E19" s="183"/>
      <c r="F19" s="183"/>
      <c r="G19" s="184"/>
      <c r="H19" s="24"/>
      <c r="I19" s="24"/>
      <c r="J19" s="117"/>
      <c r="K19" s="50"/>
      <c r="L19" s="176"/>
      <c r="M19" s="194"/>
    </row>
    <row r="20" spans="1:13" ht="14.1" customHeight="1" thickBot="1">
      <c r="A20" s="92"/>
      <c r="B20" s="50"/>
      <c r="C20" s="50"/>
      <c r="D20" s="204"/>
      <c r="E20" s="205"/>
      <c r="F20" s="205"/>
      <c r="G20" s="206"/>
      <c r="H20" s="50"/>
      <c r="I20" s="50"/>
      <c r="J20" s="117"/>
      <c r="K20" s="50"/>
      <c r="L20" s="176"/>
      <c r="M20" s="194"/>
    </row>
    <row r="21" spans="1:13" ht="14.1" customHeight="1" thickTop="1">
      <c r="A21" s="207">
        <v>10</v>
      </c>
      <c r="B21" s="158" t="s">
        <v>13</v>
      </c>
      <c r="C21" s="159"/>
      <c r="D21" s="160" t="s">
        <v>14</v>
      </c>
      <c r="E21" s="161"/>
      <c r="F21" s="161"/>
      <c r="G21" s="162"/>
      <c r="H21" s="156">
        <f>SUM(I21)-3.2</f>
        <v>53.699999999999996</v>
      </c>
      <c r="I21" s="156">
        <f>SUM(J21)-3.2</f>
        <v>56.9</v>
      </c>
      <c r="J21" s="155">
        <v>60.1</v>
      </c>
      <c r="K21" s="156">
        <f>SUM(J21)+3.2</f>
        <v>63.300000000000004</v>
      </c>
      <c r="L21" s="178">
        <f>SUM(K21)+3.2</f>
        <v>66.5</v>
      </c>
      <c r="M21" s="208">
        <f>SUM(L21)+3.2</f>
        <v>69.7</v>
      </c>
    </row>
    <row r="22" spans="1:13" ht="14.1" customHeight="1">
      <c r="A22" s="79"/>
      <c r="B22" s="62" t="s">
        <v>55</v>
      </c>
      <c r="C22" s="63"/>
      <c r="D22" s="64" t="s">
        <v>121</v>
      </c>
      <c r="E22" s="65"/>
      <c r="F22" s="65"/>
      <c r="G22" s="66"/>
      <c r="H22" s="36"/>
      <c r="I22" s="36"/>
      <c r="J22" s="35"/>
      <c r="K22" s="36"/>
      <c r="L22" s="175"/>
      <c r="M22" s="87"/>
    </row>
    <row r="23" spans="1:13" ht="14.1" customHeight="1">
      <c r="A23" s="92">
        <v>11</v>
      </c>
      <c r="B23" s="51" t="s">
        <v>146</v>
      </c>
      <c r="C23" s="52"/>
      <c r="D23" s="59"/>
      <c r="E23" s="60"/>
      <c r="F23" s="60"/>
      <c r="G23" s="61"/>
      <c r="H23" s="24">
        <f>SUM(I23)-0.7</f>
        <v>12.900000000000002</v>
      </c>
      <c r="I23" s="24">
        <f>SUM(J23)-0.7</f>
        <v>13.600000000000001</v>
      </c>
      <c r="J23" s="33">
        <v>14.3</v>
      </c>
      <c r="K23" s="24">
        <f>SUM(J23)+1.2</f>
        <v>15.5</v>
      </c>
      <c r="L23" s="174">
        <f>SUM(K23)+0.7</f>
        <v>16.2</v>
      </c>
      <c r="M23" s="88">
        <f>SUM(L23)+0.7</f>
        <v>16.899999999999999</v>
      </c>
    </row>
    <row r="24" spans="1:13" ht="14.1" customHeight="1">
      <c r="A24" s="79"/>
      <c r="B24" s="62" t="s">
        <v>145</v>
      </c>
      <c r="C24" s="63"/>
      <c r="D24" s="89" t="s">
        <v>159</v>
      </c>
      <c r="E24" s="90"/>
      <c r="F24" s="90"/>
      <c r="G24" s="91"/>
      <c r="H24" s="36"/>
      <c r="I24" s="36"/>
      <c r="J24" s="35"/>
      <c r="K24" s="36"/>
      <c r="L24" s="175"/>
      <c r="M24" s="87"/>
    </row>
    <row r="25" spans="1:13" ht="14.1" customHeight="1">
      <c r="A25" s="92">
        <v>12</v>
      </c>
      <c r="B25" s="51" t="s">
        <v>9</v>
      </c>
      <c r="C25" s="52"/>
      <c r="D25" s="59" t="s">
        <v>84</v>
      </c>
      <c r="E25" s="60"/>
      <c r="F25" s="60"/>
      <c r="G25" s="61"/>
      <c r="H25" s="24">
        <f>SUM(I25)-1.5</f>
        <v>20.5</v>
      </c>
      <c r="I25" s="24">
        <f>SUM(J25)-1.5</f>
        <v>22</v>
      </c>
      <c r="J25" s="33">
        <v>23.5</v>
      </c>
      <c r="K25" s="24">
        <f>SUM(J25)+1.5</f>
        <v>25</v>
      </c>
      <c r="L25" s="174">
        <f>SUM(K25)+1.5</f>
        <v>26.5</v>
      </c>
      <c r="M25" s="88">
        <f>SUM(L25)+1.5</f>
        <v>28</v>
      </c>
    </row>
    <row r="26" spans="1:13" ht="14.1" customHeight="1">
      <c r="A26" s="79"/>
      <c r="B26" s="62" t="s">
        <v>56</v>
      </c>
      <c r="C26" s="63"/>
      <c r="D26" s="64" t="s">
        <v>120</v>
      </c>
      <c r="E26" s="65"/>
      <c r="F26" s="65"/>
      <c r="G26" s="66"/>
      <c r="H26" s="36"/>
      <c r="I26" s="36"/>
      <c r="J26" s="35"/>
      <c r="K26" s="36"/>
      <c r="L26" s="175"/>
      <c r="M26" s="87"/>
    </row>
    <row r="27" spans="1:13" ht="14.1" customHeight="1">
      <c r="A27" s="92">
        <v>13</v>
      </c>
      <c r="B27" s="51" t="s">
        <v>16</v>
      </c>
      <c r="C27" s="52"/>
      <c r="D27" s="59" t="s">
        <v>17</v>
      </c>
      <c r="E27" s="60"/>
      <c r="F27" s="60"/>
      <c r="G27" s="61"/>
      <c r="H27" s="24">
        <f>SUM(I27)-1.9</f>
        <v>31.200000000000003</v>
      </c>
      <c r="I27" s="24">
        <f>SUM(J27)-1.9</f>
        <v>33.1</v>
      </c>
      <c r="J27" s="33">
        <v>35</v>
      </c>
      <c r="K27" s="24">
        <f>SUM(J27)+1.9</f>
        <v>36.9</v>
      </c>
      <c r="L27" s="174">
        <f>SUM(K27)+1.9</f>
        <v>38.799999999999997</v>
      </c>
      <c r="M27" s="88">
        <f>SUM(L27)+1.9</f>
        <v>40.699999999999996</v>
      </c>
    </row>
    <row r="28" spans="1:13" ht="14.1" customHeight="1">
      <c r="A28" s="79"/>
      <c r="B28" s="62" t="s">
        <v>57</v>
      </c>
      <c r="C28" s="63"/>
      <c r="D28" s="47" t="s">
        <v>119</v>
      </c>
      <c r="E28" s="48"/>
      <c r="F28" s="48"/>
      <c r="G28" s="49"/>
      <c r="H28" s="36"/>
      <c r="I28" s="36"/>
      <c r="J28" s="35"/>
      <c r="K28" s="36"/>
      <c r="L28" s="175"/>
      <c r="M28" s="87"/>
    </row>
    <row r="29" spans="1:13" ht="14.1" customHeight="1">
      <c r="A29" s="92">
        <v>14</v>
      </c>
      <c r="B29" s="51" t="s">
        <v>18</v>
      </c>
      <c r="C29" s="52"/>
      <c r="D29" s="59" t="s">
        <v>15</v>
      </c>
      <c r="E29" s="60"/>
      <c r="F29" s="60"/>
      <c r="G29" s="61"/>
      <c r="H29" s="24">
        <f>SUM(I29)-1</f>
        <v>20</v>
      </c>
      <c r="I29" s="24">
        <f>SUM(J29)-1</f>
        <v>21</v>
      </c>
      <c r="J29" s="33">
        <v>22</v>
      </c>
      <c r="K29" s="24">
        <f>SUM(J29)+1.5</f>
        <v>23.5</v>
      </c>
      <c r="L29" s="174">
        <f>SUM(K29)+1</f>
        <v>24.5</v>
      </c>
      <c r="M29" s="88">
        <f>SUM(L29)+1</f>
        <v>25.5</v>
      </c>
    </row>
    <row r="30" spans="1:13" ht="14.1" customHeight="1">
      <c r="A30" s="79"/>
      <c r="B30" s="62" t="s">
        <v>63</v>
      </c>
      <c r="C30" s="63"/>
      <c r="D30" s="64" t="s">
        <v>118</v>
      </c>
      <c r="E30" s="65"/>
      <c r="F30" s="65"/>
      <c r="G30" s="66"/>
      <c r="H30" s="36"/>
      <c r="I30" s="36"/>
      <c r="J30" s="35"/>
      <c r="K30" s="36"/>
      <c r="L30" s="175"/>
      <c r="M30" s="87"/>
    </row>
    <row r="31" spans="1:13" ht="14.1" customHeight="1">
      <c r="A31" s="92">
        <v>15</v>
      </c>
      <c r="B31" s="51" t="s">
        <v>19</v>
      </c>
      <c r="C31" s="52"/>
      <c r="D31" s="59" t="s">
        <v>15</v>
      </c>
      <c r="E31" s="60"/>
      <c r="F31" s="60"/>
      <c r="G31" s="61"/>
      <c r="H31" s="24">
        <f>SUM(I31)-1.2</f>
        <v>22.200000000000003</v>
      </c>
      <c r="I31" s="24">
        <f>SUM(J31)-1.2</f>
        <v>23.400000000000002</v>
      </c>
      <c r="J31" s="33">
        <v>24.6</v>
      </c>
      <c r="K31" s="24">
        <f>SUM(J31)+1.7</f>
        <v>26.3</v>
      </c>
      <c r="L31" s="174">
        <f>SUM(K31)+1.2</f>
        <v>27.5</v>
      </c>
      <c r="M31" s="88">
        <f>SUM(L31)+1.2</f>
        <v>28.7</v>
      </c>
    </row>
    <row r="32" spans="1:13" ht="14.1" customHeight="1">
      <c r="A32" s="92"/>
      <c r="B32" s="93" t="s">
        <v>62</v>
      </c>
      <c r="C32" s="94"/>
      <c r="D32" s="95" t="s">
        <v>118</v>
      </c>
      <c r="E32" s="96"/>
      <c r="F32" s="96"/>
      <c r="G32" s="97"/>
      <c r="H32" s="50"/>
      <c r="I32" s="50"/>
      <c r="J32" s="117"/>
      <c r="K32" s="50"/>
      <c r="L32" s="176"/>
      <c r="M32" s="194"/>
    </row>
    <row r="33" spans="1:13" ht="14.1" customHeight="1">
      <c r="A33" s="98">
        <v>16</v>
      </c>
      <c r="B33" s="51"/>
      <c r="C33" s="52"/>
      <c r="D33" s="59"/>
      <c r="E33" s="60"/>
      <c r="F33" s="60"/>
      <c r="G33" s="61"/>
      <c r="H33" s="24"/>
      <c r="I33" s="24"/>
      <c r="J33" s="33"/>
      <c r="K33" s="24"/>
      <c r="L33" s="24"/>
      <c r="M33" s="88"/>
    </row>
    <row r="34" spans="1:13" ht="14.1" customHeight="1" thickBot="1">
      <c r="A34" s="99"/>
      <c r="B34" s="104"/>
      <c r="C34" s="105"/>
      <c r="D34" s="106"/>
      <c r="E34" s="107"/>
      <c r="F34" s="107"/>
      <c r="G34" s="108"/>
      <c r="H34" s="25"/>
      <c r="I34" s="25"/>
      <c r="J34" s="34"/>
      <c r="K34" s="25"/>
      <c r="L34" s="25"/>
      <c r="M34" s="103"/>
    </row>
    <row r="35" spans="1:13" ht="14.1" customHeight="1"/>
    <row r="36" spans="1:13" ht="14.1" customHeight="1"/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179"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2E1DE-3F7D-4B5A-A435-2663B9B8DFBE}">
  <sheetPr>
    <tabColor rgb="FF00B050"/>
    <pageSetUpPr fitToPage="1"/>
  </sheetPr>
  <dimension ref="A1:N51"/>
  <sheetViews>
    <sheetView zoomScale="110" zoomScaleNormal="110" workbookViewId="0">
      <selection activeCell="H11" sqref="H11:H12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8" width="5.5" style="8" customWidth="1"/>
    <col min="9" max="14" width="5.5" customWidth="1"/>
  </cols>
  <sheetData>
    <row r="1" spans="1:14" ht="16.5" customHeight="1" thickBot="1">
      <c r="A1" s="128" t="s">
        <v>539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30"/>
    </row>
    <row r="2" spans="1:14" ht="16.5" customHeight="1" thickBot="1">
      <c r="A2" s="3" t="s">
        <v>68</v>
      </c>
      <c r="B2" s="179" t="s">
        <v>69</v>
      </c>
      <c r="C2" s="180"/>
      <c r="D2" s="179" t="s">
        <v>70</v>
      </c>
      <c r="E2" s="181"/>
      <c r="F2" s="181"/>
      <c r="G2" s="18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  <c r="N2" s="7" t="s">
        <v>229</v>
      </c>
    </row>
    <row r="3" spans="1:14" s="1" customFormat="1" ht="14.1" customHeight="1">
      <c r="A3" s="78">
        <v>1</v>
      </c>
      <c r="B3" s="80" t="s">
        <v>149</v>
      </c>
      <c r="C3" s="81"/>
      <c r="D3" s="74" t="s">
        <v>82</v>
      </c>
      <c r="E3" s="82"/>
      <c r="F3" s="82"/>
      <c r="G3" s="83"/>
      <c r="H3" s="24">
        <f>SUM(I3)-3</f>
        <v>45</v>
      </c>
      <c r="I3" s="24">
        <f>SUM(J3)-3</f>
        <v>48</v>
      </c>
      <c r="J3" s="84">
        <v>51</v>
      </c>
      <c r="K3" s="85">
        <f>SUM(J3)+3</f>
        <v>54</v>
      </c>
      <c r="L3" s="85">
        <f>SUM(K3)+3</f>
        <v>57</v>
      </c>
      <c r="M3" s="85">
        <f>SUM(L3)+3</f>
        <v>60</v>
      </c>
      <c r="N3" s="138">
        <f>SUM(M3)+3</f>
        <v>63</v>
      </c>
    </row>
    <row r="4" spans="1:14" s="1" customFormat="1" ht="14.1" customHeight="1">
      <c r="A4" s="79"/>
      <c r="B4" s="62" t="s">
        <v>108</v>
      </c>
      <c r="C4" s="63"/>
      <c r="D4" s="64" t="s">
        <v>83</v>
      </c>
      <c r="E4" s="65"/>
      <c r="F4" s="65"/>
      <c r="G4" s="66"/>
      <c r="H4" s="36"/>
      <c r="I4" s="36"/>
      <c r="J4" s="35"/>
      <c r="K4" s="36"/>
      <c r="L4" s="36"/>
      <c r="M4" s="36"/>
      <c r="N4" s="137"/>
    </row>
    <row r="5" spans="1:14" s="1" customFormat="1" ht="14.1" customHeight="1">
      <c r="A5" s="92">
        <v>2</v>
      </c>
      <c r="B5" s="40" t="s">
        <v>165</v>
      </c>
      <c r="C5" s="41"/>
      <c r="D5" s="100"/>
      <c r="E5" s="101"/>
      <c r="F5" s="101"/>
      <c r="G5" s="102"/>
      <c r="H5" s="24"/>
      <c r="I5" s="24"/>
      <c r="J5" s="117"/>
      <c r="K5" s="50"/>
      <c r="L5" s="50"/>
      <c r="M5" s="50"/>
      <c r="N5" s="136"/>
    </row>
    <row r="6" spans="1:14" s="1" customFormat="1" ht="14.1" customHeight="1">
      <c r="A6" s="79"/>
      <c r="B6" s="62" t="s">
        <v>164</v>
      </c>
      <c r="C6" s="63"/>
      <c r="D6" s="64"/>
      <c r="E6" s="65"/>
      <c r="F6" s="65"/>
      <c r="G6" s="66"/>
      <c r="H6" s="36"/>
      <c r="I6" s="36"/>
      <c r="J6" s="35"/>
      <c r="K6" s="36"/>
      <c r="L6" s="36"/>
      <c r="M6" s="36"/>
      <c r="N6" s="137"/>
    </row>
    <row r="7" spans="1:14" s="1" customFormat="1" ht="14.1" customHeight="1">
      <c r="A7" s="92">
        <v>3</v>
      </c>
      <c r="B7" s="40" t="s">
        <v>148</v>
      </c>
      <c r="C7" s="41"/>
      <c r="D7" s="100"/>
      <c r="E7" s="101"/>
      <c r="F7" s="101"/>
      <c r="G7" s="102"/>
      <c r="H7" s="24"/>
      <c r="I7" s="24"/>
      <c r="J7" s="117"/>
      <c r="K7" s="50"/>
      <c r="L7" s="50"/>
      <c r="M7" s="50"/>
      <c r="N7" s="136"/>
    </row>
    <row r="8" spans="1:14" s="1" customFormat="1" ht="14.1" customHeight="1">
      <c r="A8" s="79"/>
      <c r="B8" s="62" t="s">
        <v>147</v>
      </c>
      <c r="C8" s="63"/>
      <c r="D8" s="64"/>
      <c r="E8" s="65"/>
      <c r="F8" s="65"/>
      <c r="G8" s="66"/>
      <c r="H8" s="36"/>
      <c r="I8" s="36"/>
      <c r="J8" s="35"/>
      <c r="K8" s="36"/>
      <c r="L8" s="36"/>
      <c r="M8" s="36"/>
      <c r="N8" s="137"/>
    </row>
    <row r="9" spans="1:14" s="1" customFormat="1" ht="14.1" customHeight="1">
      <c r="A9" s="92">
        <v>4</v>
      </c>
      <c r="B9" s="51" t="s">
        <v>163</v>
      </c>
      <c r="C9" s="52"/>
      <c r="D9" s="118"/>
      <c r="E9" s="119"/>
      <c r="F9" s="119"/>
      <c r="G9" s="120"/>
      <c r="H9" s="24">
        <f>SUM(I9)-2.2</f>
        <v>37.599999999999994</v>
      </c>
      <c r="I9" s="24">
        <f>SUM(J9)-2.2</f>
        <v>39.799999999999997</v>
      </c>
      <c r="J9" s="117">
        <v>42</v>
      </c>
      <c r="K9" s="50">
        <f>SUM(J9)+2.2</f>
        <v>44.2</v>
      </c>
      <c r="L9" s="50">
        <f>SUM(K9)+2.2</f>
        <v>46.400000000000006</v>
      </c>
      <c r="M9" s="24">
        <f>SUM(L9)+2.2</f>
        <v>48.600000000000009</v>
      </c>
      <c r="N9" s="88">
        <f>SUM(M9)+2.2</f>
        <v>50.800000000000011</v>
      </c>
    </row>
    <row r="10" spans="1:14" s="1" customFormat="1" ht="14.1" customHeight="1">
      <c r="A10" s="79"/>
      <c r="B10" s="62" t="s">
        <v>162</v>
      </c>
      <c r="C10" s="63"/>
      <c r="D10" s="114"/>
      <c r="E10" s="115"/>
      <c r="F10" s="115"/>
      <c r="G10" s="116"/>
      <c r="H10" s="36"/>
      <c r="I10" s="36"/>
      <c r="J10" s="35"/>
      <c r="K10" s="36"/>
      <c r="L10" s="36"/>
      <c r="M10" s="36"/>
      <c r="N10" s="87"/>
    </row>
    <row r="11" spans="1:14" s="1" customFormat="1" ht="14.1" customHeight="1">
      <c r="A11" s="92">
        <v>5</v>
      </c>
      <c r="B11" s="51" t="s">
        <v>157</v>
      </c>
      <c r="C11" s="52"/>
      <c r="D11" s="100"/>
      <c r="E11" s="101"/>
      <c r="F11" s="101"/>
      <c r="G11" s="102"/>
      <c r="H11" s="58">
        <f>SUM(I11)-4.5</f>
        <v>63</v>
      </c>
      <c r="I11" s="24">
        <f>SUM(J11)-4.5</f>
        <v>67.5</v>
      </c>
      <c r="J11" s="117">
        <v>72</v>
      </c>
      <c r="K11" s="50">
        <f>SUM(J11)+4.5</f>
        <v>76.5</v>
      </c>
      <c r="L11" s="50">
        <f>SUM(K11)+4.5</f>
        <v>81</v>
      </c>
      <c r="M11" s="50">
        <f>SUM(L11)+4.5</f>
        <v>85.5</v>
      </c>
      <c r="N11" s="136">
        <f>SUM(M11)+4.5</f>
        <v>90</v>
      </c>
    </row>
    <row r="12" spans="1:14" s="1" customFormat="1" ht="14.1" customHeight="1">
      <c r="A12" s="79"/>
      <c r="B12" s="62" t="s">
        <v>158</v>
      </c>
      <c r="C12" s="63"/>
      <c r="D12" s="64"/>
      <c r="E12" s="65"/>
      <c r="F12" s="65"/>
      <c r="G12" s="66"/>
      <c r="H12" s="56"/>
      <c r="I12" s="36"/>
      <c r="J12" s="35"/>
      <c r="K12" s="36"/>
      <c r="L12" s="36"/>
      <c r="M12" s="36"/>
      <c r="N12" s="137"/>
    </row>
    <row r="13" spans="1:14" s="1" customFormat="1" ht="14.1" customHeight="1">
      <c r="A13" s="92">
        <v>6</v>
      </c>
      <c r="B13" s="51" t="s">
        <v>543</v>
      </c>
      <c r="C13" s="52"/>
      <c r="D13" s="100"/>
      <c r="E13" s="101"/>
      <c r="F13" s="101"/>
      <c r="G13" s="102"/>
      <c r="H13" s="58">
        <f>SUM(I13)-5</f>
        <v>68</v>
      </c>
      <c r="I13" s="24">
        <f>SUM(J13)-5</f>
        <v>73</v>
      </c>
      <c r="J13" s="117">
        <v>78</v>
      </c>
      <c r="K13" s="50">
        <f>SUM(J13)+5</f>
        <v>83</v>
      </c>
      <c r="L13" s="50">
        <f>SUM(K13)+5</f>
        <v>88</v>
      </c>
      <c r="M13" s="50">
        <f>SUM(L13)+5</f>
        <v>93</v>
      </c>
      <c r="N13" s="136">
        <f>SUM(M13)+5</f>
        <v>98</v>
      </c>
    </row>
    <row r="14" spans="1:14" s="1" customFormat="1" ht="14.1" customHeight="1">
      <c r="A14" s="79"/>
      <c r="B14" s="62" t="s">
        <v>544</v>
      </c>
      <c r="C14" s="63"/>
      <c r="D14" s="64"/>
      <c r="E14" s="65"/>
      <c r="F14" s="65"/>
      <c r="G14" s="66"/>
      <c r="H14" s="56"/>
      <c r="I14" s="36"/>
      <c r="J14" s="35"/>
      <c r="K14" s="36"/>
      <c r="L14" s="36"/>
      <c r="M14" s="36"/>
      <c r="N14" s="137"/>
    </row>
    <row r="15" spans="1:14" s="1" customFormat="1" ht="13.5" customHeight="1">
      <c r="A15" s="92">
        <v>7</v>
      </c>
      <c r="B15" s="51" t="s">
        <v>186</v>
      </c>
      <c r="C15" s="52"/>
      <c r="D15" s="182"/>
      <c r="E15" s="183"/>
      <c r="F15" s="183"/>
      <c r="G15" s="184"/>
      <c r="H15" s="24">
        <f>SUM(I15)-2.5</f>
        <v>24.5</v>
      </c>
      <c r="I15" s="24">
        <f>SUM(J15)-2.5</f>
        <v>27</v>
      </c>
      <c r="J15" s="117">
        <v>29.5</v>
      </c>
      <c r="K15" s="50">
        <f>SUM(J15)+2.5</f>
        <v>32</v>
      </c>
      <c r="L15" s="50">
        <f>SUM(K15)+2.5</f>
        <v>34.5</v>
      </c>
      <c r="M15" s="50">
        <f>SUM(L15)+2.5</f>
        <v>37</v>
      </c>
      <c r="N15" s="136">
        <f>SUM(M15)+2.5</f>
        <v>39.5</v>
      </c>
    </row>
    <row r="16" spans="1:14" s="1" customFormat="1" ht="14.1" customHeight="1">
      <c r="A16" s="79"/>
      <c r="B16" s="36" t="s">
        <v>187</v>
      </c>
      <c r="C16" s="36"/>
      <c r="D16" s="114"/>
      <c r="E16" s="115"/>
      <c r="F16" s="115"/>
      <c r="G16" s="116"/>
      <c r="H16" s="36"/>
      <c r="I16" s="36"/>
      <c r="J16" s="35"/>
      <c r="K16" s="36"/>
      <c r="L16" s="36"/>
      <c r="M16" s="36"/>
      <c r="N16" s="137"/>
    </row>
    <row r="17" spans="1:14" ht="14.1" customHeight="1">
      <c r="A17" s="92">
        <v>8</v>
      </c>
      <c r="B17" s="51" t="s">
        <v>540</v>
      </c>
      <c r="C17" s="52"/>
      <c r="D17" s="182"/>
      <c r="E17" s="183"/>
      <c r="F17" s="183"/>
      <c r="G17" s="184"/>
      <c r="H17" s="24">
        <f>SUM(I17)-1.8</f>
        <v>13.399999999999999</v>
      </c>
      <c r="I17" s="24">
        <f>SUM(J17)-1.8</f>
        <v>15.2</v>
      </c>
      <c r="J17" s="117">
        <v>17</v>
      </c>
      <c r="K17" s="50">
        <f>SUM(J17)+1.3</f>
        <v>18.3</v>
      </c>
      <c r="L17" s="50">
        <f>SUM(K17)+1.8</f>
        <v>20.100000000000001</v>
      </c>
      <c r="M17" s="50">
        <f>SUM(L17)+1.8</f>
        <v>21.900000000000002</v>
      </c>
      <c r="N17" s="136">
        <f>SUM(M17)+1.8</f>
        <v>23.700000000000003</v>
      </c>
    </row>
    <row r="18" spans="1:14" ht="14.1" customHeight="1">
      <c r="A18" s="79"/>
      <c r="B18" s="36" t="s">
        <v>541</v>
      </c>
      <c r="C18" s="36"/>
      <c r="D18" s="114" t="s">
        <v>542</v>
      </c>
      <c r="E18" s="115"/>
      <c r="F18" s="115"/>
      <c r="G18" s="116"/>
      <c r="H18" s="36"/>
      <c r="I18" s="36"/>
      <c r="J18" s="35"/>
      <c r="K18" s="36"/>
      <c r="L18" s="36"/>
      <c r="M18" s="36"/>
      <c r="N18" s="137"/>
    </row>
    <row r="19" spans="1:14" ht="14.1" customHeight="1">
      <c r="A19" s="92">
        <v>9</v>
      </c>
      <c r="B19" s="51" t="s">
        <v>166</v>
      </c>
      <c r="C19" s="52"/>
      <c r="D19" s="59"/>
      <c r="E19" s="60"/>
      <c r="F19" s="60"/>
      <c r="G19" s="61"/>
      <c r="H19" s="58">
        <f>SUM(I19)-0.7</f>
        <v>6.6</v>
      </c>
      <c r="I19" s="24">
        <f>SUM(J19)-0.7</f>
        <v>7.3</v>
      </c>
      <c r="J19" s="33">
        <v>8</v>
      </c>
      <c r="K19" s="24">
        <f>SUM(J19)+0.7</f>
        <v>8.6999999999999993</v>
      </c>
      <c r="L19" s="24">
        <f>SUM(K19)+0.7</f>
        <v>9.3999999999999986</v>
      </c>
      <c r="M19" s="58">
        <f>SUM(L19)+0.7</f>
        <v>10.099999999999998</v>
      </c>
      <c r="N19" s="139">
        <f>SUM(M19)+0.7</f>
        <v>10.799999999999997</v>
      </c>
    </row>
    <row r="20" spans="1:14" ht="14.1" customHeight="1">
      <c r="A20" s="79"/>
      <c r="B20" s="62" t="s">
        <v>167</v>
      </c>
      <c r="C20" s="63"/>
      <c r="D20" s="89" t="s">
        <v>168</v>
      </c>
      <c r="E20" s="90"/>
      <c r="F20" s="90"/>
      <c r="G20" s="91"/>
      <c r="H20" s="56"/>
      <c r="I20" s="36"/>
      <c r="J20" s="35"/>
      <c r="K20" s="36"/>
      <c r="L20" s="36"/>
      <c r="M20" s="56"/>
      <c r="N20" s="137"/>
    </row>
    <row r="21" spans="1:14" ht="14.1" customHeight="1">
      <c r="A21" s="92">
        <v>10</v>
      </c>
      <c r="B21" s="51" t="s">
        <v>178</v>
      </c>
      <c r="C21" s="52"/>
      <c r="D21" s="59"/>
      <c r="E21" s="60"/>
      <c r="F21" s="60"/>
      <c r="G21" s="61"/>
      <c r="H21" s="24">
        <f>SUM(I21)-0</f>
        <v>2.8</v>
      </c>
      <c r="I21" s="24">
        <f>SUM(J21)-0</f>
        <v>2.8</v>
      </c>
      <c r="J21" s="33">
        <v>2.8</v>
      </c>
      <c r="K21" s="24">
        <f>SUM(J21)+0.5</f>
        <v>3.3</v>
      </c>
      <c r="L21" s="24">
        <f>SUM(K21)+0</f>
        <v>3.3</v>
      </c>
      <c r="M21" s="24">
        <f>SUM(L21)+0</f>
        <v>3.3</v>
      </c>
      <c r="N21" s="139">
        <f>SUM(M21)+0</f>
        <v>3.3</v>
      </c>
    </row>
    <row r="22" spans="1:14" ht="14.1" customHeight="1">
      <c r="A22" s="79"/>
      <c r="B22" s="62" t="s">
        <v>177</v>
      </c>
      <c r="C22" s="63"/>
      <c r="D22" s="89"/>
      <c r="E22" s="90"/>
      <c r="F22" s="90"/>
      <c r="G22" s="91"/>
      <c r="H22" s="36"/>
      <c r="I22" s="36"/>
      <c r="J22" s="35"/>
      <c r="K22" s="36"/>
      <c r="L22" s="36"/>
      <c r="M22" s="36"/>
      <c r="N22" s="137"/>
    </row>
    <row r="23" spans="1:14" ht="14.1" customHeight="1">
      <c r="A23" s="92">
        <v>11</v>
      </c>
      <c r="B23" s="51" t="s">
        <v>144</v>
      </c>
      <c r="C23" s="52"/>
      <c r="D23" s="59" t="s">
        <v>24</v>
      </c>
      <c r="E23" s="60"/>
      <c r="F23" s="60"/>
      <c r="G23" s="61"/>
      <c r="H23" s="24">
        <f>SUM(I23)-0.5</f>
        <v>7.5</v>
      </c>
      <c r="I23" s="24">
        <f>SUM(J23)-0.5</f>
        <v>8</v>
      </c>
      <c r="J23" s="23">
        <v>8.5</v>
      </c>
      <c r="K23" s="21">
        <f>SUM(J23)+0.5</f>
        <v>9</v>
      </c>
      <c r="L23" s="21">
        <f>SUM(K23)+0.5</f>
        <v>9.5</v>
      </c>
      <c r="M23" s="133">
        <f>SUM(L23)+0.5</f>
        <v>10</v>
      </c>
      <c r="N23" s="140">
        <f>SUM(M23)+0.5</f>
        <v>10.5</v>
      </c>
    </row>
    <row r="24" spans="1:14" ht="14.1" customHeight="1">
      <c r="A24" s="92"/>
      <c r="B24" s="93" t="s">
        <v>59</v>
      </c>
      <c r="C24" s="94"/>
      <c r="D24" s="95" t="s">
        <v>143</v>
      </c>
      <c r="E24" s="96"/>
      <c r="F24" s="96"/>
      <c r="G24" s="97"/>
      <c r="H24" s="50"/>
      <c r="I24" s="50"/>
      <c r="J24" s="33"/>
      <c r="K24" s="24"/>
      <c r="L24" s="24"/>
      <c r="M24" s="58"/>
      <c r="N24" s="139"/>
    </row>
    <row r="25" spans="1:14" ht="14.1" customHeight="1">
      <c r="A25" s="98">
        <v>12</v>
      </c>
      <c r="B25" s="51" t="s">
        <v>142</v>
      </c>
      <c r="C25" s="52"/>
      <c r="D25" s="59" t="s">
        <v>25</v>
      </c>
      <c r="E25" s="60"/>
      <c r="F25" s="60"/>
      <c r="G25" s="61"/>
      <c r="H25" s="24">
        <f>SUM(I25)-0.3</f>
        <v>4.9000000000000004</v>
      </c>
      <c r="I25" s="24">
        <f>SUM(J25)-0.3</f>
        <v>5.2</v>
      </c>
      <c r="J25" s="33">
        <v>5.5</v>
      </c>
      <c r="K25" s="24">
        <f>SUM(J25)+0.3</f>
        <v>5.8</v>
      </c>
      <c r="L25" s="24">
        <f>SUM(K25)+0.3</f>
        <v>6.1</v>
      </c>
      <c r="M25" s="24">
        <f>SUM(L25)+0.3</f>
        <v>6.3999999999999995</v>
      </c>
      <c r="N25" s="139">
        <f>SUM(M25)+0.3</f>
        <v>6.6999999999999993</v>
      </c>
    </row>
    <row r="26" spans="1:14" ht="14.1" customHeight="1" thickBot="1">
      <c r="A26" s="99"/>
      <c r="B26" s="104" t="s">
        <v>58</v>
      </c>
      <c r="C26" s="105"/>
      <c r="D26" s="106" t="s">
        <v>141</v>
      </c>
      <c r="E26" s="107"/>
      <c r="F26" s="107"/>
      <c r="G26" s="108"/>
      <c r="H26" s="25"/>
      <c r="I26" s="25"/>
      <c r="J26" s="34"/>
      <c r="K26" s="25"/>
      <c r="L26" s="25"/>
      <c r="M26" s="25"/>
      <c r="N26" s="209"/>
    </row>
    <row r="27" spans="1:14" ht="14.1" customHeight="1"/>
    <row r="28" spans="1:14" ht="14.1" customHeight="1"/>
    <row r="29" spans="1:14" ht="14.1" customHeight="1"/>
    <row r="30" spans="1:14" ht="14.1" customHeight="1"/>
    <row r="31" spans="1:14" ht="14.1" customHeight="1"/>
    <row r="32" spans="1:14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47"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A17:A18"/>
    <mergeCell ref="B17:C17"/>
    <mergeCell ref="D17:G17"/>
    <mergeCell ref="H17:H18"/>
    <mergeCell ref="I17:I18"/>
    <mergeCell ref="A15:A16"/>
    <mergeCell ref="B15:C15"/>
    <mergeCell ref="D15:G15"/>
    <mergeCell ref="H15:H16"/>
    <mergeCell ref="I15:I16"/>
    <mergeCell ref="L17:L18"/>
    <mergeCell ref="M17:M18"/>
    <mergeCell ref="B18:C18"/>
    <mergeCell ref="D18:G18"/>
    <mergeCell ref="K15:K16"/>
    <mergeCell ref="L15:L16"/>
    <mergeCell ref="M15:M16"/>
    <mergeCell ref="B16:C16"/>
    <mergeCell ref="D16:G16"/>
    <mergeCell ref="J15:J16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A25:A26"/>
    <mergeCell ref="B25:C25"/>
    <mergeCell ref="D25:G25"/>
    <mergeCell ref="H25:H26"/>
    <mergeCell ref="I25:I26"/>
    <mergeCell ref="A1:N1"/>
    <mergeCell ref="N3:N4"/>
    <mergeCell ref="N5:N6"/>
    <mergeCell ref="N7:N8"/>
    <mergeCell ref="N9:N10"/>
    <mergeCell ref="N11:N12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J21:J22"/>
    <mergeCell ref="K21:K22"/>
    <mergeCell ref="J25:J26"/>
    <mergeCell ref="K25:K26"/>
    <mergeCell ref="L25:L26"/>
    <mergeCell ref="M25:M26"/>
    <mergeCell ref="N25:N26"/>
    <mergeCell ref="B26:C26"/>
    <mergeCell ref="D26:G26"/>
    <mergeCell ref="N15:N16"/>
    <mergeCell ref="N17:N18"/>
    <mergeCell ref="N19:N20"/>
    <mergeCell ref="N21:N22"/>
    <mergeCell ref="N23:N24"/>
    <mergeCell ref="L21:L22"/>
    <mergeCell ref="M21:M22"/>
    <mergeCell ref="B22:C22"/>
    <mergeCell ref="D22:G22"/>
    <mergeCell ref="K19:K20"/>
    <mergeCell ref="L19:L20"/>
    <mergeCell ref="M19:M20"/>
    <mergeCell ref="B20:C20"/>
    <mergeCell ref="D20:G20"/>
    <mergeCell ref="J19:J20"/>
    <mergeCell ref="J17:J18"/>
    <mergeCell ref="K17:K18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5AB1C-AE9C-4E4B-8461-33384C67450B}">
  <sheetPr>
    <tabColor rgb="FF00B050"/>
    <pageSetUpPr fitToPage="1"/>
  </sheetPr>
  <dimension ref="A1:O59"/>
  <sheetViews>
    <sheetView zoomScale="110" zoomScaleNormal="110" workbookViewId="0">
      <selection activeCell="M29" sqref="A1:M30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8" width="5.5" style="8" customWidth="1"/>
    <col min="9" max="13" width="5.5" customWidth="1"/>
  </cols>
  <sheetData>
    <row r="1" spans="1:13" ht="16.5" customHeight="1" thickBot="1">
      <c r="A1" s="67" t="s">
        <v>755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3" t="s">
        <v>68</v>
      </c>
      <c r="B2" s="179" t="s">
        <v>69</v>
      </c>
      <c r="C2" s="180"/>
      <c r="D2" s="179" t="s">
        <v>70</v>
      </c>
      <c r="E2" s="181"/>
      <c r="F2" s="181"/>
      <c r="G2" s="180"/>
      <c r="H2" s="18" t="s">
        <v>71</v>
      </c>
      <c r="I2" s="18" t="s">
        <v>72</v>
      </c>
      <c r="J2" s="19" t="s">
        <v>73</v>
      </c>
      <c r="K2" s="18" t="s">
        <v>74</v>
      </c>
      <c r="L2" s="18" t="s">
        <v>169</v>
      </c>
      <c r="M2" s="20" t="s">
        <v>170</v>
      </c>
    </row>
    <row r="3" spans="1:13" s="1" customFormat="1" ht="14.1" customHeight="1">
      <c r="A3" s="78">
        <v>1</v>
      </c>
      <c r="B3" s="80" t="s">
        <v>149</v>
      </c>
      <c r="C3" s="81"/>
      <c r="D3" s="74" t="s">
        <v>82</v>
      </c>
      <c r="E3" s="82"/>
      <c r="F3" s="82"/>
      <c r="G3" s="83"/>
      <c r="H3" s="85">
        <f>SUM(I3)-2.5</f>
        <v>44</v>
      </c>
      <c r="I3" s="85">
        <f>SUM(J3)-2.5</f>
        <v>46.5</v>
      </c>
      <c r="J3" s="84">
        <v>49</v>
      </c>
      <c r="K3" s="85">
        <f>SUM(J3)+2.5</f>
        <v>51.5</v>
      </c>
      <c r="L3" s="185">
        <f t="shared" ref="L3:M3" si="0">SUM(K3)+2.5</f>
        <v>54</v>
      </c>
      <c r="M3" s="86">
        <f t="shared" si="0"/>
        <v>56.5</v>
      </c>
    </row>
    <row r="4" spans="1:13" s="1" customFormat="1" ht="14.1" customHeight="1">
      <c r="A4" s="79"/>
      <c r="B4" s="62" t="s">
        <v>108</v>
      </c>
      <c r="C4" s="63"/>
      <c r="D4" s="64" t="s">
        <v>83</v>
      </c>
      <c r="E4" s="65"/>
      <c r="F4" s="65"/>
      <c r="G4" s="66"/>
      <c r="H4" s="36"/>
      <c r="I4" s="36"/>
      <c r="J4" s="35"/>
      <c r="K4" s="36"/>
      <c r="L4" s="175"/>
      <c r="M4" s="87"/>
    </row>
    <row r="5" spans="1:13" s="1" customFormat="1" ht="14.1" customHeight="1">
      <c r="A5" s="92">
        <v>2</v>
      </c>
      <c r="B5" s="40" t="s">
        <v>165</v>
      </c>
      <c r="C5" s="41"/>
      <c r="D5" s="100"/>
      <c r="E5" s="101"/>
      <c r="F5" s="101"/>
      <c r="G5" s="102"/>
      <c r="H5" s="50"/>
      <c r="I5" s="50"/>
      <c r="J5" s="117"/>
      <c r="K5" s="50"/>
      <c r="L5" s="176"/>
      <c r="M5" s="194"/>
    </row>
    <row r="6" spans="1:13" s="1" customFormat="1" ht="14.1" customHeight="1">
      <c r="A6" s="79"/>
      <c r="B6" s="62" t="s">
        <v>164</v>
      </c>
      <c r="C6" s="63"/>
      <c r="D6" s="64"/>
      <c r="E6" s="65"/>
      <c r="F6" s="65"/>
      <c r="G6" s="66"/>
      <c r="H6" s="36"/>
      <c r="I6" s="36"/>
      <c r="J6" s="35"/>
      <c r="K6" s="36"/>
      <c r="L6" s="175"/>
      <c r="M6" s="87"/>
    </row>
    <row r="7" spans="1:13" s="1" customFormat="1" ht="14.1" customHeight="1">
      <c r="A7" s="92">
        <v>3</v>
      </c>
      <c r="B7" s="40" t="s">
        <v>148</v>
      </c>
      <c r="C7" s="41"/>
      <c r="D7" s="100"/>
      <c r="E7" s="101"/>
      <c r="F7" s="101"/>
      <c r="G7" s="102"/>
      <c r="H7" s="50"/>
      <c r="I7" s="50"/>
      <c r="J7" s="117"/>
      <c r="K7" s="50"/>
      <c r="L7" s="176"/>
      <c r="M7" s="194"/>
    </row>
    <row r="8" spans="1:13" s="1" customFormat="1" ht="14.1" customHeight="1">
      <c r="A8" s="79"/>
      <c r="B8" s="62" t="s">
        <v>147</v>
      </c>
      <c r="C8" s="63"/>
      <c r="D8" s="64"/>
      <c r="E8" s="65"/>
      <c r="F8" s="65"/>
      <c r="G8" s="66"/>
      <c r="H8" s="36"/>
      <c r="I8" s="36"/>
      <c r="J8" s="35"/>
      <c r="K8" s="36"/>
      <c r="L8" s="175"/>
      <c r="M8" s="87"/>
    </row>
    <row r="9" spans="1:13" s="1" customFormat="1" ht="14.1" customHeight="1">
      <c r="A9" s="92">
        <v>4</v>
      </c>
      <c r="B9" s="51" t="s">
        <v>163</v>
      </c>
      <c r="C9" s="52"/>
      <c r="D9" s="118"/>
      <c r="E9" s="119"/>
      <c r="F9" s="119"/>
      <c r="G9" s="120"/>
      <c r="H9" s="24"/>
      <c r="I9" s="24"/>
      <c r="J9" s="33"/>
      <c r="K9" s="24"/>
      <c r="L9" s="174"/>
      <c r="M9" s="88"/>
    </row>
    <row r="10" spans="1:13" s="1" customFormat="1" ht="14.1" customHeight="1">
      <c r="A10" s="79"/>
      <c r="B10" s="62" t="s">
        <v>162</v>
      </c>
      <c r="C10" s="63"/>
      <c r="D10" s="114"/>
      <c r="E10" s="115"/>
      <c r="F10" s="115"/>
      <c r="G10" s="116"/>
      <c r="H10" s="36"/>
      <c r="I10" s="36"/>
      <c r="J10" s="35"/>
      <c r="K10" s="36"/>
      <c r="L10" s="175"/>
      <c r="M10" s="87"/>
    </row>
    <row r="11" spans="1:13" s="1" customFormat="1" ht="14.1" customHeight="1">
      <c r="A11" s="92">
        <v>5</v>
      </c>
      <c r="B11" s="51" t="s">
        <v>157</v>
      </c>
      <c r="C11" s="52"/>
      <c r="D11" s="100"/>
      <c r="E11" s="101"/>
      <c r="F11" s="101"/>
      <c r="G11" s="102"/>
      <c r="H11" s="24">
        <f>SUM(I11)-4.5</f>
        <v>65</v>
      </c>
      <c r="I11" s="24">
        <f>SUM(J11)-4.5</f>
        <v>69.5</v>
      </c>
      <c r="J11" s="117">
        <v>74</v>
      </c>
      <c r="K11" s="50">
        <f>SUM(J11)+4.5</f>
        <v>78.5</v>
      </c>
      <c r="L11" s="176">
        <f>SUM(K11)+4.5</f>
        <v>83</v>
      </c>
      <c r="M11" s="194">
        <f>SUM(L11)+4.5</f>
        <v>87.5</v>
      </c>
    </row>
    <row r="12" spans="1:13" s="1" customFormat="1" ht="14.1" customHeight="1">
      <c r="A12" s="79"/>
      <c r="B12" s="62" t="s">
        <v>158</v>
      </c>
      <c r="C12" s="63"/>
      <c r="D12" s="64"/>
      <c r="E12" s="65"/>
      <c r="F12" s="65"/>
      <c r="G12" s="66"/>
      <c r="H12" s="36"/>
      <c r="I12" s="36"/>
      <c r="J12" s="35"/>
      <c r="K12" s="36"/>
      <c r="L12" s="175"/>
      <c r="M12" s="87"/>
    </row>
    <row r="13" spans="1:13" s="1" customFormat="1" ht="14.1" customHeight="1">
      <c r="A13" s="92">
        <v>6</v>
      </c>
      <c r="B13" s="51" t="s">
        <v>759</v>
      </c>
      <c r="C13" s="52"/>
      <c r="D13" s="182"/>
      <c r="E13" s="183"/>
      <c r="F13" s="183"/>
      <c r="G13" s="184"/>
      <c r="H13" s="24">
        <f>SUM(I13)-2.5</f>
        <v>22.5</v>
      </c>
      <c r="I13" s="24">
        <f>SUM(J13)-2.5</f>
        <v>25</v>
      </c>
      <c r="J13" s="117">
        <v>27.5</v>
      </c>
      <c r="K13" s="50">
        <f>SUM(J13)+2.5</f>
        <v>30</v>
      </c>
      <c r="L13" s="176">
        <f>SUM(K13)+2.5</f>
        <v>32.5</v>
      </c>
      <c r="M13" s="194">
        <f>SUM(L13)+2.5</f>
        <v>35</v>
      </c>
    </row>
    <row r="14" spans="1:13" s="1" customFormat="1" ht="14.1" customHeight="1">
      <c r="A14" s="79"/>
      <c r="B14" s="36" t="s">
        <v>758</v>
      </c>
      <c r="C14" s="36"/>
      <c r="D14" s="210" t="s">
        <v>763</v>
      </c>
      <c r="E14" s="211"/>
      <c r="F14" s="211"/>
      <c r="G14" s="212"/>
      <c r="H14" s="36"/>
      <c r="I14" s="36"/>
      <c r="J14" s="35"/>
      <c r="K14" s="36"/>
      <c r="L14" s="175"/>
      <c r="M14" s="87"/>
    </row>
    <row r="15" spans="1:13" s="1" customFormat="1" ht="14.1" customHeight="1">
      <c r="A15" s="92">
        <v>7</v>
      </c>
      <c r="B15" s="51" t="s">
        <v>757</v>
      </c>
      <c r="C15" s="52"/>
      <c r="D15" s="182"/>
      <c r="E15" s="183"/>
      <c r="F15" s="183"/>
      <c r="G15" s="184"/>
      <c r="H15" s="24">
        <f>SUM(I15)-2.5</f>
        <v>25.5</v>
      </c>
      <c r="I15" s="24">
        <f>SUM(J15)-2.5</f>
        <v>28</v>
      </c>
      <c r="J15" s="117">
        <v>30.5</v>
      </c>
      <c r="K15" s="50">
        <f>SUM(J15)+2.5</f>
        <v>33</v>
      </c>
      <c r="L15" s="176">
        <f t="shared" ref="L15:M15" si="1">SUM(K15)+2.5</f>
        <v>35.5</v>
      </c>
      <c r="M15" s="194">
        <f t="shared" si="1"/>
        <v>38</v>
      </c>
    </row>
    <row r="16" spans="1:13" s="1" customFormat="1" ht="14.1" customHeight="1">
      <c r="A16" s="79"/>
      <c r="B16" s="36" t="s">
        <v>756</v>
      </c>
      <c r="C16" s="36"/>
      <c r="D16" s="210" t="s">
        <v>763</v>
      </c>
      <c r="E16" s="211"/>
      <c r="F16" s="211"/>
      <c r="G16" s="212"/>
      <c r="H16" s="36"/>
      <c r="I16" s="36"/>
      <c r="J16" s="35"/>
      <c r="K16" s="36"/>
      <c r="L16" s="175"/>
      <c r="M16" s="87"/>
    </row>
    <row r="17" spans="1:15" s="1" customFormat="1" ht="14.1" customHeight="1">
      <c r="A17" s="92">
        <v>8</v>
      </c>
      <c r="B17" s="195"/>
      <c r="C17" s="196"/>
      <c r="D17" s="182"/>
      <c r="E17" s="183"/>
      <c r="F17" s="183"/>
      <c r="G17" s="184"/>
      <c r="H17" s="24"/>
      <c r="I17" s="24"/>
      <c r="J17" s="117"/>
      <c r="K17" s="50"/>
      <c r="L17" s="176"/>
      <c r="M17" s="194"/>
    </row>
    <row r="18" spans="1:15" s="1" customFormat="1" ht="14.1" customHeight="1" thickBot="1">
      <c r="A18" s="79"/>
      <c r="B18" s="36"/>
      <c r="C18" s="36"/>
      <c r="D18" s="114"/>
      <c r="E18" s="115"/>
      <c r="F18" s="115"/>
      <c r="G18" s="116"/>
      <c r="H18" s="50"/>
      <c r="I18" s="50"/>
      <c r="J18" s="117"/>
      <c r="K18" s="50"/>
      <c r="L18" s="176"/>
      <c r="M18" s="194"/>
    </row>
    <row r="19" spans="1:15" s="1" customFormat="1" ht="14.1" customHeight="1" thickTop="1">
      <c r="A19" s="167">
        <v>9</v>
      </c>
      <c r="B19" s="158" t="s">
        <v>13</v>
      </c>
      <c r="C19" s="159"/>
      <c r="D19" s="160" t="s">
        <v>14</v>
      </c>
      <c r="E19" s="161"/>
      <c r="F19" s="161"/>
      <c r="G19" s="162"/>
      <c r="H19" s="156">
        <f>SUM(I19)-3.2</f>
        <v>53.599999999999994</v>
      </c>
      <c r="I19" s="156">
        <f>SUM(J19)-3.2</f>
        <v>56.8</v>
      </c>
      <c r="J19" s="155">
        <v>60</v>
      </c>
      <c r="K19" s="156">
        <f>SUM(J19)+3.2</f>
        <v>63.2</v>
      </c>
      <c r="L19" s="178">
        <f t="shared" ref="L19:M19" si="2">SUM(K19)+3.2</f>
        <v>66.400000000000006</v>
      </c>
      <c r="M19" s="208">
        <f t="shared" si="2"/>
        <v>69.600000000000009</v>
      </c>
    </row>
    <row r="20" spans="1:15" s="1" customFormat="1" ht="14.1" customHeight="1">
      <c r="A20" s="71"/>
      <c r="B20" s="62" t="s">
        <v>55</v>
      </c>
      <c r="C20" s="63"/>
      <c r="D20" s="64" t="s">
        <v>121</v>
      </c>
      <c r="E20" s="65"/>
      <c r="F20" s="65"/>
      <c r="G20" s="66"/>
      <c r="H20" s="36"/>
      <c r="I20" s="36"/>
      <c r="J20" s="35"/>
      <c r="K20" s="36"/>
      <c r="L20" s="175"/>
      <c r="M20" s="87"/>
    </row>
    <row r="21" spans="1:15" s="1" customFormat="1" ht="14.1" customHeight="1">
      <c r="A21" s="154">
        <v>10</v>
      </c>
      <c r="B21" s="51" t="s">
        <v>146</v>
      </c>
      <c r="C21" s="52"/>
      <c r="D21" s="59"/>
      <c r="E21" s="60"/>
      <c r="F21" s="60"/>
      <c r="G21" s="61"/>
      <c r="H21" s="24">
        <f>SUM(I21)-0.7</f>
        <v>11.600000000000001</v>
      </c>
      <c r="I21" s="24">
        <f>SUM(J21)-0.7</f>
        <v>12.3</v>
      </c>
      <c r="J21" s="33">
        <v>13</v>
      </c>
      <c r="K21" s="24">
        <f>SUM(J21)+1.2</f>
        <v>14.2</v>
      </c>
      <c r="L21" s="174">
        <f>SUM(K21)+0.7</f>
        <v>14.899999999999999</v>
      </c>
      <c r="M21" s="88">
        <f>SUM(L21)+0.7</f>
        <v>15.599999999999998</v>
      </c>
    </row>
    <row r="22" spans="1:15" s="1" customFormat="1" ht="14.1" customHeight="1">
      <c r="A22" s="71"/>
      <c r="B22" s="62" t="s">
        <v>145</v>
      </c>
      <c r="C22" s="63"/>
      <c r="D22" s="89" t="s">
        <v>159</v>
      </c>
      <c r="E22" s="90"/>
      <c r="F22" s="90"/>
      <c r="G22" s="91"/>
      <c r="H22" s="36"/>
      <c r="I22" s="36"/>
      <c r="J22" s="35"/>
      <c r="K22" s="36"/>
      <c r="L22" s="175"/>
      <c r="M22" s="87"/>
    </row>
    <row r="23" spans="1:15" s="1" customFormat="1" ht="14.1" customHeight="1">
      <c r="A23" s="92">
        <v>11</v>
      </c>
      <c r="B23" s="51" t="s">
        <v>9</v>
      </c>
      <c r="C23" s="52"/>
      <c r="D23" s="59" t="s">
        <v>84</v>
      </c>
      <c r="E23" s="60"/>
      <c r="F23" s="60"/>
      <c r="G23" s="61"/>
      <c r="H23" s="24">
        <f>SUM(I23)-1.5</f>
        <v>18.5</v>
      </c>
      <c r="I23" s="24">
        <f>SUM(J23)-1.5</f>
        <v>20</v>
      </c>
      <c r="J23" s="33">
        <v>21.5</v>
      </c>
      <c r="K23" s="24">
        <f>SUM(J23)+1.5</f>
        <v>23</v>
      </c>
      <c r="L23" s="174">
        <f t="shared" ref="L23:M23" si="3">SUM(K23)+1.5</f>
        <v>24.5</v>
      </c>
      <c r="M23" s="88">
        <f t="shared" si="3"/>
        <v>26</v>
      </c>
      <c r="O23" s="1" t="s">
        <v>419</v>
      </c>
    </row>
    <row r="24" spans="1:15" s="1" customFormat="1" ht="14.1" customHeight="1">
      <c r="A24" s="79"/>
      <c r="B24" s="62" t="s">
        <v>56</v>
      </c>
      <c r="C24" s="63"/>
      <c r="D24" s="64" t="s">
        <v>765</v>
      </c>
      <c r="E24" s="65"/>
      <c r="F24" s="65"/>
      <c r="G24" s="66"/>
      <c r="H24" s="36"/>
      <c r="I24" s="36"/>
      <c r="J24" s="35"/>
      <c r="K24" s="36"/>
      <c r="L24" s="175"/>
      <c r="M24" s="87"/>
    </row>
    <row r="25" spans="1:15" s="1" customFormat="1" ht="14.1" customHeight="1">
      <c r="A25" s="92">
        <v>12</v>
      </c>
      <c r="B25" s="51" t="s">
        <v>16</v>
      </c>
      <c r="C25" s="52"/>
      <c r="D25" s="59" t="s">
        <v>17</v>
      </c>
      <c r="E25" s="60"/>
      <c r="F25" s="60"/>
      <c r="G25" s="61"/>
      <c r="H25" s="24">
        <f>SUM(I25)-1.9</f>
        <v>31.200000000000003</v>
      </c>
      <c r="I25" s="24">
        <f>SUM(J25)-1.9</f>
        <v>33.1</v>
      </c>
      <c r="J25" s="33">
        <v>35</v>
      </c>
      <c r="K25" s="24">
        <f>SUM(J25)+1.9</f>
        <v>36.9</v>
      </c>
      <c r="L25" s="174">
        <f t="shared" ref="L25:M25" si="4">SUM(K25)+1.9</f>
        <v>38.799999999999997</v>
      </c>
      <c r="M25" s="88">
        <f t="shared" si="4"/>
        <v>40.699999999999996</v>
      </c>
    </row>
    <row r="26" spans="1:15" s="1" customFormat="1" ht="14.1" customHeight="1">
      <c r="A26" s="79"/>
      <c r="B26" s="62" t="s">
        <v>57</v>
      </c>
      <c r="C26" s="63"/>
      <c r="D26" s="47" t="s">
        <v>119</v>
      </c>
      <c r="E26" s="48"/>
      <c r="F26" s="48"/>
      <c r="G26" s="49"/>
      <c r="H26" s="36"/>
      <c r="I26" s="36"/>
      <c r="J26" s="35"/>
      <c r="K26" s="36"/>
      <c r="L26" s="175"/>
      <c r="M26" s="87"/>
    </row>
    <row r="27" spans="1:15" s="1" customFormat="1" ht="14.1" customHeight="1">
      <c r="A27" s="92">
        <v>13</v>
      </c>
      <c r="B27" s="51" t="s">
        <v>18</v>
      </c>
      <c r="C27" s="52"/>
      <c r="D27" s="59" t="s">
        <v>15</v>
      </c>
      <c r="E27" s="60"/>
      <c r="F27" s="60"/>
      <c r="G27" s="61"/>
      <c r="H27" s="24">
        <f>SUM(I27)-1.1</f>
        <v>16.799999999999997</v>
      </c>
      <c r="I27" s="24">
        <f>SUM(J27)-1.1</f>
        <v>17.899999999999999</v>
      </c>
      <c r="J27" s="33">
        <v>19</v>
      </c>
      <c r="K27" s="24">
        <f>SUM(J27)+1.5</f>
        <v>20.5</v>
      </c>
      <c r="L27" s="174">
        <f>SUM(K27)+1</f>
        <v>21.5</v>
      </c>
      <c r="M27" s="88">
        <f>SUM(L27)+1</f>
        <v>22.5</v>
      </c>
    </row>
    <row r="28" spans="1:15" s="1" customFormat="1" ht="14.1" customHeight="1">
      <c r="A28" s="79"/>
      <c r="B28" s="62" t="s">
        <v>63</v>
      </c>
      <c r="C28" s="63"/>
      <c r="D28" s="64" t="s">
        <v>118</v>
      </c>
      <c r="E28" s="65"/>
      <c r="F28" s="65"/>
      <c r="G28" s="66"/>
      <c r="H28" s="36"/>
      <c r="I28" s="36"/>
      <c r="J28" s="35"/>
      <c r="K28" s="36"/>
      <c r="L28" s="175"/>
      <c r="M28" s="87"/>
    </row>
    <row r="29" spans="1:15" s="1" customFormat="1" ht="14.1" customHeight="1">
      <c r="A29" s="92">
        <v>14</v>
      </c>
      <c r="B29" s="51" t="s">
        <v>19</v>
      </c>
      <c r="C29" s="52"/>
      <c r="D29" s="59" t="s">
        <v>15</v>
      </c>
      <c r="E29" s="60"/>
      <c r="F29" s="60"/>
      <c r="G29" s="61"/>
      <c r="H29" s="24">
        <f>SUM(I29)-1.2</f>
        <v>19.200000000000003</v>
      </c>
      <c r="I29" s="24">
        <f>SUM(J29)-1.2</f>
        <v>20.400000000000002</v>
      </c>
      <c r="J29" s="33">
        <v>21.6</v>
      </c>
      <c r="K29" s="24">
        <f>SUM(J29)+1.7</f>
        <v>23.3</v>
      </c>
      <c r="L29" s="174">
        <f>SUM(K29)+1.2</f>
        <v>24.5</v>
      </c>
      <c r="M29" s="88">
        <f>SUM(L29)+1.2</f>
        <v>25.7</v>
      </c>
    </row>
    <row r="30" spans="1:15" s="1" customFormat="1" ht="14.1" customHeight="1" thickBot="1">
      <c r="A30" s="99"/>
      <c r="B30" s="104" t="s">
        <v>62</v>
      </c>
      <c r="C30" s="105"/>
      <c r="D30" s="106" t="s">
        <v>118</v>
      </c>
      <c r="E30" s="107"/>
      <c r="F30" s="107"/>
      <c r="G30" s="108"/>
      <c r="H30" s="25"/>
      <c r="I30" s="25"/>
      <c r="J30" s="34"/>
      <c r="K30" s="25"/>
      <c r="L30" s="177"/>
      <c r="M30" s="103"/>
    </row>
    <row r="31" spans="1:15" s="1" customFormat="1" ht="14.1" customHeight="1">
      <c r="A31"/>
      <c r="B31"/>
      <c r="C31"/>
      <c r="D31"/>
      <c r="E31"/>
      <c r="F31"/>
      <c r="G31"/>
      <c r="H31" s="8"/>
      <c r="I31"/>
      <c r="J31"/>
      <c r="K31"/>
      <c r="L31"/>
      <c r="M31"/>
    </row>
    <row r="32" spans="1:15" s="1" customFormat="1" ht="14.1" customHeight="1">
      <c r="A32"/>
      <c r="B32"/>
      <c r="C32"/>
      <c r="D32"/>
      <c r="E32"/>
      <c r="F32"/>
      <c r="G32"/>
      <c r="H32" s="8"/>
      <c r="I32"/>
      <c r="J32"/>
      <c r="K32"/>
      <c r="L32"/>
      <c r="M32"/>
    </row>
    <row r="33" spans="1:13" s="1" customFormat="1" ht="14.1" customHeight="1">
      <c r="A33"/>
      <c r="B33"/>
      <c r="C33"/>
      <c r="D33"/>
      <c r="E33"/>
      <c r="F33"/>
      <c r="G33"/>
      <c r="H33" s="8"/>
      <c r="I33"/>
      <c r="J33"/>
      <c r="K33"/>
      <c r="L33"/>
      <c r="M33"/>
    </row>
    <row r="34" spans="1:13" s="1" customFormat="1" ht="14.1" customHeight="1">
      <c r="A34"/>
      <c r="B34"/>
      <c r="C34"/>
      <c r="D34"/>
      <c r="E34"/>
      <c r="F34"/>
      <c r="G34"/>
      <c r="H34" s="8"/>
      <c r="I34"/>
      <c r="J34"/>
      <c r="K34"/>
      <c r="L34"/>
      <c r="M34"/>
    </row>
    <row r="35" spans="1:13" s="1" customFormat="1" ht="14.1" customHeight="1">
      <c r="A35"/>
      <c r="B35"/>
      <c r="C35"/>
      <c r="D35"/>
      <c r="E35"/>
      <c r="F35"/>
      <c r="G35"/>
      <c r="H35" s="8"/>
      <c r="I35"/>
      <c r="J35"/>
      <c r="K35"/>
      <c r="L35"/>
      <c r="M35"/>
    </row>
    <row r="36" spans="1:13" s="1" customFormat="1" ht="14.1" customHeight="1">
      <c r="A36"/>
      <c r="B36"/>
      <c r="C36"/>
      <c r="D36"/>
      <c r="E36"/>
      <c r="F36"/>
      <c r="G36"/>
      <c r="H36" s="8"/>
      <c r="I36"/>
      <c r="J36"/>
      <c r="K36"/>
      <c r="L36"/>
      <c r="M36"/>
    </row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</sheetData>
  <mergeCells count="157">
    <mergeCell ref="A17:A18"/>
    <mergeCell ref="B17:C17"/>
    <mergeCell ref="B18:C18"/>
    <mergeCell ref="D17:G17"/>
    <mergeCell ref="D18:G18"/>
    <mergeCell ref="L17:L18"/>
    <mergeCell ref="M17:M18"/>
    <mergeCell ref="H19:H20"/>
    <mergeCell ref="I19:I20"/>
    <mergeCell ref="J19:J20"/>
    <mergeCell ref="K19:K20"/>
    <mergeCell ref="A19:A20"/>
    <mergeCell ref="B19:C19"/>
    <mergeCell ref="D19:G19"/>
    <mergeCell ref="L19:L20"/>
    <mergeCell ref="M19:M20"/>
    <mergeCell ref="B20:C20"/>
    <mergeCell ref="D20:G20"/>
    <mergeCell ref="H17:H18"/>
    <mergeCell ref="I17:I18"/>
    <mergeCell ref="J17:J18"/>
    <mergeCell ref="K17:K18"/>
    <mergeCell ref="J5:J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6:C6"/>
    <mergeCell ref="D6:G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A5:A6"/>
    <mergeCell ref="B5:C5"/>
    <mergeCell ref="D5:G5"/>
    <mergeCell ref="H5:H6"/>
    <mergeCell ref="I5:I6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23:A24"/>
    <mergeCell ref="B23:C23"/>
    <mergeCell ref="D23:G23"/>
    <mergeCell ref="H23:H24"/>
    <mergeCell ref="I23:I24"/>
    <mergeCell ref="A21:A22"/>
    <mergeCell ref="B21:C21"/>
    <mergeCell ref="D21:G21"/>
    <mergeCell ref="J23:J24"/>
    <mergeCell ref="H21:H22"/>
    <mergeCell ref="I21:I22"/>
    <mergeCell ref="J21:J22"/>
    <mergeCell ref="K23:K24"/>
    <mergeCell ref="L23:L24"/>
    <mergeCell ref="M23:M24"/>
    <mergeCell ref="B24:C24"/>
    <mergeCell ref="D24:G24"/>
    <mergeCell ref="L21:L22"/>
    <mergeCell ref="M21:M22"/>
    <mergeCell ref="B22:C22"/>
    <mergeCell ref="D22:G22"/>
    <mergeCell ref="K21:K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</mergeCells>
  <phoneticPr fontId="1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7EA72-3F6B-4044-83B3-B8CA7A5AE65F}">
  <sheetPr>
    <tabColor rgb="FF00B050"/>
    <pageSetUpPr fitToPage="1"/>
  </sheetPr>
  <dimension ref="A1:O61"/>
  <sheetViews>
    <sheetView zoomScale="110" zoomScaleNormal="110" workbookViewId="0">
      <selection activeCell="M31" sqref="A1:M32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8" width="5.5" style="8" customWidth="1"/>
    <col min="9" max="13" width="5.5" customWidth="1"/>
  </cols>
  <sheetData>
    <row r="1" spans="1:13" ht="16.5" customHeight="1" thickBot="1">
      <c r="A1" s="67" t="s">
        <v>764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3" t="s">
        <v>68</v>
      </c>
      <c r="B2" s="179" t="s">
        <v>69</v>
      </c>
      <c r="C2" s="180"/>
      <c r="D2" s="179" t="s">
        <v>70</v>
      </c>
      <c r="E2" s="181"/>
      <c r="F2" s="181"/>
      <c r="G2" s="180"/>
      <c r="H2" s="18" t="s">
        <v>464</v>
      </c>
      <c r="I2" s="18" t="s">
        <v>71</v>
      </c>
      <c r="J2" s="18" t="s">
        <v>72</v>
      </c>
      <c r="K2" s="19" t="s">
        <v>73</v>
      </c>
      <c r="L2" s="18" t="s">
        <v>74</v>
      </c>
      <c r="M2" s="18" t="s">
        <v>169</v>
      </c>
    </row>
    <row r="3" spans="1:13" s="1" customFormat="1" ht="14.1" customHeight="1">
      <c r="A3" s="78">
        <v>1</v>
      </c>
      <c r="B3" s="80" t="s">
        <v>149</v>
      </c>
      <c r="C3" s="81"/>
      <c r="D3" s="74" t="s">
        <v>82</v>
      </c>
      <c r="E3" s="82"/>
      <c r="F3" s="82"/>
      <c r="G3" s="83"/>
      <c r="H3" s="85">
        <f>SUM(I3)-2</f>
        <v>43</v>
      </c>
      <c r="I3" s="85">
        <f>SUM(J3)-3</f>
        <v>45</v>
      </c>
      <c r="J3" s="85">
        <f>SUM(K3)-3</f>
        <v>48</v>
      </c>
      <c r="K3" s="84">
        <v>51</v>
      </c>
      <c r="L3" s="85">
        <f>SUM(K3)+3</f>
        <v>54</v>
      </c>
      <c r="M3" s="109">
        <f t="shared" ref="M3" si="0">SUM(L3)+3</f>
        <v>57</v>
      </c>
    </row>
    <row r="4" spans="1:13" s="1" customFormat="1" ht="14.1" customHeight="1">
      <c r="A4" s="79"/>
      <c r="B4" s="62" t="s">
        <v>108</v>
      </c>
      <c r="C4" s="63"/>
      <c r="D4" s="64" t="s">
        <v>83</v>
      </c>
      <c r="E4" s="65"/>
      <c r="F4" s="65"/>
      <c r="G4" s="66"/>
      <c r="H4" s="36"/>
      <c r="I4" s="36"/>
      <c r="J4" s="36"/>
      <c r="K4" s="35"/>
      <c r="L4" s="36"/>
      <c r="M4" s="37"/>
    </row>
    <row r="5" spans="1:13" s="1" customFormat="1" ht="14.1" customHeight="1">
      <c r="A5" s="92">
        <v>2</v>
      </c>
      <c r="B5" s="40" t="s">
        <v>165</v>
      </c>
      <c r="C5" s="41"/>
      <c r="D5" s="100"/>
      <c r="E5" s="101"/>
      <c r="F5" s="101"/>
      <c r="G5" s="102"/>
      <c r="H5" s="174"/>
      <c r="I5" s="94"/>
      <c r="J5" s="50"/>
      <c r="K5" s="117"/>
      <c r="L5" s="50"/>
      <c r="M5" s="113"/>
    </row>
    <row r="6" spans="1:13" s="1" customFormat="1" ht="14.1" customHeight="1">
      <c r="A6" s="79"/>
      <c r="B6" s="62" t="s">
        <v>164</v>
      </c>
      <c r="C6" s="63"/>
      <c r="D6" s="64"/>
      <c r="E6" s="65"/>
      <c r="F6" s="65"/>
      <c r="G6" s="66"/>
      <c r="H6" s="175"/>
      <c r="I6" s="63"/>
      <c r="J6" s="36"/>
      <c r="K6" s="35"/>
      <c r="L6" s="36"/>
      <c r="M6" s="37"/>
    </row>
    <row r="7" spans="1:13" s="1" customFormat="1" ht="14.1" customHeight="1">
      <c r="A7" s="92">
        <v>3</v>
      </c>
      <c r="B7" s="40" t="s">
        <v>148</v>
      </c>
      <c r="C7" s="41"/>
      <c r="D7" s="100"/>
      <c r="E7" s="101"/>
      <c r="F7" s="101"/>
      <c r="G7" s="102"/>
      <c r="H7" s="176"/>
      <c r="I7" s="94"/>
      <c r="J7" s="50"/>
      <c r="K7" s="117"/>
      <c r="L7" s="50"/>
      <c r="M7" s="113"/>
    </row>
    <row r="8" spans="1:13" s="1" customFormat="1" ht="14.1" customHeight="1">
      <c r="A8" s="79"/>
      <c r="B8" s="62" t="s">
        <v>147</v>
      </c>
      <c r="C8" s="63"/>
      <c r="D8" s="64"/>
      <c r="E8" s="65"/>
      <c r="F8" s="65"/>
      <c r="G8" s="66"/>
      <c r="H8" s="175"/>
      <c r="I8" s="63"/>
      <c r="J8" s="36"/>
      <c r="K8" s="35"/>
      <c r="L8" s="36"/>
      <c r="M8" s="37"/>
    </row>
    <row r="9" spans="1:13" s="1" customFormat="1" ht="14.1" customHeight="1">
      <c r="A9" s="92">
        <v>4</v>
      </c>
      <c r="B9" s="51" t="s">
        <v>163</v>
      </c>
      <c r="C9" s="52"/>
      <c r="D9" s="118"/>
      <c r="E9" s="119"/>
      <c r="F9" s="119"/>
      <c r="G9" s="120"/>
      <c r="H9" s="174"/>
      <c r="I9" s="213"/>
      <c r="J9" s="24"/>
      <c r="K9" s="33"/>
      <c r="L9" s="24"/>
      <c r="M9" s="26"/>
    </row>
    <row r="10" spans="1:13" s="1" customFormat="1" ht="14.1" customHeight="1">
      <c r="A10" s="79"/>
      <c r="B10" s="62" t="s">
        <v>162</v>
      </c>
      <c r="C10" s="63"/>
      <c r="D10" s="114"/>
      <c r="E10" s="115"/>
      <c r="F10" s="115"/>
      <c r="G10" s="116"/>
      <c r="H10" s="175"/>
      <c r="I10" s="63"/>
      <c r="J10" s="36"/>
      <c r="K10" s="35"/>
      <c r="L10" s="36"/>
      <c r="M10" s="37"/>
    </row>
    <row r="11" spans="1:13" s="1" customFormat="1" ht="14.1" customHeight="1">
      <c r="A11" s="92">
        <v>5</v>
      </c>
      <c r="B11" s="51" t="s">
        <v>157</v>
      </c>
      <c r="C11" s="52"/>
      <c r="D11" s="100"/>
      <c r="E11" s="101"/>
      <c r="F11" s="101"/>
      <c r="G11" s="102"/>
      <c r="H11" s="24">
        <f>SUM(I11)-4.5</f>
        <v>60.5</v>
      </c>
      <c r="I11" s="24">
        <f>SUM(J11)-4.5</f>
        <v>65</v>
      </c>
      <c r="J11" s="24">
        <f>SUM(K11)-4.5</f>
        <v>69.5</v>
      </c>
      <c r="K11" s="117">
        <v>74</v>
      </c>
      <c r="L11" s="50">
        <f>SUM(K11)+4.5</f>
        <v>78.5</v>
      </c>
      <c r="M11" s="113">
        <f>SUM(L11)+4.5</f>
        <v>83</v>
      </c>
    </row>
    <row r="12" spans="1:13" s="1" customFormat="1" ht="14.1" customHeight="1">
      <c r="A12" s="79"/>
      <c r="B12" s="62" t="s">
        <v>158</v>
      </c>
      <c r="C12" s="63"/>
      <c r="D12" s="64"/>
      <c r="E12" s="65"/>
      <c r="F12" s="65"/>
      <c r="G12" s="66"/>
      <c r="H12" s="36"/>
      <c r="I12" s="36"/>
      <c r="J12" s="36"/>
      <c r="K12" s="35"/>
      <c r="L12" s="36"/>
      <c r="M12" s="37"/>
    </row>
    <row r="13" spans="1:13" s="1" customFormat="1" ht="14.1" customHeight="1">
      <c r="A13" s="92">
        <v>6</v>
      </c>
      <c r="B13" s="51" t="s">
        <v>402</v>
      </c>
      <c r="C13" s="52"/>
      <c r="D13" s="59"/>
      <c r="E13" s="60"/>
      <c r="F13" s="60"/>
      <c r="G13" s="61"/>
      <c r="H13" s="24">
        <f>SUM(I13)-2.5</f>
        <v>22.5</v>
      </c>
      <c r="I13" s="24">
        <f>SUM(J13)-2.5</f>
        <v>25</v>
      </c>
      <c r="J13" s="24">
        <f>SUM(K13)-2.5</f>
        <v>27.5</v>
      </c>
      <c r="K13" s="33">
        <v>30</v>
      </c>
      <c r="L13" s="24">
        <f>SUM(K13)+2.5</f>
        <v>32.5</v>
      </c>
      <c r="M13" s="26">
        <f>SUM(L13)+2.5</f>
        <v>35</v>
      </c>
    </row>
    <row r="14" spans="1:13" s="1" customFormat="1" ht="14.1" customHeight="1">
      <c r="A14" s="79"/>
      <c r="B14" s="62" t="s">
        <v>472</v>
      </c>
      <c r="C14" s="63"/>
      <c r="D14" s="64" t="s">
        <v>473</v>
      </c>
      <c r="E14" s="65"/>
      <c r="F14" s="65"/>
      <c r="G14" s="66"/>
      <c r="H14" s="36"/>
      <c r="I14" s="36"/>
      <c r="J14" s="36"/>
      <c r="K14" s="35"/>
      <c r="L14" s="36"/>
      <c r="M14" s="37"/>
    </row>
    <row r="15" spans="1:13" s="1" customFormat="1" ht="14.1" customHeight="1">
      <c r="A15" s="92">
        <v>7</v>
      </c>
      <c r="B15" s="93" t="s">
        <v>769</v>
      </c>
      <c r="C15" s="94"/>
      <c r="D15" s="95"/>
      <c r="E15" s="96"/>
      <c r="F15" s="96"/>
      <c r="G15" s="97"/>
      <c r="H15" s="24">
        <f>SUM(I15)-0.75</f>
        <v>3.95</v>
      </c>
      <c r="I15" s="24">
        <f>SUM(J15)-0.75</f>
        <v>4.7</v>
      </c>
      <c r="J15" s="24">
        <f>SUM(K15)-0.75</f>
        <v>5.45</v>
      </c>
      <c r="K15" s="33">
        <v>6.2</v>
      </c>
      <c r="L15" s="24">
        <f>SUM(K15)+0.25</f>
        <v>6.45</v>
      </c>
      <c r="M15" s="26">
        <f>SUM(L15)+0.75</f>
        <v>7.2</v>
      </c>
    </row>
    <row r="16" spans="1:13" s="1" customFormat="1" ht="14.1" customHeight="1">
      <c r="A16" s="79"/>
      <c r="B16" s="62" t="s">
        <v>770</v>
      </c>
      <c r="C16" s="63"/>
      <c r="D16" s="64" t="s">
        <v>897</v>
      </c>
      <c r="E16" s="65"/>
      <c r="F16" s="65"/>
      <c r="G16" s="66"/>
      <c r="H16" s="36"/>
      <c r="I16" s="36"/>
      <c r="J16" s="36"/>
      <c r="K16" s="35"/>
      <c r="L16" s="36"/>
      <c r="M16" s="37"/>
    </row>
    <row r="17" spans="1:15" s="1" customFormat="1" ht="14.1" customHeight="1">
      <c r="A17" s="92">
        <v>8</v>
      </c>
      <c r="B17" s="51" t="s">
        <v>745</v>
      </c>
      <c r="C17" s="52"/>
      <c r="D17" s="59"/>
      <c r="E17" s="60"/>
      <c r="F17" s="60"/>
      <c r="G17" s="61"/>
      <c r="H17" s="24">
        <f>SUM(I17)-0.95</f>
        <v>8.6500000000000021</v>
      </c>
      <c r="I17" s="24">
        <f>SUM(J17)-0.95</f>
        <v>9.6000000000000014</v>
      </c>
      <c r="J17" s="24">
        <f>SUM(K17)-0.95</f>
        <v>10.55</v>
      </c>
      <c r="K17" s="33">
        <v>11.5</v>
      </c>
      <c r="L17" s="24">
        <f>SUM(K17)+0.95</f>
        <v>12.45</v>
      </c>
      <c r="M17" s="26">
        <f>SUM(L17)+0.95</f>
        <v>13.399999999999999</v>
      </c>
    </row>
    <row r="18" spans="1:15" s="1" customFormat="1" ht="14.1" customHeight="1">
      <c r="A18" s="79"/>
      <c r="B18" s="62" t="s">
        <v>767</v>
      </c>
      <c r="C18" s="63"/>
      <c r="D18" s="64" t="s">
        <v>477</v>
      </c>
      <c r="E18" s="65"/>
      <c r="F18" s="65"/>
      <c r="G18" s="66"/>
      <c r="H18" s="36"/>
      <c r="I18" s="36"/>
      <c r="J18" s="36"/>
      <c r="K18" s="35"/>
      <c r="L18" s="36"/>
      <c r="M18" s="37"/>
    </row>
    <row r="19" spans="1:15" s="1" customFormat="1" ht="14.1" customHeight="1">
      <c r="A19" s="92">
        <v>9</v>
      </c>
      <c r="B19" s="40" t="s">
        <v>746</v>
      </c>
      <c r="C19" s="41"/>
      <c r="D19" s="100"/>
      <c r="E19" s="101"/>
      <c r="F19" s="101"/>
      <c r="G19" s="102"/>
      <c r="H19" s="24">
        <f>SUM(I19)-0.8</f>
        <v>7.1</v>
      </c>
      <c r="I19" s="24">
        <f>SUM(J19)-0.8</f>
        <v>7.8999999999999995</v>
      </c>
      <c r="J19" s="24">
        <f>SUM(K19)-0.8</f>
        <v>8.6999999999999993</v>
      </c>
      <c r="K19" s="33">
        <v>9.5</v>
      </c>
      <c r="L19" s="24">
        <f>SUM(K19)+0.8</f>
        <v>10.3</v>
      </c>
      <c r="M19" s="26">
        <f t="shared" ref="M19" si="1">SUM(L19)+0.8</f>
        <v>11.100000000000001</v>
      </c>
    </row>
    <row r="20" spans="1:15" s="1" customFormat="1" ht="14.1" customHeight="1" thickBot="1">
      <c r="A20" s="79"/>
      <c r="B20" s="62" t="s">
        <v>768</v>
      </c>
      <c r="C20" s="63"/>
      <c r="D20" s="64" t="s">
        <v>477</v>
      </c>
      <c r="E20" s="65"/>
      <c r="F20" s="65"/>
      <c r="G20" s="66"/>
      <c r="H20" s="36"/>
      <c r="I20" s="36"/>
      <c r="J20" s="36"/>
      <c r="K20" s="35"/>
      <c r="L20" s="36"/>
      <c r="M20" s="37"/>
    </row>
    <row r="21" spans="1:15" s="1" customFormat="1" ht="14.1" customHeight="1" thickTop="1">
      <c r="A21" s="167">
        <v>10</v>
      </c>
      <c r="B21" s="158" t="s">
        <v>13</v>
      </c>
      <c r="C21" s="159"/>
      <c r="D21" s="160" t="s">
        <v>14</v>
      </c>
      <c r="E21" s="161"/>
      <c r="F21" s="161"/>
      <c r="G21" s="162"/>
      <c r="H21" s="156">
        <f>SUM(I21)-3.2</f>
        <v>50.399999999999991</v>
      </c>
      <c r="I21" s="156">
        <f>SUM(J21)-3.2</f>
        <v>53.599999999999994</v>
      </c>
      <c r="J21" s="156">
        <f>SUM(K21)-3.2</f>
        <v>56.8</v>
      </c>
      <c r="K21" s="155">
        <v>60</v>
      </c>
      <c r="L21" s="156">
        <f>SUM(K21)+3.2</f>
        <v>63.2</v>
      </c>
      <c r="M21" s="152">
        <f t="shared" ref="M21" si="2">SUM(L21)+3.2</f>
        <v>66.400000000000006</v>
      </c>
    </row>
    <row r="22" spans="1:15" s="1" customFormat="1" ht="14.1" customHeight="1">
      <c r="A22" s="166"/>
      <c r="B22" s="62" t="s">
        <v>55</v>
      </c>
      <c r="C22" s="63"/>
      <c r="D22" s="64" t="s">
        <v>121</v>
      </c>
      <c r="E22" s="65"/>
      <c r="F22" s="65"/>
      <c r="G22" s="66"/>
      <c r="H22" s="36"/>
      <c r="I22" s="36"/>
      <c r="J22" s="36"/>
      <c r="K22" s="35"/>
      <c r="L22" s="36"/>
      <c r="M22" s="37"/>
    </row>
    <row r="23" spans="1:15" s="1" customFormat="1" ht="14.1" customHeight="1">
      <c r="A23" s="154">
        <v>11</v>
      </c>
      <c r="B23" s="51" t="s">
        <v>146</v>
      </c>
      <c r="C23" s="52"/>
      <c r="D23" s="59"/>
      <c r="E23" s="60"/>
      <c r="F23" s="60"/>
      <c r="G23" s="61"/>
      <c r="H23" s="24">
        <f>SUM(I23)-1.2</f>
        <v>9.6000000000000014</v>
      </c>
      <c r="I23" s="24">
        <f>SUM(J23)-0.7</f>
        <v>10.8</v>
      </c>
      <c r="J23" s="24">
        <f>SUM(K23)-0.7</f>
        <v>11.5</v>
      </c>
      <c r="K23" s="33">
        <v>12.2</v>
      </c>
      <c r="L23" s="24">
        <f>SUM(K23)+1.2</f>
        <v>13.399999999999999</v>
      </c>
      <c r="M23" s="26">
        <f>SUM(L23)+0.7</f>
        <v>14.099999999999998</v>
      </c>
    </row>
    <row r="24" spans="1:15" s="1" customFormat="1" ht="14.1" customHeight="1">
      <c r="A24" s="71"/>
      <c r="B24" s="62" t="s">
        <v>145</v>
      </c>
      <c r="C24" s="63"/>
      <c r="D24" s="89" t="s">
        <v>159</v>
      </c>
      <c r="E24" s="90"/>
      <c r="F24" s="90"/>
      <c r="G24" s="91"/>
      <c r="H24" s="36"/>
      <c r="I24" s="36"/>
      <c r="J24" s="36"/>
      <c r="K24" s="35"/>
      <c r="L24" s="36"/>
      <c r="M24" s="37"/>
    </row>
    <row r="25" spans="1:15" s="1" customFormat="1" ht="14.1" customHeight="1">
      <c r="A25" s="166">
        <v>12</v>
      </c>
      <c r="B25" s="51" t="s">
        <v>9</v>
      </c>
      <c r="C25" s="52"/>
      <c r="D25" s="59" t="s">
        <v>84</v>
      </c>
      <c r="E25" s="60"/>
      <c r="F25" s="60"/>
      <c r="G25" s="61"/>
      <c r="H25" s="24">
        <f>SUM(I25)-1.5</f>
        <v>18.8</v>
      </c>
      <c r="I25" s="24">
        <f>SUM(J25)-1.5</f>
        <v>20.3</v>
      </c>
      <c r="J25" s="24">
        <f>SUM(K25)-1.5</f>
        <v>21.8</v>
      </c>
      <c r="K25" s="33">
        <v>23.3</v>
      </c>
      <c r="L25" s="24">
        <f>SUM(K25)+1.5</f>
        <v>24.8</v>
      </c>
      <c r="M25" s="26">
        <f t="shared" ref="M25" si="3">SUM(L25)+1.5</f>
        <v>26.3</v>
      </c>
      <c r="O25" s="1" t="s">
        <v>419</v>
      </c>
    </row>
    <row r="26" spans="1:15" s="1" customFormat="1" ht="14.1" customHeight="1">
      <c r="A26" s="71"/>
      <c r="B26" s="62" t="s">
        <v>56</v>
      </c>
      <c r="C26" s="63"/>
      <c r="D26" s="64" t="s">
        <v>766</v>
      </c>
      <c r="E26" s="65"/>
      <c r="F26" s="65"/>
      <c r="G26" s="66"/>
      <c r="H26" s="36"/>
      <c r="I26" s="36"/>
      <c r="J26" s="36"/>
      <c r="K26" s="35"/>
      <c r="L26" s="36"/>
      <c r="M26" s="37"/>
    </row>
    <row r="27" spans="1:15" s="1" customFormat="1" ht="14.1" customHeight="1">
      <c r="A27" s="154">
        <v>13</v>
      </c>
      <c r="B27" s="51" t="s">
        <v>16</v>
      </c>
      <c r="C27" s="52"/>
      <c r="D27" s="59" t="s">
        <v>17</v>
      </c>
      <c r="E27" s="60"/>
      <c r="F27" s="60"/>
      <c r="G27" s="61"/>
      <c r="H27" s="24">
        <f>SUM(I27)-1.9</f>
        <v>29.500000000000007</v>
      </c>
      <c r="I27" s="24">
        <f>SUM(J27)-1.9</f>
        <v>31.400000000000006</v>
      </c>
      <c r="J27" s="24">
        <f>SUM(K27)-1.9</f>
        <v>33.300000000000004</v>
      </c>
      <c r="K27" s="33">
        <v>35.200000000000003</v>
      </c>
      <c r="L27" s="24">
        <f>SUM(K27)+1.9</f>
        <v>37.1</v>
      </c>
      <c r="M27" s="26">
        <f t="shared" ref="M27" si="4">SUM(L27)+1.9</f>
        <v>39</v>
      </c>
    </row>
    <row r="28" spans="1:15" s="1" customFormat="1" ht="14.1" customHeight="1">
      <c r="A28" s="71"/>
      <c r="B28" s="62" t="s">
        <v>57</v>
      </c>
      <c r="C28" s="63"/>
      <c r="D28" s="47" t="s">
        <v>119</v>
      </c>
      <c r="E28" s="48"/>
      <c r="F28" s="48"/>
      <c r="G28" s="49"/>
      <c r="H28" s="36"/>
      <c r="I28" s="36"/>
      <c r="J28" s="36"/>
      <c r="K28" s="35"/>
      <c r="L28" s="36"/>
      <c r="M28" s="37"/>
    </row>
    <row r="29" spans="1:15" s="1" customFormat="1" ht="14.1" customHeight="1">
      <c r="A29" s="154">
        <v>14</v>
      </c>
      <c r="B29" s="51" t="s">
        <v>18</v>
      </c>
      <c r="C29" s="52"/>
      <c r="D29" s="59" t="s">
        <v>15</v>
      </c>
      <c r="E29" s="60"/>
      <c r="F29" s="60"/>
      <c r="G29" s="61"/>
      <c r="H29" s="24">
        <f>SUM(I29)-1</f>
        <v>17.8</v>
      </c>
      <c r="I29" s="24">
        <f>SUM(J29)-1</f>
        <v>18.8</v>
      </c>
      <c r="J29" s="24">
        <f>SUM(K29)-1</f>
        <v>19.8</v>
      </c>
      <c r="K29" s="33">
        <v>20.8</v>
      </c>
      <c r="L29" s="24">
        <f>SUM(K29)+1.5</f>
        <v>22.3</v>
      </c>
      <c r="M29" s="26">
        <f>SUM(L29)+1</f>
        <v>23.3</v>
      </c>
    </row>
    <row r="30" spans="1:15" s="1" customFormat="1" ht="14.1" customHeight="1">
      <c r="A30" s="71"/>
      <c r="B30" s="62" t="s">
        <v>63</v>
      </c>
      <c r="C30" s="63"/>
      <c r="D30" s="64" t="s">
        <v>118</v>
      </c>
      <c r="E30" s="65"/>
      <c r="F30" s="65"/>
      <c r="G30" s="66"/>
      <c r="H30" s="36"/>
      <c r="I30" s="36"/>
      <c r="J30" s="36"/>
      <c r="K30" s="35"/>
      <c r="L30" s="36"/>
      <c r="M30" s="37"/>
    </row>
    <row r="31" spans="1:15" s="1" customFormat="1" ht="14.1" customHeight="1">
      <c r="A31" s="166">
        <v>15</v>
      </c>
      <c r="B31" s="51" t="s">
        <v>19</v>
      </c>
      <c r="C31" s="52"/>
      <c r="D31" s="59" t="s">
        <v>15</v>
      </c>
      <c r="E31" s="60"/>
      <c r="F31" s="60"/>
      <c r="G31" s="61"/>
      <c r="H31" s="24">
        <f>SUM(I31)-1.2</f>
        <v>19.700000000000003</v>
      </c>
      <c r="I31" s="24">
        <f>SUM(J31)-1.2</f>
        <v>20.900000000000002</v>
      </c>
      <c r="J31" s="24">
        <f>SUM(K31)-1.2</f>
        <v>22.1</v>
      </c>
      <c r="K31" s="33">
        <v>23.3</v>
      </c>
      <c r="L31" s="24">
        <f>SUM(K31)+1.7</f>
        <v>25</v>
      </c>
      <c r="M31" s="26">
        <f>SUM(L31)+1.2</f>
        <v>26.2</v>
      </c>
    </row>
    <row r="32" spans="1:15" s="1" customFormat="1" ht="14.1" customHeight="1" thickBot="1">
      <c r="A32" s="168"/>
      <c r="B32" s="104" t="s">
        <v>62</v>
      </c>
      <c r="C32" s="105"/>
      <c r="D32" s="106" t="s">
        <v>118</v>
      </c>
      <c r="E32" s="107"/>
      <c r="F32" s="107"/>
      <c r="G32" s="108"/>
      <c r="H32" s="25"/>
      <c r="I32" s="25"/>
      <c r="J32" s="25"/>
      <c r="K32" s="34"/>
      <c r="L32" s="25"/>
      <c r="M32" s="27"/>
    </row>
    <row r="33" spans="1:13" s="1" customFormat="1" ht="14.1" customHeight="1">
      <c r="A33"/>
      <c r="B33"/>
      <c r="C33"/>
      <c r="D33"/>
      <c r="E33"/>
      <c r="F33"/>
      <c r="G33"/>
      <c r="H33" s="8"/>
      <c r="I33"/>
      <c r="J33"/>
      <c r="K33"/>
      <c r="L33"/>
      <c r="M33"/>
    </row>
    <row r="34" spans="1:13" s="1" customFormat="1" ht="14.1" customHeight="1">
      <c r="A34"/>
      <c r="B34"/>
      <c r="C34"/>
      <c r="D34"/>
      <c r="E34"/>
      <c r="F34"/>
      <c r="G34"/>
      <c r="H34" s="8"/>
      <c r="I34"/>
      <c r="J34"/>
      <c r="K34"/>
      <c r="L34"/>
      <c r="M34"/>
    </row>
    <row r="35" spans="1:13" s="1" customFormat="1" ht="14.1" customHeight="1">
      <c r="A35"/>
      <c r="B35"/>
      <c r="C35"/>
      <c r="D35"/>
      <c r="E35"/>
      <c r="F35"/>
      <c r="G35"/>
      <c r="H35" s="8"/>
      <c r="I35"/>
      <c r="J35"/>
      <c r="K35"/>
      <c r="L35"/>
      <c r="M35"/>
    </row>
    <row r="36" spans="1:13" s="1" customFormat="1" ht="14.1" customHeight="1">
      <c r="A36"/>
      <c r="B36"/>
      <c r="C36"/>
      <c r="D36"/>
      <c r="E36"/>
      <c r="F36"/>
      <c r="G36"/>
      <c r="H36" s="8"/>
      <c r="I36"/>
      <c r="J36"/>
      <c r="K36"/>
      <c r="L36"/>
      <c r="M36"/>
    </row>
    <row r="37" spans="1:13" s="1" customFormat="1" ht="14.1" customHeight="1">
      <c r="A37"/>
      <c r="B37"/>
      <c r="C37"/>
      <c r="D37"/>
      <c r="E37"/>
      <c r="F37"/>
      <c r="G37"/>
      <c r="H37" s="8"/>
      <c r="I37"/>
      <c r="J37"/>
      <c r="K37"/>
      <c r="L37"/>
      <c r="M37"/>
    </row>
    <row r="38" spans="1:13" s="1" customFormat="1" ht="14.1" customHeight="1">
      <c r="A38"/>
      <c r="B38"/>
      <c r="C38"/>
      <c r="D38"/>
      <c r="E38"/>
      <c r="F38"/>
      <c r="G38"/>
      <c r="H38" s="8"/>
      <c r="I38"/>
      <c r="J38"/>
      <c r="K38"/>
      <c r="L38"/>
      <c r="M38"/>
    </row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</sheetData>
  <mergeCells count="168">
    <mergeCell ref="A1:M1"/>
    <mergeCell ref="B2:C2"/>
    <mergeCell ref="D2:G2"/>
    <mergeCell ref="A3:A4"/>
    <mergeCell ref="B3:C3"/>
    <mergeCell ref="D3:G3"/>
    <mergeCell ref="I3:I4"/>
    <mergeCell ref="J3:J4"/>
    <mergeCell ref="K3:K4"/>
    <mergeCell ref="L3:L4"/>
    <mergeCell ref="M3:M4"/>
    <mergeCell ref="B4:C4"/>
    <mergeCell ref="D4:G4"/>
    <mergeCell ref="H3:H4"/>
    <mergeCell ref="K7:K8"/>
    <mergeCell ref="L7:L8"/>
    <mergeCell ref="M7:M8"/>
    <mergeCell ref="B8:C8"/>
    <mergeCell ref="D8:G8"/>
    <mergeCell ref="L5:L6"/>
    <mergeCell ref="M5:M6"/>
    <mergeCell ref="H5:H6"/>
    <mergeCell ref="H7:H8"/>
    <mergeCell ref="A5:A6"/>
    <mergeCell ref="B5:C5"/>
    <mergeCell ref="D5:G5"/>
    <mergeCell ref="I5:I6"/>
    <mergeCell ref="J5:J6"/>
    <mergeCell ref="K5:K6"/>
    <mergeCell ref="B6:C6"/>
    <mergeCell ref="D6:G6"/>
    <mergeCell ref="A11:A12"/>
    <mergeCell ref="B11:C11"/>
    <mergeCell ref="D11:G11"/>
    <mergeCell ref="I11:I12"/>
    <mergeCell ref="J11:J12"/>
    <mergeCell ref="A9:A10"/>
    <mergeCell ref="B9:C9"/>
    <mergeCell ref="D9:G9"/>
    <mergeCell ref="I9:I10"/>
    <mergeCell ref="J9:J10"/>
    <mergeCell ref="A7:A8"/>
    <mergeCell ref="B7:C7"/>
    <mergeCell ref="D7:G7"/>
    <mergeCell ref="I7:I8"/>
    <mergeCell ref="J7:J8"/>
    <mergeCell ref="K11:K12"/>
    <mergeCell ref="L11:L12"/>
    <mergeCell ref="M11:M12"/>
    <mergeCell ref="B12:C12"/>
    <mergeCell ref="D12:G12"/>
    <mergeCell ref="L9:L10"/>
    <mergeCell ref="M9:M10"/>
    <mergeCell ref="B10:C10"/>
    <mergeCell ref="D10:G10"/>
    <mergeCell ref="K9:K10"/>
    <mergeCell ref="H9:H10"/>
    <mergeCell ref="H11:H12"/>
    <mergeCell ref="A17:A18"/>
    <mergeCell ref="B17:C17"/>
    <mergeCell ref="D17:G17"/>
    <mergeCell ref="I17:I18"/>
    <mergeCell ref="J17:J18"/>
    <mergeCell ref="A13:A14"/>
    <mergeCell ref="B13:C13"/>
    <mergeCell ref="D13:G13"/>
    <mergeCell ref="I13:I14"/>
    <mergeCell ref="J13:J14"/>
    <mergeCell ref="A15:A16"/>
    <mergeCell ref="B15:C15"/>
    <mergeCell ref="B16:C16"/>
    <mergeCell ref="D15:G15"/>
    <mergeCell ref="D16:G16"/>
    <mergeCell ref="I15:I16"/>
    <mergeCell ref="J15:J16"/>
    <mergeCell ref="H13:H14"/>
    <mergeCell ref="H15:H16"/>
    <mergeCell ref="H17:H18"/>
    <mergeCell ref="K17:K18"/>
    <mergeCell ref="L17:L18"/>
    <mergeCell ref="M17:M18"/>
    <mergeCell ref="B18:C18"/>
    <mergeCell ref="D18:G18"/>
    <mergeCell ref="L13:L14"/>
    <mergeCell ref="M13:M14"/>
    <mergeCell ref="B14:C14"/>
    <mergeCell ref="D14:G14"/>
    <mergeCell ref="K13:K14"/>
    <mergeCell ref="K15:K16"/>
    <mergeCell ref="L15:L16"/>
    <mergeCell ref="M15:M16"/>
    <mergeCell ref="A21:A22"/>
    <mergeCell ref="B21:C21"/>
    <mergeCell ref="D21:G21"/>
    <mergeCell ref="I21:I22"/>
    <mergeCell ref="J21:J22"/>
    <mergeCell ref="A19:A20"/>
    <mergeCell ref="B19:C19"/>
    <mergeCell ref="D19:G19"/>
    <mergeCell ref="I19:I20"/>
    <mergeCell ref="J19:J20"/>
    <mergeCell ref="H19:H20"/>
    <mergeCell ref="H21:H22"/>
    <mergeCell ref="K21:K22"/>
    <mergeCell ref="L21:L22"/>
    <mergeCell ref="M21:M22"/>
    <mergeCell ref="B22:C22"/>
    <mergeCell ref="D22:G22"/>
    <mergeCell ref="L19:L20"/>
    <mergeCell ref="M19:M20"/>
    <mergeCell ref="B20:C20"/>
    <mergeCell ref="D20:G20"/>
    <mergeCell ref="K19:K20"/>
    <mergeCell ref="A25:A26"/>
    <mergeCell ref="B25:C25"/>
    <mergeCell ref="D25:G25"/>
    <mergeCell ref="I25:I26"/>
    <mergeCell ref="J25:J26"/>
    <mergeCell ref="A23:A24"/>
    <mergeCell ref="B23:C23"/>
    <mergeCell ref="D23:G23"/>
    <mergeCell ref="I23:I24"/>
    <mergeCell ref="J23:J24"/>
    <mergeCell ref="H23:H24"/>
    <mergeCell ref="H25:H26"/>
    <mergeCell ref="K25:K26"/>
    <mergeCell ref="L25:L26"/>
    <mergeCell ref="M25:M26"/>
    <mergeCell ref="B26:C26"/>
    <mergeCell ref="D26:G26"/>
    <mergeCell ref="L23:L24"/>
    <mergeCell ref="M23:M24"/>
    <mergeCell ref="B24:C24"/>
    <mergeCell ref="D24:G24"/>
    <mergeCell ref="K23:K24"/>
    <mergeCell ref="A29:A30"/>
    <mergeCell ref="B29:C29"/>
    <mergeCell ref="D29:G29"/>
    <mergeCell ref="I29:I30"/>
    <mergeCell ref="J29:J30"/>
    <mergeCell ref="A27:A28"/>
    <mergeCell ref="B27:C27"/>
    <mergeCell ref="D27:G27"/>
    <mergeCell ref="I27:I28"/>
    <mergeCell ref="J27:J28"/>
    <mergeCell ref="H27:H28"/>
    <mergeCell ref="H29:H30"/>
    <mergeCell ref="K29:K30"/>
    <mergeCell ref="L29:L30"/>
    <mergeCell ref="M29:M30"/>
    <mergeCell ref="B30:C30"/>
    <mergeCell ref="D30:G30"/>
    <mergeCell ref="L27:L28"/>
    <mergeCell ref="M27:M28"/>
    <mergeCell ref="B28:C28"/>
    <mergeCell ref="D28:G28"/>
    <mergeCell ref="K27:K28"/>
    <mergeCell ref="L31:L32"/>
    <mergeCell ref="M31:M32"/>
    <mergeCell ref="B32:C32"/>
    <mergeCell ref="D32:G32"/>
    <mergeCell ref="A31:A32"/>
    <mergeCell ref="B31:C31"/>
    <mergeCell ref="D31:G31"/>
    <mergeCell ref="I31:I32"/>
    <mergeCell ref="J31:J32"/>
    <mergeCell ref="K31:K32"/>
    <mergeCell ref="H31:H32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EF329-8D7B-400C-8190-5A7AC0CA5297}">
  <sheetPr>
    <tabColor rgb="FF00B050"/>
    <pageSetUpPr fitToPage="1"/>
  </sheetPr>
  <dimension ref="A1:N51"/>
  <sheetViews>
    <sheetView zoomScale="110" zoomScaleNormal="110" workbookViewId="0">
      <selection activeCell="Q14" sqref="Q14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8" width="5.5" style="8" customWidth="1"/>
    <col min="9" max="14" width="5.5" customWidth="1"/>
  </cols>
  <sheetData>
    <row r="1" spans="1:14" ht="16.5" customHeight="1" thickBot="1">
      <c r="A1" s="128" t="s">
        <v>853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30"/>
    </row>
    <row r="2" spans="1:14" ht="16.5" customHeight="1" thickBot="1">
      <c r="A2" s="3" t="s">
        <v>68</v>
      </c>
      <c r="B2" s="179" t="s">
        <v>69</v>
      </c>
      <c r="C2" s="180"/>
      <c r="D2" s="179" t="s">
        <v>70</v>
      </c>
      <c r="E2" s="181"/>
      <c r="F2" s="181"/>
      <c r="G2" s="18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  <c r="N2" s="7" t="s">
        <v>229</v>
      </c>
    </row>
    <row r="3" spans="1:14" s="1" customFormat="1" ht="14.1" customHeight="1">
      <c r="A3" s="78">
        <v>1</v>
      </c>
      <c r="B3" s="80" t="s">
        <v>149</v>
      </c>
      <c r="C3" s="81"/>
      <c r="D3" s="74" t="s">
        <v>82</v>
      </c>
      <c r="E3" s="82"/>
      <c r="F3" s="82"/>
      <c r="G3" s="83"/>
      <c r="H3" s="24">
        <f>SUM(I3)-3</f>
        <v>45</v>
      </c>
      <c r="I3" s="24">
        <f>SUM(J3)-3</f>
        <v>48</v>
      </c>
      <c r="J3" s="84">
        <v>51</v>
      </c>
      <c r="K3" s="85">
        <f>SUM(J3)+3</f>
        <v>54</v>
      </c>
      <c r="L3" s="85">
        <f>SUM(K3)+3</f>
        <v>57</v>
      </c>
      <c r="M3" s="85">
        <f>SUM(L3)+3</f>
        <v>60</v>
      </c>
      <c r="N3" s="138">
        <f>SUM(M3)+3</f>
        <v>63</v>
      </c>
    </row>
    <row r="4" spans="1:14" s="1" customFormat="1" ht="14.1" customHeight="1">
      <c r="A4" s="79"/>
      <c r="B4" s="62" t="s">
        <v>108</v>
      </c>
      <c r="C4" s="63"/>
      <c r="D4" s="64" t="s">
        <v>83</v>
      </c>
      <c r="E4" s="65"/>
      <c r="F4" s="65"/>
      <c r="G4" s="66"/>
      <c r="H4" s="36"/>
      <c r="I4" s="36"/>
      <c r="J4" s="35"/>
      <c r="K4" s="36"/>
      <c r="L4" s="36"/>
      <c r="M4" s="36"/>
      <c r="N4" s="137"/>
    </row>
    <row r="5" spans="1:14" s="1" customFormat="1" ht="14.1" customHeight="1">
      <c r="A5" s="92">
        <v>2</v>
      </c>
      <c r="B5" s="40" t="s">
        <v>165</v>
      </c>
      <c r="C5" s="41"/>
      <c r="D5" s="100"/>
      <c r="E5" s="101"/>
      <c r="F5" s="101"/>
      <c r="G5" s="102"/>
      <c r="H5" s="24"/>
      <c r="I5" s="24"/>
      <c r="J5" s="117"/>
      <c r="K5" s="50"/>
      <c r="L5" s="50"/>
      <c r="M5" s="50"/>
      <c r="N5" s="136"/>
    </row>
    <row r="6" spans="1:14" s="1" customFormat="1" ht="14.1" customHeight="1">
      <c r="A6" s="79"/>
      <c r="B6" s="62" t="s">
        <v>164</v>
      </c>
      <c r="C6" s="63"/>
      <c r="D6" s="64"/>
      <c r="E6" s="65"/>
      <c r="F6" s="65"/>
      <c r="G6" s="66"/>
      <c r="H6" s="36"/>
      <c r="I6" s="36"/>
      <c r="J6" s="35"/>
      <c r="K6" s="36"/>
      <c r="L6" s="36"/>
      <c r="M6" s="36"/>
      <c r="N6" s="137"/>
    </row>
    <row r="7" spans="1:14" s="1" customFormat="1" ht="14.1" customHeight="1">
      <c r="A7" s="92">
        <v>3</v>
      </c>
      <c r="B7" s="40" t="s">
        <v>148</v>
      </c>
      <c r="C7" s="41"/>
      <c r="D7" s="100"/>
      <c r="E7" s="101"/>
      <c r="F7" s="101"/>
      <c r="G7" s="102"/>
      <c r="H7" s="24"/>
      <c r="I7" s="24"/>
      <c r="J7" s="117"/>
      <c r="K7" s="50"/>
      <c r="L7" s="50"/>
      <c r="M7" s="50"/>
      <c r="N7" s="136"/>
    </row>
    <row r="8" spans="1:14" s="1" customFormat="1" ht="14.1" customHeight="1">
      <c r="A8" s="79"/>
      <c r="B8" s="62" t="s">
        <v>147</v>
      </c>
      <c r="C8" s="63"/>
      <c r="D8" s="64"/>
      <c r="E8" s="65"/>
      <c r="F8" s="65"/>
      <c r="G8" s="66"/>
      <c r="H8" s="36"/>
      <c r="I8" s="36"/>
      <c r="J8" s="35"/>
      <c r="K8" s="36"/>
      <c r="L8" s="36"/>
      <c r="M8" s="36"/>
      <c r="N8" s="137"/>
    </row>
    <row r="9" spans="1:14" s="1" customFormat="1" ht="14.1" customHeight="1">
      <c r="A9" s="92">
        <v>4</v>
      </c>
      <c r="B9" s="51" t="s">
        <v>163</v>
      </c>
      <c r="C9" s="52"/>
      <c r="D9" s="118"/>
      <c r="E9" s="119"/>
      <c r="F9" s="119"/>
      <c r="G9" s="120"/>
      <c r="H9" s="24"/>
      <c r="I9" s="24"/>
      <c r="J9" s="117"/>
      <c r="K9" s="50"/>
      <c r="L9" s="50"/>
      <c r="M9" s="24"/>
      <c r="N9" s="88"/>
    </row>
    <row r="10" spans="1:14" s="1" customFormat="1" ht="14.1" customHeight="1">
      <c r="A10" s="79"/>
      <c r="B10" s="62" t="s">
        <v>162</v>
      </c>
      <c r="C10" s="63"/>
      <c r="D10" s="114"/>
      <c r="E10" s="115"/>
      <c r="F10" s="115"/>
      <c r="G10" s="116"/>
      <c r="H10" s="36"/>
      <c r="I10" s="36"/>
      <c r="J10" s="35"/>
      <c r="K10" s="36"/>
      <c r="L10" s="36"/>
      <c r="M10" s="36"/>
      <c r="N10" s="87"/>
    </row>
    <row r="11" spans="1:14" s="1" customFormat="1" ht="14.1" customHeight="1">
      <c r="A11" s="92">
        <v>5</v>
      </c>
      <c r="B11" s="51" t="s">
        <v>157</v>
      </c>
      <c r="C11" s="52"/>
      <c r="D11" s="100"/>
      <c r="E11" s="101"/>
      <c r="F11" s="101"/>
      <c r="G11" s="102"/>
      <c r="H11" s="58">
        <f>SUM(I11)-4</f>
        <v>48</v>
      </c>
      <c r="I11" s="24">
        <f>SUM(J11)-4</f>
        <v>52</v>
      </c>
      <c r="J11" s="117">
        <v>56</v>
      </c>
      <c r="K11" s="50">
        <f>SUM(J11)+4</f>
        <v>60</v>
      </c>
      <c r="L11" s="50">
        <f>SUM(K11)+4</f>
        <v>64</v>
      </c>
      <c r="M11" s="50">
        <f>SUM(L11)+4</f>
        <v>68</v>
      </c>
      <c r="N11" s="136">
        <f>SUM(M11)+4.5</f>
        <v>72.5</v>
      </c>
    </row>
    <row r="12" spans="1:14" s="1" customFormat="1" ht="14.1" customHeight="1">
      <c r="A12" s="79"/>
      <c r="B12" s="62" t="s">
        <v>158</v>
      </c>
      <c r="C12" s="63"/>
      <c r="D12" s="64"/>
      <c r="E12" s="65"/>
      <c r="F12" s="65"/>
      <c r="G12" s="66"/>
      <c r="H12" s="56"/>
      <c r="I12" s="36"/>
      <c r="J12" s="35"/>
      <c r="K12" s="36"/>
      <c r="L12" s="36"/>
      <c r="M12" s="36"/>
      <c r="N12" s="137"/>
    </row>
    <row r="13" spans="1:14" s="1" customFormat="1" ht="14.1" customHeight="1">
      <c r="A13" s="92">
        <v>6</v>
      </c>
      <c r="B13" s="51" t="s">
        <v>186</v>
      </c>
      <c r="C13" s="52"/>
      <c r="D13" s="182"/>
      <c r="E13" s="183"/>
      <c r="F13" s="183"/>
      <c r="G13" s="184"/>
      <c r="H13" s="24">
        <f>SUM(I13)-2.5</f>
        <v>24</v>
      </c>
      <c r="I13" s="24">
        <f>SUM(J13)-2.5</f>
        <v>26.5</v>
      </c>
      <c r="J13" s="117">
        <v>29</v>
      </c>
      <c r="K13" s="50">
        <f>SUM(J13)+2.5</f>
        <v>31.5</v>
      </c>
      <c r="L13" s="50">
        <f>SUM(K13)+2.5</f>
        <v>34</v>
      </c>
      <c r="M13" s="50">
        <f>SUM(L13)+2.5</f>
        <v>36.5</v>
      </c>
      <c r="N13" s="136">
        <f>SUM(M13)+2.5</f>
        <v>39</v>
      </c>
    </row>
    <row r="14" spans="1:14" s="1" customFormat="1" ht="14.1" customHeight="1">
      <c r="A14" s="79"/>
      <c r="B14" s="36" t="s">
        <v>187</v>
      </c>
      <c r="C14" s="36"/>
      <c r="D14" s="114"/>
      <c r="E14" s="115"/>
      <c r="F14" s="115"/>
      <c r="G14" s="116"/>
      <c r="H14" s="36"/>
      <c r="I14" s="36"/>
      <c r="J14" s="35"/>
      <c r="K14" s="36"/>
      <c r="L14" s="36"/>
      <c r="M14" s="36"/>
      <c r="N14" s="137"/>
    </row>
    <row r="15" spans="1:14" s="1" customFormat="1" ht="13.5" customHeight="1">
      <c r="A15" s="92">
        <v>7</v>
      </c>
      <c r="B15" s="51" t="s">
        <v>851</v>
      </c>
      <c r="C15" s="52"/>
      <c r="D15" s="182"/>
      <c r="E15" s="183"/>
      <c r="F15" s="183"/>
      <c r="G15" s="184"/>
      <c r="H15" s="24">
        <f>SUM(I15)-4.4</f>
        <v>53.2</v>
      </c>
      <c r="I15" s="24">
        <f>SUM(J15)-4.4</f>
        <v>57.6</v>
      </c>
      <c r="J15" s="117">
        <v>62</v>
      </c>
      <c r="K15" s="50">
        <f>SUM(J15)+4.4</f>
        <v>66.400000000000006</v>
      </c>
      <c r="L15" s="50">
        <f>SUM(K15)+4.4</f>
        <v>70.800000000000011</v>
      </c>
      <c r="M15" s="50">
        <f>SUM(L15)+4.4</f>
        <v>75.200000000000017</v>
      </c>
      <c r="N15" s="136">
        <f>SUM(M15)+4.4</f>
        <v>79.600000000000023</v>
      </c>
    </row>
    <row r="16" spans="1:14" s="1" customFormat="1" ht="14.1" customHeight="1">
      <c r="A16" s="79"/>
      <c r="B16" s="36" t="s">
        <v>852</v>
      </c>
      <c r="C16" s="36"/>
      <c r="D16" s="114" t="s">
        <v>847</v>
      </c>
      <c r="E16" s="115"/>
      <c r="F16" s="115"/>
      <c r="G16" s="116"/>
      <c r="H16" s="36"/>
      <c r="I16" s="36"/>
      <c r="J16" s="35"/>
      <c r="K16" s="36"/>
      <c r="L16" s="36"/>
      <c r="M16" s="36"/>
      <c r="N16" s="137"/>
    </row>
    <row r="17" spans="1:14" ht="14.1" customHeight="1">
      <c r="A17" s="92">
        <v>8</v>
      </c>
      <c r="B17" s="51" t="s">
        <v>848</v>
      </c>
      <c r="C17" s="52"/>
      <c r="D17" s="182"/>
      <c r="E17" s="183"/>
      <c r="F17" s="183"/>
      <c r="G17" s="184"/>
      <c r="H17" s="24">
        <f>SUM(I17)-0.5</f>
        <v>7</v>
      </c>
      <c r="I17" s="24">
        <f>SUM(J17)-0.5</f>
        <v>7.5</v>
      </c>
      <c r="J17" s="117">
        <v>8</v>
      </c>
      <c r="K17" s="50">
        <f>SUM(J17)+0.5</f>
        <v>8.5</v>
      </c>
      <c r="L17" s="50">
        <f>SUM(K17)+0.5</f>
        <v>9</v>
      </c>
      <c r="M17" s="50">
        <f>SUM(L17)+0.5</f>
        <v>9.5</v>
      </c>
      <c r="N17" s="136">
        <f>SUM(M17)+0.5</f>
        <v>10</v>
      </c>
    </row>
    <row r="18" spans="1:14" ht="14.1" customHeight="1">
      <c r="A18" s="79"/>
      <c r="B18" s="36" t="s">
        <v>850</v>
      </c>
      <c r="C18" s="36"/>
      <c r="D18" s="114" t="s">
        <v>849</v>
      </c>
      <c r="E18" s="115"/>
      <c r="F18" s="115"/>
      <c r="G18" s="116"/>
      <c r="H18" s="36"/>
      <c r="I18" s="36"/>
      <c r="J18" s="35"/>
      <c r="K18" s="36"/>
      <c r="L18" s="36"/>
      <c r="M18" s="36"/>
      <c r="N18" s="137"/>
    </row>
    <row r="19" spans="1:14" ht="14.1" customHeight="1">
      <c r="A19" s="92">
        <v>9</v>
      </c>
      <c r="B19" s="51"/>
      <c r="C19" s="52"/>
      <c r="D19" s="59"/>
      <c r="E19" s="60"/>
      <c r="F19" s="60"/>
      <c r="G19" s="61"/>
      <c r="H19" s="58"/>
      <c r="I19" s="24"/>
      <c r="J19" s="33"/>
      <c r="K19" s="24"/>
      <c r="L19" s="24"/>
      <c r="M19" s="58"/>
      <c r="N19" s="139"/>
    </row>
    <row r="20" spans="1:14" ht="14.1" customHeight="1">
      <c r="A20" s="79"/>
      <c r="B20" s="62"/>
      <c r="C20" s="63"/>
      <c r="D20" s="89"/>
      <c r="E20" s="90"/>
      <c r="F20" s="90"/>
      <c r="G20" s="91"/>
      <c r="H20" s="56"/>
      <c r="I20" s="36"/>
      <c r="J20" s="35"/>
      <c r="K20" s="36"/>
      <c r="L20" s="36"/>
      <c r="M20" s="56"/>
      <c r="N20" s="137"/>
    </row>
    <row r="21" spans="1:14" ht="14.1" customHeight="1">
      <c r="A21" s="92">
        <v>10</v>
      </c>
      <c r="B21" s="51"/>
      <c r="C21" s="52"/>
      <c r="D21" s="59"/>
      <c r="E21" s="60"/>
      <c r="F21" s="60"/>
      <c r="G21" s="61"/>
      <c r="H21" s="24"/>
      <c r="I21" s="24"/>
      <c r="J21" s="33"/>
      <c r="K21" s="24"/>
      <c r="L21" s="24"/>
      <c r="M21" s="24"/>
      <c r="N21" s="139"/>
    </row>
    <row r="22" spans="1:14" ht="14.1" customHeight="1">
      <c r="A22" s="79"/>
      <c r="B22" s="62"/>
      <c r="C22" s="63"/>
      <c r="D22" s="89"/>
      <c r="E22" s="90"/>
      <c r="F22" s="90"/>
      <c r="G22" s="91"/>
      <c r="H22" s="36"/>
      <c r="I22" s="36"/>
      <c r="J22" s="35"/>
      <c r="K22" s="36"/>
      <c r="L22" s="36"/>
      <c r="M22" s="36"/>
      <c r="N22" s="137"/>
    </row>
    <row r="23" spans="1:14" ht="14.1" customHeight="1">
      <c r="A23" s="92">
        <v>11</v>
      </c>
      <c r="B23" s="51"/>
      <c r="C23" s="52"/>
      <c r="D23" s="59"/>
      <c r="E23" s="60"/>
      <c r="F23" s="60"/>
      <c r="G23" s="61"/>
      <c r="H23" s="24"/>
      <c r="I23" s="24"/>
      <c r="J23" s="23"/>
      <c r="K23" s="21"/>
      <c r="L23" s="21"/>
      <c r="M23" s="133"/>
      <c r="N23" s="140"/>
    </row>
    <row r="24" spans="1:14" ht="14.1" customHeight="1">
      <c r="A24" s="92"/>
      <c r="B24" s="93"/>
      <c r="C24" s="94"/>
      <c r="D24" s="95"/>
      <c r="E24" s="96"/>
      <c r="F24" s="96"/>
      <c r="G24" s="97"/>
      <c r="H24" s="50"/>
      <c r="I24" s="50"/>
      <c r="J24" s="33"/>
      <c r="K24" s="24"/>
      <c r="L24" s="24"/>
      <c r="M24" s="58"/>
      <c r="N24" s="139"/>
    </row>
    <row r="25" spans="1:14" ht="14.1" customHeight="1">
      <c r="A25" s="98">
        <v>12</v>
      </c>
      <c r="B25" s="51"/>
      <c r="C25" s="52"/>
      <c r="D25" s="59"/>
      <c r="E25" s="60"/>
      <c r="F25" s="60"/>
      <c r="G25" s="61"/>
      <c r="H25" s="24"/>
      <c r="I25" s="24"/>
      <c r="J25" s="33"/>
      <c r="K25" s="24"/>
      <c r="L25" s="24"/>
      <c r="M25" s="24"/>
      <c r="N25" s="139"/>
    </row>
    <row r="26" spans="1:14" ht="14.1" customHeight="1" thickBot="1">
      <c r="A26" s="99"/>
      <c r="B26" s="104"/>
      <c r="C26" s="105"/>
      <c r="D26" s="106"/>
      <c r="E26" s="107"/>
      <c r="F26" s="107"/>
      <c r="G26" s="108"/>
      <c r="H26" s="25"/>
      <c r="I26" s="25"/>
      <c r="J26" s="34"/>
      <c r="K26" s="25"/>
      <c r="L26" s="25"/>
      <c r="M26" s="25"/>
      <c r="N26" s="209"/>
    </row>
    <row r="27" spans="1:14" ht="14.1" customHeight="1"/>
    <row r="28" spans="1:14" ht="14.1" customHeight="1"/>
    <row r="29" spans="1:14" ht="14.1" customHeight="1"/>
    <row r="30" spans="1:14" ht="14.1" customHeight="1"/>
    <row r="31" spans="1:14" ht="14.1" customHeight="1"/>
    <row r="32" spans="1:14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47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D7C1C-0BB7-4F9D-9EAF-B1F66651C13E}">
  <sheetPr>
    <tabColor rgb="FF00B050"/>
    <pageSetUpPr fitToPage="1"/>
  </sheetPr>
  <dimension ref="A1:M57"/>
  <sheetViews>
    <sheetView zoomScale="110" zoomScaleNormal="110" workbookViewId="0">
      <selection activeCell="B9" sqref="B9:C9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612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24">
        <f>SUM(I3)-5</f>
        <v>58.5</v>
      </c>
      <c r="I3" s="24">
        <f>SUM(J3)-5</f>
        <v>63.5</v>
      </c>
      <c r="J3" s="75">
        <v>68.5</v>
      </c>
      <c r="K3" s="76">
        <f>SUM(J3)+5</f>
        <v>73.5</v>
      </c>
      <c r="L3" s="76">
        <f>SUM(K3)+5</f>
        <v>78.5</v>
      </c>
      <c r="M3" s="214">
        <f>SUM(L3)+5</f>
        <v>83.5</v>
      </c>
    </row>
    <row r="4" spans="1:13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24"/>
      <c r="L4" s="24"/>
      <c r="M4" s="88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SUM(I5)-1.6</f>
        <v>22.799999999999997</v>
      </c>
      <c r="I5" s="24">
        <f>SUM(J5)-1.6</f>
        <v>24.4</v>
      </c>
      <c r="J5" s="33">
        <v>26</v>
      </c>
      <c r="K5" s="24">
        <f>SUM(J5)+1.4</f>
        <v>27.4</v>
      </c>
      <c r="L5" s="24">
        <f>SUM(K5)+1.4</f>
        <v>28.799999999999997</v>
      </c>
      <c r="M5" s="88">
        <f>SUM(L5)+1.4</f>
        <v>30.199999999999996</v>
      </c>
    </row>
    <row r="6" spans="1:13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87"/>
    </row>
    <row r="7" spans="1:13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30.5</v>
      </c>
      <c r="I7" s="24">
        <f>SUM(J7)-2.25</f>
        <v>32.75</v>
      </c>
      <c r="J7" s="33">
        <v>35</v>
      </c>
      <c r="K7" s="24">
        <f>SUM(J7)+2</f>
        <v>37</v>
      </c>
      <c r="L7" s="24">
        <f>SUM(K7)+2</f>
        <v>39</v>
      </c>
      <c r="M7" s="88">
        <f>SUM(L7)+2</f>
        <v>41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87"/>
    </row>
    <row r="9" spans="1:13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SUM(I9)-4.3</f>
        <v>59.800000000000011</v>
      </c>
      <c r="I9" s="24">
        <f>SUM(J9)-4.3</f>
        <v>64.100000000000009</v>
      </c>
      <c r="J9" s="33">
        <v>68.400000000000006</v>
      </c>
      <c r="K9" s="24">
        <f>SUM(J9)+3.4</f>
        <v>71.800000000000011</v>
      </c>
      <c r="L9" s="24">
        <f>SUM(K9)+3.4</f>
        <v>75.200000000000017</v>
      </c>
      <c r="M9" s="88">
        <f>SUM(L9)+3.5</f>
        <v>78.700000000000017</v>
      </c>
    </row>
    <row r="10" spans="1:13" s="1" customFormat="1" ht="14.1" customHeight="1">
      <c r="A10" s="38"/>
      <c r="B10" s="56" t="s">
        <v>590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87"/>
    </row>
    <row r="11" spans="1:13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SUM(I11)-0.9</f>
        <v>13.7</v>
      </c>
      <c r="I11" s="24">
        <f>SUM(J11)-0.9</f>
        <v>14.6</v>
      </c>
      <c r="J11" s="23">
        <v>15.5</v>
      </c>
      <c r="K11" s="21">
        <f>SUM(J11)+0.9</f>
        <v>16.399999999999999</v>
      </c>
      <c r="L11" s="21">
        <f>SUM(K11)+0.9</f>
        <v>17.299999999999997</v>
      </c>
      <c r="M11" s="215">
        <f>SUM(L11)+0.9</f>
        <v>18.199999999999996</v>
      </c>
    </row>
    <row r="12" spans="1:13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15"/>
    </row>
    <row r="13" spans="1:13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12.600000000000001</v>
      </c>
      <c r="I13" s="24">
        <f>SUM(J13)-0.6</f>
        <v>13.200000000000001</v>
      </c>
      <c r="J13" s="23">
        <v>13.8</v>
      </c>
      <c r="K13" s="21">
        <f>SUM(J13)+0.6</f>
        <v>14.4</v>
      </c>
      <c r="L13" s="21">
        <f>SUM(K13)+0.6</f>
        <v>15</v>
      </c>
      <c r="M13" s="215">
        <f>SUM(L13)+0.6</f>
        <v>15.6</v>
      </c>
    </row>
    <row r="14" spans="1:13" s="1" customFormat="1" ht="14.1" customHeight="1">
      <c r="A14" s="38"/>
      <c r="B14" s="56" t="s">
        <v>29</v>
      </c>
      <c r="C14" s="56"/>
      <c r="D14" s="47" t="s">
        <v>255</v>
      </c>
      <c r="E14" s="48"/>
      <c r="F14" s="48"/>
      <c r="G14" s="49"/>
      <c r="H14" s="36"/>
      <c r="I14" s="36"/>
      <c r="J14" s="23"/>
      <c r="K14" s="21"/>
      <c r="L14" s="21"/>
      <c r="M14" s="215"/>
    </row>
    <row r="15" spans="1:13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5.4</v>
      </c>
      <c r="I15" s="24">
        <f>SUM(J15)-0.3</f>
        <v>5.7</v>
      </c>
      <c r="J15" s="23">
        <v>6</v>
      </c>
      <c r="K15" s="21">
        <f>SUM(J15)+0.3</f>
        <v>6.3</v>
      </c>
      <c r="L15" s="21">
        <f>SUM(K15)+0.3</f>
        <v>6.6</v>
      </c>
      <c r="M15" s="215">
        <f>SUM(L15)+0.3</f>
        <v>6.8999999999999995</v>
      </c>
    </row>
    <row r="16" spans="1:13" s="1" customFormat="1" ht="14.1" customHeight="1">
      <c r="A16" s="38"/>
      <c r="B16" s="56" t="s">
        <v>30</v>
      </c>
      <c r="C16" s="56"/>
      <c r="D16" s="47" t="s">
        <v>379</v>
      </c>
      <c r="E16" s="48"/>
      <c r="F16" s="48"/>
      <c r="G16" s="49"/>
      <c r="H16" s="36"/>
      <c r="I16" s="36"/>
      <c r="J16" s="23"/>
      <c r="K16" s="21"/>
      <c r="L16" s="21"/>
      <c r="M16" s="215"/>
    </row>
    <row r="17" spans="1:13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32.299999999999997</v>
      </c>
      <c r="I17" s="24">
        <f>SUM(J17)-1.6</f>
        <v>33.9</v>
      </c>
      <c r="J17" s="23">
        <v>35.5</v>
      </c>
      <c r="K17" s="21">
        <f>SUM(J17)+1.6</f>
        <v>37.1</v>
      </c>
      <c r="L17" s="21">
        <f>SUM(K17)+1.6</f>
        <v>38.700000000000003</v>
      </c>
      <c r="M17" s="215">
        <f>SUM(L17)+1.6</f>
        <v>40.300000000000004</v>
      </c>
    </row>
    <row r="18" spans="1:13" s="1" customFormat="1" ht="14.1" customHeight="1">
      <c r="A18" s="38"/>
      <c r="B18" s="56" t="s">
        <v>37</v>
      </c>
      <c r="C18" s="56"/>
      <c r="D18" s="47" t="s">
        <v>107</v>
      </c>
      <c r="E18" s="48"/>
      <c r="F18" s="48"/>
      <c r="G18" s="49"/>
      <c r="H18" s="36"/>
      <c r="I18" s="36"/>
      <c r="J18" s="23"/>
      <c r="K18" s="21"/>
      <c r="L18" s="21"/>
      <c r="M18" s="215"/>
    </row>
    <row r="19" spans="1:13" s="1" customFormat="1" ht="14.1" customHeight="1">
      <c r="A19" s="38">
        <v>9</v>
      </c>
      <c r="B19" s="58" t="s">
        <v>4</v>
      </c>
      <c r="C19" s="58"/>
      <c r="D19" s="57" t="s">
        <v>5</v>
      </c>
      <c r="E19" s="57"/>
      <c r="F19" s="57"/>
      <c r="G19" s="57"/>
      <c r="H19" s="24">
        <f>SUM(I19)-3.7</f>
        <v>32.599999999999994</v>
      </c>
      <c r="I19" s="24">
        <f>SUM(J19)-3.7</f>
        <v>36.299999999999997</v>
      </c>
      <c r="J19" s="23">
        <v>40</v>
      </c>
      <c r="K19" s="21">
        <f>SUM(J19)+3.8</f>
        <v>43.8</v>
      </c>
      <c r="L19" s="21">
        <f>SUM(K19)+3.8</f>
        <v>47.599999999999994</v>
      </c>
      <c r="M19" s="215">
        <f>SUM(L19)+3.8</f>
        <v>51.399999999999991</v>
      </c>
    </row>
    <row r="20" spans="1:13" s="1" customFormat="1" ht="14.1" customHeight="1">
      <c r="A20" s="38"/>
      <c r="B20" s="56" t="s">
        <v>31</v>
      </c>
      <c r="C20" s="56"/>
      <c r="D20" s="47" t="s">
        <v>54</v>
      </c>
      <c r="E20" s="48"/>
      <c r="F20" s="48"/>
      <c r="G20" s="49"/>
      <c r="H20" s="36"/>
      <c r="I20" s="36"/>
      <c r="J20" s="23"/>
      <c r="K20" s="21"/>
      <c r="L20" s="21"/>
      <c r="M20" s="215"/>
    </row>
    <row r="21" spans="1:13" s="1" customFormat="1" ht="14.1" customHeight="1">
      <c r="A21" s="38">
        <v>10</v>
      </c>
      <c r="B21" s="58" t="s">
        <v>6</v>
      </c>
      <c r="C21" s="58"/>
      <c r="D21" s="59" t="s">
        <v>7</v>
      </c>
      <c r="E21" s="60"/>
      <c r="F21" s="60"/>
      <c r="G21" s="61"/>
      <c r="H21" s="24">
        <f>SUM(I21)-1.4</f>
        <v>20.200000000000003</v>
      </c>
      <c r="I21" s="24">
        <f>SUM(J21)-1.4</f>
        <v>21.6</v>
      </c>
      <c r="J21" s="23">
        <v>23</v>
      </c>
      <c r="K21" s="21">
        <f>SUM(J21)+1.4</f>
        <v>24.4</v>
      </c>
      <c r="L21" s="21">
        <f>SUM(K21)+1.4</f>
        <v>25.799999999999997</v>
      </c>
      <c r="M21" s="215">
        <f>SUM(L21)+1.4</f>
        <v>27.199999999999996</v>
      </c>
    </row>
    <row r="22" spans="1:13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9"/>
      <c r="H22" s="36"/>
      <c r="I22" s="36"/>
      <c r="J22" s="23"/>
      <c r="K22" s="21"/>
      <c r="L22" s="21"/>
      <c r="M22" s="215"/>
    </row>
    <row r="23" spans="1:13" s="1" customFormat="1" ht="14.1" customHeight="1">
      <c r="A23" s="38">
        <v>11</v>
      </c>
      <c r="B23" s="51" t="s">
        <v>77</v>
      </c>
      <c r="C23" s="52"/>
      <c r="D23" s="57" t="s">
        <v>78</v>
      </c>
      <c r="E23" s="57"/>
      <c r="F23" s="57"/>
      <c r="G23" s="57"/>
      <c r="H23" s="24">
        <f>SUM(I23)-0.6</f>
        <v>14</v>
      </c>
      <c r="I23" s="24">
        <f>SUM(J23)-0.6</f>
        <v>14.6</v>
      </c>
      <c r="J23" s="23">
        <v>15.2</v>
      </c>
      <c r="K23" s="21">
        <f>SUM(J23)+0.6</f>
        <v>15.799999999999999</v>
      </c>
      <c r="L23" s="21">
        <f>SUM(K23)+0.6</f>
        <v>16.399999999999999</v>
      </c>
      <c r="M23" s="215">
        <f>SUM(L23)+0.6</f>
        <v>17</v>
      </c>
    </row>
    <row r="24" spans="1:13" s="1" customFormat="1" ht="14.1" customHeight="1">
      <c r="A24" s="38"/>
      <c r="B24" s="56" t="s">
        <v>33</v>
      </c>
      <c r="C24" s="56"/>
      <c r="D24" s="47" t="s">
        <v>79</v>
      </c>
      <c r="E24" s="48"/>
      <c r="F24" s="48"/>
      <c r="G24" s="49"/>
      <c r="H24" s="36"/>
      <c r="I24" s="36"/>
      <c r="J24" s="23"/>
      <c r="K24" s="21"/>
      <c r="L24" s="21"/>
      <c r="M24" s="215"/>
    </row>
    <row r="25" spans="1:13" s="1" customFormat="1" ht="14.1" customHeight="1">
      <c r="A25" s="38">
        <v>12</v>
      </c>
      <c r="B25" s="51" t="s">
        <v>613</v>
      </c>
      <c r="C25" s="52"/>
      <c r="D25" s="57"/>
      <c r="E25" s="57"/>
      <c r="F25" s="57"/>
      <c r="G25" s="57"/>
      <c r="H25" s="24">
        <f>SUM(I25)-2.8</f>
        <v>23.9</v>
      </c>
      <c r="I25" s="24">
        <f>SUM(J25)-2.8</f>
        <v>26.7</v>
      </c>
      <c r="J25" s="23">
        <v>29.5</v>
      </c>
      <c r="K25" s="21">
        <f>SUM(J25)+2.9</f>
        <v>32.4</v>
      </c>
      <c r="L25" s="21">
        <f>SUM(K25)+2.9</f>
        <v>35.299999999999997</v>
      </c>
      <c r="M25" s="215">
        <f>SUM(L25)+2.9</f>
        <v>38.199999999999996</v>
      </c>
    </row>
    <row r="26" spans="1:13" s="1" customFormat="1" ht="14.1" customHeight="1">
      <c r="A26" s="38"/>
      <c r="B26" s="56" t="s">
        <v>614</v>
      </c>
      <c r="C26" s="56"/>
      <c r="D26" s="47"/>
      <c r="E26" s="48"/>
      <c r="F26" s="48"/>
      <c r="G26" s="49"/>
      <c r="H26" s="36"/>
      <c r="I26" s="36"/>
      <c r="J26" s="23"/>
      <c r="K26" s="21"/>
      <c r="L26" s="21"/>
      <c r="M26" s="215"/>
    </row>
    <row r="27" spans="1:13" s="1" customFormat="1" ht="14.1" customHeight="1">
      <c r="A27" s="38">
        <v>13</v>
      </c>
      <c r="B27" s="51" t="s">
        <v>619</v>
      </c>
      <c r="C27" s="52"/>
      <c r="D27" s="57"/>
      <c r="E27" s="57"/>
      <c r="F27" s="57"/>
      <c r="G27" s="57"/>
      <c r="H27" s="24">
        <f>SUM(I27)-1</f>
        <v>20</v>
      </c>
      <c r="I27" s="24">
        <f>SUM(J27)-1</f>
        <v>21</v>
      </c>
      <c r="J27" s="23">
        <v>22</v>
      </c>
      <c r="K27" s="21">
        <f>SUM(J27)+1</f>
        <v>23</v>
      </c>
      <c r="L27" s="21">
        <f>SUM(K27)+1</f>
        <v>24</v>
      </c>
      <c r="M27" s="215">
        <f>SUM(L27)+1</f>
        <v>25</v>
      </c>
    </row>
    <row r="28" spans="1:13" s="1" customFormat="1" ht="14.1" customHeight="1">
      <c r="A28" s="38"/>
      <c r="B28" s="56" t="s">
        <v>620</v>
      </c>
      <c r="C28" s="56"/>
      <c r="D28" s="47"/>
      <c r="E28" s="48"/>
      <c r="F28" s="48"/>
      <c r="G28" s="49"/>
      <c r="H28" s="36"/>
      <c r="I28" s="36"/>
      <c r="J28" s="23"/>
      <c r="K28" s="21"/>
      <c r="L28" s="21"/>
      <c r="M28" s="215"/>
    </row>
    <row r="29" spans="1:13" s="1" customFormat="1" ht="14.1" customHeight="1">
      <c r="A29" s="38">
        <v>14</v>
      </c>
      <c r="B29" s="40" t="s">
        <v>540</v>
      </c>
      <c r="C29" s="41"/>
      <c r="D29" s="42"/>
      <c r="E29" s="43"/>
      <c r="F29" s="43"/>
      <c r="G29" s="44"/>
      <c r="H29" s="50">
        <f>SUM(I29)-1.5</f>
        <v>17.5</v>
      </c>
      <c r="I29" s="50">
        <f>SUM(J29)-1.5</f>
        <v>19</v>
      </c>
      <c r="J29" s="35">
        <v>20.5</v>
      </c>
      <c r="K29" s="36">
        <f>SUM(J29)+1.5</f>
        <v>22</v>
      </c>
      <c r="L29" s="36">
        <f>SUM(K29)+1.5</f>
        <v>23.5</v>
      </c>
      <c r="M29" s="87">
        <f>SUM(L29)+1.5</f>
        <v>25</v>
      </c>
    </row>
    <row r="30" spans="1:13" s="1" customFormat="1" ht="14.1" customHeight="1">
      <c r="A30" s="38"/>
      <c r="B30" s="45" t="s">
        <v>541</v>
      </c>
      <c r="C30" s="46"/>
      <c r="D30" s="47"/>
      <c r="E30" s="48"/>
      <c r="F30" s="48"/>
      <c r="G30" s="49"/>
      <c r="H30" s="36"/>
      <c r="I30" s="36"/>
      <c r="J30" s="23"/>
      <c r="K30" s="21"/>
      <c r="L30" s="21"/>
      <c r="M30" s="215"/>
    </row>
    <row r="31" spans="1:13" s="1" customFormat="1" ht="14.1" customHeight="1">
      <c r="A31" s="38">
        <v>15</v>
      </c>
      <c r="B31" s="51" t="s">
        <v>615</v>
      </c>
      <c r="C31" s="52"/>
      <c r="D31" s="53"/>
      <c r="E31" s="54"/>
      <c r="F31" s="54"/>
      <c r="G31" s="55"/>
      <c r="H31" s="24">
        <f>SUM(I31)-0.4</f>
        <v>4.3999999999999995</v>
      </c>
      <c r="I31" s="24">
        <f>SUM(J31)-0.4</f>
        <v>4.8</v>
      </c>
      <c r="J31" s="23">
        <v>5.2</v>
      </c>
      <c r="K31" s="21">
        <f>SUM(J31)+0.4</f>
        <v>5.6000000000000005</v>
      </c>
      <c r="L31" s="21">
        <f>SUM(K31)+0.4</f>
        <v>6.0000000000000009</v>
      </c>
      <c r="M31" s="215">
        <f>SUM(L31)+0.4</f>
        <v>6.4000000000000012</v>
      </c>
    </row>
    <row r="32" spans="1:13" s="1" customFormat="1" ht="14.1" customHeight="1">
      <c r="A32" s="38"/>
      <c r="B32" s="45" t="s">
        <v>616</v>
      </c>
      <c r="C32" s="46"/>
      <c r="D32" s="47" t="s">
        <v>458</v>
      </c>
      <c r="E32" s="48"/>
      <c r="F32" s="48"/>
      <c r="G32" s="49"/>
      <c r="H32" s="36"/>
      <c r="I32" s="36"/>
      <c r="J32" s="23"/>
      <c r="K32" s="21"/>
      <c r="L32" s="21"/>
      <c r="M32" s="215"/>
    </row>
    <row r="33" spans="1:13" s="1" customFormat="1" ht="14.1" customHeight="1">
      <c r="A33" s="38">
        <v>16</v>
      </c>
      <c r="B33" s="51" t="s">
        <v>617</v>
      </c>
      <c r="C33" s="52"/>
      <c r="D33" s="53"/>
      <c r="E33" s="54"/>
      <c r="F33" s="54"/>
      <c r="G33" s="55"/>
      <c r="H33" s="24">
        <f>SUM(I33)-0.5</f>
        <v>6.7</v>
      </c>
      <c r="I33" s="24">
        <f>SUM(J33)-0.5</f>
        <v>7.2</v>
      </c>
      <c r="J33" s="23">
        <v>7.7</v>
      </c>
      <c r="K33" s="21">
        <f>SUM(J33)+0.5</f>
        <v>8.1999999999999993</v>
      </c>
      <c r="L33" s="21">
        <f>SUM(K33)+0.5</f>
        <v>8.6999999999999993</v>
      </c>
      <c r="M33" s="215">
        <f>SUM(L33)+0.5</f>
        <v>9.1999999999999993</v>
      </c>
    </row>
    <row r="34" spans="1:13" s="1" customFormat="1" ht="14.1" customHeight="1">
      <c r="A34" s="38"/>
      <c r="B34" s="45" t="s">
        <v>618</v>
      </c>
      <c r="C34" s="46"/>
      <c r="D34" s="47" t="s">
        <v>461</v>
      </c>
      <c r="E34" s="48"/>
      <c r="F34" s="48"/>
      <c r="G34" s="49"/>
      <c r="H34" s="36"/>
      <c r="I34" s="36"/>
      <c r="J34" s="23"/>
      <c r="K34" s="21"/>
      <c r="L34" s="21"/>
      <c r="M34" s="215"/>
    </row>
    <row r="35" spans="1:13" s="1" customFormat="1" ht="14.1" customHeight="1">
      <c r="A35" s="38">
        <v>17</v>
      </c>
      <c r="B35" s="51" t="s">
        <v>556</v>
      </c>
      <c r="C35" s="52"/>
      <c r="D35" s="53"/>
      <c r="E35" s="54"/>
      <c r="F35" s="54"/>
      <c r="G35" s="55"/>
      <c r="H35" s="24">
        <f>SUM(I35)-2.4</f>
        <v>27.200000000000003</v>
      </c>
      <c r="I35" s="24">
        <f>SUM(J35)-2.4</f>
        <v>29.6</v>
      </c>
      <c r="J35" s="23">
        <v>32</v>
      </c>
      <c r="K35" s="21">
        <f>SUM(J35)+2.4</f>
        <v>34.4</v>
      </c>
      <c r="L35" s="21">
        <f>SUM(K35)+2.4</f>
        <v>36.799999999999997</v>
      </c>
      <c r="M35" s="215">
        <f>SUM(L35)+2.4</f>
        <v>39.199999999999996</v>
      </c>
    </row>
    <row r="36" spans="1:13" s="1" customFormat="1" ht="14.1" customHeight="1">
      <c r="A36" s="38"/>
      <c r="B36" s="45" t="s">
        <v>171</v>
      </c>
      <c r="C36" s="46"/>
      <c r="D36" s="47"/>
      <c r="E36" s="48"/>
      <c r="F36" s="48"/>
      <c r="G36" s="49"/>
      <c r="H36" s="36"/>
      <c r="I36" s="36"/>
      <c r="J36" s="23"/>
      <c r="K36" s="21"/>
      <c r="L36" s="21"/>
      <c r="M36" s="215"/>
    </row>
    <row r="37" spans="1:13" s="1" customFormat="1" ht="14.1" customHeight="1">
      <c r="A37" s="38">
        <v>18</v>
      </c>
      <c r="B37" s="164"/>
      <c r="C37" s="165"/>
      <c r="D37" s="42"/>
      <c r="E37" s="43"/>
      <c r="F37" s="43"/>
      <c r="G37" s="44"/>
      <c r="H37" s="50"/>
      <c r="I37" s="50"/>
      <c r="J37" s="35"/>
      <c r="K37" s="36"/>
      <c r="L37" s="36"/>
      <c r="M37" s="87"/>
    </row>
    <row r="38" spans="1:13" s="1" customFormat="1" ht="14.1" customHeight="1" thickBot="1">
      <c r="A38" s="39"/>
      <c r="B38" s="28"/>
      <c r="C38" s="29"/>
      <c r="D38" s="30"/>
      <c r="E38" s="31"/>
      <c r="F38" s="31"/>
      <c r="G38" s="32"/>
      <c r="H38" s="25"/>
      <c r="I38" s="25"/>
      <c r="J38" s="218"/>
      <c r="K38" s="216"/>
      <c r="L38" s="216"/>
      <c r="M38" s="217"/>
    </row>
    <row r="39" spans="1:13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201"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J25:J26"/>
    <mergeCell ref="K25:K26"/>
    <mergeCell ref="L25:L26"/>
    <mergeCell ref="M25:M26"/>
    <mergeCell ref="B26:C26"/>
    <mergeCell ref="D26:G26"/>
    <mergeCell ref="K37:K38"/>
    <mergeCell ref="L37:L38"/>
    <mergeCell ref="M37:M38"/>
    <mergeCell ref="B38:C38"/>
    <mergeCell ref="D38:G38"/>
    <mergeCell ref="J37:J38"/>
    <mergeCell ref="J35:J36"/>
    <mergeCell ref="K35:K36"/>
    <mergeCell ref="L35:L36"/>
    <mergeCell ref="M35:M36"/>
    <mergeCell ref="K33:K34"/>
    <mergeCell ref="L33:L34"/>
    <mergeCell ref="M33:M34"/>
    <mergeCell ref="J33:J34"/>
    <mergeCell ref="J31:J32"/>
    <mergeCell ref="K31:K32"/>
    <mergeCell ref="L31:L32"/>
    <mergeCell ref="M31:M32"/>
    <mergeCell ref="A25:A26"/>
    <mergeCell ref="B25:C25"/>
    <mergeCell ref="D25:G25"/>
    <mergeCell ref="H25:H26"/>
    <mergeCell ref="I25:I26"/>
    <mergeCell ref="A37:A38"/>
    <mergeCell ref="B37:C37"/>
    <mergeCell ref="D37:G37"/>
    <mergeCell ref="H37:H38"/>
    <mergeCell ref="I37:I38"/>
    <mergeCell ref="B36:C36"/>
    <mergeCell ref="D36:G36"/>
    <mergeCell ref="B34:C34"/>
    <mergeCell ref="D34:G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B32:C32"/>
    <mergeCell ref="D32:G32"/>
    <mergeCell ref="K29:K30"/>
    <mergeCell ref="L29:L30"/>
    <mergeCell ref="M29:M30"/>
    <mergeCell ref="B30:C30"/>
    <mergeCell ref="D30:G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9:J30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7A6EB-4052-445F-986B-ED5E9E894E2B}">
  <sheetPr>
    <tabColor rgb="FF00B050"/>
    <pageSetUpPr fitToPage="1"/>
  </sheetPr>
  <dimension ref="A1:M57"/>
  <sheetViews>
    <sheetView zoomScale="110" zoomScaleNormal="110" workbookViewId="0">
      <selection activeCell="B29" sqref="B29:G3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612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24">
        <f>SUM(I3)-5</f>
        <v>59</v>
      </c>
      <c r="I3" s="24">
        <f>SUM(J3)-5</f>
        <v>64</v>
      </c>
      <c r="J3" s="75">
        <v>69</v>
      </c>
      <c r="K3" s="76">
        <f>SUM(J3)+5</f>
        <v>74</v>
      </c>
      <c r="L3" s="76">
        <f>SUM(K3)+5</f>
        <v>79</v>
      </c>
      <c r="M3" s="214">
        <f>SUM(L3)+5</f>
        <v>84</v>
      </c>
    </row>
    <row r="4" spans="1:13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24"/>
      <c r="L4" s="24"/>
      <c r="M4" s="88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SUM(I5)-1.6</f>
        <v>22.799999999999997</v>
      </c>
      <c r="I5" s="24">
        <f>SUM(J5)-1.6</f>
        <v>24.4</v>
      </c>
      <c r="J5" s="33">
        <v>26</v>
      </c>
      <c r="K5" s="24">
        <f>SUM(J5)+1.4</f>
        <v>27.4</v>
      </c>
      <c r="L5" s="24">
        <f>SUM(K5)+1.4</f>
        <v>28.799999999999997</v>
      </c>
      <c r="M5" s="88">
        <f>SUM(L5)+1.4</f>
        <v>30.199999999999996</v>
      </c>
    </row>
    <row r="6" spans="1:13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87"/>
    </row>
    <row r="7" spans="1:13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30.5</v>
      </c>
      <c r="I7" s="24">
        <f>SUM(J7)-2.25</f>
        <v>32.75</v>
      </c>
      <c r="J7" s="33">
        <v>35</v>
      </c>
      <c r="K7" s="24">
        <f>SUM(J7)+2</f>
        <v>37</v>
      </c>
      <c r="L7" s="24">
        <f>SUM(K7)+2</f>
        <v>39</v>
      </c>
      <c r="M7" s="88">
        <f>SUM(L7)+2</f>
        <v>41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87"/>
    </row>
    <row r="9" spans="1:13" s="1" customFormat="1" ht="14.1" customHeight="1">
      <c r="A9" s="38">
        <v>4</v>
      </c>
      <c r="B9" s="58" t="s">
        <v>631</v>
      </c>
      <c r="C9" s="58"/>
      <c r="D9" s="57"/>
      <c r="E9" s="57"/>
      <c r="F9" s="57"/>
      <c r="G9" s="57"/>
      <c r="H9" s="24">
        <f>SUM(I9)-1.4</f>
        <v>16.400000000000002</v>
      </c>
      <c r="I9" s="24">
        <f>SUM(J9)-1.4</f>
        <v>17.8</v>
      </c>
      <c r="J9" s="33">
        <v>19.2</v>
      </c>
      <c r="K9" s="24">
        <f>SUM(J9)+1.4</f>
        <v>20.599999999999998</v>
      </c>
      <c r="L9" s="24">
        <f>SUM(K9)+1.4</f>
        <v>21.999999999999996</v>
      </c>
      <c r="M9" s="88">
        <f>SUM(L9)+1.4</f>
        <v>23.399999999999995</v>
      </c>
    </row>
    <row r="10" spans="1:13" s="1" customFormat="1" ht="14.1" customHeight="1">
      <c r="A10" s="38"/>
      <c r="B10" s="56" t="s">
        <v>739</v>
      </c>
      <c r="C10" s="56"/>
      <c r="D10" s="47" t="s">
        <v>740</v>
      </c>
      <c r="E10" s="48"/>
      <c r="F10" s="48"/>
      <c r="G10" s="49"/>
      <c r="H10" s="36"/>
      <c r="I10" s="36"/>
      <c r="J10" s="35"/>
      <c r="K10" s="36"/>
      <c r="L10" s="36"/>
      <c r="M10" s="87"/>
    </row>
    <row r="11" spans="1:13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SUM(I11)-0.9</f>
        <v>13.7</v>
      </c>
      <c r="I11" s="24">
        <f>SUM(J11)-0.9</f>
        <v>14.6</v>
      </c>
      <c r="J11" s="23">
        <v>15.5</v>
      </c>
      <c r="K11" s="21">
        <f>SUM(J11)+0.9</f>
        <v>16.399999999999999</v>
      </c>
      <c r="L11" s="21">
        <f>SUM(K11)+0.9</f>
        <v>17.299999999999997</v>
      </c>
      <c r="M11" s="215">
        <f>SUM(L11)+0.9</f>
        <v>18.199999999999996</v>
      </c>
    </row>
    <row r="12" spans="1:13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15"/>
    </row>
    <row r="13" spans="1:13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12.5</v>
      </c>
      <c r="I13" s="24">
        <f>SUM(J13)-0.6</f>
        <v>13.1</v>
      </c>
      <c r="J13" s="23">
        <v>13.7</v>
      </c>
      <c r="K13" s="21">
        <f>SUM(J13)+0.6</f>
        <v>14.299999999999999</v>
      </c>
      <c r="L13" s="21">
        <f>SUM(K13)+0.6</f>
        <v>14.899999999999999</v>
      </c>
      <c r="M13" s="215">
        <f>SUM(L13)+0.6</f>
        <v>15.499999999999998</v>
      </c>
    </row>
    <row r="14" spans="1:13" s="1" customFormat="1" ht="14.1" customHeight="1">
      <c r="A14" s="38"/>
      <c r="B14" s="56" t="s">
        <v>29</v>
      </c>
      <c r="C14" s="56"/>
      <c r="D14" s="47" t="s">
        <v>255</v>
      </c>
      <c r="E14" s="48"/>
      <c r="F14" s="48"/>
      <c r="G14" s="49"/>
      <c r="H14" s="36"/>
      <c r="I14" s="36"/>
      <c r="J14" s="23"/>
      <c r="K14" s="21"/>
      <c r="L14" s="21"/>
      <c r="M14" s="215"/>
    </row>
    <row r="15" spans="1:13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5.4</v>
      </c>
      <c r="I15" s="24">
        <f>SUM(J15)-0.3</f>
        <v>5.7</v>
      </c>
      <c r="J15" s="23">
        <v>6</v>
      </c>
      <c r="K15" s="21">
        <f>SUM(J15)+0.3</f>
        <v>6.3</v>
      </c>
      <c r="L15" s="21">
        <f>SUM(K15)+0.3</f>
        <v>6.6</v>
      </c>
      <c r="M15" s="215">
        <f>SUM(L15)+0.3</f>
        <v>6.8999999999999995</v>
      </c>
    </row>
    <row r="16" spans="1:13" s="1" customFormat="1" ht="14.1" customHeight="1">
      <c r="A16" s="38"/>
      <c r="B16" s="56" t="s">
        <v>30</v>
      </c>
      <c r="C16" s="56"/>
      <c r="D16" s="47" t="s">
        <v>379</v>
      </c>
      <c r="E16" s="48"/>
      <c r="F16" s="48"/>
      <c r="G16" s="49"/>
      <c r="H16" s="36"/>
      <c r="I16" s="36"/>
      <c r="J16" s="23"/>
      <c r="K16" s="21"/>
      <c r="L16" s="21"/>
      <c r="M16" s="215"/>
    </row>
    <row r="17" spans="1:13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32</v>
      </c>
      <c r="I17" s="24">
        <f>SUM(J17)-1.6</f>
        <v>33.6</v>
      </c>
      <c r="J17" s="23">
        <v>35.200000000000003</v>
      </c>
      <c r="K17" s="21">
        <f>SUM(J17)+1.6</f>
        <v>36.800000000000004</v>
      </c>
      <c r="L17" s="21">
        <f>SUM(K17)+1.6</f>
        <v>38.400000000000006</v>
      </c>
      <c r="M17" s="215">
        <f>SUM(L17)+1.6</f>
        <v>40.000000000000007</v>
      </c>
    </row>
    <row r="18" spans="1:13" s="1" customFormat="1" ht="14.1" customHeight="1">
      <c r="A18" s="38"/>
      <c r="B18" s="56" t="s">
        <v>37</v>
      </c>
      <c r="C18" s="56"/>
      <c r="D18" s="47" t="s">
        <v>107</v>
      </c>
      <c r="E18" s="48"/>
      <c r="F18" s="48"/>
      <c r="G18" s="49"/>
      <c r="H18" s="36"/>
      <c r="I18" s="36"/>
      <c r="J18" s="23"/>
      <c r="K18" s="21"/>
      <c r="L18" s="21"/>
      <c r="M18" s="215"/>
    </row>
    <row r="19" spans="1:13" s="1" customFormat="1" ht="14.1" customHeight="1">
      <c r="A19" s="38">
        <v>9</v>
      </c>
      <c r="B19" s="58" t="s">
        <v>240</v>
      </c>
      <c r="C19" s="58"/>
      <c r="D19" s="57" t="s">
        <v>5</v>
      </c>
      <c r="E19" s="57"/>
      <c r="F19" s="57"/>
      <c r="G19" s="57"/>
      <c r="H19" s="24">
        <f>SUM(I19)-3.7</f>
        <v>33.099999999999994</v>
      </c>
      <c r="I19" s="24">
        <f>SUM(J19)-3.7</f>
        <v>36.799999999999997</v>
      </c>
      <c r="J19" s="23">
        <v>40.5</v>
      </c>
      <c r="K19" s="21">
        <f>SUM(J19)+3.8</f>
        <v>44.3</v>
      </c>
      <c r="L19" s="21">
        <f>SUM(K19)+3.8</f>
        <v>48.099999999999994</v>
      </c>
      <c r="M19" s="215">
        <f>SUM(L19)+3.8</f>
        <v>51.899999999999991</v>
      </c>
    </row>
    <row r="20" spans="1:13" s="1" customFormat="1" ht="14.1" customHeight="1">
      <c r="A20" s="38"/>
      <c r="B20" s="56" t="s">
        <v>500</v>
      </c>
      <c r="C20" s="56"/>
      <c r="D20" s="47" t="s">
        <v>54</v>
      </c>
      <c r="E20" s="48"/>
      <c r="F20" s="48"/>
      <c r="G20" s="49"/>
      <c r="H20" s="36"/>
      <c r="I20" s="36"/>
      <c r="J20" s="23"/>
      <c r="K20" s="21"/>
      <c r="L20" s="21"/>
      <c r="M20" s="215"/>
    </row>
    <row r="21" spans="1:13" s="1" customFormat="1" ht="14.1" customHeight="1">
      <c r="A21" s="38">
        <v>10</v>
      </c>
      <c r="B21" s="58" t="s">
        <v>6</v>
      </c>
      <c r="C21" s="58"/>
      <c r="D21" s="59" t="s">
        <v>7</v>
      </c>
      <c r="E21" s="60"/>
      <c r="F21" s="60"/>
      <c r="G21" s="61"/>
      <c r="H21" s="24">
        <f>SUM(I21)-1.3</f>
        <v>20.399999999999999</v>
      </c>
      <c r="I21" s="24">
        <f>SUM(J21)-1.3</f>
        <v>21.7</v>
      </c>
      <c r="J21" s="23">
        <v>23</v>
      </c>
      <c r="K21" s="21">
        <f>SUM(J21)+1.3</f>
        <v>24.3</v>
      </c>
      <c r="L21" s="21">
        <f>SUM(K21)+1.3</f>
        <v>25.6</v>
      </c>
      <c r="M21" s="215">
        <f>SUM(L21)+1.3</f>
        <v>26.900000000000002</v>
      </c>
    </row>
    <row r="22" spans="1:13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9"/>
      <c r="H22" s="36"/>
      <c r="I22" s="36"/>
      <c r="J22" s="23"/>
      <c r="K22" s="21"/>
      <c r="L22" s="21"/>
      <c r="M22" s="215"/>
    </row>
    <row r="23" spans="1:13" s="1" customFormat="1" ht="14.1" customHeight="1">
      <c r="A23" s="38">
        <v>11</v>
      </c>
      <c r="B23" s="51" t="s">
        <v>77</v>
      </c>
      <c r="C23" s="52"/>
      <c r="D23" s="57" t="s">
        <v>78</v>
      </c>
      <c r="E23" s="57"/>
      <c r="F23" s="57"/>
      <c r="G23" s="57"/>
      <c r="H23" s="24">
        <f>SUM(I23)-0.6</f>
        <v>14</v>
      </c>
      <c r="I23" s="24">
        <f>SUM(J23)-0.6</f>
        <v>14.6</v>
      </c>
      <c r="J23" s="23">
        <v>15.2</v>
      </c>
      <c r="K23" s="21">
        <f>SUM(J23)+0.6</f>
        <v>15.799999999999999</v>
      </c>
      <c r="L23" s="21">
        <f>SUM(K23)+0.6</f>
        <v>16.399999999999999</v>
      </c>
      <c r="M23" s="215">
        <f>SUM(L23)+0.6</f>
        <v>17</v>
      </c>
    </row>
    <row r="24" spans="1:13" s="1" customFormat="1" ht="14.1" customHeight="1">
      <c r="A24" s="38"/>
      <c r="B24" s="56" t="s">
        <v>33</v>
      </c>
      <c r="C24" s="56"/>
      <c r="D24" s="47" t="s">
        <v>79</v>
      </c>
      <c r="E24" s="48"/>
      <c r="F24" s="48"/>
      <c r="G24" s="49"/>
      <c r="H24" s="36"/>
      <c r="I24" s="36"/>
      <c r="J24" s="23"/>
      <c r="K24" s="21"/>
      <c r="L24" s="21"/>
      <c r="M24" s="215"/>
    </row>
    <row r="25" spans="1:13" s="1" customFormat="1" ht="14.1" customHeight="1">
      <c r="A25" s="38">
        <v>12</v>
      </c>
      <c r="B25" s="51" t="s">
        <v>241</v>
      </c>
      <c r="C25" s="52"/>
      <c r="D25" s="57"/>
      <c r="E25" s="57"/>
      <c r="F25" s="57"/>
      <c r="G25" s="57"/>
      <c r="H25" s="24">
        <f>SUM(I25)-2.8</f>
        <v>22.9</v>
      </c>
      <c r="I25" s="24">
        <f>SUM(J25)-2.8</f>
        <v>25.7</v>
      </c>
      <c r="J25" s="23">
        <v>28.5</v>
      </c>
      <c r="K25" s="21">
        <f>SUM(J25)+2.9</f>
        <v>31.4</v>
      </c>
      <c r="L25" s="21">
        <f>SUM(K25)+2.9</f>
        <v>34.299999999999997</v>
      </c>
      <c r="M25" s="215">
        <f>SUM(L25)+2.9</f>
        <v>37.199999999999996</v>
      </c>
    </row>
    <row r="26" spans="1:13" s="1" customFormat="1" ht="14.1" customHeight="1">
      <c r="A26" s="38"/>
      <c r="B26" s="56" t="s">
        <v>501</v>
      </c>
      <c r="C26" s="56"/>
      <c r="D26" s="47"/>
      <c r="E26" s="48"/>
      <c r="F26" s="48"/>
      <c r="G26" s="49"/>
      <c r="H26" s="36"/>
      <c r="I26" s="36"/>
      <c r="J26" s="23"/>
      <c r="K26" s="21"/>
      <c r="L26" s="21"/>
      <c r="M26" s="215"/>
    </row>
    <row r="27" spans="1:13" s="1" customFormat="1" ht="14.1" customHeight="1">
      <c r="A27" s="38">
        <v>13</v>
      </c>
      <c r="B27" s="51" t="s">
        <v>741</v>
      </c>
      <c r="C27" s="52"/>
      <c r="D27" s="57"/>
      <c r="E27" s="57"/>
      <c r="F27" s="57"/>
      <c r="G27" s="57"/>
      <c r="H27" s="24">
        <f>SUM(I27)-1.2</f>
        <v>19.600000000000001</v>
      </c>
      <c r="I27" s="24">
        <f>SUM(J27)-1.2</f>
        <v>20.8</v>
      </c>
      <c r="J27" s="23">
        <v>22</v>
      </c>
      <c r="K27" s="21">
        <f>SUM(J27)+1.2</f>
        <v>23.2</v>
      </c>
      <c r="L27" s="21">
        <f>SUM(K27)+1.2</f>
        <v>24.4</v>
      </c>
      <c r="M27" s="215">
        <f>SUM(L27)+1.2</f>
        <v>25.599999999999998</v>
      </c>
    </row>
    <row r="28" spans="1:13" s="1" customFormat="1" ht="14.1" customHeight="1">
      <c r="A28" s="38"/>
      <c r="B28" s="56" t="s">
        <v>742</v>
      </c>
      <c r="C28" s="56"/>
      <c r="D28" s="47"/>
      <c r="E28" s="48"/>
      <c r="F28" s="48"/>
      <c r="G28" s="49"/>
      <c r="H28" s="36"/>
      <c r="I28" s="36"/>
      <c r="J28" s="23"/>
      <c r="K28" s="21"/>
      <c r="L28" s="21"/>
      <c r="M28" s="215"/>
    </row>
    <row r="29" spans="1:13" s="1" customFormat="1" ht="14.1" customHeight="1">
      <c r="A29" s="38">
        <v>14</v>
      </c>
      <c r="B29" s="51" t="s">
        <v>743</v>
      </c>
      <c r="C29" s="52"/>
      <c r="D29" s="57"/>
      <c r="E29" s="57"/>
      <c r="F29" s="57"/>
      <c r="G29" s="57"/>
      <c r="H29" s="50">
        <f>SUM(I29)-3.6</f>
        <v>43.4</v>
      </c>
      <c r="I29" s="50">
        <f>SUM(J29)-3.6</f>
        <v>47</v>
      </c>
      <c r="J29" s="35">
        <v>50.6</v>
      </c>
      <c r="K29" s="36">
        <f>SUM(J29)+3.6</f>
        <v>54.2</v>
      </c>
      <c r="L29" s="36">
        <f>SUM(K29)+3.6</f>
        <v>57.800000000000004</v>
      </c>
      <c r="M29" s="87">
        <f>SUM(L29)+3.6</f>
        <v>61.400000000000006</v>
      </c>
    </row>
    <row r="30" spans="1:13" s="1" customFormat="1" ht="14.1" customHeight="1">
      <c r="A30" s="38"/>
      <c r="B30" s="56" t="s">
        <v>744</v>
      </c>
      <c r="C30" s="56"/>
      <c r="D30" s="47"/>
      <c r="E30" s="48"/>
      <c r="F30" s="48"/>
      <c r="G30" s="49"/>
      <c r="H30" s="36"/>
      <c r="I30" s="36"/>
      <c r="J30" s="23"/>
      <c r="K30" s="21"/>
      <c r="L30" s="21"/>
      <c r="M30" s="215"/>
    </row>
    <row r="31" spans="1:13" s="1" customFormat="1" ht="14.1" customHeight="1">
      <c r="A31" s="38">
        <v>15</v>
      </c>
      <c r="B31" s="51" t="s">
        <v>745</v>
      </c>
      <c r="C31" s="52"/>
      <c r="D31" s="57"/>
      <c r="E31" s="57"/>
      <c r="F31" s="57"/>
      <c r="G31" s="57"/>
      <c r="H31" s="50">
        <f>SUM(I31)-1.2</f>
        <v>13.100000000000001</v>
      </c>
      <c r="I31" s="50">
        <f>SUM(J31)-1.2</f>
        <v>14.3</v>
      </c>
      <c r="J31" s="35">
        <v>15.5</v>
      </c>
      <c r="K31" s="36">
        <f>SUM(J31)+1.2</f>
        <v>16.7</v>
      </c>
      <c r="L31" s="36">
        <f>SUM(K31)+1.2</f>
        <v>17.899999999999999</v>
      </c>
      <c r="M31" s="87">
        <f>SUM(L31)+1.2</f>
        <v>19.099999999999998</v>
      </c>
    </row>
    <row r="32" spans="1:13" s="1" customFormat="1" ht="13.5" customHeight="1">
      <c r="A32" s="38"/>
      <c r="B32" s="56" t="s">
        <v>648</v>
      </c>
      <c r="C32" s="56"/>
      <c r="D32" s="47"/>
      <c r="E32" s="48"/>
      <c r="F32" s="48"/>
      <c r="G32" s="49"/>
      <c r="H32" s="36"/>
      <c r="I32" s="36"/>
      <c r="J32" s="23"/>
      <c r="K32" s="21"/>
      <c r="L32" s="21"/>
      <c r="M32" s="215"/>
    </row>
    <row r="33" spans="1:13" s="1" customFormat="1" ht="14.1" customHeight="1">
      <c r="A33" s="38">
        <v>16</v>
      </c>
      <c r="B33" s="51" t="s">
        <v>746</v>
      </c>
      <c r="C33" s="52"/>
      <c r="D33" s="57"/>
      <c r="E33" s="57"/>
      <c r="F33" s="57"/>
      <c r="G33" s="57"/>
      <c r="H33" s="50">
        <f>SUM(I33)-0.8</f>
        <v>10.099999999999998</v>
      </c>
      <c r="I33" s="50">
        <f>SUM(J33)-0.8</f>
        <v>10.899999999999999</v>
      </c>
      <c r="J33" s="35">
        <v>11.7</v>
      </c>
      <c r="K33" s="36">
        <f>SUM(J33)+0.8</f>
        <v>12.5</v>
      </c>
      <c r="L33" s="36">
        <f>SUM(K33)+0.8</f>
        <v>13.3</v>
      </c>
      <c r="M33" s="87">
        <f>SUM(L33)+0.8</f>
        <v>14.100000000000001</v>
      </c>
    </row>
    <row r="34" spans="1:13" s="1" customFormat="1" ht="14.1" customHeight="1">
      <c r="A34" s="38"/>
      <c r="B34" s="56" t="s">
        <v>650</v>
      </c>
      <c r="C34" s="56"/>
      <c r="D34" s="47" t="s">
        <v>477</v>
      </c>
      <c r="E34" s="48"/>
      <c r="F34" s="48"/>
      <c r="G34" s="49"/>
      <c r="H34" s="36"/>
      <c r="I34" s="36"/>
      <c r="J34" s="23"/>
      <c r="K34" s="21"/>
      <c r="L34" s="21"/>
      <c r="M34" s="215"/>
    </row>
    <row r="35" spans="1:13" s="1" customFormat="1" ht="14.1" customHeight="1">
      <c r="A35" s="38">
        <v>17</v>
      </c>
      <c r="B35" s="51" t="s">
        <v>747</v>
      </c>
      <c r="C35" s="52"/>
      <c r="D35" s="57"/>
      <c r="E35" s="57"/>
      <c r="F35" s="57"/>
      <c r="G35" s="57"/>
      <c r="H35" s="50">
        <f>SUM(I35)-0.8</f>
        <v>10.099999999999998</v>
      </c>
      <c r="I35" s="50">
        <f>SUM(J35)-0.8</f>
        <v>10.899999999999999</v>
      </c>
      <c r="J35" s="35">
        <v>11.7</v>
      </c>
      <c r="K35" s="36">
        <f>SUM(J35)+0.8</f>
        <v>12.5</v>
      </c>
      <c r="L35" s="36">
        <f>SUM(K35)+0.8</f>
        <v>13.3</v>
      </c>
      <c r="M35" s="87">
        <f>SUM(L35)+0.8</f>
        <v>14.100000000000001</v>
      </c>
    </row>
    <row r="36" spans="1:13" s="1" customFormat="1" ht="14.1" customHeight="1">
      <c r="A36" s="38"/>
      <c r="B36" s="56" t="s">
        <v>748</v>
      </c>
      <c r="C36" s="56"/>
      <c r="D36" s="47" t="s">
        <v>477</v>
      </c>
      <c r="E36" s="48"/>
      <c r="F36" s="48"/>
      <c r="G36" s="49"/>
      <c r="H36" s="36"/>
      <c r="I36" s="36"/>
      <c r="J36" s="23"/>
      <c r="K36" s="21"/>
      <c r="L36" s="21"/>
      <c r="M36" s="215"/>
    </row>
    <row r="37" spans="1:13" s="1" customFormat="1" ht="14.1" customHeight="1">
      <c r="A37" s="38">
        <v>18</v>
      </c>
      <c r="B37" s="51" t="s">
        <v>749</v>
      </c>
      <c r="C37" s="52"/>
      <c r="D37" s="57"/>
      <c r="E37" s="57"/>
      <c r="F37" s="57"/>
      <c r="G37" s="57"/>
      <c r="H37" s="50">
        <f>SUM(I37)-0.8</f>
        <v>10.099999999999998</v>
      </c>
      <c r="I37" s="50">
        <f>SUM(J37)-0.8</f>
        <v>10.899999999999999</v>
      </c>
      <c r="J37" s="35">
        <v>11.7</v>
      </c>
      <c r="K37" s="36">
        <f>SUM(J37)+0.8</f>
        <v>12.5</v>
      </c>
      <c r="L37" s="36">
        <f>SUM(K37)+0.8</f>
        <v>13.3</v>
      </c>
      <c r="M37" s="87">
        <f>SUM(L37)+0.8</f>
        <v>14.100000000000001</v>
      </c>
    </row>
    <row r="38" spans="1:13" s="1" customFormat="1" ht="14.1" customHeight="1">
      <c r="A38" s="38"/>
      <c r="B38" s="56" t="s">
        <v>750</v>
      </c>
      <c r="C38" s="56"/>
      <c r="D38" s="47" t="s">
        <v>477</v>
      </c>
      <c r="E38" s="48"/>
      <c r="F38" s="48"/>
      <c r="G38" s="49"/>
      <c r="H38" s="36"/>
      <c r="I38" s="36"/>
      <c r="J38" s="23"/>
      <c r="K38" s="21"/>
      <c r="L38" s="21"/>
      <c r="M38" s="215"/>
    </row>
    <row r="39" spans="1:13" s="1" customFormat="1" ht="14.1" customHeight="1">
      <c r="A39" s="38">
        <v>19</v>
      </c>
      <c r="B39" s="51" t="s">
        <v>556</v>
      </c>
      <c r="C39" s="52"/>
      <c r="D39" s="42"/>
      <c r="E39" s="43"/>
      <c r="F39" s="43"/>
      <c r="G39" s="44"/>
      <c r="H39" s="24">
        <f>SUM(I39)-2.4</f>
        <v>29.200000000000003</v>
      </c>
      <c r="I39" s="24">
        <f>SUM(J39)-2.4</f>
        <v>31.6</v>
      </c>
      <c r="J39" s="23">
        <v>34</v>
      </c>
      <c r="K39" s="21">
        <f>SUM(J39)+2.4</f>
        <v>36.4</v>
      </c>
      <c r="L39" s="21">
        <f>SUM(K39)+2.4</f>
        <v>38.799999999999997</v>
      </c>
      <c r="M39" s="215">
        <f>SUM(L39)+2.4</f>
        <v>41.199999999999996</v>
      </c>
    </row>
    <row r="40" spans="1:13" s="1" customFormat="1" ht="14.1" customHeight="1">
      <c r="A40" s="38"/>
      <c r="B40" s="45" t="s">
        <v>171</v>
      </c>
      <c r="C40" s="46"/>
      <c r="D40" s="47"/>
      <c r="E40" s="48"/>
      <c r="F40" s="48"/>
      <c r="G40" s="49"/>
      <c r="H40" s="36"/>
      <c r="I40" s="36"/>
      <c r="J40" s="23"/>
      <c r="K40" s="21"/>
      <c r="L40" s="21"/>
      <c r="M40" s="215"/>
    </row>
    <row r="41" spans="1:13" s="1" customFormat="1" ht="14.1" customHeight="1">
      <c r="A41" s="38">
        <v>20</v>
      </c>
      <c r="B41" s="164"/>
      <c r="C41" s="165"/>
      <c r="D41" s="42"/>
      <c r="E41" s="43"/>
      <c r="F41" s="43"/>
      <c r="G41" s="44"/>
      <c r="H41" s="50"/>
      <c r="I41" s="50"/>
      <c r="J41" s="35"/>
      <c r="K41" s="36"/>
      <c r="L41" s="36"/>
      <c r="M41" s="87"/>
    </row>
    <row r="42" spans="1:13" s="1" customFormat="1" ht="14.1" customHeight="1" thickBot="1">
      <c r="A42" s="39"/>
      <c r="B42" s="28"/>
      <c r="C42" s="29"/>
      <c r="D42" s="30"/>
      <c r="E42" s="31"/>
      <c r="F42" s="31"/>
      <c r="G42" s="32"/>
      <c r="H42" s="25"/>
      <c r="I42" s="25"/>
      <c r="J42" s="218"/>
      <c r="K42" s="216"/>
      <c r="L42" s="216"/>
      <c r="M42" s="217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223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5:A26"/>
    <mergeCell ref="B25:C25"/>
    <mergeCell ref="D25:G25"/>
    <mergeCell ref="H25:H26"/>
    <mergeCell ref="I25:I26"/>
    <mergeCell ref="A41:A42"/>
    <mergeCell ref="B41:C41"/>
    <mergeCell ref="D41:G41"/>
    <mergeCell ref="H41:H42"/>
    <mergeCell ref="I41:I42"/>
    <mergeCell ref="B40:C40"/>
    <mergeCell ref="D40:G40"/>
    <mergeCell ref="A39:A40"/>
    <mergeCell ref="B39:C39"/>
    <mergeCell ref="D39:G39"/>
    <mergeCell ref="H39:H40"/>
    <mergeCell ref="I39:I40"/>
    <mergeCell ref="B32:C32"/>
    <mergeCell ref="D32:G32"/>
    <mergeCell ref="B30:C30"/>
    <mergeCell ref="D30:G30"/>
    <mergeCell ref="A31:A32"/>
    <mergeCell ref="B31:C31"/>
    <mergeCell ref="D31:G31"/>
    <mergeCell ref="J25:J26"/>
    <mergeCell ref="K25:K26"/>
    <mergeCell ref="L25:L26"/>
    <mergeCell ref="M25:M26"/>
    <mergeCell ref="B26:C26"/>
    <mergeCell ref="D26:G26"/>
    <mergeCell ref="K41:K42"/>
    <mergeCell ref="L41:L42"/>
    <mergeCell ref="M41:M42"/>
    <mergeCell ref="B42:C42"/>
    <mergeCell ref="D42:G42"/>
    <mergeCell ref="J41:J42"/>
    <mergeCell ref="K39:K40"/>
    <mergeCell ref="L39:L40"/>
    <mergeCell ref="M39:M40"/>
    <mergeCell ref="J39:J40"/>
    <mergeCell ref="J31:J32"/>
    <mergeCell ref="K31:K32"/>
    <mergeCell ref="L31:L32"/>
    <mergeCell ref="M31:M32"/>
    <mergeCell ref="K29:K30"/>
    <mergeCell ref="L29:L30"/>
    <mergeCell ref="M29:M30"/>
    <mergeCell ref="H31:H32"/>
    <mergeCell ref="A33:A34"/>
    <mergeCell ref="B33:C33"/>
    <mergeCell ref="D33:G33"/>
    <mergeCell ref="H33:H34"/>
    <mergeCell ref="I33:I34"/>
    <mergeCell ref="A27:A28"/>
    <mergeCell ref="B27:C27"/>
    <mergeCell ref="D27:G27"/>
    <mergeCell ref="H27:H28"/>
    <mergeCell ref="I27:I28"/>
    <mergeCell ref="I31:I32"/>
    <mergeCell ref="A29:A30"/>
    <mergeCell ref="B29:C29"/>
    <mergeCell ref="D29:G29"/>
    <mergeCell ref="H29:H30"/>
    <mergeCell ref="I29:I30"/>
    <mergeCell ref="J33:J34"/>
    <mergeCell ref="K33:K34"/>
    <mergeCell ref="L33:L34"/>
    <mergeCell ref="M33:M34"/>
    <mergeCell ref="B34:C34"/>
    <mergeCell ref="D34:G34"/>
    <mergeCell ref="K27:K28"/>
    <mergeCell ref="L27:L28"/>
    <mergeCell ref="M27:M28"/>
    <mergeCell ref="B28:C28"/>
    <mergeCell ref="D28:G28"/>
    <mergeCell ref="J27:J28"/>
    <mergeCell ref="J29:J30"/>
    <mergeCell ref="A37:A38"/>
    <mergeCell ref="B37:C37"/>
    <mergeCell ref="D37:G37"/>
    <mergeCell ref="H37:H38"/>
    <mergeCell ref="I37:I38"/>
    <mergeCell ref="A35:A36"/>
    <mergeCell ref="B35:C35"/>
    <mergeCell ref="D35:G35"/>
    <mergeCell ref="H35:H36"/>
    <mergeCell ref="I35:I36"/>
    <mergeCell ref="J37:J38"/>
    <mergeCell ref="K37:K38"/>
    <mergeCell ref="L37:L38"/>
    <mergeCell ref="M37:M38"/>
    <mergeCell ref="B38:C38"/>
    <mergeCell ref="D38:G38"/>
    <mergeCell ref="K35:K36"/>
    <mergeCell ref="L35:L36"/>
    <mergeCell ref="M35:M36"/>
    <mergeCell ref="B36:C36"/>
    <mergeCell ref="D36:G36"/>
    <mergeCell ref="J35:J36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499A0-77EF-4E09-B627-C74F2CEBEBA8}">
  <sheetPr>
    <tabColor rgb="FF00B050"/>
    <pageSetUpPr fitToPage="1"/>
  </sheetPr>
  <dimension ref="A1:M57"/>
  <sheetViews>
    <sheetView zoomScale="110" zoomScaleNormal="110" workbookViewId="0">
      <selection activeCell="R25" sqref="R25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380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24">
        <f>SUM(I3)-5</f>
        <v>57.5</v>
      </c>
      <c r="I3" s="24">
        <f>SUM(J3)-5</f>
        <v>62.5</v>
      </c>
      <c r="J3" s="75">
        <v>67.5</v>
      </c>
      <c r="K3" s="76">
        <f>SUM(J3)+5</f>
        <v>72.5</v>
      </c>
      <c r="L3" s="76">
        <f>SUM(K3)+5</f>
        <v>77.5</v>
      </c>
      <c r="M3" s="214">
        <f>SUM(L3)+5</f>
        <v>82.5</v>
      </c>
    </row>
    <row r="4" spans="1:13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24"/>
      <c r="L4" s="24"/>
      <c r="M4" s="88"/>
    </row>
    <row r="5" spans="1:13" s="1" customFormat="1" ht="14.1" customHeight="1">
      <c r="A5" s="38">
        <v>2</v>
      </c>
      <c r="B5" s="58" t="s">
        <v>381</v>
      </c>
      <c r="C5" s="58"/>
      <c r="D5" s="57"/>
      <c r="E5" s="57"/>
      <c r="F5" s="57"/>
      <c r="G5" s="57"/>
      <c r="H5" s="24">
        <f>SUM(I5)-1</f>
        <v>16</v>
      </c>
      <c r="I5" s="24">
        <f>SUM(J5)-1</f>
        <v>17</v>
      </c>
      <c r="J5" s="33">
        <v>18</v>
      </c>
      <c r="K5" s="24">
        <f>SUM(J5)+1</f>
        <v>19</v>
      </c>
      <c r="L5" s="24">
        <f>SUM(K5)+1</f>
        <v>20</v>
      </c>
      <c r="M5" s="88">
        <f>SUM(L5)+1</f>
        <v>21</v>
      </c>
    </row>
    <row r="6" spans="1:13" s="1" customFormat="1" ht="14.1" customHeight="1">
      <c r="A6" s="38"/>
      <c r="B6" s="56" t="s">
        <v>382</v>
      </c>
      <c r="C6" s="56"/>
      <c r="D6" s="47"/>
      <c r="E6" s="48"/>
      <c r="F6" s="48"/>
      <c r="G6" s="49"/>
      <c r="H6" s="36"/>
      <c r="I6" s="36"/>
      <c r="J6" s="35"/>
      <c r="K6" s="36"/>
      <c r="L6" s="36"/>
      <c r="M6" s="87"/>
    </row>
    <row r="7" spans="1:13" s="1" customFormat="1" ht="14.1" customHeight="1">
      <c r="A7" s="38">
        <v>3</v>
      </c>
      <c r="B7" s="51" t="s">
        <v>386</v>
      </c>
      <c r="C7" s="52"/>
      <c r="D7" s="59"/>
      <c r="E7" s="60"/>
      <c r="F7" s="60"/>
      <c r="G7" s="61"/>
      <c r="H7" s="24">
        <f>SUM(I7)-1</f>
        <v>14.5</v>
      </c>
      <c r="I7" s="24">
        <f>SUM(J7)-1</f>
        <v>15.5</v>
      </c>
      <c r="J7" s="33">
        <v>16.5</v>
      </c>
      <c r="K7" s="24">
        <f>SUM(J7)+1</f>
        <v>17.5</v>
      </c>
      <c r="L7" s="24">
        <f>SUM(K7)+1</f>
        <v>18.5</v>
      </c>
      <c r="M7" s="88">
        <f>SUM(L7)+1</f>
        <v>19.5</v>
      </c>
    </row>
    <row r="8" spans="1:13" s="1" customFormat="1" ht="14.1" customHeight="1">
      <c r="A8" s="38"/>
      <c r="B8" s="56" t="s">
        <v>387</v>
      </c>
      <c r="C8" s="56"/>
      <c r="D8" s="47" t="s">
        <v>385</v>
      </c>
      <c r="E8" s="48"/>
      <c r="F8" s="48"/>
      <c r="G8" s="49"/>
      <c r="H8" s="36"/>
      <c r="I8" s="36"/>
      <c r="J8" s="35"/>
      <c r="K8" s="36"/>
      <c r="L8" s="36"/>
      <c r="M8" s="87"/>
    </row>
    <row r="9" spans="1:13" s="1" customFormat="1" ht="14.1" customHeight="1">
      <c r="A9" s="38">
        <v>4</v>
      </c>
      <c r="B9" s="58" t="s">
        <v>41</v>
      </c>
      <c r="C9" s="58"/>
      <c r="D9" s="57" t="s">
        <v>84</v>
      </c>
      <c r="E9" s="57"/>
      <c r="F9" s="57"/>
      <c r="G9" s="57"/>
      <c r="H9" s="24">
        <f>SUM(I9)-2.25</f>
        <v>30.5</v>
      </c>
      <c r="I9" s="24">
        <f>SUM(J9)-2.25</f>
        <v>32.75</v>
      </c>
      <c r="J9" s="33">
        <v>35</v>
      </c>
      <c r="K9" s="24">
        <f>SUM(J9)+2</f>
        <v>37</v>
      </c>
      <c r="L9" s="24">
        <f>SUM(K9)+2</f>
        <v>39</v>
      </c>
      <c r="M9" s="88">
        <f>SUM(L9)+2</f>
        <v>41</v>
      </c>
    </row>
    <row r="10" spans="1:13" s="1" customFormat="1" ht="14.1" customHeight="1">
      <c r="A10" s="38"/>
      <c r="B10" s="56" t="s">
        <v>46</v>
      </c>
      <c r="C10" s="56"/>
      <c r="D10" s="47" t="s">
        <v>49</v>
      </c>
      <c r="E10" s="48"/>
      <c r="F10" s="48"/>
      <c r="G10" s="49"/>
      <c r="H10" s="36"/>
      <c r="I10" s="36"/>
      <c r="J10" s="35"/>
      <c r="K10" s="36"/>
      <c r="L10" s="36"/>
      <c r="M10" s="87"/>
    </row>
    <row r="11" spans="1:13" s="1" customFormat="1" ht="14.1" customHeight="1">
      <c r="A11" s="38">
        <v>5</v>
      </c>
      <c r="B11" s="58" t="s">
        <v>383</v>
      </c>
      <c r="C11" s="58"/>
      <c r="D11" s="57" t="s">
        <v>8</v>
      </c>
      <c r="E11" s="57"/>
      <c r="F11" s="57"/>
      <c r="G11" s="57"/>
      <c r="H11" s="24">
        <f>SUM(I11)-2.1</f>
        <v>29.799999999999997</v>
      </c>
      <c r="I11" s="24">
        <f>SUM(J11)-2.1</f>
        <v>31.9</v>
      </c>
      <c r="J11" s="33">
        <v>34</v>
      </c>
      <c r="K11" s="24">
        <f>SUM(J11)+1.9</f>
        <v>35.9</v>
      </c>
      <c r="L11" s="24">
        <f>SUM(K11)+1.9</f>
        <v>37.799999999999997</v>
      </c>
      <c r="M11" s="88">
        <f>SUM(L11)+1.9</f>
        <v>39.699999999999996</v>
      </c>
    </row>
    <row r="12" spans="1:13" s="1" customFormat="1" ht="14.1" customHeight="1">
      <c r="A12" s="38"/>
      <c r="B12" s="56" t="s">
        <v>384</v>
      </c>
      <c r="C12" s="56"/>
      <c r="D12" s="47" t="s">
        <v>50</v>
      </c>
      <c r="E12" s="48"/>
      <c r="F12" s="48"/>
      <c r="G12" s="49"/>
      <c r="H12" s="36"/>
      <c r="I12" s="36"/>
      <c r="J12" s="35"/>
      <c r="K12" s="36"/>
      <c r="L12" s="36"/>
      <c r="M12" s="87"/>
    </row>
    <row r="13" spans="1:13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/>
      <c r="I13" s="24"/>
      <c r="J13" s="23"/>
      <c r="K13" s="21"/>
      <c r="L13" s="21"/>
      <c r="M13" s="215"/>
    </row>
    <row r="14" spans="1:13" s="1" customFormat="1" ht="14.1" customHeight="1">
      <c r="A14" s="38"/>
      <c r="B14" s="56" t="s">
        <v>29</v>
      </c>
      <c r="C14" s="56"/>
      <c r="D14" s="47" t="s">
        <v>154</v>
      </c>
      <c r="E14" s="48"/>
      <c r="F14" s="48"/>
      <c r="G14" s="49"/>
      <c r="H14" s="36"/>
      <c r="I14" s="36"/>
      <c r="J14" s="23"/>
      <c r="K14" s="21"/>
      <c r="L14" s="21"/>
      <c r="M14" s="215"/>
    </row>
    <row r="15" spans="1:13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/>
      <c r="I15" s="24"/>
      <c r="J15" s="23"/>
      <c r="K15" s="21"/>
      <c r="L15" s="21"/>
      <c r="M15" s="215"/>
    </row>
    <row r="16" spans="1:13" s="1" customFormat="1" ht="14.1" customHeight="1">
      <c r="A16" s="38"/>
      <c r="B16" s="56" t="s">
        <v>30</v>
      </c>
      <c r="C16" s="56"/>
      <c r="D16" s="47" t="s">
        <v>155</v>
      </c>
      <c r="E16" s="48"/>
      <c r="F16" s="48"/>
      <c r="G16" s="49"/>
      <c r="H16" s="36"/>
      <c r="I16" s="36"/>
      <c r="J16" s="23"/>
      <c r="K16" s="21"/>
      <c r="L16" s="21"/>
      <c r="M16" s="215"/>
    </row>
    <row r="17" spans="1:13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/>
      <c r="I17" s="24"/>
      <c r="J17" s="23"/>
      <c r="K17" s="21"/>
      <c r="L17" s="21"/>
      <c r="M17" s="215"/>
    </row>
    <row r="18" spans="1:13" s="1" customFormat="1" ht="14.1" customHeight="1">
      <c r="A18" s="38"/>
      <c r="B18" s="56" t="s">
        <v>37</v>
      </c>
      <c r="C18" s="56"/>
      <c r="D18" s="47" t="s">
        <v>156</v>
      </c>
      <c r="E18" s="48"/>
      <c r="F18" s="48"/>
      <c r="G18" s="49"/>
      <c r="H18" s="36"/>
      <c r="I18" s="36"/>
      <c r="J18" s="23"/>
      <c r="K18" s="21"/>
      <c r="L18" s="21"/>
      <c r="M18" s="215"/>
    </row>
    <row r="19" spans="1:13" s="1" customFormat="1" ht="14.1" customHeight="1">
      <c r="A19" s="38">
        <v>9</v>
      </c>
      <c r="B19" s="58" t="s">
        <v>4</v>
      </c>
      <c r="C19" s="58"/>
      <c r="D19" s="57" t="s">
        <v>5</v>
      </c>
      <c r="E19" s="57"/>
      <c r="F19" s="57"/>
      <c r="G19" s="57"/>
      <c r="H19" s="24"/>
      <c r="I19" s="24"/>
      <c r="J19" s="23"/>
      <c r="K19" s="21"/>
      <c r="L19" s="21"/>
      <c r="M19" s="215"/>
    </row>
    <row r="20" spans="1:13" s="1" customFormat="1" ht="14.1" customHeight="1">
      <c r="A20" s="38"/>
      <c r="B20" s="56" t="s">
        <v>31</v>
      </c>
      <c r="C20" s="56"/>
      <c r="D20" s="47" t="s">
        <v>54</v>
      </c>
      <c r="E20" s="48"/>
      <c r="F20" s="48"/>
      <c r="G20" s="49"/>
      <c r="H20" s="36"/>
      <c r="I20" s="36"/>
      <c r="J20" s="23"/>
      <c r="K20" s="21"/>
      <c r="L20" s="21"/>
      <c r="M20" s="215"/>
    </row>
    <row r="21" spans="1:13" s="1" customFormat="1" ht="14.1" customHeight="1">
      <c r="A21" s="38">
        <v>10</v>
      </c>
      <c r="B21" s="58" t="s">
        <v>6</v>
      </c>
      <c r="C21" s="58"/>
      <c r="D21" s="59" t="s">
        <v>7</v>
      </c>
      <c r="E21" s="60"/>
      <c r="F21" s="60"/>
      <c r="G21" s="61"/>
      <c r="H21" s="24"/>
      <c r="I21" s="24"/>
      <c r="J21" s="23"/>
      <c r="K21" s="21"/>
      <c r="L21" s="21"/>
      <c r="M21" s="215"/>
    </row>
    <row r="22" spans="1:13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9"/>
      <c r="H22" s="36"/>
      <c r="I22" s="36"/>
      <c r="J22" s="23"/>
      <c r="K22" s="21"/>
      <c r="L22" s="21"/>
      <c r="M22" s="215"/>
    </row>
    <row r="23" spans="1:13" s="1" customFormat="1" ht="14.1" customHeight="1">
      <c r="A23" s="38">
        <v>11</v>
      </c>
      <c r="B23" s="51" t="s">
        <v>77</v>
      </c>
      <c r="C23" s="52"/>
      <c r="D23" s="57" t="s">
        <v>78</v>
      </c>
      <c r="E23" s="57"/>
      <c r="F23" s="57"/>
      <c r="G23" s="57"/>
      <c r="H23" s="24"/>
      <c r="I23" s="24"/>
      <c r="J23" s="23"/>
      <c r="K23" s="21"/>
      <c r="L23" s="21"/>
      <c r="M23" s="215"/>
    </row>
    <row r="24" spans="1:13" s="1" customFormat="1" ht="14.1" customHeight="1">
      <c r="A24" s="38"/>
      <c r="B24" s="56" t="s">
        <v>33</v>
      </c>
      <c r="C24" s="56"/>
      <c r="D24" s="47" t="s">
        <v>79</v>
      </c>
      <c r="E24" s="48"/>
      <c r="F24" s="48"/>
      <c r="G24" s="49"/>
      <c r="H24" s="36"/>
      <c r="I24" s="36"/>
      <c r="J24" s="23"/>
      <c r="K24" s="21"/>
      <c r="L24" s="21"/>
      <c r="M24" s="215"/>
    </row>
    <row r="25" spans="1:13" s="1" customFormat="1" ht="14.1" customHeight="1">
      <c r="A25" s="38">
        <v>12</v>
      </c>
      <c r="B25" s="51" t="s">
        <v>186</v>
      </c>
      <c r="C25" s="52"/>
      <c r="D25" s="182"/>
      <c r="E25" s="183"/>
      <c r="F25" s="183"/>
      <c r="G25" s="184"/>
      <c r="H25" s="24">
        <f>SUM(I25)-3</f>
        <v>36</v>
      </c>
      <c r="I25" s="24">
        <f>SUM(J25)-3</f>
        <v>39</v>
      </c>
      <c r="J25" s="33">
        <v>42</v>
      </c>
      <c r="K25" s="24">
        <f>SUM(J25)+3</f>
        <v>45</v>
      </c>
      <c r="L25" s="24">
        <f>SUM(K25)+3</f>
        <v>48</v>
      </c>
      <c r="M25" s="88">
        <f>SUM(L25)+3</f>
        <v>51</v>
      </c>
    </row>
    <row r="26" spans="1:13" s="1" customFormat="1" ht="14.1" customHeight="1">
      <c r="A26" s="38"/>
      <c r="B26" s="36" t="s">
        <v>187</v>
      </c>
      <c r="C26" s="36"/>
      <c r="D26" s="114"/>
      <c r="E26" s="115"/>
      <c r="F26" s="115"/>
      <c r="G26" s="116"/>
      <c r="H26" s="36"/>
      <c r="I26" s="36"/>
      <c r="J26" s="35"/>
      <c r="K26" s="36"/>
      <c r="L26" s="36"/>
      <c r="M26" s="87"/>
    </row>
    <row r="27" spans="1:13" s="1" customFormat="1" ht="14.1" customHeight="1">
      <c r="A27" s="38">
        <v>13</v>
      </c>
      <c r="B27" s="58" t="s">
        <v>338</v>
      </c>
      <c r="C27" s="58"/>
      <c r="D27" s="59"/>
      <c r="E27" s="60"/>
      <c r="F27" s="60"/>
      <c r="G27" s="61"/>
      <c r="H27" s="24">
        <f>SUM(I27)-1</f>
        <v>10.5</v>
      </c>
      <c r="I27" s="24">
        <f>SUM(J27)-1</f>
        <v>11.5</v>
      </c>
      <c r="J27" s="23">
        <v>12.5</v>
      </c>
      <c r="K27" s="21">
        <f>SUM(J27)+1</f>
        <v>13.5</v>
      </c>
      <c r="L27" s="21">
        <f>SUM(K27)+1</f>
        <v>14.5</v>
      </c>
      <c r="M27" s="215">
        <f>SUM(L27)+1</f>
        <v>15.5</v>
      </c>
    </row>
    <row r="28" spans="1:13" s="1" customFormat="1" ht="14.1" customHeight="1">
      <c r="A28" s="38"/>
      <c r="B28" s="56" t="s">
        <v>339</v>
      </c>
      <c r="C28" s="56"/>
      <c r="D28" s="47" t="s">
        <v>390</v>
      </c>
      <c r="E28" s="48"/>
      <c r="F28" s="48"/>
      <c r="G28" s="49"/>
      <c r="H28" s="36"/>
      <c r="I28" s="36"/>
      <c r="J28" s="23"/>
      <c r="K28" s="21"/>
      <c r="L28" s="21"/>
      <c r="M28" s="215"/>
    </row>
    <row r="29" spans="1:13" s="1" customFormat="1" ht="14.1" customHeight="1">
      <c r="A29" s="38">
        <v>14</v>
      </c>
      <c r="B29" s="58" t="s">
        <v>340</v>
      </c>
      <c r="C29" s="58"/>
      <c r="D29" s="59"/>
      <c r="E29" s="60"/>
      <c r="F29" s="60"/>
      <c r="G29" s="61"/>
      <c r="H29" s="24">
        <f>SUM(I29)-1</f>
        <v>11</v>
      </c>
      <c r="I29" s="24">
        <f>SUM(J29)-1</f>
        <v>12</v>
      </c>
      <c r="J29" s="23">
        <v>13</v>
      </c>
      <c r="K29" s="21">
        <f>SUM(J29)+1</f>
        <v>14</v>
      </c>
      <c r="L29" s="21">
        <f>SUM(K29)+1</f>
        <v>15</v>
      </c>
      <c r="M29" s="215">
        <f>SUM(L29)+1</f>
        <v>16</v>
      </c>
    </row>
    <row r="30" spans="1:13" s="1" customFormat="1" ht="14.1" customHeight="1">
      <c r="A30" s="38"/>
      <c r="B30" s="56" t="s">
        <v>341</v>
      </c>
      <c r="C30" s="56"/>
      <c r="D30" s="47" t="s">
        <v>390</v>
      </c>
      <c r="E30" s="48"/>
      <c r="F30" s="48"/>
      <c r="G30" s="49"/>
      <c r="H30" s="36"/>
      <c r="I30" s="36"/>
      <c r="J30" s="23"/>
      <c r="K30" s="21"/>
      <c r="L30" s="21"/>
      <c r="M30" s="215"/>
    </row>
    <row r="31" spans="1:13" s="1" customFormat="1" ht="14.1" customHeight="1">
      <c r="A31" s="38">
        <v>15</v>
      </c>
      <c r="B31" s="58" t="s">
        <v>388</v>
      </c>
      <c r="C31" s="58"/>
      <c r="D31" s="59"/>
      <c r="E31" s="60"/>
      <c r="F31" s="60"/>
      <c r="G31" s="61"/>
      <c r="H31" s="24">
        <f>SUM(I31)-1</f>
        <v>12.5</v>
      </c>
      <c r="I31" s="24">
        <f>SUM(J31)-1</f>
        <v>13.5</v>
      </c>
      <c r="J31" s="23">
        <v>14.5</v>
      </c>
      <c r="K31" s="21">
        <f>SUM(J31)+1</f>
        <v>15.5</v>
      </c>
      <c r="L31" s="21">
        <f>SUM(K31)+1</f>
        <v>16.5</v>
      </c>
      <c r="M31" s="215">
        <f>SUM(L31)+1</f>
        <v>17.5</v>
      </c>
    </row>
    <row r="32" spans="1:13" s="1" customFormat="1" ht="14.1" customHeight="1">
      <c r="A32" s="38"/>
      <c r="B32" s="56" t="s">
        <v>389</v>
      </c>
      <c r="C32" s="56"/>
      <c r="D32" s="47" t="s">
        <v>390</v>
      </c>
      <c r="E32" s="48"/>
      <c r="F32" s="48"/>
      <c r="G32" s="49"/>
      <c r="H32" s="36"/>
      <c r="I32" s="36"/>
      <c r="J32" s="23"/>
      <c r="K32" s="21"/>
      <c r="L32" s="21"/>
      <c r="M32" s="215"/>
    </row>
    <row r="33" spans="1:13" s="1" customFormat="1" ht="14.1" customHeight="1">
      <c r="A33" s="38">
        <v>16</v>
      </c>
      <c r="B33" s="40" t="s">
        <v>391</v>
      </c>
      <c r="C33" s="41"/>
      <c r="D33" s="42"/>
      <c r="E33" s="43"/>
      <c r="F33" s="43"/>
      <c r="G33" s="44"/>
      <c r="H33" s="24">
        <f>SUM(I33)-2</f>
        <v>21</v>
      </c>
      <c r="I33" s="24">
        <f>SUM(J33)-2</f>
        <v>23</v>
      </c>
      <c r="J33" s="23">
        <v>25</v>
      </c>
      <c r="K33" s="21">
        <f>SUM(J33)+2</f>
        <v>27</v>
      </c>
      <c r="L33" s="21">
        <f>SUM(K33)+2</f>
        <v>29</v>
      </c>
      <c r="M33" s="215">
        <f>SUM(L33)+2</f>
        <v>31</v>
      </c>
    </row>
    <row r="34" spans="1:13" s="1" customFormat="1" ht="14.1" customHeight="1">
      <c r="A34" s="38"/>
      <c r="B34" s="45" t="s">
        <v>392</v>
      </c>
      <c r="C34" s="46"/>
      <c r="D34" s="47"/>
      <c r="E34" s="48"/>
      <c r="F34" s="48"/>
      <c r="G34" s="49"/>
      <c r="H34" s="36"/>
      <c r="I34" s="36"/>
      <c r="J34" s="23"/>
      <c r="K34" s="21"/>
      <c r="L34" s="21"/>
      <c r="M34" s="215"/>
    </row>
    <row r="35" spans="1:13" s="1" customFormat="1" ht="14.1" customHeight="1">
      <c r="A35" s="38">
        <v>17</v>
      </c>
      <c r="B35" s="195"/>
      <c r="C35" s="196"/>
      <c r="D35" s="53"/>
      <c r="E35" s="54"/>
      <c r="F35" s="54"/>
      <c r="G35" s="55"/>
      <c r="H35" s="24"/>
      <c r="I35" s="24"/>
      <c r="J35" s="33"/>
      <c r="K35" s="24"/>
      <c r="L35" s="24"/>
      <c r="M35" s="88"/>
    </row>
    <row r="36" spans="1:13" s="1" customFormat="1" ht="14.1" customHeight="1">
      <c r="A36" s="38"/>
      <c r="B36" s="45"/>
      <c r="C36" s="46"/>
      <c r="D36" s="47"/>
      <c r="E36" s="48"/>
      <c r="F36" s="48"/>
      <c r="G36" s="49"/>
      <c r="H36" s="36"/>
      <c r="I36" s="36"/>
      <c r="J36" s="35"/>
      <c r="K36" s="36"/>
      <c r="L36" s="36"/>
      <c r="M36" s="87"/>
    </row>
    <row r="37" spans="1:13" s="1" customFormat="1" ht="14.1" customHeight="1">
      <c r="A37" s="38">
        <v>18</v>
      </c>
      <c r="B37" s="164"/>
      <c r="C37" s="165"/>
      <c r="D37" s="42"/>
      <c r="E37" s="43"/>
      <c r="F37" s="43"/>
      <c r="G37" s="44"/>
      <c r="H37" s="50"/>
      <c r="I37" s="50"/>
      <c r="J37" s="35"/>
      <c r="K37" s="36"/>
      <c r="L37" s="36"/>
      <c r="M37" s="87"/>
    </row>
    <row r="38" spans="1:13" s="1" customFormat="1" ht="14.1" customHeight="1" thickBot="1">
      <c r="A38" s="39"/>
      <c r="B38" s="28"/>
      <c r="C38" s="29"/>
      <c r="D38" s="30"/>
      <c r="E38" s="31"/>
      <c r="F38" s="31"/>
      <c r="G38" s="32"/>
      <c r="H38" s="25"/>
      <c r="I38" s="25"/>
      <c r="J38" s="218"/>
      <c r="K38" s="216"/>
      <c r="L38" s="216"/>
      <c r="M38" s="217"/>
    </row>
    <row r="39" spans="1:13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201"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CD6B-38A8-4DDF-BFA6-490CDFB1A305}">
  <sheetPr>
    <tabColor rgb="FF00B050"/>
    <pageSetUpPr fitToPage="1"/>
  </sheetPr>
  <dimension ref="A1:M55"/>
  <sheetViews>
    <sheetView zoomScale="110" zoomScaleNormal="110" workbookViewId="0">
      <selection activeCell="B27" sqref="B27:M2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2" width="5.5" customWidth="1"/>
    <col min="13" max="13" width="5.5" style="8" customWidth="1"/>
  </cols>
  <sheetData>
    <row r="1" spans="1:13" ht="16.5" customHeight="1" thickBot="1">
      <c r="A1" s="67" t="s">
        <v>506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</row>
    <row r="3" spans="1:13" s="1" customFormat="1" ht="14.1" customHeight="1">
      <c r="A3" s="169">
        <v>1</v>
      </c>
      <c r="B3" s="80" t="s">
        <v>45</v>
      </c>
      <c r="C3" s="81"/>
      <c r="D3" s="74" t="s">
        <v>181</v>
      </c>
      <c r="E3" s="82"/>
      <c r="F3" s="82"/>
      <c r="G3" s="83"/>
      <c r="H3" s="24">
        <f>SUM(I3)-5</f>
        <v>56</v>
      </c>
      <c r="I3" s="24">
        <f>SUM(J3)-5</f>
        <v>61</v>
      </c>
      <c r="J3" s="33">
        <v>66</v>
      </c>
      <c r="K3" s="24">
        <f>SUM(J3)+5</f>
        <v>71</v>
      </c>
      <c r="L3" s="24">
        <f>SUM(K3)+5</f>
        <v>76</v>
      </c>
      <c r="M3" s="88">
        <f>SUM(L3)+5</f>
        <v>81</v>
      </c>
    </row>
    <row r="4" spans="1:13" s="1" customFormat="1" ht="14.1" customHeight="1">
      <c r="A4" s="71"/>
      <c r="B4" s="45" t="s">
        <v>42</v>
      </c>
      <c r="C4" s="46"/>
      <c r="D4" s="47" t="s">
        <v>124</v>
      </c>
      <c r="E4" s="48"/>
      <c r="F4" s="48"/>
      <c r="G4" s="49"/>
      <c r="H4" s="36"/>
      <c r="I4" s="36"/>
      <c r="J4" s="35"/>
      <c r="K4" s="36"/>
      <c r="L4" s="36"/>
      <c r="M4" s="87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SUM(I5)-1.8</f>
        <v>21.599999999999998</v>
      </c>
      <c r="I5" s="24">
        <f>SUM(J5)-1.8</f>
        <v>23.4</v>
      </c>
      <c r="J5" s="33">
        <v>25.2</v>
      </c>
      <c r="K5" s="24">
        <f>SUM(J5)+1.6</f>
        <v>26.8</v>
      </c>
      <c r="L5" s="24">
        <f>SUM(K5)+1.6</f>
        <v>28.400000000000002</v>
      </c>
      <c r="M5" s="88">
        <f>SUM(L5)+1.6</f>
        <v>30.000000000000004</v>
      </c>
    </row>
    <row r="6" spans="1:13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87"/>
    </row>
    <row r="7" spans="1:13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28.5</v>
      </c>
      <c r="I7" s="24">
        <f>SUM(J7)-2.25</f>
        <v>30.75</v>
      </c>
      <c r="J7" s="33">
        <v>33</v>
      </c>
      <c r="K7" s="24">
        <f>SUM(J7)+2</f>
        <v>35</v>
      </c>
      <c r="L7" s="24">
        <f>SUM(K7)+2</f>
        <v>37</v>
      </c>
      <c r="M7" s="88">
        <f>SUM(L7)+2</f>
        <v>39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87"/>
    </row>
    <row r="9" spans="1:13" s="1" customFormat="1" ht="14.1" customHeight="1">
      <c r="A9" s="38">
        <v>4</v>
      </c>
      <c r="B9" s="58" t="s">
        <v>336</v>
      </c>
      <c r="C9" s="58"/>
      <c r="D9" s="57"/>
      <c r="E9" s="57"/>
      <c r="F9" s="57"/>
      <c r="G9" s="57"/>
      <c r="H9" s="24">
        <f>SUM(I9)-3</f>
        <v>53</v>
      </c>
      <c r="I9" s="24">
        <f>SUM(J9)-3</f>
        <v>56</v>
      </c>
      <c r="J9" s="33">
        <v>59</v>
      </c>
      <c r="K9" s="24">
        <f>SUM(J9)+3</f>
        <v>62</v>
      </c>
      <c r="L9" s="24">
        <f>SUM(K9)+3</f>
        <v>65</v>
      </c>
      <c r="M9" s="88">
        <f>SUM(L9)+3</f>
        <v>68</v>
      </c>
    </row>
    <row r="10" spans="1:13" s="1" customFormat="1" ht="14.1" customHeight="1">
      <c r="A10" s="38"/>
      <c r="B10" s="56" t="s">
        <v>337</v>
      </c>
      <c r="C10" s="56"/>
      <c r="D10" s="47"/>
      <c r="E10" s="48"/>
      <c r="F10" s="48"/>
      <c r="G10" s="49"/>
      <c r="H10" s="36"/>
      <c r="I10" s="36"/>
      <c r="J10" s="35"/>
      <c r="K10" s="36"/>
      <c r="L10" s="36"/>
      <c r="M10" s="87"/>
    </row>
    <row r="11" spans="1:13" s="1" customFormat="1" ht="14.1" customHeight="1">
      <c r="A11" s="38">
        <v>5</v>
      </c>
      <c r="B11" s="58" t="s">
        <v>507</v>
      </c>
      <c r="C11" s="58"/>
      <c r="D11" s="57"/>
      <c r="E11" s="57"/>
      <c r="F11" s="57"/>
      <c r="G11" s="57"/>
      <c r="H11" s="24">
        <f>SUM(I11)-0.8</f>
        <v>10.299999999999999</v>
      </c>
      <c r="I11" s="24">
        <f>SUM(J11)-0.9</f>
        <v>11.1</v>
      </c>
      <c r="J11" s="33">
        <v>12</v>
      </c>
      <c r="K11" s="24">
        <f>SUM(J11)+0.9</f>
        <v>12.9</v>
      </c>
      <c r="L11" s="24">
        <f>SUM(K11)</f>
        <v>12.9</v>
      </c>
      <c r="M11" s="88">
        <f>SUM(L11)+0.9</f>
        <v>13.8</v>
      </c>
    </row>
    <row r="12" spans="1:13" s="1" customFormat="1" ht="14.1" customHeight="1">
      <c r="A12" s="38"/>
      <c r="B12" s="56" t="s">
        <v>509</v>
      </c>
      <c r="C12" s="56"/>
      <c r="D12" s="47" t="s">
        <v>299</v>
      </c>
      <c r="E12" s="48"/>
      <c r="F12" s="48"/>
      <c r="G12" s="49"/>
      <c r="H12" s="36"/>
      <c r="I12" s="36"/>
      <c r="J12" s="35"/>
      <c r="K12" s="36"/>
      <c r="L12" s="36"/>
      <c r="M12" s="87"/>
    </row>
    <row r="13" spans="1:13" s="1" customFormat="1" ht="14.1" customHeight="1">
      <c r="A13" s="38">
        <v>6</v>
      </c>
      <c r="B13" s="58" t="s">
        <v>508</v>
      </c>
      <c r="C13" s="58"/>
      <c r="D13" s="57"/>
      <c r="E13" s="57"/>
      <c r="F13" s="57"/>
      <c r="G13" s="57"/>
      <c r="H13" s="24">
        <f>SUM(I13)-1</f>
        <v>12</v>
      </c>
      <c r="I13" s="24">
        <f>SUM(J13)-1</f>
        <v>13</v>
      </c>
      <c r="J13" s="33">
        <v>14</v>
      </c>
      <c r="K13" s="24">
        <f>SUM(J13)+1</f>
        <v>15</v>
      </c>
      <c r="L13" s="24">
        <f>SUM(K13)</f>
        <v>15</v>
      </c>
      <c r="M13" s="88">
        <f>SUM(L13)+1</f>
        <v>16</v>
      </c>
    </row>
    <row r="14" spans="1:13" s="1" customFormat="1" ht="14.1" customHeight="1">
      <c r="A14" s="38"/>
      <c r="B14" s="56" t="s">
        <v>510</v>
      </c>
      <c r="C14" s="56"/>
      <c r="D14" s="47" t="s">
        <v>299</v>
      </c>
      <c r="E14" s="48"/>
      <c r="F14" s="48"/>
      <c r="G14" s="49"/>
      <c r="H14" s="36"/>
      <c r="I14" s="36"/>
      <c r="J14" s="35"/>
      <c r="K14" s="36"/>
      <c r="L14" s="36"/>
      <c r="M14" s="87"/>
    </row>
    <row r="15" spans="1:13" s="1" customFormat="1" ht="14.1" customHeight="1">
      <c r="A15" s="38">
        <v>7</v>
      </c>
      <c r="B15" s="58" t="s">
        <v>10</v>
      </c>
      <c r="C15" s="58"/>
      <c r="D15" s="57" t="s">
        <v>0</v>
      </c>
      <c r="E15" s="57"/>
      <c r="F15" s="57"/>
      <c r="G15" s="57"/>
      <c r="H15" s="24">
        <f>SUM(I15)-0.8</f>
        <v>12.899999999999999</v>
      </c>
      <c r="I15" s="24">
        <f>SUM(J15)-0.8</f>
        <v>13.7</v>
      </c>
      <c r="J15" s="23">
        <v>14.5</v>
      </c>
      <c r="K15" s="21">
        <f>SUM(J15)+0.8</f>
        <v>15.3</v>
      </c>
      <c r="L15" s="21">
        <f>SUM(K15)+0.8</f>
        <v>16.100000000000001</v>
      </c>
      <c r="M15" s="215">
        <f>SUM(L15)+0.8</f>
        <v>16.900000000000002</v>
      </c>
    </row>
    <row r="16" spans="1:13" s="1" customFormat="1" ht="14.1" customHeight="1">
      <c r="A16" s="38"/>
      <c r="B16" s="56" t="s">
        <v>28</v>
      </c>
      <c r="C16" s="56"/>
      <c r="D16" s="47" t="s">
        <v>51</v>
      </c>
      <c r="E16" s="48"/>
      <c r="F16" s="48"/>
      <c r="G16" s="49"/>
      <c r="H16" s="36"/>
      <c r="I16" s="36"/>
      <c r="J16" s="23"/>
      <c r="K16" s="21"/>
      <c r="L16" s="21"/>
      <c r="M16" s="215"/>
    </row>
    <row r="17" spans="1:13" s="1" customFormat="1" ht="14.1" customHeight="1">
      <c r="A17" s="38">
        <v>8</v>
      </c>
      <c r="B17" s="58" t="s">
        <v>1</v>
      </c>
      <c r="C17" s="58"/>
      <c r="D17" s="57" t="s">
        <v>180</v>
      </c>
      <c r="E17" s="57"/>
      <c r="F17" s="57"/>
      <c r="G17" s="57"/>
      <c r="H17" s="24">
        <f>SUM(I17)-0.6</f>
        <v>14.4</v>
      </c>
      <c r="I17" s="24">
        <f>SUM(J17)-0.6</f>
        <v>15</v>
      </c>
      <c r="J17" s="23">
        <v>15.6</v>
      </c>
      <c r="K17" s="21">
        <f>SUM(J17)+0.6</f>
        <v>16.2</v>
      </c>
      <c r="L17" s="21">
        <f>SUM(K17)+0.6</f>
        <v>16.8</v>
      </c>
      <c r="M17" s="215">
        <f>SUM(L17)+0.6</f>
        <v>17.400000000000002</v>
      </c>
    </row>
    <row r="18" spans="1:13" s="1" customFormat="1" ht="14.1" customHeight="1">
      <c r="A18" s="38"/>
      <c r="B18" s="56" t="s">
        <v>29</v>
      </c>
      <c r="C18" s="56"/>
      <c r="D18" s="47" t="s">
        <v>154</v>
      </c>
      <c r="E18" s="48"/>
      <c r="F18" s="48"/>
      <c r="G18" s="49"/>
      <c r="H18" s="36"/>
      <c r="I18" s="36"/>
      <c r="J18" s="23"/>
      <c r="K18" s="21"/>
      <c r="L18" s="21"/>
      <c r="M18" s="215"/>
    </row>
    <row r="19" spans="1:13" s="1" customFormat="1" ht="14.1" customHeight="1">
      <c r="A19" s="38">
        <v>9</v>
      </c>
      <c r="B19" s="58" t="s">
        <v>2</v>
      </c>
      <c r="C19" s="58"/>
      <c r="D19" s="57" t="s">
        <v>3</v>
      </c>
      <c r="E19" s="57"/>
      <c r="F19" s="57"/>
      <c r="G19" s="57"/>
      <c r="H19" s="24">
        <f>SUM(I19)-0.3</f>
        <v>5.4</v>
      </c>
      <c r="I19" s="24">
        <f>SUM(J19)-0.3</f>
        <v>5.7</v>
      </c>
      <c r="J19" s="23">
        <v>6</v>
      </c>
      <c r="K19" s="21">
        <f>SUM(J19)+0.3</f>
        <v>6.3</v>
      </c>
      <c r="L19" s="21">
        <f>SUM(K19)+0.3</f>
        <v>6.6</v>
      </c>
      <c r="M19" s="215">
        <f>SUM(L19)+0.3</f>
        <v>6.8999999999999995</v>
      </c>
    </row>
    <row r="20" spans="1:13" s="1" customFormat="1" ht="14.1" customHeight="1">
      <c r="A20" s="38"/>
      <c r="B20" s="56" t="s">
        <v>30</v>
      </c>
      <c r="C20" s="56"/>
      <c r="D20" s="47" t="s">
        <v>155</v>
      </c>
      <c r="E20" s="48"/>
      <c r="F20" s="48"/>
      <c r="G20" s="49"/>
      <c r="H20" s="36"/>
      <c r="I20" s="36"/>
      <c r="J20" s="23"/>
      <c r="K20" s="21"/>
      <c r="L20" s="21"/>
      <c r="M20" s="215"/>
    </row>
    <row r="21" spans="1:13" s="1" customFormat="1" ht="14.1" customHeight="1">
      <c r="A21" s="38">
        <v>10</v>
      </c>
      <c r="B21" s="51" t="s">
        <v>85</v>
      </c>
      <c r="C21" s="52"/>
      <c r="D21" s="59" t="s">
        <v>86</v>
      </c>
      <c r="E21" s="60"/>
      <c r="F21" s="60"/>
      <c r="G21" s="61"/>
      <c r="H21" s="58">
        <f>SUM(I21)-1.6</f>
        <v>35.799999999999997</v>
      </c>
      <c r="I21" s="58">
        <f>SUM(J21)-1.6</f>
        <v>37.4</v>
      </c>
      <c r="J21" s="219">
        <v>39</v>
      </c>
      <c r="K21" s="133">
        <f>SUM(J21)+1.6</f>
        <v>40.6</v>
      </c>
      <c r="L21" s="133">
        <f>SUM(K21)+1.6</f>
        <v>42.2</v>
      </c>
      <c r="M21" s="215">
        <f>SUM(L21)+1.6</f>
        <v>43.800000000000004</v>
      </c>
    </row>
    <row r="22" spans="1:13" s="1" customFormat="1" ht="14.1" customHeight="1">
      <c r="A22" s="38"/>
      <c r="B22" s="56" t="s">
        <v>37</v>
      </c>
      <c r="C22" s="56"/>
      <c r="D22" s="47" t="s">
        <v>517</v>
      </c>
      <c r="E22" s="48"/>
      <c r="F22" s="48"/>
      <c r="G22" s="49"/>
      <c r="H22" s="56"/>
      <c r="I22" s="56"/>
      <c r="J22" s="219"/>
      <c r="K22" s="133"/>
      <c r="L22" s="133"/>
      <c r="M22" s="215"/>
    </row>
    <row r="23" spans="1:13" s="1" customFormat="1" ht="14.1" customHeight="1">
      <c r="A23" s="38">
        <v>11</v>
      </c>
      <c r="B23" s="58" t="s">
        <v>511</v>
      </c>
      <c r="C23" s="58"/>
      <c r="D23" s="57" t="s">
        <v>5</v>
      </c>
      <c r="E23" s="57"/>
      <c r="F23" s="57"/>
      <c r="G23" s="57"/>
      <c r="H23" s="24">
        <f>SUM(I23)-3.6</f>
        <v>34.199999999999996</v>
      </c>
      <c r="I23" s="24">
        <f>SUM(J23)-3.6</f>
        <v>37.799999999999997</v>
      </c>
      <c r="J23" s="23">
        <v>41.4</v>
      </c>
      <c r="K23" s="21">
        <f>SUM(J23)+3.7</f>
        <v>45.1</v>
      </c>
      <c r="L23" s="21">
        <f>SUM(K23)+3.7</f>
        <v>48.800000000000004</v>
      </c>
      <c r="M23" s="215">
        <f>SUM(L23)+3.7</f>
        <v>52.500000000000007</v>
      </c>
    </row>
    <row r="24" spans="1:13" s="1" customFormat="1" ht="14.1" customHeight="1">
      <c r="A24" s="38"/>
      <c r="B24" s="56" t="s">
        <v>512</v>
      </c>
      <c r="C24" s="56"/>
      <c r="D24" s="47" t="s">
        <v>54</v>
      </c>
      <c r="E24" s="48"/>
      <c r="F24" s="48"/>
      <c r="G24" s="49"/>
      <c r="H24" s="36"/>
      <c r="I24" s="36"/>
      <c r="J24" s="23"/>
      <c r="K24" s="21"/>
      <c r="L24" s="21"/>
      <c r="M24" s="215"/>
    </row>
    <row r="25" spans="1:13" s="1" customFormat="1" ht="14.1" customHeight="1">
      <c r="A25" s="38">
        <v>12</v>
      </c>
      <c r="B25" s="58" t="s">
        <v>6</v>
      </c>
      <c r="C25" s="58"/>
      <c r="D25" s="59" t="s">
        <v>7</v>
      </c>
      <c r="E25" s="60"/>
      <c r="F25" s="60"/>
      <c r="G25" s="61"/>
      <c r="H25" s="24"/>
      <c r="I25" s="24"/>
      <c r="J25" s="23"/>
      <c r="K25" s="21"/>
      <c r="L25" s="21"/>
      <c r="M25" s="88"/>
    </row>
    <row r="26" spans="1:13" s="1" customFormat="1" ht="14.1" customHeight="1">
      <c r="A26" s="38"/>
      <c r="B26" s="56" t="s">
        <v>32</v>
      </c>
      <c r="C26" s="56"/>
      <c r="D26" s="47" t="s">
        <v>76</v>
      </c>
      <c r="E26" s="48"/>
      <c r="F26" s="48"/>
      <c r="G26" s="49"/>
      <c r="H26" s="36"/>
      <c r="I26" s="36"/>
      <c r="J26" s="23"/>
      <c r="K26" s="21"/>
      <c r="L26" s="21"/>
      <c r="M26" s="87"/>
    </row>
    <row r="27" spans="1:13" s="1" customFormat="1" ht="14.1" customHeight="1">
      <c r="A27" s="38">
        <v>13</v>
      </c>
      <c r="B27" s="51" t="s">
        <v>302</v>
      </c>
      <c r="C27" s="52"/>
      <c r="D27" s="57"/>
      <c r="E27" s="57"/>
      <c r="F27" s="57"/>
      <c r="G27" s="57"/>
      <c r="H27" s="24">
        <f>SUM(I27)-0.6</f>
        <v>14.8</v>
      </c>
      <c r="I27" s="24">
        <f>SUM(J27)-0.6</f>
        <v>15.4</v>
      </c>
      <c r="J27" s="23">
        <v>16</v>
      </c>
      <c r="K27" s="21">
        <f>SUM(J27)+0.6</f>
        <v>16.600000000000001</v>
      </c>
      <c r="L27" s="21">
        <f>SUM(K27)+0.6</f>
        <v>17.200000000000003</v>
      </c>
      <c r="M27" s="215">
        <f>SUM(L27)+0.6</f>
        <v>17.800000000000004</v>
      </c>
    </row>
    <row r="28" spans="1:13" s="1" customFormat="1" ht="14.1" customHeight="1">
      <c r="A28" s="38"/>
      <c r="B28" s="56" t="s">
        <v>303</v>
      </c>
      <c r="C28" s="56"/>
      <c r="D28" s="47"/>
      <c r="E28" s="48"/>
      <c r="F28" s="48"/>
      <c r="G28" s="49"/>
      <c r="H28" s="36"/>
      <c r="I28" s="36"/>
      <c r="J28" s="23"/>
      <c r="K28" s="21"/>
      <c r="L28" s="21"/>
      <c r="M28" s="215"/>
    </row>
    <row r="29" spans="1:13" s="1" customFormat="1" ht="14.1" customHeight="1">
      <c r="A29" s="38">
        <v>14</v>
      </c>
      <c r="B29" s="51" t="s">
        <v>186</v>
      </c>
      <c r="C29" s="52"/>
      <c r="D29" s="182"/>
      <c r="E29" s="183"/>
      <c r="F29" s="183"/>
      <c r="G29" s="184"/>
      <c r="H29" s="24">
        <f>SUM(I29)-3</f>
        <v>34</v>
      </c>
      <c r="I29" s="24">
        <f>SUM(J29)-3</f>
        <v>37</v>
      </c>
      <c r="J29" s="33">
        <v>40</v>
      </c>
      <c r="K29" s="24">
        <f>SUM(J29)+3</f>
        <v>43</v>
      </c>
      <c r="L29" s="24">
        <f>SUM(K29)+3</f>
        <v>46</v>
      </c>
      <c r="M29" s="88">
        <f>SUM(L29)+3</f>
        <v>49</v>
      </c>
    </row>
    <row r="30" spans="1:13" s="1" customFormat="1" ht="14.1" customHeight="1">
      <c r="A30" s="38"/>
      <c r="B30" s="36" t="s">
        <v>187</v>
      </c>
      <c r="C30" s="36"/>
      <c r="D30" s="114"/>
      <c r="E30" s="115"/>
      <c r="F30" s="115"/>
      <c r="G30" s="116"/>
      <c r="H30" s="36"/>
      <c r="I30" s="36"/>
      <c r="J30" s="35"/>
      <c r="K30" s="36"/>
      <c r="L30" s="36"/>
      <c r="M30" s="87"/>
    </row>
    <row r="31" spans="1:13" s="1" customFormat="1" ht="14.1" customHeight="1">
      <c r="A31" s="38">
        <v>15</v>
      </c>
      <c r="B31" s="51" t="s">
        <v>189</v>
      </c>
      <c r="C31" s="52"/>
      <c r="D31" s="182"/>
      <c r="E31" s="183"/>
      <c r="F31" s="183"/>
      <c r="G31" s="184"/>
      <c r="H31" s="24">
        <f>SUM(I31)-0.9</f>
        <v>10.199999999999999</v>
      </c>
      <c r="I31" s="24">
        <f>SUM(J31)-0.9</f>
        <v>11.1</v>
      </c>
      <c r="J31" s="33">
        <v>12</v>
      </c>
      <c r="K31" s="24">
        <f>SUM(J31)+0.9</f>
        <v>12.9</v>
      </c>
      <c r="L31" s="24">
        <f>SUM(K31)+0.9</f>
        <v>13.8</v>
      </c>
      <c r="M31" s="88">
        <f>SUM(L31)+0.9</f>
        <v>14.700000000000001</v>
      </c>
    </row>
    <row r="32" spans="1:13" s="1" customFormat="1" ht="14.1" customHeight="1">
      <c r="A32" s="38"/>
      <c r="B32" s="36" t="s">
        <v>190</v>
      </c>
      <c r="C32" s="36"/>
      <c r="D32" s="114"/>
      <c r="E32" s="115"/>
      <c r="F32" s="115"/>
      <c r="G32" s="116"/>
      <c r="H32" s="36"/>
      <c r="I32" s="36"/>
      <c r="J32" s="35"/>
      <c r="K32" s="36"/>
      <c r="L32" s="36"/>
      <c r="M32" s="87"/>
    </row>
    <row r="33" spans="1:13" s="1" customFormat="1" ht="14.1" customHeight="1">
      <c r="A33" s="38">
        <v>16</v>
      </c>
      <c r="B33" s="51" t="s">
        <v>513</v>
      </c>
      <c r="C33" s="52"/>
      <c r="D33" s="182"/>
      <c r="E33" s="183"/>
      <c r="F33" s="183"/>
      <c r="G33" s="184"/>
      <c r="H33" s="24">
        <f>SUM(I33)-0.9</f>
        <v>9.3999999999999986</v>
      </c>
      <c r="I33" s="24">
        <f>SUM(J33)-0.9</f>
        <v>10.299999999999999</v>
      </c>
      <c r="J33" s="33">
        <v>11.2</v>
      </c>
      <c r="K33" s="24">
        <f>SUM(J33)+0.9</f>
        <v>12.1</v>
      </c>
      <c r="L33" s="24">
        <f>SUM(K33)+0.9</f>
        <v>13</v>
      </c>
      <c r="M33" s="88">
        <f>SUM(L33)+0.9</f>
        <v>13.9</v>
      </c>
    </row>
    <row r="34" spans="1:13" s="1" customFormat="1" ht="14.1" customHeight="1">
      <c r="A34" s="154"/>
      <c r="B34" s="36" t="s">
        <v>514</v>
      </c>
      <c r="C34" s="36"/>
      <c r="D34" s="114"/>
      <c r="E34" s="115"/>
      <c r="F34" s="115"/>
      <c r="G34" s="116"/>
      <c r="H34" s="36"/>
      <c r="I34" s="36"/>
      <c r="J34" s="35"/>
      <c r="K34" s="36"/>
      <c r="L34" s="36"/>
      <c r="M34" s="87"/>
    </row>
    <row r="35" spans="1:13" s="1" customFormat="1" ht="14.1" customHeight="1">
      <c r="A35" s="38">
        <v>17</v>
      </c>
      <c r="B35" s="51" t="s">
        <v>191</v>
      </c>
      <c r="C35" s="52"/>
      <c r="D35" s="182"/>
      <c r="E35" s="183"/>
      <c r="F35" s="183"/>
      <c r="G35" s="184"/>
      <c r="H35" s="24">
        <f>SUM(I35)-1.1</f>
        <v>12.3</v>
      </c>
      <c r="I35" s="24">
        <f>SUM(J35)-1.1</f>
        <v>13.4</v>
      </c>
      <c r="J35" s="33">
        <v>14.5</v>
      </c>
      <c r="K35" s="24">
        <f>SUM(J35)+1.1</f>
        <v>15.6</v>
      </c>
      <c r="L35" s="24">
        <f>SUM(K35)+1.1</f>
        <v>16.7</v>
      </c>
      <c r="M35" s="88">
        <f>SUM(L35)+1.1</f>
        <v>17.8</v>
      </c>
    </row>
    <row r="36" spans="1:13" s="1" customFormat="1" ht="14.1" customHeight="1">
      <c r="A36" s="38"/>
      <c r="B36" s="36" t="s">
        <v>193</v>
      </c>
      <c r="C36" s="36"/>
      <c r="D36" s="114"/>
      <c r="E36" s="115"/>
      <c r="F36" s="115"/>
      <c r="G36" s="116"/>
      <c r="H36" s="36"/>
      <c r="I36" s="36"/>
      <c r="J36" s="35"/>
      <c r="K36" s="36"/>
      <c r="L36" s="36"/>
      <c r="M36" s="87"/>
    </row>
    <row r="37" spans="1:13" ht="14.1" customHeight="1">
      <c r="A37" s="38">
        <v>18</v>
      </c>
      <c r="B37" s="51" t="s">
        <v>515</v>
      </c>
      <c r="C37" s="52"/>
      <c r="D37" s="182"/>
      <c r="E37" s="183"/>
      <c r="F37" s="183"/>
      <c r="G37" s="184"/>
      <c r="H37" s="24">
        <f>SUM(I37)-1</f>
        <v>11.5</v>
      </c>
      <c r="I37" s="24">
        <f>SUM(J37)-1</f>
        <v>12.5</v>
      </c>
      <c r="J37" s="33">
        <v>13.5</v>
      </c>
      <c r="K37" s="24">
        <f>SUM(J37)+1</f>
        <v>14.5</v>
      </c>
      <c r="L37" s="24">
        <f>SUM(K37)+1</f>
        <v>15.5</v>
      </c>
      <c r="M37" s="88">
        <f>SUM(L37)+1</f>
        <v>16.5</v>
      </c>
    </row>
    <row r="38" spans="1:13" ht="14.1" customHeight="1">
      <c r="A38" s="154"/>
      <c r="B38" s="36" t="s">
        <v>516</v>
      </c>
      <c r="C38" s="36"/>
      <c r="D38" s="114"/>
      <c r="E38" s="115"/>
      <c r="F38" s="115"/>
      <c r="G38" s="116"/>
      <c r="H38" s="36"/>
      <c r="I38" s="36"/>
      <c r="J38" s="35"/>
      <c r="K38" s="36"/>
      <c r="L38" s="36"/>
      <c r="M38" s="87"/>
    </row>
    <row r="39" spans="1:13" ht="14.1" customHeight="1">
      <c r="A39" s="38">
        <v>19</v>
      </c>
      <c r="B39" s="58"/>
      <c r="C39" s="58"/>
      <c r="D39" s="59"/>
      <c r="E39" s="60"/>
      <c r="F39" s="60"/>
      <c r="G39" s="61"/>
      <c r="H39" s="24"/>
      <c r="I39" s="24"/>
      <c r="J39" s="23"/>
      <c r="K39" s="21"/>
      <c r="L39" s="21"/>
      <c r="M39" s="215"/>
    </row>
    <row r="40" spans="1:13" ht="14.1" customHeight="1">
      <c r="A40" s="38"/>
      <c r="B40" s="56"/>
      <c r="C40" s="56"/>
      <c r="D40" s="47"/>
      <c r="E40" s="48"/>
      <c r="F40" s="48"/>
      <c r="G40" s="49"/>
      <c r="H40" s="36"/>
      <c r="I40" s="36"/>
      <c r="J40" s="23"/>
      <c r="K40" s="21"/>
      <c r="L40" s="21"/>
      <c r="M40" s="215"/>
    </row>
    <row r="41" spans="1:13" ht="14.1" customHeight="1">
      <c r="A41" s="38">
        <v>20</v>
      </c>
      <c r="B41" s="40"/>
      <c r="C41" s="41"/>
      <c r="D41" s="42"/>
      <c r="E41" s="43"/>
      <c r="F41" s="43"/>
      <c r="G41" s="44"/>
      <c r="H41" s="50"/>
      <c r="I41" s="50"/>
      <c r="J41" s="35"/>
      <c r="K41" s="36"/>
      <c r="L41" s="36"/>
      <c r="M41" s="87"/>
    </row>
    <row r="42" spans="1:13" ht="14.1" customHeight="1" thickBot="1">
      <c r="A42" s="39"/>
      <c r="B42" s="28"/>
      <c r="C42" s="29"/>
      <c r="D42" s="30"/>
      <c r="E42" s="31"/>
      <c r="F42" s="31"/>
      <c r="G42" s="32"/>
      <c r="H42" s="25"/>
      <c r="I42" s="25"/>
      <c r="J42" s="218"/>
      <c r="K42" s="216"/>
      <c r="L42" s="216"/>
      <c r="M42" s="217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</sheetData>
  <mergeCells count="223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7:A18"/>
    <mergeCell ref="B17:C17"/>
    <mergeCell ref="D17:G17"/>
    <mergeCell ref="H17:H18"/>
    <mergeCell ref="I17:I18"/>
    <mergeCell ref="A15:A16"/>
    <mergeCell ref="B15:C15"/>
    <mergeCell ref="D15:G15"/>
    <mergeCell ref="H15:H16"/>
    <mergeCell ref="I15:I16"/>
    <mergeCell ref="J17:J18"/>
    <mergeCell ref="K17:K18"/>
    <mergeCell ref="L17:L18"/>
    <mergeCell ref="M17:M18"/>
    <mergeCell ref="B18:C18"/>
    <mergeCell ref="D18:G18"/>
    <mergeCell ref="K15:K16"/>
    <mergeCell ref="L15:L16"/>
    <mergeCell ref="M15:M16"/>
    <mergeCell ref="B16:C16"/>
    <mergeCell ref="D16:G16"/>
    <mergeCell ref="J15:J16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J21:J22"/>
    <mergeCell ref="K21:K22"/>
    <mergeCell ref="L21:L22"/>
    <mergeCell ref="M21:M22"/>
    <mergeCell ref="B22:C22"/>
    <mergeCell ref="D22:G22"/>
    <mergeCell ref="K19:K20"/>
    <mergeCell ref="L19:L20"/>
    <mergeCell ref="M19:M20"/>
    <mergeCell ref="B20:C20"/>
    <mergeCell ref="D20:G20"/>
    <mergeCell ref="J19:J20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B32:C32"/>
    <mergeCell ref="D32:G32"/>
    <mergeCell ref="K29:K30"/>
    <mergeCell ref="L29:L30"/>
    <mergeCell ref="M29:M30"/>
    <mergeCell ref="B30:C30"/>
    <mergeCell ref="D30:G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9:J30"/>
    <mergeCell ref="A13:A14"/>
    <mergeCell ref="B13:C13"/>
    <mergeCell ref="D13:G13"/>
    <mergeCell ref="H13:H14"/>
    <mergeCell ref="I13:I14"/>
    <mergeCell ref="A41:A42"/>
    <mergeCell ref="B41:C41"/>
    <mergeCell ref="D41:G41"/>
    <mergeCell ref="H41:H42"/>
    <mergeCell ref="I41:I42"/>
    <mergeCell ref="B40:C40"/>
    <mergeCell ref="D40:G40"/>
    <mergeCell ref="B34:C34"/>
    <mergeCell ref="D34:G34"/>
    <mergeCell ref="A39:A40"/>
    <mergeCell ref="B39:C39"/>
    <mergeCell ref="D39:G39"/>
    <mergeCell ref="H39:H40"/>
    <mergeCell ref="I39:I40"/>
    <mergeCell ref="A33:A34"/>
    <mergeCell ref="B33:C33"/>
    <mergeCell ref="D33:G33"/>
    <mergeCell ref="H33:H34"/>
    <mergeCell ref="I33:I34"/>
    <mergeCell ref="J13:J14"/>
    <mergeCell ref="K13:K14"/>
    <mergeCell ref="L13:L14"/>
    <mergeCell ref="M13:M14"/>
    <mergeCell ref="B14:C14"/>
    <mergeCell ref="D14:G14"/>
    <mergeCell ref="K41:K42"/>
    <mergeCell ref="L41:L42"/>
    <mergeCell ref="M41:M42"/>
    <mergeCell ref="B42:C42"/>
    <mergeCell ref="D42:G42"/>
    <mergeCell ref="J41:J42"/>
    <mergeCell ref="J39:J40"/>
    <mergeCell ref="K39:K40"/>
    <mergeCell ref="L39:L40"/>
    <mergeCell ref="M39:M40"/>
    <mergeCell ref="K33:K34"/>
    <mergeCell ref="L33:L34"/>
    <mergeCell ref="M33:M34"/>
    <mergeCell ref="J33:J34"/>
    <mergeCell ref="J31:J32"/>
    <mergeCell ref="K31:K32"/>
    <mergeCell ref="L31:L32"/>
    <mergeCell ref="M31:M32"/>
    <mergeCell ref="M35:M36"/>
    <mergeCell ref="B36:C36"/>
    <mergeCell ref="D36:G36"/>
    <mergeCell ref="A37:A38"/>
    <mergeCell ref="B37:C37"/>
    <mergeCell ref="D37:G37"/>
    <mergeCell ref="M37:M38"/>
    <mergeCell ref="B38:C38"/>
    <mergeCell ref="D38:G38"/>
    <mergeCell ref="K37:K38"/>
    <mergeCell ref="L37:L38"/>
    <mergeCell ref="A35:A36"/>
    <mergeCell ref="B35:C35"/>
    <mergeCell ref="D35:G35"/>
    <mergeCell ref="H35:H36"/>
    <mergeCell ref="H37:H38"/>
    <mergeCell ref="I37:I38"/>
    <mergeCell ref="J37:J38"/>
    <mergeCell ref="I35:I36"/>
    <mergeCell ref="J35:J36"/>
    <mergeCell ref="K35:K36"/>
    <mergeCell ref="L35:L36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B9B25-936E-4590-9A63-0AFE6D7809CB}">
  <sheetPr codeName="Sheet186">
    <tabColor rgb="FF00B050"/>
    <pageSetUpPr fitToPage="1"/>
  </sheetPr>
  <dimension ref="A1:M55"/>
  <sheetViews>
    <sheetView zoomScale="110" zoomScaleNormal="110" workbookViewId="0">
      <selection activeCell="R16" sqref="R1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2" width="5.5" customWidth="1"/>
    <col min="13" max="13" width="5.5" style="8" customWidth="1"/>
  </cols>
  <sheetData>
    <row r="1" spans="1:13" ht="16.5" customHeight="1" thickBot="1">
      <c r="A1" s="67" t="s">
        <v>330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</row>
    <row r="3" spans="1:13" s="1" customFormat="1" ht="14.1" customHeight="1">
      <c r="A3" s="169">
        <v>1</v>
      </c>
      <c r="B3" s="80" t="s">
        <v>45</v>
      </c>
      <c r="C3" s="81"/>
      <c r="D3" s="74" t="s">
        <v>181</v>
      </c>
      <c r="E3" s="82"/>
      <c r="F3" s="82"/>
      <c r="G3" s="83"/>
      <c r="H3" s="24">
        <f>SUM(I3)-5</f>
        <v>57</v>
      </c>
      <c r="I3" s="24">
        <f>SUM(J3)-5</f>
        <v>62</v>
      </c>
      <c r="J3" s="33">
        <v>67</v>
      </c>
      <c r="K3" s="24">
        <f>SUM(J3)+5</f>
        <v>72</v>
      </c>
      <c r="L3" s="24">
        <f>SUM(K3)+5</f>
        <v>77</v>
      </c>
      <c r="M3" s="88">
        <f>SUM(L3)+5</f>
        <v>82</v>
      </c>
    </row>
    <row r="4" spans="1:13" s="1" customFormat="1" ht="14.1" customHeight="1">
      <c r="A4" s="71"/>
      <c r="B4" s="45" t="s">
        <v>42</v>
      </c>
      <c r="C4" s="46"/>
      <c r="D4" s="47" t="s">
        <v>124</v>
      </c>
      <c r="E4" s="48"/>
      <c r="F4" s="48"/>
      <c r="G4" s="49"/>
      <c r="H4" s="36"/>
      <c r="I4" s="36"/>
      <c r="J4" s="35"/>
      <c r="K4" s="36"/>
      <c r="L4" s="36"/>
      <c r="M4" s="87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SUM(I5)-1.8</f>
        <v>18</v>
      </c>
      <c r="I5" s="24">
        <f>SUM(J5)-1.8</f>
        <v>19.8</v>
      </c>
      <c r="J5" s="33">
        <v>21.6</v>
      </c>
      <c r="K5" s="24">
        <f>SUM(J5)+1.6</f>
        <v>23.200000000000003</v>
      </c>
      <c r="L5" s="24">
        <f>SUM(K5)+1.6</f>
        <v>24.800000000000004</v>
      </c>
      <c r="M5" s="88">
        <f>SUM(L5)+1.6</f>
        <v>26.400000000000006</v>
      </c>
    </row>
    <row r="6" spans="1:13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87"/>
    </row>
    <row r="7" spans="1:13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</f>
        <v>24</v>
      </c>
      <c r="I7" s="24">
        <f>SUM(J7)-2</f>
        <v>26</v>
      </c>
      <c r="J7" s="33">
        <v>28</v>
      </c>
      <c r="K7" s="24">
        <f>SUM(J7)+1.8</f>
        <v>29.8</v>
      </c>
      <c r="L7" s="24">
        <f>SUM(K7)+1.8</f>
        <v>31.6</v>
      </c>
      <c r="M7" s="88">
        <f>SUM(L7)+1.8</f>
        <v>33.4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87"/>
    </row>
    <row r="9" spans="1:13" s="1" customFormat="1" ht="14.1" customHeight="1">
      <c r="A9" s="38">
        <v>4</v>
      </c>
      <c r="B9" s="58" t="s">
        <v>336</v>
      </c>
      <c r="C9" s="58"/>
      <c r="D9" s="57"/>
      <c r="E9" s="57"/>
      <c r="F9" s="57"/>
      <c r="G9" s="57"/>
      <c r="H9" s="24">
        <f>SUM(I9)-3</f>
        <v>50</v>
      </c>
      <c r="I9" s="24">
        <f>SUM(J9)-3</f>
        <v>53</v>
      </c>
      <c r="J9" s="33">
        <v>56</v>
      </c>
      <c r="K9" s="24">
        <f>SUM(J9)+3</f>
        <v>59</v>
      </c>
      <c r="L9" s="24">
        <f>SUM(K9)+3</f>
        <v>62</v>
      </c>
      <c r="M9" s="88">
        <f>SUM(L9)+3</f>
        <v>65</v>
      </c>
    </row>
    <row r="10" spans="1:13" s="1" customFormat="1" ht="14.1" customHeight="1">
      <c r="A10" s="38"/>
      <c r="B10" s="56" t="s">
        <v>337</v>
      </c>
      <c r="C10" s="56"/>
      <c r="D10" s="47"/>
      <c r="E10" s="48"/>
      <c r="F10" s="48"/>
      <c r="G10" s="49"/>
      <c r="H10" s="36"/>
      <c r="I10" s="36"/>
      <c r="J10" s="35"/>
      <c r="K10" s="36"/>
      <c r="L10" s="36"/>
      <c r="M10" s="87"/>
    </row>
    <row r="11" spans="1:13" s="1" customFormat="1" ht="14.1" customHeight="1">
      <c r="A11" s="38">
        <v>5</v>
      </c>
      <c r="B11" s="58" t="s">
        <v>331</v>
      </c>
      <c r="C11" s="58"/>
      <c r="D11" s="57"/>
      <c r="E11" s="57"/>
      <c r="F11" s="57"/>
      <c r="G11" s="57"/>
      <c r="H11" s="24">
        <f>SUM(I11)-0.2</f>
        <v>2.5999999999999996</v>
      </c>
      <c r="I11" s="24">
        <f>SUM(J11)-0.2</f>
        <v>2.8</v>
      </c>
      <c r="J11" s="33">
        <v>3</v>
      </c>
      <c r="K11" s="24">
        <f>SUM(J11)+0.2</f>
        <v>3.2</v>
      </c>
      <c r="L11" s="24">
        <f>SUM(K11)+0.2</f>
        <v>3.4000000000000004</v>
      </c>
      <c r="M11" s="88">
        <f>SUM(L11)+0.2</f>
        <v>3.6000000000000005</v>
      </c>
    </row>
    <row r="12" spans="1:13" s="1" customFormat="1" ht="14.1" customHeight="1">
      <c r="A12" s="38"/>
      <c r="B12" s="56" t="s">
        <v>332</v>
      </c>
      <c r="C12" s="56"/>
      <c r="D12" s="47" t="s">
        <v>333</v>
      </c>
      <c r="E12" s="48"/>
      <c r="F12" s="48"/>
      <c r="G12" s="49"/>
      <c r="H12" s="36"/>
      <c r="I12" s="36"/>
      <c r="J12" s="35"/>
      <c r="K12" s="36"/>
      <c r="L12" s="36"/>
      <c r="M12" s="87"/>
    </row>
    <row r="13" spans="1:13" s="1" customFormat="1" ht="14.1" customHeight="1">
      <c r="A13" s="38">
        <v>6</v>
      </c>
      <c r="B13" s="58" t="s">
        <v>10</v>
      </c>
      <c r="C13" s="58"/>
      <c r="D13" s="57" t="s">
        <v>0</v>
      </c>
      <c r="E13" s="57"/>
      <c r="F13" s="57"/>
      <c r="G13" s="57"/>
      <c r="H13" s="24">
        <f>SUM(I13)-0.8</f>
        <v>12.2</v>
      </c>
      <c r="I13" s="24">
        <f>SUM(J13)-0.8</f>
        <v>13</v>
      </c>
      <c r="J13" s="23">
        <v>13.8</v>
      </c>
      <c r="K13" s="21">
        <f>SUM(J13)+0.8</f>
        <v>14.600000000000001</v>
      </c>
      <c r="L13" s="21">
        <f>SUM(K13)+0.8</f>
        <v>15.400000000000002</v>
      </c>
      <c r="M13" s="215">
        <f>SUM(L13)+0.8</f>
        <v>16.200000000000003</v>
      </c>
    </row>
    <row r="14" spans="1:13" s="1" customFormat="1" ht="14.1" customHeight="1">
      <c r="A14" s="38"/>
      <c r="B14" s="56" t="s">
        <v>28</v>
      </c>
      <c r="C14" s="56"/>
      <c r="D14" s="47" t="s">
        <v>51</v>
      </c>
      <c r="E14" s="48"/>
      <c r="F14" s="48"/>
      <c r="G14" s="49"/>
      <c r="H14" s="36"/>
      <c r="I14" s="36"/>
      <c r="J14" s="23"/>
      <c r="K14" s="21"/>
      <c r="L14" s="21"/>
      <c r="M14" s="215"/>
    </row>
    <row r="15" spans="1:13" s="1" customFormat="1" ht="14.1" customHeight="1">
      <c r="A15" s="38">
        <v>7</v>
      </c>
      <c r="B15" s="58" t="s">
        <v>1</v>
      </c>
      <c r="C15" s="58"/>
      <c r="D15" s="57" t="s">
        <v>180</v>
      </c>
      <c r="E15" s="57"/>
      <c r="F15" s="57"/>
      <c r="G15" s="57"/>
      <c r="H15" s="24">
        <f>SUM(I15)-0.6</f>
        <v>11</v>
      </c>
      <c r="I15" s="24">
        <f>SUM(J15)-0.6</f>
        <v>11.6</v>
      </c>
      <c r="J15" s="23">
        <v>12.2</v>
      </c>
      <c r="K15" s="21">
        <f>SUM(J15)+0.6</f>
        <v>12.799999999999999</v>
      </c>
      <c r="L15" s="21">
        <f>SUM(K15)+0.6</f>
        <v>13.399999999999999</v>
      </c>
      <c r="M15" s="215">
        <f>SUM(L15)+0.6</f>
        <v>13.999999999999998</v>
      </c>
    </row>
    <row r="16" spans="1:13" s="1" customFormat="1" ht="14.1" customHeight="1">
      <c r="A16" s="38"/>
      <c r="B16" s="56" t="s">
        <v>29</v>
      </c>
      <c r="C16" s="56"/>
      <c r="D16" s="47" t="s">
        <v>154</v>
      </c>
      <c r="E16" s="48"/>
      <c r="F16" s="48"/>
      <c r="G16" s="49"/>
      <c r="H16" s="36"/>
      <c r="I16" s="36"/>
      <c r="J16" s="23"/>
      <c r="K16" s="21"/>
      <c r="L16" s="21"/>
      <c r="M16" s="215"/>
    </row>
    <row r="17" spans="1:13" s="1" customFormat="1" ht="14.1" customHeight="1">
      <c r="A17" s="38">
        <v>8</v>
      </c>
      <c r="B17" s="58" t="s">
        <v>2</v>
      </c>
      <c r="C17" s="58"/>
      <c r="D17" s="57" t="s">
        <v>3</v>
      </c>
      <c r="E17" s="57"/>
      <c r="F17" s="57"/>
      <c r="G17" s="57"/>
      <c r="H17" s="24">
        <f>SUM(I17)-0.3</f>
        <v>5.9</v>
      </c>
      <c r="I17" s="24">
        <f>SUM(J17)-0.3</f>
        <v>6.2</v>
      </c>
      <c r="J17" s="23">
        <v>6.5</v>
      </c>
      <c r="K17" s="21">
        <f>SUM(J17)+0.3</f>
        <v>6.8</v>
      </c>
      <c r="L17" s="21">
        <f>SUM(K17)+0.3</f>
        <v>7.1</v>
      </c>
      <c r="M17" s="215">
        <f>SUM(L17)+0.3</f>
        <v>7.3999999999999995</v>
      </c>
    </row>
    <row r="18" spans="1:13" s="1" customFormat="1" ht="14.1" customHeight="1">
      <c r="A18" s="38"/>
      <c r="B18" s="56" t="s">
        <v>30</v>
      </c>
      <c r="C18" s="56"/>
      <c r="D18" s="47" t="s">
        <v>155</v>
      </c>
      <c r="E18" s="48"/>
      <c r="F18" s="48"/>
      <c r="G18" s="49"/>
      <c r="H18" s="36"/>
      <c r="I18" s="36"/>
      <c r="J18" s="23"/>
      <c r="K18" s="21"/>
      <c r="L18" s="21"/>
      <c r="M18" s="215"/>
    </row>
    <row r="19" spans="1:13" s="1" customFormat="1" ht="14.1" customHeight="1">
      <c r="A19" s="38">
        <v>9</v>
      </c>
      <c r="B19" s="51" t="s">
        <v>334</v>
      </c>
      <c r="C19" s="52"/>
      <c r="D19" s="59"/>
      <c r="E19" s="60"/>
      <c r="F19" s="60"/>
      <c r="G19" s="61"/>
      <c r="H19" s="58">
        <f>SUM(I19)-2.2</f>
        <v>45.599999999999994</v>
      </c>
      <c r="I19" s="58">
        <f>SUM(J19)-2.2</f>
        <v>47.8</v>
      </c>
      <c r="J19" s="219">
        <v>50</v>
      </c>
      <c r="K19" s="133">
        <f>SUM(J19)+2.2</f>
        <v>52.2</v>
      </c>
      <c r="L19" s="133">
        <f>SUM(K19)+2.2</f>
        <v>54.400000000000006</v>
      </c>
      <c r="M19" s="215">
        <f>SUM(L19)+2.2</f>
        <v>56.600000000000009</v>
      </c>
    </row>
    <row r="20" spans="1:13" s="1" customFormat="1" ht="14.1" customHeight="1">
      <c r="A20" s="38"/>
      <c r="B20" s="56" t="s">
        <v>335</v>
      </c>
      <c r="C20" s="56"/>
      <c r="D20" s="47"/>
      <c r="E20" s="48"/>
      <c r="F20" s="48"/>
      <c r="G20" s="49"/>
      <c r="H20" s="56"/>
      <c r="I20" s="56"/>
      <c r="J20" s="219"/>
      <c r="K20" s="133"/>
      <c r="L20" s="133"/>
      <c r="M20" s="215"/>
    </row>
    <row r="21" spans="1:13" s="1" customFormat="1" ht="14.1" customHeight="1">
      <c r="A21" s="38">
        <v>10</v>
      </c>
      <c r="B21" s="58" t="s">
        <v>4</v>
      </c>
      <c r="C21" s="58"/>
      <c r="D21" s="57" t="s">
        <v>5</v>
      </c>
      <c r="E21" s="57"/>
      <c r="F21" s="57"/>
      <c r="G21" s="57"/>
      <c r="H21" s="24">
        <f>SUM(I21)-3.6</f>
        <v>34</v>
      </c>
      <c r="I21" s="24">
        <f>SUM(J21)-3.6</f>
        <v>37.6</v>
      </c>
      <c r="J21" s="23">
        <v>41.2</v>
      </c>
      <c r="K21" s="21">
        <f>SUM(J21)+3.7</f>
        <v>44.900000000000006</v>
      </c>
      <c r="L21" s="21">
        <f>SUM(K21)+3.7</f>
        <v>48.600000000000009</v>
      </c>
      <c r="M21" s="215">
        <f>SUM(L21)+3.7</f>
        <v>52.300000000000011</v>
      </c>
    </row>
    <row r="22" spans="1:13" s="1" customFormat="1" ht="14.1" customHeight="1">
      <c r="A22" s="38"/>
      <c r="B22" s="56" t="s">
        <v>31</v>
      </c>
      <c r="C22" s="56"/>
      <c r="D22" s="47" t="s">
        <v>54</v>
      </c>
      <c r="E22" s="48"/>
      <c r="F22" s="48"/>
      <c r="G22" s="49"/>
      <c r="H22" s="36"/>
      <c r="I22" s="36"/>
      <c r="J22" s="23"/>
      <c r="K22" s="21"/>
      <c r="L22" s="21"/>
      <c r="M22" s="215"/>
    </row>
    <row r="23" spans="1:13" s="1" customFormat="1" ht="14.1" customHeight="1">
      <c r="A23" s="38">
        <v>11</v>
      </c>
      <c r="B23" s="58" t="s">
        <v>6</v>
      </c>
      <c r="C23" s="58"/>
      <c r="D23" s="59" t="s">
        <v>7</v>
      </c>
      <c r="E23" s="60"/>
      <c r="F23" s="60"/>
      <c r="G23" s="61"/>
      <c r="H23" s="24"/>
      <c r="I23" s="24"/>
      <c r="J23" s="23"/>
      <c r="K23" s="21"/>
      <c r="L23" s="21"/>
      <c r="M23" s="88"/>
    </row>
    <row r="24" spans="1:13" s="1" customFormat="1" ht="14.1" customHeight="1">
      <c r="A24" s="38"/>
      <c r="B24" s="56" t="s">
        <v>32</v>
      </c>
      <c r="C24" s="56"/>
      <c r="D24" s="47" t="s">
        <v>76</v>
      </c>
      <c r="E24" s="48"/>
      <c r="F24" s="48"/>
      <c r="G24" s="49"/>
      <c r="H24" s="36"/>
      <c r="I24" s="36"/>
      <c r="J24" s="23"/>
      <c r="K24" s="21"/>
      <c r="L24" s="21"/>
      <c r="M24" s="87"/>
    </row>
    <row r="25" spans="1:13" s="1" customFormat="1" ht="14.1" customHeight="1">
      <c r="A25" s="38">
        <v>12</v>
      </c>
      <c r="B25" s="51" t="s">
        <v>122</v>
      </c>
      <c r="C25" s="52"/>
      <c r="D25" s="57" t="s">
        <v>78</v>
      </c>
      <c r="E25" s="57"/>
      <c r="F25" s="57"/>
      <c r="G25" s="57"/>
      <c r="H25" s="24">
        <f>SUM(I25)-0.6</f>
        <v>14</v>
      </c>
      <c r="I25" s="24">
        <f>SUM(J25)-0.6</f>
        <v>14.6</v>
      </c>
      <c r="J25" s="23">
        <v>15.2</v>
      </c>
      <c r="K25" s="21">
        <f>SUM(J25)+0.6</f>
        <v>15.799999999999999</v>
      </c>
      <c r="L25" s="21">
        <f>SUM(K25)+0.6</f>
        <v>16.399999999999999</v>
      </c>
      <c r="M25" s="215">
        <f>SUM(L25)+0.6</f>
        <v>17</v>
      </c>
    </row>
    <row r="26" spans="1:13" s="1" customFormat="1" ht="14.1" customHeight="1">
      <c r="A26" s="38"/>
      <c r="B26" s="56" t="s">
        <v>33</v>
      </c>
      <c r="C26" s="56"/>
      <c r="D26" s="47" t="s">
        <v>79</v>
      </c>
      <c r="E26" s="48"/>
      <c r="F26" s="48"/>
      <c r="G26" s="49"/>
      <c r="H26" s="36"/>
      <c r="I26" s="36"/>
      <c r="J26" s="23"/>
      <c r="K26" s="21"/>
      <c r="L26" s="21"/>
      <c r="M26" s="215"/>
    </row>
    <row r="27" spans="1:13" s="1" customFormat="1" ht="14.1" customHeight="1">
      <c r="A27" s="38">
        <v>13</v>
      </c>
      <c r="B27" s="51" t="s">
        <v>186</v>
      </c>
      <c r="C27" s="52"/>
      <c r="D27" s="182"/>
      <c r="E27" s="183"/>
      <c r="F27" s="183"/>
      <c r="G27" s="184"/>
      <c r="H27" s="24">
        <f>SUM(I27)-3</f>
        <v>36</v>
      </c>
      <c r="I27" s="24">
        <f>SUM(J27)-3</f>
        <v>39</v>
      </c>
      <c r="J27" s="33">
        <v>42</v>
      </c>
      <c r="K27" s="24">
        <f>SUM(J27)+3</f>
        <v>45</v>
      </c>
      <c r="L27" s="24">
        <f>SUM(K27)+3</f>
        <v>48</v>
      </c>
      <c r="M27" s="88">
        <f>SUM(L27)+3</f>
        <v>51</v>
      </c>
    </row>
    <row r="28" spans="1:13" s="1" customFormat="1" ht="14.1" customHeight="1">
      <c r="A28" s="38"/>
      <c r="B28" s="36" t="s">
        <v>187</v>
      </c>
      <c r="C28" s="36"/>
      <c r="D28" s="114"/>
      <c r="E28" s="115"/>
      <c r="F28" s="115"/>
      <c r="G28" s="116"/>
      <c r="H28" s="36"/>
      <c r="I28" s="36"/>
      <c r="J28" s="35"/>
      <c r="K28" s="36"/>
      <c r="L28" s="36"/>
      <c r="M28" s="87"/>
    </row>
    <row r="29" spans="1:13" s="1" customFormat="1" ht="14.1" customHeight="1">
      <c r="A29" s="38">
        <v>14</v>
      </c>
      <c r="B29" s="58" t="s">
        <v>338</v>
      </c>
      <c r="C29" s="58"/>
      <c r="D29" s="59"/>
      <c r="E29" s="60"/>
      <c r="F29" s="60"/>
      <c r="G29" s="61"/>
      <c r="H29" s="24">
        <f>SUM(I29)-1.9</f>
        <v>22.200000000000003</v>
      </c>
      <c r="I29" s="24">
        <f>SUM(J29)-1.9</f>
        <v>24.1</v>
      </c>
      <c r="J29" s="23">
        <v>26</v>
      </c>
      <c r="K29" s="21">
        <f>SUM(J29)+1.9</f>
        <v>27.9</v>
      </c>
      <c r="L29" s="21">
        <f>SUM(K29)+1.9</f>
        <v>29.799999999999997</v>
      </c>
      <c r="M29" s="215">
        <f>SUM(L29)+1.9</f>
        <v>31.699999999999996</v>
      </c>
    </row>
    <row r="30" spans="1:13" s="1" customFormat="1" ht="14.1" customHeight="1">
      <c r="A30" s="38"/>
      <c r="B30" s="56" t="s">
        <v>339</v>
      </c>
      <c r="C30" s="56"/>
      <c r="D30" s="47"/>
      <c r="E30" s="48"/>
      <c r="F30" s="48"/>
      <c r="G30" s="49"/>
      <c r="H30" s="36"/>
      <c r="I30" s="36"/>
      <c r="J30" s="23"/>
      <c r="K30" s="21"/>
      <c r="L30" s="21"/>
      <c r="M30" s="215"/>
    </row>
    <row r="31" spans="1:13" s="1" customFormat="1" ht="14.1" customHeight="1">
      <c r="A31" s="38">
        <v>15</v>
      </c>
      <c r="B31" s="58" t="s">
        <v>340</v>
      </c>
      <c r="C31" s="58"/>
      <c r="D31" s="59"/>
      <c r="E31" s="60"/>
      <c r="F31" s="60"/>
      <c r="G31" s="61"/>
      <c r="H31" s="24">
        <f>SUM(I31)-1.1</f>
        <v>13.8</v>
      </c>
      <c r="I31" s="24">
        <f>SUM(J31)-1.1</f>
        <v>14.9</v>
      </c>
      <c r="J31" s="23">
        <v>16</v>
      </c>
      <c r="K31" s="21">
        <f>SUM(J31)+1.1</f>
        <v>17.100000000000001</v>
      </c>
      <c r="L31" s="21">
        <f>SUM(K31)+1.1</f>
        <v>18.200000000000003</v>
      </c>
      <c r="M31" s="215">
        <f>SUM(L31)+1.1</f>
        <v>19.300000000000004</v>
      </c>
    </row>
    <row r="32" spans="1:13" s="1" customFormat="1" ht="14.1" customHeight="1">
      <c r="A32" s="38"/>
      <c r="B32" s="56" t="s">
        <v>341</v>
      </c>
      <c r="C32" s="56"/>
      <c r="D32" s="47"/>
      <c r="E32" s="48"/>
      <c r="F32" s="48"/>
      <c r="G32" s="49"/>
      <c r="H32" s="36"/>
      <c r="I32" s="36"/>
      <c r="J32" s="23"/>
      <c r="K32" s="21"/>
      <c r="L32" s="21"/>
      <c r="M32" s="215"/>
    </row>
    <row r="33" spans="1:13" s="1" customFormat="1" ht="14.1" customHeight="1">
      <c r="A33" s="38">
        <v>16</v>
      </c>
      <c r="B33" s="51" t="s">
        <v>176</v>
      </c>
      <c r="C33" s="52"/>
      <c r="D33" s="53"/>
      <c r="E33" s="54"/>
      <c r="F33" s="54"/>
      <c r="G33" s="55"/>
      <c r="H33" s="24">
        <f>SUM(I33)-0.2</f>
        <v>0.90000000000000013</v>
      </c>
      <c r="I33" s="24">
        <f>SUM(J33)-0.2</f>
        <v>1.1000000000000001</v>
      </c>
      <c r="J33" s="23">
        <v>1.3</v>
      </c>
      <c r="K33" s="21">
        <f>SUM(J33)+0.2</f>
        <v>1.5</v>
      </c>
      <c r="L33" s="21">
        <f>SUM(K33)+0.2</f>
        <v>1.7</v>
      </c>
      <c r="M33" s="215">
        <f>SUM(L33)+0.2</f>
        <v>1.9</v>
      </c>
    </row>
    <row r="34" spans="1:13" s="1" customFormat="1" ht="14.1" customHeight="1">
      <c r="A34" s="38"/>
      <c r="B34" s="45" t="s">
        <v>175</v>
      </c>
      <c r="C34" s="46"/>
      <c r="D34" s="47"/>
      <c r="E34" s="48"/>
      <c r="F34" s="48"/>
      <c r="G34" s="49"/>
      <c r="H34" s="36"/>
      <c r="I34" s="36"/>
      <c r="J34" s="23"/>
      <c r="K34" s="21"/>
      <c r="L34" s="21"/>
      <c r="M34" s="215"/>
    </row>
    <row r="35" spans="1:13" s="1" customFormat="1" ht="14.1" customHeight="1">
      <c r="A35" s="38">
        <v>17</v>
      </c>
      <c r="B35" s="51" t="s">
        <v>174</v>
      </c>
      <c r="C35" s="52"/>
      <c r="D35" s="53"/>
      <c r="E35" s="54"/>
      <c r="F35" s="54"/>
      <c r="G35" s="55"/>
      <c r="H35" s="24">
        <f>SUM(I35)-0.4</f>
        <v>3.4000000000000004</v>
      </c>
      <c r="I35" s="24">
        <f>SUM(J35)-0.4</f>
        <v>3.8000000000000003</v>
      </c>
      <c r="J35" s="23">
        <v>4.2</v>
      </c>
      <c r="K35" s="21">
        <f>SUM(J35)+0.4</f>
        <v>4.6000000000000005</v>
      </c>
      <c r="L35" s="21">
        <f>SUM(K35)+0.4</f>
        <v>5.0000000000000009</v>
      </c>
      <c r="M35" s="215">
        <f>SUM(L35)+0.4</f>
        <v>5.4000000000000012</v>
      </c>
    </row>
    <row r="36" spans="1:13" s="1" customFormat="1" ht="14.1" customHeight="1">
      <c r="A36" s="38"/>
      <c r="B36" s="45" t="s">
        <v>173</v>
      </c>
      <c r="C36" s="46"/>
      <c r="D36" s="47"/>
      <c r="E36" s="48"/>
      <c r="F36" s="48"/>
      <c r="G36" s="49"/>
      <c r="H36" s="36"/>
      <c r="I36" s="36"/>
      <c r="J36" s="23"/>
      <c r="K36" s="21"/>
      <c r="L36" s="21"/>
      <c r="M36" s="215"/>
    </row>
    <row r="37" spans="1:13" ht="14.1" customHeight="1">
      <c r="A37" s="38">
        <v>18</v>
      </c>
      <c r="B37" s="51"/>
      <c r="C37" s="52"/>
      <c r="D37" s="53"/>
      <c r="E37" s="54"/>
      <c r="F37" s="54"/>
      <c r="G37" s="55"/>
      <c r="H37" s="24"/>
      <c r="I37" s="24"/>
      <c r="J37" s="23"/>
      <c r="K37" s="21"/>
      <c r="L37" s="21"/>
      <c r="M37" s="215"/>
    </row>
    <row r="38" spans="1:13" ht="14.1" customHeight="1" thickBot="1">
      <c r="A38" s="39"/>
      <c r="B38" s="28"/>
      <c r="C38" s="29"/>
      <c r="D38" s="30"/>
      <c r="E38" s="31"/>
      <c r="F38" s="31"/>
      <c r="G38" s="32"/>
      <c r="H38" s="25"/>
      <c r="I38" s="25"/>
      <c r="J38" s="218"/>
      <c r="K38" s="216"/>
      <c r="L38" s="216"/>
      <c r="M38" s="217"/>
    </row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</sheetData>
  <mergeCells count="201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K5:K6"/>
    <mergeCell ref="L5:L6"/>
    <mergeCell ref="M5:M6"/>
    <mergeCell ref="B6:C6"/>
    <mergeCell ref="D6:G6"/>
    <mergeCell ref="A7:A8"/>
    <mergeCell ref="B7:C7"/>
    <mergeCell ref="D7:G7"/>
    <mergeCell ref="H7:H8"/>
    <mergeCell ref="I7:I8"/>
    <mergeCell ref="J7:J8"/>
    <mergeCell ref="K7:K8"/>
    <mergeCell ref="L7:L8"/>
    <mergeCell ref="M7:M8"/>
    <mergeCell ref="B8:C8"/>
    <mergeCell ref="D8:G8"/>
    <mergeCell ref="A9:A10"/>
    <mergeCell ref="B9:C9"/>
    <mergeCell ref="D9:G9"/>
    <mergeCell ref="H9:H10"/>
    <mergeCell ref="I9:I10"/>
    <mergeCell ref="J9:J10"/>
    <mergeCell ref="K9:K10"/>
    <mergeCell ref="L9:L10"/>
    <mergeCell ref="M9:M10"/>
    <mergeCell ref="B10:C10"/>
    <mergeCell ref="D10:G10"/>
    <mergeCell ref="A11:A12"/>
    <mergeCell ref="B11:C11"/>
    <mergeCell ref="D11:G11"/>
    <mergeCell ref="H11:H12"/>
    <mergeCell ref="I11:I12"/>
    <mergeCell ref="J11:J12"/>
    <mergeCell ref="K11:K12"/>
    <mergeCell ref="L11:L12"/>
    <mergeCell ref="M11:M12"/>
    <mergeCell ref="B12:C12"/>
    <mergeCell ref="D12:G12"/>
    <mergeCell ref="A13:A14"/>
    <mergeCell ref="B13:C13"/>
    <mergeCell ref="D13:G13"/>
    <mergeCell ref="H13:H14"/>
    <mergeCell ref="I13:I14"/>
    <mergeCell ref="J13:J14"/>
    <mergeCell ref="K13:K14"/>
    <mergeCell ref="L13:L14"/>
    <mergeCell ref="M13:M14"/>
    <mergeCell ref="B14:C14"/>
    <mergeCell ref="D14:G14"/>
    <mergeCell ref="A15:A16"/>
    <mergeCell ref="B15:C15"/>
    <mergeCell ref="D15:G15"/>
    <mergeCell ref="H15:H16"/>
    <mergeCell ref="I15:I16"/>
    <mergeCell ref="J15:J16"/>
    <mergeCell ref="K15:K16"/>
    <mergeCell ref="L15:L16"/>
    <mergeCell ref="M15:M16"/>
    <mergeCell ref="B16:C16"/>
    <mergeCell ref="D16:G16"/>
    <mergeCell ref="A17:A18"/>
    <mergeCell ref="B17:C17"/>
    <mergeCell ref="D17:G17"/>
    <mergeCell ref="H17:H18"/>
    <mergeCell ref="I17:I18"/>
    <mergeCell ref="J17:J18"/>
    <mergeCell ref="K17:K18"/>
    <mergeCell ref="L17:L18"/>
    <mergeCell ref="M17:M18"/>
    <mergeCell ref="B18:C18"/>
    <mergeCell ref="D18:G18"/>
    <mergeCell ref="A19:A20"/>
    <mergeCell ref="B19:C19"/>
    <mergeCell ref="D19:G19"/>
    <mergeCell ref="H19:H20"/>
    <mergeCell ref="I19:I20"/>
    <mergeCell ref="J19:J20"/>
    <mergeCell ref="K19:K20"/>
    <mergeCell ref="L19:L20"/>
    <mergeCell ref="M19:M20"/>
    <mergeCell ref="B20:C20"/>
    <mergeCell ref="D20:G20"/>
    <mergeCell ref="A21:A22"/>
    <mergeCell ref="B21:C21"/>
    <mergeCell ref="D21:G21"/>
    <mergeCell ref="H21:H22"/>
    <mergeCell ref="I21:I22"/>
    <mergeCell ref="J21:J22"/>
    <mergeCell ref="K21:K22"/>
    <mergeCell ref="L21:L22"/>
    <mergeCell ref="M21:M22"/>
    <mergeCell ref="B22:C22"/>
    <mergeCell ref="D22:G22"/>
    <mergeCell ref="A23:A24"/>
    <mergeCell ref="B23:C23"/>
    <mergeCell ref="D23:G23"/>
    <mergeCell ref="H23:H24"/>
    <mergeCell ref="I23:I24"/>
    <mergeCell ref="J23:J24"/>
    <mergeCell ref="K23:K24"/>
    <mergeCell ref="L23:L24"/>
    <mergeCell ref="M23:M24"/>
    <mergeCell ref="B24:C24"/>
    <mergeCell ref="D24:G24"/>
    <mergeCell ref="A25:A26"/>
    <mergeCell ref="B25:C25"/>
    <mergeCell ref="D25:G25"/>
    <mergeCell ref="H25:H26"/>
    <mergeCell ref="I25:I26"/>
    <mergeCell ref="J25:J26"/>
    <mergeCell ref="K25:K26"/>
    <mergeCell ref="L25:L26"/>
    <mergeCell ref="M25:M26"/>
    <mergeCell ref="B26:C26"/>
    <mergeCell ref="D26:G26"/>
    <mergeCell ref="A27:A28"/>
    <mergeCell ref="B27:C27"/>
    <mergeCell ref="D27:G27"/>
    <mergeCell ref="H27:H28"/>
    <mergeCell ref="I27:I28"/>
    <mergeCell ref="J27:J28"/>
    <mergeCell ref="K27:K28"/>
    <mergeCell ref="L27:L28"/>
    <mergeCell ref="M27:M28"/>
    <mergeCell ref="B28:C28"/>
    <mergeCell ref="D28:G28"/>
    <mergeCell ref="A29:A30"/>
    <mergeCell ref="B29:C29"/>
    <mergeCell ref="D29:G29"/>
    <mergeCell ref="H29:H30"/>
    <mergeCell ref="I29:I30"/>
    <mergeCell ref="J29:J30"/>
    <mergeCell ref="K29:K30"/>
    <mergeCell ref="L29:L30"/>
    <mergeCell ref="M29:M30"/>
    <mergeCell ref="B30:C30"/>
    <mergeCell ref="D30:G30"/>
    <mergeCell ref="A31:A32"/>
    <mergeCell ref="B31:C31"/>
    <mergeCell ref="D31:G31"/>
    <mergeCell ref="H31:H32"/>
    <mergeCell ref="I31:I32"/>
    <mergeCell ref="J31:J32"/>
    <mergeCell ref="K31:K32"/>
    <mergeCell ref="L31:L32"/>
    <mergeCell ref="M31:M32"/>
    <mergeCell ref="B32:C32"/>
    <mergeCell ref="D32:G32"/>
    <mergeCell ref="A33:A34"/>
    <mergeCell ref="B33:C33"/>
    <mergeCell ref="D33:G33"/>
    <mergeCell ref="H33:H34"/>
    <mergeCell ref="I33:I34"/>
    <mergeCell ref="J33:J34"/>
    <mergeCell ref="K33:K34"/>
    <mergeCell ref="L33:L34"/>
    <mergeCell ref="M33:M34"/>
    <mergeCell ref="B34:C34"/>
    <mergeCell ref="D34:G34"/>
    <mergeCell ref="A37:A38"/>
    <mergeCell ref="B37:C37"/>
    <mergeCell ref="D37:G37"/>
    <mergeCell ref="H37:H38"/>
    <mergeCell ref="I37:I38"/>
    <mergeCell ref="J35:J36"/>
    <mergeCell ref="J37:J38"/>
    <mergeCell ref="K37:K38"/>
    <mergeCell ref="L37:L38"/>
    <mergeCell ref="A35:A36"/>
    <mergeCell ref="M37:M38"/>
    <mergeCell ref="B38:C38"/>
    <mergeCell ref="D38:G38"/>
    <mergeCell ref="K35:K36"/>
    <mergeCell ref="L35:L36"/>
    <mergeCell ref="M35:M36"/>
    <mergeCell ref="I35:I36"/>
    <mergeCell ref="B36:C36"/>
    <mergeCell ref="D36:G36"/>
    <mergeCell ref="B35:C35"/>
    <mergeCell ref="D35:G35"/>
    <mergeCell ref="H35:H36"/>
  </mergeCells>
  <phoneticPr fontId="31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6D05C-F448-4129-A553-7E63AA242EA3}">
  <sheetPr>
    <tabColor rgb="FF00B050"/>
    <pageSetUpPr fitToPage="1"/>
  </sheetPr>
  <dimension ref="A1:M57"/>
  <sheetViews>
    <sheetView zoomScale="110" zoomScaleNormal="110" workbookViewId="0">
      <selection activeCell="M25" sqref="M25:M2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611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24">
        <f>SUM(I3)-5</f>
        <v>53</v>
      </c>
      <c r="I3" s="24">
        <f>SUM(J3)-5</f>
        <v>58</v>
      </c>
      <c r="J3" s="75">
        <v>63</v>
      </c>
      <c r="K3" s="76">
        <f>SUM(J3)+5</f>
        <v>68</v>
      </c>
      <c r="L3" s="76">
        <f>SUM(K3)+5</f>
        <v>73</v>
      </c>
      <c r="M3" s="77">
        <f>SUM(L3)+5</f>
        <v>78</v>
      </c>
    </row>
    <row r="4" spans="1:13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24"/>
      <c r="L4" s="24"/>
      <c r="M4" s="26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SUM(I5)-1.8</f>
        <v>23.4</v>
      </c>
      <c r="I5" s="24">
        <f>SUM(J5)-1.8</f>
        <v>25.2</v>
      </c>
      <c r="J5" s="33">
        <v>27</v>
      </c>
      <c r="K5" s="24">
        <f>SUM(J5)+1.6</f>
        <v>28.6</v>
      </c>
      <c r="L5" s="24">
        <f>SUM(K5)+1.6</f>
        <v>30.200000000000003</v>
      </c>
      <c r="M5" s="26">
        <f>SUM(L5)+1.6</f>
        <v>31.800000000000004</v>
      </c>
    </row>
    <row r="6" spans="1:13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37"/>
    </row>
    <row r="7" spans="1:13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29.5</v>
      </c>
      <c r="I7" s="24">
        <f>SUM(J7)-2.25</f>
        <v>31.75</v>
      </c>
      <c r="J7" s="33">
        <v>34</v>
      </c>
      <c r="K7" s="24">
        <f>SUM(J7)+2</f>
        <v>36</v>
      </c>
      <c r="L7" s="24">
        <f>SUM(K7)+2</f>
        <v>38</v>
      </c>
      <c r="M7" s="26">
        <f>SUM(L7)+2</f>
        <v>40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37"/>
    </row>
    <row r="9" spans="1:13" s="1" customFormat="1" ht="14.1" customHeight="1">
      <c r="A9" s="38">
        <v>4</v>
      </c>
      <c r="B9" s="58" t="s">
        <v>383</v>
      </c>
      <c r="C9" s="58"/>
      <c r="D9" s="57" t="s">
        <v>8</v>
      </c>
      <c r="E9" s="57"/>
      <c r="F9" s="57"/>
      <c r="G9" s="57"/>
      <c r="H9" s="24">
        <f>SUM(I9)-2.4</f>
        <v>32.200000000000003</v>
      </c>
      <c r="I9" s="24">
        <f>SUM(J9)-2.4</f>
        <v>34.6</v>
      </c>
      <c r="J9" s="33">
        <v>37</v>
      </c>
      <c r="K9" s="24">
        <f>SUM(J9)+2.2</f>
        <v>39.200000000000003</v>
      </c>
      <c r="L9" s="24">
        <f>SUM(K9)+2.2</f>
        <v>41.400000000000006</v>
      </c>
      <c r="M9" s="26">
        <f>SUM(L9)+2.2</f>
        <v>43.600000000000009</v>
      </c>
    </row>
    <row r="10" spans="1:13" s="1" customFormat="1" ht="14.1" customHeight="1">
      <c r="A10" s="38"/>
      <c r="B10" s="56" t="s">
        <v>384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7"/>
    </row>
    <row r="11" spans="1:13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SUM(I11)-0.8</f>
        <v>15.2</v>
      </c>
      <c r="I11" s="24">
        <f>SUM(J11)-0.8</f>
        <v>16</v>
      </c>
      <c r="J11" s="23">
        <v>16.8</v>
      </c>
      <c r="K11" s="21">
        <f>SUM(J11)+0.8</f>
        <v>17.600000000000001</v>
      </c>
      <c r="L11" s="21">
        <f>SUM(K11)+0.8</f>
        <v>18.400000000000002</v>
      </c>
      <c r="M11" s="22">
        <f>SUM(L11)+0.8</f>
        <v>19.200000000000003</v>
      </c>
    </row>
    <row r="12" spans="1:13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2"/>
    </row>
    <row r="13" spans="1:13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14.5</v>
      </c>
      <c r="I13" s="24">
        <f>SUM(J13)-0.6</f>
        <v>15.1</v>
      </c>
      <c r="J13" s="23">
        <v>15.7</v>
      </c>
      <c r="K13" s="21">
        <f>SUM(J13)+0.6</f>
        <v>16.3</v>
      </c>
      <c r="L13" s="21">
        <f>SUM(K13)+0.6</f>
        <v>16.900000000000002</v>
      </c>
      <c r="M13" s="22">
        <f>SUM(L13)+0.6</f>
        <v>17.500000000000004</v>
      </c>
    </row>
    <row r="14" spans="1:13" s="1" customFormat="1" ht="14.1" customHeight="1">
      <c r="A14" s="38"/>
      <c r="B14" s="56" t="s">
        <v>29</v>
      </c>
      <c r="C14" s="56"/>
      <c r="D14" s="47" t="s">
        <v>255</v>
      </c>
      <c r="E14" s="48"/>
      <c r="F14" s="48"/>
      <c r="G14" s="49"/>
      <c r="H14" s="36"/>
      <c r="I14" s="36"/>
      <c r="J14" s="23"/>
      <c r="K14" s="21"/>
      <c r="L14" s="21"/>
      <c r="M14" s="22"/>
    </row>
    <row r="15" spans="1:13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6.5</v>
      </c>
      <c r="I15" s="24">
        <f>SUM(J15)-0.3</f>
        <v>6.8</v>
      </c>
      <c r="J15" s="23">
        <v>7.1</v>
      </c>
      <c r="K15" s="21">
        <f>SUM(J15)+0.3</f>
        <v>7.3999999999999995</v>
      </c>
      <c r="L15" s="21">
        <f>SUM(K15)+0.3</f>
        <v>7.6999999999999993</v>
      </c>
      <c r="M15" s="22">
        <f>SUM(L15)+0.3</f>
        <v>7.9999999999999991</v>
      </c>
    </row>
    <row r="16" spans="1:13" s="1" customFormat="1" ht="14.1" customHeight="1">
      <c r="A16" s="38"/>
      <c r="B16" s="56" t="s">
        <v>30</v>
      </c>
      <c r="C16" s="56"/>
      <c r="D16" s="47" t="s">
        <v>379</v>
      </c>
      <c r="E16" s="48"/>
      <c r="F16" s="48"/>
      <c r="G16" s="49"/>
      <c r="H16" s="36"/>
      <c r="I16" s="36"/>
      <c r="J16" s="23"/>
      <c r="K16" s="21"/>
      <c r="L16" s="21"/>
      <c r="M16" s="22"/>
    </row>
    <row r="17" spans="1:13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37.299999999999997</v>
      </c>
      <c r="I17" s="24">
        <f>SUM(J17)-1.6</f>
        <v>38.9</v>
      </c>
      <c r="J17" s="23">
        <v>40.5</v>
      </c>
      <c r="K17" s="21">
        <f>SUM(J17)+1.6</f>
        <v>42.1</v>
      </c>
      <c r="L17" s="21">
        <f>SUM(K17)+1.6</f>
        <v>43.7</v>
      </c>
      <c r="M17" s="22">
        <f>SUM(L17)+1.6</f>
        <v>45.300000000000004</v>
      </c>
    </row>
    <row r="18" spans="1:13" s="1" customFormat="1" ht="14.1" customHeight="1">
      <c r="A18" s="38"/>
      <c r="B18" s="56" t="s">
        <v>37</v>
      </c>
      <c r="C18" s="56"/>
      <c r="D18" s="47" t="s">
        <v>107</v>
      </c>
      <c r="E18" s="48"/>
      <c r="F18" s="48"/>
      <c r="G18" s="49"/>
      <c r="H18" s="36"/>
      <c r="I18" s="36"/>
      <c r="J18" s="23"/>
      <c r="K18" s="21"/>
      <c r="L18" s="21"/>
      <c r="M18" s="22"/>
    </row>
    <row r="19" spans="1:13" s="1" customFormat="1" ht="14.1" customHeight="1">
      <c r="A19" s="38">
        <v>9</v>
      </c>
      <c r="B19" s="58" t="s">
        <v>4</v>
      </c>
      <c r="C19" s="58"/>
      <c r="D19" s="57" t="s">
        <v>5</v>
      </c>
      <c r="E19" s="57"/>
      <c r="F19" s="57"/>
      <c r="G19" s="57"/>
      <c r="H19" s="24"/>
      <c r="I19" s="24"/>
      <c r="J19" s="23"/>
      <c r="K19" s="21"/>
      <c r="L19" s="21"/>
      <c r="M19" s="22"/>
    </row>
    <row r="20" spans="1:13" s="1" customFormat="1" ht="14.1" customHeight="1">
      <c r="A20" s="38"/>
      <c r="B20" s="56" t="s">
        <v>31</v>
      </c>
      <c r="C20" s="56"/>
      <c r="D20" s="47" t="s">
        <v>54</v>
      </c>
      <c r="E20" s="48"/>
      <c r="F20" s="48"/>
      <c r="G20" s="49"/>
      <c r="H20" s="36"/>
      <c r="I20" s="36"/>
      <c r="J20" s="23"/>
      <c r="K20" s="21"/>
      <c r="L20" s="21"/>
      <c r="M20" s="22"/>
    </row>
    <row r="21" spans="1:13" s="1" customFormat="1" ht="14.1" customHeight="1">
      <c r="A21" s="38">
        <v>10</v>
      </c>
      <c r="B21" s="58" t="s">
        <v>6</v>
      </c>
      <c r="C21" s="58"/>
      <c r="D21" s="59" t="s">
        <v>7</v>
      </c>
      <c r="E21" s="60"/>
      <c r="F21" s="60"/>
      <c r="G21" s="61"/>
      <c r="H21" s="24"/>
      <c r="I21" s="24"/>
      <c r="J21" s="23"/>
      <c r="K21" s="21"/>
      <c r="L21" s="21"/>
      <c r="M21" s="22"/>
    </row>
    <row r="22" spans="1:13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9"/>
      <c r="H22" s="36"/>
      <c r="I22" s="36"/>
      <c r="J22" s="23"/>
      <c r="K22" s="21"/>
      <c r="L22" s="21"/>
      <c r="M22" s="22"/>
    </row>
    <row r="23" spans="1:13" s="1" customFormat="1" ht="14.1" customHeight="1">
      <c r="A23" s="38">
        <v>11</v>
      </c>
      <c r="B23" s="51" t="s">
        <v>77</v>
      </c>
      <c r="C23" s="52"/>
      <c r="D23" s="57" t="s">
        <v>78</v>
      </c>
      <c r="E23" s="57"/>
      <c r="F23" s="57"/>
      <c r="G23" s="57"/>
      <c r="H23" s="24"/>
      <c r="I23" s="24"/>
      <c r="J23" s="23"/>
      <c r="K23" s="21"/>
      <c r="L23" s="21"/>
      <c r="M23" s="22"/>
    </row>
    <row r="24" spans="1:13" s="1" customFormat="1" ht="14.1" customHeight="1">
      <c r="A24" s="38"/>
      <c r="B24" s="56" t="s">
        <v>33</v>
      </c>
      <c r="C24" s="56"/>
      <c r="D24" s="47" t="s">
        <v>79</v>
      </c>
      <c r="E24" s="48"/>
      <c r="F24" s="48"/>
      <c r="G24" s="49"/>
      <c r="H24" s="36"/>
      <c r="I24" s="36"/>
      <c r="J24" s="23"/>
      <c r="K24" s="21"/>
      <c r="L24" s="21"/>
      <c r="M24" s="22"/>
    </row>
    <row r="25" spans="1:13" s="1" customFormat="1" ht="14.1" customHeight="1">
      <c r="A25" s="38">
        <v>12</v>
      </c>
      <c r="B25" s="40" t="s">
        <v>540</v>
      </c>
      <c r="C25" s="41"/>
      <c r="D25" s="42"/>
      <c r="E25" s="43"/>
      <c r="F25" s="43"/>
      <c r="G25" s="44"/>
      <c r="H25" s="50">
        <f>SUM(I25)-2.4</f>
        <v>25.200000000000003</v>
      </c>
      <c r="I25" s="50">
        <f>SUM(J25)-2.4</f>
        <v>27.6</v>
      </c>
      <c r="J25" s="35">
        <v>30</v>
      </c>
      <c r="K25" s="36">
        <f>SUM(J25)+2.4</f>
        <v>32.4</v>
      </c>
      <c r="L25" s="36">
        <f>SUM(K25)+2.4</f>
        <v>34.799999999999997</v>
      </c>
      <c r="M25" s="37">
        <f>SUM(L25)+2.4</f>
        <v>37.199999999999996</v>
      </c>
    </row>
    <row r="26" spans="1:13" s="1" customFormat="1" ht="14.1" customHeight="1">
      <c r="A26" s="38"/>
      <c r="B26" s="45" t="s">
        <v>541</v>
      </c>
      <c r="C26" s="46"/>
      <c r="D26" s="47"/>
      <c r="E26" s="48"/>
      <c r="F26" s="48"/>
      <c r="G26" s="49"/>
      <c r="H26" s="36"/>
      <c r="I26" s="36"/>
      <c r="J26" s="23"/>
      <c r="K26" s="21"/>
      <c r="L26" s="21"/>
      <c r="M26" s="22"/>
    </row>
    <row r="27" spans="1:13" s="1" customFormat="1" ht="14.1" customHeight="1">
      <c r="A27" s="38">
        <v>13</v>
      </c>
      <c r="B27" s="51" t="s">
        <v>556</v>
      </c>
      <c r="C27" s="52"/>
      <c r="D27" s="53"/>
      <c r="E27" s="54"/>
      <c r="F27" s="54"/>
      <c r="G27" s="55"/>
      <c r="H27" s="24">
        <f>SUM(I27)-2.4</f>
        <v>30.200000000000003</v>
      </c>
      <c r="I27" s="24">
        <f>SUM(J27)-2.4</f>
        <v>32.6</v>
      </c>
      <c r="J27" s="23">
        <v>35</v>
      </c>
      <c r="K27" s="21">
        <f>SUM(J27)+2.4</f>
        <v>37.4</v>
      </c>
      <c r="L27" s="21">
        <f>SUM(K27)+2.4</f>
        <v>39.799999999999997</v>
      </c>
      <c r="M27" s="22">
        <f>SUM(L27)+2.4</f>
        <v>42.199999999999996</v>
      </c>
    </row>
    <row r="28" spans="1:13" s="1" customFormat="1" ht="14.1" customHeight="1">
      <c r="A28" s="38"/>
      <c r="B28" s="45" t="s">
        <v>171</v>
      </c>
      <c r="C28" s="46"/>
      <c r="D28" s="47"/>
      <c r="E28" s="48"/>
      <c r="F28" s="48"/>
      <c r="G28" s="49"/>
      <c r="H28" s="36"/>
      <c r="I28" s="36"/>
      <c r="J28" s="23"/>
      <c r="K28" s="21"/>
      <c r="L28" s="21"/>
      <c r="M28" s="22"/>
    </row>
    <row r="29" spans="1:13" s="1" customFormat="1" ht="14.1" customHeight="1">
      <c r="A29" s="38">
        <v>14</v>
      </c>
      <c r="B29" s="51"/>
      <c r="C29" s="52"/>
      <c r="D29" s="53"/>
      <c r="E29" s="54"/>
      <c r="F29" s="54"/>
      <c r="G29" s="55"/>
      <c r="H29" s="24"/>
      <c r="I29" s="24"/>
      <c r="J29" s="33"/>
      <c r="K29" s="24"/>
      <c r="L29" s="24"/>
      <c r="M29" s="88"/>
    </row>
    <row r="30" spans="1:13" s="1" customFormat="1" ht="14.1" customHeight="1">
      <c r="A30" s="38"/>
      <c r="B30" s="45"/>
      <c r="C30" s="46"/>
      <c r="D30" s="47"/>
      <c r="E30" s="48"/>
      <c r="F30" s="48"/>
      <c r="G30" s="49"/>
      <c r="H30" s="36"/>
      <c r="I30" s="36"/>
      <c r="J30" s="35"/>
      <c r="K30" s="36"/>
      <c r="L30" s="36"/>
      <c r="M30" s="87"/>
    </row>
    <row r="31" spans="1:13" s="1" customFormat="1" ht="14.1" customHeight="1">
      <c r="A31" s="38">
        <v>15</v>
      </c>
      <c r="B31" s="195"/>
      <c r="C31" s="196"/>
      <c r="D31" s="53"/>
      <c r="E31" s="54"/>
      <c r="F31" s="54"/>
      <c r="G31" s="55"/>
      <c r="H31" s="24"/>
      <c r="I31" s="24"/>
      <c r="J31" s="33"/>
      <c r="K31" s="24"/>
      <c r="L31" s="24"/>
      <c r="M31" s="88"/>
    </row>
    <row r="32" spans="1:13" s="1" customFormat="1" ht="14.1" customHeight="1">
      <c r="A32" s="38"/>
      <c r="B32" s="45"/>
      <c r="C32" s="46"/>
      <c r="D32" s="47"/>
      <c r="E32" s="48"/>
      <c r="F32" s="48"/>
      <c r="G32" s="49"/>
      <c r="H32" s="36"/>
      <c r="I32" s="36"/>
      <c r="J32" s="35"/>
      <c r="K32" s="36"/>
      <c r="L32" s="36"/>
      <c r="M32" s="87"/>
    </row>
    <row r="33" spans="1:13" s="1" customFormat="1" ht="14.1" customHeight="1">
      <c r="A33" s="38">
        <v>16</v>
      </c>
      <c r="B33" s="164"/>
      <c r="C33" s="165"/>
      <c r="D33" s="42"/>
      <c r="E33" s="43"/>
      <c r="F33" s="43"/>
      <c r="G33" s="44"/>
      <c r="H33" s="50"/>
      <c r="I33" s="50"/>
      <c r="J33" s="35"/>
      <c r="K33" s="36"/>
      <c r="L33" s="36"/>
      <c r="M33" s="87"/>
    </row>
    <row r="34" spans="1:13" s="1" customFormat="1" ht="14.1" customHeight="1" thickBot="1">
      <c r="A34" s="39"/>
      <c r="B34" s="28"/>
      <c r="C34" s="29"/>
      <c r="D34" s="30"/>
      <c r="E34" s="31"/>
      <c r="F34" s="31"/>
      <c r="G34" s="32"/>
      <c r="H34" s="25"/>
      <c r="I34" s="25"/>
      <c r="J34" s="218"/>
      <c r="K34" s="216"/>
      <c r="L34" s="216"/>
      <c r="M34" s="217"/>
    </row>
    <row r="35" spans="1:13" s="1" customFormat="1" ht="14.1" customHeight="1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 s="1" customFormat="1" ht="14.1" customHeight="1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 s="1" customFormat="1" ht="14.1" customHeight="1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 s="1" customFormat="1" ht="14.1" customHeight="1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179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6B5B1-A520-4BCA-BB16-BEF3827499E2}">
  <sheetPr codeName="Sheet185">
    <tabColor rgb="FF00B050"/>
    <pageSetUpPr fitToPage="1"/>
  </sheetPr>
  <dimension ref="A1:M55"/>
  <sheetViews>
    <sheetView zoomScale="110" zoomScaleNormal="110" workbookViewId="0">
      <selection activeCell="B9" sqref="B9:G1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2" width="5.5" customWidth="1"/>
    <col min="13" max="13" width="5.5" style="8" customWidth="1"/>
  </cols>
  <sheetData>
    <row r="1" spans="1:13" ht="16.5" customHeight="1" thickBot="1">
      <c r="A1" s="67" t="s">
        <v>294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</row>
    <row r="3" spans="1:13" s="1" customFormat="1" ht="14.1" customHeight="1">
      <c r="A3" s="169">
        <v>1</v>
      </c>
      <c r="B3" s="80" t="s">
        <v>45</v>
      </c>
      <c r="C3" s="81"/>
      <c r="D3" s="74" t="s">
        <v>181</v>
      </c>
      <c r="E3" s="82"/>
      <c r="F3" s="82"/>
      <c r="G3" s="83"/>
      <c r="H3" s="24">
        <f>SUM(I3)-5</f>
        <v>56</v>
      </c>
      <c r="I3" s="24">
        <f>SUM(J3)-5</f>
        <v>61</v>
      </c>
      <c r="J3" s="33">
        <v>66</v>
      </c>
      <c r="K3" s="24">
        <f>SUM(J3)+5</f>
        <v>71</v>
      </c>
      <c r="L3" s="24">
        <f>SUM(K3)+5</f>
        <v>76</v>
      </c>
      <c r="M3" s="88">
        <f>SUM(L3)+5</f>
        <v>81</v>
      </c>
    </row>
    <row r="4" spans="1:13" s="1" customFormat="1" ht="14.1" customHeight="1">
      <c r="A4" s="71"/>
      <c r="B4" s="45" t="s">
        <v>42</v>
      </c>
      <c r="C4" s="46"/>
      <c r="D4" s="47" t="s">
        <v>124</v>
      </c>
      <c r="E4" s="48"/>
      <c r="F4" s="48"/>
      <c r="G4" s="49"/>
      <c r="H4" s="36"/>
      <c r="I4" s="36"/>
      <c r="J4" s="35"/>
      <c r="K4" s="36"/>
      <c r="L4" s="36"/>
      <c r="M4" s="87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SUM(I5)-1.8</f>
        <v>21.4</v>
      </c>
      <c r="I5" s="24">
        <f>SUM(J5)-1.8</f>
        <v>23.2</v>
      </c>
      <c r="J5" s="33">
        <v>25</v>
      </c>
      <c r="K5" s="24">
        <f>SUM(J5)+1.6</f>
        <v>26.6</v>
      </c>
      <c r="L5" s="24">
        <f>SUM(K5)+1.6</f>
        <v>28.200000000000003</v>
      </c>
      <c r="M5" s="88">
        <f>SUM(L5)+1.6</f>
        <v>29.800000000000004</v>
      </c>
    </row>
    <row r="6" spans="1:13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87"/>
    </row>
    <row r="7" spans="1:13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28.5</v>
      </c>
      <c r="I7" s="24">
        <f>SUM(J7)-2.25</f>
        <v>30.75</v>
      </c>
      <c r="J7" s="33">
        <v>33</v>
      </c>
      <c r="K7" s="24">
        <f>SUM(J7)+2</f>
        <v>35</v>
      </c>
      <c r="L7" s="24">
        <f>SUM(K7)+2</f>
        <v>37</v>
      </c>
      <c r="M7" s="88">
        <f>SUM(L7)+2</f>
        <v>39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87"/>
    </row>
    <row r="9" spans="1:13" s="1" customFormat="1" ht="14.1" customHeight="1">
      <c r="A9" s="38">
        <v>4</v>
      </c>
      <c r="B9" s="58" t="s">
        <v>295</v>
      </c>
      <c r="C9" s="58"/>
      <c r="D9" s="57"/>
      <c r="E9" s="57"/>
      <c r="F9" s="57"/>
      <c r="G9" s="57"/>
      <c r="H9" s="24">
        <f>SUM(I9)-3</f>
        <v>52</v>
      </c>
      <c r="I9" s="24">
        <f>SUM(J9)-3</f>
        <v>55</v>
      </c>
      <c r="J9" s="33">
        <v>58</v>
      </c>
      <c r="K9" s="24">
        <f>SUM(J9)+3</f>
        <v>61</v>
      </c>
      <c r="L9" s="24">
        <f>SUM(K9)+3</f>
        <v>64</v>
      </c>
      <c r="M9" s="88">
        <f>SUM(L9)+3</f>
        <v>67</v>
      </c>
    </row>
    <row r="10" spans="1:13" s="1" customFormat="1" ht="14.1" customHeight="1">
      <c r="A10" s="38"/>
      <c r="B10" s="56" t="s">
        <v>296</v>
      </c>
      <c r="C10" s="56"/>
      <c r="D10" s="47"/>
      <c r="E10" s="48"/>
      <c r="F10" s="48"/>
      <c r="G10" s="49"/>
      <c r="H10" s="36"/>
      <c r="I10" s="36"/>
      <c r="J10" s="35"/>
      <c r="K10" s="36"/>
      <c r="L10" s="36"/>
      <c r="M10" s="87"/>
    </row>
    <row r="11" spans="1:13" s="1" customFormat="1" ht="14.1" customHeight="1">
      <c r="A11" s="38">
        <v>5</v>
      </c>
      <c r="B11" s="58" t="s">
        <v>297</v>
      </c>
      <c r="C11" s="58"/>
      <c r="D11" s="57"/>
      <c r="E11" s="57"/>
      <c r="F11" s="57"/>
      <c r="G11" s="57"/>
      <c r="H11" s="24">
        <f>SUM(I11)-1.3</f>
        <v>9.6999999999999993</v>
      </c>
      <c r="I11" s="24">
        <f>SUM(J11)-1.3</f>
        <v>11</v>
      </c>
      <c r="J11" s="33">
        <v>12.3</v>
      </c>
      <c r="K11" s="24">
        <f>SUM(J11)+1.3</f>
        <v>13.600000000000001</v>
      </c>
      <c r="L11" s="24">
        <f>SUM(K11)+1.3</f>
        <v>14.900000000000002</v>
      </c>
      <c r="M11" s="88">
        <f>SUM(L11)+1.3</f>
        <v>16.200000000000003</v>
      </c>
    </row>
    <row r="12" spans="1:13" s="1" customFormat="1" ht="14.1" customHeight="1">
      <c r="A12" s="38"/>
      <c r="B12" s="56" t="s">
        <v>298</v>
      </c>
      <c r="C12" s="56"/>
      <c r="D12" s="47" t="s">
        <v>299</v>
      </c>
      <c r="E12" s="48"/>
      <c r="F12" s="48"/>
      <c r="G12" s="49"/>
      <c r="H12" s="36"/>
      <c r="I12" s="36"/>
      <c r="J12" s="35"/>
      <c r="K12" s="36"/>
      <c r="L12" s="36"/>
      <c r="M12" s="87"/>
    </row>
    <row r="13" spans="1:13" s="1" customFormat="1" ht="14.1" customHeight="1">
      <c r="A13" s="38">
        <v>6</v>
      </c>
      <c r="B13" s="58" t="s">
        <v>10</v>
      </c>
      <c r="C13" s="58"/>
      <c r="D13" s="57" t="s">
        <v>0</v>
      </c>
      <c r="E13" s="57"/>
      <c r="F13" s="57"/>
      <c r="G13" s="57"/>
      <c r="H13" s="24">
        <f>SUM(I13)-0.8</f>
        <v>14.099999999999998</v>
      </c>
      <c r="I13" s="24">
        <f>SUM(J13)-0.8</f>
        <v>14.899999999999999</v>
      </c>
      <c r="J13" s="23">
        <v>15.7</v>
      </c>
      <c r="K13" s="21">
        <f>SUM(J13)+0.8</f>
        <v>16.5</v>
      </c>
      <c r="L13" s="21">
        <f>SUM(K13)+0.8</f>
        <v>17.3</v>
      </c>
      <c r="M13" s="215">
        <f>SUM(L13)+0.8</f>
        <v>18.100000000000001</v>
      </c>
    </row>
    <row r="14" spans="1:13" s="1" customFormat="1" ht="14.1" customHeight="1">
      <c r="A14" s="38"/>
      <c r="B14" s="56" t="s">
        <v>28</v>
      </c>
      <c r="C14" s="56"/>
      <c r="D14" s="47" t="s">
        <v>51</v>
      </c>
      <c r="E14" s="48"/>
      <c r="F14" s="48"/>
      <c r="G14" s="49"/>
      <c r="H14" s="36"/>
      <c r="I14" s="36"/>
      <c r="J14" s="23"/>
      <c r="K14" s="21"/>
      <c r="L14" s="21"/>
      <c r="M14" s="215"/>
    </row>
    <row r="15" spans="1:13" s="1" customFormat="1" ht="14.1" customHeight="1">
      <c r="A15" s="38">
        <v>7</v>
      </c>
      <c r="B15" s="58" t="s">
        <v>1</v>
      </c>
      <c r="C15" s="58"/>
      <c r="D15" s="57" t="s">
        <v>180</v>
      </c>
      <c r="E15" s="57"/>
      <c r="F15" s="57"/>
      <c r="G15" s="57"/>
      <c r="H15" s="24">
        <f>SUM(I15)-0.6</f>
        <v>13</v>
      </c>
      <c r="I15" s="24">
        <f>SUM(J15)-0.6</f>
        <v>13.6</v>
      </c>
      <c r="J15" s="23">
        <v>14.2</v>
      </c>
      <c r="K15" s="21">
        <f>SUM(J15)+0.6</f>
        <v>14.799999999999999</v>
      </c>
      <c r="L15" s="21">
        <f>SUM(K15)+0.6</f>
        <v>15.399999999999999</v>
      </c>
      <c r="M15" s="215">
        <f>SUM(L15)+0.6</f>
        <v>15.999999999999998</v>
      </c>
    </row>
    <row r="16" spans="1:13" s="1" customFormat="1" ht="14.1" customHeight="1">
      <c r="A16" s="38"/>
      <c r="B16" s="56" t="s">
        <v>29</v>
      </c>
      <c r="C16" s="56"/>
      <c r="D16" s="47" t="s">
        <v>154</v>
      </c>
      <c r="E16" s="48"/>
      <c r="F16" s="48"/>
      <c r="G16" s="49"/>
      <c r="H16" s="36"/>
      <c r="I16" s="36"/>
      <c r="J16" s="23"/>
      <c r="K16" s="21"/>
      <c r="L16" s="21"/>
      <c r="M16" s="215"/>
    </row>
    <row r="17" spans="1:13" s="1" customFormat="1" ht="14.1" customHeight="1">
      <c r="A17" s="38">
        <v>8</v>
      </c>
      <c r="B17" s="58" t="s">
        <v>2</v>
      </c>
      <c r="C17" s="58"/>
      <c r="D17" s="57" t="s">
        <v>3</v>
      </c>
      <c r="E17" s="57"/>
      <c r="F17" s="57"/>
      <c r="G17" s="57"/>
      <c r="H17" s="24">
        <f>SUM(I17)-0.3</f>
        <v>5.5</v>
      </c>
      <c r="I17" s="24">
        <f>SUM(J17)-0.3</f>
        <v>5.8</v>
      </c>
      <c r="J17" s="23">
        <v>6.1</v>
      </c>
      <c r="K17" s="21">
        <f>SUM(J17)+0.3</f>
        <v>6.3999999999999995</v>
      </c>
      <c r="L17" s="21">
        <f>SUM(K17)+0.3</f>
        <v>6.6999999999999993</v>
      </c>
      <c r="M17" s="215">
        <f>SUM(L17)+0.3</f>
        <v>6.9999999999999991</v>
      </c>
    </row>
    <row r="18" spans="1:13" s="1" customFormat="1" ht="14.1" customHeight="1">
      <c r="A18" s="38"/>
      <c r="B18" s="56" t="s">
        <v>30</v>
      </c>
      <c r="C18" s="56"/>
      <c r="D18" s="47" t="s">
        <v>155</v>
      </c>
      <c r="E18" s="48"/>
      <c r="F18" s="48"/>
      <c r="G18" s="49"/>
      <c r="H18" s="36"/>
      <c r="I18" s="36"/>
      <c r="J18" s="23"/>
      <c r="K18" s="21"/>
      <c r="L18" s="21"/>
      <c r="M18" s="215"/>
    </row>
    <row r="19" spans="1:13" s="1" customFormat="1" ht="14.1" customHeight="1">
      <c r="A19" s="38">
        <v>9</v>
      </c>
      <c r="B19" s="51" t="s">
        <v>85</v>
      </c>
      <c r="C19" s="52"/>
      <c r="D19" s="59" t="s">
        <v>86</v>
      </c>
      <c r="E19" s="60"/>
      <c r="F19" s="60"/>
      <c r="G19" s="61"/>
      <c r="H19" s="58">
        <f>SUM(I19)-1.6</f>
        <v>33.299999999999997</v>
      </c>
      <c r="I19" s="58">
        <f>SUM(J19)-1.6</f>
        <v>34.9</v>
      </c>
      <c r="J19" s="219">
        <v>36.5</v>
      </c>
      <c r="K19" s="133">
        <f>SUM(J19)+1.6</f>
        <v>38.1</v>
      </c>
      <c r="L19" s="133">
        <f>SUM(K19)+1.6</f>
        <v>39.700000000000003</v>
      </c>
      <c r="M19" s="215">
        <f>SUM(L19)+1.6</f>
        <v>41.300000000000004</v>
      </c>
    </row>
    <row r="20" spans="1:13" s="1" customFormat="1" ht="14.1" customHeight="1">
      <c r="A20" s="38"/>
      <c r="B20" s="56" t="s">
        <v>37</v>
      </c>
      <c r="C20" s="56"/>
      <c r="D20" s="47" t="s">
        <v>107</v>
      </c>
      <c r="E20" s="48"/>
      <c r="F20" s="48"/>
      <c r="G20" s="49"/>
      <c r="H20" s="56"/>
      <c r="I20" s="56"/>
      <c r="J20" s="219"/>
      <c r="K20" s="133"/>
      <c r="L20" s="133"/>
      <c r="M20" s="215"/>
    </row>
    <row r="21" spans="1:13" s="1" customFormat="1" ht="14.1" customHeight="1">
      <c r="A21" s="38">
        <v>10</v>
      </c>
      <c r="B21" s="58" t="s">
        <v>240</v>
      </c>
      <c r="C21" s="58"/>
      <c r="D21" s="57" t="s">
        <v>5</v>
      </c>
      <c r="E21" s="57"/>
      <c r="F21" s="57"/>
      <c r="G21" s="57"/>
      <c r="H21" s="24">
        <f>SUM(I21)-3.6</f>
        <v>36</v>
      </c>
      <c r="I21" s="24">
        <f>SUM(J21)-3.6</f>
        <v>39.6</v>
      </c>
      <c r="J21" s="23">
        <v>43.2</v>
      </c>
      <c r="K21" s="21">
        <f>SUM(J21)+3.7</f>
        <v>46.900000000000006</v>
      </c>
      <c r="L21" s="21">
        <f>SUM(K21)+3.7</f>
        <v>50.600000000000009</v>
      </c>
      <c r="M21" s="215">
        <f>SUM(L21)+3.7</f>
        <v>54.300000000000011</v>
      </c>
    </row>
    <row r="22" spans="1:13" s="1" customFormat="1" ht="14.1" customHeight="1">
      <c r="A22" s="38"/>
      <c r="B22" s="56" t="s">
        <v>300</v>
      </c>
      <c r="C22" s="56"/>
      <c r="D22" s="47" t="s">
        <v>54</v>
      </c>
      <c r="E22" s="48"/>
      <c r="F22" s="48"/>
      <c r="G22" s="49"/>
      <c r="H22" s="36"/>
      <c r="I22" s="36"/>
      <c r="J22" s="23"/>
      <c r="K22" s="21"/>
      <c r="L22" s="21"/>
      <c r="M22" s="215"/>
    </row>
    <row r="23" spans="1:13" s="1" customFormat="1" ht="14.1" customHeight="1">
      <c r="A23" s="38">
        <v>11</v>
      </c>
      <c r="B23" s="58" t="s">
        <v>241</v>
      </c>
      <c r="C23" s="58"/>
      <c r="D23" s="57" t="s">
        <v>5</v>
      </c>
      <c r="E23" s="57"/>
      <c r="F23" s="57"/>
      <c r="G23" s="57"/>
      <c r="H23" s="24">
        <f>SUM(I23)-3.6</f>
        <v>34.299999999999997</v>
      </c>
      <c r="I23" s="24">
        <f>SUM(J23)-3.6</f>
        <v>37.9</v>
      </c>
      <c r="J23" s="23">
        <v>41.5</v>
      </c>
      <c r="K23" s="21">
        <f>SUM(J23)+3.7</f>
        <v>45.2</v>
      </c>
      <c r="L23" s="21">
        <f>SUM(K23)+3.7</f>
        <v>48.900000000000006</v>
      </c>
      <c r="M23" s="215">
        <f>SUM(L23)+3.7</f>
        <v>52.600000000000009</v>
      </c>
    </row>
    <row r="24" spans="1:13" s="1" customFormat="1" ht="14.1" customHeight="1">
      <c r="A24" s="38"/>
      <c r="B24" s="56" t="s">
        <v>301</v>
      </c>
      <c r="C24" s="56"/>
      <c r="D24" s="47" t="s">
        <v>54</v>
      </c>
      <c r="E24" s="48"/>
      <c r="F24" s="48"/>
      <c r="G24" s="49"/>
      <c r="H24" s="36"/>
      <c r="I24" s="36"/>
      <c r="J24" s="23"/>
      <c r="K24" s="21"/>
      <c r="L24" s="21"/>
      <c r="M24" s="215"/>
    </row>
    <row r="25" spans="1:13" s="1" customFormat="1" ht="14.1" customHeight="1">
      <c r="A25" s="38">
        <v>12</v>
      </c>
      <c r="B25" s="58" t="s">
        <v>6</v>
      </c>
      <c r="C25" s="58"/>
      <c r="D25" s="59" t="s">
        <v>7</v>
      </c>
      <c r="E25" s="60"/>
      <c r="F25" s="60"/>
      <c r="G25" s="61"/>
      <c r="H25" s="24"/>
      <c r="I25" s="24"/>
      <c r="J25" s="23"/>
      <c r="K25" s="21"/>
      <c r="L25" s="21"/>
      <c r="M25" s="88"/>
    </row>
    <row r="26" spans="1:13" s="1" customFormat="1" ht="14.1" customHeight="1">
      <c r="A26" s="38"/>
      <c r="B26" s="56" t="s">
        <v>32</v>
      </c>
      <c r="C26" s="56"/>
      <c r="D26" s="47" t="s">
        <v>76</v>
      </c>
      <c r="E26" s="48"/>
      <c r="F26" s="48"/>
      <c r="G26" s="49"/>
      <c r="H26" s="36"/>
      <c r="I26" s="36"/>
      <c r="J26" s="23"/>
      <c r="K26" s="21"/>
      <c r="L26" s="21"/>
      <c r="M26" s="87"/>
    </row>
    <row r="27" spans="1:13" s="1" customFormat="1" ht="14.1" customHeight="1">
      <c r="A27" s="38">
        <v>13</v>
      </c>
      <c r="B27" s="51" t="s">
        <v>305</v>
      </c>
      <c r="C27" s="52"/>
      <c r="D27" s="57"/>
      <c r="E27" s="57"/>
      <c r="F27" s="57"/>
      <c r="G27" s="57"/>
      <c r="H27" s="24">
        <f>SUM(I27)-0.6</f>
        <v>14.8</v>
      </c>
      <c r="I27" s="24">
        <f>SUM(J27)-0.6</f>
        <v>15.4</v>
      </c>
      <c r="J27" s="23">
        <v>16</v>
      </c>
      <c r="K27" s="21">
        <f>SUM(J27)+0.6</f>
        <v>16.600000000000001</v>
      </c>
      <c r="L27" s="21">
        <f>SUM(K27)+0.6</f>
        <v>17.200000000000003</v>
      </c>
      <c r="M27" s="215">
        <f>SUM(L27)+0.6</f>
        <v>17.800000000000004</v>
      </c>
    </row>
    <row r="28" spans="1:13" s="1" customFormat="1" ht="14.1" customHeight="1">
      <c r="A28" s="38"/>
      <c r="B28" s="56" t="s">
        <v>306</v>
      </c>
      <c r="C28" s="56"/>
      <c r="D28" s="47"/>
      <c r="E28" s="48"/>
      <c r="F28" s="48"/>
      <c r="G28" s="49"/>
      <c r="H28" s="36"/>
      <c r="I28" s="36"/>
      <c r="J28" s="23"/>
      <c r="K28" s="21"/>
      <c r="L28" s="21"/>
      <c r="M28" s="215"/>
    </row>
    <row r="29" spans="1:13" s="1" customFormat="1" ht="14.1" customHeight="1">
      <c r="A29" s="38">
        <v>14</v>
      </c>
      <c r="B29" s="51" t="s">
        <v>302</v>
      </c>
      <c r="C29" s="52"/>
      <c r="D29" s="57"/>
      <c r="E29" s="57"/>
      <c r="F29" s="57"/>
      <c r="G29" s="57"/>
      <c r="H29" s="24">
        <f>SUM(I29)-0.6</f>
        <v>14.8</v>
      </c>
      <c r="I29" s="24">
        <f>SUM(J29)-0.6</f>
        <v>15.4</v>
      </c>
      <c r="J29" s="23">
        <v>16</v>
      </c>
      <c r="K29" s="21">
        <f>SUM(J29)+0.6</f>
        <v>16.600000000000001</v>
      </c>
      <c r="L29" s="21">
        <f>SUM(K29)+0.6</f>
        <v>17.200000000000003</v>
      </c>
      <c r="M29" s="215">
        <f>SUM(L29)+0.6</f>
        <v>17.800000000000004</v>
      </c>
    </row>
    <row r="30" spans="1:13" s="1" customFormat="1" ht="14.1" customHeight="1">
      <c r="A30" s="38"/>
      <c r="B30" s="56" t="s">
        <v>303</v>
      </c>
      <c r="C30" s="56"/>
      <c r="D30" s="47"/>
      <c r="E30" s="48"/>
      <c r="F30" s="48"/>
      <c r="G30" s="49"/>
      <c r="H30" s="36"/>
      <c r="I30" s="36"/>
      <c r="J30" s="23"/>
      <c r="K30" s="21"/>
      <c r="L30" s="21"/>
      <c r="M30" s="215"/>
    </row>
    <row r="31" spans="1:13" s="1" customFormat="1" ht="14.1" customHeight="1">
      <c r="A31" s="38">
        <v>15</v>
      </c>
      <c r="B31" s="51" t="s">
        <v>152</v>
      </c>
      <c r="C31" s="52"/>
      <c r="D31" s="182"/>
      <c r="E31" s="183"/>
      <c r="F31" s="183"/>
      <c r="G31" s="184"/>
      <c r="H31" s="24">
        <f>SUM(I31)-3</f>
        <v>35</v>
      </c>
      <c r="I31" s="24">
        <f>SUM(J31)-3</f>
        <v>38</v>
      </c>
      <c r="J31" s="33">
        <v>41</v>
      </c>
      <c r="K31" s="24">
        <f>SUM(J31)+3</f>
        <v>44</v>
      </c>
      <c r="L31" s="24">
        <f>SUM(K31)+3</f>
        <v>47</v>
      </c>
      <c r="M31" s="88">
        <f>SUM(L31)+3</f>
        <v>50</v>
      </c>
    </row>
    <row r="32" spans="1:13" s="1" customFormat="1" ht="14.1" customHeight="1">
      <c r="A32" s="38"/>
      <c r="B32" s="36" t="s">
        <v>151</v>
      </c>
      <c r="C32" s="36"/>
      <c r="D32" s="114" t="s">
        <v>304</v>
      </c>
      <c r="E32" s="115"/>
      <c r="F32" s="115"/>
      <c r="G32" s="116"/>
      <c r="H32" s="36"/>
      <c r="I32" s="36"/>
      <c r="J32" s="35"/>
      <c r="K32" s="36"/>
      <c r="L32" s="36"/>
      <c r="M32" s="87"/>
    </row>
    <row r="33" spans="1:13" s="1" customFormat="1" ht="14.1" customHeight="1">
      <c r="A33" s="38">
        <v>16</v>
      </c>
      <c r="B33" s="40" t="s">
        <v>172</v>
      </c>
      <c r="C33" s="41"/>
      <c r="D33" s="42"/>
      <c r="E33" s="43"/>
      <c r="F33" s="43"/>
      <c r="G33" s="44"/>
      <c r="H33" s="50">
        <f>SUM(I33)-2.4</f>
        <v>27.200000000000003</v>
      </c>
      <c r="I33" s="50">
        <f>SUM(J33)-2.4</f>
        <v>29.6</v>
      </c>
      <c r="J33" s="35">
        <v>32</v>
      </c>
      <c r="K33" s="36">
        <f>SUM(J33)+2.4</f>
        <v>34.4</v>
      </c>
      <c r="L33" s="36">
        <f>SUM(K33)+2.4</f>
        <v>36.799999999999997</v>
      </c>
      <c r="M33" s="87">
        <f>SUM(L33)+2.4</f>
        <v>39.199999999999996</v>
      </c>
    </row>
    <row r="34" spans="1:13" s="1" customFormat="1" ht="14.1" customHeight="1">
      <c r="A34" s="154"/>
      <c r="B34" s="40" t="s">
        <v>171</v>
      </c>
      <c r="C34" s="41"/>
      <c r="D34" s="100"/>
      <c r="E34" s="101"/>
      <c r="F34" s="101"/>
      <c r="G34" s="102"/>
      <c r="H34" s="50"/>
      <c r="I34" s="50"/>
      <c r="J34" s="33"/>
      <c r="K34" s="24"/>
      <c r="L34" s="24"/>
      <c r="M34" s="88"/>
    </row>
    <row r="35" spans="1:13" s="1" customFormat="1" ht="14.1" customHeight="1">
      <c r="A35" s="38">
        <v>17</v>
      </c>
      <c r="B35" s="58"/>
      <c r="C35" s="58"/>
      <c r="D35" s="59"/>
      <c r="E35" s="60"/>
      <c r="F35" s="60"/>
      <c r="G35" s="61"/>
      <c r="H35" s="24"/>
      <c r="I35" s="24"/>
      <c r="J35" s="23"/>
      <c r="K35" s="21"/>
      <c r="L35" s="21"/>
      <c r="M35" s="215"/>
    </row>
    <row r="36" spans="1:13" s="1" customFormat="1" ht="14.1" customHeight="1">
      <c r="A36" s="38"/>
      <c r="B36" s="56"/>
      <c r="C36" s="56"/>
      <c r="D36" s="47"/>
      <c r="E36" s="48"/>
      <c r="F36" s="48"/>
      <c r="G36" s="49"/>
      <c r="H36" s="36"/>
      <c r="I36" s="36"/>
      <c r="J36" s="23"/>
      <c r="K36" s="21"/>
      <c r="L36" s="21"/>
      <c r="M36" s="215"/>
    </row>
    <row r="37" spans="1:13" ht="14.1" customHeight="1">
      <c r="A37" s="38">
        <v>18</v>
      </c>
      <c r="B37" s="40"/>
      <c r="C37" s="41"/>
      <c r="D37" s="42"/>
      <c r="E37" s="43"/>
      <c r="F37" s="43"/>
      <c r="G37" s="44"/>
      <c r="H37" s="50"/>
      <c r="I37" s="50"/>
      <c r="J37" s="35"/>
      <c r="K37" s="36"/>
      <c r="L37" s="36"/>
      <c r="M37" s="87"/>
    </row>
    <row r="38" spans="1:13" ht="14.1" customHeight="1" thickBot="1">
      <c r="A38" s="39"/>
      <c r="B38" s="28"/>
      <c r="C38" s="29"/>
      <c r="D38" s="30"/>
      <c r="E38" s="31"/>
      <c r="F38" s="31"/>
      <c r="G38" s="32"/>
      <c r="H38" s="25"/>
      <c r="I38" s="25"/>
      <c r="J38" s="218"/>
      <c r="K38" s="216"/>
      <c r="L38" s="216"/>
      <c r="M38" s="217"/>
    </row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</sheetData>
  <mergeCells count="201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K5:K6"/>
    <mergeCell ref="L5:L6"/>
    <mergeCell ref="M5:M6"/>
    <mergeCell ref="B6:C6"/>
    <mergeCell ref="D6:G6"/>
    <mergeCell ref="A7:A8"/>
    <mergeCell ref="B7:C7"/>
    <mergeCell ref="D7:G7"/>
    <mergeCell ref="H7:H8"/>
    <mergeCell ref="I7:I8"/>
    <mergeCell ref="J7:J8"/>
    <mergeCell ref="K7:K8"/>
    <mergeCell ref="L7:L8"/>
    <mergeCell ref="M7:M8"/>
    <mergeCell ref="B8:C8"/>
    <mergeCell ref="D8:G8"/>
    <mergeCell ref="A9:A10"/>
    <mergeCell ref="B9:C9"/>
    <mergeCell ref="D9:G9"/>
    <mergeCell ref="H9:H10"/>
    <mergeCell ref="I9:I10"/>
    <mergeCell ref="J9:J10"/>
    <mergeCell ref="K9:K10"/>
    <mergeCell ref="L9:L10"/>
    <mergeCell ref="M9:M10"/>
    <mergeCell ref="B10:C10"/>
    <mergeCell ref="D10:G10"/>
    <mergeCell ref="A11:A12"/>
    <mergeCell ref="B11:C11"/>
    <mergeCell ref="D11:G11"/>
    <mergeCell ref="H11:H12"/>
    <mergeCell ref="I11:I12"/>
    <mergeCell ref="J11:J12"/>
    <mergeCell ref="K11:K12"/>
    <mergeCell ref="L11:L12"/>
    <mergeCell ref="M11:M12"/>
    <mergeCell ref="B12:C12"/>
    <mergeCell ref="D12:G12"/>
    <mergeCell ref="A13:A14"/>
    <mergeCell ref="B13:C13"/>
    <mergeCell ref="D13:G13"/>
    <mergeCell ref="H13:H14"/>
    <mergeCell ref="I13:I14"/>
    <mergeCell ref="J13:J14"/>
    <mergeCell ref="K13:K14"/>
    <mergeCell ref="L13:L14"/>
    <mergeCell ref="M13:M14"/>
    <mergeCell ref="B14:C14"/>
    <mergeCell ref="D14:G14"/>
    <mergeCell ref="A15:A16"/>
    <mergeCell ref="B15:C15"/>
    <mergeCell ref="D15:G15"/>
    <mergeCell ref="H15:H16"/>
    <mergeCell ref="I15:I16"/>
    <mergeCell ref="J15:J16"/>
    <mergeCell ref="K15:K16"/>
    <mergeCell ref="L15:L16"/>
    <mergeCell ref="M15:M16"/>
    <mergeCell ref="B16:C16"/>
    <mergeCell ref="D16:G16"/>
    <mergeCell ref="A17:A18"/>
    <mergeCell ref="B17:C17"/>
    <mergeCell ref="D17:G17"/>
    <mergeCell ref="H17:H18"/>
    <mergeCell ref="I17:I18"/>
    <mergeCell ref="J17:J18"/>
    <mergeCell ref="K17:K18"/>
    <mergeCell ref="L17:L18"/>
    <mergeCell ref="M17:M18"/>
    <mergeCell ref="B18:C18"/>
    <mergeCell ref="D18:G18"/>
    <mergeCell ref="A19:A20"/>
    <mergeCell ref="B19:C19"/>
    <mergeCell ref="D19:G19"/>
    <mergeCell ref="H19:H20"/>
    <mergeCell ref="I19:I20"/>
    <mergeCell ref="J19:J20"/>
    <mergeCell ref="K19:K20"/>
    <mergeCell ref="L19:L20"/>
    <mergeCell ref="M19:M20"/>
    <mergeCell ref="B20:C20"/>
    <mergeCell ref="D20:G20"/>
    <mergeCell ref="A21:A22"/>
    <mergeCell ref="B21:C21"/>
    <mergeCell ref="D21:G21"/>
    <mergeCell ref="H21:H22"/>
    <mergeCell ref="I21:I22"/>
    <mergeCell ref="J21:J22"/>
    <mergeCell ref="K21:K22"/>
    <mergeCell ref="L21:L22"/>
    <mergeCell ref="M21:M22"/>
    <mergeCell ref="B22:C22"/>
    <mergeCell ref="D22:G22"/>
    <mergeCell ref="A25:A26"/>
    <mergeCell ref="B25:C25"/>
    <mergeCell ref="D25:G25"/>
    <mergeCell ref="H25:H26"/>
    <mergeCell ref="I25:I26"/>
    <mergeCell ref="J25:J26"/>
    <mergeCell ref="K25:K26"/>
    <mergeCell ref="L25:L26"/>
    <mergeCell ref="M25:M26"/>
    <mergeCell ref="B26:C26"/>
    <mergeCell ref="D26:G26"/>
    <mergeCell ref="A27:A28"/>
    <mergeCell ref="B27:C27"/>
    <mergeCell ref="D27:G27"/>
    <mergeCell ref="H27:H28"/>
    <mergeCell ref="I27:I28"/>
    <mergeCell ref="J27:J28"/>
    <mergeCell ref="K27:K28"/>
    <mergeCell ref="L27:L28"/>
    <mergeCell ref="M27:M28"/>
    <mergeCell ref="B28:C28"/>
    <mergeCell ref="D28:G28"/>
    <mergeCell ref="M31:M32"/>
    <mergeCell ref="B32:C32"/>
    <mergeCell ref="D32:G32"/>
    <mergeCell ref="I35:I36"/>
    <mergeCell ref="A33:A34"/>
    <mergeCell ref="B33:C33"/>
    <mergeCell ref="D33:G33"/>
    <mergeCell ref="H33:H34"/>
    <mergeCell ref="I33:I34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A31:A32"/>
    <mergeCell ref="B31:C31"/>
    <mergeCell ref="D31:G31"/>
    <mergeCell ref="H31:H32"/>
    <mergeCell ref="I31:I32"/>
    <mergeCell ref="J29:J30"/>
    <mergeCell ref="K29:K30"/>
    <mergeCell ref="L29:L30"/>
    <mergeCell ref="A37:A38"/>
    <mergeCell ref="B37:C37"/>
    <mergeCell ref="D37:G37"/>
    <mergeCell ref="H37:H38"/>
    <mergeCell ref="I37:I38"/>
    <mergeCell ref="J35:J36"/>
    <mergeCell ref="A35:A36"/>
    <mergeCell ref="B35:C35"/>
    <mergeCell ref="D35:G35"/>
    <mergeCell ref="H35:H36"/>
    <mergeCell ref="J37:J38"/>
    <mergeCell ref="J33:J34"/>
    <mergeCell ref="J31:J32"/>
    <mergeCell ref="K31:K32"/>
    <mergeCell ref="L31:L32"/>
    <mergeCell ref="M29:M30"/>
    <mergeCell ref="B30:C30"/>
    <mergeCell ref="D30:G30"/>
    <mergeCell ref="K37:K38"/>
    <mergeCell ref="L37:L38"/>
    <mergeCell ref="M37:M38"/>
    <mergeCell ref="B38:C38"/>
    <mergeCell ref="D38:G38"/>
    <mergeCell ref="A23:A24"/>
    <mergeCell ref="B23:C23"/>
    <mergeCell ref="D23:G23"/>
    <mergeCell ref="H23:H24"/>
    <mergeCell ref="I23:I24"/>
    <mergeCell ref="J23:J24"/>
    <mergeCell ref="K23:K24"/>
    <mergeCell ref="L23:L24"/>
    <mergeCell ref="M23:M24"/>
    <mergeCell ref="B24:C24"/>
    <mergeCell ref="D24:G24"/>
    <mergeCell ref="A29:A30"/>
    <mergeCell ref="B29:C29"/>
    <mergeCell ref="D29:G29"/>
    <mergeCell ref="H29:H30"/>
    <mergeCell ref="I29:I30"/>
  </mergeCells>
  <phoneticPr fontId="2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21595-6252-4C58-B004-1AFA05CFA66F}">
  <sheetPr codeName="Sheet114">
    <tabColor rgb="FF00B050"/>
    <pageSetUpPr fitToPage="1"/>
  </sheetPr>
  <dimension ref="A1:M57"/>
  <sheetViews>
    <sheetView zoomScale="110" zoomScaleNormal="110" workbookViewId="0">
      <selection activeCell="H19" sqref="H19:M2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342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24">
        <f>SUM(I3)-5</f>
        <v>54</v>
      </c>
      <c r="I3" s="24">
        <f>SUM(J3)-5</f>
        <v>59</v>
      </c>
      <c r="J3" s="75">
        <v>64</v>
      </c>
      <c r="K3" s="76">
        <f>SUM(J3)+5</f>
        <v>69</v>
      </c>
      <c r="L3" s="76">
        <f>SUM(K3)+5</f>
        <v>74</v>
      </c>
      <c r="M3" s="214">
        <f>SUM(L3)+5</f>
        <v>79</v>
      </c>
    </row>
    <row r="4" spans="1:13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24"/>
      <c r="L4" s="24"/>
      <c r="M4" s="88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SUM(I5)-1.6</f>
        <v>21.799999999999997</v>
      </c>
      <c r="I5" s="24">
        <f>SUM(J5)-1.6</f>
        <v>23.4</v>
      </c>
      <c r="J5" s="33">
        <v>25</v>
      </c>
      <c r="K5" s="24">
        <f>SUM(J5)+1.4</f>
        <v>26.4</v>
      </c>
      <c r="L5" s="24">
        <f>SUM(K5)+1.4</f>
        <v>27.799999999999997</v>
      </c>
      <c r="M5" s="88">
        <f>SUM(L5)+1.4</f>
        <v>29.199999999999996</v>
      </c>
    </row>
    <row r="6" spans="1:13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87"/>
    </row>
    <row r="7" spans="1:13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28.5</v>
      </c>
      <c r="I7" s="24">
        <f>SUM(J7)-2.25</f>
        <v>30.75</v>
      </c>
      <c r="J7" s="33">
        <v>33</v>
      </c>
      <c r="K7" s="24">
        <f>SUM(J7)+2</f>
        <v>35</v>
      </c>
      <c r="L7" s="24">
        <f>SUM(K7)+2</f>
        <v>37</v>
      </c>
      <c r="M7" s="88">
        <f>SUM(L7)+2</f>
        <v>39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87"/>
    </row>
    <row r="9" spans="1:13" s="1" customFormat="1" ht="14.1" customHeight="1">
      <c r="A9" s="38">
        <v>4</v>
      </c>
      <c r="B9" s="58" t="s">
        <v>307</v>
      </c>
      <c r="C9" s="58"/>
      <c r="D9" s="57"/>
      <c r="E9" s="57"/>
      <c r="F9" s="57"/>
      <c r="G9" s="57"/>
      <c r="H9" s="24">
        <f>SUM(I9)-3</f>
        <v>52</v>
      </c>
      <c r="I9" s="24">
        <f>SUM(J9)-3</f>
        <v>55</v>
      </c>
      <c r="J9" s="33">
        <v>58</v>
      </c>
      <c r="K9" s="24">
        <f>SUM(J9)+3</f>
        <v>61</v>
      </c>
      <c r="L9" s="24">
        <f>SUM(K9)+3</f>
        <v>64</v>
      </c>
      <c r="M9" s="88">
        <f>SUM(L9)+3</f>
        <v>67</v>
      </c>
    </row>
    <row r="10" spans="1:13" s="1" customFormat="1" ht="14.1" customHeight="1">
      <c r="A10" s="38"/>
      <c r="B10" s="56" t="s">
        <v>308</v>
      </c>
      <c r="C10" s="56"/>
      <c r="D10" s="47"/>
      <c r="E10" s="48"/>
      <c r="F10" s="48"/>
      <c r="G10" s="49"/>
      <c r="H10" s="36"/>
      <c r="I10" s="36"/>
      <c r="J10" s="35"/>
      <c r="K10" s="36"/>
      <c r="L10" s="36"/>
      <c r="M10" s="87"/>
    </row>
    <row r="11" spans="1:13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SUM(I11)-0.9</f>
        <v>13.799999999999999</v>
      </c>
      <c r="I11" s="24">
        <f>SUM(J11)-0.9</f>
        <v>14.7</v>
      </c>
      <c r="J11" s="23">
        <v>15.6</v>
      </c>
      <c r="K11" s="21">
        <f>SUM(J11)+0.9</f>
        <v>16.5</v>
      </c>
      <c r="L11" s="21">
        <f>SUM(K11)+0.9</f>
        <v>17.399999999999999</v>
      </c>
      <c r="M11" s="215">
        <f>SUM(L11)+0.9</f>
        <v>18.299999999999997</v>
      </c>
    </row>
    <row r="12" spans="1:13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15"/>
    </row>
    <row r="13" spans="1:13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12.8</v>
      </c>
      <c r="I13" s="24">
        <f>SUM(J13)-0.6</f>
        <v>13.4</v>
      </c>
      <c r="J13" s="23">
        <v>14</v>
      </c>
      <c r="K13" s="21">
        <f>SUM(J13)+0.6</f>
        <v>14.6</v>
      </c>
      <c r="L13" s="21">
        <f>SUM(K13)+0.6</f>
        <v>15.2</v>
      </c>
      <c r="M13" s="215">
        <f>SUM(L13)+0.6</f>
        <v>15.799999999999999</v>
      </c>
    </row>
    <row r="14" spans="1:13" s="1" customFormat="1" ht="14.1" customHeight="1">
      <c r="A14" s="38"/>
      <c r="B14" s="56" t="s">
        <v>29</v>
      </c>
      <c r="C14" s="56"/>
      <c r="D14" s="47" t="s">
        <v>154</v>
      </c>
      <c r="E14" s="48"/>
      <c r="F14" s="48"/>
      <c r="G14" s="49"/>
      <c r="H14" s="36"/>
      <c r="I14" s="36"/>
      <c r="J14" s="23"/>
      <c r="K14" s="21"/>
      <c r="L14" s="21"/>
      <c r="M14" s="215"/>
    </row>
    <row r="15" spans="1:13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5.4</v>
      </c>
      <c r="I15" s="24">
        <f>SUM(J15)-0.3</f>
        <v>5.7</v>
      </c>
      <c r="J15" s="23">
        <v>6</v>
      </c>
      <c r="K15" s="21">
        <f>SUM(J15)+0.3</f>
        <v>6.3</v>
      </c>
      <c r="L15" s="21">
        <f>SUM(K15)+0.3</f>
        <v>6.6</v>
      </c>
      <c r="M15" s="215">
        <f>SUM(L15)+0.3</f>
        <v>6.8999999999999995</v>
      </c>
    </row>
    <row r="16" spans="1:13" s="1" customFormat="1" ht="14.1" customHeight="1">
      <c r="A16" s="38"/>
      <c r="B16" s="56" t="s">
        <v>30</v>
      </c>
      <c r="C16" s="56"/>
      <c r="D16" s="47" t="s">
        <v>155</v>
      </c>
      <c r="E16" s="48"/>
      <c r="F16" s="48"/>
      <c r="G16" s="49"/>
      <c r="H16" s="36"/>
      <c r="I16" s="36"/>
      <c r="J16" s="23"/>
      <c r="K16" s="21"/>
      <c r="L16" s="21"/>
      <c r="M16" s="215"/>
    </row>
    <row r="17" spans="1:13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31.799999999999997</v>
      </c>
      <c r="I17" s="24">
        <f>SUM(J17)-1.6</f>
        <v>33.4</v>
      </c>
      <c r="J17" s="23">
        <v>35</v>
      </c>
      <c r="K17" s="21">
        <f>SUM(J17)+1.6</f>
        <v>36.6</v>
      </c>
      <c r="L17" s="21">
        <f>SUM(K17)+1.6</f>
        <v>38.200000000000003</v>
      </c>
      <c r="M17" s="215">
        <f>SUM(L17)+1.6</f>
        <v>39.800000000000004</v>
      </c>
    </row>
    <row r="18" spans="1:13" s="1" customFormat="1" ht="14.1" customHeight="1">
      <c r="A18" s="38"/>
      <c r="B18" s="56" t="s">
        <v>37</v>
      </c>
      <c r="C18" s="56"/>
      <c r="D18" s="47" t="s">
        <v>156</v>
      </c>
      <c r="E18" s="48"/>
      <c r="F18" s="48"/>
      <c r="G18" s="49"/>
      <c r="H18" s="36"/>
      <c r="I18" s="36"/>
      <c r="J18" s="23"/>
      <c r="K18" s="21"/>
      <c r="L18" s="21"/>
      <c r="M18" s="215"/>
    </row>
    <row r="19" spans="1:13" s="1" customFormat="1" ht="14.1" customHeight="1">
      <c r="A19" s="38">
        <v>9</v>
      </c>
      <c r="B19" s="58" t="s">
        <v>4</v>
      </c>
      <c r="C19" s="58"/>
      <c r="D19" s="57" t="s">
        <v>5</v>
      </c>
      <c r="E19" s="57"/>
      <c r="F19" s="57"/>
      <c r="G19" s="57"/>
      <c r="H19" s="24">
        <f>SUM(I19)-3.7</f>
        <v>33.199999999999996</v>
      </c>
      <c r="I19" s="24">
        <f>SUM(J19)-3.7</f>
        <v>36.9</v>
      </c>
      <c r="J19" s="23">
        <v>40.6</v>
      </c>
      <c r="K19" s="21">
        <f>SUM(J19)+3.8</f>
        <v>44.4</v>
      </c>
      <c r="L19" s="21">
        <f>SUM(K19)+3.8</f>
        <v>48.199999999999996</v>
      </c>
      <c r="M19" s="215">
        <f>SUM(L19)+3.8</f>
        <v>51.999999999999993</v>
      </c>
    </row>
    <row r="20" spans="1:13" s="1" customFormat="1" ht="14.1" customHeight="1">
      <c r="A20" s="38"/>
      <c r="B20" s="56" t="s">
        <v>31</v>
      </c>
      <c r="C20" s="56"/>
      <c r="D20" s="47" t="s">
        <v>54</v>
      </c>
      <c r="E20" s="48"/>
      <c r="F20" s="48"/>
      <c r="G20" s="49"/>
      <c r="H20" s="36"/>
      <c r="I20" s="36"/>
      <c r="J20" s="23"/>
      <c r="K20" s="21"/>
      <c r="L20" s="21"/>
      <c r="M20" s="215"/>
    </row>
    <row r="21" spans="1:13" s="1" customFormat="1" ht="14.1" customHeight="1">
      <c r="A21" s="38">
        <v>10</v>
      </c>
      <c r="B21" s="58" t="s">
        <v>6</v>
      </c>
      <c r="C21" s="58"/>
      <c r="D21" s="59" t="s">
        <v>7</v>
      </c>
      <c r="E21" s="60"/>
      <c r="F21" s="60"/>
      <c r="G21" s="61"/>
      <c r="H21" s="24">
        <f>SUM(I21)-1.6</f>
        <v>24.299999999999997</v>
      </c>
      <c r="I21" s="24">
        <f>SUM(J21)-1.6</f>
        <v>25.9</v>
      </c>
      <c r="J21" s="23">
        <v>27.5</v>
      </c>
      <c r="K21" s="21">
        <f>SUM(J21)+1.6</f>
        <v>29.1</v>
      </c>
      <c r="L21" s="21">
        <f>SUM(K21)+1.6</f>
        <v>30.700000000000003</v>
      </c>
      <c r="M21" s="215">
        <f>SUM(L21)+1.6</f>
        <v>32.300000000000004</v>
      </c>
    </row>
    <row r="22" spans="1:13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9"/>
      <c r="H22" s="36"/>
      <c r="I22" s="36"/>
      <c r="J22" s="23"/>
      <c r="K22" s="21"/>
      <c r="L22" s="21"/>
      <c r="M22" s="215"/>
    </row>
    <row r="23" spans="1:13" s="1" customFormat="1" ht="14.1" customHeight="1">
      <c r="A23" s="38">
        <v>11</v>
      </c>
      <c r="B23" s="51" t="s">
        <v>77</v>
      </c>
      <c r="C23" s="52"/>
      <c r="D23" s="57" t="s">
        <v>78</v>
      </c>
      <c r="E23" s="57"/>
      <c r="F23" s="57"/>
      <c r="G23" s="57"/>
      <c r="H23" s="24">
        <f>SUM(I23)-0.7</f>
        <v>14.600000000000001</v>
      </c>
      <c r="I23" s="24">
        <f>SUM(J23)-0.7</f>
        <v>15.3</v>
      </c>
      <c r="J23" s="23">
        <v>16</v>
      </c>
      <c r="K23" s="21">
        <f>SUM(J23)+0.7</f>
        <v>16.7</v>
      </c>
      <c r="L23" s="21">
        <f>SUM(K23)+0.7</f>
        <v>17.399999999999999</v>
      </c>
      <c r="M23" s="215">
        <f>SUM(L23)+0.7</f>
        <v>18.099999999999998</v>
      </c>
    </row>
    <row r="24" spans="1:13" s="1" customFormat="1" ht="14.1" customHeight="1">
      <c r="A24" s="38"/>
      <c r="B24" s="56" t="s">
        <v>33</v>
      </c>
      <c r="C24" s="56"/>
      <c r="D24" s="47" t="s">
        <v>79</v>
      </c>
      <c r="E24" s="48"/>
      <c r="F24" s="48"/>
      <c r="G24" s="49"/>
      <c r="H24" s="36"/>
      <c r="I24" s="36"/>
      <c r="J24" s="23"/>
      <c r="K24" s="21"/>
      <c r="L24" s="21"/>
      <c r="M24" s="215"/>
    </row>
    <row r="25" spans="1:13" s="1" customFormat="1" ht="14.1" customHeight="1">
      <c r="A25" s="38">
        <v>12</v>
      </c>
      <c r="B25" s="40" t="s">
        <v>313</v>
      </c>
      <c r="C25" s="41"/>
      <c r="D25" s="42"/>
      <c r="E25" s="43"/>
      <c r="F25" s="43"/>
      <c r="G25" s="44"/>
      <c r="H25" s="50">
        <f>SUM(I25)-0</f>
        <v>9.5</v>
      </c>
      <c r="I25" s="50">
        <f>SUM(J25)-0</f>
        <v>9.5</v>
      </c>
      <c r="J25" s="35">
        <v>9.5</v>
      </c>
      <c r="K25" s="36">
        <f>SUM(J25)+0.3</f>
        <v>9.8000000000000007</v>
      </c>
      <c r="L25" s="36">
        <f>SUM(K25)+0.3</f>
        <v>10.100000000000001</v>
      </c>
      <c r="M25" s="87">
        <f>SUM(L25)+0.3</f>
        <v>10.400000000000002</v>
      </c>
    </row>
    <row r="26" spans="1:13" s="1" customFormat="1" ht="14.1" customHeight="1">
      <c r="A26" s="38"/>
      <c r="B26" s="45" t="s">
        <v>314</v>
      </c>
      <c r="C26" s="46"/>
      <c r="D26" s="47"/>
      <c r="E26" s="48"/>
      <c r="F26" s="48"/>
      <c r="G26" s="49"/>
      <c r="H26" s="36"/>
      <c r="I26" s="36"/>
      <c r="J26" s="23"/>
      <c r="K26" s="21"/>
      <c r="L26" s="21"/>
      <c r="M26" s="215"/>
    </row>
    <row r="27" spans="1:13" s="1" customFormat="1" ht="14.1" customHeight="1">
      <c r="A27" s="38">
        <v>13</v>
      </c>
      <c r="B27" s="51" t="s">
        <v>309</v>
      </c>
      <c r="C27" s="52"/>
      <c r="D27" s="53"/>
      <c r="E27" s="54"/>
      <c r="F27" s="54"/>
      <c r="G27" s="55"/>
      <c r="H27" s="24">
        <f>SUM(I27)-1.9</f>
        <v>22.200000000000003</v>
      </c>
      <c r="I27" s="24">
        <f>SUM(J27)-1.9</f>
        <v>24.1</v>
      </c>
      <c r="J27" s="23">
        <v>26</v>
      </c>
      <c r="K27" s="21">
        <f>SUM(J27)+1.9</f>
        <v>27.9</v>
      </c>
      <c r="L27" s="21">
        <f>SUM(K27)+1.9</f>
        <v>29.799999999999997</v>
      </c>
      <c r="M27" s="215">
        <f>SUM(L27)+1.9</f>
        <v>31.699999999999996</v>
      </c>
    </row>
    <row r="28" spans="1:13" s="1" customFormat="1" ht="14.1" customHeight="1">
      <c r="A28" s="38"/>
      <c r="B28" s="45" t="s">
        <v>310</v>
      </c>
      <c r="C28" s="46"/>
      <c r="D28" s="47" t="s">
        <v>318</v>
      </c>
      <c r="E28" s="48"/>
      <c r="F28" s="48"/>
      <c r="G28" s="49"/>
      <c r="H28" s="36"/>
      <c r="I28" s="36"/>
      <c r="J28" s="23"/>
      <c r="K28" s="21"/>
      <c r="L28" s="21"/>
      <c r="M28" s="215"/>
    </row>
    <row r="29" spans="1:13" s="1" customFormat="1" ht="14.1" customHeight="1">
      <c r="A29" s="38">
        <v>14</v>
      </c>
      <c r="B29" s="51" t="s">
        <v>311</v>
      </c>
      <c r="C29" s="52"/>
      <c r="D29" s="53"/>
      <c r="E29" s="54"/>
      <c r="F29" s="54"/>
      <c r="G29" s="55"/>
      <c r="H29" s="24">
        <f>SUM(I29)-3.1</f>
        <v>31.799999999999997</v>
      </c>
      <c r="I29" s="24">
        <f>SUM(J29)-3.1</f>
        <v>34.9</v>
      </c>
      <c r="J29" s="23">
        <v>38</v>
      </c>
      <c r="K29" s="21">
        <f>SUM(J29)+3.1</f>
        <v>41.1</v>
      </c>
      <c r="L29" s="21">
        <f>SUM(K29)+3.1</f>
        <v>44.2</v>
      </c>
      <c r="M29" s="215">
        <f>SUM(L29)+3.1</f>
        <v>47.300000000000004</v>
      </c>
    </row>
    <row r="30" spans="1:13" s="1" customFormat="1" ht="14.1" customHeight="1">
      <c r="A30" s="38"/>
      <c r="B30" s="45" t="s">
        <v>312</v>
      </c>
      <c r="C30" s="46"/>
      <c r="D30" s="47"/>
      <c r="E30" s="48"/>
      <c r="F30" s="48"/>
      <c r="G30" s="49"/>
      <c r="H30" s="36"/>
      <c r="I30" s="36"/>
      <c r="J30" s="23"/>
      <c r="K30" s="21"/>
      <c r="L30" s="21"/>
      <c r="M30" s="215"/>
    </row>
    <row r="31" spans="1:13" s="1" customFormat="1" ht="14.1" customHeight="1">
      <c r="A31" s="38">
        <v>15</v>
      </c>
      <c r="B31" s="40" t="s">
        <v>315</v>
      </c>
      <c r="C31" s="41"/>
      <c r="D31" s="42"/>
      <c r="E31" s="43"/>
      <c r="F31" s="43"/>
      <c r="G31" s="44"/>
      <c r="H31" s="50">
        <f>SUM(I31)-4.4</f>
        <v>44.2</v>
      </c>
      <c r="I31" s="50">
        <f>SUM(J31)-4.4</f>
        <v>48.6</v>
      </c>
      <c r="J31" s="35">
        <v>53</v>
      </c>
      <c r="K31" s="36">
        <f>SUM(J31)+4.4</f>
        <v>57.4</v>
      </c>
      <c r="L31" s="36">
        <f>SUM(K31)+4.4</f>
        <v>61.8</v>
      </c>
      <c r="M31" s="87">
        <f>SUM(L31)+4.4</f>
        <v>66.2</v>
      </c>
    </row>
    <row r="32" spans="1:13" s="1" customFormat="1" ht="14.1" customHeight="1">
      <c r="A32" s="38"/>
      <c r="B32" s="45" t="s">
        <v>316</v>
      </c>
      <c r="C32" s="46"/>
      <c r="D32" s="47" t="s">
        <v>317</v>
      </c>
      <c r="E32" s="48"/>
      <c r="F32" s="48"/>
      <c r="G32" s="49"/>
      <c r="H32" s="36"/>
      <c r="I32" s="36"/>
      <c r="J32" s="23"/>
      <c r="K32" s="21"/>
      <c r="L32" s="21"/>
      <c r="M32" s="215"/>
    </row>
    <row r="33" spans="1:13" s="1" customFormat="1" ht="14.1" customHeight="1">
      <c r="A33" s="38">
        <v>16</v>
      </c>
      <c r="B33" s="40" t="s">
        <v>319</v>
      </c>
      <c r="C33" s="41"/>
      <c r="D33" s="42"/>
      <c r="E33" s="43"/>
      <c r="F33" s="43"/>
      <c r="G33" s="44"/>
      <c r="H33" s="50">
        <f>SUM(I33)-1.3</f>
        <v>11.899999999999999</v>
      </c>
      <c r="I33" s="50">
        <f>SUM(J33)-1.3</f>
        <v>13.2</v>
      </c>
      <c r="J33" s="35">
        <v>14.5</v>
      </c>
      <c r="K33" s="36">
        <f>SUM(J33)+1.3</f>
        <v>15.8</v>
      </c>
      <c r="L33" s="36">
        <f>SUM(K33)+1.3</f>
        <v>17.100000000000001</v>
      </c>
      <c r="M33" s="87">
        <f>SUM(L33)+1.3</f>
        <v>18.400000000000002</v>
      </c>
    </row>
    <row r="34" spans="1:13" s="1" customFormat="1" ht="14.1" customHeight="1">
      <c r="A34" s="38"/>
      <c r="B34" s="45" t="s">
        <v>321</v>
      </c>
      <c r="C34" s="46"/>
      <c r="D34" s="47"/>
      <c r="E34" s="48"/>
      <c r="F34" s="48"/>
      <c r="G34" s="49"/>
      <c r="H34" s="36"/>
      <c r="I34" s="36"/>
      <c r="J34" s="23"/>
      <c r="K34" s="21"/>
      <c r="L34" s="21"/>
      <c r="M34" s="215"/>
    </row>
    <row r="35" spans="1:13" s="1" customFormat="1" ht="14.1" customHeight="1">
      <c r="A35" s="38">
        <v>17</v>
      </c>
      <c r="B35" s="195" t="s">
        <v>320</v>
      </c>
      <c r="C35" s="196"/>
      <c r="D35" s="53"/>
      <c r="E35" s="54"/>
      <c r="F35" s="54"/>
      <c r="G35" s="55"/>
      <c r="H35" s="24">
        <f>SUM(I35)-0.9</f>
        <v>9.7999999999999989</v>
      </c>
      <c r="I35" s="24">
        <f>SUM(J35)-0.9</f>
        <v>10.7</v>
      </c>
      <c r="J35" s="33">
        <v>11.6</v>
      </c>
      <c r="K35" s="24">
        <f>SUM(J35)+0.9</f>
        <v>12.5</v>
      </c>
      <c r="L35" s="24">
        <f>SUM(K35)+0.9</f>
        <v>13.4</v>
      </c>
      <c r="M35" s="88">
        <f>SUM(L35)+0.9</f>
        <v>14.3</v>
      </c>
    </row>
    <row r="36" spans="1:13" s="1" customFormat="1" ht="14.1" customHeight="1">
      <c r="A36" s="38"/>
      <c r="B36" s="45" t="s">
        <v>322</v>
      </c>
      <c r="C36" s="46"/>
      <c r="D36" s="47" t="s">
        <v>327</v>
      </c>
      <c r="E36" s="48"/>
      <c r="F36" s="48"/>
      <c r="G36" s="49"/>
      <c r="H36" s="36"/>
      <c r="I36" s="36"/>
      <c r="J36" s="35"/>
      <c r="K36" s="36"/>
      <c r="L36" s="36"/>
      <c r="M36" s="87"/>
    </row>
    <row r="37" spans="1:13" s="1" customFormat="1" ht="14.1" customHeight="1">
      <c r="A37" s="38">
        <v>18</v>
      </c>
      <c r="B37" s="195" t="s">
        <v>323</v>
      </c>
      <c r="C37" s="196"/>
      <c r="D37" s="53"/>
      <c r="E37" s="54"/>
      <c r="F37" s="54"/>
      <c r="G37" s="55"/>
      <c r="H37" s="24">
        <f>SUM(I37)-0.9</f>
        <v>9.7999999999999989</v>
      </c>
      <c r="I37" s="24">
        <f>SUM(J37)-0.9</f>
        <v>10.7</v>
      </c>
      <c r="J37" s="33">
        <v>11.6</v>
      </c>
      <c r="K37" s="24">
        <f>SUM(J37)+0.9</f>
        <v>12.5</v>
      </c>
      <c r="L37" s="24">
        <f>SUM(K37)+0.9</f>
        <v>13.4</v>
      </c>
      <c r="M37" s="88">
        <f>SUM(L37)+0.9</f>
        <v>14.3</v>
      </c>
    </row>
    <row r="38" spans="1:13" s="1" customFormat="1" ht="14.1" customHeight="1">
      <c r="A38" s="38"/>
      <c r="B38" s="45" t="s">
        <v>324</v>
      </c>
      <c r="C38" s="46"/>
      <c r="D38" s="47" t="s">
        <v>327</v>
      </c>
      <c r="E38" s="48"/>
      <c r="F38" s="48"/>
      <c r="G38" s="49"/>
      <c r="H38" s="36"/>
      <c r="I38" s="36"/>
      <c r="J38" s="35"/>
      <c r="K38" s="36"/>
      <c r="L38" s="36"/>
      <c r="M38" s="87"/>
    </row>
    <row r="39" spans="1:13" s="1" customFormat="1" ht="14.1" customHeight="1">
      <c r="A39" s="38">
        <v>19</v>
      </c>
      <c r="B39" s="195" t="s">
        <v>325</v>
      </c>
      <c r="C39" s="196"/>
      <c r="D39" s="53"/>
      <c r="E39" s="54"/>
      <c r="F39" s="54"/>
      <c r="G39" s="55"/>
      <c r="H39" s="24">
        <f>SUM(I39)-1.3</f>
        <v>12.7</v>
      </c>
      <c r="I39" s="24">
        <f>SUM(J39)-1.3</f>
        <v>14</v>
      </c>
      <c r="J39" s="33">
        <v>15.3</v>
      </c>
      <c r="K39" s="24">
        <f>SUM(J39)+1.3</f>
        <v>16.600000000000001</v>
      </c>
      <c r="L39" s="24">
        <f>SUM(K39)+1.3</f>
        <v>17.900000000000002</v>
      </c>
      <c r="M39" s="88">
        <f>SUM(L39)+1.3</f>
        <v>19.200000000000003</v>
      </c>
    </row>
    <row r="40" spans="1:13" s="1" customFormat="1" ht="14.1" customHeight="1">
      <c r="A40" s="38"/>
      <c r="B40" s="45" t="s">
        <v>326</v>
      </c>
      <c r="C40" s="46"/>
      <c r="D40" s="47" t="s">
        <v>327</v>
      </c>
      <c r="E40" s="48"/>
      <c r="F40" s="48"/>
      <c r="G40" s="49"/>
      <c r="H40" s="36"/>
      <c r="I40" s="36"/>
      <c r="J40" s="35"/>
      <c r="K40" s="36"/>
      <c r="L40" s="36"/>
      <c r="M40" s="87"/>
    </row>
    <row r="41" spans="1:13" s="1" customFormat="1" ht="14.1" customHeight="1">
      <c r="A41" s="38">
        <v>20</v>
      </c>
      <c r="B41" s="164" t="s">
        <v>328</v>
      </c>
      <c r="C41" s="165"/>
      <c r="D41" s="42"/>
      <c r="E41" s="43"/>
      <c r="F41" s="43"/>
      <c r="G41" s="44"/>
      <c r="H41" s="50">
        <f>SUM(I41)-1.1</f>
        <v>15.799999999999999</v>
      </c>
      <c r="I41" s="50">
        <f>SUM(J41)-1.1</f>
        <v>16.899999999999999</v>
      </c>
      <c r="J41" s="35">
        <v>18</v>
      </c>
      <c r="K41" s="36">
        <f>SUM(J41)+1.1</f>
        <v>19.100000000000001</v>
      </c>
      <c r="L41" s="36">
        <f>SUM(K41)+1.1</f>
        <v>20.200000000000003</v>
      </c>
      <c r="M41" s="87">
        <f>SUM(L41)+1.1</f>
        <v>21.300000000000004</v>
      </c>
    </row>
    <row r="42" spans="1:13" s="1" customFormat="1" ht="14.1" customHeight="1" thickBot="1">
      <c r="A42" s="39"/>
      <c r="B42" s="28" t="s">
        <v>329</v>
      </c>
      <c r="C42" s="29"/>
      <c r="D42" s="30"/>
      <c r="E42" s="31"/>
      <c r="F42" s="31"/>
      <c r="G42" s="32"/>
      <c r="H42" s="25"/>
      <c r="I42" s="25"/>
      <c r="J42" s="218"/>
      <c r="K42" s="216"/>
      <c r="L42" s="216"/>
      <c r="M42" s="217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223">
    <mergeCell ref="A41:A42"/>
    <mergeCell ref="B41:C41"/>
    <mergeCell ref="D41:G41"/>
    <mergeCell ref="H41:H42"/>
    <mergeCell ref="J41:J42"/>
    <mergeCell ref="J39:J40"/>
    <mergeCell ref="A39:A40"/>
    <mergeCell ref="K39:K40"/>
    <mergeCell ref="L39:L40"/>
    <mergeCell ref="M39:M40"/>
    <mergeCell ref="B40:C40"/>
    <mergeCell ref="D40:G40"/>
    <mergeCell ref="K41:K42"/>
    <mergeCell ref="L41:L42"/>
    <mergeCell ref="M41:M42"/>
    <mergeCell ref="K37:K38"/>
    <mergeCell ref="L37:L38"/>
    <mergeCell ref="M37:M38"/>
    <mergeCell ref="B38:C38"/>
    <mergeCell ref="D38:G38"/>
    <mergeCell ref="B39:C39"/>
    <mergeCell ref="D39:G39"/>
    <mergeCell ref="H39:H40"/>
    <mergeCell ref="I39:I40"/>
    <mergeCell ref="I41:I42"/>
    <mergeCell ref="B42:C42"/>
    <mergeCell ref="D42:G42"/>
    <mergeCell ref="K27:K28"/>
    <mergeCell ref="L27:L28"/>
    <mergeCell ref="M27:M28"/>
    <mergeCell ref="A37:A38"/>
    <mergeCell ref="B37:C37"/>
    <mergeCell ref="D37:G37"/>
    <mergeCell ref="H37:H38"/>
    <mergeCell ref="I37:I38"/>
    <mergeCell ref="J37:J38"/>
    <mergeCell ref="J33:J34"/>
    <mergeCell ref="K33:K34"/>
    <mergeCell ref="L33:L34"/>
    <mergeCell ref="D34:G34"/>
    <mergeCell ref="K35:K36"/>
    <mergeCell ref="L35:L36"/>
    <mergeCell ref="D33:G33"/>
    <mergeCell ref="H33:H34"/>
    <mergeCell ref="I33:I34"/>
    <mergeCell ref="L31:L32"/>
    <mergeCell ref="M31:M32"/>
    <mergeCell ref="B32:C32"/>
    <mergeCell ref="D32:G32"/>
    <mergeCell ref="M33:M34"/>
    <mergeCell ref="B34:C34"/>
    <mergeCell ref="A25:A26"/>
    <mergeCell ref="B25:C25"/>
    <mergeCell ref="D25:G25"/>
    <mergeCell ref="H25:H26"/>
    <mergeCell ref="I25:I26"/>
    <mergeCell ref="J25:J26"/>
    <mergeCell ref="J29:J30"/>
    <mergeCell ref="B30:C30"/>
    <mergeCell ref="M35:M36"/>
    <mergeCell ref="B36:C36"/>
    <mergeCell ref="D36:G36"/>
    <mergeCell ref="A29:A30"/>
    <mergeCell ref="B29:C29"/>
    <mergeCell ref="D29:G29"/>
    <mergeCell ref="H29:H30"/>
    <mergeCell ref="I29:I30"/>
    <mergeCell ref="A35:A36"/>
    <mergeCell ref="B35:C35"/>
    <mergeCell ref="D35:G35"/>
    <mergeCell ref="H35:H36"/>
    <mergeCell ref="I35:I36"/>
    <mergeCell ref="J35:J36"/>
    <mergeCell ref="J31:J32"/>
    <mergeCell ref="K31:K32"/>
    <mergeCell ref="A33:A34"/>
    <mergeCell ref="B33:C33"/>
    <mergeCell ref="A31:A32"/>
    <mergeCell ref="B31:C31"/>
    <mergeCell ref="D31:G31"/>
    <mergeCell ref="H31:H32"/>
    <mergeCell ref="I31:I32"/>
    <mergeCell ref="A27:A28"/>
    <mergeCell ref="B27:C27"/>
    <mergeCell ref="D27:G27"/>
    <mergeCell ref="H27:H28"/>
    <mergeCell ref="I27:I28"/>
    <mergeCell ref="J27:J28"/>
    <mergeCell ref="D30:G30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B28:C28"/>
    <mergeCell ref="D28:G28"/>
    <mergeCell ref="K25:K26"/>
    <mergeCell ref="L25:L26"/>
    <mergeCell ref="M25:M26"/>
    <mergeCell ref="B26:C26"/>
    <mergeCell ref="D26:G26"/>
    <mergeCell ref="K29:K30"/>
    <mergeCell ref="L29:L30"/>
    <mergeCell ref="M29:M30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3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1C46B-DC1F-4F6D-86C1-2F33F3D3E6EF}">
  <sheetPr>
    <tabColor rgb="FF00B050"/>
    <pageSetUpPr fitToPage="1"/>
  </sheetPr>
  <dimension ref="A1:M57"/>
  <sheetViews>
    <sheetView zoomScale="110" zoomScaleNormal="110" workbookViewId="0">
      <selection activeCell="P10" sqref="P1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630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24">
        <f>SUM(I3)-5</f>
        <v>59</v>
      </c>
      <c r="I3" s="24">
        <f>SUM(J3)-5</f>
        <v>64</v>
      </c>
      <c r="J3" s="75">
        <v>69</v>
      </c>
      <c r="K3" s="76">
        <f>SUM(J3)+5</f>
        <v>74</v>
      </c>
      <c r="L3" s="76">
        <f>SUM(K3)+5</f>
        <v>79</v>
      </c>
      <c r="M3" s="214">
        <f>SUM(L3)+5</f>
        <v>84</v>
      </c>
    </row>
    <row r="4" spans="1:13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24"/>
      <c r="L4" s="24"/>
      <c r="M4" s="88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SUM(I5)-1.6</f>
        <v>22.799999999999997</v>
      </c>
      <c r="I5" s="24">
        <f>SUM(J5)-1.6</f>
        <v>24.4</v>
      </c>
      <c r="J5" s="33">
        <v>26</v>
      </c>
      <c r="K5" s="24">
        <f>SUM(J5)+1.4</f>
        <v>27.4</v>
      </c>
      <c r="L5" s="24">
        <f>SUM(K5)+1.4</f>
        <v>28.799999999999997</v>
      </c>
      <c r="M5" s="88">
        <f>SUM(L5)+1.4</f>
        <v>30.199999999999996</v>
      </c>
    </row>
    <row r="6" spans="1:13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87"/>
    </row>
    <row r="7" spans="1:13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30.5</v>
      </c>
      <c r="I7" s="24">
        <f>SUM(J7)-2.25</f>
        <v>32.75</v>
      </c>
      <c r="J7" s="33">
        <v>35</v>
      </c>
      <c r="K7" s="24">
        <f>SUM(J7)+2</f>
        <v>37</v>
      </c>
      <c r="L7" s="24">
        <f>SUM(K7)+2</f>
        <v>39</v>
      </c>
      <c r="M7" s="88">
        <f>SUM(L7)+2</f>
        <v>41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87"/>
    </row>
    <row r="9" spans="1:13" s="1" customFormat="1" ht="14.1" customHeight="1">
      <c r="A9" s="38">
        <v>4</v>
      </c>
      <c r="B9" s="58" t="s">
        <v>631</v>
      </c>
      <c r="C9" s="58"/>
      <c r="D9" s="57"/>
      <c r="E9" s="57"/>
      <c r="F9" s="57"/>
      <c r="G9" s="57"/>
      <c r="H9" s="24">
        <f>SUM(I9)-1.3</f>
        <v>16.399999999999999</v>
      </c>
      <c r="I9" s="24">
        <f>SUM(J9)-1.3</f>
        <v>17.7</v>
      </c>
      <c r="J9" s="33">
        <v>19</v>
      </c>
      <c r="K9" s="24">
        <f>SUM(J9)+1.3</f>
        <v>20.3</v>
      </c>
      <c r="L9" s="24">
        <f>SUM(K9)+1.3</f>
        <v>21.6</v>
      </c>
      <c r="M9" s="88">
        <f>SUM(L9)+1.3</f>
        <v>22.900000000000002</v>
      </c>
    </row>
    <row r="10" spans="1:13" s="1" customFormat="1" ht="14.1" customHeight="1">
      <c r="A10" s="38"/>
      <c r="B10" s="56" t="s">
        <v>632</v>
      </c>
      <c r="C10" s="56"/>
      <c r="D10" s="47"/>
      <c r="E10" s="48"/>
      <c r="F10" s="48"/>
      <c r="G10" s="49"/>
      <c r="H10" s="36"/>
      <c r="I10" s="36"/>
      <c r="J10" s="35"/>
      <c r="K10" s="36"/>
      <c r="L10" s="36"/>
      <c r="M10" s="87"/>
    </row>
    <row r="11" spans="1:13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SUM(I11)-0.9</f>
        <v>13.7</v>
      </c>
      <c r="I11" s="24">
        <f>SUM(J11)-0.9</f>
        <v>14.6</v>
      </c>
      <c r="J11" s="23">
        <v>15.5</v>
      </c>
      <c r="K11" s="21">
        <f>SUM(J11)+0.9</f>
        <v>16.399999999999999</v>
      </c>
      <c r="L11" s="21">
        <f>SUM(K11)+0.9</f>
        <v>17.299999999999997</v>
      </c>
      <c r="M11" s="215">
        <f>SUM(L11)+0.9</f>
        <v>18.199999999999996</v>
      </c>
    </row>
    <row r="12" spans="1:13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15"/>
    </row>
    <row r="13" spans="1:13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12</v>
      </c>
      <c r="I13" s="24">
        <f>SUM(J13)-0.6</f>
        <v>12.6</v>
      </c>
      <c r="J13" s="23">
        <v>13.2</v>
      </c>
      <c r="K13" s="21">
        <f>SUM(J13)+0.6</f>
        <v>13.799999999999999</v>
      </c>
      <c r="L13" s="21">
        <f>SUM(K13)+0.6</f>
        <v>14.399999999999999</v>
      </c>
      <c r="M13" s="215">
        <f>SUM(L13)+0.6</f>
        <v>14.999999999999998</v>
      </c>
    </row>
    <row r="14" spans="1:13" s="1" customFormat="1" ht="14.1" customHeight="1">
      <c r="A14" s="38"/>
      <c r="B14" s="56" t="s">
        <v>29</v>
      </c>
      <c r="C14" s="56"/>
      <c r="D14" s="47" t="s">
        <v>255</v>
      </c>
      <c r="E14" s="48"/>
      <c r="F14" s="48"/>
      <c r="G14" s="49"/>
      <c r="H14" s="36"/>
      <c r="I14" s="36"/>
      <c r="J14" s="23"/>
      <c r="K14" s="21"/>
      <c r="L14" s="21"/>
      <c r="M14" s="215"/>
    </row>
    <row r="15" spans="1:13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5.2</v>
      </c>
      <c r="I15" s="24">
        <f>SUM(J15)-0.3</f>
        <v>5.5</v>
      </c>
      <c r="J15" s="23">
        <v>5.8</v>
      </c>
      <c r="K15" s="21">
        <f>SUM(J15)+0.3</f>
        <v>6.1</v>
      </c>
      <c r="L15" s="21">
        <f>SUM(K15)+0.3</f>
        <v>6.3999999999999995</v>
      </c>
      <c r="M15" s="215">
        <f>SUM(L15)+0.3</f>
        <v>6.6999999999999993</v>
      </c>
    </row>
    <row r="16" spans="1:13" s="1" customFormat="1" ht="14.1" customHeight="1">
      <c r="A16" s="38"/>
      <c r="B16" s="56" t="s">
        <v>30</v>
      </c>
      <c r="C16" s="56"/>
      <c r="D16" s="47" t="s">
        <v>379</v>
      </c>
      <c r="E16" s="48"/>
      <c r="F16" s="48"/>
      <c r="G16" s="49"/>
      <c r="H16" s="36"/>
      <c r="I16" s="36"/>
      <c r="J16" s="23"/>
      <c r="K16" s="21"/>
      <c r="L16" s="21"/>
      <c r="M16" s="215"/>
    </row>
    <row r="17" spans="1:13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30.5</v>
      </c>
      <c r="I17" s="24">
        <f>SUM(J17)-1.6</f>
        <v>32.1</v>
      </c>
      <c r="J17" s="23">
        <v>33.700000000000003</v>
      </c>
      <c r="K17" s="21">
        <f>SUM(J17)+1.6</f>
        <v>35.300000000000004</v>
      </c>
      <c r="L17" s="21">
        <f>SUM(K17)+1.6</f>
        <v>36.900000000000006</v>
      </c>
      <c r="M17" s="215">
        <f>SUM(L17)+1.6</f>
        <v>38.500000000000007</v>
      </c>
    </row>
    <row r="18" spans="1:13" s="1" customFormat="1" ht="14.1" customHeight="1">
      <c r="A18" s="38"/>
      <c r="B18" s="56" t="s">
        <v>37</v>
      </c>
      <c r="C18" s="56"/>
      <c r="D18" s="47" t="s">
        <v>107</v>
      </c>
      <c r="E18" s="48"/>
      <c r="F18" s="48"/>
      <c r="G18" s="49"/>
      <c r="H18" s="36"/>
      <c r="I18" s="36"/>
      <c r="J18" s="23"/>
      <c r="K18" s="21"/>
      <c r="L18" s="21"/>
      <c r="M18" s="215"/>
    </row>
    <row r="19" spans="1:13" s="1" customFormat="1" ht="14.1" customHeight="1">
      <c r="A19" s="38">
        <v>9</v>
      </c>
      <c r="B19" s="58" t="s">
        <v>4</v>
      </c>
      <c r="C19" s="58"/>
      <c r="D19" s="57" t="s">
        <v>5</v>
      </c>
      <c r="E19" s="57"/>
      <c r="F19" s="57"/>
      <c r="G19" s="57"/>
      <c r="H19" s="24">
        <f>SUM(I19)-3.7</f>
        <v>34.599999999999994</v>
      </c>
      <c r="I19" s="24">
        <f>SUM(J19)-3.7</f>
        <v>38.299999999999997</v>
      </c>
      <c r="J19" s="23">
        <v>42</v>
      </c>
      <c r="K19" s="21">
        <f>SUM(J19)+3.8</f>
        <v>45.8</v>
      </c>
      <c r="L19" s="21">
        <f>SUM(K19)+3.8</f>
        <v>49.599999999999994</v>
      </c>
      <c r="M19" s="215">
        <f>SUM(L19)+3.8</f>
        <v>53.399999999999991</v>
      </c>
    </row>
    <row r="20" spans="1:13" s="1" customFormat="1" ht="14.1" customHeight="1">
      <c r="A20" s="38"/>
      <c r="B20" s="56" t="s">
        <v>31</v>
      </c>
      <c r="C20" s="56"/>
      <c r="D20" s="47" t="s">
        <v>54</v>
      </c>
      <c r="E20" s="48"/>
      <c r="F20" s="48"/>
      <c r="G20" s="49"/>
      <c r="H20" s="36"/>
      <c r="I20" s="36"/>
      <c r="J20" s="23"/>
      <c r="K20" s="21"/>
      <c r="L20" s="21"/>
      <c r="M20" s="215"/>
    </row>
    <row r="21" spans="1:13" s="1" customFormat="1" ht="14.1" customHeight="1">
      <c r="A21" s="38">
        <v>10</v>
      </c>
      <c r="B21" s="58" t="s">
        <v>6</v>
      </c>
      <c r="C21" s="58"/>
      <c r="D21" s="59" t="s">
        <v>7</v>
      </c>
      <c r="E21" s="60"/>
      <c r="F21" s="60"/>
      <c r="G21" s="61"/>
      <c r="H21" s="24"/>
      <c r="I21" s="24"/>
      <c r="J21" s="23"/>
      <c r="K21" s="21"/>
      <c r="L21" s="21"/>
      <c r="M21" s="215"/>
    </row>
    <row r="22" spans="1:13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9"/>
      <c r="H22" s="36"/>
      <c r="I22" s="36"/>
      <c r="J22" s="23"/>
      <c r="K22" s="21"/>
      <c r="L22" s="21"/>
      <c r="M22" s="215"/>
    </row>
    <row r="23" spans="1:13" s="1" customFormat="1" ht="14.1" customHeight="1">
      <c r="A23" s="38">
        <v>11</v>
      </c>
      <c r="B23" s="51" t="s">
        <v>77</v>
      </c>
      <c r="C23" s="52"/>
      <c r="D23" s="57" t="s">
        <v>78</v>
      </c>
      <c r="E23" s="57"/>
      <c r="F23" s="57"/>
      <c r="G23" s="57"/>
      <c r="H23" s="24">
        <f>SUM(I23)-1</f>
        <v>18</v>
      </c>
      <c r="I23" s="24">
        <f>SUM(J23)-1</f>
        <v>19</v>
      </c>
      <c r="J23" s="23">
        <v>20</v>
      </c>
      <c r="K23" s="21">
        <f>SUM(J23)+1</f>
        <v>21</v>
      </c>
      <c r="L23" s="21">
        <f>SUM(K23)+1</f>
        <v>22</v>
      </c>
      <c r="M23" s="215">
        <f>SUM(L23)+1</f>
        <v>23</v>
      </c>
    </row>
    <row r="24" spans="1:13" s="1" customFormat="1" ht="14.1" customHeight="1">
      <c r="A24" s="38"/>
      <c r="B24" s="56" t="s">
        <v>33</v>
      </c>
      <c r="C24" s="56"/>
      <c r="D24" s="47" t="s">
        <v>79</v>
      </c>
      <c r="E24" s="48"/>
      <c r="F24" s="48"/>
      <c r="G24" s="49"/>
      <c r="H24" s="36"/>
      <c r="I24" s="36"/>
      <c r="J24" s="23"/>
      <c r="K24" s="21"/>
      <c r="L24" s="21"/>
      <c r="M24" s="215"/>
    </row>
    <row r="25" spans="1:13" s="1" customFormat="1" ht="14.1" customHeight="1">
      <c r="A25" s="38">
        <v>12</v>
      </c>
      <c r="B25" s="51" t="s">
        <v>633</v>
      </c>
      <c r="C25" s="52"/>
      <c r="D25" s="57"/>
      <c r="E25" s="57"/>
      <c r="F25" s="57"/>
      <c r="G25" s="57"/>
      <c r="H25" s="50">
        <f>SUM(I25)-3.7</f>
        <v>42.599999999999994</v>
      </c>
      <c r="I25" s="50">
        <f>SUM(J25)-3.7</f>
        <v>46.3</v>
      </c>
      <c r="J25" s="35">
        <v>50</v>
      </c>
      <c r="K25" s="36">
        <f>SUM(J25)+3.7</f>
        <v>53.7</v>
      </c>
      <c r="L25" s="36">
        <f>SUM(K25)+3.7</f>
        <v>57.400000000000006</v>
      </c>
      <c r="M25" s="87">
        <f>SUM(L25)+3.7</f>
        <v>61.100000000000009</v>
      </c>
    </row>
    <row r="26" spans="1:13" s="1" customFormat="1" ht="14.1" customHeight="1">
      <c r="A26" s="38"/>
      <c r="B26" s="56" t="s">
        <v>634</v>
      </c>
      <c r="C26" s="56"/>
      <c r="D26" s="47"/>
      <c r="E26" s="48"/>
      <c r="F26" s="48"/>
      <c r="G26" s="49"/>
      <c r="H26" s="36"/>
      <c r="I26" s="36"/>
      <c r="J26" s="23"/>
      <c r="K26" s="21"/>
      <c r="L26" s="21"/>
      <c r="M26" s="215"/>
    </row>
    <row r="27" spans="1:13" s="1" customFormat="1" ht="14.1" customHeight="1">
      <c r="A27" s="38">
        <v>13</v>
      </c>
      <c r="B27" s="51" t="s">
        <v>535</v>
      </c>
      <c r="C27" s="52"/>
      <c r="D27" s="57"/>
      <c r="E27" s="57"/>
      <c r="F27" s="57"/>
      <c r="G27" s="57"/>
      <c r="H27" s="50">
        <f>SUM(I27)-2.6</f>
        <v>30.299999999999997</v>
      </c>
      <c r="I27" s="50">
        <f>SUM(J27)-2.6</f>
        <v>32.9</v>
      </c>
      <c r="J27" s="35">
        <v>35.5</v>
      </c>
      <c r="K27" s="36">
        <f>SUM(J27)+2.6</f>
        <v>38.1</v>
      </c>
      <c r="L27" s="36">
        <f>SUM(K27)+2.6</f>
        <v>40.700000000000003</v>
      </c>
      <c r="M27" s="87">
        <f>SUM(L27)+2.6</f>
        <v>43.300000000000004</v>
      </c>
    </row>
    <row r="28" spans="1:13" s="1" customFormat="1" ht="14.1" customHeight="1">
      <c r="A28" s="38"/>
      <c r="B28" s="56" t="s">
        <v>536</v>
      </c>
      <c r="C28" s="56"/>
      <c r="D28" s="47" t="s">
        <v>635</v>
      </c>
      <c r="E28" s="48"/>
      <c r="F28" s="48"/>
      <c r="G28" s="49"/>
      <c r="H28" s="36"/>
      <c r="I28" s="36"/>
      <c r="J28" s="23"/>
      <c r="K28" s="21"/>
      <c r="L28" s="21"/>
      <c r="M28" s="215"/>
    </row>
    <row r="29" spans="1:13" s="1" customFormat="1" ht="14.1" customHeight="1">
      <c r="A29" s="38">
        <v>14</v>
      </c>
      <c r="B29" s="51" t="s">
        <v>556</v>
      </c>
      <c r="C29" s="52"/>
      <c r="D29" s="42"/>
      <c r="E29" s="43"/>
      <c r="F29" s="43"/>
      <c r="G29" s="44"/>
      <c r="H29" s="24">
        <f>SUM(I29)-2.4</f>
        <v>33.200000000000003</v>
      </c>
      <c r="I29" s="24">
        <f>SUM(J29)-2.4</f>
        <v>35.6</v>
      </c>
      <c r="J29" s="23">
        <v>38</v>
      </c>
      <c r="K29" s="21">
        <f>SUM(J29)+2.4</f>
        <v>40.4</v>
      </c>
      <c r="L29" s="21">
        <f>SUM(K29)+2.4</f>
        <v>42.8</v>
      </c>
      <c r="M29" s="215">
        <f>SUM(L29)+2.4</f>
        <v>45.199999999999996</v>
      </c>
    </row>
    <row r="30" spans="1:13" s="1" customFormat="1" ht="14.1" customHeight="1">
      <c r="A30" s="38"/>
      <c r="B30" s="45" t="s">
        <v>171</v>
      </c>
      <c r="C30" s="46"/>
      <c r="D30" s="47"/>
      <c r="E30" s="48"/>
      <c r="F30" s="48"/>
      <c r="G30" s="49"/>
      <c r="H30" s="36"/>
      <c r="I30" s="36"/>
      <c r="J30" s="23"/>
      <c r="K30" s="21"/>
      <c r="L30" s="21"/>
      <c r="M30" s="215"/>
    </row>
    <row r="31" spans="1:13" s="1" customFormat="1" ht="14.1" customHeight="1">
      <c r="A31" s="38">
        <v>15</v>
      </c>
      <c r="B31" s="51"/>
      <c r="C31" s="52"/>
      <c r="D31" s="53"/>
      <c r="E31" s="54"/>
      <c r="F31" s="54"/>
      <c r="G31" s="55"/>
      <c r="H31" s="24"/>
      <c r="I31" s="24"/>
      <c r="J31" s="23"/>
      <c r="K31" s="21"/>
      <c r="L31" s="21"/>
      <c r="M31" s="215"/>
    </row>
    <row r="32" spans="1:13" s="1" customFormat="1" ht="14.1" customHeight="1">
      <c r="A32" s="38"/>
      <c r="B32" s="45"/>
      <c r="C32" s="46"/>
      <c r="D32" s="47"/>
      <c r="E32" s="48"/>
      <c r="F32" s="48"/>
      <c r="G32" s="49"/>
      <c r="H32" s="36"/>
      <c r="I32" s="36"/>
      <c r="J32" s="23"/>
      <c r="K32" s="21"/>
      <c r="L32" s="21"/>
      <c r="M32" s="215"/>
    </row>
    <row r="33" spans="1:13" s="1" customFormat="1" ht="14.1" customHeight="1">
      <c r="A33" s="38">
        <v>16</v>
      </c>
      <c r="B33" s="164"/>
      <c r="C33" s="165"/>
      <c r="D33" s="42"/>
      <c r="E33" s="43"/>
      <c r="F33" s="43"/>
      <c r="G33" s="44"/>
      <c r="H33" s="50"/>
      <c r="I33" s="50"/>
      <c r="J33" s="35"/>
      <c r="K33" s="36"/>
      <c r="L33" s="36"/>
      <c r="M33" s="87"/>
    </row>
    <row r="34" spans="1:13" s="1" customFormat="1" ht="14.1" customHeight="1" thickBot="1">
      <c r="A34" s="39"/>
      <c r="B34" s="28"/>
      <c r="C34" s="29"/>
      <c r="D34" s="30"/>
      <c r="E34" s="31"/>
      <c r="F34" s="31"/>
      <c r="G34" s="32"/>
      <c r="H34" s="25"/>
      <c r="I34" s="25"/>
      <c r="J34" s="218"/>
      <c r="K34" s="216"/>
      <c r="L34" s="216"/>
      <c r="M34" s="217"/>
    </row>
    <row r="35" spans="1:13" s="1" customFormat="1" ht="14.1" customHeight="1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 s="1" customFormat="1" ht="14.1" customHeight="1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 s="1" customFormat="1" ht="14.1" customHeight="1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 s="1" customFormat="1" ht="14.1" customHeight="1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179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6A7F9-33AF-4AB2-A186-BCA247EE8B85}">
  <sheetPr>
    <tabColor rgb="FF00B050"/>
    <pageSetUpPr fitToPage="1"/>
  </sheetPr>
  <dimension ref="A1:M57"/>
  <sheetViews>
    <sheetView zoomScale="110" zoomScaleNormal="110" workbookViewId="0">
      <selection sqref="A1:M4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522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24">
        <f>SUM(I3)-5</f>
        <v>52</v>
      </c>
      <c r="I3" s="24">
        <f>SUM(J3)-5</f>
        <v>57</v>
      </c>
      <c r="J3" s="75">
        <v>62</v>
      </c>
      <c r="K3" s="76">
        <f>SUM(J3)+5</f>
        <v>67</v>
      </c>
      <c r="L3" s="76">
        <f>SUM(K3)+5</f>
        <v>72</v>
      </c>
      <c r="M3" s="77">
        <f>SUM(L3)+5</f>
        <v>77</v>
      </c>
    </row>
    <row r="4" spans="1:13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24"/>
      <c r="L4" s="24"/>
      <c r="M4" s="26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SUM(I5)-1.8</f>
        <v>22.4</v>
      </c>
      <c r="I5" s="24">
        <f>SUM(J5)-1.8</f>
        <v>24.2</v>
      </c>
      <c r="J5" s="33">
        <v>26</v>
      </c>
      <c r="K5" s="24">
        <f>SUM(J5)+1.6</f>
        <v>27.6</v>
      </c>
      <c r="L5" s="24">
        <f>SUM(K5)+1.6</f>
        <v>29.200000000000003</v>
      </c>
      <c r="M5" s="26">
        <f>SUM(L5)+1.6</f>
        <v>30.800000000000004</v>
      </c>
    </row>
    <row r="6" spans="1:13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37"/>
    </row>
    <row r="7" spans="1:13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30</v>
      </c>
      <c r="I7" s="24">
        <f>SUM(J7)-2.25</f>
        <v>32.25</v>
      </c>
      <c r="J7" s="33">
        <v>34.5</v>
      </c>
      <c r="K7" s="24">
        <f>SUM(J7)+2</f>
        <v>36.5</v>
      </c>
      <c r="L7" s="24">
        <f>SUM(K7)+2</f>
        <v>38.5</v>
      </c>
      <c r="M7" s="26">
        <f>SUM(L7)+2</f>
        <v>40.5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37"/>
    </row>
    <row r="9" spans="1:13" s="1" customFormat="1" ht="14.1" customHeight="1">
      <c r="A9" s="38">
        <v>4</v>
      </c>
      <c r="B9" s="58" t="s">
        <v>383</v>
      </c>
      <c r="C9" s="58"/>
      <c r="D9" s="57" t="s">
        <v>8</v>
      </c>
      <c r="E9" s="57"/>
      <c r="F9" s="57"/>
      <c r="G9" s="57"/>
      <c r="H9" s="24">
        <f>SUM(I9)-2.25</f>
        <v>26.5</v>
      </c>
      <c r="I9" s="24">
        <f>SUM(J9)-2.25</f>
        <v>28.75</v>
      </c>
      <c r="J9" s="33">
        <v>31</v>
      </c>
      <c r="K9" s="24">
        <f>SUM(J9)+2</f>
        <v>33</v>
      </c>
      <c r="L9" s="24">
        <f>SUM(K9)+2</f>
        <v>35</v>
      </c>
      <c r="M9" s="26">
        <f>SUM(L9)+2</f>
        <v>37</v>
      </c>
    </row>
    <row r="10" spans="1:13" s="1" customFormat="1" ht="14.1" customHeight="1">
      <c r="A10" s="38"/>
      <c r="B10" s="56" t="s">
        <v>384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7"/>
    </row>
    <row r="11" spans="1:13" s="1" customFormat="1" ht="14.1" customHeight="1">
      <c r="A11" s="38">
        <v>5</v>
      </c>
      <c r="B11" s="58" t="s">
        <v>523</v>
      </c>
      <c r="C11" s="58"/>
      <c r="D11" s="57"/>
      <c r="E11" s="57"/>
      <c r="F11" s="57"/>
      <c r="G11" s="57"/>
      <c r="H11" s="50">
        <f>SUM(I11)-0</f>
        <v>4</v>
      </c>
      <c r="I11" s="50">
        <f>SUM(J11)-0</f>
        <v>4</v>
      </c>
      <c r="J11" s="35">
        <v>4</v>
      </c>
      <c r="K11" s="36">
        <f>SUM(J11)+0.5</f>
        <v>4.5</v>
      </c>
      <c r="L11" s="36">
        <f>SUM(K11)</f>
        <v>4.5</v>
      </c>
      <c r="M11" s="37">
        <f>SUM(L11)</f>
        <v>4.5</v>
      </c>
    </row>
    <row r="12" spans="1:13" s="1" customFormat="1" ht="14.1" customHeight="1">
      <c r="A12" s="38"/>
      <c r="B12" s="56" t="s">
        <v>524</v>
      </c>
      <c r="C12" s="56"/>
      <c r="D12" s="47"/>
      <c r="E12" s="48"/>
      <c r="F12" s="48"/>
      <c r="G12" s="49"/>
      <c r="H12" s="36"/>
      <c r="I12" s="36"/>
      <c r="J12" s="23"/>
      <c r="K12" s="21"/>
      <c r="L12" s="21"/>
      <c r="M12" s="22"/>
    </row>
    <row r="13" spans="1:13" s="1" customFormat="1" ht="14.1" customHeight="1">
      <c r="A13" s="38">
        <v>6</v>
      </c>
      <c r="B13" s="58" t="s">
        <v>10</v>
      </c>
      <c r="C13" s="58"/>
      <c r="D13" s="57" t="s">
        <v>0</v>
      </c>
      <c r="E13" s="57"/>
      <c r="F13" s="57"/>
      <c r="G13" s="57"/>
      <c r="H13" s="24">
        <f>SUM(I13)-1</f>
        <v>13.1</v>
      </c>
      <c r="I13" s="24">
        <f>SUM(J13)-1</f>
        <v>14.1</v>
      </c>
      <c r="J13" s="23">
        <v>15.1</v>
      </c>
      <c r="K13" s="21">
        <f>SUM(J13)+1</f>
        <v>16.100000000000001</v>
      </c>
      <c r="L13" s="21">
        <f>SUM(K13)+1</f>
        <v>17.100000000000001</v>
      </c>
      <c r="M13" s="22">
        <f>SUM(L13)+1</f>
        <v>18.100000000000001</v>
      </c>
    </row>
    <row r="14" spans="1:13" s="1" customFormat="1" ht="14.1" customHeight="1">
      <c r="A14" s="38"/>
      <c r="B14" s="56" t="s">
        <v>28</v>
      </c>
      <c r="C14" s="56"/>
      <c r="D14" s="47" t="s">
        <v>51</v>
      </c>
      <c r="E14" s="48"/>
      <c r="F14" s="48"/>
      <c r="G14" s="49"/>
      <c r="H14" s="36"/>
      <c r="I14" s="36"/>
      <c r="J14" s="23"/>
      <c r="K14" s="21"/>
      <c r="L14" s="21"/>
      <c r="M14" s="22"/>
    </row>
    <row r="15" spans="1:13" s="1" customFormat="1" ht="14.1" customHeight="1">
      <c r="A15" s="38">
        <v>7</v>
      </c>
      <c r="B15" s="58" t="s">
        <v>1</v>
      </c>
      <c r="C15" s="58"/>
      <c r="D15" s="57" t="s">
        <v>180</v>
      </c>
      <c r="E15" s="57"/>
      <c r="F15" s="57"/>
      <c r="G15" s="57"/>
      <c r="H15" s="24">
        <f>SUM(I15)-0.6</f>
        <v>14.8</v>
      </c>
      <c r="I15" s="24">
        <f>SUM(J15)-0.6</f>
        <v>15.4</v>
      </c>
      <c r="J15" s="23">
        <v>16</v>
      </c>
      <c r="K15" s="21">
        <f>SUM(J15)+0.6</f>
        <v>16.600000000000001</v>
      </c>
      <c r="L15" s="21">
        <f>SUM(K15)+0.6</f>
        <v>17.200000000000003</v>
      </c>
      <c r="M15" s="22">
        <f>SUM(L15)+0.6</f>
        <v>17.800000000000004</v>
      </c>
    </row>
    <row r="16" spans="1:13" s="1" customFormat="1" ht="14.1" customHeight="1">
      <c r="A16" s="38"/>
      <c r="B16" s="56" t="s">
        <v>29</v>
      </c>
      <c r="C16" s="56"/>
      <c r="D16" s="47" t="s">
        <v>255</v>
      </c>
      <c r="E16" s="48"/>
      <c r="F16" s="48"/>
      <c r="G16" s="49"/>
      <c r="H16" s="36"/>
      <c r="I16" s="36"/>
      <c r="J16" s="23"/>
      <c r="K16" s="21"/>
      <c r="L16" s="21"/>
      <c r="M16" s="22"/>
    </row>
    <row r="17" spans="1:13" s="1" customFormat="1" ht="14.1" customHeight="1">
      <c r="A17" s="38">
        <v>8</v>
      </c>
      <c r="B17" s="58" t="s">
        <v>2</v>
      </c>
      <c r="C17" s="58"/>
      <c r="D17" s="57" t="s">
        <v>3</v>
      </c>
      <c r="E17" s="57"/>
      <c r="F17" s="57"/>
      <c r="G17" s="57"/>
      <c r="H17" s="24">
        <f>SUM(I17)-0.3</f>
        <v>4.4000000000000004</v>
      </c>
      <c r="I17" s="24">
        <f>SUM(J17)-0.3</f>
        <v>4.7</v>
      </c>
      <c r="J17" s="23">
        <v>5</v>
      </c>
      <c r="K17" s="21">
        <f>SUM(J17)+0.3</f>
        <v>5.3</v>
      </c>
      <c r="L17" s="21">
        <f>SUM(K17)+0.3</f>
        <v>5.6</v>
      </c>
      <c r="M17" s="22">
        <f>SUM(L17)+0.3</f>
        <v>5.8999999999999995</v>
      </c>
    </row>
    <row r="18" spans="1:13" s="1" customFormat="1" ht="14.1" customHeight="1">
      <c r="A18" s="38"/>
      <c r="B18" s="56" t="s">
        <v>30</v>
      </c>
      <c r="C18" s="56"/>
      <c r="D18" s="47" t="s">
        <v>379</v>
      </c>
      <c r="E18" s="48"/>
      <c r="F18" s="48"/>
      <c r="G18" s="49"/>
      <c r="H18" s="36"/>
      <c r="I18" s="36"/>
      <c r="J18" s="23"/>
      <c r="K18" s="21"/>
      <c r="L18" s="21"/>
      <c r="M18" s="22"/>
    </row>
    <row r="19" spans="1:13" s="1" customFormat="1" ht="14.1" customHeight="1">
      <c r="A19" s="38">
        <v>9</v>
      </c>
      <c r="B19" s="51" t="s">
        <v>525</v>
      </c>
      <c r="C19" s="52"/>
      <c r="D19" s="59"/>
      <c r="E19" s="60"/>
      <c r="F19" s="60"/>
      <c r="G19" s="61"/>
      <c r="H19" s="50">
        <f>SUM(I19)-0</f>
        <v>9</v>
      </c>
      <c r="I19" s="50">
        <f>SUM(J19)</f>
        <v>9</v>
      </c>
      <c r="J19" s="35">
        <v>9</v>
      </c>
      <c r="K19" s="36">
        <f>SUM(J19)+0.5</f>
        <v>9.5</v>
      </c>
      <c r="L19" s="36">
        <f>SUM(K19)</f>
        <v>9.5</v>
      </c>
      <c r="M19" s="37">
        <f>SUM(L19)</f>
        <v>9.5</v>
      </c>
    </row>
    <row r="20" spans="1:13" s="1" customFormat="1" ht="14.1" customHeight="1">
      <c r="A20" s="38"/>
      <c r="B20" s="56" t="s">
        <v>526</v>
      </c>
      <c r="C20" s="56"/>
      <c r="D20" s="47"/>
      <c r="E20" s="48"/>
      <c r="F20" s="48"/>
      <c r="G20" s="49"/>
      <c r="H20" s="36"/>
      <c r="I20" s="36"/>
      <c r="J20" s="23"/>
      <c r="K20" s="21"/>
      <c r="L20" s="21"/>
      <c r="M20" s="22"/>
    </row>
    <row r="21" spans="1:13" s="1" customFormat="1" ht="14.1" customHeight="1">
      <c r="A21" s="38">
        <v>10</v>
      </c>
      <c r="B21" s="58" t="s">
        <v>4</v>
      </c>
      <c r="C21" s="58"/>
      <c r="D21" s="57" t="s">
        <v>5</v>
      </c>
      <c r="E21" s="57"/>
      <c r="F21" s="57"/>
      <c r="G21" s="57"/>
      <c r="H21" s="24">
        <f>SUM(I21)-3.6</f>
        <v>33.799999999999997</v>
      </c>
      <c r="I21" s="24">
        <f>SUM(J21)-3.6</f>
        <v>37.4</v>
      </c>
      <c r="J21" s="23">
        <v>41</v>
      </c>
      <c r="K21" s="21">
        <f>SUM(J21)+3.7</f>
        <v>44.7</v>
      </c>
      <c r="L21" s="21">
        <f>SUM(K21)+3.7</f>
        <v>48.400000000000006</v>
      </c>
      <c r="M21" s="22">
        <f>SUM(L21)+3.7</f>
        <v>52.100000000000009</v>
      </c>
    </row>
    <row r="22" spans="1:13" s="1" customFormat="1" ht="14.1" customHeight="1">
      <c r="A22" s="38"/>
      <c r="B22" s="56" t="s">
        <v>31</v>
      </c>
      <c r="C22" s="56"/>
      <c r="D22" s="47" t="s">
        <v>54</v>
      </c>
      <c r="E22" s="48"/>
      <c r="F22" s="48"/>
      <c r="G22" s="49"/>
      <c r="H22" s="36"/>
      <c r="I22" s="36"/>
      <c r="J22" s="23"/>
      <c r="K22" s="21"/>
      <c r="L22" s="21"/>
      <c r="M22" s="22"/>
    </row>
    <row r="23" spans="1:13" s="1" customFormat="1" ht="14.1" customHeight="1">
      <c r="A23" s="38">
        <v>11</v>
      </c>
      <c r="B23" s="58" t="s">
        <v>6</v>
      </c>
      <c r="C23" s="58"/>
      <c r="D23" s="59" t="s">
        <v>7</v>
      </c>
      <c r="E23" s="60"/>
      <c r="F23" s="60"/>
      <c r="G23" s="61"/>
      <c r="H23" s="24"/>
      <c r="I23" s="24"/>
      <c r="J23" s="23"/>
      <c r="K23" s="21"/>
      <c r="L23" s="21"/>
      <c r="M23" s="22"/>
    </row>
    <row r="24" spans="1:13" s="1" customFormat="1" ht="14.1" customHeight="1">
      <c r="A24" s="38"/>
      <c r="B24" s="56" t="s">
        <v>32</v>
      </c>
      <c r="C24" s="56"/>
      <c r="D24" s="47" t="s">
        <v>76</v>
      </c>
      <c r="E24" s="48"/>
      <c r="F24" s="48"/>
      <c r="G24" s="49"/>
      <c r="H24" s="36"/>
      <c r="I24" s="36"/>
      <c r="J24" s="23"/>
      <c r="K24" s="21"/>
      <c r="L24" s="21"/>
      <c r="M24" s="22"/>
    </row>
    <row r="25" spans="1:13" s="1" customFormat="1" ht="14.1" customHeight="1">
      <c r="A25" s="38">
        <v>12</v>
      </c>
      <c r="B25" s="51" t="s">
        <v>77</v>
      </c>
      <c r="C25" s="52"/>
      <c r="D25" s="57" t="s">
        <v>78</v>
      </c>
      <c r="E25" s="57"/>
      <c r="F25" s="57"/>
      <c r="G25" s="57"/>
      <c r="H25" s="24">
        <f>SUM(I25)-0.6</f>
        <v>14</v>
      </c>
      <c r="I25" s="24">
        <f>SUM(J25)-0.6</f>
        <v>14.6</v>
      </c>
      <c r="J25" s="23">
        <v>15.2</v>
      </c>
      <c r="K25" s="21">
        <f>SUM(J25)+0.6</f>
        <v>15.799999999999999</v>
      </c>
      <c r="L25" s="21">
        <f>SUM(K25)+0.6</f>
        <v>16.399999999999999</v>
      </c>
      <c r="M25" s="22">
        <f>SUM(L25)+0.6</f>
        <v>17</v>
      </c>
    </row>
    <row r="26" spans="1:13" s="1" customFormat="1" ht="14.1" customHeight="1">
      <c r="A26" s="38"/>
      <c r="B26" s="56" t="s">
        <v>33</v>
      </c>
      <c r="C26" s="56"/>
      <c r="D26" s="47" t="s">
        <v>79</v>
      </c>
      <c r="E26" s="48"/>
      <c r="F26" s="48"/>
      <c r="G26" s="49"/>
      <c r="H26" s="36"/>
      <c r="I26" s="36"/>
      <c r="J26" s="23"/>
      <c r="K26" s="21"/>
      <c r="L26" s="21"/>
      <c r="M26" s="22"/>
    </row>
    <row r="27" spans="1:13" s="1" customFormat="1" ht="14.1" customHeight="1">
      <c r="A27" s="38">
        <v>13</v>
      </c>
      <c r="B27" s="40" t="s">
        <v>527</v>
      </c>
      <c r="C27" s="41"/>
      <c r="D27" s="42"/>
      <c r="E27" s="43"/>
      <c r="F27" s="43"/>
      <c r="G27" s="44"/>
      <c r="H27" s="50">
        <f>SUM(I27)-0</f>
        <v>5</v>
      </c>
      <c r="I27" s="50">
        <f>SUM(J27)-0</f>
        <v>5</v>
      </c>
      <c r="J27" s="35">
        <v>5</v>
      </c>
      <c r="K27" s="36">
        <f>SUM(J27)+0.5</f>
        <v>5.5</v>
      </c>
      <c r="L27" s="36">
        <f>SUM(K27)</f>
        <v>5.5</v>
      </c>
      <c r="M27" s="37">
        <f>SUM(L27)</f>
        <v>5.5</v>
      </c>
    </row>
    <row r="28" spans="1:13" s="1" customFormat="1" ht="14.1" customHeight="1">
      <c r="A28" s="38"/>
      <c r="B28" s="45" t="s">
        <v>368</v>
      </c>
      <c r="C28" s="46"/>
      <c r="D28" s="47"/>
      <c r="E28" s="48"/>
      <c r="F28" s="48"/>
      <c r="G28" s="49"/>
      <c r="H28" s="36"/>
      <c r="I28" s="36"/>
      <c r="J28" s="23"/>
      <c r="K28" s="21"/>
      <c r="L28" s="21"/>
      <c r="M28" s="22"/>
    </row>
    <row r="29" spans="1:13" s="1" customFormat="1" ht="14.1" customHeight="1">
      <c r="A29" s="38">
        <v>14</v>
      </c>
      <c r="B29" s="51" t="s">
        <v>528</v>
      </c>
      <c r="C29" s="52"/>
      <c r="D29" s="53"/>
      <c r="E29" s="54"/>
      <c r="F29" s="54"/>
      <c r="G29" s="55"/>
      <c r="H29" s="24">
        <f>SUM(I29)-2</f>
        <v>17.5</v>
      </c>
      <c r="I29" s="24">
        <f>SUM(J29)-2</f>
        <v>19.5</v>
      </c>
      <c r="J29" s="23">
        <v>21.5</v>
      </c>
      <c r="K29" s="21">
        <f>SUM(J29)+2</f>
        <v>23.5</v>
      </c>
      <c r="L29" s="21">
        <f>SUM(K29)+2</f>
        <v>25.5</v>
      </c>
      <c r="M29" s="22">
        <f>SUM(L29)+2</f>
        <v>27.5</v>
      </c>
    </row>
    <row r="30" spans="1:13" s="1" customFormat="1" ht="14.1" customHeight="1">
      <c r="A30" s="38"/>
      <c r="B30" s="45" t="s">
        <v>529</v>
      </c>
      <c r="C30" s="46"/>
      <c r="D30" s="47" t="s">
        <v>531</v>
      </c>
      <c r="E30" s="48"/>
      <c r="F30" s="48"/>
      <c r="G30" s="49"/>
      <c r="H30" s="36"/>
      <c r="I30" s="36"/>
      <c r="J30" s="23"/>
      <c r="K30" s="21"/>
      <c r="L30" s="21"/>
      <c r="M30" s="22"/>
    </row>
    <row r="31" spans="1:13" s="1" customFormat="1" ht="14.1" customHeight="1">
      <c r="A31" s="38">
        <v>15</v>
      </c>
      <c r="B31" s="51" t="s">
        <v>152</v>
      </c>
      <c r="C31" s="52"/>
      <c r="D31" s="53"/>
      <c r="E31" s="54"/>
      <c r="F31" s="54"/>
      <c r="G31" s="55"/>
      <c r="H31" s="24">
        <f>SUM(I31)-3</f>
        <v>30.5</v>
      </c>
      <c r="I31" s="24">
        <f>SUM(J31)-3</f>
        <v>33.5</v>
      </c>
      <c r="J31" s="23">
        <v>36.5</v>
      </c>
      <c r="K31" s="21">
        <f>SUM(J31)+3</f>
        <v>39.5</v>
      </c>
      <c r="L31" s="21">
        <f>SUM(K31)+3</f>
        <v>42.5</v>
      </c>
      <c r="M31" s="22">
        <f>SUM(L31)+3</f>
        <v>45.5</v>
      </c>
    </row>
    <row r="32" spans="1:13" s="1" customFormat="1" ht="14.1" customHeight="1">
      <c r="A32" s="38"/>
      <c r="B32" s="45" t="s">
        <v>530</v>
      </c>
      <c r="C32" s="46"/>
      <c r="D32" s="47" t="s">
        <v>531</v>
      </c>
      <c r="E32" s="48"/>
      <c r="F32" s="48"/>
      <c r="G32" s="49"/>
      <c r="H32" s="36"/>
      <c r="I32" s="36"/>
      <c r="J32" s="23"/>
      <c r="K32" s="21"/>
      <c r="L32" s="21"/>
      <c r="M32" s="22"/>
    </row>
    <row r="33" spans="1:13" s="1" customFormat="1" ht="14.1" customHeight="1">
      <c r="A33" s="38">
        <v>16</v>
      </c>
      <c r="B33" s="40" t="s">
        <v>532</v>
      </c>
      <c r="C33" s="41"/>
      <c r="D33" s="42"/>
      <c r="E33" s="43"/>
      <c r="F33" s="43"/>
      <c r="G33" s="44"/>
      <c r="H33" s="50">
        <f>SUM(I33)-0</f>
        <v>4</v>
      </c>
      <c r="I33" s="50">
        <f>SUM(J33)-0</f>
        <v>4</v>
      </c>
      <c r="J33" s="35">
        <v>4</v>
      </c>
      <c r="K33" s="36">
        <f>SUM(J33)+0.5</f>
        <v>4.5</v>
      </c>
      <c r="L33" s="36">
        <f>SUM(K33)</f>
        <v>4.5</v>
      </c>
      <c r="M33" s="37">
        <f>SUM(L33)</f>
        <v>4.5</v>
      </c>
    </row>
    <row r="34" spans="1:13" s="1" customFormat="1" ht="14.1" customHeight="1">
      <c r="A34" s="38"/>
      <c r="B34" s="45" t="s">
        <v>533</v>
      </c>
      <c r="C34" s="46"/>
      <c r="D34" s="47"/>
      <c r="E34" s="48"/>
      <c r="F34" s="48"/>
      <c r="G34" s="49"/>
      <c r="H34" s="36"/>
      <c r="I34" s="36"/>
      <c r="J34" s="23"/>
      <c r="K34" s="21"/>
      <c r="L34" s="21"/>
      <c r="M34" s="22"/>
    </row>
    <row r="35" spans="1:13" s="1" customFormat="1" ht="14.1" customHeight="1">
      <c r="A35" s="38">
        <v>17</v>
      </c>
      <c r="B35" s="40"/>
      <c r="C35" s="41"/>
      <c r="D35" s="42"/>
      <c r="E35" s="43"/>
      <c r="F35" s="43"/>
      <c r="G35" s="44"/>
      <c r="H35" s="176"/>
      <c r="I35" s="50"/>
      <c r="J35" s="35"/>
      <c r="K35" s="36"/>
      <c r="L35" s="36"/>
      <c r="M35" s="87"/>
    </row>
    <row r="36" spans="1:13" s="1" customFormat="1" ht="14.1" customHeight="1">
      <c r="A36" s="38"/>
      <c r="B36" s="45"/>
      <c r="C36" s="46"/>
      <c r="D36" s="47"/>
      <c r="E36" s="48"/>
      <c r="F36" s="48"/>
      <c r="G36" s="49"/>
      <c r="H36" s="175"/>
      <c r="I36" s="36"/>
      <c r="J36" s="23"/>
      <c r="K36" s="21"/>
      <c r="L36" s="21"/>
      <c r="M36" s="215"/>
    </row>
    <row r="37" spans="1:13" s="1" customFormat="1" ht="14.1" customHeight="1">
      <c r="A37" s="38">
        <v>18</v>
      </c>
      <c r="B37" s="195"/>
      <c r="C37" s="196"/>
      <c r="D37" s="53"/>
      <c r="E37" s="54"/>
      <c r="F37" s="54"/>
      <c r="G37" s="55"/>
      <c r="H37" s="174"/>
      <c r="I37" s="24"/>
      <c r="J37" s="33"/>
      <c r="K37" s="24"/>
      <c r="L37" s="24"/>
      <c r="M37" s="88"/>
    </row>
    <row r="38" spans="1:13" s="1" customFormat="1" ht="14.1" customHeight="1">
      <c r="A38" s="38"/>
      <c r="B38" s="45"/>
      <c r="C38" s="46"/>
      <c r="D38" s="47"/>
      <c r="E38" s="48"/>
      <c r="F38" s="48"/>
      <c r="G38" s="49"/>
      <c r="H38" s="175"/>
      <c r="I38" s="36"/>
      <c r="J38" s="35"/>
      <c r="K38" s="36"/>
      <c r="L38" s="36"/>
      <c r="M38" s="87"/>
    </row>
    <row r="39" spans="1:13" s="1" customFormat="1" ht="14.1" customHeight="1">
      <c r="A39" s="38">
        <v>19</v>
      </c>
      <c r="B39" s="164"/>
      <c r="C39" s="165"/>
      <c r="D39" s="42"/>
      <c r="E39" s="43"/>
      <c r="F39" s="43"/>
      <c r="G39" s="44"/>
      <c r="H39" s="176"/>
      <c r="I39" s="50"/>
      <c r="J39" s="35"/>
      <c r="K39" s="36"/>
      <c r="L39" s="36"/>
      <c r="M39" s="87"/>
    </row>
    <row r="40" spans="1:13" s="1" customFormat="1" ht="14.1" customHeight="1" thickBot="1">
      <c r="A40" s="39"/>
      <c r="B40" s="28"/>
      <c r="C40" s="29"/>
      <c r="D40" s="30"/>
      <c r="E40" s="31"/>
      <c r="F40" s="31"/>
      <c r="G40" s="32"/>
      <c r="H40" s="177"/>
      <c r="I40" s="25"/>
      <c r="J40" s="218"/>
      <c r="K40" s="216"/>
      <c r="L40" s="216"/>
      <c r="M40" s="217"/>
    </row>
    <row r="41" spans="1:13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212">
    <mergeCell ref="J39:J40"/>
    <mergeCell ref="J37:J38"/>
    <mergeCell ref="K37:K38"/>
    <mergeCell ref="L37:L38"/>
    <mergeCell ref="M37:M38"/>
    <mergeCell ref="B36:C36"/>
    <mergeCell ref="D36:G36"/>
    <mergeCell ref="L35:L36"/>
    <mergeCell ref="M35:M36"/>
    <mergeCell ref="J35:J36"/>
    <mergeCell ref="K39:K40"/>
    <mergeCell ref="L39:L40"/>
    <mergeCell ref="M39:M40"/>
    <mergeCell ref="A35:A36"/>
    <mergeCell ref="B35:C35"/>
    <mergeCell ref="D35:G35"/>
    <mergeCell ref="H35:H36"/>
    <mergeCell ref="I35:I36"/>
    <mergeCell ref="J11:J12"/>
    <mergeCell ref="K11:K12"/>
    <mergeCell ref="B12:C12"/>
    <mergeCell ref="D12:G12"/>
    <mergeCell ref="K35:K36"/>
    <mergeCell ref="B34:C34"/>
    <mergeCell ref="D34:G34"/>
    <mergeCell ref="K31:K32"/>
    <mergeCell ref="J29:J30"/>
    <mergeCell ref="K29:K30"/>
    <mergeCell ref="A29:A30"/>
    <mergeCell ref="A27:A28"/>
    <mergeCell ref="J25:J26"/>
    <mergeCell ref="K25:K26"/>
    <mergeCell ref="A25:A26"/>
    <mergeCell ref="A23:A24"/>
    <mergeCell ref="J21:J22"/>
    <mergeCell ref="K21:K22"/>
    <mergeCell ref="A21:A22"/>
    <mergeCell ref="A39:A40"/>
    <mergeCell ref="B39:C39"/>
    <mergeCell ref="D39:G39"/>
    <mergeCell ref="H39:H40"/>
    <mergeCell ref="I39:I40"/>
    <mergeCell ref="B38:C38"/>
    <mergeCell ref="D38:G38"/>
    <mergeCell ref="A37:A38"/>
    <mergeCell ref="B37:C37"/>
    <mergeCell ref="D37:G37"/>
    <mergeCell ref="H37:H38"/>
    <mergeCell ref="I37:I38"/>
    <mergeCell ref="B40:C40"/>
    <mergeCell ref="D40:G40"/>
    <mergeCell ref="L31:L32"/>
    <mergeCell ref="M31:M32"/>
    <mergeCell ref="B32:C32"/>
    <mergeCell ref="D32:G32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31:J32"/>
    <mergeCell ref="J33:J34"/>
    <mergeCell ref="K33:K34"/>
    <mergeCell ref="L33:L34"/>
    <mergeCell ref="M33:M34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B29:C29"/>
    <mergeCell ref="D29:G29"/>
    <mergeCell ref="H29:H30"/>
    <mergeCell ref="I29:I30"/>
    <mergeCell ref="B27:C27"/>
    <mergeCell ref="D27:G27"/>
    <mergeCell ref="H27:H28"/>
    <mergeCell ref="I27:I28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B25:C25"/>
    <mergeCell ref="D25:G25"/>
    <mergeCell ref="H25:H26"/>
    <mergeCell ref="I25:I26"/>
    <mergeCell ref="B23:C23"/>
    <mergeCell ref="D23:G23"/>
    <mergeCell ref="H23:H24"/>
    <mergeCell ref="I23:I24"/>
    <mergeCell ref="L21:L22"/>
    <mergeCell ref="M21:M22"/>
    <mergeCell ref="B22:C22"/>
    <mergeCell ref="D22:G22"/>
    <mergeCell ref="K19:K20"/>
    <mergeCell ref="L19:L20"/>
    <mergeCell ref="M19:M20"/>
    <mergeCell ref="B20:C20"/>
    <mergeCell ref="D20:G20"/>
    <mergeCell ref="J19:J20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J17:J18"/>
    <mergeCell ref="K17:K18"/>
    <mergeCell ref="L17:L18"/>
    <mergeCell ref="M17:M18"/>
    <mergeCell ref="B18:C18"/>
    <mergeCell ref="D18:G18"/>
    <mergeCell ref="K15:K16"/>
    <mergeCell ref="L15:L16"/>
    <mergeCell ref="M15:M16"/>
    <mergeCell ref="B16:C16"/>
    <mergeCell ref="D16:G16"/>
    <mergeCell ref="J15:J16"/>
    <mergeCell ref="A17:A18"/>
    <mergeCell ref="B17:C17"/>
    <mergeCell ref="D17:G17"/>
    <mergeCell ref="H17:H18"/>
    <mergeCell ref="I17:I18"/>
    <mergeCell ref="A15:A16"/>
    <mergeCell ref="B15:C15"/>
    <mergeCell ref="D15:G15"/>
    <mergeCell ref="H15:H16"/>
    <mergeCell ref="I15:I16"/>
    <mergeCell ref="J13:J14"/>
    <mergeCell ref="K13:K14"/>
    <mergeCell ref="L13:L14"/>
    <mergeCell ref="M13:M14"/>
    <mergeCell ref="B14:C14"/>
    <mergeCell ref="D14:G14"/>
    <mergeCell ref="K9:K10"/>
    <mergeCell ref="L9:L10"/>
    <mergeCell ref="M9:M10"/>
    <mergeCell ref="B10:C10"/>
    <mergeCell ref="D10:G10"/>
    <mergeCell ref="J9:J10"/>
    <mergeCell ref="B11:C11"/>
    <mergeCell ref="D11:G11"/>
    <mergeCell ref="H11:H12"/>
    <mergeCell ref="I11:I12"/>
    <mergeCell ref="L11:L12"/>
    <mergeCell ref="M11:M12"/>
    <mergeCell ref="A5:A6"/>
    <mergeCell ref="B5:C5"/>
    <mergeCell ref="D5:G5"/>
    <mergeCell ref="H5:H6"/>
    <mergeCell ref="I5:I6"/>
    <mergeCell ref="J5:J6"/>
    <mergeCell ref="B6:C6"/>
    <mergeCell ref="D6:G6"/>
    <mergeCell ref="A13:A14"/>
    <mergeCell ref="B13:C13"/>
    <mergeCell ref="D13:G13"/>
    <mergeCell ref="H13:H14"/>
    <mergeCell ref="I13:I14"/>
    <mergeCell ref="A9:A10"/>
    <mergeCell ref="B9:C9"/>
    <mergeCell ref="D9:G9"/>
    <mergeCell ref="H9:H10"/>
    <mergeCell ref="I9:I10"/>
    <mergeCell ref="A11:A12"/>
    <mergeCell ref="A7:A8"/>
    <mergeCell ref="B7:C7"/>
    <mergeCell ref="D7:G7"/>
    <mergeCell ref="H7:H8"/>
    <mergeCell ref="I7:I8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90E69-5EBD-4F4F-BCF4-AA04CEF48768}">
  <sheetPr>
    <tabColor rgb="FF00B050"/>
    <pageSetUpPr fitToPage="1"/>
  </sheetPr>
  <dimension ref="A1:M57"/>
  <sheetViews>
    <sheetView zoomScale="110" zoomScaleNormal="110" workbookViewId="0">
      <selection activeCell="B9" sqref="B9:G1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608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24">
        <f>SUM(I3)-5</f>
        <v>54</v>
      </c>
      <c r="I3" s="24">
        <f>SUM(J3)-5</f>
        <v>59</v>
      </c>
      <c r="J3" s="75">
        <v>64</v>
      </c>
      <c r="K3" s="76">
        <f>SUM(J3)+5</f>
        <v>69</v>
      </c>
      <c r="L3" s="76">
        <f>SUM(K3)+5</f>
        <v>74</v>
      </c>
      <c r="M3" s="77">
        <f>SUM(L3)+5</f>
        <v>79</v>
      </c>
    </row>
    <row r="4" spans="1:13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24"/>
      <c r="L4" s="24"/>
      <c r="M4" s="26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SUM(I5)-1.8</f>
        <v>23.4</v>
      </c>
      <c r="I5" s="24">
        <f>SUM(J5)-1.8</f>
        <v>25.2</v>
      </c>
      <c r="J5" s="33">
        <v>27</v>
      </c>
      <c r="K5" s="24">
        <f>SUM(J5)+1.6</f>
        <v>28.6</v>
      </c>
      <c r="L5" s="24">
        <f>SUM(K5)+1.6</f>
        <v>30.200000000000003</v>
      </c>
      <c r="M5" s="26">
        <f>SUM(L5)+1.6</f>
        <v>31.800000000000004</v>
      </c>
    </row>
    <row r="6" spans="1:13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37"/>
    </row>
    <row r="7" spans="1:13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30</v>
      </c>
      <c r="I7" s="24">
        <f>SUM(J7)-2.25</f>
        <v>32.25</v>
      </c>
      <c r="J7" s="33">
        <v>34.5</v>
      </c>
      <c r="K7" s="24">
        <f>SUM(J7)+2</f>
        <v>36.5</v>
      </c>
      <c r="L7" s="24">
        <f>SUM(K7)+2</f>
        <v>38.5</v>
      </c>
      <c r="M7" s="26">
        <f>SUM(L7)+2</f>
        <v>40.5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37"/>
    </row>
    <row r="9" spans="1:13" s="1" customFormat="1" ht="14.1" customHeight="1">
      <c r="A9" s="38">
        <v>4</v>
      </c>
      <c r="B9" s="58" t="s">
        <v>383</v>
      </c>
      <c r="C9" s="58"/>
      <c r="D9" s="57" t="s">
        <v>8</v>
      </c>
      <c r="E9" s="57"/>
      <c r="F9" s="57"/>
      <c r="G9" s="57"/>
      <c r="H9" s="24">
        <f>SUM(I9)-2.4</f>
        <v>32.700000000000003</v>
      </c>
      <c r="I9" s="24">
        <f>SUM(J9)-2.4</f>
        <v>35.1</v>
      </c>
      <c r="J9" s="33">
        <v>37.5</v>
      </c>
      <c r="K9" s="24">
        <f>SUM(J9)+2.2</f>
        <v>39.700000000000003</v>
      </c>
      <c r="L9" s="24">
        <f>SUM(K9)+2.2</f>
        <v>41.900000000000006</v>
      </c>
      <c r="M9" s="26">
        <f>SUM(L9)+2.2</f>
        <v>44.100000000000009</v>
      </c>
    </row>
    <row r="10" spans="1:13" s="1" customFormat="1" ht="14.1" customHeight="1">
      <c r="A10" s="38"/>
      <c r="B10" s="56" t="s">
        <v>384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7"/>
    </row>
    <row r="11" spans="1:13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SUM(I11)-0.8</f>
        <v>15.2</v>
      </c>
      <c r="I11" s="24">
        <f>SUM(J11)-0.8</f>
        <v>16</v>
      </c>
      <c r="J11" s="23">
        <v>16.8</v>
      </c>
      <c r="K11" s="21">
        <f>SUM(J11)+0.8</f>
        <v>17.600000000000001</v>
      </c>
      <c r="L11" s="21">
        <f>SUM(K11)+0.8</f>
        <v>18.400000000000002</v>
      </c>
      <c r="M11" s="22">
        <f>SUM(L11)+0.8</f>
        <v>19.200000000000003</v>
      </c>
    </row>
    <row r="12" spans="1:13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2"/>
    </row>
    <row r="13" spans="1:13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14.5</v>
      </c>
      <c r="I13" s="24">
        <f>SUM(J13)-0.6</f>
        <v>15.1</v>
      </c>
      <c r="J13" s="23">
        <v>15.7</v>
      </c>
      <c r="K13" s="21">
        <f>SUM(J13)+0.6</f>
        <v>16.3</v>
      </c>
      <c r="L13" s="21">
        <f>SUM(K13)+0.6</f>
        <v>16.900000000000002</v>
      </c>
      <c r="M13" s="22">
        <f>SUM(L13)+0.6</f>
        <v>17.500000000000004</v>
      </c>
    </row>
    <row r="14" spans="1:13" s="1" customFormat="1" ht="14.1" customHeight="1">
      <c r="A14" s="38"/>
      <c r="B14" s="56" t="s">
        <v>29</v>
      </c>
      <c r="C14" s="56"/>
      <c r="D14" s="47" t="s">
        <v>255</v>
      </c>
      <c r="E14" s="48"/>
      <c r="F14" s="48"/>
      <c r="G14" s="49"/>
      <c r="H14" s="36"/>
      <c r="I14" s="36"/>
      <c r="J14" s="23"/>
      <c r="K14" s="21"/>
      <c r="L14" s="21"/>
      <c r="M14" s="22"/>
    </row>
    <row r="15" spans="1:13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6.5</v>
      </c>
      <c r="I15" s="24">
        <f>SUM(J15)-0.3</f>
        <v>6.8</v>
      </c>
      <c r="J15" s="23">
        <v>7.1</v>
      </c>
      <c r="K15" s="21">
        <f>SUM(J15)+0.3</f>
        <v>7.3999999999999995</v>
      </c>
      <c r="L15" s="21">
        <f>SUM(K15)+0.3</f>
        <v>7.6999999999999993</v>
      </c>
      <c r="M15" s="22">
        <f>SUM(L15)+0.3</f>
        <v>7.9999999999999991</v>
      </c>
    </row>
    <row r="16" spans="1:13" s="1" customFormat="1" ht="14.1" customHeight="1">
      <c r="A16" s="38"/>
      <c r="B16" s="56" t="s">
        <v>30</v>
      </c>
      <c r="C16" s="56"/>
      <c r="D16" s="47" t="s">
        <v>379</v>
      </c>
      <c r="E16" s="48"/>
      <c r="F16" s="48"/>
      <c r="G16" s="49"/>
      <c r="H16" s="36"/>
      <c r="I16" s="36"/>
      <c r="J16" s="23"/>
      <c r="K16" s="21"/>
      <c r="L16" s="21"/>
      <c r="M16" s="22"/>
    </row>
    <row r="17" spans="1:13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37.299999999999997</v>
      </c>
      <c r="I17" s="24">
        <f>SUM(J17)-1.6</f>
        <v>38.9</v>
      </c>
      <c r="J17" s="23">
        <v>40.5</v>
      </c>
      <c r="K17" s="21">
        <f>SUM(J17)+1.6</f>
        <v>42.1</v>
      </c>
      <c r="L17" s="21">
        <f>SUM(K17)+1.6</f>
        <v>43.7</v>
      </c>
      <c r="M17" s="22">
        <f>SUM(L17)+1.6</f>
        <v>45.300000000000004</v>
      </c>
    </row>
    <row r="18" spans="1:13" s="1" customFormat="1" ht="14.1" customHeight="1">
      <c r="A18" s="38"/>
      <c r="B18" s="56" t="s">
        <v>37</v>
      </c>
      <c r="C18" s="56"/>
      <c r="D18" s="47" t="s">
        <v>107</v>
      </c>
      <c r="E18" s="48"/>
      <c r="F18" s="48"/>
      <c r="G18" s="49"/>
      <c r="H18" s="36"/>
      <c r="I18" s="36"/>
      <c r="J18" s="23"/>
      <c r="K18" s="21"/>
      <c r="L18" s="21"/>
      <c r="M18" s="22"/>
    </row>
    <row r="19" spans="1:13" s="1" customFormat="1" ht="14.1" customHeight="1">
      <c r="A19" s="38">
        <v>9</v>
      </c>
      <c r="B19" s="58" t="s">
        <v>4</v>
      </c>
      <c r="C19" s="58"/>
      <c r="D19" s="57" t="s">
        <v>5</v>
      </c>
      <c r="E19" s="57"/>
      <c r="F19" s="57"/>
      <c r="G19" s="57"/>
      <c r="H19" s="24"/>
      <c r="I19" s="24"/>
      <c r="J19" s="23"/>
      <c r="K19" s="21"/>
      <c r="L19" s="21"/>
      <c r="M19" s="22"/>
    </row>
    <row r="20" spans="1:13" s="1" customFormat="1" ht="14.1" customHeight="1">
      <c r="A20" s="38"/>
      <c r="B20" s="56" t="s">
        <v>31</v>
      </c>
      <c r="C20" s="56"/>
      <c r="D20" s="47" t="s">
        <v>54</v>
      </c>
      <c r="E20" s="48"/>
      <c r="F20" s="48"/>
      <c r="G20" s="49"/>
      <c r="H20" s="36"/>
      <c r="I20" s="36"/>
      <c r="J20" s="23"/>
      <c r="K20" s="21"/>
      <c r="L20" s="21"/>
      <c r="M20" s="22"/>
    </row>
    <row r="21" spans="1:13" s="1" customFormat="1" ht="14.1" customHeight="1">
      <c r="A21" s="38">
        <v>10</v>
      </c>
      <c r="B21" s="58" t="s">
        <v>6</v>
      </c>
      <c r="C21" s="58"/>
      <c r="D21" s="59" t="s">
        <v>7</v>
      </c>
      <c r="E21" s="60"/>
      <c r="F21" s="60"/>
      <c r="G21" s="61"/>
      <c r="H21" s="24"/>
      <c r="I21" s="24"/>
      <c r="J21" s="23"/>
      <c r="K21" s="21"/>
      <c r="L21" s="21"/>
      <c r="M21" s="22"/>
    </row>
    <row r="22" spans="1:13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9"/>
      <c r="H22" s="36"/>
      <c r="I22" s="36"/>
      <c r="J22" s="23"/>
      <c r="K22" s="21"/>
      <c r="L22" s="21"/>
      <c r="M22" s="22"/>
    </row>
    <row r="23" spans="1:13" s="1" customFormat="1" ht="14.1" customHeight="1">
      <c r="A23" s="38">
        <v>11</v>
      </c>
      <c r="B23" s="51" t="s">
        <v>77</v>
      </c>
      <c r="C23" s="52"/>
      <c r="D23" s="57" t="s">
        <v>78</v>
      </c>
      <c r="E23" s="57"/>
      <c r="F23" s="57"/>
      <c r="G23" s="57"/>
      <c r="H23" s="24"/>
      <c r="I23" s="24"/>
      <c r="J23" s="23"/>
      <c r="K23" s="21"/>
      <c r="L23" s="21"/>
      <c r="M23" s="22"/>
    </row>
    <row r="24" spans="1:13" s="1" customFormat="1" ht="14.1" customHeight="1">
      <c r="A24" s="38"/>
      <c r="B24" s="56" t="s">
        <v>33</v>
      </c>
      <c r="C24" s="56"/>
      <c r="D24" s="47" t="s">
        <v>79</v>
      </c>
      <c r="E24" s="48"/>
      <c r="F24" s="48"/>
      <c r="G24" s="49"/>
      <c r="H24" s="36"/>
      <c r="I24" s="36"/>
      <c r="J24" s="23"/>
      <c r="K24" s="21"/>
      <c r="L24" s="21"/>
      <c r="M24" s="22"/>
    </row>
    <row r="25" spans="1:13" s="1" customFormat="1" ht="14.1" customHeight="1">
      <c r="A25" s="38">
        <v>12</v>
      </c>
      <c r="B25" s="40" t="s">
        <v>540</v>
      </c>
      <c r="C25" s="41"/>
      <c r="D25" s="42"/>
      <c r="E25" s="43"/>
      <c r="F25" s="43"/>
      <c r="G25" s="44"/>
      <c r="H25" s="50">
        <f>SUM(I25)-2.4</f>
        <v>26.200000000000003</v>
      </c>
      <c r="I25" s="50">
        <f>SUM(J25)-2.4</f>
        <v>28.6</v>
      </c>
      <c r="J25" s="35">
        <v>31</v>
      </c>
      <c r="K25" s="36">
        <f>SUM(J25)+2.4</f>
        <v>33.4</v>
      </c>
      <c r="L25" s="36">
        <f>SUM(K25)+2.4</f>
        <v>35.799999999999997</v>
      </c>
      <c r="M25" s="37">
        <f>SUM(L25)+2.4</f>
        <v>38.199999999999996</v>
      </c>
    </row>
    <row r="26" spans="1:13" s="1" customFormat="1" ht="14.1" customHeight="1">
      <c r="A26" s="38"/>
      <c r="B26" s="45" t="s">
        <v>541</v>
      </c>
      <c r="C26" s="46"/>
      <c r="D26" s="47"/>
      <c r="E26" s="48"/>
      <c r="F26" s="48"/>
      <c r="G26" s="49"/>
      <c r="H26" s="36"/>
      <c r="I26" s="36"/>
      <c r="J26" s="23"/>
      <c r="K26" s="21"/>
      <c r="L26" s="21"/>
      <c r="M26" s="22"/>
    </row>
    <row r="27" spans="1:13" s="1" customFormat="1" ht="14.1" customHeight="1">
      <c r="A27" s="38">
        <v>13</v>
      </c>
      <c r="B27" s="51" t="s">
        <v>556</v>
      </c>
      <c r="C27" s="52"/>
      <c r="D27" s="53"/>
      <c r="E27" s="54"/>
      <c r="F27" s="54"/>
      <c r="G27" s="55"/>
      <c r="H27" s="24">
        <f>SUM(I27)-2.4</f>
        <v>22.700000000000003</v>
      </c>
      <c r="I27" s="24">
        <f>SUM(J27)-2.4</f>
        <v>25.1</v>
      </c>
      <c r="J27" s="23">
        <v>27.5</v>
      </c>
      <c r="K27" s="21">
        <f>SUM(J27)+2.4</f>
        <v>29.9</v>
      </c>
      <c r="L27" s="21">
        <f>SUM(K27)+2.4</f>
        <v>32.299999999999997</v>
      </c>
      <c r="M27" s="22">
        <f>SUM(L27)+2.4</f>
        <v>34.699999999999996</v>
      </c>
    </row>
    <row r="28" spans="1:13" s="1" customFormat="1" ht="14.1" customHeight="1">
      <c r="A28" s="38"/>
      <c r="B28" s="45" t="s">
        <v>171</v>
      </c>
      <c r="C28" s="46"/>
      <c r="D28" s="47"/>
      <c r="E28" s="48"/>
      <c r="F28" s="48"/>
      <c r="G28" s="49"/>
      <c r="H28" s="36"/>
      <c r="I28" s="36"/>
      <c r="J28" s="23"/>
      <c r="K28" s="21"/>
      <c r="L28" s="21"/>
      <c r="M28" s="22"/>
    </row>
    <row r="29" spans="1:13" s="1" customFormat="1" ht="14.1" customHeight="1">
      <c r="A29" s="38">
        <v>14</v>
      </c>
      <c r="B29" s="51" t="s">
        <v>609</v>
      </c>
      <c r="C29" s="52"/>
      <c r="D29" s="53"/>
      <c r="E29" s="54"/>
      <c r="F29" s="54"/>
      <c r="G29" s="55"/>
      <c r="H29" s="24">
        <f>SUM(I29)-0.5</f>
        <v>9</v>
      </c>
      <c r="I29" s="24">
        <f>SUM(J29)-0.5</f>
        <v>9.5</v>
      </c>
      <c r="J29" s="23">
        <v>10</v>
      </c>
      <c r="K29" s="21">
        <f>SUM(J29)+0.5</f>
        <v>10.5</v>
      </c>
      <c r="L29" s="21">
        <f>SUM(K29)+0.5</f>
        <v>11</v>
      </c>
      <c r="M29" s="22">
        <f>SUM(L29)+0.5</f>
        <v>11.5</v>
      </c>
    </row>
    <row r="30" spans="1:13" s="1" customFormat="1" ht="14.1" customHeight="1">
      <c r="A30" s="38"/>
      <c r="B30" s="45" t="s">
        <v>610</v>
      </c>
      <c r="C30" s="46"/>
      <c r="D30" s="47"/>
      <c r="E30" s="48"/>
      <c r="F30" s="48"/>
      <c r="G30" s="49"/>
      <c r="H30" s="36"/>
      <c r="I30" s="36"/>
      <c r="J30" s="23"/>
      <c r="K30" s="21"/>
      <c r="L30" s="21"/>
      <c r="M30" s="22"/>
    </row>
    <row r="31" spans="1:13" s="1" customFormat="1" ht="14.1" customHeight="1">
      <c r="A31" s="38">
        <v>15</v>
      </c>
      <c r="B31" s="195"/>
      <c r="C31" s="196"/>
      <c r="D31" s="53"/>
      <c r="E31" s="54"/>
      <c r="F31" s="54"/>
      <c r="G31" s="55"/>
      <c r="H31" s="24"/>
      <c r="I31" s="24"/>
      <c r="J31" s="33"/>
      <c r="K31" s="24"/>
      <c r="L31" s="24"/>
      <c r="M31" s="26"/>
    </row>
    <row r="32" spans="1:13" s="1" customFormat="1" ht="14.1" customHeight="1">
      <c r="A32" s="38"/>
      <c r="B32" s="45"/>
      <c r="C32" s="46"/>
      <c r="D32" s="47"/>
      <c r="E32" s="48"/>
      <c r="F32" s="48"/>
      <c r="G32" s="49"/>
      <c r="H32" s="36"/>
      <c r="I32" s="36"/>
      <c r="J32" s="35"/>
      <c r="K32" s="36"/>
      <c r="L32" s="36"/>
      <c r="M32" s="37"/>
    </row>
    <row r="33" spans="1:13" s="1" customFormat="1" ht="14.1" customHeight="1">
      <c r="A33" s="38">
        <v>16</v>
      </c>
      <c r="B33" s="164"/>
      <c r="C33" s="165"/>
      <c r="D33" s="42"/>
      <c r="E33" s="43"/>
      <c r="F33" s="43"/>
      <c r="G33" s="44"/>
      <c r="H33" s="50"/>
      <c r="I33" s="50"/>
      <c r="J33" s="35"/>
      <c r="K33" s="36"/>
      <c r="L33" s="36"/>
      <c r="M33" s="37"/>
    </row>
    <row r="34" spans="1:13" s="1" customFormat="1" ht="14.1" customHeight="1" thickBot="1">
      <c r="A34" s="39"/>
      <c r="B34" s="28"/>
      <c r="C34" s="29"/>
      <c r="D34" s="30"/>
      <c r="E34" s="31"/>
      <c r="F34" s="31"/>
      <c r="G34" s="32"/>
      <c r="H34" s="25"/>
      <c r="I34" s="25"/>
      <c r="J34" s="218"/>
      <c r="K34" s="216"/>
      <c r="L34" s="216"/>
      <c r="M34" s="220"/>
    </row>
    <row r="35" spans="1:13" s="1" customFormat="1" ht="14.1" customHeight="1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 s="1" customFormat="1" ht="14.1" customHeight="1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 s="1" customFormat="1" ht="14.1" customHeight="1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 s="1" customFormat="1" ht="14.1" customHeight="1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179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J31:J32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8C0B5-D6C4-40BC-A3A0-680474E9E390}">
  <sheetPr>
    <tabColor rgb="FF00B050"/>
    <pageSetUpPr fitToPage="1"/>
  </sheetPr>
  <dimension ref="A1:M57"/>
  <sheetViews>
    <sheetView topLeftCell="A10" zoomScale="110" zoomScaleNormal="110" workbookViewId="0">
      <selection sqref="A1:M1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806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24">
        <f>SUM(I3)-5</f>
        <v>58</v>
      </c>
      <c r="I3" s="24">
        <f>SUM(J3)-5</f>
        <v>63</v>
      </c>
      <c r="J3" s="75">
        <v>68</v>
      </c>
      <c r="K3" s="76">
        <f>SUM(J3)+5</f>
        <v>73</v>
      </c>
      <c r="L3" s="76">
        <f>SUM(K3)+5</f>
        <v>78</v>
      </c>
      <c r="M3" s="214">
        <f>SUM(L3)+5</f>
        <v>83</v>
      </c>
    </row>
    <row r="4" spans="1:13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24"/>
      <c r="L4" s="24"/>
      <c r="M4" s="88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SUM(I5)-1.6</f>
        <v>21.799999999999997</v>
      </c>
      <c r="I5" s="24">
        <f>SUM(J5)-1.6</f>
        <v>23.4</v>
      </c>
      <c r="J5" s="33">
        <v>25</v>
      </c>
      <c r="K5" s="24">
        <f>SUM(J5)+1.4</f>
        <v>26.4</v>
      </c>
      <c r="L5" s="24">
        <f>SUM(K5)+1.4</f>
        <v>27.799999999999997</v>
      </c>
      <c r="M5" s="88">
        <f>SUM(L5)+1.4</f>
        <v>29.199999999999996</v>
      </c>
    </row>
    <row r="6" spans="1:13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87"/>
    </row>
    <row r="7" spans="1:13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29.5</v>
      </c>
      <c r="I7" s="24">
        <f>SUM(J7)-2.25</f>
        <v>31.75</v>
      </c>
      <c r="J7" s="33">
        <v>34</v>
      </c>
      <c r="K7" s="24">
        <f>SUM(J7)+2</f>
        <v>36</v>
      </c>
      <c r="L7" s="24">
        <f>SUM(K7)+2</f>
        <v>38</v>
      </c>
      <c r="M7" s="88">
        <f>SUM(L7)+2</f>
        <v>40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87"/>
    </row>
    <row r="9" spans="1:13" s="1" customFormat="1" ht="14.1" customHeight="1">
      <c r="A9" s="38">
        <v>4</v>
      </c>
      <c r="B9" s="58" t="s">
        <v>295</v>
      </c>
      <c r="C9" s="58"/>
      <c r="D9" s="57"/>
      <c r="E9" s="57"/>
      <c r="F9" s="57"/>
      <c r="G9" s="57"/>
      <c r="H9" s="24">
        <f>SUM(I9)-3</f>
        <v>50</v>
      </c>
      <c r="I9" s="24">
        <f>SUM(J9)-3</f>
        <v>53</v>
      </c>
      <c r="J9" s="33">
        <v>56</v>
      </c>
      <c r="K9" s="24">
        <f>SUM(J9)+3</f>
        <v>59</v>
      </c>
      <c r="L9" s="24">
        <f>SUM(K9)+3</f>
        <v>62</v>
      </c>
      <c r="M9" s="88">
        <f>SUM(L9)+3</f>
        <v>65</v>
      </c>
    </row>
    <row r="10" spans="1:13" s="1" customFormat="1" ht="14.1" customHeight="1">
      <c r="A10" s="38"/>
      <c r="B10" s="56" t="s">
        <v>809</v>
      </c>
      <c r="C10" s="56"/>
      <c r="D10" s="47"/>
      <c r="E10" s="48"/>
      <c r="F10" s="48"/>
      <c r="G10" s="49"/>
      <c r="H10" s="36"/>
      <c r="I10" s="36"/>
      <c r="J10" s="35"/>
      <c r="K10" s="36"/>
      <c r="L10" s="36"/>
      <c r="M10" s="87"/>
    </row>
    <row r="11" spans="1:13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SUM(I11)-0.9</f>
        <v>15.200000000000001</v>
      </c>
      <c r="I11" s="24">
        <f>SUM(J11)-0.9</f>
        <v>16.100000000000001</v>
      </c>
      <c r="J11" s="23">
        <v>17</v>
      </c>
      <c r="K11" s="21">
        <f>SUM(J11)+0.9</f>
        <v>17.899999999999999</v>
      </c>
      <c r="L11" s="21">
        <f>SUM(K11)+0.9</f>
        <v>18.799999999999997</v>
      </c>
      <c r="M11" s="215">
        <f>SUM(L11)+0.9</f>
        <v>19.699999999999996</v>
      </c>
    </row>
    <row r="12" spans="1:13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15"/>
    </row>
    <row r="13" spans="1:13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11.4</v>
      </c>
      <c r="I13" s="24">
        <f>SUM(J13)-0.6</f>
        <v>12</v>
      </c>
      <c r="J13" s="23">
        <v>12.6</v>
      </c>
      <c r="K13" s="21">
        <f>SUM(J13)+0.6</f>
        <v>13.2</v>
      </c>
      <c r="L13" s="21">
        <f>SUM(K13)+0.6</f>
        <v>13.799999999999999</v>
      </c>
      <c r="M13" s="215">
        <f>SUM(L13)+0.6</f>
        <v>14.399999999999999</v>
      </c>
    </row>
    <row r="14" spans="1:13" s="1" customFormat="1" ht="14.1" customHeight="1">
      <c r="A14" s="38"/>
      <c r="B14" s="56" t="s">
        <v>29</v>
      </c>
      <c r="C14" s="56"/>
      <c r="D14" s="47" t="s">
        <v>652</v>
      </c>
      <c r="E14" s="48"/>
      <c r="F14" s="48"/>
      <c r="G14" s="49"/>
      <c r="H14" s="36"/>
      <c r="I14" s="36"/>
      <c r="J14" s="23"/>
      <c r="K14" s="21"/>
      <c r="L14" s="21"/>
      <c r="M14" s="215"/>
    </row>
    <row r="15" spans="1:13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4.9000000000000004</v>
      </c>
      <c r="I15" s="24">
        <f>SUM(J15)-0.3</f>
        <v>5.2</v>
      </c>
      <c r="J15" s="23">
        <v>5.5</v>
      </c>
      <c r="K15" s="21">
        <f>SUM(J15)+0.3</f>
        <v>5.8</v>
      </c>
      <c r="L15" s="21">
        <f>SUM(K15)+0.3</f>
        <v>6.1</v>
      </c>
      <c r="M15" s="215">
        <f>SUM(L15)+0.3</f>
        <v>6.3999999999999995</v>
      </c>
    </row>
    <row r="16" spans="1:13" s="1" customFormat="1" ht="14.1" customHeight="1">
      <c r="A16" s="38"/>
      <c r="B16" s="56" t="s">
        <v>30</v>
      </c>
      <c r="C16" s="56"/>
      <c r="D16" s="47" t="s">
        <v>653</v>
      </c>
      <c r="E16" s="48"/>
      <c r="F16" s="48"/>
      <c r="G16" s="49"/>
      <c r="H16" s="36"/>
      <c r="I16" s="36"/>
      <c r="J16" s="23"/>
      <c r="K16" s="21"/>
      <c r="L16" s="21"/>
      <c r="M16" s="215"/>
    </row>
    <row r="17" spans="1:13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32.799999999999997</v>
      </c>
      <c r="I17" s="24">
        <f>SUM(J17)-1.6</f>
        <v>34.4</v>
      </c>
      <c r="J17" s="23">
        <v>36</v>
      </c>
      <c r="K17" s="21">
        <f>SUM(J17)+1.6</f>
        <v>37.6</v>
      </c>
      <c r="L17" s="21">
        <f>SUM(K17)+1.6</f>
        <v>39.200000000000003</v>
      </c>
      <c r="M17" s="215">
        <f>SUM(L17)+1.6</f>
        <v>40.800000000000004</v>
      </c>
    </row>
    <row r="18" spans="1:13" s="1" customFormat="1" ht="14.1" customHeight="1">
      <c r="A18" s="38"/>
      <c r="B18" s="56" t="s">
        <v>37</v>
      </c>
      <c r="C18" s="56"/>
      <c r="D18" s="47" t="s">
        <v>517</v>
      </c>
      <c r="E18" s="48"/>
      <c r="F18" s="48"/>
      <c r="G18" s="49"/>
      <c r="H18" s="36"/>
      <c r="I18" s="36"/>
      <c r="J18" s="23"/>
      <c r="K18" s="21"/>
      <c r="L18" s="21"/>
      <c r="M18" s="215"/>
    </row>
    <row r="19" spans="1:13" s="1" customFormat="1" ht="14.1" customHeight="1">
      <c r="A19" s="38">
        <v>9</v>
      </c>
      <c r="B19" s="58" t="s">
        <v>240</v>
      </c>
      <c r="C19" s="58"/>
      <c r="D19" s="57" t="s">
        <v>5</v>
      </c>
      <c r="E19" s="57"/>
      <c r="F19" s="57"/>
      <c r="G19" s="57"/>
      <c r="H19" s="24">
        <f>SUM(I19)-3.7</f>
        <v>33.099999999999994</v>
      </c>
      <c r="I19" s="24">
        <f>SUM(J19)-3.7</f>
        <v>36.799999999999997</v>
      </c>
      <c r="J19" s="23">
        <v>40.5</v>
      </c>
      <c r="K19" s="21">
        <f>SUM(J19)+3.8</f>
        <v>44.3</v>
      </c>
      <c r="L19" s="21">
        <f>SUM(K19)+3.8</f>
        <v>48.099999999999994</v>
      </c>
      <c r="M19" s="215">
        <f>SUM(L19)+3.8</f>
        <v>51.899999999999991</v>
      </c>
    </row>
    <row r="20" spans="1:13" s="1" customFormat="1" ht="14.1" customHeight="1">
      <c r="A20" s="38"/>
      <c r="B20" s="56" t="s">
        <v>500</v>
      </c>
      <c r="C20" s="56"/>
      <c r="D20" s="47" t="s">
        <v>54</v>
      </c>
      <c r="E20" s="48"/>
      <c r="F20" s="48"/>
      <c r="G20" s="49"/>
      <c r="H20" s="36"/>
      <c r="I20" s="36"/>
      <c r="J20" s="23"/>
      <c r="K20" s="21"/>
      <c r="L20" s="21"/>
      <c r="M20" s="215"/>
    </row>
    <row r="21" spans="1:13" s="1" customFormat="1" ht="14.1" customHeight="1">
      <c r="A21" s="38">
        <v>10</v>
      </c>
      <c r="B21" s="58" t="s">
        <v>6</v>
      </c>
      <c r="C21" s="58"/>
      <c r="D21" s="59" t="s">
        <v>7</v>
      </c>
      <c r="E21" s="60"/>
      <c r="F21" s="60"/>
      <c r="G21" s="61"/>
      <c r="H21" s="24">
        <f>SUM(I21)-1.5</f>
        <v>25</v>
      </c>
      <c r="I21" s="24">
        <f>SUM(J21)-1.5</f>
        <v>26.5</v>
      </c>
      <c r="J21" s="23">
        <v>28</v>
      </c>
      <c r="K21" s="21">
        <f>SUM(J21)+1.5</f>
        <v>29.5</v>
      </c>
      <c r="L21" s="21">
        <f>SUM(K21)+1.5</f>
        <v>31</v>
      </c>
      <c r="M21" s="215">
        <f>SUM(L21)+1.5</f>
        <v>32.5</v>
      </c>
    </row>
    <row r="22" spans="1:13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9"/>
      <c r="H22" s="36"/>
      <c r="I22" s="36"/>
      <c r="J22" s="23"/>
      <c r="K22" s="21"/>
      <c r="L22" s="21"/>
      <c r="M22" s="215"/>
    </row>
    <row r="23" spans="1:13" s="1" customFormat="1" ht="14.1" customHeight="1">
      <c r="A23" s="38">
        <v>11</v>
      </c>
      <c r="B23" s="51" t="s">
        <v>77</v>
      </c>
      <c r="C23" s="52"/>
      <c r="D23" s="57" t="s">
        <v>78</v>
      </c>
      <c r="E23" s="57"/>
      <c r="F23" s="57"/>
      <c r="G23" s="57"/>
      <c r="H23" s="24">
        <f>SUM(I23)-0.6</f>
        <v>14</v>
      </c>
      <c r="I23" s="24">
        <f>SUM(J23)-0.6</f>
        <v>14.6</v>
      </c>
      <c r="J23" s="23">
        <v>15.2</v>
      </c>
      <c r="K23" s="21">
        <f>SUM(J23)+0.6</f>
        <v>15.799999999999999</v>
      </c>
      <c r="L23" s="21">
        <f>SUM(K23)+0.6</f>
        <v>16.399999999999999</v>
      </c>
      <c r="M23" s="215">
        <f>SUM(L23)+0.6</f>
        <v>17</v>
      </c>
    </row>
    <row r="24" spans="1:13" s="1" customFormat="1" ht="14.1" customHeight="1">
      <c r="A24" s="38"/>
      <c r="B24" s="56" t="s">
        <v>33</v>
      </c>
      <c r="C24" s="56"/>
      <c r="D24" s="47" t="s">
        <v>79</v>
      </c>
      <c r="E24" s="48"/>
      <c r="F24" s="48"/>
      <c r="G24" s="49"/>
      <c r="H24" s="36"/>
      <c r="I24" s="36"/>
      <c r="J24" s="23"/>
      <c r="K24" s="21"/>
      <c r="L24" s="21"/>
      <c r="M24" s="215"/>
    </row>
    <row r="25" spans="1:13" s="1" customFormat="1" ht="14.1" customHeight="1">
      <c r="A25" s="38">
        <v>12</v>
      </c>
      <c r="B25" s="51" t="s">
        <v>241</v>
      </c>
      <c r="C25" s="52"/>
      <c r="D25" s="57"/>
      <c r="E25" s="57"/>
      <c r="F25" s="57"/>
      <c r="G25" s="57"/>
      <c r="H25" s="24">
        <f>SUM(I25)-1.2</f>
        <v>16.600000000000001</v>
      </c>
      <c r="I25" s="24">
        <f>SUM(J25)-1.2</f>
        <v>17.8</v>
      </c>
      <c r="J25" s="23">
        <v>19</v>
      </c>
      <c r="K25" s="21">
        <f>SUM(J25)+1.3</f>
        <v>20.3</v>
      </c>
      <c r="L25" s="21">
        <f>SUM(K25)+1.3</f>
        <v>21.6</v>
      </c>
      <c r="M25" s="215">
        <f>SUM(L25)+1.3</f>
        <v>22.900000000000002</v>
      </c>
    </row>
    <row r="26" spans="1:13" s="1" customFormat="1" ht="14.1" customHeight="1">
      <c r="A26" s="38"/>
      <c r="B26" s="56" t="s">
        <v>501</v>
      </c>
      <c r="C26" s="56"/>
      <c r="D26" s="47"/>
      <c r="E26" s="48"/>
      <c r="F26" s="48"/>
      <c r="G26" s="49"/>
      <c r="H26" s="36"/>
      <c r="I26" s="36"/>
      <c r="J26" s="23"/>
      <c r="K26" s="21"/>
      <c r="L26" s="21"/>
      <c r="M26" s="215"/>
    </row>
    <row r="27" spans="1:13" s="1" customFormat="1" ht="14.1" customHeight="1">
      <c r="A27" s="38">
        <v>13</v>
      </c>
      <c r="B27" s="51" t="s">
        <v>741</v>
      </c>
      <c r="C27" s="52"/>
      <c r="D27" s="57"/>
      <c r="E27" s="57"/>
      <c r="F27" s="57"/>
      <c r="G27" s="57"/>
      <c r="H27" s="24">
        <f>SUM(I27)-1.2</f>
        <v>21.6</v>
      </c>
      <c r="I27" s="24">
        <f>SUM(J27)-1.2</f>
        <v>22.8</v>
      </c>
      <c r="J27" s="23">
        <v>24</v>
      </c>
      <c r="K27" s="21">
        <f>SUM(J27)+1.2</f>
        <v>25.2</v>
      </c>
      <c r="L27" s="21">
        <f>SUM(K27)+1.2</f>
        <v>26.4</v>
      </c>
      <c r="M27" s="215">
        <f>SUM(L27)+1.2</f>
        <v>27.599999999999998</v>
      </c>
    </row>
    <row r="28" spans="1:13" s="1" customFormat="1" ht="14.1" customHeight="1">
      <c r="A28" s="38"/>
      <c r="B28" s="56" t="s">
        <v>742</v>
      </c>
      <c r="C28" s="56"/>
      <c r="D28" s="47"/>
      <c r="E28" s="48"/>
      <c r="F28" s="48"/>
      <c r="G28" s="49"/>
      <c r="H28" s="36"/>
      <c r="I28" s="36"/>
      <c r="J28" s="23"/>
      <c r="K28" s="21"/>
      <c r="L28" s="21"/>
      <c r="M28" s="215"/>
    </row>
    <row r="29" spans="1:13" s="1" customFormat="1" ht="14.1" customHeight="1">
      <c r="A29" s="38">
        <v>14</v>
      </c>
      <c r="B29" s="51" t="s">
        <v>402</v>
      </c>
      <c r="C29" s="52"/>
      <c r="D29" s="57"/>
      <c r="E29" s="57"/>
      <c r="F29" s="57"/>
      <c r="G29" s="57"/>
      <c r="H29" s="50">
        <f>SUM(I29)-3</f>
        <v>35</v>
      </c>
      <c r="I29" s="50">
        <f>SUM(J29)-3</f>
        <v>38</v>
      </c>
      <c r="J29" s="35">
        <v>41</v>
      </c>
      <c r="K29" s="36">
        <f>SUM(J29)+3</f>
        <v>44</v>
      </c>
      <c r="L29" s="36">
        <f>SUM(K29)+3</f>
        <v>47</v>
      </c>
      <c r="M29" s="87">
        <f>SUM(L29)+3</f>
        <v>50</v>
      </c>
    </row>
    <row r="30" spans="1:13" s="1" customFormat="1" ht="14.1" customHeight="1">
      <c r="A30" s="38"/>
      <c r="B30" s="56" t="s">
        <v>406</v>
      </c>
      <c r="C30" s="56"/>
      <c r="D30" s="47" t="s">
        <v>390</v>
      </c>
      <c r="E30" s="48"/>
      <c r="F30" s="48"/>
      <c r="G30" s="49"/>
      <c r="H30" s="36"/>
      <c r="I30" s="36"/>
      <c r="J30" s="23"/>
      <c r="K30" s="21"/>
      <c r="L30" s="21"/>
      <c r="M30" s="215"/>
    </row>
    <row r="31" spans="1:13" s="1" customFormat="1" ht="14.1" customHeight="1">
      <c r="A31" s="38">
        <v>15</v>
      </c>
      <c r="B31" s="51" t="s">
        <v>404</v>
      </c>
      <c r="C31" s="52"/>
      <c r="D31" s="57"/>
      <c r="E31" s="57"/>
      <c r="F31" s="57"/>
      <c r="G31" s="57"/>
      <c r="H31" s="50">
        <f>SUM(I31)-1.7</f>
        <v>19.600000000000001</v>
      </c>
      <c r="I31" s="50">
        <f>SUM(J31)-1.7</f>
        <v>21.3</v>
      </c>
      <c r="J31" s="35">
        <v>23</v>
      </c>
      <c r="K31" s="36">
        <f>SUM(J31)+1.7</f>
        <v>24.7</v>
      </c>
      <c r="L31" s="36">
        <f>SUM(K31)+1.7</f>
        <v>26.4</v>
      </c>
      <c r="M31" s="87">
        <f>SUM(L31)+1.7</f>
        <v>28.099999999999998</v>
      </c>
    </row>
    <row r="32" spans="1:13" s="1" customFormat="1" ht="13.5" customHeight="1">
      <c r="A32" s="38"/>
      <c r="B32" s="56" t="s">
        <v>807</v>
      </c>
      <c r="C32" s="56"/>
      <c r="D32" s="47" t="s">
        <v>390</v>
      </c>
      <c r="E32" s="48"/>
      <c r="F32" s="48"/>
      <c r="G32" s="49"/>
      <c r="H32" s="36"/>
      <c r="I32" s="36"/>
      <c r="J32" s="23"/>
      <c r="K32" s="21"/>
      <c r="L32" s="21"/>
      <c r="M32" s="215"/>
    </row>
    <row r="33" spans="1:13" s="1" customFormat="1" ht="14.1" customHeight="1">
      <c r="A33" s="38">
        <v>16</v>
      </c>
      <c r="B33" s="51" t="s">
        <v>408</v>
      </c>
      <c r="C33" s="52"/>
      <c r="D33" s="57"/>
      <c r="E33" s="57"/>
      <c r="F33" s="57"/>
      <c r="G33" s="57"/>
      <c r="H33" s="50">
        <f>SUM(I33)-1.3</f>
        <v>15.399999999999999</v>
      </c>
      <c r="I33" s="50">
        <f>SUM(J33)-1.3</f>
        <v>16.7</v>
      </c>
      <c r="J33" s="35">
        <v>18</v>
      </c>
      <c r="K33" s="36">
        <f>SUM(J33)+1.3</f>
        <v>19.3</v>
      </c>
      <c r="L33" s="36">
        <f>SUM(K33)+1.3</f>
        <v>20.6</v>
      </c>
      <c r="M33" s="87">
        <f>SUM(L33)+1.3</f>
        <v>21.900000000000002</v>
      </c>
    </row>
    <row r="34" spans="1:13" s="1" customFormat="1" ht="14.1" customHeight="1">
      <c r="A34" s="38"/>
      <c r="B34" s="56" t="s">
        <v>808</v>
      </c>
      <c r="C34" s="56"/>
      <c r="D34" s="47" t="s">
        <v>390</v>
      </c>
      <c r="E34" s="48"/>
      <c r="F34" s="48"/>
      <c r="G34" s="49"/>
      <c r="H34" s="36"/>
      <c r="I34" s="36"/>
      <c r="J34" s="23"/>
      <c r="K34" s="21"/>
      <c r="L34" s="21"/>
      <c r="M34" s="215"/>
    </row>
    <row r="35" spans="1:13" s="1" customFormat="1" ht="14.1" customHeight="1">
      <c r="A35" s="38">
        <v>17</v>
      </c>
      <c r="B35" s="51" t="s">
        <v>556</v>
      </c>
      <c r="C35" s="52"/>
      <c r="D35" s="42"/>
      <c r="E35" s="43"/>
      <c r="F35" s="43"/>
      <c r="G35" s="44"/>
      <c r="H35" s="24">
        <f>SUM(I35)-2.4</f>
        <v>27.200000000000003</v>
      </c>
      <c r="I35" s="24">
        <f>SUM(J35)-2.4</f>
        <v>29.6</v>
      </c>
      <c r="J35" s="23">
        <v>32</v>
      </c>
      <c r="K35" s="21">
        <f>SUM(J35)+2.4</f>
        <v>34.4</v>
      </c>
      <c r="L35" s="21">
        <f>SUM(K35)+2.4</f>
        <v>36.799999999999997</v>
      </c>
      <c r="M35" s="215">
        <f>SUM(L35)+2.4</f>
        <v>39.199999999999996</v>
      </c>
    </row>
    <row r="36" spans="1:13" s="1" customFormat="1" ht="14.1" customHeight="1">
      <c r="A36" s="38"/>
      <c r="B36" s="45" t="s">
        <v>171</v>
      </c>
      <c r="C36" s="46"/>
      <c r="D36" s="47"/>
      <c r="E36" s="48"/>
      <c r="F36" s="48"/>
      <c r="G36" s="49"/>
      <c r="H36" s="36"/>
      <c r="I36" s="36"/>
      <c r="J36" s="23"/>
      <c r="K36" s="21"/>
      <c r="L36" s="21"/>
      <c r="M36" s="215"/>
    </row>
    <row r="37" spans="1:13" s="1" customFormat="1" ht="14.1" customHeight="1">
      <c r="A37" s="38">
        <v>18</v>
      </c>
      <c r="B37" s="51"/>
      <c r="C37" s="52"/>
      <c r="D37" s="57"/>
      <c r="E37" s="57"/>
      <c r="F37" s="57"/>
      <c r="G37" s="57"/>
      <c r="H37" s="50"/>
      <c r="I37" s="50"/>
      <c r="J37" s="35"/>
      <c r="K37" s="36"/>
      <c r="L37" s="36"/>
      <c r="M37" s="87"/>
    </row>
    <row r="38" spans="1:13" s="1" customFormat="1" ht="14.1" customHeight="1">
      <c r="A38" s="38"/>
      <c r="B38" s="56"/>
      <c r="C38" s="56"/>
      <c r="D38" s="47"/>
      <c r="E38" s="48"/>
      <c r="F38" s="48"/>
      <c r="G38" s="49"/>
      <c r="H38" s="36"/>
      <c r="I38" s="36"/>
      <c r="J38" s="23"/>
      <c r="K38" s="21"/>
      <c r="L38" s="21"/>
      <c r="M38" s="215"/>
    </row>
    <row r="39" spans="1:13" s="1" customFormat="1" ht="14.1" customHeight="1">
      <c r="A39" s="38">
        <v>19</v>
      </c>
      <c r="B39" s="164"/>
      <c r="C39" s="165"/>
      <c r="D39" s="42"/>
      <c r="E39" s="43"/>
      <c r="F39" s="43"/>
      <c r="G39" s="44"/>
      <c r="H39" s="50"/>
      <c r="I39" s="50"/>
      <c r="J39" s="35"/>
      <c r="K39" s="36"/>
      <c r="L39" s="36"/>
      <c r="M39" s="87"/>
    </row>
    <row r="40" spans="1:13" s="1" customFormat="1" ht="14.1" customHeight="1" thickBot="1">
      <c r="A40" s="39"/>
      <c r="B40" s="28"/>
      <c r="C40" s="29"/>
      <c r="D40" s="30"/>
      <c r="E40" s="31"/>
      <c r="F40" s="31"/>
      <c r="G40" s="32"/>
      <c r="H40" s="25"/>
      <c r="I40" s="25"/>
      <c r="J40" s="218"/>
      <c r="K40" s="216"/>
      <c r="L40" s="216"/>
      <c r="M40" s="217"/>
    </row>
    <row r="41" spans="1:13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212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9:J40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17E68-C46A-45A1-9E9A-441B608FE68F}">
  <sheetPr>
    <tabColor rgb="FF00B050"/>
    <pageSetUpPr fitToPage="1"/>
  </sheetPr>
  <dimension ref="A1:M57"/>
  <sheetViews>
    <sheetView topLeftCell="A4" zoomScale="110" zoomScaleNormal="110" workbookViewId="0">
      <selection activeCell="D14" sqref="D14:G1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699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24">
        <f>SUM(I3)-5</f>
        <v>53</v>
      </c>
      <c r="I3" s="24">
        <f>SUM(J3)-5</f>
        <v>58</v>
      </c>
      <c r="J3" s="75">
        <v>63</v>
      </c>
      <c r="K3" s="76">
        <f>SUM(J3)+5</f>
        <v>68</v>
      </c>
      <c r="L3" s="76">
        <f>SUM(K3)+5</f>
        <v>73</v>
      </c>
      <c r="M3" s="214">
        <f>SUM(L3)+5</f>
        <v>78</v>
      </c>
    </row>
    <row r="4" spans="1:13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24"/>
      <c r="L4" s="24"/>
      <c r="M4" s="88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SUM(I5)-2.2</f>
        <v>34.499999999999993</v>
      </c>
      <c r="I5" s="24">
        <f>SUM(J5)-2.2</f>
        <v>36.699999999999996</v>
      </c>
      <c r="J5" s="33">
        <v>38.9</v>
      </c>
      <c r="K5" s="24">
        <f>SUM(J5)+2</f>
        <v>40.9</v>
      </c>
      <c r="L5" s="24">
        <f>SUM(K5)+2</f>
        <v>42.9</v>
      </c>
      <c r="M5" s="88">
        <f>SUM(L5)+2</f>
        <v>44.9</v>
      </c>
    </row>
    <row r="6" spans="1:13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87"/>
    </row>
    <row r="7" spans="1:13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35.5</v>
      </c>
      <c r="I7" s="24">
        <f>SUM(J7)-2.25</f>
        <v>37.75</v>
      </c>
      <c r="J7" s="33">
        <v>40</v>
      </c>
      <c r="K7" s="24">
        <f>SUM(J7)+2</f>
        <v>42</v>
      </c>
      <c r="L7" s="24">
        <f>SUM(K7)+2</f>
        <v>44</v>
      </c>
      <c r="M7" s="88">
        <f>SUM(L7)+2</f>
        <v>46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87"/>
    </row>
    <row r="9" spans="1:13" s="1" customFormat="1" ht="14.1" customHeight="1">
      <c r="A9" s="38">
        <v>4</v>
      </c>
      <c r="B9" s="58" t="s">
        <v>383</v>
      </c>
      <c r="C9" s="58"/>
      <c r="D9" s="57" t="s">
        <v>8</v>
      </c>
      <c r="E9" s="57"/>
      <c r="F9" s="57"/>
      <c r="G9" s="57"/>
      <c r="H9" s="24">
        <f>SUM(I9)-1.8</f>
        <v>29.4</v>
      </c>
      <c r="I9" s="24">
        <f>SUM(J9)-1.8</f>
        <v>31.2</v>
      </c>
      <c r="J9" s="33">
        <v>33</v>
      </c>
      <c r="K9" s="24">
        <f>SUM(J9)+1.6</f>
        <v>34.6</v>
      </c>
      <c r="L9" s="24">
        <f>SUM(K9)+1.6</f>
        <v>36.200000000000003</v>
      </c>
      <c r="M9" s="88">
        <f>SUM(L9)+1.6</f>
        <v>37.800000000000004</v>
      </c>
    </row>
    <row r="10" spans="1:13" s="1" customFormat="1" ht="14.1" customHeight="1">
      <c r="A10" s="38"/>
      <c r="B10" s="56" t="s">
        <v>384</v>
      </c>
      <c r="C10" s="56"/>
      <c r="D10" s="47" t="s">
        <v>700</v>
      </c>
      <c r="E10" s="48"/>
      <c r="F10" s="48"/>
      <c r="G10" s="49"/>
      <c r="H10" s="36"/>
      <c r="I10" s="36"/>
      <c r="J10" s="35"/>
      <c r="K10" s="36"/>
      <c r="L10" s="36"/>
      <c r="M10" s="87"/>
    </row>
    <row r="11" spans="1:13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SUM(I11)-0.8</f>
        <v>14.2</v>
      </c>
      <c r="I11" s="24">
        <f>SUM(J11)-0.8</f>
        <v>15</v>
      </c>
      <c r="J11" s="23">
        <v>15.8</v>
      </c>
      <c r="K11" s="21">
        <f>SUM(J11)+0.8</f>
        <v>16.600000000000001</v>
      </c>
      <c r="L11" s="21">
        <f>SUM(K11)+0.8</f>
        <v>17.400000000000002</v>
      </c>
      <c r="M11" s="215">
        <f>SUM(L11)+0.8</f>
        <v>18.200000000000003</v>
      </c>
    </row>
    <row r="12" spans="1:13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15"/>
    </row>
    <row r="13" spans="1:13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15.2</v>
      </c>
      <c r="I13" s="24">
        <f>SUM(J13)-0.6</f>
        <v>15.799999999999999</v>
      </c>
      <c r="J13" s="23">
        <v>16.399999999999999</v>
      </c>
      <c r="K13" s="21">
        <f>SUM(J13)+0.6</f>
        <v>17</v>
      </c>
      <c r="L13" s="21">
        <f>SUM(K13)+0.6</f>
        <v>17.600000000000001</v>
      </c>
      <c r="M13" s="215">
        <f>SUM(L13)+0.6</f>
        <v>18.200000000000003</v>
      </c>
    </row>
    <row r="14" spans="1:13" s="1" customFormat="1" ht="14.1" customHeight="1">
      <c r="A14" s="38"/>
      <c r="B14" s="56" t="s">
        <v>29</v>
      </c>
      <c r="C14" s="56"/>
      <c r="D14" s="47" t="s">
        <v>154</v>
      </c>
      <c r="E14" s="48"/>
      <c r="F14" s="48"/>
      <c r="G14" s="49"/>
      <c r="H14" s="36"/>
      <c r="I14" s="36"/>
      <c r="J14" s="23"/>
      <c r="K14" s="21"/>
      <c r="L14" s="21"/>
      <c r="M14" s="215"/>
    </row>
    <row r="15" spans="1:13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6.9</v>
      </c>
      <c r="I15" s="24">
        <f>SUM(J15)-0.3</f>
        <v>7.2</v>
      </c>
      <c r="J15" s="23">
        <v>7.5</v>
      </c>
      <c r="K15" s="21">
        <f>SUM(J15)+0.3</f>
        <v>7.8</v>
      </c>
      <c r="L15" s="21">
        <f>SUM(K15)+0.3</f>
        <v>8.1</v>
      </c>
      <c r="M15" s="215">
        <f>SUM(L15)+0.3</f>
        <v>8.4</v>
      </c>
    </row>
    <row r="16" spans="1:13" s="1" customFormat="1" ht="14.1" customHeight="1">
      <c r="A16" s="38"/>
      <c r="B16" s="56" t="s">
        <v>30</v>
      </c>
      <c r="C16" s="56"/>
      <c r="D16" s="47" t="s">
        <v>155</v>
      </c>
      <c r="E16" s="48"/>
      <c r="F16" s="48"/>
      <c r="G16" s="49"/>
      <c r="H16" s="36"/>
      <c r="I16" s="36"/>
      <c r="J16" s="23"/>
      <c r="K16" s="21"/>
      <c r="L16" s="21"/>
      <c r="M16" s="215"/>
    </row>
    <row r="17" spans="1:13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40.799999999999997</v>
      </c>
      <c r="I17" s="24">
        <f>SUM(J17)-1.6</f>
        <v>42.4</v>
      </c>
      <c r="J17" s="23">
        <v>44</v>
      </c>
      <c r="K17" s="21">
        <f>SUM(J17)+1.6</f>
        <v>45.6</v>
      </c>
      <c r="L17" s="21">
        <f>SUM(K17)+1.6</f>
        <v>47.2</v>
      </c>
      <c r="M17" s="215">
        <f>SUM(L17)+1.6</f>
        <v>48.800000000000004</v>
      </c>
    </row>
    <row r="18" spans="1:13" s="1" customFormat="1" ht="14.1" customHeight="1">
      <c r="A18" s="38"/>
      <c r="B18" s="56" t="s">
        <v>37</v>
      </c>
      <c r="C18" s="56"/>
      <c r="D18" s="47" t="s">
        <v>156</v>
      </c>
      <c r="E18" s="48"/>
      <c r="F18" s="48"/>
      <c r="G18" s="49"/>
      <c r="H18" s="36"/>
      <c r="I18" s="36"/>
      <c r="J18" s="23"/>
      <c r="K18" s="21"/>
      <c r="L18" s="21"/>
      <c r="M18" s="215"/>
    </row>
    <row r="19" spans="1:13" s="1" customFormat="1" ht="14.1" customHeight="1">
      <c r="A19" s="38">
        <v>9</v>
      </c>
      <c r="B19" s="58" t="s">
        <v>4</v>
      </c>
      <c r="C19" s="58"/>
      <c r="D19" s="57" t="s">
        <v>5</v>
      </c>
      <c r="E19" s="57"/>
      <c r="F19" s="57"/>
      <c r="G19" s="57"/>
      <c r="H19" s="24">
        <f>SUM(I19)-3.4</f>
        <v>27.700000000000003</v>
      </c>
      <c r="I19" s="24">
        <f>SUM(J19)-3.4</f>
        <v>31.1</v>
      </c>
      <c r="J19" s="23">
        <v>34.5</v>
      </c>
      <c r="K19" s="21">
        <f>SUM(J19)+3.5</f>
        <v>38</v>
      </c>
      <c r="L19" s="21">
        <f>SUM(K19)+3.5</f>
        <v>41.5</v>
      </c>
      <c r="M19" s="215">
        <f>SUM(L19)+3.5</f>
        <v>45</v>
      </c>
    </row>
    <row r="20" spans="1:13" s="1" customFormat="1" ht="14.1" customHeight="1">
      <c r="A20" s="38"/>
      <c r="B20" s="56" t="s">
        <v>31</v>
      </c>
      <c r="C20" s="56"/>
      <c r="D20" s="47" t="s">
        <v>54</v>
      </c>
      <c r="E20" s="48"/>
      <c r="F20" s="48"/>
      <c r="G20" s="49"/>
      <c r="H20" s="36"/>
      <c r="I20" s="36"/>
      <c r="J20" s="23"/>
      <c r="K20" s="21"/>
      <c r="L20" s="21"/>
      <c r="M20" s="215"/>
    </row>
    <row r="21" spans="1:13" s="1" customFormat="1" ht="14.1" customHeight="1">
      <c r="A21" s="38">
        <v>10</v>
      </c>
      <c r="B21" s="58" t="s">
        <v>6</v>
      </c>
      <c r="C21" s="58"/>
      <c r="D21" s="59" t="s">
        <v>7</v>
      </c>
      <c r="E21" s="60"/>
      <c r="F21" s="60"/>
      <c r="G21" s="61"/>
      <c r="H21" s="24">
        <f>SUM(I21)-1.6</f>
        <v>27.999999999999996</v>
      </c>
      <c r="I21" s="24">
        <f>SUM(J21)-1.6</f>
        <v>29.599999999999998</v>
      </c>
      <c r="J21" s="23">
        <v>31.2</v>
      </c>
      <c r="K21" s="21">
        <f>SUM(J21)+1.6</f>
        <v>32.799999999999997</v>
      </c>
      <c r="L21" s="21">
        <f>SUM(K21)+1.6</f>
        <v>34.4</v>
      </c>
      <c r="M21" s="215">
        <f>SUM(L21)+1.6</f>
        <v>36</v>
      </c>
    </row>
    <row r="22" spans="1:13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9"/>
      <c r="H22" s="36"/>
      <c r="I22" s="36"/>
      <c r="J22" s="23"/>
      <c r="K22" s="21"/>
      <c r="L22" s="21"/>
      <c r="M22" s="215"/>
    </row>
    <row r="23" spans="1:13" s="1" customFormat="1" ht="14.1" customHeight="1">
      <c r="A23" s="38">
        <v>11</v>
      </c>
      <c r="B23" s="51" t="s">
        <v>77</v>
      </c>
      <c r="C23" s="52"/>
      <c r="D23" s="57" t="s">
        <v>78</v>
      </c>
      <c r="E23" s="57"/>
      <c r="F23" s="57"/>
      <c r="G23" s="57"/>
      <c r="H23" s="24">
        <f>SUM(I23)-0.6</f>
        <v>14</v>
      </c>
      <c r="I23" s="24">
        <f>SUM(J23)-0.6</f>
        <v>14.6</v>
      </c>
      <c r="J23" s="23">
        <v>15.2</v>
      </c>
      <c r="K23" s="21">
        <f>SUM(J23)+0.6</f>
        <v>15.799999999999999</v>
      </c>
      <c r="L23" s="21">
        <f>SUM(K23)+0.6</f>
        <v>16.399999999999999</v>
      </c>
      <c r="M23" s="215">
        <f>SUM(L23)+0.6</f>
        <v>17</v>
      </c>
    </row>
    <row r="24" spans="1:13" s="1" customFormat="1" ht="14.1" customHeight="1">
      <c r="A24" s="38"/>
      <c r="B24" s="56" t="s">
        <v>33</v>
      </c>
      <c r="C24" s="56"/>
      <c r="D24" s="47" t="s">
        <v>79</v>
      </c>
      <c r="E24" s="48"/>
      <c r="F24" s="48"/>
      <c r="G24" s="49"/>
      <c r="H24" s="36"/>
      <c r="I24" s="36"/>
      <c r="J24" s="23"/>
      <c r="K24" s="21"/>
      <c r="L24" s="21"/>
      <c r="M24" s="215"/>
    </row>
    <row r="25" spans="1:13" s="1" customFormat="1" ht="14.1" customHeight="1">
      <c r="A25" s="38">
        <v>12</v>
      </c>
      <c r="B25" s="51" t="s">
        <v>186</v>
      </c>
      <c r="C25" s="52"/>
      <c r="D25" s="182"/>
      <c r="E25" s="183"/>
      <c r="F25" s="183"/>
      <c r="G25" s="184"/>
      <c r="H25" s="24">
        <f>SUM(I25)-2.5</f>
        <v>27</v>
      </c>
      <c r="I25" s="24">
        <f>SUM(J25)-2.5</f>
        <v>29.5</v>
      </c>
      <c r="J25" s="33">
        <v>32</v>
      </c>
      <c r="K25" s="24">
        <f>SUM(J25)+2.5</f>
        <v>34.5</v>
      </c>
      <c r="L25" s="24">
        <f>SUM(K25)+2.5</f>
        <v>37</v>
      </c>
      <c r="M25" s="88">
        <f>SUM(L25)+2.5</f>
        <v>39.5</v>
      </c>
    </row>
    <row r="26" spans="1:13" s="1" customFormat="1" ht="14.1" customHeight="1">
      <c r="A26" s="38"/>
      <c r="B26" s="36" t="s">
        <v>187</v>
      </c>
      <c r="C26" s="36"/>
      <c r="D26" s="114" t="s">
        <v>701</v>
      </c>
      <c r="E26" s="115"/>
      <c r="F26" s="115"/>
      <c r="G26" s="116"/>
      <c r="H26" s="36"/>
      <c r="I26" s="36"/>
      <c r="J26" s="35"/>
      <c r="K26" s="36"/>
      <c r="L26" s="36"/>
      <c r="M26" s="87"/>
    </row>
    <row r="27" spans="1:13" s="1" customFormat="1" ht="14.1" customHeight="1">
      <c r="A27" s="38">
        <v>13</v>
      </c>
      <c r="B27" s="58" t="s">
        <v>338</v>
      </c>
      <c r="C27" s="58"/>
      <c r="D27" s="59"/>
      <c r="E27" s="60"/>
      <c r="F27" s="60"/>
      <c r="G27" s="61"/>
      <c r="H27" s="24">
        <f>SUM(I27)-1.5</f>
        <v>16.5</v>
      </c>
      <c r="I27" s="24">
        <f>SUM(J27)-1.5</f>
        <v>18</v>
      </c>
      <c r="J27" s="23">
        <v>19.5</v>
      </c>
      <c r="K27" s="21">
        <f>SUM(J27)+1.5</f>
        <v>21</v>
      </c>
      <c r="L27" s="21">
        <f>SUM(K27)+1.5</f>
        <v>22.5</v>
      </c>
      <c r="M27" s="215">
        <f>SUM(L27)+1.5</f>
        <v>24</v>
      </c>
    </row>
    <row r="28" spans="1:13" s="1" customFormat="1" ht="14.1" customHeight="1">
      <c r="A28" s="38"/>
      <c r="B28" s="56" t="s">
        <v>339</v>
      </c>
      <c r="C28" s="56"/>
      <c r="D28" s="47" t="s">
        <v>701</v>
      </c>
      <c r="E28" s="48"/>
      <c r="F28" s="48"/>
      <c r="G28" s="49"/>
      <c r="H28" s="36"/>
      <c r="I28" s="36"/>
      <c r="J28" s="23"/>
      <c r="K28" s="21"/>
      <c r="L28" s="21"/>
      <c r="M28" s="215"/>
    </row>
    <row r="29" spans="1:13" s="1" customFormat="1" ht="14.1" customHeight="1">
      <c r="A29" s="38">
        <v>14</v>
      </c>
      <c r="B29" s="58" t="s">
        <v>340</v>
      </c>
      <c r="C29" s="58"/>
      <c r="D29" s="59"/>
      <c r="E29" s="60"/>
      <c r="F29" s="60"/>
      <c r="G29" s="61"/>
      <c r="H29" s="24">
        <f>SUM(I29)-1</f>
        <v>10.5</v>
      </c>
      <c r="I29" s="24">
        <f>SUM(J29)-1</f>
        <v>11.5</v>
      </c>
      <c r="J29" s="23">
        <v>12.5</v>
      </c>
      <c r="K29" s="21">
        <f>SUM(J29)+1</f>
        <v>13.5</v>
      </c>
      <c r="L29" s="21">
        <f>SUM(K29)+1</f>
        <v>14.5</v>
      </c>
      <c r="M29" s="215">
        <f>SUM(L29)+1</f>
        <v>15.5</v>
      </c>
    </row>
    <row r="30" spans="1:13" s="1" customFormat="1" ht="14.1" customHeight="1">
      <c r="A30" s="38"/>
      <c r="B30" s="56" t="s">
        <v>341</v>
      </c>
      <c r="C30" s="56"/>
      <c r="D30" s="47" t="s">
        <v>702</v>
      </c>
      <c r="E30" s="48"/>
      <c r="F30" s="48"/>
      <c r="G30" s="49"/>
      <c r="H30" s="36"/>
      <c r="I30" s="36"/>
      <c r="J30" s="23"/>
      <c r="K30" s="21"/>
      <c r="L30" s="21"/>
      <c r="M30" s="215"/>
    </row>
    <row r="31" spans="1:13" s="1" customFormat="1" ht="14.1" customHeight="1">
      <c r="A31" s="38">
        <v>15</v>
      </c>
      <c r="B31" s="51" t="s">
        <v>176</v>
      </c>
      <c r="C31" s="52"/>
      <c r="D31" s="59"/>
      <c r="E31" s="60"/>
      <c r="F31" s="60"/>
      <c r="G31" s="61"/>
      <c r="H31" s="24">
        <f>SUM(I31)-0.6</f>
        <v>1.7999999999999998</v>
      </c>
      <c r="I31" s="24">
        <f>SUM(J31)-0.1</f>
        <v>2.4</v>
      </c>
      <c r="J31" s="23">
        <v>2.5</v>
      </c>
      <c r="K31" s="21">
        <f>SUM(J31)+0.1</f>
        <v>2.6</v>
      </c>
      <c r="L31" s="21">
        <f>SUM(K31)+0.1</f>
        <v>2.7</v>
      </c>
      <c r="M31" s="215">
        <f>SUM(L31)+0.1</f>
        <v>2.8000000000000003</v>
      </c>
    </row>
    <row r="32" spans="1:13" s="1" customFormat="1" ht="14.1" customHeight="1">
      <c r="A32" s="38"/>
      <c r="B32" s="45" t="s">
        <v>175</v>
      </c>
      <c r="C32" s="46"/>
      <c r="D32" s="47"/>
      <c r="E32" s="48"/>
      <c r="F32" s="48"/>
      <c r="G32" s="49"/>
      <c r="H32" s="36"/>
      <c r="I32" s="36"/>
      <c r="J32" s="23"/>
      <c r="K32" s="21"/>
      <c r="L32" s="21"/>
      <c r="M32" s="215"/>
    </row>
    <row r="33" spans="1:13" s="1" customFormat="1" ht="14.1" customHeight="1">
      <c r="A33" s="38">
        <v>16</v>
      </c>
      <c r="B33" s="195"/>
      <c r="C33" s="196"/>
      <c r="D33" s="53"/>
      <c r="E33" s="54"/>
      <c r="F33" s="54"/>
      <c r="G33" s="55"/>
      <c r="H33" s="24"/>
      <c r="I33" s="24"/>
      <c r="J33" s="33"/>
      <c r="K33" s="24"/>
      <c r="L33" s="24"/>
      <c r="M33" s="88"/>
    </row>
    <row r="34" spans="1:13" s="1" customFormat="1" ht="14.1" customHeight="1">
      <c r="A34" s="38"/>
      <c r="B34" s="45"/>
      <c r="C34" s="46"/>
      <c r="D34" s="47"/>
      <c r="E34" s="48"/>
      <c r="F34" s="48"/>
      <c r="G34" s="49"/>
      <c r="H34" s="36"/>
      <c r="I34" s="36"/>
      <c r="J34" s="35"/>
      <c r="K34" s="36"/>
      <c r="L34" s="36"/>
      <c r="M34" s="87"/>
    </row>
    <row r="35" spans="1:13" s="1" customFormat="1" ht="14.1" customHeight="1">
      <c r="A35" s="38">
        <v>17</v>
      </c>
      <c r="B35" s="164"/>
      <c r="C35" s="165"/>
      <c r="D35" s="42"/>
      <c r="E35" s="43"/>
      <c r="F35" s="43"/>
      <c r="G35" s="44"/>
      <c r="H35" s="50"/>
      <c r="I35" s="50"/>
      <c r="J35" s="35"/>
      <c r="K35" s="36"/>
      <c r="L35" s="36"/>
      <c r="M35" s="87"/>
    </row>
    <row r="36" spans="1:13" s="1" customFormat="1" ht="14.1" customHeight="1" thickBot="1">
      <c r="A36" s="39"/>
      <c r="B36" s="28"/>
      <c r="C36" s="29"/>
      <c r="D36" s="30"/>
      <c r="E36" s="31"/>
      <c r="F36" s="31"/>
      <c r="G36" s="32"/>
      <c r="H36" s="25"/>
      <c r="I36" s="25"/>
      <c r="J36" s="218"/>
      <c r="K36" s="216"/>
      <c r="L36" s="216"/>
      <c r="M36" s="217"/>
    </row>
    <row r="37" spans="1:13" s="1" customFormat="1" ht="14.1" customHeight="1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 s="1" customFormat="1" ht="14.1" customHeight="1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190"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J33:J34"/>
    <mergeCell ref="K33:K34"/>
    <mergeCell ref="L33:L34"/>
    <mergeCell ref="M33:M34"/>
    <mergeCell ref="B34:C34"/>
    <mergeCell ref="D34:G34"/>
    <mergeCell ref="K29:K30"/>
    <mergeCell ref="L29:L30"/>
    <mergeCell ref="M29:M30"/>
    <mergeCell ref="B30:C30"/>
    <mergeCell ref="D30:G30"/>
    <mergeCell ref="J29:J30"/>
    <mergeCell ref="J31:J32"/>
    <mergeCell ref="K31:K32"/>
    <mergeCell ref="L31:L32"/>
    <mergeCell ref="M31:M32"/>
    <mergeCell ref="A33:A34"/>
    <mergeCell ref="B33:C33"/>
    <mergeCell ref="D33:G33"/>
    <mergeCell ref="H33:H34"/>
    <mergeCell ref="I33:I34"/>
    <mergeCell ref="A29:A30"/>
    <mergeCell ref="B29:C29"/>
    <mergeCell ref="D29:G29"/>
    <mergeCell ref="H29:H30"/>
    <mergeCell ref="I29:I30"/>
    <mergeCell ref="A31:A32"/>
    <mergeCell ref="B31:C31"/>
    <mergeCell ref="D31:G31"/>
    <mergeCell ref="H31:H32"/>
    <mergeCell ref="I31:I32"/>
    <mergeCell ref="B32:C32"/>
    <mergeCell ref="D32:G32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8CFDC-9EDF-4DCC-88FC-C5F13C9745C3}">
  <sheetPr>
    <tabColor rgb="FF00B050"/>
    <pageSetUpPr fitToPage="1"/>
  </sheetPr>
  <dimension ref="A1:M57"/>
  <sheetViews>
    <sheetView topLeftCell="A7" zoomScale="110" zoomScaleNormal="110" workbookViewId="0">
      <selection activeCell="P13" sqref="P13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688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24">
        <f>SUM(I3)-5</f>
        <v>56.8</v>
      </c>
      <c r="I3" s="24">
        <f>SUM(J3)-5</f>
        <v>61.8</v>
      </c>
      <c r="J3" s="75">
        <v>66.8</v>
      </c>
      <c r="K3" s="76">
        <f>SUM(J3)+5</f>
        <v>71.8</v>
      </c>
      <c r="L3" s="76">
        <f>SUM(K3)+5</f>
        <v>76.8</v>
      </c>
      <c r="M3" s="214">
        <f>SUM(L3)+5</f>
        <v>81.8</v>
      </c>
    </row>
    <row r="4" spans="1:13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24"/>
      <c r="L4" s="24"/>
      <c r="M4" s="88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SUM(I5)-1.8</f>
        <v>21.4</v>
      </c>
      <c r="I5" s="24">
        <f>SUM(J5)-1.8</f>
        <v>23.2</v>
      </c>
      <c r="J5" s="33">
        <v>25</v>
      </c>
      <c r="K5" s="24">
        <f>SUM(J5)+1.6</f>
        <v>26.6</v>
      </c>
      <c r="L5" s="24">
        <f>SUM(K5)+1.6</f>
        <v>28.200000000000003</v>
      </c>
      <c r="M5" s="88">
        <f>SUM(L5)+1.6</f>
        <v>29.800000000000004</v>
      </c>
    </row>
    <row r="6" spans="1:13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87"/>
    </row>
    <row r="7" spans="1:13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28.5</v>
      </c>
      <c r="I7" s="24">
        <f>SUM(J7)-2.25</f>
        <v>30.75</v>
      </c>
      <c r="J7" s="33">
        <v>33</v>
      </c>
      <c r="K7" s="24">
        <f>SUM(J7)+2</f>
        <v>35</v>
      </c>
      <c r="L7" s="24">
        <f>SUM(K7)+2</f>
        <v>37</v>
      </c>
      <c r="M7" s="88">
        <f>SUM(L7)+2</f>
        <v>39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87"/>
    </row>
    <row r="9" spans="1:13" s="1" customFormat="1" ht="14.1" customHeight="1">
      <c r="A9" s="38">
        <v>4</v>
      </c>
      <c r="B9" s="58" t="s">
        <v>383</v>
      </c>
      <c r="C9" s="58"/>
      <c r="D9" s="57" t="s">
        <v>8</v>
      </c>
      <c r="E9" s="57"/>
      <c r="F9" s="57"/>
      <c r="G9" s="57"/>
      <c r="H9" s="24">
        <f>SUM(I9)-2.1</f>
        <v>26.799999999999997</v>
      </c>
      <c r="I9" s="24">
        <f>SUM(J9)-2.1</f>
        <v>28.9</v>
      </c>
      <c r="J9" s="33">
        <v>31</v>
      </c>
      <c r="K9" s="24">
        <f>SUM(J9)+1.9</f>
        <v>32.9</v>
      </c>
      <c r="L9" s="24">
        <f>SUM(K9)+1.9</f>
        <v>34.799999999999997</v>
      </c>
      <c r="M9" s="88">
        <f>SUM(L9)+1.9</f>
        <v>36.699999999999996</v>
      </c>
    </row>
    <row r="10" spans="1:13" s="1" customFormat="1" ht="14.1" customHeight="1">
      <c r="A10" s="38"/>
      <c r="B10" s="56" t="s">
        <v>384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87"/>
    </row>
    <row r="11" spans="1:13" s="1" customFormat="1" ht="14.1" customHeight="1">
      <c r="A11" s="38">
        <v>5</v>
      </c>
      <c r="B11" s="58" t="s">
        <v>836</v>
      </c>
      <c r="C11" s="58"/>
      <c r="D11" s="57"/>
      <c r="E11" s="57"/>
      <c r="F11" s="57"/>
      <c r="G11" s="57"/>
      <c r="H11" s="24">
        <f>SUM(I11)-0.3</f>
        <v>2.9000000000000004</v>
      </c>
      <c r="I11" s="24">
        <f>SUM(J11)-0.3</f>
        <v>3.2</v>
      </c>
      <c r="J11" s="33">
        <v>3.5</v>
      </c>
      <c r="K11" s="24">
        <f>SUM(J11)+0.3</f>
        <v>3.8</v>
      </c>
      <c r="L11" s="24">
        <f>SUM(K11)+0.3</f>
        <v>4.0999999999999996</v>
      </c>
      <c r="M11" s="88">
        <f>SUM(L11)+0.3</f>
        <v>4.3999999999999995</v>
      </c>
    </row>
    <row r="12" spans="1:13" s="1" customFormat="1" ht="14.1" customHeight="1">
      <c r="A12" s="38"/>
      <c r="B12" s="56" t="s">
        <v>837</v>
      </c>
      <c r="C12" s="56"/>
      <c r="D12" s="47"/>
      <c r="E12" s="48"/>
      <c r="F12" s="48"/>
      <c r="G12" s="49"/>
      <c r="H12" s="36"/>
      <c r="I12" s="36"/>
      <c r="J12" s="35"/>
      <c r="K12" s="36"/>
      <c r="L12" s="36"/>
      <c r="M12" s="87"/>
    </row>
    <row r="13" spans="1:13" s="1" customFormat="1" ht="14.1" customHeight="1">
      <c r="A13" s="38">
        <v>6</v>
      </c>
      <c r="B13" s="58" t="s">
        <v>10</v>
      </c>
      <c r="C13" s="58"/>
      <c r="D13" s="57" t="s">
        <v>0</v>
      </c>
      <c r="E13" s="57"/>
      <c r="F13" s="57"/>
      <c r="G13" s="57"/>
      <c r="H13" s="24">
        <f>SUM(I13)-0.8</f>
        <v>13.499999999999998</v>
      </c>
      <c r="I13" s="24">
        <f>SUM(J13)-0.8</f>
        <v>14.299999999999999</v>
      </c>
      <c r="J13" s="23">
        <v>15.1</v>
      </c>
      <c r="K13" s="21">
        <f>SUM(J13)+0.9</f>
        <v>16</v>
      </c>
      <c r="L13" s="21">
        <f>SUM(K13)+0.9</f>
        <v>16.899999999999999</v>
      </c>
      <c r="M13" s="215">
        <f>SUM(L13)+0.9</f>
        <v>17.799999999999997</v>
      </c>
    </row>
    <row r="14" spans="1:13" s="1" customFormat="1" ht="14.1" customHeight="1">
      <c r="A14" s="38"/>
      <c r="B14" s="56" t="s">
        <v>28</v>
      </c>
      <c r="C14" s="56"/>
      <c r="D14" s="47" t="s">
        <v>51</v>
      </c>
      <c r="E14" s="48"/>
      <c r="F14" s="48"/>
      <c r="G14" s="49"/>
      <c r="H14" s="36"/>
      <c r="I14" s="36"/>
      <c r="J14" s="23"/>
      <c r="K14" s="21"/>
      <c r="L14" s="21"/>
      <c r="M14" s="215"/>
    </row>
    <row r="15" spans="1:13" s="1" customFormat="1" ht="14.1" customHeight="1">
      <c r="A15" s="38">
        <v>7</v>
      </c>
      <c r="B15" s="58" t="s">
        <v>1</v>
      </c>
      <c r="C15" s="58"/>
      <c r="D15" s="57" t="s">
        <v>180</v>
      </c>
      <c r="E15" s="57"/>
      <c r="F15" s="57"/>
      <c r="G15" s="57"/>
      <c r="H15" s="24">
        <f>SUM(I15)-0.6</f>
        <v>13</v>
      </c>
      <c r="I15" s="24">
        <f>SUM(J15)-0.6</f>
        <v>13.6</v>
      </c>
      <c r="J15" s="23">
        <v>14.2</v>
      </c>
      <c r="K15" s="21">
        <f>SUM(J15)+0.6</f>
        <v>14.799999999999999</v>
      </c>
      <c r="L15" s="21">
        <f>SUM(K15)+0.6</f>
        <v>15.399999999999999</v>
      </c>
      <c r="M15" s="215">
        <f>SUM(L15)+0.6</f>
        <v>15.999999999999998</v>
      </c>
    </row>
    <row r="16" spans="1:13" s="1" customFormat="1" ht="14.1" customHeight="1">
      <c r="A16" s="38"/>
      <c r="B16" s="56" t="s">
        <v>29</v>
      </c>
      <c r="C16" s="56"/>
      <c r="D16" s="47" t="s">
        <v>255</v>
      </c>
      <c r="E16" s="48"/>
      <c r="F16" s="48"/>
      <c r="G16" s="49"/>
      <c r="H16" s="36"/>
      <c r="I16" s="36"/>
      <c r="J16" s="23"/>
      <c r="K16" s="21"/>
      <c r="L16" s="21"/>
      <c r="M16" s="215"/>
    </row>
    <row r="17" spans="1:13" s="1" customFormat="1" ht="14.1" customHeight="1">
      <c r="A17" s="38">
        <v>8</v>
      </c>
      <c r="B17" s="58" t="s">
        <v>2</v>
      </c>
      <c r="C17" s="58"/>
      <c r="D17" s="57" t="s">
        <v>3</v>
      </c>
      <c r="E17" s="57"/>
      <c r="F17" s="57"/>
      <c r="G17" s="57"/>
      <c r="H17" s="24">
        <f>SUM(I17)-0.3</f>
        <v>5.9</v>
      </c>
      <c r="I17" s="24">
        <f>SUM(J17)-0.3</f>
        <v>6.2</v>
      </c>
      <c r="J17" s="23">
        <v>6.5</v>
      </c>
      <c r="K17" s="21">
        <f>SUM(J17)+0.3</f>
        <v>6.8</v>
      </c>
      <c r="L17" s="21">
        <f>SUM(K17)+0.3</f>
        <v>7.1</v>
      </c>
      <c r="M17" s="215">
        <f>SUM(L17)+0.3</f>
        <v>7.3999999999999995</v>
      </c>
    </row>
    <row r="18" spans="1:13" s="1" customFormat="1" ht="14.1" customHeight="1">
      <c r="A18" s="38"/>
      <c r="B18" s="56" t="s">
        <v>30</v>
      </c>
      <c r="C18" s="56"/>
      <c r="D18" s="47" t="s">
        <v>379</v>
      </c>
      <c r="E18" s="48"/>
      <c r="F18" s="48"/>
      <c r="G18" s="49"/>
      <c r="H18" s="36"/>
      <c r="I18" s="36"/>
      <c r="J18" s="23"/>
      <c r="K18" s="21"/>
      <c r="L18" s="21"/>
      <c r="M18" s="215"/>
    </row>
    <row r="19" spans="1:13" s="1" customFormat="1" ht="14.1" customHeight="1">
      <c r="A19" s="38">
        <v>9</v>
      </c>
      <c r="B19" s="51" t="s">
        <v>85</v>
      </c>
      <c r="C19" s="52"/>
      <c r="D19" s="59" t="s">
        <v>86</v>
      </c>
      <c r="E19" s="60"/>
      <c r="F19" s="60"/>
      <c r="G19" s="61"/>
      <c r="H19" s="24">
        <f>SUM(I19)-1.6</f>
        <v>34</v>
      </c>
      <c r="I19" s="24">
        <f>SUM(J19)-1.6</f>
        <v>35.6</v>
      </c>
      <c r="J19" s="23">
        <v>37.200000000000003</v>
      </c>
      <c r="K19" s="21">
        <f>SUM(J19)+1.6</f>
        <v>38.800000000000004</v>
      </c>
      <c r="L19" s="21">
        <f>SUM(K19)+1.6</f>
        <v>40.400000000000006</v>
      </c>
      <c r="M19" s="215">
        <f>SUM(L19)+1.6</f>
        <v>42.000000000000007</v>
      </c>
    </row>
    <row r="20" spans="1:13" s="1" customFormat="1" ht="14.1" customHeight="1">
      <c r="A20" s="38"/>
      <c r="B20" s="56" t="s">
        <v>37</v>
      </c>
      <c r="C20" s="56"/>
      <c r="D20" s="47" t="s">
        <v>107</v>
      </c>
      <c r="E20" s="48"/>
      <c r="F20" s="48"/>
      <c r="G20" s="49"/>
      <c r="H20" s="36"/>
      <c r="I20" s="36"/>
      <c r="J20" s="23"/>
      <c r="K20" s="21"/>
      <c r="L20" s="21"/>
      <c r="M20" s="215"/>
    </row>
    <row r="21" spans="1:13" s="1" customFormat="1" ht="14.1" customHeight="1">
      <c r="A21" s="38">
        <v>10</v>
      </c>
      <c r="B21" s="58" t="s">
        <v>4</v>
      </c>
      <c r="C21" s="58"/>
      <c r="D21" s="57" t="s">
        <v>5</v>
      </c>
      <c r="E21" s="57"/>
      <c r="F21" s="57"/>
      <c r="G21" s="57"/>
      <c r="H21" s="24">
        <f>SUM(I21)-3.6</f>
        <v>34.299999999999997</v>
      </c>
      <c r="I21" s="24">
        <f>SUM(J21)-3.6</f>
        <v>37.9</v>
      </c>
      <c r="J21" s="23">
        <v>41.5</v>
      </c>
      <c r="K21" s="21">
        <f>SUM(J21)+3.7</f>
        <v>45.2</v>
      </c>
      <c r="L21" s="21">
        <f>SUM(K21)+3.7</f>
        <v>48.900000000000006</v>
      </c>
      <c r="M21" s="215">
        <f>SUM(L21)+3.7</f>
        <v>52.600000000000009</v>
      </c>
    </row>
    <row r="22" spans="1:13" s="1" customFormat="1" ht="14.1" customHeight="1">
      <c r="A22" s="38"/>
      <c r="B22" s="56" t="s">
        <v>31</v>
      </c>
      <c r="C22" s="56"/>
      <c r="D22" s="47" t="s">
        <v>54</v>
      </c>
      <c r="E22" s="48"/>
      <c r="F22" s="48"/>
      <c r="G22" s="49"/>
      <c r="H22" s="36"/>
      <c r="I22" s="36"/>
      <c r="J22" s="23"/>
      <c r="K22" s="21"/>
      <c r="L22" s="21"/>
      <c r="M22" s="215"/>
    </row>
    <row r="23" spans="1:13" s="1" customFormat="1" ht="14.1" customHeight="1">
      <c r="A23" s="38">
        <v>11</v>
      </c>
      <c r="B23" s="58" t="s">
        <v>6</v>
      </c>
      <c r="C23" s="58"/>
      <c r="D23" s="59" t="s">
        <v>7</v>
      </c>
      <c r="E23" s="60"/>
      <c r="F23" s="60"/>
      <c r="G23" s="61"/>
      <c r="H23" s="24"/>
      <c r="I23" s="24"/>
      <c r="J23" s="23"/>
      <c r="K23" s="21"/>
      <c r="L23" s="21"/>
      <c r="M23" s="215"/>
    </row>
    <row r="24" spans="1:13" s="1" customFormat="1" ht="14.1" customHeight="1">
      <c r="A24" s="38"/>
      <c r="B24" s="56" t="s">
        <v>32</v>
      </c>
      <c r="C24" s="56"/>
      <c r="D24" s="47" t="s">
        <v>76</v>
      </c>
      <c r="E24" s="48"/>
      <c r="F24" s="48"/>
      <c r="G24" s="49"/>
      <c r="H24" s="36"/>
      <c r="I24" s="36"/>
      <c r="J24" s="23"/>
      <c r="K24" s="21"/>
      <c r="L24" s="21"/>
      <c r="M24" s="215"/>
    </row>
    <row r="25" spans="1:13" s="1" customFormat="1" ht="14.1" customHeight="1">
      <c r="A25" s="38">
        <v>12</v>
      </c>
      <c r="B25" s="51" t="s">
        <v>302</v>
      </c>
      <c r="C25" s="52"/>
      <c r="D25" s="57"/>
      <c r="E25" s="57"/>
      <c r="F25" s="57"/>
      <c r="G25" s="57"/>
      <c r="H25" s="24">
        <f>SUM(I25)-0.6</f>
        <v>14.8</v>
      </c>
      <c r="I25" s="24">
        <f>SUM(J25)-0.6</f>
        <v>15.4</v>
      </c>
      <c r="J25" s="23">
        <v>16</v>
      </c>
      <c r="K25" s="21">
        <f>SUM(J25)+0.6</f>
        <v>16.600000000000001</v>
      </c>
      <c r="L25" s="21">
        <f>SUM(K25)+0.6</f>
        <v>17.200000000000003</v>
      </c>
      <c r="M25" s="215">
        <f>SUM(L25)+0.6</f>
        <v>17.800000000000004</v>
      </c>
    </row>
    <row r="26" spans="1:13" s="1" customFormat="1" ht="14.1" customHeight="1">
      <c r="A26" s="38"/>
      <c r="B26" s="56" t="s">
        <v>303</v>
      </c>
      <c r="C26" s="56"/>
      <c r="D26" s="47"/>
      <c r="E26" s="48"/>
      <c r="F26" s="48"/>
      <c r="G26" s="49"/>
      <c r="H26" s="36"/>
      <c r="I26" s="36"/>
      <c r="J26" s="23"/>
      <c r="K26" s="21"/>
      <c r="L26" s="21"/>
      <c r="M26" s="215"/>
    </row>
    <row r="27" spans="1:13" s="1" customFormat="1" ht="14.1" customHeight="1">
      <c r="A27" s="38">
        <v>13</v>
      </c>
      <c r="B27" s="40" t="s">
        <v>689</v>
      </c>
      <c r="C27" s="41"/>
      <c r="D27" s="42"/>
      <c r="E27" s="43"/>
      <c r="F27" s="43"/>
      <c r="G27" s="44"/>
      <c r="H27" s="50">
        <f>SUM(I27)-3</f>
        <v>36</v>
      </c>
      <c r="I27" s="50">
        <f>SUM(J27)-3</f>
        <v>39</v>
      </c>
      <c r="J27" s="35">
        <v>42</v>
      </c>
      <c r="K27" s="36">
        <f>SUM(J27)+3</f>
        <v>45</v>
      </c>
      <c r="L27" s="36">
        <f>SUM(K27)+3</f>
        <v>48</v>
      </c>
      <c r="M27" s="87">
        <f>SUM(L27)+3</f>
        <v>51</v>
      </c>
    </row>
    <row r="28" spans="1:13" s="1" customFormat="1" ht="14.1" customHeight="1">
      <c r="A28" s="38"/>
      <c r="B28" s="45" t="s">
        <v>187</v>
      </c>
      <c r="C28" s="46"/>
      <c r="D28" s="47"/>
      <c r="E28" s="48"/>
      <c r="F28" s="48"/>
      <c r="G28" s="49"/>
      <c r="H28" s="36"/>
      <c r="I28" s="36"/>
      <c r="J28" s="23"/>
      <c r="K28" s="21"/>
      <c r="L28" s="21"/>
      <c r="M28" s="215"/>
    </row>
    <row r="29" spans="1:13" s="1" customFormat="1" ht="14.1" customHeight="1">
      <c r="A29" s="38">
        <v>14</v>
      </c>
      <c r="B29" s="40" t="s">
        <v>690</v>
      </c>
      <c r="C29" s="41"/>
      <c r="D29" s="42"/>
      <c r="E29" s="43"/>
      <c r="F29" s="43"/>
      <c r="G29" s="44"/>
      <c r="H29" s="50">
        <f>SUM(I29)-1</f>
        <v>13</v>
      </c>
      <c r="I29" s="50">
        <f>SUM(J29)-1</f>
        <v>14</v>
      </c>
      <c r="J29" s="35">
        <v>15</v>
      </c>
      <c r="K29" s="36">
        <f>SUM(J29)+1</f>
        <v>16</v>
      </c>
      <c r="L29" s="36">
        <f>SUM(K29)+1</f>
        <v>17</v>
      </c>
      <c r="M29" s="87">
        <f>SUM(L29)+1</f>
        <v>18</v>
      </c>
    </row>
    <row r="30" spans="1:13" s="1" customFormat="1" ht="14.1" customHeight="1">
      <c r="A30" s="38"/>
      <c r="B30" s="45" t="s">
        <v>190</v>
      </c>
      <c r="C30" s="46"/>
      <c r="D30" s="47" t="s">
        <v>603</v>
      </c>
      <c r="E30" s="48"/>
      <c r="F30" s="48"/>
      <c r="G30" s="49"/>
      <c r="H30" s="36"/>
      <c r="I30" s="36"/>
      <c r="J30" s="23"/>
      <c r="K30" s="21"/>
      <c r="L30" s="21"/>
      <c r="M30" s="215"/>
    </row>
    <row r="31" spans="1:13" s="1" customFormat="1" ht="14.1" customHeight="1">
      <c r="A31" s="38">
        <v>15</v>
      </c>
      <c r="B31" s="40" t="s">
        <v>691</v>
      </c>
      <c r="C31" s="41"/>
      <c r="D31" s="42"/>
      <c r="E31" s="43"/>
      <c r="F31" s="43"/>
      <c r="G31" s="44"/>
      <c r="H31" s="50">
        <f>SUM(I31)-1</f>
        <v>11.5</v>
      </c>
      <c r="I31" s="50">
        <f>SUM(J31)-1</f>
        <v>12.5</v>
      </c>
      <c r="J31" s="35">
        <v>13.5</v>
      </c>
      <c r="K31" s="36">
        <f>SUM(J31)+1</f>
        <v>14.5</v>
      </c>
      <c r="L31" s="36">
        <f>SUM(K31)+1</f>
        <v>15.5</v>
      </c>
      <c r="M31" s="87">
        <f>SUM(L31)+1</f>
        <v>16.5</v>
      </c>
    </row>
    <row r="32" spans="1:13" s="1" customFormat="1" ht="14.1" customHeight="1">
      <c r="A32" s="38"/>
      <c r="B32" s="45" t="s">
        <v>193</v>
      </c>
      <c r="C32" s="46"/>
      <c r="D32" s="47" t="s">
        <v>603</v>
      </c>
      <c r="E32" s="48"/>
      <c r="F32" s="48"/>
      <c r="G32" s="49"/>
      <c r="H32" s="36"/>
      <c r="I32" s="36"/>
      <c r="J32" s="23"/>
      <c r="K32" s="21"/>
      <c r="L32" s="21"/>
      <c r="M32" s="215"/>
    </row>
    <row r="33" spans="1:13" s="1" customFormat="1" ht="14.1" customHeight="1">
      <c r="A33" s="38">
        <v>16</v>
      </c>
      <c r="B33" s="40" t="s">
        <v>692</v>
      </c>
      <c r="C33" s="41"/>
      <c r="D33" s="42"/>
      <c r="E33" s="43"/>
      <c r="F33" s="43"/>
      <c r="G33" s="44"/>
      <c r="H33" s="50">
        <f>SUM(I33)-1</f>
        <v>11.5</v>
      </c>
      <c r="I33" s="50">
        <f>SUM(J33)-1</f>
        <v>12.5</v>
      </c>
      <c r="J33" s="35">
        <v>13.5</v>
      </c>
      <c r="K33" s="36">
        <f>SUM(J33)+1</f>
        <v>14.5</v>
      </c>
      <c r="L33" s="36">
        <f>SUM(K33)+1</f>
        <v>15.5</v>
      </c>
      <c r="M33" s="87">
        <f>SUM(L33)+1</f>
        <v>16.5</v>
      </c>
    </row>
    <row r="34" spans="1:13" s="1" customFormat="1" ht="14.1" customHeight="1">
      <c r="A34" s="38"/>
      <c r="B34" s="45" t="s">
        <v>193</v>
      </c>
      <c r="C34" s="46"/>
      <c r="D34" s="47" t="s">
        <v>603</v>
      </c>
      <c r="E34" s="48"/>
      <c r="F34" s="48"/>
      <c r="G34" s="49"/>
      <c r="H34" s="36"/>
      <c r="I34" s="36"/>
      <c r="J34" s="23"/>
      <c r="K34" s="21"/>
      <c r="L34" s="21"/>
      <c r="M34" s="215"/>
    </row>
    <row r="35" spans="1:13" s="1" customFormat="1" ht="14.1" customHeight="1">
      <c r="A35" s="38">
        <v>17</v>
      </c>
      <c r="B35" s="51" t="s">
        <v>556</v>
      </c>
      <c r="C35" s="52"/>
      <c r="D35" s="53"/>
      <c r="E35" s="54"/>
      <c r="F35" s="54"/>
      <c r="G35" s="55"/>
      <c r="H35" s="24">
        <f>SUM(I35)-2.4</f>
        <v>24.700000000000003</v>
      </c>
      <c r="I35" s="24">
        <f>SUM(J35)-2.4</f>
        <v>27.1</v>
      </c>
      <c r="J35" s="23">
        <v>29.5</v>
      </c>
      <c r="K35" s="21">
        <f>SUM(J35)+2.4</f>
        <v>31.9</v>
      </c>
      <c r="L35" s="21">
        <f>SUM(K35)+2.4</f>
        <v>34.299999999999997</v>
      </c>
      <c r="M35" s="215">
        <f>SUM(L35)+2.4</f>
        <v>36.699999999999996</v>
      </c>
    </row>
    <row r="36" spans="1:13" s="1" customFormat="1" ht="14.1" customHeight="1">
      <c r="A36" s="38"/>
      <c r="B36" s="45" t="s">
        <v>171</v>
      </c>
      <c r="C36" s="46"/>
      <c r="D36" s="47"/>
      <c r="E36" s="48"/>
      <c r="F36" s="48"/>
      <c r="G36" s="49"/>
      <c r="H36" s="36"/>
      <c r="I36" s="36"/>
      <c r="J36" s="23"/>
      <c r="K36" s="21"/>
      <c r="L36" s="21"/>
      <c r="M36" s="215"/>
    </row>
    <row r="37" spans="1:13" s="1" customFormat="1" ht="14.1" customHeight="1">
      <c r="A37" s="38">
        <v>18</v>
      </c>
      <c r="B37" s="195"/>
      <c r="C37" s="196"/>
      <c r="D37" s="53"/>
      <c r="E37" s="54"/>
      <c r="F37" s="54"/>
      <c r="G37" s="55"/>
      <c r="H37" s="24"/>
      <c r="I37" s="24"/>
      <c r="J37" s="33"/>
      <c r="K37" s="24"/>
      <c r="L37" s="24"/>
      <c r="M37" s="88"/>
    </row>
    <row r="38" spans="1:13" s="1" customFormat="1" ht="14.1" customHeight="1">
      <c r="A38" s="38"/>
      <c r="B38" s="45"/>
      <c r="C38" s="46"/>
      <c r="D38" s="47"/>
      <c r="E38" s="48"/>
      <c r="F38" s="48"/>
      <c r="G38" s="49"/>
      <c r="H38" s="36"/>
      <c r="I38" s="36"/>
      <c r="J38" s="35"/>
      <c r="K38" s="36"/>
      <c r="L38" s="36"/>
      <c r="M38" s="87"/>
    </row>
    <row r="39" spans="1:13" s="1" customFormat="1" ht="14.1" customHeight="1">
      <c r="A39" s="38">
        <v>19</v>
      </c>
      <c r="B39" s="164"/>
      <c r="C39" s="165"/>
      <c r="D39" s="42"/>
      <c r="E39" s="43"/>
      <c r="F39" s="43"/>
      <c r="G39" s="44"/>
      <c r="H39" s="50"/>
      <c r="I39" s="50"/>
      <c r="J39" s="35"/>
      <c r="K39" s="36"/>
      <c r="L39" s="36"/>
      <c r="M39" s="87"/>
    </row>
    <row r="40" spans="1:13" s="1" customFormat="1" ht="14.1" customHeight="1" thickBot="1">
      <c r="A40" s="39"/>
      <c r="B40" s="28"/>
      <c r="C40" s="29"/>
      <c r="D40" s="30"/>
      <c r="E40" s="31"/>
      <c r="F40" s="31"/>
      <c r="G40" s="32"/>
      <c r="H40" s="25"/>
      <c r="I40" s="25"/>
      <c r="J40" s="218"/>
      <c r="K40" s="216"/>
      <c r="L40" s="216"/>
      <c r="M40" s="217"/>
    </row>
    <row r="41" spans="1:13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212">
    <mergeCell ref="A11:A12"/>
    <mergeCell ref="B11:C11"/>
    <mergeCell ref="D11:G11"/>
    <mergeCell ref="H11:H12"/>
    <mergeCell ref="I11:I12"/>
    <mergeCell ref="J11:J12"/>
    <mergeCell ref="K11:K12"/>
    <mergeCell ref="L11:L12"/>
    <mergeCell ref="M11:M12"/>
    <mergeCell ref="B12:C12"/>
    <mergeCell ref="D12:G12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3:A14"/>
    <mergeCell ref="B13:C13"/>
    <mergeCell ref="D13:G13"/>
    <mergeCell ref="H13:H14"/>
    <mergeCell ref="I13:I14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3:J14"/>
    <mergeCell ref="K13:K14"/>
    <mergeCell ref="L13:L14"/>
    <mergeCell ref="M13:M14"/>
    <mergeCell ref="B14:C14"/>
    <mergeCell ref="D14:G14"/>
    <mergeCell ref="K9:K10"/>
    <mergeCell ref="L9:L10"/>
    <mergeCell ref="M9:M10"/>
    <mergeCell ref="B10:C10"/>
    <mergeCell ref="D10:G10"/>
    <mergeCell ref="J9:J10"/>
    <mergeCell ref="A17:A18"/>
    <mergeCell ref="B17:C17"/>
    <mergeCell ref="D17:G17"/>
    <mergeCell ref="H17:H18"/>
    <mergeCell ref="I17:I18"/>
    <mergeCell ref="A15:A16"/>
    <mergeCell ref="B15:C15"/>
    <mergeCell ref="D15:G15"/>
    <mergeCell ref="H15:H16"/>
    <mergeCell ref="I15:I16"/>
    <mergeCell ref="J17:J18"/>
    <mergeCell ref="K17:K18"/>
    <mergeCell ref="L17:L18"/>
    <mergeCell ref="M17:M18"/>
    <mergeCell ref="B18:C18"/>
    <mergeCell ref="D18:G18"/>
    <mergeCell ref="K15:K16"/>
    <mergeCell ref="L15:L16"/>
    <mergeCell ref="M15:M16"/>
    <mergeCell ref="B16:C16"/>
    <mergeCell ref="D16:G16"/>
    <mergeCell ref="J15:J16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J21:J22"/>
    <mergeCell ref="K21:K22"/>
    <mergeCell ref="L21:L22"/>
    <mergeCell ref="M21:M22"/>
    <mergeCell ref="B22:C22"/>
    <mergeCell ref="D22:G22"/>
    <mergeCell ref="K19:K20"/>
    <mergeCell ref="L19:L20"/>
    <mergeCell ref="M19:M20"/>
    <mergeCell ref="B20:C20"/>
    <mergeCell ref="D20:G20"/>
    <mergeCell ref="J19:J20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B34:C34"/>
    <mergeCell ref="D34:G34"/>
    <mergeCell ref="K27:K28"/>
    <mergeCell ref="L27:L28"/>
    <mergeCell ref="M27:M28"/>
    <mergeCell ref="B28:C28"/>
    <mergeCell ref="D28:G28"/>
    <mergeCell ref="A33:A34"/>
    <mergeCell ref="B33:C33"/>
    <mergeCell ref="D33:G33"/>
    <mergeCell ref="H33:H34"/>
    <mergeCell ref="I33:I34"/>
    <mergeCell ref="A27:A28"/>
    <mergeCell ref="B27:C27"/>
    <mergeCell ref="D27:G27"/>
    <mergeCell ref="H27:H28"/>
    <mergeCell ref="I27:I28"/>
    <mergeCell ref="J27:J28"/>
    <mergeCell ref="A29:A30"/>
    <mergeCell ref="B29:C29"/>
    <mergeCell ref="D29:G29"/>
    <mergeCell ref="H29:H30"/>
    <mergeCell ref="I29:I30"/>
    <mergeCell ref="J29:J30"/>
    <mergeCell ref="A39:A40"/>
    <mergeCell ref="B39:C39"/>
    <mergeCell ref="D39:G39"/>
    <mergeCell ref="H39:H40"/>
    <mergeCell ref="I39:I40"/>
    <mergeCell ref="B38:C38"/>
    <mergeCell ref="D38:G38"/>
    <mergeCell ref="B36:C36"/>
    <mergeCell ref="D36:G36"/>
    <mergeCell ref="A37:A38"/>
    <mergeCell ref="B37:C37"/>
    <mergeCell ref="D37:G37"/>
    <mergeCell ref="H37:H38"/>
    <mergeCell ref="I37:I38"/>
    <mergeCell ref="A35:A36"/>
    <mergeCell ref="B35:C35"/>
    <mergeCell ref="D35:G35"/>
    <mergeCell ref="H35:H36"/>
    <mergeCell ref="I35:I36"/>
    <mergeCell ref="K29:K30"/>
    <mergeCell ref="L29:L30"/>
    <mergeCell ref="M29:M30"/>
    <mergeCell ref="B30:C30"/>
    <mergeCell ref="D30:G30"/>
    <mergeCell ref="K39:K40"/>
    <mergeCell ref="L39:L40"/>
    <mergeCell ref="M39:M40"/>
    <mergeCell ref="B40:C40"/>
    <mergeCell ref="D40:G40"/>
    <mergeCell ref="J39:J40"/>
    <mergeCell ref="J37:J38"/>
    <mergeCell ref="K37:K38"/>
    <mergeCell ref="L37:L38"/>
    <mergeCell ref="M37:M38"/>
    <mergeCell ref="K35:K36"/>
    <mergeCell ref="L35:L36"/>
    <mergeCell ref="M35:M36"/>
    <mergeCell ref="J35:J36"/>
    <mergeCell ref="J33:J34"/>
    <mergeCell ref="K33:K34"/>
    <mergeCell ref="L33:L34"/>
    <mergeCell ref="M33:M34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3C86D-C383-4065-92B4-0BC9D4438435}">
  <sheetPr>
    <tabColor rgb="FF00B050"/>
    <pageSetUpPr fitToPage="1"/>
  </sheetPr>
  <dimension ref="A1:M57"/>
  <sheetViews>
    <sheetView topLeftCell="A7" zoomScale="110" zoomScaleNormal="110" workbookViewId="0">
      <selection activeCell="H25" sqref="H25:H2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703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169">
        <v>1</v>
      </c>
      <c r="B3" s="40" t="s">
        <v>136</v>
      </c>
      <c r="C3" s="41"/>
      <c r="D3" s="100" t="s">
        <v>135</v>
      </c>
      <c r="E3" s="101"/>
      <c r="F3" s="101"/>
      <c r="G3" s="102"/>
      <c r="H3" s="185">
        <f>SUM(I3)-4.9</f>
        <v>51</v>
      </c>
      <c r="I3" s="85">
        <f>SUM(J3)-4.9</f>
        <v>55.9</v>
      </c>
      <c r="J3" s="84">
        <v>60.8</v>
      </c>
      <c r="K3" s="85">
        <f>SUM(J3)+4.9</f>
        <v>65.7</v>
      </c>
      <c r="L3" s="85">
        <f>SUM(K3)+4.9</f>
        <v>70.600000000000009</v>
      </c>
      <c r="M3" s="109">
        <f>SUM(L3)+4.9</f>
        <v>75.500000000000014</v>
      </c>
    </row>
    <row r="4" spans="1:13" s="1" customFormat="1" ht="14.1" customHeight="1">
      <c r="A4" s="71"/>
      <c r="B4" s="56" t="s">
        <v>36</v>
      </c>
      <c r="C4" s="56"/>
      <c r="D4" s="47" t="s">
        <v>134</v>
      </c>
      <c r="E4" s="48"/>
      <c r="F4" s="48"/>
      <c r="G4" s="48"/>
      <c r="H4" s="175"/>
      <c r="I4" s="36"/>
      <c r="J4" s="35"/>
      <c r="K4" s="36"/>
      <c r="L4" s="36"/>
      <c r="M4" s="37"/>
    </row>
    <row r="5" spans="1:13" s="1" customFormat="1" ht="14.1" customHeight="1">
      <c r="A5" s="166">
        <v>2</v>
      </c>
      <c r="B5" s="58" t="s">
        <v>43</v>
      </c>
      <c r="C5" s="58"/>
      <c r="D5" s="57" t="s">
        <v>44</v>
      </c>
      <c r="E5" s="57"/>
      <c r="F5" s="57"/>
      <c r="G5" s="57"/>
      <c r="H5" s="174">
        <f>SUM(I5)-1.6</f>
        <v>24.799999999999997</v>
      </c>
      <c r="I5" s="24">
        <f>SUM(J5)-1.6</f>
        <v>26.4</v>
      </c>
      <c r="J5" s="33">
        <v>28</v>
      </c>
      <c r="K5" s="24">
        <f>SUM(J5)+1.4</f>
        <v>29.4</v>
      </c>
      <c r="L5" s="24">
        <f>SUM(K5)+1.4</f>
        <v>30.799999999999997</v>
      </c>
      <c r="M5" s="26">
        <f>SUM(L5)+1.4</f>
        <v>32.199999999999996</v>
      </c>
    </row>
    <row r="6" spans="1:13" s="1" customFormat="1" ht="14.1" customHeight="1">
      <c r="A6" s="71"/>
      <c r="B6" s="56" t="s">
        <v>26</v>
      </c>
      <c r="C6" s="56"/>
      <c r="D6" s="47" t="s">
        <v>48</v>
      </c>
      <c r="E6" s="48"/>
      <c r="F6" s="48"/>
      <c r="G6" s="49"/>
      <c r="H6" s="175"/>
      <c r="I6" s="36"/>
      <c r="J6" s="35"/>
      <c r="K6" s="36"/>
      <c r="L6" s="36"/>
      <c r="M6" s="37"/>
    </row>
    <row r="7" spans="1:13" s="1" customFormat="1" ht="14.1" customHeight="1">
      <c r="A7" s="166">
        <v>3</v>
      </c>
      <c r="B7" s="58" t="s">
        <v>41</v>
      </c>
      <c r="C7" s="58"/>
      <c r="D7" s="57" t="s">
        <v>84</v>
      </c>
      <c r="E7" s="57"/>
      <c r="F7" s="57"/>
      <c r="G7" s="57"/>
      <c r="H7" s="174">
        <f>SUM(I7)-2.25</f>
        <v>33.5</v>
      </c>
      <c r="I7" s="24">
        <f>SUM(J7)-2.25</f>
        <v>35.75</v>
      </c>
      <c r="J7" s="33">
        <v>38</v>
      </c>
      <c r="K7" s="24">
        <f>SUM(J7)+2</f>
        <v>40</v>
      </c>
      <c r="L7" s="24">
        <f>SUM(K7)+2</f>
        <v>42</v>
      </c>
      <c r="M7" s="26">
        <f>SUM(L7)+2</f>
        <v>44</v>
      </c>
    </row>
    <row r="8" spans="1:13" s="1" customFormat="1" ht="14.1" customHeight="1">
      <c r="A8" s="71"/>
      <c r="B8" s="56" t="s">
        <v>46</v>
      </c>
      <c r="C8" s="56"/>
      <c r="D8" s="47" t="s">
        <v>49</v>
      </c>
      <c r="E8" s="48"/>
      <c r="F8" s="48"/>
      <c r="G8" s="49"/>
      <c r="H8" s="175"/>
      <c r="I8" s="36"/>
      <c r="J8" s="35"/>
      <c r="K8" s="36"/>
      <c r="L8" s="36"/>
      <c r="M8" s="37"/>
    </row>
    <row r="9" spans="1:13" s="1" customFormat="1" ht="14.1" customHeight="1">
      <c r="A9" s="166">
        <v>4</v>
      </c>
      <c r="B9" s="58" t="s">
        <v>710</v>
      </c>
      <c r="C9" s="58"/>
      <c r="D9" s="57"/>
      <c r="E9" s="57"/>
      <c r="F9" s="57"/>
      <c r="G9" s="57"/>
      <c r="H9" s="174">
        <f>SUM(I9)-3</f>
        <v>52</v>
      </c>
      <c r="I9" s="24">
        <f>SUM(J9)-3</f>
        <v>55</v>
      </c>
      <c r="J9" s="33">
        <v>58</v>
      </c>
      <c r="K9" s="24">
        <f>SUM(J9)+3</f>
        <v>61</v>
      </c>
      <c r="L9" s="24">
        <f>SUM(K9)+3</f>
        <v>64</v>
      </c>
      <c r="M9" s="26">
        <f>SUM(L9)+3</f>
        <v>67</v>
      </c>
    </row>
    <row r="10" spans="1:13" s="1" customFormat="1" ht="14.1" customHeight="1">
      <c r="A10" s="71"/>
      <c r="B10" s="56" t="s">
        <v>711</v>
      </c>
      <c r="C10" s="56"/>
      <c r="D10" s="47" t="s">
        <v>712</v>
      </c>
      <c r="E10" s="48"/>
      <c r="F10" s="48"/>
      <c r="G10" s="49"/>
      <c r="H10" s="175"/>
      <c r="I10" s="36"/>
      <c r="J10" s="35"/>
      <c r="K10" s="36"/>
      <c r="L10" s="36"/>
      <c r="M10" s="37"/>
    </row>
    <row r="11" spans="1:13" s="1" customFormat="1" ht="14.1" customHeight="1">
      <c r="A11" s="166">
        <v>5</v>
      </c>
      <c r="B11" s="58" t="s">
        <v>10</v>
      </c>
      <c r="C11" s="58"/>
      <c r="D11" s="57" t="s">
        <v>0</v>
      </c>
      <c r="E11" s="57"/>
      <c r="F11" s="57"/>
      <c r="G11" s="57"/>
      <c r="H11" s="174">
        <f>SUM(I11)-0.8</f>
        <v>14.5</v>
      </c>
      <c r="I11" s="24">
        <f>SUM(J11)-0.8</f>
        <v>15.3</v>
      </c>
      <c r="J11" s="23">
        <v>16.100000000000001</v>
      </c>
      <c r="K11" s="21">
        <f>SUM(J11)+0.9</f>
        <v>17</v>
      </c>
      <c r="L11" s="21">
        <f>SUM(K11)+0.9</f>
        <v>17.899999999999999</v>
      </c>
      <c r="M11" s="22">
        <f>SUM(L11)+0.9</f>
        <v>18.799999999999997</v>
      </c>
    </row>
    <row r="12" spans="1:13" s="1" customFormat="1" ht="14.1" customHeight="1">
      <c r="A12" s="71"/>
      <c r="B12" s="56" t="s">
        <v>28</v>
      </c>
      <c r="C12" s="56"/>
      <c r="D12" s="47" t="s">
        <v>51</v>
      </c>
      <c r="E12" s="48"/>
      <c r="F12" s="48"/>
      <c r="G12" s="49"/>
      <c r="H12" s="175"/>
      <c r="I12" s="36"/>
      <c r="J12" s="23"/>
      <c r="K12" s="21"/>
      <c r="L12" s="21"/>
      <c r="M12" s="22"/>
    </row>
    <row r="13" spans="1:13" s="1" customFormat="1" ht="14.1" customHeight="1">
      <c r="A13" s="166">
        <v>6</v>
      </c>
      <c r="B13" s="58" t="s">
        <v>1</v>
      </c>
      <c r="C13" s="58"/>
      <c r="D13" s="57" t="s">
        <v>437</v>
      </c>
      <c r="E13" s="57"/>
      <c r="F13" s="57"/>
      <c r="G13" s="57"/>
      <c r="H13" s="174">
        <f>SUM(I13)-0.6</f>
        <v>12.4</v>
      </c>
      <c r="I13" s="24">
        <f>SUM(J13)-0.6</f>
        <v>13</v>
      </c>
      <c r="J13" s="23">
        <v>13.6</v>
      </c>
      <c r="K13" s="21">
        <f>SUM(J13)+0.6</f>
        <v>14.2</v>
      </c>
      <c r="L13" s="21">
        <f>SUM(K13)+0.6</f>
        <v>14.799999999999999</v>
      </c>
      <c r="M13" s="22">
        <f>SUM(L13)+0.6</f>
        <v>15.399999999999999</v>
      </c>
    </row>
    <row r="14" spans="1:13" s="1" customFormat="1" ht="14.1" customHeight="1">
      <c r="A14" s="71"/>
      <c r="B14" s="56" t="s">
        <v>29</v>
      </c>
      <c r="C14" s="56"/>
      <c r="D14" s="47" t="s">
        <v>255</v>
      </c>
      <c r="E14" s="48"/>
      <c r="F14" s="48"/>
      <c r="G14" s="49"/>
      <c r="H14" s="175"/>
      <c r="I14" s="36"/>
      <c r="J14" s="23"/>
      <c r="K14" s="21"/>
      <c r="L14" s="21"/>
      <c r="M14" s="22"/>
    </row>
    <row r="15" spans="1:13" s="1" customFormat="1" ht="14.1" customHeight="1">
      <c r="A15" s="166">
        <v>7</v>
      </c>
      <c r="B15" s="58" t="s">
        <v>2</v>
      </c>
      <c r="C15" s="58"/>
      <c r="D15" s="57" t="s">
        <v>3</v>
      </c>
      <c r="E15" s="57"/>
      <c r="F15" s="57"/>
      <c r="G15" s="57"/>
      <c r="H15" s="174">
        <f>SUM(I15)-0.3</f>
        <v>5.4</v>
      </c>
      <c r="I15" s="24">
        <f>SUM(J15)-0.3</f>
        <v>5.7</v>
      </c>
      <c r="J15" s="23">
        <v>6</v>
      </c>
      <c r="K15" s="21">
        <f>SUM(J15)+0.3</f>
        <v>6.3</v>
      </c>
      <c r="L15" s="21">
        <f>SUM(K15)+0.3</f>
        <v>6.6</v>
      </c>
      <c r="M15" s="22">
        <f>SUM(L15)+0.3</f>
        <v>6.8999999999999995</v>
      </c>
    </row>
    <row r="16" spans="1:13" s="1" customFormat="1" ht="14.1" customHeight="1">
      <c r="A16" s="71"/>
      <c r="B16" s="56" t="s">
        <v>30</v>
      </c>
      <c r="C16" s="56"/>
      <c r="D16" s="47" t="s">
        <v>53</v>
      </c>
      <c r="E16" s="48"/>
      <c r="F16" s="48"/>
      <c r="G16" s="49"/>
      <c r="H16" s="175"/>
      <c r="I16" s="36"/>
      <c r="J16" s="23"/>
      <c r="K16" s="21"/>
      <c r="L16" s="21"/>
      <c r="M16" s="22"/>
    </row>
    <row r="17" spans="1:13" s="1" customFormat="1" ht="14.1" customHeight="1">
      <c r="A17" s="166">
        <v>8</v>
      </c>
      <c r="B17" s="51" t="s">
        <v>85</v>
      </c>
      <c r="C17" s="52"/>
      <c r="D17" s="59" t="s">
        <v>86</v>
      </c>
      <c r="E17" s="60"/>
      <c r="F17" s="60"/>
      <c r="G17" s="61"/>
      <c r="H17" s="174">
        <f>SUM(I17)-1.6</f>
        <v>31.799999999999997</v>
      </c>
      <c r="I17" s="24">
        <f>SUM(J17)-1.6</f>
        <v>33.4</v>
      </c>
      <c r="J17" s="23">
        <v>35</v>
      </c>
      <c r="K17" s="21">
        <f>SUM(J17)+1.6</f>
        <v>36.6</v>
      </c>
      <c r="L17" s="21">
        <f>SUM(K17)+1.6</f>
        <v>38.200000000000003</v>
      </c>
      <c r="M17" s="22">
        <f>SUM(L17)+1.6</f>
        <v>39.800000000000004</v>
      </c>
    </row>
    <row r="18" spans="1:13" s="1" customFormat="1" ht="14.1" customHeight="1">
      <c r="A18" s="71"/>
      <c r="B18" s="56" t="s">
        <v>37</v>
      </c>
      <c r="C18" s="56"/>
      <c r="D18" s="47" t="s">
        <v>704</v>
      </c>
      <c r="E18" s="48"/>
      <c r="F18" s="48"/>
      <c r="G18" s="49"/>
      <c r="H18" s="175"/>
      <c r="I18" s="36"/>
      <c r="J18" s="23"/>
      <c r="K18" s="21"/>
      <c r="L18" s="21"/>
      <c r="M18" s="22"/>
    </row>
    <row r="19" spans="1:13" s="1" customFormat="1" ht="14.1" customHeight="1">
      <c r="A19" s="166">
        <v>9</v>
      </c>
      <c r="B19" s="58" t="s">
        <v>4</v>
      </c>
      <c r="C19" s="58"/>
      <c r="D19" s="57" t="s">
        <v>5</v>
      </c>
      <c r="E19" s="57"/>
      <c r="F19" s="57"/>
      <c r="G19" s="57"/>
      <c r="H19" s="174">
        <f>SUM(I19)-3.7</f>
        <v>32.599999999999994</v>
      </c>
      <c r="I19" s="24">
        <f>SUM(J19)-3.7</f>
        <v>36.299999999999997</v>
      </c>
      <c r="J19" s="33">
        <v>40</v>
      </c>
      <c r="K19" s="24">
        <f>SUM(J19)+3.6</f>
        <v>43.6</v>
      </c>
      <c r="L19" s="24">
        <f>SUM(K19)+3.6</f>
        <v>47.2</v>
      </c>
      <c r="M19" s="26">
        <f>SUM(L19)+3.6</f>
        <v>50.800000000000004</v>
      </c>
    </row>
    <row r="20" spans="1:13" s="1" customFormat="1" ht="14.1" customHeight="1">
      <c r="A20" s="71"/>
      <c r="B20" s="56" t="s">
        <v>31</v>
      </c>
      <c r="C20" s="56"/>
      <c r="D20" s="47" t="s">
        <v>54</v>
      </c>
      <c r="E20" s="48"/>
      <c r="F20" s="48"/>
      <c r="G20" s="49"/>
      <c r="H20" s="175"/>
      <c r="I20" s="36"/>
      <c r="J20" s="35"/>
      <c r="K20" s="36"/>
      <c r="L20" s="36"/>
      <c r="M20" s="37"/>
    </row>
    <row r="21" spans="1:13" s="1" customFormat="1" ht="14.1" customHeight="1">
      <c r="A21" s="166">
        <v>10</v>
      </c>
      <c r="B21" s="58" t="s">
        <v>6</v>
      </c>
      <c r="C21" s="58"/>
      <c r="D21" s="59" t="s">
        <v>7</v>
      </c>
      <c r="E21" s="60"/>
      <c r="F21" s="60"/>
      <c r="G21" s="61"/>
      <c r="H21" s="174"/>
      <c r="I21" s="24"/>
      <c r="J21" s="23"/>
      <c r="K21" s="21"/>
      <c r="L21" s="21"/>
      <c r="M21" s="22"/>
    </row>
    <row r="22" spans="1:13" s="1" customFormat="1" ht="14.1" customHeight="1">
      <c r="A22" s="71"/>
      <c r="B22" s="56" t="s">
        <v>32</v>
      </c>
      <c r="C22" s="56"/>
      <c r="D22" s="47" t="s">
        <v>76</v>
      </c>
      <c r="E22" s="48"/>
      <c r="F22" s="48"/>
      <c r="G22" s="49"/>
      <c r="H22" s="175"/>
      <c r="I22" s="36"/>
      <c r="J22" s="23"/>
      <c r="K22" s="21"/>
      <c r="L22" s="21"/>
      <c r="M22" s="22"/>
    </row>
    <row r="23" spans="1:13" s="1" customFormat="1" ht="14.1" customHeight="1">
      <c r="A23" s="166">
        <v>11</v>
      </c>
      <c r="B23" s="51" t="s">
        <v>302</v>
      </c>
      <c r="C23" s="52"/>
      <c r="D23" s="57"/>
      <c r="E23" s="57"/>
      <c r="F23" s="57"/>
      <c r="G23" s="57"/>
      <c r="H23" s="174">
        <f>SUM(I23)-0.6</f>
        <v>14.8</v>
      </c>
      <c r="I23" s="24">
        <f>SUM(J23)-0.6</f>
        <v>15.4</v>
      </c>
      <c r="J23" s="23">
        <v>16</v>
      </c>
      <c r="K23" s="21">
        <f>SUM(J23)+0.6</f>
        <v>16.600000000000001</v>
      </c>
      <c r="L23" s="21">
        <f>SUM(K23)+0.6</f>
        <v>17.200000000000003</v>
      </c>
      <c r="M23" s="22">
        <f>SUM(L23)+0.6</f>
        <v>17.800000000000004</v>
      </c>
    </row>
    <row r="24" spans="1:13" s="1" customFormat="1" ht="14.1" customHeight="1">
      <c r="A24" s="71"/>
      <c r="B24" s="56" t="s">
        <v>303</v>
      </c>
      <c r="C24" s="56"/>
      <c r="D24" s="47"/>
      <c r="E24" s="48"/>
      <c r="F24" s="48"/>
      <c r="G24" s="49"/>
      <c r="H24" s="175"/>
      <c r="I24" s="36"/>
      <c r="J24" s="23"/>
      <c r="K24" s="21"/>
      <c r="L24" s="21"/>
      <c r="M24" s="22"/>
    </row>
    <row r="25" spans="1:13" s="1" customFormat="1" ht="14.1" customHeight="1">
      <c r="A25" s="166">
        <v>12</v>
      </c>
      <c r="B25" s="51" t="s">
        <v>705</v>
      </c>
      <c r="C25" s="52"/>
      <c r="D25" s="53"/>
      <c r="E25" s="54"/>
      <c r="F25" s="54"/>
      <c r="G25" s="55"/>
      <c r="H25" s="174">
        <f>SUM(I25)-2</f>
        <v>23.8</v>
      </c>
      <c r="I25" s="24">
        <f>SUM(J25)-2</f>
        <v>25.8</v>
      </c>
      <c r="J25" s="23">
        <v>27.8</v>
      </c>
      <c r="K25" s="21">
        <f>SUM(J25)+2</f>
        <v>29.8</v>
      </c>
      <c r="L25" s="21">
        <f>SUM(K25)+2</f>
        <v>31.8</v>
      </c>
      <c r="M25" s="22">
        <f>SUM(L25)+2</f>
        <v>33.799999999999997</v>
      </c>
    </row>
    <row r="26" spans="1:13" s="1" customFormat="1" ht="14.1" customHeight="1">
      <c r="A26" s="71"/>
      <c r="B26" s="45" t="s">
        <v>706</v>
      </c>
      <c r="C26" s="46"/>
      <c r="D26" s="47" t="s">
        <v>473</v>
      </c>
      <c r="E26" s="48"/>
      <c r="F26" s="48"/>
      <c r="G26" s="49"/>
      <c r="H26" s="175"/>
      <c r="I26" s="36"/>
      <c r="J26" s="23"/>
      <c r="K26" s="21"/>
      <c r="L26" s="21"/>
      <c r="M26" s="22"/>
    </row>
    <row r="27" spans="1:13" s="1" customFormat="1" ht="14.1" customHeight="1">
      <c r="A27" s="166">
        <v>13</v>
      </c>
      <c r="B27" s="51" t="s">
        <v>707</v>
      </c>
      <c r="C27" s="52"/>
      <c r="D27" s="53"/>
      <c r="E27" s="54"/>
      <c r="F27" s="54"/>
      <c r="G27" s="55"/>
      <c r="H27" s="174">
        <f>SUM(I27)-3</f>
        <v>29.200000000000003</v>
      </c>
      <c r="I27" s="24">
        <f>SUM(J27)-3</f>
        <v>32.200000000000003</v>
      </c>
      <c r="J27" s="23">
        <v>35.200000000000003</v>
      </c>
      <c r="K27" s="21">
        <f>SUM(J27)+3</f>
        <v>38.200000000000003</v>
      </c>
      <c r="L27" s="21">
        <f>SUM(K27)+3</f>
        <v>41.2</v>
      </c>
      <c r="M27" s="22">
        <f>SUM(L27)+3</f>
        <v>44.2</v>
      </c>
    </row>
    <row r="28" spans="1:13" s="1" customFormat="1" ht="14.1" customHeight="1">
      <c r="A28" s="71"/>
      <c r="B28" s="45" t="s">
        <v>708</v>
      </c>
      <c r="C28" s="46"/>
      <c r="D28" s="47" t="s">
        <v>709</v>
      </c>
      <c r="E28" s="48"/>
      <c r="F28" s="48"/>
      <c r="G28" s="49"/>
      <c r="H28" s="175"/>
      <c r="I28" s="36"/>
      <c r="J28" s="23"/>
      <c r="K28" s="21"/>
      <c r="L28" s="21"/>
      <c r="M28" s="22"/>
    </row>
    <row r="29" spans="1:13" s="1" customFormat="1" ht="14.1" customHeight="1">
      <c r="A29" s="166">
        <v>14</v>
      </c>
      <c r="B29" s="51" t="s">
        <v>89</v>
      </c>
      <c r="C29" s="52"/>
      <c r="D29" s="101" t="s">
        <v>11</v>
      </c>
      <c r="E29" s="101"/>
      <c r="F29" s="101"/>
      <c r="G29" s="101"/>
      <c r="H29" s="174">
        <f>SUM(I29)-0.2</f>
        <v>4.3999999999999995</v>
      </c>
      <c r="I29" s="24">
        <f>SUM(J29)-0.2</f>
        <v>4.5999999999999996</v>
      </c>
      <c r="J29" s="23">
        <v>4.8</v>
      </c>
      <c r="K29" s="21">
        <f>SUM(J29)+0.2</f>
        <v>5</v>
      </c>
      <c r="L29" s="21">
        <f>SUM(K29)+0.2</f>
        <v>5.2</v>
      </c>
      <c r="M29" s="22">
        <f>SUM(L29)+0.2</f>
        <v>5.4</v>
      </c>
    </row>
    <row r="30" spans="1:13" s="1" customFormat="1" ht="14.1" customHeight="1">
      <c r="A30" s="71"/>
      <c r="B30" s="56" t="s">
        <v>39</v>
      </c>
      <c r="C30" s="56"/>
      <c r="D30" s="47" t="s">
        <v>66</v>
      </c>
      <c r="E30" s="48"/>
      <c r="F30" s="48"/>
      <c r="G30" s="49"/>
      <c r="H30" s="175"/>
      <c r="I30" s="36"/>
      <c r="J30" s="23"/>
      <c r="K30" s="21"/>
      <c r="L30" s="21"/>
      <c r="M30" s="22"/>
    </row>
    <row r="31" spans="1:13" s="1" customFormat="1" ht="14.1" customHeight="1">
      <c r="A31" s="166">
        <v>15</v>
      </c>
      <c r="B31" s="58" t="s">
        <v>47</v>
      </c>
      <c r="C31" s="58"/>
      <c r="D31" s="101"/>
      <c r="E31" s="101"/>
      <c r="F31" s="101"/>
      <c r="G31" s="101"/>
      <c r="H31" s="174">
        <f>SUM(I31)-5</f>
        <v>74</v>
      </c>
      <c r="I31" s="24">
        <f>SUM(J31)-5</f>
        <v>79</v>
      </c>
      <c r="J31" s="23">
        <v>84</v>
      </c>
      <c r="K31" s="21">
        <f>SUM(J31)+4.4</f>
        <v>88.4</v>
      </c>
      <c r="L31" s="21">
        <f>SUM(K31)+4.4</f>
        <v>92.800000000000011</v>
      </c>
      <c r="M31" s="22">
        <f>SUM(L31)+4.4</f>
        <v>97.200000000000017</v>
      </c>
    </row>
    <row r="32" spans="1:13" s="1" customFormat="1" ht="14.1" customHeight="1">
      <c r="A32" s="71"/>
      <c r="B32" s="56" t="s">
        <v>27</v>
      </c>
      <c r="C32" s="56"/>
      <c r="D32" s="47"/>
      <c r="E32" s="48"/>
      <c r="F32" s="48"/>
      <c r="G32" s="49"/>
      <c r="H32" s="175"/>
      <c r="I32" s="36"/>
      <c r="J32" s="23"/>
      <c r="K32" s="21"/>
      <c r="L32" s="21"/>
      <c r="M32" s="22"/>
    </row>
    <row r="33" spans="1:13" s="1" customFormat="1" ht="14.1" customHeight="1">
      <c r="A33" s="166">
        <v>16</v>
      </c>
      <c r="B33" s="51"/>
      <c r="C33" s="52"/>
      <c r="D33" s="59"/>
      <c r="E33" s="60"/>
      <c r="F33" s="60"/>
      <c r="G33" s="61"/>
      <c r="H33" s="24"/>
      <c r="I33" s="24"/>
      <c r="J33" s="33"/>
      <c r="K33" s="24"/>
      <c r="L33" s="24"/>
      <c r="M33" s="88"/>
    </row>
    <row r="34" spans="1:13" s="1" customFormat="1" ht="14.1" customHeight="1">
      <c r="A34" s="166"/>
      <c r="B34" s="40"/>
      <c r="C34" s="41"/>
      <c r="D34" s="100"/>
      <c r="E34" s="101"/>
      <c r="F34" s="101"/>
      <c r="G34" s="102"/>
      <c r="H34" s="50"/>
      <c r="I34" s="50"/>
      <c r="J34" s="117"/>
      <c r="K34" s="50"/>
      <c r="L34" s="50"/>
      <c r="M34" s="194"/>
    </row>
    <row r="35" spans="1:13" s="1" customFormat="1" ht="14.1" customHeight="1">
      <c r="A35" s="38">
        <v>17</v>
      </c>
      <c r="B35" s="195"/>
      <c r="C35" s="196"/>
      <c r="D35" s="53"/>
      <c r="E35" s="54"/>
      <c r="F35" s="54"/>
      <c r="G35" s="55"/>
      <c r="H35" s="24"/>
      <c r="I35" s="24"/>
      <c r="J35" s="33"/>
      <c r="K35" s="24"/>
      <c r="L35" s="24"/>
      <c r="M35" s="88"/>
    </row>
    <row r="36" spans="1:13" s="1" customFormat="1" ht="14.1" customHeight="1">
      <c r="A36" s="38"/>
      <c r="B36" s="45"/>
      <c r="C36" s="46"/>
      <c r="D36" s="47"/>
      <c r="E36" s="48"/>
      <c r="F36" s="48"/>
      <c r="G36" s="49"/>
      <c r="H36" s="36"/>
      <c r="I36" s="36"/>
      <c r="J36" s="35"/>
      <c r="K36" s="36"/>
      <c r="L36" s="36"/>
      <c r="M36" s="87"/>
    </row>
    <row r="37" spans="1:13" s="1" customFormat="1" ht="14.1" customHeight="1">
      <c r="A37" s="38">
        <v>18</v>
      </c>
      <c r="B37" s="164"/>
      <c r="C37" s="165"/>
      <c r="D37" s="42"/>
      <c r="E37" s="43"/>
      <c r="F37" s="43"/>
      <c r="G37" s="44"/>
      <c r="H37" s="50"/>
      <c r="I37" s="50"/>
      <c r="J37" s="35"/>
      <c r="K37" s="36"/>
      <c r="L37" s="36"/>
      <c r="M37" s="87"/>
    </row>
    <row r="38" spans="1:13" s="1" customFormat="1" ht="14.1" customHeight="1" thickBot="1">
      <c r="A38" s="39"/>
      <c r="B38" s="28"/>
      <c r="C38" s="29"/>
      <c r="D38" s="30"/>
      <c r="E38" s="31"/>
      <c r="F38" s="31"/>
      <c r="G38" s="32"/>
      <c r="H38" s="25"/>
      <c r="I38" s="25"/>
      <c r="J38" s="218"/>
      <c r="K38" s="216"/>
      <c r="L38" s="216"/>
      <c r="M38" s="217"/>
    </row>
    <row r="39" spans="1:13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201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218B6-616B-49E7-A3A9-530D89335007}">
  <sheetPr>
    <tabColor rgb="FF00B050"/>
    <pageSetUpPr fitToPage="1"/>
  </sheetPr>
  <dimension ref="A1:M57"/>
  <sheetViews>
    <sheetView zoomScale="110" zoomScaleNormal="110" workbookViewId="0">
      <selection sqref="A1:M4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877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24">
        <f>SUM(I3)-5</f>
        <v>56</v>
      </c>
      <c r="I3" s="24">
        <f>SUM(J3)-5</f>
        <v>61</v>
      </c>
      <c r="J3" s="75">
        <v>66</v>
      </c>
      <c r="K3" s="76">
        <f>SUM(J3)+5</f>
        <v>71</v>
      </c>
      <c r="L3" s="76">
        <f>SUM(K3)+5</f>
        <v>76</v>
      </c>
      <c r="M3" s="77">
        <f>SUM(L3)+5</f>
        <v>81</v>
      </c>
    </row>
    <row r="4" spans="1:13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24"/>
      <c r="L4" s="24"/>
      <c r="M4" s="26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SUM(I5)-1.8</f>
        <v>24.4</v>
      </c>
      <c r="I5" s="24">
        <f>SUM(J5)-1.8</f>
        <v>26.2</v>
      </c>
      <c r="J5" s="33">
        <v>28</v>
      </c>
      <c r="K5" s="24">
        <f>SUM(J5)+1.6</f>
        <v>29.6</v>
      </c>
      <c r="L5" s="24">
        <f>SUM(K5)+1.6</f>
        <v>31.200000000000003</v>
      </c>
      <c r="M5" s="26">
        <f>SUM(L5)+1.6</f>
        <v>32.800000000000004</v>
      </c>
    </row>
    <row r="6" spans="1:13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37"/>
    </row>
    <row r="7" spans="1:13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32</v>
      </c>
      <c r="I7" s="24">
        <f>SUM(J7)-2.25</f>
        <v>34.25</v>
      </c>
      <c r="J7" s="33">
        <v>36.5</v>
      </c>
      <c r="K7" s="24">
        <f>SUM(J7)+2</f>
        <v>38.5</v>
      </c>
      <c r="L7" s="24">
        <f>SUM(K7)+2</f>
        <v>40.5</v>
      </c>
      <c r="M7" s="26">
        <f>SUM(L7)+2</f>
        <v>42.5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37"/>
    </row>
    <row r="9" spans="1:13" s="1" customFormat="1" ht="14.1" customHeight="1">
      <c r="A9" s="38">
        <v>4</v>
      </c>
      <c r="B9" s="58" t="s">
        <v>383</v>
      </c>
      <c r="C9" s="58"/>
      <c r="D9" s="57" t="s">
        <v>8</v>
      </c>
      <c r="E9" s="57"/>
      <c r="F9" s="57"/>
      <c r="G9" s="57"/>
      <c r="H9" s="24">
        <f>SUM(I9)-2.3</f>
        <v>33.900000000000006</v>
      </c>
      <c r="I9" s="24">
        <f>SUM(J9)-2.3</f>
        <v>36.200000000000003</v>
      </c>
      <c r="J9" s="33">
        <v>38.5</v>
      </c>
      <c r="K9" s="24">
        <f>SUM(J9)+2.1</f>
        <v>40.6</v>
      </c>
      <c r="L9" s="24">
        <f>SUM(K9)+2.1</f>
        <v>42.7</v>
      </c>
      <c r="M9" s="26">
        <f>SUM(L9)+2.1</f>
        <v>44.800000000000004</v>
      </c>
    </row>
    <row r="10" spans="1:13" s="1" customFormat="1" ht="14.1" customHeight="1">
      <c r="A10" s="38"/>
      <c r="B10" s="56" t="s">
        <v>384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7"/>
    </row>
    <row r="11" spans="1:13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SUM(I11)-0.8</f>
        <v>12.999999999999998</v>
      </c>
      <c r="I11" s="24">
        <f>SUM(J11)-0.8</f>
        <v>13.799999999999999</v>
      </c>
      <c r="J11" s="23">
        <v>14.6</v>
      </c>
      <c r="K11" s="21">
        <f>SUM(J11)+0.8</f>
        <v>15.4</v>
      </c>
      <c r="L11" s="21">
        <f>SUM(K11)+0.9</f>
        <v>16.3</v>
      </c>
      <c r="M11" s="22">
        <f>SUM(L11)+0.9</f>
        <v>17.2</v>
      </c>
    </row>
    <row r="12" spans="1:13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2"/>
    </row>
    <row r="13" spans="1:13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12.8</v>
      </c>
      <c r="I13" s="24">
        <f>SUM(J13)-0.6</f>
        <v>13.4</v>
      </c>
      <c r="J13" s="23">
        <v>14</v>
      </c>
      <c r="K13" s="21">
        <f>SUM(J13)+0.6</f>
        <v>14.6</v>
      </c>
      <c r="L13" s="21">
        <f>SUM(K13)+0.6</f>
        <v>15.2</v>
      </c>
      <c r="M13" s="22">
        <f>SUM(L13)+0.6</f>
        <v>15.799999999999999</v>
      </c>
    </row>
    <row r="14" spans="1:13" s="1" customFormat="1" ht="14.1" customHeight="1">
      <c r="A14" s="38"/>
      <c r="B14" s="56" t="s">
        <v>29</v>
      </c>
      <c r="C14" s="56"/>
      <c r="D14" s="47" t="s">
        <v>255</v>
      </c>
      <c r="E14" s="48"/>
      <c r="F14" s="48"/>
      <c r="G14" s="49"/>
      <c r="H14" s="36"/>
      <c r="I14" s="36"/>
      <c r="J14" s="23"/>
      <c r="K14" s="21"/>
      <c r="L14" s="21"/>
      <c r="M14" s="22"/>
    </row>
    <row r="15" spans="1:13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5.9</v>
      </c>
      <c r="I15" s="24">
        <f>SUM(J15)-0.3</f>
        <v>6.2</v>
      </c>
      <c r="J15" s="23">
        <v>6.5</v>
      </c>
      <c r="K15" s="21">
        <f>SUM(J15)+0.3</f>
        <v>6.8</v>
      </c>
      <c r="L15" s="21">
        <f>SUM(K15)+0.3</f>
        <v>7.1</v>
      </c>
      <c r="M15" s="22">
        <f>SUM(L15)+0.3</f>
        <v>7.3999999999999995</v>
      </c>
    </row>
    <row r="16" spans="1:13" s="1" customFormat="1" ht="14.1" customHeight="1">
      <c r="A16" s="38"/>
      <c r="B16" s="56" t="s">
        <v>30</v>
      </c>
      <c r="C16" s="56"/>
      <c r="D16" s="47" t="s">
        <v>379</v>
      </c>
      <c r="E16" s="48"/>
      <c r="F16" s="48"/>
      <c r="G16" s="49"/>
      <c r="H16" s="36"/>
      <c r="I16" s="36"/>
      <c r="J16" s="23"/>
      <c r="K16" s="21"/>
      <c r="L16" s="21"/>
      <c r="M16" s="22"/>
    </row>
    <row r="17" spans="1:13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33.4</v>
      </c>
      <c r="I17" s="24">
        <f>SUM(J17)-1.6</f>
        <v>35</v>
      </c>
      <c r="J17" s="23">
        <v>36.6</v>
      </c>
      <c r="K17" s="21">
        <f>SUM(J17)+1.6</f>
        <v>38.200000000000003</v>
      </c>
      <c r="L17" s="21">
        <f>SUM(K17)+1.6</f>
        <v>39.800000000000004</v>
      </c>
      <c r="M17" s="22">
        <f>SUM(L17)+1.6</f>
        <v>41.400000000000006</v>
      </c>
    </row>
    <row r="18" spans="1:13" s="1" customFormat="1" ht="14.1" customHeight="1">
      <c r="A18" s="38"/>
      <c r="B18" s="56" t="s">
        <v>37</v>
      </c>
      <c r="C18" s="56"/>
      <c r="D18" s="47" t="s">
        <v>107</v>
      </c>
      <c r="E18" s="48"/>
      <c r="F18" s="48"/>
      <c r="G18" s="49"/>
      <c r="H18" s="36"/>
      <c r="I18" s="36"/>
      <c r="J18" s="23"/>
      <c r="K18" s="21"/>
      <c r="L18" s="21"/>
      <c r="M18" s="22"/>
    </row>
    <row r="19" spans="1:13" s="1" customFormat="1" ht="14.1" customHeight="1">
      <c r="A19" s="38">
        <v>9</v>
      </c>
      <c r="B19" s="58" t="s">
        <v>4</v>
      </c>
      <c r="C19" s="58"/>
      <c r="D19" s="57" t="s">
        <v>5</v>
      </c>
      <c r="E19" s="57"/>
      <c r="F19" s="57"/>
      <c r="G19" s="57"/>
      <c r="H19" s="24">
        <f>SUM(I19)-3.6</f>
        <v>31.799999999999997</v>
      </c>
      <c r="I19" s="24">
        <f>SUM(J19)-3.6</f>
        <v>35.4</v>
      </c>
      <c r="J19" s="23">
        <v>39</v>
      </c>
      <c r="K19" s="21">
        <f>SUM(J19)+3.7</f>
        <v>42.7</v>
      </c>
      <c r="L19" s="21">
        <f>SUM(K19)+3.7</f>
        <v>46.400000000000006</v>
      </c>
      <c r="M19" s="22">
        <f>SUM(L19)+3.7</f>
        <v>50.100000000000009</v>
      </c>
    </row>
    <row r="20" spans="1:13" s="1" customFormat="1" ht="14.1" customHeight="1">
      <c r="A20" s="38"/>
      <c r="B20" s="56" t="s">
        <v>31</v>
      </c>
      <c r="C20" s="56"/>
      <c r="D20" s="47" t="s">
        <v>54</v>
      </c>
      <c r="E20" s="48"/>
      <c r="F20" s="48"/>
      <c r="G20" s="49"/>
      <c r="H20" s="36"/>
      <c r="I20" s="36"/>
      <c r="J20" s="23"/>
      <c r="K20" s="21"/>
      <c r="L20" s="21"/>
      <c r="M20" s="22"/>
    </row>
    <row r="21" spans="1:13" s="1" customFormat="1" ht="14.1" customHeight="1">
      <c r="A21" s="38">
        <v>10</v>
      </c>
      <c r="B21" s="58" t="s">
        <v>6</v>
      </c>
      <c r="C21" s="58"/>
      <c r="D21" s="59" t="s">
        <v>7</v>
      </c>
      <c r="E21" s="60"/>
      <c r="F21" s="60"/>
      <c r="G21" s="61"/>
      <c r="H21" s="24">
        <f>SUM(I21)-1.4</f>
        <v>21.6</v>
      </c>
      <c r="I21" s="24">
        <f>SUM(J21)-1.4</f>
        <v>23</v>
      </c>
      <c r="J21" s="23">
        <v>24.4</v>
      </c>
      <c r="K21" s="21">
        <f>SUM(J21)+1.4</f>
        <v>25.799999999999997</v>
      </c>
      <c r="L21" s="21">
        <f>SUM(K21)+1.4</f>
        <v>27.199999999999996</v>
      </c>
      <c r="M21" s="22">
        <f>SUM(L21)+1.4</f>
        <v>28.599999999999994</v>
      </c>
    </row>
    <row r="22" spans="1:13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9"/>
      <c r="H22" s="36"/>
      <c r="I22" s="36"/>
      <c r="J22" s="23"/>
      <c r="K22" s="21"/>
      <c r="L22" s="21"/>
      <c r="M22" s="22"/>
    </row>
    <row r="23" spans="1:13" s="1" customFormat="1" ht="14.1" customHeight="1">
      <c r="A23" s="38">
        <v>11</v>
      </c>
      <c r="B23" s="51" t="s">
        <v>77</v>
      </c>
      <c r="C23" s="52"/>
      <c r="D23" s="57" t="s">
        <v>78</v>
      </c>
      <c r="E23" s="57"/>
      <c r="F23" s="57"/>
      <c r="G23" s="57"/>
      <c r="H23" s="24">
        <f>SUM(I23)-0.7</f>
        <v>15.600000000000001</v>
      </c>
      <c r="I23" s="24">
        <f>SUM(J23)-0.7</f>
        <v>16.3</v>
      </c>
      <c r="J23" s="23">
        <v>17</v>
      </c>
      <c r="K23" s="21">
        <f>SUM(J23)+0.7</f>
        <v>17.7</v>
      </c>
      <c r="L23" s="21">
        <f>SUM(K23)+0.7</f>
        <v>18.399999999999999</v>
      </c>
      <c r="M23" s="22">
        <f>SUM(L23)+0.7</f>
        <v>19.099999999999998</v>
      </c>
    </row>
    <row r="24" spans="1:13" s="1" customFormat="1" ht="14.1" customHeight="1">
      <c r="A24" s="38"/>
      <c r="B24" s="56" t="s">
        <v>33</v>
      </c>
      <c r="C24" s="56"/>
      <c r="D24" s="47" t="s">
        <v>79</v>
      </c>
      <c r="E24" s="48"/>
      <c r="F24" s="48"/>
      <c r="G24" s="49"/>
      <c r="H24" s="36"/>
      <c r="I24" s="36"/>
      <c r="J24" s="23"/>
      <c r="K24" s="21"/>
      <c r="L24" s="21"/>
      <c r="M24" s="22"/>
    </row>
    <row r="25" spans="1:13" s="1" customFormat="1" ht="14.1" customHeight="1">
      <c r="A25" s="38">
        <v>12</v>
      </c>
      <c r="B25" s="40" t="s">
        <v>689</v>
      </c>
      <c r="C25" s="41"/>
      <c r="D25" s="42"/>
      <c r="E25" s="43"/>
      <c r="F25" s="43"/>
      <c r="G25" s="44"/>
      <c r="H25" s="50">
        <f>SUM(I25)-3.9</f>
        <v>39.800000000000004</v>
      </c>
      <c r="I25" s="50">
        <f>SUM(J25)-3.9</f>
        <v>43.7</v>
      </c>
      <c r="J25" s="35">
        <v>47.6</v>
      </c>
      <c r="K25" s="36">
        <f>SUM(J25)+3.9</f>
        <v>51.5</v>
      </c>
      <c r="L25" s="36">
        <f>SUM(K25)+3.9</f>
        <v>55.4</v>
      </c>
      <c r="M25" s="37">
        <f>SUM(L25)+3.9</f>
        <v>59.3</v>
      </c>
    </row>
    <row r="26" spans="1:13" s="1" customFormat="1" ht="14.1" customHeight="1">
      <c r="A26" s="38"/>
      <c r="B26" s="45" t="s">
        <v>187</v>
      </c>
      <c r="C26" s="46"/>
      <c r="D26" s="47" t="s">
        <v>880</v>
      </c>
      <c r="E26" s="48"/>
      <c r="F26" s="48"/>
      <c r="G26" s="49"/>
      <c r="H26" s="36"/>
      <c r="I26" s="36"/>
      <c r="J26" s="23"/>
      <c r="K26" s="21"/>
      <c r="L26" s="21"/>
      <c r="M26" s="22"/>
    </row>
    <row r="27" spans="1:13" s="1" customFormat="1" ht="14.1" customHeight="1">
      <c r="A27" s="38">
        <v>13</v>
      </c>
      <c r="B27" s="40" t="s">
        <v>690</v>
      </c>
      <c r="C27" s="41"/>
      <c r="D27" s="53"/>
      <c r="E27" s="54"/>
      <c r="F27" s="54"/>
      <c r="G27" s="55"/>
      <c r="H27" s="24">
        <f>SUM(I27)-0.9</f>
        <v>7</v>
      </c>
      <c r="I27" s="24">
        <f>SUM(J27)-0.9</f>
        <v>7.9</v>
      </c>
      <c r="J27" s="23">
        <v>8.8000000000000007</v>
      </c>
      <c r="K27" s="21">
        <f>SUM(J27)+0.9</f>
        <v>9.7000000000000011</v>
      </c>
      <c r="L27" s="21">
        <f>SUM(K27)+0.9</f>
        <v>10.600000000000001</v>
      </c>
      <c r="M27" s="22">
        <f>SUM(L27)+0.9</f>
        <v>11.500000000000002</v>
      </c>
    </row>
    <row r="28" spans="1:13" s="1" customFormat="1" ht="14.1" customHeight="1">
      <c r="A28" s="38"/>
      <c r="B28" s="45" t="s">
        <v>190</v>
      </c>
      <c r="C28" s="46"/>
      <c r="D28" s="47" t="s">
        <v>880</v>
      </c>
      <c r="E28" s="48"/>
      <c r="F28" s="48"/>
      <c r="G28" s="49"/>
      <c r="H28" s="36"/>
      <c r="I28" s="36"/>
      <c r="J28" s="23"/>
      <c r="K28" s="21"/>
      <c r="L28" s="21"/>
      <c r="M28" s="22"/>
    </row>
    <row r="29" spans="1:13" s="1" customFormat="1" ht="14.1" customHeight="1">
      <c r="A29" s="38">
        <v>14</v>
      </c>
      <c r="B29" s="40" t="s">
        <v>691</v>
      </c>
      <c r="C29" s="41"/>
      <c r="D29" s="53"/>
      <c r="E29" s="54"/>
      <c r="F29" s="54"/>
      <c r="G29" s="55"/>
      <c r="H29" s="24">
        <f>SUM(I29)-0.9</f>
        <v>9.7999999999999989</v>
      </c>
      <c r="I29" s="24">
        <f>SUM(J29)-0.9</f>
        <v>10.7</v>
      </c>
      <c r="J29" s="23">
        <v>11.6</v>
      </c>
      <c r="K29" s="21">
        <f>SUM(J29)+0.9</f>
        <v>12.5</v>
      </c>
      <c r="L29" s="21">
        <f>SUM(K29)+0.9</f>
        <v>13.4</v>
      </c>
      <c r="M29" s="22">
        <f>SUM(L29)+0.9</f>
        <v>14.3</v>
      </c>
    </row>
    <row r="30" spans="1:13" s="1" customFormat="1" ht="14.1" customHeight="1">
      <c r="A30" s="38"/>
      <c r="B30" s="45" t="s">
        <v>193</v>
      </c>
      <c r="C30" s="46"/>
      <c r="D30" s="47" t="s">
        <v>880</v>
      </c>
      <c r="E30" s="48"/>
      <c r="F30" s="48"/>
      <c r="G30" s="49"/>
      <c r="H30" s="36"/>
      <c r="I30" s="36"/>
      <c r="J30" s="23"/>
      <c r="K30" s="21"/>
      <c r="L30" s="21"/>
      <c r="M30" s="22"/>
    </row>
    <row r="31" spans="1:13" s="1" customFormat="1" ht="14.1" customHeight="1">
      <c r="A31" s="38">
        <v>15</v>
      </c>
      <c r="B31" s="40" t="s">
        <v>692</v>
      </c>
      <c r="C31" s="41"/>
      <c r="D31" s="53"/>
      <c r="E31" s="54"/>
      <c r="F31" s="54"/>
      <c r="G31" s="55"/>
      <c r="H31" s="24">
        <f>SUM(I31)-2.1</f>
        <v>22.999999999999996</v>
      </c>
      <c r="I31" s="24">
        <f>SUM(J31)-2.1</f>
        <v>25.099999999999998</v>
      </c>
      <c r="J31" s="23">
        <v>27.2</v>
      </c>
      <c r="K31" s="21">
        <f>SUM(J31)+2.1</f>
        <v>29.3</v>
      </c>
      <c r="L31" s="21">
        <f>SUM(K31)+2.1</f>
        <v>31.400000000000002</v>
      </c>
      <c r="M31" s="22">
        <f>SUM(L31)+2.1</f>
        <v>33.5</v>
      </c>
    </row>
    <row r="32" spans="1:13" s="1" customFormat="1" ht="14.1" customHeight="1">
      <c r="A32" s="38"/>
      <c r="B32" s="45" t="s">
        <v>195</v>
      </c>
      <c r="C32" s="46"/>
      <c r="D32" s="47" t="s">
        <v>880</v>
      </c>
      <c r="E32" s="48"/>
      <c r="F32" s="48"/>
      <c r="G32" s="49"/>
      <c r="H32" s="36"/>
      <c r="I32" s="36"/>
      <c r="J32" s="23"/>
      <c r="K32" s="21"/>
      <c r="L32" s="21"/>
      <c r="M32" s="22"/>
    </row>
    <row r="33" spans="1:13" s="1" customFormat="1" ht="14.1" customHeight="1">
      <c r="A33" s="38">
        <v>16</v>
      </c>
      <c r="B33" s="51" t="s">
        <v>556</v>
      </c>
      <c r="C33" s="52"/>
      <c r="D33" s="53"/>
      <c r="E33" s="54"/>
      <c r="F33" s="54"/>
      <c r="G33" s="55"/>
      <c r="H33" s="24">
        <f>SUM(I33)-2.4</f>
        <v>28.700000000000003</v>
      </c>
      <c r="I33" s="24">
        <f>SUM(J33)-2.4</f>
        <v>31.1</v>
      </c>
      <c r="J33" s="23">
        <v>33.5</v>
      </c>
      <c r="K33" s="21">
        <f>SUM(J33)+2.4</f>
        <v>35.9</v>
      </c>
      <c r="L33" s="21">
        <f>SUM(K33)+2.4</f>
        <v>38.299999999999997</v>
      </c>
      <c r="M33" s="22">
        <f>SUM(L33)+2.4</f>
        <v>40.699999999999996</v>
      </c>
    </row>
    <row r="34" spans="1:13" s="1" customFormat="1" ht="14.1" customHeight="1">
      <c r="A34" s="38"/>
      <c r="B34" s="45" t="s">
        <v>171</v>
      </c>
      <c r="C34" s="46"/>
      <c r="D34" s="47"/>
      <c r="E34" s="48"/>
      <c r="F34" s="48"/>
      <c r="G34" s="49"/>
      <c r="H34" s="36"/>
      <c r="I34" s="36"/>
      <c r="J34" s="23"/>
      <c r="K34" s="21"/>
      <c r="L34" s="21"/>
      <c r="M34" s="22"/>
    </row>
    <row r="35" spans="1:13" s="1" customFormat="1" ht="14.1" customHeight="1">
      <c r="A35" s="38">
        <v>17</v>
      </c>
      <c r="B35" s="51" t="s">
        <v>878</v>
      </c>
      <c r="C35" s="52"/>
      <c r="D35" s="53"/>
      <c r="E35" s="54"/>
      <c r="F35" s="54"/>
      <c r="G35" s="55"/>
      <c r="H35" s="24">
        <f>SUM(I35)-1.6</f>
        <v>24.299999999999997</v>
      </c>
      <c r="I35" s="24">
        <f>SUM(J35)-1.6</f>
        <v>25.9</v>
      </c>
      <c r="J35" s="23">
        <v>27.5</v>
      </c>
      <c r="K35" s="21">
        <f>SUM(J35)+1.6</f>
        <v>29.1</v>
      </c>
      <c r="L35" s="21">
        <f>SUM(K35)+1.6</f>
        <v>30.700000000000003</v>
      </c>
      <c r="M35" s="22">
        <f>SUM(L35)+1.6</f>
        <v>32.300000000000004</v>
      </c>
    </row>
    <row r="36" spans="1:13" s="1" customFormat="1" ht="14.1" customHeight="1">
      <c r="A36" s="38"/>
      <c r="B36" s="45" t="s">
        <v>879</v>
      </c>
      <c r="C36" s="46"/>
      <c r="D36" s="47"/>
      <c r="E36" s="48"/>
      <c r="F36" s="48"/>
      <c r="G36" s="49"/>
      <c r="H36" s="36"/>
      <c r="I36" s="36"/>
      <c r="J36" s="23"/>
      <c r="K36" s="21"/>
      <c r="L36" s="21"/>
      <c r="M36" s="22"/>
    </row>
    <row r="37" spans="1:13" s="1" customFormat="1" ht="14.1" customHeight="1">
      <c r="A37" s="38">
        <v>18</v>
      </c>
      <c r="B37" s="51" t="s">
        <v>176</v>
      </c>
      <c r="C37" s="52"/>
      <c r="D37" s="53"/>
      <c r="E37" s="54"/>
      <c r="F37" s="54"/>
      <c r="G37" s="55"/>
      <c r="H37" s="24">
        <f>SUM(I37)-0.1</f>
        <v>1.7999999999999998</v>
      </c>
      <c r="I37" s="24">
        <f>SUM(J37)-0.1</f>
        <v>1.9</v>
      </c>
      <c r="J37" s="23">
        <v>2</v>
      </c>
      <c r="K37" s="21">
        <f>SUM(J37)+0.1</f>
        <v>2.1</v>
      </c>
      <c r="L37" s="21">
        <f>SUM(K37)+0.1</f>
        <v>2.2000000000000002</v>
      </c>
      <c r="M37" s="22">
        <f>SUM(L37)+0.1</f>
        <v>2.3000000000000003</v>
      </c>
    </row>
    <row r="38" spans="1:13" s="1" customFormat="1" ht="14.1" customHeight="1">
      <c r="A38" s="38"/>
      <c r="B38" s="45" t="s">
        <v>175</v>
      </c>
      <c r="C38" s="46"/>
      <c r="D38" s="47"/>
      <c r="E38" s="48"/>
      <c r="F38" s="48"/>
      <c r="G38" s="49"/>
      <c r="H38" s="36"/>
      <c r="I38" s="36"/>
      <c r="J38" s="23"/>
      <c r="K38" s="21"/>
      <c r="L38" s="21"/>
      <c r="M38" s="22"/>
    </row>
    <row r="39" spans="1:13" s="1" customFormat="1" ht="14.1" customHeight="1">
      <c r="A39" s="38">
        <v>19</v>
      </c>
      <c r="B39" s="51"/>
      <c r="C39" s="52"/>
      <c r="D39" s="53"/>
      <c r="E39" s="54"/>
      <c r="F39" s="54"/>
      <c r="G39" s="55"/>
      <c r="H39" s="24"/>
      <c r="I39" s="24"/>
      <c r="J39" s="23"/>
      <c r="K39" s="21"/>
      <c r="L39" s="21"/>
      <c r="M39" s="22"/>
    </row>
    <row r="40" spans="1:13" s="1" customFormat="1" ht="14.1" customHeight="1">
      <c r="A40" s="38"/>
      <c r="B40" s="45"/>
      <c r="C40" s="46"/>
      <c r="D40" s="47"/>
      <c r="E40" s="48"/>
      <c r="F40" s="48"/>
      <c r="G40" s="49"/>
      <c r="H40" s="36"/>
      <c r="I40" s="36"/>
      <c r="J40" s="23"/>
      <c r="K40" s="21"/>
      <c r="L40" s="21"/>
      <c r="M40" s="22"/>
    </row>
    <row r="41" spans="1:13" s="1" customFormat="1" ht="14.1" customHeight="1">
      <c r="A41" s="38">
        <v>20</v>
      </c>
      <c r="B41" s="164"/>
      <c r="C41" s="165"/>
      <c r="D41" s="42"/>
      <c r="E41" s="43"/>
      <c r="F41" s="43"/>
      <c r="G41" s="44"/>
      <c r="H41" s="50"/>
      <c r="I41" s="50"/>
      <c r="J41" s="35"/>
      <c r="K41" s="36"/>
      <c r="L41" s="36"/>
      <c r="M41" s="37"/>
    </row>
    <row r="42" spans="1:13" s="1" customFormat="1" ht="14.1" customHeight="1" thickBot="1">
      <c r="A42" s="39"/>
      <c r="B42" s="28"/>
      <c r="C42" s="29"/>
      <c r="D42" s="30"/>
      <c r="E42" s="31"/>
      <c r="F42" s="31"/>
      <c r="G42" s="32"/>
      <c r="H42" s="25"/>
      <c r="I42" s="25"/>
      <c r="J42" s="218"/>
      <c r="K42" s="216"/>
      <c r="L42" s="216"/>
      <c r="M42" s="220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223">
    <mergeCell ref="A39:A40"/>
    <mergeCell ref="B39:C39"/>
    <mergeCell ref="D39:G39"/>
    <mergeCell ref="H39:H40"/>
    <mergeCell ref="I39:I40"/>
    <mergeCell ref="J39:J40"/>
    <mergeCell ref="K35:K36"/>
    <mergeCell ref="L35:L36"/>
    <mergeCell ref="M35:M36"/>
    <mergeCell ref="B36:C36"/>
    <mergeCell ref="D36:G36"/>
    <mergeCell ref="J35:J36"/>
    <mergeCell ref="K39:K40"/>
    <mergeCell ref="L39:L40"/>
    <mergeCell ref="M39:M40"/>
    <mergeCell ref="B40:C40"/>
    <mergeCell ref="D40:G40"/>
    <mergeCell ref="A37:A38"/>
    <mergeCell ref="B37:C37"/>
    <mergeCell ref="D37:G37"/>
    <mergeCell ref="H37:H38"/>
    <mergeCell ref="I37:I38"/>
    <mergeCell ref="A35:A36"/>
    <mergeCell ref="B35:C35"/>
    <mergeCell ref="J29:J30"/>
    <mergeCell ref="K29:K30"/>
    <mergeCell ref="L29:L30"/>
    <mergeCell ref="M29:M30"/>
    <mergeCell ref="B30:C30"/>
    <mergeCell ref="D30:G30"/>
    <mergeCell ref="K31:K32"/>
    <mergeCell ref="L31:L32"/>
    <mergeCell ref="M31:M32"/>
    <mergeCell ref="J31:J32"/>
    <mergeCell ref="K41:K42"/>
    <mergeCell ref="L41:L42"/>
    <mergeCell ref="M41:M42"/>
    <mergeCell ref="B42:C42"/>
    <mergeCell ref="D42:G42"/>
    <mergeCell ref="J41:J42"/>
    <mergeCell ref="J33:J34"/>
    <mergeCell ref="K33:K34"/>
    <mergeCell ref="L33:L34"/>
    <mergeCell ref="M33:M34"/>
    <mergeCell ref="J37:J38"/>
    <mergeCell ref="K37:K38"/>
    <mergeCell ref="L37:L38"/>
    <mergeCell ref="M37:M38"/>
    <mergeCell ref="D35:G35"/>
    <mergeCell ref="H35:H36"/>
    <mergeCell ref="I35:I36"/>
    <mergeCell ref="B38:C38"/>
    <mergeCell ref="D38:G38"/>
    <mergeCell ref="A29:A30"/>
    <mergeCell ref="B29:C29"/>
    <mergeCell ref="D29:G29"/>
    <mergeCell ref="H29:H30"/>
    <mergeCell ref="I29:I30"/>
    <mergeCell ref="A41:A42"/>
    <mergeCell ref="B41:C41"/>
    <mergeCell ref="D41:G41"/>
    <mergeCell ref="H41:H42"/>
    <mergeCell ref="I41:I42"/>
    <mergeCell ref="B34:C34"/>
    <mergeCell ref="D34:G34"/>
    <mergeCell ref="B32:C32"/>
    <mergeCell ref="D32:G32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07F0A-244B-4513-98CE-AD122EE4E46F}">
  <sheetPr>
    <tabColor rgb="FF00B050"/>
    <pageSetUpPr fitToPage="1"/>
  </sheetPr>
  <dimension ref="A1:M57"/>
  <sheetViews>
    <sheetView zoomScale="110" zoomScaleNormal="110" workbookViewId="0">
      <selection activeCell="P15" sqref="P15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827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24">
        <f>SUM(I3)-5</f>
        <v>61</v>
      </c>
      <c r="I3" s="24">
        <f>SUM(J3)-5</f>
        <v>66</v>
      </c>
      <c r="J3" s="75">
        <v>71</v>
      </c>
      <c r="K3" s="76">
        <f>SUM(J3)+5</f>
        <v>76</v>
      </c>
      <c r="L3" s="76">
        <f>SUM(K3)+5</f>
        <v>81</v>
      </c>
      <c r="M3" s="221">
        <f>SUM(L3)+5</f>
        <v>86</v>
      </c>
    </row>
    <row r="4" spans="1:13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24"/>
      <c r="L4" s="24"/>
      <c r="M4" s="222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SUM(I5)-1.8</f>
        <v>21.9</v>
      </c>
      <c r="I5" s="24">
        <f>SUM(J5)-1.8</f>
        <v>23.7</v>
      </c>
      <c r="J5" s="33">
        <v>25.5</v>
      </c>
      <c r="K5" s="24">
        <f>SUM(J5)+1.6</f>
        <v>27.1</v>
      </c>
      <c r="L5" s="24">
        <f>SUM(K5)+1.6</f>
        <v>28.700000000000003</v>
      </c>
      <c r="M5" s="222">
        <f>SUM(L5)+1.6</f>
        <v>30.300000000000004</v>
      </c>
    </row>
    <row r="6" spans="1:13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223"/>
    </row>
    <row r="7" spans="1:13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29</v>
      </c>
      <c r="I7" s="24">
        <f>SUM(J7)-2.25</f>
        <v>31.25</v>
      </c>
      <c r="J7" s="33">
        <v>33.5</v>
      </c>
      <c r="K7" s="24">
        <f>SUM(J7)+2</f>
        <v>35.5</v>
      </c>
      <c r="L7" s="24">
        <f>SUM(K7)+2</f>
        <v>37.5</v>
      </c>
      <c r="M7" s="222">
        <f>SUM(L7)+2</f>
        <v>39.5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223"/>
    </row>
    <row r="9" spans="1:13" s="1" customFormat="1" ht="14.1" customHeight="1">
      <c r="A9" s="38">
        <v>4</v>
      </c>
      <c r="B9" s="58" t="s">
        <v>383</v>
      </c>
      <c r="C9" s="58"/>
      <c r="D9" s="57" t="s">
        <v>8</v>
      </c>
      <c r="E9" s="57"/>
      <c r="F9" s="57"/>
      <c r="G9" s="57"/>
      <c r="H9" s="24">
        <f>SUM(I9)-2.25</f>
        <v>29</v>
      </c>
      <c r="I9" s="24">
        <f>SUM(J9)-2.25</f>
        <v>31.25</v>
      </c>
      <c r="J9" s="33">
        <v>33.5</v>
      </c>
      <c r="K9" s="24">
        <f>SUM(J9)+2</f>
        <v>35.5</v>
      </c>
      <c r="L9" s="24">
        <f>SUM(K9)+2</f>
        <v>37.5</v>
      </c>
      <c r="M9" s="222">
        <f>SUM(L9)+2</f>
        <v>39.5</v>
      </c>
    </row>
    <row r="10" spans="1:13" s="1" customFormat="1" ht="14.1" customHeight="1">
      <c r="A10" s="38"/>
      <c r="B10" s="56" t="s">
        <v>384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223"/>
    </row>
    <row r="11" spans="1:13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SUM(I11)-0.8</f>
        <v>12.899999999999999</v>
      </c>
      <c r="I11" s="24">
        <f>SUM(J11)-0.8</f>
        <v>13.7</v>
      </c>
      <c r="J11" s="23">
        <v>14.5</v>
      </c>
      <c r="K11" s="21">
        <f>SUM(J11)+0.8</f>
        <v>15.3</v>
      </c>
      <c r="L11" s="21">
        <f>SUM(K11)+0.9</f>
        <v>16.2</v>
      </c>
      <c r="M11" s="224">
        <f>SUM(L11)+0.9</f>
        <v>17.099999999999998</v>
      </c>
    </row>
    <row r="12" spans="1:13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24"/>
    </row>
    <row r="13" spans="1:13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12.200000000000001</v>
      </c>
      <c r="I13" s="24">
        <f>SUM(J13)-0.6</f>
        <v>12.8</v>
      </c>
      <c r="J13" s="23">
        <v>13.4</v>
      </c>
      <c r="K13" s="21">
        <f>SUM(J13)+0.6</f>
        <v>14</v>
      </c>
      <c r="L13" s="21">
        <f>SUM(K13)+0.6</f>
        <v>14.6</v>
      </c>
      <c r="M13" s="224">
        <f>SUM(L13)+0.6</f>
        <v>15.2</v>
      </c>
    </row>
    <row r="14" spans="1:13" s="1" customFormat="1" ht="14.1" customHeight="1">
      <c r="A14" s="38"/>
      <c r="B14" s="56" t="s">
        <v>29</v>
      </c>
      <c r="C14" s="56"/>
      <c r="D14" s="47" t="s">
        <v>255</v>
      </c>
      <c r="E14" s="48"/>
      <c r="F14" s="48"/>
      <c r="G14" s="49"/>
      <c r="H14" s="36"/>
      <c r="I14" s="36"/>
      <c r="J14" s="23"/>
      <c r="K14" s="21"/>
      <c r="L14" s="21"/>
      <c r="M14" s="224"/>
    </row>
    <row r="15" spans="1:13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5.2</v>
      </c>
      <c r="I15" s="24">
        <f>SUM(J15)-0.3</f>
        <v>5.5</v>
      </c>
      <c r="J15" s="23">
        <v>5.8</v>
      </c>
      <c r="K15" s="21">
        <f>SUM(J15)+0.3</f>
        <v>6.1</v>
      </c>
      <c r="L15" s="21">
        <f>SUM(K15)+0.3</f>
        <v>6.3999999999999995</v>
      </c>
      <c r="M15" s="224">
        <f>SUM(L15)+0.3</f>
        <v>6.6999999999999993</v>
      </c>
    </row>
    <row r="16" spans="1:13" s="1" customFormat="1" ht="14.1" customHeight="1">
      <c r="A16" s="38"/>
      <c r="B16" s="56" t="s">
        <v>30</v>
      </c>
      <c r="C16" s="56"/>
      <c r="D16" s="47" t="s">
        <v>379</v>
      </c>
      <c r="E16" s="48"/>
      <c r="F16" s="48"/>
      <c r="G16" s="49"/>
      <c r="H16" s="36"/>
      <c r="I16" s="36"/>
      <c r="J16" s="23"/>
      <c r="K16" s="21"/>
      <c r="L16" s="21"/>
      <c r="M16" s="224"/>
    </row>
    <row r="17" spans="1:13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31.5</v>
      </c>
      <c r="I17" s="24">
        <f>SUM(J17)-1.6</f>
        <v>33.1</v>
      </c>
      <c r="J17" s="23">
        <v>34.700000000000003</v>
      </c>
      <c r="K17" s="21">
        <f>SUM(J17)+1.6</f>
        <v>36.300000000000004</v>
      </c>
      <c r="L17" s="21">
        <f>SUM(K17)+1.6</f>
        <v>37.900000000000006</v>
      </c>
      <c r="M17" s="224">
        <f>SUM(L17)+1.6</f>
        <v>39.500000000000007</v>
      </c>
    </row>
    <row r="18" spans="1:13" s="1" customFormat="1" ht="14.1" customHeight="1">
      <c r="A18" s="38"/>
      <c r="B18" s="56" t="s">
        <v>37</v>
      </c>
      <c r="C18" s="56"/>
      <c r="D18" s="47" t="s">
        <v>107</v>
      </c>
      <c r="E18" s="48"/>
      <c r="F18" s="48"/>
      <c r="G18" s="49"/>
      <c r="H18" s="36"/>
      <c r="I18" s="36"/>
      <c r="J18" s="23"/>
      <c r="K18" s="21"/>
      <c r="L18" s="21"/>
      <c r="M18" s="224"/>
    </row>
    <row r="19" spans="1:13" s="1" customFormat="1" ht="14.1" customHeight="1">
      <c r="A19" s="38">
        <v>9</v>
      </c>
      <c r="B19" s="58" t="s">
        <v>4</v>
      </c>
      <c r="C19" s="58"/>
      <c r="D19" s="57" t="s">
        <v>5</v>
      </c>
      <c r="E19" s="57"/>
      <c r="F19" s="57"/>
      <c r="G19" s="57"/>
      <c r="H19" s="24">
        <f>SUM(I19)-3.6</f>
        <v>33.299999999999997</v>
      </c>
      <c r="I19" s="24">
        <f>SUM(J19)-3.6</f>
        <v>36.9</v>
      </c>
      <c r="J19" s="23">
        <v>40.5</v>
      </c>
      <c r="K19" s="21">
        <f>SUM(J19)+3.7</f>
        <v>44.2</v>
      </c>
      <c r="L19" s="21">
        <f>SUM(K19)+3.7</f>
        <v>47.900000000000006</v>
      </c>
      <c r="M19" s="224">
        <f>SUM(L19)+3.7</f>
        <v>51.600000000000009</v>
      </c>
    </row>
    <row r="20" spans="1:13" s="1" customFormat="1" ht="14.1" customHeight="1">
      <c r="A20" s="38"/>
      <c r="B20" s="56" t="s">
        <v>31</v>
      </c>
      <c r="C20" s="56"/>
      <c r="D20" s="47" t="s">
        <v>54</v>
      </c>
      <c r="E20" s="48"/>
      <c r="F20" s="48"/>
      <c r="G20" s="49"/>
      <c r="H20" s="36"/>
      <c r="I20" s="36"/>
      <c r="J20" s="23"/>
      <c r="K20" s="21"/>
      <c r="L20" s="21"/>
      <c r="M20" s="224"/>
    </row>
    <row r="21" spans="1:13" s="1" customFormat="1" ht="14.1" customHeight="1">
      <c r="A21" s="38">
        <v>10</v>
      </c>
      <c r="B21" s="58" t="s">
        <v>6</v>
      </c>
      <c r="C21" s="58"/>
      <c r="D21" s="59" t="s">
        <v>7</v>
      </c>
      <c r="E21" s="60"/>
      <c r="F21" s="60"/>
      <c r="G21" s="61"/>
      <c r="H21" s="24">
        <f>SUM(I21)-1.3</f>
        <v>20.399999999999999</v>
      </c>
      <c r="I21" s="24">
        <f>SUM(J21)-1.3</f>
        <v>21.7</v>
      </c>
      <c r="J21" s="23">
        <v>23</v>
      </c>
      <c r="K21" s="21">
        <f>SUM(J21)+1.3</f>
        <v>24.3</v>
      </c>
      <c r="L21" s="21">
        <f>SUM(K21)+1.4</f>
        <v>25.7</v>
      </c>
      <c r="M21" s="224">
        <f>SUM(L21)+1.4</f>
        <v>27.099999999999998</v>
      </c>
    </row>
    <row r="22" spans="1:13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9"/>
      <c r="H22" s="36"/>
      <c r="I22" s="36"/>
      <c r="J22" s="23"/>
      <c r="K22" s="21"/>
      <c r="L22" s="21"/>
      <c r="M22" s="224"/>
    </row>
    <row r="23" spans="1:13" s="1" customFormat="1" ht="14.1" customHeight="1">
      <c r="A23" s="38">
        <v>11</v>
      </c>
      <c r="B23" s="51" t="s">
        <v>77</v>
      </c>
      <c r="C23" s="52"/>
      <c r="D23" s="57" t="s">
        <v>78</v>
      </c>
      <c r="E23" s="57"/>
      <c r="F23" s="57"/>
      <c r="G23" s="57"/>
      <c r="H23" s="24">
        <f>SUM(I23)-0.7</f>
        <v>14.600000000000001</v>
      </c>
      <c r="I23" s="24">
        <f>SUM(J23)-0.7</f>
        <v>15.3</v>
      </c>
      <c r="J23" s="23">
        <v>16</v>
      </c>
      <c r="K23" s="21">
        <f>SUM(J23)+0.7</f>
        <v>16.7</v>
      </c>
      <c r="L23" s="21">
        <f>SUM(K23)+0.7</f>
        <v>17.399999999999999</v>
      </c>
      <c r="M23" s="224">
        <f>SUM(L23)+0.7</f>
        <v>18.099999999999998</v>
      </c>
    </row>
    <row r="24" spans="1:13" s="1" customFormat="1" ht="14.1" customHeight="1">
      <c r="A24" s="38"/>
      <c r="B24" s="56" t="s">
        <v>33</v>
      </c>
      <c r="C24" s="56"/>
      <c r="D24" s="47" t="s">
        <v>79</v>
      </c>
      <c r="E24" s="48"/>
      <c r="F24" s="48"/>
      <c r="G24" s="49"/>
      <c r="H24" s="36"/>
      <c r="I24" s="36"/>
      <c r="J24" s="23"/>
      <c r="K24" s="21"/>
      <c r="L24" s="21"/>
      <c r="M24" s="224"/>
    </row>
    <row r="25" spans="1:13" s="1" customFormat="1" ht="14.1" customHeight="1">
      <c r="A25" s="38">
        <v>12</v>
      </c>
      <c r="B25" s="40" t="s">
        <v>707</v>
      </c>
      <c r="C25" s="41"/>
      <c r="D25" s="42"/>
      <c r="E25" s="43"/>
      <c r="F25" s="43"/>
      <c r="G25" s="44"/>
      <c r="H25" s="50">
        <f>SUM(I25)-3</f>
        <v>40</v>
      </c>
      <c r="I25" s="50">
        <f>SUM(J25)-3</f>
        <v>43</v>
      </c>
      <c r="J25" s="35">
        <v>46</v>
      </c>
      <c r="K25" s="36">
        <f>SUM(J25)+3</f>
        <v>49</v>
      </c>
      <c r="L25" s="36">
        <f>SUM(K25)+3</f>
        <v>52</v>
      </c>
      <c r="M25" s="223">
        <f>SUM(L25)+3</f>
        <v>55</v>
      </c>
    </row>
    <row r="26" spans="1:13" s="1" customFormat="1" ht="14.1" customHeight="1">
      <c r="A26" s="38"/>
      <c r="B26" s="45" t="s">
        <v>831</v>
      </c>
      <c r="C26" s="46"/>
      <c r="D26" s="47" t="s">
        <v>828</v>
      </c>
      <c r="E26" s="48"/>
      <c r="F26" s="48"/>
      <c r="G26" s="49"/>
      <c r="H26" s="36"/>
      <c r="I26" s="36"/>
      <c r="J26" s="23"/>
      <c r="K26" s="21"/>
      <c r="L26" s="21"/>
      <c r="M26" s="224"/>
    </row>
    <row r="27" spans="1:13" s="1" customFormat="1" ht="14.1" customHeight="1">
      <c r="A27" s="38">
        <v>13</v>
      </c>
      <c r="B27" s="40" t="s">
        <v>830</v>
      </c>
      <c r="C27" s="41"/>
      <c r="D27" s="42"/>
      <c r="E27" s="43"/>
      <c r="F27" s="43"/>
      <c r="G27" s="44"/>
      <c r="H27" s="50">
        <f>SUM(I27)-2.6</f>
        <v>32.799999999999997</v>
      </c>
      <c r="I27" s="50">
        <f>SUM(J27)-2.6</f>
        <v>35.4</v>
      </c>
      <c r="J27" s="35">
        <v>38</v>
      </c>
      <c r="K27" s="36">
        <f>SUM(J27)+2.6</f>
        <v>40.6</v>
      </c>
      <c r="L27" s="36">
        <f>SUM(K27)+2.6</f>
        <v>43.2</v>
      </c>
      <c r="M27" s="223">
        <f>SUM(L27)+2.6</f>
        <v>45.800000000000004</v>
      </c>
    </row>
    <row r="28" spans="1:13" s="1" customFormat="1" ht="14.1" customHeight="1">
      <c r="A28" s="38"/>
      <c r="B28" s="45" t="s">
        <v>832</v>
      </c>
      <c r="C28" s="46"/>
      <c r="D28" s="47" t="s">
        <v>829</v>
      </c>
      <c r="E28" s="48"/>
      <c r="F28" s="48"/>
      <c r="G28" s="49"/>
      <c r="H28" s="36"/>
      <c r="I28" s="36"/>
      <c r="J28" s="23"/>
      <c r="K28" s="21"/>
      <c r="L28" s="21"/>
      <c r="M28" s="224"/>
    </row>
    <row r="29" spans="1:13" s="1" customFormat="1" ht="14.1" customHeight="1">
      <c r="A29" s="38">
        <v>14</v>
      </c>
      <c r="B29" s="51" t="s">
        <v>540</v>
      </c>
      <c r="C29" s="52"/>
      <c r="D29" s="53"/>
      <c r="E29" s="54"/>
      <c r="F29" s="54"/>
      <c r="G29" s="55"/>
      <c r="H29" s="24">
        <f>SUM(I29)-0.4</f>
        <v>5.1999999999999993</v>
      </c>
      <c r="I29" s="24">
        <f>SUM(J29)-0.4</f>
        <v>5.6</v>
      </c>
      <c r="J29" s="23">
        <v>6</v>
      </c>
      <c r="K29" s="21">
        <f>SUM(J29)+0.4</f>
        <v>6.4</v>
      </c>
      <c r="L29" s="21">
        <f>SUM(K29)+0.4</f>
        <v>6.8000000000000007</v>
      </c>
      <c r="M29" s="224">
        <f>SUM(L29)+0.4</f>
        <v>7.2000000000000011</v>
      </c>
    </row>
    <row r="30" spans="1:13" s="1" customFormat="1" ht="14.1" customHeight="1">
      <c r="A30" s="38"/>
      <c r="B30" s="45" t="s">
        <v>833</v>
      </c>
      <c r="C30" s="46"/>
      <c r="D30" s="47"/>
      <c r="E30" s="48"/>
      <c r="F30" s="48"/>
      <c r="G30" s="49"/>
      <c r="H30" s="36"/>
      <c r="I30" s="36"/>
      <c r="J30" s="23"/>
      <c r="K30" s="21"/>
      <c r="L30" s="21"/>
      <c r="M30" s="224"/>
    </row>
    <row r="31" spans="1:13" s="1" customFormat="1" ht="14.1" customHeight="1">
      <c r="A31" s="38">
        <v>15</v>
      </c>
      <c r="B31" s="51" t="s">
        <v>556</v>
      </c>
      <c r="C31" s="52"/>
      <c r="D31" s="53"/>
      <c r="E31" s="54"/>
      <c r="F31" s="54"/>
      <c r="G31" s="55"/>
      <c r="H31" s="24">
        <f>SUM(I31)-2.4</f>
        <v>27.200000000000003</v>
      </c>
      <c r="I31" s="24">
        <f>SUM(J31)-2.4</f>
        <v>29.6</v>
      </c>
      <c r="J31" s="23">
        <v>32</v>
      </c>
      <c r="K31" s="21">
        <f>SUM(J31)+2.4</f>
        <v>34.4</v>
      </c>
      <c r="L31" s="21">
        <f>SUM(K31)+2.4</f>
        <v>36.799999999999997</v>
      </c>
      <c r="M31" s="224">
        <f>SUM(L31)+2.4</f>
        <v>39.199999999999996</v>
      </c>
    </row>
    <row r="32" spans="1:13" s="1" customFormat="1" ht="14.1" customHeight="1">
      <c r="A32" s="38"/>
      <c r="B32" s="45" t="s">
        <v>171</v>
      </c>
      <c r="C32" s="46"/>
      <c r="D32" s="47"/>
      <c r="E32" s="48"/>
      <c r="F32" s="48"/>
      <c r="G32" s="49"/>
      <c r="H32" s="36"/>
      <c r="I32" s="36"/>
      <c r="J32" s="23"/>
      <c r="K32" s="21"/>
      <c r="L32" s="21"/>
      <c r="M32" s="224"/>
    </row>
    <row r="33" spans="1:13" s="1" customFormat="1" ht="14.1" customHeight="1">
      <c r="A33" s="38">
        <v>16</v>
      </c>
      <c r="B33" s="164"/>
      <c r="C33" s="165"/>
      <c r="D33" s="42"/>
      <c r="E33" s="43"/>
      <c r="F33" s="43"/>
      <c r="G33" s="44"/>
      <c r="H33" s="50"/>
      <c r="I33" s="50"/>
      <c r="J33" s="35"/>
      <c r="K33" s="36"/>
      <c r="L33" s="36"/>
      <c r="M33" s="223"/>
    </row>
    <row r="34" spans="1:13" s="1" customFormat="1" ht="14.1" customHeight="1" thickBot="1">
      <c r="A34" s="39"/>
      <c r="B34" s="28"/>
      <c r="C34" s="29"/>
      <c r="D34" s="30"/>
      <c r="E34" s="31"/>
      <c r="F34" s="31"/>
      <c r="G34" s="32"/>
      <c r="H34" s="25"/>
      <c r="I34" s="25"/>
      <c r="J34" s="218"/>
      <c r="K34" s="216"/>
      <c r="L34" s="216"/>
      <c r="M34" s="225"/>
    </row>
    <row r="35" spans="1:13" s="1" customFormat="1" ht="14.1" customHeight="1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 s="1" customFormat="1" ht="14.1" customHeight="1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 s="1" customFormat="1" ht="14.1" customHeight="1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 s="1" customFormat="1" ht="14.1" customHeight="1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179"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DEA21-A8EE-46BF-B4B7-B17F0C0B2F4E}">
  <sheetPr>
    <tabColor rgb="FF00B050"/>
    <pageSetUpPr fitToPage="1"/>
  </sheetPr>
  <dimension ref="A1:M57"/>
  <sheetViews>
    <sheetView topLeftCell="A13" zoomScale="110" zoomScaleNormal="110" workbookViewId="0">
      <selection activeCell="P15" sqref="P15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128" t="s">
        <v>798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30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778</v>
      </c>
      <c r="M2" s="9" t="s">
        <v>779</v>
      </c>
    </row>
    <row r="3" spans="1:13" s="1" customFormat="1" ht="14.1" customHeight="1">
      <c r="A3" s="226">
        <v>1</v>
      </c>
      <c r="B3" s="80" t="s">
        <v>481</v>
      </c>
      <c r="C3" s="81"/>
      <c r="D3" s="74"/>
      <c r="E3" s="82"/>
      <c r="F3" s="82"/>
      <c r="G3" s="83"/>
      <c r="H3" s="85">
        <f>SUM(I3)-4</f>
        <v>41</v>
      </c>
      <c r="I3" s="85">
        <f>SUM(J3)-4</f>
        <v>45</v>
      </c>
      <c r="J3" s="84">
        <v>49</v>
      </c>
      <c r="K3" s="85">
        <f>SUM(J3)+4</f>
        <v>53</v>
      </c>
      <c r="L3" s="85">
        <f>SUM(K3)+4</f>
        <v>57</v>
      </c>
      <c r="M3" s="109">
        <f>SUM(L3)+4</f>
        <v>61</v>
      </c>
    </row>
    <row r="4" spans="1:13" s="1" customFormat="1" ht="14.1" customHeight="1">
      <c r="A4" s="38"/>
      <c r="B4" s="56" t="s">
        <v>780</v>
      </c>
      <c r="C4" s="56"/>
      <c r="D4" s="47" t="s">
        <v>781</v>
      </c>
      <c r="E4" s="48"/>
      <c r="F4" s="48"/>
      <c r="G4" s="48"/>
      <c r="H4" s="36"/>
      <c r="I4" s="36"/>
      <c r="J4" s="35"/>
      <c r="K4" s="36"/>
      <c r="L4" s="36"/>
      <c r="M4" s="37"/>
    </row>
    <row r="5" spans="1:13" s="1" customFormat="1" ht="14.1" customHeight="1">
      <c r="A5" s="71">
        <v>2</v>
      </c>
      <c r="B5" s="40" t="s">
        <v>483</v>
      </c>
      <c r="C5" s="41"/>
      <c r="D5" s="100"/>
      <c r="E5" s="101"/>
      <c r="F5" s="101"/>
      <c r="G5" s="102"/>
      <c r="H5" s="50">
        <f>SUM(I5)-4</f>
        <v>43.5</v>
      </c>
      <c r="I5" s="50">
        <f>SUM(J5)-4</f>
        <v>47.5</v>
      </c>
      <c r="J5" s="117">
        <v>51.5</v>
      </c>
      <c r="K5" s="50">
        <f>SUM(J5)+4</f>
        <v>55.5</v>
      </c>
      <c r="L5" s="50">
        <f>SUM(K5)+4</f>
        <v>59.5</v>
      </c>
      <c r="M5" s="113">
        <f>SUM(L5)+4</f>
        <v>63.5</v>
      </c>
    </row>
    <row r="6" spans="1:13" s="1" customFormat="1" ht="14.1" customHeight="1">
      <c r="A6" s="38"/>
      <c r="B6" s="56" t="s">
        <v>782</v>
      </c>
      <c r="C6" s="56"/>
      <c r="D6" s="47" t="s">
        <v>783</v>
      </c>
      <c r="E6" s="48"/>
      <c r="F6" s="48"/>
      <c r="G6" s="48"/>
      <c r="H6" s="36"/>
      <c r="I6" s="36"/>
      <c r="J6" s="35"/>
      <c r="K6" s="36"/>
      <c r="L6" s="36"/>
      <c r="M6" s="37"/>
    </row>
    <row r="7" spans="1:13" s="1" customFormat="1" ht="14.1" customHeight="1">
      <c r="A7" s="71">
        <v>3</v>
      </c>
      <c r="B7" s="58" t="s">
        <v>784</v>
      </c>
      <c r="C7" s="58"/>
      <c r="D7" s="57"/>
      <c r="E7" s="57"/>
      <c r="F7" s="57"/>
      <c r="G7" s="57"/>
      <c r="H7" s="24">
        <f>SUM(I7)-2</f>
        <v>22</v>
      </c>
      <c r="I7" s="24">
        <f>SUM(J7)-2</f>
        <v>24</v>
      </c>
      <c r="J7" s="33">
        <v>26</v>
      </c>
      <c r="K7" s="24">
        <f>SUM(J7)+2</f>
        <v>28</v>
      </c>
      <c r="L7" s="24">
        <f>SUM(K7)+2</f>
        <v>30</v>
      </c>
      <c r="M7" s="26">
        <f>SUM(L7)+2</f>
        <v>32</v>
      </c>
    </row>
    <row r="8" spans="1:13" s="1" customFormat="1" ht="14.1" customHeight="1">
      <c r="A8" s="38"/>
      <c r="B8" s="56" t="s">
        <v>785</v>
      </c>
      <c r="C8" s="56"/>
      <c r="D8" s="47" t="s">
        <v>799</v>
      </c>
      <c r="E8" s="48"/>
      <c r="F8" s="48"/>
      <c r="G8" s="49"/>
      <c r="H8" s="36"/>
      <c r="I8" s="36"/>
      <c r="J8" s="35"/>
      <c r="K8" s="36"/>
      <c r="L8" s="36"/>
      <c r="M8" s="37"/>
    </row>
    <row r="9" spans="1:13" s="1" customFormat="1" ht="14.1" customHeight="1">
      <c r="A9" s="71">
        <v>4</v>
      </c>
      <c r="B9" s="58" t="s">
        <v>786</v>
      </c>
      <c r="C9" s="58"/>
      <c r="D9" s="57"/>
      <c r="E9" s="57"/>
      <c r="F9" s="57"/>
      <c r="G9" s="57"/>
      <c r="H9" s="24">
        <f>SUM(I9)-2</f>
        <v>16</v>
      </c>
      <c r="I9" s="24">
        <f>SUM(J9)-2</f>
        <v>18</v>
      </c>
      <c r="J9" s="33">
        <v>20</v>
      </c>
      <c r="K9" s="24">
        <f>SUM(J9)+2</f>
        <v>22</v>
      </c>
      <c r="L9" s="24">
        <f>SUM(K9)+2</f>
        <v>24</v>
      </c>
      <c r="M9" s="26">
        <f>SUM(L9)+2</f>
        <v>26</v>
      </c>
    </row>
    <row r="10" spans="1:13" s="1" customFormat="1" ht="14.1" customHeight="1">
      <c r="A10" s="38"/>
      <c r="B10" s="56" t="s">
        <v>787</v>
      </c>
      <c r="C10" s="56"/>
      <c r="D10" s="47" t="s">
        <v>800</v>
      </c>
      <c r="E10" s="48"/>
      <c r="F10" s="48"/>
      <c r="G10" s="49"/>
      <c r="H10" s="36"/>
      <c r="I10" s="36"/>
      <c r="J10" s="35"/>
      <c r="K10" s="36"/>
      <c r="L10" s="36"/>
      <c r="M10" s="37"/>
    </row>
    <row r="11" spans="1:13" s="1" customFormat="1" ht="14.1" customHeight="1">
      <c r="A11" s="71">
        <v>5</v>
      </c>
      <c r="B11" s="58" t="s">
        <v>788</v>
      </c>
      <c r="C11" s="58"/>
      <c r="D11" s="57"/>
      <c r="E11" s="57"/>
      <c r="F11" s="57"/>
      <c r="G11" s="57"/>
      <c r="H11" s="24">
        <f>SUM(I11)-1.5</f>
        <v>13</v>
      </c>
      <c r="I11" s="24">
        <f>SUM(J11)-1.5</f>
        <v>14.5</v>
      </c>
      <c r="J11" s="33">
        <v>16</v>
      </c>
      <c r="K11" s="24">
        <f>SUM(J11)+1.5</f>
        <v>17.5</v>
      </c>
      <c r="L11" s="24">
        <f>SUM(K11)+1.5</f>
        <v>19</v>
      </c>
      <c r="M11" s="26">
        <f>SUM(L11)+1.5</f>
        <v>20.5</v>
      </c>
    </row>
    <row r="12" spans="1:13" s="1" customFormat="1" ht="14.1" customHeight="1">
      <c r="A12" s="38"/>
      <c r="B12" s="56" t="s">
        <v>789</v>
      </c>
      <c r="C12" s="56"/>
      <c r="D12" s="47" t="s">
        <v>168</v>
      </c>
      <c r="E12" s="48"/>
      <c r="F12" s="48"/>
      <c r="G12" s="49"/>
      <c r="H12" s="36"/>
      <c r="I12" s="36"/>
      <c r="J12" s="35"/>
      <c r="K12" s="36"/>
      <c r="L12" s="36"/>
      <c r="M12" s="37"/>
    </row>
    <row r="13" spans="1:13" s="1" customFormat="1" ht="14.1" customHeight="1">
      <c r="A13" s="71">
        <v>6</v>
      </c>
      <c r="B13" s="58" t="s">
        <v>790</v>
      </c>
      <c r="C13" s="58"/>
      <c r="D13" s="57"/>
      <c r="E13" s="57"/>
      <c r="F13" s="57"/>
      <c r="G13" s="57"/>
      <c r="H13" s="24">
        <f>SUM(I13)-1.5</f>
        <v>15.5</v>
      </c>
      <c r="I13" s="24">
        <f>SUM(J13)-1.5</f>
        <v>17</v>
      </c>
      <c r="J13" s="33">
        <v>18.5</v>
      </c>
      <c r="K13" s="24">
        <f>SUM(J13)+1.5</f>
        <v>20</v>
      </c>
      <c r="L13" s="24">
        <f>SUM(K13)+1.5</f>
        <v>21.5</v>
      </c>
      <c r="M13" s="26">
        <f>SUM(L13)+1.5</f>
        <v>23</v>
      </c>
    </row>
    <row r="14" spans="1:13" s="1" customFormat="1" ht="14.1" customHeight="1">
      <c r="A14" s="38"/>
      <c r="B14" s="56" t="s">
        <v>791</v>
      </c>
      <c r="C14" s="56"/>
      <c r="D14" s="47" t="s">
        <v>168</v>
      </c>
      <c r="E14" s="48"/>
      <c r="F14" s="48"/>
      <c r="G14" s="49"/>
      <c r="H14" s="36"/>
      <c r="I14" s="36"/>
      <c r="J14" s="35"/>
      <c r="K14" s="36"/>
      <c r="L14" s="36"/>
      <c r="M14" s="37"/>
    </row>
    <row r="15" spans="1:13" s="1" customFormat="1" ht="14.1" customHeight="1">
      <c r="A15" s="71">
        <v>7</v>
      </c>
      <c r="B15" s="58" t="s">
        <v>792</v>
      </c>
      <c r="C15" s="58"/>
      <c r="D15" s="57"/>
      <c r="E15" s="57"/>
      <c r="F15" s="57"/>
      <c r="G15" s="57"/>
      <c r="H15" s="24">
        <f>SUM(I15)-1</f>
        <v>14</v>
      </c>
      <c r="I15" s="24">
        <f>SUM(J15)-1</f>
        <v>15</v>
      </c>
      <c r="J15" s="33">
        <v>16</v>
      </c>
      <c r="K15" s="24">
        <f>SUM(J15)+1</f>
        <v>17</v>
      </c>
      <c r="L15" s="24">
        <f>SUM(K15)+1</f>
        <v>18</v>
      </c>
      <c r="M15" s="26">
        <f>SUM(L15)+1</f>
        <v>19</v>
      </c>
    </row>
    <row r="16" spans="1:13" s="1" customFormat="1" ht="14.1" customHeight="1">
      <c r="A16" s="38"/>
      <c r="B16" s="56" t="s">
        <v>793</v>
      </c>
      <c r="C16" s="56"/>
      <c r="D16" s="47" t="s">
        <v>794</v>
      </c>
      <c r="E16" s="48"/>
      <c r="F16" s="48"/>
      <c r="G16" s="49"/>
      <c r="H16" s="36"/>
      <c r="I16" s="36"/>
      <c r="J16" s="35"/>
      <c r="K16" s="36"/>
      <c r="L16" s="36"/>
      <c r="M16" s="37"/>
    </row>
    <row r="17" spans="1:13" s="1" customFormat="1" ht="14.1" customHeight="1">
      <c r="A17" s="71">
        <v>8</v>
      </c>
      <c r="B17" s="58" t="s">
        <v>795</v>
      </c>
      <c r="C17" s="58"/>
      <c r="D17" s="57"/>
      <c r="E17" s="57"/>
      <c r="F17" s="57"/>
      <c r="G17" s="57"/>
      <c r="H17" s="24">
        <f>SUM(I17)-0.6</f>
        <v>7.8000000000000007</v>
      </c>
      <c r="I17" s="24">
        <f>SUM(J17)-0.6</f>
        <v>8.4</v>
      </c>
      <c r="J17" s="33">
        <v>9</v>
      </c>
      <c r="K17" s="24">
        <f>SUM(J17)+0.6</f>
        <v>9.6</v>
      </c>
      <c r="L17" s="24">
        <f>SUM(K17)+0.6</f>
        <v>10.199999999999999</v>
      </c>
      <c r="M17" s="26">
        <f>SUM(L17)+0.6</f>
        <v>10.799999999999999</v>
      </c>
    </row>
    <row r="18" spans="1:13" s="1" customFormat="1" ht="14.1" customHeight="1">
      <c r="A18" s="38"/>
      <c r="B18" s="56" t="s">
        <v>796</v>
      </c>
      <c r="C18" s="56"/>
      <c r="D18" s="47" t="s">
        <v>794</v>
      </c>
      <c r="E18" s="48"/>
      <c r="F18" s="48"/>
      <c r="G18" s="49"/>
      <c r="H18" s="36"/>
      <c r="I18" s="36"/>
      <c r="J18" s="35"/>
      <c r="K18" s="36"/>
      <c r="L18" s="36"/>
      <c r="M18" s="37"/>
    </row>
    <row r="19" spans="1:13" s="1" customFormat="1" ht="14.1" customHeight="1">
      <c r="A19" s="71">
        <v>9</v>
      </c>
      <c r="B19" s="58" t="s">
        <v>801</v>
      </c>
      <c r="C19" s="58"/>
      <c r="D19" s="57"/>
      <c r="E19" s="57"/>
      <c r="F19" s="57"/>
      <c r="G19" s="57"/>
      <c r="H19" s="24">
        <f>SUM(I19)-0.8</f>
        <v>8.8999999999999986</v>
      </c>
      <c r="I19" s="24">
        <f>SUM(J19)-0.8</f>
        <v>9.6999999999999993</v>
      </c>
      <c r="J19" s="33">
        <v>10.5</v>
      </c>
      <c r="K19" s="24">
        <f>SUM(J19)+0.6</f>
        <v>11.1</v>
      </c>
      <c r="L19" s="24">
        <f>SUM(K19)+0.6</f>
        <v>11.7</v>
      </c>
      <c r="M19" s="26">
        <f>SUM(L19)+0.6</f>
        <v>12.299999999999999</v>
      </c>
    </row>
    <row r="20" spans="1:13" s="1" customFormat="1" ht="14.1" customHeight="1">
      <c r="A20" s="38"/>
      <c r="B20" s="56" t="s">
        <v>425</v>
      </c>
      <c r="C20" s="56"/>
      <c r="D20" s="47" t="s">
        <v>804</v>
      </c>
      <c r="E20" s="48"/>
      <c r="F20" s="48"/>
      <c r="G20" s="49"/>
      <c r="H20" s="36"/>
      <c r="I20" s="36"/>
      <c r="J20" s="35"/>
      <c r="K20" s="36"/>
      <c r="L20" s="36"/>
      <c r="M20" s="37"/>
    </row>
    <row r="21" spans="1:13" s="1" customFormat="1" ht="14.1" customHeight="1">
      <c r="A21" s="71">
        <v>10</v>
      </c>
      <c r="B21" s="58" t="s">
        <v>802</v>
      </c>
      <c r="C21" s="58"/>
      <c r="D21" s="57"/>
      <c r="E21" s="57"/>
      <c r="F21" s="57"/>
      <c r="G21" s="57"/>
      <c r="H21" s="24">
        <f>SUM(I21)-0.8</f>
        <v>8.8999999999999986</v>
      </c>
      <c r="I21" s="24">
        <f>SUM(J21)-0.8</f>
        <v>9.6999999999999993</v>
      </c>
      <c r="J21" s="33">
        <v>10.5</v>
      </c>
      <c r="K21" s="24">
        <f>SUM(J21)+0.6</f>
        <v>11.1</v>
      </c>
      <c r="L21" s="24">
        <f>SUM(K21)+0.6</f>
        <v>11.7</v>
      </c>
      <c r="M21" s="26">
        <f>SUM(L21)+0.6</f>
        <v>12.299999999999999</v>
      </c>
    </row>
    <row r="22" spans="1:13" s="1" customFormat="1" ht="14.1" customHeight="1">
      <c r="A22" s="38"/>
      <c r="B22" s="56" t="s">
        <v>803</v>
      </c>
      <c r="C22" s="56"/>
      <c r="D22" s="47" t="s">
        <v>804</v>
      </c>
      <c r="E22" s="48"/>
      <c r="F22" s="48"/>
      <c r="G22" s="49"/>
      <c r="H22" s="36"/>
      <c r="I22" s="36"/>
      <c r="J22" s="35"/>
      <c r="K22" s="36"/>
      <c r="L22" s="36"/>
      <c r="M22" s="37"/>
    </row>
    <row r="23" spans="1:13" s="1" customFormat="1" ht="14.1" customHeight="1">
      <c r="A23" s="71">
        <v>11</v>
      </c>
      <c r="B23" s="51" t="s">
        <v>157</v>
      </c>
      <c r="C23" s="52"/>
      <c r="D23" s="100"/>
      <c r="E23" s="101"/>
      <c r="F23" s="101"/>
      <c r="G23" s="102"/>
      <c r="H23" s="58">
        <f>SUM(I23)-4.5</f>
        <v>58</v>
      </c>
      <c r="I23" s="24">
        <f>SUM(J23)-4.5</f>
        <v>62.5</v>
      </c>
      <c r="J23" s="117">
        <v>67</v>
      </c>
      <c r="K23" s="50">
        <f>SUM(J23)+4.5</f>
        <v>71.5</v>
      </c>
      <c r="L23" s="50">
        <f>SUM(K23)+4.5</f>
        <v>76</v>
      </c>
      <c r="M23" s="113">
        <f>SUM(L23)+4.5</f>
        <v>80.5</v>
      </c>
    </row>
    <row r="24" spans="1:13" s="1" customFormat="1" ht="14.1" customHeight="1">
      <c r="A24" s="38"/>
      <c r="B24" s="62" t="s">
        <v>158</v>
      </c>
      <c r="C24" s="63"/>
      <c r="D24" s="64"/>
      <c r="E24" s="65"/>
      <c r="F24" s="65"/>
      <c r="G24" s="66"/>
      <c r="H24" s="56"/>
      <c r="I24" s="36"/>
      <c r="J24" s="35"/>
      <c r="K24" s="36"/>
      <c r="L24" s="36"/>
      <c r="M24" s="37"/>
    </row>
    <row r="25" spans="1:13" s="1" customFormat="1" ht="14.1" customHeight="1">
      <c r="A25" s="71">
        <v>12</v>
      </c>
      <c r="B25" s="51" t="s">
        <v>152</v>
      </c>
      <c r="C25" s="52"/>
      <c r="D25" s="57"/>
      <c r="E25" s="57"/>
      <c r="F25" s="57"/>
      <c r="G25" s="57"/>
      <c r="H25" s="58">
        <f>SUM(I25)-2.5</f>
        <v>28</v>
      </c>
      <c r="I25" s="24">
        <f>SUM(J25)-2.5</f>
        <v>30.5</v>
      </c>
      <c r="J25" s="117">
        <v>33</v>
      </c>
      <c r="K25" s="50">
        <f>SUM(J25)+2.5</f>
        <v>35.5</v>
      </c>
      <c r="L25" s="50">
        <f>SUM(K25)+2.5</f>
        <v>38</v>
      </c>
      <c r="M25" s="113">
        <f>SUM(L25)+2.5</f>
        <v>40.5</v>
      </c>
    </row>
    <row r="26" spans="1:13" s="1" customFormat="1" ht="14.1" customHeight="1">
      <c r="A26" s="38"/>
      <c r="B26" s="56" t="s">
        <v>805</v>
      </c>
      <c r="C26" s="56"/>
      <c r="D26" s="47" t="s">
        <v>797</v>
      </c>
      <c r="E26" s="48"/>
      <c r="F26" s="48"/>
      <c r="G26" s="49"/>
      <c r="H26" s="56"/>
      <c r="I26" s="36"/>
      <c r="J26" s="35"/>
      <c r="K26" s="36"/>
      <c r="L26" s="36"/>
      <c r="M26" s="37"/>
    </row>
    <row r="27" spans="1:13" s="1" customFormat="1" ht="14.1" customHeight="1">
      <c r="A27" s="71">
        <v>13</v>
      </c>
      <c r="B27" s="58" t="s">
        <v>47</v>
      </c>
      <c r="C27" s="58"/>
      <c r="D27" s="57" t="s">
        <v>8</v>
      </c>
      <c r="E27" s="57"/>
      <c r="F27" s="57"/>
      <c r="G27" s="57"/>
      <c r="H27" s="58">
        <f>SUM(I27)-3</f>
        <v>38</v>
      </c>
      <c r="I27" s="24">
        <f>SUM(J27)-3</f>
        <v>41</v>
      </c>
      <c r="J27" s="117">
        <v>44</v>
      </c>
      <c r="K27" s="50">
        <f>SUM(J27)+3</f>
        <v>47</v>
      </c>
      <c r="L27" s="50">
        <f>SUM(K27)+3</f>
        <v>50</v>
      </c>
      <c r="M27" s="113">
        <f>SUM(L27)+3</f>
        <v>53</v>
      </c>
    </row>
    <row r="28" spans="1:13" s="1" customFormat="1" ht="14.1" customHeight="1">
      <c r="A28" s="38"/>
      <c r="B28" s="56" t="s">
        <v>590</v>
      </c>
      <c r="C28" s="56"/>
      <c r="D28" s="47" t="s">
        <v>50</v>
      </c>
      <c r="E28" s="48"/>
      <c r="F28" s="48"/>
      <c r="G28" s="49"/>
      <c r="H28" s="56"/>
      <c r="I28" s="36"/>
      <c r="J28" s="35"/>
      <c r="K28" s="36"/>
      <c r="L28" s="36"/>
      <c r="M28" s="37"/>
    </row>
    <row r="29" spans="1:13" s="1" customFormat="1" ht="14.1" customHeight="1">
      <c r="A29" s="71">
        <v>14</v>
      </c>
      <c r="B29" s="51" t="s">
        <v>166</v>
      </c>
      <c r="C29" s="52"/>
      <c r="D29" s="59"/>
      <c r="E29" s="60"/>
      <c r="F29" s="60"/>
      <c r="G29" s="61"/>
      <c r="H29" s="58">
        <f>SUM(I29)-0.7</f>
        <v>9.6000000000000014</v>
      </c>
      <c r="I29" s="24">
        <f>SUM(J29)-0.7</f>
        <v>10.3</v>
      </c>
      <c r="J29" s="33">
        <v>11</v>
      </c>
      <c r="K29" s="24">
        <f>SUM(J29)+0.7</f>
        <v>11.7</v>
      </c>
      <c r="L29" s="24">
        <f>SUM(K29)+0.7</f>
        <v>12.399999999999999</v>
      </c>
      <c r="M29" s="111">
        <f>SUM(L29)+0.7</f>
        <v>13.099999999999998</v>
      </c>
    </row>
    <row r="30" spans="1:13" s="1" customFormat="1" ht="14.1" customHeight="1">
      <c r="A30" s="38"/>
      <c r="B30" s="62" t="s">
        <v>167</v>
      </c>
      <c r="C30" s="63"/>
      <c r="D30" s="89" t="s">
        <v>168</v>
      </c>
      <c r="E30" s="90"/>
      <c r="F30" s="90"/>
      <c r="G30" s="91"/>
      <c r="H30" s="56"/>
      <c r="I30" s="36"/>
      <c r="J30" s="35"/>
      <c r="K30" s="36"/>
      <c r="L30" s="36"/>
      <c r="M30" s="112"/>
    </row>
    <row r="31" spans="1:13" s="1" customFormat="1" ht="14.1" customHeight="1">
      <c r="A31" s="71">
        <v>15</v>
      </c>
      <c r="B31" s="51" t="s">
        <v>178</v>
      </c>
      <c r="C31" s="52"/>
      <c r="D31" s="59"/>
      <c r="E31" s="60"/>
      <c r="F31" s="60"/>
      <c r="G31" s="61"/>
      <c r="H31" s="24">
        <f>SUM(I31)-0</f>
        <v>2.8</v>
      </c>
      <c r="I31" s="24">
        <f>SUM(J31)-0</f>
        <v>2.8</v>
      </c>
      <c r="J31" s="33">
        <v>2.8</v>
      </c>
      <c r="K31" s="24">
        <f>SUM(J31)+0.5</f>
        <v>3.3</v>
      </c>
      <c r="L31" s="24">
        <f>SUM(K31)+0</f>
        <v>3.3</v>
      </c>
      <c r="M31" s="26">
        <f>SUM(L31)+0</f>
        <v>3.3</v>
      </c>
    </row>
    <row r="32" spans="1:13" s="1" customFormat="1" ht="14.1" customHeight="1">
      <c r="A32" s="38"/>
      <c r="B32" s="62" t="s">
        <v>177</v>
      </c>
      <c r="C32" s="63"/>
      <c r="D32" s="89"/>
      <c r="E32" s="90"/>
      <c r="F32" s="90"/>
      <c r="G32" s="91"/>
      <c r="H32" s="36"/>
      <c r="I32" s="36"/>
      <c r="J32" s="35"/>
      <c r="K32" s="36"/>
      <c r="L32" s="36"/>
      <c r="M32" s="37"/>
    </row>
    <row r="33" spans="1:13" s="1" customFormat="1" ht="14.1" customHeight="1">
      <c r="A33" s="71">
        <v>16</v>
      </c>
      <c r="B33" s="51" t="s">
        <v>144</v>
      </c>
      <c r="C33" s="52"/>
      <c r="D33" s="59" t="s">
        <v>24</v>
      </c>
      <c r="E33" s="60"/>
      <c r="F33" s="60"/>
      <c r="G33" s="61"/>
      <c r="H33" s="58">
        <f>SUM(I33)-0.2</f>
        <v>4.0999999999999996</v>
      </c>
      <c r="I33" s="24">
        <f>SUM(J33)-0.2</f>
        <v>4.3</v>
      </c>
      <c r="J33" s="33">
        <v>4.5</v>
      </c>
      <c r="K33" s="24">
        <f>SUM(J33)+0.2</f>
        <v>4.7</v>
      </c>
      <c r="L33" s="24">
        <f>SUM(K33)+0.2</f>
        <v>4.9000000000000004</v>
      </c>
      <c r="M33" s="111">
        <f>SUM(L33)+0.2</f>
        <v>5.1000000000000005</v>
      </c>
    </row>
    <row r="34" spans="1:13" s="1" customFormat="1" ht="14.1" customHeight="1">
      <c r="A34" s="38"/>
      <c r="B34" s="62" t="s">
        <v>59</v>
      </c>
      <c r="C34" s="63"/>
      <c r="D34" s="64" t="s">
        <v>143</v>
      </c>
      <c r="E34" s="65"/>
      <c r="F34" s="65"/>
      <c r="G34" s="66"/>
      <c r="H34" s="56"/>
      <c r="I34" s="36"/>
      <c r="J34" s="35"/>
      <c r="K34" s="36"/>
      <c r="L34" s="36"/>
      <c r="M34" s="112"/>
    </row>
    <row r="35" spans="1:13" s="1" customFormat="1" ht="14.1" customHeight="1">
      <c r="A35" s="71">
        <v>17</v>
      </c>
      <c r="B35" s="51" t="s">
        <v>142</v>
      </c>
      <c r="C35" s="52"/>
      <c r="D35" s="59" t="s">
        <v>25</v>
      </c>
      <c r="E35" s="60"/>
      <c r="F35" s="60"/>
      <c r="G35" s="61"/>
      <c r="H35" s="24">
        <f>SUM(I35)-0.6</f>
        <v>8.3000000000000007</v>
      </c>
      <c r="I35" s="24">
        <f>SUM(J35)-0.6</f>
        <v>8.9</v>
      </c>
      <c r="J35" s="33">
        <v>9.5</v>
      </c>
      <c r="K35" s="24">
        <f>SUM(J35)+0.6</f>
        <v>10.1</v>
      </c>
      <c r="L35" s="24">
        <f>SUM(K35)+0.6</f>
        <v>10.7</v>
      </c>
      <c r="M35" s="26">
        <f>SUM(L35)+0.6</f>
        <v>11.299999999999999</v>
      </c>
    </row>
    <row r="36" spans="1:13" s="1" customFormat="1" ht="14.1" customHeight="1">
      <c r="A36" s="38"/>
      <c r="B36" s="62" t="s">
        <v>58</v>
      </c>
      <c r="C36" s="63"/>
      <c r="D36" s="64" t="s">
        <v>141</v>
      </c>
      <c r="E36" s="65"/>
      <c r="F36" s="65"/>
      <c r="G36" s="66"/>
      <c r="H36" s="36"/>
      <c r="I36" s="36"/>
      <c r="J36" s="35"/>
      <c r="K36" s="36"/>
      <c r="L36" s="36"/>
      <c r="M36" s="37"/>
    </row>
    <row r="37" spans="1:13" s="1" customFormat="1" ht="14.1" customHeight="1">
      <c r="A37" s="71">
        <v>18</v>
      </c>
      <c r="B37" s="51" t="s">
        <v>140</v>
      </c>
      <c r="C37" s="52"/>
      <c r="D37" s="59"/>
      <c r="E37" s="60"/>
      <c r="F37" s="60"/>
      <c r="G37" s="61"/>
      <c r="H37" s="24">
        <f>SUM(I37)-0.5</f>
        <v>10.5</v>
      </c>
      <c r="I37" s="24">
        <f>SUM(J37)-0.5</f>
        <v>11</v>
      </c>
      <c r="J37" s="33">
        <v>11.5</v>
      </c>
      <c r="K37" s="24">
        <f>SUM(J37)+0.5</f>
        <v>12</v>
      </c>
      <c r="L37" s="24">
        <f>SUM(K37)+0.5</f>
        <v>12.5</v>
      </c>
      <c r="M37" s="26">
        <f>SUM(L37)+0.5</f>
        <v>13</v>
      </c>
    </row>
    <row r="38" spans="1:13" s="1" customFormat="1" ht="14.1" customHeight="1">
      <c r="A38" s="38"/>
      <c r="B38" s="45" t="s">
        <v>139</v>
      </c>
      <c r="C38" s="46"/>
      <c r="D38" s="64"/>
      <c r="E38" s="65"/>
      <c r="F38" s="65"/>
      <c r="G38" s="66"/>
      <c r="H38" s="36"/>
      <c r="I38" s="36"/>
      <c r="J38" s="35"/>
      <c r="K38" s="36"/>
      <c r="L38" s="36"/>
      <c r="M38" s="37"/>
    </row>
    <row r="39" spans="1:13" s="1" customFormat="1" ht="14.1" customHeight="1">
      <c r="A39" s="71">
        <v>19</v>
      </c>
      <c r="B39" s="51" t="s">
        <v>138</v>
      </c>
      <c r="C39" s="52"/>
      <c r="D39" s="59"/>
      <c r="E39" s="60"/>
      <c r="F39" s="60"/>
      <c r="G39" s="61"/>
      <c r="H39" s="24">
        <f>SUM(I39)-0.5</f>
        <v>11.5</v>
      </c>
      <c r="I39" s="24">
        <f>SUM(J39)-0.5</f>
        <v>12</v>
      </c>
      <c r="J39" s="33">
        <v>12.5</v>
      </c>
      <c r="K39" s="24">
        <f>SUM(J39)+0.5</f>
        <v>13</v>
      </c>
      <c r="L39" s="24">
        <f>SUM(K39)+0.5</f>
        <v>13.5</v>
      </c>
      <c r="M39" s="26">
        <f>SUM(L39)+0.5</f>
        <v>14</v>
      </c>
    </row>
    <row r="40" spans="1:13" s="1" customFormat="1" ht="14.1" customHeight="1">
      <c r="A40" s="38"/>
      <c r="B40" s="56" t="s">
        <v>137</v>
      </c>
      <c r="C40" s="56"/>
      <c r="D40" s="47"/>
      <c r="E40" s="48"/>
      <c r="F40" s="48"/>
      <c r="G40" s="49"/>
      <c r="H40" s="36"/>
      <c r="I40" s="36"/>
      <c r="J40" s="35"/>
      <c r="K40" s="36"/>
      <c r="L40" s="36"/>
      <c r="M40" s="37"/>
    </row>
    <row r="41" spans="1:13" s="1" customFormat="1" ht="14.1" customHeight="1">
      <c r="A41" s="71">
        <v>20</v>
      </c>
      <c r="B41" s="51"/>
      <c r="C41" s="52"/>
      <c r="D41" s="182"/>
      <c r="E41" s="183"/>
      <c r="F41" s="183"/>
      <c r="G41" s="184"/>
      <c r="H41" s="24"/>
      <c r="I41" s="24"/>
      <c r="J41" s="33"/>
      <c r="K41" s="24"/>
      <c r="L41" s="24"/>
      <c r="M41" s="26"/>
    </row>
    <row r="42" spans="1:13" s="1" customFormat="1" ht="14.1" customHeight="1" thickBot="1">
      <c r="A42" s="39"/>
      <c r="B42" s="25"/>
      <c r="C42" s="25"/>
      <c r="D42" s="201"/>
      <c r="E42" s="202"/>
      <c r="F42" s="202"/>
      <c r="G42" s="203"/>
      <c r="H42" s="25"/>
      <c r="I42" s="25"/>
      <c r="J42" s="34"/>
      <c r="K42" s="25"/>
      <c r="L42" s="25"/>
      <c r="M42" s="27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223"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3F040-E698-4A16-9EDF-728B6A8DE630}">
  <sheetPr>
    <tabColor rgb="FF00B050"/>
    <pageSetUpPr fitToPage="1"/>
  </sheetPr>
  <dimension ref="A1:M57"/>
  <sheetViews>
    <sheetView zoomScale="110" zoomScaleNormal="110" workbookViewId="0">
      <selection activeCell="O21" sqref="O21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838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24">
        <f>SUM(I3)-5</f>
        <v>56</v>
      </c>
      <c r="I3" s="24">
        <f>SUM(J3)-5</f>
        <v>61</v>
      </c>
      <c r="J3" s="75">
        <v>66</v>
      </c>
      <c r="K3" s="76">
        <f>SUM(J3)+5</f>
        <v>71</v>
      </c>
      <c r="L3" s="76">
        <f t="shared" ref="L3:M3" si="0">SUM(K3)+5</f>
        <v>76</v>
      </c>
      <c r="M3" s="214">
        <f t="shared" si="0"/>
        <v>81</v>
      </c>
    </row>
    <row r="4" spans="1:13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24"/>
      <c r="L4" s="24"/>
      <c r="M4" s="88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SUM(I5)-2</f>
        <v>36</v>
      </c>
      <c r="I5" s="24">
        <f>SUM(J5)-2</f>
        <v>38</v>
      </c>
      <c r="J5" s="33">
        <v>40</v>
      </c>
      <c r="K5" s="24">
        <f>SUM(J5)+1.8</f>
        <v>41.8</v>
      </c>
      <c r="L5" s="24">
        <f>SUM(K5)+1.8</f>
        <v>43.599999999999994</v>
      </c>
      <c r="M5" s="88">
        <f>SUM(L5)+1.8</f>
        <v>45.399999999999991</v>
      </c>
    </row>
    <row r="6" spans="1:13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87"/>
    </row>
    <row r="7" spans="1:13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38.5</v>
      </c>
      <c r="I7" s="24">
        <f>SUM(J7)-2.25</f>
        <v>40.75</v>
      </c>
      <c r="J7" s="33">
        <v>43</v>
      </c>
      <c r="K7" s="24">
        <f>SUM(J7)+2</f>
        <v>45</v>
      </c>
      <c r="L7" s="24">
        <f>SUM(K7)+2</f>
        <v>47</v>
      </c>
      <c r="M7" s="88">
        <f>SUM(L7)+2</f>
        <v>49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87"/>
    </row>
    <row r="9" spans="1:13" s="1" customFormat="1" ht="14.1" customHeight="1">
      <c r="A9" s="38">
        <v>4</v>
      </c>
      <c r="B9" s="58" t="s">
        <v>383</v>
      </c>
      <c r="C9" s="58"/>
      <c r="D9" s="57" t="s">
        <v>8</v>
      </c>
      <c r="E9" s="57"/>
      <c r="F9" s="57"/>
      <c r="G9" s="57"/>
      <c r="H9" s="24">
        <f>SUM(I9)-1.8</f>
        <v>29.4</v>
      </c>
      <c r="I9" s="24">
        <f>SUM(J9)-1.8</f>
        <v>31.2</v>
      </c>
      <c r="J9" s="33">
        <v>33</v>
      </c>
      <c r="K9" s="24">
        <f>SUM(J9)+1.6</f>
        <v>34.6</v>
      </c>
      <c r="L9" s="24">
        <f>SUM(K9)+1.6</f>
        <v>36.200000000000003</v>
      </c>
      <c r="M9" s="88">
        <f>SUM(L9)+1.6</f>
        <v>37.800000000000004</v>
      </c>
    </row>
    <row r="10" spans="1:13" s="1" customFormat="1" ht="14.1" customHeight="1">
      <c r="A10" s="38"/>
      <c r="B10" s="56" t="s">
        <v>384</v>
      </c>
      <c r="C10" s="56"/>
      <c r="D10" s="47" t="s">
        <v>700</v>
      </c>
      <c r="E10" s="48"/>
      <c r="F10" s="48"/>
      <c r="G10" s="49"/>
      <c r="H10" s="36"/>
      <c r="I10" s="36"/>
      <c r="J10" s="35"/>
      <c r="K10" s="36"/>
      <c r="L10" s="36"/>
      <c r="M10" s="87"/>
    </row>
    <row r="11" spans="1:13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SUM(I11)-0.8</f>
        <v>14.399999999999999</v>
      </c>
      <c r="I11" s="24">
        <f>SUM(J11)-0.8</f>
        <v>15.2</v>
      </c>
      <c r="J11" s="23">
        <v>16</v>
      </c>
      <c r="K11" s="21">
        <f>SUM(J11)+0.8</f>
        <v>16.8</v>
      </c>
      <c r="L11" s="21">
        <f>SUM(K11)+0.8</f>
        <v>17.600000000000001</v>
      </c>
      <c r="M11" s="215">
        <f>SUM(L11)+0.8</f>
        <v>18.400000000000002</v>
      </c>
    </row>
    <row r="12" spans="1:13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15"/>
    </row>
    <row r="13" spans="1:13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15.799999999999999</v>
      </c>
      <c r="I13" s="24">
        <f>SUM(J13)-0.6</f>
        <v>16.399999999999999</v>
      </c>
      <c r="J13" s="23">
        <v>17</v>
      </c>
      <c r="K13" s="21">
        <f>SUM(J13)+0.6</f>
        <v>17.600000000000001</v>
      </c>
      <c r="L13" s="21">
        <f>SUM(K13)+0.6</f>
        <v>18.200000000000003</v>
      </c>
      <c r="M13" s="215">
        <f>SUM(L13)+0.6</f>
        <v>18.800000000000004</v>
      </c>
    </row>
    <row r="14" spans="1:13" s="1" customFormat="1" ht="14.1" customHeight="1">
      <c r="A14" s="38"/>
      <c r="B14" s="56" t="s">
        <v>29</v>
      </c>
      <c r="C14" s="56"/>
      <c r="D14" s="47" t="s">
        <v>154</v>
      </c>
      <c r="E14" s="48"/>
      <c r="F14" s="48"/>
      <c r="G14" s="49"/>
      <c r="H14" s="36"/>
      <c r="I14" s="36"/>
      <c r="J14" s="23"/>
      <c r="K14" s="21"/>
      <c r="L14" s="21"/>
      <c r="M14" s="215"/>
    </row>
    <row r="15" spans="1:13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6.2</v>
      </c>
      <c r="I15" s="24">
        <f>SUM(J15)-0.3</f>
        <v>6.5</v>
      </c>
      <c r="J15" s="23">
        <v>6.8</v>
      </c>
      <c r="K15" s="21">
        <f>SUM(J15)+0.3</f>
        <v>7.1</v>
      </c>
      <c r="L15" s="21">
        <f>SUM(K15)+0.3</f>
        <v>7.3999999999999995</v>
      </c>
      <c r="M15" s="215">
        <f>SUM(L15)+0.3</f>
        <v>7.6999999999999993</v>
      </c>
    </row>
    <row r="16" spans="1:13" s="1" customFormat="1" ht="14.1" customHeight="1">
      <c r="A16" s="38"/>
      <c r="B16" s="56" t="s">
        <v>30</v>
      </c>
      <c r="C16" s="56"/>
      <c r="D16" s="47" t="s">
        <v>155</v>
      </c>
      <c r="E16" s="48"/>
      <c r="F16" s="48"/>
      <c r="G16" s="49"/>
      <c r="H16" s="36"/>
      <c r="I16" s="36"/>
      <c r="J16" s="23"/>
      <c r="K16" s="21"/>
      <c r="L16" s="21"/>
      <c r="M16" s="215"/>
    </row>
    <row r="17" spans="1:13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40.799999999999997</v>
      </c>
      <c r="I17" s="24">
        <f>SUM(J17)-1.6</f>
        <v>42.4</v>
      </c>
      <c r="J17" s="23">
        <v>44</v>
      </c>
      <c r="K17" s="21">
        <f>SUM(J17)+1.6</f>
        <v>45.6</v>
      </c>
      <c r="L17" s="21">
        <f>SUM(K17)+1.6</f>
        <v>47.2</v>
      </c>
      <c r="M17" s="215">
        <f>SUM(L17)+1.6</f>
        <v>48.800000000000004</v>
      </c>
    </row>
    <row r="18" spans="1:13" s="1" customFormat="1" ht="14.1" customHeight="1">
      <c r="A18" s="38"/>
      <c r="B18" s="56" t="s">
        <v>37</v>
      </c>
      <c r="C18" s="56"/>
      <c r="D18" s="47" t="s">
        <v>156</v>
      </c>
      <c r="E18" s="48"/>
      <c r="F18" s="48"/>
      <c r="G18" s="49"/>
      <c r="H18" s="36"/>
      <c r="I18" s="36"/>
      <c r="J18" s="23"/>
      <c r="K18" s="21"/>
      <c r="L18" s="21"/>
      <c r="M18" s="215"/>
    </row>
    <row r="19" spans="1:13" s="1" customFormat="1" ht="14.1" customHeight="1">
      <c r="A19" s="38">
        <v>9</v>
      </c>
      <c r="B19" s="58" t="s">
        <v>4</v>
      </c>
      <c r="C19" s="58"/>
      <c r="D19" s="57" t="s">
        <v>5</v>
      </c>
      <c r="E19" s="57"/>
      <c r="F19" s="57"/>
      <c r="G19" s="57"/>
      <c r="H19" s="24">
        <f>SUM(I19)-3.5</f>
        <v>27</v>
      </c>
      <c r="I19" s="24">
        <f>SUM(J19)-3.5</f>
        <v>30.5</v>
      </c>
      <c r="J19" s="23">
        <v>34</v>
      </c>
      <c r="K19" s="21">
        <f>SUM(J19)+3.6</f>
        <v>37.6</v>
      </c>
      <c r="L19" s="21">
        <f t="shared" ref="L19:M19" si="1">SUM(K19)+3.6</f>
        <v>41.2</v>
      </c>
      <c r="M19" s="215">
        <f t="shared" si="1"/>
        <v>44.800000000000004</v>
      </c>
    </row>
    <row r="20" spans="1:13" s="1" customFormat="1" ht="14.1" customHeight="1">
      <c r="A20" s="38"/>
      <c r="B20" s="56" t="s">
        <v>31</v>
      </c>
      <c r="C20" s="56"/>
      <c r="D20" s="47" t="s">
        <v>54</v>
      </c>
      <c r="E20" s="48"/>
      <c r="F20" s="48"/>
      <c r="G20" s="49"/>
      <c r="H20" s="36"/>
      <c r="I20" s="36"/>
      <c r="J20" s="23"/>
      <c r="K20" s="21"/>
      <c r="L20" s="21"/>
      <c r="M20" s="215"/>
    </row>
    <row r="21" spans="1:13" s="1" customFormat="1" ht="14.1" customHeight="1">
      <c r="A21" s="38">
        <v>10</v>
      </c>
      <c r="B21" s="58" t="s">
        <v>6</v>
      </c>
      <c r="C21" s="58"/>
      <c r="D21" s="59" t="s">
        <v>7</v>
      </c>
      <c r="E21" s="60"/>
      <c r="F21" s="60"/>
      <c r="G21" s="61"/>
      <c r="H21" s="24">
        <f>SUM(I21)-1.5</f>
        <v>28.9</v>
      </c>
      <c r="I21" s="24">
        <f>SUM(J21)-1.6</f>
        <v>30.4</v>
      </c>
      <c r="J21" s="23">
        <v>32</v>
      </c>
      <c r="K21" s="21">
        <f>SUM(J21)+1.6</f>
        <v>33.6</v>
      </c>
      <c r="L21" s="21">
        <f>SUM(K21)+1.7</f>
        <v>35.300000000000004</v>
      </c>
      <c r="M21" s="215">
        <f>SUM(L21)+1.6</f>
        <v>36.900000000000006</v>
      </c>
    </row>
    <row r="22" spans="1:13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9"/>
      <c r="H22" s="36"/>
      <c r="I22" s="36"/>
      <c r="J22" s="23"/>
      <c r="K22" s="21"/>
      <c r="L22" s="21"/>
      <c r="M22" s="215"/>
    </row>
    <row r="23" spans="1:13" s="1" customFormat="1" ht="14.1" customHeight="1">
      <c r="A23" s="38">
        <v>11</v>
      </c>
      <c r="B23" s="51" t="s">
        <v>77</v>
      </c>
      <c r="C23" s="52"/>
      <c r="D23" s="57" t="s">
        <v>78</v>
      </c>
      <c r="E23" s="57"/>
      <c r="F23" s="57"/>
      <c r="G23" s="57"/>
      <c r="H23" s="24">
        <f>SUM(I23)-0.6</f>
        <v>14</v>
      </c>
      <c r="I23" s="24">
        <f>SUM(J23)-0.6</f>
        <v>14.6</v>
      </c>
      <c r="J23" s="23">
        <v>15.2</v>
      </c>
      <c r="K23" s="21">
        <f>SUM(J23)+0.6</f>
        <v>15.799999999999999</v>
      </c>
      <c r="L23" s="21">
        <f>SUM(K23)+0.6</f>
        <v>16.399999999999999</v>
      </c>
      <c r="M23" s="215">
        <f>SUM(L23)+0.6</f>
        <v>17</v>
      </c>
    </row>
    <row r="24" spans="1:13" s="1" customFormat="1" ht="14.1" customHeight="1">
      <c r="A24" s="38"/>
      <c r="B24" s="56" t="s">
        <v>33</v>
      </c>
      <c r="C24" s="56"/>
      <c r="D24" s="47" t="s">
        <v>79</v>
      </c>
      <c r="E24" s="48"/>
      <c r="F24" s="48"/>
      <c r="G24" s="49"/>
      <c r="H24" s="36"/>
      <c r="I24" s="36"/>
      <c r="J24" s="23"/>
      <c r="K24" s="21"/>
      <c r="L24" s="21"/>
      <c r="M24" s="215"/>
    </row>
    <row r="25" spans="1:13" s="1" customFormat="1" ht="14.1" customHeight="1">
      <c r="A25" s="38">
        <v>12</v>
      </c>
      <c r="B25" s="51" t="s">
        <v>186</v>
      </c>
      <c r="C25" s="52"/>
      <c r="D25" s="182"/>
      <c r="E25" s="183"/>
      <c r="F25" s="183"/>
      <c r="G25" s="184"/>
      <c r="H25" s="24">
        <f>SUM(I25)-2.5</f>
        <v>28</v>
      </c>
      <c r="I25" s="24">
        <f>SUM(J25)-2.5</f>
        <v>30.5</v>
      </c>
      <c r="J25" s="33">
        <v>33</v>
      </c>
      <c r="K25" s="24">
        <f>SUM(J25)+2.5</f>
        <v>35.5</v>
      </c>
      <c r="L25" s="24">
        <f t="shared" ref="L25:M25" si="2">SUM(K25)+2.5</f>
        <v>38</v>
      </c>
      <c r="M25" s="88">
        <f t="shared" si="2"/>
        <v>40.5</v>
      </c>
    </row>
    <row r="26" spans="1:13" s="1" customFormat="1" ht="14.1" customHeight="1">
      <c r="A26" s="38"/>
      <c r="B26" s="36" t="s">
        <v>187</v>
      </c>
      <c r="C26" s="36"/>
      <c r="D26" s="114" t="s">
        <v>839</v>
      </c>
      <c r="E26" s="115"/>
      <c r="F26" s="115"/>
      <c r="G26" s="116"/>
      <c r="H26" s="36"/>
      <c r="I26" s="36"/>
      <c r="J26" s="35"/>
      <c r="K26" s="36"/>
      <c r="L26" s="36"/>
      <c r="M26" s="87"/>
    </row>
    <row r="27" spans="1:13" s="1" customFormat="1" ht="14.1" customHeight="1">
      <c r="A27" s="38">
        <v>13</v>
      </c>
      <c r="B27" s="58" t="s">
        <v>338</v>
      </c>
      <c r="C27" s="58"/>
      <c r="D27" s="59"/>
      <c r="E27" s="60"/>
      <c r="F27" s="60"/>
      <c r="G27" s="61"/>
      <c r="H27" s="24">
        <f>SUM(I27)-1.2</f>
        <v>13.100000000000001</v>
      </c>
      <c r="I27" s="24">
        <f>SUM(J27)-1.2</f>
        <v>14.3</v>
      </c>
      <c r="J27" s="23">
        <v>15.5</v>
      </c>
      <c r="K27" s="21">
        <f>SUM(J27)+1.2</f>
        <v>16.7</v>
      </c>
      <c r="L27" s="21">
        <f t="shared" ref="L27:M27" si="3">SUM(K27)+1.2</f>
        <v>17.899999999999999</v>
      </c>
      <c r="M27" s="215">
        <f t="shared" si="3"/>
        <v>19.099999999999998</v>
      </c>
    </row>
    <row r="28" spans="1:13" s="1" customFormat="1" ht="14.1" customHeight="1">
      <c r="A28" s="38"/>
      <c r="B28" s="56" t="s">
        <v>339</v>
      </c>
      <c r="C28" s="56"/>
      <c r="D28" s="47" t="s">
        <v>839</v>
      </c>
      <c r="E28" s="48"/>
      <c r="F28" s="48"/>
      <c r="G28" s="49"/>
      <c r="H28" s="36"/>
      <c r="I28" s="36"/>
      <c r="J28" s="23"/>
      <c r="K28" s="21"/>
      <c r="L28" s="21"/>
      <c r="M28" s="215"/>
    </row>
    <row r="29" spans="1:13" s="1" customFormat="1" ht="14.1" customHeight="1">
      <c r="A29" s="38">
        <v>14</v>
      </c>
      <c r="B29" s="58" t="s">
        <v>340</v>
      </c>
      <c r="C29" s="58"/>
      <c r="D29" s="59"/>
      <c r="E29" s="60"/>
      <c r="F29" s="60"/>
      <c r="G29" s="61"/>
      <c r="H29" s="24">
        <f>SUM(I29)-1.3</f>
        <v>14.899999999999999</v>
      </c>
      <c r="I29" s="24">
        <f>SUM(J29)-1.3</f>
        <v>16.2</v>
      </c>
      <c r="J29" s="23">
        <v>17.5</v>
      </c>
      <c r="K29" s="21">
        <f>SUM(J29)+1.3</f>
        <v>18.8</v>
      </c>
      <c r="L29" s="21">
        <f t="shared" ref="L29:M29" si="4">SUM(K29)+1.3</f>
        <v>20.100000000000001</v>
      </c>
      <c r="M29" s="215">
        <f t="shared" si="4"/>
        <v>21.400000000000002</v>
      </c>
    </row>
    <row r="30" spans="1:13" s="1" customFormat="1" ht="14.1" customHeight="1">
      <c r="A30" s="38"/>
      <c r="B30" s="56" t="s">
        <v>341</v>
      </c>
      <c r="C30" s="56"/>
      <c r="D30" s="47"/>
      <c r="E30" s="48"/>
      <c r="F30" s="48"/>
      <c r="G30" s="49"/>
      <c r="H30" s="36"/>
      <c r="I30" s="36"/>
      <c r="J30" s="23"/>
      <c r="K30" s="21"/>
      <c r="L30" s="21"/>
      <c r="M30" s="215"/>
    </row>
    <row r="31" spans="1:13" s="1" customFormat="1" ht="14.1" customHeight="1">
      <c r="A31" s="38">
        <v>15</v>
      </c>
      <c r="B31" s="51" t="s">
        <v>176</v>
      </c>
      <c r="C31" s="52"/>
      <c r="D31" s="59"/>
      <c r="E31" s="60"/>
      <c r="F31" s="60"/>
      <c r="G31" s="61"/>
      <c r="H31" s="24">
        <f>SUM(I31)-0.2</f>
        <v>3.0999999999999996</v>
      </c>
      <c r="I31" s="24">
        <f>SUM(J31)-0.2</f>
        <v>3.3</v>
      </c>
      <c r="J31" s="23">
        <v>3.5</v>
      </c>
      <c r="K31" s="21">
        <f>SUM(J31)+0.2</f>
        <v>3.7</v>
      </c>
      <c r="L31" s="21">
        <f t="shared" ref="L31:M31" si="5">SUM(K31)+0.2</f>
        <v>3.9000000000000004</v>
      </c>
      <c r="M31" s="215">
        <f t="shared" si="5"/>
        <v>4.1000000000000005</v>
      </c>
    </row>
    <row r="32" spans="1:13" s="1" customFormat="1" ht="14.1" customHeight="1">
      <c r="A32" s="38"/>
      <c r="B32" s="45" t="s">
        <v>175</v>
      </c>
      <c r="C32" s="46"/>
      <c r="D32" s="47" t="s">
        <v>458</v>
      </c>
      <c r="E32" s="48"/>
      <c r="F32" s="48"/>
      <c r="G32" s="49"/>
      <c r="H32" s="36"/>
      <c r="I32" s="36"/>
      <c r="J32" s="23"/>
      <c r="K32" s="21"/>
      <c r="L32" s="21"/>
      <c r="M32" s="215"/>
    </row>
    <row r="33" spans="1:13" s="1" customFormat="1" ht="14.1" customHeight="1">
      <c r="A33" s="38">
        <v>16</v>
      </c>
      <c r="B33" s="195"/>
      <c r="C33" s="196"/>
      <c r="D33" s="53"/>
      <c r="E33" s="54"/>
      <c r="F33" s="54"/>
      <c r="G33" s="55"/>
      <c r="H33" s="24"/>
      <c r="I33" s="24"/>
      <c r="J33" s="33"/>
      <c r="K33" s="24"/>
      <c r="L33" s="24"/>
      <c r="M33" s="88"/>
    </row>
    <row r="34" spans="1:13" s="1" customFormat="1" ht="14.1" customHeight="1">
      <c r="A34" s="38"/>
      <c r="B34" s="45"/>
      <c r="C34" s="46"/>
      <c r="D34" s="47"/>
      <c r="E34" s="48"/>
      <c r="F34" s="48"/>
      <c r="G34" s="49"/>
      <c r="H34" s="36"/>
      <c r="I34" s="36"/>
      <c r="J34" s="35"/>
      <c r="K34" s="36"/>
      <c r="L34" s="36"/>
      <c r="M34" s="87"/>
    </row>
    <row r="35" spans="1:13" s="1" customFormat="1" ht="14.1" customHeight="1">
      <c r="A35" s="38">
        <v>17</v>
      </c>
      <c r="B35" s="164"/>
      <c r="C35" s="165"/>
      <c r="D35" s="42"/>
      <c r="E35" s="43"/>
      <c r="F35" s="43"/>
      <c r="G35" s="44"/>
      <c r="H35" s="50"/>
      <c r="I35" s="50"/>
      <c r="J35" s="35"/>
      <c r="K35" s="36"/>
      <c r="L35" s="36"/>
      <c r="M35" s="87"/>
    </row>
    <row r="36" spans="1:13" s="1" customFormat="1" ht="14.1" customHeight="1" thickBot="1">
      <c r="A36" s="39"/>
      <c r="B36" s="28"/>
      <c r="C36" s="29"/>
      <c r="D36" s="30"/>
      <c r="E36" s="31"/>
      <c r="F36" s="31"/>
      <c r="G36" s="32"/>
      <c r="H36" s="25"/>
      <c r="I36" s="25"/>
      <c r="J36" s="218"/>
      <c r="K36" s="216"/>
      <c r="L36" s="216"/>
      <c r="M36" s="217"/>
    </row>
    <row r="37" spans="1:13" s="1" customFormat="1" ht="14.1" customHeight="1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 s="1" customFormat="1" ht="14.1" customHeight="1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190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4E5FA-C3A6-4F9F-8FD9-3B600CCB3E97}">
  <sheetPr codeName="Sheet174">
    <tabColor rgb="FF00B050"/>
    <pageSetUpPr fitToPage="1"/>
  </sheetPr>
  <dimension ref="A1:N51"/>
  <sheetViews>
    <sheetView zoomScale="110" zoomScaleNormal="110" workbookViewId="0">
      <selection activeCell="B9" sqref="B9:C1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4" ht="16.5" customHeight="1" thickBot="1">
      <c r="A1" s="67" t="s">
        <v>251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4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</row>
    <row r="3" spans="1:14" s="1" customFormat="1" ht="14.1" customHeight="1">
      <c r="A3" s="169">
        <v>1</v>
      </c>
      <c r="B3" s="40" t="s">
        <v>136</v>
      </c>
      <c r="C3" s="41"/>
      <c r="D3" s="100" t="s">
        <v>135</v>
      </c>
      <c r="E3" s="101"/>
      <c r="F3" s="101"/>
      <c r="G3" s="102"/>
      <c r="H3" s="24">
        <f>SUM(I3)-2.9</f>
        <v>28.700000000000003</v>
      </c>
      <c r="I3" s="24">
        <f>SUM(J3)-2.9</f>
        <v>31.6</v>
      </c>
      <c r="J3" s="33">
        <v>34.5</v>
      </c>
      <c r="K3" s="24">
        <f>SUM(J3)+2.4</f>
        <v>36.9</v>
      </c>
      <c r="L3" s="24">
        <f>SUM(K3)+2.4</f>
        <v>39.299999999999997</v>
      </c>
      <c r="M3" s="26">
        <f>SUM(L3)+2.4</f>
        <v>41.699999999999996</v>
      </c>
    </row>
    <row r="4" spans="1:14" s="1" customFormat="1" ht="14.1" customHeight="1">
      <c r="A4" s="71"/>
      <c r="B4" s="56" t="s">
        <v>36</v>
      </c>
      <c r="C4" s="56"/>
      <c r="D4" s="47" t="s">
        <v>134</v>
      </c>
      <c r="E4" s="48"/>
      <c r="F4" s="48"/>
      <c r="G4" s="48"/>
      <c r="H4" s="36"/>
      <c r="I4" s="36"/>
      <c r="J4" s="35"/>
      <c r="K4" s="36"/>
      <c r="L4" s="36"/>
      <c r="M4" s="37"/>
      <c r="N4" s="1" t="s">
        <v>113</v>
      </c>
    </row>
    <row r="5" spans="1:14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SUM(I5)-1.8</f>
        <v>28.299999999999997</v>
      </c>
      <c r="I5" s="24">
        <f>SUM(J5)-1.8</f>
        <v>30.099999999999998</v>
      </c>
      <c r="J5" s="33">
        <v>31.9</v>
      </c>
      <c r="K5" s="24">
        <f>SUM(J5)+1.6</f>
        <v>33.5</v>
      </c>
      <c r="L5" s="24">
        <f>SUM(K5)+1.6</f>
        <v>35.1</v>
      </c>
      <c r="M5" s="26">
        <f>SUM(L5)+1.6</f>
        <v>36.700000000000003</v>
      </c>
    </row>
    <row r="6" spans="1:14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37"/>
    </row>
    <row r="7" spans="1:14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35.5</v>
      </c>
      <c r="I7" s="24">
        <f>SUM(J7)-2.25</f>
        <v>37.75</v>
      </c>
      <c r="J7" s="33">
        <v>40</v>
      </c>
      <c r="K7" s="24">
        <f>SUM(J7)+2</f>
        <v>42</v>
      </c>
      <c r="L7" s="24">
        <f>SUM(K7)+2</f>
        <v>44</v>
      </c>
      <c r="M7" s="26">
        <f>SUM(L7)+2</f>
        <v>46</v>
      </c>
    </row>
    <row r="8" spans="1:14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37"/>
    </row>
    <row r="9" spans="1:14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SUM(I9)-2.25</f>
        <v>35.5</v>
      </c>
      <c r="I9" s="24">
        <f>SUM(J9)-2.25</f>
        <v>37.75</v>
      </c>
      <c r="J9" s="33">
        <v>40</v>
      </c>
      <c r="K9" s="24">
        <f>SUM(J9)+2</f>
        <v>42</v>
      </c>
      <c r="L9" s="24">
        <f>SUM(K9)+2</f>
        <v>44</v>
      </c>
      <c r="M9" s="26">
        <f>SUM(L9)+2</f>
        <v>46</v>
      </c>
    </row>
    <row r="10" spans="1:14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7"/>
    </row>
    <row r="11" spans="1:14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SUM(I11)-0.8</f>
        <v>15.099999999999998</v>
      </c>
      <c r="I11" s="24">
        <f>SUM(J11)-0.8</f>
        <v>15.899999999999999</v>
      </c>
      <c r="J11" s="23">
        <v>16.7</v>
      </c>
      <c r="K11" s="21">
        <f>SUM(J11)+0.8</f>
        <v>17.5</v>
      </c>
      <c r="L11" s="21">
        <f>SUM(K11)+0.8</f>
        <v>18.3</v>
      </c>
      <c r="M11" s="227">
        <f>SUM(L11)+0.8</f>
        <v>19.100000000000001</v>
      </c>
    </row>
    <row r="12" spans="1:14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27"/>
    </row>
    <row r="13" spans="1:14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11.600000000000001</v>
      </c>
      <c r="I13" s="24">
        <f>SUM(J13)-0.6</f>
        <v>12.200000000000001</v>
      </c>
      <c r="J13" s="23">
        <v>12.8</v>
      </c>
      <c r="K13" s="21">
        <f>SUM(J13)+0.6</f>
        <v>13.4</v>
      </c>
      <c r="L13" s="21">
        <f>SUM(K13)+0.6</f>
        <v>14</v>
      </c>
      <c r="M13" s="22">
        <f>SUM(L13)+0.6</f>
        <v>14.6</v>
      </c>
    </row>
    <row r="14" spans="1:14" s="1" customFormat="1" ht="14.1" customHeight="1">
      <c r="A14" s="38"/>
      <c r="B14" s="56" t="s">
        <v>29</v>
      </c>
      <c r="C14" s="56"/>
      <c r="D14" s="47" t="s">
        <v>52</v>
      </c>
      <c r="E14" s="48"/>
      <c r="F14" s="48"/>
      <c r="G14" s="49"/>
      <c r="H14" s="36"/>
      <c r="I14" s="36"/>
      <c r="J14" s="23"/>
      <c r="K14" s="21"/>
      <c r="L14" s="21"/>
      <c r="M14" s="22"/>
    </row>
    <row r="15" spans="1:14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6.2</v>
      </c>
      <c r="I15" s="24">
        <f>SUM(J15)-0.3</f>
        <v>6.5</v>
      </c>
      <c r="J15" s="23">
        <v>6.8</v>
      </c>
      <c r="K15" s="21">
        <f>SUM(J15)+0.3</f>
        <v>7.1</v>
      </c>
      <c r="L15" s="21">
        <f>SUM(K15)+0.3</f>
        <v>7.3999999999999995</v>
      </c>
      <c r="M15" s="227">
        <f>SUM(L15)+0.3</f>
        <v>7.6999999999999993</v>
      </c>
    </row>
    <row r="16" spans="1:14" s="1" customFormat="1" ht="14.1" customHeight="1">
      <c r="A16" s="38"/>
      <c r="B16" s="56" t="s">
        <v>30</v>
      </c>
      <c r="C16" s="56"/>
      <c r="D16" s="47" t="s">
        <v>53</v>
      </c>
      <c r="E16" s="48"/>
      <c r="F16" s="48"/>
      <c r="G16" s="49"/>
      <c r="H16" s="36"/>
      <c r="I16" s="36"/>
      <c r="J16" s="23"/>
      <c r="K16" s="21"/>
      <c r="L16" s="21"/>
      <c r="M16" s="227"/>
    </row>
    <row r="17" spans="1:13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31.9</v>
      </c>
      <c r="I17" s="24">
        <f>SUM(J17)-1.6</f>
        <v>33.5</v>
      </c>
      <c r="J17" s="23">
        <v>35.1</v>
      </c>
      <c r="K17" s="21">
        <f>SUM(J17)+1.6</f>
        <v>36.700000000000003</v>
      </c>
      <c r="L17" s="21">
        <f>SUM(K17)+1.6</f>
        <v>38.300000000000004</v>
      </c>
      <c r="M17" s="227">
        <f>SUM(L17)+1.6</f>
        <v>39.900000000000006</v>
      </c>
    </row>
    <row r="18" spans="1:13" s="1" customFormat="1" ht="14.1" customHeight="1">
      <c r="A18" s="38"/>
      <c r="B18" s="56" t="s">
        <v>37</v>
      </c>
      <c r="C18" s="56"/>
      <c r="D18" s="47" t="s">
        <v>107</v>
      </c>
      <c r="E18" s="48"/>
      <c r="F18" s="48"/>
      <c r="G18" s="49"/>
      <c r="H18" s="36"/>
      <c r="I18" s="36"/>
      <c r="J18" s="23"/>
      <c r="K18" s="21"/>
      <c r="L18" s="21"/>
      <c r="M18" s="227"/>
    </row>
    <row r="19" spans="1:13" s="1" customFormat="1" ht="14.1" customHeight="1">
      <c r="A19" s="38">
        <v>9</v>
      </c>
      <c r="B19" s="58" t="s">
        <v>4</v>
      </c>
      <c r="C19" s="58"/>
      <c r="D19" s="57" t="s">
        <v>5</v>
      </c>
      <c r="E19" s="57"/>
      <c r="F19" s="57"/>
      <c r="G19" s="57"/>
      <c r="H19" s="24">
        <f>SUM(I19)-3.6</f>
        <v>32.799999999999997</v>
      </c>
      <c r="I19" s="24">
        <f>SUM(J19)-3.6</f>
        <v>36.4</v>
      </c>
      <c r="J19" s="23">
        <v>40</v>
      </c>
      <c r="K19" s="21">
        <f>SUM(J19)+3.7</f>
        <v>43.7</v>
      </c>
      <c r="L19" s="21">
        <f>SUM(K19)+3.7</f>
        <v>47.400000000000006</v>
      </c>
      <c r="M19" s="22">
        <f>SUM(L19)+3.7</f>
        <v>51.100000000000009</v>
      </c>
    </row>
    <row r="20" spans="1:13" s="1" customFormat="1" ht="14.1" customHeight="1">
      <c r="A20" s="38"/>
      <c r="B20" s="56" t="s">
        <v>31</v>
      </c>
      <c r="C20" s="56"/>
      <c r="D20" s="47" t="s">
        <v>54</v>
      </c>
      <c r="E20" s="48"/>
      <c r="F20" s="48"/>
      <c r="G20" s="49"/>
      <c r="H20" s="36"/>
      <c r="I20" s="36"/>
      <c r="J20" s="23"/>
      <c r="K20" s="21"/>
      <c r="L20" s="21"/>
      <c r="M20" s="22"/>
    </row>
    <row r="21" spans="1:13" s="1" customFormat="1" ht="14.1" customHeight="1">
      <c r="A21" s="38">
        <v>10</v>
      </c>
      <c r="B21" s="58" t="s">
        <v>6</v>
      </c>
      <c r="C21" s="58"/>
      <c r="D21" s="59" t="s">
        <v>7</v>
      </c>
      <c r="E21" s="60"/>
      <c r="F21" s="60"/>
      <c r="G21" s="61"/>
      <c r="H21" s="24">
        <f>SUM(I21)-1.5</f>
        <v>29.1</v>
      </c>
      <c r="I21" s="24">
        <f>SUM(J21)-1.5</f>
        <v>30.6</v>
      </c>
      <c r="J21" s="23">
        <v>32.1</v>
      </c>
      <c r="K21" s="21">
        <f>SUM(J21)+1.5</f>
        <v>33.6</v>
      </c>
      <c r="L21" s="21">
        <f>SUM(K21)+1.5</f>
        <v>35.1</v>
      </c>
      <c r="M21" s="22">
        <f>SUM(L21)+1.5</f>
        <v>36.6</v>
      </c>
    </row>
    <row r="22" spans="1:13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9"/>
      <c r="H22" s="36"/>
      <c r="I22" s="36"/>
      <c r="J22" s="23"/>
      <c r="K22" s="21"/>
      <c r="L22" s="21"/>
      <c r="M22" s="22"/>
    </row>
    <row r="23" spans="1:13" s="1" customFormat="1" ht="14.1" customHeight="1">
      <c r="A23" s="38">
        <v>11</v>
      </c>
      <c r="B23" s="51" t="s">
        <v>122</v>
      </c>
      <c r="C23" s="52"/>
      <c r="D23" s="57" t="s">
        <v>78</v>
      </c>
      <c r="E23" s="57"/>
      <c r="F23" s="57"/>
      <c r="G23" s="57"/>
      <c r="H23" s="24">
        <f>SUM(I23)-1</f>
        <v>22</v>
      </c>
      <c r="I23" s="24">
        <f>SUM(J23)-1</f>
        <v>23</v>
      </c>
      <c r="J23" s="23">
        <v>24</v>
      </c>
      <c r="K23" s="21">
        <f>SUM(J23)+1</f>
        <v>25</v>
      </c>
      <c r="L23" s="21">
        <f>SUM(K23)+1</f>
        <v>26</v>
      </c>
      <c r="M23" s="22">
        <f>SUM(L23)+1</f>
        <v>27</v>
      </c>
    </row>
    <row r="24" spans="1:13" s="1" customFormat="1" ht="14.1" customHeight="1">
      <c r="A24" s="38"/>
      <c r="B24" s="56" t="s">
        <v>33</v>
      </c>
      <c r="C24" s="56"/>
      <c r="D24" s="47" t="s">
        <v>79</v>
      </c>
      <c r="E24" s="48"/>
      <c r="F24" s="48"/>
      <c r="G24" s="49"/>
      <c r="H24" s="36"/>
      <c r="I24" s="36"/>
      <c r="J24" s="23"/>
      <c r="K24" s="21"/>
      <c r="L24" s="21"/>
      <c r="M24" s="22"/>
    </row>
    <row r="25" spans="1:13" s="1" customFormat="1" ht="14.1" customHeight="1">
      <c r="A25" s="38">
        <v>12</v>
      </c>
      <c r="B25" s="51" t="s">
        <v>250</v>
      </c>
      <c r="C25" s="52"/>
      <c r="D25" s="59"/>
      <c r="E25" s="60"/>
      <c r="F25" s="60"/>
      <c r="G25" s="61"/>
      <c r="H25" s="24">
        <f>SUM(I25)-0.6</f>
        <v>8.8000000000000007</v>
      </c>
      <c r="I25" s="24">
        <f>SUM(J25)-0.6</f>
        <v>9.4</v>
      </c>
      <c r="J25" s="33">
        <v>10</v>
      </c>
      <c r="K25" s="24">
        <f>SUM(J25)+0.6</f>
        <v>10.6</v>
      </c>
      <c r="L25" s="24">
        <f>SUM(K25)+0.6</f>
        <v>11.2</v>
      </c>
      <c r="M25" s="26">
        <f>SUM(L25)+0.6</f>
        <v>11.799999999999999</v>
      </c>
    </row>
    <row r="26" spans="1:13" s="1" customFormat="1" ht="14.1" customHeight="1">
      <c r="A26" s="38"/>
      <c r="B26" s="62" t="s">
        <v>249</v>
      </c>
      <c r="C26" s="63"/>
      <c r="D26" s="64"/>
      <c r="E26" s="65"/>
      <c r="F26" s="65"/>
      <c r="G26" s="66"/>
      <c r="H26" s="36"/>
      <c r="I26" s="36"/>
      <c r="J26" s="35"/>
      <c r="K26" s="36"/>
      <c r="L26" s="36"/>
      <c r="M26" s="37"/>
    </row>
    <row r="27" spans="1:13" s="1" customFormat="1" ht="14.1" customHeight="1">
      <c r="A27" s="38">
        <v>13</v>
      </c>
      <c r="B27" s="51" t="s">
        <v>248</v>
      </c>
      <c r="C27" s="52"/>
      <c r="D27" s="59"/>
      <c r="E27" s="60"/>
      <c r="F27" s="60"/>
      <c r="G27" s="61"/>
      <c r="H27" s="24">
        <f>SUM(I27)-0.6</f>
        <v>8.8000000000000007</v>
      </c>
      <c r="I27" s="24">
        <f>SUM(J27)-0.6</f>
        <v>9.4</v>
      </c>
      <c r="J27" s="33">
        <v>10</v>
      </c>
      <c r="K27" s="24">
        <f>SUM(J27)+0.6</f>
        <v>10.6</v>
      </c>
      <c r="L27" s="24">
        <f>SUM(K27)+0.6</f>
        <v>11.2</v>
      </c>
      <c r="M27" s="26">
        <f>SUM(L27)+0.6</f>
        <v>11.799999999999999</v>
      </c>
    </row>
    <row r="28" spans="1:13" s="1" customFormat="1" ht="14.1" customHeight="1" thickBot="1">
      <c r="A28" s="39"/>
      <c r="B28" s="104" t="s">
        <v>247</v>
      </c>
      <c r="C28" s="105"/>
      <c r="D28" s="106"/>
      <c r="E28" s="107"/>
      <c r="F28" s="107"/>
      <c r="G28" s="108"/>
      <c r="H28" s="25"/>
      <c r="I28" s="25"/>
      <c r="J28" s="34"/>
      <c r="K28" s="25"/>
      <c r="L28" s="25"/>
      <c r="M28" s="27"/>
    </row>
    <row r="29" spans="1:13" ht="14.1" customHeight="1"/>
    <row r="30" spans="1:13" ht="14.1" customHeight="1"/>
    <row r="31" spans="1:13" ht="14.1" customHeight="1"/>
    <row r="32" spans="1:13" ht="14.1" customHeight="1"/>
    <row r="33" customFormat="1" ht="14.1" customHeight="1"/>
    <row r="34" customFormat="1" ht="14.1" customHeight="1"/>
    <row r="35" customFormat="1" ht="14.1" customHeight="1"/>
    <row r="36" customFormat="1" ht="14.1" customHeight="1"/>
    <row r="37" customFormat="1" ht="14.1" customHeight="1"/>
    <row r="38" customFormat="1" ht="14.1" customHeight="1"/>
    <row r="39" customFormat="1" ht="14.1" customHeight="1"/>
    <row r="40" customFormat="1" ht="14.1" customHeight="1"/>
    <row r="41" customFormat="1" ht="14.1" customHeight="1"/>
    <row r="42" customFormat="1" ht="14.1" customHeight="1"/>
    <row r="43" customFormat="1" ht="14.1" customHeight="1"/>
    <row r="44" customFormat="1" ht="14.1" customHeight="1"/>
    <row r="45" customFormat="1" ht="14.1" customHeight="1"/>
    <row r="46" customFormat="1" ht="14.1" customHeight="1"/>
    <row r="47" customFormat="1" ht="14.1" customHeight="1"/>
    <row r="48" customFormat="1" ht="14.1" customHeight="1"/>
    <row r="49" customFormat="1" ht="14.1" customHeight="1"/>
    <row r="50" customFormat="1" ht="14.1" customHeight="1"/>
    <row r="51" customFormat="1" ht="14.1" customHeight="1"/>
  </sheetData>
  <mergeCells count="146">
    <mergeCell ref="A1:M1"/>
    <mergeCell ref="J19:J20"/>
    <mergeCell ref="K19:K20"/>
    <mergeCell ref="L19:L20"/>
    <mergeCell ref="M19:M20"/>
    <mergeCell ref="A21:A22"/>
    <mergeCell ref="D20:G20"/>
    <mergeCell ref="B17:C17"/>
    <mergeCell ref="D17:G17"/>
    <mergeCell ref="H17:H18"/>
    <mergeCell ref="B22:C22"/>
    <mergeCell ref="D22:G22"/>
    <mergeCell ref="J21:J22"/>
    <mergeCell ref="M17:M18"/>
    <mergeCell ref="B18:C18"/>
    <mergeCell ref="D18:G18"/>
    <mergeCell ref="J17:J18"/>
    <mergeCell ref="A17:A18"/>
    <mergeCell ref="I17:I18"/>
    <mergeCell ref="L13:L14"/>
    <mergeCell ref="M13:M14"/>
    <mergeCell ref="L15:L16"/>
    <mergeCell ref="M15:M16"/>
    <mergeCell ref="L17:L18"/>
    <mergeCell ref="J23:J24"/>
    <mergeCell ref="D19:G19"/>
    <mergeCell ref="I19:I20"/>
    <mergeCell ref="J11:J12"/>
    <mergeCell ref="K11:K12"/>
    <mergeCell ref="J7:J8"/>
    <mergeCell ref="K5:K6"/>
    <mergeCell ref="A19:A20"/>
    <mergeCell ref="B19:C19"/>
    <mergeCell ref="B20:C20"/>
    <mergeCell ref="K13:K14"/>
    <mergeCell ref="I15:I16"/>
    <mergeCell ref="I13:I14"/>
    <mergeCell ref="J13:J14"/>
    <mergeCell ref="J15:J16"/>
    <mergeCell ref="K15:K16"/>
    <mergeCell ref="B14:C14"/>
    <mergeCell ref="D14:G14"/>
    <mergeCell ref="H19:H20"/>
    <mergeCell ref="K17:K18"/>
    <mergeCell ref="B16:C16"/>
    <mergeCell ref="D16:G16"/>
    <mergeCell ref="A15:A16"/>
    <mergeCell ref="B15:C15"/>
    <mergeCell ref="A23:A24"/>
    <mergeCell ref="B23:C23"/>
    <mergeCell ref="D23:G23"/>
    <mergeCell ref="I23:I24"/>
    <mergeCell ref="B21:C21"/>
    <mergeCell ref="D21:G21"/>
    <mergeCell ref="I21:I22"/>
    <mergeCell ref="B24:C24"/>
    <mergeCell ref="D24:G24"/>
    <mergeCell ref="H21:H22"/>
    <mergeCell ref="H23:H24"/>
    <mergeCell ref="B27:C27"/>
    <mergeCell ref="D27:G27"/>
    <mergeCell ref="B25:C25"/>
    <mergeCell ref="B28:C28"/>
    <mergeCell ref="D28:G28"/>
    <mergeCell ref="A25:A26"/>
    <mergeCell ref="I25:I26"/>
    <mergeCell ref="J25:J26"/>
    <mergeCell ref="D25:G25"/>
    <mergeCell ref="L11:L12"/>
    <mergeCell ref="A11:A12"/>
    <mergeCell ref="M11:M12"/>
    <mergeCell ref="B12:C12"/>
    <mergeCell ref="D12:G12"/>
    <mergeCell ref="M27:M28"/>
    <mergeCell ref="K25:K26"/>
    <mergeCell ref="L25:L26"/>
    <mergeCell ref="M25:M26"/>
    <mergeCell ref="K27:K28"/>
    <mergeCell ref="L27:L28"/>
    <mergeCell ref="L23:L24"/>
    <mergeCell ref="K21:K22"/>
    <mergeCell ref="L21:L22"/>
    <mergeCell ref="M21:M22"/>
    <mergeCell ref="M23:M24"/>
    <mergeCell ref="K23:K24"/>
    <mergeCell ref="J27:J28"/>
    <mergeCell ref="A27:A28"/>
    <mergeCell ref="I27:I28"/>
    <mergeCell ref="B26:C26"/>
    <mergeCell ref="D26:G26"/>
    <mergeCell ref="H25:H26"/>
    <mergeCell ref="H27:H28"/>
    <mergeCell ref="B11:C11"/>
    <mergeCell ref="D11:G11"/>
    <mergeCell ref="H11:H12"/>
    <mergeCell ref="I11:I12"/>
    <mergeCell ref="D15:G15"/>
    <mergeCell ref="H15:H16"/>
    <mergeCell ref="A13:A14"/>
    <mergeCell ref="B13:C13"/>
    <mergeCell ref="D13:G13"/>
    <mergeCell ref="H13:H14"/>
    <mergeCell ref="L3:L4"/>
    <mergeCell ref="M3:M4"/>
    <mergeCell ref="B4:C4"/>
    <mergeCell ref="D4:G4"/>
    <mergeCell ref="A5:A6"/>
    <mergeCell ref="B5:C5"/>
    <mergeCell ref="D5:G5"/>
    <mergeCell ref="I5:I6"/>
    <mergeCell ref="A9:A10"/>
    <mergeCell ref="B9:C9"/>
    <mergeCell ref="D9:G9"/>
    <mergeCell ref="I9:I10"/>
    <mergeCell ref="A7:A8"/>
    <mergeCell ref="B7:C7"/>
    <mergeCell ref="D7:G7"/>
    <mergeCell ref="H7:H8"/>
    <mergeCell ref="K7:K8"/>
    <mergeCell ref="K9:K10"/>
    <mergeCell ref="L9:L10"/>
    <mergeCell ref="M9:M10"/>
    <mergeCell ref="B10:C10"/>
    <mergeCell ref="D10:G10"/>
    <mergeCell ref="J9:J10"/>
    <mergeCell ref="H9:H10"/>
    <mergeCell ref="L7:L8"/>
    <mergeCell ref="M7:M8"/>
    <mergeCell ref="B8:C8"/>
    <mergeCell ref="D8:G8"/>
    <mergeCell ref="L5:L6"/>
    <mergeCell ref="M5:M6"/>
    <mergeCell ref="B6:C6"/>
    <mergeCell ref="D6:G6"/>
    <mergeCell ref="I7:I8"/>
    <mergeCell ref="H5:H6"/>
    <mergeCell ref="J5:J6"/>
    <mergeCell ref="I3:I4"/>
    <mergeCell ref="J3:J4"/>
    <mergeCell ref="K3:K4"/>
    <mergeCell ref="B2:C2"/>
    <mergeCell ref="D2:G2"/>
    <mergeCell ref="A3:A4"/>
    <mergeCell ref="B3:C3"/>
    <mergeCell ref="D3:G3"/>
    <mergeCell ref="H3:H4"/>
  </mergeCells>
  <phoneticPr fontId="16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952DE-F507-49EF-BD46-434EE483126B}">
  <sheetPr codeName="Sheet175">
    <tabColor rgb="FF00B050"/>
    <pageSetUpPr fitToPage="1"/>
  </sheetPr>
  <dimension ref="A1:N51"/>
  <sheetViews>
    <sheetView topLeftCell="A13" zoomScale="110" zoomScaleNormal="110" workbookViewId="0">
      <selection activeCell="Q15" sqref="Q15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28" t="s">
        <v>277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30"/>
    </row>
    <row r="2" spans="1:14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  <c r="N2" s="7" t="s">
        <v>229</v>
      </c>
    </row>
    <row r="3" spans="1:14" s="1" customFormat="1" ht="14.1" customHeight="1">
      <c r="A3" s="169">
        <v>1</v>
      </c>
      <c r="B3" s="40" t="s">
        <v>136</v>
      </c>
      <c r="C3" s="41"/>
      <c r="D3" s="100" t="s">
        <v>135</v>
      </c>
      <c r="E3" s="101"/>
      <c r="F3" s="101"/>
      <c r="G3" s="102"/>
      <c r="H3" s="24">
        <f>SUM(I3)-3.4</f>
        <v>33.400000000000006</v>
      </c>
      <c r="I3" s="24">
        <f>SUM(J3)-3.4</f>
        <v>36.800000000000004</v>
      </c>
      <c r="J3" s="33">
        <v>40.200000000000003</v>
      </c>
      <c r="K3" s="24">
        <f>SUM(J3)+2.9</f>
        <v>43.1</v>
      </c>
      <c r="L3" s="24">
        <f>SUM(K3)+2.9</f>
        <v>46</v>
      </c>
      <c r="M3" s="85">
        <f>SUM(L3)+2.9</f>
        <v>48.9</v>
      </c>
      <c r="N3" s="121">
        <f>SUM(M3)+2.9</f>
        <v>51.8</v>
      </c>
    </row>
    <row r="4" spans="1:14" s="1" customFormat="1" ht="14.1" customHeight="1">
      <c r="A4" s="71"/>
      <c r="B4" s="56" t="s">
        <v>36</v>
      </c>
      <c r="C4" s="56"/>
      <c r="D4" s="47" t="s">
        <v>134</v>
      </c>
      <c r="E4" s="48"/>
      <c r="F4" s="48"/>
      <c r="G4" s="48"/>
      <c r="H4" s="36"/>
      <c r="I4" s="36"/>
      <c r="J4" s="35"/>
      <c r="K4" s="36"/>
      <c r="L4" s="36"/>
      <c r="M4" s="36"/>
      <c r="N4" s="122"/>
    </row>
    <row r="5" spans="1:14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SUM(I5)-1.6</f>
        <v>26.799999999999997</v>
      </c>
      <c r="I5" s="24">
        <f>SUM(J5)-1.6</f>
        <v>28.4</v>
      </c>
      <c r="J5" s="33">
        <v>30</v>
      </c>
      <c r="K5" s="24">
        <f>SUM(J5)+1.4</f>
        <v>31.4</v>
      </c>
      <c r="L5" s="24">
        <f>SUM(K5)+1.4</f>
        <v>32.799999999999997</v>
      </c>
      <c r="M5" s="24">
        <f>SUM(L5)+1.4</f>
        <v>34.199999999999996</v>
      </c>
      <c r="N5" s="121">
        <f>SUM(M5)+1.4</f>
        <v>35.599999999999994</v>
      </c>
    </row>
    <row r="6" spans="1:14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36"/>
      <c r="N6" s="122"/>
    </row>
    <row r="7" spans="1:14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37</v>
      </c>
      <c r="I7" s="24">
        <f>SUM(J7)-2.25</f>
        <v>39.25</v>
      </c>
      <c r="J7" s="33">
        <v>41.5</v>
      </c>
      <c r="K7" s="24">
        <f>SUM(J7)+2</f>
        <v>43.5</v>
      </c>
      <c r="L7" s="24">
        <f>SUM(K7)+2</f>
        <v>45.5</v>
      </c>
      <c r="M7" s="24">
        <f>SUM(L7)+2</f>
        <v>47.5</v>
      </c>
      <c r="N7" s="121">
        <f>SUM(M7)+2</f>
        <v>49.5</v>
      </c>
    </row>
    <row r="8" spans="1:14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36"/>
      <c r="N8" s="122"/>
    </row>
    <row r="9" spans="1:14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SUM(I9)-1.9</f>
        <v>32.200000000000003</v>
      </c>
      <c r="I9" s="24">
        <f>SUM(J9)-1.9</f>
        <v>34.1</v>
      </c>
      <c r="J9" s="33">
        <v>36</v>
      </c>
      <c r="K9" s="24">
        <f>SUM(J9)+1.7</f>
        <v>37.700000000000003</v>
      </c>
      <c r="L9" s="24">
        <f>SUM(K9)+1.7</f>
        <v>39.400000000000006</v>
      </c>
      <c r="M9" s="24">
        <f>SUM(L9)+1.7</f>
        <v>41.100000000000009</v>
      </c>
      <c r="N9" s="121">
        <f>SUM(M9)+1.7</f>
        <v>42.800000000000011</v>
      </c>
    </row>
    <row r="10" spans="1:14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6"/>
      <c r="N10" s="122"/>
    </row>
    <row r="11" spans="1:14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SUM(I11)-0.9</f>
        <v>16.400000000000002</v>
      </c>
      <c r="I11" s="24">
        <f>SUM(J11)-0.9</f>
        <v>17.3</v>
      </c>
      <c r="J11" s="23">
        <v>18.2</v>
      </c>
      <c r="K11" s="21">
        <f>SUM(J11)+0.9</f>
        <v>19.099999999999998</v>
      </c>
      <c r="L11" s="21">
        <f>SUM(K11)+0.9</f>
        <v>19.999999999999996</v>
      </c>
      <c r="M11" s="133">
        <f>SUM(L11)+0.9</f>
        <v>20.899999999999995</v>
      </c>
      <c r="N11" s="228">
        <f>SUM(M11)+0.9</f>
        <v>21.799999999999994</v>
      </c>
    </row>
    <row r="12" spans="1:14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133"/>
      <c r="N12" s="228"/>
    </row>
    <row r="13" spans="1:14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11.700000000000001</v>
      </c>
      <c r="I13" s="24">
        <f>SUM(J13)-0.6</f>
        <v>12.3</v>
      </c>
      <c r="J13" s="23">
        <v>12.9</v>
      </c>
      <c r="K13" s="21">
        <f>SUM(J13)+0.6</f>
        <v>13.5</v>
      </c>
      <c r="L13" s="21">
        <f>SUM(K13)+0.6</f>
        <v>14.1</v>
      </c>
      <c r="M13" s="21">
        <f>SUM(L13)+0.6</f>
        <v>14.7</v>
      </c>
      <c r="N13" s="123">
        <f>SUM(M13)+0.6</f>
        <v>15.299999999999999</v>
      </c>
    </row>
    <row r="14" spans="1:14" s="1" customFormat="1" ht="14.1" customHeight="1">
      <c r="A14" s="38"/>
      <c r="B14" s="56" t="s">
        <v>29</v>
      </c>
      <c r="C14" s="56"/>
      <c r="D14" s="47" t="s">
        <v>52</v>
      </c>
      <c r="E14" s="48"/>
      <c r="F14" s="48"/>
      <c r="G14" s="49"/>
      <c r="H14" s="36"/>
      <c r="I14" s="36"/>
      <c r="J14" s="23"/>
      <c r="K14" s="21"/>
      <c r="L14" s="21"/>
      <c r="M14" s="21"/>
      <c r="N14" s="123"/>
    </row>
    <row r="15" spans="1:14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6.8000000000000007</v>
      </c>
      <c r="I15" s="24">
        <f>SUM(J15)-0.3</f>
        <v>7.1000000000000005</v>
      </c>
      <c r="J15" s="23">
        <v>7.4</v>
      </c>
      <c r="K15" s="21">
        <f>SUM(J15)+0.3</f>
        <v>7.7</v>
      </c>
      <c r="L15" s="21">
        <f>SUM(K15)+0.3</f>
        <v>8</v>
      </c>
      <c r="M15" s="133">
        <f>SUM(L15)+0.3</f>
        <v>8.3000000000000007</v>
      </c>
      <c r="N15" s="228">
        <f>SUM(M15)+0.3</f>
        <v>8.6000000000000014</v>
      </c>
    </row>
    <row r="16" spans="1:14" s="1" customFormat="1" ht="14.1" customHeight="1">
      <c r="A16" s="38"/>
      <c r="B16" s="56" t="s">
        <v>30</v>
      </c>
      <c r="C16" s="56"/>
      <c r="D16" s="47" t="s">
        <v>53</v>
      </c>
      <c r="E16" s="48"/>
      <c r="F16" s="48"/>
      <c r="G16" s="49"/>
      <c r="H16" s="36"/>
      <c r="I16" s="36"/>
      <c r="J16" s="23"/>
      <c r="K16" s="21"/>
      <c r="L16" s="21"/>
      <c r="M16" s="133"/>
      <c r="N16" s="228"/>
    </row>
    <row r="17" spans="1:14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32.099999999999994</v>
      </c>
      <c r="I17" s="24">
        <f>SUM(J17)-1.6</f>
        <v>33.699999999999996</v>
      </c>
      <c r="J17" s="23">
        <v>35.299999999999997</v>
      </c>
      <c r="K17" s="21">
        <f>SUM(J17)+1.6</f>
        <v>36.9</v>
      </c>
      <c r="L17" s="21">
        <f>SUM(K17)+1.6</f>
        <v>38.5</v>
      </c>
      <c r="M17" s="133">
        <f>SUM(L17)+1.6</f>
        <v>40.1</v>
      </c>
      <c r="N17" s="228">
        <f>SUM(M17)+1.6</f>
        <v>41.7</v>
      </c>
    </row>
    <row r="18" spans="1:14" s="1" customFormat="1" ht="14.1" customHeight="1">
      <c r="A18" s="38"/>
      <c r="B18" s="56" t="s">
        <v>37</v>
      </c>
      <c r="C18" s="56"/>
      <c r="D18" s="47" t="s">
        <v>238</v>
      </c>
      <c r="E18" s="48"/>
      <c r="F18" s="48"/>
      <c r="G18" s="49"/>
      <c r="H18" s="36"/>
      <c r="I18" s="36"/>
      <c r="J18" s="23"/>
      <c r="K18" s="21"/>
      <c r="L18" s="21"/>
      <c r="M18" s="133"/>
      <c r="N18" s="228"/>
    </row>
    <row r="19" spans="1:14" s="1" customFormat="1" ht="14.1" customHeight="1">
      <c r="A19" s="38">
        <v>9</v>
      </c>
      <c r="B19" s="51" t="s">
        <v>89</v>
      </c>
      <c r="C19" s="52"/>
      <c r="D19" s="60" t="s">
        <v>128</v>
      </c>
      <c r="E19" s="60"/>
      <c r="F19" s="60"/>
      <c r="G19" s="60"/>
      <c r="H19" s="24">
        <f>SUM(I19)-0.2</f>
        <v>4.0999999999999996</v>
      </c>
      <c r="I19" s="24">
        <f>SUM(J19)-0.2</f>
        <v>4.3</v>
      </c>
      <c r="J19" s="23">
        <v>4.5</v>
      </c>
      <c r="K19" s="21">
        <f>SUM(J19)+0.2</f>
        <v>4.7</v>
      </c>
      <c r="L19" s="21">
        <f>SUM(K19)+0.2</f>
        <v>4.9000000000000004</v>
      </c>
      <c r="M19" s="21">
        <f>SUM(L19)+0.2</f>
        <v>5.1000000000000005</v>
      </c>
      <c r="N19" s="123">
        <f>SUM(M19)+0.2</f>
        <v>5.3000000000000007</v>
      </c>
    </row>
    <row r="20" spans="1:14" s="1" customFormat="1" ht="14.1" customHeight="1">
      <c r="A20" s="154"/>
      <c r="B20" s="141" t="s">
        <v>39</v>
      </c>
      <c r="C20" s="141"/>
      <c r="D20" s="100" t="s">
        <v>127</v>
      </c>
      <c r="E20" s="101"/>
      <c r="F20" s="101"/>
      <c r="G20" s="102"/>
      <c r="H20" s="50"/>
      <c r="I20" s="50"/>
      <c r="J20" s="33"/>
      <c r="K20" s="24"/>
      <c r="L20" s="24"/>
      <c r="M20" s="24"/>
      <c r="N20" s="121"/>
    </row>
    <row r="21" spans="1:14" s="1" customFormat="1" ht="14.1" customHeight="1">
      <c r="A21" s="38">
        <v>10</v>
      </c>
      <c r="B21" s="58" t="s">
        <v>4</v>
      </c>
      <c r="C21" s="58"/>
      <c r="D21" s="57" t="s">
        <v>5</v>
      </c>
      <c r="E21" s="57"/>
      <c r="F21" s="57"/>
      <c r="G21" s="57"/>
      <c r="H21" s="24">
        <f>SUM(I21)-3.7</f>
        <v>33.099999999999994</v>
      </c>
      <c r="I21" s="24">
        <f>SUM(J21)-3.7</f>
        <v>36.799999999999997</v>
      </c>
      <c r="J21" s="23">
        <v>40.5</v>
      </c>
      <c r="K21" s="21">
        <f>SUM(J21)+3.8</f>
        <v>44.3</v>
      </c>
      <c r="L21" s="21">
        <f>SUM(K21)+3.8</f>
        <v>48.099999999999994</v>
      </c>
      <c r="M21" s="21">
        <f>SUM(L21)+3.8</f>
        <v>51.899999999999991</v>
      </c>
      <c r="N21" s="123">
        <f>SUM(M21)+3.8</f>
        <v>55.699999999999989</v>
      </c>
    </row>
    <row r="22" spans="1:14" s="1" customFormat="1" ht="14.1" customHeight="1">
      <c r="A22" s="38"/>
      <c r="B22" s="56" t="s">
        <v>31</v>
      </c>
      <c r="C22" s="56"/>
      <c r="D22" s="47" t="s">
        <v>54</v>
      </c>
      <c r="E22" s="48"/>
      <c r="F22" s="48"/>
      <c r="G22" s="49"/>
      <c r="H22" s="36"/>
      <c r="I22" s="36"/>
      <c r="J22" s="23"/>
      <c r="K22" s="21"/>
      <c r="L22" s="21"/>
      <c r="M22" s="21"/>
      <c r="N22" s="123"/>
    </row>
    <row r="23" spans="1:14" s="1" customFormat="1" ht="14.1" customHeight="1">
      <c r="A23" s="38">
        <v>11</v>
      </c>
      <c r="B23" s="58" t="s">
        <v>6</v>
      </c>
      <c r="C23" s="58"/>
      <c r="D23" s="59" t="s">
        <v>7</v>
      </c>
      <c r="E23" s="60"/>
      <c r="F23" s="60"/>
      <c r="G23" s="61"/>
      <c r="H23" s="24">
        <f>SUM(I23)-1.6</f>
        <v>28.4</v>
      </c>
      <c r="I23" s="24">
        <f>SUM(J23)-1.6</f>
        <v>30</v>
      </c>
      <c r="J23" s="23">
        <v>31.6</v>
      </c>
      <c r="K23" s="21">
        <f>SUM(J23)+1.6</f>
        <v>33.200000000000003</v>
      </c>
      <c r="L23" s="21">
        <f>SUM(K23)+1.6</f>
        <v>34.800000000000004</v>
      </c>
      <c r="M23" s="21">
        <f>SUM(L23)+1.6</f>
        <v>36.400000000000006</v>
      </c>
      <c r="N23" s="123">
        <f>SUM(M23)+1.6</f>
        <v>38.000000000000007</v>
      </c>
    </row>
    <row r="24" spans="1:14" s="1" customFormat="1" ht="14.1" customHeight="1">
      <c r="A24" s="38"/>
      <c r="B24" s="56" t="s">
        <v>32</v>
      </c>
      <c r="C24" s="56"/>
      <c r="D24" s="47" t="s">
        <v>76</v>
      </c>
      <c r="E24" s="48"/>
      <c r="F24" s="48"/>
      <c r="G24" s="49"/>
      <c r="H24" s="36"/>
      <c r="I24" s="36"/>
      <c r="J24" s="23"/>
      <c r="K24" s="21"/>
      <c r="L24" s="21"/>
      <c r="M24" s="21"/>
      <c r="N24" s="123"/>
    </row>
    <row r="25" spans="1:14" s="1" customFormat="1" ht="14.1" customHeight="1">
      <c r="A25" s="38">
        <v>12</v>
      </c>
      <c r="B25" s="51" t="s">
        <v>122</v>
      </c>
      <c r="C25" s="52"/>
      <c r="D25" s="57" t="s">
        <v>78</v>
      </c>
      <c r="E25" s="57"/>
      <c r="F25" s="57"/>
      <c r="G25" s="57"/>
      <c r="H25" s="24">
        <f>SUM(I25)-0.6</f>
        <v>14</v>
      </c>
      <c r="I25" s="24">
        <f>SUM(J25)-0.6</f>
        <v>14.6</v>
      </c>
      <c r="J25" s="23">
        <v>15.2</v>
      </c>
      <c r="K25" s="21">
        <f>SUM(J25)+0.6</f>
        <v>15.799999999999999</v>
      </c>
      <c r="L25" s="21">
        <f>SUM(K25)+0.6</f>
        <v>16.399999999999999</v>
      </c>
      <c r="M25" s="21">
        <f>SUM(L25)+0.6</f>
        <v>17</v>
      </c>
      <c r="N25" s="123">
        <f>SUM(M25)+0.6</f>
        <v>17.600000000000001</v>
      </c>
    </row>
    <row r="26" spans="1:14" s="1" customFormat="1" ht="14.1" customHeight="1">
      <c r="A26" s="38"/>
      <c r="B26" s="56" t="s">
        <v>33</v>
      </c>
      <c r="C26" s="56"/>
      <c r="D26" s="47" t="s">
        <v>79</v>
      </c>
      <c r="E26" s="48"/>
      <c r="F26" s="48"/>
      <c r="G26" s="49"/>
      <c r="H26" s="36"/>
      <c r="I26" s="36"/>
      <c r="J26" s="23"/>
      <c r="K26" s="21"/>
      <c r="L26" s="21"/>
      <c r="M26" s="21"/>
      <c r="N26" s="123"/>
    </row>
    <row r="27" spans="1:14" s="1" customFormat="1" ht="14.1" customHeight="1">
      <c r="A27" s="38">
        <v>13</v>
      </c>
      <c r="B27" s="51" t="s">
        <v>250</v>
      </c>
      <c r="C27" s="52"/>
      <c r="D27" s="59"/>
      <c r="E27" s="60"/>
      <c r="F27" s="60"/>
      <c r="G27" s="61"/>
      <c r="H27" s="24">
        <f>SUM(I27)-0.8</f>
        <v>12.399999999999999</v>
      </c>
      <c r="I27" s="24">
        <f>SUM(J27)-0.8</f>
        <v>13.2</v>
      </c>
      <c r="J27" s="33">
        <v>14</v>
      </c>
      <c r="K27" s="24">
        <f>SUM(J27)+0.8</f>
        <v>14.8</v>
      </c>
      <c r="L27" s="24">
        <f>SUM(K27)+0.8</f>
        <v>15.600000000000001</v>
      </c>
      <c r="M27" s="24">
        <f>SUM(L27)+0.8</f>
        <v>16.400000000000002</v>
      </c>
      <c r="N27" s="121">
        <f>SUM(M27)+0.8</f>
        <v>17.200000000000003</v>
      </c>
    </row>
    <row r="28" spans="1:14" s="1" customFormat="1" ht="14.1" customHeight="1">
      <c r="A28" s="38"/>
      <c r="B28" s="62" t="s">
        <v>249</v>
      </c>
      <c r="C28" s="63"/>
      <c r="D28" s="64" t="s">
        <v>278</v>
      </c>
      <c r="E28" s="65"/>
      <c r="F28" s="65"/>
      <c r="G28" s="66"/>
      <c r="H28" s="36"/>
      <c r="I28" s="36"/>
      <c r="J28" s="35"/>
      <c r="K28" s="36"/>
      <c r="L28" s="36"/>
      <c r="M28" s="36"/>
      <c r="N28" s="122"/>
    </row>
    <row r="29" spans="1:14" ht="14.1" customHeight="1">
      <c r="A29" s="38">
        <v>14</v>
      </c>
      <c r="B29" s="51" t="s">
        <v>248</v>
      </c>
      <c r="C29" s="52"/>
      <c r="D29" s="59"/>
      <c r="E29" s="60"/>
      <c r="F29" s="60"/>
      <c r="G29" s="61"/>
      <c r="H29" s="24">
        <f>SUM(I29)-0.8</f>
        <v>12.399999999999999</v>
      </c>
      <c r="I29" s="24">
        <f>SUM(J29)-0.8</f>
        <v>13.2</v>
      </c>
      <c r="J29" s="33">
        <v>14</v>
      </c>
      <c r="K29" s="24">
        <f>SUM(J29)+0.8</f>
        <v>14.8</v>
      </c>
      <c r="L29" s="24">
        <f>SUM(K29)+0.8</f>
        <v>15.600000000000001</v>
      </c>
      <c r="M29" s="24">
        <f>SUM(L29)+0.8</f>
        <v>16.400000000000002</v>
      </c>
      <c r="N29" s="121">
        <f>SUM(M29)+0.8</f>
        <v>17.200000000000003</v>
      </c>
    </row>
    <row r="30" spans="1:14" ht="14.1" customHeight="1">
      <c r="A30" s="38"/>
      <c r="B30" s="62" t="s">
        <v>247</v>
      </c>
      <c r="C30" s="63"/>
      <c r="D30" s="64"/>
      <c r="E30" s="65"/>
      <c r="F30" s="65"/>
      <c r="G30" s="66"/>
      <c r="H30" s="36"/>
      <c r="I30" s="36"/>
      <c r="J30" s="35"/>
      <c r="K30" s="36"/>
      <c r="L30" s="36"/>
      <c r="M30" s="36"/>
      <c r="N30" s="122"/>
    </row>
    <row r="31" spans="1:14" ht="14.1" customHeight="1">
      <c r="A31" s="38">
        <v>15</v>
      </c>
      <c r="B31" s="51" t="s">
        <v>234</v>
      </c>
      <c r="C31" s="52"/>
      <c r="D31" s="57"/>
      <c r="E31" s="57"/>
      <c r="F31" s="57"/>
      <c r="G31" s="57"/>
      <c r="H31" s="24">
        <v>31.5</v>
      </c>
      <c r="I31" s="24">
        <v>35</v>
      </c>
      <c r="J31" s="33">
        <v>38</v>
      </c>
      <c r="K31" s="24">
        <v>41</v>
      </c>
      <c r="L31" s="24">
        <v>44</v>
      </c>
      <c r="M31" s="24">
        <v>47</v>
      </c>
      <c r="N31" s="121">
        <v>50</v>
      </c>
    </row>
    <row r="32" spans="1:14" ht="14.1" customHeight="1">
      <c r="A32" s="38"/>
      <c r="B32" s="45" t="s">
        <v>235</v>
      </c>
      <c r="C32" s="46"/>
      <c r="D32" s="47" t="s">
        <v>236</v>
      </c>
      <c r="E32" s="48"/>
      <c r="F32" s="48"/>
      <c r="G32" s="49"/>
      <c r="H32" s="36"/>
      <c r="I32" s="36"/>
      <c r="J32" s="35"/>
      <c r="K32" s="36"/>
      <c r="L32" s="36"/>
      <c r="M32" s="36"/>
      <c r="N32" s="122"/>
    </row>
    <row r="33" spans="1:14" ht="14.1" customHeight="1">
      <c r="A33" s="38">
        <v>16</v>
      </c>
      <c r="B33" s="51" t="s">
        <v>176</v>
      </c>
      <c r="C33" s="52"/>
      <c r="D33" s="53"/>
      <c r="E33" s="54"/>
      <c r="F33" s="54"/>
      <c r="G33" s="55"/>
      <c r="H33" s="24">
        <f>SUM(I33)-0.6</f>
        <v>11.3</v>
      </c>
      <c r="I33" s="24">
        <f>SUM(J33)-0.6</f>
        <v>11.9</v>
      </c>
      <c r="J33" s="33">
        <v>12.5</v>
      </c>
      <c r="K33" s="24">
        <f>SUM(J33)+0.6</f>
        <v>13.1</v>
      </c>
      <c r="L33" s="24">
        <f>SUM(K33)+0.6</f>
        <v>13.7</v>
      </c>
      <c r="M33" s="24">
        <f>SUM(L33)+0.6</f>
        <v>14.299999999999999</v>
      </c>
      <c r="N33" s="121">
        <f>SUM(M33)+0.6</f>
        <v>14.899999999999999</v>
      </c>
    </row>
    <row r="34" spans="1:14" ht="14.1" customHeight="1">
      <c r="A34" s="38"/>
      <c r="B34" s="45" t="s">
        <v>175</v>
      </c>
      <c r="C34" s="46"/>
      <c r="D34" s="47" t="s">
        <v>212</v>
      </c>
      <c r="E34" s="48"/>
      <c r="F34" s="48"/>
      <c r="G34" s="49"/>
      <c r="H34" s="36"/>
      <c r="I34" s="36"/>
      <c r="J34" s="35"/>
      <c r="K34" s="36"/>
      <c r="L34" s="36"/>
      <c r="M34" s="36"/>
      <c r="N34" s="122"/>
    </row>
    <row r="35" spans="1:14" ht="14.1" customHeight="1">
      <c r="A35" s="38">
        <v>17</v>
      </c>
      <c r="B35" s="40" t="s">
        <v>174</v>
      </c>
      <c r="C35" s="41"/>
      <c r="D35" s="42" t="s">
        <v>106</v>
      </c>
      <c r="E35" s="43"/>
      <c r="F35" s="43"/>
      <c r="G35" s="44"/>
      <c r="H35" s="24">
        <f>SUM(I35)-0.4</f>
        <v>4.6999999999999993</v>
      </c>
      <c r="I35" s="24">
        <f>SUM(J35)-0.4</f>
        <v>5.0999999999999996</v>
      </c>
      <c r="J35" s="33">
        <v>5.5</v>
      </c>
      <c r="K35" s="24">
        <f>SUM(J35)+0.4</f>
        <v>5.9</v>
      </c>
      <c r="L35" s="24">
        <f>SUM(K35)+0.4</f>
        <v>6.3000000000000007</v>
      </c>
      <c r="M35" s="24">
        <f>SUM(L35)+0.4</f>
        <v>6.7000000000000011</v>
      </c>
      <c r="N35" s="121">
        <f>SUM(M35)+0.4</f>
        <v>7.1000000000000014</v>
      </c>
    </row>
    <row r="36" spans="1:14" ht="14.1" customHeight="1">
      <c r="A36" s="38"/>
      <c r="B36" s="45" t="s">
        <v>173</v>
      </c>
      <c r="C36" s="46"/>
      <c r="D36" s="47" t="s">
        <v>105</v>
      </c>
      <c r="E36" s="48"/>
      <c r="F36" s="48"/>
      <c r="G36" s="49"/>
      <c r="H36" s="36"/>
      <c r="I36" s="36"/>
      <c r="J36" s="35"/>
      <c r="K36" s="36"/>
      <c r="L36" s="36"/>
      <c r="M36" s="36"/>
      <c r="N36" s="122"/>
    </row>
    <row r="37" spans="1:14" ht="14.1" customHeight="1">
      <c r="A37" s="71">
        <v>18</v>
      </c>
      <c r="B37" s="40"/>
      <c r="C37" s="41"/>
      <c r="D37" s="100"/>
      <c r="E37" s="101"/>
      <c r="F37" s="101"/>
      <c r="G37" s="102"/>
      <c r="H37" s="50"/>
      <c r="I37" s="50"/>
      <c r="J37" s="117"/>
      <c r="K37" s="50"/>
      <c r="L37" s="50"/>
      <c r="M37" s="50"/>
      <c r="N37" s="127"/>
    </row>
    <row r="38" spans="1:14" ht="14.1" customHeight="1" thickBot="1">
      <c r="A38" s="39"/>
      <c r="B38" s="104"/>
      <c r="C38" s="105"/>
      <c r="D38" s="106"/>
      <c r="E38" s="107"/>
      <c r="F38" s="107"/>
      <c r="G38" s="108"/>
      <c r="H38" s="25"/>
      <c r="I38" s="25"/>
      <c r="J38" s="34"/>
      <c r="K38" s="25"/>
      <c r="L38" s="25"/>
      <c r="M38" s="25"/>
      <c r="N38" s="124"/>
    </row>
    <row r="39" spans="1:14" ht="14.1" customHeight="1"/>
    <row r="40" spans="1:14" ht="14.1" customHeight="1"/>
    <row r="41" spans="1:14" ht="14.1" customHeight="1"/>
    <row r="42" spans="1:14" ht="14.1" customHeight="1"/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19">
    <mergeCell ref="L3:L4"/>
    <mergeCell ref="M3:M4"/>
    <mergeCell ref="B4:C4"/>
    <mergeCell ref="D4:G4"/>
    <mergeCell ref="A1:N1"/>
    <mergeCell ref="N3:N4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A5:A6"/>
    <mergeCell ref="B5:C5"/>
    <mergeCell ref="D5:G5"/>
    <mergeCell ref="H5:H6"/>
    <mergeCell ref="I5:I6"/>
    <mergeCell ref="J5:J6"/>
    <mergeCell ref="K5:K6"/>
    <mergeCell ref="L5:L6"/>
    <mergeCell ref="M5:M6"/>
    <mergeCell ref="B6:C6"/>
    <mergeCell ref="D6:G6"/>
    <mergeCell ref="A7:A8"/>
    <mergeCell ref="B7:C7"/>
    <mergeCell ref="D7:G7"/>
    <mergeCell ref="H7:H8"/>
    <mergeCell ref="I7:I8"/>
    <mergeCell ref="J7:J8"/>
    <mergeCell ref="K7:K8"/>
    <mergeCell ref="L7:L8"/>
    <mergeCell ref="M7:M8"/>
    <mergeCell ref="B8:C8"/>
    <mergeCell ref="D8:G8"/>
    <mergeCell ref="A9:A10"/>
    <mergeCell ref="B9:C9"/>
    <mergeCell ref="D9:G9"/>
    <mergeCell ref="H9:H10"/>
    <mergeCell ref="I9:I10"/>
    <mergeCell ref="J9:J10"/>
    <mergeCell ref="K9:K10"/>
    <mergeCell ref="L9:L10"/>
    <mergeCell ref="M9:M10"/>
    <mergeCell ref="B10:C10"/>
    <mergeCell ref="D10:G10"/>
    <mergeCell ref="A11:A12"/>
    <mergeCell ref="B11:C11"/>
    <mergeCell ref="D11:G11"/>
    <mergeCell ref="H11:H12"/>
    <mergeCell ref="I11:I12"/>
    <mergeCell ref="J11:J12"/>
    <mergeCell ref="K11:K12"/>
    <mergeCell ref="L11:L12"/>
    <mergeCell ref="M11:M12"/>
    <mergeCell ref="B12:C12"/>
    <mergeCell ref="D12:G12"/>
    <mergeCell ref="A13:A14"/>
    <mergeCell ref="B13:C13"/>
    <mergeCell ref="D13:G13"/>
    <mergeCell ref="H13:H14"/>
    <mergeCell ref="I13:I14"/>
    <mergeCell ref="J13:J14"/>
    <mergeCell ref="K13:K14"/>
    <mergeCell ref="L13:L14"/>
    <mergeCell ref="M13:M14"/>
    <mergeCell ref="B14:C14"/>
    <mergeCell ref="D14:G14"/>
    <mergeCell ref="A15:A16"/>
    <mergeCell ref="B15:C15"/>
    <mergeCell ref="D15:G15"/>
    <mergeCell ref="H15:H16"/>
    <mergeCell ref="I15:I16"/>
    <mergeCell ref="J15:J16"/>
    <mergeCell ref="K15:K16"/>
    <mergeCell ref="L15:L16"/>
    <mergeCell ref="M15:M16"/>
    <mergeCell ref="B16:C16"/>
    <mergeCell ref="D16:G16"/>
    <mergeCell ref="A17:A18"/>
    <mergeCell ref="B17:C17"/>
    <mergeCell ref="D17:G17"/>
    <mergeCell ref="H17:H18"/>
    <mergeCell ref="I17:I18"/>
    <mergeCell ref="J17:J18"/>
    <mergeCell ref="K17:K18"/>
    <mergeCell ref="L17:L18"/>
    <mergeCell ref="M17:M18"/>
    <mergeCell ref="B18:C18"/>
    <mergeCell ref="D18:G18"/>
    <mergeCell ref="A21:A22"/>
    <mergeCell ref="B21:C21"/>
    <mergeCell ref="D21:G21"/>
    <mergeCell ref="H21:H22"/>
    <mergeCell ref="I21:I22"/>
    <mergeCell ref="J21:J22"/>
    <mergeCell ref="K21:K22"/>
    <mergeCell ref="L21:L22"/>
    <mergeCell ref="M21:M22"/>
    <mergeCell ref="B22:C22"/>
    <mergeCell ref="D22:G22"/>
    <mergeCell ref="A23:A24"/>
    <mergeCell ref="B23:C23"/>
    <mergeCell ref="D23:G23"/>
    <mergeCell ref="H23:H24"/>
    <mergeCell ref="I23:I24"/>
    <mergeCell ref="J23:J24"/>
    <mergeCell ref="K23:K24"/>
    <mergeCell ref="L23:L24"/>
    <mergeCell ref="M23:M24"/>
    <mergeCell ref="B24:C24"/>
    <mergeCell ref="D24:G24"/>
    <mergeCell ref="A25:A26"/>
    <mergeCell ref="B25:C25"/>
    <mergeCell ref="D25:G25"/>
    <mergeCell ref="H25:H26"/>
    <mergeCell ref="I25:I26"/>
    <mergeCell ref="J25:J26"/>
    <mergeCell ref="K25:K26"/>
    <mergeCell ref="L25:L26"/>
    <mergeCell ref="M25:M26"/>
    <mergeCell ref="B26:C26"/>
    <mergeCell ref="D26:G26"/>
    <mergeCell ref="A27:A28"/>
    <mergeCell ref="B27:C27"/>
    <mergeCell ref="D27:G27"/>
    <mergeCell ref="H27:H28"/>
    <mergeCell ref="I27:I28"/>
    <mergeCell ref="J27:J28"/>
    <mergeCell ref="K27:K28"/>
    <mergeCell ref="L27:L28"/>
    <mergeCell ref="M27:M28"/>
    <mergeCell ref="B28:C28"/>
    <mergeCell ref="D28:G28"/>
    <mergeCell ref="A31:A32"/>
    <mergeCell ref="B31:C31"/>
    <mergeCell ref="D31:G31"/>
    <mergeCell ref="H31:H32"/>
    <mergeCell ref="I31:I32"/>
    <mergeCell ref="J31:J32"/>
    <mergeCell ref="K31:K32"/>
    <mergeCell ref="L31:L32"/>
    <mergeCell ref="M31:M32"/>
    <mergeCell ref="B32:C32"/>
    <mergeCell ref="D32:G32"/>
    <mergeCell ref="A29:A30"/>
    <mergeCell ref="B29:C29"/>
    <mergeCell ref="D29:G29"/>
    <mergeCell ref="H29:H30"/>
    <mergeCell ref="I29:I30"/>
    <mergeCell ref="J29:J30"/>
    <mergeCell ref="K29:K30"/>
    <mergeCell ref="L29:L30"/>
    <mergeCell ref="M29:M30"/>
    <mergeCell ref="B30:C30"/>
    <mergeCell ref="D30:G30"/>
    <mergeCell ref="A19:A20"/>
    <mergeCell ref="B19:C19"/>
    <mergeCell ref="D19:G19"/>
    <mergeCell ref="H19:H20"/>
    <mergeCell ref="I19:I20"/>
    <mergeCell ref="J19:J20"/>
    <mergeCell ref="K19:K20"/>
    <mergeCell ref="L19:L20"/>
    <mergeCell ref="M19:M20"/>
    <mergeCell ref="B20:C20"/>
    <mergeCell ref="D20:G20"/>
    <mergeCell ref="A37:A38"/>
    <mergeCell ref="B37:C37"/>
    <mergeCell ref="D37:G37"/>
    <mergeCell ref="H37:H38"/>
    <mergeCell ref="I37:I38"/>
    <mergeCell ref="J37:J38"/>
    <mergeCell ref="K37:K38"/>
    <mergeCell ref="L37:L38"/>
    <mergeCell ref="M37:M38"/>
    <mergeCell ref="B38:C38"/>
    <mergeCell ref="D38:G38"/>
    <mergeCell ref="A33:A34"/>
    <mergeCell ref="B33:C33"/>
    <mergeCell ref="D33:G33"/>
    <mergeCell ref="H33:H34"/>
    <mergeCell ref="I33:I34"/>
    <mergeCell ref="J35:J36"/>
    <mergeCell ref="J33:J34"/>
    <mergeCell ref="K33:K34"/>
    <mergeCell ref="L33:L34"/>
    <mergeCell ref="A35:A36"/>
    <mergeCell ref="M33:M34"/>
    <mergeCell ref="B34:C34"/>
    <mergeCell ref="D34:G34"/>
    <mergeCell ref="K35:K36"/>
    <mergeCell ref="L35:L36"/>
    <mergeCell ref="M35:M36"/>
    <mergeCell ref="I35:I36"/>
    <mergeCell ref="B36:C36"/>
    <mergeCell ref="D36:G36"/>
    <mergeCell ref="B35:C35"/>
    <mergeCell ref="D35:G35"/>
    <mergeCell ref="H35:H36"/>
    <mergeCell ref="N23:N24"/>
    <mergeCell ref="N25:N26"/>
    <mergeCell ref="N27:N28"/>
    <mergeCell ref="N29:N30"/>
    <mergeCell ref="N31:N32"/>
    <mergeCell ref="N33:N34"/>
    <mergeCell ref="N35:N36"/>
    <mergeCell ref="N37:N38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</mergeCells>
  <phoneticPr fontId="2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8CEDC-812C-4F49-9B8A-462FC6A3FA75}">
  <sheetPr codeName="Sheet99">
    <tabColor rgb="FF00B050"/>
    <pageSetUpPr fitToPage="1"/>
  </sheetPr>
  <dimension ref="A1:N51"/>
  <sheetViews>
    <sheetView zoomScale="110" zoomScaleNormal="110" workbookViewId="0">
      <selection activeCell="U12" sqref="U12:U13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14" width="5.5" customWidth="1"/>
    <col min="15" max="15" width="8.75" customWidth="1"/>
  </cols>
  <sheetData>
    <row r="1" spans="1:14" ht="16.5" customHeight="1" thickBot="1">
      <c r="A1" s="67" t="s">
        <v>207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9"/>
    </row>
    <row r="2" spans="1:14" ht="16.5" customHeight="1" thickBot="1">
      <c r="A2" s="2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  <c r="N2" s="9" t="s">
        <v>229</v>
      </c>
    </row>
    <row r="3" spans="1:14" s="1" customFormat="1" ht="14.1" customHeight="1">
      <c r="A3" s="226">
        <v>1</v>
      </c>
      <c r="B3" s="40" t="s">
        <v>136</v>
      </c>
      <c r="C3" s="41"/>
      <c r="D3" s="100" t="s">
        <v>135</v>
      </c>
      <c r="E3" s="101"/>
      <c r="F3" s="101"/>
      <c r="G3" s="102"/>
      <c r="H3" s="174">
        <f>SUM(I3)-2.9</f>
        <v>28.200000000000003</v>
      </c>
      <c r="I3" s="24">
        <f>SUM(J3)-2.9</f>
        <v>31.1</v>
      </c>
      <c r="J3" s="75">
        <v>34</v>
      </c>
      <c r="K3" s="76">
        <f>SUM(J3)+2.4</f>
        <v>36.4</v>
      </c>
      <c r="L3" s="76">
        <f>SUM(K3)+2.4</f>
        <v>38.799999999999997</v>
      </c>
      <c r="M3" s="76">
        <f>SUM(L3)+2.4</f>
        <v>41.199999999999996</v>
      </c>
      <c r="N3" s="171">
        <f>SUM(M3)+2.4</f>
        <v>43.599999999999994</v>
      </c>
    </row>
    <row r="4" spans="1:14" s="1" customFormat="1" ht="14.1" customHeight="1">
      <c r="A4" s="38"/>
      <c r="B4" s="56" t="s">
        <v>36</v>
      </c>
      <c r="C4" s="56"/>
      <c r="D4" s="47" t="s">
        <v>134</v>
      </c>
      <c r="E4" s="48"/>
      <c r="F4" s="48"/>
      <c r="G4" s="48"/>
      <c r="H4" s="175"/>
      <c r="I4" s="36"/>
      <c r="J4" s="33"/>
      <c r="K4" s="24"/>
      <c r="L4" s="24"/>
      <c r="M4" s="24"/>
      <c r="N4" s="121"/>
    </row>
    <row r="5" spans="1:14" s="1" customFormat="1" ht="14.1" customHeight="1">
      <c r="A5" s="38">
        <v>2</v>
      </c>
      <c r="B5" s="51" t="s">
        <v>43</v>
      </c>
      <c r="C5" s="52"/>
      <c r="D5" s="59" t="s">
        <v>44</v>
      </c>
      <c r="E5" s="60"/>
      <c r="F5" s="60"/>
      <c r="G5" s="61"/>
      <c r="H5" s="174">
        <f>SUM(I5)-1.8</f>
        <v>28.4</v>
      </c>
      <c r="I5" s="24">
        <f>SUM(J5)-1.8</f>
        <v>30.2</v>
      </c>
      <c r="J5" s="23">
        <v>32</v>
      </c>
      <c r="K5" s="21">
        <f>SUM(J5)+1.6</f>
        <v>33.6</v>
      </c>
      <c r="L5" s="21">
        <f>SUM(K5)+1.6</f>
        <v>35.200000000000003</v>
      </c>
      <c r="M5" s="21">
        <f>SUM(L5)+1.6</f>
        <v>36.800000000000004</v>
      </c>
      <c r="N5" s="123">
        <f>SUM(M5)+1.6</f>
        <v>38.400000000000006</v>
      </c>
    </row>
    <row r="6" spans="1:14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175"/>
      <c r="I6" s="36"/>
      <c r="J6" s="23"/>
      <c r="K6" s="21"/>
      <c r="L6" s="21"/>
      <c r="M6" s="21"/>
      <c r="N6" s="123"/>
    </row>
    <row r="7" spans="1:14" s="1" customFormat="1" ht="14.1" customHeight="1">
      <c r="A7" s="38">
        <v>3</v>
      </c>
      <c r="B7" s="51" t="s">
        <v>41</v>
      </c>
      <c r="C7" s="52"/>
      <c r="D7" s="59" t="s">
        <v>123</v>
      </c>
      <c r="E7" s="60"/>
      <c r="F7" s="60"/>
      <c r="G7" s="61"/>
      <c r="H7" s="174">
        <f>SUM(I7)-2.25</f>
        <v>34.9</v>
      </c>
      <c r="I7" s="24">
        <f>SUM(J7)-2.25</f>
        <v>37.15</v>
      </c>
      <c r="J7" s="33">
        <v>39.4</v>
      </c>
      <c r="K7" s="24">
        <f>SUM(J7)+2</f>
        <v>41.4</v>
      </c>
      <c r="L7" s="24">
        <f>SUM(K7)+2</f>
        <v>43.4</v>
      </c>
      <c r="M7" s="24">
        <f>SUM(L7)+2</f>
        <v>45.4</v>
      </c>
      <c r="N7" s="121">
        <f>SUM(M7)+2</f>
        <v>47.4</v>
      </c>
    </row>
    <row r="8" spans="1:14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175"/>
      <c r="I8" s="36"/>
      <c r="J8" s="35"/>
      <c r="K8" s="36"/>
      <c r="L8" s="36"/>
      <c r="M8" s="36"/>
      <c r="N8" s="122"/>
    </row>
    <row r="9" spans="1:14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174">
        <f>SUM(I9)-2.25</f>
        <v>34.9</v>
      </c>
      <c r="I9" s="24">
        <f>SUM(J9)-2.25</f>
        <v>37.15</v>
      </c>
      <c r="J9" s="33">
        <v>39.4</v>
      </c>
      <c r="K9" s="24">
        <f>SUM(J9)+2</f>
        <v>41.4</v>
      </c>
      <c r="L9" s="24">
        <f>SUM(K9)+2</f>
        <v>43.4</v>
      </c>
      <c r="M9" s="24">
        <f>SUM(L9)+2</f>
        <v>45.4</v>
      </c>
      <c r="N9" s="121">
        <f>SUM(M9)+2</f>
        <v>47.4</v>
      </c>
    </row>
    <row r="10" spans="1:14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175"/>
      <c r="I10" s="36"/>
      <c r="J10" s="35"/>
      <c r="K10" s="36"/>
      <c r="L10" s="36"/>
      <c r="M10" s="36"/>
      <c r="N10" s="122"/>
    </row>
    <row r="11" spans="1:14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174">
        <f>SUM(I11)-0.8</f>
        <v>15.899999999999999</v>
      </c>
      <c r="I11" s="24">
        <f>SUM(J11)-0.8</f>
        <v>16.7</v>
      </c>
      <c r="J11" s="23">
        <v>17.5</v>
      </c>
      <c r="K11" s="21">
        <f>SUM(J11)+0.8</f>
        <v>18.3</v>
      </c>
      <c r="L11" s="21">
        <f>SUM(K11)+0.8</f>
        <v>19.100000000000001</v>
      </c>
      <c r="M11" s="21">
        <f>SUM(L11)+0.8</f>
        <v>19.900000000000002</v>
      </c>
      <c r="N11" s="123">
        <f>SUM(M11)+0.8</f>
        <v>20.700000000000003</v>
      </c>
    </row>
    <row r="12" spans="1:14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175"/>
      <c r="I12" s="36"/>
      <c r="J12" s="23"/>
      <c r="K12" s="21"/>
      <c r="L12" s="21"/>
      <c r="M12" s="21"/>
      <c r="N12" s="123"/>
    </row>
    <row r="13" spans="1:14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174">
        <f>SUM(I13)-0.6</f>
        <v>12.100000000000001</v>
      </c>
      <c r="I13" s="24">
        <f>SUM(J13)-0.6</f>
        <v>12.700000000000001</v>
      </c>
      <c r="J13" s="23">
        <v>13.3</v>
      </c>
      <c r="K13" s="21">
        <f>SUM(J13)+0.6</f>
        <v>13.9</v>
      </c>
      <c r="L13" s="21">
        <f>SUM(K13)+0.6</f>
        <v>14.5</v>
      </c>
      <c r="M13" s="21">
        <f>SUM(L13)+0.6</f>
        <v>15.1</v>
      </c>
      <c r="N13" s="123">
        <f>SUM(M13)+0.6</f>
        <v>15.7</v>
      </c>
    </row>
    <row r="14" spans="1:14" s="1" customFormat="1" ht="14.1" customHeight="1">
      <c r="A14" s="38"/>
      <c r="B14" s="56" t="s">
        <v>29</v>
      </c>
      <c r="C14" s="56"/>
      <c r="D14" s="47" t="s">
        <v>52</v>
      </c>
      <c r="E14" s="48"/>
      <c r="F14" s="48"/>
      <c r="G14" s="49"/>
      <c r="H14" s="175"/>
      <c r="I14" s="36"/>
      <c r="J14" s="23"/>
      <c r="K14" s="21"/>
      <c r="L14" s="21"/>
      <c r="M14" s="21"/>
      <c r="N14" s="123"/>
    </row>
    <row r="15" spans="1:14" s="1" customFormat="1" ht="14.1" customHeight="1">
      <c r="A15" s="38">
        <v>7</v>
      </c>
      <c r="B15" s="58" t="s">
        <v>2</v>
      </c>
      <c r="C15" s="58"/>
      <c r="D15" s="57"/>
      <c r="E15" s="57"/>
      <c r="F15" s="57"/>
      <c r="G15" s="57"/>
      <c r="H15" s="174">
        <f>SUM(I15)-0.9</f>
        <v>16.800000000000004</v>
      </c>
      <c r="I15" s="24">
        <f>SUM(J15)-0.9</f>
        <v>17.700000000000003</v>
      </c>
      <c r="J15" s="23">
        <v>18.600000000000001</v>
      </c>
      <c r="K15" s="21">
        <f>SUM(J15)+0.9</f>
        <v>19.5</v>
      </c>
      <c r="L15" s="21">
        <f>SUM(K15)+0.9</f>
        <v>20.399999999999999</v>
      </c>
      <c r="M15" s="21">
        <f>SUM(L15)+0.9</f>
        <v>21.299999999999997</v>
      </c>
      <c r="N15" s="123">
        <f>SUM(M15)+0.9</f>
        <v>22.199999999999996</v>
      </c>
    </row>
    <row r="16" spans="1:14" s="1" customFormat="1" ht="14.1" customHeight="1">
      <c r="A16" s="38"/>
      <c r="B16" s="56" t="s">
        <v>30</v>
      </c>
      <c r="C16" s="56"/>
      <c r="D16" s="47" t="s">
        <v>208</v>
      </c>
      <c r="E16" s="48"/>
      <c r="F16" s="48"/>
      <c r="G16" s="49"/>
      <c r="H16" s="175"/>
      <c r="I16" s="36"/>
      <c r="J16" s="23"/>
      <c r="K16" s="21"/>
      <c r="L16" s="21"/>
      <c r="M16" s="21"/>
      <c r="N16" s="123"/>
    </row>
    <row r="17" spans="1:14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174"/>
      <c r="I17" s="24"/>
      <c r="J17" s="23"/>
      <c r="K17" s="21"/>
      <c r="L17" s="21"/>
      <c r="M17" s="21"/>
      <c r="N17" s="123"/>
    </row>
    <row r="18" spans="1:14" s="1" customFormat="1" ht="14.1" customHeight="1">
      <c r="A18" s="38"/>
      <c r="B18" s="56" t="s">
        <v>37</v>
      </c>
      <c r="C18" s="56"/>
      <c r="D18" s="47" t="s">
        <v>107</v>
      </c>
      <c r="E18" s="48"/>
      <c r="F18" s="48"/>
      <c r="G18" s="49"/>
      <c r="H18" s="175"/>
      <c r="I18" s="36"/>
      <c r="J18" s="23"/>
      <c r="K18" s="21"/>
      <c r="L18" s="21"/>
      <c r="M18" s="21"/>
      <c r="N18" s="123"/>
    </row>
    <row r="19" spans="1:14" s="1" customFormat="1" ht="14.1" customHeight="1">
      <c r="A19" s="38">
        <v>9</v>
      </c>
      <c r="B19" s="58" t="s">
        <v>4</v>
      </c>
      <c r="C19" s="58"/>
      <c r="D19" s="57" t="s">
        <v>5</v>
      </c>
      <c r="E19" s="57"/>
      <c r="F19" s="57"/>
      <c r="G19" s="57"/>
      <c r="H19" s="174">
        <f>SUM(I19)-3.6</f>
        <v>32.699999999999996</v>
      </c>
      <c r="I19" s="24">
        <f>SUM(J19)-3.6</f>
        <v>36.299999999999997</v>
      </c>
      <c r="J19" s="23">
        <v>39.9</v>
      </c>
      <c r="K19" s="21">
        <f>SUM(J19)+3.7</f>
        <v>43.6</v>
      </c>
      <c r="L19" s="21">
        <f>SUM(K19)+3.7</f>
        <v>47.300000000000004</v>
      </c>
      <c r="M19" s="21">
        <f>SUM(L19)+3.7</f>
        <v>51.000000000000007</v>
      </c>
      <c r="N19" s="123">
        <f>SUM(M19)+3.7</f>
        <v>54.70000000000001</v>
      </c>
    </row>
    <row r="20" spans="1:14" s="1" customFormat="1" ht="14.1" customHeight="1">
      <c r="A20" s="38"/>
      <c r="B20" s="56" t="s">
        <v>31</v>
      </c>
      <c r="C20" s="56"/>
      <c r="D20" s="47" t="s">
        <v>54</v>
      </c>
      <c r="E20" s="48"/>
      <c r="F20" s="48"/>
      <c r="G20" s="49"/>
      <c r="H20" s="175"/>
      <c r="I20" s="36"/>
      <c r="J20" s="23"/>
      <c r="K20" s="21"/>
      <c r="L20" s="21"/>
      <c r="M20" s="21"/>
      <c r="N20" s="123"/>
    </row>
    <row r="21" spans="1:14" s="1" customFormat="1" ht="14.1" customHeight="1">
      <c r="A21" s="38">
        <v>10</v>
      </c>
      <c r="B21" s="58" t="s">
        <v>6</v>
      </c>
      <c r="C21" s="58"/>
      <c r="D21" s="59" t="s">
        <v>7</v>
      </c>
      <c r="E21" s="60"/>
      <c r="F21" s="60"/>
      <c r="G21" s="61"/>
      <c r="H21" s="174">
        <f>SUM(I21)-1.5</f>
        <v>28.9</v>
      </c>
      <c r="I21" s="24">
        <f>SUM(J21)-1.5</f>
        <v>30.4</v>
      </c>
      <c r="J21" s="23">
        <v>31.9</v>
      </c>
      <c r="K21" s="21">
        <f>SUM(J21)+1.5</f>
        <v>33.4</v>
      </c>
      <c r="L21" s="21">
        <f>SUM(K21)+1.5</f>
        <v>34.9</v>
      </c>
      <c r="M21" s="21">
        <f>SUM(L21)+1.5</f>
        <v>36.4</v>
      </c>
      <c r="N21" s="123">
        <f>SUM(M21)+1.5</f>
        <v>37.9</v>
      </c>
    </row>
    <row r="22" spans="1:14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9"/>
      <c r="H22" s="175"/>
      <c r="I22" s="36"/>
      <c r="J22" s="23"/>
      <c r="K22" s="21"/>
      <c r="L22" s="21"/>
      <c r="M22" s="21"/>
      <c r="N22" s="123"/>
    </row>
    <row r="23" spans="1:14" s="1" customFormat="1" ht="14.1" customHeight="1">
      <c r="A23" s="38">
        <v>11</v>
      </c>
      <c r="B23" s="51" t="s">
        <v>122</v>
      </c>
      <c r="C23" s="52"/>
      <c r="D23" s="57"/>
      <c r="E23" s="57"/>
      <c r="F23" s="57"/>
      <c r="G23" s="57"/>
      <c r="H23" s="174">
        <f>SUM(I23)-1</f>
        <v>23</v>
      </c>
      <c r="I23" s="24">
        <f>SUM(J23)-1</f>
        <v>24</v>
      </c>
      <c r="J23" s="23">
        <v>25</v>
      </c>
      <c r="K23" s="21">
        <f>SUM(J23)+1</f>
        <v>26</v>
      </c>
      <c r="L23" s="21">
        <f>SUM(K23)+1</f>
        <v>27</v>
      </c>
      <c r="M23" s="21">
        <f>SUM(L23)+1</f>
        <v>28</v>
      </c>
      <c r="N23" s="123">
        <f>SUM(M23)+1</f>
        <v>29</v>
      </c>
    </row>
    <row r="24" spans="1:14" s="1" customFormat="1" ht="14.1" customHeight="1">
      <c r="A24" s="38"/>
      <c r="B24" s="56" t="s">
        <v>33</v>
      </c>
      <c r="C24" s="56"/>
      <c r="D24" s="47" t="s">
        <v>133</v>
      </c>
      <c r="E24" s="48"/>
      <c r="F24" s="48"/>
      <c r="G24" s="49"/>
      <c r="H24" s="175"/>
      <c r="I24" s="36"/>
      <c r="J24" s="23"/>
      <c r="K24" s="21"/>
      <c r="L24" s="21"/>
      <c r="M24" s="21"/>
      <c r="N24" s="123"/>
    </row>
    <row r="25" spans="1:14" s="1" customFormat="1" ht="14.1" customHeight="1">
      <c r="A25" s="38">
        <v>12</v>
      </c>
      <c r="B25" s="51" t="s">
        <v>209</v>
      </c>
      <c r="C25" s="52"/>
      <c r="D25" s="57"/>
      <c r="E25" s="57"/>
      <c r="F25" s="57"/>
      <c r="G25" s="57"/>
      <c r="H25" s="174">
        <f>SUM(I25)-0.5</f>
        <v>9.5</v>
      </c>
      <c r="I25" s="24">
        <f>SUM(J25)-0.5</f>
        <v>10</v>
      </c>
      <c r="J25" s="33">
        <v>10.5</v>
      </c>
      <c r="K25" s="24">
        <f>SUM(J25)+0.5</f>
        <v>11</v>
      </c>
      <c r="L25" s="24">
        <f>SUM(K25)+0.5</f>
        <v>11.5</v>
      </c>
      <c r="M25" s="24">
        <f>SUM(L25)+0.5</f>
        <v>12</v>
      </c>
      <c r="N25" s="121">
        <f>SUM(M25)+0.5</f>
        <v>12.5</v>
      </c>
    </row>
    <row r="26" spans="1:14" s="1" customFormat="1" ht="14.1" customHeight="1">
      <c r="A26" s="38"/>
      <c r="B26" s="45" t="s">
        <v>210</v>
      </c>
      <c r="C26" s="46"/>
      <c r="D26" s="47"/>
      <c r="E26" s="48"/>
      <c r="F26" s="48"/>
      <c r="G26" s="49"/>
      <c r="H26" s="175"/>
      <c r="I26" s="36"/>
      <c r="J26" s="35"/>
      <c r="K26" s="36"/>
      <c r="L26" s="36"/>
      <c r="M26" s="36"/>
      <c r="N26" s="122"/>
    </row>
    <row r="27" spans="1:14" s="1" customFormat="1" ht="14.1" customHeight="1">
      <c r="A27" s="38">
        <v>13</v>
      </c>
      <c r="B27" s="40" t="s">
        <v>89</v>
      </c>
      <c r="C27" s="41"/>
      <c r="D27" s="101" t="s">
        <v>128</v>
      </c>
      <c r="E27" s="101"/>
      <c r="F27" s="101"/>
      <c r="G27" s="101"/>
      <c r="H27" s="174">
        <f>SUM(I27)-0.3</f>
        <v>5.5</v>
      </c>
      <c r="I27" s="24">
        <f>SUM(J27)-0.3</f>
        <v>5.8</v>
      </c>
      <c r="J27" s="23">
        <v>6.1</v>
      </c>
      <c r="K27" s="21">
        <f>SUM(J27)+0.3</f>
        <v>6.3999999999999995</v>
      </c>
      <c r="L27" s="21">
        <f>SUM(K27)+0.3</f>
        <v>6.6999999999999993</v>
      </c>
      <c r="M27" s="21">
        <f>SUM(L27)+0.3</f>
        <v>6.9999999999999991</v>
      </c>
      <c r="N27" s="123">
        <f>SUM(M27)+0.3</f>
        <v>7.2999999999999989</v>
      </c>
    </row>
    <row r="28" spans="1:14" s="1" customFormat="1" ht="14.1" customHeight="1" thickBot="1">
      <c r="A28" s="39"/>
      <c r="B28" s="110" t="s">
        <v>39</v>
      </c>
      <c r="C28" s="110"/>
      <c r="D28" s="30" t="s">
        <v>127</v>
      </c>
      <c r="E28" s="31"/>
      <c r="F28" s="31"/>
      <c r="G28" s="32"/>
      <c r="H28" s="177"/>
      <c r="I28" s="25"/>
      <c r="J28" s="218"/>
      <c r="K28" s="216"/>
      <c r="L28" s="216"/>
      <c r="M28" s="216"/>
      <c r="N28" s="229"/>
    </row>
    <row r="29" spans="1:14" s="1" customFormat="1" ht="14.1" customHeight="1"/>
    <row r="30" spans="1:14" s="1" customFormat="1" ht="14.1" customHeight="1"/>
    <row r="31" spans="1:14" s="1" customFormat="1" ht="14.1" customHeight="1"/>
    <row r="32" spans="1:14" s="1" customFormat="1" ht="14.1" customHeight="1"/>
    <row r="33" s="1" customFormat="1" ht="14.1" customHeight="1"/>
    <row r="34" s="1" customFormat="1" ht="14.1" customHeight="1"/>
    <row r="35" s="1" customFormat="1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9">
    <mergeCell ref="N27:N28"/>
    <mergeCell ref="A1:N1"/>
    <mergeCell ref="N15:N16"/>
    <mergeCell ref="N17:N18"/>
    <mergeCell ref="N19:N20"/>
    <mergeCell ref="N21:N22"/>
    <mergeCell ref="N23:N24"/>
    <mergeCell ref="N25:N26"/>
    <mergeCell ref="N3:N4"/>
    <mergeCell ref="N5:N6"/>
    <mergeCell ref="N7:N8"/>
    <mergeCell ref="N9:N10"/>
    <mergeCell ref="N11:N12"/>
    <mergeCell ref="N13:N14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B26:C26"/>
    <mergeCell ref="D26:G26"/>
    <mergeCell ref="K27:K28"/>
    <mergeCell ref="L27:L28"/>
    <mergeCell ref="M27:M28"/>
    <mergeCell ref="B28:C28"/>
    <mergeCell ref="A25:A26"/>
    <mergeCell ref="B25:C25"/>
    <mergeCell ref="D25:G25"/>
    <mergeCell ref="H25:H26"/>
    <mergeCell ref="I25:I26"/>
    <mergeCell ref="J25:J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I7:I8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I3:I4"/>
    <mergeCell ref="J3:J4"/>
    <mergeCell ref="K3:K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6:C6"/>
    <mergeCell ref="B2:C2"/>
    <mergeCell ref="D2:G2"/>
    <mergeCell ref="A3:A4"/>
    <mergeCell ref="B3:C3"/>
    <mergeCell ref="D3:G3"/>
    <mergeCell ref="H3:H4"/>
    <mergeCell ref="A7:A8"/>
    <mergeCell ref="B7:C7"/>
    <mergeCell ref="D7:G7"/>
    <mergeCell ref="H7:H8"/>
    <mergeCell ref="D6:G6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0DAA0-D025-4DAE-8415-884B8D36935D}">
  <sheetPr>
    <tabColor rgb="FF00B050"/>
    <pageSetUpPr fitToPage="1"/>
  </sheetPr>
  <dimension ref="A1:N51"/>
  <sheetViews>
    <sheetView topLeftCell="A4" zoomScale="110" zoomScaleNormal="110" workbookViewId="0">
      <selection activeCell="B23" sqref="B23:G24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67" t="s">
        <v>453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2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226">
        <v>1</v>
      </c>
      <c r="B3" s="40" t="s">
        <v>136</v>
      </c>
      <c r="C3" s="41"/>
      <c r="D3" s="100" t="s">
        <v>135</v>
      </c>
      <c r="E3" s="101"/>
      <c r="F3" s="101"/>
      <c r="G3" s="102"/>
      <c r="H3" s="24">
        <f>SUM(I3)-3.4</f>
        <v>32.700000000000003</v>
      </c>
      <c r="I3" s="24">
        <f>SUM(J3)-3.4</f>
        <v>36.1</v>
      </c>
      <c r="J3" s="75">
        <v>39.5</v>
      </c>
      <c r="K3" s="76">
        <f>SUM(J3)+2.9</f>
        <v>42.4</v>
      </c>
      <c r="L3" s="76">
        <f>SUM(K3)+2.9</f>
        <v>45.3</v>
      </c>
      <c r="M3" s="77">
        <f>SUM(L3)+2.9</f>
        <v>48.199999999999996</v>
      </c>
    </row>
    <row r="4" spans="1:13" s="1" customFormat="1" ht="14.1" customHeight="1">
      <c r="A4" s="38"/>
      <c r="B4" s="56" t="s">
        <v>36</v>
      </c>
      <c r="C4" s="56"/>
      <c r="D4" s="47" t="s">
        <v>134</v>
      </c>
      <c r="E4" s="48"/>
      <c r="F4" s="48"/>
      <c r="G4" s="48"/>
      <c r="H4" s="36"/>
      <c r="I4" s="36"/>
      <c r="J4" s="33"/>
      <c r="K4" s="24"/>
      <c r="L4" s="24"/>
      <c r="M4" s="26"/>
    </row>
    <row r="5" spans="1:13" s="1" customFormat="1" ht="14.1" customHeight="1">
      <c r="A5" s="38">
        <v>2</v>
      </c>
      <c r="B5" s="51" t="s">
        <v>43</v>
      </c>
      <c r="C5" s="52"/>
      <c r="D5" s="59" t="s">
        <v>44</v>
      </c>
      <c r="E5" s="60"/>
      <c r="F5" s="60"/>
      <c r="G5" s="61"/>
      <c r="H5" s="24">
        <f>SUM(I5)-2.2</f>
        <v>40.599999999999994</v>
      </c>
      <c r="I5" s="24">
        <f>SUM(J5)-2.2</f>
        <v>42.8</v>
      </c>
      <c r="J5" s="23">
        <v>45</v>
      </c>
      <c r="K5" s="21">
        <f>SUM(J5)+2</f>
        <v>47</v>
      </c>
      <c r="L5" s="21">
        <f>SUM(K5)+2</f>
        <v>49</v>
      </c>
      <c r="M5" s="22">
        <f>SUM(L5)+2</f>
        <v>51</v>
      </c>
    </row>
    <row r="6" spans="1:13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23"/>
      <c r="K6" s="21"/>
      <c r="L6" s="21"/>
      <c r="M6" s="22"/>
    </row>
    <row r="7" spans="1:13" s="1" customFormat="1" ht="14.1" customHeight="1">
      <c r="A7" s="38">
        <v>3</v>
      </c>
      <c r="B7" s="51" t="s">
        <v>41</v>
      </c>
      <c r="C7" s="52"/>
      <c r="D7" s="59" t="s">
        <v>123</v>
      </c>
      <c r="E7" s="60"/>
      <c r="F7" s="60"/>
      <c r="G7" s="61"/>
      <c r="H7" s="24">
        <f>SUM(I7)-2.25</f>
        <v>39.5</v>
      </c>
      <c r="I7" s="24">
        <f>SUM(J7)-2.25</f>
        <v>41.75</v>
      </c>
      <c r="J7" s="33">
        <v>44</v>
      </c>
      <c r="K7" s="24">
        <f>SUM(J7)+2</f>
        <v>46</v>
      </c>
      <c r="L7" s="24">
        <f>SUM(K7)+2</f>
        <v>48</v>
      </c>
      <c r="M7" s="26">
        <f>SUM(L7)+2</f>
        <v>50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37"/>
    </row>
    <row r="9" spans="1:13" s="1" customFormat="1" ht="14.1" customHeight="1">
      <c r="A9" s="38">
        <v>4</v>
      </c>
      <c r="B9" s="58" t="s">
        <v>227</v>
      </c>
      <c r="C9" s="58"/>
      <c r="D9" s="57"/>
      <c r="E9" s="57"/>
      <c r="F9" s="57"/>
      <c r="G9" s="57"/>
      <c r="H9" s="24">
        <f>SUM(I9)-3.5</f>
        <v>65</v>
      </c>
      <c r="I9" s="24">
        <f>SUM(J9)-3.5</f>
        <v>68.5</v>
      </c>
      <c r="J9" s="33">
        <v>72</v>
      </c>
      <c r="K9" s="24">
        <f>SUM(J9)+3.5</f>
        <v>75.5</v>
      </c>
      <c r="L9" s="24">
        <f>SUM(K9)+3.5</f>
        <v>79</v>
      </c>
      <c r="M9" s="26">
        <f>SUM(L9)+3.5</f>
        <v>82.5</v>
      </c>
    </row>
    <row r="10" spans="1:13" s="1" customFormat="1" ht="14.1" customHeight="1">
      <c r="A10" s="38"/>
      <c r="B10" s="56" t="s">
        <v>228</v>
      </c>
      <c r="C10" s="56"/>
      <c r="D10" s="47" t="s">
        <v>462</v>
      </c>
      <c r="E10" s="48"/>
      <c r="F10" s="48"/>
      <c r="G10" s="49"/>
      <c r="H10" s="36"/>
      <c r="I10" s="36"/>
      <c r="J10" s="35"/>
      <c r="K10" s="36"/>
      <c r="L10" s="36"/>
      <c r="M10" s="37"/>
    </row>
    <row r="11" spans="1:13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SUM(I11)-0.8</f>
        <v>15.899999999999999</v>
      </c>
      <c r="I11" s="24">
        <f>SUM(J11)-0.8</f>
        <v>16.7</v>
      </c>
      <c r="J11" s="23">
        <v>17.5</v>
      </c>
      <c r="K11" s="21">
        <f>SUM(J11)+0.8</f>
        <v>18.3</v>
      </c>
      <c r="L11" s="21">
        <f>SUM(K11)+0.8</f>
        <v>19.100000000000001</v>
      </c>
      <c r="M11" s="22">
        <f>SUM(L11)+0.8</f>
        <v>19.900000000000002</v>
      </c>
    </row>
    <row r="12" spans="1:13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2"/>
    </row>
    <row r="13" spans="1:13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12.8</v>
      </c>
      <c r="I13" s="24">
        <f>SUM(J13)-0.6</f>
        <v>13.4</v>
      </c>
      <c r="J13" s="23">
        <v>14</v>
      </c>
      <c r="K13" s="21">
        <f>SUM(J13)+0.6</f>
        <v>14.6</v>
      </c>
      <c r="L13" s="21">
        <f>SUM(K13)+0.6</f>
        <v>15.2</v>
      </c>
      <c r="M13" s="22">
        <f>SUM(L13)+0.6</f>
        <v>15.799999999999999</v>
      </c>
    </row>
    <row r="14" spans="1:13" s="1" customFormat="1" ht="14.1" customHeight="1">
      <c r="A14" s="38"/>
      <c r="B14" s="56" t="s">
        <v>29</v>
      </c>
      <c r="C14" s="56"/>
      <c r="D14" s="47" t="s">
        <v>52</v>
      </c>
      <c r="E14" s="48"/>
      <c r="F14" s="48"/>
      <c r="G14" s="49"/>
      <c r="H14" s="36"/>
      <c r="I14" s="36"/>
      <c r="J14" s="23"/>
      <c r="K14" s="21"/>
      <c r="L14" s="21"/>
      <c r="M14" s="22"/>
    </row>
    <row r="15" spans="1:13" s="1" customFormat="1" ht="14.1" customHeight="1">
      <c r="A15" s="38">
        <v>7</v>
      </c>
      <c r="B15" s="58" t="s">
        <v>2</v>
      </c>
      <c r="C15" s="58"/>
      <c r="D15" s="57"/>
      <c r="E15" s="57"/>
      <c r="F15" s="57"/>
      <c r="G15" s="57"/>
      <c r="H15" s="24">
        <f>SUM(I15)-0.3</f>
        <v>7.1000000000000005</v>
      </c>
      <c r="I15" s="24">
        <f>SUM(J15)-0.3</f>
        <v>7.4</v>
      </c>
      <c r="J15" s="23">
        <v>7.7</v>
      </c>
      <c r="K15" s="21">
        <f>SUM(J15)+0.3</f>
        <v>8</v>
      </c>
      <c r="L15" s="21">
        <f>SUM(K15)+0.3</f>
        <v>8.3000000000000007</v>
      </c>
      <c r="M15" s="22">
        <f>SUM(L15)+0.3</f>
        <v>8.6000000000000014</v>
      </c>
    </row>
    <row r="16" spans="1:13" s="1" customFormat="1" ht="14.1" customHeight="1">
      <c r="A16" s="38"/>
      <c r="B16" s="56" t="s">
        <v>30</v>
      </c>
      <c r="C16" s="56"/>
      <c r="D16" s="47" t="s">
        <v>208</v>
      </c>
      <c r="E16" s="48"/>
      <c r="F16" s="48"/>
      <c r="G16" s="49"/>
      <c r="H16" s="36"/>
      <c r="I16" s="36"/>
      <c r="J16" s="23"/>
      <c r="K16" s="21"/>
      <c r="L16" s="21"/>
      <c r="M16" s="22"/>
    </row>
    <row r="17" spans="1:13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34.799999999999997</v>
      </c>
      <c r="I17" s="24">
        <f>SUM(J17)-1.6</f>
        <v>36.4</v>
      </c>
      <c r="J17" s="23">
        <v>38</v>
      </c>
      <c r="K17" s="21">
        <f>SUM(J17)+1.6</f>
        <v>39.6</v>
      </c>
      <c r="L17" s="21">
        <f>SUM(K17)+1.6</f>
        <v>41.2</v>
      </c>
      <c r="M17" s="22">
        <f>SUM(L17)+1.6</f>
        <v>42.800000000000004</v>
      </c>
    </row>
    <row r="18" spans="1:13" s="1" customFormat="1" ht="14.1" customHeight="1">
      <c r="A18" s="38"/>
      <c r="B18" s="56" t="s">
        <v>37</v>
      </c>
      <c r="C18" s="56"/>
      <c r="D18" s="47" t="s">
        <v>395</v>
      </c>
      <c r="E18" s="48"/>
      <c r="F18" s="48"/>
      <c r="G18" s="49"/>
      <c r="H18" s="36"/>
      <c r="I18" s="36"/>
      <c r="J18" s="23"/>
      <c r="K18" s="21"/>
      <c r="L18" s="21"/>
      <c r="M18" s="22"/>
    </row>
    <row r="19" spans="1:13" s="1" customFormat="1" ht="14.1" customHeight="1">
      <c r="A19" s="38">
        <v>9</v>
      </c>
      <c r="B19" s="58" t="s">
        <v>4</v>
      </c>
      <c r="C19" s="58"/>
      <c r="D19" s="57" t="s">
        <v>5</v>
      </c>
      <c r="E19" s="57"/>
      <c r="F19" s="57"/>
      <c r="G19" s="57"/>
      <c r="H19" s="24">
        <f>SUM(I19)-3.4</f>
        <v>26.200000000000003</v>
      </c>
      <c r="I19" s="24">
        <f>SUM(J19)-3.4</f>
        <v>29.6</v>
      </c>
      <c r="J19" s="23">
        <v>33</v>
      </c>
      <c r="K19" s="21">
        <f>SUM(J19)+3.5</f>
        <v>36.5</v>
      </c>
      <c r="L19" s="21">
        <f>SUM(K19)+3.5</f>
        <v>40</v>
      </c>
      <c r="M19" s="22">
        <f>SUM(L19)+3.5</f>
        <v>43.5</v>
      </c>
    </row>
    <row r="20" spans="1:13" s="1" customFormat="1" ht="14.1" customHeight="1">
      <c r="A20" s="38"/>
      <c r="B20" s="56" t="s">
        <v>31</v>
      </c>
      <c r="C20" s="56"/>
      <c r="D20" s="47" t="s">
        <v>54</v>
      </c>
      <c r="E20" s="48"/>
      <c r="F20" s="48"/>
      <c r="G20" s="49"/>
      <c r="H20" s="36"/>
      <c r="I20" s="36"/>
      <c r="J20" s="23"/>
      <c r="K20" s="21"/>
      <c r="L20" s="21"/>
      <c r="M20" s="22"/>
    </row>
    <row r="21" spans="1:13" s="1" customFormat="1" ht="14.1" customHeight="1">
      <c r="A21" s="38">
        <v>10</v>
      </c>
      <c r="B21" s="58" t="s">
        <v>6</v>
      </c>
      <c r="C21" s="58"/>
      <c r="D21" s="59" t="s">
        <v>7</v>
      </c>
      <c r="E21" s="60"/>
      <c r="F21" s="60"/>
      <c r="G21" s="61"/>
      <c r="H21" s="24">
        <f>SUM(I21)-1.6</f>
        <v>32</v>
      </c>
      <c r="I21" s="24">
        <f>SUM(J21)-1.6</f>
        <v>33.6</v>
      </c>
      <c r="J21" s="23">
        <v>35.200000000000003</v>
      </c>
      <c r="K21" s="21">
        <f>SUM(J21)+1.6</f>
        <v>36.800000000000004</v>
      </c>
      <c r="L21" s="21">
        <f>SUM(K21)+1.6</f>
        <v>38.400000000000006</v>
      </c>
      <c r="M21" s="22">
        <f>SUM(L21)+1.6</f>
        <v>40.000000000000007</v>
      </c>
    </row>
    <row r="22" spans="1:13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9"/>
      <c r="H22" s="36"/>
      <c r="I22" s="36"/>
      <c r="J22" s="23"/>
      <c r="K22" s="21"/>
      <c r="L22" s="21"/>
      <c r="M22" s="22"/>
    </row>
    <row r="23" spans="1:13" s="1" customFormat="1" ht="14.1" customHeight="1">
      <c r="A23" s="38">
        <v>11</v>
      </c>
      <c r="B23" s="51" t="s">
        <v>230</v>
      </c>
      <c r="C23" s="52"/>
      <c r="D23" s="57"/>
      <c r="E23" s="57"/>
      <c r="F23" s="57"/>
      <c r="G23" s="57"/>
      <c r="H23" s="24">
        <f>SUM(I23)-0.6</f>
        <v>16.799999999999997</v>
      </c>
      <c r="I23" s="24">
        <f>SUM(J23)-0.6</f>
        <v>17.399999999999999</v>
      </c>
      <c r="J23" s="23">
        <v>18</v>
      </c>
      <c r="K23" s="21">
        <f>SUM(J23)+0.6</f>
        <v>18.600000000000001</v>
      </c>
      <c r="L23" s="21">
        <f>SUM(K23)+0.6</f>
        <v>19.200000000000003</v>
      </c>
      <c r="M23" s="22">
        <f>SUM(L23)+0.6</f>
        <v>19.800000000000004</v>
      </c>
    </row>
    <row r="24" spans="1:13" s="1" customFormat="1" ht="14.1" customHeight="1">
      <c r="A24" s="38"/>
      <c r="B24" s="56" t="s">
        <v>231</v>
      </c>
      <c r="C24" s="56"/>
      <c r="D24" s="47" t="s">
        <v>454</v>
      </c>
      <c r="E24" s="48"/>
      <c r="F24" s="48"/>
      <c r="G24" s="49"/>
      <c r="H24" s="36"/>
      <c r="I24" s="36"/>
      <c r="J24" s="23"/>
      <c r="K24" s="21"/>
      <c r="L24" s="21"/>
      <c r="M24" s="22"/>
    </row>
    <row r="25" spans="1:13" s="1" customFormat="1" ht="14.1" customHeight="1">
      <c r="A25" s="38">
        <v>12</v>
      </c>
      <c r="B25" s="51" t="s">
        <v>456</v>
      </c>
      <c r="C25" s="52"/>
      <c r="D25" s="57"/>
      <c r="E25" s="57"/>
      <c r="F25" s="57"/>
      <c r="G25" s="57"/>
      <c r="H25" s="24">
        <f>SUM(I25)-0.3</f>
        <v>5.8000000000000007</v>
      </c>
      <c r="I25" s="24">
        <f>SUM(J25)-0.3</f>
        <v>6.1000000000000005</v>
      </c>
      <c r="J25" s="33">
        <v>6.4</v>
      </c>
      <c r="K25" s="24">
        <f>SUM(J25)+0.3</f>
        <v>6.7</v>
      </c>
      <c r="L25" s="24">
        <f>SUM(K25)+0.3</f>
        <v>7</v>
      </c>
      <c r="M25" s="26">
        <f>SUM(L25)+0.3</f>
        <v>7.3</v>
      </c>
    </row>
    <row r="26" spans="1:13" s="1" customFormat="1" ht="14.1" customHeight="1">
      <c r="A26" s="38"/>
      <c r="B26" s="45" t="s">
        <v>457</v>
      </c>
      <c r="C26" s="46"/>
      <c r="D26" s="47" t="s">
        <v>458</v>
      </c>
      <c r="E26" s="48"/>
      <c r="F26" s="48"/>
      <c r="G26" s="49"/>
      <c r="H26" s="36"/>
      <c r="I26" s="36"/>
      <c r="J26" s="35"/>
      <c r="K26" s="36"/>
      <c r="L26" s="36"/>
      <c r="M26" s="37"/>
    </row>
    <row r="27" spans="1:13" s="1" customFormat="1" ht="14.1" customHeight="1">
      <c r="A27" s="38">
        <v>13</v>
      </c>
      <c r="B27" s="40" t="s">
        <v>459</v>
      </c>
      <c r="C27" s="41"/>
      <c r="D27" s="101"/>
      <c r="E27" s="101"/>
      <c r="F27" s="101"/>
      <c r="G27" s="101"/>
      <c r="H27" s="24">
        <f>SUM(I27)-0.5</f>
        <v>10.9</v>
      </c>
      <c r="I27" s="24">
        <f>SUM(J27)-0.5</f>
        <v>11.4</v>
      </c>
      <c r="J27" s="23">
        <v>11.9</v>
      </c>
      <c r="K27" s="21">
        <f>SUM(J27)+0.5</f>
        <v>12.4</v>
      </c>
      <c r="L27" s="21">
        <f>SUM(K27)+0.5</f>
        <v>12.9</v>
      </c>
      <c r="M27" s="22">
        <f>SUM(L27)+0.5</f>
        <v>13.4</v>
      </c>
    </row>
    <row r="28" spans="1:13" s="1" customFormat="1" ht="14.1" customHeight="1">
      <c r="A28" s="154"/>
      <c r="B28" s="141" t="s">
        <v>460</v>
      </c>
      <c r="C28" s="141"/>
      <c r="D28" s="100" t="s">
        <v>461</v>
      </c>
      <c r="E28" s="101"/>
      <c r="F28" s="101"/>
      <c r="G28" s="102"/>
      <c r="H28" s="50"/>
      <c r="I28" s="50"/>
      <c r="J28" s="33"/>
      <c r="K28" s="24"/>
      <c r="L28" s="24"/>
      <c r="M28" s="26"/>
    </row>
    <row r="29" spans="1:13" s="1" customFormat="1" ht="14.1" customHeight="1">
      <c r="A29" s="38">
        <v>14</v>
      </c>
      <c r="B29" s="51" t="s">
        <v>455</v>
      </c>
      <c r="C29" s="52"/>
      <c r="D29" s="57"/>
      <c r="E29" s="57"/>
      <c r="F29" s="57"/>
      <c r="G29" s="57"/>
      <c r="H29" s="24">
        <f>SUM(I29)-0.6</f>
        <v>10.8</v>
      </c>
      <c r="I29" s="24">
        <f>SUM(J29)-0.6</f>
        <v>11.4</v>
      </c>
      <c r="J29" s="33">
        <v>12</v>
      </c>
      <c r="K29" s="24">
        <f>SUM(J29)+0.6</f>
        <v>12.6</v>
      </c>
      <c r="L29" s="24">
        <f>SUM(K29)+0.6</f>
        <v>13.2</v>
      </c>
      <c r="M29" s="26">
        <f>SUM(L29)+0.6</f>
        <v>13.799999999999999</v>
      </c>
    </row>
    <row r="30" spans="1:13" s="1" customFormat="1" ht="14.1" customHeight="1">
      <c r="A30" s="38"/>
      <c r="B30" s="45" t="s">
        <v>210</v>
      </c>
      <c r="C30" s="46"/>
      <c r="D30" s="47"/>
      <c r="E30" s="48"/>
      <c r="F30" s="48"/>
      <c r="G30" s="49"/>
      <c r="H30" s="36"/>
      <c r="I30" s="36"/>
      <c r="J30" s="35"/>
      <c r="K30" s="36"/>
      <c r="L30" s="36"/>
      <c r="M30" s="37"/>
    </row>
    <row r="31" spans="1:13" s="1" customFormat="1" ht="14.1" customHeight="1">
      <c r="A31" s="38">
        <v>15</v>
      </c>
      <c r="B31" s="40" t="s">
        <v>89</v>
      </c>
      <c r="C31" s="41"/>
      <c r="D31" s="101" t="s">
        <v>128</v>
      </c>
      <c r="E31" s="101"/>
      <c r="F31" s="101"/>
      <c r="G31" s="101"/>
      <c r="H31" s="24">
        <f>SUM(I31)-0.2</f>
        <v>3.0999999999999996</v>
      </c>
      <c r="I31" s="24">
        <f>SUM(J31)-0.2</f>
        <v>3.3</v>
      </c>
      <c r="J31" s="23">
        <v>3.5</v>
      </c>
      <c r="K31" s="21">
        <f>SUM(J31)+0.2</f>
        <v>3.7</v>
      </c>
      <c r="L31" s="21">
        <f>SUM(K31)+0.2</f>
        <v>3.9000000000000004</v>
      </c>
      <c r="M31" s="22">
        <f>SUM(L31)+0.2</f>
        <v>4.1000000000000005</v>
      </c>
    </row>
    <row r="32" spans="1:13" s="1" customFormat="1" ht="14.1" customHeight="1">
      <c r="A32" s="154"/>
      <c r="B32" s="141" t="s">
        <v>39</v>
      </c>
      <c r="C32" s="141"/>
      <c r="D32" s="100" t="s">
        <v>127</v>
      </c>
      <c r="E32" s="101"/>
      <c r="F32" s="101"/>
      <c r="G32" s="102"/>
      <c r="H32" s="50"/>
      <c r="I32" s="50"/>
      <c r="J32" s="33"/>
      <c r="K32" s="24"/>
      <c r="L32" s="24"/>
      <c r="M32" s="26"/>
    </row>
    <row r="33" spans="1:14" s="1" customFormat="1" ht="14.1" customHeight="1">
      <c r="A33" s="38">
        <v>16</v>
      </c>
      <c r="B33" s="58" t="s">
        <v>93</v>
      </c>
      <c r="C33" s="58"/>
      <c r="D33" s="59" t="s">
        <v>94</v>
      </c>
      <c r="E33" s="60"/>
      <c r="F33" s="60"/>
      <c r="G33" s="61"/>
      <c r="H33" s="24">
        <f>SUM(I33)-1</f>
        <v>29</v>
      </c>
      <c r="I33" s="24">
        <f>SUM(J33)-1</f>
        <v>30</v>
      </c>
      <c r="J33" s="23">
        <v>31</v>
      </c>
      <c r="K33" s="21">
        <f>SUM(J33)+1</f>
        <v>32</v>
      </c>
      <c r="L33" s="21">
        <f>SUM(K33)+1</f>
        <v>33</v>
      </c>
      <c r="M33" s="22">
        <f>SUM(L33)+1</f>
        <v>34</v>
      </c>
    </row>
    <row r="34" spans="1:14" s="1" customFormat="1" ht="14.1" customHeight="1">
      <c r="A34" s="38"/>
      <c r="B34" s="56" t="s">
        <v>34</v>
      </c>
      <c r="C34" s="56"/>
      <c r="D34" s="47" t="s">
        <v>95</v>
      </c>
      <c r="E34" s="48"/>
      <c r="F34" s="48"/>
      <c r="G34" s="49"/>
      <c r="H34" s="36"/>
      <c r="I34" s="36"/>
      <c r="J34" s="23"/>
      <c r="K34" s="21"/>
      <c r="L34" s="21"/>
      <c r="M34" s="22"/>
    </row>
    <row r="35" spans="1:14" s="1" customFormat="1" ht="14.1" customHeight="1">
      <c r="A35" s="38">
        <v>17</v>
      </c>
      <c r="B35" s="58" t="s">
        <v>96</v>
      </c>
      <c r="C35" s="58"/>
      <c r="D35" s="59" t="s">
        <v>97</v>
      </c>
      <c r="E35" s="60"/>
      <c r="F35" s="60"/>
      <c r="G35" s="61"/>
      <c r="H35" s="24">
        <f>SUM(I35)-0.8</f>
        <v>20.9</v>
      </c>
      <c r="I35" s="24">
        <f>SUM(J35)-0.8</f>
        <v>21.7</v>
      </c>
      <c r="J35" s="23">
        <v>22.5</v>
      </c>
      <c r="K35" s="21">
        <f>SUM(J35)+0.8</f>
        <v>23.3</v>
      </c>
      <c r="L35" s="21">
        <f>SUM(K35)+0.8</f>
        <v>24.1</v>
      </c>
      <c r="M35" s="22">
        <f>SUM(L35)+0.8</f>
        <v>24.900000000000002</v>
      </c>
    </row>
    <row r="36" spans="1:14" ht="14.1" customHeight="1">
      <c r="A36" s="154"/>
      <c r="B36" s="56" t="s">
        <v>35</v>
      </c>
      <c r="C36" s="56"/>
      <c r="D36" s="47" t="s">
        <v>98</v>
      </c>
      <c r="E36" s="48"/>
      <c r="F36" s="48"/>
      <c r="G36" s="49"/>
      <c r="H36" s="36"/>
      <c r="I36" s="36"/>
      <c r="J36" s="23"/>
      <c r="K36" s="21"/>
      <c r="L36" s="21"/>
      <c r="M36" s="22"/>
    </row>
    <row r="37" spans="1:14" ht="14.1" customHeight="1">
      <c r="A37" s="38">
        <v>18</v>
      </c>
      <c r="B37" s="51" t="s">
        <v>234</v>
      </c>
      <c r="C37" s="52"/>
      <c r="D37" s="57"/>
      <c r="E37" s="57"/>
      <c r="F37" s="57"/>
      <c r="G37" s="57"/>
      <c r="H37" s="24">
        <v>30</v>
      </c>
      <c r="I37" s="24">
        <v>33</v>
      </c>
      <c r="J37" s="33">
        <v>36.5</v>
      </c>
      <c r="K37" s="24">
        <v>39.5</v>
      </c>
      <c r="L37" s="24">
        <v>42.5</v>
      </c>
      <c r="M37" s="26">
        <v>45.5</v>
      </c>
    </row>
    <row r="38" spans="1:14" ht="14.1" customHeight="1">
      <c r="A38" s="38"/>
      <c r="B38" s="45" t="s">
        <v>235</v>
      </c>
      <c r="C38" s="46"/>
      <c r="D38" s="47" t="s">
        <v>236</v>
      </c>
      <c r="E38" s="48"/>
      <c r="F38" s="48"/>
      <c r="G38" s="49"/>
      <c r="H38" s="36"/>
      <c r="I38" s="36"/>
      <c r="J38" s="35"/>
      <c r="K38" s="36"/>
      <c r="L38" s="36"/>
      <c r="M38" s="37"/>
    </row>
    <row r="39" spans="1:14" ht="14.1" customHeight="1">
      <c r="A39" s="38">
        <v>19</v>
      </c>
      <c r="B39" s="40"/>
      <c r="C39" s="41"/>
      <c r="D39" s="101"/>
      <c r="E39" s="101"/>
      <c r="F39" s="101"/>
      <c r="G39" s="101"/>
      <c r="H39" s="24"/>
      <c r="I39" s="24"/>
      <c r="J39" s="23"/>
      <c r="K39" s="21"/>
      <c r="L39" s="21"/>
      <c r="M39" s="22"/>
    </row>
    <row r="40" spans="1:14" ht="14.1" customHeight="1" thickBot="1">
      <c r="A40" s="39"/>
      <c r="B40" s="110"/>
      <c r="C40" s="110"/>
      <c r="D40" s="30"/>
      <c r="E40" s="31"/>
      <c r="F40" s="31"/>
      <c r="G40" s="32"/>
      <c r="H40" s="25"/>
      <c r="I40" s="25"/>
      <c r="J40" s="218"/>
      <c r="K40" s="216"/>
      <c r="L40" s="216"/>
      <c r="M40" s="220"/>
    </row>
    <row r="41" spans="1:14" ht="14.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4.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4.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12">
    <mergeCell ref="A1:M1"/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61FF9-0866-4276-A565-BA8FD15B9A16}">
  <sheetPr codeName="Sheet102">
    <tabColor rgb="FF00B050"/>
    <pageSetUpPr fitToPage="1"/>
  </sheetPr>
  <dimension ref="A1:N51"/>
  <sheetViews>
    <sheetView topLeftCell="A4" zoomScale="110" zoomScaleNormal="110" workbookViewId="0">
      <selection activeCell="B27" sqref="B27:G28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28" t="s">
        <v>226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30"/>
    </row>
    <row r="2" spans="1:14" ht="16.5" customHeight="1" thickBot="1">
      <c r="A2" s="2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  <c r="N2" s="9" t="s">
        <v>229</v>
      </c>
    </row>
    <row r="3" spans="1:14" s="1" customFormat="1" ht="14.1" customHeight="1">
      <c r="A3" s="226">
        <v>1</v>
      </c>
      <c r="B3" s="40" t="s">
        <v>136</v>
      </c>
      <c r="C3" s="41"/>
      <c r="D3" s="100" t="s">
        <v>135</v>
      </c>
      <c r="E3" s="101"/>
      <c r="F3" s="101"/>
      <c r="G3" s="102"/>
      <c r="H3" s="24">
        <f>SUM(I3)-2.9</f>
        <v>31.200000000000003</v>
      </c>
      <c r="I3" s="24">
        <f>SUM(J3)-2.9</f>
        <v>34.1</v>
      </c>
      <c r="J3" s="75">
        <v>37</v>
      </c>
      <c r="K3" s="76">
        <f>SUM(J3)+2.4</f>
        <v>39.4</v>
      </c>
      <c r="L3" s="76">
        <f>SUM(K3)+2.4</f>
        <v>41.8</v>
      </c>
      <c r="M3" s="76">
        <f>SUM(L3)+2.4</f>
        <v>44.199999999999996</v>
      </c>
      <c r="N3" s="171">
        <f>SUM(M3)+2.4</f>
        <v>46.599999999999994</v>
      </c>
    </row>
    <row r="4" spans="1:14" s="1" customFormat="1" ht="14.1" customHeight="1">
      <c r="A4" s="38"/>
      <c r="B4" s="56" t="s">
        <v>36</v>
      </c>
      <c r="C4" s="56"/>
      <c r="D4" s="47" t="s">
        <v>134</v>
      </c>
      <c r="E4" s="48"/>
      <c r="F4" s="48"/>
      <c r="G4" s="48"/>
      <c r="H4" s="36"/>
      <c r="I4" s="36"/>
      <c r="J4" s="33"/>
      <c r="K4" s="24"/>
      <c r="L4" s="24"/>
      <c r="M4" s="24"/>
      <c r="N4" s="121"/>
    </row>
    <row r="5" spans="1:14" s="1" customFormat="1" ht="14.1" customHeight="1">
      <c r="A5" s="38">
        <v>2</v>
      </c>
      <c r="B5" s="51" t="s">
        <v>43</v>
      </c>
      <c r="C5" s="52"/>
      <c r="D5" s="59" t="s">
        <v>44</v>
      </c>
      <c r="E5" s="60"/>
      <c r="F5" s="60"/>
      <c r="G5" s="61"/>
      <c r="H5" s="24">
        <f>SUM(I5)-2.2</f>
        <v>41.599999999999994</v>
      </c>
      <c r="I5" s="24">
        <f>SUM(J5)-2.2</f>
        <v>43.8</v>
      </c>
      <c r="J5" s="23">
        <v>46</v>
      </c>
      <c r="K5" s="21">
        <f>SUM(J5)+2</f>
        <v>48</v>
      </c>
      <c r="L5" s="21">
        <f>SUM(K5)+2</f>
        <v>50</v>
      </c>
      <c r="M5" s="21">
        <f>SUM(L5)+2</f>
        <v>52</v>
      </c>
      <c r="N5" s="123">
        <f>SUM(M5)+2</f>
        <v>54</v>
      </c>
    </row>
    <row r="6" spans="1:14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23"/>
      <c r="K6" s="21"/>
      <c r="L6" s="21"/>
      <c r="M6" s="21"/>
      <c r="N6" s="123"/>
    </row>
    <row r="7" spans="1:14" s="1" customFormat="1" ht="14.1" customHeight="1">
      <c r="A7" s="38">
        <v>3</v>
      </c>
      <c r="B7" s="51" t="s">
        <v>41</v>
      </c>
      <c r="C7" s="52"/>
      <c r="D7" s="59" t="s">
        <v>123</v>
      </c>
      <c r="E7" s="60"/>
      <c r="F7" s="60"/>
      <c r="G7" s="61"/>
      <c r="H7" s="24">
        <f>SUM(I7)-2.25</f>
        <v>40.5</v>
      </c>
      <c r="I7" s="24">
        <f>SUM(J7)-2.25</f>
        <v>42.75</v>
      </c>
      <c r="J7" s="33">
        <v>45</v>
      </c>
      <c r="K7" s="24">
        <f>SUM(J7)+2</f>
        <v>47</v>
      </c>
      <c r="L7" s="24">
        <f>SUM(K7)+2</f>
        <v>49</v>
      </c>
      <c r="M7" s="24">
        <f>SUM(L7)+2</f>
        <v>51</v>
      </c>
      <c r="N7" s="121">
        <f>SUM(M7)+2</f>
        <v>53</v>
      </c>
    </row>
    <row r="8" spans="1:14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36"/>
      <c r="N8" s="122"/>
    </row>
    <row r="9" spans="1:14" s="1" customFormat="1" ht="14.1" customHeight="1">
      <c r="A9" s="38">
        <v>4</v>
      </c>
      <c r="B9" s="58" t="s">
        <v>227</v>
      </c>
      <c r="C9" s="58"/>
      <c r="D9" s="57"/>
      <c r="E9" s="57"/>
      <c r="F9" s="57"/>
      <c r="G9" s="57"/>
      <c r="H9" s="24">
        <f>SUM(I9)-3.5</f>
        <v>61</v>
      </c>
      <c r="I9" s="24">
        <f>SUM(J9)-3.5</f>
        <v>64.5</v>
      </c>
      <c r="J9" s="33">
        <v>68</v>
      </c>
      <c r="K9" s="24">
        <f>SUM(J9)+3.5</f>
        <v>71.5</v>
      </c>
      <c r="L9" s="24">
        <f>SUM(K9)+3.5</f>
        <v>75</v>
      </c>
      <c r="M9" s="24">
        <f>SUM(L9)+3.5</f>
        <v>78.5</v>
      </c>
      <c r="N9" s="121">
        <f>SUM(M9)+3.5</f>
        <v>82</v>
      </c>
    </row>
    <row r="10" spans="1:14" s="1" customFormat="1" ht="14.1" customHeight="1">
      <c r="A10" s="38"/>
      <c r="B10" s="56" t="s">
        <v>228</v>
      </c>
      <c r="C10" s="56"/>
      <c r="D10" s="47"/>
      <c r="E10" s="48"/>
      <c r="F10" s="48"/>
      <c r="G10" s="49"/>
      <c r="H10" s="36"/>
      <c r="I10" s="36"/>
      <c r="J10" s="35"/>
      <c r="K10" s="36"/>
      <c r="L10" s="36"/>
      <c r="M10" s="36"/>
      <c r="N10" s="122"/>
    </row>
    <row r="11" spans="1:14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SUM(I11)-0.8</f>
        <v>16.399999999999999</v>
      </c>
      <c r="I11" s="24">
        <f>SUM(J11)-0.8</f>
        <v>17.2</v>
      </c>
      <c r="J11" s="23">
        <v>18</v>
      </c>
      <c r="K11" s="21">
        <f>SUM(J11)+0.8</f>
        <v>18.8</v>
      </c>
      <c r="L11" s="21">
        <f>SUM(K11)+0.8</f>
        <v>19.600000000000001</v>
      </c>
      <c r="M11" s="21">
        <f>SUM(L11)+0.8</f>
        <v>20.400000000000002</v>
      </c>
      <c r="N11" s="123">
        <f>SUM(M11)+0.8</f>
        <v>21.200000000000003</v>
      </c>
    </row>
    <row r="12" spans="1:14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1"/>
      <c r="N12" s="123"/>
    </row>
    <row r="13" spans="1:14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14.100000000000001</v>
      </c>
      <c r="I13" s="24">
        <f>SUM(J13)-0.6</f>
        <v>14.700000000000001</v>
      </c>
      <c r="J13" s="23">
        <v>15.3</v>
      </c>
      <c r="K13" s="21">
        <f>SUM(J13)+0.6</f>
        <v>15.9</v>
      </c>
      <c r="L13" s="21">
        <f>SUM(K13)+0.6</f>
        <v>16.5</v>
      </c>
      <c r="M13" s="21">
        <f>SUM(L13)+0.6</f>
        <v>17.100000000000001</v>
      </c>
      <c r="N13" s="123">
        <f>SUM(M13)+0.6</f>
        <v>17.700000000000003</v>
      </c>
    </row>
    <row r="14" spans="1:14" s="1" customFormat="1" ht="14.1" customHeight="1">
      <c r="A14" s="38"/>
      <c r="B14" s="56" t="s">
        <v>29</v>
      </c>
      <c r="C14" s="56"/>
      <c r="D14" s="47" t="s">
        <v>52</v>
      </c>
      <c r="E14" s="48"/>
      <c r="F14" s="48"/>
      <c r="G14" s="49"/>
      <c r="H14" s="36"/>
      <c r="I14" s="36"/>
      <c r="J14" s="23"/>
      <c r="K14" s="21"/>
      <c r="L14" s="21"/>
      <c r="M14" s="21"/>
      <c r="N14" s="123"/>
    </row>
    <row r="15" spans="1:14" s="1" customFormat="1" ht="14.1" customHeight="1">
      <c r="A15" s="38">
        <v>7</v>
      </c>
      <c r="B15" s="58" t="s">
        <v>2</v>
      </c>
      <c r="C15" s="58"/>
      <c r="D15" s="57"/>
      <c r="E15" s="57"/>
      <c r="F15" s="57"/>
      <c r="G15" s="57"/>
      <c r="H15" s="24">
        <f>SUM(I15)-0.3</f>
        <v>6.5</v>
      </c>
      <c r="I15" s="24">
        <f>SUM(J15)-0.3</f>
        <v>6.8</v>
      </c>
      <c r="J15" s="23">
        <v>7.1</v>
      </c>
      <c r="K15" s="21">
        <f>SUM(J15)+0.3</f>
        <v>7.3999999999999995</v>
      </c>
      <c r="L15" s="21">
        <f>SUM(K15)+0.3</f>
        <v>7.6999999999999993</v>
      </c>
      <c r="M15" s="21">
        <f>SUM(L15)+0.3</f>
        <v>7.9999999999999991</v>
      </c>
      <c r="N15" s="123">
        <f>SUM(M15)+0.3</f>
        <v>8.2999999999999989</v>
      </c>
    </row>
    <row r="16" spans="1:14" s="1" customFormat="1" ht="14.1" customHeight="1">
      <c r="A16" s="38"/>
      <c r="B16" s="56" t="s">
        <v>30</v>
      </c>
      <c r="C16" s="56"/>
      <c r="D16" s="47" t="s">
        <v>208</v>
      </c>
      <c r="E16" s="48"/>
      <c r="F16" s="48"/>
      <c r="G16" s="49"/>
      <c r="H16" s="36"/>
      <c r="I16" s="36"/>
      <c r="J16" s="23"/>
      <c r="K16" s="21"/>
      <c r="L16" s="21"/>
      <c r="M16" s="21"/>
      <c r="N16" s="123"/>
    </row>
    <row r="17" spans="1:14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36.099999999999994</v>
      </c>
      <c r="I17" s="24">
        <f>SUM(J17)-1.6</f>
        <v>37.699999999999996</v>
      </c>
      <c r="J17" s="23">
        <v>39.299999999999997</v>
      </c>
      <c r="K17" s="21">
        <f>SUM(J17)+1.6</f>
        <v>40.9</v>
      </c>
      <c r="L17" s="21">
        <f>SUM(K17)+1.6</f>
        <v>42.5</v>
      </c>
      <c r="M17" s="21">
        <f>SUM(L17)+1.6</f>
        <v>44.1</v>
      </c>
      <c r="N17" s="123">
        <f>SUM(M17)+1.6</f>
        <v>45.7</v>
      </c>
    </row>
    <row r="18" spans="1:14" s="1" customFormat="1" ht="14.1" customHeight="1">
      <c r="A18" s="38"/>
      <c r="B18" s="56" t="s">
        <v>37</v>
      </c>
      <c r="C18" s="56"/>
      <c r="D18" s="47" t="s">
        <v>238</v>
      </c>
      <c r="E18" s="48"/>
      <c r="F18" s="48"/>
      <c r="G18" s="49"/>
      <c r="H18" s="36"/>
      <c r="I18" s="36"/>
      <c r="J18" s="23"/>
      <c r="K18" s="21"/>
      <c r="L18" s="21"/>
      <c r="M18" s="21"/>
      <c r="N18" s="123"/>
    </row>
    <row r="19" spans="1:14" s="1" customFormat="1" ht="14.1" customHeight="1">
      <c r="A19" s="38">
        <v>9</v>
      </c>
      <c r="B19" s="58" t="s">
        <v>4</v>
      </c>
      <c r="C19" s="58"/>
      <c r="D19" s="57" t="s">
        <v>5</v>
      </c>
      <c r="E19" s="57"/>
      <c r="F19" s="57"/>
      <c r="G19" s="57"/>
      <c r="H19" s="24">
        <f>SUM(I19)-3.4</f>
        <v>26.700000000000003</v>
      </c>
      <c r="I19" s="24">
        <f>SUM(J19)-3.4</f>
        <v>30.1</v>
      </c>
      <c r="J19" s="23">
        <v>33.5</v>
      </c>
      <c r="K19" s="21">
        <f>SUM(J19)+3.5</f>
        <v>37</v>
      </c>
      <c r="L19" s="21">
        <f>SUM(K19)+3.5</f>
        <v>40.5</v>
      </c>
      <c r="M19" s="21">
        <f>SUM(L19)+3.5</f>
        <v>44</v>
      </c>
      <c r="N19" s="123">
        <f>SUM(M19)+3.5</f>
        <v>47.5</v>
      </c>
    </row>
    <row r="20" spans="1:14" s="1" customFormat="1" ht="14.1" customHeight="1">
      <c r="A20" s="38"/>
      <c r="B20" s="56" t="s">
        <v>31</v>
      </c>
      <c r="C20" s="56"/>
      <c r="D20" s="47" t="s">
        <v>54</v>
      </c>
      <c r="E20" s="48"/>
      <c r="F20" s="48"/>
      <c r="G20" s="49"/>
      <c r="H20" s="36"/>
      <c r="I20" s="36"/>
      <c r="J20" s="23"/>
      <c r="K20" s="21"/>
      <c r="L20" s="21"/>
      <c r="M20" s="21"/>
      <c r="N20" s="123"/>
    </row>
    <row r="21" spans="1:14" s="1" customFormat="1" ht="14.1" customHeight="1">
      <c r="A21" s="38">
        <v>10</v>
      </c>
      <c r="B21" s="58" t="s">
        <v>6</v>
      </c>
      <c r="C21" s="58"/>
      <c r="D21" s="59" t="s">
        <v>7</v>
      </c>
      <c r="E21" s="60"/>
      <c r="F21" s="60"/>
      <c r="G21" s="61"/>
      <c r="H21" s="24">
        <f>SUM(I21)-1.6</f>
        <v>32.799999999999997</v>
      </c>
      <c r="I21" s="24">
        <f>SUM(J21)-1.6</f>
        <v>34.4</v>
      </c>
      <c r="J21" s="23">
        <v>36</v>
      </c>
      <c r="K21" s="21">
        <f>SUM(J21)+1.6</f>
        <v>37.6</v>
      </c>
      <c r="L21" s="21">
        <f>SUM(K21)+1.6</f>
        <v>39.200000000000003</v>
      </c>
      <c r="M21" s="21">
        <f>SUM(L21)+1.6</f>
        <v>40.800000000000004</v>
      </c>
      <c r="N21" s="123">
        <f>SUM(M21)+1.6</f>
        <v>42.400000000000006</v>
      </c>
    </row>
    <row r="22" spans="1:14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9"/>
      <c r="H22" s="36"/>
      <c r="I22" s="36"/>
      <c r="J22" s="23"/>
      <c r="K22" s="21"/>
      <c r="L22" s="21"/>
      <c r="M22" s="21"/>
      <c r="N22" s="123"/>
    </row>
    <row r="23" spans="1:14" s="1" customFormat="1" ht="14.1" customHeight="1">
      <c r="A23" s="38">
        <v>11</v>
      </c>
      <c r="B23" s="51" t="s">
        <v>230</v>
      </c>
      <c r="C23" s="52"/>
      <c r="D23" s="57"/>
      <c r="E23" s="57"/>
      <c r="F23" s="57"/>
      <c r="G23" s="57"/>
      <c r="H23" s="24">
        <f>SUM(I23)-0.6</f>
        <v>16.799999999999997</v>
      </c>
      <c r="I23" s="24">
        <f>SUM(J23)-0.6</f>
        <v>17.399999999999999</v>
      </c>
      <c r="J23" s="23">
        <v>18</v>
      </c>
      <c r="K23" s="21">
        <f>SUM(J23)+0.6</f>
        <v>18.600000000000001</v>
      </c>
      <c r="L23" s="21">
        <f>SUM(K23)+0.6</f>
        <v>19.200000000000003</v>
      </c>
      <c r="M23" s="21">
        <f>SUM(L23)+0.6</f>
        <v>19.800000000000004</v>
      </c>
      <c r="N23" s="123">
        <f>SUM(M23)+0.6</f>
        <v>20.400000000000006</v>
      </c>
    </row>
    <row r="24" spans="1:14" s="1" customFormat="1" ht="14.1" customHeight="1">
      <c r="A24" s="38"/>
      <c r="B24" s="56" t="s">
        <v>231</v>
      </c>
      <c r="C24" s="56"/>
      <c r="D24" s="47"/>
      <c r="E24" s="48"/>
      <c r="F24" s="48"/>
      <c r="G24" s="49"/>
      <c r="H24" s="36"/>
      <c r="I24" s="36"/>
      <c r="J24" s="23"/>
      <c r="K24" s="21"/>
      <c r="L24" s="21"/>
      <c r="M24" s="21"/>
      <c r="N24" s="123"/>
    </row>
    <row r="25" spans="1:14" s="1" customFormat="1" ht="14.1" customHeight="1">
      <c r="A25" s="38">
        <v>12</v>
      </c>
      <c r="B25" s="51" t="s">
        <v>232</v>
      </c>
      <c r="C25" s="52"/>
      <c r="D25" s="57"/>
      <c r="E25" s="57"/>
      <c r="F25" s="57"/>
      <c r="G25" s="57"/>
      <c r="H25" s="24">
        <f>SUM(I25)-0.6</f>
        <v>10.8</v>
      </c>
      <c r="I25" s="24">
        <f>SUM(J25)-0.6</f>
        <v>11.4</v>
      </c>
      <c r="J25" s="33">
        <v>12</v>
      </c>
      <c r="K25" s="24">
        <f>SUM(J25)+0.6</f>
        <v>12.6</v>
      </c>
      <c r="L25" s="24">
        <f>SUM(K25)+0.6</f>
        <v>13.2</v>
      </c>
      <c r="M25" s="24">
        <f>SUM(L25)+0.6</f>
        <v>13.799999999999999</v>
      </c>
      <c r="N25" s="121">
        <f>SUM(M25)+0.6</f>
        <v>14.399999999999999</v>
      </c>
    </row>
    <row r="26" spans="1:14" s="1" customFormat="1" ht="14.1" customHeight="1">
      <c r="A26" s="38"/>
      <c r="B26" s="45" t="s">
        <v>233</v>
      </c>
      <c r="C26" s="46"/>
      <c r="D26" s="47"/>
      <c r="E26" s="48"/>
      <c r="F26" s="48"/>
      <c r="G26" s="49"/>
      <c r="H26" s="36"/>
      <c r="I26" s="36"/>
      <c r="J26" s="35"/>
      <c r="K26" s="36"/>
      <c r="L26" s="36"/>
      <c r="M26" s="36"/>
      <c r="N26" s="122"/>
    </row>
    <row r="27" spans="1:14" s="1" customFormat="1" ht="14.1" customHeight="1">
      <c r="A27" s="38">
        <v>13</v>
      </c>
      <c r="B27" s="40" t="s">
        <v>89</v>
      </c>
      <c r="C27" s="41"/>
      <c r="D27" s="101" t="s">
        <v>128</v>
      </c>
      <c r="E27" s="101"/>
      <c r="F27" s="101"/>
      <c r="G27" s="101"/>
      <c r="H27" s="24">
        <f>SUM(I27)-0.2</f>
        <v>4.0999999999999996</v>
      </c>
      <c r="I27" s="24">
        <f>SUM(J27)-0.2</f>
        <v>4.3</v>
      </c>
      <c r="J27" s="23">
        <v>4.5</v>
      </c>
      <c r="K27" s="21">
        <f>SUM(J27)+0.2</f>
        <v>4.7</v>
      </c>
      <c r="L27" s="21">
        <f>SUM(K27)+0.2</f>
        <v>4.9000000000000004</v>
      </c>
      <c r="M27" s="21">
        <f>SUM(L27)+0.2</f>
        <v>5.1000000000000005</v>
      </c>
      <c r="N27" s="123">
        <f>SUM(M27)+0.2</f>
        <v>5.3000000000000007</v>
      </c>
    </row>
    <row r="28" spans="1:14" s="1" customFormat="1" ht="14.1" customHeight="1">
      <c r="A28" s="154"/>
      <c r="B28" s="141" t="s">
        <v>39</v>
      </c>
      <c r="C28" s="141"/>
      <c r="D28" s="100" t="s">
        <v>127</v>
      </c>
      <c r="E28" s="101"/>
      <c r="F28" s="101"/>
      <c r="G28" s="102"/>
      <c r="H28" s="50"/>
      <c r="I28" s="50"/>
      <c r="J28" s="33"/>
      <c r="K28" s="24"/>
      <c r="L28" s="24"/>
      <c r="M28" s="24"/>
      <c r="N28" s="121"/>
    </row>
    <row r="29" spans="1:14" s="1" customFormat="1" ht="14.1" customHeight="1">
      <c r="A29" s="38">
        <v>14</v>
      </c>
      <c r="B29" s="51" t="s">
        <v>234</v>
      </c>
      <c r="C29" s="52"/>
      <c r="D29" s="57"/>
      <c r="E29" s="57"/>
      <c r="F29" s="57"/>
      <c r="G29" s="57"/>
      <c r="H29" s="24">
        <v>30</v>
      </c>
      <c r="I29" s="24">
        <v>33</v>
      </c>
      <c r="J29" s="33">
        <v>35.5</v>
      </c>
      <c r="K29" s="24">
        <v>38</v>
      </c>
      <c r="L29" s="24">
        <v>40.5</v>
      </c>
      <c r="M29" s="24">
        <v>43</v>
      </c>
      <c r="N29" s="121">
        <v>45.5</v>
      </c>
    </row>
    <row r="30" spans="1:14" s="1" customFormat="1" ht="14.1" customHeight="1">
      <c r="A30" s="38"/>
      <c r="B30" s="45" t="s">
        <v>235</v>
      </c>
      <c r="C30" s="46"/>
      <c r="D30" s="47" t="s">
        <v>236</v>
      </c>
      <c r="E30" s="48"/>
      <c r="F30" s="48"/>
      <c r="G30" s="49"/>
      <c r="H30" s="36"/>
      <c r="I30" s="36"/>
      <c r="J30" s="35"/>
      <c r="K30" s="36"/>
      <c r="L30" s="36"/>
      <c r="M30" s="36"/>
      <c r="N30" s="122"/>
    </row>
    <row r="31" spans="1:14" s="1" customFormat="1" ht="14.1" customHeight="1">
      <c r="A31" s="38">
        <v>15</v>
      </c>
      <c r="B31" s="51" t="s">
        <v>176</v>
      </c>
      <c r="C31" s="52"/>
      <c r="D31" s="53"/>
      <c r="E31" s="54"/>
      <c r="F31" s="54"/>
      <c r="G31" s="55"/>
      <c r="H31" s="24">
        <f>SUM(I31)-0.6</f>
        <v>9.8000000000000007</v>
      </c>
      <c r="I31" s="24">
        <f>SUM(J31)-0.6</f>
        <v>10.4</v>
      </c>
      <c r="J31" s="23">
        <v>11</v>
      </c>
      <c r="K31" s="21">
        <f>SUM(J31)+0.6</f>
        <v>11.6</v>
      </c>
      <c r="L31" s="21">
        <f>SUM(K31)+0.6</f>
        <v>12.2</v>
      </c>
      <c r="M31" s="21">
        <f>SUM(L31)+0.6</f>
        <v>12.799999999999999</v>
      </c>
      <c r="N31" s="123">
        <f>SUM(M31)+0.6</f>
        <v>13.399999999999999</v>
      </c>
    </row>
    <row r="32" spans="1:14" s="1" customFormat="1" ht="14.1" customHeight="1">
      <c r="A32" s="154"/>
      <c r="B32" s="45" t="s">
        <v>175</v>
      </c>
      <c r="C32" s="46"/>
      <c r="D32" s="47" t="s">
        <v>212</v>
      </c>
      <c r="E32" s="48"/>
      <c r="F32" s="48"/>
      <c r="G32" s="49"/>
      <c r="H32" s="50"/>
      <c r="I32" s="50"/>
      <c r="J32" s="33"/>
      <c r="K32" s="24"/>
      <c r="L32" s="24"/>
      <c r="M32" s="24"/>
      <c r="N32" s="121"/>
    </row>
    <row r="33" spans="1:14" s="1" customFormat="1" ht="14.1" customHeight="1">
      <c r="A33" s="38">
        <v>16</v>
      </c>
      <c r="B33" s="40" t="s">
        <v>174</v>
      </c>
      <c r="C33" s="41"/>
      <c r="D33" s="42" t="s">
        <v>106</v>
      </c>
      <c r="E33" s="43"/>
      <c r="F33" s="43"/>
      <c r="G33" s="44"/>
      <c r="H33" s="24">
        <f>SUM(I33)-0.4</f>
        <v>3.2</v>
      </c>
      <c r="I33" s="24">
        <f>SUM(J33)-0.4</f>
        <v>3.6</v>
      </c>
      <c r="J33" s="23">
        <v>4</v>
      </c>
      <c r="K33" s="21">
        <f>SUM(J33)+0.4</f>
        <v>4.4000000000000004</v>
      </c>
      <c r="L33" s="21">
        <f>SUM(K33)+0.4</f>
        <v>4.8000000000000007</v>
      </c>
      <c r="M33" s="21">
        <f>SUM(L33)+0.4</f>
        <v>5.2000000000000011</v>
      </c>
      <c r="N33" s="123">
        <f>SUM(M33)+0.4</f>
        <v>5.6000000000000014</v>
      </c>
    </row>
    <row r="34" spans="1:14" s="1" customFormat="1" ht="14.1" customHeight="1">
      <c r="A34" s="38"/>
      <c r="B34" s="45" t="s">
        <v>173</v>
      </c>
      <c r="C34" s="46"/>
      <c r="D34" s="47" t="s">
        <v>105</v>
      </c>
      <c r="E34" s="48"/>
      <c r="F34" s="48"/>
      <c r="G34" s="49"/>
      <c r="H34" s="50"/>
      <c r="I34" s="50"/>
      <c r="J34" s="33"/>
      <c r="K34" s="24"/>
      <c r="L34" s="24"/>
      <c r="M34" s="24"/>
      <c r="N34" s="121"/>
    </row>
    <row r="35" spans="1:14" s="1" customFormat="1" ht="14.1" customHeight="1">
      <c r="A35" s="38">
        <v>17</v>
      </c>
      <c r="B35" s="40" t="s">
        <v>213</v>
      </c>
      <c r="C35" s="41"/>
      <c r="D35" s="101"/>
      <c r="E35" s="101"/>
      <c r="F35" s="101"/>
      <c r="G35" s="101"/>
      <c r="H35" s="24">
        <f>SUM(I35)-0.4</f>
        <v>7.6999999999999993</v>
      </c>
      <c r="I35" s="24">
        <f>SUM(J35)-0.4</f>
        <v>8.1</v>
      </c>
      <c r="J35" s="23">
        <v>8.5</v>
      </c>
      <c r="K35" s="21">
        <f>SUM(J35)+0.4</f>
        <v>8.9</v>
      </c>
      <c r="L35" s="21">
        <f>SUM(K35)+0.4</f>
        <v>9.3000000000000007</v>
      </c>
      <c r="M35" s="21">
        <f>SUM(L35)+0.4</f>
        <v>9.7000000000000011</v>
      </c>
      <c r="N35" s="123">
        <f>SUM(M35)+0.4</f>
        <v>10.100000000000001</v>
      </c>
    </row>
    <row r="36" spans="1:14" ht="14.1" customHeight="1">
      <c r="A36" s="154"/>
      <c r="B36" s="45" t="s">
        <v>214</v>
      </c>
      <c r="C36" s="46"/>
      <c r="D36" s="100" t="s">
        <v>237</v>
      </c>
      <c r="E36" s="101"/>
      <c r="F36" s="101"/>
      <c r="G36" s="102"/>
      <c r="H36" s="50"/>
      <c r="I36" s="50"/>
      <c r="J36" s="33"/>
      <c r="K36" s="24"/>
      <c r="L36" s="24"/>
      <c r="M36" s="24"/>
      <c r="N36" s="121"/>
    </row>
    <row r="37" spans="1:14" ht="14.1" customHeight="1">
      <c r="A37" s="38">
        <v>18</v>
      </c>
      <c r="B37" s="51"/>
      <c r="C37" s="52"/>
      <c r="D37" s="57"/>
      <c r="E37" s="57"/>
      <c r="F37" s="57"/>
      <c r="G37" s="57"/>
      <c r="H37" s="24"/>
      <c r="I37" s="24"/>
      <c r="J37" s="33"/>
      <c r="K37" s="24"/>
      <c r="L37" s="24"/>
      <c r="M37" s="24"/>
      <c r="N37" s="121"/>
    </row>
    <row r="38" spans="1:14" ht="14.1" customHeight="1">
      <c r="A38" s="38"/>
      <c r="B38" s="45"/>
      <c r="C38" s="46"/>
      <c r="D38" s="47"/>
      <c r="E38" s="48"/>
      <c r="F38" s="48"/>
      <c r="G38" s="49"/>
      <c r="H38" s="36"/>
      <c r="I38" s="36"/>
      <c r="J38" s="35"/>
      <c r="K38" s="36"/>
      <c r="L38" s="36"/>
      <c r="M38" s="36"/>
      <c r="N38" s="122"/>
    </row>
    <row r="39" spans="1:14" ht="14.1" customHeight="1">
      <c r="A39" s="38">
        <v>19</v>
      </c>
      <c r="B39" s="40"/>
      <c r="C39" s="41"/>
      <c r="D39" s="101"/>
      <c r="E39" s="101"/>
      <c r="F39" s="101"/>
      <c r="G39" s="101"/>
      <c r="H39" s="24"/>
      <c r="I39" s="24"/>
      <c r="J39" s="23"/>
      <c r="K39" s="21"/>
      <c r="L39" s="21"/>
      <c r="M39" s="21"/>
      <c r="N39" s="123"/>
    </row>
    <row r="40" spans="1:14" ht="14.1" customHeight="1" thickBot="1">
      <c r="A40" s="39"/>
      <c r="B40" s="110"/>
      <c r="C40" s="110"/>
      <c r="D40" s="30"/>
      <c r="E40" s="31"/>
      <c r="F40" s="31"/>
      <c r="G40" s="32"/>
      <c r="H40" s="25"/>
      <c r="I40" s="25"/>
      <c r="J40" s="218"/>
      <c r="K40" s="216"/>
      <c r="L40" s="216"/>
      <c r="M40" s="216"/>
      <c r="N40" s="229"/>
    </row>
    <row r="41" spans="1:14" ht="14.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4.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4.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31">
    <mergeCell ref="B2:C2"/>
    <mergeCell ref="D2:G2"/>
    <mergeCell ref="A3:A4"/>
    <mergeCell ref="B3:C3"/>
    <mergeCell ref="D3:G3"/>
    <mergeCell ref="H3:H4"/>
    <mergeCell ref="A5:A6"/>
    <mergeCell ref="B5:C5"/>
    <mergeCell ref="D5:G5"/>
    <mergeCell ref="H5:H6"/>
    <mergeCell ref="L3:L4"/>
    <mergeCell ref="M3:M4"/>
    <mergeCell ref="B4:C4"/>
    <mergeCell ref="D4:G4"/>
    <mergeCell ref="I3:I4"/>
    <mergeCell ref="J3:J4"/>
    <mergeCell ref="K3:K4"/>
    <mergeCell ref="H9:H10"/>
    <mergeCell ref="I9:I10"/>
    <mergeCell ref="I5:I6"/>
    <mergeCell ref="J5:J6"/>
    <mergeCell ref="K5:K6"/>
    <mergeCell ref="L5:L6"/>
    <mergeCell ref="M5:M6"/>
    <mergeCell ref="B6:C6"/>
    <mergeCell ref="D6:G6"/>
    <mergeCell ref="J7:J8"/>
    <mergeCell ref="K7:K8"/>
    <mergeCell ref="L7:L8"/>
    <mergeCell ref="M7:M8"/>
    <mergeCell ref="B8:C8"/>
    <mergeCell ref="D8:G8"/>
    <mergeCell ref="B12:C12"/>
    <mergeCell ref="D12:G12"/>
    <mergeCell ref="A7:A8"/>
    <mergeCell ref="B7:C7"/>
    <mergeCell ref="D7:G7"/>
    <mergeCell ref="H7:H8"/>
    <mergeCell ref="I7:I8"/>
    <mergeCell ref="A13:A14"/>
    <mergeCell ref="B13:C13"/>
    <mergeCell ref="D13:G13"/>
    <mergeCell ref="H13:H14"/>
    <mergeCell ref="I13:I14"/>
    <mergeCell ref="J13:J14"/>
    <mergeCell ref="K13:K14"/>
    <mergeCell ref="L13:L14"/>
    <mergeCell ref="M13:M14"/>
    <mergeCell ref="B14:C14"/>
    <mergeCell ref="D14:G14"/>
    <mergeCell ref="A15:A16"/>
    <mergeCell ref="B15:C15"/>
    <mergeCell ref="D15:G15"/>
    <mergeCell ref="H15:H16"/>
    <mergeCell ref="I15:I16"/>
    <mergeCell ref="J15:J16"/>
    <mergeCell ref="K15:K16"/>
    <mergeCell ref="L15:L16"/>
    <mergeCell ref="M15:M16"/>
    <mergeCell ref="B16:C16"/>
    <mergeCell ref="D16:G16"/>
    <mergeCell ref="A17:A18"/>
    <mergeCell ref="B17:C17"/>
    <mergeCell ref="D17:G17"/>
    <mergeCell ref="H17:H18"/>
    <mergeCell ref="I17:I18"/>
    <mergeCell ref="J17:J18"/>
    <mergeCell ref="K17:K18"/>
    <mergeCell ref="L17:L18"/>
    <mergeCell ref="M17:M18"/>
    <mergeCell ref="B18:C18"/>
    <mergeCell ref="D18:G18"/>
    <mergeCell ref="A19:A20"/>
    <mergeCell ref="B19:C19"/>
    <mergeCell ref="D19:G19"/>
    <mergeCell ref="H19:H20"/>
    <mergeCell ref="I19:I20"/>
    <mergeCell ref="J19:J20"/>
    <mergeCell ref="K19:K20"/>
    <mergeCell ref="L19:L20"/>
    <mergeCell ref="M19:M20"/>
    <mergeCell ref="B20:C20"/>
    <mergeCell ref="D20:G20"/>
    <mergeCell ref="A21:A22"/>
    <mergeCell ref="B21:C21"/>
    <mergeCell ref="D21:G21"/>
    <mergeCell ref="H21:H22"/>
    <mergeCell ref="I21:I22"/>
    <mergeCell ref="J21:J22"/>
    <mergeCell ref="K21:K22"/>
    <mergeCell ref="L21:L22"/>
    <mergeCell ref="M21:M22"/>
    <mergeCell ref="B22:C22"/>
    <mergeCell ref="D22:G22"/>
    <mergeCell ref="A23:A24"/>
    <mergeCell ref="B23:C23"/>
    <mergeCell ref="D23:G23"/>
    <mergeCell ref="H23:H24"/>
    <mergeCell ref="I23:I24"/>
    <mergeCell ref="J23:J24"/>
    <mergeCell ref="K23:K24"/>
    <mergeCell ref="L23:L24"/>
    <mergeCell ref="M23:M24"/>
    <mergeCell ref="B24:C24"/>
    <mergeCell ref="D24:G24"/>
    <mergeCell ref="A25:A26"/>
    <mergeCell ref="B25:C25"/>
    <mergeCell ref="D25:G25"/>
    <mergeCell ref="H25:H26"/>
    <mergeCell ref="I25:I26"/>
    <mergeCell ref="J25:J26"/>
    <mergeCell ref="K25:K26"/>
    <mergeCell ref="L25:L26"/>
    <mergeCell ref="M25:M26"/>
    <mergeCell ref="B26:C26"/>
    <mergeCell ref="D26:G26"/>
    <mergeCell ref="A27:A28"/>
    <mergeCell ref="B27:C27"/>
    <mergeCell ref="D27:G27"/>
    <mergeCell ref="H27:H28"/>
    <mergeCell ref="I27:I28"/>
    <mergeCell ref="J27:J28"/>
    <mergeCell ref="K27:K28"/>
    <mergeCell ref="L27:L28"/>
    <mergeCell ref="M27:M28"/>
    <mergeCell ref="B28:C28"/>
    <mergeCell ref="D28:G28"/>
    <mergeCell ref="A1:N1"/>
    <mergeCell ref="N3:N4"/>
    <mergeCell ref="N5:N6"/>
    <mergeCell ref="N7:N8"/>
    <mergeCell ref="N9:N10"/>
    <mergeCell ref="N11:N12"/>
    <mergeCell ref="J11:J12"/>
    <mergeCell ref="K11:K12"/>
    <mergeCell ref="L11:L12"/>
    <mergeCell ref="M11:M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D9:G9"/>
    <mergeCell ref="N25:N26"/>
    <mergeCell ref="N27:N28"/>
    <mergeCell ref="A33:A34"/>
    <mergeCell ref="K33:K34"/>
    <mergeCell ref="N13:N14"/>
    <mergeCell ref="N15:N16"/>
    <mergeCell ref="N17:N18"/>
    <mergeCell ref="N19:N20"/>
    <mergeCell ref="N21:N22"/>
    <mergeCell ref="N23:N24"/>
    <mergeCell ref="H29:H30"/>
    <mergeCell ref="I29:I30"/>
    <mergeCell ref="J29:J30"/>
    <mergeCell ref="A31:A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B32:C32"/>
    <mergeCell ref="N39:N40"/>
    <mergeCell ref="B40:C40"/>
    <mergeCell ref="D40:G40"/>
    <mergeCell ref="N33:N34"/>
    <mergeCell ref="A39:A40"/>
    <mergeCell ref="B39:C39"/>
    <mergeCell ref="D39:G39"/>
    <mergeCell ref="H39:H40"/>
    <mergeCell ref="I39:I40"/>
    <mergeCell ref="J39:J40"/>
    <mergeCell ref="K39:K40"/>
    <mergeCell ref="L39:L40"/>
    <mergeCell ref="M39:M40"/>
    <mergeCell ref="L33:L34"/>
    <mergeCell ref="M33:M34"/>
    <mergeCell ref="I35:I36"/>
    <mergeCell ref="J35:J36"/>
    <mergeCell ref="A35:A36"/>
    <mergeCell ref="B35:C35"/>
    <mergeCell ref="D35:G35"/>
    <mergeCell ref="H35:H36"/>
    <mergeCell ref="D36:G36"/>
    <mergeCell ref="K35:K36"/>
    <mergeCell ref="L35:L36"/>
    <mergeCell ref="D32:G32"/>
    <mergeCell ref="K31:K32"/>
    <mergeCell ref="L31:L32"/>
    <mergeCell ref="M31:M32"/>
    <mergeCell ref="N31:N32"/>
    <mergeCell ref="B33:C33"/>
    <mergeCell ref="D33:G33"/>
    <mergeCell ref="H33:H34"/>
    <mergeCell ref="I33:I34"/>
    <mergeCell ref="J33:J34"/>
    <mergeCell ref="B31:C31"/>
    <mergeCell ref="D31:G31"/>
    <mergeCell ref="H31:H32"/>
    <mergeCell ref="I31:I32"/>
    <mergeCell ref="J31:J32"/>
    <mergeCell ref="B34:C34"/>
    <mergeCell ref="D34:G34"/>
    <mergeCell ref="M35:M36"/>
    <mergeCell ref="N35:N36"/>
    <mergeCell ref="B36:C36"/>
    <mergeCell ref="A37:A38"/>
    <mergeCell ref="B37:C37"/>
    <mergeCell ref="D37:G37"/>
    <mergeCell ref="H37:H38"/>
    <mergeCell ref="I37:I38"/>
    <mergeCell ref="J37:J38"/>
    <mergeCell ref="K37:K38"/>
    <mergeCell ref="L37:L38"/>
    <mergeCell ref="M37:M38"/>
    <mergeCell ref="N37:N38"/>
    <mergeCell ref="B38:C38"/>
    <mergeCell ref="D38:G38"/>
  </mergeCells>
  <phoneticPr fontId="1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88930-2069-4D09-901A-A982E747A78F}">
  <sheetPr codeName="Sheet176">
    <tabColor rgb="FF00B050"/>
    <pageSetUpPr fitToPage="1"/>
  </sheetPr>
  <dimension ref="A1:N51"/>
  <sheetViews>
    <sheetView zoomScale="110" zoomScaleNormal="110" workbookViewId="0">
      <selection activeCell="P14" sqref="P1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4" ht="16.5" customHeight="1" thickBot="1">
      <c r="A1" s="67" t="s">
        <v>350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4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</row>
    <row r="3" spans="1:14" s="1" customFormat="1" ht="14.1" customHeight="1">
      <c r="A3" s="169">
        <v>1</v>
      </c>
      <c r="B3" s="72" t="s">
        <v>45</v>
      </c>
      <c r="C3" s="72"/>
      <c r="D3" s="73" t="s">
        <v>184</v>
      </c>
      <c r="E3" s="73"/>
      <c r="F3" s="73"/>
      <c r="G3" s="74"/>
      <c r="H3" s="24">
        <f>SUM(I3)-3</f>
        <v>28.5</v>
      </c>
      <c r="I3" s="24">
        <f>SUM(J3)-3</f>
        <v>31.5</v>
      </c>
      <c r="J3" s="33">
        <v>34.5</v>
      </c>
      <c r="K3" s="24">
        <f>SUM(J3)+2.5</f>
        <v>37</v>
      </c>
      <c r="L3" s="24">
        <f>SUM(K3)+2.5</f>
        <v>39.5</v>
      </c>
      <c r="M3" s="26">
        <f>SUM(L3)+2.5</f>
        <v>42</v>
      </c>
    </row>
    <row r="4" spans="1:14" s="1" customFormat="1" ht="14.1" customHeight="1">
      <c r="A4" s="71"/>
      <c r="B4" s="56" t="s">
        <v>42</v>
      </c>
      <c r="C4" s="56"/>
      <c r="D4" s="47" t="s">
        <v>354</v>
      </c>
      <c r="E4" s="48"/>
      <c r="F4" s="48"/>
      <c r="G4" s="48"/>
      <c r="H4" s="36"/>
      <c r="I4" s="36"/>
      <c r="J4" s="35"/>
      <c r="K4" s="36"/>
      <c r="L4" s="36"/>
      <c r="M4" s="37"/>
      <c r="N4" s="1" t="s">
        <v>113</v>
      </c>
    </row>
    <row r="5" spans="1:14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SUM(I5)-2</f>
        <v>25</v>
      </c>
      <c r="I5" s="24">
        <f>SUM(J5)-2</f>
        <v>27</v>
      </c>
      <c r="J5" s="33">
        <v>29</v>
      </c>
      <c r="K5" s="24">
        <f>SUM(J5)+1.8</f>
        <v>30.8</v>
      </c>
      <c r="L5" s="24">
        <f>SUM(K5)+1.8</f>
        <v>32.6</v>
      </c>
      <c r="M5" s="26">
        <f>SUM(L5)+1.8</f>
        <v>34.4</v>
      </c>
    </row>
    <row r="6" spans="1:14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37"/>
    </row>
    <row r="7" spans="1:14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31</v>
      </c>
      <c r="I7" s="24">
        <f>SUM(J7)-2.25</f>
        <v>33.25</v>
      </c>
      <c r="J7" s="33">
        <v>35.5</v>
      </c>
      <c r="K7" s="24">
        <f>SUM(J7)+2</f>
        <v>37.5</v>
      </c>
      <c r="L7" s="24">
        <f>SUM(K7)+2</f>
        <v>39.5</v>
      </c>
      <c r="M7" s="26">
        <f>SUM(L7)+2</f>
        <v>41.5</v>
      </c>
    </row>
    <row r="8" spans="1:14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37"/>
    </row>
    <row r="9" spans="1:14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SUM(I9)-2.1</f>
        <v>30.299999999999997</v>
      </c>
      <c r="I9" s="24">
        <f>SUM(J9)-2.1</f>
        <v>32.4</v>
      </c>
      <c r="J9" s="33">
        <v>34.5</v>
      </c>
      <c r="K9" s="24">
        <f>SUM(J9)+1.9</f>
        <v>36.4</v>
      </c>
      <c r="L9" s="24">
        <f>SUM(K9)+1.9</f>
        <v>38.299999999999997</v>
      </c>
      <c r="M9" s="26">
        <f>SUM(L9)+1.9</f>
        <v>40.199999999999996</v>
      </c>
    </row>
    <row r="10" spans="1:14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7"/>
    </row>
    <row r="11" spans="1:14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SUM(I11)-0.8</f>
        <v>12.999999999999998</v>
      </c>
      <c r="I11" s="24">
        <f>SUM(J11)-0.8</f>
        <v>13.799999999999999</v>
      </c>
      <c r="J11" s="23">
        <v>14.6</v>
      </c>
      <c r="K11" s="21">
        <f>SUM(J11)+0.8</f>
        <v>15.4</v>
      </c>
      <c r="L11" s="21">
        <f>SUM(K11)+0.8</f>
        <v>16.2</v>
      </c>
      <c r="M11" s="227">
        <f>SUM(L11)+0.8</f>
        <v>17</v>
      </c>
    </row>
    <row r="12" spans="1:14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27"/>
    </row>
    <row r="13" spans="1:14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14</v>
      </c>
      <c r="I13" s="24">
        <f>SUM(J13)-0.6</f>
        <v>14.6</v>
      </c>
      <c r="J13" s="23">
        <v>15.2</v>
      </c>
      <c r="K13" s="21">
        <f>SUM(J13)+0.6</f>
        <v>15.799999999999999</v>
      </c>
      <c r="L13" s="21">
        <f>SUM(K13)+0.6</f>
        <v>16.399999999999999</v>
      </c>
      <c r="M13" s="22">
        <f>SUM(L13)+0.6</f>
        <v>17</v>
      </c>
    </row>
    <row r="14" spans="1:14" s="1" customFormat="1" ht="14.1" customHeight="1">
      <c r="A14" s="38"/>
      <c r="B14" s="56" t="s">
        <v>29</v>
      </c>
      <c r="C14" s="56"/>
      <c r="D14" s="47" t="s">
        <v>52</v>
      </c>
      <c r="E14" s="48"/>
      <c r="F14" s="48"/>
      <c r="G14" s="49"/>
      <c r="H14" s="36"/>
      <c r="I14" s="36"/>
      <c r="J14" s="23"/>
      <c r="K14" s="21"/>
      <c r="L14" s="21"/>
      <c r="M14" s="22"/>
    </row>
    <row r="15" spans="1:14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6.5</v>
      </c>
      <c r="I15" s="24">
        <f>SUM(J15)-0.3</f>
        <v>6.8</v>
      </c>
      <c r="J15" s="23">
        <v>7.1</v>
      </c>
      <c r="K15" s="21">
        <f>SUM(J15)+0.3</f>
        <v>7.3999999999999995</v>
      </c>
      <c r="L15" s="21">
        <f>SUM(K15)+0.3</f>
        <v>7.6999999999999993</v>
      </c>
      <c r="M15" s="227">
        <f>SUM(L15)+0.3</f>
        <v>7.9999999999999991</v>
      </c>
    </row>
    <row r="16" spans="1:14" s="1" customFormat="1" ht="14.1" customHeight="1">
      <c r="A16" s="38"/>
      <c r="B16" s="56" t="s">
        <v>30</v>
      </c>
      <c r="C16" s="56"/>
      <c r="D16" s="47" t="s">
        <v>53</v>
      </c>
      <c r="E16" s="48"/>
      <c r="F16" s="48"/>
      <c r="G16" s="49"/>
      <c r="H16" s="36"/>
      <c r="I16" s="36"/>
      <c r="J16" s="23"/>
      <c r="K16" s="21"/>
      <c r="L16" s="21"/>
      <c r="M16" s="227"/>
    </row>
    <row r="17" spans="1:13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36.5</v>
      </c>
      <c r="I17" s="24">
        <f>SUM(J17)-1.6</f>
        <v>38.1</v>
      </c>
      <c r="J17" s="23">
        <v>39.700000000000003</v>
      </c>
      <c r="K17" s="21">
        <f>SUM(J17)+1.6</f>
        <v>41.300000000000004</v>
      </c>
      <c r="L17" s="21">
        <f>SUM(K17)+1.6</f>
        <v>42.900000000000006</v>
      </c>
      <c r="M17" s="227">
        <f>SUM(L17)+1.6</f>
        <v>44.500000000000007</v>
      </c>
    </row>
    <row r="18" spans="1:13" s="1" customFormat="1" ht="14.1" customHeight="1">
      <c r="A18" s="38"/>
      <c r="B18" s="56" t="s">
        <v>37</v>
      </c>
      <c r="C18" s="56"/>
      <c r="D18" s="47" t="s">
        <v>107</v>
      </c>
      <c r="E18" s="48"/>
      <c r="F18" s="48"/>
      <c r="G18" s="49"/>
      <c r="H18" s="36"/>
      <c r="I18" s="36"/>
      <c r="J18" s="23"/>
      <c r="K18" s="21"/>
      <c r="L18" s="21"/>
      <c r="M18" s="227"/>
    </row>
    <row r="19" spans="1:13" s="1" customFormat="1" ht="14.1" customHeight="1">
      <c r="A19" s="38">
        <v>9</v>
      </c>
      <c r="B19" s="58" t="s">
        <v>4</v>
      </c>
      <c r="C19" s="58"/>
      <c r="D19" s="57" t="s">
        <v>5</v>
      </c>
      <c r="E19" s="57"/>
      <c r="F19" s="57"/>
      <c r="G19" s="57"/>
      <c r="H19" s="24">
        <f>SUM(I19)-3.5</f>
        <v>32.5</v>
      </c>
      <c r="I19" s="24">
        <f>SUM(J19)-3.5</f>
        <v>36</v>
      </c>
      <c r="J19" s="23">
        <v>39.5</v>
      </c>
      <c r="K19" s="21">
        <f>SUM(J19)+3.6</f>
        <v>43.1</v>
      </c>
      <c r="L19" s="21">
        <f>SUM(K19)+3.6</f>
        <v>46.7</v>
      </c>
      <c r="M19" s="22">
        <f>SUM(L19)+3.6</f>
        <v>50.300000000000004</v>
      </c>
    </row>
    <row r="20" spans="1:13" s="1" customFormat="1" ht="14.1" customHeight="1">
      <c r="A20" s="38"/>
      <c r="B20" s="56" t="s">
        <v>355</v>
      </c>
      <c r="C20" s="56"/>
      <c r="D20" s="47" t="s">
        <v>54</v>
      </c>
      <c r="E20" s="48"/>
      <c r="F20" s="48"/>
      <c r="G20" s="49"/>
      <c r="H20" s="36"/>
      <c r="I20" s="36"/>
      <c r="J20" s="23"/>
      <c r="K20" s="21"/>
      <c r="L20" s="21"/>
      <c r="M20" s="22"/>
    </row>
    <row r="21" spans="1:13" s="1" customFormat="1" ht="14.1" customHeight="1">
      <c r="A21" s="38">
        <v>10</v>
      </c>
      <c r="B21" s="58" t="s">
        <v>6</v>
      </c>
      <c r="C21" s="58"/>
      <c r="D21" s="59" t="s">
        <v>7</v>
      </c>
      <c r="E21" s="60"/>
      <c r="F21" s="60"/>
      <c r="G21" s="61"/>
      <c r="H21" s="24">
        <f>SUM(I21)-1.6</f>
        <v>25.799999999999997</v>
      </c>
      <c r="I21" s="24">
        <f>SUM(J21)-1.6</f>
        <v>27.4</v>
      </c>
      <c r="J21" s="23">
        <v>29</v>
      </c>
      <c r="K21" s="21">
        <f>SUM(J21)+1.6</f>
        <v>30.6</v>
      </c>
      <c r="L21" s="21">
        <f>SUM(K21)+1.6</f>
        <v>32.200000000000003</v>
      </c>
      <c r="M21" s="22">
        <f>SUM(L21)+1.6</f>
        <v>33.800000000000004</v>
      </c>
    </row>
    <row r="22" spans="1:13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9"/>
      <c r="H22" s="36"/>
      <c r="I22" s="36"/>
      <c r="J22" s="23"/>
      <c r="K22" s="21"/>
      <c r="L22" s="21"/>
      <c r="M22" s="22"/>
    </row>
    <row r="23" spans="1:13" s="1" customFormat="1" ht="14.1" customHeight="1">
      <c r="A23" s="38">
        <v>11</v>
      </c>
      <c r="B23" s="51" t="s">
        <v>122</v>
      </c>
      <c r="C23" s="52"/>
      <c r="D23" s="57" t="s">
        <v>78</v>
      </c>
      <c r="E23" s="57"/>
      <c r="F23" s="57"/>
      <c r="G23" s="57"/>
      <c r="H23" s="24">
        <f>SUM(I23)-0.7</f>
        <v>17.600000000000001</v>
      </c>
      <c r="I23" s="24">
        <f>SUM(J23)-0.7</f>
        <v>18.3</v>
      </c>
      <c r="J23" s="23">
        <v>19</v>
      </c>
      <c r="K23" s="21">
        <f>SUM(J23)+0.7</f>
        <v>19.7</v>
      </c>
      <c r="L23" s="21">
        <f>SUM(K23)+0.7</f>
        <v>20.399999999999999</v>
      </c>
      <c r="M23" s="22">
        <f>SUM(L23)+0.7</f>
        <v>21.099999999999998</v>
      </c>
    </row>
    <row r="24" spans="1:13" s="1" customFormat="1" ht="14.1" customHeight="1">
      <c r="A24" s="38"/>
      <c r="B24" s="56" t="s">
        <v>33</v>
      </c>
      <c r="C24" s="56"/>
      <c r="D24" s="47" t="s">
        <v>79</v>
      </c>
      <c r="E24" s="48"/>
      <c r="F24" s="48"/>
      <c r="G24" s="49"/>
      <c r="H24" s="36"/>
      <c r="I24" s="36"/>
      <c r="J24" s="23"/>
      <c r="K24" s="21"/>
      <c r="L24" s="21"/>
      <c r="M24" s="22"/>
    </row>
    <row r="25" spans="1:13" s="1" customFormat="1" ht="14.1" customHeight="1">
      <c r="A25" s="38">
        <v>12</v>
      </c>
      <c r="B25" s="51" t="s">
        <v>351</v>
      </c>
      <c r="C25" s="52"/>
      <c r="D25" s="59"/>
      <c r="E25" s="60"/>
      <c r="F25" s="60"/>
      <c r="G25" s="61"/>
      <c r="H25" s="24">
        <f>SUM(I25)-2.7</f>
        <v>22</v>
      </c>
      <c r="I25" s="24">
        <f>SUM(J25)-2.7</f>
        <v>24.7</v>
      </c>
      <c r="J25" s="23">
        <v>27.4</v>
      </c>
      <c r="K25" s="21">
        <f>SUM(J25)+2.2</f>
        <v>29.599999999999998</v>
      </c>
      <c r="L25" s="21">
        <f>SUM(K25)+2.2</f>
        <v>31.799999999999997</v>
      </c>
      <c r="M25" s="22">
        <f>SUM(L25)+2.2</f>
        <v>34</v>
      </c>
    </row>
    <row r="26" spans="1:13" s="1" customFormat="1" ht="14.1" customHeight="1">
      <c r="A26" s="38"/>
      <c r="B26" s="62" t="s">
        <v>352</v>
      </c>
      <c r="C26" s="63"/>
      <c r="D26" s="89" t="s">
        <v>353</v>
      </c>
      <c r="E26" s="65"/>
      <c r="F26" s="65"/>
      <c r="G26" s="66"/>
      <c r="H26" s="36"/>
      <c r="I26" s="36"/>
      <c r="J26" s="23"/>
      <c r="K26" s="21"/>
      <c r="L26" s="21"/>
      <c r="M26" s="22"/>
    </row>
    <row r="27" spans="1:13" s="1" customFormat="1" ht="14.1" customHeight="1">
      <c r="A27" s="38">
        <v>13</v>
      </c>
      <c r="B27" s="51" t="s">
        <v>176</v>
      </c>
      <c r="C27" s="52"/>
      <c r="D27" s="53"/>
      <c r="E27" s="54"/>
      <c r="F27" s="54"/>
      <c r="G27" s="55"/>
      <c r="H27" s="24">
        <f>SUM(I27)-0.7</f>
        <v>10.3</v>
      </c>
      <c r="I27" s="24">
        <f>SUM(J27)-0.7</f>
        <v>11</v>
      </c>
      <c r="J27" s="23">
        <v>11.7</v>
      </c>
      <c r="K27" s="21">
        <f>SUM(J27)+0.7</f>
        <v>12.399999999999999</v>
      </c>
      <c r="L27" s="21">
        <f>SUM(K27)+0.7</f>
        <v>13.099999999999998</v>
      </c>
      <c r="M27" s="22">
        <f>SUM(L27)+0.7</f>
        <v>13.799999999999997</v>
      </c>
    </row>
    <row r="28" spans="1:13" s="1" customFormat="1" ht="14.1" customHeight="1">
      <c r="A28" s="154"/>
      <c r="B28" s="45" t="s">
        <v>175</v>
      </c>
      <c r="C28" s="46"/>
      <c r="D28" s="47" t="s">
        <v>212</v>
      </c>
      <c r="E28" s="48"/>
      <c r="F28" s="48"/>
      <c r="G28" s="49"/>
      <c r="H28" s="50"/>
      <c r="I28" s="50"/>
      <c r="J28" s="33"/>
      <c r="K28" s="24"/>
      <c r="L28" s="24"/>
      <c r="M28" s="26"/>
    </row>
    <row r="29" spans="1:13" ht="14.1" customHeight="1">
      <c r="A29" s="38">
        <v>14</v>
      </c>
      <c r="B29" s="40" t="s">
        <v>174</v>
      </c>
      <c r="C29" s="41"/>
      <c r="D29" s="42" t="s">
        <v>106</v>
      </c>
      <c r="E29" s="43"/>
      <c r="F29" s="43"/>
      <c r="G29" s="44"/>
      <c r="H29" s="24">
        <f>SUM(I29)-0.5</f>
        <v>5</v>
      </c>
      <c r="I29" s="24">
        <f>SUM(J29)-0.5</f>
        <v>5.5</v>
      </c>
      <c r="J29" s="23">
        <v>6</v>
      </c>
      <c r="K29" s="21">
        <f>SUM(J29)+0.4</f>
        <v>6.4</v>
      </c>
      <c r="L29" s="21">
        <f>SUM(K29)+0.4</f>
        <v>6.8000000000000007</v>
      </c>
      <c r="M29" s="22">
        <f>SUM(L29)+0.4</f>
        <v>7.2000000000000011</v>
      </c>
    </row>
    <row r="30" spans="1:13" ht="14.1" customHeight="1">
      <c r="A30" s="38"/>
      <c r="B30" s="45" t="s">
        <v>173</v>
      </c>
      <c r="C30" s="46"/>
      <c r="D30" s="47" t="s">
        <v>105</v>
      </c>
      <c r="E30" s="48"/>
      <c r="F30" s="48"/>
      <c r="G30" s="49"/>
      <c r="H30" s="50"/>
      <c r="I30" s="50"/>
      <c r="J30" s="33"/>
      <c r="K30" s="24"/>
      <c r="L30" s="24"/>
      <c r="M30" s="22"/>
    </row>
    <row r="31" spans="1:13" ht="14.1" customHeight="1">
      <c r="A31" s="38">
        <v>15</v>
      </c>
      <c r="B31" s="51"/>
      <c r="C31" s="52"/>
      <c r="D31" s="59"/>
      <c r="E31" s="60"/>
      <c r="F31" s="60"/>
      <c r="G31" s="61"/>
      <c r="H31" s="24"/>
      <c r="I31" s="24"/>
      <c r="J31" s="33"/>
      <c r="K31" s="24"/>
      <c r="L31" s="24"/>
      <c r="M31" s="26"/>
    </row>
    <row r="32" spans="1:13" ht="14.1" customHeight="1" thickBot="1">
      <c r="A32" s="39"/>
      <c r="B32" s="104"/>
      <c r="C32" s="105"/>
      <c r="D32" s="106"/>
      <c r="E32" s="107"/>
      <c r="F32" s="107"/>
      <c r="G32" s="108"/>
      <c r="H32" s="25"/>
      <c r="I32" s="25"/>
      <c r="J32" s="34"/>
      <c r="K32" s="25"/>
      <c r="L32" s="25"/>
      <c r="M32" s="27"/>
    </row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68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K5:K6"/>
    <mergeCell ref="L5:L6"/>
    <mergeCell ref="M5:M6"/>
    <mergeCell ref="B6:C6"/>
    <mergeCell ref="D6:G6"/>
    <mergeCell ref="A7:A8"/>
    <mergeCell ref="B7:C7"/>
    <mergeCell ref="D7:G7"/>
    <mergeCell ref="H7:H8"/>
    <mergeCell ref="I7:I8"/>
    <mergeCell ref="J7:J8"/>
    <mergeCell ref="K7:K8"/>
    <mergeCell ref="L7:L8"/>
    <mergeCell ref="M7:M8"/>
    <mergeCell ref="B8:C8"/>
    <mergeCell ref="D8:G8"/>
    <mergeCell ref="A9:A10"/>
    <mergeCell ref="B9:C9"/>
    <mergeCell ref="D9:G9"/>
    <mergeCell ref="H9:H10"/>
    <mergeCell ref="I9:I10"/>
    <mergeCell ref="J9:J10"/>
    <mergeCell ref="K9:K10"/>
    <mergeCell ref="L9:L10"/>
    <mergeCell ref="M9:M10"/>
    <mergeCell ref="B10:C10"/>
    <mergeCell ref="D10:G10"/>
    <mergeCell ref="A11:A12"/>
    <mergeCell ref="B11:C11"/>
    <mergeCell ref="D11:G11"/>
    <mergeCell ref="H11:H12"/>
    <mergeCell ref="I11:I12"/>
    <mergeCell ref="J11:J12"/>
    <mergeCell ref="K11:K12"/>
    <mergeCell ref="L11:L12"/>
    <mergeCell ref="M11:M12"/>
    <mergeCell ref="B12:C12"/>
    <mergeCell ref="D12:G12"/>
    <mergeCell ref="A13:A14"/>
    <mergeCell ref="B13:C13"/>
    <mergeCell ref="D13:G13"/>
    <mergeCell ref="H13:H14"/>
    <mergeCell ref="I13:I14"/>
    <mergeCell ref="J13:J14"/>
    <mergeCell ref="K13:K14"/>
    <mergeCell ref="L13:L14"/>
    <mergeCell ref="M13:M14"/>
    <mergeCell ref="B14:C14"/>
    <mergeCell ref="D14:G14"/>
    <mergeCell ref="A15:A16"/>
    <mergeCell ref="B15:C15"/>
    <mergeCell ref="D15:G15"/>
    <mergeCell ref="H15:H16"/>
    <mergeCell ref="I15:I16"/>
    <mergeCell ref="J15:J16"/>
    <mergeCell ref="K15:K16"/>
    <mergeCell ref="L15:L16"/>
    <mergeCell ref="M15:M16"/>
    <mergeCell ref="B16:C16"/>
    <mergeCell ref="D16:G16"/>
    <mergeCell ref="A17:A18"/>
    <mergeCell ref="B17:C17"/>
    <mergeCell ref="D17:G17"/>
    <mergeCell ref="H17:H18"/>
    <mergeCell ref="I17:I18"/>
    <mergeCell ref="J17:J18"/>
    <mergeCell ref="K17:K18"/>
    <mergeCell ref="L17:L18"/>
    <mergeCell ref="M17:M18"/>
    <mergeCell ref="B18:C18"/>
    <mergeCell ref="D18:G18"/>
    <mergeCell ref="A19:A20"/>
    <mergeCell ref="B19:C19"/>
    <mergeCell ref="D19:G19"/>
    <mergeCell ref="H19:H20"/>
    <mergeCell ref="I19:I20"/>
    <mergeCell ref="J19:J20"/>
    <mergeCell ref="K19:K20"/>
    <mergeCell ref="L19:L20"/>
    <mergeCell ref="M19:M20"/>
    <mergeCell ref="B20:C20"/>
    <mergeCell ref="D20:G20"/>
    <mergeCell ref="A21:A22"/>
    <mergeCell ref="B21:C21"/>
    <mergeCell ref="D21:G21"/>
    <mergeCell ref="H21:H22"/>
    <mergeCell ref="I21:I22"/>
    <mergeCell ref="J21:J22"/>
    <mergeCell ref="K21:K22"/>
    <mergeCell ref="L21:L22"/>
    <mergeCell ref="M21:M22"/>
    <mergeCell ref="B22:C22"/>
    <mergeCell ref="D22:G22"/>
    <mergeCell ref="A23:A24"/>
    <mergeCell ref="B23:C23"/>
    <mergeCell ref="D23:G23"/>
    <mergeCell ref="H23:H24"/>
    <mergeCell ref="I23:I24"/>
    <mergeCell ref="J23:J24"/>
    <mergeCell ref="K23:K24"/>
    <mergeCell ref="L23:L24"/>
    <mergeCell ref="M23:M24"/>
    <mergeCell ref="B24:C24"/>
    <mergeCell ref="D24:G24"/>
    <mergeCell ref="A25:A26"/>
    <mergeCell ref="B25:C25"/>
    <mergeCell ref="D25:G25"/>
    <mergeCell ref="H25:H26"/>
    <mergeCell ref="I25:I26"/>
    <mergeCell ref="J25:J26"/>
    <mergeCell ref="K25:K26"/>
    <mergeCell ref="L25:L26"/>
    <mergeCell ref="M25:M26"/>
    <mergeCell ref="B26:C26"/>
    <mergeCell ref="D26:G26"/>
    <mergeCell ref="A31:A32"/>
    <mergeCell ref="B31:C31"/>
    <mergeCell ref="D31:G31"/>
    <mergeCell ref="H31:H32"/>
    <mergeCell ref="I31:I32"/>
    <mergeCell ref="J31:J32"/>
    <mergeCell ref="K31:K32"/>
    <mergeCell ref="L31:L32"/>
    <mergeCell ref="M31:M32"/>
    <mergeCell ref="B32:C32"/>
    <mergeCell ref="D32:G32"/>
    <mergeCell ref="A27:A28"/>
    <mergeCell ref="B27:C27"/>
    <mergeCell ref="D27:G27"/>
    <mergeCell ref="H27:H28"/>
    <mergeCell ref="I27:I28"/>
    <mergeCell ref="J27:J28"/>
    <mergeCell ref="K27:K28"/>
    <mergeCell ref="L27:L28"/>
    <mergeCell ref="M27:M28"/>
    <mergeCell ref="B28:C28"/>
    <mergeCell ref="D28:G28"/>
    <mergeCell ref="A29:A30"/>
    <mergeCell ref="B29:C29"/>
    <mergeCell ref="D29:G29"/>
    <mergeCell ref="H29:H30"/>
    <mergeCell ref="I29:I30"/>
    <mergeCell ref="J29:J30"/>
    <mergeCell ref="K29:K30"/>
    <mergeCell ref="L29:L30"/>
    <mergeCell ref="M29:M30"/>
    <mergeCell ref="B30:C30"/>
    <mergeCell ref="D30:G30"/>
  </mergeCells>
  <phoneticPr fontId="3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D87F7-C092-4CA8-B480-DB35E3B7A083}">
  <sheetPr>
    <tabColor rgb="FF00B050"/>
    <pageSetUpPr fitToPage="1"/>
  </sheetPr>
  <dimension ref="A1:Q51"/>
  <sheetViews>
    <sheetView zoomScale="110" zoomScaleNormal="110" workbookViewId="0">
      <selection activeCell="P22" sqref="P2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7" ht="16.5" customHeight="1" thickBot="1">
      <c r="A1" s="67" t="s">
        <v>913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7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</row>
    <row r="3" spans="1:17" s="1" customFormat="1" ht="14.1" customHeight="1">
      <c r="A3" s="169">
        <v>1</v>
      </c>
      <c r="B3" s="72" t="s">
        <v>45</v>
      </c>
      <c r="C3" s="72"/>
      <c r="D3" s="73" t="s">
        <v>184</v>
      </c>
      <c r="E3" s="73"/>
      <c r="F3" s="73"/>
      <c r="G3" s="74"/>
      <c r="H3" s="24">
        <f>SUM(I3)-3.5</f>
        <v>37</v>
      </c>
      <c r="I3" s="24">
        <f>SUM(J3)-3.5</f>
        <v>40.5</v>
      </c>
      <c r="J3" s="33">
        <v>44</v>
      </c>
      <c r="K3" s="24">
        <f>SUM(J3)+3</f>
        <v>47</v>
      </c>
      <c r="L3" s="24">
        <f t="shared" ref="L3:M3" si="0">SUM(K3)+3</f>
        <v>50</v>
      </c>
      <c r="M3" s="26">
        <f t="shared" si="0"/>
        <v>53</v>
      </c>
    </row>
    <row r="4" spans="1:17" s="1" customFormat="1" ht="14.1" customHeight="1">
      <c r="A4" s="71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5"/>
      <c r="K4" s="36"/>
      <c r="L4" s="36"/>
      <c r="M4" s="37"/>
      <c r="N4" s="1" t="s">
        <v>113</v>
      </c>
    </row>
    <row r="5" spans="1:17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SUM(I5)-2</f>
        <v>34</v>
      </c>
      <c r="I5" s="24">
        <f>SUM(J5)-2</f>
        <v>36</v>
      </c>
      <c r="J5" s="33">
        <v>38</v>
      </c>
      <c r="K5" s="24">
        <f>SUM(J5)+1.8</f>
        <v>39.799999999999997</v>
      </c>
      <c r="L5" s="24">
        <f>SUM(K5)+1.8</f>
        <v>41.599999999999994</v>
      </c>
      <c r="M5" s="26">
        <f>SUM(L5)+1.8</f>
        <v>43.399999999999991</v>
      </c>
    </row>
    <row r="6" spans="1:17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37"/>
    </row>
    <row r="7" spans="1:17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39.5</v>
      </c>
      <c r="I7" s="24">
        <f>SUM(J7)-2.25</f>
        <v>41.75</v>
      </c>
      <c r="J7" s="33">
        <v>44</v>
      </c>
      <c r="K7" s="24">
        <f>SUM(J7)+2</f>
        <v>46</v>
      </c>
      <c r="L7" s="24">
        <f>SUM(K7)+2</f>
        <v>48</v>
      </c>
      <c r="M7" s="26">
        <f>SUM(L7)+2</f>
        <v>50</v>
      </c>
    </row>
    <row r="8" spans="1:17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37"/>
      <c r="Q8" s="1" t="s">
        <v>914</v>
      </c>
    </row>
    <row r="9" spans="1:17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SUM(I9)-1.8</f>
        <v>29.9</v>
      </c>
      <c r="I9" s="24">
        <f>SUM(J9)-1.8</f>
        <v>31.7</v>
      </c>
      <c r="J9" s="33">
        <v>33.5</v>
      </c>
      <c r="K9" s="24">
        <f>SUM(J9)+1.6</f>
        <v>35.1</v>
      </c>
      <c r="L9" s="24">
        <f t="shared" ref="L9:M9" si="1">SUM(K9)+1.6</f>
        <v>36.700000000000003</v>
      </c>
      <c r="M9" s="26">
        <f t="shared" si="1"/>
        <v>38.300000000000004</v>
      </c>
    </row>
    <row r="10" spans="1:17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7"/>
    </row>
    <row r="11" spans="1:17" s="1" customFormat="1" ht="14.1" customHeight="1">
      <c r="A11" s="38">
        <v>5</v>
      </c>
      <c r="B11" s="24" t="s">
        <v>915</v>
      </c>
      <c r="C11" s="24"/>
      <c r="D11" s="230"/>
      <c r="E11" s="231"/>
      <c r="F11" s="231"/>
      <c r="G11" s="232"/>
      <c r="H11" s="24">
        <f>SUM(I11)-3</f>
        <v>51</v>
      </c>
      <c r="I11" s="24">
        <f>SUM(J11)-3</f>
        <v>54</v>
      </c>
      <c r="J11" s="33">
        <v>57</v>
      </c>
      <c r="K11" s="24">
        <f>SUM(J11)+2.6</f>
        <v>59.6</v>
      </c>
      <c r="L11" s="24">
        <f t="shared" ref="L11:M11" si="2">SUM(K11)+2.6</f>
        <v>62.2</v>
      </c>
      <c r="M11" s="26">
        <f t="shared" si="2"/>
        <v>64.8</v>
      </c>
    </row>
    <row r="12" spans="1:17" s="1" customFormat="1" ht="14.1" customHeight="1">
      <c r="A12" s="38"/>
      <c r="B12" s="36" t="s">
        <v>916</v>
      </c>
      <c r="C12" s="36"/>
      <c r="D12" s="64" t="s">
        <v>917</v>
      </c>
      <c r="E12" s="65"/>
      <c r="F12" s="65"/>
      <c r="G12" s="66"/>
      <c r="H12" s="36"/>
      <c r="I12" s="36"/>
      <c r="J12" s="35"/>
      <c r="K12" s="36"/>
      <c r="L12" s="36"/>
      <c r="M12" s="37"/>
    </row>
    <row r="13" spans="1:17" s="1" customFormat="1" ht="14.1" customHeight="1">
      <c r="A13" s="38">
        <v>6</v>
      </c>
      <c r="B13" s="24" t="s">
        <v>10</v>
      </c>
      <c r="C13" s="24"/>
      <c r="D13" s="233" t="s">
        <v>0</v>
      </c>
      <c r="E13" s="233"/>
      <c r="F13" s="233"/>
      <c r="G13" s="233"/>
      <c r="H13" s="24">
        <f>SUM(I13)-0.8</f>
        <v>16.2</v>
      </c>
      <c r="I13" s="24">
        <f>SUM(J13)-0.8</f>
        <v>17</v>
      </c>
      <c r="J13" s="23">
        <v>17.8</v>
      </c>
      <c r="K13" s="21">
        <f>SUM(J13)+0.8</f>
        <v>18.600000000000001</v>
      </c>
      <c r="L13" s="21">
        <f>SUM(K13)+0.8</f>
        <v>19.400000000000002</v>
      </c>
      <c r="M13" s="227">
        <f>SUM(L13)+0.8</f>
        <v>20.200000000000003</v>
      </c>
    </row>
    <row r="14" spans="1:17" s="1" customFormat="1" ht="14.1" customHeight="1">
      <c r="A14" s="38"/>
      <c r="B14" s="36" t="s">
        <v>28</v>
      </c>
      <c r="C14" s="36"/>
      <c r="D14" s="64" t="s">
        <v>51</v>
      </c>
      <c r="E14" s="65"/>
      <c r="F14" s="65"/>
      <c r="G14" s="66"/>
      <c r="H14" s="36"/>
      <c r="I14" s="36"/>
      <c r="J14" s="23"/>
      <c r="K14" s="21"/>
      <c r="L14" s="21"/>
      <c r="M14" s="227"/>
    </row>
    <row r="15" spans="1:17" s="1" customFormat="1" ht="14.1" customHeight="1">
      <c r="A15" s="38">
        <v>7</v>
      </c>
      <c r="B15" s="24" t="s">
        <v>1</v>
      </c>
      <c r="C15" s="24"/>
      <c r="D15" s="233" t="s">
        <v>180</v>
      </c>
      <c r="E15" s="233"/>
      <c r="F15" s="233"/>
      <c r="G15" s="233"/>
      <c r="H15" s="24">
        <f>SUM(I15)-0.6</f>
        <v>14.100000000000001</v>
      </c>
      <c r="I15" s="24">
        <f>SUM(J15)-0.6</f>
        <v>14.700000000000001</v>
      </c>
      <c r="J15" s="23">
        <v>15.3</v>
      </c>
      <c r="K15" s="21">
        <f>SUM(J15)+0.6</f>
        <v>15.9</v>
      </c>
      <c r="L15" s="21">
        <f>SUM(K15)+0.6</f>
        <v>16.5</v>
      </c>
      <c r="M15" s="22">
        <f>SUM(L15)+0.6</f>
        <v>17.100000000000001</v>
      </c>
    </row>
    <row r="16" spans="1:17" s="1" customFormat="1" ht="14.1" customHeight="1">
      <c r="A16" s="38"/>
      <c r="B16" s="36" t="s">
        <v>29</v>
      </c>
      <c r="C16" s="36"/>
      <c r="D16" s="64" t="s">
        <v>52</v>
      </c>
      <c r="E16" s="65"/>
      <c r="F16" s="65"/>
      <c r="G16" s="66"/>
      <c r="H16" s="36"/>
      <c r="I16" s="36"/>
      <c r="J16" s="23"/>
      <c r="K16" s="21"/>
      <c r="L16" s="21"/>
      <c r="M16" s="22"/>
    </row>
    <row r="17" spans="1:13" s="1" customFormat="1" ht="14.1" customHeight="1">
      <c r="A17" s="38">
        <v>8</v>
      </c>
      <c r="B17" s="24" t="s">
        <v>2</v>
      </c>
      <c r="C17" s="24"/>
      <c r="D17" s="233" t="s">
        <v>3</v>
      </c>
      <c r="E17" s="233"/>
      <c r="F17" s="233"/>
      <c r="G17" s="233"/>
      <c r="H17" s="24">
        <f>SUM(I17)-0.3</f>
        <v>8.1999999999999993</v>
      </c>
      <c r="I17" s="24">
        <f>SUM(J17)-0.3</f>
        <v>8.5</v>
      </c>
      <c r="J17" s="23">
        <v>8.8000000000000007</v>
      </c>
      <c r="K17" s="21">
        <f>SUM(J17)+0.3</f>
        <v>9.1000000000000014</v>
      </c>
      <c r="L17" s="21">
        <f>SUM(K17)+0.3</f>
        <v>9.4000000000000021</v>
      </c>
      <c r="M17" s="227">
        <f>SUM(L17)+0.3</f>
        <v>9.7000000000000028</v>
      </c>
    </row>
    <row r="18" spans="1:13" s="1" customFormat="1" ht="14.1" customHeight="1">
      <c r="A18" s="38"/>
      <c r="B18" s="36" t="s">
        <v>30</v>
      </c>
      <c r="C18" s="36"/>
      <c r="D18" s="64" t="s">
        <v>53</v>
      </c>
      <c r="E18" s="65"/>
      <c r="F18" s="65"/>
      <c r="G18" s="66"/>
      <c r="H18" s="36"/>
      <c r="I18" s="36"/>
      <c r="J18" s="23"/>
      <c r="K18" s="21"/>
      <c r="L18" s="21"/>
      <c r="M18" s="227"/>
    </row>
    <row r="19" spans="1:13" s="1" customFormat="1" ht="14.1" customHeight="1">
      <c r="A19" s="38">
        <v>9</v>
      </c>
      <c r="B19" s="134" t="s">
        <v>85</v>
      </c>
      <c r="C19" s="213"/>
      <c r="D19" s="230" t="s">
        <v>86</v>
      </c>
      <c r="E19" s="231"/>
      <c r="F19" s="231"/>
      <c r="G19" s="232"/>
      <c r="H19" s="24">
        <f>SUM(I19)-1.6</f>
        <v>38.9</v>
      </c>
      <c r="I19" s="24">
        <f>SUM(J19)-1.6</f>
        <v>40.5</v>
      </c>
      <c r="J19" s="23">
        <v>42.1</v>
      </c>
      <c r="K19" s="21">
        <f>SUM(J19)+1.6</f>
        <v>43.7</v>
      </c>
      <c r="L19" s="21">
        <f>SUM(K19)+1.6</f>
        <v>45.300000000000004</v>
      </c>
      <c r="M19" s="227">
        <f>SUM(L19)+1.6</f>
        <v>46.900000000000006</v>
      </c>
    </row>
    <row r="20" spans="1:13" s="1" customFormat="1" ht="14.1" customHeight="1">
      <c r="A20" s="38"/>
      <c r="B20" s="36" t="s">
        <v>37</v>
      </c>
      <c r="C20" s="36"/>
      <c r="D20" s="64" t="s">
        <v>107</v>
      </c>
      <c r="E20" s="65"/>
      <c r="F20" s="65"/>
      <c r="G20" s="66"/>
      <c r="H20" s="36"/>
      <c r="I20" s="36"/>
      <c r="J20" s="23"/>
      <c r="K20" s="21"/>
      <c r="L20" s="21"/>
      <c r="M20" s="227"/>
    </row>
    <row r="21" spans="1:13" s="1" customFormat="1" ht="14.1" customHeight="1">
      <c r="A21" s="38">
        <v>10</v>
      </c>
      <c r="B21" s="24" t="s">
        <v>4</v>
      </c>
      <c r="C21" s="24"/>
      <c r="D21" s="233" t="s">
        <v>5</v>
      </c>
      <c r="E21" s="233"/>
      <c r="F21" s="233"/>
      <c r="G21" s="233"/>
      <c r="H21" s="24">
        <f>SUM(I21)-3.5</f>
        <v>30.4</v>
      </c>
      <c r="I21" s="24">
        <f>SUM(J21)-3.5</f>
        <v>33.9</v>
      </c>
      <c r="J21" s="23">
        <v>37.4</v>
      </c>
      <c r="K21" s="21">
        <f>SUM(J21)+3.6</f>
        <v>41</v>
      </c>
      <c r="L21" s="21">
        <f>SUM(K21)+3.6</f>
        <v>44.6</v>
      </c>
      <c r="M21" s="22">
        <f>SUM(L21)+3.6</f>
        <v>48.2</v>
      </c>
    </row>
    <row r="22" spans="1:13" s="1" customFormat="1" ht="14.1" customHeight="1">
      <c r="A22" s="38"/>
      <c r="B22" s="36" t="s">
        <v>918</v>
      </c>
      <c r="C22" s="36"/>
      <c r="D22" s="64" t="s">
        <v>54</v>
      </c>
      <c r="E22" s="65"/>
      <c r="F22" s="65"/>
      <c r="G22" s="66"/>
      <c r="H22" s="36"/>
      <c r="I22" s="36"/>
      <c r="J22" s="23"/>
      <c r="K22" s="21"/>
      <c r="L22" s="21"/>
      <c r="M22" s="22"/>
    </row>
    <row r="23" spans="1:13" s="1" customFormat="1" ht="14.1" customHeight="1">
      <c r="A23" s="38">
        <v>11</v>
      </c>
      <c r="B23" s="24" t="s">
        <v>6</v>
      </c>
      <c r="C23" s="24"/>
      <c r="D23" s="230" t="s">
        <v>7</v>
      </c>
      <c r="E23" s="231"/>
      <c r="F23" s="231"/>
      <c r="G23" s="232"/>
      <c r="H23" s="24">
        <f>SUM(I23)-1.6</f>
        <v>31.699999999999996</v>
      </c>
      <c r="I23" s="24">
        <f>SUM(J23)-1.5</f>
        <v>33.299999999999997</v>
      </c>
      <c r="J23" s="23">
        <v>34.799999999999997</v>
      </c>
      <c r="K23" s="21">
        <f>SUM(J23)+1.6</f>
        <v>36.4</v>
      </c>
      <c r="L23" s="21">
        <f>SUM(K23)+1.6</f>
        <v>38</v>
      </c>
      <c r="M23" s="22">
        <f>SUM(L23)+1.6</f>
        <v>39.6</v>
      </c>
    </row>
    <row r="24" spans="1:13" s="1" customFormat="1" ht="14.1" customHeight="1">
      <c r="A24" s="38"/>
      <c r="B24" s="36" t="s">
        <v>32</v>
      </c>
      <c r="C24" s="36"/>
      <c r="D24" s="64" t="s">
        <v>76</v>
      </c>
      <c r="E24" s="65"/>
      <c r="F24" s="65"/>
      <c r="G24" s="66"/>
      <c r="H24" s="36"/>
      <c r="I24" s="36"/>
      <c r="J24" s="23"/>
      <c r="K24" s="21"/>
      <c r="L24" s="21"/>
      <c r="M24" s="22"/>
    </row>
    <row r="25" spans="1:13" s="1" customFormat="1" ht="14.1" customHeight="1">
      <c r="A25" s="38">
        <v>12</v>
      </c>
      <c r="B25" s="134" t="s">
        <v>919</v>
      </c>
      <c r="C25" s="213"/>
      <c r="D25" s="233" t="s">
        <v>78</v>
      </c>
      <c r="E25" s="233"/>
      <c r="F25" s="233"/>
      <c r="G25" s="233"/>
      <c r="H25" s="24">
        <f>SUM(I25)-0.6</f>
        <v>14.8</v>
      </c>
      <c r="I25" s="24">
        <f>SUM(J25)-0.6</f>
        <v>15.4</v>
      </c>
      <c r="J25" s="23">
        <v>16</v>
      </c>
      <c r="K25" s="21">
        <f>SUM(J25)+0.6</f>
        <v>16.600000000000001</v>
      </c>
      <c r="L25" s="21">
        <f t="shared" ref="L25" si="3">SUM(K25)+0.6</f>
        <v>17.200000000000003</v>
      </c>
      <c r="M25" s="22">
        <f>SUM(L25)+0.6</f>
        <v>17.800000000000004</v>
      </c>
    </row>
    <row r="26" spans="1:13" s="1" customFormat="1" ht="14.1" customHeight="1">
      <c r="A26" s="38"/>
      <c r="B26" s="36" t="s">
        <v>920</v>
      </c>
      <c r="C26" s="36"/>
      <c r="D26" s="64" t="s">
        <v>921</v>
      </c>
      <c r="E26" s="65"/>
      <c r="F26" s="65"/>
      <c r="G26" s="66"/>
      <c r="H26" s="36"/>
      <c r="I26" s="36"/>
      <c r="J26" s="23"/>
      <c r="K26" s="21"/>
      <c r="L26" s="21"/>
      <c r="M26" s="22"/>
    </row>
    <row r="27" spans="1:13" s="1" customFormat="1" ht="14.1" customHeight="1">
      <c r="A27" s="38">
        <v>13</v>
      </c>
      <c r="B27" s="134" t="s">
        <v>922</v>
      </c>
      <c r="C27" s="213"/>
      <c r="D27" s="230"/>
      <c r="E27" s="231"/>
      <c r="F27" s="231"/>
      <c r="G27" s="232"/>
      <c r="H27" s="24">
        <f>SUM(I27)-1.4</f>
        <v>28.700000000000003</v>
      </c>
      <c r="I27" s="24">
        <f>SUM(J27)-1.4</f>
        <v>30.1</v>
      </c>
      <c r="J27" s="33">
        <v>31.5</v>
      </c>
      <c r="K27" s="24">
        <f>SUM(J27)+1.3</f>
        <v>32.799999999999997</v>
      </c>
      <c r="L27" s="24">
        <f t="shared" ref="L27:M27" si="4">SUM(K27)+1.3</f>
        <v>34.099999999999994</v>
      </c>
      <c r="M27" s="26">
        <f t="shared" si="4"/>
        <v>35.399999999999991</v>
      </c>
    </row>
    <row r="28" spans="1:13" s="1" customFormat="1" ht="14.1" customHeight="1">
      <c r="A28" s="38"/>
      <c r="B28" s="36" t="s">
        <v>923</v>
      </c>
      <c r="C28" s="36"/>
      <c r="D28" s="64" t="s">
        <v>924</v>
      </c>
      <c r="E28" s="65"/>
      <c r="F28" s="65"/>
      <c r="G28" s="66"/>
      <c r="H28" s="36"/>
      <c r="I28" s="36"/>
      <c r="J28" s="35"/>
      <c r="K28" s="36"/>
      <c r="L28" s="36"/>
      <c r="M28" s="37"/>
    </row>
    <row r="29" spans="1:13" ht="14.1" customHeight="1">
      <c r="A29" s="38">
        <v>14</v>
      </c>
      <c r="B29" s="51" t="s">
        <v>398</v>
      </c>
      <c r="C29" s="52"/>
      <c r="D29" s="59"/>
      <c r="E29" s="60"/>
      <c r="F29" s="60"/>
      <c r="G29" s="61"/>
      <c r="H29" s="24">
        <f>SUM(I29)-0.5</f>
        <v>10</v>
      </c>
      <c r="I29" s="24">
        <f>SUM(J29)-0.5</f>
        <v>10.5</v>
      </c>
      <c r="J29" s="23">
        <v>11</v>
      </c>
      <c r="K29" s="21">
        <f>SUM(J29)+0.5</f>
        <v>11.5</v>
      </c>
      <c r="L29" s="21">
        <f t="shared" ref="L29:M29" si="5">SUM(K29)+0.5</f>
        <v>12</v>
      </c>
      <c r="M29" s="22">
        <f t="shared" si="5"/>
        <v>12.5</v>
      </c>
    </row>
    <row r="30" spans="1:13" ht="14.1" customHeight="1">
      <c r="A30" s="38"/>
      <c r="B30" s="62" t="s">
        <v>233</v>
      </c>
      <c r="C30" s="63"/>
      <c r="D30" s="64"/>
      <c r="E30" s="65"/>
      <c r="F30" s="65"/>
      <c r="G30" s="66"/>
      <c r="H30" s="50"/>
      <c r="I30" s="50"/>
      <c r="J30" s="33"/>
      <c r="K30" s="24"/>
      <c r="L30" s="24"/>
      <c r="M30" s="26"/>
    </row>
    <row r="31" spans="1:13" ht="14.1" customHeight="1">
      <c r="A31" s="38">
        <v>15</v>
      </c>
      <c r="B31" s="51" t="s">
        <v>176</v>
      </c>
      <c r="C31" s="52"/>
      <c r="D31" s="53"/>
      <c r="E31" s="54"/>
      <c r="F31" s="54"/>
      <c r="G31" s="55"/>
      <c r="H31" s="24">
        <f>SUM(I31)-0.6</f>
        <v>10.3</v>
      </c>
      <c r="I31" s="24">
        <f>SUM(J31)-0.6</f>
        <v>10.9</v>
      </c>
      <c r="J31" s="23">
        <v>11.5</v>
      </c>
      <c r="K31" s="21">
        <f>SUM(J31)+0.6</f>
        <v>12.1</v>
      </c>
      <c r="L31" s="21">
        <f t="shared" ref="L31:M31" si="6">SUM(K31)+0.6</f>
        <v>12.7</v>
      </c>
      <c r="M31" s="22">
        <f t="shared" si="6"/>
        <v>13.299999999999999</v>
      </c>
    </row>
    <row r="32" spans="1:13" ht="14.1" customHeight="1">
      <c r="A32" s="38"/>
      <c r="B32" s="45" t="s">
        <v>925</v>
      </c>
      <c r="C32" s="46"/>
      <c r="D32" s="47" t="s">
        <v>926</v>
      </c>
      <c r="E32" s="48"/>
      <c r="F32" s="48"/>
      <c r="G32" s="49"/>
      <c r="H32" s="50"/>
      <c r="I32" s="50"/>
      <c r="J32" s="33"/>
      <c r="K32" s="24"/>
      <c r="L32" s="24"/>
      <c r="M32" s="26"/>
    </row>
    <row r="33" spans="1:13" ht="14.1" customHeight="1">
      <c r="A33" s="38">
        <v>16</v>
      </c>
      <c r="B33" s="40" t="s">
        <v>174</v>
      </c>
      <c r="C33" s="41"/>
      <c r="D33" s="42" t="s">
        <v>106</v>
      </c>
      <c r="E33" s="43"/>
      <c r="F33" s="43"/>
      <c r="G33" s="44"/>
      <c r="H33" s="24">
        <f>SUM(I33)-0.5</f>
        <v>4.5</v>
      </c>
      <c r="I33" s="24">
        <f>SUM(J33)-0.5</f>
        <v>5</v>
      </c>
      <c r="J33" s="23">
        <v>5.5</v>
      </c>
      <c r="K33" s="21">
        <f>SUM(J33)+0.4</f>
        <v>5.9</v>
      </c>
      <c r="L33" s="21">
        <f t="shared" ref="L33:M33" si="7">SUM(K33)+0.4</f>
        <v>6.3000000000000007</v>
      </c>
      <c r="M33" s="22">
        <f t="shared" si="7"/>
        <v>6.7000000000000011</v>
      </c>
    </row>
    <row r="34" spans="1:13" ht="14.1" customHeight="1" thickBot="1">
      <c r="A34" s="39"/>
      <c r="B34" s="28" t="s">
        <v>927</v>
      </c>
      <c r="C34" s="29"/>
      <c r="D34" s="30" t="s">
        <v>105</v>
      </c>
      <c r="E34" s="31"/>
      <c r="F34" s="31"/>
      <c r="G34" s="32"/>
      <c r="H34" s="25"/>
      <c r="I34" s="25"/>
      <c r="J34" s="218"/>
      <c r="K34" s="216"/>
      <c r="L34" s="216"/>
      <c r="M34" s="220"/>
    </row>
    <row r="35" spans="1:13" ht="14.1" customHeight="1"/>
    <row r="36" spans="1:13" ht="14.1" customHeight="1"/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179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A7:A8"/>
    <mergeCell ref="B7:C7"/>
    <mergeCell ref="D7:G7"/>
    <mergeCell ref="H7:H8"/>
    <mergeCell ref="I7:I8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6BCCF-B5BE-456F-B790-5CA9C4941C21}">
  <sheetPr>
    <tabColor rgb="FF00B050"/>
    <pageSetUpPr fitToPage="1"/>
  </sheetPr>
  <dimension ref="A1:M51"/>
  <sheetViews>
    <sheetView zoomScale="110" zoomScaleNormal="110" workbookViewId="0">
      <selection activeCell="R14" sqref="R1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67" t="s">
        <v>446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</row>
    <row r="3" spans="1:13" s="1" customFormat="1" ht="14.1" customHeight="1">
      <c r="A3" s="169">
        <v>1</v>
      </c>
      <c r="B3" s="40" t="s">
        <v>136</v>
      </c>
      <c r="C3" s="41"/>
      <c r="D3" s="100" t="s">
        <v>135</v>
      </c>
      <c r="E3" s="101"/>
      <c r="F3" s="101"/>
      <c r="G3" s="102"/>
      <c r="H3" s="24">
        <f>SUM(I3)-3.4</f>
        <v>38</v>
      </c>
      <c r="I3" s="24">
        <f>SUM(J3)-3.4</f>
        <v>41.4</v>
      </c>
      <c r="J3" s="33">
        <v>44.8</v>
      </c>
      <c r="K3" s="24">
        <f>SUM(J3)+2.9</f>
        <v>47.699999999999996</v>
      </c>
      <c r="L3" s="24">
        <f>SUM(K3)+2.9</f>
        <v>50.599999999999994</v>
      </c>
      <c r="M3" s="109">
        <f>SUM(L3)+2.9</f>
        <v>53.499999999999993</v>
      </c>
    </row>
    <row r="4" spans="1:13" s="1" customFormat="1" ht="14.1" customHeight="1">
      <c r="A4" s="71"/>
      <c r="B4" s="56" t="s">
        <v>36</v>
      </c>
      <c r="C4" s="56"/>
      <c r="D4" s="47" t="s">
        <v>134</v>
      </c>
      <c r="E4" s="48"/>
      <c r="F4" s="48"/>
      <c r="G4" s="48"/>
      <c r="H4" s="36"/>
      <c r="I4" s="36"/>
      <c r="J4" s="35"/>
      <c r="K4" s="36"/>
      <c r="L4" s="36"/>
      <c r="M4" s="37"/>
    </row>
    <row r="5" spans="1:13" s="1" customFormat="1" ht="14.1" customHeight="1">
      <c r="A5" s="38">
        <v>2</v>
      </c>
      <c r="B5" s="164" t="s">
        <v>101</v>
      </c>
      <c r="C5" s="165"/>
      <c r="D5" s="100" t="s">
        <v>102</v>
      </c>
      <c r="E5" s="101"/>
      <c r="F5" s="101"/>
      <c r="G5" s="102"/>
      <c r="H5" s="24">
        <f>SUM(I5)-4.5</f>
        <v>46.5</v>
      </c>
      <c r="I5" s="24">
        <f>SUM(J5)-4.5</f>
        <v>51</v>
      </c>
      <c r="J5" s="23">
        <v>55.5</v>
      </c>
      <c r="K5" s="21">
        <f>SUM(J5)+4.5</f>
        <v>60</v>
      </c>
      <c r="L5" s="21">
        <f>SUM(K5)+4.5</f>
        <v>64.5</v>
      </c>
      <c r="M5" s="22">
        <f>SUM(L5)+4.5</f>
        <v>69</v>
      </c>
    </row>
    <row r="6" spans="1:13" s="1" customFormat="1" ht="14.1" customHeight="1">
      <c r="A6" s="38"/>
      <c r="B6" s="45" t="s">
        <v>99</v>
      </c>
      <c r="C6" s="46"/>
      <c r="D6" s="47" t="s">
        <v>100</v>
      </c>
      <c r="E6" s="48"/>
      <c r="F6" s="48"/>
      <c r="G6" s="49"/>
      <c r="H6" s="36"/>
      <c r="I6" s="36"/>
      <c r="J6" s="23"/>
      <c r="K6" s="21"/>
      <c r="L6" s="21"/>
      <c r="M6" s="22"/>
    </row>
    <row r="7" spans="1:13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41.5</v>
      </c>
      <c r="I7" s="24">
        <f>SUM(J7)-2.25</f>
        <v>43.75</v>
      </c>
      <c r="J7" s="33">
        <v>46</v>
      </c>
      <c r="K7" s="24">
        <f>SUM(J7)+2</f>
        <v>48</v>
      </c>
      <c r="L7" s="24">
        <f>SUM(K7)+2</f>
        <v>50</v>
      </c>
      <c r="M7" s="26">
        <f>SUM(L7)+2</f>
        <v>52</v>
      </c>
    </row>
    <row r="8" spans="1:13" s="1" customFormat="1" ht="14.1" customHeight="1">
      <c r="A8" s="38"/>
      <c r="B8" s="56" t="s">
        <v>46</v>
      </c>
      <c r="C8" s="56"/>
      <c r="D8" s="47" t="s">
        <v>394</v>
      </c>
      <c r="E8" s="48"/>
      <c r="F8" s="48"/>
      <c r="G8" s="49"/>
      <c r="H8" s="36"/>
      <c r="I8" s="36"/>
      <c r="J8" s="35"/>
      <c r="K8" s="36"/>
      <c r="L8" s="36"/>
      <c r="M8" s="37"/>
    </row>
    <row r="9" spans="1:13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SUM(I9)-2.25</f>
        <v>41.5</v>
      </c>
      <c r="I9" s="24">
        <f>SUM(J9)-2.25</f>
        <v>43.75</v>
      </c>
      <c r="J9" s="33">
        <v>46</v>
      </c>
      <c r="K9" s="24">
        <f>SUM(J9)+2</f>
        <v>48</v>
      </c>
      <c r="L9" s="24">
        <f>SUM(K9)+2</f>
        <v>50</v>
      </c>
      <c r="M9" s="26">
        <f>SUM(L9)+2</f>
        <v>52</v>
      </c>
    </row>
    <row r="10" spans="1:13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7"/>
    </row>
    <row r="11" spans="1:13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/>
      <c r="I11" s="24"/>
      <c r="J11" s="23"/>
      <c r="K11" s="21"/>
      <c r="L11" s="21"/>
      <c r="M11" s="227"/>
    </row>
    <row r="12" spans="1:13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27"/>
    </row>
    <row r="13" spans="1:13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12.8</v>
      </c>
      <c r="I13" s="24">
        <f>SUM(J13)-0.6</f>
        <v>13.4</v>
      </c>
      <c r="J13" s="23">
        <v>14</v>
      </c>
      <c r="K13" s="21">
        <f>SUM(J13)+0.6</f>
        <v>14.6</v>
      </c>
      <c r="L13" s="21">
        <f>SUM(K13)+0.6</f>
        <v>15.2</v>
      </c>
      <c r="M13" s="22">
        <f>SUM(L13)+0.6</f>
        <v>15.799999999999999</v>
      </c>
    </row>
    <row r="14" spans="1:13" s="1" customFormat="1" ht="14.1" customHeight="1">
      <c r="A14" s="38"/>
      <c r="B14" s="56" t="s">
        <v>29</v>
      </c>
      <c r="C14" s="56"/>
      <c r="D14" s="47" t="s">
        <v>52</v>
      </c>
      <c r="E14" s="48"/>
      <c r="F14" s="48"/>
      <c r="G14" s="49"/>
      <c r="H14" s="36"/>
      <c r="I14" s="36"/>
      <c r="J14" s="23"/>
      <c r="K14" s="21"/>
      <c r="L14" s="21"/>
      <c r="M14" s="22"/>
    </row>
    <row r="15" spans="1:13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7.1000000000000005</v>
      </c>
      <c r="I15" s="24">
        <f>SUM(J15)-0.3</f>
        <v>7.4</v>
      </c>
      <c r="J15" s="23">
        <v>7.7</v>
      </c>
      <c r="K15" s="21">
        <f>SUM(J15)+0.3</f>
        <v>8</v>
      </c>
      <c r="L15" s="21">
        <f>SUM(K15)+0.3</f>
        <v>8.3000000000000007</v>
      </c>
      <c r="M15" s="227">
        <f>SUM(L15)+0.3</f>
        <v>8.6000000000000014</v>
      </c>
    </row>
    <row r="16" spans="1:13" s="1" customFormat="1" ht="14.1" customHeight="1">
      <c r="A16" s="38"/>
      <c r="B16" s="56" t="s">
        <v>30</v>
      </c>
      <c r="C16" s="56"/>
      <c r="D16" s="47" t="s">
        <v>53</v>
      </c>
      <c r="E16" s="48"/>
      <c r="F16" s="48"/>
      <c r="G16" s="49"/>
      <c r="H16" s="36"/>
      <c r="I16" s="36"/>
      <c r="J16" s="23"/>
      <c r="K16" s="21"/>
      <c r="L16" s="21"/>
      <c r="M16" s="227"/>
    </row>
    <row r="17" spans="1:13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34.799999999999997</v>
      </c>
      <c r="I17" s="24">
        <f>SUM(J17)-1.6</f>
        <v>36.4</v>
      </c>
      <c r="J17" s="23">
        <v>38</v>
      </c>
      <c r="K17" s="21">
        <f>SUM(J17)+1.6</f>
        <v>39.6</v>
      </c>
      <c r="L17" s="21">
        <f>SUM(K17)+1.6</f>
        <v>41.2</v>
      </c>
      <c r="M17" s="227">
        <f>SUM(L17)+1.6</f>
        <v>42.800000000000004</v>
      </c>
    </row>
    <row r="18" spans="1:13" s="1" customFormat="1" ht="14.1" customHeight="1">
      <c r="A18" s="38"/>
      <c r="B18" s="56" t="s">
        <v>37</v>
      </c>
      <c r="C18" s="56"/>
      <c r="D18" s="47" t="s">
        <v>395</v>
      </c>
      <c r="E18" s="48"/>
      <c r="F18" s="48"/>
      <c r="G18" s="49"/>
      <c r="H18" s="36"/>
      <c r="I18" s="36"/>
      <c r="J18" s="23"/>
      <c r="K18" s="21"/>
      <c r="L18" s="21"/>
      <c r="M18" s="227"/>
    </row>
    <row r="19" spans="1:13" s="1" customFormat="1" ht="14.1" customHeight="1">
      <c r="A19" s="38">
        <v>9</v>
      </c>
      <c r="B19" s="51" t="s">
        <v>89</v>
      </c>
      <c r="C19" s="52"/>
      <c r="D19" s="60" t="s">
        <v>128</v>
      </c>
      <c r="E19" s="60"/>
      <c r="F19" s="60"/>
      <c r="G19" s="60"/>
      <c r="H19" s="24">
        <f>SUM(I19)-0.2</f>
        <v>3.3999999999999995</v>
      </c>
      <c r="I19" s="24">
        <f>SUM(J19)-0.2</f>
        <v>3.5999999999999996</v>
      </c>
      <c r="J19" s="23">
        <v>3.8</v>
      </c>
      <c r="K19" s="21">
        <f>SUM(J19)+0.2</f>
        <v>4</v>
      </c>
      <c r="L19" s="21">
        <f>SUM(K19)+0.2</f>
        <v>4.2</v>
      </c>
      <c r="M19" s="22">
        <f>SUM(L19)+0.2</f>
        <v>4.4000000000000004</v>
      </c>
    </row>
    <row r="20" spans="1:13" s="1" customFormat="1" ht="14.1" customHeight="1">
      <c r="A20" s="154"/>
      <c r="B20" s="141" t="s">
        <v>39</v>
      </c>
      <c r="C20" s="141"/>
      <c r="D20" s="100" t="s">
        <v>127</v>
      </c>
      <c r="E20" s="101"/>
      <c r="F20" s="101"/>
      <c r="G20" s="102"/>
      <c r="H20" s="50"/>
      <c r="I20" s="50"/>
      <c r="J20" s="33"/>
      <c r="K20" s="24"/>
      <c r="L20" s="24"/>
      <c r="M20" s="26"/>
    </row>
    <row r="21" spans="1:13" s="1" customFormat="1" ht="14.1" customHeight="1">
      <c r="A21" s="38">
        <v>10</v>
      </c>
      <c r="B21" s="58" t="s">
        <v>4</v>
      </c>
      <c r="C21" s="58"/>
      <c r="D21" s="57" t="s">
        <v>5</v>
      </c>
      <c r="E21" s="57"/>
      <c r="F21" s="57"/>
      <c r="G21" s="57"/>
      <c r="H21" s="24"/>
      <c r="I21" s="24"/>
      <c r="J21" s="23"/>
      <c r="K21" s="21"/>
      <c r="L21" s="21"/>
      <c r="M21" s="22"/>
    </row>
    <row r="22" spans="1:13" s="1" customFormat="1" ht="14.1" customHeight="1">
      <c r="A22" s="38"/>
      <c r="B22" s="56" t="s">
        <v>31</v>
      </c>
      <c r="C22" s="56"/>
      <c r="D22" s="47" t="s">
        <v>54</v>
      </c>
      <c r="E22" s="48"/>
      <c r="F22" s="48"/>
      <c r="G22" s="49"/>
      <c r="H22" s="36"/>
      <c r="I22" s="36"/>
      <c r="J22" s="23"/>
      <c r="K22" s="21"/>
      <c r="L22" s="21"/>
      <c r="M22" s="22"/>
    </row>
    <row r="23" spans="1:13" s="1" customFormat="1" ht="14.1" customHeight="1">
      <c r="A23" s="38">
        <v>11</v>
      </c>
      <c r="B23" s="58" t="s">
        <v>6</v>
      </c>
      <c r="C23" s="58"/>
      <c r="D23" s="59" t="s">
        <v>7</v>
      </c>
      <c r="E23" s="60"/>
      <c r="F23" s="60"/>
      <c r="G23" s="61"/>
      <c r="H23" s="24">
        <f>SUM(I23)-1.7</f>
        <v>33.599999999999994</v>
      </c>
      <c r="I23" s="24">
        <f>SUM(J23)-1.7</f>
        <v>35.299999999999997</v>
      </c>
      <c r="J23" s="23">
        <v>37</v>
      </c>
      <c r="K23" s="21">
        <f>SUM(J23)+1.7</f>
        <v>38.700000000000003</v>
      </c>
      <c r="L23" s="21">
        <f>SUM(K23)+1.7</f>
        <v>40.400000000000006</v>
      </c>
      <c r="M23" s="22">
        <f>SUM(L23)+1.7</f>
        <v>42.100000000000009</v>
      </c>
    </row>
    <row r="24" spans="1:13" s="1" customFormat="1" ht="14.1" customHeight="1">
      <c r="A24" s="38"/>
      <c r="B24" s="56" t="s">
        <v>32</v>
      </c>
      <c r="C24" s="56"/>
      <c r="D24" s="47" t="s">
        <v>76</v>
      </c>
      <c r="E24" s="48"/>
      <c r="F24" s="48"/>
      <c r="G24" s="49"/>
      <c r="H24" s="36"/>
      <c r="I24" s="36"/>
      <c r="J24" s="23"/>
      <c r="K24" s="21"/>
      <c r="L24" s="21"/>
      <c r="M24" s="22"/>
    </row>
    <row r="25" spans="1:13" s="1" customFormat="1" ht="14.1" customHeight="1">
      <c r="A25" s="38">
        <v>12</v>
      </c>
      <c r="B25" s="51" t="s">
        <v>230</v>
      </c>
      <c r="C25" s="52"/>
      <c r="D25" s="57"/>
      <c r="E25" s="57"/>
      <c r="F25" s="57"/>
      <c r="G25" s="57"/>
      <c r="H25" s="24">
        <f>SUM(I25)-0.6</f>
        <v>16.799999999999997</v>
      </c>
      <c r="I25" s="24">
        <f>SUM(J25)-0.6</f>
        <v>17.399999999999999</v>
      </c>
      <c r="J25" s="23">
        <v>18</v>
      </c>
      <c r="K25" s="21">
        <f>SUM(J25)+0.6</f>
        <v>18.600000000000001</v>
      </c>
      <c r="L25" s="21">
        <f>SUM(K25)+0.6</f>
        <v>19.200000000000003</v>
      </c>
      <c r="M25" s="22">
        <f>SUM(L25)+0.6</f>
        <v>19.800000000000004</v>
      </c>
    </row>
    <row r="26" spans="1:13" s="1" customFormat="1" ht="14.1" customHeight="1">
      <c r="A26" s="38"/>
      <c r="B26" s="56" t="s">
        <v>396</v>
      </c>
      <c r="C26" s="56"/>
      <c r="D26" s="47" t="s">
        <v>397</v>
      </c>
      <c r="E26" s="48"/>
      <c r="F26" s="48"/>
      <c r="G26" s="49"/>
      <c r="H26" s="36"/>
      <c r="I26" s="36"/>
      <c r="J26" s="23"/>
      <c r="K26" s="21"/>
      <c r="L26" s="21"/>
      <c r="M26" s="22"/>
    </row>
    <row r="27" spans="1:13" s="1" customFormat="1" ht="14.1" customHeight="1">
      <c r="A27" s="38">
        <v>13</v>
      </c>
      <c r="B27" s="51" t="s">
        <v>447</v>
      </c>
      <c r="C27" s="52"/>
      <c r="D27" s="59"/>
      <c r="E27" s="60"/>
      <c r="F27" s="60"/>
      <c r="G27" s="61"/>
      <c r="H27" s="24">
        <f>SUM(I27)-0.5</f>
        <v>10.5</v>
      </c>
      <c r="I27" s="24">
        <f>SUM(J27)-0.5</f>
        <v>11</v>
      </c>
      <c r="J27" s="33">
        <v>11.5</v>
      </c>
      <c r="K27" s="24">
        <f>SUM(J27)+0.5</f>
        <v>12</v>
      </c>
      <c r="L27" s="24">
        <f>SUM(K27)+0.5</f>
        <v>12.5</v>
      </c>
      <c r="M27" s="26">
        <f>SUM(L27)+0.5</f>
        <v>13</v>
      </c>
    </row>
    <row r="28" spans="1:13" s="1" customFormat="1" ht="14.1" customHeight="1">
      <c r="A28" s="38"/>
      <c r="B28" s="62" t="s">
        <v>448</v>
      </c>
      <c r="C28" s="63"/>
      <c r="D28" s="64"/>
      <c r="E28" s="65"/>
      <c r="F28" s="65"/>
      <c r="G28" s="66"/>
      <c r="H28" s="36"/>
      <c r="I28" s="36"/>
      <c r="J28" s="35"/>
      <c r="K28" s="36"/>
      <c r="L28" s="36"/>
      <c r="M28" s="37"/>
    </row>
    <row r="29" spans="1:13" ht="14.1" customHeight="1">
      <c r="A29" s="38">
        <v>14</v>
      </c>
      <c r="B29" s="51" t="s">
        <v>248</v>
      </c>
      <c r="C29" s="52"/>
      <c r="D29" s="59"/>
      <c r="E29" s="60"/>
      <c r="F29" s="60"/>
      <c r="G29" s="61"/>
      <c r="H29" s="24">
        <f>SUM(I29)-0.6</f>
        <v>13.8</v>
      </c>
      <c r="I29" s="24">
        <f>SUM(J29)-0.6</f>
        <v>14.4</v>
      </c>
      <c r="J29" s="33">
        <v>15</v>
      </c>
      <c r="K29" s="24">
        <f>SUM(J29)+0.6</f>
        <v>15.6</v>
      </c>
      <c r="L29" s="24">
        <f>SUM(K29)+0.6</f>
        <v>16.2</v>
      </c>
      <c r="M29" s="26">
        <f>SUM(L29)+0.6</f>
        <v>16.8</v>
      </c>
    </row>
    <row r="30" spans="1:13" ht="14.1" customHeight="1">
      <c r="A30" s="38"/>
      <c r="B30" s="62" t="s">
        <v>449</v>
      </c>
      <c r="C30" s="63"/>
      <c r="D30" s="64"/>
      <c r="E30" s="65"/>
      <c r="F30" s="65"/>
      <c r="G30" s="66"/>
      <c r="H30" s="36"/>
      <c r="I30" s="36"/>
      <c r="J30" s="35"/>
      <c r="K30" s="36"/>
      <c r="L30" s="36"/>
      <c r="M30" s="37"/>
    </row>
    <row r="31" spans="1:13" ht="14.1" customHeight="1">
      <c r="A31" s="38">
        <v>15</v>
      </c>
      <c r="B31" s="51" t="s">
        <v>399</v>
      </c>
      <c r="C31" s="52"/>
      <c r="D31" s="59"/>
      <c r="E31" s="60"/>
      <c r="F31" s="60"/>
      <c r="G31" s="61"/>
      <c r="H31" s="24">
        <f>SUM(I31)-4.5</f>
        <v>107</v>
      </c>
      <c r="I31" s="24">
        <f>SUM(J31)-4.5</f>
        <v>111.5</v>
      </c>
      <c r="J31" s="33">
        <v>116</v>
      </c>
      <c r="K31" s="24">
        <f>SUM(J31)+4</f>
        <v>120</v>
      </c>
      <c r="L31" s="24">
        <f>SUM(K31)+4</f>
        <v>124</v>
      </c>
      <c r="M31" s="26">
        <f>SUM(L31)+4</f>
        <v>128</v>
      </c>
    </row>
    <row r="32" spans="1:13" ht="14.1" customHeight="1">
      <c r="A32" s="38"/>
      <c r="B32" s="62" t="s">
        <v>400</v>
      </c>
      <c r="C32" s="63"/>
      <c r="D32" s="64"/>
      <c r="E32" s="65"/>
      <c r="F32" s="65"/>
      <c r="G32" s="66"/>
      <c r="H32" s="36"/>
      <c r="I32" s="36"/>
      <c r="J32" s="35"/>
      <c r="K32" s="36"/>
      <c r="L32" s="36"/>
      <c r="M32" s="37"/>
    </row>
    <row r="33" spans="1:13" ht="14.1" customHeight="1">
      <c r="A33" s="38">
        <v>16</v>
      </c>
      <c r="B33" s="51" t="s">
        <v>451</v>
      </c>
      <c r="C33" s="52"/>
      <c r="D33" s="59"/>
      <c r="E33" s="60"/>
      <c r="F33" s="60"/>
      <c r="G33" s="61"/>
      <c r="H33" s="24">
        <f>SUM(I33)-1.4</f>
        <v>26.800000000000004</v>
      </c>
      <c r="I33" s="24">
        <f>SUM(J33)-1.4</f>
        <v>28.200000000000003</v>
      </c>
      <c r="J33" s="33">
        <v>29.6</v>
      </c>
      <c r="K33" s="24">
        <f>SUM(J33)+1.3</f>
        <v>30.900000000000002</v>
      </c>
      <c r="L33" s="24">
        <f>SUM(K33)+1.3</f>
        <v>32.200000000000003</v>
      </c>
      <c r="M33" s="26">
        <f>SUM(L33)+1.3</f>
        <v>33.5</v>
      </c>
    </row>
    <row r="34" spans="1:13" ht="14.1" customHeight="1">
      <c r="A34" s="38"/>
      <c r="B34" s="62" t="s">
        <v>452</v>
      </c>
      <c r="C34" s="63"/>
      <c r="D34" s="64"/>
      <c r="E34" s="65"/>
      <c r="F34" s="65"/>
      <c r="G34" s="66"/>
      <c r="H34" s="36"/>
      <c r="I34" s="36"/>
      <c r="J34" s="35"/>
      <c r="K34" s="36"/>
      <c r="L34" s="36"/>
      <c r="M34" s="37"/>
    </row>
    <row r="35" spans="1:13" ht="14.1" customHeight="1">
      <c r="A35" s="38">
        <v>17</v>
      </c>
      <c r="B35" s="51" t="s">
        <v>234</v>
      </c>
      <c r="C35" s="52"/>
      <c r="D35" s="57"/>
      <c r="E35" s="57"/>
      <c r="F35" s="57"/>
      <c r="G35" s="57"/>
      <c r="H35" s="24">
        <v>34.5</v>
      </c>
      <c r="I35" s="24">
        <v>38</v>
      </c>
      <c r="J35" s="33">
        <v>41.5</v>
      </c>
      <c r="K35" s="24">
        <v>44.5</v>
      </c>
      <c r="L35" s="24">
        <v>47</v>
      </c>
      <c r="M35" s="26">
        <v>50</v>
      </c>
    </row>
    <row r="36" spans="1:13" ht="14.1" customHeight="1">
      <c r="A36" s="38"/>
      <c r="B36" s="45" t="s">
        <v>235</v>
      </c>
      <c r="C36" s="46"/>
      <c r="D36" s="47" t="s">
        <v>236</v>
      </c>
      <c r="E36" s="48"/>
      <c r="F36" s="48"/>
      <c r="G36" s="49"/>
      <c r="H36" s="36"/>
      <c r="I36" s="36"/>
      <c r="J36" s="35"/>
      <c r="K36" s="36"/>
      <c r="L36" s="36"/>
      <c r="M36" s="37"/>
    </row>
    <row r="37" spans="1:13" ht="14.1" customHeight="1">
      <c r="A37" s="38">
        <v>18</v>
      </c>
      <c r="B37" s="51" t="s">
        <v>176</v>
      </c>
      <c r="C37" s="52"/>
      <c r="D37" s="53"/>
      <c r="E37" s="54"/>
      <c r="F37" s="54"/>
      <c r="G37" s="55"/>
      <c r="H37" s="24">
        <f>SUM(I37)-0.4</f>
        <v>3.9</v>
      </c>
      <c r="I37" s="24">
        <f>SUM(J37)-0.4</f>
        <v>4.3</v>
      </c>
      <c r="J37" s="33">
        <v>4.7</v>
      </c>
      <c r="K37" s="24">
        <f>SUM(J37)+0.4</f>
        <v>5.1000000000000005</v>
      </c>
      <c r="L37" s="24">
        <f>SUM(K37)+0.4</f>
        <v>5.5000000000000009</v>
      </c>
      <c r="M37" s="26">
        <f>SUM(L37)+0.4</f>
        <v>5.9000000000000012</v>
      </c>
    </row>
    <row r="38" spans="1:13" ht="14.1" customHeight="1">
      <c r="A38" s="38"/>
      <c r="B38" s="45" t="s">
        <v>175</v>
      </c>
      <c r="C38" s="46"/>
      <c r="D38" s="47" t="s">
        <v>269</v>
      </c>
      <c r="E38" s="48"/>
      <c r="F38" s="48"/>
      <c r="G38" s="49"/>
      <c r="H38" s="36"/>
      <c r="I38" s="36"/>
      <c r="J38" s="35"/>
      <c r="K38" s="36"/>
      <c r="L38" s="36"/>
      <c r="M38" s="37"/>
    </row>
    <row r="39" spans="1:13" ht="14.1" customHeight="1">
      <c r="A39" s="38">
        <v>19</v>
      </c>
      <c r="B39" s="40" t="s">
        <v>174</v>
      </c>
      <c r="C39" s="41"/>
      <c r="D39" s="42" t="s">
        <v>106</v>
      </c>
      <c r="E39" s="43"/>
      <c r="F39" s="43"/>
      <c r="G39" s="44"/>
      <c r="H39" s="24">
        <f>SUM(I39)-0.4</f>
        <v>2.7</v>
      </c>
      <c r="I39" s="24">
        <f>SUM(J39)-0.4</f>
        <v>3.1</v>
      </c>
      <c r="J39" s="33">
        <v>3.5</v>
      </c>
      <c r="K39" s="24">
        <f>SUM(J39)+0.4</f>
        <v>3.9</v>
      </c>
      <c r="L39" s="24">
        <f>SUM(K39)+0.4</f>
        <v>4.3</v>
      </c>
      <c r="M39" s="26">
        <f>SUM(L39)+0.4</f>
        <v>4.7</v>
      </c>
    </row>
    <row r="40" spans="1:13" ht="14.1" customHeight="1">
      <c r="A40" s="38"/>
      <c r="B40" s="45" t="s">
        <v>173</v>
      </c>
      <c r="C40" s="46"/>
      <c r="D40" s="47" t="s">
        <v>105</v>
      </c>
      <c r="E40" s="48"/>
      <c r="F40" s="48"/>
      <c r="G40" s="49"/>
      <c r="H40" s="36"/>
      <c r="I40" s="36"/>
      <c r="J40" s="35"/>
      <c r="K40" s="36"/>
      <c r="L40" s="36"/>
      <c r="M40" s="37"/>
    </row>
    <row r="41" spans="1:13" ht="14.1" customHeight="1">
      <c r="A41" s="71">
        <v>20</v>
      </c>
      <c r="B41" s="40"/>
      <c r="C41" s="41"/>
      <c r="D41" s="100"/>
      <c r="E41" s="101"/>
      <c r="F41" s="101"/>
      <c r="G41" s="102"/>
      <c r="H41" s="50"/>
      <c r="I41" s="50"/>
      <c r="J41" s="117"/>
      <c r="K41" s="50"/>
      <c r="L41" s="50"/>
      <c r="M41" s="113"/>
    </row>
    <row r="42" spans="1:13" ht="14.1" customHeight="1" thickBot="1">
      <c r="A42" s="39"/>
      <c r="B42" s="104"/>
      <c r="C42" s="105"/>
      <c r="D42" s="106"/>
      <c r="E42" s="107"/>
      <c r="F42" s="107"/>
      <c r="G42" s="108"/>
      <c r="H42" s="25"/>
      <c r="I42" s="25"/>
      <c r="J42" s="34"/>
      <c r="K42" s="25"/>
      <c r="L42" s="25"/>
      <c r="M42" s="27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223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I35:I36"/>
    <mergeCell ref="A31:A32"/>
    <mergeCell ref="B31:C31"/>
    <mergeCell ref="D31:G31"/>
    <mergeCell ref="H31:H32"/>
    <mergeCell ref="I31:I32"/>
    <mergeCell ref="J31:J32"/>
    <mergeCell ref="A33:A34"/>
    <mergeCell ref="B33:C33"/>
    <mergeCell ref="D33:G33"/>
    <mergeCell ref="H33:H34"/>
    <mergeCell ref="I33:I34"/>
    <mergeCell ref="J33:J34"/>
    <mergeCell ref="A41:A42"/>
    <mergeCell ref="B41:C41"/>
    <mergeCell ref="D41:G41"/>
    <mergeCell ref="H41:H42"/>
    <mergeCell ref="I41:I42"/>
    <mergeCell ref="B40:C40"/>
    <mergeCell ref="D40:G40"/>
    <mergeCell ref="B38:C38"/>
    <mergeCell ref="D38:G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K37:K38"/>
    <mergeCell ref="L37:L38"/>
    <mergeCell ref="M37:M38"/>
    <mergeCell ref="J37:J38"/>
    <mergeCell ref="J35:J36"/>
    <mergeCell ref="K35:K36"/>
    <mergeCell ref="L35:L36"/>
    <mergeCell ref="M35:M36"/>
    <mergeCell ref="A29:A30"/>
    <mergeCell ref="B29:C29"/>
    <mergeCell ref="D29:G29"/>
    <mergeCell ref="H29:H30"/>
    <mergeCell ref="I29:I30"/>
    <mergeCell ref="B36:C36"/>
    <mergeCell ref="D36:G36"/>
    <mergeCell ref="K31:K32"/>
    <mergeCell ref="L31:L32"/>
    <mergeCell ref="M31:M32"/>
    <mergeCell ref="B32:C32"/>
    <mergeCell ref="D32:G32"/>
    <mergeCell ref="A35:A36"/>
    <mergeCell ref="B35:C35"/>
    <mergeCell ref="D35:G35"/>
    <mergeCell ref="H35:H36"/>
    <mergeCell ref="K41:K42"/>
    <mergeCell ref="L41:L42"/>
    <mergeCell ref="M41:M42"/>
    <mergeCell ref="B42:C42"/>
    <mergeCell ref="D42:G42"/>
    <mergeCell ref="J41:J42"/>
    <mergeCell ref="J39:J40"/>
    <mergeCell ref="K39:K40"/>
    <mergeCell ref="L39:L40"/>
    <mergeCell ref="M39:M40"/>
    <mergeCell ref="K33:K34"/>
    <mergeCell ref="L33:L34"/>
    <mergeCell ref="M33:M34"/>
    <mergeCell ref="B34:C34"/>
    <mergeCell ref="D34:G34"/>
    <mergeCell ref="J29:J30"/>
    <mergeCell ref="K29:K30"/>
    <mergeCell ref="L29:L30"/>
    <mergeCell ref="M29:M30"/>
    <mergeCell ref="B30:C30"/>
    <mergeCell ref="D30:G30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87D4C-483A-49ED-82FB-02EB7CC5B70F}">
  <sheetPr>
    <tabColor rgb="FF00B050"/>
    <pageSetUpPr fitToPage="1"/>
  </sheetPr>
  <dimension ref="A1:M51"/>
  <sheetViews>
    <sheetView topLeftCell="A2" zoomScale="110" zoomScaleNormal="110" workbookViewId="0">
      <selection activeCell="J3" sqref="J3:J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67" t="s">
        <v>562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</row>
    <row r="3" spans="1:13" s="1" customFormat="1" ht="14.1" customHeight="1">
      <c r="A3" s="169">
        <v>1</v>
      </c>
      <c r="B3" s="40" t="s">
        <v>136</v>
      </c>
      <c r="C3" s="41"/>
      <c r="D3" s="100" t="s">
        <v>135</v>
      </c>
      <c r="E3" s="101"/>
      <c r="F3" s="101"/>
      <c r="G3" s="102"/>
      <c r="H3" s="24">
        <f>SUM(I3)-4.4</f>
        <v>46.2</v>
      </c>
      <c r="I3" s="24">
        <f>SUM(J3)-4.4</f>
        <v>50.6</v>
      </c>
      <c r="J3" s="33">
        <v>55</v>
      </c>
      <c r="K3" s="24">
        <f>SUM(J3)+3.9</f>
        <v>58.9</v>
      </c>
      <c r="L3" s="24">
        <f>SUM(K3)+3.9</f>
        <v>62.8</v>
      </c>
      <c r="M3" s="109">
        <f>SUM(L3)+3.9</f>
        <v>66.7</v>
      </c>
    </row>
    <row r="4" spans="1:13" s="1" customFormat="1" ht="14.1" customHeight="1">
      <c r="A4" s="71"/>
      <c r="B4" s="56" t="s">
        <v>36</v>
      </c>
      <c r="C4" s="56"/>
      <c r="D4" s="47" t="s">
        <v>134</v>
      </c>
      <c r="E4" s="48"/>
      <c r="F4" s="48"/>
      <c r="G4" s="48"/>
      <c r="H4" s="36"/>
      <c r="I4" s="36"/>
      <c r="J4" s="35"/>
      <c r="K4" s="36"/>
      <c r="L4" s="36"/>
      <c r="M4" s="37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SUM(I5)-2</f>
        <v>33</v>
      </c>
      <c r="I5" s="24">
        <f>SUM(J5)-2</f>
        <v>35</v>
      </c>
      <c r="J5" s="33">
        <v>37</v>
      </c>
      <c r="K5" s="24">
        <f>SUM(J5)+1.8</f>
        <v>38.799999999999997</v>
      </c>
      <c r="L5" s="24">
        <f>SUM(K5)+1.8</f>
        <v>40.599999999999994</v>
      </c>
      <c r="M5" s="26">
        <f>SUM(L5)+1.8</f>
        <v>42.399999999999991</v>
      </c>
    </row>
    <row r="6" spans="1:13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37"/>
    </row>
    <row r="7" spans="1:13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37.5</v>
      </c>
      <c r="I7" s="24">
        <f>SUM(J7)-2.25</f>
        <v>39.75</v>
      </c>
      <c r="J7" s="33">
        <v>42</v>
      </c>
      <c r="K7" s="24">
        <f>SUM(J7)+2</f>
        <v>44</v>
      </c>
      <c r="L7" s="24">
        <f>SUM(K7)+2</f>
        <v>46</v>
      </c>
      <c r="M7" s="26">
        <f>SUM(L7)+2</f>
        <v>48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37"/>
    </row>
    <row r="9" spans="1:13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SUM(I9)-2.8</f>
        <v>48.400000000000006</v>
      </c>
      <c r="I9" s="24">
        <f>SUM(J9)-2.8</f>
        <v>51.2</v>
      </c>
      <c r="J9" s="33">
        <v>54</v>
      </c>
      <c r="K9" s="24">
        <f>SUM(J9)+2.6</f>
        <v>56.6</v>
      </c>
      <c r="L9" s="24">
        <f>SUM(K9)+2.6</f>
        <v>59.2</v>
      </c>
      <c r="M9" s="26">
        <f>SUM(L9)+2.6</f>
        <v>61.800000000000004</v>
      </c>
    </row>
    <row r="10" spans="1:13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7"/>
    </row>
    <row r="11" spans="1:13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SUM(I11)-0.8</f>
        <v>16.7</v>
      </c>
      <c r="I11" s="24">
        <f>SUM(J11)-0.8</f>
        <v>17.5</v>
      </c>
      <c r="J11" s="23">
        <v>18.3</v>
      </c>
      <c r="K11" s="21">
        <f>SUM(J11)+0.8</f>
        <v>19.100000000000001</v>
      </c>
      <c r="L11" s="21">
        <f>SUM(K11)+0.8</f>
        <v>19.900000000000002</v>
      </c>
      <c r="M11" s="227">
        <f>SUM(L11)+0.8</f>
        <v>20.700000000000003</v>
      </c>
    </row>
    <row r="12" spans="1:13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27"/>
    </row>
    <row r="13" spans="1:13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12.200000000000001</v>
      </c>
      <c r="I13" s="24">
        <f>SUM(J13)-0.6</f>
        <v>12.8</v>
      </c>
      <c r="J13" s="23">
        <v>13.4</v>
      </c>
      <c r="K13" s="21">
        <f>SUM(J13)+0.6</f>
        <v>14</v>
      </c>
      <c r="L13" s="21">
        <f>SUM(K13)+0.6</f>
        <v>14.6</v>
      </c>
      <c r="M13" s="22">
        <f>SUM(L13)+0.6</f>
        <v>15.2</v>
      </c>
    </row>
    <row r="14" spans="1:13" s="1" customFormat="1" ht="14.1" customHeight="1">
      <c r="A14" s="38"/>
      <c r="B14" s="56" t="s">
        <v>29</v>
      </c>
      <c r="C14" s="56"/>
      <c r="D14" s="47" t="s">
        <v>52</v>
      </c>
      <c r="E14" s="48"/>
      <c r="F14" s="48"/>
      <c r="G14" s="49"/>
      <c r="H14" s="36"/>
      <c r="I14" s="36"/>
      <c r="J14" s="23"/>
      <c r="K14" s="21"/>
      <c r="L14" s="21"/>
      <c r="M14" s="22"/>
    </row>
    <row r="15" spans="1:13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6.3000000000000007</v>
      </c>
      <c r="I15" s="24">
        <f>SUM(J15)-0.3</f>
        <v>6.6000000000000005</v>
      </c>
      <c r="J15" s="23">
        <v>6.9</v>
      </c>
      <c r="K15" s="21">
        <f>SUM(J15)+0.3</f>
        <v>7.2</v>
      </c>
      <c r="L15" s="21">
        <f>SUM(K15)+0.3</f>
        <v>7.5</v>
      </c>
      <c r="M15" s="227">
        <f>SUM(L15)+0.3</f>
        <v>7.8</v>
      </c>
    </row>
    <row r="16" spans="1:13" s="1" customFormat="1" ht="14.1" customHeight="1">
      <c r="A16" s="38"/>
      <c r="B16" s="56" t="s">
        <v>30</v>
      </c>
      <c r="C16" s="56"/>
      <c r="D16" s="47" t="s">
        <v>53</v>
      </c>
      <c r="E16" s="48"/>
      <c r="F16" s="48"/>
      <c r="G16" s="49"/>
      <c r="H16" s="36"/>
      <c r="I16" s="36"/>
      <c r="J16" s="23"/>
      <c r="K16" s="21"/>
      <c r="L16" s="21"/>
      <c r="M16" s="227"/>
    </row>
    <row r="17" spans="1:13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33.699999999999996</v>
      </c>
      <c r="I17" s="24">
        <f>SUM(J17)-1.6</f>
        <v>35.299999999999997</v>
      </c>
      <c r="J17" s="23">
        <v>36.9</v>
      </c>
      <c r="K17" s="21">
        <f>SUM(J17)+1.6</f>
        <v>38.5</v>
      </c>
      <c r="L17" s="21">
        <f>SUM(K17)+1.6</f>
        <v>40.1</v>
      </c>
      <c r="M17" s="227">
        <f>SUM(L17)+1.6</f>
        <v>41.7</v>
      </c>
    </row>
    <row r="18" spans="1:13" s="1" customFormat="1" ht="14.1" customHeight="1">
      <c r="A18" s="38"/>
      <c r="B18" s="56" t="s">
        <v>37</v>
      </c>
      <c r="C18" s="56"/>
      <c r="D18" s="47" t="s">
        <v>238</v>
      </c>
      <c r="E18" s="48"/>
      <c r="F18" s="48"/>
      <c r="G18" s="49"/>
      <c r="H18" s="36"/>
      <c r="I18" s="36"/>
      <c r="J18" s="23"/>
      <c r="K18" s="21"/>
      <c r="L18" s="21"/>
      <c r="M18" s="227"/>
    </row>
    <row r="19" spans="1:13" s="1" customFormat="1" ht="14.1" customHeight="1">
      <c r="A19" s="38">
        <v>9</v>
      </c>
      <c r="B19" s="51" t="s">
        <v>89</v>
      </c>
      <c r="C19" s="52"/>
      <c r="D19" s="60" t="s">
        <v>128</v>
      </c>
      <c r="E19" s="60"/>
      <c r="F19" s="60"/>
      <c r="G19" s="60"/>
      <c r="H19" s="24">
        <f>SUM(I19)-0.2</f>
        <v>7.6</v>
      </c>
      <c r="I19" s="24">
        <f>SUM(J19)-0.2</f>
        <v>7.8</v>
      </c>
      <c r="J19" s="23">
        <v>8</v>
      </c>
      <c r="K19" s="21">
        <f>SUM(J19)+0.2</f>
        <v>8.1999999999999993</v>
      </c>
      <c r="L19" s="21">
        <f>SUM(K19)+0.2</f>
        <v>8.3999999999999986</v>
      </c>
      <c r="M19" s="22">
        <f>SUM(L19)+0.2</f>
        <v>8.5999999999999979</v>
      </c>
    </row>
    <row r="20" spans="1:13" s="1" customFormat="1" ht="14.1" customHeight="1">
      <c r="A20" s="154"/>
      <c r="B20" s="141" t="s">
        <v>39</v>
      </c>
      <c r="C20" s="141"/>
      <c r="D20" s="100" t="s">
        <v>127</v>
      </c>
      <c r="E20" s="101"/>
      <c r="F20" s="101"/>
      <c r="G20" s="102"/>
      <c r="H20" s="50"/>
      <c r="I20" s="50"/>
      <c r="J20" s="33"/>
      <c r="K20" s="24"/>
      <c r="L20" s="24"/>
      <c r="M20" s="26"/>
    </row>
    <row r="21" spans="1:13" s="1" customFormat="1" ht="14.1" customHeight="1">
      <c r="A21" s="38">
        <v>10</v>
      </c>
      <c r="B21" s="58" t="s">
        <v>4</v>
      </c>
      <c r="C21" s="58"/>
      <c r="D21" s="57" t="s">
        <v>5</v>
      </c>
      <c r="E21" s="57"/>
      <c r="F21" s="57"/>
      <c r="G21" s="57"/>
      <c r="H21" s="24">
        <f>SUM(I21)-3.5</f>
        <v>30</v>
      </c>
      <c r="I21" s="24">
        <f>SUM(J21)-3.5</f>
        <v>33.5</v>
      </c>
      <c r="J21" s="23">
        <v>37</v>
      </c>
      <c r="K21" s="21">
        <f>SUM(J21)+3.6</f>
        <v>40.6</v>
      </c>
      <c r="L21" s="21">
        <f>SUM(K21)+3.6</f>
        <v>44.2</v>
      </c>
      <c r="M21" s="22">
        <f>SUM(L21)+3.6</f>
        <v>47.800000000000004</v>
      </c>
    </row>
    <row r="22" spans="1:13" s="1" customFormat="1" ht="14.1" customHeight="1">
      <c r="A22" s="38"/>
      <c r="B22" s="56" t="s">
        <v>31</v>
      </c>
      <c r="C22" s="56"/>
      <c r="D22" s="47" t="s">
        <v>54</v>
      </c>
      <c r="E22" s="48"/>
      <c r="F22" s="48"/>
      <c r="G22" s="49"/>
      <c r="H22" s="36"/>
      <c r="I22" s="36"/>
      <c r="J22" s="23"/>
      <c r="K22" s="21"/>
      <c r="L22" s="21"/>
      <c r="M22" s="22"/>
    </row>
    <row r="23" spans="1:13" s="1" customFormat="1" ht="14.1" customHeight="1">
      <c r="A23" s="38">
        <v>11</v>
      </c>
      <c r="B23" s="58" t="s">
        <v>6</v>
      </c>
      <c r="C23" s="58"/>
      <c r="D23" s="59" t="s">
        <v>7</v>
      </c>
      <c r="E23" s="60"/>
      <c r="F23" s="60"/>
      <c r="G23" s="61"/>
      <c r="H23" s="24">
        <f>SUM(I23)-1.6</f>
        <v>32.599999999999994</v>
      </c>
      <c r="I23" s="24">
        <f>SUM(J23)-1.6</f>
        <v>34.199999999999996</v>
      </c>
      <c r="J23" s="23">
        <v>35.799999999999997</v>
      </c>
      <c r="K23" s="21">
        <f>SUM(J23)+1.6</f>
        <v>37.4</v>
      </c>
      <c r="L23" s="21">
        <f>SUM(K23)+1.6</f>
        <v>39</v>
      </c>
      <c r="M23" s="22">
        <f>SUM(L23)+1.6</f>
        <v>40.6</v>
      </c>
    </row>
    <row r="24" spans="1:13" s="1" customFormat="1" ht="14.1" customHeight="1">
      <c r="A24" s="38"/>
      <c r="B24" s="56" t="s">
        <v>32</v>
      </c>
      <c r="C24" s="56"/>
      <c r="D24" s="47" t="s">
        <v>76</v>
      </c>
      <c r="E24" s="48"/>
      <c r="F24" s="48"/>
      <c r="G24" s="49"/>
      <c r="H24" s="36"/>
      <c r="I24" s="36"/>
      <c r="J24" s="23"/>
      <c r="K24" s="21"/>
      <c r="L24" s="21"/>
      <c r="M24" s="22"/>
    </row>
    <row r="25" spans="1:13" s="1" customFormat="1" ht="14.1" customHeight="1">
      <c r="A25" s="38">
        <v>12</v>
      </c>
      <c r="B25" s="51" t="s">
        <v>122</v>
      </c>
      <c r="C25" s="52"/>
      <c r="D25" s="57" t="s">
        <v>78</v>
      </c>
      <c r="E25" s="57"/>
      <c r="F25" s="57"/>
      <c r="G25" s="57"/>
      <c r="H25" s="24">
        <f>SUM(I25)-1</f>
        <v>25</v>
      </c>
      <c r="I25" s="24">
        <f>SUM(J25)-1</f>
        <v>26</v>
      </c>
      <c r="J25" s="23">
        <v>27</v>
      </c>
      <c r="K25" s="21">
        <f>SUM(J25)+1</f>
        <v>28</v>
      </c>
      <c r="L25" s="21">
        <f>SUM(K25)+1</f>
        <v>29</v>
      </c>
      <c r="M25" s="22">
        <f>SUM(L25)+1</f>
        <v>30</v>
      </c>
    </row>
    <row r="26" spans="1:13" s="1" customFormat="1" ht="14.1" customHeight="1">
      <c r="A26" s="38"/>
      <c r="B26" s="56" t="s">
        <v>33</v>
      </c>
      <c r="C26" s="56"/>
      <c r="D26" s="47" t="s">
        <v>79</v>
      </c>
      <c r="E26" s="48"/>
      <c r="F26" s="48"/>
      <c r="G26" s="49"/>
      <c r="H26" s="36"/>
      <c r="I26" s="36"/>
      <c r="J26" s="23"/>
      <c r="K26" s="21"/>
      <c r="L26" s="21"/>
      <c r="M26" s="22"/>
    </row>
    <row r="27" spans="1:13" s="1" customFormat="1" ht="14.1" customHeight="1">
      <c r="A27" s="38">
        <v>13</v>
      </c>
      <c r="B27" s="51" t="s">
        <v>250</v>
      </c>
      <c r="C27" s="52"/>
      <c r="D27" s="59"/>
      <c r="E27" s="60"/>
      <c r="F27" s="60"/>
      <c r="G27" s="61"/>
      <c r="H27" s="24">
        <f>SUM(I27)-0.6</f>
        <v>12.3</v>
      </c>
      <c r="I27" s="24">
        <f>SUM(J27)-0.6</f>
        <v>12.9</v>
      </c>
      <c r="J27" s="33">
        <v>13.5</v>
      </c>
      <c r="K27" s="24">
        <f>SUM(J27)+0.6</f>
        <v>14.1</v>
      </c>
      <c r="L27" s="24">
        <f>SUM(K27)+0.6</f>
        <v>14.7</v>
      </c>
      <c r="M27" s="26">
        <f>SUM(L27)+0.6</f>
        <v>15.299999999999999</v>
      </c>
    </row>
    <row r="28" spans="1:13" s="1" customFormat="1" ht="14.1" customHeight="1">
      <c r="A28" s="38"/>
      <c r="B28" s="62" t="s">
        <v>249</v>
      </c>
      <c r="C28" s="63"/>
      <c r="D28" s="64"/>
      <c r="E28" s="65"/>
      <c r="F28" s="65"/>
      <c r="G28" s="66"/>
      <c r="H28" s="36"/>
      <c r="I28" s="36"/>
      <c r="J28" s="35"/>
      <c r="K28" s="36"/>
      <c r="L28" s="36"/>
      <c r="M28" s="37"/>
    </row>
    <row r="29" spans="1:13" ht="14.1" customHeight="1">
      <c r="A29" s="38">
        <v>14</v>
      </c>
      <c r="B29" s="51" t="s">
        <v>248</v>
      </c>
      <c r="C29" s="52"/>
      <c r="D29" s="59"/>
      <c r="E29" s="60"/>
      <c r="F29" s="60"/>
      <c r="G29" s="61"/>
      <c r="H29" s="24">
        <f>SUM(I29)-0.6</f>
        <v>12.3</v>
      </c>
      <c r="I29" s="24">
        <f>SUM(J29)-0.6</f>
        <v>12.9</v>
      </c>
      <c r="J29" s="33">
        <v>13.5</v>
      </c>
      <c r="K29" s="24">
        <f>SUM(J29)+0.6</f>
        <v>14.1</v>
      </c>
      <c r="L29" s="24">
        <f>SUM(K29)+0.6</f>
        <v>14.7</v>
      </c>
      <c r="M29" s="26">
        <f>SUM(L29)+0.6</f>
        <v>15.299999999999999</v>
      </c>
    </row>
    <row r="30" spans="1:13" ht="14.1" customHeight="1">
      <c r="A30" s="38"/>
      <c r="B30" s="62" t="s">
        <v>247</v>
      </c>
      <c r="C30" s="63"/>
      <c r="D30" s="64"/>
      <c r="E30" s="65"/>
      <c r="F30" s="65"/>
      <c r="G30" s="66"/>
      <c r="H30" s="36"/>
      <c r="I30" s="36"/>
      <c r="J30" s="35"/>
      <c r="K30" s="36"/>
      <c r="L30" s="36"/>
      <c r="M30" s="37"/>
    </row>
    <row r="31" spans="1:13" ht="14.1" customHeight="1">
      <c r="A31" s="38">
        <v>15</v>
      </c>
      <c r="B31" s="51" t="s">
        <v>563</v>
      </c>
      <c r="C31" s="52"/>
      <c r="D31" s="53"/>
      <c r="E31" s="54"/>
      <c r="F31" s="54"/>
      <c r="G31" s="55"/>
      <c r="H31" s="24">
        <f>SUM(I31)-1</f>
        <v>19</v>
      </c>
      <c r="I31" s="24">
        <f>SUM(J31)-1</f>
        <v>20</v>
      </c>
      <c r="J31" s="33">
        <v>21</v>
      </c>
      <c r="K31" s="24">
        <f>SUM(J31)+0.5</f>
        <v>21.5</v>
      </c>
      <c r="L31" s="24">
        <f>SUM(K31)+0.5</f>
        <v>22</v>
      </c>
      <c r="M31" s="26">
        <f>SUM(L31)+0.5</f>
        <v>22.5</v>
      </c>
    </row>
    <row r="32" spans="1:13" ht="14.1" customHeight="1">
      <c r="A32" s="38"/>
      <c r="B32" s="45" t="s">
        <v>564</v>
      </c>
      <c r="C32" s="46"/>
      <c r="D32" s="47"/>
      <c r="E32" s="48"/>
      <c r="F32" s="48"/>
      <c r="G32" s="49"/>
      <c r="H32" s="36"/>
      <c r="I32" s="36"/>
      <c r="J32" s="35"/>
      <c r="K32" s="36"/>
      <c r="L32" s="36"/>
      <c r="M32" s="37"/>
    </row>
    <row r="33" spans="1:13" ht="14.1" customHeight="1">
      <c r="A33" s="38">
        <v>16</v>
      </c>
      <c r="B33" s="51" t="s">
        <v>176</v>
      </c>
      <c r="C33" s="52"/>
      <c r="D33" s="53"/>
      <c r="E33" s="54"/>
      <c r="F33" s="54"/>
      <c r="G33" s="55"/>
      <c r="H33" s="24">
        <f>SUM(I33)-0.7</f>
        <v>10.700000000000001</v>
      </c>
      <c r="I33" s="24">
        <f>SUM(J33)-0.7</f>
        <v>11.4</v>
      </c>
      <c r="J33" s="33">
        <v>12.1</v>
      </c>
      <c r="K33" s="24">
        <f>SUM(J33)+0.7</f>
        <v>12.799999999999999</v>
      </c>
      <c r="L33" s="24">
        <f>SUM(K33)+0.7</f>
        <v>13.499999999999998</v>
      </c>
      <c r="M33" s="26">
        <f>SUM(L33)+0.7</f>
        <v>14.199999999999998</v>
      </c>
    </row>
    <row r="34" spans="1:13" ht="14.1" customHeight="1">
      <c r="A34" s="38"/>
      <c r="B34" s="45" t="s">
        <v>175</v>
      </c>
      <c r="C34" s="46"/>
      <c r="D34" s="47" t="s">
        <v>212</v>
      </c>
      <c r="E34" s="48"/>
      <c r="F34" s="48"/>
      <c r="G34" s="49"/>
      <c r="H34" s="36"/>
      <c r="I34" s="36"/>
      <c r="J34" s="35"/>
      <c r="K34" s="36"/>
      <c r="L34" s="36"/>
      <c r="M34" s="37"/>
    </row>
    <row r="35" spans="1:13" ht="14.1" customHeight="1">
      <c r="A35" s="38">
        <v>17</v>
      </c>
      <c r="B35" s="40" t="s">
        <v>174</v>
      </c>
      <c r="C35" s="41"/>
      <c r="D35" s="42" t="s">
        <v>106</v>
      </c>
      <c r="E35" s="43"/>
      <c r="F35" s="43"/>
      <c r="G35" s="44"/>
      <c r="H35" s="24">
        <f>SUM(I35)-0.4</f>
        <v>5.1999999999999993</v>
      </c>
      <c r="I35" s="24">
        <f>SUM(J35)-0.4</f>
        <v>5.6</v>
      </c>
      <c r="J35" s="33">
        <v>6</v>
      </c>
      <c r="K35" s="24">
        <f>SUM(J35)+0.4</f>
        <v>6.4</v>
      </c>
      <c r="L35" s="24">
        <f>SUM(K35)+0.4</f>
        <v>6.8000000000000007</v>
      </c>
      <c r="M35" s="26">
        <f>SUM(L35)+0.4</f>
        <v>7.2000000000000011</v>
      </c>
    </row>
    <row r="36" spans="1:13" ht="14.1" customHeight="1">
      <c r="A36" s="38"/>
      <c r="B36" s="45" t="s">
        <v>173</v>
      </c>
      <c r="C36" s="46"/>
      <c r="D36" s="47" t="s">
        <v>105</v>
      </c>
      <c r="E36" s="48"/>
      <c r="F36" s="48"/>
      <c r="G36" s="49"/>
      <c r="H36" s="36"/>
      <c r="I36" s="36"/>
      <c r="J36" s="35"/>
      <c r="K36" s="36"/>
      <c r="L36" s="36"/>
      <c r="M36" s="37"/>
    </row>
    <row r="37" spans="1:13" ht="14.1" customHeight="1">
      <c r="A37" s="71">
        <v>18</v>
      </c>
      <c r="B37" s="40"/>
      <c r="C37" s="41"/>
      <c r="D37" s="100"/>
      <c r="E37" s="101"/>
      <c r="F37" s="101"/>
      <c r="G37" s="102"/>
      <c r="H37" s="50"/>
      <c r="I37" s="50"/>
      <c r="J37" s="117"/>
      <c r="K37" s="50"/>
      <c r="L37" s="50"/>
      <c r="M37" s="113"/>
    </row>
    <row r="38" spans="1:13" ht="14.1" customHeight="1" thickBot="1">
      <c r="A38" s="39"/>
      <c r="B38" s="104"/>
      <c r="C38" s="105"/>
      <c r="D38" s="106"/>
      <c r="E38" s="107"/>
      <c r="F38" s="107"/>
      <c r="G38" s="108"/>
      <c r="H38" s="25"/>
      <c r="I38" s="25"/>
      <c r="J38" s="34"/>
      <c r="K38" s="25"/>
      <c r="L38" s="25"/>
      <c r="M38" s="27"/>
    </row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201"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A1:M1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EA940-AB73-4CB7-BA2D-9009D8E1F795}">
  <sheetPr codeName="Sheet612">
    <tabColor rgb="FF00B050"/>
    <pageSetUpPr fitToPage="1"/>
  </sheetPr>
  <dimension ref="A1:M51"/>
  <sheetViews>
    <sheetView zoomScale="110" zoomScaleNormal="110" workbookViewId="0">
      <selection activeCell="A19" sqref="A19:M2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370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45</v>
      </c>
      <c r="C3" s="72"/>
      <c r="D3" s="73" t="s">
        <v>75</v>
      </c>
      <c r="E3" s="73"/>
      <c r="F3" s="73"/>
      <c r="G3" s="74"/>
      <c r="H3" s="24">
        <f>SUM(I3)-3</f>
        <v>34</v>
      </c>
      <c r="I3" s="24">
        <f>SUM(J3)-3</f>
        <v>37</v>
      </c>
      <c r="J3" s="75">
        <v>40</v>
      </c>
      <c r="K3" s="85">
        <f>SUM(J3)+3</f>
        <v>43</v>
      </c>
      <c r="L3" s="85">
        <f>SUM(K3)+3</f>
        <v>46</v>
      </c>
      <c r="M3" s="109">
        <f>SUM(L3)+3</f>
        <v>49</v>
      </c>
    </row>
    <row r="4" spans="1:13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36"/>
      <c r="L4" s="36"/>
      <c r="M4" s="37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SUM(I5)-1.6</f>
        <v>23.799999999999997</v>
      </c>
      <c r="I5" s="24">
        <f>SUM(J5)-1.6</f>
        <v>25.4</v>
      </c>
      <c r="J5" s="33">
        <v>27</v>
      </c>
      <c r="K5" s="24">
        <f>SUM(J5)+1.6</f>
        <v>28.6</v>
      </c>
      <c r="L5" s="24">
        <f>SUM(K5)+1.6</f>
        <v>30.200000000000003</v>
      </c>
      <c r="M5" s="26">
        <f>SUM(L5)+1.6</f>
        <v>31.800000000000004</v>
      </c>
    </row>
    <row r="6" spans="1:13" s="1" customFormat="1" ht="14.1" customHeight="1">
      <c r="A6" s="38"/>
      <c r="B6" s="56" t="s">
        <v>26</v>
      </c>
      <c r="C6" s="56"/>
      <c r="D6" s="47" t="s">
        <v>153</v>
      </c>
      <c r="E6" s="48"/>
      <c r="F6" s="48"/>
      <c r="G6" s="49"/>
      <c r="H6" s="36"/>
      <c r="I6" s="36"/>
      <c r="J6" s="35"/>
      <c r="K6" s="36"/>
      <c r="L6" s="36"/>
      <c r="M6" s="37"/>
    </row>
    <row r="7" spans="1:13" s="1" customFormat="1" ht="14.1" customHeight="1">
      <c r="A7" s="38">
        <v>3</v>
      </c>
      <c r="B7" s="58" t="s">
        <v>41</v>
      </c>
      <c r="C7" s="58"/>
      <c r="D7" s="57" t="s">
        <v>123</v>
      </c>
      <c r="E7" s="57"/>
      <c r="F7" s="57"/>
      <c r="G7" s="57"/>
      <c r="H7" s="24">
        <f>SUM(I7)-2</f>
        <v>38</v>
      </c>
      <c r="I7" s="24">
        <f>SUM(J7)-2</f>
        <v>40</v>
      </c>
      <c r="J7" s="33">
        <v>42</v>
      </c>
      <c r="K7" s="24">
        <f>SUM(J7)+2</f>
        <v>44</v>
      </c>
      <c r="L7" s="24">
        <f>SUM(K7)+2</f>
        <v>46</v>
      </c>
      <c r="M7" s="26">
        <f>SUM(L7)+2</f>
        <v>48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37"/>
    </row>
    <row r="9" spans="1:13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SUM(I9)-2</f>
        <v>30</v>
      </c>
      <c r="I9" s="24">
        <f>SUM(J9)-2</f>
        <v>32</v>
      </c>
      <c r="J9" s="33">
        <v>34</v>
      </c>
      <c r="K9" s="24">
        <f>SUM(J9)+2</f>
        <v>36</v>
      </c>
      <c r="L9" s="24">
        <f>SUM(K9)+2</f>
        <v>38</v>
      </c>
      <c r="M9" s="26">
        <f>SUM(L9)+2</f>
        <v>40</v>
      </c>
    </row>
    <row r="10" spans="1:13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7"/>
    </row>
    <row r="11" spans="1:13" s="1" customFormat="1" ht="14.1" customHeight="1">
      <c r="A11" s="38">
        <v>5</v>
      </c>
      <c r="B11" s="58" t="s">
        <v>359</v>
      </c>
      <c r="C11" s="58"/>
      <c r="D11" s="57"/>
      <c r="E11" s="57"/>
      <c r="F11" s="57"/>
      <c r="G11" s="57"/>
      <c r="H11" s="24">
        <f>SUM(I11)-0</f>
        <v>5</v>
      </c>
      <c r="I11" s="24">
        <f>SUM(J11)-0</f>
        <v>5</v>
      </c>
      <c r="J11" s="33">
        <v>5</v>
      </c>
      <c r="K11" s="24">
        <f>SUM(J11)+0.5</f>
        <v>5.5</v>
      </c>
      <c r="L11" s="24">
        <f>SUM(K11)+0</f>
        <v>5.5</v>
      </c>
      <c r="M11" s="26">
        <f>SUM(L11)+0</f>
        <v>5.5</v>
      </c>
    </row>
    <row r="12" spans="1:13" s="1" customFormat="1" ht="14.1" customHeight="1">
      <c r="A12" s="38"/>
      <c r="B12" s="56" t="s">
        <v>360</v>
      </c>
      <c r="C12" s="56"/>
      <c r="D12" s="47"/>
      <c r="E12" s="48"/>
      <c r="F12" s="48"/>
      <c r="G12" s="49"/>
      <c r="H12" s="36"/>
      <c r="I12" s="36"/>
      <c r="J12" s="35"/>
      <c r="K12" s="36"/>
      <c r="L12" s="36"/>
      <c r="M12" s="37"/>
    </row>
    <row r="13" spans="1:13" s="1" customFormat="1" ht="14.1" customHeight="1">
      <c r="A13" s="38">
        <v>6</v>
      </c>
      <c r="B13" s="58" t="s">
        <v>10</v>
      </c>
      <c r="C13" s="58"/>
      <c r="D13" s="57" t="s">
        <v>0</v>
      </c>
      <c r="E13" s="57"/>
      <c r="F13" s="57"/>
      <c r="G13" s="57"/>
      <c r="H13" s="24">
        <f>SUM(I13)-1</f>
        <v>15.5</v>
      </c>
      <c r="I13" s="24">
        <f>SUM(J13)-1</f>
        <v>16.5</v>
      </c>
      <c r="J13" s="23">
        <v>17.5</v>
      </c>
      <c r="K13" s="24">
        <f>SUM(J13)+1</f>
        <v>18.5</v>
      </c>
      <c r="L13" s="24">
        <f>SUM(K13)+1</f>
        <v>19.5</v>
      </c>
      <c r="M13" s="26">
        <f>SUM(L13)+1</f>
        <v>20.5</v>
      </c>
    </row>
    <row r="14" spans="1:13" s="1" customFormat="1" ht="14.1" customHeight="1">
      <c r="A14" s="38"/>
      <c r="B14" s="56" t="s">
        <v>28</v>
      </c>
      <c r="C14" s="56"/>
      <c r="D14" s="47" t="s">
        <v>51</v>
      </c>
      <c r="E14" s="48"/>
      <c r="F14" s="48"/>
      <c r="G14" s="49"/>
      <c r="H14" s="36"/>
      <c r="I14" s="36"/>
      <c r="J14" s="23"/>
      <c r="K14" s="36"/>
      <c r="L14" s="36"/>
      <c r="M14" s="37"/>
    </row>
    <row r="15" spans="1:13" s="1" customFormat="1" ht="14.1" customHeight="1">
      <c r="A15" s="38">
        <v>7</v>
      </c>
      <c r="B15" s="58" t="s">
        <v>1</v>
      </c>
      <c r="C15" s="58"/>
      <c r="D15" s="57" t="s">
        <v>180</v>
      </c>
      <c r="E15" s="57"/>
      <c r="F15" s="57"/>
      <c r="G15" s="57"/>
      <c r="H15" s="24">
        <f>SUM(I15)-0.6</f>
        <v>15</v>
      </c>
      <c r="I15" s="24">
        <f>SUM(J15)-0.6</f>
        <v>15.6</v>
      </c>
      <c r="J15" s="23">
        <v>16.2</v>
      </c>
      <c r="K15" s="24">
        <f>SUM(J15)+0.6</f>
        <v>16.8</v>
      </c>
      <c r="L15" s="24">
        <f>SUM(K15)+0.6</f>
        <v>17.400000000000002</v>
      </c>
      <c r="M15" s="26">
        <f>SUM(L15)+0.6</f>
        <v>18.000000000000004</v>
      </c>
    </row>
    <row r="16" spans="1:13" s="1" customFormat="1" ht="14.1" customHeight="1">
      <c r="A16" s="38"/>
      <c r="B16" s="56" t="s">
        <v>29</v>
      </c>
      <c r="C16" s="56"/>
      <c r="D16" s="47" t="s">
        <v>52</v>
      </c>
      <c r="E16" s="48"/>
      <c r="F16" s="48"/>
      <c r="G16" s="49"/>
      <c r="H16" s="36"/>
      <c r="I16" s="36"/>
      <c r="J16" s="23"/>
      <c r="K16" s="36"/>
      <c r="L16" s="36"/>
      <c r="M16" s="37"/>
    </row>
    <row r="17" spans="1:13" s="1" customFormat="1" ht="14.1" customHeight="1">
      <c r="A17" s="38">
        <v>8</v>
      </c>
      <c r="B17" s="58" t="s">
        <v>2</v>
      </c>
      <c r="C17" s="58"/>
      <c r="D17" s="57" t="s">
        <v>3</v>
      </c>
      <c r="E17" s="57"/>
      <c r="F17" s="57"/>
      <c r="G17" s="57"/>
      <c r="H17" s="24">
        <f>SUM(I17)-0.3</f>
        <v>6.2</v>
      </c>
      <c r="I17" s="24">
        <f>SUM(J17)-0.3</f>
        <v>6.5</v>
      </c>
      <c r="J17" s="23">
        <v>6.8</v>
      </c>
      <c r="K17" s="24">
        <f>SUM(J17)+0.3</f>
        <v>7.1</v>
      </c>
      <c r="L17" s="24">
        <f>SUM(K17)+0.3</f>
        <v>7.3999999999999995</v>
      </c>
      <c r="M17" s="26">
        <f>SUM(L17)+0.3</f>
        <v>7.6999999999999993</v>
      </c>
    </row>
    <row r="18" spans="1:13" s="1" customFormat="1" ht="14.1" customHeight="1">
      <c r="A18" s="38"/>
      <c r="B18" s="56" t="s">
        <v>30</v>
      </c>
      <c r="C18" s="56"/>
      <c r="D18" s="47" t="s">
        <v>53</v>
      </c>
      <c r="E18" s="48"/>
      <c r="F18" s="48"/>
      <c r="G18" s="49"/>
      <c r="H18" s="36"/>
      <c r="I18" s="36"/>
      <c r="J18" s="23"/>
      <c r="K18" s="36"/>
      <c r="L18" s="36"/>
      <c r="M18" s="37"/>
    </row>
    <row r="19" spans="1:13" s="1" customFormat="1" ht="14.1" customHeight="1">
      <c r="A19" s="38">
        <v>9</v>
      </c>
      <c r="B19" s="51" t="s">
        <v>362</v>
      </c>
      <c r="C19" s="52"/>
      <c r="D19" s="59"/>
      <c r="E19" s="60"/>
      <c r="F19" s="60"/>
      <c r="G19" s="61"/>
      <c r="H19" s="24">
        <f>SUM(I19)</f>
        <v>3</v>
      </c>
      <c r="I19" s="24">
        <f>SUM(J19)</f>
        <v>3</v>
      </c>
      <c r="J19" s="33">
        <v>3</v>
      </c>
      <c r="K19" s="24">
        <f>SUM(J19)</f>
        <v>3</v>
      </c>
      <c r="L19" s="24">
        <f>SUM(K19)</f>
        <v>3</v>
      </c>
      <c r="M19" s="26">
        <f>SUM(L19)</f>
        <v>3</v>
      </c>
    </row>
    <row r="20" spans="1:13" s="1" customFormat="1" ht="14.1" customHeight="1">
      <c r="A20" s="38"/>
      <c r="B20" s="56" t="s">
        <v>363</v>
      </c>
      <c r="C20" s="56"/>
      <c r="D20" s="47"/>
      <c r="E20" s="48"/>
      <c r="F20" s="48"/>
      <c r="G20" s="49"/>
      <c r="H20" s="36"/>
      <c r="I20" s="36"/>
      <c r="J20" s="35"/>
      <c r="K20" s="36"/>
      <c r="L20" s="36"/>
      <c r="M20" s="37"/>
    </row>
    <row r="21" spans="1:13" s="1" customFormat="1" ht="14.1" customHeight="1">
      <c r="A21" s="38">
        <v>10</v>
      </c>
      <c r="B21" s="51" t="s">
        <v>85</v>
      </c>
      <c r="C21" s="52"/>
      <c r="D21" s="59" t="s">
        <v>86</v>
      </c>
      <c r="E21" s="60"/>
      <c r="F21" s="60"/>
      <c r="G21" s="61"/>
      <c r="H21" s="50"/>
      <c r="I21" s="50"/>
      <c r="J21" s="35"/>
      <c r="K21" s="50"/>
      <c r="L21" s="50"/>
      <c r="M21" s="113"/>
    </row>
    <row r="22" spans="1:13" s="1" customFormat="1" ht="14.1" customHeight="1">
      <c r="A22" s="38"/>
      <c r="B22" s="56" t="s">
        <v>37</v>
      </c>
      <c r="C22" s="56"/>
      <c r="D22" s="47" t="s">
        <v>64</v>
      </c>
      <c r="E22" s="48"/>
      <c r="F22" s="48"/>
      <c r="G22" s="49"/>
      <c r="H22" s="36"/>
      <c r="I22" s="36"/>
      <c r="J22" s="23"/>
      <c r="K22" s="36"/>
      <c r="L22" s="36"/>
      <c r="M22" s="37"/>
    </row>
    <row r="23" spans="1:13" s="1" customFormat="1" ht="14.1" customHeight="1">
      <c r="A23" s="38">
        <v>11</v>
      </c>
      <c r="B23" s="58" t="s">
        <v>4</v>
      </c>
      <c r="C23" s="58"/>
      <c r="D23" s="57" t="s">
        <v>5</v>
      </c>
      <c r="E23" s="57"/>
      <c r="F23" s="57"/>
      <c r="G23" s="57"/>
      <c r="H23" s="24">
        <f>SUM(I23)-3.2</f>
        <v>34.099999999999994</v>
      </c>
      <c r="I23" s="24">
        <f>SUM(J23)-3.2</f>
        <v>37.299999999999997</v>
      </c>
      <c r="J23" s="33">
        <v>40.5</v>
      </c>
      <c r="K23" s="24">
        <f>SUM(J23)+3.2</f>
        <v>43.7</v>
      </c>
      <c r="L23" s="24">
        <f>SUM(K23)+3.2</f>
        <v>46.900000000000006</v>
      </c>
      <c r="M23" s="26">
        <f>SUM(L23)+3.2</f>
        <v>50.100000000000009</v>
      </c>
    </row>
    <row r="24" spans="1:13" s="1" customFormat="1" ht="14.1" customHeight="1">
      <c r="A24" s="38"/>
      <c r="B24" s="56" t="s">
        <v>369</v>
      </c>
      <c r="C24" s="56"/>
      <c r="D24" s="47" t="s">
        <v>54</v>
      </c>
      <c r="E24" s="48"/>
      <c r="F24" s="48"/>
      <c r="G24" s="49"/>
      <c r="H24" s="36"/>
      <c r="I24" s="36"/>
      <c r="J24" s="35"/>
      <c r="K24" s="36"/>
      <c r="L24" s="36"/>
      <c r="M24" s="37"/>
    </row>
    <row r="25" spans="1:13" ht="14.1" customHeight="1">
      <c r="A25" s="38">
        <v>12</v>
      </c>
      <c r="B25" s="58" t="s">
        <v>6</v>
      </c>
      <c r="C25" s="58"/>
      <c r="D25" s="59" t="s">
        <v>7</v>
      </c>
      <c r="E25" s="60"/>
      <c r="F25" s="60"/>
      <c r="G25" s="61"/>
      <c r="H25" s="24">
        <f>SUM(I25)-1.7</f>
        <v>26.6</v>
      </c>
      <c r="I25" s="24">
        <f>SUM(J25)-1.7</f>
        <v>28.3</v>
      </c>
      <c r="J25" s="33">
        <v>30</v>
      </c>
      <c r="K25" s="24">
        <f>SUM(J25)+1.7</f>
        <v>31.7</v>
      </c>
      <c r="L25" s="24">
        <f>SUM(K25)+1.7</f>
        <v>33.4</v>
      </c>
      <c r="M25" s="26">
        <f>SUM(L25)+1.7</f>
        <v>35.1</v>
      </c>
    </row>
    <row r="26" spans="1:13" ht="14.1" customHeight="1">
      <c r="A26" s="38"/>
      <c r="B26" s="56" t="s">
        <v>32</v>
      </c>
      <c r="C26" s="56"/>
      <c r="D26" s="47" t="s">
        <v>76</v>
      </c>
      <c r="E26" s="48"/>
      <c r="F26" s="48"/>
      <c r="G26" s="49"/>
      <c r="H26" s="36"/>
      <c r="I26" s="36"/>
      <c r="J26" s="35"/>
      <c r="K26" s="36"/>
      <c r="L26" s="36"/>
      <c r="M26" s="37"/>
    </row>
    <row r="27" spans="1:13" ht="14.1" customHeight="1">
      <c r="A27" s="38">
        <v>13</v>
      </c>
      <c r="B27" s="51" t="s">
        <v>122</v>
      </c>
      <c r="C27" s="52"/>
      <c r="D27" s="57" t="s">
        <v>78</v>
      </c>
      <c r="E27" s="57"/>
      <c r="F27" s="57"/>
      <c r="G27" s="57"/>
      <c r="H27" s="24">
        <f>SUM(I27)-1</f>
        <v>17</v>
      </c>
      <c r="I27" s="24">
        <f>SUM(J27)-1</f>
        <v>18</v>
      </c>
      <c r="J27" s="33">
        <v>19</v>
      </c>
      <c r="K27" s="24">
        <f>SUM(J27)+1</f>
        <v>20</v>
      </c>
      <c r="L27" s="24">
        <f>SUM(K27)+1</f>
        <v>21</v>
      </c>
      <c r="M27" s="26">
        <f>SUM(L27)+1</f>
        <v>22</v>
      </c>
    </row>
    <row r="28" spans="1:13" ht="14.1" customHeight="1">
      <c r="A28" s="154"/>
      <c r="B28" s="141" t="s">
        <v>33</v>
      </c>
      <c r="C28" s="141"/>
      <c r="D28" s="100" t="s">
        <v>79</v>
      </c>
      <c r="E28" s="101"/>
      <c r="F28" s="101"/>
      <c r="G28" s="102"/>
      <c r="H28" s="36"/>
      <c r="I28" s="36"/>
      <c r="J28" s="35"/>
      <c r="K28" s="36"/>
      <c r="L28" s="36"/>
      <c r="M28" s="37"/>
    </row>
    <row r="29" spans="1:13" ht="14.1" customHeight="1">
      <c r="A29" s="38">
        <v>14</v>
      </c>
      <c r="B29" s="51" t="s">
        <v>367</v>
      </c>
      <c r="C29" s="52"/>
      <c r="D29" s="59"/>
      <c r="E29" s="60"/>
      <c r="F29" s="60"/>
      <c r="G29" s="61"/>
      <c r="H29" s="24">
        <f>SUM(I29)</f>
        <v>5</v>
      </c>
      <c r="I29" s="24">
        <f>SUM(J29)</f>
        <v>5</v>
      </c>
      <c r="J29" s="33">
        <v>5</v>
      </c>
      <c r="K29" s="24">
        <f>SUM(J29)+0.5</f>
        <v>5.5</v>
      </c>
      <c r="L29" s="24">
        <f>SUM(K29)</f>
        <v>5.5</v>
      </c>
      <c r="M29" s="26">
        <f>SUM(L29)</f>
        <v>5.5</v>
      </c>
    </row>
    <row r="30" spans="1:13" ht="14.1" customHeight="1">
      <c r="A30" s="154"/>
      <c r="B30" s="45" t="s">
        <v>368</v>
      </c>
      <c r="C30" s="46"/>
      <c r="D30" s="47"/>
      <c r="E30" s="48"/>
      <c r="F30" s="48"/>
      <c r="G30" s="49"/>
      <c r="H30" s="36"/>
      <c r="I30" s="36"/>
      <c r="J30" s="35"/>
      <c r="K30" s="36"/>
      <c r="L30" s="36"/>
      <c r="M30" s="37"/>
    </row>
    <row r="31" spans="1:13" ht="14.1" customHeight="1">
      <c r="A31" s="38">
        <v>15</v>
      </c>
      <c r="B31" s="51" t="s">
        <v>365</v>
      </c>
      <c r="C31" s="52"/>
      <c r="D31" s="57"/>
      <c r="E31" s="57"/>
      <c r="F31" s="57"/>
      <c r="G31" s="57"/>
      <c r="H31" s="24">
        <f>SUM(I31)</f>
        <v>3.5</v>
      </c>
      <c r="I31" s="24">
        <f>SUM(J31)</f>
        <v>3.5</v>
      </c>
      <c r="J31" s="33">
        <v>3.5</v>
      </c>
      <c r="K31" s="24">
        <f>SUM(J31)</f>
        <v>3.5</v>
      </c>
      <c r="L31" s="24">
        <f>SUM(K31)</f>
        <v>3.5</v>
      </c>
      <c r="M31" s="26">
        <f>SUM(L31)</f>
        <v>3.5</v>
      </c>
    </row>
    <row r="32" spans="1:13" ht="14.1" customHeight="1">
      <c r="A32" s="38"/>
      <c r="B32" s="45" t="s">
        <v>366</v>
      </c>
      <c r="C32" s="46"/>
      <c r="D32" s="47"/>
      <c r="E32" s="48"/>
      <c r="F32" s="48"/>
      <c r="G32" s="49"/>
      <c r="H32" s="36"/>
      <c r="I32" s="36"/>
      <c r="J32" s="35"/>
      <c r="K32" s="36"/>
      <c r="L32" s="36"/>
      <c r="M32" s="37"/>
    </row>
    <row r="33" spans="1:13" ht="14.1" customHeight="1">
      <c r="A33" s="38">
        <v>16</v>
      </c>
      <c r="B33" s="51" t="s">
        <v>176</v>
      </c>
      <c r="C33" s="52"/>
      <c r="D33" s="53"/>
      <c r="E33" s="54"/>
      <c r="F33" s="54"/>
      <c r="G33" s="55"/>
      <c r="H33" s="24"/>
      <c r="I33" s="24"/>
      <c r="J33" s="23">
        <v>11</v>
      </c>
      <c r="K33" s="21"/>
      <c r="L33" s="21"/>
      <c r="M33" s="22"/>
    </row>
    <row r="34" spans="1:13" ht="14.1" customHeight="1">
      <c r="A34" s="154"/>
      <c r="B34" s="45" t="s">
        <v>175</v>
      </c>
      <c r="C34" s="46"/>
      <c r="D34" s="47" t="s">
        <v>212</v>
      </c>
      <c r="E34" s="48"/>
      <c r="F34" s="48"/>
      <c r="G34" s="49"/>
      <c r="H34" s="50"/>
      <c r="I34" s="50"/>
      <c r="J34" s="33"/>
      <c r="K34" s="24"/>
      <c r="L34" s="24"/>
      <c r="M34" s="26"/>
    </row>
    <row r="35" spans="1:13" ht="14.1" customHeight="1">
      <c r="A35" s="38">
        <v>17</v>
      </c>
      <c r="B35" s="51" t="s">
        <v>174</v>
      </c>
      <c r="C35" s="52"/>
      <c r="D35" s="53" t="s">
        <v>106</v>
      </c>
      <c r="E35" s="54"/>
      <c r="F35" s="54"/>
      <c r="G35" s="55"/>
      <c r="H35" s="24"/>
      <c r="I35" s="24"/>
      <c r="J35" s="23">
        <v>4.8</v>
      </c>
      <c r="K35" s="21"/>
      <c r="L35" s="21"/>
      <c r="M35" s="22"/>
    </row>
    <row r="36" spans="1:13" ht="14.1" customHeight="1">
      <c r="A36" s="38"/>
      <c r="B36" s="45" t="s">
        <v>173</v>
      </c>
      <c r="C36" s="46"/>
      <c r="D36" s="47" t="s">
        <v>105</v>
      </c>
      <c r="E36" s="48"/>
      <c r="F36" s="48"/>
      <c r="G36" s="49"/>
      <c r="H36" s="36"/>
      <c r="I36" s="36"/>
      <c r="J36" s="23"/>
      <c r="K36" s="21"/>
      <c r="L36" s="21"/>
      <c r="M36" s="22"/>
    </row>
    <row r="37" spans="1:13" ht="14.1" customHeight="1">
      <c r="A37" s="71">
        <v>18</v>
      </c>
      <c r="B37" s="141"/>
      <c r="C37" s="141"/>
      <c r="D37" s="132"/>
      <c r="E37" s="132"/>
      <c r="F37" s="132"/>
      <c r="G37" s="132"/>
      <c r="H37" s="50"/>
      <c r="I37" s="50"/>
      <c r="J37" s="117"/>
      <c r="K37" s="50"/>
      <c r="L37" s="50"/>
      <c r="M37" s="113"/>
    </row>
    <row r="38" spans="1:13" ht="14.1" customHeight="1" thickBot="1">
      <c r="A38" s="39"/>
      <c r="B38" s="110"/>
      <c r="C38" s="110"/>
      <c r="D38" s="30"/>
      <c r="E38" s="31"/>
      <c r="F38" s="31"/>
      <c r="G38" s="32"/>
      <c r="H38" s="25"/>
      <c r="I38" s="25"/>
      <c r="J38" s="34"/>
      <c r="K38" s="25"/>
      <c r="L38" s="25"/>
      <c r="M38" s="27"/>
    </row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201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K5:K6"/>
    <mergeCell ref="L5:L6"/>
    <mergeCell ref="M5:M6"/>
    <mergeCell ref="B6:C6"/>
    <mergeCell ref="D6:G6"/>
    <mergeCell ref="A7:A8"/>
    <mergeCell ref="B7:C7"/>
    <mergeCell ref="D7:G7"/>
    <mergeCell ref="H7:H8"/>
    <mergeCell ref="I7:I8"/>
    <mergeCell ref="J7:J8"/>
    <mergeCell ref="K7:K8"/>
    <mergeCell ref="L7:L8"/>
    <mergeCell ref="M7:M8"/>
    <mergeCell ref="B8:C8"/>
    <mergeCell ref="D8:G8"/>
    <mergeCell ref="A9:A10"/>
    <mergeCell ref="B9:C9"/>
    <mergeCell ref="D9:G9"/>
    <mergeCell ref="H9:H10"/>
    <mergeCell ref="I9:I10"/>
    <mergeCell ref="J9:J10"/>
    <mergeCell ref="K9:K10"/>
    <mergeCell ref="L9:L10"/>
    <mergeCell ref="M9:M10"/>
    <mergeCell ref="B10:C10"/>
    <mergeCell ref="D10:G10"/>
    <mergeCell ref="A11:A12"/>
    <mergeCell ref="B11:C11"/>
    <mergeCell ref="D11:G11"/>
    <mergeCell ref="H11:H12"/>
    <mergeCell ref="I11:I12"/>
    <mergeCell ref="J11:J12"/>
    <mergeCell ref="K11:K12"/>
    <mergeCell ref="L11:L12"/>
    <mergeCell ref="M11:M12"/>
    <mergeCell ref="B12:C12"/>
    <mergeCell ref="D12:G12"/>
    <mergeCell ref="A13:A14"/>
    <mergeCell ref="B13:C13"/>
    <mergeCell ref="D13:G13"/>
    <mergeCell ref="H13:H14"/>
    <mergeCell ref="I13:I14"/>
    <mergeCell ref="J13:J14"/>
    <mergeCell ref="K13:K14"/>
    <mergeCell ref="L13:L14"/>
    <mergeCell ref="M13:M14"/>
    <mergeCell ref="B14:C14"/>
    <mergeCell ref="D14:G14"/>
    <mergeCell ref="A15:A16"/>
    <mergeCell ref="B15:C15"/>
    <mergeCell ref="D15:G15"/>
    <mergeCell ref="H15:H16"/>
    <mergeCell ref="I15:I16"/>
    <mergeCell ref="J15:J16"/>
    <mergeCell ref="K15:K16"/>
    <mergeCell ref="L15:L16"/>
    <mergeCell ref="M15:M16"/>
    <mergeCell ref="B16:C16"/>
    <mergeCell ref="D16:G16"/>
    <mergeCell ref="A17:A18"/>
    <mergeCell ref="B17:C17"/>
    <mergeCell ref="D17:G17"/>
    <mergeCell ref="H17:H18"/>
    <mergeCell ref="I17:I18"/>
    <mergeCell ref="J17:J18"/>
    <mergeCell ref="K17:K18"/>
    <mergeCell ref="L17:L18"/>
    <mergeCell ref="M17:M18"/>
    <mergeCell ref="B18:C18"/>
    <mergeCell ref="D18:G18"/>
    <mergeCell ref="A19:A20"/>
    <mergeCell ref="B19:C19"/>
    <mergeCell ref="D19:G19"/>
    <mergeCell ref="H19:H20"/>
    <mergeCell ref="I19:I20"/>
    <mergeCell ref="J19:J20"/>
    <mergeCell ref="K19:K20"/>
    <mergeCell ref="L19:L20"/>
    <mergeCell ref="M19:M20"/>
    <mergeCell ref="B20:C20"/>
    <mergeCell ref="D20:G20"/>
    <mergeCell ref="A21:A22"/>
    <mergeCell ref="B21:C21"/>
    <mergeCell ref="D21:G21"/>
    <mergeCell ref="H21:H22"/>
    <mergeCell ref="I21:I22"/>
    <mergeCell ref="J21:J22"/>
    <mergeCell ref="K21:K22"/>
    <mergeCell ref="L21:L22"/>
    <mergeCell ref="M21:M22"/>
    <mergeCell ref="B22:C22"/>
    <mergeCell ref="D22:G22"/>
    <mergeCell ref="A23:A24"/>
    <mergeCell ref="B23:C23"/>
    <mergeCell ref="D23:G23"/>
    <mergeCell ref="H23:H24"/>
    <mergeCell ref="I23:I24"/>
    <mergeCell ref="J23:J24"/>
    <mergeCell ref="K23:K24"/>
    <mergeCell ref="L23:L24"/>
    <mergeCell ref="M23:M24"/>
    <mergeCell ref="B24:C24"/>
    <mergeCell ref="D24:G24"/>
    <mergeCell ref="A25:A26"/>
    <mergeCell ref="B25:C25"/>
    <mergeCell ref="D25:G25"/>
    <mergeCell ref="H25:H26"/>
    <mergeCell ref="I25:I26"/>
    <mergeCell ref="J25:J26"/>
    <mergeCell ref="K25:K26"/>
    <mergeCell ref="L25:L26"/>
    <mergeCell ref="M25:M26"/>
    <mergeCell ref="B26:C26"/>
    <mergeCell ref="D26:G26"/>
    <mergeCell ref="A27:A28"/>
    <mergeCell ref="B27:C27"/>
    <mergeCell ref="D27:G27"/>
    <mergeCell ref="H27:H28"/>
    <mergeCell ref="I27:I28"/>
    <mergeCell ref="J27:J28"/>
    <mergeCell ref="K27:K28"/>
    <mergeCell ref="L27:L28"/>
    <mergeCell ref="M27:M28"/>
    <mergeCell ref="B28:C28"/>
    <mergeCell ref="D28:G28"/>
    <mergeCell ref="A29:A30"/>
    <mergeCell ref="B29:C29"/>
    <mergeCell ref="D29:G29"/>
    <mergeCell ref="H29:H30"/>
    <mergeCell ref="I29:I30"/>
    <mergeCell ref="J29:J30"/>
    <mergeCell ref="K29:K30"/>
    <mergeCell ref="L29:L30"/>
    <mergeCell ref="M29:M30"/>
    <mergeCell ref="B30:C30"/>
    <mergeCell ref="D30:G30"/>
    <mergeCell ref="A31:A32"/>
    <mergeCell ref="B31:C31"/>
    <mergeCell ref="D31:G31"/>
    <mergeCell ref="H31:H32"/>
    <mergeCell ref="I31:I32"/>
    <mergeCell ref="J31:J32"/>
    <mergeCell ref="K31:K32"/>
    <mergeCell ref="L31:L32"/>
    <mergeCell ref="M31:M32"/>
    <mergeCell ref="B32:C32"/>
    <mergeCell ref="D32:G32"/>
    <mergeCell ref="A37:A38"/>
    <mergeCell ref="B37:C37"/>
    <mergeCell ref="D37:G37"/>
    <mergeCell ref="H37:H38"/>
    <mergeCell ref="I37:I38"/>
    <mergeCell ref="J37:J38"/>
    <mergeCell ref="K37:K38"/>
    <mergeCell ref="L37:L38"/>
    <mergeCell ref="M37:M38"/>
    <mergeCell ref="B38:C38"/>
    <mergeCell ref="D38:G38"/>
    <mergeCell ref="M33:M34"/>
    <mergeCell ref="B34:C34"/>
    <mergeCell ref="D34:G34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J33:J34"/>
    <mergeCell ref="K33:K34"/>
    <mergeCell ref="L33:L34"/>
  </mergeCells>
  <phoneticPr fontId="36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CED03-B761-44CE-BFB3-EB5776340FC1}">
  <sheetPr>
    <tabColor rgb="FF00B050"/>
    <pageSetUpPr fitToPage="1"/>
  </sheetPr>
  <dimension ref="A1:N51"/>
  <sheetViews>
    <sheetView zoomScale="110" zoomScaleNormal="110" workbookViewId="0">
      <selection activeCell="R18" sqref="R1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28" t="s">
        <v>393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30"/>
    </row>
    <row r="2" spans="1:14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464</v>
      </c>
      <c r="I2" s="9" t="s">
        <v>71</v>
      </c>
      <c r="J2" s="9" t="s">
        <v>72</v>
      </c>
      <c r="K2" s="5" t="s">
        <v>73</v>
      </c>
      <c r="L2" s="9" t="s">
        <v>74</v>
      </c>
      <c r="M2" s="9" t="s">
        <v>169</v>
      </c>
      <c r="N2" s="7" t="s">
        <v>170</v>
      </c>
    </row>
    <row r="3" spans="1:14" s="1" customFormat="1" ht="14.1" customHeight="1">
      <c r="A3" s="169">
        <v>1</v>
      </c>
      <c r="B3" s="40" t="s">
        <v>136</v>
      </c>
      <c r="C3" s="41"/>
      <c r="D3" s="100" t="s">
        <v>135</v>
      </c>
      <c r="E3" s="101"/>
      <c r="F3" s="101"/>
      <c r="G3" s="102"/>
      <c r="H3" s="24">
        <f>SUM(I3)-3.4</f>
        <v>35.1</v>
      </c>
      <c r="I3" s="24">
        <f>SUM(J3)-3.4</f>
        <v>38.5</v>
      </c>
      <c r="J3" s="24">
        <f>SUM(K3)-3.4</f>
        <v>41.9</v>
      </c>
      <c r="K3" s="33">
        <v>45.3</v>
      </c>
      <c r="L3" s="24">
        <f>SUM(K3)+2.9</f>
        <v>48.199999999999996</v>
      </c>
      <c r="M3" s="24">
        <f>SUM(L3)+2.9</f>
        <v>51.099999999999994</v>
      </c>
      <c r="N3" s="109">
        <f>SUM(M3)+2.9</f>
        <v>53.999999999999993</v>
      </c>
    </row>
    <row r="4" spans="1:14" s="1" customFormat="1" ht="14.1" customHeight="1">
      <c r="A4" s="71"/>
      <c r="B4" s="56" t="s">
        <v>36</v>
      </c>
      <c r="C4" s="56"/>
      <c r="D4" s="47" t="s">
        <v>134</v>
      </c>
      <c r="E4" s="48"/>
      <c r="F4" s="48"/>
      <c r="G4" s="48"/>
      <c r="H4" s="36"/>
      <c r="I4" s="36"/>
      <c r="J4" s="36"/>
      <c r="K4" s="35"/>
      <c r="L4" s="36"/>
      <c r="M4" s="36"/>
      <c r="N4" s="37"/>
    </row>
    <row r="5" spans="1:14" s="1" customFormat="1" ht="14.1" customHeight="1">
      <c r="A5" s="38">
        <v>2</v>
      </c>
      <c r="B5" s="164" t="s">
        <v>101</v>
      </c>
      <c r="C5" s="165"/>
      <c r="D5" s="100" t="s">
        <v>102</v>
      </c>
      <c r="E5" s="101"/>
      <c r="F5" s="101"/>
      <c r="G5" s="102"/>
      <c r="H5" s="24">
        <f>SUM(I5)-4.5</f>
        <v>42.5</v>
      </c>
      <c r="I5" s="24">
        <f>SUM(J5)-4.5</f>
        <v>47</v>
      </c>
      <c r="J5" s="24">
        <f>SUM(K5)-4.5</f>
        <v>51.5</v>
      </c>
      <c r="K5" s="23">
        <v>56</v>
      </c>
      <c r="L5" s="21">
        <f>SUM(K5)+4.5</f>
        <v>60.5</v>
      </c>
      <c r="M5" s="21">
        <f>SUM(L5)+4.5</f>
        <v>65</v>
      </c>
      <c r="N5" s="22">
        <f>SUM(M5)+4.5</f>
        <v>69.5</v>
      </c>
    </row>
    <row r="6" spans="1:14" s="1" customFormat="1" ht="14.1" customHeight="1">
      <c r="A6" s="38"/>
      <c r="B6" s="45" t="s">
        <v>99</v>
      </c>
      <c r="C6" s="46"/>
      <c r="D6" s="47" t="s">
        <v>100</v>
      </c>
      <c r="E6" s="48"/>
      <c r="F6" s="48"/>
      <c r="G6" s="49"/>
      <c r="H6" s="36"/>
      <c r="I6" s="36"/>
      <c r="J6" s="36"/>
      <c r="K6" s="23"/>
      <c r="L6" s="21"/>
      <c r="M6" s="21"/>
      <c r="N6" s="22"/>
    </row>
    <row r="7" spans="1:14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SUM(I7)-2.5</f>
        <v>41.5</v>
      </c>
      <c r="I7" s="24">
        <f>SUM(J7)-2.5</f>
        <v>44</v>
      </c>
      <c r="J7" s="24">
        <f>SUM(K7)-2.5</f>
        <v>46.5</v>
      </c>
      <c r="K7" s="33">
        <v>49</v>
      </c>
      <c r="L7" s="24">
        <f>SUM(K7)+2.25</f>
        <v>51.25</v>
      </c>
      <c r="M7" s="24">
        <f>SUM(L7)+2.25</f>
        <v>53.5</v>
      </c>
      <c r="N7" s="26">
        <f>SUM(M7)+2.25</f>
        <v>55.75</v>
      </c>
    </row>
    <row r="8" spans="1:14" s="1" customFormat="1" ht="14.1" customHeight="1">
      <c r="A8" s="38"/>
      <c r="B8" s="56" t="s">
        <v>46</v>
      </c>
      <c r="C8" s="56"/>
      <c r="D8" s="47" t="s">
        <v>394</v>
      </c>
      <c r="E8" s="48"/>
      <c r="F8" s="48"/>
      <c r="G8" s="49"/>
      <c r="H8" s="36"/>
      <c r="I8" s="36"/>
      <c r="J8" s="36"/>
      <c r="K8" s="35"/>
      <c r="L8" s="36"/>
      <c r="M8" s="36"/>
      <c r="N8" s="37"/>
    </row>
    <row r="9" spans="1:14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SUM(I9)-2.25</f>
        <v>37.25</v>
      </c>
      <c r="I9" s="24">
        <f>SUM(J9)-2.25</f>
        <v>39.5</v>
      </c>
      <c r="J9" s="24">
        <f>SUM(K9)-2.25</f>
        <v>41.75</v>
      </c>
      <c r="K9" s="33">
        <v>44</v>
      </c>
      <c r="L9" s="24">
        <f>SUM(K9)+2</f>
        <v>46</v>
      </c>
      <c r="M9" s="24">
        <f>SUM(L9)+2</f>
        <v>48</v>
      </c>
      <c r="N9" s="26">
        <f>SUM(M9)+2</f>
        <v>50</v>
      </c>
    </row>
    <row r="10" spans="1:14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36"/>
      <c r="K10" s="35"/>
      <c r="L10" s="36"/>
      <c r="M10" s="36"/>
      <c r="N10" s="37"/>
    </row>
    <row r="11" spans="1:14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/>
      <c r="I11" s="24"/>
      <c r="J11" s="24"/>
      <c r="K11" s="23"/>
      <c r="L11" s="21"/>
      <c r="M11" s="21"/>
      <c r="N11" s="227"/>
    </row>
    <row r="12" spans="1:14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36"/>
      <c r="K12" s="23"/>
      <c r="L12" s="21"/>
      <c r="M12" s="21"/>
      <c r="N12" s="227"/>
    </row>
    <row r="13" spans="1:14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14.200000000000001</v>
      </c>
      <c r="I13" s="24">
        <f>SUM(J13)-0.6</f>
        <v>14.8</v>
      </c>
      <c r="J13" s="24">
        <f>SUM(K13)-0.6</f>
        <v>15.4</v>
      </c>
      <c r="K13" s="23">
        <v>16</v>
      </c>
      <c r="L13" s="21">
        <f>SUM(K13)+0.6</f>
        <v>16.600000000000001</v>
      </c>
      <c r="M13" s="21">
        <f>SUM(L13)+0.6</f>
        <v>17.200000000000003</v>
      </c>
      <c r="N13" s="22">
        <f>SUM(M13)+0.6</f>
        <v>17.800000000000004</v>
      </c>
    </row>
    <row r="14" spans="1:14" s="1" customFormat="1" ht="14.1" customHeight="1">
      <c r="A14" s="38"/>
      <c r="B14" s="56" t="s">
        <v>29</v>
      </c>
      <c r="C14" s="56"/>
      <c r="D14" s="47" t="s">
        <v>52</v>
      </c>
      <c r="E14" s="48"/>
      <c r="F14" s="48"/>
      <c r="G14" s="49"/>
      <c r="H14" s="36"/>
      <c r="I14" s="36"/>
      <c r="J14" s="36"/>
      <c r="K14" s="23"/>
      <c r="L14" s="21"/>
      <c r="M14" s="21"/>
      <c r="N14" s="22"/>
    </row>
    <row r="15" spans="1:14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6.1000000000000005</v>
      </c>
      <c r="I15" s="24">
        <f>SUM(J15)-0.3</f>
        <v>6.4</v>
      </c>
      <c r="J15" s="24">
        <f>SUM(K15)-0.3</f>
        <v>6.7</v>
      </c>
      <c r="K15" s="23">
        <v>7</v>
      </c>
      <c r="L15" s="21">
        <f>SUM(K15)+0.3</f>
        <v>7.3</v>
      </c>
      <c r="M15" s="21">
        <f>SUM(L15)+0.3</f>
        <v>7.6</v>
      </c>
      <c r="N15" s="227">
        <f>SUM(M15)+0.3</f>
        <v>7.8999999999999995</v>
      </c>
    </row>
    <row r="16" spans="1:14" s="1" customFormat="1" ht="14.1" customHeight="1">
      <c r="A16" s="38"/>
      <c r="B16" s="56" t="s">
        <v>30</v>
      </c>
      <c r="C16" s="56"/>
      <c r="D16" s="47" t="s">
        <v>53</v>
      </c>
      <c r="E16" s="48"/>
      <c r="F16" s="48"/>
      <c r="G16" s="49"/>
      <c r="H16" s="36"/>
      <c r="I16" s="36"/>
      <c r="J16" s="36"/>
      <c r="K16" s="23"/>
      <c r="L16" s="21"/>
      <c r="M16" s="21"/>
      <c r="N16" s="227"/>
    </row>
    <row r="17" spans="1:14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35.999999999999993</v>
      </c>
      <c r="I17" s="24">
        <f>SUM(J17)-1.6</f>
        <v>37.599999999999994</v>
      </c>
      <c r="J17" s="24">
        <f>SUM(K17)-1.6</f>
        <v>39.199999999999996</v>
      </c>
      <c r="K17" s="23">
        <v>40.799999999999997</v>
      </c>
      <c r="L17" s="21">
        <f>SUM(K17)+1.6</f>
        <v>42.4</v>
      </c>
      <c r="M17" s="21">
        <f>SUM(L17)+1.6</f>
        <v>44</v>
      </c>
      <c r="N17" s="227">
        <f>SUM(M17)+1.6</f>
        <v>45.6</v>
      </c>
    </row>
    <row r="18" spans="1:14" s="1" customFormat="1" ht="14.1" customHeight="1">
      <c r="A18" s="38"/>
      <c r="B18" s="56" t="s">
        <v>37</v>
      </c>
      <c r="C18" s="56"/>
      <c r="D18" s="47" t="s">
        <v>395</v>
      </c>
      <c r="E18" s="48"/>
      <c r="F18" s="48"/>
      <c r="G18" s="49"/>
      <c r="H18" s="36"/>
      <c r="I18" s="36"/>
      <c r="J18" s="36"/>
      <c r="K18" s="23"/>
      <c r="L18" s="21"/>
      <c r="M18" s="21"/>
      <c r="N18" s="227"/>
    </row>
    <row r="19" spans="1:14" s="1" customFormat="1" ht="14.1" customHeight="1">
      <c r="A19" s="38">
        <v>9</v>
      </c>
      <c r="B19" s="51" t="s">
        <v>89</v>
      </c>
      <c r="C19" s="52"/>
      <c r="D19" s="60" t="s">
        <v>128</v>
      </c>
      <c r="E19" s="60"/>
      <c r="F19" s="60"/>
      <c r="G19" s="60"/>
      <c r="H19" s="24">
        <f>SUM(I19)-0.2</f>
        <v>3.3999999999999995</v>
      </c>
      <c r="I19" s="24">
        <f>SUM(J19)-0.2</f>
        <v>3.5999999999999996</v>
      </c>
      <c r="J19" s="24">
        <f>SUM(K19)-0.2</f>
        <v>3.8</v>
      </c>
      <c r="K19" s="23">
        <v>4</v>
      </c>
      <c r="L19" s="21">
        <f>SUM(K19)+0.2</f>
        <v>4.2</v>
      </c>
      <c r="M19" s="21">
        <f>SUM(L19)+0.2</f>
        <v>4.4000000000000004</v>
      </c>
      <c r="N19" s="22">
        <f>SUM(M19)+0.2</f>
        <v>4.6000000000000005</v>
      </c>
    </row>
    <row r="20" spans="1:14" s="1" customFormat="1" ht="14.1" customHeight="1">
      <c r="A20" s="154"/>
      <c r="B20" s="141" t="s">
        <v>39</v>
      </c>
      <c r="C20" s="141"/>
      <c r="D20" s="100" t="s">
        <v>127</v>
      </c>
      <c r="E20" s="101"/>
      <c r="F20" s="101"/>
      <c r="G20" s="102"/>
      <c r="H20" s="50"/>
      <c r="I20" s="50"/>
      <c r="J20" s="50"/>
      <c r="K20" s="33"/>
      <c r="L20" s="24"/>
      <c r="M20" s="24"/>
      <c r="N20" s="26"/>
    </row>
    <row r="21" spans="1:14" s="1" customFormat="1" ht="14.1" customHeight="1">
      <c r="A21" s="38">
        <v>10</v>
      </c>
      <c r="B21" s="58" t="s">
        <v>4</v>
      </c>
      <c r="C21" s="58"/>
      <c r="D21" s="57" t="s">
        <v>5</v>
      </c>
      <c r="E21" s="57"/>
      <c r="F21" s="57"/>
      <c r="G21" s="57"/>
      <c r="H21" s="24"/>
      <c r="I21" s="24"/>
      <c r="J21" s="24"/>
      <c r="K21" s="23"/>
      <c r="L21" s="21"/>
      <c r="M21" s="21"/>
      <c r="N21" s="22"/>
    </row>
    <row r="22" spans="1:14" s="1" customFormat="1" ht="14.1" customHeight="1">
      <c r="A22" s="38"/>
      <c r="B22" s="56" t="s">
        <v>31</v>
      </c>
      <c r="C22" s="56"/>
      <c r="D22" s="47" t="s">
        <v>54</v>
      </c>
      <c r="E22" s="48"/>
      <c r="F22" s="48"/>
      <c r="G22" s="49"/>
      <c r="H22" s="36"/>
      <c r="I22" s="36"/>
      <c r="J22" s="36"/>
      <c r="K22" s="23"/>
      <c r="L22" s="21"/>
      <c r="M22" s="21"/>
      <c r="N22" s="22"/>
    </row>
    <row r="23" spans="1:14" s="1" customFormat="1" ht="14.1" customHeight="1">
      <c r="A23" s="38">
        <v>11</v>
      </c>
      <c r="B23" s="58" t="s">
        <v>6</v>
      </c>
      <c r="C23" s="58"/>
      <c r="D23" s="59" t="s">
        <v>7</v>
      </c>
      <c r="E23" s="60"/>
      <c r="F23" s="60"/>
      <c r="G23" s="61"/>
      <c r="H23" s="24">
        <f>SUM(I23)-1.6</f>
        <v>32.199999999999996</v>
      </c>
      <c r="I23" s="24">
        <f>SUM(J23)-1.6</f>
        <v>33.799999999999997</v>
      </c>
      <c r="J23" s="24">
        <f>SUM(K23)-1.6</f>
        <v>35.4</v>
      </c>
      <c r="K23" s="23">
        <v>37</v>
      </c>
      <c r="L23" s="21">
        <f>SUM(K23)+1.7</f>
        <v>38.700000000000003</v>
      </c>
      <c r="M23" s="21">
        <f>SUM(L23)+1.7</f>
        <v>40.400000000000006</v>
      </c>
      <c r="N23" s="22">
        <f>SUM(M23)+1.7</f>
        <v>42.100000000000009</v>
      </c>
    </row>
    <row r="24" spans="1:14" s="1" customFormat="1" ht="14.1" customHeight="1">
      <c r="A24" s="38"/>
      <c r="B24" s="56" t="s">
        <v>32</v>
      </c>
      <c r="C24" s="56"/>
      <c r="D24" s="47" t="s">
        <v>76</v>
      </c>
      <c r="E24" s="48"/>
      <c r="F24" s="48"/>
      <c r="G24" s="49"/>
      <c r="H24" s="36"/>
      <c r="I24" s="36"/>
      <c r="J24" s="36"/>
      <c r="K24" s="23"/>
      <c r="L24" s="21"/>
      <c r="M24" s="21"/>
      <c r="N24" s="22"/>
    </row>
    <row r="25" spans="1:14" s="1" customFormat="1" ht="14.1" customHeight="1">
      <c r="A25" s="38">
        <v>12</v>
      </c>
      <c r="B25" s="51" t="s">
        <v>230</v>
      </c>
      <c r="C25" s="52"/>
      <c r="D25" s="57"/>
      <c r="E25" s="57"/>
      <c r="F25" s="57"/>
      <c r="G25" s="57"/>
      <c r="H25" s="24">
        <f>SUM(I25)-0.6</f>
        <v>16.199999999999996</v>
      </c>
      <c r="I25" s="24">
        <f>SUM(J25)-0.6</f>
        <v>16.799999999999997</v>
      </c>
      <c r="J25" s="24">
        <f>SUM(K25)-0.6</f>
        <v>17.399999999999999</v>
      </c>
      <c r="K25" s="23">
        <v>18</v>
      </c>
      <c r="L25" s="21">
        <f>SUM(K25)+0.6</f>
        <v>18.600000000000001</v>
      </c>
      <c r="M25" s="21">
        <f>SUM(L25)+0.6</f>
        <v>19.200000000000003</v>
      </c>
      <c r="N25" s="22">
        <f>SUM(M25)+0.6</f>
        <v>19.800000000000004</v>
      </c>
    </row>
    <row r="26" spans="1:14" s="1" customFormat="1" ht="14.1" customHeight="1">
      <c r="A26" s="38"/>
      <c r="B26" s="56" t="s">
        <v>396</v>
      </c>
      <c r="C26" s="56"/>
      <c r="D26" s="47" t="s">
        <v>397</v>
      </c>
      <c r="E26" s="48"/>
      <c r="F26" s="48"/>
      <c r="G26" s="49"/>
      <c r="H26" s="36"/>
      <c r="I26" s="36"/>
      <c r="J26" s="36"/>
      <c r="K26" s="23"/>
      <c r="L26" s="21"/>
      <c r="M26" s="21"/>
      <c r="N26" s="22"/>
    </row>
    <row r="27" spans="1:14" s="1" customFormat="1" ht="14.1" customHeight="1">
      <c r="A27" s="38">
        <v>13</v>
      </c>
      <c r="B27" s="51" t="s">
        <v>398</v>
      </c>
      <c r="C27" s="52"/>
      <c r="D27" s="59"/>
      <c r="E27" s="60"/>
      <c r="F27" s="60"/>
      <c r="G27" s="61"/>
      <c r="H27" s="24">
        <f>SUM(I27)-0.5</f>
        <v>10</v>
      </c>
      <c r="I27" s="24">
        <f>SUM(J27)-0.5</f>
        <v>10.5</v>
      </c>
      <c r="J27" s="24">
        <f>SUM(K27)-0.5</f>
        <v>11</v>
      </c>
      <c r="K27" s="33">
        <v>11.5</v>
      </c>
      <c r="L27" s="24">
        <f>SUM(K27)+0.5</f>
        <v>12</v>
      </c>
      <c r="M27" s="24">
        <f>SUM(L27)+0.5</f>
        <v>12.5</v>
      </c>
      <c r="N27" s="26">
        <f>SUM(M27)+0.5</f>
        <v>13</v>
      </c>
    </row>
    <row r="28" spans="1:14" s="1" customFormat="1" ht="14.1" customHeight="1">
      <c r="A28" s="38"/>
      <c r="B28" s="62" t="s">
        <v>233</v>
      </c>
      <c r="C28" s="63"/>
      <c r="D28" s="64"/>
      <c r="E28" s="65"/>
      <c r="F28" s="65"/>
      <c r="G28" s="66"/>
      <c r="H28" s="36"/>
      <c r="I28" s="36"/>
      <c r="J28" s="36"/>
      <c r="K28" s="35"/>
      <c r="L28" s="36"/>
      <c r="M28" s="36"/>
      <c r="N28" s="37"/>
    </row>
    <row r="29" spans="1:14" ht="14.1" customHeight="1">
      <c r="A29" s="38">
        <v>14</v>
      </c>
      <c r="B29" s="51" t="s">
        <v>399</v>
      </c>
      <c r="C29" s="52"/>
      <c r="D29" s="59"/>
      <c r="E29" s="60"/>
      <c r="F29" s="60"/>
      <c r="G29" s="61"/>
      <c r="H29" s="24">
        <f>SUM(I29)-4.5</f>
        <v>75.5</v>
      </c>
      <c r="I29" s="24">
        <f>SUM(J29)-4.5</f>
        <v>80</v>
      </c>
      <c r="J29" s="24">
        <f>SUM(K29)-4.5</f>
        <v>84.5</v>
      </c>
      <c r="K29" s="33">
        <v>89</v>
      </c>
      <c r="L29" s="24">
        <f>SUM(K29)+4</f>
        <v>93</v>
      </c>
      <c r="M29" s="24">
        <f>SUM(L29)+4</f>
        <v>97</v>
      </c>
      <c r="N29" s="26">
        <f>SUM(M29)+4</f>
        <v>101</v>
      </c>
    </row>
    <row r="30" spans="1:14" ht="14.1" customHeight="1">
      <c r="A30" s="38"/>
      <c r="B30" s="62" t="s">
        <v>400</v>
      </c>
      <c r="C30" s="63"/>
      <c r="D30" s="64"/>
      <c r="E30" s="65"/>
      <c r="F30" s="65"/>
      <c r="G30" s="66"/>
      <c r="H30" s="36"/>
      <c r="I30" s="36"/>
      <c r="J30" s="36"/>
      <c r="K30" s="35"/>
      <c r="L30" s="36"/>
      <c r="M30" s="36"/>
      <c r="N30" s="37"/>
    </row>
    <row r="31" spans="1:14" ht="14.1" customHeight="1">
      <c r="A31" s="38">
        <v>15</v>
      </c>
      <c r="B31" s="51" t="s">
        <v>234</v>
      </c>
      <c r="C31" s="52"/>
      <c r="D31" s="57"/>
      <c r="E31" s="57"/>
      <c r="F31" s="57"/>
      <c r="G31" s="57"/>
      <c r="H31" s="24">
        <v>33.5</v>
      </c>
      <c r="I31" s="24">
        <v>37</v>
      </c>
      <c r="J31" s="24">
        <v>40</v>
      </c>
      <c r="K31" s="33">
        <v>43.5</v>
      </c>
      <c r="L31" s="24">
        <v>46.5</v>
      </c>
      <c r="M31" s="24">
        <v>49.5</v>
      </c>
      <c r="N31" s="26">
        <v>52.5</v>
      </c>
    </row>
    <row r="32" spans="1:14" ht="14.1" customHeight="1">
      <c r="A32" s="38"/>
      <c r="B32" s="45" t="s">
        <v>235</v>
      </c>
      <c r="C32" s="46"/>
      <c r="D32" s="47" t="s">
        <v>236</v>
      </c>
      <c r="E32" s="48"/>
      <c r="F32" s="48"/>
      <c r="G32" s="49"/>
      <c r="H32" s="36"/>
      <c r="I32" s="36"/>
      <c r="J32" s="36"/>
      <c r="K32" s="35"/>
      <c r="L32" s="36"/>
      <c r="M32" s="36"/>
      <c r="N32" s="37"/>
    </row>
    <row r="33" spans="1:14" ht="14.1" customHeight="1">
      <c r="A33" s="38">
        <v>16</v>
      </c>
      <c r="B33" s="51" t="s">
        <v>176</v>
      </c>
      <c r="C33" s="52"/>
      <c r="D33" s="53"/>
      <c r="E33" s="54"/>
      <c r="F33" s="54"/>
      <c r="G33" s="55"/>
      <c r="H33" s="24">
        <f>SUM(I33)-0.4</f>
        <v>4.7999999999999989</v>
      </c>
      <c r="I33" s="24">
        <f>SUM(J33)-0.4</f>
        <v>5.1999999999999993</v>
      </c>
      <c r="J33" s="24">
        <f>SUM(K33)-0.4</f>
        <v>5.6</v>
      </c>
      <c r="K33" s="33">
        <v>6</v>
      </c>
      <c r="L33" s="24">
        <f>SUM(K33)+0.4</f>
        <v>6.4</v>
      </c>
      <c r="M33" s="24">
        <f>SUM(L33)+0.4</f>
        <v>6.8000000000000007</v>
      </c>
      <c r="N33" s="26">
        <f>SUM(M33)+0.4</f>
        <v>7.2000000000000011</v>
      </c>
    </row>
    <row r="34" spans="1:14" ht="14.1" customHeight="1">
      <c r="A34" s="38"/>
      <c r="B34" s="45" t="s">
        <v>175</v>
      </c>
      <c r="C34" s="46"/>
      <c r="D34" s="47" t="s">
        <v>269</v>
      </c>
      <c r="E34" s="48"/>
      <c r="F34" s="48"/>
      <c r="G34" s="49"/>
      <c r="H34" s="36"/>
      <c r="I34" s="36"/>
      <c r="J34" s="36"/>
      <c r="K34" s="35"/>
      <c r="L34" s="36"/>
      <c r="M34" s="36"/>
      <c r="N34" s="37"/>
    </row>
    <row r="35" spans="1:14" ht="14.1" customHeight="1">
      <c r="A35" s="38">
        <v>17</v>
      </c>
      <c r="B35" s="40" t="s">
        <v>174</v>
      </c>
      <c r="C35" s="41"/>
      <c r="D35" s="42" t="s">
        <v>106</v>
      </c>
      <c r="E35" s="43"/>
      <c r="F35" s="43"/>
      <c r="G35" s="44"/>
      <c r="H35" s="24">
        <f>SUM(I35)-0.4</f>
        <v>3.7999999999999994</v>
      </c>
      <c r="I35" s="24">
        <f>SUM(J35)-0.4</f>
        <v>4.1999999999999993</v>
      </c>
      <c r="J35" s="24">
        <f>SUM(K35)-0.4</f>
        <v>4.5999999999999996</v>
      </c>
      <c r="K35" s="33">
        <v>5</v>
      </c>
      <c r="L35" s="24">
        <f>SUM(K35)+0.4</f>
        <v>5.4</v>
      </c>
      <c r="M35" s="24">
        <f>SUM(L35)+0.4</f>
        <v>5.8000000000000007</v>
      </c>
      <c r="N35" s="26">
        <f>SUM(M35)+0.4</f>
        <v>6.2000000000000011</v>
      </c>
    </row>
    <row r="36" spans="1:14" ht="14.1" customHeight="1">
      <c r="A36" s="38"/>
      <c r="B36" s="45" t="s">
        <v>173</v>
      </c>
      <c r="C36" s="46"/>
      <c r="D36" s="47" t="s">
        <v>105</v>
      </c>
      <c r="E36" s="48"/>
      <c r="F36" s="48"/>
      <c r="G36" s="49"/>
      <c r="H36" s="36"/>
      <c r="I36" s="36"/>
      <c r="J36" s="36"/>
      <c r="K36" s="35"/>
      <c r="L36" s="36"/>
      <c r="M36" s="36"/>
      <c r="N36" s="37"/>
    </row>
    <row r="37" spans="1:14" ht="14.1" customHeight="1">
      <c r="A37" s="71">
        <v>18</v>
      </c>
      <c r="B37" s="40"/>
      <c r="C37" s="41"/>
      <c r="D37" s="100"/>
      <c r="E37" s="101"/>
      <c r="F37" s="101"/>
      <c r="G37" s="102"/>
      <c r="H37" s="50"/>
      <c r="I37" s="50"/>
      <c r="J37" s="50"/>
      <c r="K37" s="117"/>
      <c r="L37" s="50"/>
      <c r="M37" s="50"/>
      <c r="N37" s="113"/>
    </row>
    <row r="38" spans="1:14" ht="14.1" customHeight="1" thickBot="1">
      <c r="A38" s="39"/>
      <c r="B38" s="104"/>
      <c r="C38" s="105"/>
      <c r="D38" s="106"/>
      <c r="E38" s="107"/>
      <c r="F38" s="107"/>
      <c r="G38" s="108"/>
      <c r="H38" s="25"/>
      <c r="I38" s="25"/>
      <c r="J38" s="25"/>
      <c r="K38" s="34"/>
      <c r="L38" s="25"/>
      <c r="M38" s="25"/>
      <c r="N38" s="27"/>
    </row>
    <row r="39" spans="1:14" ht="14.1" customHeight="1"/>
    <row r="40" spans="1:14" ht="14.1" customHeight="1"/>
    <row r="41" spans="1:14" ht="14.1" customHeight="1"/>
    <row r="42" spans="1:14" ht="14.1" customHeight="1"/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19">
    <mergeCell ref="L35:L36"/>
    <mergeCell ref="M35:M36"/>
    <mergeCell ref="N35:N36"/>
    <mergeCell ref="B36:C36"/>
    <mergeCell ref="D36:G36"/>
    <mergeCell ref="A35:A36"/>
    <mergeCell ref="B35:C35"/>
    <mergeCell ref="D35:G35"/>
    <mergeCell ref="I35:I36"/>
    <mergeCell ref="J35:J36"/>
    <mergeCell ref="K35:K36"/>
    <mergeCell ref="H35:H36"/>
    <mergeCell ref="L37:L38"/>
    <mergeCell ref="M37:M38"/>
    <mergeCell ref="N37:N38"/>
    <mergeCell ref="B38:C38"/>
    <mergeCell ref="D38:G38"/>
    <mergeCell ref="A37:A38"/>
    <mergeCell ref="B37:C37"/>
    <mergeCell ref="D37:G37"/>
    <mergeCell ref="I37:I38"/>
    <mergeCell ref="J37:J38"/>
    <mergeCell ref="K37:K38"/>
    <mergeCell ref="H37:H38"/>
    <mergeCell ref="M33:M34"/>
    <mergeCell ref="N33:N34"/>
    <mergeCell ref="B34:C34"/>
    <mergeCell ref="D34:G34"/>
    <mergeCell ref="A33:A34"/>
    <mergeCell ref="B33:C33"/>
    <mergeCell ref="D33:G33"/>
    <mergeCell ref="I33:I34"/>
    <mergeCell ref="J33:J34"/>
    <mergeCell ref="K33:K34"/>
    <mergeCell ref="H33:H34"/>
    <mergeCell ref="L33:L34"/>
    <mergeCell ref="L31:L32"/>
    <mergeCell ref="M31:M32"/>
    <mergeCell ref="N31:N32"/>
    <mergeCell ref="B32:C32"/>
    <mergeCell ref="D32:G32"/>
    <mergeCell ref="A31:A32"/>
    <mergeCell ref="B31:C31"/>
    <mergeCell ref="D31:G31"/>
    <mergeCell ref="I31:I32"/>
    <mergeCell ref="J31:J32"/>
    <mergeCell ref="K31:K32"/>
    <mergeCell ref="H31:H32"/>
    <mergeCell ref="L29:L30"/>
    <mergeCell ref="M29:M30"/>
    <mergeCell ref="N29:N30"/>
    <mergeCell ref="B30:C30"/>
    <mergeCell ref="D30:G30"/>
    <mergeCell ref="A29:A30"/>
    <mergeCell ref="B29:C29"/>
    <mergeCell ref="D29:G29"/>
    <mergeCell ref="I29:I30"/>
    <mergeCell ref="J29:J30"/>
    <mergeCell ref="K29:K30"/>
    <mergeCell ref="H29:H30"/>
    <mergeCell ref="L27:L28"/>
    <mergeCell ref="M27:M28"/>
    <mergeCell ref="N27:N28"/>
    <mergeCell ref="B28:C28"/>
    <mergeCell ref="D28:G28"/>
    <mergeCell ref="A27:A28"/>
    <mergeCell ref="B27:C27"/>
    <mergeCell ref="D27:G27"/>
    <mergeCell ref="I27:I28"/>
    <mergeCell ref="J27:J28"/>
    <mergeCell ref="K27:K28"/>
    <mergeCell ref="H27:H28"/>
    <mergeCell ref="L25:L26"/>
    <mergeCell ref="M25:M26"/>
    <mergeCell ref="N25:N26"/>
    <mergeCell ref="B26:C26"/>
    <mergeCell ref="D26:G26"/>
    <mergeCell ref="A25:A26"/>
    <mergeCell ref="B25:C25"/>
    <mergeCell ref="D25:G25"/>
    <mergeCell ref="I25:I26"/>
    <mergeCell ref="J25:J26"/>
    <mergeCell ref="K25:K26"/>
    <mergeCell ref="H25:H26"/>
    <mergeCell ref="L23:L24"/>
    <mergeCell ref="M23:M24"/>
    <mergeCell ref="N23:N24"/>
    <mergeCell ref="B24:C24"/>
    <mergeCell ref="D24:G24"/>
    <mergeCell ref="A23:A24"/>
    <mergeCell ref="B23:C23"/>
    <mergeCell ref="D23:G23"/>
    <mergeCell ref="I23:I24"/>
    <mergeCell ref="J23:J24"/>
    <mergeCell ref="K23:K24"/>
    <mergeCell ref="H23:H24"/>
    <mergeCell ref="L21:L22"/>
    <mergeCell ref="M21:M22"/>
    <mergeCell ref="N21:N22"/>
    <mergeCell ref="B22:C22"/>
    <mergeCell ref="D22:G22"/>
    <mergeCell ref="A21:A22"/>
    <mergeCell ref="B21:C21"/>
    <mergeCell ref="D21:G21"/>
    <mergeCell ref="I21:I22"/>
    <mergeCell ref="J21:J22"/>
    <mergeCell ref="K21:K22"/>
    <mergeCell ref="H21:H22"/>
    <mergeCell ref="L19:L20"/>
    <mergeCell ref="M19:M20"/>
    <mergeCell ref="N19:N20"/>
    <mergeCell ref="B20:C20"/>
    <mergeCell ref="D20:G20"/>
    <mergeCell ref="A19:A20"/>
    <mergeCell ref="B19:C19"/>
    <mergeCell ref="D19:G19"/>
    <mergeCell ref="I19:I20"/>
    <mergeCell ref="J19:J20"/>
    <mergeCell ref="K19:K20"/>
    <mergeCell ref="H19:H20"/>
    <mergeCell ref="L17:L18"/>
    <mergeCell ref="M17:M18"/>
    <mergeCell ref="N17:N18"/>
    <mergeCell ref="B18:C18"/>
    <mergeCell ref="D18:G18"/>
    <mergeCell ref="A17:A18"/>
    <mergeCell ref="B17:C17"/>
    <mergeCell ref="D17:G17"/>
    <mergeCell ref="I17:I18"/>
    <mergeCell ref="J17:J18"/>
    <mergeCell ref="K17:K18"/>
    <mergeCell ref="L15:L16"/>
    <mergeCell ref="M15:M16"/>
    <mergeCell ref="N15:N16"/>
    <mergeCell ref="B16:C16"/>
    <mergeCell ref="D16:G16"/>
    <mergeCell ref="A15:A16"/>
    <mergeCell ref="B15:C15"/>
    <mergeCell ref="D15:G15"/>
    <mergeCell ref="I15:I16"/>
    <mergeCell ref="J15:J16"/>
    <mergeCell ref="K15:K16"/>
    <mergeCell ref="L13:L14"/>
    <mergeCell ref="M13:M14"/>
    <mergeCell ref="N13:N14"/>
    <mergeCell ref="B14:C14"/>
    <mergeCell ref="D14:G14"/>
    <mergeCell ref="A13:A14"/>
    <mergeCell ref="B13:C13"/>
    <mergeCell ref="D13:G13"/>
    <mergeCell ref="I13:I14"/>
    <mergeCell ref="J13:J14"/>
    <mergeCell ref="K13:K14"/>
    <mergeCell ref="L11:L12"/>
    <mergeCell ref="M11:M12"/>
    <mergeCell ref="N11:N12"/>
    <mergeCell ref="B12:C12"/>
    <mergeCell ref="D12:G12"/>
    <mergeCell ref="A11:A12"/>
    <mergeCell ref="B11:C11"/>
    <mergeCell ref="D11:G11"/>
    <mergeCell ref="I11:I12"/>
    <mergeCell ref="J11:J12"/>
    <mergeCell ref="K11:K12"/>
    <mergeCell ref="L9:L10"/>
    <mergeCell ref="M9:M10"/>
    <mergeCell ref="N9:N10"/>
    <mergeCell ref="B10:C10"/>
    <mergeCell ref="D10:G10"/>
    <mergeCell ref="A9:A10"/>
    <mergeCell ref="B9:C9"/>
    <mergeCell ref="D9:G9"/>
    <mergeCell ref="I9:I10"/>
    <mergeCell ref="J9:J10"/>
    <mergeCell ref="K9:K10"/>
    <mergeCell ref="L7:L8"/>
    <mergeCell ref="M7:M8"/>
    <mergeCell ref="N7:N8"/>
    <mergeCell ref="B8:C8"/>
    <mergeCell ref="D8:G8"/>
    <mergeCell ref="A7:A8"/>
    <mergeCell ref="B7:C7"/>
    <mergeCell ref="D7:G7"/>
    <mergeCell ref="I7:I8"/>
    <mergeCell ref="J7:J8"/>
    <mergeCell ref="K7:K8"/>
    <mergeCell ref="N5:N6"/>
    <mergeCell ref="B6:C6"/>
    <mergeCell ref="D6:G6"/>
    <mergeCell ref="M3:M4"/>
    <mergeCell ref="N3:N4"/>
    <mergeCell ref="B4:C4"/>
    <mergeCell ref="D4:G4"/>
    <mergeCell ref="K3:K4"/>
    <mergeCell ref="L3:L4"/>
    <mergeCell ref="A1:N1"/>
    <mergeCell ref="H3:H4"/>
    <mergeCell ref="H5:H6"/>
    <mergeCell ref="H7:H8"/>
    <mergeCell ref="H9:H10"/>
    <mergeCell ref="H11:H12"/>
    <mergeCell ref="H13:H14"/>
    <mergeCell ref="H15:H16"/>
    <mergeCell ref="H17:H18"/>
    <mergeCell ref="A5:A6"/>
    <mergeCell ref="B5:C5"/>
    <mergeCell ref="D5:G5"/>
    <mergeCell ref="I5:I6"/>
    <mergeCell ref="J5:J6"/>
    <mergeCell ref="B2:C2"/>
    <mergeCell ref="D2:G2"/>
    <mergeCell ref="A3:A4"/>
    <mergeCell ref="B3:C3"/>
    <mergeCell ref="D3:G3"/>
    <mergeCell ref="I3:I4"/>
    <mergeCell ref="J3:J4"/>
    <mergeCell ref="K5:K6"/>
    <mergeCell ref="L5:L6"/>
    <mergeCell ref="M5:M6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9481A-AD2C-4C55-AB94-D13FEEB073AA}">
  <sheetPr>
    <tabColor rgb="FF00B050"/>
    <pageSetUpPr fitToPage="1"/>
  </sheetPr>
  <dimension ref="A1:N51"/>
  <sheetViews>
    <sheetView zoomScale="110" zoomScaleNormal="110" workbookViewId="0">
      <selection activeCell="P32" sqref="P3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28" t="s">
        <v>470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30"/>
    </row>
    <row r="2" spans="1:14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  <c r="N2" s="7" t="s">
        <v>229</v>
      </c>
    </row>
    <row r="3" spans="1:14" s="1" customFormat="1" ht="14.1" customHeight="1">
      <c r="A3" s="169">
        <v>1</v>
      </c>
      <c r="B3" s="40" t="s">
        <v>136</v>
      </c>
      <c r="C3" s="41"/>
      <c r="D3" s="100" t="s">
        <v>135</v>
      </c>
      <c r="E3" s="101"/>
      <c r="F3" s="101"/>
      <c r="G3" s="102"/>
      <c r="H3" s="24">
        <f>SUM(I3)-3.4</f>
        <v>38.200000000000003</v>
      </c>
      <c r="I3" s="24">
        <f>SUM(J3)-3.4</f>
        <v>41.6</v>
      </c>
      <c r="J3" s="33">
        <v>45</v>
      </c>
      <c r="K3" s="24">
        <f>SUM(J3)+2.9</f>
        <v>47.9</v>
      </c>
      <c r="L3" s="24">
        <f>SUM(K3)+2.9</f>
        <v>50.8</v>
      </c>
      <c r="M3" s="85">
        <f>SUM(L3)+2.9</f>
        <v>53.699999999999996</v>
      </c>
      <c r="N3" s="131">
        <f>SUM(M3)+2.9</f>
        <v>56.599999999999994</v>
      </c>
    </row>
    <row r="4" spans="1:14" s="1" customFormat="1" ht="14.1" customHeight="1">
      <c r="A4" s="71"/>
      <c r="B4" s="56" t="s">
        <v>36</v>
      </c>
      <c r="C4" s="56"/>
      <c r="D4" s="47" t="s">
        <v>134</v>
      </c>
      <c r="E4" s="48"/>
      <c r="F4" s="48"/>
      <c r="G4" s="48"/>
      <c r="H4" s="36"/>
      <c r="I4" s="36"/>
      <c r="J4" s="35"/>
      <c r="K4" s="36"/>
      <c r="L4" s="36"/>
      <c r="M4" s="36"/>
      <c r="N4" s="122"/>
    </row>
    <row r="5" spans="1:14" s="1" customFormat="1" ht="14.1" customHeight="1">
      <c r="A5" s="38">
        <v>2</v>
      </c>
      <c r="B5" s="164" t="s">
        <v>101</v>
      </c>
      <c r="C5" s="165"/>
      <c r="D5" s="100" t="s">
        <v>102</v>
      </c>
      <c r="E5" s="101"/>
      <c r="F5" s="101"/>
      <c r="G5" s="102"/>
      <c r="H5" s="24">
        <f>SUM(I5)-4.5</f>
        <v>46.5</v>
      </c>
      <c r="I5" s="24">
        <f>SUM(J5)-4.5</f>
        <v>51</v>
      </c>
      <c r="J5" s="23">
        <v>55.5</v>
      </c>
      <c r="K5" s="21">
        <f>SUM(J5)+4.5</f>
        <v>60</v>
      </c>
      <c r="L5" s="21">
        <f>SUM(K5)+4.5</f>
        <v>64.5</v>
      </c>
      <c r="M5" s="21">
        <f>SUM(L5)+4.5</f>
        <v>69</v>
      </c>
      <c r="N5" s="123">
        <f>SUM(M5)+4.5</f>
        <v>73.5</v>
      </c>
    </row>
    <row r="6" spans="1:14" s="1" customFormat="1" ht="14.1" customHeight="1">
      <c r="A6" s="38"/>
      <c r="B6" s="45" t="s">
        <v>99</v>
      </c>
      <c r="C6" s="46"/>
      <c r="D6" s="47" t="s">
        <v>100</v>
      </c>
      <c r="E6" s="48"/>
      <c r="F6" s="48"/>
      <c r="G6" s="49"/>
      <c r="H6" s="36"/>
      <c r="I6" s="36"/>
      <c r="J6" s="23"/>
      <c r="K6" s="21"/>
      <c r="L6" s="21"/>
      <c r="M6" s="21"/>
      <c r="N6" s="123"/>
    </row>
    <row r="7" spans="1:14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42.5</v>
      </c>
      <c r="I7" s="24">
        <f>SUM(J7)-2.25</f>
        <v>44.75</v>
      </c>
      <c r="J7" s="33">
        <v>47</v>
      </c>
      <c r="K7" s="24">
        <f>SUM(J7)+2</f>
        <v>49</v>
      </c>
      <c r="L7" s="24">
        <f>SUM(K7)+2</f>
        <v>51</v>
      </c>
      <c r="M7" s="24">
        <f>SUM(L7)+2</f>
        <v>53</v>
      </c>
      <c r="N7" s="121">
        <f>SUM(M7)+2</f>
        <v>55</v>
      </c>
    </row>
    <row r="8" spans="1:14" s="1" customFormat="1" ht="14.1" customHeight="1">
      <c r="A8" s="38"/>
      <c r="B8" s="56" t="s">
        <v>46</v>
      </c>
      <c r="C8" s="56"/>
      <c r="D8" s="47" t="s">
        <v>394</v>
      </c>
      <c r="E8" s="48"/>
      <c r="F8" s="48"/>
      <c r="G8" s="49"/>
      <c r="H8" s="36"/>
      <c r="I8" s="36"/>
      <c r="J8" s="35"/>
      <c r="K8" s="36"/>
      <c r="L8" s="36"/>
      <c r="M8" s="36"/>
      <c r="N8" s="122"/>
    </row>
    <row r="9" spans="1:14" s="1" customFormat="1" ht="14.1" customHeight="1">
      <c r="A9" s="38">
        <v>4</v>
      </c>
      <c r="B9" s="58" t="s">
        <v>227</v>
      </c>
      <c r="C9" s="58"/>
      <c r="D9" s="57"/>
      <c r="E9" s="57"/>
      <c r="F9" s="57"/>
      <c r="G9" s="57"/>
      <c r="H9" s="24">
        <f>SUM(I9)-3.5</f>
        <v>66</v>
      </c>
      <c r="I9" s="24">
        <f>SUM(J9)-3.5</f>
        <v>69.5</v>
      </c>
      <c r="J9" s="33">
        <v>73</v>
      </c>
      <c r="K9" s="24">
        <f>SUM(J9)+3.5</f>
        <v>76.5</v>
      </c>
      <c r="L9" s="24">
        <f>SUM(K9)+3.5</f>
        <v>80</v>
      </c>
      <c r="M9" s="24">
        <f>SUM(L9)+3.5</f>
        <v>83.5</v>
      </c>
      <c r="N9" s="121">
        <f>SUM(M9)+3.5</f>
        <v>87</v>
      </c>
    </row>
    <row r="10" spans="1:14" s="1" customFormat="1" ht="14.1" customHeight="1">
      <c r="A10" s="38"/>
      <c r="B10" s="56" t="s">
        <v>228</v>
      </c>
      <c r="C10" s="56"/>
      <c r="D10" s="47" t="s">
        <v>462</v>
      </c>
      <c r="E10" s="48"/>
      <c r="F10" s="48"/>
      <c r="G10" s="49"/>
      <c r="H10" s="36"/>
      <c r="I10" s="36"/>
      <c r="J10" s="35"/>
      <c r="K10" s="36"/>
      <c r="L10" s="36"/>
      <c r="M10" s="36"/>
      <c r="N10" s="122"/>
    </row>
    <row r="11" spans="1:14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/>
      <c r="I11" s="24"/>
      <c r="J11" s="23"/>
      <c r="K11" s="21"/>
      <c r="L11" s="21"/>
      <c r="M11" s="133"/>
      <c r="N11" s="228"/>
    </row>
    <row r="12" spans="1:14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133"/>
      <c r="N12" s="228"/>
    </row>
    <row r="13" spans="1:14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13</v>
      </c>
      <c r="I13" s="24">
        <f>SUM(J13)-0.6</f>
        <v>13.6</v>
      </c>
      <c r="J13" s="23">
        <v>14.2</v>
      </c>
      <c r="K13" s="21">
        <f>SUM(J13)+0.6</f>
        <v>14.799999999999999</v>
      </c>
      <c r="L13" s="21">
        <f>SUM(K13)+0.6</f>
        <v>15.399999999999999</v>
      </c>
      <c r="M13" s="21">
        <f>SUM(L13)+0.6</f>
        <v>15.999999999999998</v>
      </c>
      <c r="N13" s="123">
        <f>SUM(M13)+0.6</f>
        <v>16.599999999999998</v>
      </c>
    </row>
    <row r="14" spans="1:14" s="1" customFormat="1" ht="14.1" customHeight="1">
      <c r="A14" s="38"/>
      <c r="B14" s="56" t="s">
        <v>29</v>
      </c>
      <c r="C14" s="56"/>
      <c r="D14" s="47" t="s">
        <v>52</v>
      </c>
      <c r="E14" s="48"/>
      <c r="F14" s="48"/>
      <c r="G14" s="49"/>
      <c r="H14" s="36"/>
      <c r="I14" s="36"/>
      <c r="J14" s="23"/>
      <c r="K14" s="21"/>
      <c r="L14" s="21"/>
      <c r="M14" s="21"/>
      <c r="N14" s="123"/>
    </row>
    <row r="15" spans="1:14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6.5</v>
      </c>
      <c r="I15" s="24">
        <f>SUM(J15)-0.3</f>
        <v>6.8</v>
      </c>
      <c r="J15" s="23">
        <v>7.1</v>
      </c>
      <c r="K15" s="21">
        <f>SUM(J15)+0.3</f>
        <v>7.3999999999999995</v>
      </c>
      <c r="L15" s="21">
        <f>SUM(K15)+0.3</f>
        <v>7.6999999999999993</v>
      </c>
      <c r="M15" s="133">
        <f>SUM(L15)+0.3</f>
        <v>7.9999999999999991</v>
      </c>
      <c r="N15" s="228">
        <f>SUM(M15)+0.3</f>
        <v>8.2999999999999989</v>
      </c>
    </row>
    <row r="16" spans="1:14" s="1" customFormat="1" ht="14.1" customHeight="1">
      <c r="A16" s="38"/>
      <c r="B16" s="56" t="s">
        <v>30</v>
      </c>
      <c r="C16" s="56"/>
      <c r="D16" s="47" t="s">
        <v>53</v>
      </c>
      <c r="E16" s="48"/>
      <c r="F16" s="48"/>
      <c r="G16" s="49"/>
      <c r="H16" s="36"/>
      <c r="I16" s="36"/>
      <c r="J16" s="23"/>
      <c r="K16" s="21"/>
      <c r="L16" s="21"/>
      <c r="M16" s="133"/>
      <c r="N16" s="228"/>
    </row>
    <row r="17" spans="1:14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34</v>
      </c>
      <c r="I17" s="24">
        <f>SUM(J17)-1.6</f>
        <v>35.6</v>
      </c>
      <c r="J17" s="23">
        <v>37.200000000000003</v>
      </c>
      <c r="K17" s="21">
        <f>SUM(J17)+1.6</f>
        <v>38.800000000000004</v>
      </c>
      <c r="L17" s="21">
        <f>SUM(K17)+1.6</f>
        <v>40.400000000000006</v>
      </c>
      <c r="M17" s="133">
        <f>SUM(L17)+1.6</f>
        <v>42.000000000000007</v>
      </c>
      <c r="N17" s="228">
        <f>SUM(M17)+1.6</f>
        <v>43.600000000000009</v>
      </c>
    </row>
    <row r="18" spans="1:14" s="1" customFormat="1" ht="14.1" customHeight="1">
      <c r="A18" s="38"/>
      <c r="B18" s="56" t="s">
        <v>37</v>
      </c>
      <c r="C18" s="56"/>
      <c r="D18" s="47" t="s">
        <v>395</v>
      </c>
      <c r="E18" s="48"/>
      <c r="F18" s="48"/>
      <c r="G18" s="49"/>
      <c r="H18" s="36"/>
      <c r="I18" s="36"/>
      <c r="J18" s="23"/>
      <c r="K18" s="21"/>
      <c r="L18" s="21"/>
      <c r="M18" s="133"/>
      <c r="N18" s="228"/>
    </row>
    <row r="19" spans="1:14" s="1" customFormat="1" ht="14.1" customHeight="1">
      <c r="A19" s="38">
        <v>9</v>
      </c>
      <c r="B19" s="51" t="s">
        <v>89</v>
      </c>
      <c r="C19" s="52"/>
      <c r="D19" s="60" t="s">
        <v>128</v>
      </c>
      <c r="E19" s="60"/>
      <c r="F19" s="60"/>
      <c r="G19" s="60"/>
      <c r="H19" s="24">
        <f>SUM(I19)-0.2</f>
        <v>3.5999999999999996</v>
      </c>
      <c r="I19" s="24">
        <f>SUM(J19)-0.2</f>
        <v>3.8</v>
      </c>
      <c r="J19" s="23">
        <v>4</v>
      </c>
      <c r="K19" s="21">
        <f>SUM(J19)+0.2</f>
        <v>4.2</v>
      </c>
      <c r="L19" s="21">
        <f>SUM(K19)+0.2</f>
        <v>4.4000000000000004</v>
      </c>
      <c r="M19" s="21">
        <f>SUM(L19)+0.2</f>
        <v>4.6000000000000005</v>
      </c>
      <c r="N19" s="123">
        <f>SUM(M19)+0.2</f>
        <v>4.8000000000000007</v>
      </c>
    </row>
    <row r="20" spans="1:14" s="1" customFormat="1" ht="14.1" customHeight="1">
      <c r="A20" s="154"/>
      <c r="B20" s="141" t="s">
        <v>39</v>
      </c>
      <c r="C20" s="141"/>
      <c r="D20" s="100" t="s">
        <v>127</v>
      </c>
      <c r="E20" s="101"/>
      <c r="F20" s="101"/>
      <c r="G20" s="102"/>
      <c r="H20" s="50"/>
      <c r="I20" s="50"/>
      <c r="J20" s="33"/>
      <c r="K20" s="24"/>
      <c r="L20" s="24"/>
      <c r="M20" s="24"/>
      <c r="N20" s="121"/>
    </row>
    <row r="21" spans="1:14" s="1" customFormat="1" ht="14.1" customHeight="1">
      <c r="A21" s="38">
        <v>10</v>
      </c>
      <c r="B21" s="58" t="s">
        <v>4</v>
      </c>
      <c r="C21" s="58"/>
      <c r="D21" s="57" t="s">
        <v>5</v>
      </c>
      <c r="E21" s="57"/>
      <c r="F21" s="57"/>
      <c r="G21" s="57"/>
      <c r="H21" s="24"/>
      <c r="I21" s="24"/>
      <c r="J21" s="23"/>
      <c r="K21" s="21"/>
      <c r="L21" s="21"/>
      <c r="M21" s="21"/>
      <c r="N21" s="123"/>
    </row>
    <row r="22" spans="1:14" s="1" customFormat="1" ht="14.1" customHeight="1">
      <c r="A22" s="38"/>
      <c r="B22" s="56" t="s">
        <v>31</v>
      </c>
      <c r="C22" s="56"/>
      <c r="D22" s="47" t="s">
        <v>54</v>
      </c>
      <c r="E22" s="48"/>
      <c r="F22" s="48"/>
      <c r="G22" s="49"/>
      <c r="H22" s="36"/>
      <c r="I22" s="36"/>
      <c r="J22" s="23"/>
      <c r="K22" s="21"/>
      <c r="L22" s="21"/>
      <c r="M22" s="21"/>
      <c r="N22" s="123"/>
    </row>
    <row r="23" spans="1:14" s="1" customFormat="1" ht="14.1" customHeight="1">
      <c r="A23" s="38">
        <v>11</v>
      </c>
      <c r="B23" s="58" t="s">
        <v>6</v>
      </c>
      <c r="C23" s="58"/>
      <c r="D23" s="59" t="s">
        <v>7</v>
      </c>
      <c r="E23" s="60"/>
      <c r="F23" s="60"/>
      <c r="G23" s="61"/>
      <c r="H23" s="24">
        <f>SUM(I23)-1.7</f>
        <v>33.599999999999994</v>
      </c>
      <c r="I23" s="24">
        <f>SUM(J23)-1.7</f>
        <v>35.299999999999997</v>
      </c>
      <c r="J23" s="23">
        <v>37</v>
      </c>
      <c r="K23" s="21">
        <f>SUM(J23)+1.7</f>
        <v>38.700000000000003</v>
      </c>
      <c r="L23" s="21">
        <f>SUM(K23)+1.7</f>
        <v>40.400000000000006</v>
      </c>
      <c r="M23" s="21">
        <f>SUM(L23)+1.7</f>
        <v>42.100000000000009</v>
      </c>
      <c r="N23" s="123">
        <f>SUM(M23)+1.7</f>
        <v>43.800000000000011</v>
      </c>
    </row>
    <row r="24" spans="1:14" s="1" customFormat="1" ht="14.1" customHeight="1">
      <c r="A24" s="38"/>
      <c r="B24" s="56" t="s">
        <v>32</v>
      </c>
      <c r="C24" s="56"/>
      <c r="D24" s="47" t="s">
        <v>76</v>
      </c>
      <c r="E24" s="48"/>
      <c r="F24" s="48"/>
      <c r="G24" s="49"/>
      <c r="H24" s="36"/>
      <c r="I24" s="36"/>
      <c r="J24" s="23"/>
      <c r="K24" s="21"/>
      <c r="L24" s="21"/>
      <c r="M24" s="21"/>
      <c r="N24" s="123"/>
    </row>
    <row r="25" spans="1:14" s="1" customFormat="1" ht="14.1" customHeight="1">
      <c r="A25" s="38">
        <v>12</v>
      </c>
      <c r="B25" s="51" t="s">
        <v>230</v>
      </c>
      <c r="C25" s="52"/>
      <c r="D25" s="57"/>
      <c r="E25" s="57"/>
      <c r="F25" s="57"/>
      <c r="G25" s="57"/>
      <c r="H25" s="24">
        <f>SUM(I25)-0.6</f>
        <v>16.799999999999997</v>
      </c>
      <c r="I25" s="24">
        <f>SUM(J25)-0.6</f>
        <v>17.399999999999999</v>
      </c>
      <c r="J25" s="23">
        <v>18</v>
      </c>
      <c r="K25" s="21">
        <f>SUM(J25)+0.6</f>
        <v>18.600000000000001</v>
      </c>
      <c r="L25" s="21">
        <f>SUM(K25)+0.6</f>
        <v>19.200000000000003</v>
      </c>
      <c r="M25" s="21">
        <f>SUM(L25)+0.6</f>
        <v>19.800000000000004</v>
      </c>
      <c r="N25" s="123">
        <f>SUM(M25)+0.6</f>
        <v>20.400000000000006</v>
      </c>
    </row>
    <row r="26" spans="1:14" s="1" customFormat="1" ht="14.1" customHeight="1">
      <c r="A26" s="38"/>
      <c r="B26" s="56" t="s">
        <v>396</v>
      </c>
      <c r="C26" s="56"/>
      <c r="D26" s="47" t="s">
        <v>454</v>
      </c>
      <c r="E26" s="48"/>
      <c r="F26" s="48"/>
      <c r="G26" s="49"/>
      <c r="H26" s="36"/>
      <c r="I26" s="36"/>
      <c r="J26" s="23"/>
      <c r="K26" s="21"/>
      <c r="L26" s="21"/>
      <c r="M26" s="21"/>
      <c r="N26" s="123"/>
    </row>
    <row r="27" spans="1:14" s="1" customFormat="1" ht="14.1" customHeight="1">
      <c r="A27" s="38">
        <v>13</v>
      </c>
      <c r="B27" s="51" t="s">
        <v>455</v>
      </c>
      <c r="C27" s="52"/>
      <c r="D27" s="59"/>
      <c r="E27" s="60"/>
      <c r="F27" s="60"/>
      <c r="G27" s="61"/>
      <c r="H27" s="24">
        <f>SUM(I27)-0.5</f>
        <v>11</v>
      </c>
      <c r="I27" s="24">
        <f>SUM(J27)-0.5</f>
        <v>11.5</v>
      </c>
      <c r="J27" s="33">
        <v>12</v>
      </c>
      <c r="K27" s="24">
        <f>SUM(J27)+0.5</f>
        <v>12.5</v>
      </c>
      <c r="L27" s="24">
        <f>SUM(K27)+0.5</f>
        <v>13</v>
      </c>
      <c r="M27" s="24">
        <f>SUM(L27)+0.5</f>
        <v>13.5</v>
      </c>
      <c r="N27" s="121">
        <f>SUM(M27)+0.5</f>
        <v>14</v>
      </c>
    </row>
    <row r="28" spans="1:14" s="1" customFormat="1" ht="14.1" customHeight="1">
      <c r="A28" s="38"/>
      <c r="B28" s="45" t="s">
        <v>210</v>
      </c>
      <c r="C28" s="46"/>
      <c r="D28" s="64"/>
      <c r="E28" s="65"/>
      <c r="F28" s="65"/>
      <c r="G28" s="66"/>
      <c r="H28" s="36"/>
      <c r="I28" s="36"/>
      <c r="J28" s="35"/>
      <c r="K28" s="36"/>
      <c r="L28" s="36"/>
      <c r="M28" s="36"/>
      <c r="N28" s="122"/>
    </row>
    <row r="29" spans="1:14" ht="14.1" customHeight="1">
      <c r="A29" s="38">
        <v>14</v>
      </c>
      <c r="B29" s="51" t="s">
        <v>234</v>
      </c>
      <c r="C29" s="52"/>
      <c r="D29" s="57"/>
      <c r="E29" s="57"/>
      <c r="F29" s="57"/>
      <c r="G29" s="57"/>
      <c r="H29" s="24">
        <v>36.5</v>
      </c>
      <c r="I29" s="24">
        <v>40</v>
      </c>
      <c r="J29" s="33">
        <v>43</v>
      </c>
      <c r="K29" s="24">
        <v>46</v>
      </c>
      <c r="L29" s="24">
        <v>49</v>
      </c>
      <c r="M29" s="24">
        <v>52</v>
      </c>
      <c r="N29" s="121">
        <v>55</v>
      </c>
    </row>
    <row r="30" spans="1:14" ht="14.1" customHeight="1">
      <c r="A30" s="38"/>
      <c r="B30" s="45" t="s">
        <v>235</v>
      </c>
      <c r="C30" s="46"/>
      <c r="D30" s="47" t="s">
        <v>236</v>
      </c>
      <c r="E30" s="48"/>
      <c r="F30" s="48"/>
      <c r="G30" s="49"/>
      <c r="H30" s="36"/>
      <c r="I30" s="36"/>
      <c r="J30" s="35"/>
      <c r="K30" s="36"/>
      <c r="L30" s="36"/>
      <c r="M30" s="36"/>
      <c r="N30" s="122"/>
    </row>
    <row r="31" spans="1:14" ht="14.1" customHeight="1">
      <c r="A31" s="38">
        <v>15</v>
      </c>
      <c r="B31" s="51" t="s">
        <v>176</v>
      </c>
      <c r="C31" s="52"/>
      <c r="D31" s="53"/>
      <c r="E31" s="54"/>
      <c r="F31" s="54"/>
      <c r="G31" s="55"/>
      <c r="H31" s="24">
        <f>SUM(I31)-0.3</f>
        <v>5.8000000000000007</v>
      </c>
      <c r="I31" s="24">
        <f>SUM(J31)-0.3</f>
        <v>6.1000000000000005</v>
      </c>
      <c r="J31" s="33">
        <v>6.4</v>
      </c>
      <c r="K31" s="24">
        <f>SUM(J31)+0.3</f>
        <v>6.7</v>
      </c>
      <c r="L31" s="24">
        <f>SUM(K31)+0.3</f>
        <v>7</v>
      </c>
      <c r="M31" s="24">
        <f>SUM(L31)+0.3</f>
        <v>7.3</v>
      </c>
      <c r="N31" s="121">
        <f>SUM(M31)+0.3</f>
        <v>7.6</v>
      </c>
    </row>
    <row r="32" spans="1:14" ht="14.1" customHeight="1">
      <c r="A32" s="38"/>
      <c r="B32" s="45" t="s">
        <v>175</v>
      </c>
      <c r="C32" s="46"/>
      <c r="D32" s="47" t="s">
        <v>269</v>
      </c>
      <c r="E32" s="48"/>
      <c r="F32" s="48"/>
      <c r="G32" s="49"/>
      <c r="H32" s="36"/>
      <c r="I32" s="36"/>
      <c r="J32" s="35"/>
      <c r="K32" s="36"/>
      <c r="L32" s="36"/>
      <c r="M32" s="36"/>
      <c r="N32" s="122"/>
    </row>
    <row r="33" spans="1:14" ht="14.1" customHeight="1">
      <c r="A33" s="38">
        <v>16</v>
      </c>
      <c r="B33" s="40" t="s">
        <v>174</v>
      </c>
      <c r="C33" s="41"/>
      <c r="D33" s="42" t="s">
        <v>106</v>
      </c>
      <c r="E33" s="43"/>
      <c r="F33" s="43"/>
      <c r="G33" s="44"/>
      <c r="H33" s="24">
        <f>SUM(I33)-0.3</f>
        <v>3.4000000000000004</v>
      </c>
      <c r="I33" s="24">
        <f>SUM(J33)-0.3</f>
        <v>3.7</v>
      </c>
      <c r="J33" s="33">
        <v>4</v>
      </c>
      <c r="K33" s="24">
        <f>SUM(J33)+0.3</f>
        <v>4.3</v>
      </c>
      <c r="L33" s="24">
        <f>SUM(K33)+0.3</f>
        <v>4.5999999999999996</v>
      </c>
      <c r="M33" s="24">
        <f>SUM(L33)+0.3</f>
        <v>4.8999999999999995</v>
      </c>
      <c r="N33" s="121">
        <f>SUM(M33)+0.3</f>
        <v>5.1999999999999993</v>
      </c>
    </row>
    <row r="34" spans="1:14" ht="14.1" customHeight="1">
      <c r="A34" s="38"/>
      <c r="B34" s="45" t="s">
        <v>173</v>
      </c>
      <c r="C34" s="46"/>
      <c r="D34" s="47" t="s">
        <v>105</v>
      </c>
      <c r="E34" s="48"/>
      <c r="F34" s="48"/>
      <c r="G34" s="49"/>
      <c r="H34" s="36"/>
      <c r="I34" s="36"/>
      <c r="J34" s="35"/>
      <c r="K34" s="36"/>
      <c r="L34" s="36"/>
      <c r="M34" s="36"/>
      <c r="N34" s="122"/>
    </row>
    <row r="35" spans="1:14" ht="14.1" customHeight="1">
      <c r="A35" s="38">
        <v>17</v>
      </c>
      <c r="B35" s="40"/>
      <c r="C35" s="41"/>
      <c r="D35" s="42"/>
      <c r="E35" s="43"/>
      <c r="F35" s="43"/>
      <c r="G35" s="44"/>
      <c r="H35" s="24"/>
      <c r="I35" s="24"/>
      <c r="J35" s="33"/>
      <c r="K35" s="24"/>
      <c r="L35" s="24"/>
      <c r="M35" s="24"/>
      <c r="N35" s="121"/>
    </row>
    <row r="36" spans="1:14" ht="14.1" customHeight="1">
      <c r="A36" s="38"/>
      <c r="B36" s="45"/>
      <c r="C36" s="46"/>
      <c r="D36" s="47"/>
      <c r="E36" s="48"/>
      <c r="F36" s="48"/>
      <c r="G36" s="49"/>
      <c r="H36" s="36"/>
      <c r="I36" s="36"/>
      <c r="J36" s="35"/>
      <c r="K36" s="36"/>
      <c r="L36" s="36"/>
      <c r="M36" s="36"/>
      <c r="N36" s="122"/>
    </row>
    <row r="37" spans="1:14" ht="14.1" customHeight="1">
      <c r="A37" s="71">
        <v>18</v>
      </c>
      <c r="B37" s="40"/>
      <c r="C37" s="41"/>
      <c r="D37" s="100"/>
      <c r="E37" s="101"/>
      <c r="F37" s="101"/>
      <c r="G37" s="102"/>
      <c r="H37" s="50"/>
      <c r="I37" s="50"/>
      <c r="J37" s="117"/>
      <c r="K37" s="50"/>
      <c r="L37" s="50"/>
      <c r="M37" s="50"/>
      <c r="N37" s="127"/>
    </row>
    <row r="38" spans="1:14" ht="14.1" customHeight="1" thickBot="1">
      <c r="A38" s="39"/>
      <c r="B38" s="104"/>
      <c r="C38" s="105"/>
      <c r="D38" s="106"/>
      <c r="E38" s="107"/>
      <c r="F38" s="107"/>
      <c r="G38" s="108"/>
      <c r="H38" s="25"/>
      <c r="I38" s="25"/>
      <c r="J38" s="34"/>
      <c r="K38" s="25"/>
      <c r="L38" s="25"/>
      <c r="M38" s="25"/>
      <c r="N38" s="124"/>
    </row>
    <row r="39" spans="1:14" ht="14.1" customHeight="1"/>
    <row r="40" spans="1:14" ht="14.1" customHeight="1"/>
    <row r="41" spans="1:14" ht="14.1" customHeight="1"/>
    <row r="42" spans="1:14" ht="14.1" customHeight="1"/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19"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M33:M34"/>
    <mergeCell ref="B34:C34"/>
    <mergeCell ref="D34:G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3:J34"/>
    <mergeCell ref="K37:K38"/>
    <mergeCell ref="L37:L38"/>
    <mergeCell ref="M37:M38"/>
    <mergeCell ref="B38:C38"/>
    <mergeCell ref="D38:G38"/>
    <mergeCell ref="A1:N1"/>
    <mergeCell ref="N3:N4"/>
    <mergeCell ref="N5:N6"/>
    <mergeCell ref="N7:N8"/>
    <mergeCell ref="N9:N10"/>
    <mergeCell ref="A37:A38"/>
    <mergeCell ref="B37:C37"/>
    <mergeCell ref="D37:G37"/>
    <mergeCell ref="H37:H38"/>
    <mergeCell ref="I37:I38"/>
    <mergeCell ref="J37:J38"/>
    <mergeCell ref="J35:J36"/>
    <mergeCell ref="K35:K36"/>
    <mergeCell ref="L35:L36"/>
    <mergeCell ref="M35:M36"/>
    <mergeCell ref="B36:C36"/>
    <mergeCell ref="D36:G36"/>
    <mergeCell ref="K33:K34"/>
    <mergeCell ref="L33:L34"/>
    <mergeCell ref="N35:N36"/>
    <mergeCell ref="N37:N38"/>
    <mergeCell ref="N23:N24"/>
    <mergeCell ref="N25:N26"/>
    <mergeCell ref="N27:N28"/>
    <mergeCell ref="N29:N30"/>
    <mergeCell ref="N31:N32"/>
    <mergeCell ref="N33:N34"/>
    <mergeCell ref="N11:N12"/>
    <mergeCell ref="N13:N14"/>
    <mergeCell ref="N15:N16"/>
    <mergeCell ref="N17:N18"/>
    <mergeCell ref="N19:N20"/>
    <mergeCell ref="N21:N22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9866D-BF8E-43F0-866D-2BFF9173F82F}">
  <sheetPr>
    <tabColor rgb="FF00B050"/>
    <pageSetUpPr fitToPage="1"/>
  </sheetPr>
  <dimension ref="A1:N51"/>
  <sheetViews>
    <sheetView zoomScale="110" zoomScaleNormal="110" workbookViewId="0">
      <selection activeCell="B33" sqref="B33:C3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28" t="s">
        <v>557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30"/>
    </row>
    <row r="2" spans="1:14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  <c r="N2" s="7" t="s">
        <v>561</v>
      </c>
    </row>
    <row r="3" spans="1:14" s="1" customFormat="1" ht="14.1" customHeight="1">
      <c r="A3" s="169">
        <v>1</v>
      </c>
      <c r="B3" s="40" t="s">
        <v>136</v>
      </c>
      <c r="C3" s="41"/>
      <c r="D3" s="100" t="s">
        <v>135</v>
      </c>
      <c r="E3" s="101"/>
      <c r="F3" s="101"/>
      <c r="G3" s="102"/>
      <c r="H3" s="24">
        <f>SUM(I3)-3.4</f>
        <v>33.700000000000003</v>
      </c>
      <c r="I3" s="24">
        <f>SUM(J3)-3.4</f>
        <v>37.1</v>
      </c>
      <c r="J3" s="33">
        <v>40.5</v>
      </c>
      <c r="K3" s="24">
        <f>SUM(J3)+2.9</f>
        <v>43.4</v>
      </c>
      <c r="L3" s="24">
        <f>SUM(K3)+2.9</f>
        <v>46.3</v>
      </c>
      <c r="M3" s="135">
        <f>SUM(L3)+2.9</f>
        <v>49.199999999999996</v>
      </c>
      <c r="N3" s="109">
        <f>SUM(M3)+2.9</f>
        <v>52.099999999999994</v>
      </c>
    </row>
    <row r="4" spans="1:14" s="1" customFormat="1" ht="14.1" customHeight="1">
      <c r="A4" s="71"/>
      <c r="B4" s="56" t="s">
        <v>36</v>
      </c>
      <c r="C4" s="56"/>
      <c r="D4" s="47" t="s">
        <v>134</v>
      </c>
      <c r="E4" s="48"/>
      <c r="F4" s="48"/>
      <c r="G4" s="48"/>
      <c r="H4" s="36"/>
      <c r="I4" s="36"/>
      <c r="J4" s="35"/>
      <c r="K4" s="36"/>
      <c r="L4" s="36"/>
      <c r="M4" s="62"/>
      <c r="N4" s="37"/>
    </row>
    <row r="5" spans="1:14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SUM(I5)-2</f>
        <v>37.6</v>
      </c>
      <c r="I5" s="24">
        <f>SUM(J5)-2</f>
        <v>39.6</v>
      </c>
      <c r="J5" s="33">
        <v>41.6</v>
      </c>
      <c r="K5" s="24">
        <f>SUM(J5)+1.8</f>
        <v>43.4</v>
      </c>
      <c r="L5" s="24">
        <f>SUM(K5)+1.8</f>
        <v>45.199999999999996</v>
      </c>
      <c r="M5" s="134">
        <f>SUM(L5)+1.8</f>
        <v>46.999999999999993</v>
      </c>
      <c r="N5" s="26">
        <f>SUM(M5)+1.8</f>
        <v>48.79999999999999</v>
      </c>
    </row>
    <row r="6" spans="1:14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62"/>
      <c r="N6" s="37"/>
    </row>
    <row r="7" spans="1:14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39.5</v>
      </c>
      <c r="I7" s="24">
        <f>SUM(J7)-2.25</f>
        <v>41.75</v>
      </c>
      <c r="J7" s="33">
        <v>44</v>
      </c>
      <c r="K7" s="24">
        <f>SUM(J7)+2</f>
        <v>46</v>
      </c>
      <c r="L7" s="24">
        <f>SUM(K7)+2</f>
        <v>48</v>
      </c>
      <c r="M7" s="134">
        <f>SUM(L7)+2</f>
        <v>50</v>
      </c>
      <c r="N7" s="26">
        <f>SUM(M7)+2</f>
        <v>52</v>
      </c>
    </row>
    <row r="8" spans="1:14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62"/>
      <c r="N8" s="37"/>
    </row>
    <row r="9" spans="1:14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SUM(I9)-2.25</f>
        <v>39.5</v>
      </c>
      <c r="I9" s="24">
        <f>SUM(J9)-2.25</f>
        <v>41.75</v>
      </c>
      <c r="J9" s="33">
        <v>44</v>
      </c>
      <c r="K9" s="24">
        <f>SUM(J9)+2</f>
        <v>46</v>
      </c>
      <c r="L9" s="24">
        <f>SUM(K9)+2</f>
        <v>48</v>
      </c>
      <c r="M9" s="134">
        <f>SUM(L9)+2</f>
        <v>50</v>
      </c>
      <c r="N9" s="26">
        <f>SUM(M9)+2</f>
        <v>52</v>
      </c>
    </row>
    <row r="10" spans="1:14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62"/>
      <c r="N10" s="37"/>
    </row>
    <row r="11" spans="1:14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SUM(I11)-0.8</f>
        <v>16</v>
      </c>
      <c r="I11" s="24">
        <f>SUM(J11)-0.8</f>
        <v>16.8</v>
      </c>
      <c r="J11" s="23">
        <v>17.600000000000001</v>
      </c>
      <c r="K11" s="21">
        <f>SUM(J11)+0.8</f>
        <v>18.400000000000002</v>
      </c>
      <c r="L11" s="21">
        <f>SUM(K11)+0.8</f>
        <v>19.200000000000003</v>
      </c>
      <c r="M11" s="234">
        <f>SUM(L11)+0.8</f>
        <v>20.000000000000004</v>
      </c>
      <c r="N11" s="227">
        <f>SUM(M11)+0.8</f>
        <v>20.800000000000004</v>
      </c>
    </row>
    <row r="12" spans="1:14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34"/>
      <c r="N12" s="227"/>
    </row>
    <row r="13" spans="1:14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12.4</v>
      </c>
      <c r="I13" s="24">
        <f>SUM(J13)-0.6</f>
        <v>13</v>
      </c>
      <c r="J13" s="23">
        <v>13.6</v>
      </c>
      <c r="K13" s="21">
        <f>SUM(J13)+0.6</f>
        <v>14.2</v>
      </c>
      <c r="L13" s="21">
        <f>SUM(K13)+0.6</f>
        <v>14.799999999999999</v>
      </c>
      <c r="M13" s="153">
        <f>SUM(L13)+0.6</f>
        <v>15.399999999999999</v>
      </c>
      <c r="N13" s="22">
        <f>SUM(M13)+0.6</f>
        <v>15.999999999999998</v>
      </c>
    </row>
    <row r="14" spans="1:14" s="1" customFormat="1" ht="14.1" customHeight="1">
      <c r="A14" s="38"/>
      <c r="B14" s="56" t="s">
        <v>29</v>
      </c>
      <c r="C14" s="56"/>
      <c r="D14" s="47" t="s">
        <v>52</v>
      </c>
      <c r="E14" s="48"/>
      <c r="F14" s="48"/>
      <c r="G14" s="49"/>
      <c r="H14" s="36"/>
      <c r="I14" s="36"/>
      <c r="J14" s="23"/>
      <c r="K14" s="21"/>
      <c r="L14" s="21"/>
      <c r="M14" s="153"/>
      <c r="N14" s="22"/>
    </row>
    <row r="15" spans="1:14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6.6000000000000005</v>
      </c>
      <c r="I15" s="24">
        <f>SUM(J15)-0.3</f>
        <v>6.9</v>
      </c>
      <c r="J15" s="23">
        <v>7.2</v>
      </c>
      <c r="K15" s="21">
        <f>SUM(J15)+0.3</f>
        <v>7.5</v>
      </c>
      <c r="L15" s="21">
        <f>SUM(K15)+0.3</f>
        <v>7.8</v>
      </c>
      <c r="M15" s="234">
        <f>SUM(L15)+0.3</f>
        <v>8.1</v>
      </c>
      <c r="N15" s="227">
        <f>SUM(M15)+0.3</f>
        <v>8.4</v>
      </c>
    </row>
    <row r="16" spans="1:14" s="1" customFormat="1" ht="14.1" customHeight="1">
      <c r="A16" s="38"/>
      <c r="B16" s="56" t="s">
        <v>30</v>
      </c>
      <c r="C16" s="56"/>
      <c r="D16" s="47" t="s">
        <v>53</v>
      </c>
      <c r="E16" s="48"/>
      <c r="F16" s="48"/>
      <c r="G16" s="49"/>
      <c r="H16" s="36"/>
      <c r="I16" s="36"/>
      <c r="J16" s="23"/>
      <c r="K16" s="21"/>
      <c r="L16" s="21"/>
      <c r="M16" s="234"/>
      <c r="N16" s="227"/>
    </row>
    <row r="17" spans="1:14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34</v>
      </c>
      <c r="I17" s="24">
        <f>SUM(J17)-1.6</f>
        <v>35.6</v>
      </c>
      <c r="J17" s="23">
        <v>37.200000000000003</v>
      </c>
      <c r="K17" s="21">
        <f>SUM(J17)+1.6</f>
        <v>38.800000000000004</v>
      </c>
      <c r="L17" s="21">
        <f>SUM(K17)+1.6</f>
        <v>40.400000000000006</v>
      </c>
      <c r="M17" s="234">
        <f>SUM(L17)+1.6</f>
        <v>42.000000000000007</v>
      </c>
      <c r="N17" s="227">
        <f>SUM(M17)+1.6</f>
        <v>43.600000000000009</v>
      </c>
    </row>
    <row r="18" spans="1:14" s="1" customFormat="1" ht="14.1" customHeight="1">
      <c r="A18" s="38"/>
      <c r="B18" s="56" t="s">
        <v>37</v>
      </c>
      <c r="C18" s="56"/>
      <c r="D18" s="47" t="s">
        <v>107</v>
      </c>
      <c r="E18" s="48"/>
      <c r="F18" s="48"/>
      <c r="G18" s="49"/>
      <c r="H18" s="36"/>
      <c r="I18" s="36"/>
      <c r="J18" s="23"/>
      <c r="K18" s="21"/>
      <c r="L18" s="21"/>
      <c r="M18" s="234"/>
      <c r="N18" s="227"/>
    </row>
    <row r="19" spans="1:14" s="1" customFormat="1" ht="14.1" customHeight="1">
      <c r="A19" s="38">
        <v>9</v>
      </c>
      <c r="B19" s="51" t="s">
        <v>89</v>
      </c>
      <c r="C19" s="52"/>
      <c r="D19" s="60" t="s">
        <v>128</v>
      </c>
      <c r="E19" s="60"/>
      <c r="F19" s="60"/>
      <c r="G19" s="60"/>
      <c r="H19" s="24">
        <f>SUM(I19)-0.2</f>
        <v>6.8999999999999995</v>
      </c>
      <c r="I19" s="24">
        <f>SUM(J19)-0.2</f>
        <v>7.1</v>
      </c>
      <c r="J19" s="23">
        <v>7.3</v>
      </c>
      <c r="K19" s="21">
        <f>SUM(J19)+0.2</f>
        <v>7.5</v>
      </c>
      <c r="L19" s="21">
        <f>SUM(K19)+0.2</f>
        <v>7.7</v>
      </c>
      <c r="M19" s="153">
        <f>SUM(L19)+0.2</f>
        <v>7.9</v>
      </c>
      <c r="N19" s="22">
        <f>SUM(M19)+0.2</f>
        <v>8.1</v>
      </c>
    </row>
    <row r="20" spans="1:14" s="1" customFormat="1" ht="14.1" customHeight="1">
      <c r="A20" s="154"/>
      <c r="B20" s="141" t="s">
        <v>39</v>
      </c>
      <c r="C20" s="141"/>
      <c r="D20" s="100" t="s">
        <v>127</v>
      </c>
      <c r="E20" s="101"/>
      <c r="F20" s="101"/>
      <c r="G20" s="102"/>
      <c r="H20" s="50"/>
      <c r="I20" s="50"/>
      <c r="J20" s="33"/>
      <c r="K20" s="24"/>
      <c r="L20" s="24"/>
      <c r="M20" s="134"/>
      <c r="N20" s="26"/>
    </row>
    <row r="21" spans="1:14" s="1" customFormat="1" ht="14.1" customHeight="1">
      <c r="A21" s="38">
        <v>10</v>
      </c>
      <c r="B21" s="51" t="s">
        <v>558</v>
      </c>
      <c r="C21" s="52"/>
      <c r="D21" s="60"/>
      <c r="E21" s="60"/>
      <c r="F21" s="60"/>
      <c r="G21" s="60"/>
      <c r="H21" s="24">
        <f>SUM(I21)-0.2</f>
        <v>6.8999999999999995</v>
      </c>
      <c r="I21" s="24">
        <f>SUM(J21)-0.2</f>
        <v>7.1</v>
      </c>
      <c r="J21" s="23">
        <v>7.3</v>
      </c>
      <c r="K21" s="21">
        <f>SUM(J21)+0.2</f>
        <v>7.5</v>
      </c>
      <c r="L21" s="21">
        <f>SUM(K21)+0.2</f>
        <v>7.7</v>
      </c>
      <c r="M21" s="153">
        <f>SUM(L21)+0.2</f>
        <v>7.9</v>
      </c>
      <c r="N21" s="22">
        <f>SUM(M21)+0.2</f>
        <v>8.1</v>
      </c>
    </row>
    <row r="22" spans="1:14" s="1" customFormat="1" ht="14.1" customHeight="1">
      <c r="A22" s="154"/>
      <c r="B22" s="141" t="s">
        <v>559</v>
      </c>
      <c r="C22" s="141"/>
      <c r="D22" s="100"/>
      <c r="E22" s="101"/>
      <c r="F22" s="101"/>
      <c r="G22" s="102"/>
      <c r="H22" s="50"/>
      <c r="I22" s="50"/>
      <c r="J22" s="33"/>
      <c r="K22" s="24"/>
      <c r="L22" s="24"/>
      <c r="M22" s="134"/>
      <c r="N22" s="26"/>
    </row>
    <row r="23" spans="1:14" s="1" customFormat="1" ht="14.1" customHeight="1">
      <c r="A23" s="38">
        <v>11</v>
      </c>
      <c r="B23" s="58" t="s">
        <v>4</v>
      </c>
      <c r="C23" s="58"/>
      <c r="D23" s="57" t="s">
        <v>5</v>
      </c>
      <c r="E23" s="57"/>
      <c r="F23" s="57"/>
      <c r="G23" s="57"/>
      <c r="H23" s="24">
        <f>SUM(I23)-3.5</f>
        <v>27.700000000000003</v>
      </c>
      <c r="I23" s="24">
        <f>SUM(J23)-3.5</f>
        <v>31.200000000000003</v>
      </c>
      <c r="J23" s="23">
        <v>34.700000000000003</v>
      </c>
      <c r="K23" s="21">
        <f>SUM(J23)+3.6</f>
        <v>38.300000000000004</v>
      </c>
      <c r="L23" s="21">
        <f>SUM(K23)+3.6</f>
        <v>41.900000000000006</v>
      </c>
      <c r="M23" s="153">
        <f>SUM(L23)+3.6</f>
        <v>45.500000000000007</v>
      </c>
      <c r="N23" s="22">
        <f>SUM(M23)+3.6</f>
        <v>49.100000000000009</v>
      </c>
    </row>
    <row r="24" spans="1:14" s="1" customFormat="1" ht="14.1" customHeight="1">
      <c r="A24" s="38"/>
      <c r="B24" s="56" t="s">
        <v>31</v>
      </c>
      <c r="C24" s="56"/>
      <c r="D24" s="47" t="s">
        <v>54</v>
      </c>
      <c r="E24" s="48"/>
      <c r="F24" s="48"/>
      <c r="G24" s="49"/>
      <c r="H24" s="36"/>
      <c r="I24" s="36"/>
      <c r="J24" s="23"/>
      <c r="K24" s="21"/>
      <c r="L24" s="21"/>
      <c r="M24" s="153"/>
      <c r="N24" s="22"/>
    </row>
    <row r="25" spans="1:14" s="1" customFormat="1" ht="14.1" customHeight="1">
      <c r="A25" s="38">
        <v>12</v>
      </c>
      <c r="B25" s="58" t="s">
        <v>6</v>
      </c>
      <c r="C25" s="58"/>
      <c r="D25" s="59" t="s">
        <v>7</v>
      </c>
      <c r="E25" s="60"/>
      <c r="F25" s="60"/>
      <c r="G25" s="61"/>
      <c r="H25" s="24">
        <f>SUM(I25)-1.6</f>
        <v>32.199999999999996</v>
      </c>
      <c r="I25" s="24">
        <f>SUM(J25)-1.6</f>
        <v>33.799999999999997</v>
      </c>
      <c r="J25" s="23">
        <v>35.4</v>
      </c>
      <c r="K25" s="21">
        <f>SUM(J25)+1.6</f>
        <v>37</v>
      </c>
      <c r="L25" s="21">
        <f>SUM(K25)+1.6</f>
        <v>38.6</v>
      </c>
      <c r="M25" s="153">
        <f>SUM(L25)+1.6</f>
        <v>40.200000000000003</v>
      </c>
      <c r="N25" s="22">
        <f>SUM(M25)+1.6</f>
        <v>41.800000000000004</v>
      </c>
    </row>
    <row r="26" spans="1:14" s="1" customFormat="1" ht="14.1" customHeight="1">
      <c r="A26" s="38"/>
      <c r="B26" s="56" t="s">
        <v>32</v>
      </c>
      <c r="C26" s="56"/>
      <c r="D26" s="47" t="s">
        <v>76</v>
      </c>
      <c r="E26" s="48"/>
      <c r="F26" s="48"/>
      <c r="G26" s="49"/>
      <c r="H26" s="36"/>
      <c r="I26" s="36"/>
      <c r="J26" s="23"/>
      <c r="K26" s="21"/>
      <c r="L26" s="21"/>
      <c r="M26" s="153"/>
      <c r="N26" s="22"/>
    </row>
    <row r="27" spans="1:14" s="1" customFormat="1" ht="14.1" customHeight="1">
      <c r="A27" s="38">
        <v>13</v>
      </c>
      <c r="B27" s="51" t="s">
        <v>230</v>
      </c>
      <c r="C27" s="52"/>
      <c r="D27" s="57"/>
      <c r="E27" s="57"/>
      <c r="F27" s="57"/>
      <c r="G27" s="57"/>
      <c r="H27" s="24">
        <f>SUM(I27)-0.6</f>
        <v>18.799999999999997</v>
      </c>
      <c r="I27" s="24">
        <f>SUM(J27)-0.6</f>
        <v>19.399999999999999</v>
      </c>
      <c r="J27" s="23">
        <v>20</v>
      </c>
      <c r="K27" s="21">
        <f>SUM(J27)+0.6</f>
        <v>20.6</v>
      </c>
      <c r="L27" s="21">
        <f>SUM(K27)+0.6</f>
        <v>21.200000000000003</v>
      </c>
      <c r="M27" s="153">
        <f>SUM(L27)+0.6</f>
        <v>21.800000000000004</v>
      </c>
      <c r="N27" s="22">
        <f>SUM(M27)+0.6</f>
        <v>22.400000000000006</v>
      </c>
    </row>
    <row r="28" spans="1:14" s="1" customFormat="1" ht="14.1" customHeight="1">
      <c r="A28" s="38"/>
      <c r="B28" s="56" t="s">
        <v>231</v>
      </c>
      <c r="C28" s="56"/>
      <c r="D28" s="47" t="s">
        <v>397</v>
      </c>
      <c r="E28" s="48"/>
      <c r="F28" s="48"/>
      <c r="G28" s="49"/>
      <c r="H28" s="36"/>
      <c r="I28" s="36"/>
      <c r="J28" s="23"/>
      <c r="K28" s="21"/>
      <c r="L28" s="21"/>
      <c r="M28" s="153"/>
      <c r="N28" s="22"/>
    </row>
    <row r="29" spans="1:14" ht="14.1" customHeight="1">
      <c r="A29" s="38">
        <v>14</v>
      </c>
      <c r="B29" s="51" t="s">
        <v>455</v>
      </c>
      <c r="C29" s="52"/>
      <c r="D29" s="59"/>
      <c r="E29" s="60"/>
      <c r="F29" s="60"/>
      <c r="G29" s="61"/>
      <c r="H29" s="24">
        <f>SUM(I29)-0.6</f>
        <v>10.8</v>
      </c>
      <c r="I29" s="24">
        <f>SUM(J29)-0.6</f>
        <v>11.4</v>
      </c>
      <c r="J29" s="33">
        <v>12</v>
      </c>
      <c r="K29" s="24">
        <f>SUM(J29)+0.6</f>
        <v>12.6</v>
      </c>
      <c r="L29" s="24">
        <f>SUM(K29)+0.6</f>
        <v>13.2</v>
      </c>
      <c r="M29" s="134">
        <f>SUM(L29)+0.6</f>
        <v>13.799999999999999</v>
      </c>
      <c r="N29" s="26">
        <f>SUM(M29)+0.6</f>
        <v>14.399999999999999</v>
      </c>
    </row>
    <row r="30" spans="1:14" ht="14.1" customHeight="1">
      <c r="A30" s="38"/>
      <c r="B30" s="45" t="s">
        <v>210</v>
      </c>
      <c r="C30" s="46"/>
      <c r="D30" s="64"/>
      <c r="E30" s="65"/>
      <c r="F30" s="65"/>
      <c r="G30" s="66"/>
      <c r="H30" s="36"/>
      <c r="I30" s="36"/>
      <c r="J30" s="35"/>
      <c r="K30" s="36"/>
      <c r="L30" s="36"/>
      <c r="M30" s="62"/>
      <c r="N30" s="37"/>
    </row>
    <row r="31" spans="1:14" ht="14.1" customHeight="1">
      <c r="A31" s="38">
        <v>15</v>
      </c>
      <c r="B31" s="51" t="s">
        <v>234</v>
      </c>
      <c r="C31" s="52"/>
      <c r="D31" s="57"/>
      <c r="E31" s="57"/>
      <c r="F31" s="57"/>
      <c r="G31" s="57"/>
      <c r="H31" s="24">
        <v>28</v>
      </c>
      <c r="I31" s="24">
        <v>31</v>
      </c>
      <c r="J31" s="33">
        <v>34</v>
      </c>
      <c r="K31" s="24">
        <v>37</v>
      </c>
      <c r="L31" s="24">
        <v>39.5</v>
      </c>
      <c r="M31" s="134">
        <v>42.5</v>
      </c>
      <c r="N31" s="26">
        <v>43.5</v>
      </c>
    </row>
    <row r="32" spans="1:14" ht="14.1" customHeight="1">
      <c r="A32" s="38"/>
      <c r="B32" s="45" t="s">
        <v>235</v>
      </c>
      <c r="C32" s="46"/>
      <c r="D32" s="47" t="s">
        <v>236</v>
      </c>
      <c r="E32" s="48"/>
      <c r="F32" s="48"/>
      <c r="G32" s="49"/>
      <c r="H32" s="36"/>
      <c r="I32" s="36"/>
      <c r="J32" s="35"/>
      <c r="K32" s="36"/>
      <c r="L32" s="36"/>
      <c r="M32" s="62"/>
      <c r="N32" s="37"/>
    </row>
    <row r="33" spans="1:14" ht="14.1" customHeight="1">
      <c r="A33" s="38">
        <v>16</v>
      </c>
      <c r="B33" s="51" t="s">
        <v>432</v>
      </c>
      <c r="C33" s="52"/>
      <c r="D33" s="57"/>
      <c r="E33" s="57"/>
      <c r="F33" s="57"/>
      <c r="G33" s="57"/>
      <c r="H33" s="24">
        <f>SUM(I33)-4.5</f>
        <v>103</v>
      </c>
      <c r="I33" s="24">
        <f>SUM(J33)-4.5</f>
        <v>107.5</v>
      </c>
      <c r="J33" s="33">
        <v>112</v>
      </c>
      <c r="K33" s="24">
        <f>SUM(J33)+4</f>
        <v>116</v>
      </c>
      <c r="L33" s="24">
        <f>SUM(K33)+4</f>
        <v>120</v>
      </c>
      <c r="M33" s="134">
        <f>SUM(L33)+4</f>
        <v>124</v>
      </c>
      <c r="N33" s="26">
        <f>SUM(M33)+4</f>
        <v>128</v>
      </c>
    </row>
    <row r="34" spans="1:14" ht="14.1" customHeight="1">
      <c r="A34" s="38"/>
      <c r="B34" s="45" t="s">
        <v>433</v>
      </c>
      <c r="C34" s="46"/>
      <c r="D34" s="47"/>
      <c r="E34" s="48"/>
      <c r="F34" s="48"/>
      <c r="G34" s="49"/>
      <c r="H34" s="36"/>
      <c r="I34" s="36"/>
      <c r="J34" s="35"/>
      <c r="K34" s="36"/>
      <c r="L34" s="36"/>
      <c r="M34" s="62"/>
      <c r="N34" s="37"/>
    </row>
    <row r="35" spans="1:14" ht="14.1" customHeight="1">
      <c r="A35" s="38">
        <v>17</v>
      </c>
      <c r="B35" s="51"/>
      <c r="C35" s="52"/>
      <c r="D35" s="53"/>
      <c r="E35" s="54"/>
      <c r="F35" s="54"/>
      <c r="G35" s="55"/>
      <c r="H35" s="24"/>
      <c r="I35" s="24"/>
      <c r="J35" s="33"/>
      <c r="K35" s="24"/>
      <c r="L35" s="24"/>
      <c r="M35" s="134"/>
      <c r="N35" s="26"/>
    </row>
    <row r="36" spans="1:14" ht="14.1" customHeight="1">
      <c r="A36" s="38"/>
      <c r="B36" s="45"/>
      <c r="C36" s="46"/>
      <c r="D36" s="47"/>
      <c r="E36" s="48"/>
      <c r="F36" s="48"/>
      <c r="G36" s="49"/>
      <c r="H36" s="36"/>
      <c r="I36" s="36"/>
      <c r="J36" s="35"/>
      <c r="K36" s="36"/>
      <c r="L36" s="36"/>
      <c r="M36" s="62"/>
      <c r="N36" s="37"/>
    </row>
    <row r="37" spans="1:14" ht="14.1" customHeight="1">
      <c r="A37" s="38">
        <v>18</v>
      </c>
      <c r="B37" s="40"/>
      <c r="C37" s="41"/>
      <c r="D37" s="42"/>
      <c r="E37" s="43"/>
      <c r="F37" s="43"/>
      <c r="G37" s="44"/>
      <c r="H37" s="24"/>
      <c r="I37" s="24"/>
      <c r="J37" s="33"/>
      <c r="K37" s="24"/>
      <c r="L37" s="24"/>
      <c r="M37" s="134"/>
      <c r="N37" s="26"/>
    </row>
    <row r="38" spans="1:14" ht="14.1" customHeight="1">
      <c r="A38" s="38"/>
      <c r="B38" s="45"/>
      <c r="C38" s="46"/>
      <c r="D38" s="47"/>
      <c r="E38" s="48"/>
      <c r="F38" s="48"/>
      <c r="G38" s="49"/>
      <c r="H38" s="36"/>
      <c r="I38" s="36"/>
      <c r="J38" s="35"/>
      <c r="K38" s="36"/>
      <c r="L38" s="36"/>
      <c r="M38" s="62"/>
      <c r="N38" s="37"/>
    </row>
    <row r="39" spans="1:14" ht="14.1" customHeight="1">
      <c r="A39" s="71">
        <v>19</v>
      </c>
      <c r="B39" s="40"/>
      <c r="C39" s="41"/>
      <c r="D39" s="100"/>
      <c r="E39" s="101"/>
      <c r="F39" s="101"/>
      <c r="G39" s="102"/>
      <c r="H39" s="50"/>
      <c r="I39" s="50"/>
      <c r="J39" s="117"/>
      <c r="K39" s="50"/>
      <c r="L39" s="50"/>
      <c r="M39" s="93"/>
      <c r="N39" s="113"/>
    </row>
    <row r="40" spans="1:14" ht="14.1" customHeight="1" thickBot="1">
      <c r="A40" s="39"/>
      <c r="B40" s="104"/>
      <c r="C40" s="105"/>
      <c r="D40" s="106"/>
      <c r="E40" s="107"/>
      <c r="F40" s="107"/>
      <c r="G40" s="108"/>
      <c r="H40" s="25"/>
      <c r="I40" s="25"/>
      <c r="J40" s="34"/>
      <c r="K40" s="25"/>
      <c r="L40" s="25"/>
      <c r="M40" s="104"/>
      <c r="N40" s="27"/>
    </row>
    <row r="41" spans="1:14" ht="14.1" customHeight="1"/>
    <row r="42" spans="1:14" ht="14.1" customHeight="1"/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31"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9:J40"/>
    <mergeCell ref="L21:L22"/>
    <mergeCell ref="M21:M22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B22:C22"/>
    <mergeCell ref="D22:G22"/>
    <mergeCell ref="A21:A22"/>
    <mergeCell ref="B21:C21"/>
    <mergeCell ref="D21:G21"/>
    <mergeCell ref="H21:H22"/>
    <mergeCell ref="I21:I22"/>
    <mergeCell ref="J21:J22"/>
    <mergeCell ref="K21:K22"/>
    <mergeCell ref="A1:N1"/>
    <mergeCell ref="N3:N4"/>
    <mergeCell ref="N5:N6"/>
    <mergeCell ref="N7:N8"/>
    <mergeCell ref="N9:N10"/>
    <mergeCell ref="N11:N12"/>
    <mergeCell ref="N13:N14"/>
    <mergeCell ref="N15:N16"/>
    <mergeCell ref="N17:N18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N37:N38"/>
    <mergeCell ref="N39:N40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DF1CF-F19C-4CB0-B132-3E8E133E279E}">
  <sheetPr codeName="Sheet613">
    <tabColor rgb="FF00B050"/>
    <pageSetUpPr fitToPage="1"/>
  </sheetPr>
  <dimension ref="A1:N51"/>
  <sheetViews>
    <sheetView zoomScale="110" zoomScaleNormal="110" workbookViewId="0">
      <selection activeCell="I5" sqref="I5:I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28" t="s">
        <v>372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30"/>
    </row>
    <row r="2" spans="1:14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  <c r="N2" s="9" t="s">
        <v>229</v>
      </c>
    </row>
    <row r="3" spans="1:14" s="1" customFormat="1" ht="14.1" customHeight="1">
      <c r="A3" s="71">
        <v>1</v>
      </c>
      <c r="B3" s="72" t="s">
        <v>45</v>
      </c>
      <c r="C3" s="72"/>
      <c r="D3" s="73" t="s">
        <v>75</v>
      </c>
      <c r="E3" s="73"/>
      <c r="F3" s="73"/>
      <c r="G3" s="74"/>
      <c r="H3" s="24">
        <f>SUM(I3)-2.5</f>
        <v>28.5</v>
      </c>
      <c r="I3" s="24">
        <f>SUM(J3)-2.5</f>
        <v>31</v>
      </c>
      <c r="J3" s="75">
        <v>33.5</v>
      </c>
      <c r="K3" s="85">
        <f>SUM(J3)+2.5</f>
        <v>36</v>
      </c>
      <c r="L3" s="85">
        <f>SUM(K3)+2.5</f>
        <v>38.5</v>
      </c>
      <c r="M3" s="85">
        <f>SUM(L3)+2.5</f>
        <v>41</v>
      </c>
      <c r="N3" s="131">
        <f>SUM(M3)+2.5</f>
        <v>43.5</v>
      </c>
    </row>
    <row r="4" spans="1:14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36"/>
      <c r="L4" s="36"/>
      <c r="M4" s="36"/>
      <c r="N4" s="122"/>
    </row>
    <row r="5" spans="1:14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SUM(I5)-1</f>
        <v>15</v>
      </c>
      <c r="I5" s="24">
        <f>SUM(J5)-1</f>
        <v>16</v>
      </c>
      <c r="J5" s="33">
        <v>17</v>
      </c>
      <c r="K5" s="24">
        <f>SUM(J5)+1</f>
        <v>18</v>
      </c>
      <c r="L5" s="24">
        <f>SUM(K5)+1</f>
        <v>19</v>
      </c>
      <c r="M5" s="24">
        <f>SUM(L5)+1</f>
        <v>20</v>
      </c>
      <c r="N5" s="121">
        <f>SUM(M5)+1</f>
        <v>21</v>
      </c>
    </row>
    <row r="6" spans="1:14" s="1" customFormat="1" ht="14.1" customHeight="1">
      <c r="A6" s="38"/>
      <c r="B6" s="56" t="s">
        <v>26</v>
      </c>
      <c r="C6" s="56"/>
      <c r="D6" s="47" t="s">
        <v>777</v>
      </c>
      <c r="E6" s="48"/>
      <c r="F6" s="48"/>
      <c r="G6" s="49"/>
      <c r="H6" s="36"/>
      <c r="I6" s="36"/>
      <c r="J6" s="35"/>
      <c r="K6" s="36"/>
      <c r="L6" s="36"/>
      <c r="M6" s="36"/>
      <c r="N6" s="122"/>
    </row>
    <row r="7" spans="1:14" s="1" customFormat="1" ht="14.1" customHeight="1">
      <c r="A7" s="38">
        <v>3</v>
      </c>
      <c r="B7" s="58" t="s">
        <v>41</v>
      </c>
      <c r="C7" s="58"/>
      <c r="D7" s="57" t="s">
        <v>123</v>
      </c>
      <c r="E7" s="57"/>
      <c r="F7" s="57"/>
      <c r="G7" s="57"/>
      <c r="H7" s="24">
        <f>SUM(I7)-2</f>
        <v>31</v>
      </c>
      <c r="I7" s="24">
        <f>SUM(J7)-2</f>
        <v>33</v>
      </c>
      <c r="J7" s="33">
        <v>35</v>
      </c>
      <c r="K7" s="24">
        <f>SUM(J7)+2</f>
        <v>37</v>
      </c>
      <c r="L7" s="24">
        <f>SUM(K7)+2</f>
        <v>39</v>
      </c>
      <c r="M7" s="24">
        <f>SUM(L7)+2</f>
        <v>41</v>
      </c>
      <c r="N7" s="121">
        <f>SUM(M7)+2</f>
        <v>43</v>
      </c>
    </row>
    <row r="8" spans="1:14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36"/>
      <c r="N8" s="122"/>
    </row>
    <row r="9" spans="1:14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SUM(I9)-2</f>
        <v>28</v>
      </c>
      <c r="I9" s="24">
        <f>SUM(J9)-2</f>
        <v>30</v>
      </c>
      <c r="J9" s="33">
        <v>32</v>
      </c>
      <c r="K9" s="24">
        <f>SUM(J9)+2</f>
        <v>34</v>
      </c>
      <c r="L9" s="24">
        <f>SUM(K9)+2</f>
        <v>36</v>
      </c>
      <c r="M9" s="24">
        <f>SUM(L9)+2</f>
        <v>38</v>
      </c>
      <c r="N9" s="121">
        <f>SUM(M9)+2</f>
        <v>40</v>
      </c>
    </row>
    <row r="10" spans="1:14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6"/>
      <c r="N10" s="122"/>
    </row>
    <row r="11" spans="1:14" s="1" customFormat="1" ht="14.1" customHeight="1">
      <c r="A11" s="38">
        <v>5</v>
      </c>
      <c r="B11" s="58" t="s">
        <v>359</v>
      </c>
      <c r="C11" s="58"/>
      <c r="D11" s="57"/>
      <c r="E11" s="57"/>
      <c r="F11" s="57"/>
      <c r="G11" s="57"/>
      <c r="H11" s="24">
        <f>SUM(I11)-0</f>
        <v>5</v>
      </c>
      <c r="I11" s="24">
        <f>SUM(J11)-0</f>
        <v>5</v>
      </c>
      <c r="J11" s="33">
        <v>5</v>
      </c>
      <c r="K11" s="24">
        <f>SUM(J11)+0.5</f>
        <v>5.5</v>
      </c>
      <c r="L11" s="24">
        <f>SUM(K11)+0</f>
        <v>5.5</v>
      </c>
      <c r="M11" s="24">
        <f>SUM(L11)+0</f>
        <v>5.5</v>
      </c>
      <c r="N11" s="121">
        <f>SUM(M11)+0</f>
        <v>5.5</v>
      </c>
    </row>
    <row r="12" spans="1:14" s="1" customFormat="1" ht="14.1" customHeight="1">
      <c r="A12" s="38"/>
      <c r="B12" s="56" t="s">
        <v>360</v>
      </c>
      <c r="C12" s="56"/>
      <c r="D12" s="47"/>
      <c r="E12" s="48"/>
      <c r="F12" s="48"/>
      <c r="G12" s="49"/>
      <c r="H12" s="36"/>
      <c r="I12" s="36"/>
      <c r="J12" s="35"/>
      <c r="K12" s="36"/>
      <c r="L12" s="36"/>
      <c r="M12" s="36"/>
      <c r="N12" s="122"/>
    </row>
    <row r="13" spans="1:14" s="1" customFormat="1" ht="14.1" customHeight="1">
      <c r="A13" s="38">
        <v>6</v>
      </c>
      <c r="B13" s="58" t="s">
        <v>10</v>
      </c>
      <c r="C13" s="58"/>
      <c r="D13" s="57" t="s">
        <v>0</v>
      </c>
      <c r="E13" s="57"/>
      <c r="F13" s="57"/>
      <c r="G13" s="57"/>
      <c r="H13" s="24">
        <f>SUM(I13)-1</f>
        <v>18</v>
      </c>
      <c r="I13" s="24">
        <f>SUM(J13)-1</f>
        <v>19</v>
      </c>
      <c r="J13" s="23">
        <v>20</v>
      </c>
      <c r="K13" s="24">
        <f>SUM(J13)+1</f>
        <v>21</v>
      </c>
      <c r="L13" s="24">
        <f>SUM(K13)+1</f>
        <v>22</v>
      </c>
      <c r="M13" s="24">
        <f>SUM(L13)+1</f>
        <v>23</v>
      </c>
      <c r="N13" s="121">
        <f>SUM(M13)+1</f>
        <v>24</v>
      </c>
    </row>
    <row r="14" spans="1:14" s="1" customFormat="1" ht="14.1" customHeight="1">
      <c r="A14" s="38"/>
      <c r="B14" s="56" t="s">
        <v>28</v>
      </c>
      <c r="C14" s="56"/>
      <c r="D14" s="47" t="s">
        <v>775</v>
      </c>
      <c r="E14" s="48"/>
      <c r="F14" s="48"/>
      <c r="G14" s="49"/>
      <c r="H14" s="36"/>
      <c r="I14" s="36"/>
      <c r="J14" s="23"/>
      <c r="K14" s="36"/>
      <c r="L14" s="36"/>
      <c r="M14" s="36"/>
      <c r="N14" s="122"/>
    </row>
    <row r="15" spans="1:14" s="1" customFormat="1" ht="14.1" customHeight="1">
      <c r="A15" s="38">
        <v>7</v>
      </c>
      <c r="B15" s="58" t="s">
        <v>1</v>
      </c>
      <c r="C15" s="58"/>
      <c r="D15" s="57" t="s">
        <v>180</v>
      </c>
      <c r="E15" s="57"/>
      <c r="F15" s="57"/>
      <c r="G15" s="57"/>
      <c r="H15" s="24">
        <f>SUM(I15)-1</f>
        <v>15</v>
      </c>
      <c r="I15" s="24">
        <f>SUM(J15)-1</f>
        <v>16</v>
      </c>
      <c r="J15" s="23">
        <v>17</v>
      </c>
      <c r="K15" s="24">
        <f>SUM(J15)+1</f>
        <v>18</v>
      </c>
      <c r="L15" s="24">
        <f>SUM(K15)+1</f>
        <v>19</v>
      </c>
      <c r="M15" s="24">
        <f>SUM(L15)+1</f>
        <v>20</v>
      </c>
      <c r="N15" s="121">
        <f>SUM(M15)+1</f>
        <v>21</v>
      </c>
    </row>
    <row r="16" spans="1:14" s="1" customFormat="1" ht="14.1" customHeight="1">
      <c r="A16" s="38"/>
      <c r="B16" s="56" t="s">
        <v>29</v>
      </c>
      <c r="C16" s="56"/>
      <c r="D16" s="47" t="s">
        <v>776</v>
      </c>
      <c r="E16" s="48"/>
      <c r="F16" s="48"/>
      <c r="G16" s="49"/>
      <c r="H16" s="36"/>
      <c r="I16" s="36"/>
      <c r="J16" s="23"/>
      <c r="K16" s="36"/>
      <c r="L16" s="36"/>
      <c r="M16" s="36"/>
      <c r="N16" s="122"/>
    </row>
    <row r="17" spans="1:14" s="1" customFormat="1" ht="14.1" customHeight="1">
      <c r="A17" s="38">
        <v>8</v>
      </c>
      <c r="B17" s="58" t="s">
        <v>373</v>
      </c>
      <c r="C17" s="58"/>
      <c r="D17" s="57" t="s">
        <v>375</v>
      </c>
      <c r="E17" s="57"/>
      <c r="F17" s="57"/>
      <c r="G17" s="57"/>
      <c r="H17" s="24">
        <f>SUM(I17)-0.6</f>
        <v>8.8000000000000007</v>
      </c>
      <c r="I17" s="24">
        <f>SUM(J17)-0.6</f>
        <v>9.4</v>
      </c>
      <c r="J17" s="23">
        <v>10</v>
      </c>
      <c r="K17" s="24">
        <f>SUM(J17)+0.6</f>
        <v>10.6</v>
      </c>
      <c r="L17" s="24">
        <f>SUM(K17)+0.6</f>
        <v>11.2</v>
      </c>
      <c r="M17" s="24">
        <f>SUM(L17)+0.6</f>
        <v>11.799999999999999</v>
      </c>
      <c r="N17" s="121">
        <f>SUM(M17)+0.6</f>
        <v>12.399999999999999</v>
      </c>
    </row>
    <row r="18" spans="1:14" s="1" customFormat="1" ht="14.1" customHeight="1">
      <c r="A18" s="38"/>
      <c r="B18" s="56" t="s">
        <v>374</v>
      </c>
      <c r="C18" s="56"/>
      <c r="D18" s="47" t="s">
        <v>376</v>
      </c>
      <c r="E18" s="48"/>
      <c r="F18" s="48"/>
      <c r="G18" s="49"/>
      <c r="H18" s="36"/>
      <c r="I18" s="36"/>
      <c r="J18" s="23"/>
      <c r="K18" s="36"/>
      <c r="L18" s="36"/>
      <c r="M18" s="36"/>
      <c r="N18" s="122"/>
    </row>
    <row r="19" spans="1:14" s="1" customFormat="1" ht="14.1" customHeight="1">
      <c r="A19" s="38">
        <v>9</v>
      </c>
      <c r="B19" s="58" t="s">
        <v>2</v>
      </c>
      <c r="C19" s="58"/>
      <c r="D19" s="57" t="s">
        <v>3</v>
      </c>
      <c r="E19" s="57"/>
      <c r="F19" s="57"/>
      <c r="G19" s="57"/>
      <c r="H19" s="24">
        <f>SUM(I19)-0.6</f>
        <v>8.8000000000000007</v>
      </c>
      <c r="I19" s="24">
        <f>SUM(J19)-0.6</f>
        <v>9.4</v>
      </c>
      <c r="J19" s="23">
        <v>10</v>
      </c>
      <c r="K19" s="24">
        <f>SUM(J19)+0.6</f>
        <v>10.6</v>
      </c>
      <c r="L19" s="24">
        <f>SUM(K19)+0.6</f>
        <v>11.2</v>
      </c>
      <c r="M19" s="24">
        <f>SUM(L19)+0.6</f>
        <v>11.799999999999999</v>
      </c>
      <c r="N19" s="121">
        <f>SUM(M19)+0.6</f>
        <v>12.399999999999999</v>
      </c>
    </row>
    <row r="20" spans="1:14" s="1" customFormat="1" ht="14.1" customHeight="1">
      <c r="A20" s="38"/>
      <c r="B20" s="56" t="s">
        <v>30</v>
      </c>
      <c r="C20" s="56"/>
      <c r="D20" s="47" t="s">
        <v>53</v>
      </c>
      <c r="E20" s="48"/>
      <c r="F20" s="48"/>
      <c r="G20" s="49"/>
      <c r="H20" s="36"/>
      <c r="I20" s="36"/>
      <c r="J20" s="23"/>
      <c r="K20" s="36"/>
      <c r="L20" s="36"/>
      <c r="M20" s="36"/>
      <c r="N20" s="122"/>
    </row>
    <row r="21" spans="1:14" s="1" customFormat="1" ht="14.1" customHeight="1">
      <c r="A21" s="38">
        <v>9</v>
      </c>
      <c r="B21" s="51" t="s">
        <v>362</v>
      </c>
      <c r="C21" s="52"/>
      <c r="D21" s="59"/>
      <c r="E21" s="60"/>
      <c r="F21" s="60"/>
      <c r="G21" s="61"/>
      <c r="H21" s="24">
        <f>SUM(I21)</f>
        <v>1.8</v>
      </c>
      <c r="I21" s="24">
        <f>SUM(J21)</f>
        <v>1.8</v>
      </c>
      <c r="J21" s="33">
        <v>1.8</v>
      </c>
      <c r="K21" s="24">
        <f>SUM(J21)</f>
        <v>1.8</v>
      </c>
      <c r="L21" s="24">
        <f>SUM(K21)</f>
        <v>1.8</v>
      </c>
      <c r="M21" s="24">
        <f>SUM(L21)</f>
        <v>1.8</v>
      </c>
      <c r="N21" s="121">
        <f>SUM(M21)</f>
        <v>1.8</v>
      </c>
    </row>
    <row r="22" spans="1:14" s="1" customFormat="1" ht="14.1" customHeight="1">
      <c r="A22" s="38"/>
      <c r="B22" s="56" t="s">
        <v>363</v>
      </c>
      <c r="C22" s="56"/>
      <c r="D22" s="47"/>
      <c r="E22" s="48"/>
      <c r="F22" s="48"/>
      <c r="G22" s="49"/>
      <c r="H22" s="36"/>
      <c r="I22" s="36"/>
      <c r="J22" s="35"/>
      <c r="K22" s="36"/>
      <c r="L22" s="36"/>
      <c r="M22" s="36"/>
      <c r="N22" s="122"/>
    </row>
    <row r="23" spans="1:14" s="1" customFormat="1" ht="14.1" customHeight="1">
      <c r="A23" s="38">
        <v>10</v>
      </c>
      <c r="B23" s="51" t="s">
        <v>85</v>
      </c>
      <c r="C23" s="52"/>
      <c r="D23" s="59" t="s">
        <v>86</v>
      </c>
      <c r="E23" s="60"/>
      <c r="F23" s="60"/>
      <c r="G23" s="61"/>
      <c r="H23" s="50"/>
      <c r="I23" s="50"/>
      <c r="J23" s="35"/>
      <c r="K23" s="50"/>
      <c r="L23" s="50"/>
      <c r="M23" s="50"/>
      <c r="N23" s="127"/>
    </row>
    <row r="24" spans="1:14" s="1" customFormat="1" ht="14.1" customHeight="1">
      <c r="A24" s="38"/>
      <c r="B24" s="56" t="s">
        <v>37</v>
      </c>
      <c r="C24" s="56"/>
      <c r="D24" s="47" t="s">
        <v>64</v>
      </c>
      <c r="E24" s="48"/>
      <c r="F24" s="48"/>
      <c r="G24" s="49"/>
      <c r="H24" s="36"/>
      <c r="I24" s="36"/>
      <c r="J24" s="23"/>
      <c r="K24" s="36"/>
      <c r="L24" s="36"/>
      <c r="M24" s="36"/>
      <c r="N24" s="122"/>
    </row>
    <row r="25" spans="1:14" ht="14.1" customHeight="1">
      <c r="A25" s="38">
        <v>11</v>
      </c>
      <c r="B25" s="58" t="s">
        <v>4</v>
      </c>
      <c r="C25" s="58"/>
      <c r="D25" s="57" t="s">
        <v>5</v>
      </c>
      <c r="E25" s="57"/>
      <c r="F25" s="57"/>
      <c r="G25" s="57"/>
      <c r="H25" s="24"/>
      <c r="I25" s="24"/>
      <c r="J25" s="33"/>
      <c r="K25" s="24"/>
      <c r="L25" s="24"/>
      <c r="M25" s="24"/>
      <c r="N25" s="121"/>
    </row>
    <row r="26" spans="1:14" ht="14.1" customHeight="1">
      <c r="A26" s="38"/>
      <c r="B26" s="56" t="s">
        <v>31</v>
      </c>
      <c r="C26" s="56"/>
      <c r="D26" s="47" t="s">
        <v>54</v>
      </c>
      <c r="E26" s="48"/>
      <c r="F26" s="48"/>
      <c r="G26" s="49"/>
      <c r="H26" s="36"/>
      <c r="I26" s="36"/>
      <c r="J26" s="35"/>
      <c r="K26" s="36"/>
      <c r="L26" s="36"/>
      <c r="M26" s="36"/>
      <c r="N26" s="122"/>
    </row>
    <row r="27" spans="1:14" ht="14.1" customHeight="1">
      <c r="A27" s="38">
        <v>12</v>
      </c>
      <c r="B27" s="58" t="s">
        <v>6</v>
      </c>
      <c r="C27" s="58"/>
      <c r="D27" s="59" t="s">
        <v>7</v>
      </c>
      <c r="E27" s="60"/>
      <c r="F27" s="60"/>
      <c r="G27" s="61"/>
      <c r="H27" s="24"/>
      <c r="I27" s="24"/>
      <c r="J27" s="33"/>
      <c r="K27" s="24"/>
      <c r="L27" s="24"/>
      <c r="M27" s="24"/>
      <c r="N27" s="121"/>
    </row>
    <row r="28" spans="1:14" ht="14.1" customHeight="1">
      <c r="A28" s="38"/>
      <c r="B28" s="56" t="s">
        <v>32</v>
      </c>
      <c r="C28" s="56"/>
      <c r="D28" s="47" t="s">
        <v>76</v>
      </c>
      <c r="E28" s="48"/>
      <c r="F28" s="48"/>
      <c r="G28" s="49"/>
      <c r="H28" s="36"/>
      <c r="I28" s="36"/>
      <c r="J28" s="35"/>
      <c r="K28" s="36"/>
      <c r="L28" s="36"/>
      <c r="M28" s="36"/>
      <c r="N28" s="122"/>
    </row>
    <row r="29" spans="1:14" ht="14.1" customHeight="1">
      <c r="A29" s="38">
        <v>13</v>
      </c>
      <c r="B29" s="51" t="s">
        <v>122</v>
      </c>
      <c r="C29" s="52"/>
      <c r="D29" s="57" t="s">
        <v>78</v>
      </c>
      <c r="E29" s="57"/>
      <c r="F29" s="57"/>
      <c r="G29" s="57"/>
      <c r="H29" s="24"/>
      <c r="I29" s="24"/>
      <c r="J29" s="33"/>
      <c r="K29" s="24"/>
      <c r="L29" s="24"/>
      <c r="M29" s="24"/>
      <c r="N29" s="121"/>
    </row>
    <row r="30" spans="1:14" ht="14.1" customHeight="1">
      <c r="A30" s="154"/>
      <c r="B30" s="141" t="s">
        <v>33</v>
      </c>
      <c r="C30" s="141"/>
      <c r="D30" s="100" t="s">
        <v>79</v>
      </c>
      <c r="E30" s="101"/>
      <c r="F30" s="101"/>
      <c r="G30" s="102"/>
      <c r="H30" s="50"/>
      <c r="I30" s="50"/>
      <c r="J30" s="117"/>
      <c r="K30" s="50"/>
      <c r="L30" s="50"/>
      <c r="M30" s="50"/>
      <c r="N30" s="127"/>
    </row>
    <row r="31" spans="1:14" ht="14.1" customHeight="1">
      <c r="A31" s="38">
        <v>14</v>
      </c>
      <c r="B31" s="58" t="s">
        <v>377</v>
      </c>
      <c r="C31" s="58"/>
      <c r="D31" s="57"/>
      <c r="E31" s="57"/>
      <c r="F31" s="57"/>
      <c r="G31" s="57"/>
      <c r="H31" s="24">
        <f>SUM(I31)</f>
        <v>1.8</v>
      </c>
      <c r="I31" s="24">
        <f>SUM(J31)</f>
        <v>1.8</v>
      </c>
      <c r="J31" s="33">
        <v>1.8</v>
      </c>
      <c r="K31" s="24">
        <f>SUM(J31)</f>
        <v>1.8</v>
      </c>
      <c r="L31" s="24">
        <f>SUM(K31)</f>
        <v>1.8</v>
      </c>
      <c r="M31" s="24">
        <f>SUM(L31)</f>
        <v>1.8</v>
      </c>
      <c r="N31" s="121">
        <f>SUM(M31)</f>
        <v>1.8</v>
      </c>
    </row>
    <row r="32" spans="1:14" ht="14.1" customHeight="1">
      <c r="A32" s="154"/>
      <c r="B32" s="141" t="s">
        <v>378</v>
      </c>
      <c r="C32" s="141"/>
      <c r="D32" s="100"/>
      <c r="E32" s="101"/>
      <c r="F32" s="101"/>
      <c r="G32" s="102"/>
      <c r="H32" s="36"/>
      <c r="I32" s="36"/>
      <c r="J32" s="35"/>
      <c r="K32" s="36"/>
      <c r="L32" s="36"/>
      <c r="M32" s="36"/>
      <c r="N32" s="122"/>
    </row>
    <row r="33" spans="1:14" ht="14.1" customHeight="1">
      <c r="A33" s="38">
        <v>15</v>
      </c>
      <c r="B33" s="51" t="s">
        <v>365</v>
      </c>
      <c r="C33" s="52"/>
      <c r="D33" s="57"/>
      <c r="E33" s="57"/>
      <c r="F33" s="57"/>
      <c r="G33" s="57"/>
      <c r="H33" s="24">
        <f>SUM(I33)</f>
        <v>3</v>
      </c>
      <c r="I33" s="24">
        <f>SUM(J33)</f>
        <v>3</v>
      </c>
      <c r="J33" s="33">
        <v>3</v>
      </c>
      <c r="K33" s="24">
        <f>SUM(J33)</f>
        <v>3</v>
      </c>
      <c r="L33" s="24">
        <f>SUM(K33)</f>
        <v>3</v>
      </c>
      <c r="M33" s="24">
        <f>SUM(L33)</f>
        <v>3</v>
      </c>
      <c r="N33" s="121">
        <f>SUM(M33)</f>
        <v>3</v>
      </c>
    </row>
    <row r="34" spans="1:14" ht="14.1" customHeight="1">
      <c r="A34" s="38"/>
      <c r="B34" s="45" t="s">
        <v>366</v>
      </c>
      <c r="C34" s="46"/>
      <c r="D34" s="47"/>
      <c r="E34" s="48"/>
      <c r="F34" s="48"/>
      <c r="G34" s="49"/>
      <c r="H34" s="36"/>
      <c r="I34" s="36"/>
      <c r="J34" s="35"/>
      <c r="K34" s="36"/>
      <c r="L34" s="36"/>
      <c r="M34" s="36"/>
      <c r="N34" s="122"/>
    </row>
    <row r="35" spans="1:14" ht="14.1" customHeight="1">
      <c r="A35" s="71">
        <v>16</v>
      </c>
      <c r="B35" s="141"/>
      <c r="C35" s="141"/>
      <c r="D35" s="132"/>
      <c r="E35" s="132"/>
      <c r="F35" s="132"/>
      <c r="G35" s="132"/>
      <c r="H35" s="50"/>
      <c r="I35" s="50"/>
      <c r="J35" s="117"/>
      <c r="K35" s="50"/>
      <c r="L35" s="50"/>
      <c r="M35" s="50"/>
      <c r="N35" s="127"/>
    </row>
    <row r="36" spans="1:14" ht="14.1" customHeight="1" thickBot="1">
      <c r="A36" s="39"/>
      <c r="B36" s="110"/>
      <c r="C36" s="110"/>
      <c r="D36" s="30"/>
      <c r="E36" s="31"/>
      <c r="F36" s="31"/>
      <c r="G36" s="32"/>
      <c r="H36" s="25"/>
      <c r="I36" s="25"/>
      <c r="J36" s="34"/>
      <c r="K36" s="25"/>
      <c r="L36" s="25"/>
      <c r="M36" s="25"/>
      <c r="N36" s="124"/>
    </row>
    <row r="37" spans="1:14" ht="14.1" customHeight="1"/>
    <row r="38" spans="1:14" ht="14.1" customHeight="1"/>
    <row r="39" spans="1:14" ht="14.1" customHeight="1"/>
    <row r="40" spans="1:14" ht="14.1" customHeight="1"/>
    <row r="41" spans="1:14" ht="14.1" customHeight="1"/>
    <row r="42" spans="1:14" ht="14.1" customHeight="1"/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07">
    <mergeCell ref="L3:L4"/>
    <mergeCell ref="M3:M4"/>
    <mergeCell ref="N23:N24"/>
    <mergeCell ref="N25:N26"/>
    <mergeCell ref="N27:N28"/>
    <mergeCell ref="N29:N30"/>
    <mergeCell ref="N31:N32"/>
    <mergeCell ref="N33:N34"/>
    <mergeCell ref="N35:N36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B4:C4"/>
    <mergeCell ref="D4:G4"/>
    <mergeCell ref="A1:N1"/>
    <mergeCell ref="N3:N4"/>
    <mergeCell ref="A5:A6"/>
    <mergeCell ref="B5:C5"/>
    <mergeCell ref="D5:G5"/>
    <mergeCell ref="H5:H6"/>
    <mergeCell ref="I5:I6"/>
    <mergeCell ref="J5:J6"/>
    <mergeCell ref="K5:K6"/>
    <mergeCell ref="L5:L6"/>
    <mergeCell ref="M5:M6"/>
    <mergeCell ref="B6:C6"/>
    <mergeCell ref="D6:G6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A7:A8"/>
    <mergeCell ref="B7:C7"/>
    <mergeCell ref="D7:G7"/>
    <mergeCell ref="H7:H8"/>
    <mergeCell ref="I7:I8"/>
    <mergeCell ref="J7:J8"/>
    <mergeCell ref="K7:K8"/>
    <mergeCell ref="L7:L8"/>
    <mergeCell ref="M7:M8"/>
    <mergeCell ref="B8:C8"/>
    <mergeCell ref="D8:G8"/>
    <mergeCell ref="A9:A10"/>
    <mergeCell ref="B9:C9"/>
    <mergeCell ref="D9:G9"/>
    <mergeCell ref="H9:H10"/>
    <mergeCell ref="I9:I10"/>
    <mergeCell ref="J9:J10"/>
    <mergeCell ref="K9:K10"/>
    <mergeCell ref="L9:L10"/>
    <mergeCell ref="M9:M10"/>
    <mergeCell ref="B10:C10"/>
    <mergeCell ref="D10:G10"/>
    <mergeCell ref="A11:A12"/>
    <mergeCell ref="B11:C11"/>
    <mergeCell ref="D11:G11"/>
    <mergeCell ref="H11:H12"/>
    <mergeCell ref="I11:I12"/>
    <mergeCell ref="J11:J12"/>
    <mergeCell ref="K11:K12"/>
    <mergeCell ref="L11:L12"/>
    <mergeCell ref="M11:M12"/>
    <mergeCell ref="B12:C12"/>
    <mergeCell ref="D12:G12"/>
    <mergeCell ref="A13:A14"/>
    <mergeCell ref="B13:C13"/>
    <mergeCell ref="D13:G13"/>
    <mergeCell ref="H13:H14"/>
    <mergeCell ref="I13:I14"/>
    <mergeCell ref="J13:J14"/>
    <mergeCell ref="K13:K14"/>
    <mergeCell ref="L13:L14"/>
    <mergeCell ref="M13:M14"/>
    <mergeCell ref="B14:C14"/>
    <mergeCell ref="D14:G14"/>
    <mergeCell ref="A15:A16"/>
    <mergeCell ref="B15:C15"/>
    <mergeCell ref="D15:G15"/>
    <mergeCell ref="H15:H16"/>
    <mergeCell ref="I15:I16"/>
    <mergeCell ref="J15:J16"/>
    <mergeCell ref="K15:K16"/>
    <mergeCell ref="L15:L16"/>
    <mergeCell ref="M15:M16"/>
    <mergeCell ref="B16:C16"/>
    <mergeCell ref="D16:G16"/>
    <mergeCell ref="A17:A18"/>
    <mergeCell ref="B17:C17"/>
    <mergeCell ref="D17:G17"/>
    <mergeCell ref="H17:H18"/>
    <mergeCell ref="I17:I18"/>
    <mergeCell ref="J17:J18"/>
    <mergeCell ref="K17:K18"/>
    <mergeCell ref="L17:L18"/>
    <mergeCell ref="M17:M18"/>
    <mergeCell ref="B18:C18"/>
    <mergeCell ref="D18:G18"/>
    <mergeCell ref="A21:A22"/>
    <mergeCell ref="B21:C21"/>
    <mergeCell ref="D21:G21"/>
    <mergeCell ref="H21:H22"/>
    <mergeCell ref="I21:I22"/>
    <mergeCell ref="J21:J22"/>
    <mergeCell ref="K21:K22"/>
    <mergeCell ref="L21:L22"/>
    <mergeCell ref="M21:M22"/>
    <mergeCell ref="B22:C22"/>
    <mergeCell ref="D22:G22"/>
    <mergeCell ref="A23:A24"/>
    <mergeCell ref="B23:C23"/>
    <mergeCell ref="D23:G23"/>
    <mergeCell ref="H23:H24"/>
    <mergeCell ref="I23:I24"/>
    <mergeCell ref="J23:J24"/>
    <mergeCell ref="K23:K24"/>
    <mergeCell ref="L23:L24"/>
    <mergeCell ref="M23:M24"/>
    <mergeCell ref="B24:C24"/>
    <mergeCell ref="D24:G24"/>
    <mergeCell ref="A25:A26"/>
    <mergeCell ref="B25:C25"/>
    <mergeCell ref="D25:G25"/>
    <mergeCell ref="H25:H26"/>
    <mergeCell ref="I25:I26"/>
    <mergeCell ref="J25:J26"/>
    <mergeCell ref="K25:K26"/>
    <mergeCell ref="L25:L26"/>
    <mergeCell ref="M25:M26"/>
    <mergeCell ref="B26:C26"/>
    <mergeCell ref="D26:G26"/>
    <mergeCell ref="A27:A28"/>
    <mergeCell ref="B27:C27"/>
    <mergeCell ref="D27:G27"/>
    <mergeCell ref="H27:H28"/>
    <mergeCell ref="I27:I28"/>
    <mergeCell ref="J27:J28"/>
    <mergeCell ref="K27:K28"/>
    <mergeCell ref="L27:L28"/>
    <mergeCell ref="M27:M28"/>
    <mergeCell ref="B28:C28"/>
    <mergeCell ref="D28:G28"/>
    <mergeCell ref="A29:A30"/>
    <mergeCell ref="B29:C29"/>
    <mergeCell ref="D29:G29"/>
    <mergeCell ref="H29:H30"/>
    <mergeCell ref="I29:I30"/>
    <mergeCell ref="J29:J30"/>
    <mergeCell ref="K29:K30"/>
    <mergeCell ref="L29:L30"/>
    <mergeCell ref="M29:M30"/>
    <mergeCell ref="B30:C30"/>
    <mergeCell ref="D30:G30"/>
    <mergeCell ref="A31:A32"/>
    <mergeCell ref="B31:C31"/>
    <mergeCell ref="D31:G31"/>
    <mergeCell ref="H31:H32"/>
    <mergeCell ref="I31:I32"/>
    <mergeCell ref="J31:J32"/>
    <mergeCell ref="K31:K32"/>
    <mergeCell ref="L31:L32"/>
    <mergeCell ref="M31:M32"/>
    <mergeCell ref="B32:C32"/>
    <mergeCell ref="D32:G32"/>
    <mergeCell ref="A33:A34"/>
    <mergeCell ref="B33:C33"/>
    <mergeCell ref="D33:G33"/>
    <mergeCell ref="H33:H34"/>
    <mergeCell ref="I33:I34"/>
    <mergeCell ref="J33:J34"/>
    <mergeCell ref="K33:K34"/>
    <mergeCell ref="L33:L34"/>
    <mergeCell ref="M33:M34"/>
    <mergeCell ref="B34:C34"/>
    <mergeCell ref="D34:G34"/>
    <mergeCell ref="A35:A36"/>
    <mergeCell ref="B35:C35"/>
    <mergeCell ref="D35:G35"/>
    <mergeCell ref="H35:H36"/>
    <mergeCell ref="I35:I36"/>
    <mergeCell ref="J35:J36"/>
    <mergeCell ref="K35:K36"/>
    <mergeCell ref="L35:L36"/>
    <mergeCell ref="M35:M36"/>
    <mergeCell ref="B36:C36"/>
    <mergeCell ref="D36:G36"/>
    <mergeCell ref="A19:A20"/>
    <mergeCell ref="B19:C19"/>
    <mergeCell ref="D19:G19"/>
    <mergeCell ref="H19:H20"/>
    <mergeCell ref="I19:I20"/>
    <mergeCell ref="J19:J20"/>
    <mergeCell ref="K19:K20"/>
    <mergeCell ref="L19:L20"/>
    <mergeCell ref="M19:M20"/>
    <mergeCell ref="B20:C20"/>
    <mergeCell ref="D20:G20"/>
  </mergeCells>
  <phoneticPr fontId="36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213AB-7A32-42CD-AF77-EFDBA187AFEC}">
  <sheetPr codeName="Sheet611">
    <tabColor rgb="FF00B050"/>
    <pageSetUpPr fitToPage="1"/>
  </sheetPr>
  <dimension ref="A1:M51"/>
  <sheetViews>
    <sheetView topLeftCell="A7" zoomScale="110" zoomScaleNormal="110" workbookViewId="0">
      <selection activeCell="I7" sqref="I7:I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371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45</v>
      </c>
      <c r="C3" s="72"/>
      <c r="D3" s="73" t="s">
        <v>75</v>
      </c>
      <c r="E3" s="73"/>
      <c r="F3" s="73"/>
      <c r="G3" s="74"/>
      <c r="H3" s="24">
        <f>SUM(I3)-3</f>
        <v>33</v>
      </c>
      <c r="I3" s="24">
        <f>SUM(J3)-3</f>
        <v>36</v>
      </c>
      <c r="J3" s="75">
        <v>39</v>
      </c>
      <c r="K3" s="85">
        <f>SUM(J3)+3</f>
        <v>42</v>
      </c>
      <c r="L3" s="85">
        <f>SUM(K3)+3</f>
        <v>45</v>
      </c>
      <c r="M3" s="109">
        <f>SUM(L3)+3</f>
        <v>48</v>
      </c>
    </row>
    <row r="4" spans="1:13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36"/>
      <c r="L4" s="36"/>
      <c r="M4" s="37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SUM(I5)-1.4</f>
        <v>24.200000000000003</v>
      </c>
      <c r="I5" s="24">
        <f>SUM(J5)-1.4</f>
        <v>25.6</v>
      </c>
      <c r="J5" s="33">
        <v>27</v>
      </c>
      <c r="K5" s="24">
        <f>SUM(J5)+1.4</f>
        <v>28.4</v>
      </c>
      <c r="L5" s="24">
        <f>SUM(K5)+1.4</f>
        <v>29.799999999999997</v>
      </c>
      <c r="M5" s="26">
        <f>SUM(L5)+1.4</f>
        <v>31.199999999999996</v>
      </c>
    </row>
    <row r="6" spans="1:13" s="1" customFormat="1" ht="14.1" customHeight="1">
      <c r="A6" s="38"/>
      <c r="B6" s="56" t="s">
        <v>26</v>
      </c>
      <c r="C6" s="56"/>
      <c r="D6" s="47" t="s">
        <v>153</v>
      </c>
      <c r="E6" s="48"/>
      <c r="F6" s="48"/>
      <c r="G6" s="49"/>
      <c r="H6" s="36"/>
      <c r="I6" s="36"/>
      <c r="J6" s="35"/>
      <c r="K6" s="36"/>
      <c r="L6" s="36"/>
      <c r="M6" s="37"/>
    </row>
    <row r="7" spans="1:13" s="1" customFormat="1" ht="14.1" customHeight="1">
      <c r="A7" s="38">
        <v>3</v>
      </c>
      <c r="B7" s="58" t="s">
        <v>41</v>
      </c>
      <c r="C7" s="58"/>
      <c r="D7" s="57" t="s">
        <v>123</v>
      </c>
      <c r="E7" s="57"/>
      <c r="F7" s="57"/>
      <c r="G7" s="57"/>
      <c r="H7" s="24">
        <f>SUM(I7)-2</f>
        <v>35</v>
      </c>
      <c r="I7" s="24">
        <f>SUM(J7)-2</f>
        <v>37</v>
      </c>
      <c r="J7" s="33">
        <v>39</v>
      </c>
      <c r="K7" s="24">
        <f>SUM(J7)+2</f>
        <v>41</v>
      </c>
      <c r="L7" s="24">
        <f>SUM(K7)+2</f>
        <v>43</v>
      </c>
      <c r="M7" s="26">
        <f>SUM(L7)+2</f>
        <v>45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37"/>
    </row>
    <row r="9" spans="1:13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SUM(I9)-2</f>
        <v>28</v>
      </c>
      <c r="I9" s="24">
        <f>SUM(J9)-2</f>
        <v>30</v>
      </c>
      <c r="J9" s="33">
        <v>32</v>
      </c>
      <c r="K9" s="24">
        <f>SUM(J9)+2</f>
        <v>34</v>
      </c>
      <c r="L9" s="24">
        <f>SUM(K9)+2</f>
        <v>36</v>
      </c>
      <c r="M9" s="26">
        <f>SUM(L9)+2</f>
        <v>38</v>
      </c>
    </row>
    <row r="10" spans="1:13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7"/>
    </row>
    <row r="11" spans="1:13" s="1" customFormat="1" ht="14.1" customHeight="1">
      <c r="A11" s="38">
        <v>5</v>
      </c>
      <c r="B11" s="58" t="s">
        <v>359</v>
      </c>
      <c r="C11" s="58"/>
      <c r="D11" s="57"/>
      <c r="E11" s="57"/>
      <c r="F11" s="57"/>
      <c r="G11" s="57"/>
      <c r="H11" s="24">
        <f>SUM(I11)-0</f>
        <v>5.5</v>
      </c>
      <c r="I11" s="24">
        <f>SUM(J11)-0</f>
        <v>5.5</v>
      </c>
      <c r="J11" s="33">
        <v>5.5</v>
      </c>
      <c r="K11" s="24">
        <f>SUM(J11)+0.5</f>
        <v>6</v>
      </c>
      <c r="L11" s="24">
        <f>SUM(K11)+0</f>
        <v>6</v>
      </c>
      <c r="M11" s="26">
        <f>SUM(L11)+0</f>
        <v>6</v>
      </c>
    </row>
    <row r="12" spans="1:13" s="1" customFormat="1" ht="14.1" customHeight="1">
      <c r="A12" s="38"/>
      <c r="B12" s="56" t="s">
        <v>360</v>
      </c>
      <c r="C12" s="56"/>
      <c r="D12" s="47"/>
      <c r="E12" s="48"/>
      <c r="F12" s="48"/>
      <c r="G12" s="49"/>
      <c r="H12" s="36"/>
      <c r="I12" s="36"/>
      <c r="J12" s="35"/>
      <c r="K12" s="36"/>
      <c r="L12" s="36"/>
      <c r="M12" s="37"/>
    </row>
    <row r="13" spans="1:13" s="1" customFormat="1" ht="14.1" customHeight="1">
      <c r="A13" s="38">
        <v>6</v>
      </c>
      <c r="B13" s="58" t="s">
        <v>10</v>
      </c>
      <c r="C13" s="58"/>
      <c r="D13" s="57" t="s">
        <v>0</v>
      </c>
      <c r="E13" s="57"/>
      <c r="F13" s="57"/>
      <c r="G13" s="57"/>
      <c r="H13" s="24">
        <f>SUM(I13)-1</f>
        <v>16</v>
      </c>
      <c r="I13" s="24">
        <f>SUM(J13)-1</f>
        <v>17</v>
      </c>
      <c r="J13" s="23">
        <v>18</v>
      </c>
      <c r="K13" s="24">
        <f>SUM(J13)+1</f>
        <v>19</v>
      </c>
      <c r="L13" s="24">
        <f>SUM(K13)+1</f>
        <v>20</v>
      </c>
      <c r="M13" s="26">
        <f>SUM(L13)+1</f>
        <v>21</v>
      </c>
    </row>
    <row r="14" spans="1:13" s="1" customFormat="1" ht="14.1" customHeight="1">
      <c r="A14" s="38"/>
      <c r="B14" s="56" t="s">
        <v>28</v>
      </c>
      <c r="C14" s="56"/>
      <c r="D14" s="47" t="s">
        <v>51</v>
      </c>
      <c r="E14" s="48"/>
      <c r="F14" s="48"/>
      <c r="G14" s="49"/>
      <c r="H14" s="36"/>
      <c r="I14" s="36"/>
      <c r="J14" s="23"/>
      <c r="K14" s="36"/>
      <c r="L14" s="36"/>
      <c r="M14" s="37"/>
    </row>
    <row r="15" spans="1:13" s="1" customFormat="1" ht="14.1" customHeight="1">
      <c r="A15" s="38">
        <v>7</v>
      </c>
      <c r="B15" s="58" t="s">
        <v>1</v>
      </c>
      <c r="C15" s="58"/>
      <c r="D15" s="57" t="s">
        <v>180</v>
      </c>
      <c r="E15" s="57"/>
      <c r="F15" s="57"/>
      <c r="G15" s="57"/>
      <c r="H15" s="24">
        <f>SUM(I15)-0.6</f>
        <v>15</v>
      </c>
      <c r="I15" s="24">
        <f>SUM(J15)-0.6</f>
        <v>15.6</v>
      </c>
      <c r="J15" s="23">
        <v>16.2</v>
      </c>
      <c r="K15" s="24">
        <f>SUM(J15)+0.6</f>
        <v>16.8</v>
      </c>
      <c r="L15" s="24">
        <f>SUM(K15)+0.6</f>
        <v>17.400000000000002</v>
      </c>
      <c r="M15" s="26">
        <f>SUM(L15)+0.6</f>
        <v>18.000000000000004</v>
      </c>
    </row>
    <row r="16" spans="1:13" s="1" customFormat="1" ht="14.1" customHeight="1">
      <c r="A16" s="38"/>
      <c r="B16" s="56" t="s">
        <v>29</v>
      </c>
      <c r="C16" s="56"/>
      <c r="D16" s="47" t="s">
        <v>52</v>
      </c>
      <c r="E16" s="48"/>
      <c r="F16" s="48"/>
      <c r="G16" s="49"/>
      <c r="H16" s="36"/>
      <c r="I16" s="36"/>
      <c r="J16" s="23"/>
      <c r="K16" s="36"/>
      <c r="L16" s="36"/>
      <c r="M16" s="37"/>
    </row>
    <row r="17" spans="1:13" s="1" customFormat="1" ht="14.1" customHeight="1">
      <c r="A17" s="38">
        <v>8</v>
      </c>
      <c r="B17" s="58" t="s">
        <v>2</v>
      </c>
      <c r="C17" s="58"/>
      <c r="D17" s="57" t="s">
        <v>3</v>
      </c>
      <c r="E17" s="57"/>
      <c r="F17" s="57"/>
      <c r="G17" s="57"/>
      <c r="H17" s="24">
        <f>SUM(I17)-0.3</f>
        <v>6.9</v>
      </c>
      <c r="I17" s="24">
        <f>SUM(J17)-0.3</f>
        <v>7.2</v>
      </c>
      <c r="J17" s="23">
        <v>7.5</v>
      </c>
      <c r="K17" s="24">
        <f>SUM(J17)+0.3</f>
        <v>7.8</v>
      </c>
      <c r="L17" s="24">
        <f>SUM(K17)+0.3</f>
        <v>8.1</v>
      </c>
      <c r="M17" s="26">
        <f>SUM(L17)+0.3</f>
        <v>8.4</v>
      </c>
    </row>
    <row r="18" spans="1:13" s="1" customFormat="1" ht="14.1" customHeight="1">
      <c r="A18" s="38"/>
      <c r="B18" s="56" t="s">
        <v>30</v>
      </c>
      <c r="C18" s="56"/>
      <c r="D18" s="47" t="s">
        <v>53</v>
      </c>
      <c r="E18" s="48"/>
      <c r="F18" s="48"/>
      <c r="G18" s="49"/>
      <c r="H18" s="36"/>
      <c r="I18" s="36"/>
      <c r="J18" s="23"/>
      <c r="K18" s="36"/>
      <c r="L18" s="36"/>
      <c r="M18" s="37"/>
    </row>
    <row r="19" spans="1:13" s="1" customFormat="1" ht="14.1" customHeight="1">
      <c r="A19" s="38">
        <v>9</v>
      </c>
      <c r="B19" s="51" t="s">
        <v>362</v>
      </c>
      <c r="C19" s="52"/>
      <c r="D19" s="59"/>
      <c r="E19" s="60"/>
      <c r="F19" s="60"/>
      <c r="G19" s="61"/>
      <c r="H19" s="24">
        <f>SUM(I19)</f>
        <v>2.5</v>
      </c>
      <c r="I19" s="24">
        <f>SUM(J19)</f>
        <v>2.5</v>
      </c>
      <c r="J19" s="33">
        <v>2.5</v>
      </c>
      <c r="K19" s="24">
        <f>SUM(J19)</f>
        <v>2.5</v>
      </c>
      <c r="L19" s="24">
        <f>SUM(K19)</f>
        <v>2.5</v>
      </c>
      <c r="M19" s="26">
        <f>SUM(L19)</f>
        <v>2.5</v>
      </c>
    </row>
    <row r="20" spans="1:13" s="1" customFormat="1" ht="14.1" customHeight="1">
      <c r="A20" s="38"/>
      <c r="B20" s="56" t="s">
        <v>363</v>
      </c>
      <c r="C20" s="56"/>
      <c r="D20" s="47"/>
      <c r="E20" s="48"/>
      <c r="F20" s="48"/>
      <c r="G20" s="49"/>
      <c r="H20" s="36"/>
      <c r="I20" s="36"/>
      <c r="J20" s="35"/>
      <c r="K20" s="36"/>
      <c r="L20" s="36"/>
      <c r="M20" s="37"/>
    </row>
    <row r="21" spans="1:13" s="1" customFormat="1" ht="14.1" customHeight="1">
      <c r="A21" s="38">
        <v>10</v>
      </c>
      <c r="B21" s="51" t="s">
        <v>85</v>
      </c>
      <c r="C21" s="52"/>
      <c r="D21" s="59" t="s">
        <v>86</v>
      </c>
      <c r="E21" s="60"/>
      <c r="F21" s="60"/>
      <c r="G21" s="61"/>
      <c r="H21" s="50"/>
      <c r="I21" s="50"/>
      <c r="J21" s="35"/>
      <c r="K21" s="50"/>
      <c r="L21" s="50"/>
      <c r="M21" s="113"/>
    </row>
    <row r="22" spans="1:13" s="1" customFormat="1" ht="14.1" customHeight="1">
      <c r="A22" s="38"/>
      <c r="B22" s="56" t="s">
        <v>37</v>
      </c>
      <c r="C22" s="56"/>
      <c r="D22" s="47" t="s">
        <v>64</v>
      </c>
      <c r="E22" s="48"/>
      <c r="F22" s="48"/>
      <c r="G22" s="49"/>
      <c r="H22" s="36"/>
      <c r="I22" s="36"/>
      <c r="J22" s="23"/>
      <c r="K22" s="36"/>
      <c r="L22" s="36"/>
      <c r="M22" s="37"/>
    </row>
    <row r="23" spans="1:13" s="1" customFormat="1" ht="14.1" customHeight="1">
      <c r="A23" s="38">
        <v>11</v>
      </c>
      <c r="B23" s="58" t="s">
        <v>4</v>
      </c>
      <c r="C23" s="58"/>
      <c r="D23" s="57" t="s">
        <v>5</v>
      </c>
      <c r="E23" s="57"/>
      <c r="F23" s="57"/>
      <c r="G23" s="57"/>
      <c r="H23" s="24"/>
      <c r="I23" s="24"/>
      <c r="J23" s="33"/>
      <c r="K23" s="24"/>
      <c r="L23" s="24"/>
      <c r="M23" s="26"/>
    </row>
    <row r="24" spans="1:13" s="1" customFormat="1" ht="14.1" customHeight="1">
      <c r="A24" s="38"/>
      <c r="B24" s="56" t="s">
        <v>31</v>
      </c>
      <c r="C24" s="56"/>
      <c r="D24" s="47" t="s">
        <v>54</v>
      </c>
      <c r="E24" s="48"/>
      <c r="F24" s="48"/>
      <c r="G24" s="49"/>
      <c r="H24" s="36"/>
      <c r="I24" s="36"/>
      <c r="J24" s="35"/>
      <c r="K24" s="36"/>
      <c r="L24" s="36"/>
      <c r="M24" s="37"/>
    </row>
    <row r="25" spans="1:13" ht="14.1" customHeight="1">
      <c r="A25" s="38">
        <v>12</v>
      </c>
      <c r="B25" s="58" t="s">
        <v>6</v>
      </c>
      <c r="C25" s="58"/>
      <c r="D25" s="59" t="s">
        <v>7</v>
      </c>
      <c r="E25" s="60"/>
      <c r="F25" s="60"/>
      <c r="G25" s="61"/>
      <c r="H25" s="24"/>
      <c r="I25" s="24"/>
      <c r="J25" s="33"/>
      <c r="K25" s="24"/>
      <c r="L25" s="24"/>
      <c r="M25" s="26"/>
    </row>
    <row r="26" spans="1:13" ht="14.1" customHeight="1">
      <c r="A26" s="38"/>
      <c r="B26" s="56" t="s">
        <v>32</v>
      </c>
      <c r="C26" s="56"/>
      <c r="D26" s="47" t="s">
        <v>76</v>
      </c>
      <c r="E26" s="48"/>
      <c r="F26" s="48"/>
      <c r="G26" s="49"/>
      <c r="H26" s="36"/>
      <c r="I26" s="36"/>
      <c r="J26" s="35"/>
      <c r="K26" s="36"/>
      <c r="L26" s="36"/>
      <c r="M26" s="37"/>
    </row>
    <row r="27" spans="1:13" ht="14.1" customHeight="1">
      <c r="A27" s="38">
        <v>13</v>
      </c>
      <c r="B27" s="51" t="s">
        <v>122</v>
      </c>
      <c r="C27" s="52"/>
      <c r="D27" s="57" t="s">
        <v>78</v>
      </c>
      <c r="E27" s="57"/>
      <c r="F27" s="57"/>
      <c r="G27" s="57"/>
      <c r="H27" s="24"/>
      <c r="I27" s="24"/>
      <c r="J27" s="33"/>
      <c r="K27" s="24"/>
      <c r="L27" s="24"/>
      <c r="M27" s="26"/>
    </row>
    <row r="28" spans="1:13" ht="14.1" customHeight="1">
      <c r="A28" s="154"/>
      <c r="B28" s="141" t="s">
        <v>33</v>
      </c>
      <c r="C28" s="141"/>
      <c r="D28" s="100" t="s">
        <v>79</v>
      </c>
      <c r="E28" s="101"/>
      <c r="F28" s="101"/>
      <c r="G28" s="102"/>
      <c r="H28" s="50"/>
      <c r="I28" s="50"/>
      <c r="J28" s="117"/>
      <c r="K28" s="50"/>
      <c r="L28" s="50"/>
      <c r="M28" s="113"/>
    </row>
    <row r="29" spans="1:13" ht="14.1" customHeight="1">
      <c r="A29" s="38">
        <v>14</v>
      </c>
      <c r="B29" s="58" t="s">
        <v>361</v>
      </c>
      <c r="C29" s="58"/>
      <c r="D29" s="57"/>
      <c r="E29" s="57"/>
      <c r="F29" s="57"/>
      <c r="G29" s="57"/>
      <c r="H29" s="24">
        <f>SUM(I29)</f>
        <v>3</v>
      </c>
      <c r="I29" s="24">
        <f>SUM(J29)</f>
        <v>3</v>
      </c>
      <c r="J29" s="33">
        <v>3</v>
      </c>
      <c r="K29" s="24">
        <f>SUM(J29)+0.5</f>
        <v>3.5</v>
      </c>
      <c r="L29" s="24">
        <f>SUM(K29)</f>
        <v>3.5</v>
      </c>
      <c r="M29" s="26">
        <f>SUM(L29)</f>
        <v>3.5</v>
      </c>
    </row>
    <row r="30" spans="1:13" ht="14.1" customHeight="1">
      <c r="A30" s="154"/>
      <c r="B30" s="141" t="s">
        <v>364</v>
      </c>
      <c r="C30" s="141"/>
      <c r="D30" s="100"/>
      <c r="E30" s="101"/>
      <c r="F30" s="101"/>
      <c r="G30" s="102"/>
      <c r="H30" s="50"/>
      <c r="I30" s="50"/>
      <c r="J30" s="117"/>
      <c r="K30" s="50"/>
      <c r="L30" s="50"/>
      <c r="M30" s="113"/>
    </row>
    <row r="31" spans="1:13" ht="14.1" customHeight="1">
      <c r="A31" s="38">
        <v>15</v>
      </c>
      <c r="B31" s="51" t="s">
        <v>365</v>
      </c>
      <c r="C31" s="52"/>
      <c r="D31" s="57"/>
      <c r="E31" s="57"/>
      <c r="F31" s="57"/>
      <c r="G31" s="57"/>
      <c r="H31" s="24">
        <f>SUM(I31)</f>
        <v>2.5</v>
      </c>
      <c r="I31" s="24">
        <f>SUM(J31)</f>
        <v>2.5</v>
      </c>
      <c r="J31" s="33">
        <v>2.5</v>
      </c>
      <c r="K31" s="24">
        <f>SUM(J31)</f>
        <v>2.5</v>
      </c>
      <c r="L31" s="24">
        <f>SUM(K31)</f>
        <v>2.5</v>
      </c>
      <c r="M31" s="26">
        <f>SUM(L31)</f>
        <v>2.5</v>
      </c>
    </row>
    <row r="32" spans="1:13" ht="14.1" customHeight="1">
      <c r="A32" s="38"/>
      <c r="B32" s="45" t="s">
        <v>366</v>
      </c>
      <c r="C32" s="46"/>
      <c r="D32" s="47"/>
      <c r="E32" s="48"/>
      <c r="F32" s="48"/>
      <c r="G32" s="49"/>
      <c r="H32" s="36"/>
      <c r="I32" s="36"/>
      <c r="J32" s="35"/>
      <c r="K32" s="36"/>
      <c r="L32" s="36"/>
      <c r="M32" s="37"/>
    </row>
    <row r="33" spans="1:13" ht="14.1" customHeight="1">
      <c r="A33" s="71">
        <v>16</v>
      </c>
      <c r="B33" s="141"/>
      <c r="C33" s="141"/>
      <c r="D33" s="132"/>
      <c r="E33" s="132"/>
      <c r="F33" s="132"/>
      <c r="G33" s="132"/>
      <c r="H33" s="50"/>
      <c r="I33" s="50"/>
      <c r="J33" s="117"/>
      <c r="K33" s="50"/>
      <c r="L33" s="50"/>
      <c r="M33" s="113"/>
    </row>
    <row r="34" spans="1:13" ht="14.1" customHeight="1" thickBot="1">
      <c r="A34" s="39"/>
      <c r="B34" s="110"/>
      <c r="C34" s="110"/>
      <c r="D34" s="30"/>
      <c r="E34" s="31"/>
      <c r="F34" s="31"/>
      <c r="G34" s="32"/>
      <c r="H34" s="25"/>
      <c r="I34" s="25"/>
      <c r="J34" s="34"/>
      <c r="K34" s="25"/>
      <c r="L34" s="25"/>
      <c r="M34" s="27"/>
    </row>
    <row r="35" spans="1:13" ht="14.1" customHeight="1"/>
    <row r="36" spans="1:13" ht="14.1" customHeight="1"/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179">
    <mergeCell ref="L29:L30"/>
    <mergeCell ref="M29:M30"/>
    <mergeCell ref="K33:K34"/>
    <mergeCell ref="L33:L34"/>
    <mergeCell ref="M33:M34"/>
    <mergeCell ref="J33:J34"/>
    <mergeCell ref="A21:A22"/>
    <mergeCell ref="B21:C21"/>
    <mergeCell ref="D21:G21"/>
    <mergeCell ref="H21:H22"/>
    <mergeCell ref="I21:I22"/>
    <mergeCell ref="D33:G33"/>
    <mergeCell ref="H33:H34"/>
    <mergeCell ref="I33:I34"/>
    <mergeCell ref="K29:K30"/>
    <mergeCell ref="B34:C34"/>
    <mergeCell ref="D34:G34"/>
    <mergeCell ref="A33:A34"/>
    <mergeCell ref="B33:C33"/>
    <mergeCell ref="J31:J32"/>
    <mergeCell ref="K31:K32"/>
    <mergeCell ref="L31:L32"/>
    <mergeCell ref="M31:M32"/>
    <mergeCell ref="B32:C32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D32:G32"/>
    <mergeCell ref="J29:J30"/>
    <mergeCell ref="B30:C30"/>
    <mergeCell ref="D30:G30"/>
    <mergeCell ref="K11:K12"/>
    <mergeCell ref="A11:A12"/>
    <mergeCell ref="A27:A28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A23:A24"/>
    <mergeCell ref="A19:A20"/>
    <mergeCell ref="J17:J18"/>
    <mergeCell ref="K17:K18"/>
    <mergeCell ref="J27:J28"/>
    <mergeCell ref="K27:K28"/>
    <mergeCell ref="D24:G24"/>
    <mergeCell ref="K19:K20"/>
    <mergeCell ref="A17:A18"/>
    <mergeCell ref="L27:L28"/>
    <mergeCell ref="M27:M28"/>
    <mergeCell ref="B11:C11"/>
    <mergeCell ref="D11:G11"/>
    <mergeCell ref="H11:H12"/>
    <mergeCell ref="I11:I12"/>
    <mergeCell ref="J11:J12"/>
    <mergeCell ref="B28:C28"/>
    <mergeCell ref="D28:G28"/>
    <mergeCell ref="K25:K26"/>
    <mergeCell ref="L25:L26"/>
    <mergeCell ref="M25:M26"/>
    <mergeCell ref="B26:C26"/>
    <mergeCell ref="D26:G26"/>
    <mergeCell ref="J25:J26"/>
    <mergeCell ref="B27:C27"/>
    <mergeCell ref="D27:G27"/>
    <mergeCell ref="K21:K22"/>
    <mergeCell ref="L21:L22"/>
    <mergeCell ref="M21:M22"/>
    <mergeCell ref="B22:C22"/>
    <mergeCell ref="L23:L24"/>
    <mergeCell ref="M23:M24"/>
    <mergeCell ref="B24:C24"/>
    <mergeCell ref="L19:L20"/>
    <mergeCell ref="M19:M20"/>
    <mergeCell ref="B20:C20"/>
    <mergeCell ref="D20:G20"/>
    <mergeCell ref="B23:C23"/>
    <mergeCell ref="D23:G23"/>
    <mergeCell ref="H23:H24"/>
    <mergeCell ref="I23:I24"/>
    <mergeCell ref="B19:C19"/>
    <mergeCell ref="D19:G19"/>
    <mergeCell ref="H19:H20"/>
    <mergeCell ref="I19:I20"/>
    <mergeCell ref="J19:J20"/>
    <mergeCell ref="D22:G22"/>
    <mergeCell ref="J21:J22"/>
    <mergeCell ref="L17:L18"/>
    <mergeCell ref="M17:M18"/>
    <mergeCell ref="B18:C18"/>
    <mergeCell ref="D18:G18"/>
    <mergeCell ref="K15:K16"/>
    <mergeCell ref="L15:L16"/>
    <mergeCell ref="M15:M16"/>
    <mergeCell ref="B16:C16"/>
    <mergeCell ref="D16:G16"/>
    <mergeCell ref="J15:J16"/>
    <mergeCell ref="B17:C17"/>
    <mergeCell ref="D17:G17"/>
    <mergeCell ref="H17:H18"/>
    <mergeCell ref="I17:I18"/>
    <mergeCell ref="A15:A16"/>
    <mergeCell ref="B15:C15"/>
    <mergeCell ref="D15:G15"/>
    <mergeCell ref="H15:H16"/>
    <mergeCell ref="I15:I16"/>
    <mergeCell ref="J13:J14"/>
    <mergeCell ref="K13:K14"/>
    <mergeCell ref="L13:L14"/>
    <mergeCell ref="M13:M14"/>
    <mergeCell ref="B14:C14"/>
    <mergeCell ref="D14:G14"/>
    <mergeCell ref="K9:K10"/>
    <mergeCell ref="L9:L10"/>
    <mergeCell ref="M9:M10"/>
    <mergeCell ref="B10:C10"/>
    <mergeCell ref="D10:G10"/>
    <mergeCell ref="J9:J10"/>
    <mergeCell ref="L11:L12"/>
    <mergeCell ref="M11:M12"/>
    <mergeCell ref="B12:C12"/>
    <mergeCell ref="D12:G12"/>
    <mergeCell ref="D5:G5"/>
    <mergeCell ref="H5:H6"/>
    <mergeCell ref="I5:I6"/>
    <mergeCell ref="J5:J6"/>
    <mergeCell ref="B6:C6"/>
    <mergeCell ref="D6:G6"/>
    <mergeCell ref="A13:A14"/>
    <mergeCell ref="B13:C13"/>
    <mergeCell ref="D13:G13"/>
    <mergeCell ref="H13:H14"/>
    <mergeCell ref="I13:I14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A5:A6"/>
    <mergeCell ref="B5:C5"/>
  </mergeCells>
  <phoneticPr fontId="35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A56EE-EDAF-41CE-9D4A-47770B34B145}">
  <sheetPr>
    <tabColor rgb="FF00B050"/>
    <pageSetUpPr fitToPage="1"/>
  </sheetPr>
  <dimension ref="A1:M51"/>
  <sheetViews>
    <sheetView zoomScale="110" zoomScaleNormal="110" workbookViewId="0">
      <selection activeCell="M3" sqref="M3:M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67" t="s">
        <v>591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</row>
    <row r="3" spans="1:13" s="1" customFormat="1" ht="14.1" customHeight="1">
      <c r="A3" s="169">
        <v>1</v>
      </c>
      <c r="B3" s="40" t="s">
        <v>136</v>
      </c>
      <c r="C3" s="41"/>
      <c r="D3" s="100" t="s">
        <v>135</v>
      </c>
      <c r="E3" s="101"/>
      <c r="F3" s="101"/>
      <c r="G3" s="102"/>
      <c r="H3" s="24">
        <f>SUM(I3)-3.4</f>
        <v>36.200000000000003</v>
      </c>
      <c r="I3" s="24">
        <f>SUM(J3)-3.4</f>
        <v>39.6</v>
      </c>
      <c r="J3" s="33">
        <v>43</v>
      </c>
      <c r="K3" s="24">
        <f>SUM(J3)+2.9</f>
        <v>45.9</v>
      </c>
      <c r="L3" s="24">
        <f>SUM(K3)+2.9</f>
        <v>48.8</v>
      </c>
      <c r="M3" s="109">
        <f>SUM(L3)+2.9</f>
        <v>51.699999999999996</v>
      </c>
    </row>
    <row r="4" spans="1:13" s="1" customFormat="1" ht="14.1" customHeight="1">
      <c r="A4" s="71"/>
      <c r="B4" s="56" t="s">
        <v>36</v>
      </c>
      <c r="C4" s="56"/>
      <c r="D4" s="47" t="s">
        <v>134</v>
      </c>
      <c r="E4" s="48"/>
      <c r="F4" s="48"/>
      <c r="G4" s="48"/>
      <c r="H4" s="36"/>
      <c r="I4" s="36"/>
      <c r="J4" s="35"/>
      <c r="K4" s="36"/>
      <c r="L4" s="36"/>
      <c r="M4" s="37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SUM(I5)-2.2</f>
        <v>36.599999999999994</v>
      </c>
      <c r="I5" s="24">
        <f>SUM(J5)-2.2</f>
        <v>38.799999999999997</v>
      </c>
      <c r="J5" s="33">
        <v>41</v>
      </c>
      <c r="K5" s="24">
        <f>SUM(J5)+2</f>
        <v>43</v>
      </c>
      <c r="L5" s="24">
        <f>SUM(K5)+2</f>
        <v>45</v>
      </c>
      <c r="M5" s="26">
        <f>SUM(L5)+2</f>
        <v>47</v>
      </c>
    </row>
    <row r="6" spans="1:13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37"/>
    </row>
    <row r="7" spans="1:13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38.5</v>
      </c>
      <c r="I7" s="24">
        <f>SUM(J7)-2.25</f>
        <v>40.75</v>
      </c>
      <c r="J7" s="33">
        <v>43</v>
      </c>
      <c r="K7" s="24">
        <f>SUM(J7)+2</f>
        <v>45</v>
      </c>
      <c r="L7" s="24">
        <f>SUM(K7)+2</f>
        <v>47</v>
      </c>
      <c r="M7" s="26">
        <f>SUM(L7)+2</f>
        <v>49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37"/>
    </row>
    <row r="9" spans="1:13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SUM(I9)-2.1</f>
        <v>36.799999999999997</v>
      </c>
      <c r="I9" s="24">
        <f>SUM(J9)-2.1</f>
        <v>38.9</v>
      </c>
      <c r="J9" s="33">
        <v>41</v>
      </c>
      <c r="K9" s="24">
        <f>SUM(J9)+1.9</f>
        <v>42.9</v>
      </c>
      <c r="L9" s="24">
        <f>SUM(K9)+1.9</f>
        <v>44.8</v>
      </c>
      <c r="M9" s="26">
        <f>SUM(L9)+1.9</f>
        <v>46.699999999999996</v>
      </c>
    </row>
    <row r="10" spans="1:13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7"/>
    </row>
    <row r="11" spans="1:13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SUM(I11)-0.8</f>
        <v>16</v>
      </c>
      <c r="I11" s="24">
        <f>SUM(J11)-0.8</f>
        <v>16.8</v>
      </c>
      <c r="J11" s="23">
        <v>17.600000000000001</v>
      </c>
      <c r="K11" s="21">
        <f>SUM(J11)+0.8</f>
        <v>18.400000000000002</v>
      </c>
      <c r="L11" s="21">
        <f>SUM(K11)+0.8</f>
        <v>19.200000000000003</v>
      </c>
      <c r="M11" s="227">
        <f>SUM(L11)+0.8</f>
        <v>20.000000000000004</v>
      </c>
    </row>
    <row r="12" spans="1:13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27"/>
    </row>
    <row r="13" spans="1:13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13.8</v>
      </c>
      <c r="I13" s="24">
        <f>SUM(J13)-0.6</f>
        <v>14.4</v>
      </c>
      <c r="J13" s="23">
        <v>15</v>
      </c>
      <c r="K13" s="21">
        <f>SUM(J13)+0.6</f>
        <v>15.6</v>
      </c>
      <c r="L13" s="21">
        <f>SUM(K13)+0.6</f>
        <v>16.2</v>
      </c>
      <c r="M13" s="22">
        <f>SUM(L13)+0.6</f>
        <v>16.8</v>
      </c>
    </row>
    <row r="14" spans="1:13" s="1" customFormat="1" ht="14.1" customHeight="1">
      <c r="A14" s="38"/>
      <c r="B14" s="56" t="s">
        <v>29</v>
      </c>
      <c r="C14" s="56"/>
      <c r="D14" s="47" t="s">
        <v>52</v>
      </c>
      <c r="E14" s="48"/>
      <c r="F14" s="48"/>
      <c r="G14" s="49"/>
      <c r="H14" s="36"/>
      <c r="I14" s="36"/>
      <c r="J14" s="23"/>
      <c r="K14" s="21"/>
      <c r="L14" s="21"/>
      <c r="M14" s="22"/>
    </row>
    <row r="15" spans="1:13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5.4</v>
      </c>
      <c r="I15" s="24">
        <f>SUM(J15)-0.3</f>
        <v>5.7</v>
      </c>
      <c r="J15" s="23">
        <v>6</v>
      </c>
      <c r="K15" s="21">
        <f>SUM(J15)+0.3</f>
        <v>6.3</v>
      </c>
      <c r="L15" s="21">
        <f>SUM(K15)+0.3</f>
        <v>6.6</v>
      </c>
      <c r="M15" s="227">
        <f>SUM(L15)+0.3</f>
        <v>6.8999999999999995</v>
      </c>
    </row>
    <row r="16" spans="1:13" s="1" customFormat="1" ht="14.1" customHeight="1">
      <c r="A16" s="38"/>
      <c r="B16" s="56" t="s">
        <v>30</v>
      </c>
      <c r="C16" s="56"/>
      <c r="D16" s="47" t="s">
        <v>53</v>
      </c>
      <c r="E16" s="48"/>
      <c r="F16" s="48"/>
      <c r="G16" s="49"/>
      <c r="H16" s="36"/>
      <c r="I16" s="36"/>
      <c r="J16" s="23"/>
      <c r="K16" s="21"/>
      <c r="L16" s="21"/>
      <c r="M16" s="227"/>
    </row>
    <row r="17" spans="1:13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34.299999999999997</v>
      </c>
      <c r="I17" s="24">
        <f>SUM(J17)-1.6</f>
        <v>35.9</v>
      </c>
      <c r="J17" s="23">
        <v>37.5</v>
      </c>
      <c r="K17" s="21">
        <f>SUM(J17)+1.6</f>
        <v>39.1</v>
      </c>
      <c r="L17" s="21">
        <f>SUM(K17)+1.6</f>
        <v>40.700000000000003</v>
      </c>
      <c r="M17" s="227">
        <f>SUM(L17)+1.6</f>
        <v>42.300000000000004</v>
      </c>
    </row>
    <row r="18" spans="1:13" s="1" customFormat="1" ht="14.1" customHeight="1">
      <c r="A18" s="38"/>
      <c r="B18" s="56" t="s">
        <v>37</v>
      </c>
      <c r="C18" s="56"/>
      <c r="D18" s="47" t="s">
        <v>107</v>
      </c>
      <c r="E18" s="48"/>
      <c r="F18" s="48"/>
      <c r="G18" s="49"/>
      <c r="H18" s="36"/>
      <c r="I18" s="36"/>
      <c r="J18" s="23"/>
      <c r="K18" s="21"/>
      <c r="L18" s="21"/>
      <c r="M18" s="227"/>
    </row>
    <row r="19" spans="1:13" s="1" customFormat="1" ht="14.1" customHeight="1">
      <c r="A19" s="38">
        <v>9</v>
      </c>
      <c r="B19" s="51" t="s">
        <v>89</v>
      </c>
      <c r="C19" s="52"/>
      <c r="D19" s="60" t="s">
        <v>128</v>
      </c>
      <c r="E19" s="60"/>
      <c r="F19" s="60"/>
      <c r="G19" s="60"/>
      <c r="H19" s="24">
        <f>SUM(I19)-0.2</f>
        <v>6.1</v>
      </c>
      <c r="I19" s="24">
        <f>SUM(J19)-0.2</f>
        <v>6.3</v>
      </c>
      <c r="J19" s="23">
        <v>6.5</v>
      </c>
      <c r="K19" s="21">
        <f>SUM(J19)+0.2</f>
        <v>6.7</v>
      </c>
      <c r="L19" s="21">
        <f>SUM(K19)+0.2</f>
        <v>6.9</v>
      </c>
      <c r="M19" s="22">
        <f>SUM(L19)+0.2</f>
        <v>7.1000000000000005</v>
      </c>
    </row>
    <row r="20" spans="1:13" s="1" customFormat="1" ht="14.1" customHeight="1">
      <c r="A20" s="154"/>
      <c r="B20" s="141" t="s">
        <v>39</v>
      </c>
      <c r="C20" s="141"/>
      <c r="D20" s="100" t="s">
        <v>127</v>
      </c>
      <c r="E20" s="101"/>
      <c r="F20" s="101"/>
      <c r="G20" s="102"/>
      <c r="H20" s="50"/>
      <c r="I20" s="50"/>
      <c r="J20" s="33"/>
      <c r="K20" s="24"/>
      <c r="L20" s="24"/>
      <c r="M20" s="26"/>
    </row>
    <row r="21" spans="1:13" s="1" customFormat="1" ht="14.1" customHeight="1">
      <c r="A21" s="38">
        <v>10</v>
      </c>
      <c r="B21" s="51" t="s">
        <v>558</v>
      </c>
      <c r="C21" s="52"/>
      <c r="D21" s="60"/>
      <c r="E21" s="60"/>
      <c r="F21" s="60"/>
      <c r="G21" s="60"/>
      <c r="H21" s="24">
        <f>SUM(I21)-0.2</f>
        <v>6.6</v>
      </c>
      <c r="I21" s="24">
        <f>SUM(J21)-0.2</f>
        <v>6.8</v>
      </c>
      <c r="J21" s="23">
        <v>7</v>
      </c>
      <c r="K21" s="21">
        <f>SUM(J21)+0.2</f>
        <v>7.2</v>
      </c>
      <c r="L21" s="21">
        <f>SUM(K21)+0.2</f>
        <v>7.4</v>
      </c>
      <c r="M21" s="22">
        <f>SUM(L21)+0.2</f>
        <v>7.6000000000000005</v>
      </c>
    </row>
    <row r="22" spans="1:13" s="1" customFormat="1" ht="14.1" customHeight="1">
      <c r="A22" s="154"/>
      <c r="B22" s="141" t="s">
        <v>559</v>
      </c>
      <c r="C22" s="141"/>
      <c r="D22" s="100"/>
      <c r="E22" s="101"/>
      <c r="F22" s="101"/>
      <c r="G22" s="102"/>
      <c r="H22" s="50"/>
      <c r="I22" s="50"/>
      <c r="J22" s="33"/>
      <c r="K22" s="24"/>
      <c r="L22" s="24"/>
      <c r="M22" s="26"/>
    </row>
    <row r="23" spans="1:13" s="1" customFormat="1" ht="14.1" customHeight="1">
      <c r="A23" s="38">
        <v>11</v>
      </c>
      <c r="B23" s="58" t="s">
        <v>4</v>
      </c>
      <c r="C23" s="58"/>
      <c r="D23" s="57" t="s">
        <v>5</v>
      </c>
      <c r="E23" s="57"/>
      <c r="F23" s="57"/>
      <c r="G23" s="57"/>
      <c r="H23" s="24">
        <f>SUM(I23)-3.4</f>
        <v>27.200000000000003</v>
      </c>
      <c r="I23" s="24">
        <f>SUM(J23)-3.4</f>
        <v>30.6</v>
      </c>
      <c r="J23" s="23">
        <v>34</v>
      </c>
      <c r="K23" s="21">
        <f>SUM(J23)+3.5</f>
        <v>37.5</v>
      </c>
      <c r="L23" s="21">
        <f>SUM(K23)+3.5</f>
        <v>41</v>
      </c>
      <c r="M23" s="22">
        <f>SUM(L23)+3.5</f>
        <v>44.5</v>
      </c>
    </row>
    <row r="24" spans="1:13" s="1" customFormat="1" ht="14.1" customHeight="1">
      <c r="A24" s="38"/>
      <c r="B24" s="56" t="s">
        <v>31</v>
      </c>
      <c r="C24" s="56"/>
      <c r="D24" s="47" t="s">
        <v>54</v>
      </c>
      <c r="E24" s="48"/>
      <c r="F24" s="48"/>
      <c r="G24" s="49"/>
      <c r="H24" s="36"/>
      <c r="I24" s="36"/>
      <c r="J24" s="23"/>
      <c r="K24" s="21"/>
      <c r="L24" s="21"/>
      <c r="M24" s="22"/>
    </row>
    <row r="25" spans="1:13" s="1" customFormat="1" ht="14.1" customHeight="1">
      <c r="A25" s="38">
        <v>12</v>
      </c>
      <c r="B25" s="58" t="s">
        <v>6</v>
      </c>
      <c r="C25" s="58"/>
      <c r="D25" s="59" t="s">
        <v>7</v>
      </c>
      <c r="E25" s="60"/>
      <c r="F25" s="60"/>
      <c r="G25" s="61"/>
      <c r="H25" s="24">
        <f>SUM(I25)-1.6</f>
        <v>31.799999999999997</v>
      </c>
      <c r="I25" s="24">
        <f>SUM(J25)-1.6</f>
        <v>33.4</v>
      </c>
      <c r="J25" s="23">
        <v>35</v>
      </c>
      <c r="K25" s="21">
        <f>SUM(J25)+1.6</f>
        <v>36.6</v>
      </c>
      <c r="L25" s="21">
        <f>SUM(K25)+1.6</f>
        <v>38.200000000000003</v>
      </c>
      <c r="M25" s="22">
        <f>SUM(L25)+1.6</f>
        <v>39.800000000000004</v>
      </c>
    </row>
    <row r="26" spans="1:13" s="1" customFormat="1" ht="14.1" customHeight="1">
      <c r="A26" s="38"/>
      <c r="B26" s="56" t="s">
        <v>32</v>
      </c>
      <c r="C26" s="56"/>
      <c r="D26" s="47" t="s">
        <v>76</v>
      </c>
      <c r="E26" s="48"/>
      <c r="F26" s="48"/>
      <c r="G26" s="49"/>
      <c r="H26" s="36"/>
      <c r="I26" s="36"/>
      <c r="J26" s="23"/>
      <c r="K26" s="21"/>
      <c r="L26" s="21"/>
      <c r="M26" s="22"/>
    </row>
    <row r="27" spans="1:13" s="1" customFormat="1" ht="14.1" customHeight="1">
      <c r="A27" s="38">
        <v>13</v>
      </c>
      <c r="B27" s="51" t="s">
        <v>122</v>
      </c>
      <c r="C27" s="52"/>
      <c r="D27" s="57" t="s">
        <v>78</v>
      </c>
      <c r="E27" s="57"/>
      <c r="F27" s="57"/>
      <c r="G27" s="57"/>
      <c r="H27" s="24">
        <f>SUM(I27)-1</f>
        <v>18</v>
      </c>
      <c r="I27" s="24">
        <f>SUM(J27)-1</f>
        <v>19</v>
      </c>
      <c r="J27" s="23">
        <v>20</v>
      </c>
      <c r="K27" s="21">
        <f>SUM(J27)+1</f>
        <v>21</v>
      </c>
      <c r="L27" s="21">
        <f>SUM(K27)+1</f>
        <v>22</v>
      </c>
      <c r="M27" s="22">
        <f>SUM(L27)+1</f>
        <v>23</v>
      </c>
    </row>
    <row r="28" spans="1:13" s="1" customFormat="1" ht="14.1" customHeight="1">
      <c r="A28" s="38"/>
      <c r="B28" s="56" t="s">
        <v>33</v>
      </c>
      <c r="C28" s="56"/>
      <c r="D28" s="47" t="s">
        <v>79</v>
      </c>
      <c r="E28" s="48"/>
      <c r="F28" s="48"/>
      <c r="G28" s="49"/>
      <c r="H28" s="36"/>
      <c r="I28" s="36"/>
      <c r="J28" s="23"/>
      <c r="K28" s="21"/>
      <c r="L28" s="21"/>
      <c r="M28" s="22"/>
    </row>
    <row r="29" spans="1:13" ht="14.1" customHeight="1">
      <c r="A29" s="38">
        <v>14</v>
      </c>
      <c r="B29" s="51" t="s">
        <v>455</v>
      </c>
      <c r="C29" s="52"/>
      <c r="D29" s="59"/>
      <c r="E29" s="60"/>
      <c r="F29" s="60"/>
      <c r="G29" s="61"/>
      <c r="H29" s="24">
        <f>SUM(I29)-0.6</f>
        <v>10.8</v>
      </c>
      <c r="I29" s="24">
        <f>SUM(J29)-0.6</f>
        <v>11.4</v>
      </c>
      <c r="J29" s="33">
        <v>12</v>
      </c>
      <c r="K29" s="24">
        <f>SUM(J29)+0.6</f>
        <v>12.6</v>
      </c>
      <c r="L29" s="24">
        <f>SUM(K29)+0.6</f>
        <v>13.2</v>
      </c>
      <c r="M29" s="26">
        <f>SUM(L29)+0.6</f>
        <v>13.799999999999999</v>
      </c>
    </row>
    <row r="30" spans="1:13" ht="14.1" customHeight="1">
      <c r="A30" s="38"/>
      <c r="B30" s="45" t="s">
        <v>210</v>
      </c>
      <c r="C30" s="46"/>
      <c r="D30" s="64"/>
      <c r="E30" s="65"/>
      <c r="F30" s="65"/>
      <c r="G30" s="66"/>
      <c r="H30" s="36"/>
      <c r="I30" s="36"/>
      <c r="J30" s="35"/>
      <c r="K30" s="36"/>
      <c r="L30" s="36"/>
      <c r="M30" s="37"/>
    </row>
    <row r="31" spans="1:13" ht="14.1" customHeight="1">
      <c r="A31" s="38">
        <v>15</v>
      </c>
      <c r="B31" s="51" t="s">
        <v>456</v>
      </c>
      <c r="C31" s="52"/>
      <c r="D31" s="57"/>
      <c r="E31" s="57"/>
      <c r="F31" s="57"/>
      <c r="G31" s="57"/>
      <c r="H31" s="24"/>
      <c r="I31" s="24"/>
      <c r="J31" s="33">
        <v>7</v>
      </c>
      <c r="K31" s="24"/>
      <c r="L31" s="24"/>
      <c r="M31" s="26"/>
    </row>
    <row r="32" spans="1:13" ht="14.1" customHeight="1">
      <c r="A32" s="38"/>
      <c r="B32" s="45" t="s">
        <v>592</v>
      </c>
      <c r="C32" s="46"/>
      <c r="D32" s="47" t="s">
        <v>458</v>
      </c>
      <c r="E32" s="48"/>
      <c r="F32" s="48"/>
      <c r="G32" s="49"/>
      <c r="H32" s="36"/>
      <c r="I32" s="36"/>
      <c r="J32" s="35"/>
      <c r="K32" s="36"/>
      <c r="L32" s="36"/>
      <c r="M32" s="37"/>
    </row>
    <row r="33" spans="1:13" ht="14.1" customHeight="1">
      <c r="A33" s="38">
        <v>16</v>
      </c>
      <c r="B33" s="51" t="s">
        <v>459</v>
      </c>
      <c r="C33" s="52"/>
      <c r="D33" s="57"/>
      <c r="E33" s="57"/>
      <c r="F33" s="57"/>
      <c r="G33" s="57"/>
      <c r="H33" s="24"/>
      <c r="I33" s="24"/>
      <c r="J33" s="33">
        <v>10</v>
      </c>
      <c r="K33" s="24"/>
      <c r="L33" s="24"/>
      <c r="M33" s="26"/>
    </row>
    <row r="34" spans="1:13" ht="14.1" customHeight="1">
      <c r="A34" s="38"/>
      <c r="B34" s="45" t="s">
        <v>593</v>
      </c>
      <c r="C34" s="46"/>
      <c r="D34" s="47" t="s">
        <v>461</v>
      </c>
      <c r="E34" s="48"/>
      <c r="F34" s="48"/>
      <c r="G34" s="49"/>
      <c r="H34" s="36"/>
      <c r="I34" s="36"/>
      <c r="J34" s="35"/>
      <c r="K34" s="36"/>
      <c r="L34" s="36"/>
      <c r="M34" s="37"/>
    </row>
    <row r="35" spans="1:13" ht="14.1" customHeight="1">
      <c r="A35" s="38">
        <v>17</v>
      </c>
      <c r="B35" s="51"/>
      <c r="C35" s="52"/>
      <c r="D35" s="53"/>
      <c r="E35" s="54"/>
      <c r="F35" s="54"/>
      <c r="G35" s="55"/>
      <c r="H35" s="24"/>
      <c r="I35" s="24"/>
      <c r="J35" s="33"/>
      <c r="K35" s="24"/>
      <c r="L35" s="24"/>
      <c r="M35" s="26"/>
    </row>
    <row r="36" spans="1:13" ht="14.1" customHeight="1">
      <c r="A36" s="38"/>
      <c r="B36" s="45"/>
      <c r="C36" s="46"/>
      <c r="D36" s="47"/>
      <c r="E36" s="48"/>
      <c r="F36" s="48"/>
      <c r="G36" s="49"/>
      <c r="H36" s="36"/>
      <c r="I36" s="36"/>
      <c r="J36" s="35"/>
      <c r="K36" s="36"/>
      <c r="L36" s="36"/>
      <c r="M36" s="37"/>
    </row>
    <row r="37" spans="1:13" ht="14.1" customHeight="1">
      <c r="A37" s="38">
        <v>18</v>
      </c>
      <c r="B37" s="40"/>
      <c r="C37" s="41"/>
      <c r="D37" s="42"/>
      <c r="E37" s="43"/>
      <c r="F37" s="43"/>
      <c r="G37" s="44"/>
      <c r="H37" s="24"/>
      <c r="I37" s="24"/>
      <c r="J37" s="33"/>
      <c r="K37" s="24"/>
      <c r="L37" s="24"/>
      <c r="M37" s="26"/>
    </row>
    <row r="38" spans="1:13" ht="14.1" customHeight="1">
      <c r="A38" s="38"/>
      <c r="B38" s="45"/>
      <c r="C38" s="46"/>
      <c r="D38" s="47"/>
      <c r="E38" s="48"/>
      <c r="F38" s="48"/>
      <c r="G38" s="49"/>
      <c r="H38" s="36"/>
      <c r="I38" s="36"/>
      <c r="J38" s="35"/>
      <c r="K38" s="36"/>
      <c r="L38" s="36"/>
      <c r="M38" s="37"/>
    </row>
    <row r="39" spans="1:13" ht="14.1" customHeight="1">
      <c r="A39" s="71">
        <v>19</v>
      </c>
      <c r="B39" s="40"/>
      <c r="C39" s="41"/>
      <c r="D39" s="100"/>
      <c r="E39" s="101"/>
      <c r="F39" s="101"/>
      <c r="G39" s="102"/>
      <c r="H39" s="50"/>
      <c r="I39" s="50"/>
      <c r="J39" s="117"/>
      <c r="K39" s="50"/>
      <c r="L39" s="50"/>
      <c r="M39" s="113"/>
    </row>
    <row r="40" spans="1:13" ht="14.1" customHeight="1" thickBot="1">
      <c r="A40" s="39"/>
      <c r="B40" s="104"/>
      <c r="C40" s="105"/>
      <c r="D40" s="106"/>
      <c r="E40" s="107"/>
      <c r="F40" s="107"/>
      <c r="G40" s="108"/>
      <c r="H40" s="25"/>
      <c r="I40" s="25"/>
      <c r="J40" s="34"/>
      <c r="K40" s="25"/>
      <c r="L40" s="25"/>
      <c r="M40" s="27"/>
    </row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212"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94ECF-A4FA-476C-99D2-C445DAEF8690}">
  <sheetPr>
    <tabColor rgb="FF00B050"/>
    <pageSetUpPr fitToPage="1"/>
  </sheetPr>
  <dimension ref="A1:O51"/>
  <sheetViews>
    <sheetView zoomScale="110" zoomScaleNormal="110" workbookViewId="0">
      <selection activeCell="Q15" sqref="Q15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5" ht="16.5" customHeight="1" thickBot="1">
      <c r="A1" s="128" t="s">
        <v>627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30"/>
    </row>
    <row r="2" spans="1:15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464</v>
      </c>
      <c r="I2" s="9" t="s">
        <v>71</v>
      </c>
      <c r="J2" s="9" t="s">
        <v>72</v>
      </c>
      <c r="K2" s="5" t="s">
        <v>73</v>
      </c>
      <c r="L2" s="9" t="s">
        <v>74</v>
      </c>
      <c r="M2" s="9" t="s">
        <v>169</v>
      </c>
      <c r="N2" s="7" t="s">
        <v>170</v>
      </c>
    </row>
    <row r="3" spans="1:15" s="1" customFormat="1" ht="14.1" customHeight="1">
      <c r="A3" s="169">
        <v>1</v>
      </c>
      <c r="B3" s="40" t="s">
        <v>136</v>
      </c>
      <c r="C3" s="41"/>
      <c r="D3" s="100" t="s">
        <v>135</v>
      </c>
      <c r="E3" s="101"/>
      <c r="F3" s="101"/>
      <c r="G3" s="102"/>
      <c r="H3" s="24">
        <f>SUM(I3)-3.4</f>
        <v>33.000000000000007</v>
      </c>
      <c r="I3" s="24">
        <f>SUM(J3)-3.4</f>
        <v>36.400000000000006</v>
      </c>
      <c r="J3" s="24">
        <f>SUM(K3)-3.4</f>
        <v>39.800000000000004</v>
      </c>
      <c r="K3" s="33">
        <v>43.2</v>
      </c>
      <c r="L3" s="24">
        <f>SUM(K3)+2.9</f>
        <v>46.1</v>
      </c>
      <c r="M3" s="24">
        <f>SUM(L3)+2.9</f>
        <v>49</v>
      </c>
      <c r="N3" s="26">
        <f>SUM(M3)+2.9</f>
        <v>51.9</v>
      </c>
    </row>
    <row r="4" spans="1:15" s="1" customFormat="1" ht="14.1" customHeight="1">
      <c r="A4" s="71"/>
      <c r="B4" s="56" t="s">
        <v>36</v>
      </c>
      <c r="C4" s="56"/>
      <c r="D4" s="47" t="s">
        <v>134</v>
      </c>
      <c r="E4" s="48"/>
      <c r="F4" s="48"/>
      <c r="G4" s="48"/>
      <c r="H4" s="36"/>
      <c r="I4" s="36"/>
      <c r="J4" s="36"/>
      <c r="K4" s="35"/>
      <c r="L4" s="36"/>
      <c r="M4" s="36"/>
      <c r="N4" s="37"/>
      <c r="O4" s="1" t="s">
        <v>113</v>
      </c>
    </row>
    <row r="5" spans="1:15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SUM(I5)-1.8</f>
        <v>31.300000000000008</v>
      </c>
      <c r="I5" s="24">
        <f>SUM(J5)-1.8</f>
        <v>33.100000000000009</v>
      </c>
      <c r="J5" s="24">
        <f>SUM(K5)-1.8</f>
        <v>34.900000000000006</v>
      </c>
      <c r="K5" s="33">
        <v>36.700000000000003</v>
      </c>
      <c r="L5" s="24">
        <f>SUM(K5)+1.6</f>
        <v>38.300000000000004</v>
      </c>
      <c r="M5" s="24">
        <f>SUM(L5)+1.6</f>
        <v>39.900000000000006</v>
      </c>
      <c r="N5" s="26">
        <f>SUM(M5)+1.6</f>
        <v>41.500000000000007</v>
      </c>
    </row>
    <row r="6" spans="1:15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6"/>
      <c r="K6" s="35"/>
      <c r="L6" s="36"/>
      <c r="M6" s="36"/>
      <c r="N6" s="37"/>
    </row>
    <row r="7" spans="1:15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38.25</v>
      </c>
      <c r="I7" s="24">
        <f>SUM(J7)-2.25</f>
        <v>40.5</v>
      </c>
      <c r="J7" s="24">
        <f>SUM(K7)-2.25</f>
        <v>42.75</v>
      </c>
      <c r="K7" s="33">
        <v>45</v>
      </c>
      <c r="L7" s="24">
        <f>SUM(K7)+2</f>
        <v>47</v>
      </c>
      <c r="M7" s="24">
        <f>SUM(L7)+2</f>
        <v>49</v>
      </c>
      <c r="N7" s="26">
        <f>SUM(M7)+2</f>
        <v>51</v>
      </c>
    </row>
    <row r="8" spans="1:15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6"/>
      <c r="K8" s="35"/>
      <c r="L8" s="36"/>
      <c r="M8" s="36"/>
      <c r="N8" s="37"/>
    </row>
    <row r="9" spans="1:15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SUM(I9)-2.25</f>
        <v>38.25</v>
      </c>
      <c r="I9" s="24">
        <f>SUM(J9)-2.25</f>
        <v>40.5</v>
      </c>
      <c r="J9" s="24">
        <f>SUM(K9)-2.25</f>
        <v>42.75</v>
      </c>
      <c r="K9" s="33">
        <v>45</v>
      </c>
      <c r="L9" s="24">
        <f>SUM(K9)+2</f>
        <v>47</v>
      </c>
      <c r="M9" s="24">
        <f>SUM(L9)+2</f>
        <v>49</v>
      </c>
      <c r="N9" s="26">
        <f>SUM(M9)+2</f>
        <v>51</v>
      </c>
    </row>
    <row r="10" spans="1:15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36"/>
      <c r="K10" s="35"/>
      <c r="L10" s="36"/>
      <c r="M10" s="36"/>
      <c r="N10" s="37"/>
    </row>
    <row r="11" spans="1:15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SUM(I11)-0.8</f>
        <v>16.099999999999998</v>
      </c>
      <c r="I11" s="24">
        <f>SUM(J11)-0.8</f>
        <v>16.899999999999999</v>
      </c>
      <c r="J11" s="24">
        <f>SUM(K11)-0.8</f>
        <v>17.7</v>
      </c>
      <c r="K11" s="23">
        <v>18.5</v>
      </c>
      <c r="L11" s="21">
        <f>SUM(K11)+0.8</f>
        <v>19.3</v>
      </c>
      <c r="M11" s="21">
        <f>SUM(L11)+0.9</f>
        <v>20.2</v>
      </c>
      <c r="N11" s="227">
        <f>SUM(M11)+0.9</f>
        <v>21.099999999999998</v>
      </c>
    </row>
    <row r="12" spans="1:15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36"/>
      <c r="K12" s="23"/>
      <c r="L12" s="21"/>
      <c r="M12" s="21"/>
      <c r="N12" s="227"/>
    </row>
    <row r="13" spans="1:15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12.600000000000001</v>
      </c>
      <c r="I13" s="24">
        <f>SUM(J13)-0.6</f>
        <v>13.200000000000001</v>
      </c>
      <c r="J13" s="24">
        <f>SUM(K13)-0.6</f>
        <v>13.8</v>
      </c>
      <c r="K13" s="23">
        <v>14.4</v>
      </c>
      <c r="L13" s="21">
        <f>SUM(K13)+0.6</f>
        <v>15</v>
      </c>
      <c r="M13" s="21">
        <f>SUM(L13)+0.6</f>
        <v>15.6</v>
      </c>
      <c r="N13" s="22">
        <f>SUM(M13)+0.6</f>
        <v>16.2</v>
      </c>
    </row>
    <row r="14" spans="1:15" s="1" customFormat="1" ht="14.1" customHeight="1">
      <c r="A14" s="38"/>
      <c r="B14" s="56" t="s">
        <v>29</v>
      </c>
      <c r="C14" s="56"/>
      <c r="D14" s="47" t="s">
        <v>52</v>
      </c>
      <c r="E14" s="48"/>
      <c r="F14" s="48"/>
      <c r="G14" s="49"/>
      <c r="H14" s="36"/>
      <c r="I14" s="36"/>
      <c r="J14" s="36"/>
      <c r="K14" s="23"/>
      <c r="L14" s="21"/>
      <c r="M14" s="21"/>
      <c r="N14" s="22"/>
    </row>
    <row r="15" spans="1:15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6.5000000000000009</v>
      </c>
      <c r="I15" s="24">
        <f>SUM(J15)-0.3</f>
        <v>6.8000000000000007</v>
      </c>
      <c r="J15" s="24">
        <f>SUM(K15)-0.3</f>
        <v>7.1000000000000005</v>
      </c>
      <c r="K15" s="23">
        <v>7.4</v>
      </c>
      <c r="L15" s="21">
        <f>SUM(K15)+0.3</f>
        <v>7.7</v>
      </c>
      <c r="M15" s="21">
        <f>SUM(L15)+0.3</f>
        <v>8</v>
      </c>
      <c r="N15" s="227">
        <f>SUM(M15)+0.3</f>
        <v>8.3000000000000007</v>
      </c>
    </row>
    <row r="16" spans="1:15" s="1" customFormat="1" ht="14.1" customHeight="1">
      <c r="A16" s="38"/>
      <c r="B16" s="56" t="s">
        <v>30</v>
      </c>
      <c r="C16" s="56"/>
      <c r="D16" s="47" t="s">
        <v>53</v>
      </c>
      <c r="E16" s="48"/>
      <c r="F16" s="48"/>
      <c r="G16" s="49"/>
      <c r="H16" s="36"/>
      <c r="I16" s="36"/>
      <c r="J16" s="36"/>
      <c r="K16" s="23"/>
      <c r="L16" s="21"/>
      <c r="M16" s="21"/>
      <c r="N16" s="227"/>
    </row>
    <row r="17" spans="1:14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34.299999999999997</v>
      </c>
      <c r="I17" s="24">
        <f>SUM(J17)-1.6</f>
        <v>35.9</v>
      </c>
      <c r="J17" s="24">
        <f>SUM(K17)-1.6</f>
        <v>37.5</v>
      </c>
      <c r="K17" s="23">
        <v>39.1</v>
      </c>
      <c r="L17" s="21">
        <f>SUM(K17)+1.6</f>
        <v>40.700000000000003</v>
      </c>
      <c r="M17" s="21">
        <f>SUM(L17)+1.6</f>
        <v>42.300000000000004</v>
      </c>
      <c r="N17" s="227">
        <f>SUM(M17)+1.6</f>
        <v>43.900000000000006</v>
      </c>
    </row>
    <row r="18" spans="1:14" s="1" customFormat="1" ht="14.1" customHeight="1">
      <c r="A18" s="38"/>
      <c r="B18" s="56" t="s">
        <v>37</v>
      </c>
      <c r="C18" s="56"/>
      <c r="D18" s="47" t="s">
        <v>107</v>
      </c>
      <c r="E18" s="48"/>
      <c r="F18" s="48"/>
      <c r="G18" s="49"/>
      <c r="H18" s="36"/>
      <c r="I18" s="36"/>
      <c r="J18" s="36"/>
      <c r="K18" s="23"/>
      <c r="L18" s="21"/>
      <c r="M18" s="21"/>
      <c r="N18" s="227"/>
    </row>
    <row r="19" spans="1:14" s="1" customFormat="1" ht="14.1" customHeight="1">
      <c r="A19" s="38">
        <v>9</v>
      </c>
      <c r="B19" s="58" t="s">
        <v>4</v>
      </c>
      <c r="C19" s="58"/>
      <c r="D19" s="57" t="s">
        <v>5</v>
      </c>
      <c r="E19" s="57"/>
      <c r="F19" s="57"/>
      <c r="G19" s="57"/>
      <c r="H19" s="24">
        <f>SUM(I19)-3.6</f>
        <v>27.9</v>
      </c>
      <c r="I19" s="24">
        <f>SUM(J19)-3.6</f>
        <v>31.5</v>
      </c>
      <c r="J19" s="24">
        <f>SUM(K19)-3.6</f>
        <v>35.1</v>
      </c>
      <c r="K19" s="23">
        <v>38.700000000000003</v>
      </c>
      <c r="L19" s="21">
        <f>SUM(K19)+3.7</f>
        <v>42.400000000000006</v>
      </c>
      <c r="M19" s="21">
        <f>SUM(L19)+3.7</f>
        <v>46.100000000000009</v>
      </c>
      <c r="N19" s="22">
        <f>SUM(M19)+3.7</f>
        <v>49.800000000000011</v>
      </c>
    </row>
    <row r="20" spans="1:14" s="1" customFormat="1" ht="14.1" customHeight="1">
      <c r="A20" s="38"/>
      <c r="B20" s="56" t="s">
        <v>31</v>
      </c>
      <c r="C20" s="56"/>
      <c r="D20" s="47" t="s">
        <v>54</v>
      </c>
      <c r="E20" s="48"/>
      <c r="F20" s="48"/>
      <c r="G20" s="49"/>
      <c r="H20" s="36"/>
      <c r="I20" s="36"/>
      <c r="J20" s="36"/>
      <c r="K20" s="23"/>
      <c r="L20" s="21"/>
      <c r="M20" s="21"/>
      <c r="N20" s="22"/>
    </row>
    <row r="21" spans="1:14" s="1" customFormat="1" ht="14.1" customHeight="1">
      <c r="A21" s="38">
        <v>10</v>
      </c>
      <c r="B21" s="58" t="s">
        <v>6</v>
      </c>
      <c r="C21" s="58"/>
      <c r="D21" s="59" t="s">
        <v>7</v>
      </c>
      <c r="E21" s="60"/>
      <c r="F21" s="60"/>
      <c r="G21" s="61"/>
      <c r="H21" s="24">
        <f>SUM(I21)-1.5</f>
        <v>28.9</v>
      </c>
      <c r="I21" s="24">
        <f>SUM(J21)-1.5</f>
        <v>30.4</v>
      </c>
      <c r="J21" s="24">
        <f>SUM(K21)-1.5</f>
        <v>31.9</v>
      </c>
      <c r="K21" s="23">
        <v>33.4</v>
      </c>
      <c r="L21" s="21">
        <f>SUM(K21)+1.5</f>
        <v>34.9</v>
      </c>
      <c r="M21" s="21">
        <f>SUM(L21)+1.5</f>
        <v>36.4</v>
      </c>
      <c r="N21" s="22">
        <f>SUM(M21)+1.5</f>
        <v>37.9</v>
      </c>
    </row>
    <row r="22" spans="1:14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9"/>
      <c r="H22" s="36"/>
      <c r="I22" s="36"/>
      <c r="J22" s="36"/>
      <c r="K22" s="23"/>
      <c r="L22" s="21"/>
      <c r="M22" s="21"/>
      <c r="N22" s="22"/>
    </row>
    <row r="23" spans="1:14" s="1" customFormat="1" ht="14.1" customHeight="1">
      <c r="A23" s="38">
        <v>11</v>
      </c>
      <c r="B23" s="51" t="s">
        <v>302</v>
      </c>
      <c r="C23" s="52"/>
      <c r="D23" s="57" t="s">
        <v>78</v>
      </c>
      <c r="E23" s="57"/>
      <c r="F23" s="57"/>
      <c r="G23" s="57"/>
      <c r="H23" s="24">
        <f>SUM(I23)-0.6</f>
        <v>18.199999999999996</v>
      </c>
      <c r="I23" s="24">
        <f>SUM(J23)-0.6</f>
        <v>18.799999999999997</v>
      </c>
      <c r="J23" s="24">
        <f>SUM(K23)-0.6</f>
        <v>19.399999999999999</v>
      </c>
      <c r="K23" s="23">
        <v>20</v>
      </c>
      <c r="L23" s="21">
        <f>SUM(K23)+0.6</f>
        <v>20.6</v>
      </c>
      <c r="M23" s="21">
        <f>SUM(L23)+0.6</f>
        <v>21.200000000000003</v>
      </c>
      <c r="N23" s="22">
        <f>SUM(M23)+0.6</f>
        <v>21.800000000000004</v>
      </c>
    </row>
    <row r="24" spans="1:14" s="1" customFormat="1" ht="14.1" customHeight="1">
      <c r="A24" s="38"/>
      <c r="B24" s="56" t="s">
        <v>900</v>
      </c>
      <c r="C24" s="56"/>
      <c r="D24" s="47" t="s">
        <v>79</v>
      </c>
      <c r="E24" s="48"/>
      <c r="F24" s="48"/>
      <c r="G24" s="49"/>
      <c r="H24" s="36"/>
      <c r="I24" s="36"/>
      <c r="J24" s="36"/>
      <c r="K24" s="23"/>
      <c r="L24" s="21"/>
      <c r="M24" s="21"/>
      <c r="N24" s="22"/>
    </row>
    <row r="25" spans="1:14" s="1" customFormat="1" ht="14.1" customHeight="1">
      <c r="A25" s="38">
        <v>12</v>
      </c>
      <c r="B25" s="51" t="s">
        <v>250</v>
      </c>
      <c r="C25" s="52"/>
      <c r="D25" s="59"/>
      <c r="E25" s="60"/>
      <c r="F25" s="60"/>
      <c r="G25" s="61"/>
      <c r="H25" s="24">
        <f>SUM(I25)-0.6</f>
        <v>9.9</v>
      </c>
      <c r="I25" s="24">
        <f>SUM(J25)-0.5</f>
        <v>10.5</v>
      </c>
      <c r="J25" s="24">
        <f>SUM(K25)-0.5</f>
        <v>11</v>
      </c>
      <c r="K25" s="33">
        <v>11.5</v>
      </c>
      <c r="L25" s="24">
        <f>SUM(K25)+0.5</f>
        <v>12</v>
      </c>
      <c r="M25" s="24">
        <f>SUM(L25)+0.5</f>
        <v>12.5</v>
      </c>
      <c r="N25" s="26">
        <f>SUM(M25)+0.5</f>
        <v>13</v>
      </c>
    </row>
    <row r="26" spans="1:14" s="1" customFormat="1" ht="14.1" customHeight="1">
      <c r="A26" s="38"/>
      <c r="B26" s="62" t="s">
        <v>249</v>
      </c>
      <c r="C26" s="63"/>
      <c r="D26" s="64"/>
      <c r="E26" s="65"/>
      <c r="F26" s="65"/>
      <c r="G26" s="66"/>
      <c r="H26" s="36"/>
      <c r="I26" s="36"/>
      <c r="J26" s="36"/>
      <c r="K26" s="35"/>
      <c r="L26" s="36"/>
      <c r="M26" s="36"/>
      <c r="N26" s="37"/>
    </row>
    <row r="27" spans="1:14" s="1" customFormat="1" ht="14.1" customHeight="1">
      <c r="A27" s="38">
        <v>13</v>
      </c>
      <c r="B27" s="51" t="s">
        <v>248</v>
      </c>
      <c r="C27" s="52"/>
      <c r="D27" s="59"/>
      <c r="E27" s="60"/>
      <c r="F27" s="60"/>
      <c r="G27" s="61"/>
      <c r="H27" s="24">
        <f>SUM(I27)-0.6</f>
        <v>10.4</v>
      </c>
      <c r="I27" s="24">
        <f>SUM(J27)-0.5</f>
        <v>11</v>
      </c>
      <c r="J27" s="24">
        <f>SUM(K27)-0.5</f>
        <v>11.5</v>
      </c>
      <c r="K27" s="33">
        <v>12</v>
      </c>
      <c r="L27" s="24">
        <f>SUM(K27)+0.5</f>
        <v>12.5</v>
      </c>
      <c r="M27" s="24">
        <f>SUM(L27)+0.5</f>
        <v>13</v>
      </c>
      <c r="N27" s="26">
        <f>SUM(M27)+0.5</f>
        <v>13.5</v>
      </c>
    </row>
    <row r="28" spans="1:14" s="1" customFormat="1" ht="14.1" customHeight="1" thickBot="1">
      <c r="A28" s="39"/>
      <c r="B28" s="104" t="s">
        <v>247</v>
      </c>
      <c r="C28" s="105"/>
      <c r="D28" s="106"/>
      <c r="E28" s="107"/>
      <c r="F28" s="107"/>
      <c r="G28" s="108"/>
      <c r="H28" s="25"/>
      <c r="I28" s="25"/>
      <c r="J28" s="25"/>
      <c r="K28" s="34"/>
      <c r="L28" s="25"/>
      <c r="M28" s="25"/>
      <c r="N28" s="27"/>
    </row>
    <row r="29" spans="1:14" ht="14.1" customHeight="1"/>
    <row r="30" spans="1:14" ht="14.1" customHeight="1"/>
    <row r="31" spans="1:14" ht="14.1" customHeight="1"/>
    <row r="32" spans="1:14" ht="14.1" customHeight="1"/>
    <row r="33" customFormat="1" ht="14.1" customHeight="1"/>
    <row r="34" customFormat="1" ht="14.1" customHeight="1"/>
    <row r="35" customFormat="1" ht="14.1" customHeight="1"/>
    <row r="36" customFormat="1" ht="14.1" customHeight="1"/>
    <row r="37" customFormat="1" ht="14.1" customHeight="1"/>
    <row r="38" customFormat="1" ht="14.1" customHeight="1"/>
    <row r="39" customFormat="1" ht="14.1" customHeight="1"/>
    <row r="40" customFormat="1" ht="14.1" customHeight="1"/>
    <row r="41" customFormat="1" ht="14.1" customHeight="1"/>
    <row r="42" customFormat="1" ht="14.1" customHeight="1"/>
    <row r="43" customFormat="1" ht="14.1" customHeight="1"/>
    <row r="44" customFormat="1" ht="14.1" customHeight="1"/>
    <row r="45" customFormat="1" ht="14.1" customHeight="1"/>
    <row r="46" customFormat="1" ht="14.1" customHeight="1"/>
    <row r="47" customFormat="1" ht="14.1" customHeight="1"/>
    <row r="48" customFormat="1" ht="14.1" customHeight="1"/>
    <row r="49" customFormat="1" ht="14.1" customHeight="1"/>
    <row r="50" customFormat="1" ht="14.1" customHeight="1"/>
    <row r="51" customFormat="1" ht="14.1" customHeight="1"/>
  </sheetData>
  <mergeCells count="159">
    <mergeCell ref="B2:C2"/>
    <mergeCell ref="D2:G2"/>
    <mergeCell ref="A3:A4"/>
    <mergeCell ref="B3:C3"/>
    <mergeCell ref="D3:G3"/>
    <mergeCell ref="I3:I4"/>
    <mergeCell ref="J3:J4"/>
    <mergeCell ref="K3:K4"/>
    <mergeCell ref="L3:L4"/>
    <mergeCell ref="M3:M4"/>
    <mergeCell ref="N3:N4"/>
    <mergeCell ref="B4:C4"/>
    <mergeCell ref="D4:G4"/>
    <mergeCell ref="A1:N1"/>
    <mergeCell ref="H3:H4"/>
    <mergeCell ref="K7:K8"/>
    <mergeCell ref="L7:L8"/>
    <mergeCell ref="M7:M8"/>
    <mergeCell ref="N7:N8"/>
    <mergeCell ref="B8:C8"/>
    <mergeCell ref="D8:G8"/>
    <mergeCell ref="L5:L6"/>
    <mergeCell ref="M5:M6"/>
    <mergeCell ref="N5:N6"/>
    <mergeCell ref="H5:H6"/>
    <mergeCell ref="H7:H8"/>
    <mergeCell ref="A5:A6"/>
    <mergeCell ref="B5:C5"/>
    <mergeCell ref="D5:G5"/>
    <mergeCell ref="I5:I6"/>
    <mergeCell ref="J5:J6"/>
    <mergeCell ref="K5:K6"/>
    <mergeCell ref="B6:C6"/>
    <mergeCell ref="D6:G6"/>
    <mergeCell ref="A11:A12"/>
    <mergeCell ref="B11:C11"/>
    <mergeCell ref="D11:G11"/>
    <mergeCell ref="I11:I12"/>
    <mergeCell ref="J11:J12"/>
    <mergeCell ref="A9:A10"/>
    <mergeCell ref="B9:C9"/>
    <mergeCell ref="D9:G9"/>
    <mergeCell ref="I9:I10"/>
    <mergeCell ref="J9:J10"/>
    <mergeCell ref="A7:A8"/>
    <mergeCell ref="B7:C7"/>
    <mergeCell ref="D7:G7"/>
    <mergeCell ref="I7:I8"/>
    <mergeCell ref="J7:J8"/>
    <mergeCell ref="K11:K12"/>
    <mergeCell ref="L11:L12"/>
    <mergeCell ref="M11:M12"/>
    <mergeCell ref="N11:N12"/>
    <mergeCell ref="B12:C12"/>
    <mergeCell ref="D12:G12"/>
    <mergeCell ref="L9:L10"/>
    <mergeCell ref="M9:M10"/>
    <mergeCell ref="N9:N10"/>
    <mergeCell ref="B10:C10"/>
    <mergeCell ref="D10:G10"/>
    <mergeCell ref="K9:K10"/>
    <mergeCell ref="H9:H10"/>
    <mergeCell ref="H11:H12"/>
    <mergeCell ref="A15:A16"/>
    <mergeCell ref="B15:C15"/>
    <mergeCell ref="D15:G15"/>
    <mergeCell ref="I15:I16"/>
    <mergeCell ref="J15:J16"/>
    <mergeCell ref="A13:A14"/>
    <mergeCell ref="B13:C13"/>
    <mergeCell ref="D13:G13"/>
    <mergeCell ref="I13:I14"/>
    <mergeCell ref="J13:J14"/>
    <mergeCell ref="H13:H14"/>
    <mergeCell ref="H15:H16"/>
    <mergeCell ref="K15:K16"/>
    <mergeCell ref="L15:L16"/>
    <mergeCell ref="M15:M16"/>
    <mergeCell ref="N15:N16"/>
    <mergeCell ref="B16:C16"/>
    <mergeCell ref="D16:G16"/>
    <mergeCell ref="L13:L14"/>
    <mergeCell ref="M13:M14"/>
    <mergeCell ref="N13:N14"/>
    <mergeCell ref="B14:C14"/>
    <mergeCell ref="D14:G14"/>
    <mergeCell ref="K13:K14"/>
    <mergeCell ref="A19:A20"/>
    <mergeCell ref="B19:C19"/>
    <mergeCell ref="D19:G19"/>
    <mergeCell ref="I19:I20"/>
    <mergeCell ref="J19:J20"/>
    <mergeCell ref="A17:A18"/>
    <mergeCell ref="B17:C17"/>
    <mergeCell ref="D17:G17"/>
    <mergeCell ref="I17:I18"/>
    <mergeCell ref="J17:J18"/>
    <mergeCell ref="H17:H18"/>
    <mergeCell ref="H19:H20"/>
    <mergeCell ref="K19:K20"/>
    <mergeCell ref="L19:L20"/>
    <mergeCell ref="M19:M20"/>
    <mergeCell ref="N19:N20"/>
    <mergeCell ref="B20:C20"/>
    <mergeCell ref="D20:G20"/>
    <mergeCell ref="L17:L18"/>
    <mergeCell ref="M17:M18"/>
    <mergeCell ref="N17:N18"/>
    <mergeCell ref="B18:C18"/>
    <mergeCell ref="D18:G18"/>
    <mergeCell ref="K17:K18"/>
    <mergeCell ref="A23:A24"/>
    <mergeCell ref="B23:C23"/>
    <mergeCell ref="D23:G23"/>
    <mergeCell ref="I23:I24"/>
    <mergeCell ref="J23:J24"/>
    <mergeCell ref="A21:A22"/>
    <mergeCell ref="B21:C21"/>
    <mergeCell ref="D21:G21"/>
    <mergeCell ref="I21:I22"/>
    <mergeCell ref="J21:J22"/>
    <mergeCell ref="H21:H22"/>
    <mergeCell ref="H23:H24"/>
    <mergeCell ref="K23:K24"/>
    <mergeCell ref="L23:L24"/>
    <mergeCell ref="M23:M24"/>
    <mergeCell ref="N23:N24"/>
    <mergeCell ref="B24:C24"/>
    <mergeCell ref="D24:G24"/>
    <mergeCell ref="L21:L22"/>
    <mergeCell ref="M21:M22"/>
    <mergeCell ref="N21:N22"/>
    <mergeCell ref="B22:C22"/>
    <mergeCell ref="D22:G22"/>
    <mergeCell ref="K21:K22"/>
    <mergeCell ref="A27:A28"/>
    <mergeCell ref="B27:C27"/>
    <mergeCell ref="D27:G27"/>
    <mergeCell ref="I27:I28"/>
    <mergeCell ref="J27:J28"/>
    <mergeCell ref="A25:A26"/>
    <mergeCell ref="B25:C25"/>
    <mergeCell ref="D25:G25"/>
    <mergeCell ref="I25:I26"/>
    <mergeCell ref="J25:J26"/>
    <mergeCell ref="H25:H26"/>
    <mergeCell ref="H27:H28"/>
    <mergeCell ref="K27:K28"/>
    <mergeCell ref="L27:L28"/>
    <mergeCell ref="M27:M28"/>
    <mergeCell ref="N27:N28"/>
    <mergeCell ref="B28:C28"/>
    <mergeCell ref="D28:G28"/>
    <mergeCell ref="L25:L26"/>
    <mergeCell ref="M25:M26"/>
    <mergeCell ref="N25:N26"/>
    <mergeCell ref="B26:C26"/>
    <mergeCell ref="D26:G26"/>
    <mergeCell ref="K25:K26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BE372-BA07-4A42-B610-221FD5F22F24}">
  <sheetPr>
    <tabColor rgb="FF00B050"/>
    <pageSetUpPr fitToPage="1"/>
  </sheetPr>
  <dimension ref="A1:N51"/>
  <sheetViews>
    <sheetView zoomScale="110" zoomScaleNormal="110" workbookViewId="0">
      <selection activeCell="Q24" sqref="Q24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28" t="s">
        <v>463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30"/>
    </row>
    <row r="2" spans="1:14" ht="16.5" customHeight="1" thickBot="1">
      <c r="A2" s="2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464</v>
      </c>
      <c r="I2" s="9" t="s">
        <v>71</v>
      </c>
      <c r="J2" s="9" t="s">
        <v>72</v>
      </c>
      <c r="K2" s="5" t="s">
        <v>73</v>
      </c>
      <c r="L2" s="9" t="s">
        <v>74</v>
      </c>
      <c r="M2" s="9" t="s">
        <v>169</v>
      </c>
      <c r="N2" s="9" t="s">
        <v>170</v>
      </c>
    </row>
    <row r="3" spans="1:14" s="1" customFormat="1" ht="14.1" customHeight="1">
      <c r="A3" s="226">
        <v>1</v>
      </c>
      <c r="B3" s="40" t="s">
        <v>136</v>
      </c>
      <c r="C3" s="41"/>
      <c r="D3" s="100" t="s">
        <v>135</v>
      </c>
      <c r="E3" s="101"/>
      <c r="F3" s="101"/>
      <c r="G3" s="102"/>
      <c r="H3" s="24">
        <f>SUM(I3)-3.4</f>
        <v>33.800000000000004</v>
      </c>
      <c r="I3" s="24">
        <f>SUM(J3)-3.4</f>
        <v>37.200000000000003</v>
      </c>
      <c r="J3" s="24">
        <f>SUM(K3)-3.4</f>
        <v>40.6</v>
      </c>
      <c r="K3" s="75">
        <v>44</v>
      </c>
      <c r="L3" s="76">
        <f>SUM(K3)+2.9</f>
        <v>46.9</v>
      </c>
      <c r="M3" s="76">
        <f>SUM(L3)+2.9</f>
        <v>49.8</v>
      </c>
      <c r="N3" s="214">
        <f>SUM(M3)+2.9</f>
        <v>52.699999999999996</v>
      </c>
    </row>
    <row r="4" spans="1:14" s="1" customFormat="1" ht="14.1" customHeight="1">
      <c r="A4" s="38"/>
      <c r="B4" s="56" t="s">
        <v>36</v>
      </c>
      <c r="C4" s="56"/>
      <c r="D4" s="47" t="s">
        <v>134</v>
      </c>
      <c r="E4" s="48"/>
      <c r="F4" s="48"/>
      <c r="G4" s="48"/>
      <c r="H4" s="36"/>
      <c r="I4" s="36"/>
      <c r="J4" s="36"/>
      <c r="K4" s="33"/>
      <c r="L4" s="24"/>
      <c r="M4" s="24"/>
      <c r="N4" s="88"/>
    </row>
    <row r="5" spans="1:14" s="1" customFormat="1" ht="14.1" customHeight="1">
      <c r="A5" s="38">
        <v>2</v>
      </c>
      <c r="B5" s="51" t="s">
        <v>43</v>
      </c>
      <c r="C5" s="52"/>
      <c r="D5" s="59" t="s">
        <v>44</v>
      </c>
      <c r="E5" s="60"/>
      <c r="F5" s="60"/>
      <c r="G5" s="61"/>
      <c r="H5" s="24">
        <f>SUM(I5)-2.2</f>
        <v>36.999999999999993</v>
      </c>
      <c r="I5" s="24">
        <f>SUM(J5)-2.2</f>
        <v>39.199999999999996</v>
      </c>
      <c r="J5" s="24">
        <f>SUM(K5)-2.2</f>
        <v>41.4</v>
      </c>
      <c r="K5" s="23">
        <v>43.6</v>
      </c>
      <c r="L5" s="21">
        <f>SUM(K5)+2</f>
        <v>45.6</v>
      </c>
      <c r="M5" s="21">
        <f>SUM(L5)+2</f>
        <v>47.6</v>
      </c>
      <c r="N5" s="215">
        <f>SUM(M5)+2</f>
        <v>49.6</v>
      </c>
    </row>
    <row r="6" spans="1:14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6"/>
      <c r="K6" s="23"/>
      <c r="L6" s="21"/>
      <c r="M6" s="21"/>
      <c r="N6" s="215"/>
    </row>
    <row r="7" spans="1:14" s="1" customFormat="1" ht="14.1" customHeight="1">
      <c r="A7" s="38">
        <v>3</v>
      </c>
      <c r="B7" s="51" t="s">
        <v>41</v>
      </c>
      <c r="C7" s="52"/>
      <c r="D7" s="59" t="s">
        <v>123</v>
      </c>
      <c r="E7" s="60"/>
      <c r="F7" s="60"/>
      <c r="G7" s="61"/>
      <c r="H7" s="24">
        <f>SUM(I7)-2.25</f>
        <v>38.25</v>
      </c>
      <c r="I7" s="24">
        <f>SUM(J7)-2.25</f>
        <v>40.5</v>
      </c>
      <c r="J7" s="24">
        <f>SUM(K7)-2.25</f>
        <v>42.75</v>
      </c>
      <c r="K7" s="33">
        <v>45</v>
      </c>
      <c r="L7" s="24">
        <f>SUM(K7)+2</f>
        <v>47</v>
      </c>
      <c r="M7" s="24">
        <f>SUM(L7)+2</f>
        <v>49</v>
      </c>
      <c r="N7" s="88">
        <f>SUM(M7)+2</f>
        <v>51</v>
      </c>
    </row>
    <row r="8" spans="1:14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6"/>
      <c r="K8" s="35"/>
      <c r="L8" s="36"/>
      <c r="M8" s="36"/>
      <c r="N8" s="87"/>
    </row>
    <row r="9" spans="1:14" s="1" customFormat="1" ht="14.1" customHeight="1">
      <c r="A9" s="38">
        <v>4</v>
      </c>
      <c r="B9" s="58" t="s">
        <v>227</v>
      </c>
      <c r="C9" s="58"/>
      <c r="D9" s="57"/>
      <c r="E9" s="57"/>
      <c r="F9" s="57"/>
      <c r="G9" s="57"/>
      <c r="H9" s="24">
        <f>SUM(I9)-3.5</f>
        <v>64.5</v>
      </c>
      <c r="I9" s="24">
        <f>SUM(J9)-3.5</f>
        <v>68</v>
      </c>
      <c r="J9" s="24">
        <f>SUM(K9)-3.5</f>
        <v>71.5</v>
      </c>
      <c r="K9" s="33">
        <v>75</v>
      </c>
      <c r="L9" s="24">
        <f>SUM(K9)+3.5</f>
        <v>78.5</v>
      </c>
      <c r="M9" s="24">
        <f>SUM(L9)+3.5</f>
        <v>82</v>
      </c>
      <c r="N9" s="88">
        <f>SUM(M9)+3.5</f>
        <v>85.5</v>
      </c>
    </row>
    <row r="10" spans="1:14" s="1" customFormat="1" ht="14.1" customHeight="1">
      <c r="A10" s="38"/>
      <c r="B10" s="56" t="s">
        <v>228</v>
      </c>
      <c r="C10" s="56"/>
      <c r="D10" s="47" t="s">
        <v>454</v>
      </c>
      <c r="E10" s="48"/>
      <c r="F10" s="48"/>
      <c r="G10" s="49"/>
      <c r="H10" s="36"/>
      <c r="I10" s="36"/>
      <c r="J10" s="36"/>
      <c r="K10" s="35"/>
      <c r="L10" s="36"/>
      <c r="M10" s="36"/>
      <c r="N10" s="87"/>
    </row>
    <row r="11" spans="1:14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SUM(I11)-0.8</f>
        <v>15.2</v>
      </c>
      <c r="I11" s="24">
        <f>SUM(J11)-0.8</f>
        <v>16</v>
      </c>
      <c r="J11" s="24">
        <f>SUM(K11)-0.8</f>
        <v>16.8</v>
      </c>
      <c r="K11" s="23">
        <v>17.600000000000001</v>
      </c>
      <c r="L11" s="21">
        <f>SUM(K11)+0.8</f>
        <v>18.400000000000002</v>
      </c>
      <c r="M11" s="21">
        <f>SUM(L11)+0.8</f>
        <v>19.200000000000003</v>
      </c>
      <c r="N11" s="215">
        <f>SUM(M11)+0.8</f>
        <v>20.000000000000004</v>
      </c>
    </row>
    <row r="12" spans="1:14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36"/>
      <c r="K12" s="23"/>
      <c r="L12" s="21"/>
      <c r="M12" s="21"/>
      <c r="N12" s="215"/>
    </row>
    <row r="13" spans="1:14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13.500000000000002</v>
      </c>
      <c r="I13" s="24">
        <f>SUM(J13)-0.6</f>
        <v>14.100000000000001</v>
      </c>
      <c r="J13" s="24">
        <f>SUM(K13)-0.6</f>
        <v>14.700000000000001</v>
      </c>
      <c r="K13" s="23">
        <v>15.3</v>
      </c>
      <c r="L13" s="21">
        <f>SUM(K13)+0.6</f>
        <v>15.9</v>
      </c>
      <c r="M13" s="21">
        <f>SUM(L13)+0.6</f>
        <v>16.5</v>
      </c>
      <c r="N13" s="215">
        <f>SUM(M13)+0.6</f>
        <v>17.100000000000001</v>
      </c>
    </row>
    <row r="14" spans="1:14" s="1" customFormat="1" ht="14.1" customHeight="1">
      <c r="A14" s="38"/>
      <c r="B14" s="56" t="s">
        <v>29</v>
      </c>
      <c r="C14" s="56"/>
      <c r="D14" s="47" t="s">
        <v>52</v>
      </c>
      <c r="E14" s="48"/>
      <c r="F14" s="48"/>
      <c r="G14" s="49"/>
      <c r="H14" s="36"/>
      <c r="I14" s="36"/>
      <c r="J14" s="36"/>
      <c r="K14" s="23"/>
      <c r="L14" s="21"/>
      <c r="M14" s="21"/>
      <c r="N14" s="215"/>
    </row>
    <row r="15" spans="1:14" s="1" customFormat="1" ht="14.1" customHeight="1">
      <c r="A15" s="38">
        <v>7</v>
      </c>
      <c r="B15" s="58" t="s">
        <v>2</v>
      </c>
      <c r="C15" s="58"/>
      <c r="D15" s="57"/>
      <c r="E15" s="57"/>
      <c r="F15" s="57"/>
      <c r="G15" s="57"/>
      <c r="H15" s="24">
        <f>SUM(I15)-0.3</f>
        <v>6.2</v>
      </c>
      <c r="I15" s="24">
        <f>SUM(J15)-0.3</f>
        <v>6.5</v>
      </c>
      <c r="J15" s="24">
        <f>SUM(K15)-0.3</f>
        <v>6.8</v>
      </c>
      <c r="K15" s="23">
        <v>7.1</v>
      </c>
      <c r="L15" s="21">
        <f>SUM(K15)+0.3</f>
        <v>7.3999999999999995</v>
      </c>
      <c r="M15" s="21">
        <f>SUM(L15)+0.3</f>
        <v>7.6999999999999993</v>
      </c>
      <c r="N15" s="215">
        <f>SUM(M15)+0.3</f>
        <v>7.9999999999999991</v>
      </c>
    </row>
    <row r="16" spans="1:14" s="1" customFormat="1" ht="14.1" customHeight="1">
      <c r="A16" s="38"/>
      <c r="B16" s="56" t="s">
        <v>30</v>
      </c>
      <c r="C16" s="56"/>
      <c r="D16" s="47" t="s">
        <v>208</v>
      </c>
      <c r="E16" s="48"/>
      <c r="F16" s="48"/>
      <c r="G16" s="49"/>
      <c r="H16" s="36"/>
      <c r="I16" s="36"/>
      <c r="J16" s="36"/>
      <c r="K16" s="23"/>
      <c r="L16" s="21"/>
      <c r="M16" s="21"/>
      <c r="N16" s="215"/>
    </row>
    <row r="17" spans="1:14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34.799999999999997</v>
      </c>
      <c r="I17" s="24">
        <f>SUM(J17)-1.6</f>
        <v>36.4</v>
      </c>
      <c r="J17" s="24">
        <f>SUM(K17)-1.6</f>
        <v>38</v>
      </c>
      <c r="K17" s="23">
        <v>39.6</v>
      </c>
      <c r="L17" s="21">
        <f>SUM(K17)+1.6</f>
        <v>41.2</v>
      </c>
      <c r="M17" s="21">
        <f>SUM(L17)+1.6</f>
        <v>42.800000000000004</v>
      </c>
      <c r="N17" s="215">
        <f>SUM(M17)+1.6</f>
        <v>44.400000000000006</v>
      </c>
    </row>
    <row r="18" spans="1:14" s="1" customFormat="1" ht="14.1" customHeight="1">
      <c r="A18" s="38"/>
      <c r="B18" s="56" t="s">
        <v>37</v>
      </c>
      <c r="C18" s="56"/>
      <c r="D18" s="89" t="s">
        <v>465</v>
      </c>
      <c r="E18" s="90"/>
      <c r="F18" s="90"/>
      <c r="G18" s="91"/>
      <c r="H18" s="36"/>
      <c r="I18" s="36"/>
      <c r="J18" s="36"/>
      <c r="K18" s="23"/>
      <c r="L18" s="21"/>
      <c r="M18" s="21"/>
      <c r="N18" s="215"/>
    </row>
    <row r="19" spans="1:14" s="1" customFormat="1" ht="14.1" customHeight="1">
      <c r="A19" s="38">
        <v>9</v>
      </c>
      <c r="B19" s="58" t="s">
        <v>4</v>
      </c>
      <c r="C19" s="58"/>
      <c r="D19" s="57" t="s">
        <v>5</v>
      </c>
      <c r="E19" s="57"/>
      <c r="F19" s="57"/>
      <c r="G19" s="57"/>
      <c r="H19" s="24">
        <f>SUM(I19)-3.4</f>
        <v>23.500000000000007</v>
      </c>
      <c r="I19" s="24">
        <f>SUM(J19)-3.4</f>
        <v>26.900000000000006</v>
      </c>
      <c r="J19" s="24">
        <f>SUM(K19)-3.4</f>
        <v>30.300000000000004</v>
      </c>
      <c r="K19" s="23">
        <v>33.700000000000003</v>
      </c>
      <c r="L19" s="21">
        <f>SUM(K19)+3.5</f>
        <v>37.200000000000003</v>
      </c>
      <c r="M19" s="21">
        <f>SUM(L19)+3.5</f>
        <v>40.700000000000003</v>
      </c>
      <c r="N19" s="215">
        <f>SUM(M19)+3.5</f>
        <v>44.2</v>
      </c>
    </row>
    <row r="20" spans="1:14" s="1" customFormat="1" ht="14.1" customHeight="1">
      <c r="A20" s="38"/>
      <c r="B20" s="56" t="s">
        <v>31</v>
      </c>
      <c r="C20" s="56"/>
      <c r="D20" s="47" t="s">
        <v>54</v>
      </c>
      <c r="E20" s="48"/>
      <c r="F20" s="48"/>
      <c r="G20" s="49"/>
      <c r="H20" s="36"/>
      <c r="I20" s="36"/>
      <c r="J20" s="36"/>
      <c r="K20" s="23"/>
      <c r="L20" s="21"/>
      <c r="M20" s="21"/>
      <c r="N20" s="215"/>
    </row>
    <row r="21" spans="1:14" s="1" customFormat="1" ht="14.1" customHeight="1">
      <c r="A21" s="38">
        <v>10</v>
      </c>
      <c r="B21" s="58" t="s">
        <v>6</v>
      </c>
      <c r="C21" s="58"/>
      <c r="D21" s="59" t="s">
        <v>7</v>
      </c>
      <c r="E21" s="60"/>
      <c r="F21" s="60"/>
      <c r="G21" s="61"/>
      <c r="H21" s="24">
        <f>SUM(I21)-1.6</f>
        <v>30.4</v>
      </c>
      <c r="I21" s="24">
        <f>SUM(J21)-1.6</f>
        <v>32</v>
      </c>
      <c r="J21" s="24">
        <f>SUM(K21)-1.6</f>
        <v>33.6</v>
      </c>
      <c r="K21" s="23">
        <v>35.200000000000003</v>
      </c>
      <c r="L21" s="21">
        <f>SUM(K21)+1.6</f>
        <v>36.800000000000004</v>
      </c>
      <c r="M21" s="21">
        <f>SUM(L21)+1.6</f>
        <v>38.400000000000006</v>
      </c>
      <c r="N21" s="215">
        <f>SUM(M21)+1.6</f>
        <v>40.000000000000007</v>
      </c>
    </row>
    <row r="22" spans="1:14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9"/>
      <c r="H22" s="36"/>
      <c r="I22" s="36"/>
      <c r="J22" s="36"/>
      <c r="K22" s="23"/>
      <c r="L22" s="21"/>
      <c r="M22" s="21"/>
      <c r="N22" s="215"/>
    </row>
    <row r="23" spans="1:14" s="1" customFormat="1" ht="14.1" customHeight="1">
      <c r="A23" s="38">
        <v>11</v>
      </c>
      <c r="B23" s="51" t="s">
        <v>230</v>
      </c>
      <c r="C23" s="52"/>
      <c r="D23" s="57"/>
      <c r="E23" s="57"/>
      <c r="F23" s="57"/>
      <c r="G23" s="57"/>
      <c r="H23" s="24">
        <f>SUM(I23)-0.6</f>
        <v>16.199999999999996</v>
      </c>
      <c r="I23" s="24">
        <f>SUM(J23)-0.6</f>
        <v>16.799999999999997</v>
      </c>
      <c r="J23" s="24">
        <f>SUM(K23)-0.6</f>
        <v>17.399999999999999</v>
      </c>
      <c r="K23" s="23">
        <v>18</v>
      </c>
      <c r="L23" s="21">
        <f>SUM(K23)+0.6</f>
        <v>18.600000000000001</v>
      </c>
      <c r="M23" s="21">
        <f>SUM(L23)+0.6</f>
        <v>19.200000000000003</v>
      </c>
      <c r="N23" s="215">
        <f>SUM(M23)+0.6</f>
        <v>19.800000000000004</v>
      </c>
    </row>
    <row r="24" spans="1:14" s="1" customFormat="1" ht="14.1" customHeight="1">
      <c r="A24" s="38"/>
      <c r="B24" s="56" t="s">
        <v>231</v>
      </c>
      <c r="C24" s="56"/>
      <c r="D24" s="47" t="s">
        <v>397</v>
      </c>
      <c r="E24" s="48"/>
      <c r="F24" s="48"/>
      <c r="G24" s="49"/>
      <c r="H24" s="36"/>
      <c r="I24" s="36"/>
      <c r="J24" s="36"/>
      <c r="K24" s="23"/>
      <c r="L24" s="21"/>
      <c r="M24" s="21"/>
      <c r="N24" s="215"/>
    </row>
    <row r="25" spans="1:14" s="1" customFormat="1" ht="14.1" customHeight="1">
      <c r="A25" s="38">
        <v>12</v>
      </c>
      <c r="B25" s="51" t="s">
        <v>455</v>
      </c>
      <c r="C25" s="52"/>
      <c r="D25" s="57"/>
      <c r="E25" s="57"/>
      <c r="F25" s="57"/>
      <c r="G25" s="57"/>
      <c r="H25" s="24">
        <f>SUM(I25)-0.5</f>
        <v>10</v>
      </c>
      <c r="I25" s="24">
        <f>SUM(J25)-0.5</f>
        <v>10.5</v>
      </c>
      <c r="J25" s="24">
        <f>SUM(K25)-0.5</f>
        <v>11</v>
      </c>
      <c r="K25" s="33">
        <v>11.5</v>
      </c>
      <c r="L25" s="24">
        <f>SUM(K25)+0.5</f>
        <v>12</v>
      </c>
      <c r="M25" s="24">
        <f>SUM(L25)+0.5</f>
        <v>12.5</v>
      </c>
      <c r="N25" s="88">
        <f>SUM(M25)+0.5</f>
        <v>13</v>
      </c>
    </row>
    <row r="26" spans="1:14" s="1" customFormat="1" ht="14.1" customHeight="1">
      <c r="A26" s="38"/>
      <c r="B26" s="45" t="s">
        <v>210</v>
      </c>
      <c r="C26" s="46"/>
      <c r="D26" s="47"/>
      <c r="E26" s="48"/>
      <c r="F26" s="48"/>
      <c r="G26" s="49"/>
      <c r="H26" s="36"/>
      <c r="I26" s="36"/>
      <c r="J26" s="36"/>
      <c r="K26" s="35"/>
      <c r="L26" s="36"/>
      <c r="M26" s="36"/>
      <c r="N26" s="87"/>
    </row>
    <row r="27" spans="1:14" s="1" customFormat="1" ht="14.1" customHeight="1">
      <c r="A27" s="38">
        <v>13</v>
      </c>
      <c r="B27" s="40" t="s">
        <v>89</v>
      </c>
      <c r="C27" s="41"/>
      <c r="D27" s="101" t="s">
        <v>128</v>
      </c>
      <c r="E27" s="101"/>
      <c r="F27" s="101"/>
      <c r="G27" s="101"/>
      <c r="H27" s="24">
        <f>SUM(I27)-0.2</f>
        <v>3.1999999999999993</v>
      </c>
      <c r="I27" s="24">
        <f>SUM(J27)-0.2</f>
        <v>3.3999999999999995</v>
      </c>
      <c r="J27" s="24">
        <f>SUM(K27)-0.2</f>
        <v>3.5999999999999996</v>
      </c>
      <c r="K27" s="23">
        <v>3.8</v>
      </c>
      <c r="L27" s="21">
        <f>SUM(K27)+0.2</f>
        <v>4</v>
      </c>
      <c r="M27" s="21">
        <f>SUM(L27)+0.2</f>
        <v>4.2</v>
      </c>
      <c r="N27" s="215">
        <f>SUM(M27)+0.2</f>
        <v>4.4000000000000004</v>
      </c>
    </row>
    <row r="28" spans="1:14" s="1" customFormat="1" ht="14.1" customHeight="1">
      <c r="A28" s="154"/>
      <c r="B28" s="141" t="s">
        <v>39</v>
      </c>
      <c r="C28" s="141"/>
      <c r="D28" s="100" t="s">
        <v>127</v>
      </c>
      <c r="E28" s="101"/>
      <c r="F28" s="101"/>
      <c r="G28" s="102"/>
      <c r="H28" s="50"/>
      <c r="I28" s="50"/>
      <c r="J28" s="50"/>
      <c r="K28" s="33"/>
      <c r="L28" s="24"/>
      <c r="M28" s="24"/>
      <c r="N28" s="88"/>
    </row>
    <row r="29" spans="1:14" s="1" customFormat="1" ht="14.1" customHeight="1">
      <c r="A29" s="38">
        <v>14</v>
      </c>
      <c r="B29" s="51" t="s">
        <v>234</v>
      </c>
      <c r="C29" s="52"/>
      <c r="D29" s="57"/>
      <c r="E29" s="57"/>
      <c r="F29" s="57"/>
      <c r="G29" s="57"/>
      <c r="H29" s="24">
        <v>32</v>
      </c>
      <c r="I29" s="24">
        <v>35</v>
      </c>
      <c r="J29" s="24">
        <v>38.5</v>
      </c>
      <c r="K29" s="33">
        <v>42</v>
      </c>
      <c r="L29" s="24">
        <v>45</v>
      </c>
      <c r="M29" s="24">
        <v>48</v>
      </c>
      <c r="N29" s="88">
        <v>50.5</v>
      </c>
    </row>
    <row r="30" spans="1:14" s="1" customFormat="1" ht="14.1" customHeight="1">
      <c r="A30" s="38"/>
      <c r="B30" s="45" t="s">
        <v>235</v>
      </c>
      <c r="C30" s="46"/>
      <c r="D30" s="47" t="s">
        <v>236</v>
      </c>
      <c r="E30" s="48"/>
      <c r="F30" s="48"/>
      <c r="G30" s="49"/>
      <c r="H30" s="36"/>
      <c r="I30" s="36"/>
      <c r="J30" s="36"/>
      <c r="K30" s="35"/>
      <c r="L30" s="36"/>
      <c r="M30" s="36"/>
      <c r="N30" s="87"/>
    </row>
    <row r="31" spans="1:14" s="1" customFormat="1" ht="14.1" customHeight="1">
      <c r="A31" s="38">
        <v>15</v>
      </c>
      <c r="B31" s="51" t="s">
        <v>176</v>
      </c>
      <c r="C31" s="52"/>
      <c r="D31" s="53"/>
      <c r="E31" s="54"/>
      <c r="F31" s="54"/>
      <c r="G31" s="55"/>
      <c r="H31" s="24">
        <f>SUM(I31)-0.6</f>
        <v>9.6000000000000014</v>
      </c>
      <c r="I31" s="24">
        <f>SUM(J31)-0.6</f>
        <v>10.200000000000001</v>
      </c>
      <c r="J31" s="24">
        <f>SUM(K31)-0.6</f>
        <v>10.8</v>
      </c>
      <c r="K31" s="23">
        <v>11.4</v>
      </c>
      <c r="L31" s="21">
        <f>SUM(K31)+0.6</f>
        <v>12</v>
      </c>
      <c r="M31" s="21">
        <f>SUM(L31)+0.6</f>
        <v>12.6</v>
      </c>
      <c r="N31" s="215">
        <f>SUM(M31)+0.6</f>
        <v>13.2</v>
      </c>
    </row>
    <row r="32" spans="1:14" s="1" customFormat="1" ht="14.1" customHeight="1">
      <c r="A32" s="154"/>
      <c r="B32" s="45" t="s">
        <v>175</v>
      </c>
      <c r="C32" s="46"/>
      <c r="D32" s="47" t="s">
        <v>212</v>
      </c>
      <c r="E32" s="48"/>
      <c r="F32" s="48"/>
      <c r="G32" s="49"/>
      <c r="H32" s="50"/>
      <c r="I32" s="50"/>
      <c r="J32" s="50"/>
      <c r="K32" s="33"/>
      <c r="L32" s="24"/>
      <c r="M32" s="24"/>
      <c r="N32" s="88"/>
    </row>
    <row r="33" spans="1:14" s="1" customFormat="1" ht="14.1" customHeight="1">
      <c r="A33" s="38">
        <v>16</v>
      </c>
      <c r="B33" s="40" t="s">
        <v>174</v>
      </c>
      <c r="C33" s="41"/>
      <c r="D33" s="42" t="s">
        <v>106</v>
      </c>
      <c r="E33" s="43"/>
      <c r="F33" s="43"/>
      <c r="G33" s="44"/>
      <c r="H33" s="24">
        <f>SUM(I33)-0.4</f>
        <v>2.8000000000000003</v>
      </c>
      <c r="I33" s="24">
        <f>SUM(J33)-0.4</f>
        <v>3.2</v>
      </c>
      <c r="J33" s="24">
        <f>SUM(K33)-0.4</f>
        <v>3.6</v>
      </c>
      <c r="K33" s="23">
        <v>4</v>
      </c>
      <c r="L33" s="21">
        <f>SUM(K33)+0.4</f>
        <v>4.4000000000000004</v>
      </c>
      <c r="M33" s="21">
        <f>SUM(L33)+0.4</f>
        <v>4.8000000000000007</v>
      </c>
      <c r="N33" s="215">
        <f>SUM(M33)+0.4</f>
        <v>5.2000000000000011</v>
      </c>
    </row>
    <row r="34" spans="1:14" s="1" customFormat="1" ht="14.1" customHeight="1">
      <c r="A34" s="38"/>
      <c r="B34" s="45" t="s">
        <v>173</v>
      </c>
      <c r="C34" s="46"/>
      <c r="D34" s="47" t="s">
        <v>846</v>
      </c>
      <c r="E34" s="48"/>
      <c r="F34" s="48"/>
      <c r="G34" s="49"/>
      <c r="H34" s="50"/>
      <c r="I34" s="50"/>
      <c r="J34" s="50"/>
      <c r="K34" s="33"/>
      <c r="L34" s="24"/>
      <c r="M34" s="24"/>
      <c r="N34" s="88"/>
    </row>
    <row r="35" spans="1:14" s="1" customFormat="1" ht="14.1" customHeight="1">
      <c r="A35" s="38">
        <v>17</v>
      </c>
      <c r="B35" s="40"/>
      <c r="C35" s="41"/>
      <c r="D35" s="101"/>
      <c r="E35" s="101"/>
      <c r="F35" s="101"/>
      <c r="G35" s="101"/>
      <c r="H35" s="24"/>
      <c r="I35" s="24"/>
      <c r="J35" s="24"/>
      <c r="K35" s="23"/>
      <c r="L35" s="21"/>
      <c r="M35" s="21"/>
      <c r="N35" s="215"/>
    </row>
    <row r="36" spans="1:14" ht="14.1" customHeight="1">
      <c r="A36" s="154"/>
      <c r="B36" s="45"/>
      <c r="C36" s="46"/>
      <c r="D36" s="100"/>
      <c r="E36" s="101"/>
      <c r="F36" s="101"/>
      <c r="G36" s="102"/>
      <c r="H36" s="50"/>
      <c r="I36" s="50"/>
      <c r="J36" s="50"/>
      <c r="K36" s="33"/>
      <c r="L36" s="24"/>
      <c r="M36" s="24"/>
      <c r="N36" s="88"/>
    </row>
    <row r="37" spans="1:14" ht="14.1" customHeight="1">
      <c r="A37" s="38">
        <v>18</v>
      </c>
      <c r="B37" s="51"/>
      <c r="C37" s="52"/>
      <c r="D37" s="57"/>
      <c r="E37" s="57"/>
      <c r="F37" s="57"/>
      <c r="G37" s="57"/>
      <c r="H37" s="24"/>
      <c r="I37" s="24"/>
      <c r="J37" s="24"/>
      <c r="K37" s="33"/>
      <c r="L37" s="24"/>
      <c r="M37" s="24"/>
      <c r="N37" s="88"/>
    </row>
    <row r="38" spans="1:14" ht="14.1" customHeight="1">
      <c r="A38" s="38"/>
      <c r="B38" s="45"/>
      <c r="C38" s="46"/>
      <c r="D38" s="47"/>
      <c r="E38" s="48"/>
      <c r="F38" s="48"/>
      <c r="G38" s="49"/>
      <c r="H38" s="36"/>
      <c r="I38" s="36"/>
      <c r="J38" s="36"/>
      <c r="K38" s="35"/>
      <c r="L38" s="36"/>
      <c r="M38" s="36"/>
      <c r="N38" s="87"/>
    </row>
    <row r="39" spans="1:14" ht="14.1" customHeight="1">
      <c r="A39" s="38">
        <v>19</v>
      </c>
      <c r="B39" s="40"/>
      <c r="C39" s="41"/>
      <c r="D39" s="101"/>
      <c r="E39" s="101"/>
      <c r="F39" s="101"/>
      <c r="G39" s="101"/>
      <c r="H39" s="24"/>
      <c r="I39" s="24"/>
      <c r="J39" s="24"/>
      <c r="K39" s="23"/>
      <c r="L39" s="21"/>
      <c r="M39" s="21"/>
      <c r="N39" s="215"/>
    </row>
    <row r="40" spans="1:14" ht="14.1" customHeight="1" thickBot="1">
      <c r="A40" s="39"/>
      <c r="B40" s="110"/>
      <c r="C40" s="110"/>
      <c r="D40" s="30"/>
      <c r="E40" s="31"/>
      <c r="F40" s="31"/>
      <c r="G40" s="32"/>
      <c r="H40" s="25"/>
      <c r="I40" s="25"/>
      <c r="J40" s="25"/>
      <c r="K40" s="218"/>
      <c r="L40" s="216"/>
      <c r="M40" s="216"/>
      <c r="N40" s="217"/>
    </row>
    <row r="41" spans="1:14" ht="14.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4.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4.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31">
    <mergeCell ref="L33:L34"/>
    <mergeCell ref="M33:M34"/>
    <mergeCell ref="N33:N34"/>
    <mergeCell ref="L31:L32"/>
    <mergeCell ref="M31:M32"/>
    <mergeCell ref="N31:N32"/>
    <mergeCell ref="L29:L30"/>
    <mergeCell ref="M29:M30"/>
    <mergeCell ref="N29:N30"/>
    <mergeCell ref="L39:L40"/>
    <mergeCell ref="M39:M40"/>
    <mergeCell ref="N39:N40"/>
    <mergeCell ref="L37:L38"/>
    <mergeCell ref="M37:M38"/>
    <mergeCell ref="N37:N38"/>
    <mergeCell ref="L35:L36"/>
    <mergeCell ref="M35:M36"/>
    <mergeCell ref="N35:N36"/>
    <mergeCell ref="B40:C40"/>
    <mergeCell ref="D40:G40"/>
    <mergeCell ref="H39:H40"/>
    <mergeCell ref="A39:A40"/>
    <mergeCell ref="B39:C39"/>
    <mergeCell ref="D39:G39"/>
    <mergeCell ref="I39:I40"/>
    <mergeCell ref="J39:J40"/>
    <mergeCell ref="K39:K40"/>
    <mergeCell ref="B38:C38"/>
    <mergeCell ref="D38:G38"/>
    <mergeCell ref="H37:H38"/>
    <mergeCell ref="A37:A38"/>
    <mergeCell ref="B37:C37"/>
    <mergeCell ref="D37:G37"/>
    <mergeCell ref="I37:I38"/>
    <mergeCell ref="J37:J38"/>
    <mergeCell ref="K37:K38"/>
    <mergeCell ref="B36:C36"/>
    <mergeCell ref="D36:G36"/>
    <mergeCell ref="H35:H36"/>
    <mergeCell ref="A35:A36"/>
    <mergeCell ref="B35:C35"/>
    <mergeCell ref="D35:G35"/>
    <mergeCell ref="I35:I36"/>
    <mergeCell ref="J35:J36"/>
    <mergeCell ref="K35:K36"/>
    <mergeCell ref="B34:C34"/>
    <mergeCell ref="D34:G34"/>
    <mergeCell ref="H33:H34"/>
    <mergeCell ref="A33:A34"/>
    <mergeCell ref="B33:C33"/>
    <mergeCell ref="D33:G33"/>
    <mergeCell ref="I33:I34"/>
    <mergeCell ref="J33:J34"/>
    <mergeCell ref="K33:K34"/>
    <mergeCell ref="B32:C32"/>
    <mergeCell ref="D32:G32"/>
    <mergeCell ref="H31:H32"/>
    <mergeCell ref="A31:A32"/>
    <mergeCell ref="B31:C31"/>
    <mergeCell ref="D31:G31"/>
    <mergeCell ref="I31:I32"/>
    <mergeCell ref="J31:J32"/>
    <mergeCell ref="K31:K32"/>
    <mergeCell ref="B30:C30"/>
    <mergeCell ref="D30:G30"/>
    <mergeCell ref="H29:H30"/>
    <mergeCell ref="A29:A30"/>
    <mergeCell ref="B29:C29"/>
    <mergeCell ref="D29:G29"/>
    <mergeCell ref="I29:I30"/>
    <mergeCell ref="J29:J30"/>
    <mergeCell ref="K29:K30"/>
    <mergeCell ref="L27:L28"/>
    <mergeCell ref="M27:M28"/>
    <mergeCell ref="N27:N28"/>
    <mergeCell ref="B28:C28"/>
    <mergeCell ref="D28:G28"/>
    <mergeCell ref="H27:H28"/>
    <mergeCell ref="A27:A28"/>
    <mergeCell ref="B27:C27"/>
    <mergeCell ref="D27:G27"/>
    <mergeCell ref="I27:I28"/>
    <mergeCell ref="J27:J28"/>
    <mergeCell ref="K27:K28"/>
    <mergeCell ref="L25:L26"/>
    <mergeCell ref="M25:M26"/>
    <mergeCell ref="N25:N26"/>
    <mergeCell ref="B26:C26"/>
    <mergeCell ref="D26:G26"/>
    <mergeCell ref="H25:H26"/>
    <mergeCell ref="A25:A26"/>
    <mergeCell ref="B25:C25"/>
    <mergeCell ref="D25:G25"/>
    <mergeCell ref="I25:I26"/>
    <mergeCell ref="J25:J26"/>
    <mergeCell ref="K25:K26"/>
    <mergeCell ref="L23:L24"/>
    <mergeCell ref="M23:M24"/>
    <mergeCell ref="N23:N24"/>
    <mergeCell ref="B24:C24"/>
    <mergeCell ref="D24:G24"/>
    <mergeCell ref="H23:H24"/>
    <mergeCell ref="A23:A24"/>
    <mergeCell ref="B23:C23"/>
    <mergeCell ref="D23:G23"/>
    <mergeCell ref="I23:I24"/>
    <mergeCell ref="J23:J24"/>
    <mergeCell ref="K23:K24"/>
    <mergeCell ref="L21:L22"/>
    <mergeCell ref="M21:M22"/>
    <mergeCell ref="N21:N22"/>
    <mergeCell ref="B22:C22"/>
    <mergeCell ref="D22:G22"/>
    <mergeCell ref="H21:H22"/>
    <mergeCell ref="A21:A22"/>
    <mergeCell ref="B21:C21"/>
    <mergeCell ref="D21:G21"/>
    <mergeCell ref="I21:I22"/>
    <mergeCell ref="J21:J22"/>
    <mergeCell ref="K21:K22"/>
    <mergeCell ref="L19:L20"/>
    <mergeCell ref="M19:M20"/>
    <mergeCell ref="N19:N20"/>
    <mergeCell ref="B20:C20"/>
    <mergeCell ref="D20:G20"/>
    <mergeCell ref="H19:H20"/>
    <mergeCell ref="A19:A20"/>
    <mergeCell ref="B19:C19"/>
    <mergeCell ref="D19:G19"/>
    <mergeCell ref="I19:I20"/>
    <mergeCell ref="J19:J20"/>
    <mergeCell ref="K19:K20"/>
    <mergeCell ref="L17:L18"/>
    <mergeCell ref="M17:M18"/>
    <mergeCell ref="N17:N18"/>
    <mergeCell ref="B18:C18"/>
    <mergeCell ref="D18:G18"/>
    <mergeCell ref="H17:H18"/>
    <mergeCell ref="A17:A18"/>
    <mergeCell ref="B17:C17"/>
    <mergeCell ref="D17:G17"/>
    <mergeCell ref="I17:I18"/>
    <mergeCell ref="J17:J18"/>
    <mergeCell ref="K17:K18"/>
    <mergeCell ref="L15:L16"/>
    <mergeCell ref="M15:M16"/>
    <mergeCell ref="N15:N16"/>
    <mergeCell ref="B16:C16"/>
    <mergeCell ref="D16:G16"/>
    <mergeCell ref="H15:H16"/>
    <mergeCell ref="A15:A16"/>
    <mergeCell ref="B15:C15"/>
    <mergeCell ref="D15:G15"/>
    <mergeCell ref="I15:I16"/>
    <mergeCell ref="J15:J16"/>
    <mergeCell ref="K15:K16"/>
    <mergeCell ref="L13:L14"/>
    <mergeCell ref="M13:M14"/>
    <mergeCell ref="N13:N14"/>
    <mergeCell ref="B14:C14"/>
    <mergeCell ref="D14:G14"/>
    <mergeCell ref="A13:A14"/>
    <mergeCell ref="B13:C13"/>
    <mergeCell ref="D13:G13"/>
    <mergeCell ref="I13:I14"/>
    <mergeCell ref="J13:J14"/>
    <mergeCell ref="K13:K14"/>
    <mergeCell ref="H13:H14"/>
    <mergeCell ref="L11:L12"/>
    <mergeCell ref="M11:M12"/>
    <mergeCell ref="N11:N12"/>
    <mergeCell ref="B12:C12"/>
    <mergeCell ref="D12:G12"/>
    <mergeCell ref="A11:A12"/>
    <mergeCell ref="B11:C11"/>
    <mergeCell ref="D11:G11"/>
    <mergeCell ref="I11:I12"/>
    <mergeCell ref="J11:J12"/>
    <mergeCell ref="K11:K12"/>
    <mergeCell ref="H11:H12"/>
    <mergeCell ref="A5:A6"/>
    <mergeCell ref="B5:C5"/>
    <mergeCell ref="D5:G5"/>
    <mergeCell ref="L5:L6"/>
    <mergeCell ref="M5:M6"/>
    <mergeCell ref="N5:N6"/>
    <mergeCell ref="L9:L10"/>
    <mergeCell ref="M9:M10"/>
    <mergeCell ref="N9:N10"/>
    <mergeCell ref="B10:C10"/>
    <mergeCell ref="D10:G10"/>
    <mergeCell ref="A9:A10"/>
    <mergeCell ref="B9:C9"/>
    <mergeCell ref="D9:G9"/>
    <mergeCell ref="I9:I10"/>
    <mergeCell ref="J9:J10"/>
    <mergeCell ref="K9:K10"/>
    <mergeCell ref="H9:H10"/>
    <mergeCell ref="L7:L8"/>
    <mergeCell ref="M7:M8"/>
    <mergeCell ref="N7:N8"/>
    <mergeCell ref="B8:C8"/>
    <mergeCell ref="D8:G8"/>
    <mergeCell ref="A7:A8"/>
    <mergeCell ref="N3:N4"/>
    <mergeCell ref="B4:C4"/>
    <mergeCell ref="A1:N1"/>
    <mergeCell ref="B2:C2"/>
    <mergeCell ref="D2:G2"/>
    <mergeCell ref="A3:A4"/>
    <mergeCell ref="B3:C3"/>
    <mergeCell ref="D3:G3"/>
    <mergeCell ref="I3:I4"/>
    <mergeCell ref="J3:J4"/>
    <mergeCell ref="K3:K4"/>
    <mergeCell ref="L3:L4"/>
    <mergeCell ref="D4:G4"/>
    <mergeCell ref="H3:H4"/>
    <mergeCell ref="I5:I6"/>
    <mergeCell ref="J5:J6"/>
    <mergeCell ref="K5:K6"/>
    <mergeCell ref="J7:J8"/>
    <mergeCell ref="K7:K8"/>
    <mergeCell ref="H7:H8"/>
    <mergeCell ref="B6:C6"/>
    <mergeCell ref="D6:G6"/>
    <mergeCell ref="M3:M4"/>
    <mergeCell ref="H5:H6"/>
    <mergeCell ref="B7:C7"/>
    <mergeCell ref="D7:G7"/>
    <mergeCell ref="I7:I8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DD1F9-5243-41F6-AC24-815A88700467}">
  <sheetPr>
    <tabColor rgb="FF00B050"/>
    <pageSetUpPr fitToPage="1"/>
  </sheetPr>
  <dimension ref="A1:N51"/>
  <sheetViews>
    <sheetView zoomScale="110" zoomScaleNormal="110" workbookViewId="0">
      <selection activeCell="N29" sqref="N29:N3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28" t="s">
        <v>685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30"/>
    </row>
    <row r="2" spans="1:14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  <c r="N2" s="9" t="s">
        <v>229</v>
      </c>
    </row>
    <row r="3" spans="1:14" s="1" customFormat="1" ht="14.1" customHeight="1">
      <c r="A3" s="71">
        <v>1</v>
      </c>
      <c r="B3" s="72" t="s">
        <v>45</v>
      </c>
      <c r="C3" s="72"/>
      <c r="D3" s="73" t="s">
        <v>75</v>
      </c>
      <c r="E3" s="73"/>
      <c r="F3" s="73"/>
      <c r="G3" s="74"/>
      <c r="H3" s="24">
        <f>SUM(I3)-2.5</f>
        <v>33.5</v>
      </c>
      <c r="I3" s="24">
        <f>SUM(J3)-2.5</f>
        <v>36</v>
      </c>
      <c r="J3" s="75">
        <v>38.5</v>
      </c>
      <c r="K3" s="85">
        <f>SUM(J3)+2.5</f>
        <v>41</v>
      </c>
      <c r="L3" s="85">
        <f>SUM(K3)+2.5</f>
        <v>43.5</v>
      </c>
      <c r="M3" s="85">
        <f>SUM(L3)+2.5</f>
        <v>46</v>
      </c>
      <c r="N3" s="131">
        <f>SUM(M3)+2.5</f>
        <v>48.5</v>
      </c>
    </row>
    <row r="4" spans="1:14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36"/>
      <c r="L4" s="36"/>
      <c r="M4" s="36"/>
      <c r="N4" s="122"/>
    </row>
    <row r="5" spans="1:14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SUM(I5)-1.4</f>
        <v>25.200000000000003</v>
      </c>
      <c r="I5" s="24">
        <f>SUM(J5)-1.4</f>
        <v>26.6</v>
      </c>
      <c r="J5" s="33">
        <v>28</v>
      </c>
      <c r="K5" s="24">
        <f>SUM(J5)+1.4</f>
        <v>29.4</v>
      </c>
      <c r="L5" s="24">
        <f>SUM(K5)+1.4</f>
        <v>30.799999999999997</v>
      </c>
      <c r="M5" s="24">
        <f>SUM(L5)+1.4</f>
        <v>32.199999999999996</v>
      </c>
      <c r="N5" s="121">
        <f>SUM(M5)+1.4</f>
        <v>33.599999999999994</v>
      </c>
    </row>
    <row r="6" spans="1:14" s="1" customFormat="1" ht="14.1" customHeight="1">
      <c r="A6" s="38"/>
      <c r="B6" s="56" t="s">
        <v>26</v>
      </c>
      <c r="C6" s="56"/>
      <c r="D6" s="47" t="s">
        <v>153</v>
      </c>
      <c r="E6" s="48"/>
      <c r="F6" s="48"/>
      <c r="G6" s="49"/>
      <c r="H6" s="36"/>
      <c r="I6" s="36"/>
      <c r="J6" s="35"/>
      <c r="K6" s="36"/>
      <c r="L6" s="36"/>
      <c r="M6" s="36"/>
      <c r="N6" s="122"/>
    </row>
    <row r="7" spans="1:14" s="1" customFormat="1" ht="14.1" customHeight="1">
      <c r="A7" s="38">
        <v>3</v>
      </c>
      <c r="B7" s="58" t="s">
        <v>41</v>
      </c>
      <c r="C7" s="58"/>
      <c r="D7" s="57" t="s">
        <v>123</v>
      </c>
      <c r="E7" s="57"/>
      <c r="F7" s="57"/>
      <c r="G7" s="57"/>
      <c r="H7" s="24">
        <f>SUM(I7)-2</f>
        <v>38</v>
      </c>
      <c r="I7" s="24">
        <f>SUM(J7)-2</f>
        <v>40</v>
      </c>
      <c r="J7" s="33">
        <v>42</v>
      </c>
      <c r="K7" s="24">
        <f>SUM(J7)+2</f>
        <v>44</v>
      </c>
      <c r="L7" s="24">
        <f>SUM(K7)+2</f>
        <v>46</v>
      </c>
      <c r="M7" s="24">
        <f>SUM(L7)+2</f>
        <v>48</v>
      </c>
      <c r="N7" s="121">
        <f>SUM(M7)+2</f>
        <v>50</v>
      </c>
    </row>
    <row r="8" spans="1:14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36"/>
      <c r="N8" s="122"/>
    </row>
    <row r="9" spans="1:14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SUM(I9)-2</f>
        <v>28.5</v>
      </c>
      <c r="I9" s="24">
        <f>SUM(J9)-2</f>
        <v>30.5</v>
      </c>
      <c r="J9" s="33">
        <v>32.5</v>
      </c>
      <c r="K9" s="24">
        <f>SUM(J9)+2</f>
        <v>34.5</v>
      </c>
      <c r="L9" s="24">
        <f>SUM(K9)+2</f>
        <v>36.5</v>
      </c>
      <c r="M9" s="24">
        <f>SUM(L9)+2</f>
        <v>38.5</v>
      </c>
      <c r="N9" s="121">
        <f>SUM(M9)+2</f>
        <v>40.5</v>
      </c>
    </row>
    <row r="10" spans="1:14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6"/>
      <c r="N10" s="122"/>
    </row>
    <row r="11" spans="1:14" s="1" customFormat="1" ht="14.1" customHeight="1">
      <c r="A11" s="38">
        <v>5</v>
      </c>
      <c r="B11" s="58" t="s">
        <v>359</v>
      </c>
      <c r="C11" s="58"/>
      <c r="D11" s="57"/>
      <c r="E11" s="57"/>
      <c r="F11" s="57"/>
      <c r="G11" s="57"/>
      <c r="H11" s="24">
        <f>SUM(I11)</f>
        <v>5</v>
      </c>
      <c r="I11" s="24">
        <f>SUM(J11)</f>
        <v>5</v>
      </c>
      <c r="J11" s="33">
        <v>5</v>
      </c>
      <c r="K11" s="24">
        <f>SUM(J11)+0.5</f>
        <v>5.5</v>
      </c>
      <c r="L11" s="24">
        <f>SUM(K11)</f>
        <v>5.5</v>
      </c>
      <c r="M11" s="24">
        <f>SUM(L11)</f>
        <v>5.5</v>
      </c>
      <c r="N11" s="121">
        <f>SUM(M11)</f>
        <v>5.5</v>
      </c>
    </row>
    <row r="12" spans="1:14" s="1" customFormat="1" ht="14.1" customHeight="1">
      <c r="A12" s="38"/>
      <c r="B12" s="56" t="s">
        <v>360</v>
      </c>
      <c r="C12" s="56"/>
      <c r="D12" s="47"/>
      <c r="E12" s="48"/>
      <c r="F12" s="48"/>
      <c r="G12" s="49"/>
      <c r="H12" s="36"/>
      <c r="I12" s="36"/>
      <c r="J12" s="35"/>
      <c r="K12" s="36"/>
      <c r="L12" s="36"/>
      <c r="M12" s="36"/>
      <c r="N12" s="122"/>
    </row>
    <row r="13" spans="1:14" s="1" customFormat="1" ht="14.1" customHeight="1">
      <c r="A13" s="38">
        <v>6</v>
      </c>
      <c r="B13" s="58" t="s">
        <v>10</v>
      </c>
      <c r="C13" s="58"/>
      <c r="D13" s="57" t="s">
        <v>0</v>
      </c>
      <c r="E13" s="57"/>
      <c r="F13" s="57"/>
      <c r="G13" s="57"/>
      <c r="H13" s="24">
        <f>SUM(I13)-1</f>
        <v>16.5</v>
      </c>
      <c r="I13" s="24">
        <f>SUM(J13)-1</f>
        <v>17.5</v>
      </c>
      <c r="J13" s="23">
        <v>18.5</v>
      </c>
      <c r="K13" s="24">
        <f>SUM(J13)+1</f>
        <v>19.5</v>
      </c>
      <c r="L13" s="24">
        <f>SUM(K13)+1</f>
        <v>20.5</v>
      </c>
      <c r="M13" s="24">
        <f>SUM(L13)+1</f>
        <v>21.5</v>
      </c>
      <c r="N13" s="121">
        <f>SUM(M13)+1</f>
        <v>22.5</v>
      </c>
    </row>
    <row r="14" spans="1:14" s="1" customFormat="1" ht="14.1" customHeight="1">
      <c r="A14" s="38"/>
      <c r="B14" s="56" t="s">
        <v>28</v>
      </c>
      <c r="C14" s="56"/>
      <c r="D14" s="47" t="s">
        <v>51</v>
      </c>
      <c r="E14" s="48"/>
      <c r="F14" s="48"/>
      <c r="G14" s="49"/>
      <c r="H14" s="36"/>
      <c r="I14" s="36"/>
      <c r="J14" s="23"/>
      <c r="K14" s="36"/>
      <c r="L14" s="36"/>
      <c r="M14" s="36"/>
      <c r="N14" s="122"/>
    </row>
    <row r="15" spans="1:14" s="1" customFormat="1" ht="14.1" customHeight="1">
      <c r="A15" s="38">
        <v>7</v>
      </c>
      <c r="B15" s="58" t="s">
        <v>1</v>
      </c>
      <c r="C15" s="58"/>
      <c r="D15" s="57" t="s">
        <v>180</v>
      </c>
      <c r="E15" s="57"/>
      <c r="F15" s="57"/>
      <c r="G15" s="57"/>
      <c r="H15" s="24">
        <f>SUM(I15)-0.6</f>
        <v>15.799999999999999</v>
      </c>
      <c r="I15" s="24">
        <f>SUM(J15)-0.6</f>
        <v>16.399999999999999</v>
      </c>
      <c r="J15" s="23">
        <v>17</v>
      </c>
      <c r="K15" s="24">
        <f>SUM(J15)+0.6</f>
        <v>17.600000000000001</v>
      </c>
      <c r="L15" s="24">
        <f>SUM(K15)+0.6</f>
        <v>18.200000000000003</v>
      </c>
      <c r="M15" s="24">
        <f>SUM(L15)+0.6</f>
        <v>18.800000000000004</v>
      </c>
      <c r="N15" s="121">
        <f>SUM(M15)+0.6</f>
        <v>19.400000000000006</v>
      </c>
    </row>
    <row r="16" spans="1:14" s="1" customFormat="1" ht="14.1" customHeight="1">
      <c r="A16" s="38"/>
      <c r="B16" s="56" t="s">
        <v>29</v>
      </c>
      <c r="C16" s="56"/>
      <c r="D16" s="47" t="s">
        <v>52</v>
      </c>
      <c r="E16" s="48"/>
      <c r="F16" s="48"/>
      <c r="G16" s="49"/>
      <c r="H16" s="36"/>
      <c r="I16" s="36"/>
      <c r="J16" s="23"/>
      <c r="K16" s="36"/>
      <c r="L16" s="36"/>
      <c r="M16" s="36"/>
      <c r="N16" s="122"/>
    </row>
    <row r="17" spans="1:14" s="1" customFormat="1" ht="14.1" customHeight="1">
      <c r="A17" s="38">
        <v>8</v>
      </c>
      <c r="B17" s="58" t="s">
        <v>373</v>
      </c>
      <c r="C17" s="58"/>
      <c r="D17" s="57" t="s">
        <v>375</v>
      </c>
      <c r="E17" s="57"/>
      <c r="F17" s="57"/>
      <c r="G17" s="57"/>
      <c r="H17" s="24">
        <f>SUM(I17)-0.1</f>
        <v>2.0999999999999996</v>
      </c>
      <c r="I17" s="24">
        <f>SUM(J17)-0.1</f>
        <v>2.1999999999999997</v>
      </c>
      <c r="J17" s="23">
        <v>2.2999999999999998</v>
      </c>
      <c r="K17" s="24">
        <f>SUM(J17)+0.1</f>
        <v>2.4</v>
      </c>
      <c r="L17" s="24">
        <f>SUM(K17)+0.1</f>
        <v>2.5</v>
      </c>
      <c r="M17" s="24">
        <f>SUM(L17)+0.1</f>
        <v>2.6</v>
      </c>
      <c r="N17" s="121">
        <f>SUM(M17)+0.1</f>
        <v>2.7</v>
      </c>
    </row>
    <row r="18" spans="1:14" s="1" customFormat="1" ht="14.1" customHeight="1">
      <c r="A18" s="38"/>
      <c r="B18" s="56" t="s">
        <v>374</v>
      </c>
      <c r="C18" s="56"/>
      <c r="D18" s="47" t="s">
        <v>376</v>
      </c>
      <c r="E18" s="48"/>
      <c r="F18" s="48"/>
      <c r="G18" s="49"/>
      <c r="H18" s="36"/>
      <c r="I18" s="36"/>
      <c r="J18" s="23"/>
      <c r="K18" s="36"/>
      <c r="L18" s="36"/>
      <c r="M18" s="36"/>
      <c r="N18" s="122"/>
    </row>
    <row r="19" spans="1:14" s="1" customFormat="1" ht="14.1" customHeight="1">
      <c r="A19" s="38">
        <v>9</v>
      </c>
      <c r="B19" s="58" t="s">
        <v>2</v>
      </c>
      <c r="C19" s="58"/>
      <c r="D19" s="57" t="s">
        <v>3</v>
      </c>
      <c r="E19" s="57"/>
      <c r="F19" s="57"/>
      <c r="G19" s="57"/>
      <c r="H19" s="24">
        <f>SUM(I19)-0.3</f>
        <v>7.5</v>
      </c>
      <c r="I19" s="24">
        <f>SUM(J19)-0.3</f>
        <v>7.8</v>
      </c>
      <c r="J19" s="23">
        <v>8.1</v>
      </c>
      <c r="K19" s="24">
        <f>SUM(J19)+0.3</f>
        <v>8.4</v>
      </c>
      <c r="L19" s="24">
        <f>SUM(K19)+0.3</f>
        <v>8.7000000000000011</v>
      </c>
      <c r="M19" s="24">
        <f>SUM(L19)+0.3</f>
        <v>9.0000000000000018</v>
      </c>
      <c r="N19" s="121">
        <f>SUM(M19)+0.3</f>
        <v>9.3000000000000025</v>
      </c>
    </row>
    <row r="20" spans="1:14" s="1" customFormat="1" ht="14.1" customHeight="1">
      <c r="A20" s="38"/>
      <c r="B20" s="56" t="s">
        <v>30</v>
      </c>
      <c r="C20" s="56"/>
      <c r="D20" s="47" t="s">
        <v>53</v>
      </c>
      <c r="E20" s="48"/>
      <c r="F20" s="48"/>
      <c r="G20" s="49"/>
      <c r="H20" s="36"/>
      <c r="I20" s="36"/>
      <c r="J20" s="23"/>
      <c r="K20" s="36"/>
      <c r="L20" s="36"/>
      <c r="M20" s="36"/>
      <c r="N20" s="122"/>
    </row>
    <row r="21" spans="1:14" s="1" customFormat="1" ht="14.1" customHeight="1">
      <c r="A21" s="38">
        <v>9</v>
      </c>
      <c r="B21" s="51" t="s">
        <v>362</v>
      </c>
      <c r="C21" s="52"/>
      <c r="D21" s="59"/>
      <c r="E21" s="60"/>
      <c r="F21" s="60"/>
      <c r="G21" s="61"/>
      <c r="H21" s="24">
        <f>SUM(I21)</f>
        <v>3</v>
      </c>
      <c r="I21" s="24">
        <f>SUM(J21)</f>
        <v>3</v>
      </c>
      <c r="J21" s="33">
        <v>3</v>
      </c>
      <c r="K21" s="24">
        <f>SUM(J21)</f>
        <v>3</v>
      </c>
      <c r="L21" s="24">
        <f>SUM(K21)</f>
        <v>3</v>
      </c>
      <c r="M21" s="24">
        <f>SUM(L21)</f>
        <v>3</v>
      </c>
      <c r="N21" s="121">
        <f>SUM(M21)</f>
        <v>3</v>
      </c>
    </row>
    <row r="22" spans="1:14" s="1" customFormat="1" ht="14.1" customHeight="1">
      <c r="A22" s="38"/>
      <c r="B22" s="56" t="s">
        <v>363</v>
      </c>
      <c r="C22" s="56"/>
      <c r="D22" s="47"/>
      <c r="E22" s="48"/>
      <c r="F22" s="48"/>
      <c r="G22" s="49"/>
      <c r="H22" s="36"/>
      <c r="I22" s="36"/>
      <c r="J22" s="35"/>
      <c r="K22" s="36"/>
      <c r="L22" s="36"/>
      <c r="M22" s="36"/>
      <c r="N22" s="122"/>
    </row>
    <row r="23" spans="1:14" s="1" customFormat="1" ht="14.1" customHeight="1">
      <c r="A23" s="38">
        <v>10</v>
      </c>
      <c r="B23" s="51" t="s">
        <v>85</v>
      </c>
      <c r="C23" s="52"/>
      <c r="D23" s="59" t="s">
        <v>86</v>
      </c>
      <c r="E23" s="60"/>
      <c r="F23" s="60"/>
      <c r="G23" s="61"/>
      <c r="H23" s="50"/>
      <c r="I23" s="50"/>
      <c r="J23" s="35"/>
      <c r="K23" s="50"/>
      <c r="L23" s="50"/>
      <c r="M23" s="50"/>
      <c r="N23" s="127"/>
    </row>
    <row r="24" spans="1:14" s="1" customFormat="1" ht="14.1" customHeight="1">
      <c r="A24" s="38"/>
      <c r="B24" s="56" t="s">
        <v>37</v>
      </c>
      <c r="C24" s="56"/>
      <c r="D24" s="47" t="s">
        <v>64</v>
      </c>
      <c r="E24" s="48"/>
      <c r="F24" s="48"/>
      <c r="G24" s="49"/>
      <c r="H24" s="36"/>
      <c r="I24" s="36"/>
      <c r="J24" s="23"/>
      <c r="K24" s="36"/>
      <c r="L24" s="36"/>
      <c r="M24" s="36"/>
      <c r="N24" s="122"/>
    </row>
    <row r="25" spans="1:14" ht="14.1" customHeight="1">
      <c r="A25" s="38">
        <v>11</v>
      </c>
      <c r="B25" s="51" t="s">
        <v>4</v>
      </c>
      <c r="C25" s="52"/>
      <c r="D25" s="59" t="s">
        <v>5</v>
      </c>
      <c r="E25" s="60"/>
      <c r="F25" s="60"/>
      <c r="G25" s="61"/>
      <c r="H25" s="24">
        <f>SUM(I25)-3.3</f>
        <v>33.400000000000006</v>
      </c>
      <c r="I25" s="24">
        <f>SUM(J25)-3.3</f>
        <v>36.700000000000003</v>
      </c>
      <c r="J25" s="33">
        <v>40</v>
      </c>
      <c r="K25" s="24">
        <f>SUM(J25)+3.3</f>
        <v>43.3</v>
      </c>
      <c r="L25" s="24">
        <f>SUM(K25)+3.3</f>
        <v>46.599999999999994</v>
      </c>
      <c r="M25" s="24">
        <f>SUM(L25)+3.3</f>
        <v>49.899999999999991</v>
      </c>
      <c r="N25" s="121">
        <f>SUM(M25)+3.3</f>
        <v>53.199999999999989</v>
      </c>
    </row>
    <row r="26" spans="1:14" ht="14.1" customHeight="1">
      <c r="A26" s="38"/>
      <c r="B26" s="45" t="s">
        <v>31</v>
      </c>
      <c r="C26" s="46"/>
      <c r="D26" s="47" t="s">
        <v>54</v>
      </c>
      <c r="E26" s="48"/>
      <c r="F26" s="48"/>
      <c r="G26" s="49"/>
      <c r="H26" s="36"/>
      <c r="I26" s="36"/>
      <c r="J26" s="35"/>
      <c r="K26" s="36"/>
      <c r="L26" s="36"/>
      <c r="M26" s="36"/>
      <c r="N26" s="122"/>
    </row>
    <row r="27" spans="1:14" ht="14.1" customHeight="1">
      <c r="A27" s="38">
        <v>12</v>
      </c>
      <c r="B27" s="51" t="s">
        <v>6</v>
      </c>
      <c r="C27" s="52"/>
      <c r="D27" s="59" t="s">
        <v>7</v>
      </c>
      <c r="E27" s="60"/>
      <c r="F27" s="60"/>
      <c r="G27" s="61"/>
      <c r="H27" s="24">
        <f>SUM(I27)-1.6</f>
        <v>26.799999999999997</v>
      </c>
      <c r="I27" s="24">
        <f>SUM(J27)-1.6</f>
        <v>28.4</v>
      </c>
      <c r="J27" s="33">
        <v>30</v>
      </c>
      <c r="K27" s="24">
        <f>SUM(J27)+1.6</f>
        <v>31.6</v>
      </c>
      <c r="L27" s="24">
        <f>SUM(K27)+1.6</f>
        <v>33.200000000000003</v>
      </c>
      <c r="M27" s="24">
        <f>SUM(L27)+1.6</f>
        <v>34.800000000000004</v>
      </c>
      <c r="N27" s="121">
        <f>SUM(M27)+1.6</f>
        <v>36.400000000000006</v>
      </c>
    </row>
    <row r="28" spans="1:14" ht="14.1" customHeight="1">
      <c r="A28" s="38"/>
      <c r="B28" s="45" t="s">
        <v>32</v>
      </c>
      <c r="C28" s="46"/>
      <c r="D28" s="47" t="s">
        <v>76</v>
      </c>
      <c r="E28" s="48"/>
      <c r="F28" s="48"/>
      <c r="G28" s="49"/>
      <c r="H28" s="36"/>
      <c r="I28" s="36"/>
      <c r="J28" s="35"/>
      <c r="K28" s="36"/>
      <c r="L28" s="36"/>
      <c r="M28" s="36"/>
      <c r="N28" s="122"/>
    </row>
    <row r="29" spans="1:14" ht="14.1" customHeight="1">
      <c r="A29" s="38">
        <v>13</v>
      </c>
      <c r="B29" s="51" t="s">
        <v>122</v>
      </c>
      <c r="C29" s="52"/>
      <c r="D29" s="59" t="s">
        <v>78</v>
      </c>
      <c r="E29" s="60"/>
      <c r="F29" s="60"/>
      <c r="G29" s="61"/>
      <c r="H29" s="24">
        <f>SUM(I29)-0.6</f>
        <v>14.8</v>
      </c>
      <c r="I29" s="24">
        <f>SUM(J29)-0.6</f>
        <v>15.4</v>
      </c>
      <c r="J29" s="33">
        <v>16</v>
      </c>
      <c r="K29" s="24">
        <f>SUM(J29)+0.6</f>
        <v>16.600000000000001</v>
      </c>
      <c r="L29" s="24">
        <f>SUM(K29)+0.6</f>
        <v>17.200000000000003</v>
      </c>
      <c r="M29" s="24">
        <f>SUM(L29)+0.6</f>
        <v>17.800000000000004</v>
      </c>
      <c r="N29" s="121">
        <f>SUM(M29)+0.6</f>
        <v>18.400000000000006</v>
      </c>
    </row>
    <row r="30" spans="1:14" ht="14.1" customHeight="1">
      <c r="A30" s="154"/>
      <c r="B30" s="45" t="s">
        <v>33</v>
      </c>
      <c r="C30" s="46"/>
      <c r="D30" s="47" t="s">
        <v>79</v>
      </c>
      <c r="E30" s="48"/>
      <c r="F30" s="48"/>
      <c r="G30" s="49"/>
      <c r="H30" s="36"/>
      <c r="I30" s="36"/>
      <c r="J30" s="35"/>
      <c r="K30" s="36"/>
      <c r="L30" s="36"/>
      <c r="M30" s="36"/>
      <c r="N30" s="122"/>
    </row>
    <row r="31" spans="1:14" ht="14.1" customHeight="1">
      <c r="A31" s="38">
        <v>14</v>
      </c>
      <c r="B31" s="51" t="s">
        <v>367</v>
      </c>
      <c r="C31" s="52"/>
      <c r="D31" s="59"/>
      <c r="E31" s="60"/>
      <c r="F31" s="60"/>
      <c r="G31" s="61"/>
      <c r="H31" s="24">
        <f>SUM(I31)</f>
        <v>5</v>
      </c>
      <c r="I31" s="24">
        <f>SUM(J31)</f>
        <v>5</v>
      </c>
      <c r="J31" s="33">
        <v>5</v>
      </c>
      <c r="K31" s="24">
        <f>SUM(J31)+0.5</f>
        <v>5.5</v>
      </c>
      <c r="L31" s="24">
        <f>SUM(K31)</f>
        <v>5.5</v>
      </c>
      <c r="M31" s="24">
        <f>SUM(L31)</f>
        <v>5.5</v>
      </c>
      <c r="N31" s="121">
        <f>SUM(M31)</f>
        <v>5.5</v>
      </c>
    </row>
    <row r="32" spans="1:14" ht="14.1" customHeight="1">
      <c r="A32" s="154"/>
      <c r="B32" s="45" t="s">
        <v>368</v>
      </c>
      <c r="C32" s="46"/>
      <c r="D32" s="47"/>
      <c r="E32" s="48"/>
      <c r="F32" s="48"/>
      <c r="G32" s="49"/>
      <c r="H32" s="36"/>
      <c r="I32" s="36"/>
      <c r="J32" s="35"/>
      <c r="K32" s="36"/>
      <c r="L32" s="36"/>
      <c r="M32" s="36"/>
      <c r="N32" s="122"/>
    </row>
    <row r="33" spans="1:14" ht="14.1" customHeight="1">
      <c r="A33" s="38">
        <v>15</v>
      </c>
      <c r="B33" s="51" t="s">
        <v>365</v>
      </c>
      <c r="C33" s="52"/>
      <c r="D33" s="57"/>
      <c r="E33" s="57"/>
      <c r="F33" s="57"/>
      <c r="G33" s="57"/>
      <c r="H33" s="24">
        <f>SUM(I33)</f>
        <v>3</v>
      </c>
      <c r="I33" s="24">
        <f>SUM(J33)</f>
        <v>3</v>
      </c>
      <c r="J33" s="33">
        <v>3</v>
      </c>
      <c r="K33" s="24">
        <f>SUM(J33)</f>
        <v>3</v>
      </c>
      <c r="L33" s="24">
        <f>SUM(K33)</f>
        <v>3</v>
      </c>
      <c r="M33" s="24">
        <f>SUM(L33)</f>
        <v>3</v>
      </c>
      <c r="N33" s="121">
        <f>SUM(M33)</f>
        <v>3</v>
      </c>
    </row>
    <row r="34" spans="1:14" ht="14.1" customHeight="1">
      <c r="A34" s="38"/>
      <c r="B34" s="45" t="s">
        <v>366</v>
      </c>
      <c r="C34" s="46"/>
      <c r="D34" s="47"/>
      <c r="E34" s="48"/>
      <c r="F34" s="48"/>
      <c r="G34" s="49"/>
      <c r="H34" s="36"/>
      <c r="I34" s="36"/>
      <c r="J34" s="35"/>
      <c r="K34" s="36"/>
      <c r="L34" s="36"/>
      <c r="M34" s="36"/>
      <c r="N34" s="122"/>
    </row>
    <row r="35" spans="1:14" ht="14.1" customHeight="1">
      <c r="A35" s="71">
        <v>16</v>
      </c>
      <c r="B35" s="141"/>
      <c r="C35" s="141"/>
      <c r="D35" s="132"/>
      <c r="E35" s="132"/>
      <c r="F35" s="132"/>
      <c r="G35" s="132"/>
      <c r="H35" s="50"/>
      <c r="I35" s="50"/>
      <c r="J35" s="117"/>
      <c r="K35" s="50"/>
      <c r="L35" s="50"/>
      <c r="M35" s="50"/>
      <c r="N35" s="127"/>
    </row>
    <row r="36" spans="1:14" ht="14.1" customHeight="1" thickBot="1">
      <c r="A36" s="39"/>
      <c r="B36" s="110"/>
      <c r="C36" s="110"/>
      <c r="D36" s="30"/>
      <c r="E36" s="31"/>
      <c r="F36" s="31"/>
      <c r="G36" s="32"/>
      <c r="H36" s="25"/>
      <c r="I36" s="25"/>
      <c r="J36" s="34"/>
      <c r="K36" s="25"/>
      <c r="L36" s="25"/>
      <c r="M36" s="25"/>
      <c r="N36" s="124"/>
    </row>
    <row r="37" spans="1:14" ht="14.1" customHeight="1"/>
    <row r="38" spans="1:14" ht="14.1" customHeight="1"/>
    <row r="39" spans="1:14" ht="14.1" customHeight="1"/>
    <row r="40" spans="1:14" ht="14.1" customHeight="1"/>
    <row r="41" spans="1:14" ht="14.1" customHeight="1"/>
    <row r="42" spans="1:14" ht="14.1" customHeight="1"/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07"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FFABE-26CF-46A6-A3D7-D08D6F51D15C}">
  <sheetPr>
    <tabColor rgb="FF00B050"/>
    <pageSetUpPr fitToPage="1"/>
  </sheetPr>
  <dimension ref="A1:N51"/>
  <sheetViews>
    <sheetView zoomScale="110" zoomScaleNormal="110" workbookViewId="0">
      <selection activeCell="H25" sqref="H25:H2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4" ht="16.5" customHeight="1" thickBot="1">
      <c r="A1" s="67" t="s">
        <v>822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4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5" t="s">
        <v>464</v>
      </c>
      <c r="I2" s="9" t="s">
        <v>71</v>
      </c>
      <c r="J2" s="9" t="s">
        <v>72</v>
      </c>
      <c r="K2" s="9" t="s">
        <v>73</v>
      </c>
      <c r="L2" s="9" t="s">
        <v>74</v>
      </c>
      <c r="M2" s="9" t="s">
        <v>810</v>
      </c>
    </row>
    <row r="3" spans="1:14" s="1" customFormat="1" ht="14.1" customHeight="1">
      <c r="A3" s="71">
        <v>1</v>
      </c>
      <c r="B3" s="40" t="s">
        <v>136</v>
      </c>
      <c r="C3" s="41"/>
      <c r="D3" s="100" t="s">
        <v>135</v>
      </c>
      <c r="E3" s="101"/>
      <c r="F3" s="101"/>
      <c r="G3" s="102"/>
      <c r="H3" s="75">
        <v>33.799999999999997</v>
      </c>
      <c r="I3" s="76">
        <f>SUM(H3)+3.4</f>
        <v>37.199999999999996</v>
      </c>
      <c r="J3" s="76">
        <f>SUM(I3)+3.4</f>
        <v>40.599999999999994</v>
      </c>
      <c r="K3" s="76">
        <f>SUM(J3)+3.4</f>
        <v>43.999999999999993</v>
      </c>
      <c r="L3" s="76">
        <f>SUM(K3)+2.9</f>
        <v>46.899999999999991</v>
      </c>
      <c r="M3" s="77">
        <f>SUM(L3)+2.9</f>
        <v>49.79999999999999</v>
      </c>
    </row>
    <row r="4" spans="1:14" s="1" customFormat="1" ht="14.1" customHeight="1">
      <c r="A4" s="38"/>
      <c r="B4" s="56" t="s">
        <v>36</v>
      </c>
      <c r="C4" s="56"/>
      <c r="D4" s="47" t="s">
        <v>134</v>
      </c>
      <c r="E4" s="48"/>
      <c r="F4" s="48"/>
      <c r="G4" s="48"/>
      <c r="H4" s="33"/>
      <c r="I4" s="24"/>
      <c r="J4" s="24"/>
      <c r="K4" s="24"/>
      <c r="L4" s="24"/>
      <c r="M4" s="26"/>
      <c r="N4" s="1" t="s">
        <v>113</v>
      </c>
    </row>
    <row r="5" spans="1:14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33">
        <v>28.4</v>
      </c>
      <c r="I5" s="24">
        <f>SUM(H5)+1.8</f>
        <v>30.2</v>
      </c>
      <c r="J5" s="24">
        <f t="shared" ref="J5:K5" si="0">SUM(I5)+1.8</f>
        <v>32</v>
      </c>
      <c r="K5" s="24">
        <f t="shared" si="0"/>
        <v>33.799999999999997</v>
      </c>
      <c r="L5" s="24">
        <f>SUM(K5)+1.6</f>
        <v>35.4</v>
      </c>
      <c r="M5" s="26">
        <f>SUM(L5)+1.6</f>
        <v>37</v>
      </c>
    </row>
    <row r="6" spans="1:14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5"/>
      <c r="I6" s="36"/>
      <c r="J6" s="36"/>
      <c r="K6" s="36"/>
      <c r="L6" s="36"/>
      <c r="M6" s="37"/>
    </row>
    <row r="7" spans="1:14" s="1" customFormat="1" ht="14.1" customHeight="1">
      <c r="A7" s="38">
        <v>3</v>
      </c>
      <c r="B7" s="58" t="s">
        <v>41</v>
      </c>
      <c r="C7" s="58"/>
      <c r="D7" s="57"/>
      <c r="E7" s="57"/>
      <c r="F7" s="57"/>
      <c r="G7" s="57"/>
      <c r="H7" s="33">
        <v>45.4</v>
      </c>
      <c r="I7" s="24">
        <f>SUM(H7)+2.9</f>
        <v>48.3</v>
      </c>
      <c r="J7" s="24">
        <f>SUM(I7)+2.9</f>
        <v>51.199999999999996</v>
      </c>
      <c r="K7" s="24">
        <f>SUM(J7)+2.9</f>
        <v>54.099999999999994</v>
      </c>
      <c r="L7" s="24">
        <f>SUM(K7)+2.6</f>
        <v>56.699999999999996</v>
      </c>
      <c r="M7" s="26">
        <f>SUM(L7)+2.6</f>
        <v>59.3</v>
      </c>
    </row>
    <row r="8" spans="1:14" s="1" customFormat="1" ht="14.1" customHeight="1">
      <c r="A8" s="38"/>
      <c r="B8" s="56" t="s">
        <v>46</v>
      </c>
      <c r="C8" s="56"/>
      <c r="D8" s="47" t="s">
        <v>811</v>
      </c>
      <c r="E8" s="48"/>
      <c r="F8" s="48"/>
      <c r="G8" s="49"/>
      <c r="H8" s="35"/>
      <c r="I8" s="36"/>
      <c r="J8" s="36"/>
      <c r="K8" s="36"/>
      <c r="L8" s="36"/>
      <c r="M8" s="37"/>
    </row>
    <row r="9" spans="1:14" s="1" customFormat="1" ht="14.1" customHeight="1">
      <c r="A9" s="38">
        <v>4</v>
      </c>
      <c r="B9" s="58" t="s">
        <v>812</v>
      </c>
      <c r="C9" s="58"/>
      <c r="D9" s="57"/>
      <c r="E9" s="57"/>
      <c r="F9" s="57"/>
      <c r="G9" s="57"/>
      <c r="H9" s="33">
        <v>60</v>
      </c>
      <c r="I9" s="24">
        <f>SUM(H9)+3.5</f>
        <v>63.5</v>
      </c>
      <c r="J9" s="24">
        <f>SUM(I9)+3.5</f>
        <v>67</v>
      </c>
      <c r="K9" s="24">
        <f>SUM(J9)+3.5</f>
        <v>70.5</v>
      </c>
      <c r="L9" s="24">
        <f>SUM(K9)+3</f>
        <v>73.5</v>
      </c>
      <c r="M9" s="26">
        <f>SUM(L9)+3</f>
        <v>76.5</v>
      </c>
    </row>
    <row r="10" spans="1:14" s="1" customFormat="1" ht="14.1" customHeight="1">
      <c r="A10" s="38"/>
      <c r="B10" s="56" t="s">
        <v>436</v>
      </c>
      <c r="C10" s="56"/>
      <c r="D10" s="47"/>
      <c r="E10" s="48"/>
      <c r="F10" s="48"/>
      <c r="G10" s="49"/>
      <c r="H10" s="35"/>
      <c r="I10" s="36"/>
      <c r="J10" s="36"/>
      <c r="K10" s="36"/>
      <c r="L10" s="36"/>
      <c r="M10" s="37"/>
    </row>
    <row r="11" spans="1:14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3">
        <v>15.2</v>
      </c>
      <c r="I11" s="21">
        <f>SUM(H11)+0.8</f>
        <v>16</v>
      </c>
      <c r="J11" s="21">
        <f t="shared" ref="J11:K11" si="1">SUM(I11)+0.8</f>
        <v>16.8</v>
      </c>
      <c r="K11" s="21">
        <f t="shared" si="1"/>
        <v>17.600000000000001</v>
      </c>
      <c r="L11" s="21">
        <f>SUM(K11)+0.8</f>
        <v>18.400000000000002</v>
      </c>
      <c r="M11" s="22">
        <f>SUM(L11)+0.9</f>
        <v>19.3</v>
      </c>
    </row>
    <row r="12" spans="1:14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23"/>
      <c r="I12" s="21"/>
      <c r="J12" s="21"/>
      <c r="K12" s="21"/>
      <c r="L12" s="21"/>
      <c r="M12" s="22"/>
    </row>
    <row r="13" spans="1:14" s="1" customFormat="1" ht="14.1" customHeight="1">
      <c r="A13" s="38">
        <v>6</v>
      </c>
      <c r="B13" s="58" t="s">
        <v>1</v>
      </c>
      <c r="C13" s="58"/>
      <c r="D13" s="57" t="s">
        <v>577</v>
      </c>
      <c r="E13" s="57"/>
      <c r="F13" s="57"/>
      <c r="G13" s="57"/>
      <c r="H13" s="23">
        <v>13</v>
      </c>
      <c r="I13" s="21">
        <f>SUM(H13)+0.6</f>
        <v>13.6</v>
      </c>
      <c r="J13" s="21">
        <f>SUM(I13)+0.6</f>
        <v>14.2</v>
      </c>
      <c r="K13" s="21">
        <f>SUM(J13)+0.6</f>
        <v>14.799999999999999</v>
      </c>
      <c r="L13" s="133">
        <f>SUM(K13)+0.6</f>
        <v>15.399999999999999</v>
      </c>
      <c r="M13" s="227">
        <f>SUM(L13)+0.6</f>
        <v>15.999999999999998</v>
      </c>
    </row>
    <row r="14" spans="1:14" s="1" customFormat="1" ht="14.1" customHeight="1">
      <c r="A14" s="38"/>
      <c r="B14" s="56" t="s">
        <v>29</v>
      </c>
      <c r="C14" s="56"/>
      <c r="D14" s="47" t="s">
        <v>52</v>
      </c>
      <c r="E14" s="48"/>
      <c r="F14" s="48"/>
      <c r="G14" s="49"/>
      <c r="H14" s="23"/>
      <c r="I14" s="21"/>
      <c r="J14" s="21"/>
      <c r="K14" s="21"/>
      <c r="L14" s="133"/>
      <c r="M14" s="227"/>
    </row>
    <row r="15" spans="1:14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3">
        <v>5.6</v>
      </c>
      <c r="I15" s="21">
        <f>SUM(H15)+0.3</f>
        <v>5.8999999999999995</v>
      </c>
      <c r="J15" s="21">
        <f>SUM(I15)+0.3</f>
        <v>6.1999999999999993</v>
      </c>
      <c r="K15" s="21">
        <f>SUM(J15)+0.3</f>
        <v>6.4999999999999991</v>
      </c>
      <c r="L15" s="133">
        <f>SUM(K15)+0.3</f>
        <v>6.7999999999999989</v>
      </c>
      <c r="M15" s="227">
        <f>SUM(L15)+0.3</f>
        <v>7.0999999999999988</v>
      </c>
    </row>
    <row r="16" spans="1:14" s="1" customFormat="1" ht="14.1" customHeight="1">
      <c r="A16" s="38"/>
      <c r="B16" s="56" t="s">
        <v>30</v>
      </c>
      <c r="C16" s="56"/>
      <c r="D16" s="47" t="s">
        <v>53</v>
      </c>
      <c r="E16" s="48"/>
      <c r="F16" s="48"/>
      <c r="G16" s="49"/>
      <c r="H16" s="23"/>
      <c r="I16" s="21"/>
      <c r="J16" s="21"/>
      <c r="K16" s="21"/>
      <c r="L16" s="133"/>
      <c r="M16" s="227"/>
    </row>
    <row r="17" spans="1:13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3">
        <v>33</v>
      </c>
      <c r="I17" s="21">
        <f>SUM(H17)+1.6</f>
        <v>34.6</v>
      </c>
      <c r="J17" s="21">
        <f>SUM(I17)+1.6</f>
        <v>36.200000000000003</v>
      </c>
      <c r="K17" s="21">
        <f>SUM(J17)+1.6</f>
        <v>37.800000000000004</v>
      </c>
      <c r="L17" s="133">
        <f>SUM(K17)+1.6</f>
        <v>39.400000000000006</v>
      </c>
      <c r="M17" s="227">
        <f>SUM(L17)+1.6</f>
        <v>41.000000000000007</v>
      </c>
    </row>
    <row r="18" spans="1:13" s="1" customFormat="1" ht="14.1" customHeight="1">
      <c r="A18" s="38"/>
      <c r="B18" s="56" t="s">
        <v>37</v>
      </c>
      <c r="C18" s="56"/>
      <c r="D18" s="47" t="s">
        <v>813</v>
      </c>
      <c r="E18" s="48"/>
      <c r="F18" s="48"/>
      <c r="G18" s="49"/>
      <c r="H18" s="23"/>
      <c r="I18" s="21"/>
      <c r="J18" s="21"/>
      <c r="K18" s="21"/>
      <c r="L18" s="133"/>
      <c r="M18" s="227"/>
    </row>
    <row r="19" spans="1:13" s="1" customFormat="1" ht="14.1" customHeight="1">
      <c r="A19" s="38">
        <v>9</v>
      </c>
      <c r="B19" s="51" t="s">
        <v>814</v>
      </c>
      <c r="C19" s="52"/>
      <c r="D19" s="59"/>
      <c r="E19" s="60"/>
      <c r="F19" s="60"/>
      <c r="G19" s="61"/>
      <c r="H19" s="23">
        <v>2.5</v>
      </c>
      <c r="I19" s="21">
        <f>SUM(H19)</f>
        <v>2.5</v>
      </c>
      <c r="J19" s="21">
        <f>SUM(I19)</f>
        <v>2.5</v>
      </c>
      <c r="K19" s="21">
        <f>SUM(J19)+0.5</f>
        <v>3</v>
      </c>
      <c r="L19" s="133">
        <f>SUM(K19)</f>
        <v>3</v>
      </c>
      <c r="M19" s="227">
        <f>SUM(L19)</f>
        <v>3</v>
      </c>
    </row>
    <row r="20" spans="1:13" s="1" customFormat="1" ht="14.1" customHeight="1">
      <c r="A20" s="38"/>
      <c r="B20" s="56" t="s">
        <v>815</v>
      </c>
      <c r="C20" s="56"/>
      <c r="D20" s="47"/>
      <c r="E20" s="48"/>
      <c r="F20" s="48"/>
      <c r="G20" s="49"/>
      <c r="H20" s="23"/>
      <c r="I20" s="21"/>
      <c r="J20" s="21"/>
      <c r="K20" s="21"/>
      <c r="L20" s="133"/>
      <c r="M20" s="227"/>
    </row>
    <row r="21" spans="1:13" s="1" customFormat="1" ht="14.1" customHeight="1">
      <c r="A21" s="38">
        <v>10</v>
      </c>
      <c r="B21" s="58" t="s">
        <v>4</v>
      </c>
      <c r="C21" s="58"/>
      <c r="D21" s="57" t="s">
        <v>5</v>
      </c>
      <c r="E21" s="57"/>
      <c r="F21" s="57"/>
      <c r="G21" s="57"/>
      <c r="H21" s="23">
        <v>28.2</v>
      </c>
      <c r="I21" s="21">
        <f>SUM(H21)+3.6</f>
        <v>31.8</v>
      </c>
      <c r="J21" s="21">
        <f>SUM(I21)+3.6</f>
        <v>35.4</v>
      </c>
      <c r="K21" s="21">
        <f>SUM(J21)+3.6</f>
        <v>39</v>
      </c>
      <c r="L21" s="133">
        <f>SUM(K21)+3.7</f>
        <v>42.7</v>
      </c>
      <c r="M21" s="227">
        <f>SUM(L21)+3.7</f>
        <v>46.400000000000006</v>
      </c>
    </row>
    <row r="22" spans="1:13" s="1" customFormat="1" ht="14.1" customHeight="1">
      <c r="A22" s="38"/>
      <c r="B22" s="56" t="s">
        <v>31</v>
      </c>
      <c r="C22" s="56"/>
      <c r="D22" s="47" t="s">
        <v>54</v>
      </c>
      <c r="E22" s="48"/>
      <c r="F22" s="48"/>
      <c r="G22" s="49"/>
      <c r="H22" s="23"/>
      <c r="I22" s="21"/>
      <c r="J22" s="21"/>
      <c r="K22" s="21"/>
      <c r="L22" s="133"/>
      <c r="M22" s="227"/>
    </row>
    <row r="23" spans="1:13" s="1" customFormat="1" ht="14.1" customHeight="1">
      <c r="A23" s="38">
        <v>11</v>
      </c>
      <c r="B23" s="58" t="s">
        <v>6</v>
      </c>
      <c r="C23" s="58"/>
      <c r="D23" s="59" t="s">
        <v>7</v>
      </c>
      <c r="E23" s="60"/>
      <c r="F23" s="60"/>
      <c r="G23" s="61"/>
      <c r="H23" s="23">
        <v>29.8</v>
      </c>
      <c r="I23" s="21">
        <f>SUM(H23)+1.6</f>
        <v>31.400000000000002</v>
      </c>
      <c r="J23" s="21">
        <f>SUM(I23)+1.6</f>
        <v>33</v>
      </c>
      <c r="K23" s="21">
        <f>SUM(J23)+1.6</f>
        <v>34.6</v>
      </c>
      <c r="L23" s="133">
        <f>SUM(K23)+1.7</f>
        <v>36.300000000000004</v>
      </c>
      <c r="M23" s="227">
        <f>SUM(L23)+1.7</f>
        <v>38.000000000000007</v>
      </c>
    </row>
    <row r="24" spans="1:13" s="1" customFormat="1" ht="14.1" customHeight="1">
      <c r="A24" s="38"/>
      <c r="B24" s="56" t="s">
        <v>32</v>
      </c>
      <c r="C24" s="56"/>
      <c r="D24" s="47" t="s">
        <v>76</v>
      </c>
      <c r="E24" s="48"/>
      <c r="F24" s="48"/>
      <c r="G24" s="49"/>
      <c r="H24" s="23"/>
      <c r="I24" s="21"/>
      <c r="J24" s="21"/>
      <c r="K24" s="21"/>
      <c r="L24" s="133"/>
      <c r="M24" s="227"/>
    </row>
    <row r="25" spans="1:13" s="1" customFormat="1" ht="14.1" customHeight="1">
      <c r="A25" s="38">
        <v>12</v>
      </c>
      <c r="B25" s="51" t="s">
        <v>816</v>
      </c>
      <c r="C25" s="52"/>
      <c r="D25" s="57" t="s">
        <v>78</v>
      </c>
      <c r="E25" s="57"/>
      <c r="F25" s="57"/>
      <c r="G25" s="57"/>
      <c r="H25" s="23">
        <v>16</v>
      </c>
      <c r="I25" s="21">
        <f>SUM(H25)+0.6</f>
        <v>16.600000000000001</v>
      </c>
      <c r="J25" s="21">
        <f>SUM(I25)+0.6</f>
        <v>17.200000000000003</v>
      </c>
      <c r="K25" s="21">
        <f>SUM(J25)+0.6</f>
        <v>17.800000000000004</v>
      </c>
      <c r="L25" s="133">
        <f>SUM(K25)+0.6</f>
        <v>18.400000000000006</v>
      </c>
      <c r="M25" s="227">
        <f>SUM(L25)+0.6</f>
        <v>19.000000000000007</v>
      </c>
    </row>
    <row r="26" spans="1:13" s="1" customFormat="1" ht="14.1" customHeight="1">
      <c r="A26" s="38"/>
      <c r="B26" s="56" t="s">
        <v>817</v>
      </c>
      <c r="C26" s="56"/>
      <c r="D26" s="47" t="s">
        <v>79</v>
      </c>
      <c r="E26" s="48"/>
      <c r="F26" s="48"/>
      <c r="G26" s="49"/>
      <c r="H26" s="23"/>
      <c r="I26" s="21"/>
      <c r="J26" s="21"/>
      <c r="K26" s="21"/>
      <c r="L26" s="133"/>
      <c r="M26" s="227"/>
    </row>
    <row r="27" spans="1:13" s="1" customFormat="1" ht="14.1" customHeight="1">
      <c r="A27" s="38">
        <v>13</v>
      </c>
      <c r="B27" s="51" t="s">
        <v>302</v>
      </c>
      <c r="C27" s="52"/>
      <c r="D27" s="57"/>
      <c r="E27" s="57"/>
      <c r="F27" s="57"/>
      <c r="G27" s="57"/>
      <c r="H27" s="23">
        <v>9</v>
      </c>
      <c r="I27" s="21">
        <f>SUM(H27)+0.5</f>
        <v>9.5</v>
      </c>
      <c r="J27" s="21">
        <f>SUM(I27)+0.5</f>
        <v>10</v>
      </c>
      <c r="K27" s="21">
        <f>SUM(J27)+0.5</f>
        <v>10.5</v>
      </c>
      <c r="L27" s="133">
        <f>SUM(K27)+0.5</f>
        <v>11</v>
      </c>
      <c r="M27" s="227">
        <f>SUM(L27)+0.5</f>
        <v>11.5</v>
      </c>
    </row>
    <row r="28" spans="1:13" s="1" customFormat="1" ht="14.1" customHeight="1">
      <c r="A28" s="38"/>
      <c r="B28" s="56" t="s">
        <v>818</v>
      </c>
      <c r="C28" s="56"/>
      <c r="D28" s="47"/>
      <c r="E28" s="48"/>
      <c r="F28" s="48"/>
      <c r="G28" s="49"/>
      <c r="H28" s="23"/>
      <c r="I28" s="21"/>
      <c r="J28" s="21"/>
      <c r="K28" s="21"/>
      <c r="L28" s="133"/>
      <c r="M28" s="227"/>
    </row>
    <row r="29" spans="1:13" ht="14.1" customHeight="1">
      <c r="A29" s="38">
        <v>14</v>
      </c>
      <c r="B29" s="51" t="s">
        <v>456</v>
      </c>
      <c r="C29" s="52"/>
      <c r="D29" s="53"/>
      <c r="E29" s="54"/>
      <c r="F29" s="54"/>
      <c r="G29" s="55"/>
      <c r="H29" s="23">
        <v>6.4</v>
      </c>
      <c r="I29" s="24">
        <f>SUM(H29)+0.4</f>
        <v>6.8000000000000007</v>
      </c>
      <c r="J29" s="24">
        <f>SUM(I29)+0.4</f>
        <v>7.2000000000000011</v>
      </c>
      <c r="K29" s="24">
        <f>SUM(J29)+0.4</f>
        <v>7.6000000000000014</v>
      </c>
      <c r="L29" s="24">
        <f>SUM(K29)+0.4</f>
        <v>8.0000000000000018</v>
      </c>
      <c r="M29" s="26">
        <f>SUM(L29)+0.4</f>
        <v>8.4000000000000021</v>
      </c>
    </row>
    <row r="30" spans="1:13" ht="14.1" customHeight="1">
      <c r="A30" s="38"/>
      <c r="B30" s="45" t="s">
        <v>592</v>
      </c>
      <c r="C30" s="46"/>
      <c r="D30" s="47" t="s">
        <v>458</v>
      </c>
      <c r="E30" s="48"/>
      <c r="F30" s="48"/>
      <c r="G30" s="49"/>
      <c r="H30" s="23"/>
      <c r="I30" s="36"/>
      <c r="J30" s="36"/>
      <c r="K30" s="36"/>
      <c r="L30" s="36"/>
      <c r="M30" s="37"/>
    </row>
    <row r="31" spans="1:13" ht="14.1" customHeight="1">
      <c r="A31" s="38">
        <v>15</v>
      </c>
      <c r="B31" s="51" t="s">
        <v>459</v>
      </c>
      <c r="C31" s="52"/>
      <c r="D31" s="53"/>
      <c r="E31" s="54"/>
      <c r="F31" s="54"/>
      <c r="G31" s="55"/>
      <c r="H31" s="23">
        <v>8.8000000000000007</v>
      </c>
      <c r="I31" s="24">
        <f>SUM(H31)+0.5</f>
        <v>9.3000000000000007</v>
      </c>
      <c r="J31" s="24">
        <f>SUM(I31)+0.5</f>
        <v>9.8000000000000007</v>
      </c>
      <c r="K31" s="24">
        <f>SUM(J31)+0.5</f>
        <v>10.3</v>
      </c>
      <c r="L31" s="24">
        <f>SUM(K31)+0.5</f>
        <v>10.8</v>
      </c>
      <c r="M31" s="26">
        <f>SUM(L31)+0.5</f>
        <v>11.3</v>
      </c>
    </row>
    <row r="32" spans="1:13" ht="14.1" customHeight="1">
      <c r="A32" s="38"/>
      <c r="B32" s="45" t="s">
        <v>593</v>
      </c>
      <c r="C32" s="46"/>
      <c r="D32" s="47" t="s">
        <v>461</v>
      </c>
      <c r="E32" s="48"/>
      <c r="F32" s="48"/>
      <c r="G32" s="49"/>
      <c r="H32" s="23"/>
      <c r="I32" s="36"/>
      <c r="J32" s="36"/>
      <c r="K32" s="36"/>
      <c r="L32" s="36"/>
      <c r="M32" s="37"/>
    </row>
    <row r="33" spans="1:13" ht="14.1" customHeight="1">
      <c r="A33" s="38">
        <v>16</v>
      </c>
      <c r="B33" s="51" t="s">
        <v>441</v>
      </c>
      <c r="C33" s="52"/>
      <c r="D33" s="59"/>
      <c r="E33" s="60"/>
      <c r="F33" s="60"/>
      <c r="G33" s="61"/>
      <c r="H33" s="23">
        <v>10.5</v>
      </c>
      <c r="I33" s="24">
        <f>SUM(H33)+0.5</f>
        <v>11</v>
      </c>
      <c r="J33" s="24">
        <f>SUM(I33)+0.5</f>
        <v>11.5</v>
      </c>
      <c r="K33" s="24">
        <f>SUM(J33)+0.5</f>
        <v>12</v>
      </c>
      <c r="L33" s="24">
        <f>SUM(K33)+0.5</f>
        <v>12.5</v>
      </c>
      <c r="M33" s="26">
        <f>SUM(L33)+0.5</f>
        <v>13</v>
      </c>
    </row>
    <row r="34" spans="1:13" ht="14.1" customHeight="1">
      <c r="A34" s="38"/>
      <c r="B34" s="45" t="s">
        <v>442</v>
      </c>
      <c r="C34" s="46"/>
      <c r="D34" s="47"/>
      <c r="E34" s="48"/>
      <c r="F34" s="48"/>
      <c r="G34" s="49"/>
      <c r="H34" s="23"/>
      <c r="I34" s="36"/>
      <c r="J34" s="36"/>
      <c r="K34" s="36"/>
      <c r="L34" s="36"/>
      <c r="M34" s="37"/>
    </row>
    <row r="35" spans="1:13" ht="14.1" customHeight="1">
      <c r="A35" s="38">
        <v>17</v>
      </c>
      <c r="B35" s="51" t="s">
        <v>607</v>
      </c>
      <c r="C35" s="52"/>
      <c r="D35" s="53"/>
      <c r="E35" s="54"/>
      <c r="F35" s="54"/>
      <c r="G35" s="55"/>
      <c r="H35" s="23">
        <v>29.5</v>
      </c>
      <c r="I35" s="24">
        <v>32.5</v>
      </c>
      <c r="J35" s="24">
        <v>36</v>
      </c>
      <c r="K35" s="24">
        <v>39</v>
      </c>
      <c r="L35" s="24">
        <v>42</v>
      </c>
      <c r="M35" s="26">
        <v>44.5</v>
      </c>
    </row>
    <row r="36" spans="1:13" ht="14.1" customHeight="1">
      <c r="A36" s="38"/>
      <c r="B36" s="45" t="s">
        <v>819</v>
      </c>
      <c r="C36" s="46"/>
      <c r="D36" s="47" t="s">
        <v>820</v>
      </c>
      <c r="E36" s="48"/>
      <c r="F36" s="48"/>
      <c r="G36" s="49"/>
      <c r="H36" s="23"/>
      <c r="I36" s="36"/>
      <c r="J36" s="36"/>
      <c r="K36" s="36"/>
      <c r="L36" s="36"/>
      <c r="M36" s="37"/>
    </row>
    <row r="37" spans="1:13" ht="14.1" customHeight="1">
      <c r="A37" s="38">
        <v>18</v>
      </c>
      <c r="B37" s="51" t="s">
        <v>605</v>
      </c>
      <c r="C37" s="52"/>
      <c r="D37" s="53"/>
      <c r="E37" s="54"/>
      <c r="F37" s="54"/>
      <c r="G37" s="55"/>
      <c r="H37" s="23">
        <v>3.3</v>
      </c>
      <c r="I37" s="24">
        <f>SUM(H37)+0.4</f>
        <v>3.6999999999999997</v>
      </c>
      <c r="J37" s="24">
        <f>SUM(I37)+0.4</f>
        <v>4.0999999999999996</v>
      </c>
      <c r="K37" s="24">
        <f>SUM(J37)+0.4</f>
        <v>4.5</v>
      </c>
      <c r="L37" s="24">
        <f>SUM(K37)+0.4</f>
        <v>4.9000000000000004</v>
      </c>
      <c r="M37" s="26">
        <f>SUM(L37)+0.4</f>
        <v>5.3000000000000007</v>
      </c>
    </row>
    <row r="38" spans="1:13" ht="14.1" customHeight="1">
      <c r="A38" s="38"/>
      <c r="B38" s="45" t="s">
        <v>81</v>
      </c>
      <c r="C38" s="46"/>
      <c r="D38" s="47" t="s">
        <v>821</v>
      </c>
      <c r="E38" s="48"/>
      <c r="F38" s="48"/>
      <c r="G38" s="49"/>
      <c r="H38" s="23"/>
      <c r="I38" s="36"/>
      <c r="J38" s="36"/>
      <c r="K38" s="36"/>
      <c r="L38" s="36"/>
      <c r="M38" s="37"/>
    </row>
    <row r="39" spans="1:13" ht="14.1" customHeight="1">
      <c r="A39" s="38">
        <v>19</v>
      </c>
      <c r="B39" s="51"/>
      <c r="C39" s="52"/>
      <c r="D39" s="59"/>
      <c r="E39" s="60"/>
      <c r="F39" s="60"/>
      <c r="G39" s="61"/>
      <c r="H39" s="33"/>
      <c r="I39" s="24"/>
      <c r="J39" s="24"/>
      <c r="K39" s="24"/>
      <c r="L39" s="24"/>
      <c r="M39" s="26"/>
    </row>
    <row r="40" spans="1:13" ht="14.1" customHeight="1" thickBot="1">
      <c r="A40" s="39"/>
      <c r="B40" s="28"/>
      <c r="C40" s="29"/>
      <c r="D40" s="30"/>
      <c r="E40" s="31"/>
      <c r="F40" s="31"/>
      <c r="G40" s="32"/>
      <c r="H40" s="34"/>
      <c r="I40" s="25"/>
      <c r="J40" s="25"/>
      <c r="K40" s="25"/>
      <c r="L40" s="25"/>
      <c r="M40" s="27"/>
    </row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customFormat="1" ht="14.1" customHeight="1"/>
    <row r="50" customFormat="1" ht="14.1" customHeight="1"/>
    <row r="51" customFormat="1" ht="14.1" customHeight="1"/>
  </sheetData>
  <mergeCells count="212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7DE90-DA15-4D87-BE0E-522FD09C1E03}">
  <sheetPr>
    <tabColor rgb="FF00B050"/>
    <pageSetUpPr fitToPage="1"/>
  </sheetPr>
  <dimension ref="A1:M51"/>
  <sheetViews>
    <sheetView topLeftCell="A4" zoomScale="110" zoomScaleNormal="110" workbookViewId="0">
      <selection activeCell="H23" sqref="H23:M2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854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45</v>
      </c>
      <c r="C3" s="72"/>
      <c r="D3" s="73" t="s">
        <v>75</v>
      </c>
      <c r="E3" s="73"/>
      <c r="F3" s="73"/>
      <c r="G3" s="74"/>
      <c r="H3" s="24">
        <f>SUM(I3)-2.5</f>
        <v>33</v>
      </c>
      <c r="I3" s="24">
        <f>SUM(J3)-2.5</f>
        <v>35.5</v>
      </c>
      <c r="J3" s="75">
        <v>38</v>
      </c>
      <c r="K3" s="85">
        <f>SUM(J3)+2.5</f>
        <v>40.5</v>
      </c>
      <c r="L3" s="85">
        <f>SUM(K3)+2.5</f>
        <v>43</v>
      </c>
      <c r="M3" s="109">
        <f>SUM(L3)+2.5</f>
        <v>45.5</v>
      </c>
    </row>
    <row r="4" spans="1:13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36"/>
      <c r="L4" s="36"/>
      <c r="M4" s="37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SUM(I5)-1.4</f>
        <v>23.200000000000003</v>
      </c>
      <c r="I5" s="24">
        <f>SUM(J5)-1.4</f>
        <v>24.6</v>
      </c>
      <c r="J5" s="33">
        <v>26</v>
      </c>
      <c r="K5" s="24">
        <f>SUM(J5)+1.4</f>
        <v>27.4</v>
      </c>
      <c r="L5" s="24">
        <f>SUM(K5)+1.4</f>
        <v>28.799999999999997</v>
      </c>
      <c r="M5" s="26">
        <f>SUM(L5)+1.4</f>
        <v>30.199999999999996</v>
      </c>
    </row>
    <row r="6" spans="1:13" s="1" customFormat="1" ht="14.1" customHeight="1">
      <c r="A6" s="38"/>
      <c r="B6" s="56" t="s">
        <v>26</v>
      </c>
      <c r="C6" s="56"/>
      <c r="D6" s="47" t="s">
        <v>153</v>
      </c>
      <c r="E6" s="48"/>
      <c r="F6" s="48"/>
      <c r="G6" s="49"/>
      <c r="H6" s="36"/>
      <c r="I6" s="36"/>
      <c r="J6" s="35"/>
      <c r="K6" s="36"/>
      <c r="L6" s="36"/>
      <c r="M6" s="37"/>
    </row>
    <row r="7" spans="1:13" s="1" customFormat="1" ht="14.1" customHeight="1">
      <c r="A7" s="38">
        <v>3</v>
      </c>
      <c r="B7" s="58" t="s">
        <v>41</v>
      </c>
      <c r="C7" s="58"/>
      <c r="D7" s="57" t="s">
        <v>123</v>
      </c>
      <c r="E7" s="57"/>
      <c r="F7" s="57"/>
      <c r="G7" s="57"/>
      <c r="H7" s="24">
        <f>SUM(I7)-2</f>
        <v>34</v>
      </c>
      <c r="I7" s="24">
        <f>SUM(J7)-2</f>
        <v>36</v>
      </c>
      <c r="J7" s="33">
        <v>38</v>
      </c>
      <c r="K7" s="24">
        <f>SUM(J7)+2</f>
        <v>40</v>
      </c>
      <c r="L7" s="24">
        <f>SUM(K7)+2</f>
        <v>42</v>
      </c>
      <c r="M7" s="26">
        <f>SUM(L7)+2</f>
        <v>44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37"/>
    </row>
    <row r="9" spans="1:13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SUM(I9)-2</f>
        <v>32</v>
      </c>
      <c r="I9" s="24">
        <f>SUM(J9)-2</f>
        <v>34</v>
      </c>
      <c r="J9" s="33">
        <v>36</v>
      </c>
      <c r="K9" s="24">
        <f>SUM(J9)+2</f>
        <v>38</v>
      </c>
      <c r="L9" s="24">
        <f>SUM(K9)+2</f>
        <v>40</v>
      </c>
      <c r="M9" s="26">
        <f>SUM(L9)+2</f>
        <v>42</v>
      </c>
    </row>
    <row r="10" spans="1:13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7"/>
    </row>
    <row r="11" spans="1:13" s="1" customFormat="1" ht="14.1" customHeight="1">
      <c r="A11" s="38">
        <v>5</v>
      </c>
      <c r="B11" s="58" t="s">
        <v>359</v>
      </c>
      <c r="C11" s="58"/>
      <c r="D11" s="57"/>
      <c r="E11" s="57"/>
      <c r="F11" s="57"/>
      <c r="G11" s="57"/>
      <c r="H11" s="24">
        <f>SUM(I11)-0</f>
        <v>2.5</v>
      </c>
      <c r="I11" s="24">
        <f>SUM(J11)-0</f>
        <v>2.5</v>
      </c>
      <c r="J11" s="33">
        <v>2.5</v>
      </c>
      <c r="K11" s="24">
        <f>SUM(J11)+0.5</f>
        <v>3</v>
      </c>
      <c r="L11" s="24">
        <f>SUM(K11)+0</f>
        <v>3</v>
      </c>
      <c r="M11" s="26">
        <f>SUM(L11)+0</f>
        <v>3</v>
      </c>
    </row>
    <row r="12" spans="1:13" s="1" customFormat="1" ht="14.1" customHeight="1">
      <c r="A12" s="38"/>
      <c r="B12" s="56" t="s">
        <v>360</v>
      </c>
      <c r="C12" s="56"/>
      <c r="D12" s="47"/>
      <c r="E12" s="48"/>
      <c r="F12" s="48"/>
      <c r="G12" s="49"/>
      <c r="H12" s="36"/>
      <c r="I12" s="36"/>
      <c r="J12" s="35"/>
      <c r="K12" s="36"/>
      <c r="L12" s="36"/>
      <c r="M12" s="37"/>
    </row>
    <row r="13" spans="1:13" s="1" customFormat="1" ht="14.1" customHeight="1">
      <c r="A13" s="38">
        <v>6</v>
      </c>
      <c r="B13" s="58" t="s">
        <v>10</v>
      </c>
      <c r="C13" s="58"/>
      <c r="D13" s="57" t="s">
        <v>0</v>
      </c>
      <c r="E13" s="57"/>
      <c r="F13" s="57"/>
      <c r="G13" s="57"/>
      <c r="H13" s="24">
        <f>SUM(I13)-1</f>
        <v>17</v>
      </c>
      <c r="I13" s="24">
        <f>SUM(J13)-1</f>
        <v>18</v>
      </c>
      <c r="J13" s="23">
        <v>19</v>
      </c>
      <c r="K13" s="24">
        <f>SUM(J13)+1</f>
        <v>20</v>
      </c>
      <c r="L13" s="24">
        <f>SUM(K13)+1</f>
        <v>21</v>
      </c>
      <c r="M13" s="26">
        <f>SUM(L13)+1</f>
        <v>22</v>
      </c>
    </row>
    <row r="14" spans="1:13" s="1" customFormat="1" ht="14.1" customHeight="1">
      <c r="A14" s="38"/>
      <c r="B14" s="56" t="s">
        <v>28</v>
      </c>
      <c r="C14" s="56"/>
      <c r="D14" s="47" t="s">
        <v>51</v>
      </c>
      <c r="E14" s="48"/>
      <c r="F14" s="48"/>
      <c r="G14" s="49"/>
      <c r="H14" s="36"/>
      <c r="I14" s="36"/>
      <c r="J14" s="23"/>
      <c r="K14" s="36"/>
      <c r="L14" s="36"/>
      <c r="M14" s="37"/>
    </row>
    <row r="15" spans="1:13" s="1" customFormat="1" ht="14.1" customHeight="1">
      <c r="A15" s="38">
        <v>7</v>
      </c>
      <c r="B15" s="58" t="s">
        <v>1</v>
      </c>
      <c r="C15" s="58"/>
      <c r="D15" s="57" t="s">
        <v>180</v>
      </c>
      <c r="E15" s="57"/>
      <c r="F15" s="57"/>
      <c r="G15" s="57"/>
      <c r="H15" s="24">
        <f>SUM(I15)-0.6</f>
        <v>14.8</v>
      </c>
      <c r="I15" s="24">
        <f>SUM(J15)-0.6</f>
        <v>15.4</v>
      </c>
      <c r="J15" s="23">
        <v>16</v>
      </c>
      <c r="K15" s="24">
        <f>SUM(J15)+0.6</f>
        <v>16.600000000000001</v>
      </c>
      <c r="L15" s="24">
        <f>SUM(K15)+0.6</f>
        <v>17.200000000000003</v>
      </c>
      <c r="M15" s="26">
        <f>SUM(L15)+0.6</f>
        <v>17.800000000000004</v>
      </c>
    </row>
    <row r="16" spans="1:13" s="1" customFormat="1" ht="14.1" customHeight="1">
      <c r="A16" s="38"/>
      <c r="B16" s="56" t="s">
        <v>29</v>
      </c>
      <c r="C16" s="56"/>
      <c r="D16" s="47" t="s">
        <v>52</v>
      </c>
      <c r="E16" s="48"/>
      <c r="F16" s="48"/>
      <c r="G16" s="49"/>
      <c r="H16" s="36"/>
      <c r="I16" s="36"/>
      <c r="J16" s="23"/>
      <c r="K16" s="36"/>
      <c r="L16" s="36"/>
      <c r="M16" s="37"/>
    </row>
    <row r="17" spans="1:13" s="1" customFormat="1" ht="14.1" customHeight="1">
      <c r="A17" s="38">
        <v>8</v>
      </c>
      <c r="B17" s="58" t="s">
        <v>2</v>
      </c>
      <c r="C17" s="58"/>
      <c r="D17" s="57" t="s">
        <v>3</v>
      </c>
      <c r="E17" s="57"/>
      <c r="F17" s="57"/>
      <c r="G17" s="57"/>
      <c r="H17" s="24">
        <f>SUM(I17)-0.3</f>
        <v>5.9</v>
      </c>
      <c r="I17" s="24">
        <f>SUM(J17)-0.3</f>
        <v>6.2</v>
      </c>
      <c r="J17" s="23">
        <v>6.5</v>
      </c>
      <c r="K17" s="24">
        <f>SUM(J17)+0.3</f>
        <v>6.8</v>
      </c>
      <c r="L17" s="24">
        <f>SUM(K17)+0.3</f>
        <v>7.1</v>
      </c>
      <c r="M17" s="26">
        <f>SUM(L17)+0.3</f>
        <v>7.3999999999999995</v>
      </c>
    </row>
    <row r="18" spans="1:13" s="1" customFormat="1" ht="14.1" customHeight="1">
      <c r="A18" s="38"/>
      <c r="B18" s="56" t="s">
        <v>30</v>
      </c>
      <c r="C18" s="56"/>
      <c r="D18" s="47" t="s">
        <v>53</v>
      </c>
      <c r="E18" s="48"/>
      <c r="F18" s="48"/>
      <c r="G18" s="49"/>
      <c r="H18" s="36"/>
      <c r="I18" s="36"/>
      <c r="J18" s="23"/>
      <c r="K18" s="36"/>
      <c r="L18" s="36"/>
      <c r="M18" s="37"/>
    </row>
    <row r="19" spans="1:13" s="1" customFormat="1" ht="14.1" customHeight="1">
      <c r="A19" s="38">
        <v>9</v>
      </c>
      <c r="B19" s="51" t="s">
        <v>362</v>
      </c>
      <c r="C19" s="52"/>
      <c r="D19" s="59"/>
      <c r="E19" s="60"/>
      <c r="F19" s="60"/>
      <c r="G19" s="61"/>
      <c r="H19" s="24">
        <f>SUM(I19)</f>
        <v>2.2000000000000002</v>
      </c>
      <c r="I19" s="24">
        <f>SUM(J19)</f>
        <v>2.2000000000000002</v>
      </c>
      <c r="J19" s="33">
        <v>2.2000000000000002</v>
      </c>
      <c r="K19" s="24">
        <f>SUM(J19)</f>
        <v>2.2000000000000002</v>
      </c>
      <c r="L19" s="24">
        <f>SUM(K19)</f>
        <v>2.2000000000000002</v>
      </c>
      <c r="M19" s="26">
        <f>SUM(L19)</f>
        <v>2.2000000000000002</v>
      </c>
    </row>
    <row r="20" spans="1:13" s="1" customFormat="1" ht="14.1" customHeight="1">
      <c r="A20" s="38"/>
      <c r="B20" s="56" t="s">
        <v>363</v>
      </c>
      <c r="C20" s="56"/>
      <c r="D20" s="47"/>
      <c r="E20" s="48"/>
      <c r="F20" s="48"/>
      <c r="G20" s="49"/>
      <c r="H20" s="36"/>
      <c r="I20" s="36"/>
      <c r="J20" s="35"/>
      <c r="K20" s="36"/>
      <c r="L20" s="36"/>
      <c r="M20" s="37"/>
    </row>
    <row r="21" spans="1:13" s="1" customFormat="1" ht="14.1" customHeight="1">
      <c r="A21" s="38">
        <v>10</v>
      </c>
      <c r="B21" s="51" t="s">
        <v>85</v>
      </c>
      <c r="C21" s="52"/>
      <c r="D21" s="59" t="s">
        <v>86</v>
      </c>
      <c r="E21" s="60"/>
      <c r="F21" s="60"/>
      <c r="G21" s="61"/>
      <c r="H21" s="50"/>
      <c r="I21" s="50"/>
      <c r="J21" s="35"/>
      <c r="K21" s="50"/>
      <c r="L21" s="50"/>
      <c r="M21" s="113"/>
    </row>
    <row r="22" spans="1:13" s="1" customFormat="1" ht="14.1" customHeight="1">
      <c r="A22" s="38"/>
      <c r="B22" s="56" t="s">
        <v>37</v>
      </c>
      <c r="C22" s="56"/>
      <c r="D22" s="47" t="s">
        <v>64</v>
      </c>
      <c r="E22" s="48"/>
      <c r="F22" s="48"/>
      <c r="G22" s="49"/>
      <c r="H22" s="36"/>
      <c r="I22" s="36"/>
      <c r="J22" s="23"/>
      <c r="K22" s="36"/>
      <c r="L22" s="36"/>
      <c r="M22" s="37"/>
    </row>
    <row r="23" spans="1:13" s="1" customFormat="1" ht="14.1" customHeight="1">
      <c r="A23" s="38">
        <v>11</v>
      </c>
      <c r="B23" s="58" t="s">
        <v>4</v>
      </c>
      <c r="C23" s="58"/>
      <c r="D23" s="57" t="s">
        <v>5</v>
      </c>
      <c r="E23" s="57"/>
      <c r="F23" s="57"/>
      <c r="G23" s="57"/>
      <c r="H23" s="24">
        <f>SUM(I23)-3.3</f>
        <v>33.400000000000006</v>
      </c>
      <c r="I23" s="24">
        <f>SUM(J23)-3.3</f>
        <v>36.700000000000003</v>
      </c>
      <c r="J23" s="33">
        <v>40</v>
      </c>
      <c r="K23" s="24">
        <f>SUM(J23)+3.3</f>
        <v>43.3</v>
      </c>
      <c r="L23" s="24">
        <f>SUM(K23)+3.3</f>
        <v>46.599999999999994</v>
      </c>
      <c r="M23" s="26">
        <f>SUM(L23)+3.3</f>
        <v>49.899999999999991</v>
      </c>
    </row>
    <row r="24" spans="1:13" s="1" customFormat="1" ht="14.1" customHeight="1">
      <c r="A24" s="38"/>
      <c r="B24" s="56" t="s">
        <v>31</v>
      </c>
      <c r="C24" s="56"/>
      <c r="D24" s="47" t="s">
        <v>54</v>
      </c>
      <c r="E24" s="48"/>
      <c r="F24" s="48"/>
      <c r="G24" s="49"/>
      <c r="H24" s="36"/>
      <c r="I24" s="36"/>
      <c r="J24" s="35"/>
      <c r="K24" s="36"/>
      <c r="L24" s="36"/>
      <c r="M24" s="37"/>
    </row>
    <row r="25" spans="1:13" ht="14.1" customHeight="1">
      <c r="A25" s="38">
        <v>12</v>
      </c>
      <c r="B25" s="58" t="s">
        <v>6</v>
      </c>
      <c r="C25" s="58"/>
      <c r="D25" s="59" t="s">
        <v>7</v>
      </c>
      <c r="E25" s="60"/>
      <c r="F25" s="60"/>
      <c r="G25" s="61"/>
      <c r="H25" s="24">
        <f>SUM(I25)-1.6</f>
        <v>25.799999999999997</v>
      </c>
      <c r="I25" s="24">
        <f>SUM(J25)-1.6</f>
        <v>27.4</v>
      </c>
      <c r="J25" s="33">
        <v>29</v>
      </c>
      <c r="K25" s="24">
        <f>SUM(J25)+1.6</f>
        <v>30.6</v>
      </c>
      <c r="L25" s="24">
        <f>SUM(K25)+1.6</f>
        <v>32.200000000000003</v>
      </c>
      <c r="M25" s="26">
        <f>SUM(L25)+1.6</f>
        <v>33.800000000000004</v>
      </c>
    </row>
    <row r="26" spans="1:13" ht="14.1" customHeight="1">
      <c r="A26" s="38"/>
      <c r="B26" s="56" t="s">
        <v>32</v>
      </c>
      <c r="C26" s="56"/>
      <c r="D26" s="47" t="s">
        <v>76</v>
      </c>
      <c r="E26" s="48"/>
      <c r="F26" s="48"/>
      <c r="G26" s="49"/>
      <c r="H26" s="36"/>
      <c r="I26" s="36"/>
      <c r="J26" s="35"/>
      <c r="K26" s="36"/>
      <c r="L26" s="36"/>
      <c r="M26" s="37"/>
    </row>
    <row r="27" spans="1:13" ht="14.1" customHeight="1">
      <c r="A27" s="38">
        <v>13</v>
      </c>
      <c r="B27" s="51" t="s">
        <v>122</v>
      </c>
      <c r="C27" s="52"/>
      <c r="D27" s="57" t="s">
        <v>78</v>
      </c>
      <c r="E27" s="57"/>
      <c r="F27" s="57"/>
      <c r="G27" s="57"/>
      <c r="H27" s="24">
        <f>SUM(I27)-0.6</f>
        <v>17.799999999999997</v>
      </c>
      <c r="I27" s="24">
        <f>SUM(J27)-0.6</f>
        <v>18.399999999999999</v>
      </c>
      <c r="J27" s="33">
        <v>19</v>
      </c>
      <c r="K27" s="24">
        <f>SUM(J27)+0.6</f>
        <v>19.600000000000001</v>
      </c>
      <c r="L27" s="24">
        <f>SUM(K27)+0.6</f>
        <v>20.200000000000003</v>
      </c>
      <c r="M27" s="26">
        <f>SUM(L27)+0.6</f>
        <v>20.800000000000004</v>
      </c>
    </row>
    <row r="28" spans="1:13" ht="14.1" customHeight="1">
      <c r="A28" s="154"/>
      <c r="B28" s="141" t="s">
        <v>33</v>
      </c>
      <c r="C28" s="141"/>
      <c r="D28" s="100" t="s">
        <v>79</v>
      </c>
      <c r="E28" s="101"/>
      <c r="F28" s="101"/>
      <c r="G28" s="102"/>
      <c r="H28" s="36"/>
      <c r="I28" s="36"/>
      <c r="J28" s="35"/>
      <c r="K28" s="36"/>
      <c r="L28" s="36"/>
      <c r="M28" s="37"/>
    </row>
    <row r="29" spans="1:13" ht="14.1" customHeight="1">
      <c r="A29" s="38">
        <v>14</v>
      </c>
      <c r="B29" s="51" t="s">
        <v>367</v>
      </c>
      <c r="C29" s="52"/>
      <c r="D29" s="57"/>
      <c r="E29" s="57"/>
      <c r="F29" s="57"/>
      <c r="G29" s="57"/>
      <c r="H29" s="24">
        <f>SUM(I29)</f>
        <v>2.5</v>
      </c>
      <c r="I29" s="24">
        <f>SUM(J29)</f>
        <v>2.5</v>
      </c>
      <c r="J29" s="33">
        <v>2.5</v>
      </c>
      <c r="K29" s="24">
        <f>SUM(J29)+0.5</f>
        <v>3</v>
      </c>
      <c r="L29" s="24">
        <f>SUM(K29)</f>
        <v>3</v>
      </c>
      <c r="M29" s="26">
        <f>SUM(L29)</f>
        <v>3</v>
      </c>
    </row>
    <row r="30" spans="1:13" ht="14.1" customHeight="1">
      <c r="A30" s="154"/>
      <c r="B30" s="45" t="s">
        <v>368</v>
      </c>
      <c r="C30" s="46"/>
      <c r="D30" s="100"/>
      <c r="E30" s="101"/>
      <c r="F30" s="101"/>
      <c r="G30" s="102"/>
      <c r="H30" s="50"/>
      <c r="I30" s="50"/>
      <c r="J30" s="117"/>
      <c r="K30" s="50"/>
      <c r="L30" s="50"/>
      <c r="M30" s="113"/>
    </row>
    <row r="31" spans="1:13" ht="14.1" customHeight="1">
      <c r="A31" s="38">
        <v>15</v>
      </c>
      <c r="B31" s="51" t="s">
        <v>365</v>
      </c>
      <c r="C31" s="52"/>
      <c r="D31" s="57"/>
      <c r="E31" s="57"/>
      <c r="F31" s="57"/>
      <c r="G31" s="57"/>
      <c r="H31" s="24">
        <f>SUM(I31)</f>
        <v>2.2000000000000002</v>
      </c>
      <c r="I31" s="24">
        <f>SUM(J31)</f>
        <v>2.2000000000000002</v>
      </c>
      <c r="J31" s="33">
        <v>2.2000000000000002</v>
      </c>
      <c r="K31" s="24">
        <f>SUM(J31)</f>
        <v>2.2000000000000002</v>
      </c>
      <c r="L31" s="24">
        <f>SUM(K31)</f>
        <v>2.2000000000000002</v>
      </c>
      <c r="M31" s="26">
        <f>SUM(L31)</f>
        <v>2.2000000000000002</v>
      </c>
    </row>
    <row r="32" spans="1:13" ht="14.1" customHeight="1">
      <c r="A32" s="38"/>
      <c r="B32" s="45" t="s">
        <v>366</v>
      </c>
      <c r="C32" s="46"/>
      <c r="D32" s="47"/>
      <c r="E32" s="48"/>
      <c r="F32" s="48"/>
      <c r="G32" s="49"/>
      <c r="H32" s="36"/>
      <c r="I32" s="36"/>
      <c r="J32" s="35"/>
      <c r="K32" s="36"/>
      <c r="L32" s="36"/>
      <c r="M32" s="37"/>
    </row>
    <row r="33" spans="1:13" ht="14.1" customHeight="1">
      <c r="A33" s="38">
        <v>16</v>
      </c>
      <c r="B33" s="51" t="s">
        <v>855</v>
      </c>
      <c r="C33" s="52"/>
      <c r="D33" s="57"/>
      <c r="E33" s="57"/>
      <c r="F33" s="57"/>
      <c r="G33" s="57"/>
      <c r="H33" s="24">
        <f>SUM(I33)-0.4</f>
        <v>6.1999999999999993</v>
      </c>
      <c r="I33" s="24">
        <f>SUM(J33)-0.4</f>
        <v>6.6</v>
      </c>
      <c r="J33" s="33">
        <v>7</v>
      </c>
      <c r="K33" s="24">
        <f>SUM(J33)+0.4</f>
        <v>7.4</v>
      </c>
      <c r="L33" s="24">
        <f>SUM(K33)+0.4</f>
        <v>7.8000000000000007</v>
      </c>
      <c r="M33" s="26">
        <f>SUM(L33)+0.4</f>
        <v>8.2000000000000011</v>
      </c>
    </row>
    <row r="34" spans="1:13" ht="14.1" customHeight="1">
      <c r="A34" s="38"/>
      <c r="B34" s="45" t="s">
        <v>856</v>
      </c>
      <c r="C34" s="46"/>
      <c r="D34" s="47"/>
      <c r="E34" s="48"/>
      <c r="F34" s="48"/>
      <c r="G34" s="49"/>
      <c r="H34" s="36"/>
      <c r="I34" s="36"/>
      <c r="J34" s="35"/>
      <c r="K34" s="36"/>
      <c r="L34" s="36"/>
      <c r="M34" s="37"/>
    </row>
    <row r="35" spans="1:13" ht="14.1" customHeight="1">
      <c r="A35" s="71">
        <v>17</v>
      </c>
      <c r="B35" s="141"/>
      <c r="C35" s="141"/>
      <c r="D35" s="132"/>
      <c r="E35" s="132"/>
      <c r="F35" s="132"/>
      <c r="G35" s="132"/>
      <c r="H35" s="50"/>
      <c r="I35" s="50"/>
      <c r="J35" s="117"/>
      <c r="K35" s="50"/>
      <c r="L35" s="50"/>
      <c r="M35" s="113"/>
    </row>
    <row r="36" spans="1:13" ht="14.1" customHeight="1" thickBot="1">
      <c r="A36" s="39"/>
      <c r="B36" s="110"/>
      <c r="C36" s="110"/>
      <c r="D36" s="30"/>
      <c r="E36" s="31"/>
      <c r="F36" s="31"/>
      <c r="G36" s="32"/>
      <c r="H36" s="25"/>
      <c r="I36" s="25"/>
      <c r="J36" s="34"/>
      <c r="K36" s="25"/>
      <c r="L36" s="25"/>
      <c r="M36" s="27"/>
    </row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190">
    <mergeCell ref="J33:J34"/>
    <mergeCell ref="K33:K34"/>
    <mergeCell ref="L33:L34"/>
    <mergeCell ref="M33:M34"/>
    <mergeCell ref="B34:C34"/>
    <mergeCell ref="D34:G34"/>
    <mergeCell ref="K35:K36"/>
    <mergeCell ref="L35:L36"/>
    <mergeCell ref="M35:M36"/>
    <mergeCell ref="B36:C36"/>
    <mergeCell ref="D36:G36"/>
    <mergeCell ref="J35:J36"/>
    <mergeCell ref="A33:A34"/>
    <mergeCell ref="B33:C33"/>
    <mergeCell ref="D33:G33"/>
    <mergeCell ref="H33:H34"/>
    <mergeCell ref="I33:I34"/>
    <mergeCell ref="A35:A36"/>
    <mergeCell ref="B35:C35"/>
    <mergeCell ref="D35:G35"/>
    <mergeCell ref="H35:H36"/>
    <mergeCell ref="I35:I36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49FBF-9AA6-4DE5-A8CB-F2E7BD818374}">
  <sheetPr>
    <tabColor rgb="FF00B050"/>
    <pageSetUpPr fitToPage="1"/>
  </sheetPr>
  <dimension ref="A1:M51"/>
  <sheetViews>
    <sheetView zoomScale="110" zoomScaleNormal="110" workbookViewId="0">
      <selection activeCell="P21" sqref="P21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899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45</v>
      </c>
      <c r="C3" s="72"/>
      <c r="D3" s="73" t="s">
        <v>75</v>
      </c>
      <c r="E3" s="73"/>
      <c r="F3" s="73"/>
      <c r="G3" s="74"/>
      <c r="H3" s="24">
        <f>SUM(I3)-3</f>
        <v>35</v>
      </c>
      <c r="I3" s="24">
        <f>SUM(J3)-3</f>
        <v>38</v>
      </c>
      <c r="J3" s="75">
        <v>41</v>
      </c>
      <c r="K3" s="85">
        <f>SUM(J3)+3</f>
        <v>44</v>
      </c>
      <c r="L3" s="85">
        <f>SUM(K3)+3</f>
        <v>47</v>
      </c>
      <c r="M3" s="109">
        <f>SUM(L3)+3</f>
        <v>50</v>
      </c>
    </row>
    <row r="4" spans="1:13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36"/>
      <c r="L4" s="36"/>
      <c r="M4" s="37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SUM(I5)-1.6</f>
        <v>26.799999999999997</v>
      </c>
      <c r="I5" s="24">
        <f>SUM(J5)-1.6</f>
        <v>28.4</v>
      </c>
      <c r="J5" s="33">
        <v>30</v>
      </c>
      <c r="K5" s="24">
        <f>SUM(J5)+1.6</f>
        <v>31.6</v>
      </c>
      <c r="L5" s="24">
        <f>SUM(K5)+1.6</f>
        <v>33.200000000000003</v>
      </c>
      <c r="M5" s="26">
        <f>SUM(L5)+1.6</f>
        <v>34.800000000000004</v>
      </c>
    </row>
    <row r="6" spans="1:13" s="1" customFormat="1" ht="14.1" customHeight="1">
      <c r="A6" s="38"/>
      <c r="B6" s="56" t="s">
        <v>26</v>
      </c>
      <c r="C6" s="56"/>
      <c r="D6" s="47" t="s">
        <v>153</v>
      </c>
      <c r="E6" s="48"/>
      <c r="F6" s="48"/>
      <c r="G6" s="49"/>
      <c r="H6" s="36"/>
      <c r="I6" s="36"/>
      <c r="J6" s="35"/>
      <c r="K6" s="36"/>
      <c r="L6" s="36"/>
      <c r="M6" s="37"/>
    </row>
    <row r="7" spans="1:13" s="1" customFormat="1" ht="14.1" customHeight="1">
      <c r="A7" s="38">
        <v>3</v>
      </c>
      <c r="B7" s="58" t="s">
        <v>41</v>
      </c>
      <c r="C7" s="58"/>
      <c r="D7" s="57" t="s">
        <v>123</v>
      </c>
      <c r="E7" s="57"/>
      <c r="F7" s="57"/>
      <c r="G7" s="57"/>
      <c r="H7" s="24">
        <f>SUM(I7)-2</f>
        <v>32.5</v>
      </c>
      <c r="I7" s="24">
        <f>SUM(J7)-2</f>
        <v>34.5</v>
      </c>
      <c r="J7" s="33">
        <v>36.5</v>
      </c>
      <c r="K7" s="24">
        <f>SUM(J7)+2</f>
        <v>38.5</v>
      </c>
      <c r="L7" s="24">
        <f>SUM(K7)+2</f>
        <v>40.5</v>
      </c>
      <c r="M7" s="26">
        <f>SUM(L7)+2</f>
        <v>42.5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37"/>
    </row>
    <row r="9" spans="1:13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SUM(I9)-2</f>
        <v>28</v>
      </c>
      <c r="I9" s="24">
        <f>SUM(J9)-2</f>
        <v>30</v>
      </c>
      <c r="J9" s="33">
        <v>32</v>
      </c>
      <c r="K9" s="24">
        <f>SUM(J9)+2</f>
        <v>34</v>
      </c>
      <c r="L9" s="24">
        <f>SUM(K9)+2</f>
        <v>36</v>
      </c>
      <c r="M9" s="26">
        <f>SUM(L9)+2</f>
        <v>38</v>
      </c>
    </row>
    <row r="10" spans="1:13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7"/>
    </row>
    <row r="11" spans="1:13" s="1" customFormat="1" ht="14.1" customHeight="1">
      <c r="A11" s="38">
        <v>5</v>
      </c>
      <c r="B11" s="58" t="s">
        <v>359</v>
      </c>
      <c r="C11" s="58"/>
      <c r="D11" s="57"/>
      <c r="E11" s="57"/>
      <c r="F11" s="57"/>
      <c r="G11" s="57"/>
      <c r="H11" s="24">
        <f>SUM(I11)-0</f>
        <v>5</v>
      </c>
      <c r="I11" s="24">
        <f>SUM(J11)-0</f>
        <v>5</v>
      </c>
      <c r="J11" s="33">
        <v>5</v>
      </c>
      <c r="K11" s="24">
        <f>SUM(J11)+0.5</f>
        <v>5.5</v>
      </c>
      <c r="L11" s="24">
        <f>SUM(K11)+0</f>
        <v>5.5</v>
      </c>
      <c r="M11" s="26">
        <f>SUM(L11)+0</f>
        <v>5.5</v>
      </c>
    </row>
    <row r="12" spans="1:13" s="1" customFormat="1" ht="14.1" customHeight="1">
      <c r="A12" s="38"/>
      <c r="B12" s="56" t="s">
        <v>360</v>
      </c>
      <c r="C12" s="56"/>
      <c r="D12" s="47"/>
      <c r="E12" s="48"/>
      <c r="F12" s="48"/>
      <c r="G12" s="49"/>
      <c r="H12" s="36"/>
      <c r="I12" s="36"/>
      <c r="J12" s="35"/>
      <c r="K12" s="36"/>
      <c r="L12" s="36"/>
      <c r="M12" s="37"/>
    </row>
    <row r="13" spans="1:13" s="1" customFormat="1" ht="14.1" customHeight="1">
      <c r="A13" s="38">
        <v>6</v>
      </c>
      <c r="B13" s="58" t="s">
        <v>10</v>
      </c>
      <c r="C13" s="58"/>
      <c r="D13" s="57" t="s">
        <v>0</v>
      </c>
      <c r="E13" s="57"/>
      <c r="F13" s="57"/>
      <c r="G13" s="57"/>
      <c r="H13" s="24">
        <f>SUM(I13)-1</f>
        <v>15</v>
      </c>
      <c r="I13" s="24">
        <f>SUM(J13)-1</f>
        <v>16</v>
      </c>
      <c r="J13" s="23">
        <v>17</v>
      </c>
      <c r="K13" s="24">
        <f>SUM(J13)+1</f>
        <v>18</v>
      </c>
      <c r="L13" s="24">
        <f>SUM(K13)+1</f>
        <v>19</v>
      </c>
      <c r="M13" s="26">
        <f>SUM(L13)+1</f>
        <v>20</v>
      </c>
    </row>
    <row r="14" spans="1:13" s="1" customFormat="1" ht="14.1" customHeight="1">
      <c r="A14" s="38"/>
      <c r="B14" s="56" t="s">
        <v>28</v>
      </c>
      <c r="C14" s="56"/>
      <c r="D14" s="47" t="s">
        <v>51</v>
      </c>
      <c r="E14" s="48"/>
      <c r="F14" s="48"/>
      <c r="G14" s="49"/>
      <c r="H14" s="36"/>
      <c r="I14" s="36"/>
      <c r="J14" s="23"/>
      <c r="K14" s="36"/>
      <c r="L14" s="36"/>
      <c r="M14" s="37"/>
    </row>
    <row r="15" spans="1:13" s="1" customFormat="1" ht="14.1" customHeight="1">
      <c r="A15" s="38">
        <v>7</v>
      </c>
      <c r="B15" s="58" t="s">
        <v>1</v>
      </c>
      <c r="C15" s="58"/>
      <c r="D15" s="57" t="s">
        <v>180</v>
      </c>
      <c r="E15" s="57"/>
      <c r="F15" s="57"/>
      <c r="G15" s="57"/>
      <c r="H15" s="24">
        <f>SUM(I15)-0.6</f>
        <v>15</v>
      </c>
      <c r="I15" s="24">
        <f>SUM(J15)-0.6</f>
        <v>15.6</v>
      </c>
      <c r="J15" s="23">
        <v>16.2</v>
      </c>
      <c r="K15" s="24">
        <f>SUM(J15)+0.6</f>
        <v>16.8</v>
      </c>
      <c r="L15" s="24">
        <f>SUM(K15)+0.6</f>
        <v>17.400000000000002</v>
      </c>
      <c r="M15" s="26">
        <f>SUM(L15)+0.6</f>
        <v>18.000000000000004</v>
      </c>
    </row>
    <row r="16" spans="1:13" s="1" customFormat="1" ht="14.1" customHeight="1">
      <c r="A16" s="38"/>
      <c r="B16" s="56" t="s">
        <v>29</v>
      </c>
      <c r="C16" s="56"/>
      <c r="D16" s="47" t="s">
        <v>52</v>
      </c>
      <c r="E16" s="48"/>
      <c r="F16" s="48"/>
      <c r="G16" s="49"/>
      <c r="H16" s="36"/>
      <c r="I16" s="36"/>
      <c r="J16" s="23"/>
      <c r="K16" s="36"/>
      <c r="L16" s="36"/>
      <c r="M16" s="37"/>
    </row>
    <row r="17" spans="1:13" s="1" customFormat="1" ht="14.1" customHeight="1">
      <c r="A17" s="38">
        <v>8</v>
      </c>
      <c r="B17" s="58" t="s">
        <v>2</v>
      </c>
      <c r="C17" s="58"/>
      <c r="D17" s="57" t="s">
        <v>3</v>
      </c>
      <c r="E17" s="57"/>
      <c r="F17" s="57"/>
      <c r="G17" s="57"/>
      <c r="H17" s="24">
        <f>SUM(I17)-0.3</f>
        <v>6.9</v>
      </c>
      <c r="I17" s="24">
        <f>SUM(J17)-0.3</f>
        <v>7.2</v>
      </c>
      <c r="J17" s="23">
        <v>7.5</v>
      </c>
      <c r="K17" s="24">
        <f>SUM(J17)+0.3</f>
        <v>7.8</v>
      </c>
      <c r="L17" s="24">
        <f>SUM(K17)+0.3</f>
        <v>8.1</v>
      </c>
      <c r="M17" s="26">
        <f>SUM(L17)+0.3</f>
        <v>8.4</v>
      </c>
    </row>
    <row r="18" spans="1:13" s="1" customFormat="1" ht="14.1" customHeight="1">
      <c r="A18" s="38"/>
      <c r="B18" s="56" t="s">
        <v>30</v>
      </c>
      <c r="C18" s="56"/>
      <c r="D18" s="47" t="s">
        <v>53</v>
      </c>
      <c r="E18" s="48"/>
      <c r="F18" s="48"/>
      <c r="G18" s="49"/>
      <c r="H18" s="36"/>
      <c r="I18" s="36"/>
      <c r="J18" s="23"/>
      <c r="K18" s="36"/>
      <c r="L18" s="36"/>
      <c r="M18" s="37"/>
    </row>
    <row r="19" spans="1:13" s="1" customFormat="1" ht="14.1" customHeight="1">
      <c r="A19" s="38">
        <v>9</v>
      </c>
      <c r="B19" s="51" t="s">
        <v>362</v>
      </c>
      <c r="C19" s="52"/>
      <c r="D19" s="59"/>
      <c r="E19" s="60"/>
      <c r="F19" s="60"/>
      <c r="G19" s="61"/>
      <c r="H19" s="24">
        <f>SUM(I19)</f>
        <v>2.5</v>
      </c>
      <c r="I19" s="24">
        <f>SUM(J19)</f>
        <v>2.5</v>
      </c>
      <c r="J19" s="33">
        <v>2.5</v>
      </c>
      <c r="K19" s="24">
        <f>SUM(J19)</f>
        <v>2.5</v>
      </c>
      <c r="L19" s="24">
        <f>SUM(K19)</f>
        <v>2.5</v>
      </c>
      <c r="M19" s="26">
        <f>SUM(L19)</f>
        <v>2.5</v>
      </c>
    </row>
    <row r="20" spans="1:13" s="1" customFormat="1" ht="14.1" customHeight="1">
      <c r="A20" s="38"/>
      <c r="B20" s="56" t="s">
        <v>363</v>
      </c>
      <c r="C20" s="56"/>
      <c r="D20" s="47"/>
      <c r="E20" s="48"/>
      <c r="F20" s="48"/>
      <c r="G20" s="49"/>
      <c r="H20" s="36"/>
      <c r="I20" s="36"/>
      <c r="J20" s="35"/>
      <c r="K20" s="36"/>
      <c r="L20" s="36"/>
      <c r="M20" s="37"/>
    </row>
    <row r="21" spans="1:13" s="1" customFormat="1" ht="14.1" customHeight="1">
      <c r="A21" s="38">
        <v>10</v>
      </c>
      <c r="B21" s="51" t="s">
        <v>85</v>
      </c>
      <c r="C21" s="52"/>
      <c r="D21" s="59" t="s">
        <v>86</v>
      </c>
      <c r="E21" s="60"/>
      <c r="F21" s="60"/>
      <c r="G21" s="61"/>
      <c r="H21" s="50"/>
      <c r="I21" s="50"/>
      <c r="J21" s="35"/>
      <c r="K21" s="50"/>
      <c r="L21" s="50"/>
      <c r="M21" s="113"/>
    </row>
    <row r="22" spans="1:13" s="1" customFormat="1" ht="14.1" customHeight="1">
      <c r="A22" s="38"/>
      <c r="B22" s="56" t="s">
        <v>37</v>
      </c>
      <c r="C22" s="56"/>
      <c r="D22" s="47" t="s">
        <v>64</v>
      </c>
      <c r="E22" s="48"/>
      <c r="F22" s="48"/>
      <c r="G22" s="49"/>
      <c r="H22" s="36"/>
      <c r="I22" s="36"/>
      <c r="J22" s="23"/>
      <c r="K22" s="36"/>
      <c r="L22" s="36"/>
      <c r="M22" s="37"/>
    </row>
    <row r="23" spans="1:13" s="1" customFormat="1" ht="14.1" customHeight="1">
      <c r="A23" s="38">
        <v>11</v>
      </c>
      <c r="B23" s="58" t="s">
        <v>4</v>
      </c>
      <c r="C23" s="58"/>
      <c r="D23" s="57" t="s">
        <v>5</v>
      </c>
      <c r="E23" s="57"/>
      <c r="F23" s="57"/>
      <c r="G23" s="57"/>
      <c r="H23" s="24">
        <f>SUM(I23)-3.2</f>
        <v>33.599999999999994</v>
      </c>
      <c r="I23" s="24">
        <f>SUM(J23)-3.2</f>
        <v>36.799999999999997</v>
      </c>
      <c r="J23" s="33">
        <v>40</v>
      </c>
      <c r="K23" s="24">
        <f>SUM(J23)+3.2</f>
        <v>43.2</v>
      </c>
      <c r="L23" s="24">
        <f>SUM(K23)+3.2</f>
        <v>46.400000000000006</v>
      </c>
      <c r="M23" s="26">
        <f>SUM(L23)+3.2</f>
        <v>49.600000000000009</v>
      </c>
    </row>
    <row r="24" spans="1:13" s="1" customFormat="1" ht="14.1" customHeight="1">
      <c r="A24" s="38"/>
      <c r="B24" s="56" t="s">
        <v>31</v>
      </c>
      <c r="C24" s="56"/>
      <c r="D24" s="47" t="s">
        <v>54</v>
      </c>
      <c r="E24" s="48"/>
      <c r="F24" s="48"/>
      <c r="G24" s="49"/>
      <c r="H24" s="36"/>
      <c r="I24" s="36"/>
      <c r="J24" s="35"/>
      <c r="K24" s="36"/>
      <c r="L24" s="36"/>
      <c r="M24" s="37"/>
    </row>
    <row r="25" spans="1:13" ht="14.1" customHeight="1">
      <c r="A25" s="38">
        <v>12</v>
      </c>
      <c r="B25" s="58" t="s">
        <v>6</v>
      </c>
      <c r="C25" s="58"/>
      <c r="D25" s="59" t="s">
        <v>7</v>
      </c>
      <c r="E25" s="60"/>
      <c r="F25" s="60"/>
      <c r="G25" s="61"/>
      <c r="H25" s="24">
        <f>SUM(I25)-1.8</f>
        <v>26.4</v>
      </c>
      <c r="I25" s="24">
        <f>SUM(J25)-1.8</f>
        <v>28.2</v>
      </c>
      <c r="J25" s="33">
        <v>30</v>
      </c>
      <c r="K25" s="24">
        <f>SUM(J25)+1.8</f>
        <v>31.8</v>
      </c>
      <c r="L25" s="24">
        <f>SUM(K25)+1.8</f>
        <v>33.6</v>
      </c>
      <c r="M25" s="26">
        <f>SUM(L25)+1.8</f>
        <v>35.4</v>
      </c>
    </row>
    <row r="26" spans="1:13" ht="14.1" customHeight="1">
      <c r="A26" s="38"/>
      <c r="B26" s="56" t="s">
        <v>32</v>
      </c>
      <c r="C26" s="56"/>
      <c r="D26" s="47" t="s">
        <v>76</v>
      </c>
      <c r="E26" s="48"/>
      <c r="F26" s="48"/>
      <c r="G26" s="49"/>
      <c r="H26" s="36"/>
      <c r="I26" s="36"/>
      <c r="J26" s="35"/>
      <c r="K26" s="36"/>
      <c r="L26" s="36"/>
      <c r="M26" s="37"/>
    </row>
    <row r="27" spans="1:13" ht="14.1" customHeight="1">
      <c r="A27" s="38">
        <v>13</v>
      </c>
      <c r="B27" s="51" t="s">
        <v>122</v>
      </c>
      <c r="C27" s="52"/>
      <c r="D27" s="57" t="s">
        <v>78</v>
      </c>
      <c r="E27" s="57"/>
      <c r="F27" s="57"/>
      <c r="G27" s="57"/>
      <c r="H27" s="24">
        <f>SUM(I27)-0.6</f>
        <v>14.8</v>
      </c>
      <c r="I27" s="24">
        <f>SUM(J27)-0.6</f>
        <v>15.4</v>
      </c>
      <c r="J27" s="33">
        <v>16</v>
      </c>
      <c r="K27" s="24">
        <f>SUM(J27)+0.6</f>
        <v>16.600000000000001</v>
      </c>
      <c r="L27" s="24">
        <f>SUM(K27)+0.6</f>
        <v>17.200000000000003</v>
      </c>
      <c r="M27" s="26">
        <f>SUM(L27)+0.6</f>
        <v>17.800000000000004</v>
      </c>
    </row>
    <row r="28" spans="1:13" ht="14.1" customHeight="1">
      <c r="A28" s="154"/>
      <c r="B28" s="141" t="s">
        <v>33</v>
      </c>
      <c r="C28" s="141"/>
      <c r="D28" s="100" t="s">
        <v>79</v>
      </c>
      <c r="E28" s="101"/>
      <c r="F28" s="101"/>
      <c r="G28" s="102"/>
      <c r="H28" s="36"/>
      <c r="I28" s="36"/>
      <c r="J28" s="35"/>
      <c r="K28" s="36"/>
      <c r="L28" s="36"/>
      <c r="M28" s="37"/>
    </row>
    <row r="29" spans="1:13" ht="14.1" customHeight="1">
      <c r="A29" s="38">
        <v>14</v>
      </c>
      <c r="B29" s="58" t="s">
        <v>367</v>
      </c>
      <c r="C29" s="58"/>
      <c r="D29" s="57"/>
      <c r="E29" s="57"/>
      <c r="F29" s="57"/>
      <c r="G29" s="57"/>
      <c r="H29" s="24">
        <f>SUM(I29)</f>
        <v>4.5</v>
      </c>
      <c r="I29" s="24">
        <f>SUM(J29)</f>
        <v>4.5</v>
      </c>
      <c r="J29" s="33">
        <v>4.5</v>
      </c>
      <c r="K29" s="24">
        <f>SUM(J29)+0.5</f>
        <v>5</v>
      </c>
      <c r="L29" s="24">
        <f>SUM(K29)</f>
        <v>5</v>
      </c>
      <c r="M29" s="26">
        <f>SUM(L29)</f>
        <v>5</v>
      </c>
    </row>
    <row r="30" spans="1:13" ht="14.1" customHeight="1">
      <c r="A30" s="154"/>
      <c r="B30" s="141" t="s">
        <v>368</v>
      </c>
      <c r="C30" s="141"/>
      <c r="D30" s="100"/>
      <c r="E30" s="101"/>
      <c r="F30" s="101"/>
      <c r="G30" s="102"/>
      <c r="H30" s="50"/>
      <c r="I30" s="50"/>
      <c r="J30" s="117"/>
      <c r="K30" s="50"/>
      <c r="L30" s="50"/>
      <c r="M30" s="113"/>
    </row>
    <row r="31" spans="1:13" ht="14.1" customHeight="1">
      <c r="A31" s="38">
        <v>15</v>
      </c>
      <c r="B31" s="51" t="s">
        <v>365</v>
      </c>
      <c r="C31" s="52"/>
      <c r="D31" s="57"/>
      <c r="E31" s="57"/>
      <c r="F31" s="57"/>
      <c r="G31" s="57"/>
      <c r="H31" s="24">
        <f>SUM(I31)</f>
        <v>3</v>
      </c>
      <c r="I31" s="24">
        <f>SUM(J31)</f>
        <v>3</v>
      </c>
      <c r="J31" s="33">
        <v>3</v>
      </c>
      <c r="K31" s="24">
        <f>SUM(J31)</f>
        <v>3</v>
      </c>
      <c r="L31" s="24">
        <f>SUM(K31)</f>
        <v>3</v>
      </c>
      <c r="M31" s="26">
        <f>SUM(L31)</f>
        <v>3</v>
      </c>
    </row>
    <row r="32" spans="1:13" ht="14.1" customHeight="1">
      <c r="A32" s="38"/>
      <c r="B32" s="45" t="s">
        <v>366</v>
      </c>
      <c r="C32" s="46"/>
      <c r="D32" s="47"/>
      <c r="E32" s="48"/>
      <c r="F32" s="48"/>
      <c r="G32" s="49"/>
      <c r="H32" s="36"/>
      <c r="I32" s="36"/>
      <c r="J32" s="35"/>
      <c r="K32" s="36"/>
      <c r="L32" s="36"/>
      <c r="M32" s="37"/>
    </row>
    <row r="33" spans="1:13" ht="14.1" customHeight="1">
      <c r="A33" s="71">
        <v>16</v>
      </c>
      <c r="B33" s="141"/>
      <c r="C33" s="141"/>
      <c r="D33" s="132"/>
      <c r="E33" s="132"/>
      <c r="F33" s="132"/>
      <c r="G33" s="132"/>
      <c r="H33" s="50"/>
      <c r="I33" s="50"/>
      <c r="J33" s="117"/>
      <c r="K33" s="50"/>
      <c r="L33" s="50"/>
      <c r="M33" s="113"/>
    </row>
    <row r="34" spans="1:13" ht="14.1" customHeight="1" thickBot="1">
      <c r="A34" s="39"/>
      <c r="B34" s="110"/>
      <c r="C34" s="110"/>
      <c r="D34" s="30"/>
      <c r="E34" s="31"/>
      <c r="F34" s="31"/>
      <c r="G34" s="32"/>
      <c r="H34" s="25"/>
      <c r="I34" s="25"/>
      <c r="J34" s="34"/>
      <c r="K34" s="25"/>
      <c r="L34" s="25"/>
      <c r="M34" s="27"/>
    </row>
    <row r="35" spans="1:13" ht="14.1" customHeight="1"/>
    <row r="36" spans="1:13" ht="14.1" customHeight="1"/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179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FAA20-DF4C-47F6-9BDF-22BD26B06D50}">
  <sheetPr>
    <tabColor rgb="FF00B050"/>
    <pageSetUpPr fitToPage="1"/>
  </sheetPr>
  <dimension ref="A1:N51"/>
  <sheetViews>
    <sheetView zoomScale="110" zoomScaleNormal="110" workbookViewId="0">
      <selection activeCell="S19" sqref="S19"/>
    </sheetView>
  </sheetViews>
  <sheetFormatPr defaultColWidth="8.75" defaultRowHeight="16.5"/>
  <cols>
    <col min="1" max="1" width="3.25" bestFit="1" customWidth="1"/>
    <col min="2" max="2" width="8.75" customWidth="1"/>
    <col min="3" max="3" width="10" customWidth="1"/>
    <col min="4" max="7" width="8.125" customWidth="1"/>
    <col min="8" max="14" width="5.5" customWidth="1"/>
  </cols>
  <sheetData>
    <row r="1" spans="1:14" ht="16.5" customHeight="1" thickBot="1">
      <c r="A1" s="128" t="s">
        <v>587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30"/>
    </row>
    <row r="2" spans="1:14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  <c r="N2" s="9" t="s">
        <v>229</v>
      </c>
    </row>
    <row r="3" spans="1:14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239">
        <f>SUM(I3)-3</f>
        <v>34</v>
      </c>
      <c r="I3" s="24">
        <f>SUM(J3)-3</f>
        <v>37</v>
      </c>
      <c r="J3" s="75">
        <v>40</v>
      </c>
      <c r="K3" s="76">
        <f>SUM(J3)+2.5</f>
        <v>42.5</v>
      </c>
      <c r="L3" s="76">
        <f>SUM(K3)+2.5</f>
        <v>45</v>
      </c>
      <c r="M3" s="76">
        <f>SUM(L3)+2.5</f>
        <v>47.5</v>
      </c>
      <c r="N3" s="171">
        <f>SUM(M3)+2.5</f>
        <v>50</v>
      </c>
    </row>
    <row r="4" spans="1:14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240"/>
      <c r="I4" s="36"/>
      <c r="J4" s="33"/>
      <c r="K4" s="24"/>
      <c r="L4" s="24"/>
      <c r="M4" s="24"/>
      <c r="N4" s="121"/>
    </row>
    <row r="5" spans="1:14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39">
        <f>SUM(I5)-1.6</f>
        <v>21.799999999999997</v>
      </c>
      <c r="I5" s="24">
        <f>SUM(J5)-1.6</f>
        <v>23.4</v>
      </c>
      <c r="J5" s="33">
        <v>25</v>
      </c>
      <c r="K5" s="24">
        <f>SUM(J5)+1.4</f>
        <v>26.4</v>
      </c>
      <c r="L5" s="24">
        <f>SUM(K5)+1.4</f>
        <v>27.799999999999997</v>
      </c>
      <c r="M5" s="24">
        <f>SUM(L5)+1.4</f>
        <v>29.199999999999996</v>
      </c>
      <c r="N5" s="121">
        <f>SUM(M5)+1.4</f>
        <v>30.599999999999994</v>
      </c>
    </row>
    <row r="6" spans="1:14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240"/>
      <c r="I6" s="36"/>
      <c r="J6" s="35"/>
      <c r="K6" s="36"/>
      <c r="L6" s="36"/>
      <c r="M6" s="36"/>
      <c r="N6" s="122"/>
    </row>
    <row r="7" spans="1:14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39">
        <f>SUM(I7)-2.25</f>
        <v>29.5</v>
      </c>
      <c r="I7" s="24">
        <f>SUM(J7)-2.25</f>
        <v>31.75</v>
      </c>
      <c r="J7" s="33">
        <v>34</v>
      </c>
      <c r="K7" s="24">
        <f>SUM(J7)+2</f>
        <v>36</v>
      </c>
      <c r="L7" s="24">
        <f>SUM(K7)+2</f>
        <v>38</v>
      </c>
      <c r="M7" s="24">
        <f>SUM(L7)+2</f>
        <v>40</v>
      </c>
      <c r="N7" s="121">
        <f>SUM(M7)+2</f>
        <v>42</v>
      </c>
    </row>
    <row r="8" spans="1:14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240"/>
      <c r="I8" s="36"/>
      <c r="J8" s="35"/>
      <c r="K8" s="36"/>
      <c r="L8" s="36"/>
      <c r="M8" s="36"/>
      <c r="N8" s="122"/>
    </row>
    <row r="9" spans="1:14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SUM(I9)-2.25</f>
        <v>29.5</v>
      </c>
      <c r="I9" s="24">
        <f>SUM(J9)-2.25</f>
        <v>31.75</v>
      </c>
      <c r="J9" s="33">
        <v>34</v>
      </c>
      <c r="K9" s="24">
        <f>SUM(J9)+2</f>
        <v>36</v>
      </c>
      <c r="L9" s="24">
        <f t="shared" ref="L9:N9" si="0">SUM(K9)+2</f>
        <v>38</v>
      </c>
      <c r="M9" s="24">
        <f t="shared" si="0"/>
        <v>40</v>
      </c>
      <c r="N9" s="26">
        <f t="shared" si="0"/>
        <v>42</v>
      </c>
    </row>
    <row r="10" spans="1:14" s="1" customFormat="1" ht="14.1" customHeight="1">
      <c r="A10" s="38"/>
      <c r="B10" s="56" t="s">
        <v>590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6"/>
      <c r="N10" s="37"/>
    </row>
    <row r="11" spans="1:14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SUM(I11)-0.9</f>
        <v>13.899999999999999</v>
      </c>
      <c r="I11" s="24">
        <f>SUM(J11)-0.9</f>
        <v>14.799999999999999</v>
      </c>
      <c r="J11" s="23">
        <v>15.7</v>
      </c>
      <c r="K11" s="21">
        <f>SUM(J11)+0.9</f>
        <v>16.599999999999998</v>
      </c>
      <c r="L11" s="21">
        <f t="shared" ref="L11:N11" si="1">SUM(K11)+0.9</f>
        <v>17.499999999999996</v>
      </c>
      <c r="M11" s="21">
        <f t="shared" si="1"/>
        <v>18.399999999999995</v>
      </c>
      <c r="N11" s="22">
        <f t="shared" si="1"/>
        <v>19.299999999999994</v>
      </c>
    </row>
    <row r="12" spans="1:14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1"/>
      <c r="N12" s="22"/>
    </row>
    <row r="13" spans="1:14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11.8</v>
      </c>
      <c r="I13" s="24">
        <f>SUM(J13)-0.6</f>
        <v>12.4</v>
      </c>
      <c r="J13" s="23">
        <v>13</v>
      </c>
      <c r="K13" s="21">
        <f>SUM(J13)+0.6</f>
        <v>13.6</v>
      </c>
      <c r="L13" s="21">
        <f>SUM(K13)+0.6</f>
        <v>14.2</v>
      </c>
      <c r="M13" s="21">
        <f t="shared" ref="M13" si="2">SUM(L13)+0.6</f>
        <v>14.799999999999999</v>
      </c>
      <c r="N13" s="22">
        <f>SUM(M13)+0.6</f>
        <v>15.399999999999999</v>
      </c>
    </row>
    <row r="14" spans="1:14" s="1" customFormat="1" ht="14.1" customHeight="1">
      <c r="A14" s="38"/>
      <c r="B14" s="56" t="s">
        <v>29</v>
      </c>
      <c r="C14" s="56"/>
      <c r="D14" s="47" t="s">
        <v>154</v>
      </c>
      <c r="E14" s="48"/>
      <c r="F14" s="48"/>
      <c r="G14" s="49"/>
      <c r="H14" s="36"/>
      <c r="I14" s="36"/>
      <c r="J14" s="23"/>
      <c r="K14" s="21"/>
      <c r="L14" s="21"/>
      <c r="M14" s="21"/>
      <c r="N14" s="22"/>
    </row>
    <row r="15" spans="1:14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5.6000000000000005</v>
      </c>
      <c r="I15" s="24">
        <f>SUM(J15)-0.3</f>
        <v>5.9</v>
      </c>
      <c r="J15" s="23">
        <v>6.2</v>
      </c>
      <c r="K15" s="21">
        <f>SUM(J15)+0.3</f>
        <v>6.5</v>
      </c>
      <c r="L15" s="21">
        <f t="shared" ref="L15:N15" si="3">SUM(K15)+0.3</f>
        <v>6.8</v>
      </c>
      <c r="M15" s="21">
        <f t="shared" si="3"/>
        <v>7.1</v>
      </c>
      <c r="N15" s="22">
        <f t="shared" si="3"/>
        <v>7.3999999999999995</v>
      </c>
    </row>
    <row r="16" spans="1:14" s="1" customFormat="1" ht="14.1" customHeight="1">
      <c r="A16" s="38"/>
      <c r="B16" s="56" t="s">
        <v>466</v>
      </c>
      <c r="C16" s="56"/>
      <c r="D16" s="47" t="s">
        <v>155</v>
      </c>
      <c r="E16" s="48"/>
      <c r="F16" s="48"/>
      <c r="G16" s="49"/>
      <c r="H16" s="36"/>
      <c r="I16" s="36"/>
      <c r="J16" s="23"/>
      <c r="K16" s="21"/>
      <c r="L16" s="21"/>
      <c r="M16" s="21"/>
      <c r="N16" s="22"/>
    </row>
    <row r="17" spans="1:14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34.799999999999997</v>
      </c>
      <c r="I17" s="24">
        <f>SUM(J17)-1.6</f>
        <v>36.4</v>
      </c>
      <c r="J17" s="23">
        <v>38</v>
      </c>
      <c r="K17" s="21">
        <f>SUM(J17)+1.6</f>
        <v>39.6</v>
      </c>
      <c r="L17" s="21">
        <f t="shared" ref="L17:N17" si="4">SUM(K17)+1.6</f>
        <v>41.2</v>
      </c>
      <c r="M17" s="21">
        <f t="shared" si="4"/>
        <v>42.800000000000004</v>
      </c>
      <c r="N17" s="22">
        <f t="shared" si="4"/>
        <v>44.400000000000006</v>
      </c>
    </row>
    <row r="18" spans="1:14" s="1" customFormat="1" ht="14.1" customHeight="1">
      <c r="A18" s="38"/>
      <c r="B18" s="56" t="s">
        <v>37</v>
      </c>
      <c r="C18" s="56"/>
      <c r="D18" s="47" t="s">
        <v>156</v>
      </c>
      <c r="E18" s="48"/>
      <c r="F18" s="48"/>
      <c r="G18" s="49"/>
      <c r="H18" s="36"/>
      <c r="I18" s="36"/>
      <c r="J18" s="23"/>
      <c r="K18" s="21"/>
      <c r="L18" s="21"/>
      <c r="M18" s="21"/>
      <c r="N18" s="22"/>
    </row>
    <row r="19" spans="1:14" s="1" customFormat="1" ht="14.1" customHeight="1">
      <c r="A19" s="38">
        <v>9</v>
      </c>
      <c r="B19" s="58" t="s">
        <v>4</v>
      </c>
      <c r="C19" s="58"/>
      <c r="D19" s="57" t="s">
        <v>5</v>
      </c>
      <c r="E19" s="57"/>
      <c r="F19" s="57"/>
      <c r="G19" s="57"/>
      <c r="H19" s="24">
        <f>SUM(I19)-3.7</f>
        <v>32.099999999999994</v>
      </c>
      <c r="I19" s="24">
        <f>SUM(J19)-3.7</f>
        <v>35.799999999999997</v>
      </c>
      <c r="J19" s="23">
        <v>39.5</v>
      </c>
      <c r="K19" s="21">
        <f>SUM(J19)+3.8</f>
        <v>43.3</v>
      </c>
      <c r="L19" s="21">
        <f t="shared" ref="L19:N19" si="5">SUM(K19)+3.8</f>
        <v>47.099999999999994</v>
      </c>
      <c r="M19" s="21">
        <f t="shared" si="5"/>
        <v>50.899999999999991</v>
      </c>
      <c r="N19" s="22">
        <f t="shared" si="5"/>
        <v>54.699999999999989</v>
      </c>
    </row>
    <row r="20" spans="1:14" s="1" customFormat="1" ht="14.1" customHeight="1">
      <c r="A20" s="38"/>
      <c r="B20" s="56" t="s">
        <v>31</v>
      </c>
      <c r="C20" s="56"/>
      <c r="D20" s="47" t="s">
        <v>54</v>
      </c>
      <c r="E20" s="48"/>
      <c r="F20" s="48"/>
      <c r="G20" s="49"/>
      <c r="H20" s="36"/>
      <c r="I20" s="36"/>
      <c r="J20" s="23"/>
      <c r="K20" s="21"/>
      <c r="L20" s="21"/>
      <c r="M20" s="21"/>
      <c r="N20" s="22"/>
    </row>
    <row r="21" spans="1:14" s="1" customFormat="1" ht="14.1" customHeight="1">
      <c r="A21" s="38">
        <v>10</v>
      </c>
      <c r="B21" s="58" t="s">
        <v>6</v>
      </c>
      <c r="C21" s="58"/>
      <c r="D21" s="59" t="s">
        <v>7</v>
      </c>
      <c r="E21" s="60"/>
      <c r="F21" s="60"/>
      <c r="G21" s="61"/>
      <c r="H21" s="24">
        <f>SUM(I21)-1.5</f>
        <v>23</v>
      </c>
      <c r="I21" s="24">
        <f>SUM(J21)-1.5</f>
        <v>24.5</v>
      </c>
      <c r="J21" s="23">
        <v>26</v>
      </c>
      <c r="K21" s="21">
        <f>SUM(J21)+1.5</f>
        <v>27.5</v>
      </c>
      <c r="L21" s="21">
        <f t="shared" ref="L21:N21" si="6">SUM(K21)+1.5</f>
        <v>29</v>
      </c>
      <c r="M21" s="21">
        <f t="shared" si="6"/>
        <v>30.5</v>
      </c>
      <c r="N21" s="22">
        <f t="shared" si="6"/>
        <v>32</v>
      </c>
    </row>
    <row r="22" spans="1:14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9"/>
      <c r="H22" s="36"/>
      <c r="I22" s="36"/>
      <c r="J22" s="23"/>
      <c r="K22" s="21"/>
      <c r="L22" s="21"/>
      <c r="M22" s="21"/>
      <c r="N22" s="22"/>
    </row>
    <row r="23" spans="1:14" s="1" customFormat="1" ht="14.1" customHeight="1">
      <c r="A23" s="38">
        <v>11</v>
      </c>
      <c r="B23" s="51" t="s">
        <v>77</v>
      </c>
      <c r="C23" s="52"/>
      <c r="D23" s="57" t="s">
        <v>78</v>
      </c>
      <c r="E23" s="57"/>
      <c r="F23" s="57"/>
      <c r="G23" s="57"/>
      <c r="H23" s="24">
        <f>SUM(I23)-0.7</f>
        <v>14.600000000000001</v>
      </c>
      <c r="I23" s="24">
        <f>SUM(J23)-0.7</f>
        <v>15.3</v>
      </c>
      <c r="J23" s="23">
        <v>16</v>
      </c>
      <c r="K23" s="21">
        <f>SUM(J23)+0.7</f>
        <v>16.7</v>
      </c>
      <c r="L23" s="21">
        <f t="shared" ref="L23:N23" si="7">SUM(K23)+0.7</f>
        <v>17.399999999999999</v>
      </c>
      <c r="M23" s="21">
        <f t="shared" si="7"/>
        <v>18.099999999999998</v>
      </c>
      <c r="N23" s="22">
        <f t="shared" si="7"/>
        <v>18.799999999999997</v>
      </c>
    </row>
    <row r="24" spans="1:14" s="1" customFormat="1" ht="14.1" customHeight="1" thickBot="1">
      <c r="A24" s="154"/>
      <c r="B24" s="141" t="s">
        <v>33</v>
      </c>
      <c r="C24" s="141"/>
      <c r="D24" s="100" t="s">
        <v>79</v>
      </c>
      <c r="E24" s="101"/>
      <c r="F24" s="101"/>
      <c r="G24" s="102"/>
      <c r="H24" s="50"/>
      <c r="I24" s="50"/>
      <c r="J24" s="33"/>
      <c r="K24" s="24"/>
      <c r="L24" s="24"/>
      <c r="M24" s="24"/>
      <c r="N24" s="26"/>
    </row>
    <row r="25" spans="1:14" s="1" customFormat="1" ht="14.1" customHeight="1" thickTop="1">
      <c r="A25" s="157">
        <v>12</v>
      </c>
      <c r="B25" s="158" t="s">
        <v>589</v>
      </c>
      <c r="C25" s="159"/>
      <c r="D25" s="237"/>
      <c r="E25" s="237"/>
      <c r="F25" s="237"/>
      <c r="G25" s="160"/>
      <c r="H25" s="156">
        <f>SUM(I25)-2.2</f>
        <v>22.400000000000002</v>
      </c>
      <c r="I25" s="156">
        <f>SUM(J25)-2.2</f>
        <v>24.6</v>
      </c>
      <c r="J25" s="238">
        <v>26.8</v>
      </c>
      <c r="K25" s="235">
        <f>SUM(J25)+1.7</f>
        <v>28.5</v>
      </c>
      <c r="L25" s="235">
        <f t="shared" ref="L25:N25" si="8">SUM(K25)+1.7</f>
        <v>30.2</v>
      </c>
      <c r="M25" s="235">
        <f t="shared" si="8"/>
        <v>31.9</v>
      </c>
      <c r="N25" s="236">
        <f t="shared" si="8"/>
        <v>33.6</v>
      </c>
    </row>
    <row r="26" spans="1:14" s="1" customFormat="1" ht="14.1" customHeight="1">
      <c r="A26" s="38"/>
      <c r="B26" s="45" t="s">
        <v>588</v>
      </c>
      <c r="C26" s="46"/>
      <c r="D26" s="47" t="s">
        <v>594</v>
      </c>
      <c r="E26" s="48"/>
      <c r="F26" s="48"/>
      <c r="G26" s="48"/>
      <c r="H26" s="36"/>
      <c r="I26" s="36"/>
      <c r="J26" s="23"/>
      <c r="K26" s="21"/>
      <c r="L26" s="21"/>
      <c r="M26" s="21"/>
      <c r="N26" s="22"/>
    </row>
    <row r="27" spans="1:14" s="1" customFormat="1" ht="14.1" customHeight="1">
      <c r="A27" s="38">
        <v>13</v>
      </c>
      <c r="B27" s="58" t="s">
        <v>381</v>
      </c>
      <c r="C27" s="58"/>
      <c r="D27" s="57"/>
      <c r="E27" s="57"/>
      <c r="F27" s="57"/>
      <c r="G27" s="57"/>
      <c r="H27" s="24">
        <f>SUM(I27)-1</f>
        <v>11</v>
      </c>
      <c r="I27" s="24">
        <f>SUM(J27)-1</f>
        <v>12</v>
      </c>
      <c r="J27" s="33">
        <v>13</v>
      </c>
      <c r="K27" s="24">
        <f>SUM(J27)+1.1</f>
        <v>14.1</v>
      </c>
      <c r="L27" s="24">
        <f t="shared" ref="L27:N27" si="9">SUM(K27)+1.1</f>
        <v>15.2</v>
      </c>
      <c r="M27" s="24">
        <f t="shared" si="9"/>
        <v>16.3</v>
      </c>
      <c r="N27" s="26">
        <f t="shared" si="9"/>
        <v>17.400000000000002</v>
      </c>
    </row>
    <row r="28" spans="1:14" s="1" customFormat="1" ht="14.1" customHeight="1">
      <c r="A28" s="38"/>
      <c r="B28" s="56" t="s">
        <v>382</v>
      </c>
      <c r="C28" s="56"/>
      <c r="D28" s="47"/>
      <c r="E28" s="48"/>
      <c r="F28" s="48"/>
      <c r="G28" s="49"/>
      <c r="H28" s="36"/>
      <c r="I28" s="36"/>
      <c r="J28" s="35"/>
      <c r="K28" s="36"/>
      <c r="L28" s="36"/>
      <c r="M28" s="36"/>
      <c r="N28" s="37"/>
    </row>
    <row r="29" spans="1:14" s="1" customFormat="1" ht="14.1" customHeight="1">
      <c r="A29" s="71">
        <v>14</v>
      </c>
      <c r="B29" s="51" t="s">
        <v>386</v>
      </c>
      <c r="C29" s="52"/>
      <c r="D29" s="59"/>
      <c r="E29" s="60"/>
      <c r="F29" s="60"/>
      <c r="G29" s="61"/>
      <c r="H29" s="24">
        <f>SUM(I29)-1</f>
        <v>13.9</v>
      </c>
      <c r="I29" s="24">
        <f>SUM(J29)-1</f>
        <v>14.9</v>
      </c>
      <c r="J29" s="33">
        <v>15.9</v>
      </c>
      <c r="K29" s="24">
        <f>SUM(J29)+0.8</f>
        <v>16.7</v>
      </c>
      <c r="L29" s="24">
        <f t="shared" ref="L29:N29" si="10">SUM(K29)+0.8</f>
        <v>17.5</v>
      </c>
      <c r="M29" s="24">
        <f t="shared" si="10"/>
        <v>18.3</v>
      </c>
      <c r="N29" s="26">
        <f t="shared" si="10"/>
        <v>19.100000000000001</v>
      </c>
    </row>
    <row r="30" spans="1:14" s="1" customFormat="1" ht="14.1" customHeight="1">
      <c r="A30" s="38"/>
      <c r="B30" s="56" t="s">
        <v>387</v>
      </c>
      <c r="C30" s="56"/>
      <c r="D30" s="47" t="s">
        <v>385</v>
      </c>
      <c r="E30" s="48"/>
      <c r="F30" s="48"/>
      <c r="G30" s="49"/>
      <c r="H30" s="36"/>
      <c r="I30" s="36"/>
      <c r="J30" s="35"/>
      <c r="K30" s="36"/>
      <c r="L30" s="36"/>
      <c r="M30" s="36"/>
      <c r="N30" s="37"/>
    </row>
    <row r="31" spans="1:14" ht="14.1" customHeight="1">
      <c r="A31" s="38">
        <v>15</v>
      </c>
      <c r="B31" s="51"/>
      <c r="C31" s="52"/>
      <c r="D31" s="57"/>
      <c r="E31" s="57"/>
      <c r="F31" s="57"/>
      <c r="G31" s="57"/>
      <c r="H31" s="24"/>
      <c r="I31" s="24"/>
      <c r="J31" s="33"/>
      <c r="K31" s="24"/>
      <c r="L31" s="24"/>
      <c r="M31" s="24"/>
      <c r="N31" s="26"/>
    </row>
    <row r="32" spans="1:14" ht="14.1" customHeight="1">
      <c r="A32" s="38"/>
      <c r="B32" s="45"/>
      <c r="C32" s="46"/>
      <c r="D32" s="47"/>
      <c r="E32" s="48"/>
      <c r="F32" s="48"/>
      <c r="G32" s="49"/>
      <c r="H32" s="36"/>
      <c r="I32" s="36"/>
      <c r="J32" s="35"/>
      <c r="K32" s="36"/>
      <c r="L32" s="36"/>
      <c r="M32" s="36"/>
      <c r="N32" s="37"/>
    </row>
    <row r="33" spans="1:14" ht="14.1" customHeight="1">
      <c r="A33" s="38">
        <v>16</v>
      </c>
      <c r="B33" s="40"/>
      <c r="C33" s="41"/>
      <c r="D33" s="57"/>
      <c r="E33" s="57"/>
      <c r="F33" s="57"/>
      <c r="G33" s="57"/>
      <c r="H33" s="24"/>
      <c r="I33" s="24"/>
      <c r="J33" s="33"/>
      <c r="K33" s="24"/>
      <c r="L33" s="24"/>
      <c r="M33" s="24"/>
      <c r="N33" s="26"/>
    </row>
    <row r="34" spans="1:14" ht="14.1" customHeight="1" thickBot="1">
      <c r="A34" s="39"/>
      <c r="B34" s="28"/>
      <c r="C34" s="29"/>
      <c r="D34" s="30"/>
      <c r="E34" s="31"/>
      <c r="F34" s="31"/>
      <c r="G34" s="32"/>
      <c r="H34" s="25"/>
      <c r="I34" s="25"/>
      <c r="J34" s="34"/>
      <c r="K34" s="25"/>
      <c r="L34" s="25"/>
      <c r="M34" s="25"/>
      <c r="N34" s="27"/>
    </row>
    <row r="35" spans="1:14" ht="14.1" customHeight="1"/>
    <row r="36" spans="1:14" ht="14.1" customHeight="1"/>
    <row r="37" spans="1:14" ht="14.1" customHeight="1"/>
    <row r="38" spans="1:14" ht="14.1" customHeight="1"/>
    <row r="39" spans="1:14" ht="14.1" customHeight="1"/>
    <row r="40" spans="1:14" ht="14.1" customHeight="1"/>
    <row r="41" spans="1:14" ht="14.1" customHeight="1"/>
    <row r="42" spans="1:14" ht="14.1" customHeight="1"/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195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2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6217C-C73C-41F6-B707-AFACAEC7D614}">
  <sheetPr codeName="Sheet101">
    <tabColor rgb="FF00B050"/>
    <pageSetUpPr fitToPage="1"/>
  </sheetPr>
  <dimension ref="A1:M51"/>
  <sheetViews>
    <sheetView zoomScale="110" zoomScaleNormal="110" workbookViewId="0">
      <selection activeCell="M3" sqref="M3:M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211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24">
        <f>SUM(I3)-3.5</f>
        <v>38</v>
      </c>
      <c r="I3" s="24">
        <f>SUM(J3)-3.5</f>
        <v>41.5</v>
      </c>
      <c r="J3" s="75">
        <v>45</v>
      </c>
      <c r="K3" s="76">
        <f>SUM(J3)+3</f>
        <v>48</v>
      </c>
      <c r="L3" s="76">
        <f>SUM(K3)+3</f>
        <v>51</v>
      </c>
      <c r="M3" s="77">
        <f>SUM(L3)+3</f>
        <v>54</v>
      </c>
    </row>
    <row r="4" spans="1:13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24"/>
      <c r="L4" s="24"/>
      <c r="M4" s="26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SUM(I5)-2.2</f>
        <v>31.599999999999998</v>
      </c>
      <c r="I5" s="24">
        <f>SUM(J5)-2.2</f>
        <v>33.799999999999997</v>
      </c>
      <c r="J5" s="33">
        <v>36</v>
      </c>
      <c r="K5" s="24">
        <f>SUM(J5)+2</f>
        <v>38</v>
      </c>
      <c r="L5" s="24">
        <f>SUM(K5)+2</f>
        <v>40</v>
      </c>
      <c r="M5" s="26">
        <f>SUM(L5)+2</f>
        <v>42</v>
      </c>
    </row>
    <row r="6" spans="1:13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37"/>
    </row>
    <row r="7" spans="1:13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33</v>
      </c>
      <c r="I7" s="24">
        <f>SUM(J7)-2.25</f>
        <v>35.25</v>
      </c>
      <c r="J7" s="33">
        <v>37.5</v>
      </c>
      <c r="K7" s="24">
        <f>SUM(J7)+2</f>
        <v>39.5</v>
      </c>
      <c r="L7" s="24">
        <f>SUM(K7)+2</f>
        <v>41.5</v>
      </c>
      <c r="M7" s="26">
        <f>SUM(L7)+2</f>
        <v>43.5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37"/>
    </row>
    <row r="9" spans="1:13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SUM(I9)-2.25</f>
        <v>33</v>
      </c>
      <c r="I9" s="24">
        <f>SUM(J9)-2.25</f>
        <v>35.25</v>
      </c>
      <c r="J9" s="33">
        <v>37.5</v>
      </c>
      <c r="K9" s="24">
        <f>SUM(J9)+2</f>
        <v>39.5</v>
      </c>
      <c r="L9" s="24">
        <f>SUM(K9)+2</f>
        <v>41.5</v>
      </c>
      <c r="M9" s="26">
        <f>SUM(L9)+2</f>
        <v>43.5</v>
      </c>
    </row>
    <row r="10" spans="1:13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7"/>
    </row>
    <row r="11" spans="1:13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SUM(I11)-0.8</f>
        <v>13.899999999999999</v>
      </c>
      <c r="I11" s="24">
        <f>SUM(J11)-0.8</f>
        <v>14.7</v>
      </c>
      <c r="J11" s="23">
        <v>15.5</v>
      </c>
      <c r="K11" s="21">
        <f>SUM(J11)+0.8</f>
        <v>16.3</v>
      </c>
      <c r="L11" s="21">
        <f>SUM(K11)+0.8</f>
        <v>17.100000000000001</v>
      </c>
      <c r="M11" s="22">
        <f>SUM(L11)+0.8</f>
        <v>17.900000000000002</v>
      </c>
    </row>
    <row r="12" spans="1:13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2"/>
    </row>
    <row r="13" spans="1:13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15.799999999999999</v>
      </c>
      <c r="I13" s="24">
        <f>SUM(J13)-0.6</f>
        <v>16.399999999999999</v>
      </c>
      <c r="J13" s="23">
        <v>17</v>
      </c>
      <c r="K13" s="21">
        <f>SUM(J13)+0.6</f>
        <v>17.600000000000001</v>
      </c>
      <c r="L13" s="21">
        <f>SUM(K13)+0.6</f>
        <v>18.200000000000003</v>
      </c>
      <c r="M13" s="22">
        <f>SUM(L13)+0.6</f>
        <v>18.800000000000004</v>
      </c>
    </row>
    <row r="14" spans="1:13" s="1" customFormat="1" ht="14.1" customHeight="1">
      <c r="A14" s="38"/>
      <c r="B14" s="56" t="s">
        <v>29</v>
      </c>
      <c r="C14" s="56"/>
      <c r="D14" s="47" t="s">
        <v>154</v>
      </c>
      <c r="E14" s="48"/>
      <c r="F14" s="48"/>
      <c r="G14" s="49"/>
      <c r="H14" s="36"/>
      <c r="I14" s="36"/>
      <c r="J14" s="23"/>
      <c r="K14" s="21"/>
      <c r="L14" s="21"/>
      <c r="M14" s="22"/>
    </row>
    <row r="15" spans="1:13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6.2</v>
      </c>
      <c r="I15" s="24">
        <f>SUM(J15)-0.3</f>
        <v>6.5</v>
      </c>
      <c r="J15" s="23">
        <v>6.8</v>
      </c>
      <c r="K15" s="21">
        <f>SUM(J15)+0.3</f>
        <v>7.1</v>
      </c>
      <c r="L15" s="21">
        <f>SUM(K15)+0.3</f>
        <v>7.3999999999999995</v>
      </c>
      <c r="M15" s="22">
        <f>SUM(L15)+0.3</f>
        <v>7.6999999999999993</v>
      </c>
    </row>
    <row r="16" spans="1:13" s="1" customFormat="1" ht="14.1" customHeight="1">
      <c r="A16" s="38"/>
      <c r="B16" s="56" t="s">
        <v>30</v>
      </c>
      <c r="C16" s="56"/>
      <c r="D16" s="47" t="s">
        <v>155</v>
      </c>
      <c r="E16" s="48"/>
      <c r="F16" s="48"/>
      <c r="G16" s="49"/>
      <c r="H16" s="36"/>
      <c r="I16" s="36"/>
      <c r="J16" s="23"/>
      <c r="K16" s="21"/>
      <c r="L16" s="21"/>
      <c r="M16" s="22"/>
    </row>
    <row r="17" spans="1:13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38.799999999999997</v>
      </c>
      <c r="I17" s="24">
        <f>SUM(J17)-1.6</f>
        <v>40.4</v>
      </c>
      <c r="J17" s="23">
        <v>42</v>
      </c>
      <c r="K17" s="21">
        <f>SUM(J17)+1.6</f>
        <v>43.6</v>
      </c>
      <c r="L17" s="21">
        <f>SUM(K17)+1.6</f>
        <v>45.2</v>
      </c>
      <c r="M17" s="22">
        <f>SUM(L17)+1.6</f>
        <v>46.800000000000004</v>
      </c>
    </row>
    <row r="18" spans="1:13" s="1" customFormat="1" ht="14.1" customHeight="1">
      <c r="A18" s="38"/>
      <c r="B18" s="56" t="s">
        <v>37</v>
      </c>
      <c r="C18" s="56"/>
      <c r="D18" s="47" t="s">
        <v>156</v>
      </c>
      <c r="E18" s="48"/>
      <c r="F18" s="48"/>
      <c r="G18" s="49"/>
      <c r="H18" s="36"/>
      <c r="I18" s="36"/>
      <c r="J18" s="23"/>
      <c r="K18" s="21"/>
      <c r="L18" s="21"/>
      <c r="M18" s="22"/>
    </row>
    <row r="19" spans="1:13" s="1" customFormat="1" ht="14.1" customHeight="1">
      <c r="A19" s="38">
        <v>9</v>
      </c>
      <c r="B19" s="58" t="s">
        <v>4</v>
      </c>
      <c r="C19" s="58"/>
      <c r="D19" s="57" t="s">
        <v>5</v>
      </c>
      <c r="E19" s="57"/>
      <c r="F19" s="57"/>
      <c r="G19" s="57"/>
      <c r="H19" s="24">
        <f>SUM(I19)-3.4</f>
        <v>29.200000000000003</v>
      </c>
      <c r="I19" s="24">
        <f>SUM(J19)-3.4</f>
        <v>32.6</v>
      </c>
      <c r="J19" s="23">
        <v>36</v>
      </c>
      <c r="K19" s="21">
        <f>SUM(J19)+3.5</f>
        <v>39.5</v>
      </c>
      <c r="L19" s="21">
        <f>SUM(K19)+3.5</f>
        <v>43</v>
      </c>
      <c r="M19" s="22">
        <f>SUM(L19)+3.5</f>
        <v>46.5</v>
      </c>
    </row>
    <row r="20" spans="1:13" s="1" customFormat="1" ht="14.1" customHeight="1">
      <c r="A20" s="38"/>
      <c r="B20" s="56" t="s">
        <v>31</v>
      </c>
      <c r="C20" s="56"/>
      <c r="D20" s="47" t="s">
        <v>54</v>
      </c>
      <c r="E20" s="48"/>
      <c r="F20" s="48"/>
      <c r="G20" s="49"/>
      <c r="H20" s="36"/>
      <c r="I20" s="36"/>
      <c r="J20" s="23"/>
      <c r="K20" s="21"/>
      <c r="L20" s="21"/>
      <c r="M20" s="22"/>
    </row>
    <row r="21" spans="1:13" s="1" customFormat="1" ht="14.1" customHeight="1">
      <c r="A21" s="38">
        <v>10</v>
      </c>
      <c r="B21" s="58" t="s">
        <v>6</v>
      </c>
      <c r="C21" s="58"/>
      <c r="D21" s="59" t="s">
        <v>7</v>
      </c>
      <c r="E21" s="60"/>
      <c r="F21" s="60"/>
      <c r="G21" s="61"/>
      <c r="H21" s="24">
        <f>SUM(I21)-1.6</f>
        <v>27.799999999999997</v>
      </c>
      <c r="I21" s="24">
        <f>SUM(J21)-1.6</f>
        <v>29.4</v>
      </c>
      <c r="J21" s="23">
        <v>31</v>
      </c>
      <c r="K21" s="21">
        <f>SUM(J21)+1.6</f>
        <v>32.6</v>
      </c>
      <c r="L21" s="21">
        <f>SUM(K21)+1.6</f>
        <v>34.200000000000003</v>
      </c>
      <c r="M21" s="22">
        <f>SUM(L21)+1.6</f>
        <v>35.800000000000004</v>
      </c>
    </row>
    <row r="22" spans="1:13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9"/>
      <c r="H22" s="36"/>
      <c r="I22" s="36"/>
      <c r="J22" s="23"/>
      <c r="K22" s="21"/>
      <c r="L22" s="21"/>
      <c r="M22" s="22"/>
    </row>
    <row r="23" spans="1:13" s="1" customFormat="1" ht="14.1" customHeight="1">
      <c r="A23" s="38">
        <v>11</v>
      </c>
      <c r="B23" s="51" t="s">
        <v>77</v>
      </c>
      <c r="C23" s="52"/>
      <c r="D23" s="57" t="s">
        <v>78</v>
      </c>
      <c r="E23" s="57"/>
      <c r="F23" s="57"/>
      <c r="G23" s="57"/>
      <c r="H23" s="24">
        <f>SUM(I23)-0.6</f>
        <v>13.8</v>
      </c>
      <c r="I23" s="24">
        <f>SUM(J23)-0.6</f>
        <v>14.4</v>
      </c>
      <c r="J23" s="23">
        <v>15</v>
      </c>
      <c r="K23" s="21">
        <f>SUM(J23)+0.6</f>
        <v>15.6</v>
      </c>
      <c r="L23" s="21">
        <f>SUM(K23)+0.6</f>
        <v>16.2</v>
      </c>
      <c r="M23" s="22">
        <f>SUM(L23)+0.6</f>
        <v>16.8</v>
      </c>
    </row>
    <row r="24" spans="1:13" s="1" customFormat="1" ht="14.1" customHeight="1">
      <c r="A24" s="38"/>
      <c r="B24" s="56" t="s">
        <v>33</v>
      </c>
      <c r="C24" s="56"/>
      <c r="D24" s="47" t="s">
        <v>79</v>
      </c>
      <c r="E24" s="48"/>
      <c r="F24" s="48"/>
      <c r="G24" s="49"/>
      <c r="H24" s="36"/>
      <c r="I24" s="36"/>
      <c r="J24" s="23"/>
      <c r="K24" s="21"/>
      <c r="L24" s="21"/>
      <c r="M24" s="22"/>
    </row>
    <row r="25" spans="1:13" s="1" customFormat="1" ht="14.1" customHeight="1">
      <c r="A25" s="38">
        <v>12</v>
      </c>
      <c r="B25" s="51" t="s">
        <v>176</v>
      </c>
      <c r="C25" s="52"/>
      <c r="D25" s="53"/>
      <c r="E25" s="54"/>
      <c r="F25" s="54"/>
      <c r="G25" s="55"/>
      <c r="H25" s="24">
        <f>SUM(I25)-0.6</f>
        <v>8.9</v>
      </c>
      <c r="I25" s="24">
        <f>SUM(J25)-0.6</f>
        <v>9.5</v>
      </c>
      <c r="J25" s="23">
        <v>10.1</v>
      </c>
      <c r="K25" s="21">
        <f>SUM(J25)+0.6</f>
        <v>10.7</v>
      </c>
      <c r="L25" s="21">
        <f>SUM(K25)+0.6</f>
        <v>11.299999999999999</v>
      </c>
      <c r="M25" s="22">
        <f>SUM(L25)+0.6</f>
        <v>11.899999999999999</v>
      </c>
    </row>
    <row r="26" spans="1:13" s="1" customFormat="1" ht="14.1" customHeight="1">
      <c r="A26" s="38"/>
      <c r="B26" s="45" t="s">
        <v>175</v>
      </c>
      <c r="C26" s="46"/>
      <c r="D26" s="47" t="s">
        <v>212</v>
      </c>
      <c r="E26" s="48"/>
      <c r="F26" s="48"/>
      <c r="G26" s="49"/>
      <c r="H26" s="36"/>
      <c r="I26" s="36"/>
      <c r="J26" s="23"/>
      <c r="K26" s="21"/>
      <c r="L26" s="21"/>
      <c r="M26" s="22"/>
    </row>
    <row r="27" spans="1:13" s="1" customFormat="1" ht="14.1" customHeight="1">
      <c r="A27" s="38">
        <v>13</v>
      </c>
      <c r="B27" s="40" t="s">
        <v>174</v>
      </c>
      <c r="C27" s="41"/>
      <c r="D27" s="42" t="s">
        <v>106</v>
      </c>
      <c r="E27" s="43"/>
      <c r="F27" s="43"/>
      <c r="G27" s="44"/>
      <c r="H27" s="50">
        <f>SUM(I27)-0.3</f>
        <v>2.8000000000000003</v>
      </c>
      <c r="I27" s="50">
        <f>SUM(J27)-0.3</f>
        <v>3.1</v>
      </c>
      <c r="J27" s="35">
        <v>3.4</v>
      </c>
      <c r="K27" s="36">
        <f>SUM(J27)+0.3</f>
        <v>3.6999999999999997</v>
      </c>
      <c r="L27" s="36">
        <f>SUM(K27)+0.3</f>
        <v>3.9999999999999996</v>
      </c>
      <c r="M27" s="37">
        <f>SUM(L27)+0.3</f>
        <v>4.3</v>
      </c>
    </row>
    <row r="28" spans="1:13" s="1" customFormat="1" ht="14.1" customHeight="1">
      <c r="A28" s="38"/>
      <c r="B28" s="45" t="s">
        <v>173</v>
      </c>
      <c r="C28" s="46"/>
      <c r="D28" s="47" t="s">
        <v>105</v>
      </c>
      <c r="E28" s="48"/>
      <c r="F28" s="48"/>
      <c r="G28" s="49"/>
      <c r="H28" s="36"/>
      <c r="I28" s="36"/>
      <c r="J28" s="23"/>
      <c r="K28" s="21"/>
      <c r="L28" s="21"/>
      <c r="M28" s="22"/>
    </row>
    <row r="29" spans="1:13" s="1" customFormat="1" ht="14.1" customHeight="1">
      <c r="A29" s="38">
        <v>14</v>
      </c>
      <c r="B29" s="40" t="s">
        <v>213</v>
      </c>
      <c r="C29" s="41"/>
      <c r="D29" s="42"/>
      <c r="E29" s="43"/>
      <c r="F29" s="43"/>
      <c r="G29" s="44"/>
      <c r="H29" s="24">
        <f>SUM(I29)-0.5</f>
        <v>5</v>
      </c>
      <c r="I29" s="24">
        <f>SUM(J29)-0.5</f>
        <v>5.5</v>
      </c>
      <c r="J29" s="33">
        <v>6</v>
      </c>
      <c r="K29" s="24">
        <f>SUM(J29)+0.5</f>
        <v>6.5</v>
      </c>
      <c r="L29" s="24">
        <f>SUM(K29)+0.5</f>
        <v>7</v>
      </c>
      <c r="M29" s="26">
        <f>SUM(L29)+0.5</f>
        <v>7.5</v>
      </c>
    </row>
    <row r="30" spans="1:13" s="1" customFormat="1" ht="14.1" customHeight="1" thickBot="1">
      <c r="A30" s="39"/>
      <c r="B30" s="28" t="s">
        <v>214</v>
      </c>
      <c r="C30" s="29"/>
      <c r="D30" s="30" t="s">
        <v>215</v>
      </c>
      <c r="E30" s="31"/>
      <c r="F30" s="31"/>
      <c r="G30" s="32"/>
      <c r="H30" s="25"/>
      <c r="I30" s="25"/>
      <c r="J30" s="34"/>
      <c r="K30" s="25"/>
      <c r="L30" s="25"/>
      <c r="M30" s="27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7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K5:K6"/>
    <mergeCell ref="L5:L6"/>
    <mergeCell ref="M5:M6"/>
    <mergeCell ref="B6:C6"/>
    <mergeCell ref="D6:G6"/>
    <mergeCell ref="A7:A8"/>
    <mergeCell ref="B7:C7"/>
    <mergeCell ref="D7:G7"/>
    <mergeCell ref="H7:H8"/>
    <mergeCell ref="I7:I8"/>
    <mergeCell ref="J7:J8"/>
    <mergeCell ref="K7:K8"/>
    <mergeCell ref="L7:L8"/>
    <mergeCell ref="M7:M8"/>
    <mergeCell ref="B8:C8"/>
    <mergeCell ref="D8:G8"/>
    <mergeCell ref="A9:A10"/>
    <mergeCell ref="B9:C9"/>
    <mergeCell ref="D9:G9"/>
    <mergeCell ref="H9:H10"/>
    <mergeCell ref="I9:I10"/>
    <mergeCell ref="J9:J10"/>
    <mergeCell ref="K9:K10"/>
    <mergeCell ref="L9:L10"/>
    <mergeCell ref="M9:M10"/>
    <mergeCell ref="B10:C10"/>
    <mergeCell ref="D10:G10"/>
    <mergeCell ref="A11:A12"/>
    <mergeCell ref="B11:C11"/>
    <mergeCell ref="D11:G11"/>
    <mergeCell ref="H11:H12"/>
    <mergeCell ref="I11:I12"/>
    <mergeCell ref="J11:J12"/>
    <mergeCell ref="K11:K12"/>
    <mergeCell ref="L11:L12"/>
    <mergeCell ref="M11:M12"/>
    <mergeCell ref="B12:C12"/>
    <mergeCell ref="D12:G12"/>
    <mergeCell ref="A13:A14"/>
    <mergeCell ref="B13:C13"/>
    <mergeCell ref="D13:G13"/>
    <mergeCell ref="H13:H14"/>
    <mergeCell ref="I13:I14"/>
    <mergeCell ref="J13:J14"/>
    <mergeCell ref="K13:K14"/>
    <mergeCell ref="L13:L14"/>
    <mergeCell ref="M13:M14"/>
    <mergeCell ref="B14:C14"/>
    <mergeCell ref="D14:G14"/>
    <mergeCell ref="A15:A16"/>
    <mergeCell ref="B15:C15"/>
    <mergeCell ref="D15:G15"/>
    <mergeCell ref="H15:H16"/>
    <mergeCell ref="I15:I16"/>
    <mergeCell ref="J15:J16"/>
    <mergeCell ref="K15:K16"/>
    <mergeCell ref="L15:L16"/>
    <mergeCell ref="M15:M16"/>
    <mergeCell ref="B16:C16"/>
    <mergeCell ref="D16:G16"/>
    <mergeCell ref="A17:A18"/>
    <mergeCell ref="B17:C17"/>
    <mergeCell ref="D17:G17"/>
    <mergeCell ref="H17:H18"/>
    <mergeCell ref="I17:I18"/>
    <mergeCell ref="J17:J18"/>
    <mergeCell ref="K17:K18"/>
    <mergeCell ref="L17:L18"/>
    <mergeCell ref="M17:M18"/>
    <mergeCell ref="B18:C18"/>
    <mergeCell ref="D18:G18"/>
    <mergeCell ref="A19:A20"/>
    <mergeCell ref="B19:C19"/>
    <mergeCell ref="D19:G19"/>
    <mergeCell ref="H19:H20"/>
    <mergeCell ref="I19:I20"/>
    <mergeCell ref="J19:J20"/>
    <mergeCell ref="K19:K20"/>
    <mergeCell ref="L19:L20"/>
    <mergeCell ref="M19:M20"/>
    <mergeCell ref="B20:C20"/>
    <mergeCell ref="D20:G20"/>
    <mergeCell ref="A21:A22"/>
    <mergeCell ref="B21:C21"/>
    <mergeCell ref="D21:G21"/>
    <mergeCell ref="H21:H22"/>
    <mergeCell ref="I21:I22"/>
    <mergeCell ref="J21:J22"/>
    <mergeCell ref="K21:K22"/>
    <mergeCell ref="L21:L22"/>
    <mergeCell ref="M21:M22"/>
    <mergeCell ref="B22:C22"/>
    <mergeCell ref="D22:G22"/>
    <mergeCell ref="M23:M24"/>
    <mergeCell ref="B24:C24"/>
    <mergeCell ref="D24:G24"/>
    <mergeCell ref="K25:K26"/>
    <mergeCell ref="L25:L26"/>
    <mergeCell ref="M25:M26"/>
    <mergeCell ref="H25:H26"/>
    <mergeCell ref="J25:J26"/>
    <mergeCell ref="J23:J24"/>
    <mergeCell ref="I25:I26"/>
    <mergeCell ref="K23:K24"/>
    <mergeCell ref="L23:L24"/>
    <mergeCell ref="B25:C25"/>
    <mergeCell ref="D25:G25"/>
    <mergeCell ref="B26:C26"/>
    <mergeCell ref="D26:G26"/>
    <mergeCell ref="A27:A28"/>
    <mergeCell ref="A29:A30"/>
    <mergeCell ref="B29:C29"/>
    <mergeCell ref="D29:G29"/>
    <mergeCell ref="A23:A24"/>
    <mergeCell ref="B23:C23"/>
    <mergeCell ref="D23:G23"/>
    <mergeCell ref="A25:A26"/>
    <mergeCell ref="L29:L30"/>
    <mergeCell ref="H23:H24"/>
    <mergeCell ref="I23:I24"/>
    <mergeCell ref="M29:M30"/>
    <mergeCell ref="B30:C30"/>
    <mergeCell ref="D30:G30"/>
    <mergeCell ref="K27:K28"/>
    <mergeCell ref="L27:L28"/>
    <mergeCell ref="M27:M28"/>
    <mergeCell ref="J27:J28"/>
    <mergeCell ref="I27:I28"/>
    <mergeCell ref="J29:J30"/>
    <mergeCell ref="K29:K30"/>
    <mergeCell ref="I29:I30"/>
    <mergeCell ref="H29:H30"/>
    <mergeCell ref="B27:C27"/>
    <mergeCell ref="D27:G27"/>
    <mergeCell ref="H27:H28"/>
    <mergeCell ref="B28:C28"/>
    <mergeCell ref="D28:G28"/>
  </mergeCells>
  <phoneticPr fontId="11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F2655-F4CB-4AC6-B0C0-1A38DBFFBA90}">
  <sheetPr codeName="Sheet107">
    <tabColor rgb="FF00B050"/>
    <pageSetUpPr fitToPage="1"/>
  </sheetPr>
  <dimension ref="A1:M51"/>
  <sheetViews>
    <sheetView zoomScale="110" zoomScaleNormal="110" workbookViewId="0">
      <selection activeCell="H13" sqref="H13:M1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268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24">
        <f>SUM(I3)-3.5</f>
        <v>35</v>
      </c>
      <c r="I3" s="24">
        <f>SUM(J3)-3.5</f>
        <v>38.5</v>
      </c>
      <c r="J3" s="75">
        <v>42</v>
      </c>
      <c r="K3" s="76">
        <f>SUM(J3)+3</f>
        <v>45</v>
      </c>
      <c r="L3" s="76">
        <f>SUM(K3)+3</f>
        <v>48</v>
      </c>
      <c r="M3" s="77">
        <f>SUM(L3)+3</f>
        <v>51</v>
      </c>
    </row>
    <row r="4" spans="1:13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24"/>
      <c r="L4" s="24"/>
      <c r="M4" s="26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SUM(I5)-1.6</f>
        <v>22.299999999999997</v>
      </c>
      <c r="I5" s="24">
        <f>SUM(J5)-1.6</f>
        <v>23.9</v>
      </c>
      <c r="J5" s="33">
        <v>25.5</v>
      </c>
      <c r="K5" s="24">
        <f>SUM(J5)+1.4</f>
        <v>26.9</v>
      </c>
      <c r="L5" s="24">
        <f>SUM(K5)+1.4</f>
        <v>28.299999999999997</v>
      </c>
      <c r="M5" s="26">
        <f>SUM(L5)+1.4</f>
        <v>29.699999999999996</v>
      </c>
    </row>
    <row r="6" spans="1:13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37"/>
    </row>
    <row r="7" spans="1:13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30.5</v>
      </c>
      <c r="I7" s="24">
        <f>SUM(J7)-2.25</f>
        <v>32.75</v>
      </c>
      <c r="J7" s="33">
        <v>35</v>
      </c>
      <c r="K7" s="24">
        <f>SUM(J7)+2</f>
        <v>37</v>
      </c>
      <c r="L7" s="24">
        <f>SUM(K7)+2</f>
        <v>39</v>
      </c>
      <c r="M7" s="26">
        <f>SUM(L7)+2</f>
        <v>41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37"/>
    </row>
    <row r="9" spans="1:13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SUM(I9)-2.25</f>
        <v>30.5</v>
      </c>
      <c r="I9" s="24">
        <f>SUM(J9)-2.25</f>
        <v>32.75</v>
      </c>
      <c r="J9" s="33">
        <v>35</v>
      </c>
      <c r="K9" s="24">
        <f>SUM(J9)+2</f>
        <v>37</v>
      </c>
      <c r="L9" s="24">
        <f>SUM(K9)+2</f>
        <v>39</v>
      </c>
      <c r="M9" s="26">
        <f>SUM(L9)+2</f>
        <v>41</v>
      </c>
    </row>
    <row r="10" spans="1:13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7"/>
    </row>
    <row r="11" spans="1:13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SUM(I11)-0.9</f>
        <v>14</v>
      </c>
      <c r="I11" s="24">
        <f>SUM(J11)-0.9</f>
        <v>14.9</v>
      </c>
      <c r="J11" s="23">
        <v>15.8</v>
      </c>
      <c r="K11" s="21">
        <f>SUM(J11)+0.9</f>
        <v>16.7</v>
      </c>
      <c r="L11" s="21">
        <f>SUM(K11)+0.9</f>
        <v>17.599999999999998</v>
      </c>
      <c r="M11" s="22">
        <f>SUM(L11)+0.9</f>
        <v>18.499999999999996</v>
      </c>
    </row>
    <row r="12" spans="1:13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2"/>
    </row>
    <row r="13" spans="1:13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12</v>
      </c>
      <c r="I13" s="24">
        <f>SUM(J13)-0.6</f>
        <v>12.6</v>
      </c>
      <c r="J13" s="23">
        <v>13.2</v>
      </c>
      <c r="K13" s="21">
        <f>SUM(J13)+0.6</f>
        <v>13.799999999999999</v>
      </c>
      <c r="L13" s="21">
        <f>SUM(K13)+0.6</f>
        <v>14.399999999999999</v>
      </c>
      <c r="M13" s="22">
        <f>SUM(L13)+0.6</f>
        <v>14.999999999999998</v>
      </c>
    </row>
    <row r="14" spans="1:13" s="1" customFormat="1" ht="14.1" customHeight="1">
      <c r="A14" s="38"/>
      <c r="B14" s="56" t="s">
        <v>29</v>
      </c>
      <c r="C14" s="56"/>
      <c r="D14" s="47" t="s">
        <v>154</v>
      </c>
      <c r="E14" s="48"/>
      <c r="F14" s="48"/>
      <c r="G14" s="49"/>
      <c r="H14" s="36"/>
      <c r="I14" s="36"/>
      <c r="J14" s="23"/>
      <c r="K14" s="21"/>
      <c r="L14" s="21"/>
      <c r="M14" s="22"/>
    </row>
    <row r="15" spans="1:13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5.9</v>
      </c>
      <c r="I15" s="24">
        <f>SUM(J15)-0.3</f>
        <v>6.2</v>
      </c>
      <c r="J15" s="23">
        <v>6.5</v>
      </c>
      <c r="K15" s="21">
        <f>SUM(J15)+0.3</f>
        <v>6.8</v>
      </c>
      <c r="L15" s="21">
        <f>SUM(K15)+0.3</f>
        <v>7.1</v>
      </c>
      <c r="M15" s="22">
        <f>SUM(L15)+0.3</f>
        <v>7.3999999999999995</v>
      </c>
    </row>
    <row r="16" spans="1:13" s="1" customFormat="1" ht="14.1" customHeight="1">
      <c r="A16" s="38"/>
      <c r="B16" s="56" t="s">
        <v>30</v>
      </c>
      <c r="C16" s="56"/>
      <c r="D16" s="47" t="s">
        <v>155</v>
      </c>
      <c r="E16" s="48"/>
      <c r="F16" s="48"/>
      <c r="G16" s="49"/>
      <c r="H16" s="36"/>
      <c r="I16" s="36"/>
      <c r="J16" s="23"/>
      <c r="K16" s="21"/>
      <c r="L16" s="21"/>
      <c r="M16" s="22"/>
    </row>
    <row r="17" spans="1:13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34.799999999999997</v>
      </c>
      <c r="I17" s="24">
        <f>SUM(J17)-1.6</f>
        <v>36.4</v>
      </c>
      <c r="J17" s="23">
        <v>38</v>
      </c>
      <c r="K17" s="21">
        <f>SUM(J17)+1.6</f>
        <v>39.6</v>
      </c>
      <c r="L17" s="21">
        <f>SUM(K17)+1.6</f>
        <v>41.2</v>
      </c>
      <c r="M17" s="22">
        <f>SUM(L17)+1.6</f>
        <v>42.800000000000004</v>
      </c>
    </row>
    <row r="18" spans="1:13" s="1" customFormat="1" ht="14.1" customHeight="1">
      <c r="A18" s="38"/>
      <c r="B18" s="56" t="s">
        <v>37</v>
      </c>
      <c r="C18" s="56"/>
      <c r="D18" s="47" t="s">
        <v>156</v>
      </c>
      <c r="E18" s="48"/>
      <c r="F18" s="48"/>
      <c r="G18" s="49"/>
      <c r="H18" s="36"/>
      <c r="I18" s="36"/>
      <c r="J18" s="23"/>
      <c r="K18" s="21"/>
      <c r="L18" s="21"/>
      <c r="M18" s="22"/>
    </row>
    <row r="19" spans="1:13" s="1" customFormat="1" ht="14.1" customHeight="1">
      <c r="A19" s="38">
        <v>9</v>
      </c>
      <c r="B19" s="58" t="s">
        <v>4</v>
      </c>
      <c r="C19" s="58"/>
      <c r="D19" s="57" t="s">
        <v>5</v>
      </c>
      <c r="E19" s="57"/>
      <c r="F19" s="57"/>
      <c r="G19" s="57"/>
      <c r="H19" s="24">
        <f>SUM(I19)-3.7</f>
        <v>33.599999999999994</v>
      </c>
      <c r="I19" s="24">
        <f>SUM(J19)-3.7</f>
        <v>37.299999999999997</v>
      </c>
      <c r="J19" s="23">
        <v>41</v>
      </c>
      <c r="K19" s="21">
        <f>SUM(J19)+3.8</f>
        <v>44.8</v>
      </c>
      <c r="L19" s="21">
        <f>SUM(K19)+3.8</f>
        <v>48.599999999999994</v>
      </c>
      <c r="M19" s="22">
        <f>SUM(L19)+3.8</f>
        <v>52.399999999999991</v>
      </c>
    </row>
    <row r="20" spans="1:13" s="1" customFormat="1" ht="14.1" customHeight="1">
      <c r="A20" s="38"/>
      <c r="B20" s="56" t="s">
        <v>31</v>
      </c>
      <c r="C20" s="56"/>
      <c r="D20" s="47" t="s">
        <v>54</v>
      </c>
      <c r="E20" s="48"/>
      <c r="F20" s="48"/>
      <c r="G20" s="49"/>
      <c r="H20" s="36"/>
      <c r="I20" s="36"/>
      <c r="J20" s="23"/>
      <c r="K20" s="21"/>
      <c r="L20" s="21"/>
      <c r="M20" s="22"/>
    </row>
    <row r="21" spans="1:13" s="1" customFormat="1" ht="14.1" customHeight="1">
      <c r="A21" s="38">
        <v>10</v>
      </c>
      <c r="B21" s="58" t="s">
        <v>6</v>
      </c>
      <c r="C21" s="58"/>
      <c r="D21" s="59" t="s">
        <v>7</v>
      </c>
      <c r="E21" s="60"/>
      <c r="F21" s="60"/>
      <c r="G21" s="61"/>
      <c r="H21" s="24">
        <f>SUM(I21)-1.4</f>
        <v>22.6</v>
      </c>
      <c r="I21" s="24">
        <f>SUM(J21)-1.4</f>
        <v>24</v>
      </c>
      <c r="J21" s="23">
        <v>25.4</v>
      </c>
      <c r="K21" s="21">
        <f>SUM(J21)+1.4</f>
        <v>26.799999999999997</v>
      </c>
      <c r="L21" s="21">
        <f>SUM(K21)+1.4</f>
        <v>28.199999999999996</v>
      </c>
      <c r="M21" s="22">
        <f>SUM(L21)+1.4</f>
        <v>29.599999999999994</v>
      </c>
    </row>
    <row r="22" spans="1:13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9"/>
      <c r="H22" s="36"/>
      <c r="I22" s="36"/>
      <c r="J22" s="23"/>
      <c r="K22" s="21"/>
      <c r="L22" s="21"/>
      <c r="M22" s="22"/>
    </row>
    <row r="23" spans="1:13" s="1" customFormat="1" ht="14.1" customHeight="1">
      <c r="A23" s="38">
        <v>11</v>
      </c>
      <c r="B23" s="51" t="s">
        <v>77</v>
      </c>
      <c r="C23" s="52"/>
      <c r="D23" s="57" t="s">
        <v>78</v>
      </c>
      <c r="E23" s="57"/>
      <c r="F23" s="57"/>
      <c r="G23" s="57"/>
      <c r="H23" s="24">
        <f>SUM(I23)-0.7</f>
        <v>14.600000000000001</v>
      </c>
      <c r="I23" s="24">
        <f>SUM(J23)-0.7</f>
        <v>15.3</v>
      </c>
      <c r="J23" s="23">
        <v>16</v>
      </c>
      <c r="K23" s="21">
        <f>SUM(J23)+0.7</f>
        <v>16.7</v>
      </c>
      <c r="L23" s="21">
        <f>SUM(K23)+0.7</f>
        <v>17.399999999999999</v>
      </c>
      <c r="M23" s="22">
        <f>SUM(L23)+0.7</f>
        <v>18.099999999999998</v>
      </c>
    </row>
    <row r="24" spans="1:13" s="1" customFormat="1" ht="14.1" customHeight="1">
      <c r="A24" s="38"/>
      <c r="B24" s="56" t="s">
        <v>33</v>
      </c>
      <c r="C24" s="56"/>
      <c r="D24" s="47" t="s">
        <v>79</v>
      </c>
      <c r="E24" s="48"/>
      <c r="F24" s="48"/>
      <c r="G24" s="49"/>
      <c r="H24" s="36"/>
      <c r="I24" s="36"/>
      <c r="J24" s="23"/>
      <c r="K24" s="21"/>
      <c r="L24" s="21"/>
      <c r="M24" s="22"/>
    </row>
    <row r="25" spans="1:13" s="1" customFormat="1" ht="14.1" customHeight="1">
      <c r="A25" s="38">
        <v>12</v>
      </c>
      <c r="B25" s="51" t="s">
        <v>270</v>
      </c>
      <c r="C25" s="52"/>
      <c r="D25" s="53"/>
      <c r="E25" s="54"/>
      <c r="F25" s="54"/>
      <c r="G25" s="55"/>
      <c r="H25" s="24">
        <f>SUM(I25)-0.5</f>
        <v>6.6</v>
      </c>
      <c r="I25" s="24">
        <f>SUM(J25)-0.5</f>
        <v>7.1</v>
      </c>
      <c r="J25" s="23">
        <v>7.6</v>
      </c>
      <c r="K25" s="21">
        <f>SUM(J25)+0.5</f>
        <v>8.1</v>
      </c>
      <c r="L25" s="21">
        <f>SUM(K25)+0.5</f>
        <v>8.6</v>
      </c>
      <c r="M25" s="22">
        <f>SUM(L25)+0.5</f>
        <v>9.1</v>
      </c>
    </row>
    <row r="26" spans="1:13" s="1" customFormat="1" ht="14.1" customHeight="1">
      <c r="A26" s="38"/>
      <c r="B26" s="45" t="s">
        <v>271</v>
      </c>
      <c r="C26" s="46"/>
      <c r="D26" s="47" t="s">
        <v>272</v>
      </c>
      <c r="E26" s="48"/>
      <c r="F26" s="48"/>
      <c r="G26" s="49"/>
      <c r="H26" s="36"/>
      <c r="I26" s="36"/>
      <c r="J26" s="23"/>
      <c r="K26" s="21"/>
      <c r="L26" s="21"/>
      <c r="M26" s="22"/>
    </row>
    <row r="27" spans="1:13" s="1" customFormat="1" ht="14.1" customHeight="1">
      <c r="A27" s="38">
        <v>13</v>
      </c>
      <c r="B27" s="51" t="s">
        <v>274</v>
      </c>
      <c r="C27" s="52"/>
      <c r="D27" s="53"/>
      <c r="E27" s="54"/>
      <c r="F27" s="54"/>
      <c r="G27" s="55"/>
      <c r="H27" s="24">
        <f>SUM(I27)-0.6</f>
        <v>8.2000000000000011</v>
      </c>
      <c r="I27" s="24">
        <f>SUM(J27)-0.6</f>
        <v>8.8000000000000007</v>
      </c>
      <c r="J27" s="23">
        <v>9.4</v>
      </c>
      <c r="K27" s="21">
        <f>SUM(J27)+0.6</f>
        <v>10</v>
      </c>
      <c r="L27" s="21">
        <f>SUM(K27)+0.6</f>
        <v>10.6</v>
      </c>
      <c r="M27" s="22">
        <f>SUM(L27)+0.6</f>
        <v>11.2</v>
      </c>
    </row>
    <row r="28" spans="1:13" s="1" customFormat="1" ht="14.1" customHeight="1">
      <c r="A28" s="38"/>
      <c r="B28" s="45" t="s">
        <v>273</v>
      </c>
      <c r="C28" s="46"/>
      <c r="D28" s="47" t="s">
        <v>275</v>
      </c>
      <c r="E28" s="48"/>
      <c r="F28" s="48"/>
      <c r="G28" s="49"/>
      <c r="H28" s="36"/>
      <c r="I28" s="36"/>
      <c r="J28" s="23"/>
      <c r="K28" s="21"/>
      <c r="L28" s="21"/>
      <c r="M28" s="22"/>
    </row>
    <row r="29" spans="1:13" s="1" customFormat="1" ht="14.1" customHeight="1">
      <c r="A29" s="38">
        <v>14</v>
      </c>
      <c r="B29" s="51" t="s">
        <v>176</v>
      </c>
      <c r="C29" s="52"/>
      <c r="D29" s="53"/>
      <c r="E29" s="54"/>
      <c r="F29" s="54"/>
      <c r="G29" s="55"/>
      <c r="H29" s="24">
        <f>SUM(I29)-0.2</f>
        <v>2.1999999999999997</v>
      </c>
      <c r="I29" s="24">
        <f>SUM(J29)-0.2</f>
        <v>2.4</v>
      </c>
      <c r="J29" s="23">
        <v>2.6</v>
      </c>
      <c r="K29" s="21">
        <f>SUM(J29)+0.2</f>
        <v>2.8000000000000003</v>
      </c>
      <c r="L29" s="21">
        <f>SUM(K29)+0.2</f>
        <v>3.0000000000000004</v>
      </c>
      <c r="M29" s="22">
        <f>SUM(L29)+0.2</f>
        <v>3.2000000000000006</v>
      </c>
    </row>
    <row r="30" spans="1:13" s="1" customFormat="1" ht="14.1" customHeight="1">
      <c r="A30" s="38"/>
      <c r="B30" s="45" t="s">
        <v>175</v>
      </c>
      <c r="C30" s="46"/>
      <c r="D30" s="47" t="s">
        <v>269</v>
      </c>
      <c r="E30" s="48"/>
      <c r="F30" s="48"/>
      <c r="G30" s="49"/>
      <c r="H30" s="36"/>
      <c r="I30" s="36"/>
      <c r="J30" s="23"/>
      <c r="K30" s="21"/>
      <c r="L30" s="21"/>
      <c r="M30" s="22"/>
    </row>
    <row r="31" spans="1:13" ht="14.1" customHeight="1">
      <c r="A31" s="38">
        <v>15</v>
      </c>
      <c r="B31" s="40"/>
      <c r="C31" s="41"/>
      <c r="D31" s="42"/>
      <c r="E31" s="43"/>
      <c r="F31" s="43"/>
      <c r="G31" s="44"/>
      <c r="H31" s="50"/>
      <c r="I31" s="50"/>
      <c r="J31" s="35"/>
      <c r="K31" s="36"/>
      <c r="L31" s="36"/>
      <c r="M31" s="37"/>
    </row>
    <row r="32" spans="1:13" ht="14.1" customHeight="1">
      <c r="A32" s="38"/>
      <c r="B32" s="45"/>
      <c r="C32" s="46"/>
      <c r="D32" s="47"/>
      <c r="E32" s="48"/>
      <c r="F32" s="48"/>
      <c r="G32" s="49"/>
      <c r="H32" s="36"/>
      <c r="I32" s="36"/>
      <c r="J32" s="23"/>
      <c r="K32" s="21"/>
      <c r="L32" s="21"/>
      <c r="M32" s="22"/>
    </row>
    <row r="33" spans="1:13" ht="14.1" customHeight="1">
      <c r="A33" s="38">
        <v>16</v>
      </c>
      <c r="B33" s="40"/>
      <c r="C33" s="41"/>
      <c r="D33" s="42"/>
      <c r="E33" s="43"/>
      <c r="F33" s="43"/>
      <c r="G33" s="44"/>
      <c r="H33" s="24"/>
      <c r="I33" s="24"/>
      <c r="J33" s="33"/>
      <c r="K33" s="24"/>
      <c r="L33" s="24"/>
      <c r="M33" s="26"/>
    </row>
    <row r="34" spans="1:13" ht="14.1" customHeight="1" thickBot="1">
      <c r="A34" s="39"/>
      <c r="B34" s="28"/>
      <c r="C34" s="29"/>
      <c r="D34" s="30"/>
      <c r="E34" s="31"/>
      <c r="F34" s="31"/>
      <c r="G34" s="32"/>
      <c r="H34" s="25"/>
      <c r="I34" s="25"/>
      <c r="J34" s="34"/>
      <c r="K34" s="25"/>
      <c r="L34" s="25"/>
      <c r="M34" s="27"/>
    </row>
    <row r="35" spans="1:13" ht="14.1" customHeight="1"/>
    <row r="36" spans="1:13" ht="14.1" customHeight="1"/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179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K5:K6"/>
    <mergeCell ref="L5:L6"/>
    <mergeCell ref="M5:M6"/>
    <mergeCell ref="B6:C6"/>
    <mergeCell ref="D6:G6"/>
    <mergeCell ref="A7:A8"/>
    <mergeCell ref="B7:C7"/>
    <mergeCell ref="D7:G7"/>
    <mergeCell ref="H7:H8"/>
    <mergeCell ref="I7:I8"/>
    <mergeCell ref="J7:J8"/>
    <mergeCell ref="K7:K8"/>
    <mergeCell ref="L7:L8"/>
    <mergeCell ref="M7:M8"/>
    <mergeCell ref="B8:C8"/>
    <mergeCell ref="D8:G8"/>
    <mergeCell ref="A9:A10"/>
    <mergeCell ref="B9:C9"/>
    <mergeCell ref="D9:G9"/>
    <mergeCell ref="H9:H10"/>
    <mergeCell ref="I9:I10"/>
    <mergeCell ref="J9:J10"/>
    <mergeCell ref="K9:K10"/>
    <mergeCell ref="L9:L10"/>
    <mergeCell ref="M9:M10"/>
    <mergeCell ref="B10:C10"/>
    <mergeCell ref="D10:G10"/>
    <mergeCell ref="A11:A12"/>
    <mergeCell ref="B11:C11"/>
    <mergeCell ref="D11:G11"/>
    <mergeCell ref="H11:H12"/>
    <mergeCell ref="I11:I12"/>
    <mergeCell ref="J11:J12"/>
    <mergeCell ref="K11:K12"/>
    <mergeCell ref="L11:L12"/>
    <mergeCell ref="M11:M12"/>
    <mergeCell ref="B12:C12"/>
    <mergeCell ref="D12:G12"/>
    <mergeCell ref="A13:A14"/>
    <mergeCell ref="B13:C13"/>
    <mergeCell ref="D13:G13"/>
    <mergeCell ref="H13:H14"/>
    <mergeCell ref="I13:I14"/>
    <mergeCell ref="J13:J14"/>
    <mergeCell ref="K13:K14"/>
    <mergeCell ref="L13:L14"/>
    <mergeCell ref="M13:M14"/>
    <mergeCell ref="B14:C14"/>
    <mergeCell ref="D14:G14"/>
    <mergeCell ref="A15:A16"/>
    <mergeCell ref="B15:C15"/>
    <mergeCell ref="D15:G15"/>
    <mergeCell ref="H15:H16"/>
    <mergeCell ref="I15:I16"/>
    <mergeCell ref="J15:J16"/>
    <mergeCell ref="K15:K16"/>
    <mergeCell ref="L15:L16"/>
    <mergeCell ref="M15:M16"/>
    <mergeCell ref="B16:C16"/>
    <mergeCell ref="D16:G16"/>
    <mergeCell ref="A17:A18"/>
    <mergeCell ref="B17:C17"/>
    <mergeCell ref="D17:G17"/>
    <mergeCell ref="H17:H18"/>
    <mergeCell ref="I17:I18"/>
    <mergeCell ref="J17:J18"/>
    <mergeCell ref="K17:K18"/>
    <mergeCell ref="L17:L18"/>
    <mergeCell ref="M17:M18"/>
    <mergeCell ref="B18:C18"/>
    <mergeCell ref="D18:G18"/>
    <mergeCell ref="A19:A20"/>
    <mergeCell ref="B19:C19"/>
    <mergeCell ref="D19:G19"/>
    <mergeCell ref="H19:H20"/>
    <mergeCell ref="I19:I20"/>
    <mergeCell ref="J19:J20"/>
    <mergeCell ref="K19:K20"/>
    <mergeCell ref="L19:L20"/>
    <mergeCell ref="M19:M20"/>
    <mergeCell ref="B20:C20"/>
    <mergeCell ref="D20:G20"/>
    <mergeCell ref="A21:A22"/>
    <mergeCell ref="B21:C21"/>
    <mergeCell ref="D21:G21"/>
    <mergeCell ref="H21:H22"/>
    <mergeCell ref="I21:I22"/>
    <mergeCell ref="J21:J22"/>
    <mergeCell ref="K21:K22"/>
    <mergeCell ref="L21:L22"/>
    <mergeCell ref="M21:M22"/>
    <mergeCell ref="B22:C22"/>
    <mergeCell ref="D22:G22"/>
    <mergeCell ref="A23:A24"/>
    <mergeCell ref="B23:C23"/>
    <mergeCell ref="D23:G23"/>
    <mergeCell ref="H23:H24"/>
    <mergeCell ref="I23:I24"/>
    <mergeCell ref="J23:J24"/>
    <mergeCell ref="K23:K24"/>
    <mergeCell ref="L23:L24"/>
    <mergeCell ref="M23:M24"/>
    <mergeCell ref="B24:C24"/>
    <mergeCell ref="D24:G24"/>
    <mergeCell ref="A25:A26"/>
    <mergeCell ref="B25:C25"/>
    <mergeCell ref="D25:G25"/>
    <mergeCell ref="H25:H26"/>
    <mergeCell ref="I25:I26"/>
    <mergeCell ref="J25:J26"/>
    <mergeCell ref="K25:K26"/>
    <mergeCell ref="L25:L26"/>
    <mergeCell ref="M25:M26"/>
    <mergeCell ref="B26:C26"/>
    <mergeCell ref="D26:G26"/>
    <mergeCell ref="A31:A32"/>
    <mergeCell ref="B31:C31"/>
    <mergeCell ref="D31:G31"/>
    <mergeCell ref="H31:H32"/>
    <mergeCell ref="I31:I32"/>
    <mergeCell ref="J31:J32"/>
    <mergeCell ref="K31:K32"/>
    <mergeCell ref="L31:L32"/>
    <mergeCell ref="M31:M32"/>
    <mergeCell ref="B32:C32"/>
    <mergeCell ref="D32:G32"/>
    <mergeCell ref="A33:A34"/>
    <mergeCell ref="B33:C33"/>
    <mergeCell ref="D33:G33"/>
    <mergeCell ref="H33:H34"/>
    <mergeCell ref="I33:I34"/>
    <mergeCell ref="J33:J34"/>
    <mergeCell ref="K33:K34"/>
    <mergeCell ref="L33:L34"/>
    <mergeCell ref="M33:M34"/>
    <mergeCell ref="B34:C34"/>
    <mergeCell ref="D34:G34"/>
    <mergeCell ref="A27:A28"/>
    <mergeCell ref="B27:C27"/>
    <mergeCell ref="D27:G27"/>
    <mergeCell ref="H27:H28"/>
    <mergeCell ref="I27:I28"/>
    <mergeCell ref="J29:J30"/>
    <mergeCell ref="J27:J28"/>
    <mergeCell ref="K27:K28"/>
    <mergeCell ref="L27:L28"/>
    <mergeCell ref="A29:A30"/>
    <mergeCell ref="M27:M28"/>
    <mergeCell ref="B28:C28"/>
    <mergeCell ref="D28:G28"/>
    <mergeCell ref="K29:K30"/>
    <mergeCell ref="L29:L30"/>
    <mergeCell ref="M29:M30"/>
    <mergeCell ref="I29:I30"/>
    <mergeCell ref="B30:C30"/>
    <mergeCell ref="D30:G30"/>
    <mergeCell ref="B29:C29"/>
    <mergeCell ref="D29:G29"/>
    <mergeCell ref="H29:H30"/>
  </mergeCells>
  <phoneticPr fontId="21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9CB51-3A37-4F4B-8259-FF05B0CB62E1}">
  <sheetPr codeName="Sheet104">
    <tabColor rgb="FF00B050"/>
    <pageSetUpPr fitToPage="1"/>
  </sheetPr>
  <dimension ref="A1:M50"/>
  <sheetViews>
    <sheetView zoomScale="110" zoomScaleNormal="110" workbookViewId="0">
      <selection activeCell="T4" sqref="T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254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40" t="s">
        <v>136</v>
      </c>
      <c r="C3" s="41"/>
      <c r="D3" s="100" t="s">
        <v>135</v>
      </c>
      <c r="E3" s="101"/>
      <c r="F3" s="101"/>
      <c r="G3" s="102"/>
      <c r="H3" s="174">
        <f>SUM(I3)-3.4</f>
        <v>36.200000000000003</v>
      </c>
      <c r="I3" s="24">
        <f>SUM(J3)-3.4</f>
        <v>39.6</v>
      </c>
      <c r="J3" s="75">
        <v>43</v>
      </c>
      <c r="K3" s="76">
        <f>SUM(J3)+2.9</f>
        <v>45.9</v>
      </c>
      <c r="L3" s="76">
        <f>SUM(K3)+2.9</f>
        <v>48.8</v>
      </c>
      <c r="M3" s="77">
        <f>SUM(L3)+2.9</f>
        <v>51.699999999999996</v>
      </c>
    </row>
    <row r="4" spans="1:13" s="1" customFormat="1" ht="14.1" customHeight="1">
      <c r="A4" s="38"/>
      <c r="B4" s="56" t="s">
        <v>36</v>
      </c>
      <c r="C4" s="56"/>
      <c r="D4" s="47" t="s">
        <v>134</v>
      </c>
      <c r="E4" s="48"/>
      <c r="F4" s="48"/>
      <c r="G4" s="48"/>
      <c r="H4" s="175"/>
      <c r="I4" s="36"/>
      <c r="J4" s="33"/>
      <c r="K4" s="24"/>
      <c r="L4" s="24"/>
      <c r="M4" s="26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174">
        <f>SUM(I5)-2</f>
        <v>27</v>
      </c>
      <c r="I5" s="24">
        <f>SUM(J5)-2</f>
        <v>29</v>
      </c>
      <c r="J5" s="33">
        <v>31</v>
      </c>
      <c r="K5" s="24">
        <f>SUM(J5)+1.8</f>
        <v>32.799999999999997</v>
      </c>
      <c r="L5" s="24">
        <f>SUM(K5)+1.8</f>
        <v>34.599999999999994</v>
      </c>
      <c r="M5" s="26">
        <f>SUM(L5)+1.8</f>
        <v>36.399999999999991</v>
      </c>
    </row>
    <row r="6" spans="1:13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175"/>
      <c r="I6" s="36"/>
      <c r="J6" s="35"/>
      <c r="K6" s="36"/>
      <c r="L6" s="36"/>
      <c r="M6" s="37"/>
    </row>
    <row r="7" spans="1:13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174">
        <f>SUM(I7)-2.25</f>
        <v>32</v>
      </c>
      <c r="I7" s="24">
        <f>SUM(J7)-2.25</f>
        <v>34.25</v>
      </c>
      <c r="J7" s="33">
        <v>36.5</v>
      </c>
      <c r="K7" s="24">
        <f>SUM(J7)+2</f>
        <v>38.5</v>
      </c>
      <c r="L7" s="24">
        <f>SUM(K7)+2</f>
        <v>40.5</v>
      </c>
      <c r="M7" s="26">
        <f>SUM(L7)+2</f>
        <v>42.5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175"/>
      <c r="I8" s="36"/>
      <c r="J8" s="35"/>
      <c r="K8" s="36"/>
      <c r="L8" s="36"/>
      <c r="M8" s="37"/>
    </row>
    <row r="9" spans="1:13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174">
        <f>SUM(I9)-2.3</f>
        <v>34.400000000000006</v>
      </c>
      <c r="I9" s="24">
        <f>SUM(J9)-2.3</f>
        <v>36.700000000000003</v>
      </c>
      <c r="J9" s="33">
        <v>39</v>
      </c>
      <c r="K9" s="24">
        <f>SUM(J9)+2.1</f>
        <v>41.1</v>
      </c>
      <c r="L9" s="24">
        <f>SUM(K9)+2.1</f>
        <v>43.2</v>
      </c>
      <c r="M9" s="26">
        <f>SUM(L9)+2.1</f>
        <v>45.300000000000004</v>
      </c>
    </row>
    <row r="10" spans="1:13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175"/>
      <c r="I10" s="36"/>
      <c r="J10" s="35"/>
      <c r="K10" s="36"/>
      <c r="L10" s="36"/>
      <c r="M10" s="37"/>
    </row>
    <row r="11" spans="1:13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174">
        <f>SUM(I11)-0.8</f>
        <v>14.799999999999997</v>
      </c>
      <c r="I11" s="24">
        <f>SUM(J11)-0.8</f>
        <v>15.599999999999998</v>
      </c>
      <c r="J11" s="23">
        <v>16.399999999999999</v>
      </c>
      <c r="K11" s="21">
        <f>SUM(J11)+0.8</f>
        <v>17.2</v>
      </c>
      <c r="L11" s="21">
        <f>SUM(K11)+0.8</f>
        <v>18</v>
      </c>
      <c r="M11" s="22">
        <f>SUM(L11)+0.8</f>
        <v>18.8</v>
      </c>
    </row>
    <row r="12" spans="1:13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175"/>
      <c r="I12" s="36"/>
      <c r="J12" s="23"/>
      <c r="K12" s="21"/>
      <c r="L12" s="21"/>
      <c r="M12" s="22"/>
    </row>
    <row r="13" spans="1:13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174">
        <f>SUM(I13)-0.6</f>
        <v>12</v>
      </c>
      <c r="I13" s="24">
        <f>SUM(J13)-0.6</f>
        <v>12.6</v>
      </c>
      <c r="J13" s="23">
        <v>13.2</v>
      </c>
      <c r="K13" s="21">
        <f>SUM(J13)+0.6</f>
        <v>13.799999999999999</v>
      </c>
      <c r="L13" s="21">
        <f>SUM(K13)+0.6</f>
        <v>14.399999999999999</v>
      </c>
      <c r="M13" s="22">
        <f>SUM(L13)+0.6</f>
        <v>14.999999999999998</v>
      </c>
    </row>
    <row r="14" spans="1:13" s="1" customFormat="1" ht="14.1" customHeight="1">
      <c r="A14" s="38"/>
      <c r="B14" s="56" t="s">
        <v>29</v>
      </c>
      <c r="C14" s="56"/>
      <c r="D14" s="47" t="s">
        <v>255</v>
      </c>
      <c r="E14" s="48"/>
      <c r="F14" s="48"/>
      <c r="G14" s="49"/>
      <c r="H14" s="175"/>
      <c r="I14" s="36"/>
      <c r="J14" s="23"/>
      <c r="K14" s="21"/>
      <c r="L14" s="21"/>
      <c r="M14" s="22"/>
    </row>
    <row r="15" spans="1:13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174">
        <f>SUM(I15)-0.3</f>
        <v>6</v>
      </c>
      <c r="I15" s="24">
        <f>SUM(J15)-0.3</f>
        <v>6.3</v>
      </c>
      <c r="J15" s="23">
        <v>6.6</v>
      </c>
      <c r="K15" s="21">
        <f>SUM(J15)+0.3</f>
        <v>6.8999999999999995</v>
      </c>
      <c r="L15" s="21">
        <f>SUM(K15)+0.3</f>
        <v>7.1999999999999993</v>
      </c>
      <c r="M15" s="22">
        <f>SUM(L15)+0.3</f>
        <v>7.4999999999999991</v>
      </c>
    </row>
    <row r="16" spans="1:13" s="1" customFormat="1" ht="14.1" customHeight="1">
      <c r="A16" s="38"/>
      <c r="B16" s="56" t="s">
        <v>30</v>
      </c>
      <c r="C16" s="56"/>
      <c r="D16" s="47" t="s">
        <v>53</v>
      </c>
      <c r="E16" s="48"/>
      <c r="F16" s="48"/>
      <c r="G16" s="49"/>
      <c r="H16" s="175"/>
      <c r="I16" s="36"/>
      <c r="J16" s="23"/>
      <c r="K16" s="21"/>
      <c r="L16" s="21"/>
      <c r="M16" s="22"/>
    </row>
    <row r="17" spans="1:13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174">
        <f>SUM(I17)-1.6</f>
        <v>32</v>
      </c>
      <c r="I17" s="24">
        <f>SUM(J17)-1.6</f>
        <v>33.6</v>
      </c>
      <c r="J17" s="23">
        <v>35.200000000000003</v>
      </c>
      <c r="K17" s="21">
        <f>SUM(J17)+1.6</f>
        <v>36.800000000000004</v>
      </c>
      <c r="L17" s="21">
        <f>SUM(K17)+1.6</f>
        <v>38.400000000000006</v>
      </c>
      <c r="M17" s="22">
        <f>SUM(L17)+1.6</f>
        <v>40.000000000000007</v>
      </c>
    </row>
    <row r="18" spans="1:13" s="1" customFormat="1" ht="14.1" customHeight="1">
      <c r="A18" s="38"/>
      <c r="B18" s="56" t="s">
        <v>37</v>
      </c>
      <c r="C18" s="56"/>
      <c r="D18" s="47" t="s">
        <v>107</v>
      </c>
      <c r="E18" s="48"/>
      <c r="F18" s="48"/>
      <c r="G18" s="49"/>
      <c r="H18" s="175"/>
      <c r="I18" s="36"/>
      <c r="J18" s="23"/>
      <c r="K18" s="21"/>
      <c r="L18" s="21"/>
      <c r="M18" s="22"/>
    </row>
    <row r="19" spans="1:13" s="1" customFormat="1" ht="14.1" customHeight="1">
      <c r="A19" s="38">
        <v>9</v>
      </c>
      <c r="B19" s="51" t="s">
        <v>202</v>
      </c>
      <c r="C19" s="52"/>
      <c r="D19" s="59"/>
      <c r="E19" s="60"/>
      <c r="F19" s="60"/>
      <c r="G19" s="61"/>
      <c r="H19" s="174">
        <f>SUM(I19)-0.2</f>
        <v>6.6</v>
      </c>
      <c r="I19" s="24">
        <f>SUM(J19)-0.2</f>
        <v>6.8</v>
      </c>
      <c r="J19" s="23">
        <v>7</v>
      </c>
      <c r="K19" s="21">
        <f>SUM(J19)+0.2</f>
        <v>7.2</v>
      </c>
      <c r="L19" s="21">
        <f>SUM(K19)+0.2</f>
        <v>7.4</v>
      </c>
      <c r="M19" s="22">
        <f>SUM(L19)+0.2</f>
        <v>7.6000000000000005</v>
      </c>
    </row>
    <row r="20" spans="1:13" s="1" customFormat="1" ht="14.1" customHeight="1">
      <c r="A20" s="38"/>
      <c r="B20" s="56" t="s">
        <v>203</v>
      </c>
      <c r="C20" s="56"/>
      <c r="D20" s="47" t="s">
        <v>204</v>
      </c>
      <c r="E20" s="48"/>
      <c r="F20" s="48"/>
      <c r="G20" s="49"/>
      <c r="H20" s="175"/>
      <c r="I20" s="36"/>
      <c r="J20" s="23"/>
      <c r="K20" s="21"/>
      <c r="L20" s="21"/>
      <c r="M20" s="22"/>
    </row>
    <row r="21" spans="1:13" s="1" customFormat="1" ht="14.1" customHeight="1">
      <c r="A21" s="38">
        <v>10</v>
      </c>
      <c r="B21" s="58" t="s">
        <v>4</v>
      </c>
      <c r="C21" s="58"/>
      <c r="D21" s="57" t="s">
        <v>5</v>
      </c>
      <c r="E21" s="57"/>
      <c r="F21" s="57"/>
      <c r="G21" s="57"/>
      <c r="H21" s="174">
        <f>SUM(I21)-3.5</f>
        <v>32</v>
      </c>
      <c r="I21" s="24">
        <f>SUM(J21)-3.5</f>
        <v>35.5</v>
      </c>
      <c r="J21" s="23">
        <v>39</v>
      </c>
      <c r="K21" s="21">
        <f>SUM(J21)+3.6</f>
        <v>42.6</v>
      </c>
      <c r="L21" s="21">
        <f>SUM(K21)+3.6</f>
        <v>46.2</v>
      </c>
      <c r="M21" s="22">
        <f>SUM(L21)+3.6</f>
        <v>49.800000000000004</v>
      </c>
    </row>
    <row r="22" spans="1:13" s="1" customFormat="1" ht="14.1" customHeight="1">
      <c r="A22" s="38"/>
      <c r="B22" s="56" t="s">
        <v>31</v>
      </c>
      <c r="C22" s="56"/>
      <c r="D22" s="47" t="s">
        <v>54</v>
      </c>
      <c r="E22" s="48"/>
      <c r="F22" s="48"/>
      <c r="G22" s="49"/>
      <c r="H22" s="175"/>
      <c r="I22" s="36"/>
      <c r="J22" s="23"/>
      <c r="K22" s="21"/>
      <c r="L22" s="21"/>
      <c r="M22" s="22"/>
    </row>
    <row r="23" spans="1:13" s="1" customFormat="1" ht="14.1" customHeight="1">
      <c r="A23" s="38">
        <v>11</v>
      </c>
      <c r="B23" s="58" t="s">
        <v>6</v>
      </c>
      <c r="C23" s="58"/>
      <c r="D23" s="59" t="s">
        <v>7</v>
      </c>
      <c r="E23" s="60"/>
      <c r="F23" s="60"/>
      <c r="G23" s="61"/>
      <c r="H23" s="174">
        <f>SUM(I23)-1.4</f>
        <v>24.800000000000004</v>
      </c>
      <c r="I23" s="24">
        <f>SUM(J23)-1.4</f>
        <v>26.200000000000003</v>
      </c>
      <c r="J23" s="23">
        <v>27.6</v>
      </c>
      <c r="K23" s="21">
        <f>SUM(J23)+1.4</f>
        <v>29</v>
      </c>
      <c r="L23" s="21">
        <f>SUM(K23)+1.4</f>
        <v>30.4</v>
      </c>
      <c r="M23" s="22">
        <f>SUM(L23)+1.4</f>
        <v>31.799999999999997</v>
      </c>
    </row>
    <row r="24" spans="1:13" s="1" customFormat="1" ht="14.1" customHeight="1">
      <c r="A24" s="38"/>
      <c r="B24" s="56" t="s">
        <v>32</v>
      </c>
      <c r="C24" s="56"/>
      <c r="D24" s="47" t="s">
        <v>76</v>
      </c>
      <c r="E24" s="48"/>
      <c r="F24" s="48"/>
      <c r="G24" s="49"/>
      <c r="H24" s="175"/>
      <c r="I24" s="36"/>
      <c r="J24" s="23"/>
      <c r="K24" s="21"/>
      <c r="L24" s="21"/>
      <c r="M24" s="22"/>
    </row>
    <row r="25" spans="1:13" s="1" customFormat="1" ht="14.1" customHeight="1">
      <c r="A25" s="38">
        <v>12</v>
      </c>
      <c r="B25" s="51" t="s">
        <v>77</v>
      </c>
      <c r="C25" s="52"/>
      <c r="D25" s="57" t="s">
        <v>78</v>
      </c>
      <c r="E25" s="57"/>
      <c r="F25" s="57"/>
      <c r="G25" s="57"/>
      <c r="H25" s="174">
        <f>SUM(I25)-1</f>
        <v>16.3</v>
      </c>
      <c r="I25" s="24">
        <f>SUM(J25)-1</f>
        <v>17.3</v>
      </c>
      <c r="J25" s="23">
        <v>18.3</v>
      </c>
      <c r="K25" s="21">
        <f>SUM(J25)+1</f>
        <v>19.3</v>
      </c>
      <c r="L25" s="21">
        <f>SUM(K25)+1</f>
        <v>20.3</v>
      </c>
      <c r="M25" s="22">
        <f>SUM(L25)+1</f>
        <v>21.3</v>
      </c>
    </row>
    <row r="26" spans="1:13" s="1" customFormat="1" ht="14.1" customHeight="1">
      <c r="A26" s="38"/>
      <c r="B26" s="56" t="s">
        <v>256</v>
      </c>
      <c r="C26" s="56"/>
      <c r="D26" s="47" t="s">
        <v>79</v>
      </c>
      <c r="E26" s="48"/>
      <c r="F26" s="48"/>
      <c r="G26" s="49"/>
      <c r="H26" s="175"/>
      <c r="I26" s="36"/>
      <c r="J26" s="23"/>
      <c r="K26" s="21"/>
      <c r="L26" s="21"/>
      <c r="M26" s="22"/>
    </row>
    <row r="27" spans="1:13" s="1" customFormat="1" ht="14.1" customHeight="1">
      <c r="A27" s="38">
        <v>13</v>
      </c>
      <c r="B27" s="51" t="s">
        <v>257</v>
      </c>
      <c r="C27" s="52"/>
      <c r="D27" s="53"/>
      <c r="E27" s="54"/>
      <c r="F27" s="54"/>
      <c r="G27" s="55"/>
      <c r="H27" s="174">
        <f>SUM(I27)-3.2</f>
        <v>32.099999999999994</v>
      </c>
      <c r="I27" s="24">
        <f>SUM(J27)-3.2</f>
        <v>35.299999999999997</v>
      </c>
      <c r="J27" s="23">
        <v>38.5</v>
      </c>
      <c r="K27" s="21">
        <f>SUM(J27)+2.7</f>
        <v>41.2</v>
      </c>
      <c r="L27" s="21">
        <f>SUM(K27)+2.7</f>
        <v>43.900000000000006</v>
      </c>
      <c r="M27" s="22">
        <f>SUM(L27)+2.7</f>
        <v>46.600000000000009</v>
      </c>
    </row>
    <row r="28" spans="1:13" s="1" customFormat="1" ht="14.1" customHeight="1">
      <c r="A28" s="38"/>
      <c r="B28" s="45" t="s">
        <v>258</v>
      </c>
      <c r="C28" s="46"/>
      <c r="D28" s="47"/>
      <c r="E28" s="48"/>
      <c r="F28" s="48"/>
      <c r="G28" s="49"/>
      <c r="H28" s="175"/>
      <c r="I28" s="36"/>
      <c r="J28" s="23"/>
      <c r="K28" s="21"/>
      <c r="L28" s="21"/>
      <c r="M28" s="22"/>
    </row>
    <row r="29" spans="1:13" s="1" customFormat="1" ht="14.1" customHeight="1">
      <c r="A29" s="71">
        <v>14</v>
      </c>
      <c r="B29" s="51" t="s">
        <v>132</v>
      </c>
      <c r="C29" s="52"/>
      <c r="D29" s="53"/>
      <c r="E29" s="54"/>
      <c r="F29" s="54"/>
      <c r="G29" s="55"/>
      <c r="H29" s="174">
        <f>SUM(I29)-0.4</f>
        <v>7.1999999999999993</v>
      </c>
      <c r="I29" s="24">
        <f>SUM(J29)-0.4</f>
        <v>7.6</v>
      </c>
      <c r="J29" s="23">
        <v>8</v>
      </c>
      <c r="K29" s="21">
        <f>SUM(J29)+0.4</f>
        <v>8.4</v>
      </c>
      <c r="L29" s="21">
        <f>SUM(K29)+0.4</f>
        <v>8.8000000000000007</v>
      </c>
      <c r="M29" s="22">
        <f>SUM(L29)+0.4</f>
        <v>9.2000000000000011</v>
      </c>
    </row>
    <row r="30" spans="1:13" s="1" customFormat="1" ht="14.1" customHeight="1">
      <c r="A30" s="154"/>
      <c r="B30" s="45" t="s">
        <v>131</v>
      </c>
      <c r="C30" s="46"/>
      <c r="D30" s="47"/>
      <c r="E30" s="48"/>
      <c r="F30" s="48"/>
      <c r="G30" s="49"/>
      <c r="H30" s="175"/>
      <c r="I30" s="36"/>
      <c r="J30" s="23"/>
      <c r="K30" s="21"/>
      <c r="L30" s="21"/>
      <c r="M30" s="22"/>
    </row>
    <row r="31" spans="1:13" s="1" customFormat="1" ht="14.1" customHeight="1">
      <c r="A31" s="38">
        <v>15</v>
      </c>
      <c r="B31" s="51" t="s">
        <v>130</v>
      </c>
      <c r="C31" s="52"/>
      <c r="D31" s="53"/>
      <c r="E31" s="54"/>
      <c r="F31" s="54"/>
      <c r="G31" s="55"/>
      <c r="H31" s="174">
        <f>SUM(I31)-0.4</f>
        <v>7.1999999999999993</v>
      </c>
      <c r="I31" s="24">
        <f>SUM(J31)-0.4</f>
        <v>7.6</v>
      </c>
      <c r="J31" s="23">
        <v>8</v>
      </c>
      <c r="K31" s="21">
        <f>SUM(J31)+0.4</f>
        <v>8.4</v>
      </c>
      <c r="L31" s="21">
        <f>SUM(K31)+0.4</f>
        <v>8.8000000000000007</v>
      </c>
      <c r="M31" s="22">
        <f>SUM(L31)+0.4</f>
        <v>9.2000000000000011</v>
      </c>
    </row>
    <row r="32" spans="1:13" s="1" customFormat="1" ht="14.1" customHeight="1">
      <c r="A32" s="38"/>
      <c r="B32" s="56" t="s">
        <v>129</v>
      </c>
      <c r="C32" s="56"/>
      <c r="D32" s="47" t="s">
        <v>259</v>
      </c>
      <c r="E32" s="48"/>
      <c r="F32" s="48"/>
      <c r="G32" s="49"/>
      <c r="H32" s="175"/>
      <c r="I32" s="36"/>
      <c r="J32" s="23"/>
      <c r="K32" s="21"/>
      <c r="L32" s="21"/>
      <c r="M32" s="22"/>
    </row>
    <row r="33" spans="1:13" s="1" customFormat="1" ht="14.1" customHeight="1">
      <c r="A33" s="71">
        <v>16</v>
      </c>
      <c r="B33" s="40"/>
      <c r="C33" s="41"/>
      <c r="D33" s="42"/>
      <c r="E33" s="43"/>
      <c r="F33" s="43"/>
      <c r="G33" s="44"/>
      <c r="H33" s="176"/>
      <c r="I33" s="50"/>
      <c r="J33" s="35"/>
      <c r="K33" s="36"/>
      <c r="L33" s="36"/>
      <c r="M33" s="37"/>
    </row>
    <row r="34" spans="1:13" s="1" customFormat="1" ht="13.5" customHeight="1" thickBot="1">
      <c r="A34" s="39"/>
      <c r="B34" s="28"/>
      <c r="C34" s="29"/>
      <c r="D34" s="30"/>
      <c r="E34" s="31"/>
      <c r="F34" s="31"/>
      <c r="G34" s="32"/>
      <c r="H34" s="177"/>
      <c r="I34" s="25"/>
      <c r="J34" s="218"/>
      <c r="K34" s="216"/>
      <c r="L34" s="216"/>
      <c r="M34" s="220"/>
    </row>
    <row r="35" spans="1:13" s="1" customFormat="1" ht="14.1" customHeight="1"/>
    <row r="36" spans="1:13" s="1" customFormat="1" ht="14.1" customHeight="1"/>
    <row r="37" spans="1:13" s="1" customFormat="1" ht="14.1" customHeight="1"/>
    <row r="38" spans="1:13" s="1" customFormat="1" ht="14.1" customHeight="1"/>
    <row r="39" spans="1:13" s="1" customFormat="1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>
      <c r="B44" s="6"/>
      <c r="C44" s="6"/>
      <c r="D44" s="6"/>
      <c r="E44" s="6"/>
      <c r="F44" s="6"/>
      <c r="G44" s="6"/>
    </row>
    <row r="45" spans="1:13" ht="14.1" customHeight="1">
      <c r="B45" s="6"/>
      <c r="C45" s="6"/>
      <c r="D45" s="6"/>
      <c r="E45" s="6"/>
      <c r="F45" s="6"/>
      <c r="G45" s="6"/>
    </row>
    <row r="46" spans="1:13" ht="14.1" customHeight="1">
      <c r="B46" s="6"/>
      <c r="C46" s="6"/>
      <c r="D46" s="6"/>
      <c r="E46" s="6"/>
      <c r="F46" s="6"/>
      <c r="G46" s="6"/>
    </row>
    <row r="47" spans="1:13" ht="14.1" customHeight="1"/>
    <row r="48" spans="1:13" ht="14.1" customHeight="1"/>
    <row r="49" ht="14.1" customHeight="1"/>
    <row r="50" ht="14.1" customHeight="1"/>
  </sheetData>
  <mergeCells count="179">
    <mergeCell ref="A33:A34"/>
    <mergeCell ref="B33:C33"/>
    <mergeCell ref="D33:G33"/>
    <mergeCell ref="H33:H34"/>
    <mergeCell ref="J33:J34"/>
    <mergeCell ref="J31:J32"/>
    <mergeCell ref="A31:A32"/>
    <mergeCell ref="K31:K32"/>
    <mergeCell ref="L31:L32"/>
    <mergeCell ref="M31:M32"/>
    <mergeCell ref="B32:C32"/>
    <mergeCell ref="D32:G32"/>
    <mergeCell ref="K33:K34"/>
    <mergeCell ref="L33:L34"/>
    <mergeCell ref="M33:M34"/>
    <mergeCell ref="K29:K30"/>
    <mergeCell ref="L29:L30"/>
    <mergeCell ref="M29:M30"/>
    <mergeCell ref="B30:C30"/>
    <mergeCell ref="D30:G30"/>
    <mergeCell ref="B31:C31"/>
    <mergeCell ref="D31:G31"/>
    <mergeCell ref="H31:H32"/>
    <mergeCell ref="I31:I32"/>
    <mergeCell ref="I33:I34"/>
    <mergeCell ref="B34:C34"/>
    <mergeCell ref="D34:G34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5:J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BEC07-EF38-4287-A61F-6825A0CBFEF5}">
  <sheetPr codeName="Sheet111">
    <tabColor rgb="FF00B050"/>
    <pageSetUpPr fitToPage="1"/>
  </sheetPr>
  <dimension ref="A1:M51"/>
  <sheetViews>
    <sheetView zoomScale="110" zoomScaleNormal="110" workbookViewId="0">
      <selection activeCell="P14" sqref="P1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289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24">
        <f>SUM(I3)-3</f>
        <v>31</v>
      </c>
      <c r="I3" s="24">
        <f>SUM(J3)-3</f>
        <v>34</v>
      </c>
      <c r="J3" s="75">
        <v>37</v>
      </c>
      <c r="K3" s="76">
        <f>SUM(J3)+2.5</f>
        <v>39.5</v>
      </c>
      <c r="L3" s="76">
        <f>SUM(K3)+2.5</f>
        <v>42</v>
      </c>
      <c r="M3" s="77">
        <f>SUM(L3)+2.5</f>
        <v>44.5</v>
      </c>
    </row>
    <row r="4" spans="1:13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24"/>
      <c r="L4" s="24"/>
      <c r="M4" s="26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SUM(I5)-1.8</f>
        <v>26.4</v>
      </c>
      <c r="I5" s="24">
        <f>SUM(J5)-1.8</f>
        <v>28.2</v>
      </c>
      <c r="J5" s="33">
        <v>30</v>
      </c>
      <c r="K5" s="24">
        <f>SUM(J5)+1.6</f>
        <v>31.6</v>
      </c>
      <c r="L5" s="24">
        <f>SUM(K5)+1.6</f>
        <v>33.200000000000003</v>
      </c>
      <c r="M5" s="26">
        <f>SUM(L5)+1.6</f>
        <v>34.800000000000004</v>
      </c>
    </row>
    <row r="6" spans="1:13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37"/>
    </row>
    <row r="7" spans="1:13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32</v>
      </c>
      <c r="I7" s="24">
        <f>SUM(J7)-2.25</f>
        <v>34.25</v>
      </c>
      <c r="J7" s="33">
        <v>36.5</v>
      </c>
      <c r="K7" s="24">
        <f>SUM(J7)+2</f>
        <v>38.5</v>
      </c>
      <c r="L7" s="24">
        <f>SUM(K7)+2</f>
        <v>40.5</v>
      </c>
      <c r="M7" s="26">
        <f>SUM(L7)+2</f>
        <v>42.5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37"/>
    </row>
    <row r="9" spans="1:13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SUM(I9)-2.25</f>
        <v>32</v>
      </c>
      <c r="I9" s="24">
        <f>SUM(J9)-2.25</f>
        <v>34.25</v>
      </c>
      <c r="J9" s="33">
        <v>36.5</v>
      </c>
      <c r="K9" s="24">
        <f>SUM(J9)+2</f>
        <v>38.5</v>
      </c>
      <c r="L9" s="24">
        <f>SUM(K9)+2</f>
        <v>40.5</v>
      </c>
      <c r="M9" s="26">
        <f>SUM(L9)+2</f>
        <v>42.5</v>
      </c>
    </row>
    <row r="10" spans="1:13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7"/>
    </row>
    <row r="11" spans="1:13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SUM(I11)-0.8</f>
        <v>12.799999999999999</v>
      </c>
      <c r="I11" s="24">
        <f>SUM(J11)-0.8</f>
        <v>13.6</v>
      </c>
      <c r="J11" s="23">
        <v>14.4</v>
      </c>
      <c r="K11" s="21">
        <f>SUM(J11)+0.8</f>
        <v>15.200000000000001</v>
      </c>
      <c r="L11" s="21">
        <f>SUM(K11)+0.8</f>
        <v>16</v>
      </c>
      <c r="M11" s="22">
        <f>SUM(L11)+0.8</f>
        <v>16.8</v>
      </c>
    </row>
    <row r="12" spans="1:13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2"/>
    </row>
    <row r="13" spans="1:13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14.200000000000001</v>
      </c>
      <c r="I13" s="24">
        <f>SUM(J13)-0.6</f>
        <v>14.8</v>
      </c>
      <c r="J13" s="23">
        <v>15.4</v>
      </c>
      <c r="K13" s="21">
        <f>SUM(J13)+0.6</f>
        <v>16</v>
      </c>
      <c r="L13" s="21">
        <f>SUM(K13)+0.6</f>
        <v>16.600000000000001</v>
      </c>
      <c r="M13" s="22">
        <f>SUM(L13)+0.6</f>
        <v>17.200000000000003</v>
      </c>
    </row>
    <row r="14" spans="1:13" s="1" customFormat="1" ht="14.1" customHeight="1">
      <c r="A14" s="38"/>
      <c r="B14" s="56" t="s">
        <v>29</v>
      </c>
      <c r="C14" s="56"/>
      <c r="D14" s="47" t="s">
        <v>154</v>
      </c>
      <c r="E14" s="48"/>
      <c r="F14" s="48"/>
      <c r="G14" s="49"/>
      <c r="H14" s="36"/>
      <c r="I14" s="36"/>
      <c r="J14" s="23"/>
      <c r="K14" s="21"/>
      <c r="L14" s="21"/>
      <c r="M14" s="22"/>
    </row>
    <row r="15" spans="1:13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6.4</v>
      </c>
      <c r="I15" s="24">
        <f>SUM(J15)-0.3</f>
        <v>6.7</v>
      </c>
      <c r="J15" s="23">
        <v>7</v>
      </c>
      <c r="K15" s="21">
        <f>SUM(J15)+0.3</f>
        <v>7.3</v>
      </c>
      <c r="L15" s="21">
        <f>SUM(K15)+0.3</f>
        <v>7.6</v>
      </c>
      <c r="M15" s="22">
        <f>SUM(L15)+0.3</f>
        <v>7.8999999999999995</v>
      </c>
    </row>
    <row r="16" spans="1:13" s="1" customFormat="1" ht="14.1" customHeight="1">
      <c r="A16" s="38"/>
      <c r="B16" s="56" t="s">
        <v>30</v>
      </c>
      <c r="C16" s="56"/>
      <c r="D16" s="47" t="s">
        <v>155</v>
      </c>
      <c r="E16" s="48"/>
      <c r="F16" s="48"/>
      <c r="G16" s="49"/>
      <c r="H16" s="36"/>
      <c r="I16" s="36"/>
      <c r="J16" s="23"/>
      <c r="K16" s="21"/>
      <c r="L16" s="21"/>
      <c r="M16" s="22"/>
    </row>
    <row r="17" spans="1:13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37.4</v>
      </c>
      <c r="I17" s="24">
        <f>SUM(J17)-1.6</f>
        <v>39</v>
      </c>
      <c r="J17" s="23">
        <v>40.6</v>
      </c>
      <c r="K17" s="21">
        <f>SUM(J17)+1.6</f>
        <v>42.2</v>
      </c>
      <c r="L17" s="21">
        <f>SUM(K17)+1.6</f>
        <v>43.800000000000004</v>
      </c>
      <c r="M17" s="22">
        <f>SUM(L17)+1.6</f>
        <v>45.400000000000006</v>
      </c>
    </row>
    <row r="18" spans="1:13" s="1" customFormat="1" ht="14.1" customHeight="1">
      <c r="A18" s="38"/>
      <c r="B18" s="56" t="s">
        <v>37</v>
      </c>
      <c r="C18" s="56"/>
      <c r="D18" s="47" t="s">
        <v>156</v>
      </c>
      <c r="E18" s="48"/>
      <c r="F18" s="48"/>
      <c r="G18" s="49"/>
      <c r="H18" s="36"/>
      <c r="I18" s="36"/>
      <c r="J18" s="23"/>
      <c r="K18" s="21"/>
      <c r="L18" s="21"/>
      <c r="M18" s="22"/>
    </row>
    <row r="19" spans="1:13" s="1" customFormat="1" ht="14.1" customHeight="1">
      <c r="A19" s="38">
        <v>9</v>
      </c>
      <c r="B19" s="58" t="s">
        <v>4</v>
      </c>
      <c r="C19" s="58"/>
      <c r="D19" s="57" t="s">
        <v>5</v>
      </c>
      <c r="E19" s="57"/>
      <c r="F19" s="57"/>
      <c r="G19" s="57"/>
      <c r="H19" s="24">
        <f>SUM(I19)-3.6</f>
        <v>30.799999999999997</v>
      </c>
      <c r="I19" s="24">
        <f>SUM(J19)-3.6</f>
        <v>34.4</v>
      </c>
      <c r="J19" s="23">
        <v>38</v>
      </c>
      <c r="K19" s="21">
        <f>SUM(J19)+3.7</f>
        <v>41.7</v>
      </c>
      <c r="L19" s="21">
        <f>SUM(K19)+3.7</f>
        <v>45.400000000000006</v>
      </c>
      <c r="M19" s="22">
        <f>SUM(L19)+3.7</f>
        <v>49.100000000000009</v>
      </c>
    </row>
    <row r="20" spans="1:13" s="1" customFormat="1" ht="14.1" customHeight="1">
      <c r="A20" s="38"/>
      <c r="B20" s="56" t="s">
        <v>31</v>
      </c>
      <c r="C20" s="56"/>
      <c r="D20" s="47" t="s">
        <v>54</v>
      </c>
      <c r="E20" s="48"/>
      <c r="F20" s="48"/>
      <c r="G20" s="49"/>
      <c r="H20" s="36"/>
      <c r="I20" s="36"/>
      <c r="J20" s="23"/>
      <c r="K20" s="21"/>
      <c r="L20" s="21"/>
      <c r="M20" s="22"/>
    </row>
    <row r="21" spans="1:13" s="1" customFormat="1" ht="14.1" customHeight="1">
      <c r="A21" s="38">
        <v>10</v>
      </c>
      <c r="B21" s="58" t="s">
        <v>6</v>
      </c>
      <c r="C21" s="58"/>
      <c r="D21" s="59" t="s">
        <v>7</v>
      </c>
      <c r="E21" s="60"/>
      <c r="F21" s="60"/>
      <c r="G21" s="61"/>
      <c r="H21" s="24">
        <f>SUM(I21)-1.4</f>
        <v>22.200000000000003</v>
      </c>
      <c r="I21" s="24">
        <f>SUM(J21)-1.4</f>
        <v>23.6</v>
      </c>
      <c r="J21" s="23">
        <v>25</v>
      </c>
      <c r="K21" s="21">
        <f>SUM(J21)+1.4</f>
        <v>26.4</v>
      </c>
      <c r="L21" s="21">
        <f>SUM(K21)+1.4</f>
        <v>27.799999999999997</v>
      </c>
      <c r="M21" s="22">
        <f>SUM(L21)+1.4</f>
        <v>29.199999999999996</v>
      </c>
    </row>
    <row r="22" spans="1:13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9"/>
      <c r="H22" s="36"/>
      <c r="I22" s="36"/>
      <c r="J22" s="23"/>
      <c r="K22" s="21"/>
      <c r="L22" s="21"/>
      <c r="M22" s="22"/>
    </row>
    <row r="23" spans="1:13" s="1" customFormat="1" ht="14.1" customHeight="1">
      <c r="A23" s="38">
        <v>11</v>
      </c>
      <c r="B23" s="51" t="s">
        <v>77</v>
      </c>
      <c r="C23" s="52"/>
      <c r="D23" s="57" t="s">
        <v>78</v>
      </c>
      <c r="E23" s="57"/>
      <c r="F23" s="57"/>
      <c r="G23" s="57"/>
      <c r="H23" s="24">
        <f>SUM(I23)-0.7</f>
        <v>16.600000000000001</v>
      </c>
      <c r="I23" s="24">
        <f>SUM(J23)-0.7</f>
        <v>17.3</v>
      </c>
      <c r="J23" s="23">
        <v>18</v>
      </c>
      <c r="K23" s="21">
        <f>SUM(J23)+0.7</f>
        <v>18.7</v>
      </c>
      <c r="L23" s="21">
        <f>SUM(K23)+0.7</f>
        <v>19.399999999999999</v>
      </c>
      <c r="M23" s="22">
        <f>SUM(L23)+0.7</f>
        <v>20.099999999999998</v>
      </c>
    </row>
    <row r="24" spans="1:13" s="1" customFormat="1" ht="14.1" customHeight="1">
      <c r="A24" s="38"/>
      <c r="B24" s="56" t="s">
        <v>33</v>
      </c>
      <c r="C24" s="56"/>
      <c r="D24" s="47" t="s">
        <v>79</v>
      </c>
      <c r="E24" s="48"/>
      <c r="F24" s="48"/>
      <c r="G24" s="49"/>
      <c r="H24" s="36"/>
      <c r="I24" s="36"/>
      <c r="J24" s="23"/>
      <c r="K24" s="21"/>
      <c r="L24" s="21"/>
      <c r="M24" s="22"/>
    </row>
    <row r="25" spans="1:13" s="1" customFormat="1" ht="14.1" customHeight="1">
      <c r="A25" s="38">
        <v>12</v>
      </c>
      <c r="B25" s="51" t="s">
        <v>176</v>
      </c>
      <c r="C25" s="52"/>
      <c r="D25" s="53"/>
      <c r="E25" s="54"/>
      <c r="F25" s="54"/>
      <c r="G25" s="55"/>
      <c r="H25" s="24">
        <f>SUM(I25)-0.3</f>
        <v>3.6000000000000005</v>
      </c>
      <c r="I25" s="24">
        <f>SUM(J25)-0.3</f>
        <v>3.9000000000000004</v>
      </c>
      <c r="J25" s="23">
        <v>4.2</v>
      </c>
      <c r="K25" s="21">
        <f>SUM(J25)+0.3</f>
        <v>4.5</v>
      </c>
      <c r="L25" s="21">
        <f>SUM(K25)+0.3</f>
        <v>4.8</v>
      </c>
      <c r="M25" s="22">
        <f>SUM(L25)+0.3</f>
        <v>5.0999999999999996</v>
      </c>
    </row>
    <row r="26" spans="1:13" s="1" customFormat="1" ht="14.1" customHeight="1">
      <c r="A26" s="38"/>
      <c r="B26" s="45" t="s">
        <v>175</v>
      </c>
      <c r="C26" s="46"/>
      <c r="D26" s="47" t="s">
        <v>269</v>
      </c>
      <c r="E26" s="48"/>
      <c r="F26" s="48"/>
      <c r="G26" s="49"/>
      <c r="H26" s="36"/>
      <c r="I26" s="36"/>
      <c r="J26" s="23"/>
      <c r="K26" s="21"/>
      <c r="L26" s="21"/>
      <c r="M26" s="22"/>
    </row>
    <row r="27" spans="1:13" s="1" customFormat="1" ht="14.1" customHeight="1">
      <c r="A27" s="38">
        <v>13</v>
      </c>
      <c r="B27" s="40"/>
      <c r="C27" s="41"/>
      <c r="D27" s="42"/>
      <c r="E27" s="43"/>
      <c r="F27" s="43"/>
      <c r="G27" s="44"/>
      <c r="H27" s="50"/>
      <c r="I27" s="50"/>
      <c r="J27" s="35"/>
      <c r="K27" s="36"/>
      <c r="L27" s="36"/>
      <c r="M27" s="37"/>
    </row>
    <row r="28" spans="1:13" s="1" customFormat="1" ht="14.1" customHeight="1">
      <c r="A28" s="38"/>
      <c r="B28" s="45"/>
      <c r="C28" s="46"/>
      <c r="D28" s="47"/>
      <c r="E28" s="48"/>
      <c r="F28" s="48"/>
      <c r="G28" s="49"/>
      <c r="H28" s="36"/>
      <c r="I28" s="36"/>
      <c r="J28" s="23"/>
      <c r="K28" s="21"/>
      <c r="L28" s="21"/>
      <c r="M28" s="22"/>
    </row>
    <row r="29" spans="1:13" s="1" customFormat="1" ht="14.1" customHeight="1">
      <c r="A29" s="38">
        <v>14</v>
      </c>
      <c r="B29" s="40"/>
      <c r="C29" s="41"/>
      <c r="D29" s="42"/>
      <c r="E29" s="43"/>
      <c r="F29" s="43"/>
      <c r="G29" s="44"/>
      <c r="H29" s="24"/>
      <c r="I29" s="24"/>
      <c r="J29" s="33"/>
      <c r="K29" s="24"/>
      <c r="L29" s="24"/>
      <c r="M29" s="26"/>
    </row>
    <row r="30" spans="1:13" s="1" customFormat="1" ht="14.1" customHeight="1" thickBot="1">
      <c r="A30" s="39"/>
      <c r="B30" s="28"/>
      <c r="C30" s="29"/>
      <c r="D30" s="30"/>
      <c r="E30" s="31"/>
      <c r="F30" s="31"/>
      <c r="G30" s="32"/>
      <c r="H30" s="25"/>
      <c r="I30" s="25"/>
      <c r="J30" s="34"/>
      <c r="K30" s="25"/>
      <c r="L30" s="25"/>
      <c r="M30" s="27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7"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L29:L30"/>
    <mergeCell ref="M29:M30"/>
    <mergeCell ref="B30:C30"/>
    <mergeCell ref="D30:G30"/>
    <mergeCell ref="J27:J28"/>
    <mergeCell ref="K27:K28"/>
    <mergeCell ref="L27:L28"/>
    <mergeCell ref="M27:M28"/>
    <mergeCell ref="L25:L26"/>
    <mergeCell ref="M25:M26"/>
    <mergeCell ref="A29:A30"/>
    <mergeCell ref="B29:C29"/>
    <mergeCell ref="D29:G29"/>
    <mergeCell ref="H29:H30"/>
    <mergeCell ref="I29:I30"/>
    <mergeCell ref="J29:J30"/>
    <mergeCell ref="B28:C28"/>
    <mergeCell ref="D28:G28"/>
    <mergeCell ref="K25:K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K29:K30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K19:K20"/>
    <mergeCell ref="L19:L20"/>
    <mergeCell ref="M19:M20"/>
    <mergeCell ref="B20:C20"/>
    <mergeCell ref="D20:G20"/>
    <mergeCell ref="I19:I20"/>
    <mergeCell ref="B18:C18"/>
    <mergeCell ref="D18:G18"/>
    <mergeCell ref="A19:A20"/>
    <mergeCell ref="B19:C19"/>
    <mergeCell ref="D19:G19"/>
    <mergeCell ref="H19:H20"/>
    <mergeCell ref="A17:A18"/>
    <mergeCell ref="B17:C17"/>
    <mergeCell ref="D17:G17"/>
    <mergeCell ref="H17:H18"/>
    <mergeCell ref="I17:I18"/>
    <mergeCell ref="J17:J18"/>
    <mergeCell ref="K17:K18"/>
    <mergeCell ref="L17:L18"/>
    <mergeCell ref="M17:M18"/>
    <mergeCell ref="J19:J20"/>
    <mergeCell ref="B16:C16"/>
    <mergeCell ref="D16:G16"/>
    <mergeCell ref="B14:C14"/>
    <mergeCell ref="D14:G14"/>
    <mergeCell ref="A15:A16"/>
    <mergeCell ref="B15:C15"/>
    <mergeCell ref="D15:G15"/>
    <mergeCell ref="A13:A14"/>
    <mergeCell ref="B13:C13"/>
    <mergeCell ref="D13:G13"/>
    <mergeCell ref="J11:J12"/>
    <mergeCell ref="A11:A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J9:J10"/>
    <mergeCell ref="M7:M8"/>
    <mergeCell ref="B8:C8"/>
    <mergeCell ref="D8:G8"/>
    <mergeCell ref="K5:K6"/>
    <mergeCell ref="L5:L6"/>
    <mergeCell ref="M5:M6"/>
    <mergeCell ref="B6:C6"/>
    <mergeCell ref="D6:G6"/>
    <mergeCell ref="A7:A8"/>
    <mergeCell ref="B7:C7"/>
    <mergeCell ref="D7:G7"/>
    <mergeCell ref="H7:H8"/>
    <mergeCell ref="I7:I8"/>
    <mergeCell ref="J7:J8"/>
    <mergeCell ref="K7:K8"/>
    <mergeCell ref="L7:L8"/>
    <mergeCell ref="A5:A6"/>
    <mergeCell ref="B5:C5"/>
    <mergeCell ref="D5:G5"/>
    <mergeCell ref="H5:H6"/>
    <mergeCell ref="I5:I6"/>
    <mergeCell ref="J5:J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H13:H14"/>
    <mergeCell ref="I13:I14"/>
    <mergeCell ref="J13:J14"/>
    <mergeCell ref="K13:K14"/>
    <mergeCell ref="L13:L14"/>
    <mergeCell ref="M13:M14"/>
    <mergeCell ref="H15:H16"/>
    <mergeCell ref="I15:I16"/>
    <mergeCell ref="J15:J16"/>
    <mergeCell ref="K15:K16"/>
    <mergeCell ref="L15:L16"/>
    <mergeCell ref="M15:M16"/>
  </mergeCells>
  <phoneticPr fontId="26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580CC-59E6-49BF-9EA2-18568DB0F1A8}">
  <sheetPr codeName="Sheet108">
    <tabColor rgb="FF00B050"/>
    <pageSetUpPr fitToPage="1"/>
  </sheetPr>
  <dimension ref="A1:M51"/>
  <sheetViews>
    <sheetView zoomScale="110" zoomScaleNormal="110" workbookViewId="0">
      <selection activeCell="M29" sqref="A1:M3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276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24">
        <f>SUM(I3)-3</f>
        <v>33</v>
      </c>
      <c r="I3" s="24">
        <f>SUM(J3)-3</f>
        <v>36</v>
      </c>
      <c r="J3" s="75">
        <v>39</v>
      </c>
      <c r="K3" s="76">
        <f>SUM(J3)+2.5</f>
        <v>41.5</v>
      </c>
      <c r="L3" s="76">
        <f>SUM(K3)+2.5</f>
        <v>44</v>
      </c>
      <c r="M3" s="77">
        <f>SUM(L3)+2.5</f>
        <v>46.5</v>
      </c>
    </row>
    <row r="4" spans="1:13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24"/>
      <c r="L4" s="24"/>
      <c r="M4" s="26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SUM(I5)-1.8</f>
        <v>26</v>
      </c>
      <c r="I5" s="24">
        <f>SUM(J5)-1.8</f>
        <v>27.8</v>
      </c>
      <c r="J5" s="33">
        <v>29.6</v>
      </c>
      <c r="K5" s="24">
        <f>SUM(J5)+1.6</f>
        <v>31.200000000000003</v>
      </c>
      <c r="L5" s="24">
        <f>SUM(K5)+1.6</f>
        <v>32.800000000000004</v>
      </c>
      <c r="M5" s="26">
        <f>SUM(L5)+1.6</f>
        <v>34.400000000000006</v>
      </c>
    </row>
    <row r="6" spans="1:13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37"/>
    </row>
    <row r="7" spans="1:13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32.5</v>
      </c>
      <c r="I7" s="24">
        <f>SUM(J7)-2.25</f>
        <v>34.75</v>
      </c>
      <c r="J7" s="33">
        <v>37</v>
      </c>
      <c r="K7" s="24">
        <f>SUM(J7)+2</f>
        <v>39</v>
      </c>
      <c r="L7" s="24">
        <f>SUM(K7)+2</f>
        <v>41</v>
      </c>
      <c r="M7" s="26">
        <f>SUM(L7)+2</f>
        <v>43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37"/>
    </row>
    <row r="9" spans="1:13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SUM(I9)-2.25</f>
        <v>32.5</v>
      </c>
      <c r="I9" s="24">
        <f>SUM(J9)-2.25</f>
        <v>34.75</v>
      </c>
      <c r="J9" s="33">
        <v>37</v>
      </c>
      <c r="K9" s="24">
        <f>SUM(J9)+2</f>
        <v>39</v>
      </c>
      <c r="L9" s="24">
        <f>SUM(K9)+2</f>
        <v>41</v>
      </c>
      <c r="M9" s="26">
        <f>SUM(L9)+2</f>
        <v>43</v>
      </c>
    </row>
    <row r="10" spans="1:13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7"/>
    </row>
    <row r="11" spans="1:13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SUM(I11)-0.8</f>
        <v>14.2</v>
      </c>
      <c r="I11" s="24">
        <f>SUM(J11)-0.8</f>
        <v>15</v>
      </c>
      <c r="J11" s="23">
        <v>15.8</v>
      </c>
      <c r="K11" s="21">
        <f>SUM(J11)+0.8</f>
        <v>16.600000000000001</v>
      </c>
      <c r="L11" s="21">
        <f>SUM(K11)+0.8</f>
        <v>17.400000000000002</v>
      </c>
      <c r="M11" s="22">
        <f>SUM(L11)+0.8</f>
        <v>18.200000000000003</v>
      </c>
    </row>
    <row r="12" spans="1:13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2"/>
    </row>
    <row r="13" spans="1:13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15.2</v>
      </c>
      <c r="I13" s="24">
        <f>SUM(J13)-0.6</f>
        <v>15.799999999999999</v>
      </c>
      <c r="J13" s="23">
        <v>16.399999999999999</v>
      </c>
      <c r="K13" s="21">
        <f>SUM(J13)+0.6</f>
        <v>17</v>
      </c>
      <c r="L13" s="21">
        <f>SUM(K13)+0.6</f>
        <v>17.600000000000001</v>
      </c>
      <c r="M13" s="22">
        <f>SUM(L13)+0.6</f>
        <v>18.200000000000003</v>
      </c>
    </row>
    <row r="14" spans="1:13" s="1" customFormat="1" ht="14.1" customHeight="1">
      <c r="A14" s="38"/>
      <c r="B14" s="56" t="s">
        <v>29</v>
      </c>
      <c r="C14" s="56"/>
      <c r="D14" s="47" t="s">
        <v>154</v>
      </c>
      <c r="E14" s="48"/>
      <c r="F14" s="48"/>
      <c r="G14" s="49"/>
      <c r="H14" s="36"/>
      <c r="I14" s="36"/>
      <c r="J14" s="23"/>
      <c r="K14" s="21"/>
      <c r="L14" s="21"/>
      <c r="M14" s="22"/>
    </row>
    <row r="15" spans="1:13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6</v>
      </c>
      <c r="I15" s="24">
        <f>SUM(J15)-0.3</f>
        <v>6.3</v>
      </c>
      <c r="J15" s="23">
        <v>6.6</v>
      </c>
      <c r="K15" s="21">
        <f>SUM(J15)+0.3</f>
        <v>6.8999999999999995</v>
      </c>
      <c r="L15" s="21">
        <f>SUM(K15)+0.3</f>
        <v>7.1999999999999993</v>
      </c>
      <c r="M15" s="22">
        <f>SUM(L15)+0.3</f>
        <v>7.4999999999999991</v>
      </c>
    </row>
    <row r="16" spans="1:13" s="1" customFormat="1" ht="14.1" customHeight="1">
      <c r="A16" s="38"/>
      <c r="B16" s="56" t="s">
        <v>30</v>
      </c>
      <c r="C16" s="56"/>
      <c r="D16" s="47" t="s">
        <v>155</v>
      </c>
      <c r="E16" s="48"/>
      <c r="F16" s="48"/>
      <c r="G16" s="49"/>
      <c r="H16" s="36"/>
      <c r="I16" s="36"/>
      <c r="J16" s="23"/>
      <c r="K16" s="21"/>
      <c r="L16" s="21"/>
      <c r="M16" s="22"/>
    </row>
    <row r="17" spans="1:13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37.799999999999997</v>
      </c>
      <c r="I17" s="24">
        <f>SUM(J17)-1.6</f>
        <v>39.4</v>
      </c>
      <c r="J17" s="23">
        <v>41</v>
      </c>
      <c r="K17" s="21">
        <f>SUM(J17)+1.6</f>
        <v>42.6</v>
      </c>
      <c r="L17" s="21">
        <f>SUM(K17)+1.6</f>
        <v>44.2</v>
      </c>
      <c r="M17" s="22">
        <f>SUM(L17)+1.6</f>
        <v>45.800000000000004</v>
      </c>
    </row>
    <row r="18" spans="1:13" s="1" customFormat="1" ht="14.1" customHeight="1">
      <c r="A18" s="38"/>
      <c r="B18" s="56" t="s">
        <v>37</v>
      </c>
      <c r="C18" s="56"/>
      <c r="D18" s="47" t="s">
        <v>156</v>
      </c>
      <c r="E18" s="48"/>
      <c r="F18" s="48"/>
      <c r="G18" s="49"/>
      <c r="H18" s="36"/>
      <c r="I18" s="36"/>
      <c r="J18" s="23"/>
      <c r="K18" s="21"/>
      <c r="L18" s="21"/>
      <c r="M18" s="22"/>
    </row>
    <row r="19" spans="1:13" s="1" customFormat="1" ht="14.1" customHeight="1">
      <c r="A19" s="38">
        <v>9</v>
      </c>
      <c r="B19" s="58" t="s">
        <v>4</v>
      </c>
      <c r="C19" s="58"/>
      <c r="D19" s="57" t="s">
        <v>5</v>
      </c>
      <c r="E19" s="57"/>
      <c r="F19" s="57"/>
      <c r="G19" s="57"/>
      <c r="H19" s="24">
        <f>SUM(I19)-3.6</f>
        <v>31</v>
      </c>
      <c r="I19" s="24">
        <f>SUM(J19)-3.6</f>
        <v>34.6</v>
      </c>
      <c r="J19" s="23">
        <v>38.200000000000003</v>
      </c>
      <c r="K19" s="21">
        <f>SUM(J19)+3.7</f>
        <v>41.900000000000006</v>
      </c>
      <c r="L19" s="21">
        <f>SUM(K19)+3.7</f>
        <v>45.600000000000009</v>
      </c>
      <c r="M19" s="22">
        <f>SUM(L19)+3.7</f>
        <v>49.300000000000011</v>
      </c>
    </row>
    <row r="20" spans="1:13" s="1" customFormat="1" ht="14.1" customHeight="1">
      <c r="A20" s="38"/>
      <c r="B20" s="56" t="s">
        <v>31</v>
      </c>
      <c r="C20" s="56"/>
      <c r="D20" s="47" t="s">
        <v>54</v>
      </c>
      <c r="E20" s="48"/>
      <c r="F20" s="48"/>
      <c r="G20" s="49"/>
      <c r="H20" s="36"/>
      <c r="I20" s="36"/>
      <c r="J20" s="23"/>
      <c r="K20" s="21"/>
      <c r="L20" s="21"/>
      <c r="M20" s="22"/>
    </row>
    <row r="21" spans="1:13" s="1" customFormat="1" ht="14.1" customHeight="1">
      <c r="A21" s="38">
        <v>10</v>
      </c>
      <c r="B21" s="58" t="s">
        <v>6</v>
      </c>
      <c r="C21" s="58"/>
      <c r="D21" s="59" t="s">
        <v>7</v>
      </c>
      <c r="E21" s="60"/>
      <c r="F21" s="60"/>
      <c r="G21" s="61"/>
      <c r="H21" s="24">
        <f>SUM(I21)-1.5</f>
        <v>26.3</v>
      </c>
      <c r="I21" s="24">
        <f>SUM(J21)-1.5</f>
        <v>27.8</v>
      </c>
      <c r="J21" s="23">
        <v>29.3</v>
      </c>
      <c r="K21" s="21">
        <f>SUM(J21)+1.5</f>
        <v>30.8</v>
      </c>
      <c r="L21" s="21">
        <f>SUM(K21)+1.5</f>
        <v>32.299999999999997</v>
      </c>
      <c r="M21" s="22">
        <f>SUM(L21)+1.5</f>
        <v>33.799999999999997</v>
      </c>
    </row>
    <row r="22" spans="1:13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9"/>
      <c r="H22" s="36"/>
      <c r="I22" s="36"/>
      <c r="J22" s="23"/>
      <c r="K22" s="21"/>
      <c r="L22" s="21"/>
      <c r="M22" s="22"/>
    </row>
    <row r="23" spans="1:13" s="1" customFormat="1" ht="14.1" customHeight="1">
      <c r="A23" s="38">
        <v>11</v>
      </c>
      <c r="B23" s="51" t="s">
        <v>77</v>
      </c>
      <c r="C23" s="52"/>
      <c r="D23" s="57" t="s">
        <v>78</v>
      </c>
      <c r="E23" s="57"/>
      <c r="F23" s="57"/>
      <c r="G23" s="57"/>
      <c r="H23" s="24">
        <f>SUM(I23)-0.7</f>
        <v>16</v>
      </c>
      <c r="I23" s="24">
        <f>SUM(J23)-0.7</f>
        <v>16.7</v>
      </c>
      <c r="J23" s="23">
        <v>17.399999999999999</v>
      </c>
      <c r="K23" s="21">
        <f>SUM(J23)+0.7</f>
        <v>18.099999999999998</v>
      </c>
      <c r="L23" s="21">
        <f>SUM(K23)+0.7</f>
        <v>18.799999999999997</v>
      </c>
      <c r="M23" s="22">
        <f>SUM(L23)+0.7</f>
        <v>19.499999999999996</v>
      </c>
    </row>
    <row r="24" spans="1:13" s="1" customFormat="1" ht="14.1" customHeight="1">
      <c r="A24" s="38"/>
      <c r="B24" s="56" t="s">
        <v>33</v>
      </c>
      <c r="C24" s="56"/>
      <c r="D24" s="47" t="s">
        <v>79</v>
      </c>
      <c r="E24" s="48"/>
      <c r="F24" s="48"/>
      <c r="G24" s="49"/>
      <c r="H24" s="36"/>
      <c r="I24" s="36"/>
      <c r="J24" s="23"/>
      <c r="K24" s="21"/>
      <c r="L24" s="21"/>
      <c r="M24" s="22"/>
    </row>
    <row r="25" spans="1:13" s="1" customFormat="1" ht="14.1" customHeight="1">
      <c r="A25" s="38">
        <v>12</v>
      </c>
      <c r="B25" s="51" t="s">
        <v>176</v>
      </c>
      <c r="C25" s="52"/>
      <c r="D25" s="53"/>
      <c r="E25" s="54"/>
      <c r="F25" s="54"/>
      <c r="G25" s="55"/>
      <c r="H25" s="24">
        <f>SUM(I25)-0.3</f>
        <v>3.4000000000000004</v>
      </c>
      <c r="I25" s="24">
        <f>SUM(J25)-0.3</f>
        <v>3.7</v>
      </c>
      <c r="J25" s="23">
        <v>4</v>
      </c>
      <c r="K25" s="21">
        <f>SUM(J25)+0.3</f>
        <v>4.3</v>
      </c>
      <c r="L25" s="21">
        <f>SUM(K25)+0.3</f>
        <v>4.5999999999999996</v>
      </c>
      <c r="M25" s="22">
        <f>SUM(L25)+0.3</f>
        <v>4.8999999999999995</v>
      </c>
    </row>
    <row r="26" spans="1:13" s="1" customFormat="1" ht="14.1" customHeight="1">
      <c r="A26" s="38"/>
      <c r="B26" s="45" t="s">
        <v>175</v>
      </c>
      <c r="C26" s="46"/>
      <c r="D26" s="47" t="s">
        <v>269</v>
      </c>
      <c r="E26" s="48"/>
      <c r="F26" s="48"/>
      <c r="G26" s="49"/>
      <c r="H26" s="36"/>
      <c r="I26" s="36"/>
      <c r="J26" s="23"/>
      <c r="K26" s="21"/>
      <c r="L26" s="21"/>
      <c r="M26" s="22"/>
    </row>
    <row r="27" spans="1:13" s="1" customFormat="1" ht="14.1" customHeight="1">
      <c r="A27" s="38">
        <v>13</v>
      </c>
      <c r="B27" s="40"/>
      <c r="C27" s="41"/>
      <c r="D27" s="42"/>
      <c r="E27" s="43"/>
      <c r="F27" s="43"/>
      <c r="G27" s="44"/>
      <c r="H27" s="50"/>
      <c r="I27" s="50"/>
      <c r="J27" s="35"/>
      <c r="K27" s="36"/>
      <c r="L27" s="36"/>
      <c r="M27" s="37"/>
    </row>
    <row r="28" spans="1:13" s="1" customFormat="1" ht="14.1" customHeight="1">
      <c r="A28" s="38"/>
      <c r="B28" s="45"/>
      <c r="C28" s="46"/>
      <c r="D28" s="47"/>
      <c r="E28" s="48"/>
      <c r="F28" s="48"/>
      <c r="G28" s="49"/>
      <c r="H28" s="36"/>
      <c r="I28" s="36"/>
      <c r="J28" s="23"/>
      <c r="K28" s="21"/>
      <c r="L28" s="21"/>
      <c r="M28" s="22"/>
    </row>
    <row r="29" spans="1:13" s="1" customFormat="1" ht="14.1" customHeight="1">
      <c r="A29" s="38">
        <v>14</v>
      </c>
      <c r="B29" s="40"/>
      <c r="C29" s="41"/>
      <c r="D29" s="42"/>
      <c r="E29" s="43"/>
      <c r="F29" s="43"/>
      <c r="G29" s="44"/>
      <c r="H29" s="24"/>
      <c r="I29" s="24"/>
      <c r="J29" s="33"/>
      <c r="K29" s="24"/>
      <c r="L29" s="24"/>
      <c r="M29" s="26"/>
    </row>
    <row r="30" spans="1:13" s="1" customFormat="1" ht="14.1" customHeight="1" thickBot="1">
      <c r="A30" s="39"/>
      <c r="B30" s="28"/>
      <c r="C30" s="29"/>
      <c r="D30" s="30"/>
      <c r="E30" s="31"/>
      <c r="F30" s="31"/>
      <c r="G30" s="32"/>
      <c r="H30" s="25"/>
      <c r="I30" s="25"/>
      <c r="J30" s="34"/>
      <c r="K30" s="25"/>
      <c r="L30" s="25"/>
      <c r="M30" s="27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7">
    <mergeCell ref="A29:A30"/>
    <mergeCell ref="B29:C29"/>
    <mergeCell ref="D29:G29"/>
    <mergeCell ref="H29:H30"/>
    <mergeCell ref="J29:J30"/>
    <mergeCell ref="J27:J28"/>
    <mergeCell ref="A27:A28"/>
    <mergeCell ref="K27:K28"/>
    <mergeCell ref="L27:L28"/>
    <mergeCell ref="M27:M28"/>
    <mergeCell ref="B28:C28"/>
    <mergeCell ref="D28:G28"/>
    <mergeCell ref="K29:K30"/>
    <mergeCell ref="L29:L30"/>
    <mergeCell ref="M29:M30"/>
    <mergeCell ref="K25:K26"/>
    <mergeCell ref="L25:L26"/>
    <mergeCell ref="M25:M26"/>
    <mergeCell ref="B26:C26"/>
    <mergeCell ref="D26:G26"/>
    <mergeCell ref="B27:C27"/>
    <mergeCell ref="D27:G27"/>
    <mergeCell ref="H27:H28"/>
    <mergeCell ref="I27:I28"/>
    <mergeCell ref="I29:I30"/>
    <mergeCell ref="B30:C30"/>
    <mergeCell ref="D30:G30"/>
    <mergeCell ref="A25:A26"/>
    <mergeCell ref="B25:C25"/>
    <mergeCell ref="D25:G25"/>
    <mergeCell ref="H25:H26"/>
    <mergeCell ref="I25:I26"/>
    <mergeCell ref="J25:J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1:J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22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32B64-0E12-4C6D-97B4-2246E8BF967E}">
  <sheetPr codeName="Sheet103">
    <tabColor rgb="FF00B050"/>
    <pageSetUpPr fitToPage="1"/>
  </sheetPr>
  <dimension ref="A1:M51"/>
  <sheetViews>
    <sheetView zoomScale="110" zoomScaleNormal="110" workbookViewId="0">
      <selection activeCell="N14" sqref="N1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239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24">
        <f>SUM(I3)-3.5</f>
        <v>33</v>
      </c>
      <c r="I3" s="24">
        <f>SUM(J3)-3.5</f>
        <v>36.5</v>
      </c>
      <c r="J3" s="75">
        <v>40</v>
      </c>
      <c r="K3" s="76">
        <f>SUM(J3)+3</f>
        <v>43</v>
      </c>
      <c r="L3" s="76">
        <f>SUM(K3)+3</f>
        <v>46</v>
      </c>
      <c r="M3" s="77">
        <f>SUM(L3)+3</f>
        <v>49</v>
      </c>
    </row>
    <row r="4" spans="1:13" s="1" customFormat="1" ht="14.1" customHeight="1">
      <c r="A4" s="38"/>
      <c r="B4" s="56" t="s">
        <v>42</v>
      </c>
      <c r="C4" s="56"/>
      <c r="D4" s="47" t="s">
        <v>246</v>
      </c>
      <c r="E4" s="48"/>
      <c r="F4" s="48"/>
      <c r="G4" s="48"/>
      <c r="H4" s="36"/>
      <c r="I4" s="36"/>
      <c r="J4" s="33"/>
      <c r="K4" s="24"/>
      <c r="L4" s="24"/>
      <c r="M4" s="26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SUM(I5)-1.8</f>
        <v>23.4</v>
      </c>
      <c r="I5" s="24">
        <f>SUM(J5)-1.8</f>
        <v>25.2</v>
      </c>
      <c r="J5" s="33">
        <v>27</v>
      </c>
      <c r="K5" s="24">
        <f>SUM(J5)+1.6</f>
        <v>28.6</v>
      </c>
      <c r="L5" s="24">
        <f>SUM(K5)+1.6</f>
        <v>30.200000000000003</v>
      </c>
      <c r="M5" s="26">
        <f>SUM(L5)+1.6</f>
        <v>31.800000000000004</v>
      </c>
    </row>
    <row r="6" spans="1:13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37"/>
    </row>
    <row r="7" spans="1:13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28.5</v>
      </c>
      <c r="I7" s="24">
        <f>SUM(J7)-2.25</f>
        <v>30.75</v>
      </c>
      <c r="J7" s="33">
        <v>33</v>
      </c>
      <c r="K7" s="24">
        <f>SUM(J7)+2</f>
        <v>35</v>
      </c>
      <c r="L7" s="24">
        <f>SUM(K7)+2</f>
        <v>37</v>
      </c>
      <c r="M7" s="26">
        <f>SUM(L7)+2</f>
        <v>39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37"/>
    </row>
    <row r="9" spans="1:13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SUM(I9)-2.25</f>
        <v>28.5</v>
      </c>
      <c r="I9" s="24">
        <f>SUM(J9)-2.25</f>
        <v>30.75</v>
      </c>
      <c r="J9" s="33">
        <v>33</v>
      </c>
      <c r="K9" s="24">
        <f>SUM(J9)+2</f>
        <v>35</v>
      </c>
      <c r="L9" s="24">
        <f>SUM(K9)+2</f>
        <v>37</v>
      </c>
      <c r="M9" s="26">
        <f>SUM(L9)+2</f>
        <v>39</v>
      </c>
    </row>
    <row r="10" spans="1:13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7"/>
    </row>
    <row r="11" spans="1:13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SUM(I11)-0.8</f>
        <v>13.499999999999998</v>
      </c>
      <c r="I11" s="24">
        <f>SUM(J11)-0.8</f>
        <v>14.299999999999999</v>
      </c>
      <c r="J11" s="23">
        <v>15.1</v>
      </c>
      <c r="K11" s="21">
        <f>SUM(J11)+0.8</f>
        <v>15.9</v>
      </c>
      <c r="L11" s="21">
        <f>SUM(K11)+0.8</f>
        <v>16.7</v>
      </c>
      <c r="M11" s="22">
        <f>SUM(L11)+0.8</f>
        <v>17.5</v>
      </c>
    </row>
    <row r="12" spans="1:13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2"/>
    </row>
    <row r="13" spans="1:13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12.8</v>
      </c>
      <c r="I13" s="24">
        <f>SUM(J13)-0.6</f>
        <v>13.4</v>
      </c>
      <c r="J13" s="23">
        <v>14</v>
      </c>
      <c r="K13" s="21">
        <f>SUM(J13)+0.6</f>
        <v>14.6</v>
      </c>
      <c r="L13" s="21">
        <f>SUM(K13)+0.6</f>
        <v>15.2</v>
      </c>
      <c r="M13" s="22">
        <f>SUM(L13)+0.6</f>
        <v>15.799999999999999</v>
      </c>
    </row>
    <row r="14" spans="1:13" s="1" customFormat="1" ht="14.1" customHeight="1">
      <c r="A14" s="38"/>
      <c r="B14" s="56" t="s">
        <v>29</v>
      </c>
      <c r="C14" s="56"/>
      <c r="D14" s="47" t="s">
        <v>154</v>
      </c>
      <c r="E14" s="48"/>
      <c r="F14" s="48"/>
      <c r="G14" s="49"/>
      <c r="H14" s="36"/>
      <c r="I14" s="36"/>
      <c r="J14" s="23"/>
      <c r="K14" s="21"/>
      <c r="L14" s="21"/>
      <c r="M14" s="22"/>
    </row>
    <row r="15" spans="1:13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5.9</v>
      </c>
      <c r="I15" s="24">
        <f>SUM(J15)-0.3</f>
        <v>6.2</v>
      </c>
      <c r="J15" s="23">
        <v>6.5</v>
      </c>
      <c r="K15" s="21">
        <f>SUM(J15)+0.3</f>
        <v>6.8</v>
      </c>
      <c r="L15" s="21">
        <f>SUM(K15)+0.3</f>
        <v>7.1</v>
      </c>
      <c r="M15" s="22">
        <f>SUM(L15)+0.3</f>
        <v>7.3999999999999995</v>
      </c>
    </row>
    <row r="16" spans="1:13" s="1" customFormat="1" ht="14.1" customHeight="1">
      <c r="A16" s="38"/>
      <c r="B16" s="56" t="s">
        <v>30</v>
      </c>
      <c r="C16" s="56"/>
      <c r="D16" s="47" t="s">
        <v>155</v>
      </c>
      <c r="E16" s="48"/>
      <c r="F16" s="48"/>
      <c r="G16" s="49"/>
      <c r="H16" s="36"/>
      <c r="I16" s="36"/>
      <c r="J16" s="23"/>
      <c r="K16" s="21"/>
      <c r="L16" s="21"/>
      <c r="M16" s="22"/>
    </row>
    <row r="17" spans="1:13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33.199999999999996</v>
      </c>
      <c r="I17" s="24">
        <f>SUM(J17)-1.6</f>
        <v>34.799999999999997</v>
      </c>
      <c r="J17" s="23">
        <v>36.4</v>
      </c>
      <c r="K17" s="21">
        <f>SUM(J17)+1.6</f>
        <v>38</v>
      </c>
      <c r="L17" s="21">
        <f>SUM(K17)+1.6</f>
        <v>39.6</v>
      </c>
      <c r="M17" s="22">
        <f>SUM(L17)+1.6</f>
        <v>41.2</v>
      </c>
    </row>
    <row r="18" spans="1:13" s="1" customFormat="1" ht="14.1" customHeight="1">
      <c r="A18" s="38"/>
      <c r="B18" s="56" t="s">
        <v>37</v>
      </c>
      <c r="C18" s="56"/>
      <c r="D18" s="47" t="s">
        <v>156</v>
      </c>
      <c r="E18" s="48"/>
      <c r="F18" s="48"/>
      <c r="G18" s="49"/>
      <c r="H18" s="36"/>
      <c r="I18" s="36"/>
      <c r="J18" s="23"/>
      <c r="K18" s="21"/>
      <c r="L18" s="21"/>
      <c r="M18" s="22"/>
    </row>
    <row r="19" spans="1:13" s="1" customFormat="1" ht="14.1" customHeight="1">
      <c r="A19" s="38">
        <v>9</v>
      </c>
      <c r="B19" s="58" t="s">
        <v>241</v>
      </c>
      <c r="C19" s="58"/>
      <c r="D19" s="57"/>
      <c r="E19" s="57"/>
      <c r="F19" s="57"/>
      <c r="G19" s="57"/>
      <c r="H19" s="24">
        <f>SUM(I19)-1.2</f>
        <v>14.600000000000001</v>
      </c>
      <c r="I19" s="24">
        <f>SUM(J19)-1.2</f>
        <v>15.8</v>
      </c>
      <c r="J19" s="23">
        <v>17</v>
      </c>
      <c r="K19" s="21">
        <f>SUM(J19)+1.2</f>
        <v>18.2</v>
      </c>
      <c r="L19" s="21">
        <f>SUM(K19)+1.2</f>
        <v>19.399999999999999</v>
      </c>
      <c r="M19" s="22">
        <f>SUM(L19)+1.2</f>
        <v>20.599999999999998</v>
      </c>
    </row>
    <row r="20" spans="1:13" s="1" customFormat="1" ht="14.1" customHeight="1">
      <c r="A20" s="38"/>
      <c r="B20" s="56" t="s">
        <v>242</v>
      </c>
      <c r="C20" s="56"/>
      <c r="D20" s="47"/>
      <c r="E20" s="48"/>
      <c r="F20" s="48"/>
      <c r="G20" s="49"/>
      <c r="H20" s="36"/>
      <c r="I20" s="36"/>
      <c r="J20" s="23"/>
      <c r="K20" s="21"/>
      <c r="L20" s="21"/>
      <c r="M20" s="22"/>
    </row>
    <row r="21" spans="1:13" s="1" customFormat="1" ht="14.1" customHeight="1">
      <c r="A21" s="38">
        <v>10</v>
      </c>
      <c r="B21" s="58" t="s">
        <v>240</v>
      </c>
      <c r="C21" s="58"/>
      <c r="D21" s="57"/>
      <c r="E21" s="57"/>
      <c r="F21" s="57"/>
      <c r="G21" s="57"/>
      <c r="H21" s="24">
        <f>SUM(I21)-3.6</f>
        <v>34.299999999999997</v>
      </c>
      <c r="I21" s="24">
        <f>SUM(J21)-3.6</f>
        <v>37.9</v>
      </c>
      <c r="J21" s="23">
        <v>41.5</v>
      </c>
      <c r="K21" s="21">
        <f>SUM(J21)+3.7</f>
        <v>45.2</v>
      </c>
      <c r="L21" s="21">
        <f>SUM(K21)+3.7</f>
        <v>48.900000000000006</v>
      </c>
      <c r="M21" s="22">
        <f>SUM(L21)+3.7</f>
        <v>52.600000000000009</v>
      </c>
    </row>
    <row r="22" spans="1:13" s="1" customFormat="1" ht="14.1" customHeight="1">
      <c r="A22" s="38"/>
      <c r="B22" s="56" t="s">
        <v>243</v>
      </c>
      <c r="C22" s="56"/>
      <c r="D22" s="47"/>
      <c r="E22" s="48"/>
      <c r="F22" s="48"/>
      <c r="G22" s="49"/>
      <c r="H22" s="36"/>
      <c r="I22" s="36"/>
      <c r="J22" s="23"/>
      <c r="K22" s="21"/>
      <c r="L22" s="21"/>
      <c r="M22" s="22"/>
    </row>
    <row r="23" spans="1:13" s="1" customFormat="1" ht="14.1" customHeight="1">
      <c r="A23" s="38">
        <v>11</v>
      </c>
      <c r="B23" s="51" t="s">
        <v>77</v>
      </c>
      <c r="C23" s="52"/>
      <c r="D23" s="57" t="s">
        <v>78</v>
      </c>
      <c r="E23" s="57"/>
      <c r="F23" s="57"/>
      <c r="G23" s="57"/>
      <c r="H23" s="24">
        <f>SUM(I23)-0.7</f>
        <v>15.600000000000001</v>
      </c>
      <c r="I23" s="24">
        <f>SUM(J23)-0.7</f>
        <v>16.3</v>
      </c>
      <c r="J23" s="23">
        <v>17</v>
      </c>
      <c r="K23" s="21">
        <f>SUM(J23)+0.7</f>
        <v>17.7</v>
      </c>
      <c r="L23" s="21">
        <f>SUM(K23)+0.7</f>
        <v>18.399999999999999</v>
      </c>
      <c r="M23" s="22">
        <f>SUM(L23)+0.7</f>
        <v>19.099999999999998</v>
      </c>
    </row>
    <row r="24" spans="1:13" s="1" customFormat="1" ht="14.1" customHeight="1">
      <c r="A24" s="38"/>
      <c r="B24" s="56" t="s">
        <v>33</v>
      </c>
      <c r="C24" s="56"/>
      <c r="D24" s="47" t="s">
        <v>79</v>
      </c>
      <c r="E24" s="48"/>
      <c r="F24" s="48"/>
      <c r="G24" s="49"/>
      <c r="H24" s="36"/>
      <c r="I24" s="36"/>
      <c r="J24" s="23"/>
      <c r="K24" s="21"/>
      <c r="L24" s="21"/>
      <c r="M24" s="22"/>
    </row>
    <row r="25" spans="1:13" s="1" customFormat="1" ht="14.1" customHeight="1">
      <c r="A25" s="38">
        <v>12</v>
      </c>
      <c r="B25" s="51" t="s">
        <v>244</v>
      </c>
      <c r="C25" s="52"/>
      <c r="D25" s="57"/>
      <c r="E25" s="57"/>
      <c r="F25" s="57"/>
      <c r="G25" s="57"/>
      <c r="H25" s="24">
        <f>SUM(I25)</f>
        <v>10.5</v>
      </c>
      <c r="I25" s="24">
        <f>SUM(J25)</f>
        <v>10.5</v>
      </c>
      <c r="J25" s="23">
        <v>10.5</v>
      </c>
      <c r="K25" s="21">
        <f>SUM(J25)+0.2</f>
        <v>10.7</v>
      </c>
      <c r="L25" s="21">
        <f>SUM(K25)+0.2</f>
        <v>10.899999999999999</v>
      </c>
      <c r="M25" s="22">
        <f>SUM(L25)+0.2</f>
        <v>11.099999999999998</v>
      </c>
    </row>
    <row r="26" spans="1:13" s="1" customFormat="1" ht="14.1" customHeight="1">
      <c r="A26" s="38"/>
      <c r="B26" s="56" t="s">
        <v>245</v>
      </c>
      <c r="C26" s="56"/>
      <c r="D26" s="47"/>
      <c r="E26" s="48"/>
      <c r="F26" s="48"/>
      <c r="G26" s="49"/>
      <c r="H26" s="36"/>
      <c r="I26" s="36"/>
      <c r="J26" s="23"/>
      <c r="K26" s="21"/>
      <c r="L26" s="21"/>
      <c r="M26" s="22"/>
    </row>
    <row r="27" spans="1:13" s="1" customFormat="1" ht="14.1" customHeight="1">
      <c r="A27" s="38">
        <v>13</v>
      </c>
      <c r="B27" s="51" t="s">
        <v>176</v>
      </c>
      <c r="C27" s="52"/>
      <c r="D27" s="53"/>
      <c r="E27" s="54"/>
      <c r="F27" s="54"/>
      <c r="G27" s="55"/>
      <c r="H27" s="24">
        <f>SUM(I27)-0.7</f>
        <v>9.4000000000000021</v>
      </c>
      <c r="I27" s="24">
        <f>SUM(J27)-0.7</f>
        <v>10.100000000000001</v>
      </c>
      <c r="J27" s="23">
        <v>10.8</v>
      </c>
      <c r="K27" s="21">
        <f>SUM(J27)+0.7</f>
        <v>11.5</v>
      </c>
      <c r="L27" s="21">
        <f>SUM(K27)+0.7</f>
        <v>12.2</v>
      </c>
      <c r="M27" s="22">
        <f>SUM(L27)+0.7</f>
        <v>12.899999999999999</v>
      </c>
    </row>
    <row r="28" spans="1:13" s="1" customFormat="1" ht="14.1" customHeight="1">
      <c r="A28" s="38"/>
      <c r="B28" s="45" t="s">
        <v>175</v>
      </c>
      <c r="C28" s="46"/>
      <c r="D28" s="47" t="s">
        <v>212</v>
      </c>
      <c r="E28" s="48"/>
      <c r="F28" s="48"/>
      <c r="G28" s="49"/>
      <c r="H28" s="36"/>
      <c r="I28" s="36"/>
      <c r="J28" s="23"/>
      <c r="K28" s="21"/>
      <c r="L28" s="21"/>
      <c r="M28" s="22"/>
    </row>
    <row r="29" spans="1:13" s="1" customFormat="1" ht="14.1" customHeight="1">
      <c r="A29" s="38">
        <v>14</v>
      </c>
      <c r="B29" s="40" t="s">
        <v>174</v>
      </c>
      <c r="C29" s="41"/>
      <c r="D29" s="42" t="s">
        <v>106</v>
      </c>
      <c r="E29" s="43"/>
      <c r="F29" s="43"/>
      <c r="G29" s="44"/>
      <c r="H29" s="50">
        <f>SUM(I29)-0.4</f>
        <v>4.6999999999999993</v>
      </c>
      <c r="I29" s="50">
        <f>SUM(J29)-0.4</f>
        <v>5.0999999999999996</v>
      </c>
      <c r="J29" s="35">
        <v>5.5</v>
      </c>
      <c r="K29" s="36">
        <f>SUM(J29)+0.4</f>
        <v>5.9</v>
      </c>
      <c r="L29" s="36">
        <f>SUM(K29)+0.4</f>
        <v>6.3000000000000007</v>
      </c>
      <c r="M29" s="37">
        <f>SUM(L29)+0.4</f>
        <v>6.7000000000000011</v>
      </c>
    </row>
    <row r="30" spans="1:13" s="1" customFormat="1" ht="14.1" customHeight="1">
      <c r="A30" s="38"/>
      <c r="B30" s="45" t="s">
        <v>173</v>
      </c>
      <c r="C30" s="46"/>
      <c r="D30" s="47" t="s">
        <v>105</v>
      </c>
      <c r="E30" s="48"/>
      <c r="F30" s="48"/>
      <c r="G30" s="49"/>
      <c r="H30" s="36"/>
      <c r="I30" s="36"/>
      <c r="J30" s="23"/>
      <c r="K30" s="21"/>
      <c r="L30" s="21"/>
      <c r="M30" s="22"/>
    </row>
    <row r="31" spans="1:13" ht="14.1" customHeight="1">
      <c r="A31" s="38">
        <v>15</v>
      </c>
      <c r="B31" s="40"/>
      <c r="C31" s="41"/>
      <c r="D31" s="42"/>
      <c r="E31" s="43"/>
      <c r="F31" s="43"/>
      <c r="G31" s="44"/>
      <c r="H31" s="24"/>
      <c r="I31" s="24"/>
      <c r="J31" s="33"/>
      <c r="K31" s="24"/>
      <c r="L31" s="24"/>
      <c r="M31" s="26"/>
    </row>
    <row r="32" spans="1:13" ht="14.1" customHeight="1" thickBot="1">
      <c r="A32" s="39"/>
      <c r="B32" s="28"/>
      <c r="C32" s="29"/>
      <c r="D32" s="30"/>
      <c r="E32" s="31"/>
      <c r="F32" s="31"/>
      <c r="G32" s="32"/>
      <c r="H32" s="25"/>
      <c r="I32" s="25"/>
      <c r="J32" s="34"/>
      <c r="K32" s="25"/>
      <c r="L32" s="25"/>
      <c r="M32" s="27"/>
    </row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68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K5:K6"/>
    <mergeCell ref="L5:L6"/>
    <mergeCell ref="M5:M6"/>
    <mergeCell ref="B6:C6"/>
    <mergeCell ref="D6:G6"/>
    <mergeCell ref="A7:A8"/>
    <mergeCell ref="B7:C7"/>
    <mergeCell ref="D7:G7"/>
    <mergeCell ref="H7:H8"/>
    <mergeCell ref="I7:I8"/>
    <mergeCell ref="J7:J8"/>
    <mergeCell ref="K7:K8"/>
    <mergeCell ref="L7:L8"/>
    <mergeCell ref="M7:M8"/>
    <mergeCell ref="B8:C8"/>
    <mergeCell ref="D8:G8"/>
    <mergeCell ref="A9:A10"/>
    <mergeCell ref="B9:C9"/>
    <mergeCell ref="D9:G9"/>
    <mergeCell ref="H9:H10"/>
    <mergeCell ref="I9:I10"/>
    <mergeCell ref="J9:J10"/>
    <mergeCell ref="K9:K10"/>
    <mergeCell ref="L9:L10"/>
    <mergeCell ref="M9:M10"/>
    <mergeCell ref="B10:C10"/>
    <mergeCell ref="D10:G10"/>
    <mergeCell ref="A11:A12"/>
    <mergeCell ref="B11:C11"/>
    <mergeCell ref="D11:G11"/>
    <mergeCell ref="H11:H12"/>
    <mergeCell ref="I11:I12"/>
    <mergeCell ref="J11:J12"/>
    <mergeCell ref="K11:K12"/>
    <mergeCell ref="L11:L12"/>
    <mergeCell ref="M11:M12"/>
    <mergeCell ref="B12:C12"/>
    <mergeCell ref="D12:G12"/>
    <mergeCell ref="A13:A14"/>
    <mergeCell ref="B13:C13"/>
    <mergeCell ref="D13:G13"/>
    <mergeCell ref="H13:H14"/>
    <mergeCell ref="I13:I14"/>
    <mergeCell ref="J13:J14"/>
    <mergeCell ref="K13:K14"/>
    <mergeCell ref="L13:L14"/>
    <mergeCell ref="M13:M14"/>
    <mergeCell ref="B14:C14"/>
    <mergeCell ref="D14:G14"/>
    <mergeCell ref="A15:A16"/>
    <mergeCell ref="B15:C15"/>
    <mergeCell ref="D15:G15"/>
    <mergeCell ref="H15:H16"/>
    <mergeCell ref="I15:I16"/>
    <mergeCell ref="J15:J16"/>
    <mergeCell ref="K15:K16"/>
    <mergeCell ref="L15:L16"/>
    <mergeCell ref="M15:M16"/>
    <mergeCell ref="B16:C16"/>
    <mergeCell ref="D16:G16"/>
    <mergeCell ref="A17:A18"/>
    <mergeCell ref="B17:C17"/>
    <mergeCell ref="D17:G17"/>
    <mergeCell ref="H17:H18"/>
    <mergeCell ref="I17:I18"/>
    <mergeCell ref="J17:J18"/>
    <mergeCell ref="K17:K18"/>
    <mergeCell ref="L17:L18"/>
    <mergeCell ref="M17:M18"/>
    <mergeCell ref="B18:C18"/>
    <mergeCell ref="D18:G18"/>
    <mergeCell ref="A19:A20"/>
    <mergeCell ref="B19:C19"/>
    <mergeCell ref="D19:G19"/>
    <mergeCell ref="H19:H20"/>
    <mergeCell ref="I19:I20"/>
    <mergeCell ref="J19:J20"/>
    <mergeCell ref="K19:K20"/>
    <mergeCell ref="L19:L20"/>
    <mergeCell ref="M19:M20"/>
    <mergeCell ref="B20:C20"/>
    <mergeCell ref="D20:G20"/>
    <mergeCell ref="A21:A22"/>
    <mergeCell ref="B21:C21"/>
    <mergeCell ref="D21:G21"/>
    <mergeCell ref="H21:H22"/>
    <mergeCell ref="I21:I22"/>
    <mergeCell ref="J21:J22"/>
    <mergeCell ref="K21:K22"/>
    <mergeCell ref="L21:L22"/>
    <mergeCell ref="M21:M22"/>
    <mergeCell ref="B22:C22"/>
    <mergeCell ref="D22:G22"/>
    <mergeCell ref="A23:A24"/>
    <mergeCell ref="B23:C23"/>
    <mergeCell ref="D23:G23"/>
    <mergeCell ref="H23:H24"/>
    <mergeCell ref="I23:I24"/>
    <mergeCell ref="J23:J24"/>
    <mergeCell ref="K23:K24"/>
    <mergeCell ref="L23:L24"/>
    <mergeCell ref="M23:M24"/>
    <mergeCell ref="B24:C24"/>
    <mergeCell ref="D24:G24"/>
    <mergeCell ref="A27:A28"/>
    <mergeCell ref="B27:C27"/>
    <mergeCell ref="D27:G27"/>
    <mergeCell ref="H27:H28"/>
    <mergeCell ref="I27:I28"/>
    <mergeCell ref="J27:J28"/>
    <mergeCell ref="K27:K28"/>
    <mergeCell ref="L27:L28"/>
    <mergeCell ref="M27:M28"/>
    <mergeCell ref="B28:C28"/>
    <mergeCell ref="D28:G28"/>
    <mergeCell ref="A29:A30"/>
    <mergeCell ref="B29:C29"/>
    <mergeCell ref="D29:G29"/>
    <mergeCell ref="H29:H30"/>
    <mergeCell ref="I29:I30"/>
    <mergeCell ref="J29:J30"/>
    <mergeCell ref="K29:K30"/>
    <mergeCell ref="L29:L30"/>
    <mergeCell ref="M29:M30"/>
    <mergeCell ref="B30:C30"/>
    <mergeCell ref="D30:G30"/>
    <mergeCell ref="A31:A32"/>
    <mergeCell ref="B31:C31"/>
    <mergeCell ref="D31:G31"/>
    <mergeCell ref="H31:H32"/>
    <mergeCell ref="I31:I32"/>
    <mergeCell ref="J31:J32"/>
    <mergeCell ref="K31:K32"/>
    <mergeCell ref="L31:L32"/>
    <mergeCell ref="M31:M32"/>
    <mergeCell ref="B32:C32"/>
    <mergeCell ref="D32:G32"/>
    <mergeCell ref="A25:A26"/>
    <mergeCell ref="B25:C25"/>
    <mergeCell ref="D25:G25"/>
    <mergeCell ref="H25:H26"/>
    <mergeCell ref="I25:I26"/>
    <mergeCell ref="J25:J26"/>
    <mergeCell ref="K25:K26"/>
    <mergeCell ref="L25:L26"/>
    <mergeCell ref="M25:M26"/>
    <mergeCell ref="B26:C26"/>
    <mergeCell ref="D26:G26"/>
  </mergeCells>
  <phoneticPr fontId="15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AAF81-7CC0-43FD-8437-B30DEB110AB5}">
  <sheetPr codeName="Sheet105">
    <tabColor rgb="FF00B050"/>
    <pageSetUpPr fitToPage="1"/>
  </sheetPr>
  <dimension ref="A1:N50"/>
  <sheetViews>
    <sheetView zoomScale="110" zoomScaleNormal="110" workbookViewId="0">
      <selection activeCell="Q10" sqref="Q1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28" t="s">
        <v>260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30"/>
    </row>
    <row r="2" spans="1:14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  <c r="N2" s="9" t="s">
        <v>229</v>
      </c>
    </row>
    <row r="3" spans="1:14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174">
        <f>SUM(I3)-3.5</f>
        <v>38</v>
      </c>
      <c r="I3" s="24">
        <f>SUM(J3)-3.5</f>
        <v>41.5</v>
      </c>
      <c r="J3" s="75">
        <v>45</v>
      </c>
      <c r="K3" s="76">
        <f>SUM(J3)+3</f>
        <v>48</v>
      </c>
      <c r="L3" s="76">
        <f>SUM(K3)+3</f>
        <v>51</v>
      </c>
      <c r="M3" s="76">
        <f>SUM(L3)+3</f>
        <v>54</v>
      </c>
      <c r="N3" s="171">
        <f>SUM(M3)+3</f>
        <v>57</v>
      </c>
    </row>
    <row r="4" spans="1:14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175"/>
      <c r="I4" s="36"/>
      <c r="J4" s="33"/>
      <c r="K4" s="24"/>
      <c r="L4" s="24"/>
      <c r="M4" s="24"/>
      <c r="N4" s="121"/>
    </row>
    <row r="5" spans="1:14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174">
        <f>SUM(I5)-2.2</f>
        <v>36.599999999999994</v>
      </c>
      <c r="I5" s="24">
        <f>SUM(J5)-2.2</f>
        <v>38.799999999999997</v>
      </c>
      <c r="J5" s="33">
        <v>41</v>
      </c>
      <c r="K5" s="24">
        <f>SUM(J5)+2</f>
        <v>43</v>
      </c>
      <c r="L5" s="24">
        <f>SUM(K5)+2</f>
        <v>45</v>
      </c>
      <c r="M5" s="24">
        <f>SUM(L5)+2</f>
        <v>47</v>
      </c>
      <c r="N5" s="121">
        <f>SUM(M5)+2</f>
        <v>49</v>
      </c>
    </row>
    <row r="6" spans="1:14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175"/>
      <c r="I6" s="36"/>
      <c r="J6" s="35"/>
      <c r="K6" s="36"/>
      <c r="L6" s="36"/>
      <c r="M6" s="36"/>
      <c r="N6" s="122"/>
    </row>
    <row r="7" spans="1:14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174">
        <f>SUM(I7)-2.25</f>
        <v>38.5</v>
      </c>
      <c r="I7" s="24">
        <f>SUM(J7)-2.25</f>
        <v>40.75</v>
      </c>
      <c r="J7" s="33">
        <v>43</v>
      </c>
      <c r="K7" s="24">
        <f>SUM(J7)+2</f>
        <v>45</v>
      </c>
      <c r="L7" s="24">
        <f>SUM(K7)+2</f>
        <v>47</v>
      </c>
      <c r="M7" s="24">
        <f>SUM(L7)+2</f>
        <v>49</v>
      </c>
      <c r="N7" s="121">
        <f>SUM(M7)+2</f>
        <v>51</v>
      </c>
    </row>
    <row r="8" spans="1:14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175"/>
      <c r="I8" s="36"/>
      <c r="J8" s="35"/>
      <c r="K8" s="36"/>
      <c r="L8" s="36"/>
      <c r="M8" s="36"/>
      <c r="N8" s="122"/>
    </row>
    <row r="9" spans="1:14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174">
        <f>SUM(I9)-1.8</f>
        <v>30.400000000000002</v>
      </c>
      <c r="I9" s="24">
        <f>SUM(J9)-1.8</f>
        <v>32.200000000000003</v>
      </c>
      <c r="J9" s="33">
        <v>34</v>
      </c>
      <c r="K9" s="24">
        <f>SUM(J9)+1.6</f>
        <v>35.6</v>
      </c>
      <c r="L9" s="24">
        <f>SUM(K9)+1.6</f>
        <v>37.200000000000003</v>
      </c>
      <c r="M9" s="24">
        <f>SUM(L9)+1.6</f>
        <v>38.800000000000004</v>
      </c>
      <c r="N9" s="121">
        <f>SUM(M9)+1.6</f>
        <v>40.400000000000006</v>
      </c>
    </row>
    <row r="10" spans="1:14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175"/>
      <c r="I10" s="36"/>
      <c r="J10" s="35"/>
      <c r="K10" s="36"/>
      <c r="L10" s="36"/>
      <c r="M10" s="36"/>
      <c r="N10" s="122"/>
    </row>
    <row r="11" spans="1:14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174">
        <f>SUM(I11)-0.8</f>
        <v>14.299999999999999</v>
      </c>
      <c r="I11" s="24">
        <f>SUM(J11)-0.8</f>
        <v>15.1</v>
      </c>
      <c r="J11" s="23">
        <v>15.9</v>
      </c>
      <c r="K11" s="21">
        <f>SUM(J11)+0.8</f>
        <v>16.7</v>
      </c>
      <c r="L11" s="21">
        <f>SUM(K11)+0.8</f>
        <v>17.5</v>
      </c>
      <c r="M11" s="21">
        <f>SUM(L11)+0.8</f>
        <v>18.3</v>
      </c>
      <c r="N11" s="123">
        <f>SUM(M11)+0.8</f>
        <v>19.100000000000001</v>
      </c>
    </row>
    <row r="12" spans="1:14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175"/>
      <c r="I12" s="36"/>
      <c r="J12" s="23"/>
      <c r="K12" s="21"/>
      <c r="L12" s="21"/>
      <c r="M12" s="21"/>
      <c r="N12" s="123"/>
    </row>
    <row r="13" spans="1:14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174">
        <f>SUM(I13)-0.6</f>
        <v>14.8</v>
      </c>
      <c r="I13" s="24">
        <f>SUM(J13)-0.6</f>
        <v>15.4</v>
      </c>
      <c r="J13" s="23">
        <v>16</v>
      </c>
      <c r="K13" s="21">
        <f>SUM(J13)+0.6</f>
        <v>16.600000000000001</v>
      </c>
      <c r="L13" s="21">
        <f>SUM(K13)+0.6</f>
        <v>17.200000000000003</v>
      </c>
      <c r="M13" s="21">
        <f>SUM(L13)+0.6</f>
        <v>17.800000000000004</v>
      </c>
      <c r="N13" s="123">
        <f>SUM(M13)+0.6</f>
        <v>18.400000000000006</v>
      </c>
    </row>
    <row r="14" spans="1:14" s="1" customFormat="1" ht="14.1" customHeight="1">
      <c r="A14" s="38"/>
      <c r="B14" s="56" t="s">
        <v>29</v>
      </c>
      <c r="C14" s="56"/>
      <c r="D14" s="47" t="s">
        <v>154</v>
      </c>
      <c r="E14" s="48"/>
      <c r="F14" s="48"/>
      <c r="G14" s="49"/>
      <c r="H14" s="175"/>
      <c r="I14" s="36"/>
      <c r="J14" s="23"/>
      <c r="K14" s="21"/>
      <c r="L14" s="21"/>
      <c r="M14" s="21"/>
      <c r="N14" s="123"/>
    </row>
    <row r="15" spans="1:14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174">
        <f>SUM(I15)-0.3</f>
        <v>7.5</v>
      </c>
      <c r="I15" s="24">
        <f>SUM(J15)-0.3</f>
        <v>7.8</v>
      </c>
      <c r="J15" s="23">
        <v>8.1</v>
      </c>
      <c r="K15" s="21">
        <f>SUM(J15)+0.3</f>
        <v>8.4</v>
      </c>
      <c r="L15" s="21">
        <f>SUM(K15)+0.3</f>
        <v>8.7000000000000011</v>
      </c>
      <c r="M15" s="21">
        <f>SUM(L15)+0.3</f>
        <v>9.0000000000000018</v>
      </c>
      <c r="N15" s="123">
        <f>SUM(M15)+0.3</f>
        <v>9.3000000000000025</v>
      </c>
    </row>
    <row r="16" spans="1:14" s="1" customFormat="1" ht="14.1" customHeight="1">
      <c r="A16" s="38"/>
      <c r="B16" s="56" t="s">
        <v>30</v>
      </c>
      <c r="C16" s="56"/>
      <c r="D16" s="47" t="s">
        <v>155</v>
      </c>
      <c r="E16" s="48"/>
      <c r="F16" s="48"/>
      <c r="G16" s="49"/>
      <c r="H16" s="175"/>
      <c r="I16" s="36"/>
      <c r="J16" s="23"/>
      <c r="K16" s="21"/>
      <c r="L16" s="21"/>
      <c r="M16" s="21"/>
      <c r="N16" s="123"/>
    </row>
    <row r="17" spans="1:14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174">
        <f>SUM(I17)-1.6</f>
        <v>40</v>
      </c>
      <c r="I17" s="24">
        <f>SUM(J17)-1.6</f>
        <v>41.6</v>
      </c>
      <c r="J17" s="23">
        <v>43.2</v>
      </c>
      <c r="K17" s="21">
        <f>SUM(J17)+1.6</f>
        <v>44.800000000000004</v>
      </c>
      <c r="L17" s="21">
        <f>SUM(K17)+1.6</f>
        <v>46.400000000000006</v>
      </c>
      <c r="M17" s="21">
        <f>SUM(L17)+1.6</f>
        <v>48.000000000000007</v>
      </c>
      <c r="N17" s="123">
        <f>SUM(M17)+1.6</f>
        <v>49.600000000000009</v>
      </c>
    </row>
    <row r="18" spans="1:14" s="1" customFormat="1" ht="14.1" customHeight="1">
      <c r="A18" s="38"/>
      <c r="B18" s="56" t="s">
        <v>37</v>
      </c>
      <c r="C18" s="56"/>
      <c r="D18" s="47" t="s">
        <v>156</v>
      </c>
      <c r="E18" s="48"/>
      <c r="F18" s="48"/>
      <c r="G18" s="49"/>
      <c r="H18" s="175"/>
      <c r="I18" s="36"/>
      <c r="J18" s="23"/>
      <c r="K18" s="21"/>
      <c r="L18" s="21"/>
      <c r="M18" s="21"/>
      <c r="N18" s="123"/>
    </row>
    <row r="19" spans="1:14" s="1" customFormat="1" ht="14.1" customHeight="1">
      <c r="A19" s="38">
        <v>9</v>
      </c>
      <c r="B19" s="58" t="s">
        <v>93</v>
      </c>
      <c r="C19" s="58"/>
      <c r="D19" s="59" t="s">
        <v>94</v>
      </c>
      <c r="E19" s="60"/>
      <c r="F19" s="60"/>
      <c r="G19" s="61"/>
      <c r="H19" s="174">
        <f>SUM(I19)-1</f>
        <v>30.4</v>
      </c>
      <c r="I19" s="24">
        <f>SUM(J19)-1</f>
        <v>31.4</v>
      </c>
      <c r="J19" s="23">
        <v>32.4</v>
      </c>
      <c r="K19" s="21">
        <f>SUM(J19)+1</f>
        <v>33.4</v>
      </c>
      <c r="L19" s="21">
        <f>SUM(K19)+1</f>
        <v>34.4</v>
      </c>
      <c r="M19" s="21">
        <f>SUM(L19)+1</f>
        <v>35.4</v>
      </c>
      <c r="N19" s="123">
        <f>SUM(M19)+1</f>
        <v>36.4</v>
      </c>
    </row>
    <row r="20" spans="1:14" s="1" customFormat="1" ht="14.1" customHeight="1">
      <c r="A20" s="38"/>
      <c r="B20" s="56" t="s">
        <v>34</v>
      </c>
      <c r="C20" s="56"/>
      <c r="D20" s="47" t="s">
        <v>95</v>
      </c>
      <c r="E20" s="48"/>
      <c r="F20" s="48"/>
      <c r="G20" s="49"/>
      <c r="H20" s="175"/>
      <c r="I20" s="36"/>
      <c r="J20" s="23"/>
      <c r="K20" s="21"/>
      <c r="L20" s="21"/>
      <c r="M20" s="21"/>
      <c r="N20" s="123"/>
    </row>
    <row r="21" spans="1:14" s="1" customFormat="1" ht="14.1" customHeight="1">
      <c r="A21" s="38">
        <v>10</v>
      </c>
      <c r="B21" s="58" t="s">
        <v>96</v>
      </c>
      <c r="C21" s="58"/>
      <c r="D21" s="59" t="s">
        <v>97</v>
      </c>
      <c r="E21" s="60"/>
      <c r="F21" s="60"/>
      <c r="G21" s="61"/>
      <c r="H21" s="174">
        <f>SUM(I21)-0.8</f>
        <v>21.099999999999998</v>
      </c>
      <c r="I21" s="24">
        <f>SUM(J21)-0.8</f>
        <v>21.9</v>
      </c>
      <c r="J21" s="23">
        <v>22.7</v>
      </c>
      <c r="K21" s="21">
        <f>SUM(J21)+0.8</f>
        <v>23.5</v>
      </c>
      <c r="L21" s="21">
        <f>SUM(K21)+0.8</f>
        <v>24.3</v>
      </c>
      <c r="M21" s="21">
        <f>SUM(L21)+0.8</f>
        <v>25.1</v>
      </c>
      <c r="N21" s="123">
        <f>SUM(M21)+0.8</f>
        <v>25.900000000000002</v>
      </c>
    </row>
    <row r="22" spans="1:14" s="1" customFormat="1" ht="14.1" customHeight="1">
      <c r="A22" s="38"/>
      <c r="B22" s="56" t="s">
        <v>35</v>
      </c>
      <c r="C22" s="56"/>
      <c r="D22" s="47" t="s">
        <v>98</v>
      </c>
      <c r="E22" s="48"/>
      <c r="F22" s="48"/>
      <c r="G22" s="49"/>
      <c r="H22" s="175"/>
      <c r="I22" s="36"/>
      <c r="J22" s="23"/>
      <c r="K22" s="21"/>
      <c r="L22" s="21"/>
      <c r="M22" s="21"/>
      <c r="N22" s="123"/>
    </row>
    <row r="23" spans="1:14" s="1" customFormat="1" ht="14.1" customHeight="1">
      <c r="A23" s="38">
        <v>11</v>
      </c>
      <c r="B23" s="58" t="s">
        <v>4</v>
      </c>
      <c r="C23" s="58"/>
      <c r="D23" s="57" t="s">
        <v>5</v>
      </c>
      <c r="E23" s="57"/>
      <c r="F23" s="57"/>
      <c r="G23" s="57"/>
      <c r="H23" s="174">
        <f>SUM(I23)-3.4</f>
        <v>26.800000000000004</v>
      </c>
      <c r="I23" s="24">
        <f>SUM(J23)-3.4</f>
        <v>30.200000000000003</v>
      </c>
      <c r="J23" s="23">
        <v>33.6</v>
      </c>
      <c r="K23" s="21">
        <f>SUM(J23)+3.5</f>
        <v>37.1</v>
      </c>
      <c r="L23" s="21">
        <f>SUM(K23)+3.5</f>
        <v>40.6</v>
      </c>
      <c r="M23" s="21">
        <f>SUM(L23)+3.5</f>
        <v>44.1</v>
      </c>
      <c r="N23" s="123">
        <f>SUM(M23)+3.5</f>
        <v>47.6</v>
      </c>
    </row>
    <row r="24" spans="1:14" s="1" customFormat="1" ht="14.1" customHeight="1">
      <c r="A24" s="38"/>
      <c r="B24" s="56" t="s">
        <v>31</v>
      </c>
      <c r="C24" s="56"/>
      <c r="D24" s="47" t="s">
        <v>54</v>
      </c>
      <c r="E24" s="48"/>
      <c r="F24" s="48"/>
      <c r="G24" s="49"/>
      <c r="H24" s="175"/>
      <c r="I24" s="36"/>
      <c r="J24" s="23"/>
      <c r="K24" s="21"/>
      <c r="L24" s="21"/>
      <c r="M24" s="21"/>
      <c r="N24" s="123"/>
    </row>
    <row r="25" spans="1:14" s="1" customFormat="1" ht="14.1" customHeight="1">
      <c r="A25" s="38">
        <v>12</v>
      </c>
      <c r="B25" s="58" t="s">
        <v>6</v>
      </c>
      <c r="C25" s="58"/>
      <c r="D25" s="59" t="s">
        <v>7</v>
      </c>
      <c r="E25" s="60"/>
      <c r="F25" s="60"/>
      <c r="G25" s="61"/>
      <c r="H25" s="174">
        <f>SUM(I25)-1.5</f>
        <v>27.5</v>
      </c>
      <c r="I25" s="24">
        <f>SUM(J25)-1.5</f>
        <v>29</v>
      </c>
      <c r="J25" s="23">
        <v>30.5</v>
      </c>
      <c r="K25" s="21">
        <f>SUM(J25)+1.5</f>
        <v>32</v>
      </c>
      <c r="L25" s="21">
        <f>SUM(K25)+1.5</f>
        <v>33.5</v>
      </c>
      <c r="M25" s="21">
        <f>SUM(L25)+1.5</f>
        <v>35</v>
      </c>
      <c r="N25" s="123">
        <f>SUM(M25)+1.5</f>
        <v>36.5</v>
      </c>
    </row>
    <row r="26" spans="1:14" s="1" customFormat="1" ht="14.1" customHeight="1">
      <c r="A26" s="38"/>
      <c r="B26" s="56" t="s">
        <v>32</v>
      </c>
      <c r="C26" s="56"/>
      <c r="D26" s="47" t="s">
        <v>76</v>
      </c>
      <c r="E26" s="48"/>
      <c r="F26" s="48"/>
      <c r="G26" s="49"/>
      <c r="H26" s="175"/>
      <c r="I26" s="36"/>
      <c r="J26" s="23"/>
      <c r="K26" s="21"/>
      <c r="L26" s="21"/>
      <c r="M26" s="21"/>
      <c r="N26" s="123"/>
    </row>
    <row r="27" spans="1:14" s="1" customFormat="1" ht="14.1" customHeight="1">
      <c r="A27" s="38">
        <v>13</v>
      </c>
      <c r="B27" s="51" t="s">
        <v>77</v>
      </c>
      <c r="C27" s="52"/>
      <c r="D27" s="57" t="s">
        <v>78</v>
      </c>
      <c r="E27" s="57"/>
      <c r="F27" s="57"/>
      <c r="G27" s="57"/>
      <c r="H27" s="174">
        <f>SUM(I27)-0.6</f>
        <v>14</v>
      </c>
      <c r="I27" s="24">
        <f>SUM(J27)-0.6</f>
        <v>14.6</v>
      </c>
      <c r="J27" s="23">
        <v>15.2</v>
      </c>
      <c r="K27" s="21">
        <f>SUM(J27)+0.6</f>
        <v>15.799999999999999</v>
      </c>
      <c r="L27" s="21">
        <f>SUM(K27)+0.6</f>
        <v>16.399999999999999</v>
      </c>
      <c r="M27" s="21">
        <f>SUM(L27)+0.6</f>
        <v>17</v>
      </c>
      <c r="N27" s="123">
        <f>SUM(M27)+0.6</f>
        <v>17.600000000000001</v>
      </c>
    </row>
    <row r="28" spans="1:14" s="1" customFormat="1" ht="14.1" customHeight="1">
      <c r="A28" s="38"/>
      <c r="B28" s="56" t="s">
        <v>33</v>
      </c>
      <c r="C28" s="56"/>
      <c r="D28" s="47" t="s">
        <v>79</v>
      </c>
      <c r="E28" s="48"/>
      <c r="F28" s="48"/>
      <c r="G28" s="49"/>
      <c r="H28" s="175"/>
      <c r="I28" s="36"/>
      <c r="J28" s="23"/>
      <c r="K28" s="21"/>
      <c r="L28" s="21"/>
      <c r="M28" s="21"/>
      <c r="N28" s="123"/>
    </row>
    <row r="29" spans="1:14" s="1" customFormat="1" ht="14.1" customHeight="1">
      <c r="A29" s="38">
        <v>14</v>
      </c>
      <c r="B29" s="40" t="s">
        <v>176</v>
      </c>
      <c r="C29" s="41"/>
      <c r="D29" s="53"/>
      <c r="E29" s="54"/>
      <c r="F29" s="54"/>
      <c r="G29" s="55"/>
      <c r="H29" s="174">
        <f>SUM(I29)-1.2</f>
        <v>2.5</v>
      </c>
      <c r="I29" s="24">
        <f>SUM(J29)+0.3</f>
        <v>3.6999999999999997</v>
      </c>
      <c r="J29" s="23">
        <v>3.4</v>
      </c>
      <c r="K29" s="21">
        <f>SUM(J29)+0.2</f>
        <v>3.6</v>
      </c>
      <c r="L29" s="21">
        <f>SUM(K29)+0.2</f>
        <v>3.8000000000000003</v>
      </c>
      <c r="M29" s="21">
        <f>SUM(L29)+0.2</f>
        <v>4</v>
      </c>
      <c r="N29" s="123">
        <f>SUM(M29)+0.2</f>
        <v>4.2</v>
      </c>
    </row>
    <row r="30" spans="1:14" s="1" customFormat="1" ht="14.1" customHeight="1">
      <c r="A30" s="154"/>
      <c r="B30" s="40" t="s">
        <v>175</v>
      </c>
      <c r="C30" s="41"/>
      <c r="D30" s="100"/>
      <c r="E30" s="101"/>
      <c r="F30" s="101"/>
      <c r="G30" s="102"/>
      <c r="H30" s="176"/>
      <c r="I30" s="50"/>
      <c r="J30" s="33"/>
      <c r="K30" s="24"/>
      <c r="L30" s="24"/>
      <c r="M30" s="24"/>
      <c r="N30" s="121"/>
    </row>
    <row r="31" spans="1:14" s="1" customFormat="1" ht="14.1" customHeight="1">
      <c r="A31" s="38">
        <v>15</v>
      </c>
      <c r="B31" s="51"/>
      <c r="C31" s="52"/>
      <c r="D31" s="53"/>
      <c r="E31" s="54"/>
      <c r="F31" s="54"/>
      <c r="G31" s="55"/>
      <c r="H31" s="174"/>
      <c r="I31" s="24"/>
      <c r="J31" s="23"/>
      <c r="K31" s="21"/>
      <c r="L31" s="21"/>
      <c r="M31" s="21"/>
      <c r="N31" s="123"/>
    </row>
    <row r="32" spans="1:14" s="1" customFormat="1" ht="14.1" customHeight="1" thickBot="1">
      <c r="A32" s="39"/>
      <c r="B32" s="28"/>
      <c r="C32" s="29"/>
      <c r="D32" s="30"/>
      <c r="E32" s="31"/>
      <c r="F32" s="31"/>
      <c r="G32" s="32"/>
      <c r="H32" s="177"/>
      <c r="I32" s="25"/>
      <c r="J32" s="218"/>
      <c r="K32" s="216"/>
      <c r="L32" s="216"/>
      <c r="M32" s="216"/>
      <c r="N32" s="229"/>
    </row>
    <row r="33" spans="2:7" s="1" customFormat="1" ht="14.1" customHeight="1"/>
    <row r="34" spans="2:7" s="1" customFormat="1" ht="13.5" customHeight="1"/>
    <row r="35" spans="2:7" s="1" customFormat="1" ht="14.1" customHeight="1"/>
    <row r="36" spans="2:7" s="1" customFormat="1" ht="14.1" customHeight="1"/>
    <row r="37" spans="2:7" s="1" customFormat="1" ht="14.1" customHeight="1"/>
    <row r="38" spans="2:7" s="1" customFormat="1" ht="14.1" customHeight="1"/>
    <row r="39" spans="2:7" s="1" customFormat="1" ht="14.1" customHeight="1"/>
    <row r="40" spans="2:7" ht="14.1" customHeight="1"/>
    <row r="41" spans="2:7" ht="14.1" customHeight="1"/>
    <row r="42" spans="2:7" ht="14.1" customHeight="1"/>
    <row r="43" spans="2:7" ht="14.1" customHeight="1"/>
    <row r="44" spans="2:7" ht="14.1" customHeight="1">
      <c r="B44" s="6"/>
      <c r="C44" s="6"/>
      <c r="D44" s="6"/>
      <c r="E44" s="6"/>
      <c r="F44" s="6"/>
      <c r="G44" s="6"/>
    </row>
    <row r="45" spans="2:7" ht="14.1" customHeight="1">
      <c r="B45" s="6"/>
      <c r="C45" s="6"/>
      <c r="D45" s="6"/>
      <c r="E45" s="6"/>
      <c r="F45" s="6"/>
      <c r="G45" s="6"/>
    </row>
    <row r="46" spans="2:7" ht="14.1" customHeight="1">
      <c r="B46" s="6"/>
      <c r="C46" s="6"/>
      <c r="D46" s="6"/>
      <c r="E46" s="6"/>
      <c r="F46" s="6"/>
      <c r="G46" s="6"/>
    </row>
    <row r="47" spans="2:7" ht="14.1" customHeight="1"/>
    <row r="48" spans="2:7" ht="14.1" customHeight="1"/>
    <row r="49" ht="14.1" customHeight="1"/>
    <row r="50" ht="14.1" customHeight="1"/>
  </sheetData>
  <mergeCells count="183">
    <mergeCell ref="B2:C2"/>
    <mergeCell ref="D2:G2"/>
    <mergeCell ref="A3:A4"/>
    <mergeCell ref="B3:C3"/>
    <mergeCell ref="D3:G3"/>
    <mergeCell ref="H3:H4"/>
    <mergeCell ref="A5:A6"/>
    <mergeCell ref="B5:C5"/>
    <mergeCell ref="D5:G5"/>
    <mergeCell ref="H5:H6"/>
    <mergeCell ref="L3:L4"/>
    <mergeCell ref="M3:M4"/>
    <mergeCell ref="B4:C4"/>
    <mergeCell ref="D4:G4"/>
    <mergeCell ref="I3:I4"/>
    <mergeCell ref="J3:J4"/>
    <mergeCell ref="K3:K4"/>
    <mergeCell ref="H9:H10"/>
    <mergeCell ref="I9:I10"/>
    <mergeCell ref="I5:I6"/>
    <mergeCell ref="J5:J6"/>
    <mergeCell ref="K5:K6"/>
    <mergeCell ref="L5:L6"/>
    <mergeCell ref="M5:M6"/>
    <mergeCell ref="B6:C6"/>
    <mergeCell ref="D6:G6"/>
    <mergeCell ref="J7:J8"/>
    <mergeCell ref="K7:K8"/>
    <mergeCell ref="L7:L8"/>
    <mergeCell ref="M7:M8"/>
    <mergeCell ref="B8:C8"/>
    <mergeCell ref="D8:G8"/>
    <mergeCell ref="B12:C12"/>
    <mergeCell ref="D12:G12"/>
    <mergeCell ref="A7:A8"/>
    <mergeCell ref="B7:C7"/>
    <mergeCell ref="D7:G7"/>
    <mergeCell ref="H7:H8"/>
    <mergeCell ref="I7:I8"/>
    <mergeCell ref="A13:A14"/>
    <mergeCell ref="B13:C13"/>
    <mergeCell ref="D13:G13"/>
    <mergeCell ref="H13:H14"/>
    <mergeCell ref="I13:I14"/>
    <mergeCell ref="J13:J14"/>
    <mergeCell ref="K13:K14"/>
    <mergeCell ref="L13:L14"/>
    <mergeCell ref="M13:M14"/>
    <mergeCell ref="B14:C14"/>
    <mergeCell ref="D14:G14"/>
    <mergeCell ref="A15:A16"/>
    <mergeCell ref="B15:C15"/>
    <mergeCell ref="D15:G15"/>
    <mergeCell ref="H15:H16"/>
    <mergeCell ref="I15:I16"/>
    <mergeCell ref="J15:J16"/>
    <mergeCell ref="K15:K16"/>
    <mergeCell ref="L15:L16"/>
    <mergeCell ref="M15:M16"/>
    <mergeCell ref="B16:C16"/>
    <mergeCell ref="D16:G16"/>
    <mergeCell ref="A17:A18"/>
    <mergeCell ref="B17:C17"/>
    <mergeCell ref="D17:G17"/>
    <mergeCell ref="H17:H18"/>
    <mergeCell ref="I17:I18"/>
    <mergeCell ref="J17:J18"/>
    <mergeCell ref="K17:K18"/>
    <mergeCell ref="L17:L18"/>
    <mergeCell ref="M17:M18"/>
    <mergeCell ref="B18:C18"/>
    <mergeCell ref="D18:G18"/>
    <mergeCell ref="A23:A24"/>
    <mergeCell ref="B23:C23"/>
    <mergeCell ref="D23:G23"/>
    <mergeCell ref="H23:H24"/>
    <mergeCell ref="I23:I24"/>
    <mergeCell ref="J23:J24"/>
    <mergeCell ref="K23:K24"/>
    <mergeCell ref="L23:L24"/>
    <mergeCell ref="M23:M24"/>
    <mergeCell ref="B24:C24"/>
    <mergeCell ref="D24:G24"/>
    <mergeCell ref="A25:A26"/>
    <mergeCell ref="B25:C25"/>
    <mergeCell ref="D25:G25"/>
    <mergeCell ref="H25:H26"/>
    <mergeCell ref="I25:I26"/>
    <mergeCell ref="J25:J26"/>
    <mergeCell ref="K25:K26"/>
    <mergeCell ref="L25:L26"/>
    <mergeCell ref="M25:M26"/>
    <mergeCell ref="B26:C26"/>
    <mergeCell ref="D26:G26"/>
    <mergeCell ref="A27:A28"/>
    <mergeCell ref="B27:C27"/>
    <mergeCell ref="D27:G27"/>
    <mergeCell ref="H27:H28"/>
    <mergeCell ref="I27:I28"/>
    <mergeCell ref="J27:J28"/>
    <mergeCell ref="K27:K28"/>
    <mergeCell ref="L27:L28"/>
    <mergeCell ref="M27:M28"/>
    <mergeCell ref="B28:C28"/>
    <mergeCell ref="D28:G28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A19:A20"/>
    <mergeCell ref="B19:C19"/>
    <mergeCell ref="D19:G19"/>
    <mergeCell ref="H19:H20"/>
    <mergeCell ref="I19:I20"/>
    <mergeCell ref="J19:J20"/>
    <mergeCell ref="K19:K20"/>
    <mergeCell ref="L19:L20"/>
    <mergeCell ref="M19:M20"/>
    <mergeCell ref="B20:C20"/>
    <mergeCell ref="D20:G20"/>
    <mergeCell ref="D21:G21"/>
    <mergeCell ref="H21:H22"/>
    <mergeCell ref="I21:I22"/>
    <mergeCell ref="J21:J22"/>
    <mergeCell ref="K21:K22"/>
    <mergeCell ref="L21:L22"/>
    <mergeCell ref="M21:M22"/>
    <mergeCell ref="B22:C22"/>
    <mergeCell ref="D22:G22"/>
    <mergeCell ref="A1:N1"/>
    <mergeCell ref="N3:N4"/>
    <mergeCell ref="N5:N6"/>
    <mergeCell ref="N7:N8"/>
    <mergeCell ref="N9:N10"/>
    <mergeCell ref="N11:N12"/>
    <mergeCell ref="J11:J12"/>
    <mergeCell ref="K11:K12"/>
    <mergeCell ref="L11:L12"/>
    <mergeCell ref="M11:M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D9:G9"/>
    <mergeCell ref="N13:N14"/>
    <mergeCell ref="N15:N16"/>
    <mergeCell ref="N17:N18"/>
    <mergeCell ref="N19:N20"/>
    <mergeCell ref="N21:N22"/>
    <mergeCell ref="N23:N24"/>
    <mergeCell ref="A31:A32"/>
    <mergeCell ref="B31:C31"/>
    <mergeCell ref="D31:G31"/>
    <mergeCell ref="H31:H32"/>
    <mergeCell ref="I31:I32"/>
    <mergeCell ref="J31:J32"/>
    <mergeCell ref="L31:L32"/>
    <mergeCell ref="M31:M32"/>
    <mergeCell ref="N31:N32"/>
    <mergeCell ref="B32:C32"/>
    <mergeCell ref="D32:G32"/>
    <mergeCell ref="N25:N26"/>
    <mergeCell ref="N27:N28"/>
    <mergeCell ref="N29:N30"/>
    <mergeCell ref="K31:K32"/>
    <mergeCell ref="K29:K30"/>
    <mergeCell ref="A21:A22"/>
    <mergeCell ref="B21:C21"/>
  </mergeCells>
  <phoneticPr fontId="1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E5793-4BBA-4769-9292-1A3C9455DAB2}">
  <sheetPr codeName="Sheet97">
    <tabColor rgb="FF00B050"/>
    <pageSetUpPr fitToPage="1"/>
  </sheetPr>
  <dimension ref="A1:M50"/>
  <sheetViews>
    <sheetView zoomScale="110" zoomScaleNormal="110" workbookViewId="0">
      <selection activeCell="B27" sqref="B27:G2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197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40" t="s">
        <v>136</v>
      </c>
      <c r="C3" s="41"/>
      <c r="D3" s="100" t="s">
        <v>135</v>
      </c>
      <c r="E3" s="101"/>
      <c r="F3" s="101"/>
      <c r="G3" s="102"/>
      <c r="H3" s="24">
        <f>SUM(I3)-3.4</f>
        <v>36.200000000000003</v>
      </c>
      <c r="I3" s="24">
        <f>SUM(J3)-3.4</f>
        <v>39.6</v>
      </c>
      <c r="J3" s="75">
        <v>43</v>
      </c>
      <c r="K3" s="76">
        <f>SUM(J3)+2.9</f>
        <v>45.9</v>
      </c>
      <c r="L3" s="76">
        <f>SUM(K3)+2.9</f>
        <v>48.8</v>
      </c>
      <c r="M3" s="77">
        <f>SUM(L3)+2.9</f>
        <v>51.699999999999996</v>
      </c>
    </row>
    <row r="4" spans="1:13" s="1" customFormat="1" ht="14.1" customHeight="1">
      <c r="A4" s="38"/>
      <c r="B4" s="56" t="s">
        <v>36</v>
      </c>
      <c r="C4" s="56"/>
      <c r="D4" s="47" t="s">
        <v>134</v>
      </c>
      <c r="E4" s="48"/>
      <c r="F4" s="48"/>
      <c r="G4" s="48"/>
      <c r="H4" s="36"/>
      <c r="I4" s="36"/>
      <c r="J4" s="33"/>
      <c r="K4" s="24"/>
      <c r="L4" s="24"/>
      <c r="M4" s="26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SUM(I5)-1.8</f>
        <v>23.4</v>
      </c>
      <c r="I5" s="24">
        <f>SUM(J5)-1.8</f>
        <v>25.2</v>
      </c>
      <c r="J5" s="33">
        <v>27</v>
      </c>
      <c r="K5" s="24">
        <f>SUM(J5)+1.6</f>
        <v>28.6</v>
      </c>
      <c r="L5" s="24">
        <f>SUM(K5)+1.6</f>
        <v>30.200000000000003</v>
      </c>
      <c r="M5" s="26">
        <f>SUM(L5)+1.6</f>
        <v>31.800000000000004</v>
      </c>
    </row>
    <row r="6" spans="1:13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37"/>
    </row>
    <row r="7" spans="1:13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28.5</v>
      </c>
      <c r="I7" s="24">
        <f>SUM(J7)-2.25</f>
        <v>30.75</v>
      </c>
      <c r="J7" s="33">
        <v>33</v>
      </c>
      <c r="K7" s="24">
        <f>SUM(J7)+2</f>
        <v>35</v>
      </c>
      <c r="L7" s="24">
        <f>SUM(K7)+2</f>
        <v>37</v>
      </c>
      <c r="M7" s="26">
        <f>SUM(L7)+2</f>
        <v>39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37"/>
    </row>
    <row r="9" spans="1:13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SUM(I9)-2.25</f>
        <v>28.5</v>
      </c>
      <c r="I9" s="24">
        <f>SUM(J9)-2.25</f>
        <v>30.75</v>
      </c>
      <c r="J9" s="33">
        <v>33</v>
      </c>
      <c r="K9" s="24">
        <f>SUM(J9)+2</f>
        <v>35</v>
      </c>
      <c r="L9" s="24">
        <f>SUM(K9)+2</f>
        <v>37</v>
      </c>
      <c r="M9" s="26">
        <f>SUM(L9)+2</f>
        <v>39</v>
      </c>
    </row>
    <row r="10" spans="1:13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7"/>
    </row>
    <row r="11" spans="1:13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SUM(I11)-0.8</f>
        <v>12.999999999999998</v>
      </c>
      <c r="I11" s="24">
        <f>SUM(J11)-0.8</f>
        <v>13.799999999999999</v>
      </c>
      <c r="J11" s="23">
        <v>14.6</v>
      </c>
      <c r="K11" s="21">
        <f>SUM(J11)+0.8</f>
        <v>15.4</v>
      </c>
      <c r="L11" s="21">
        <f>SUM(K11)+0.8</f>
        <v>16.2</v>
      </c>
      <c r="M11" s="22">
        <f>SUM(L11)+0.8</f>
        <v>17</v>
      </c>
    </row>
    <row r="12" spans="1:13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2"/>
    </row>
    <row r="13" spans="1:13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11.8</v>
      </c>
      <c r="I13" s="24">
        <f>SUM(J13)-0.6</f>
        <v>12.4</v>
      </c>
      <c r="J13" s="23">
        <v>13</v>
      </c>
      <c r="K13" s="21">
        <f>SUM(J13)+0.6</f>
        <v>13.6</v>
      </c>
      <c r="L13" s="21">
        <f>SUM(K13)+0.6</f>
        <v>14.2</v>
      </c>
      <c r="M13" s="22">
        <f>SUM(L13)+0.6</f>
        <v>14.799999999999999</v>
      </c>
    </row>
    <row r="14" spans="1:13" s="1" customFormat="1" ht="14.1" customHeight="1">
      <c r="A14" s="38"/>
      <c r="B14" s="56" t="s">
        <v>29</v>
      </c>
      <c r="C14" s="56"/>
      <c r="D14" s="47" t="s">
        <v>154</v>
      </c>
      <c r="E14" s="48"/>
      <c r="F14" s="48"/>
      <c r="G14" s="49"/>
      <c r="H14" s="36"/>
      <c r="I14" s="36"/>
      <c r="J14" s="23"/>
      <c r="K14" s="21"/>
      <c r="L14" s="21"/>
      <c r="M14" s="22"/>
    </row>
    <row r="15" spans="1:13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5.6000000000000005</v>
      </c>
      <c r="I15" s="24">
        <f>SUM(J15)-0.3</f>
        <v>5.9</v>
      </c>
      <c r="J15" s="23">
        <v>6.2</v>
      </c>
      <c r="K15" s="21">
        <f>SUM(J15)+0.3</f>
        <v>6.5</v>
      </c>
      <c r="L15" s="21">
        <f>SUM(K15)+0.3</f>
        <v>6.8</v>
      </c>
      <c r="M15" s="22">
        <f>SUM(L15)+0.3</f>
        <v>7.1</v>
      </c>
    </row>
    <row r="16" spans="1:13" s="1" customFormat="1" ht="14.1" customHeight="1">
      <c r="A16" s="38"/>
      <c r="B16" s="56" t="s">
        <v>30</v>
      </c>
      <c r="C16" s="56"/>
      <c r="D16" s="47" t="s">
        <v>155</v>
      </c>
      <c r="E16" s="48"/>
      <c r="F16" s="48"/>
      <c r="G16" s="49"/>
      <c r="H16" s="36"/>
      <c r="I16" s="36"/>
      <c r="J16" s="23"/>
      <c r="K16" s="21"/>
      <c r="L16" s="21"/>
      <c r="M16" s="22"/>
    </row>
    <row r="17" spans="1:13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30.799999999999997</v>
      </c>
      <c r="I17" s="24">
        <f>SUM(J17)-1.6</f>
        <v>32.4</v>
      </c>
      <c r="J17" s="23">
        <v>34</v>
      </c>
      <c r="K17" s="21">
        <f>SUM(J17)+1.6</f>
        <v>35.6</v>
      </c>
      <c r="L17" s="21">
        <f>SUM(K17)+1.6</f>
        <v>37.200000000000003</v>
      </c>
      <c r="M17" s="22">
        <f>SUM(L17)+1.6</f>
        <v>38.800000000000004</v>
      </c>
    </row>
    <row r="18" spans="1:13" s="1" customFormat="1" ht="14.1" customHeight="1">
      <c r="A18" s="38"/>
      <c r="B18" s="56" t="s">
        <v>37</v>
      </c>
      <c r="C18" s="56"/>
      <c r="D18" s="47" t="s">
        <v>156</v>
      </c>
      <c r="E18" s="48"/>
      <c r="F18" s="48"/>
      <c r="G18" s="49"/>
      <c r="H18" s="36"/>
      <c r="I18" s="36"/>
      <c r="J18" s="23"/>
      <c r="K18" s="21"/>
      <c r="L18" s="21"/>
      <c r="M18" s="22"/>
    </row>
    <row r="19" spans="1:13" s="1" customFormat="1" ht="14.1" customHeight="1">
      <c r="A19" s="38">
        <v>9</v>
      </c>
      <c r="B19" s="51" t="s">
        <v>202</v>
      </c>
      <c r="C19" s="52"/>
      <c r="D19" s="59"/>
      <c r="E19" s="60"/>
      <c r="F19" s="60"/>
      <c r="G19" s="61"/>
      <c r="H19" s="24">
        <f>SUM(I19)-0.2</f>
        <v>5.0999999999999996</v>
      </c>
      <c r="I19" s="24">
        <f>SUM(J19)-0.2</f>
        <v>5.3</v>
      </c>
      <c r="J19" s="23">
        <v>5.5</v>
      </c>
      <c r="K19" s="21">
        <f>SUM(J19)+0.2</f>
        <v>5.7</v>
      </c>
      <c r="L19" s="21">
        <f>SUM(K19)+0.2</f>
        <v>5.9</v>
      </c>
      <c r="M19" s="22">
        <f>SUM(L19)+0.2</f>
        <v>6.1000000000000005</v>
      </c>
    </row>
    <row r="20" spans="1:13" s="1" customFormat="1" ht="14.1" customHeight="1">
      <c r="A20" s="38"/>
      <c r="B20" s="56" t="s">
        <v>203</v>
      </c>
      <c r="C20" s="56"/>
      <c r="D20" s="47" t="s">
        <v>204</v>
      </c>
      <c r="E20" s="48"/>
      <c r="F20" s="48"/>
      <c r="G20" s="49"/>
      <c r="H20" s="36"/>
      <c r="I20" s="36"/>
      <c r="J20" s="23"/>
      <c r="K20" s="21"/>
      <c r="L20" s="21"/>
      <c r="M20" s="22"/>
    </row>
    <row r="21" spans="1:13" s="1" customFormat="1" ht="14.1" customHeight="1">
      <c r="A21" s="38">
        <v>10</v>
      </c>
      <c r="B21" s="58" t="s">
        <v>4</v>
      </c>
      <c r="C21" s="58"/>
      <c r="D21" s="57" t="s">
        <v>5</v>
      </c>
      <c r="E21" s="57"/>
      <c r="F21" s="57"/>
      <c r="G21" s="57"/>
      <c r="H21" s="24">
        <f>SUM(I21)-3.6</f>
        <v>32.299999999999997</v>
      </c>
      <c r="I21" s="24">
        <f>SUM(J21)-3.6</f>
        <v>35.9</v>
      </c>
      <c r="J21" s="23">
        <v>39.5</v>
      </c>
      <c r="K21" s="21">
        <f>SUM(J21)+3.7</f>
        <v>43.2</v>
      </c>
      <c r="L21" s="21">
        <f>SUM(K21)+3.7</f>
        <v>46.900000000000006</v>
      </c>
      <c r="M21" s="22">
        <f>SUM(L21)+3.7</f>
        <v>50.600000000000009</v>
      </c>
    </row>
    <row r="22" spans="1:13" s="1" customFormat="1" ht="14.1" customHeight="1">
      <c r="A22" s="38"/>
      <c r="B22" s="56" t="s">
        <v>31</v>
      </c>
      <c r="C22" s="56"/>
      <c r="D22" s="47" t="s">
        <v>54</v>
      </c>
      <c r="E22" s="48"/>
      <c r="F22" s="48"/>
      <c r="G22" s="49"/>
      <c r="H22" s="36"/>
      <c r="I22" s="36"/>
      <c r="J22" s="23"/>
      <c r="K22" s="21"/>
      <c r="L22" s="21"/>
      <c r="M22" s="22"/>
    </row>
    <row r="23" spans="1:13" s="1" customFormat="1" ht="14.1" customHeight="1">
      <c r="A23" s="38">
        <v>11</v>
      </c>
      <c r="B23" s="58" t="s">
        <v>6</v>
      </c>
      <c r="C23" s="58"/>
      <c r="D23" s="59" t="s">
        <v>7</v>
      </c>
      <c r="E23" s="60"/>
      <c r="F23" s="60"/>
      <c r="G23" s="61"/>
      <c r="H23" s="24">
        <f>SUM(I23)-1.4</f>
        <v>23.000000000000004</v>
      </c>
      <c r="I23" s="24">
        <f>SUM(J23)-1.4</f>
        <v>24.400000000000002</v>
      </c>
      <c r="J23" s="23">
        <v>25.8</v>
      </c>
      <c r="K23" s="21">
        <f>SUM(J23)+1.4</f>
        <v>27.2</v>
      </c>
      <c r="L23" s="21">
        <f>SUM(K23)+1.4</f>
        <v>28.599999999999998</v>
      </c>
      <c r="M23" s="22">
        <f>SUM(L23)+1.4</f>
        <v>29.999999999999996</v>
      </c>
    </row>
    <row r="24" spans="1:13" s="1" customFormat="1" ht="14.1" customHeight="1">
      <c r="A24" s="38"/>
      <c r="B24" s="56" t="s">
        <v>32</v>
      </c>
      <c r="C24" s="56"/>
      <c r="D24" s="47" t="s">
        <v>76</v>
      </c>
      <c r="E24" s="48"/>
      <c r="F24" s="48"/>
      <c r="G24" s="49"/>
      <c r="H24" s="36"/>
      <c r="I24" s="36"/>
      <c r="J24" s="23"/>
      <c r="K24" s="21"/>
      <c r="L24" s="21"/>
      <c r="M24" s="22"/>
    </row>
    <row r="25" spans="1:13" s="1" customFormat="1" ht="14.1" customHeight="1">
      <c r="A25" s="38">
        <v>12</v>
      </c>
      <c r="B25" s="51" t="s">
        <v>77</v>
      </c>
      <c r="C25" s="52"/>
      <c r="D25" s="57" t="s">
        <v>78</v>
      </c>
      <c r="E25" s="57"/>
      <c r="F25" s="57"/>
      <c r="G25" s="57"/>
      <c r="H25" s="24">
        <f>SUM(I25)-0.7</f>
        <v>16</v>
      </c>
      <c r="I25" s="24">
        <f>SUM(J25)-0.7</f>
        <v>16.7</v>
      </c>
      <c r="J25" s="23">
        <v>17.399999999999999</v>
      </c>
      <c r="K25" s="21">
        <f>SUM(J25)+0.7</f>
        <v>18.099999999999998</v>
      </c>
      <c r="L25" s="21">
        <f>SUM(K25)+0.7</f>
        <v>18.799999999999997</v>
      </c>
      <c r="M25" s="22">
        <f>SUM(L25)+0.7</f>
        <v>19.499999999999996</v>
      </c>
    </row>
    <row r="26" spans="1:13" s="1" customFormat="1" ht="14.1" customHeight="1">
      <c r="A26" s="38"/>
      <c r="B26" s="56" t="s">
        <v>33</v>
      </c>
      <c r="C26" s="56"/>
      <c r="D26" s="47" t="s">
        <v>79</v>
      </c>
      <c r="E26" s="48"/>
      <c r="F26" s="48"/>
      <c r="G26" s="49"/>
      <c r="H26" s="36"/>
      <c r="I26" s="36"/>
      <c r="J26" s="23"/>
      <c r="K26" s="21"/>
      <c r="L26" s="21"/>
      <c r="M26" s="22"/>
    </row>
    <row r="27" spans="1:13" s="1" customFormat="1" ht="14.1" customHeight="1">
      <c r="A27" s="38">
        <v>13</v>
      </c>
      <c r="B27" s="51" t="s">
        <v>205</v>
      </c>
      <c r="C27" s="52"/>
      <c r="D27" s="53"/>
      <c r="E27" s="54"/>
      <c r="F27" s="54"/>
      <c r="G27" s="55"/>
      <c r="H27" s="24">
        <f>SUM(I27)</f>
        <v>10.5</v>
      </c>
      <c r="I27" s="24">
        <f>SUM(J27)</f>
        <v>10.5</v>
      </c>
      <c r="J27" s="23">
        <v>10.5</v>
      </c>
      <c r="K27" s="21">
        <f>SUM(J27)+0.2</f>
        <v>10.7</v>
      </c>
      <c r="L27" s="21">
        <f>SUM(K27)+0.2</f>
        <v>10.899999999999999</v>
      </c>
      <c r="M27" s="22">
        <f>SUM(L27)+0.2</f>
        <v>11.099999999999998</v>
      </c>
    </row>
    <row r="28" spans="1:13" s="1" customFormat="1" ht="14.1" customHeight="1">
      <c r="A28" s="38"/>
      <c r="B28" s="45" t="s">
        <v>206</v>
      </c>
      <c r="C28" s="46"/>
      <c r="D28" s="47"/>
      <c r="E28" s="48"/>
      <c r="F28" s="48"/>
      <c r="G28" s="49"/>
      <c r="H28" s="36"/>
      <c r="I28" s="36"/>
      <c r="J28" s="23"/>
      <c r="K28" s="21"/>
      <c r="L28" s="21"/>
      <c r="M28" s="22"/>
    </row>
    <row r="29" spans="1:13" s="1" customFormat="1" ht="14.1" customHeight="1">
      <c r="A29" s="71">
        <v>14</v>
      </c>
      <c r="B29" s="51" t="s">
        <v>80</v>
      </c>
      <c r="C29" s="52"/>
      <c r="D29" s="53"/>
      <c r="E29" s="54"/>
      <c r="F29" s="54"/>
      <c r="G29" s="55"/>
      <c r="H29" s="24">
        <f>SUM(I29)-0.8</f>
        <v>9.5999999999999979</v>
      </c>
      <c r="I29" s="24">
        <f>SUM(J29)-0.8</f>
        <v>10.399999999999999</v>
      </c>
      <c r="J29" s="23">
        <v>11.2</v>
      </c>
      <c r="K29" s="21">
        <f>SUM(J29)+0.8</f>
        <v>12</v>
      </c>
      <c r="L29" s="21">
        <f>SUM(K29)+0.8</f>
        <v>12.8</v>
      </c>
      <c r="M29" s="22">
        <f>SUM(L29)+0.8</f>
        <v>13.600000000000001</v>
      </c>
    </row>
    <row r="30" spans="1:13" s="1" customFormat="1" ht="14.1" customHeight="1">
      <c r="A30" s="154"/>
      <c r="B30" s="45" t="s">
        <v>81</v>
      </c>
      <c r="C30" s="46"/>
      <c r="D30" s="47" t="s">
        <v>200</v>
      </c>
      <c r="E30" s="48"/>
      <c r="F30" s="48"/>
      <c r="G30" s="49"/>
      <c r="H30" s="36"/>
      <c r="I30" s="36"/>
      <c r="J30" s="23"/>
      <c r="K30" s="21"/>
      <c r="L30" s="21"/>
      <c r="M30" s="22"/>
    </row>
    <row r="31" spans="1:13" s="1" customFormat="1" ht="14.1" customHeight="1">
      <c r="A31" s="38">
        <v>15</v>
      </c>
      <c r="B31" s="51" t="s">
        <v>198</v>
      </c>
      <c r="C31" s="52"/>
      <c r="D31" s="53"/>
      <c r="E31" s="54"/>
      <c r="F31" s="54"/>
      <c r="G31" s="55"/>
      <c r="H31" s="24">
        <f>SUM(I31)-0.4</f>
        <v>3.6999999999999997</v>
      </c>
      <c r="I31" s="24">
        <f>SUM(J31)-0.4</f>
        <v>4.0999999999999996</v>
      </c>
      <c r="J31" s="23">
        <v>4.5</v>
      </c>
      <c r="K31" s="21">
        <f>SUM(J31)+0.4</f>
        <v>4.9000000000000004</v>
      </c>
      <c r="L31" s="21">
        <f>SUM(K31)+0.4</f>
        <v>5.3000000000000007</v>
      </c>
      <c r="M31" s="22">
        <f>SUM(L31)+0.4</f>
        <v>5.7000000000000011</v>
      </c>
    </row>
    <row r="32" spans="1:13" s="1" customFormat="1" ht="14.1" customHeight="1">
      <c r="A32" s="38"/>
      <c r="B32" s="45" t="s">
        <v>199</v>
      </c>
      <c r="C32" s="46"/>
      <c r="D32" s="47" t="s">
        <v>201</v>
      </c>
      <c r="E32" s="48"/>
      <c r="F32" s="48"/>
      <c r="G32" s="49"/>
      <c r="H32" s="36"/>
      <c r="I32" s="36"/>
      <c r="J32" s="23"/>
      <c r="K32" s="21"/>
      <c r="L32" s="21"/>
      <c r="M32" s="22"/>
    </row>
    <row r="33" spans="1:13" s="1" customFormat="1" ht="14.1" customHeight="1">
      <c r="A33" s="71">
        <v>16</v>
      </c>
      <c r="B33" s="40"/>
      <c r="C33" s="41"/>
      <c r="D33" s="42"/>
      <c r="E33" s="43"/>
      <c r="F33" s="43"/>
      <c r="G33" s="44"/>
      <c r="H33" s="50"/>
      <c r="I33" s="50"/>
      <c r="J33" s="35"/>
      <c r="K33" s="36"/>
      <c r="L33" s="36"/>
      <c r="M33" s="37"/>
    </row>
    <row r="34" spans="1:13" s="1" customFormat="1" ht="13.5" customHeight="1" thickBot="1">
      <c r="A34" s="39"/>
      <c r="B34" s="28"/>
      <c r="C34" s="29"/>
      <c r="D34" s="30"/>
      <c r="E34" s="31"/>
      <c r="F34" s="31"/>
      <c r="G34" s="32"/>
      <c r="H34" s="25"/>
      <c r="I34" s="25"/>
      <c r="J34" s="218"/>
      <c r="K34" s="216"/>
      <c r="L34" s="216"/>
      <c r="M34" s="220"/>
    </row>
    <row r="35" spans="1:13" s="1" customFormat="1" ht="14.1" customHeight="1"/>
    <row r="36" spans="1:13" s="1" customFormat="1" ht="14.1" customHeight="1"/>
    <row r="37" spans="1:13" s="1" customFormat="1" ht="14.1" customHeight="1"/>
    <row r="38" spans="1:13" s="1" customFormat="1" ht="14.1" customHeight="1"/>
    <row r="39" spans="1:13" s="1" customFormat="1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>
      <c r="B44" s="6"/>
      <c r="C44" s="6"/>
      <c r="D44" s="6"/>
      <c r="E44" s="6"/>
      <c r="F44" s="6"/>
      <c r="G44" s="6"/>
    </row>
    <row r="45" spans="1:13" ht="14.1" customHeight="1">
      <c r="B45" s="6"/>
      <c r="C45" s="6"/>
      <c r="D45" s="6"/>
      <c r="E45" s="6"/>
      <c r="F45" s="6"/>
      <c r="G45" s="6"/>
    </row>
    <row r="46" spans="1:13" ht="14.1" customHeight="1">
      <c r="B46" s="6"/>
      <c r="C46" s="6"/>
      <c r="D46" s="6"/>
      <c r="E46" s="6"/>
      <c r="F46" s="6"/>
      <c r="G46" s="6"/>
    </row>
    <row r="47" spans="1:13" ht="14.1" customHeight="1"/>
    <row r="48" spans="1:13" ht="14.1" customHeight="1"/>
    <row r="49" ht="14.1" customHeight="1"/>
    <row r="50" ht="14.1" customHeight="1"/>
  </sheetData>
  <mergeCells count="179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K5:K6"/>
    <mergeCell ref="L5:L6"/>
    <mergeCell ref="M5:M6"/>
    <mergeCell ref="B6:C6"/>
    <mergeCell ref="D6:G6"/>
    <mergeCell ref="A7:A8"/>
    <mergeCell ref="B7:C7"/>
    <mergeCell ref="D7:G7"/>
    <mergeCell ref="H7:H8"/>
    <mergeCell ref="I7:I8"/>
    <mergeCell ref="J7:J8"/>
    <mergeCell ref="K7:K8"/>
    <mergeCell ref="L7:L8"/>
    <mergeCell ref="M7:M8"/>
    <mergeCell ref="B8:C8"/>
    <mergeCell ref="D8:G8"/>
    <mergeCell ref="A9:A10"/>
    <mergeCell ref="B9:C9"/>
    <mergeCell ref="D9:G9"/>
    <mergeCell ref="H9:H10"/>
    <mergeCell ref="I9:I10"/>
    <mergeCell ref="J9:J10"/>
    <mergeCell ref="K9:K10"/>
    <mergeCell ref="L9:L10"/>
    <mergeCell ref="M9:M10"/>
    <mergeCell ref="B10:C10"/>
    <mergeCell ref="D10:G10"/>
    <mergeCell ref="A11:A12"/>
    <mergeCell ref="B11:C11"/>
    <mergeCell ref="D11:G11"/>
    <mergeCell ref="H11:H12"/>
    <mergeCell ref="I11:I12"/>
    <mergeCell ref="J11:J12"/>
    <mergeCell ref="K11:K12"/>
    <mergeCell ref="L11:L12"/>
    <mergeCell ref="M11:M12"/>
    <mergeCell ref="B12:C12"/>
    <mergeCell ref="D12:G12"/>
    <mergeCell ref="A13:A14"/>
    <mergeCell ref="B13:C13"/>
    <mergeCell ref="D13:G13"/>
    <mergeCell ref="H13:H14"/>
    <mergeCell ref="I13:I14"/>
    <mergeCell ref="J13:J14"/>
    <mergeCell ref="K13:K14"/>
    <mergeCell ref="L13:L14"/>
    <mergeCell ref="M13:M14"/>
    <mergeCell ref="B14:C14"/>
    <mergeCell ref="D14:G14"/>
    <mergeCell ref="A15:A16"/>
    <mergeCell ref="B15:C15"/>
    <mergeCell ref="D15:G15"/>
    <mergeCell ref="H15:H16"/>
    <mergeCell ref="I15:I16"/>
    <mergeCell ref="J15:J16"/>
    <mergeCell ref="K15:K16"/>
    <mergeCell ref="L15:L16"/>
    <mergeCell ref="M15:M16"/>
    <mergeCell ref="B16:C16"/>
    <mergeCell ref="D16:G16"/>
    <mergeCell ref="A21:A22"/>
    <mergeCell ref="B21:C21"/>
    <mergeCell ref="D21:G21"/>
    <mergeCell ref="H21:H22"/>
    <mergeCell ref="I21:I22"/>
    <mergeCell ref="A17:A18"/>
    <mergeCell ref="B17:C17"/>
    <mergeCell ref="D17:G17"/>
    <mergeCell ref="H17:H18"/>
    <mergeCell ref="I17:I18"/>
    <mergeCell ref="B22:C22"/>
    <mergeCell ref="D22:G22"/>
    <mergeCell ref="A19:A20"/>
    <mergeCell ref="K17:K18"/>
    <mergeCell ref="L17:L18"/>
    <mergeCell ref="M17:M18"/>
    <mergeCell ref="B18:C18"/>
    <mergeCell ref="D18:G18"/>
    <mergeCell ref="J17:J18"/>
    <mergeCell ref="I19:I20"/>
    <mergeCell ref="J19:J20"/>
    <mergeCell ref="I23:I24"/>
    <mergeCell ref="J23:J24"/>
    <mergeCell ref="J21:J22"/>
    <mergeCell ref="K21:K22"/>
    <mergeCell ref="L21:L22"/>
    <mergeCell ref="M21:M22"/>
    <mergeCell ref="B24:C24"/>
    <mergeCell ref="D24:G24"/>
    <mergeCell ref="K19:K20"/>
    <mergeCell ref="L19:L20"/>
    <mergeCell ref="B19:C19"/>
    <mergeCell ref="D19:G19"/>
    <mergeCell ref="H19:H20"/>
    <mergeCell ref="M19:M20"/>
    <mergeCell ref="B20:C20"/>
    <mergeCell ref="D20:G20"/>
    <mergeCell ref="A25:A26"/>
    <mergeCell ref="B25:C25"/>
    <mergeCell ref="D25:G25"/>
    <mergeCell ref="H25:H26"/>
    <mergeCell ref="A23:A24"/>
    <mergeCell ref="B23:C23"/>
    <mergeCell ref="D23:G23"/>
    <mergeCell ref="H23:H24"/>
    <mergeCell ref="K27:K28"/>
    <mergeCell ref="B26:C26"/>
    <mergeCell ref="D26:G26"/>
    <mergeCell ref="I25:I26"/>
    <mergeCell ref="D28:G28"/>
    <mergeCell ref="A27:A28"/>
    <mergeCell ref="B27:C27"/>
    <mergeCell ref="D27:G27"/>
    <mergeCell ref="H27:H28"/>
    <mergeCell ref="I27:I28"/>
    <mergeCell ref="B28:C28"/>
    <mergeCell ref="L27:L28"/>
    <mergeCell ref="M27:M28"/>
    <mergeCell ref="K23:K24"/>
    <mergeCell ref="L23:L24"/>
    <mergeCell ref="M23:M24"/>
    <mergeCell ref="J25:J26"/>
    <mergeCell ref="K25:K26"/>
    <mergeCell ref="L25:L26"/>
    <mergeCell ref="M25:M26"/>
    <mergeCell ref="J27:J28"/>
    <mergeCell ref="A29:A30"/>
    <mergeCell ref="B29:C29"/>
    <mergeCell ref="D29:G29"/>
    <mergeCell ref="H29:H30"/>
    <mergeCell ref="I29:I30"/>
    <mergeCell ref="J29:J30"/>
    <mergeCell ref="K29:K30"/>
    <mergeCell ref="M29:M30"/>
    <mergeCell ref="B30:C30"/>
    <mergeCell ref="D30:G30"/>
    <mergeCell ref="L29:L30"/>
    <mergeCell ref="A31:A32"/>
    <mergeCell ref="B31:C31"/>
    <mergeCell ref="D31:G31"/>
    <mergeCell ref="H31:H32"/>
    <mergeCell ref="I31:I32"/>
    <mergeCell ref="J31:J32"/>
    <mergeCell ref="A33:A34"/>
    <mergeCell ref="B33:C33"/>
    <mergeCell ref="D33:G33"/>
    <mergeCell ref="H33:H34"/>
    <mergeCell ref="I33:I34"/>
    <mergeCell ref="J33:J34"/>
    <mergeCell ref="K33:K34"/>
    <mergeCell ref="L33:L34"/>
    <mergeCell ref="B34:C34"/>
    <mergeCell ref="D34:G34"/>
    <mergeCell ref="K31:K32"/>
    <mergeCell ref="L31:L32"/>
    <mergeCell ref="M31:M32"/>
    <mergeCell ref="B32:C32"/>
    <mergeCell ref="D32:G32"/>
    <mergeCell ref="M33:M34"/>
  </mergeCells>
  <phoneticPr fontId="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37322-7F62-46B2-81D3-8AE86434AADD}">
  <sheetPr>
    <tabColor rgb="FF00B050"/>
    <pageSetUpPr fitToPage="1"/>
  </sheetPr>
  <dimension ref="A1:N51"/>
  <sheetViews>
    <sheetView zoomScale="110" zoomScaleNormal="110" workbookViewId="0">
      <selection activeCell="Q11" sqref="Q11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28" t="s">
        <v>420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30"/>
    </row>
    <row r="2" spans="1:14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  <c r="N2" s="9" t="s">
        <v>229</v>
      </c>
    </row>
    <row r="3" spans="1:14" s="1" customFormat="1" ht="14.1" customHeight="1">
      <c r="A3" s="71">
        <v>1</v>
      </c>
      <c r="B3" s="40" t="s">
        <v>136</v>
      </c>
      <c r="C3" s="41"/>
      <c r="D3" s="100" t="s">
        <v>135</v>
      </c>
      <c r="E3" s="101"/>
      <c r="F3" s="101"/>
      <c r="G3" s="102"/>
      <c r="H3" s="24">
        <f>SUM(I3)-2.9</f>
        <v>30</v>
      </c>
      <c r="I3" s="24">
        <f>SUM(J3)-2.9</f>
        <v>32.9</v>
      </c>
      <c r="J3" s="75">
        <v>35.799999999999997</v>
      </c>
      <c r="K3" s="76">
        <f>SUM(J3)+2.4</f>
        <v>38.199999999999996</v>
      </c>
      <c r="L3" s="76">
        <f>SUM(K3)+2.4</f>
        <v>40.599999999999994</v>
      </c>
      <c r="M3" s="76">
        <f>SUM(L3)+2.4</f>
        <v>42.999999999999993</v>
      </c>
      <c r="N3" s="171">
        <f>SUM(M3)+2.4</f>
        <v>45.399999999999991</v>
      </c>
    </row>
    <row r="4" spans="1:14" s="1" customFormat="1" ht="14.1" customHeight="1">
      <c r="A4" s="38"/>
      <c r="B4" s="56" t="s">
        <v>36</v>
      </c>
      <c r="C4" s="56"/>
      <c r="D4" s="47" t="s">
        <v>134</v>
      </c>
      <c r="E4" s="48"/>
      <c r="F4" s="48"/>
      <c r="G4" s="48"/>
      <c r="H4" s="36"/>
      <c r="I4" s="36"/>
      <c r="J4" s="33"/>
      <c r="K4" s="24"/>
      <c r="L4" s="24"/>
      <c r="M4" s="24"/>
      <c r="N4" s="121"/>
    </row>
    <row r="5" spans="1:14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SUM(I5)-1.8</f>
        <v>28.4</v>
      </c>
      <c r="I5" s="24">
        <f>SUM(J5)-1.8</f>
        <v>30.2</v>
      </c>
      <c r="J5" s="23">
        <v>32</v>
      </c>
      <c r="K5" s="21">
        <f>SUM(J5)+1.6</f>
        <v>33.6</v>
      </c>
      <c r="L5" s="21">
        <f>SUM(K5)+1.6</f>
        <v>35.200000000000003</v>
      </c>
      <c r="M5" s="21">
        <f>SUM(L5)+1.6</f>
        <v>36.800000000000004</v>
      </c>
      <c r="N5" s="123">
        <f>SUM(M5)+1.6</f>
        <v>38.400000000000006</v>
      </c>
    </row>
    <row r="6" spans="1:14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23"/>
      <c r="K6" s="21"/>
      <c r="L6" s="21"/>
      <c r="M6" s="21"/>
      <c r="N6" s="123"/>
    </row>
    <row r="7" spans="1:14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33.5</v>
      </c>
      <c r="I7" s="24">
        <f>SUM(J7)-2.25</f>
        <v>35.75</v>
      </c>
      <c r="J7" s="23">
        <v>38</v>
      </c>
      <c r="K7" s="21">
        <f>SUM(J7)+2</f>
        <v>40</v>
      </c>
      <c r="L7" s="21">
        <f>SUM(K7)+2</f>
        <v>42</v>
      </c>
      <c r="M7" s="21">
        <f>SUM(L7)+2</f>
        <v>44</v>
      </c>
      <c r="N7" s="123">
        <f>SUM(M7)+2</f>
        <v>46</v>
      </c>
    </row>
    <row r="8" spans="1:14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23"/>
      <c r="K8" s="21"/>
      <c r="L8" s="21"/>
      <c r="M8" s="21"/>
      <c r="N8" s="123"/>
    </row>
    <row r="9" spans="1:14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SUM(I9)-2.25</f>
        <v>33.5</v>
      </c>
      <c r="I9" s="24">
        <f>SUM(J9)-2.25</f>
        <v>35.75</v>
      </c>
      <c r="J9" s="23">
        <v>38</v>
      </c>
      <c r="K9" s="21">
        <f>SUM(J9)+2</f>
        <v>40</v>
      </c>
      <c r="L9" s="21">
        <f>SUM(K9)+2</f>
        <v>42</v>
      </c>
      <c r="M9" s="21">
        <f>SUM(L9)+2</f>
        <v>44</v>
      </c>
      <c r="N9" s="123">
        <f>SUM(M9)+2</f>
        <v>46</v>
      </c>
    </row>
    <row r="10" spans="1:14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23"/>
      <c r="K10" s="21"/>
      <c r="L10" s="21"/>
      <c r="M10" s="21"/>
      <c r="N10" s="123"/>
    </row>
    <row r="11" spans="1:14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SUM(I11)-0.8</f>
        <v>15.599999999999998</v>
      </c>
      <c r="I11" s="24">
        <f>SUM(J11)-0.8</f>
        <v>16.399999999999999</v>
      </c>
      <c r="J11" s="23">
        <v>17.2</v>
      </c>
      <c r="K11" s="21">
        <f>SUM(J11)+0.8</f>
        <v>18</v>
      </c>
      <c r="L11" s="21">
        <f>SUM(K11)+0.8</f>
        <v>18.8</v>
      </c>
      <c r="M11" s="21">
        <f>SUM(L11)+0.8</f>
        <v>19.600000000000001</v>
      </c>
      <c r="N11" s="123">
        <f>SUM(M11)+0.8</f>
        <v>20.400000000000002</v>
      </c>
    </row>
    <row r="12" spans="1:14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1"/>
      <c r="N12" s="123"/>
    </row>
    <row r="13" spans="1:14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10.8</v>
      </c>
      <c r="I13" s="24">
        <f>SUM(J13)-0.6</f>
        <v>11.4</v>
      </c>
      <c r="J13" s="23">
        <v>12</v>
      </c>
      <c r="K13" s="21">
        <f>SUM(J13)+0.6</f>
        <v>12.6</v>
      </c>
      <c r="L13" s="21">
        <f>SUM(K13)+0.6</f>
        <v>13.2</v>
      </c>
      <c r="M13" s="21">
        <f>SUM(L13)+0.6</f>
        <v>13.799999999999999</v>
      </c>
      <c r="N13" s="123">
        <f>SUM(M13)+0.6</f>
        <v>14.399999999999999</v>
      </c>
    </row>
    <row r="14" spans="1:14" s="1" customFormat="1" ht="14.1" customHeight="1">
      <c r="A14" s="38"/>
      <c r="B14" s="56" t="s">
        <v>29</v>
      </c>
      <c r="C14" s="56"/>
      <c r="D14" s="47" t="s">
        <v>52</v>
      </c>
      <c r="E14" s="48"/>
      <c r="F14" s="48"/>
      <c r="G14" s="49"/>
      <c r="H14" s="36"/>
      <c r="I14" s="36"/>
      <c r="J14" s="23"/>
      <c r="K14" s="21"/>
      <c r="L14" s="21"/>
      <c r="M14" s="21"/>
      <c r="N14" s="123"/>
    </row>
    <row r="15" spans="1:14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6</v>
      </c>
      <c r="I15" s="24">
        <f>SUM(J15)-0.3</f>
        <v>6.3</v>
      </c>
      <c r="J15" s="23">
        <v>6.6</v>
      </c>
      <c r="K15" s="21">
        <f>SUM(J15)+0.3</f>
        <v>6.8999999999999995</v>
      </c>
      <c r="L15" s="21">
        <f>SUM(K15)+0.3</f>
        <v>7.1999999999999993</v>
      </c>
      <c r="M15" s="21">
        <f>SUM(L15)+0.3</f>
        <v>7.4999999999999991</v>
      </c>
      <c r="N15" s="123">
        <f>SUM(M15)+0.3</f>
        <v>7.7999999999999989</v>
      </c>
    </row>
    <row r="16" spans="1:14" s="1" customFormat="1" ht="14.1" customHeight="1">
      <c r="A16" s="38"/>
      <c r="B16" s="56" t="s">
        <v>30</v>
      </c>
      <c r="C16" s="56"/>
      <c r="D16" s="47" t="s">
        <v>53</v>
      </c>
      <c r="E16" s="48"/>
      <c r="F16" s="48"/>
      <c r="G16" s="49"/>
      <c r="H16" s="36"/>
      <c r="I16" s="36"/>
      <c r="J16" s="23"/>
      <c r="K16" s="21"/>
      <c r="L16" s="21"/>
      <c r="M16" s="21"/>
      <c r="N16" s="123"/>
    </row>
    <row r="17" spans="1:14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30.099999999999994</v>
      </c>
      <c r="I17" s="24">
        <f>SUM(J17)-1.6</f>
        <v>31.699999999999996</v>
      </c>
      <c r="J17" s="23">
        <v>33.299999999999997</v>
      </c>
      <c r="K17" s="21">
        <f>SUM(J17)+1.6</f>
        <v>34.9</v>
      </c>
      <c r="L17" s="21">
        <f>SUM(K17)+1.6</f>
        <v>36.5</v>
      </c>
      <c r="M17" s="21">
        <f>SUM(L17)+1.6</f>
        <v>38.1</v>
      </c>
      <c r="N17" s="123">
        <f>SUM(M17)+1.6</f>
        <v>39.700000000000003</v>
      </c>
    </row>
    <row r="18" spans="1:14" s="1" customFormat="1" ht="14.1" customHeight="1">
      <c r="A18" s="38"/>
      <c r="B18" s="56" t="s">
        <v>37</v>
      </c>
      <c r="C18" s="56"/>
      <c r="D18" s="47" t="s">
        <v>107</v>
      </c>
      <c r="E18" s="48"/>
      <c r="F18" s="48"/>
      <c r="G18" s="49"/>
      <c r="H18" s="36"/>
      <c r="I18" s="36"/>
      <c r="J18" s="23"/>
      <c r="K18" s="21"/>
      <c r="L18" s="21"/>
      <c r="M18" s="21"/>
      <c r="N18" s="123"/>
    </row>
    <row r="19" spans="1:14" s="1" customFormat="1" ht="14.1" customHeight="1">
      <c r="A19" s="38">
        <v>9</v>
      </c>
      <c r="B19" s="51" t="s">
        <v>87</v>
      </c>
      <c r="C19" s="52"/>
      <c r="D19" s="101" t="s">
        <v>88</v>
      </c>
      <c r="E19" s="101"/>
      <c r="F19" s="101"/>
      <c r="G19" s="101"/>
      <c r="H19" s="24">
        <f>SUM(I19)-0.1</f>
        <v>1.2999999999999998</v>
      </c>
      <c r="I19" s="24">
        <f>SUM(J19)-0.1</f>
        <v>1.4</v>
      </c>
      <c r="J19" s="23">
        <v>1.5</v>
      </c>
      <c r="K19" s="21">
        <f>SUM(J19)+0.1</f>
        <v>1.6</v>
      </c>
      <c r="L19" s="21">
        <f>SUM(K19)+0.1</f>
        <v>1.7000000000000002</v>
      </c>
      <c r="M19" s="21">
        <f>SUM(L19)+0.1</f>
        <v>1.8000000000000003</v>
      </c>
      <c r="N19" s="123">
        <f>SUM(M19)+0.1</f>
        <v>1.9000000000000004</v>
      </c>
    </row>
    <row r="20" spans="1:14" s="1" customFormat="1" ht="14.1" customHeight="1">
      <c r="A20" s="38"/>
      <c r="B20" s="56" t="s">
        <v>38</v>
      </c>
      <c r="C20" s="56"/>
      <c r="D20" s="47" t="s">
        <v>65</v>
      </c>
      <c r="E20" s="48"/>
      <c r="F20" s="48"/>
      <c r="G20" s="49"/>
      <c r="H20" s="36"/>
      <c r="I20" s="36"/>
      <c r="J20" s="23"/>
      <c r="K20" s="21"/>
      <c r="L20" s="21"/>
      <c r="M20" s="21"/>
      <c r="N20" s="123"/>
    </row>
    <row r="21" spans="1:14" s="1" customFormat="1" ht="13.5" customHeight="1">
      <c r="A21" s="38">
        <v>10</v>
      </c>
      <c r="B21" s="51" t="s">
        <v>89</v>
      </c>
      <c r="C21" s="52"/>
      <c r="D21" s="101" t="s">
        <v>11</v>
      </c>
      <c r="E21" s="101"/>
      <c r="F21" s="101"/>
      <c r="G21" s="101"/>
      <c r="H21" s="24">
        <f>SUM(I21)-0.2</f>
        <v>5</v>
      </c>
      <c r="I21" s="24">
        <f>SUM(J21)-0.2</f>
        <v>5.2</v>
      </c>
      <c r="J21" s="23">
        <v>5.4</v>
      </c>
      <c r="K21" s="21">
        <f>SUM(J21)+0.2</f>
        <v>5.6000000000000005</v>
      </c>
      <c r="L21" s="21">
        <f>SUM(K21)+0.2</f>
        <v>5.8000000000000007</v>
      </c>
      <c r="M21" s="21">
        <f>SUM(L21)+0.2</f>
        <v>6.0000000000000009</v>
      </c>
      <c r="N21" s="123">
        <f>SUM(M21)+0.2</f>
        <v>6.2000000000000011</v>
      </c>
    </row>
    <row r="22" spans="1:14" s="1" customFormat="1" ht="14.1" customHeight="1">
      <c r="A22" s="38"/>
      <c r="B22" s="56" t="s">
        <v>39</v>
      </c>
      <c r="C22" s="56"/>
      <c r="D22" s="47" t="s">
        <v>66</v>
      </c>
      <c r="E22" s="48"/>
      <c r="F22" s="48"/>
      <c r="G22" s="49"/>
      <c r="H22" s="36"/>
      <c r="I22" s="36"/>
      <c r="J22" s="23"/>
      <c r="K22" s="21"/>
      <c r="L22" s="21"/>
      <c r="M22" s="21"/>
      <c r="N22" s="123"/>
    </row>
    <row r="23" spans="1:14" s="1" customFormat="1" ht="14.1" customHeight="1">
      <c r="A23" s="154">
        <v>11</v>
      </c>
      <c r="B23" s="51" t="s">
        <v>90</v>
      </c>
      <c r="C23" s="52"/>
      <c r="D23" s="59" t="s">
        <v>12</v>
      </c>
      <c r="E23" s="60"/>
      <c r="F23" s="60"/>
      <c r="G23" s="61"/>
      <c r="H23" s="24"/>
      <c r="I23" s="24"/>
      <c r="J23" s="33"/>
      <c r="K23" s="24"/>
      <c r="L23" s="24"/>
      <c r="M23" s="24"/>
      <c r="N23" s="121"/>
    </row>
    <row r="24" spans="1:14" s="1" customFormat="1" ht="14.1" customHeight="1">
      <c r="A24" s="71"/>
      <c r="B24" s="45" t="s">
        <v>40</v>
      </c>
      <c r="C24" s="46"/>
      <c r="D24" s="47" t="s">
        <v>67</v>
      </c>
      <c r="E24" s="48"/>
      <c r="F24" s="48"/>
      <c r="G24" s="49"/>
      <c r="H24" s="36"/>
      <c r="I24" s="36"/>
      <c r="J24" s="35"/>
      <c r="K24" s="36"/>
      <c r="L24" s="36"/>
      <c r="M24" s="36"/>
      <c r="N24" s="122"/>
    </row>
    <row r="25" spans="1:14" s="1" customFormat="1" ht="14.1" customHeight="1">
      <c r="A25" s="38">
        <v>12</v>
      </c>
      <c r="B25" s="51" t="s">
        <v>4</v>
      </c>
      <c r="C25" s="52"/>
      <c r="D25" s="57" t="s">
        <v>5</v>
      </c>
      <c r="E25" s="57"/>
      <c r="F25" s="57"/>
      <c r="G25" s="57"/>
      <c r="H25" s="24">
        <f>SUM(I25)-3.6</f>
        <v>31.099999999999994</v>
      </c>
      <c r="I25" s="24">
        <f>SUM(J25)-3.6</f>
        <v>34.699999999999996</v>
      </c>
      <c r="J25" s="23">
        <v>38.299999999999997</v>
      </c>
      <c r="K25" s="21">
        <f>SUM(J25)+3.7</f>
        <v>42</v>
      </c>
      <c r="L25" s="21">
        <f>SUM(K25)+3.7</f>
        <v>45.7</v>
      </c>
      <c r="M25" s="21">
        <f>SUM(L25)+3.7</f>
        <v>49.400000000000006</v>
      </c>
      <c r="N25" s="123">
        <f>SUM(M25)+3.7</f>
        <v>53.100000000000009</v>
      </c>
    </row>
    <row r="26" spans="1:14" s="1" customFormat="1" ht="14.1" customHeight="1">
      <c r="A26" s="38"/>
      <c r="B26" s="56" t="s">
        <v>31</v>
      </c>
      <c r="C26" s="56"/>
      <c r="D26" s="47" t="s">
        <v>54</v>
      </c>
      <c r="E26" s="48"/>
      <c r="F26" s="48"/>
      <c r="G26" s="49"/>
      <c r="H26" s="36"/>
      <c r="I26" s="36"/>
      <c r="J26" s="23"/>
      <c r="K26" s="21"/>
      <c r="L26" s="21"/>
      <c r="M26" s="21"/>
      <c r="N26" s="123"/>
    </row>
    <row r="27" spans="1:14" s="1" customFormat="1" ht="14.1" customHeight="1">
      <c r="A27" s="38">
        <v>13</v>
      </c>
      <c r="B27" s="51" t="s">
        <v>6</v>
      </c>
      <c r="C27" s="52"/>
      <c r="D27" s="59" t="s">
        <v>7</v>
      </c>
      <c r="E27" s="60"/>
      <c r="F27" s="60"/>
      <c r="G27" s="61"/>
      <c r="H27" s="24">
        <f>SUM(I27)-1.5</f>
        <v>30</v>
      </c>
      <c r="I27" s="24">
        <f>SUM(J27)-1.5</f>
        <v>31.5</v>
      </c>
      <c r="J27" s="23">
        <v>33</v>
      </c>
      <c r="K27" s="21">
        <f>SUM(J27)+1.5</f>
        <v>34.5</v>
      </c>
      <c r="L27" s="21">
        <f>SUM(K27)+1.5</f>
        <v>36</v>
      </c>
      <c r="M27" s="21">
        <f>SUM(L27)+1.5</f>
        <v>37.5</v>
      </c>
      <c r="N27" s="123">
        <f>SUM(M27)+1.5</f>
        <v>39</v>
      </c>
    </row>
    <row r="28" spans="1:14" s="1" customFormat="1" ht="14.1" customHeight="1">
      <c r="A28" s="38"/>
      <c r="B28" s="56" t="s">
        <v>32</v>
      </c>
      <c r="C28" s="56"/>
      <c r="D28" s="47" t="s">
        <v>76</v>
      </c>
      <c r="E28" s="48"/>
      <c r="F28" s="48"/>
      <c r="G28" s="49"/>
      <c r="H28" s="36"/>
      <c r="I28" s="36"/>
      <c r="J28" s="23"/>
      <c r="K28" s="21"/>
      <c r="L28" s="21"/>
      <c r="M28" s="21"/>
      <c r="N28" s="123"/>
    </row>
    <row r="29" spans="1:14" s="1" customFormat="1" ht="14.1" customHeight="1">
      <c r="A29" s="38">
        <v>14</v>
      </c>
      <c r="B29" s="51" t="s">
        <v>77</v>
      </c>
      <c r="C29" s="52"/>
      <c r="D29" s="57" t="s">
        <v>78</v>
      </c>
      <c r="E29" s="57"/>
      <c r="F29" s="57"/>
      <c r="G29" s="57"/>
      <c r="H29" s="24">
        <f>SUM(I29)-1</f>
        <v>16.5</v>
      </c>
      <c r="I29" s="24">
        <f>SUM(J29)-1</f>
        <v>17.5</v>
      </c>
      <c r="J29" s="23">
        <v>18.5</v>
      </c>
      <c r="K29" s="21">
        <f>SUM(J29)+1</f>
        <v>19.5</v>
      </c>
      <c r="L29" s="21">
        <f>SUM(K29)+1</f>
        <v>20.5</v>
      </c>
      <c r="M29" s="21">
        <f>SUM(L29)+1</f>
        <v>21.5</v>
      </c>
      <c r="N29" s="123">
        <f>SUM(M29)+1</f>
        <v>22.5</v>
      </c>
    </row>
    <row r="30" spans="1:14" s="1" customFormat="1" ht="14.1" customHeight="1">
      <c r="A30" s="38"/>
      <c r="B30" s="56" t="s">
        <v>33</v>
      </c>
      <c r="C30" s="56"/>
      <c r="D30" s="89" t="s">
        <v>421</v>
      </c>
      <c r="E30" s="90"/>
      <c r="F30" s="90"/>
      <c r="G30" s="91"/>
      <c r="H30" s="36"/>
      <c r="I30" s="36"/>
      <c r="J30" s="23"/>
      <c r="K30" s="21"/>
      <c r="L30" s="21"/>
      <c r="M30" s="21"/>
      <c r="N30" s="123"/>
    </row>
    <row r="31" spans="1:14" s="1" customFormat="1" ht="14.1" customHeight="1">
      <c r="A31" s="154"/>
      <c r="B31" s="51"/>
      <c r="C31" s="52"/>
      <c r="D31" s="59"/>
      <c r="E31" s="60"/>
      <c r="F31" s="60"/>
      <c r="G31" s="61"/>
      <c r="H31" s="24"/>
      <c r="I31" s="24"/>
      <c r="J31" s="33"/>
      <c r="K31" s="24"/>
      <c r="L31" s="24"/>
      <c r="M31" s="24"/>
      <c r="N31" s="121"/>
    </row>
    <row r="32" spans="1:14" s="1" customFormat="1" ht="14.1" customHeight="1">
      <c r="A32" s="71"/>
      <c r="B32" s="45"/>
      <c r="C32" s="46"/>
      <c r="D32" s="47"/>
      <c r="E32" s="48"/>
      <c r="F32" s="48"/>
      <c r="G32" s="49"/>
      <c r="H32" s="36"/>
      <c r="I32" s="36"/>
      <c r="J32" s="35"/>
      <c r="K32" s="36"/>
      <c r="L32" s="36"/>
      <c r="M32" s="36"/>
      <c r="N32" s="122"/>
    </row>
    <row r="33" spans="1:14" s="1" customFormat="1" ht="14.1" customHeight="1">
      <c r="A33" s="154"/>
      <c r="B33" s="51"/>
      <c r="C33" s="52"/>
      <c r="D33" s="59"/>
      <c r="E33" s="60"/>
      <c r="F33" s="60"/>
      <c r="G33" s="61"/>
      <c r="H33" s="24"/>
      <c r="I33" s="24"/>
      <c r="J33" s="33"/>
      <c r="K33" s="24"/>
      <c r="L33" s="24"/>
      <c r="M33" s="24"/>
      <c r="N33" s="121"/>
    </row>
    <row r="34" spans="1:14" s="1" customFormat="1" ht="14.1" customHeight="1" thickBot="1">
      <c r="A34" s="168"/>
      <c r="B34" s="28"/>
      <c r="C34" s="29"/>
      <c r="D34" s="30"/>
      <c r="E34" s="31"/>
      <c r="F34" s="31"/>
      <c r="G34" s="32"/>
      <c r="H34" s="25"/>
      <c r="I34" s="25"/>
      <c r="J34" s="34"/>
      <c r="K34" s="25"/>
      <c r="L34" s="25"/>
      <c r="M34" s="25"/>
      <c r="N34" s="124"/>
    </row>
    <row r="35" spans="1:14" ht="14.1" customHeight="1"/>
    <row r="36" spans="1:14" ht="14.1" customHeight="1"/>
    <row r="37" spans="1:14" ht="14.1" customHeight="1"/>
    <row r="38" spans="1:14" ht="14.1" customHeight="1"/>
    <row r="39" spans="1:14" ht="14.1" customHeight="1"/>
    <row r="40" spans="1:14" ht="14.1" customHeight="1">
      <c r="B40" s="6"/>
      <c r="C40" s="6"/>
      <c r="D40" s="6"/>
      <c r="E40" s="6"/>
      <c r="F40" s="6"/>
      <c r="G40" s="6"/>
    </row>
    <row r="41" spans="1:14" ht="14.1" customHeight="1">
      <c r="B41" s="6"/>
      <c r="C41" s="6"/>
      <c r="D41" s="6"/>
      <c r="E41" s="6"/>
      <c r="F41" s="6"/>
      <c r="G41" s="6"/>
    </row>
    <row r="42" spans="1:14" ht="14.1" customHeight="1">
      <c r="B42" s="6"/>
      <c r="C42" s="6"/>
      <c r="D42" s="6"/>
      <c r="E42" s="6"/>
      <c r="F42" s="6"/>
      <c r="G42" s="6"/>
    </row>
    <row r="43" spans="1:14" ht="14.1" customHeight="1">
      <c r="B43" s="6"/>
      <c r="C43" s="6"/>
      <c r="D43" s="6"/>
      <c r="E43" s="6"/>
      <c r="F43" s="6"/>
      <c r="G43" s="6"/>
    </row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195">
    <mergeCell ref="N23:N24"/>
    <mergeCell ref="N25:N26"/>
    <mergeCell ref="N27:N28"/>
    <mergeCell ref="N29:N30"/>
    <mergeCell ref="N31:N32"/>
    <mergeCell ref="N33:N3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L3:L4"/>
    <mergeCell ref="M3:M4"/>
    <mergeCell ref="B4:C4"/>
    <mergeCell ref="D4:G4"/>
    <mergeCell ref="A1:N1"/>
    <mergeCell ref="N3:N4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FA6CC-A5FA-4141-B96B-655619982434}">
  <sheetPr codeName="Sheet116">
    <tabColor rgb="FF00B050"/>
    <pageSetUpPr fitToPage="1"/>
  </sheetPr>
  <dimension ref="A1:M49"/>
  <sheetViews>
    <sheetView zoomScale="110" zoomScaleNormal="110" workbookViewId="0">
      <selection activeCell="D10" sqref="D10:G1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349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24">
        <f>SUM(I3)-3.5</f>
        <v>36</v>
      </c>
      <c r="I3" s="24">
        <f>SUM(J3)-3.5</f>
        <v>39.5</v>
      </c>
      <c r="J3" s="75">
        <v>43</v>
      </c>
      <c r="K3" s="76">
        <f>SUM(J3)+3</f>
        <v>46</v>
      </c>
      <c r="L3" s="76">
        <f>SUM(K3)+3</f>
        <v>49</v>
      </c>
      <c r="M3" s="77">
        <f>SUM(L3)+3</f>
        <v>52</v>
      </c>
    </row>
    <row r="4" spans="1:13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24"/>
      <c r="L4" s="24"/>
      <c r="M4" s="26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/>
      <c r="I5" s="24"/>
      <c r="J5" s="33"/>
      <c r="K5" s="24"/>
      <c r="L5" s="24"/>
      <c r="M5" s="26"/>
    </row>
    <row r="6" spans="1:13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37"/>
    </row>
    <row r="7" spans="1:13" s="1" customFormat="1" ht="13.5" customHeight="1">
      <c r="A7" s="38">
        <v>3</v>
      </c>
      <c r="B7" s="164" t="s">
        <v>101</v>
      </c>
      <c r="C7" s="165"/>
      <c r="D7" s="100" t="s">
        <v>102</v>
      </c>
      <c r="E7" s="101"/>
      <c r="F7" s="101"/>
      <c r="G7" s="102"/>
      <c r="H7" s="24">
        <f>SUM(I7)-4.5</f>
        <v>45</v>
      </c>
      <c r="I7" s="24">
        <f>SUM(J7)-4.5</f>
        <v>49.5</v>
      </c>
      <c r="J7" s="23">
        <v>54</v>
      </c>
      <c r="K7" s="21">
        <f>SUM(J7)+4.5</f>
        <v>58.5</v>
      </c>
      <c r="L7" s="21">
        <f>SUM(K7)+4.5</f>
        <v>63</v>
      </c>
      <c r="M7" s="22">
        <f>SUM(L7)+4.5</f>
        <v>67.5</v>
      </c>
    </row>
    <row r="8" spans="1:13" s="1" customFormat="1" ht="14.1" customHeight="1">
      <c r="A8" s="38"/>
      <c r="B8" s="45" t="s">
        <v>99</v>
      </c>
      <c r="C8" s="46"/>
      <c r="D8" s="47" t="s">
        <v>100</v>
      </c>
      <c r="E8" s="48"/>
      <c r="F8" s="48"/>
      <c r="G8" s="49"/>
      <c r="H8" s="36"/>
      <c r="I8" s="36"/>
      <c r="J8" s="23"/>
      <c r="K8" s="21"/>
      <c r="L8" s="21"/>
      <c r="M8" s="22"/>
    </row>
    <row r="9" spans="1:13" s="1" customFormat="1" ht="14.1" customHeight="1">
      <c r="A9" s="38">
        <v>4</v>
      </c>
      <c r="B9" s="58" t="s">
        <v>41</v>
      </c>
      <c r="C9" s="58"/>
      <c r="D9" s="57" t="s">
        <v>84</v>
      </c>
      <c r="E9" s="57"/>
      <c r="F9" s="57"/>
      <c r="G9" s="57"/>
      <c r="H9" s="24">
        <f>SUM(I9)-2.25</f>
        <v>35.5</v>
      </c>
      <c r="I9" s="24">
        <f>SUM(J9)-2.25</f>
        <v>37.75</v>
      </c>
      <c r="J9" s="33">
        <v>40</v>
      </c>
      <c r="K9" s="24">
        <f>SUM(J9)+2</f>
        <v>42</v>
      </c>
      <c r="L9" s="24">
        <f>SUM(K9)+2</f>
        <v>44</v>
      </c>
      <c r="M9" s="26">
        <f>SUM(L9)+2</f>
        <v>46</v>
      </c>
    </row>
    <row r="10" spans="1:13" s="1" customFormat="1" ht="14.1" customHeight="1">
      <c r="A10" s="38"/>
      <c r="B10" s="56" t="s">
        <v>46</v>
      </c>
      <c r="C10" s="56"/>
      <c r="D10" s="47" t="s">
        <v>49</v>
      </c>
      <c r="E10" s="48"/>
      <c r="F10" s="48"/>
      <c r="G10" s="49"/>
      <c r="H10" s="36"/>
      <c r="I10" s="36"/>
      <c r="J10" s="35"/>
      <c r="K10" s="36"/>
      <c r="L10" s="36"/>
      <c r="M10" s="37"/>
    </row>
    <row r="11" spans="1:13" s="1" customFormat="1" ht="14.1" customHeight="1">
      <c r="A11" s="38">
        <v>5</v>
      </c>
      <c r="B11" s="58" t="s">
        <v>47</v>
      </c>
      <c r="C11" s="58"/>
      <c r="D11" s="57" t="s">
        <v>8</v>
      </c>
      <c r="E11" s="57"/>
      <c r="F11" s="57"/>
      <c r="G11" s="57"/>
      <c r="H11" s="24">
        <f>SUM(I11)-1.8</f>
        <v>28.4</v>
      </c>
      <c r="I11" s="24">
        <f>SUM(J11)-1.8</f>
        <v>30.2</v>
      </c>
      <c r="J11" s="33">
        <v>32</v>
      </c>
      <c r="K11" s="24">
        <f>SUM(J11)+1.6</f>
        <v>33.6</v>
      </c>
      <c r="L11" s="24">
        <f>SUM(K11)+1.6</f>
        <v>35.200000000000003</v>
      </c>
      <c r="M11" s="26">
        <f>SUM(L11)+1.6</f>
        <v>36.800000000000004</v>
      </c>
    </row>
    <row r="12" spans="1:13" s="1" customFormat="1" ht="14.1" customHeight="1">
      <c r="A12" s="38"/>
      <c r="B12" s="56" t="s">
        <v>27</v>
      </c>
      <c r="C12" s="56"/>
      <c r="D12" s="47" t="s">
        <v>50</v>
      </c>
      <c r="E12" s="48"/>
      <c r="F12" s="48"/>
      <c r="G12" s="49"/>
      <c r="H12" s="36"/>
      <c r="I12" s="36"/>
      <c r="J12" s="35"/>
      <c r="K12" s="36"/>
      <c r="L12" s="36"/>
      <c r="M12" s="37"/>
    </row>
    <row r="13" spans="1:13" s="1" customFormat="1" ht="14.1" customHeight="1">
      <c r="A13" s="38">
        <v>6</v>
      </c>
      <c r="B13" s="58" t="s">
        <v>10</v>
      </c>
      <c r="C13" s="58"/>
      <c r="D13" s="57" t="s">
        <v>0</v>
      </c>
      <c r="E13" s="57"/>
      <c r="F13" s="57"/>
      <c r="G13" s="57"/>
      <c r="H13" s="24"/>
      <c r="I13" s="24"/>
      <c r="J13" s="23"/>
      <c r="K13" s="21"/>
      <c r="L13" s="21"/>
      <c r="M13" s="22"/>
    </row>
    <row r="14" spans="1:13" s="1" customFormat="1" ht="14.1" customHeight="1">
      <c r="A14" s="38"/>
      <c r="B14" s="56" t="s">
        <v>28</v>
      </c>
      <c r="C14" s="56"/>
      <c r="D14" s="47" t="s">
        <v>51</v>
      </c>
      <c r="E14" s="48"/>
      <c r="F14" s="48"/>
      <c r="G14" s="49"/>
      <c r="H14" s="36"/>
      <c r="I14" s="36"/>
      <c r="J14" s="23"/>
      <c r="K14" s="21"/>
      <c r="L14" s="21"/>
      <c r="M14" s="22"/>
    </row>
    <row r="15" spans="1:13" s="1" customFormat="1" ht="14.1" customHeight="1">
      <c r="A15" s="38">
        <v>7</v>
      </c>
      <c r="B15" s="58" t="s">
        <v>1</v>
      </c>
      <c r="C15" s="58"/>
      <c r="D15" s="57" t="s">
        <v>180</v>
      </c>
      <c r="E15" s="57"/>
      <c r="F15" s="57"/>
      <c r="G15" s="57"/>
      <c r="H15" s="24">
        <f>SUM(I15)-0.6</f>
        <v>15.999999999999998</v>
      </c>
      <c r="I15" s="24">
        <f>SUM(J15)-0.6</f>
        <v>16.599999999999998</v>
      </c>
      <c r="J15" s="23">
        <v>17.2</v>
      </c>
      <c r="K15" s="21">
        <f>SUM(J15)+0.6</f>
        <v>17.8</v>
      </c>
      <c r="L15" s="21">
        <f>SUM(K15)+0.6</f>
        <v>18.400000000000002</v>
      </c>
      <c r="M15" s="22">
        <f>SUM(L15)+0.6</f>
        <v>19.000000000000004</v>
      </c>
    </row>
    <row r="16" spans="1:13" s="1" customFormat="1" ht="14.1" customHeight="1">
      <c r="A16" s="38"/>
      <c r="B16" s="56" t="s">
        <v>29</v>
      </c>
      <c r="C16" s="56"/>
      <c r="D16" s="47" t="s">
        <v>154</v>
      </c>
      <c r="E16" s="48"/>
      <c r="F16" s="48"/>
      <c r="G16" s="49"/>
      <c r="H16" s="36"/>
      <c r="I16" s="36"/>
      <c r="J16" s="23"/>
      <c r="K16" s="21"/>
      <c r="L16" s="21"/>
      <c r="M16" s="22"/>
    </row>
    <row r="17" spans="1:13" s="1" customFormat="1" ht="14.1" customHeight="1">
      <c r="A17" s="38">
        <v>8</v>
      </c>
      <c r="B17" s="58" t="s">
        <v>2</v>
      </c>
      <c r="C17" s="58"/>
      <c r="D17" s="57" t="s">
        <v>3</v>
      </c>
      <c r="E17" s="57"/>
      <c r="F17" s="57"/>
      <c r="G17" s="57"/>
      <c r="H17" s="24">
        <f>SUM(I17)-0.3</f>
        <v>6.2</v>
      </c>
      <c r="I17" s="24">
        <f>SUM(J17)-0.3</f>
        <v>6.5</v>
      </c>
      <c r="J17" s="23">
        <v>6.8</v>
      </c>
      <c r="K17" s="21">
        <f>SUM(J17)+0.3</f>
        <v>7.1</v>
      </c>
      <c r="L17" s="21">
        <f>SUM(K17)+0.3</f>
        <v>7.3999999999999995</v>
      </c>
      <c r="M17" s="22">
        <f>SUM(L17)+0.3</f>
        <v>7.6999999999999993</v>
      </c>
    </row>
    <row r="18" spans="1:13" s="1" customFormat="1" ht="14.1" customHeight="1">
      <c r="A18" s="38"/>
      <c r="B18" s="56" t="s">
        <v>30</v>
      </c>
      <c r="C18" s="56"/>
      <c r="D18" s="47" t="s">
        <v>155</v>
      </c>
      <c r="E18" s="48"/>
      <c r="F18" s="48"/>
      <c r="G18" s="49"/>
      <c r="H18" s="36"/>
      <c r="I18" s="36"/>
      <c r="J18" s="23"/>
      <c r="K18" s="21"/>
      <c r="L18" s="21"/>
      <c r="M18" s="22"/>
    </row>
    <row r="19" spans="1:13" s="1" customFormat="1" ht="14.1" customHeight="1">
      <c r="A19" s="38">
        <v>9</v>
      </c>
      <c r="B19" s="51" t="s">
        <v>85</v>
      </c>
      <c r="C19" s="52"/>
      <c r="D19" s="59" t="s">
        <v>86</v>
      </c>
      <c r="E19" s="60"/>
      <c r="F19" s="60"/>
      <c r="G19" s="61"/>
      <c r="H19" s="24">
        <f>SUM(I19)-1.6</f>
        <v>40.799999999999997</v>
      </c>
      <c r="I19" s="24">
        <f>SUM(J19)-1.6</f>
        <v>42.4</v>
      </c>
      <c r="J19" s="23">
        <v>44</v>
      </c>
      <c r="K19" s="21">
        <f>SUM(J19)+1.6</f>
        <v>45.6</v>
      </c>
      <c r="L19" s="21">
        <f>SUM(K19)+1.6</f>
        <v>47.2</v>
      </c>
      <c r="M19" s="22">
        <f>SUM(L19)+1.6</f>
        <v>48.800000000000004</v>
      </c>
    </row>
    <row r="20" spans="1:13" s="1" customFormat="1" ht="14.1" customHeight="1">
      <c r="A20" s="38"/>
      <c r="B20" s="56" t="s">
        <v>37</v>
      </c>
      <c r="C20" s="56"/>
      <c r="D20" s="47" t="s">
        <v>156</v>
      </c>
      <c r="E20" s="48"/>
      <c r="F20" s="48"/>
      <c r="G20" s="49"/>
      <c r="H20" s="36"/>
      <c r="I20" s="36"/>
      <c r="J20" s="23"/>
      <c r="K20" s="21"/>
      <c r="L20" s="21"/>
      <c r="M20" s="22"/>
    </row>
    <row r="21" spans="1:13" s="1" customFormat="1" ht="14.1" customHeight="1">
      <c r="A21" s="38">
        <v>10</v>
      </c>
      <c r="B21" s="58" t="s">
        <v>4</v>
      </c>
      <c r="C21" s="58"/>
      <c r="D21" s="57" t="s">
        <v>5</v>
      </c>
      <c r="E21" s="57"/>
      <c r="F21" s="57"/>
      <c r="G21" s="57"/>
      <c r="H21" s="24"/>
      <c r="I21" s="24"/>
      <c r="J21" s="23"/>
      <c r="K21" s="21"/>
      <c r="L21" s="21"/>
      <c r="M21" s="22"/>
    </row>
    <row r="22" spans="1:13" s="1" customFormat="1" ht="14.1" customHeight="1">
      <c r="A22" s="38"/>
      <c r="B22" s="56" t="s">
        <v>31</v>
      </c>
      <c r="C22" s="56"/>
      <c r="D22" s="47" t="s">
        <v>54</v>
      </c>
      <c r="E22" s="48"/>
      <c r="F22" s="48"/>
      <c r="G22" s="49"/>
      <c r="H22" s="36"/>
      <c r="I22" s="36"/>
      <c r="J22" s="23"/>
      <c r="K22" s="21"/>
      <c r="L22" s="21"/>
      <c r="M22" s="22"/>
    </row>
    <row r="23" spans="1:13" s="1" customFormat="1" ht="14.1" customHeight="1">
      <c r="A23" s="38">
        <v>11</v>
      </c>
      <c r="B23" s="58" t="s">
        <v>6</v>
      </c>
      <c r="C23" s="58"/>
      <c r="D23" s="59" t="s">
        <v>7</v>
      </c>
      <c r="E23" s="60"/>
      <c r="F23" s="60"/>
      <c r="G23" s="61"/>
      <c r="H23" s="24">
        <f>SUM(I23)-1.6</f>
        <v>29.199999999999996</v>
      </c>
      <c r="I23" s="24">
        <f>SUM(J23)-1.6</f>
        <v>30.799999999999997</v>
      </c>
      <c r="J23" s="23">
        <v>32.4</v>
      </c>
      <c r="K23" s="21">
        <f>SUM(J23)+1.7</f>
        <v>34.1</v>
      </c>
      <c r="L23" s="21">
        <f>SUM(K23)+1.7</f>
        <v>35.800000000000004</v>
      </c>
      <c r="M23" s="22">
        <f>SUM(L23)+1.7</f>
        <v>37.500000000000007</v>
      </c>
    </row>
    <row r="24" spans="1:13" s="1" customFormat="1" ht="14.1" customHeight="1">
      <c r="A24" s="38"/>
      <c r="B24" s="56" t="s">
        <v>32</v>
      </c>
      <c r="C24" s="56"/>
      <c r="D24" s="47" t="s">
        <v>76</v>
      </c>
      <c r="E24" s="48"/>
      <c r="F24" s="48"/>
      <c r="G24" s="49"/>
      <c r="H24" s="36"/>
      <c r="I24" s="36"/>
      <c r="J24" s="23"/>
      <c r="K24" s="21"/>
      <c r="L24" s="21"/>
      <c r="M24" s="22"/>
    </row>
    <row r="25" spans="1:13" s="1" customFormat="1" ht="14.1" customHeight="1">
      <c r="A25" s="38">
        <v>12</v>
      </c>
      <c r="B25" s="51" t="s">
        <v>77</v>
      </c>
      <c r="C25" s="52"/>
      <c r="D25" s="57" t="s">
        <v>78</v>
      </c>
      <c r="E25" s="57"/>
      <c r="F25" s="57"/>
      <c r="G25" s="57"/>
      <c r="H25" s="24">
        <f>SUM(I25)-0.6</f>
        <v>14</v>
      </c>
      <c r="I25" s="24">
        <f>SUM(J25)-0.6</f>
        <v>14.6</v>
      </c>
      <c r="J25" s="23">
        <v>15.2</v>
      </c>
      <c r="K25" s="21">
        <f>SUM(J25)+0.6</f>
        <v>15.799999999999999</v>
      </c>
      <c r="L25" s="21">
        <f>SUM(K25)+0.6</f>
        <v>16.399999999999999</v>
      </c>
      <c r="M25" s="22">
        <f>SUM(L25)+0.6</f>
        <v>17</v>
      </c>
    </row>
    <row r="26" spans="1:13" s="1" customFormat="1" ht="14.1" customHeight="1">
      <c r="A26" s="38"/>
      <c r="B26" s="56" t="s">
        <v>33</v>
      </c>
      <c r="C26" s="56"/>
      <c r="D26" s="47" t="s">
        <v>79</v>
      </c>
      <c r="E26" s="48"/>
      <c r="F26" s="48"/>
      <c r="G26" s="49"/>
      <c r="H26" s="36"/>
      <c r="I26" s="36"/>
      <c r="J26" s="23"/>
      <c r="K26" s="21"/>
      <c r="L26" s="21"/>
      <c r="M26" s="22"/>
    </row>
    <row r="27" spans="1:13" s="1" customFormat="1" ht="14.1" customHeight="1">
      <c r="A27" s="38">
        <v>13</v>
      </c>
      <c r="B27" s="51" t="s">
        <v>176</v>
      </c>
      <c r="C27" s="52"/>
      <c r="D27" s="53" t="s">
        <v>103</v>
      </c>
      <c r="E27" s="54"/>
      <c r="F27" s="54"/>
      <c r="G27" s="55"/>
      <c r="H27" s="24">
        <f>SUM(I27)-0.3</f>
        <v>3.4000000000000004</v>
      </c>
      <c r="I27" s="24">
        <f>SUM(J27)-0.3</f>
        <v>3.7</v>
      </c>
      <c r="J27" s="23">
        <v>4</v>
      </c>
      <c r="K27" s="21">
        <f>SUM(J27)+0.3</f>
        <v>4.3</v>
      </c>
      <c r="L27" s="21">
        <f>SUM(K27)+0.3</f>
        <v>4.5999999999999996</v>
      </c>
      <c r="M27" s="22">
        <f>SUM(L27)+0.3</f>
        <v>4.8999999999999995</v>
      </c>
    </row>
    <row r="28" spans="1:13" s="1" customFormat="1" ht="14.1" customHeight="1" thickBot="1">
      <c r="A28" s="39"/>
      <c r="B28" s="28" t="s">
        <v>175</v>
      </c>
      <c r="C28" s="29"/>
      <c r="D28" s="30" t="s">
        <v>104</v>
      </c>
      <c r="E28" s="31"/>
      <c r="F28" s="31"/>
      <c r="G28" s="32"/>
      <c r="H28" s="25"/>
      <c r="I28" s="25"/>
      <c r="J28" s="218"/>
      <c r="K28" s="216"/>
      <c r="L28" s="216"/>
      <c r="M28" s="220"/>
    </row>
    <row r="29" spans="1:13" ht="14.1" customHeight="1"/>
    <row r="30" spans="1:13" ht="14.1" customHeight="1"/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</sheetData>
  <mergeCells count="146"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32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E5FC9-2244-44AB-8045-7DB1926A6498}">
  <sheetPr>
    <tabColor rgb="FF00B050"/>
    <pageSetUpPr fitToPage="1"/>
  </sheetPr>
  <dimension ref="A1:M51"/>
  <sheetViews>
    <sheetView topLeftCell="A4" zoomScale="110" zoomScaleNormal="110" workbookViewId="0">
      <selection activeCell="O10" sqref="O1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595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24">
        <f>SUM(I3)-3.5</f>
        <v>36</v>
      </c>
      <c r="I3" s="24">
        <f>SUM(J3)-3.5</f>
        <v>39.5</v>
      </c>
      <c r="J3" s="75">
        <v>43</v>
      </c>
      <c r="K3" s="76">
        <f>SUM(J3)+3</f>
        <v>46</v>
      </c>
      <c r="L3" s="76">
        <f>SUM(K3)+3</f>
        <v>49</v>
      </c>
      <c r="M3" s="77">
        <f>SUM(L3)+3</f>
        <v>52</v>
      </c>
    </row>
    <row r="4" spans="1:13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24"/>
      <c r="L4" s="24"/>
      <c r="M4" s="26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SUM(I5)-1.6</f>
        <v>20.299999999999997</v>
      </c>
      <c r="I5" s="24">
        <f>SUM(J5)-1.6</f>
        <v>21.9</v>
      </c>
      <c r="J5" s="33">
        <v>23.5</v>
      </c>
      <c r="K5" s="24">
        <f>SUM(J5)+1.4</f>
        <v>24.9</v>
      </c>
      <c r="L5" s="24">
        <f>SUM(K5)+1.4</f>
        <v>26.299999999999997</v>
      </c>
      <c r="M5" s="26">
        <f>SUM(L5)+1.4</f>
        <v>27.699999999999996</v>
      </c>
    </row>
    <row r="6" spans="1:13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37"/>
    </row>
    <row r="7" spans="1:13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</f>
        <v>28</v>
      </c>
      <c r="I7" s="24">
        <f>SUM(J7)-2</f>
        <v>30</v>
      </c>
      <c r="J7" s="33">
        <v>32</v>
      </c>
      <c r="K7" s="24">
        <f>SUM(J7)+1.8</f>
        <v>33.799999999999997</v>
      </c>
      <c r="L7" s="24">
        <f>SUM(K7)+1.8</f>
        <v>35.599999999999994</v>
      </c>
      <c r="M7" s="26">
        <f>SUM(L7)+1.8</f>
        <v>37.399999999999991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37"/>
    </row>
    <row r="9" spans="1:13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SUM(I9)-2</f>
        <v>28</v>
      </c>
      <c r="I9" s="24">
        <f>SUM(J9)-2</f>
        <v>30</v>
      </c>
      <c r="J9" s="33">
        <v>32</v>
      </c>
      <c r="K9" s="24">
        <f>SUM(J9)+1.8</f>
        <v>33.799999999999997</v>
      </c>
      <c r="L9" s="24">
        <f>SUM(K9)+1.8</f>
        <v>35.599999999999994</v>
      </c>
      <c r="M9" s="26">
        <f>SUM(L9)+1.8</f>
        <v>37.399999999999991</v>
      </c>
    </row>
    <row r="10" spans="1:13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7"/>
    </row>
    <row r="11" spans="1:13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SUM(I11)-0.8</f>
        <v>13.499999999999998</v>
      </c>
      <c r="I11" s="24">
        <f>SUM(J11)-0.8</f>
        <v>14.299999999999999</v>
      </c>
      <c r="J11" s="23">
        <v>15.1</v>
      </c>
      <c r="K11" s="21">
        <f>SUM(J11)+0.9</f>
        <v>16</v>
      </c>
      <c r="L11" s="21">
        <f>SUM(K11)+0.9</f>
        <v>16.899999999999999</v>
      </c>
      <c r="M11" s="22">
        <f>SUM(L11)+0.8</f>
        <v>17.7</v>
      </c>
    </row>
    <row r="12" spans="1:13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2"/>
    </row>
    <row r="13" spans="1:13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11.8</v>
      </c>
      <c r="I13" s="24">
        <f>SUM(J13)-0.6</f>
        <v>12.4</v>
      </c>
      <c r="J13" s="23">
        <v>13</v>
      </c>
      <c r="K13" s="21">
        <f>SUM(J13)+0.6</f>
        <v>13.6</v>
      </c>
      <c r="L13" s="21">
        <f>SUM(K13)+0.6</f>
        <v>14.2</v>
      </c>
      <c r="M13" s="22">
        <f>SUM(L13)+0.6</f>
        <v>14.799999999999999</v>
      </c>
    </row>
    <row r="14" spans="1:13" s="1" customFormat="1" ht="14.1" customHeight="1">
      <c r="A14" s="38"/>
      <c r="B14" s="56" t="s">
        <v>29</v>
      </c>
      <c r="C14" s="56"/>
      <c r="D14" s="47" t="s">
        <v>154</v>
      </c>
      <c r="E14" s="48"/>
      <c r="F14" s="48"/>
      <c r="G14" s="49"/>
      <c r="H14" s="36"/>
      <c r="I14" s="36"/>
      <c r="J14" s="23"/>
      <c r="K14" s="21"/>
      <c r="L14" s="21"/>
      <c r="M14" s="22"/>
    </row>
    <row r="15" spans="1:13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4.7</v>
      </c>
      <c r="I15" s="24">
        <f>SUM(J15)-0.3</f>
        <v>5</v>
      </c>
      <c r="J15" s="23">
        <v>5.3</v>
      </c>
      <c r="K15" s="21">
        <f>SUM(J15)+0.3</f>
        <v>5.6</v>
      </c>
      <c r="L15" s="21">
        <f>SUM(K15)+0.3</f>
        <v>5.8999999999999995</v>
      </c>
      <c r="M15" s="22">
        <f>SUM(L15)+0.3</f>
        <v>6.1999999999999993</v>
      </c>
    </row>
    <row r="16" spans="1:13" s="1" customFormat="1" ht="14.1" customHeight="1">
      <c r="A16" s="38"/>
      <c r="B16" s="56" t="s">
        <v>30</v>
      </c>
      <c r="C16" s="56"/>
      <c r="D16" s="47" t="s">
        <v>155</v>
      </c>
      <c r="E16" s="48"/>
      <c r="F16" s="48"/>
      <c r="G16" s="49"/>
      <c r="H16" s="36"/>
      <c r="I16" s="36"/>
      <c r="J16" s="23"/>
      <c r="K16" s="21"/>
      <c r="L16" s="21"/>
      <c r="M16" s="22"/>
    </row>
    <row r="17" spans="1:13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35.299999999999997</v>
      </c>
      <c r="I17" s="24">
        <f>SUM(J17)-1.6</f>
        <v>36.9</v>
      </c>
      <c r="J17" s="23">
        <v>38.5</v>
      </c>
      <c r="K17" s="21">
        <f>SUM(J17)+1.6</f>
        <v>40.1</v>
      </c>
      <c r="L17" s="21">
        <f>SUM(K17)+1.6</f>
        <v>41.7</v>
      </c>
      <c r="M17" s="22">
        <f>SUM(L17)+1.6</f>
        <v>43.300000000000004</v>
      </c>
    </row>
    <row r="18" spans="1:13" s="1" customFormat="1" ht="14.1" customHeight="1">
      <c r="A18" s="38"/>
      <c r="B18" s="56" t="s">
        <v>37</v>
      </c>
      <c r="C18" s="56"/>
      <c r="D18" s="47" t="s">
        <v>156</v>
      </c>
      <c r="E18" s="48"/>
      <c r="F18" s="48"/>
      <c r="G18" s="49"/>
      <c r="H18" s="36"/>
      <c r="I18" s="36"/>
      <c r="J18" s="23"/>
      <c r="K18" s="21"/>
      <c r="L18" s="21"/>
      <c r="M18" s="22"/>
    </row>
    <row r="19" spans="1:13" s="1" customFormat="1" ht="14.1" customHeight="1">
      <c r="A19" s="38">
        <v>9</v>
      </c>
      <c r="B19" s="58" t="s">
        <v>4</v>
      </c>
      <c r="C19" s="58"/>
      <c r="D19" s="57" t="s">
        <v>5</v>
      </c>
      <c r="E19" s="57"/>
      <c r="F19" s="57"/>
      <c r="G19" s="57"/>
      <c r="H19" s="24">
        <f>SUM(I19)-3.7</f>
        <v>33.599999999999994</v>
      </c>
      <c r="I19" s="24">
        <f>SUM(J19)-3.7</f>
        <v>37.299999999999997</v>
      </c>
      <c r="J19" s="23">
        <v>41</v>
      </c>
      <c r="K19" s="21">
        <f>SUM(J19)+3.8</f>
        <v>44.8</v>
      </c>
      <c r="L19" s="21">
        <f>SUM(K19)+3.8</f>
        <v>48.599999999999994</v>
      </c>
      <c r="M19" s="22">
        <f>SUM(L19)+3.8</f>
        <v>52.399999999999991</v>
      </c>
    </row>
    <row r="20" spans="1:13" s="1" customFormat="1" ht="14.1" customHeight="1">
      <c r="A20" s="38"/>
      <c r="B20" s="56" t="s">
        <v>31</v>
      </c>
      <c r="C20" s="56"/>
      <c r="D20" s="47" t="s">
        <v>54</v>
      </c>
      <c r="E20" s="48"/>
      <c r="F20" s="48"/>
      <c r="G20" s="49"/>
      <c r="H20" s="36"/>
      <c r="I20" s="36"/>
      <c r="J20" s="23"/>
      <c r="K20" s="21"/>
      <c r="L20" s="21"/>
      <c r="M20" s="22"/>
    </row>
    <row r="21" spans="1:13" s="1" customFormat="1" ht="14.1" customHeight="1">
      <c r="A21" s="38">
        <v>10</v>
      </c>
      <c r="B21" s="58" t="s">
        <v>6</v>
      </c>
      <c r="C21" s="58"/>
      <c r="D21" s="59" t="s">
        <v>7</v>
      </c>
      <c r="E21" s="60"/>
      <c r="F21" s="60"/>
      <c r="G21" s="61"/>
      <c r="H21" s="24">
        <f>SUM(I21)-1.4</f>
        <v>21.6</v>
      </c>
      <c r="I21" s="24">
        <f>SUM(J21)-1.4</f>
        <v>23</v>
      </c>
      <c r="J21" s="23">
        <v>24.4</v>
      </c>
      <c r="K21" s="21">
        <f>SUM(J21)+1.4</f>
        <v>25.799999999999997</v>
      </c>
      <c r="L21" s="21">
        <f>SUM(K21)+1.4</f>
        <v>27.199999999999996</v>
      </c>
      <c r="M21" s="22">
        <f>SUM(L21)+1.4</f>
        <v>28.599999999999994</v>
      </c>
    </row>
    <row r="22" spans="1:13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9"/>
      <c r="H22" s="36"/>
      <c r="I22" s="36"/>
      <c r="J22" s="23"/>
      <c r="K22" s="21"/>
      <c r="L22" s="21"/>
      <c r="M22" s="22"/>
    </row>
    <row r="23" spans="1:13" s="1" customFormat="1" ht="14.1" customHeight="1">
      <c r="A23" s="38">
        <v>11</v>
      </c>
      <c r="B23" s="51" t="s">
        <v>77</v>
      </c>
      <c r="C23" s="52"/>
      <c r="D23" s="57" t="s">
        <v>78</v>
      </c>
      <c r="E23" s="57"/>
      <c r="F23" s="57"/>
      <c r="G23" s="57"/>
      <c r="H23" s="24">
        <f>SUM(I23)-0.6</f>
        <v>14.8</v>
      </c>
      <c r="I23" s="24">
        <f>SUM(J23)-0.6</f>
        <v>15.4</v>
      </c>
      <c r="J23" s="23">
        <v>16</v>
      </c>
      <c r="K23" s="21">
        <f>SUM(J23)+0.6</f>
        <v>16.600000000000001</v>
      </c>
      <c r="L23" s="21">
        <f>SUM(K23)+0.6</f>
        <v>17.200000000000003</v>
      </c>
      <c r="M23" s="22">
        <f>SUM(L23)+0.6</f>
        <v>17.800000000000004</v>
      </c>
    </row>
    <row r="24" spans="1:13" s="1" customFormat="1" ht="14.1" customHeight="1">
      <c r="A24" s="38"/>
      <c r="B24" s="56" t="s">
        <v>33</v>
      </c>
      <c r="C24" s="56"/>
      <c r="D24" s="47" t="s">
        <v>79</v>
      </c>
      <c r="E24" s="48"/>
      <c r="F24" s="48"/>
      <c r="G24" s="49"/>
      <c r="H24" s="36"/>
      <c r="I24" s="36"/>
      <c r="J24" s="23"/>
      <c r="K24" s="21"/>
      <c r="L24" s="21"/>
      <c r="M24" s="22"/>
    </row>
    <row r="25" spans="1:13" s="1" customFormat="1" ht="14.1" customHeight="1">
      <c r="A25" s="38">
        <v>12</v>
      </c>
      <c r="B25" s="51" t="s">
        <v>270</v>
      </c>
      <c r="C25" s="52"/>
      <c r="D25" s="53"/>
      <c r="E25" s="54"/>
      <c r="F25" s="54"/>
      <c r="G25" s="55"/>
      <c r="H25" s="24">
        <f>SUM(I25)-0.5</f>
        <v>6</v>
      </c>
      <c r="I25" s="24">
        <f>SUM(J25)-0.5</f>
        <v>6.5</v>
      </c>
      <c r="J25" s="23">
        <v>7</v>
      </c>
      <c r="K25" s="21">
        <f>SUM(J25)+0.5</f>
        <v>7.5</v>
      </c>
      <c r="L25" s="21">
        <f>SUM(K25)+0.5</f>
        <v>8</v>
      </c>
      <c r="M25" s="22">
        <f>SUM(L25)+0.5</f>
        <v>8.5</v>
      </c>
    </row>
    <row r="26" spans="1:13" s="1" customFormat="1" ht="14.1" customHeight="1">
      <c r="A26" s="38"/>
      <c r="B26" s="45" t="s">
        <v>271</v>
      </c>
      <c r="C26" s="46"/>
      <c r="D26" s="47" t="s">
        <v>272</v>
      </c>
      <c r="E26" s="48"/>
      <c r="F26" s="48"/>
      <c r="G26" s="49"/>
      <c r="H26" s="36"/>
      <c r="I26" s="36"/>
      <c r="J26" s="23"/>
      <c r="K26" s="21"/>
      <c r="L26" s="21"/>
      <c r="M26" s="22"/>
    </row>
    <row r="27" spans="1:13" s="1" customFormat="1" ht="14.1" customHeight="1">
      <c r="A27" s="38">
        <v>13</v>
      </c>
      <c r="B27" s="51" t="s">
        <v>274</v>
      </c>
      <c r="C27" s="52"/>
      <c r="D27" s="53"/>
      <c r="E27" s="54"/>
      <c r="F27" s="54"/>
      <c r="G27" s="55"/>
      <c r="H27" s="24">
        <f>SUM(I27)-0.7</f>
        <v>9.6000000000000014</v>
      </c>
      <c r="I27" s="24">
        <f>SUM(J27)-0.7</f>
        <v>10.3</v>
      </c>
      <c r="J27" s="23">
        <v>11</v>
      </c>
      <c r="K27" s="21">
        <f>SUM(J27)+0.7</f>
        <v>11.7</v>
      </c>
      <c r="L27" s="21">
        <f>SUM(K27)+0.7</f>
        <v>12.399999999999999</v>
      </c>
      <c r="M27" s="22">
        <f>SUM(L27)+0.7</f>
        <v>13.099999999999998</v>
      </c>
    </row>
    <row r="28" spans="1:13" s="1" customFormat="1" ht="14.1" customHeight="1">
      <c r="A28" s="38"/>
      <c r="B28" s="45" t="s">
        <v>273</v>
      </c>
      <c r="C28" s="46"/>
      <c r="D28" s="47" t="s">
        <v>596</v>
      </c>
      <c r="E28" s="48"/>
      <c r="F28" s="48"/>
      <c r="G28" s="49"/>
      <c r="H28" s="36"/>
      <c r="I28" s="36"/>
      <c r="J28" s="23"/>
      <c r="K28" s="21"/>
      <c r="L28" s="21"/>
      <c r="M28" s="22"/>
    </row>
    <row r="29" spans="1:13" s="1" customFormat="1" ht="14.1" customHeight="1">
      <c r="A29" s="38">
        <v>14</v>
      </c>
      <c r="B29" s="51" t="s">
        <v>597</v>
      </c>
      <c r="C29" s="52"/>
      <c r="D29" s="53"/>
      <c r="E29" s="54"/>
      <c r="F29" s="54"/>
      <c r="G29" s="55"/>
      <c r="H29" s="24">
        <f>SUM(I29)-1.4</f>
        <v>21.800000000000004</v>
      </c>
      <c r="I29" s="24">
        <f>SUM(J29)-1.4</f>
        <v>23.200000000000003</v>
      </c>
      <c r="J29" s="23">
        <v>24.6</v>
      </c>
      <c r="K29" s="21">
        <f>SUM(J29)+1.5</f>
        <v>26.1</v>
      </c>
      <c r="L29" s="21">
        <f>SUM(K29)+1.5</f>
        <v>27.6</v>
      </c>
      <c r="M29" s="22">
        <f>SUM(L29)+1.5</f>
        <v>29.1</v>
      </c>
    </row>
    <row r="30" spans="1:13" s="1" customFormat="1" ht="14.1" customHeight="1">
      <c r="A30" s="38"/>
      <c r="B30" s="45" t="s">
        <v>598</v>
      </c>
      <c r="C30" s="46"/>
      <c r="D30" s="47" t="s">
        <v>604</v>
      </c>
      <c r="E30" s="48"/>
      <c r="F30" s="48"/>
      <c r="G30" s="49"/>
      <c r="H30" s="36"/>
      <c r="I30" s="36"/>
      <c r="J30" s="23"/>
      <c r="K30" s="21"/>
      <c r="L30" s="21"/>
      <c r="M30" s="22"/>
    </row>
    <row r="31" spans="1:13" ht="14.1" customHeight="1">
      <c r="A31" s="38">
        <v>15</v>
      </c>
      <c r="B31" s="40" t="s">
        <v>599</v>
      </c>
      <c r="C31" s="41"/>
      <c r="D31" s="42"/>
      <c r="E31" s="43"/>
      <c r="F31" s="43"/>
      <c r="G31" s="44"/>
      <c r="H31" s="24">
        <f>SUM(I31)-1.2</f>
        <v>10.100000000000001</v>
      </c>
      <c r="I31" s="24">
        <f>SUM(J31)-1.2</f>
        <v>11.3</v>
      </c>
      <c r="J31" s="23">
        <v>12.5</v>
      </c>
      <c r="K31" s="21">
        <f>SUM(J31)+1</f>
        <v>13.5</v>
      </c>
      <c r="L31" s="21">
        <f>SUM(K31)+1</f>
        <v>14.5</v>
      </c>
      <c r="M31" s="22">
        <f>SUM(L31)+1</f>
        <v>15.5</v>
      </c>
    </row>
    <row r="32" spans="1:13" ht="14.1" customHeight="1">
      <c r="A32" s="38"/>
      <c r="B32" s="45" t="s">
        <v>600</v>
      </c>
      <c r="C32" s="46"/>
      <c r="D32" s="47"/>
      <c r="E32" s="48"/>
      <c r="F32" s="48"/>
      <c r="G32" s="49"/>
      <c r="H32" s="36"/>
      <c r="I32" s="36"/>
      <c r="J32" s="23"/>
      <c r="K32" s="21"/>
      <c r="L32" s="21"/>
      <c r="M32" s="22"/>
    </row>
    <row r="33" spans="1:13" ht="14.1" customHeight="1">
      <c r="A33" s="38">
        <v>16</v>
      </c>
      <c r="B33" s="40" t="s">
        <v>601</v>
      </c>
      <c r="C33" s="41"/>
      <c r="D33" s="42"/>
      <c r="E33" s="43"/>
      <c r="F33" s="43"/>
      <c r="G33" s="44"/>
      <c r="H33" s="24">
        <f>SUM(I33)-0.4</f>
        <v>3.2</v>
      </c>
      <c r="I33" s="24">
        <f>SUM(J33)-0.4</f>
        <v>3.6</v>
      </c>
      <c r="J33" s="23">
        <v>4</v>
      </c>
      <c r="K33" s="21">
        <f>SUM(J33)+0.3</f>
        <v>4.3</v>
      </c>
      <c r="L33" s="21">
        <f>SUM(K33)+0.3</f>
        <v>4.5999999999999996</v>
      </c>
      <c r="M33" s="22">
        <f>SUM(L33)+0.3</f>
        <v>4.8999999999999995</v>
      </c>
    </row>
    <row r="34" spans="1:13" ht="14.1" customHeight="1">
      <c r="A34" s="38"/>
      <c r="B34" s="45" t="s">
        <v>602</v>
      </c>
      <c r="C34" s="46"/>
      <c r="D34" s="47" t="s">
        <v>603</v>
      </c>
      <c r="E34" s="48"/>
      <c r="F34" s="48"/>
      <c r="G34" s="49"/>
      <c r="H34" s="36"/>
      <c r="I34" s="36"/>
      <c r="J34" s="23"/>
      <c r="K34" s="21"/>
      <c r="L34" s="21"/>
      <c r="M34" s="22"/>
    </row>
    <row r="35" spans="1:13" ht="14.1" customHeight="1">
      <c r="A35" s="38">
        <v>17</v>
      </c>
      <c r="B35" s="40"/>
      <c r="C35" s="41"/>
      <c r="D35" s="42"/>
      <c r="E35" s="43"/>
      <c r="F35" s="43"/>
      <c r="G35" s="44"/>
      <c r="H35" s="24"/>
      <c r="I35" s="24"/>
      <c r="J35" s="33"/>
      <c r="K35" s="24"/>
      <c r="L35" s="24"/>
      <c r="M35" s="26"/>
    </row>
    <row r="36" spans="1:13" ht="14.1" customHeight="1" thickBot="1">
      <c r="A36" s="39"/>
      <c r="B36" s="28"/>
      <c r="C36" s="29"/>
      <c r="D36" s="30"/>
      <c r="E36" s="31"/>
      <c r="F36" s="31"/>
      <c r="G36" s="32"/>
      <c r="H36" s="25"/>
      <c r="I36" s="25"/>
      <c r="J36" s="34"/>
      <c r="K36" s="25"/>
      <c r="L36" s="25"/>
      <c r="M36" s="27"/>
    </row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190">
    <mergeCell ref="A33:A34"/>
    <mergeCell ref="B33:C33"/>
    <mergeCell ref="D33:G33"/>
    <mergeCell ref="H33:H34"/>
    <mergeCell ref="I33:I34"/>
    <mergeCell ref="J33:J34"/>
    <mergeCell ref="K33:K34"/>
    <mergeCell ref="L33:L34"/>
    <mergeCell ref="M33:M34"/>
    <mergeCell ref="B34:C34"/>
    <mergeCell ref="D34:G34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243A6-9499-4D81-AFBD-2A99C7D881E4}">
  <sheetPr>
    <tabColor rgb="FF00B050"/>
    <pageSetUpPr fitToPage="1"/>
  </sheetPr>
  <dimension ref="A1:N50"/>
  <sheetViews>
    <sheetView zoomScale="110" zoomScaleNormal="110" workbookViewId="0">
      <selection activeCell="P22" sqref="P2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7" t="s">
        <v>490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  <c r="N1" s="13"/>
    </row>
    <row r="2" spans="1:14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  <c r="N2" s="14" t="s">
        <v>229</v>
      </c>
    </row>
    <row r="3" spans="1:14" s="1" customFormat="1" ht="14.1" customHeight="1">
      <c r="A3" s="71">
        <v>1</v>
      </c>
      <c r="B3" s="40" t="s">
        <v>136</v>
      </c>
      <c r="C3" s="41"/>
      <c r="D3" s="100" t="s">
        <v>135</v>
      </c>
      <c r="E3" s="101"/>
      <c r="F3" s="101"/>
      <c r="G3" s="102"/>
      <c r="H3" s="24">
        <f>SUM(I3)-2.9</f>
        <v>30.700000000000003</v>
      </c>
      <c r="I3" s="24">
        <f>SUM(J3)-2.9</f>
        <v>33.6</v>
      </c>
      <c r="J3" s="75">
        <v>36.5</v>
      </c>
      <c r="K3" s="76">
        <f>SUM(J3)+2.4</f>
        <v>38.9</v>
      </c>
      <c r="L3" s="76">
        <f t="shared" ref="L3:N3" si="0">SUM(K3)+2.4</f>
        <v>41.3</v>
      </c>
      <c r="M3" s="77">
        <f t="shared" si="0"/>
        <v>43.699999999999996</v>
      </c>
      <c r="N3" s="242">
        <f t="shared" si="0"/>
        <v>46.099999999999994</v>
      </c>
    </row>
    <row r="4" spans="1:14" s="1" customFormat="1" ht="14.1" customHeight="1">
      <c r="A4" s="38"/>
      <c r="B4" s="56" t="s">
        <v>36</v>
      </c>
      <c r="C4" s="56"/>
      <c r="D4" s="47" t="s">
        <v>134</v>
      </c>
      <c r="E4" s="48"/>
      <c r="F4" s="48"/>
      <c r="G4" s="48"/>
      <c r="H4" s="36"/>
      <c r="I4" s="36"/>
      <c r="J4" s="33"/>
      <c r="K4" s="24"/>
      <c r="L4" s="24"/>
      <c r="M4" s="26"/>
      <c r="N4" s="139"/>
    </row>
    <row r="5" spans="1:14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SUM(I5)-1.8</f>
        <v>23.4</v>
      </c>
      <c r="I5" s="24">
        <f>SUM(J5)-1.8</f>
        <v>25.2</v>
      </c>
      <c r="J5" s="33">
        <v>27</v>
      </c>
      <c r="K5" s="24">
        <f>SUM(J5)+1.6</f>
        <v>28.6</v>
      </c>
      <c r="L5" s="24">
        <f>SUM(K5)+1.6</f>
        <v>30.200000000000003</v>
      </c>
      <c r="M5" s="26">
        <f>SUM(L5)+1.6</f>
        <v>31.800000000000004</v>
      </c>
      <c r="N5" s="139">
        <f>SUM(M5)+1.6</f>
        <v>33.400000000000006</v>
      </c>
    </row>
    <row r="6" spans="1:14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37"/>
      <c r="N6" s="137"/>
    </row>
    <row r="7" spans="1:14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31.5</v>
      </c>
      <c r="I7" s="24">
        <f>SUM(J7)-2.25</f>
        <v>33.75</v>
      </c>
      <c r="J7" s="33">
        <v>36</v>
      </c>
      <c r="K7" s="24">
        <f>SUM(J7)+2</f>
        <v>38</v>
      </c>
      <c r="L7" s="24">
        <f>SUM(K7)+2</f>
        <v>40</v>
      </c>
      <c r="M7" s="26">
        <f>SUM(L7)+2</f>
        <v>42</v>
      </c>
      <c r="N7" s="139">
        <f>SUM(M7)+2</f>
        <v>44</v>
      </c>
    </row>
    <row r="8" spans="1:14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37"/>
      <c r="N8" s="137"/>
    </row>
    <row r="9" spans="1:14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SUM(I9)-2.25</f>
        <v>31.5</v>
      </c>
      <c r="I9" s="24">
        <f>SUM(J9)-2.25</f>
        <v>33.75</v>
      </c>
      <c r="J9" s="33">
        <v>36</v>
      </c>
      <c r="K9" s="24">
        <f>SUM(J9)+2</f>
        <v>38</v>
      </c>
      <c r="L9" s="24">
        <f>SUM(K9)+2</f>
        <v>40</v>
      </c>
      <c r="M9" s="26">
        <f>SUM(L9)+2</f>
        <v>42</v>
      </c>
      <c r="N9" s="139">
        <f>SUM(M9)+2</f>
        <v>44</v>
      </c>
    </row>
    <row r="10" spans="1:14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7"/>
      <c r="N10" s="137"/>
    </row>
    <row r="11" spans="1:14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SUM(I11)-0.8</f>
        <v>13.999999999999998</v>
      </c>
      <c r="I11" s="24">
        <f>SUM(J11)-0.8</f>
        <v>14.799999999999999</v>
      </c>
      <c r="J11" s="23">
        <v>15.6</v>
      </c>
      <c r="K11" s="21">
        <f>SUM(J11+0.8)</f>
        <v>16.399999999999999</v>
      </c>
      <c r="L11" s="21">
        <f>SUM(K11+0.8)</f>
        <v>17.2</v>
      </c>
      <c r="M11" s="22">
        <f>SUM(L11+0.9)</f>
        <v>18.099999999999998</v>
      </c>
      <c r="N11" s="140">
        <f>SUM(M11+0.9)</f>
        <v>18.999999999999996</v>
      </c>
    </row>
    <row r="12" spans="1:14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2"/>
      <c r="N12" s="140"/>
    </row>
    <row r="13" spans="1:14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11.8</v>
      </c>
      <c r="I13" s="24">
        <f>SUM(J13)-0.6</f>
        <v>12.4</v>
      </c>
      <c r="J13" s="23">
        <v>13</v>
      </c>
      <c r="K13" s="21">
        <f>SUM(J13)+0.6</f>
        <v>13.6</v>
      </c>
      <c r="L13" s="21">
        <f>SUM(K13)+0.6</f>
        <v>14.2</v>
      </c>
      <c r="M13" s="22">
        <f>SUM(L13)+0.6</f>
        <v>14.799999999999999</v>
      </c>
      <c r="N13" s="140">
        <f>SUM(M13)+0.6</f>
        <v>15.399999999999999</v>
      </c>
    </row>
    <row r="14" spans="1:14" s="1" customFormat="1" ht="14.1" customHeight="1">
      <c r="A14" s="38"/>
      <c r="B14" s="56" t="s">
        <v>29</v>
      </c>
      <c r="C14" s="56"/>
      <c r="D14" s="47" t="s">
        <v>255</v>
      </c>
      <c r="E14" s="48"/>
      <c r="F14" s="48"/>
      <c r="G14" s="49"/>
      <c r="H14" s="36"/>
      <c r="I14" s="36"/>
      <c r="J14" s="23"/>
      <c r="K14" s="21"/>
      <c r="L14" s="21"/>
      <c r="M14" s="22"/>
      <c r="N14" s="140"/>
    </row>
    <row r="15" spans="1:14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5.6000000000000005</v>
      </c>
      <c r="I15" s="24">
        <f>SUM(J15)-0.3</f>
        <v>5.9</v>
      </c>
      <c r="J15" s="23">
        <v>6.2</v>
      </c>
      <c r="K15" s="21">
        <f>SUM(J15)+0.3</f>
        <v>6.5</v>
      </c>
      <c r="L15" s="21">
        <f>SUM(K15)+0.3</f>
        <v>6.8</v>
      </c>
      <c r="M15" s="22">
        <f>SUM(L15)+0.3</f>
        <v>7.1</v>
      </c>
      <c r="N15" s="140">
        <f>SUM(M15)+0.3</f>
        <v>7.3999999999999995</v>
      </c>
    </row>
    <row r="16" spans="1:14" s="1" customFormat="1" ht="14.1" customHeight="1">
      <c r="A16" s="38"/>
      <c r="B16" s="56" t="s">
        <v>30</v>
      </c>
      <c r="C16" s="56"/>
      <c r="D16" s="47" t="s">
        <v>379</v>
      </c>
      <c r="E16" s="48"/>
      <c r="F16" s="48"/>
      <c r="G16" s="49"/>
      <c r="H16" s="36"/>
      <c r="I16" s="36"/>
      <c r="J16" s="23"/>
      <c r="K16" s="21"/>
      <c r="L16" s="21"/>
      <c r="M16" s="22"/>
      <c r="N16" s="140"/>
    </row>
    <row r="17" spans="1:14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30.699999999999996</v>
      </c>
      <c r="I17" s="24">
        <f>SUM(J17)-1.6</f>
        <v>32.299999999999997</v>
      </c>
      <c r="J17" s="23">
        <v>33.9</v>
      </c>
      <c r="K17" s="21">
        <f>SUM(J17)+1.6</f>
        <v>35.5</v>
      </c>
      <c r="L17" s="21">
        <f>SUM(K17)+1.6</f>
        <v>37.1</v>
      </c>
      <c r="M17" s="22">
        <f>SUM(L17)+1.6</f>
        <v>38.700000000000003</v>
      </c>
      <c r="N17" s="140">
        <f>SUM(M17)+1.6</f>
        <v>40.300000000000004</v>
      </c>
    </row>
    <row r="18" spans="1:14" s="1" customFormat="1" ht="14.1" customHeight="1">
      <c r="A18" s="38"/>
      <c r="B18" s="56" t="s">
        <v>37</v>
      </c>
      <c r="C18" s="56"/>
      <c r="D18" s="47" t="s">
        <v>107</v>
      </c>
      <c r="E18" s="48"/>
      <c r="F18" s="48"/>
      <c r="G18" s="49"/>
      <c r="H18" s="36"/>
      <c r="I18" s="36"/>
      <c r="J18" s="23"/>
      <c r="K18" s="21"/>
      <c r="L18" s="21"/>
      <c r="M18" s="22"/>
      <c r="N18" s="140"/>
    </row>
    <row r="19" spans="1:14" s="1" customFormat="1" ht="14.1" customHeight="1">
      <c r="A19" s="38">
        <v>9</v>
      </c>
      <c r="B19" s="51" t="s">
        <v>202</v>
      </c>
      <c r="C19" s="52"/>
      <c r="D19" s="59"/>
      <c r="E19" s="60"/>
      <c r="F19" s="60"/>
      <c r="G19" s="61"/>
      <c r="H19" s="24">
        <f>SUM(I19)-0.2</f>
        <v>5</v>
      </c>
      <c r="I19" s="24">
        <f>SUM(J19)-0.2</f>
        <v>5.2</v>
      </c>
      <c r="J19" s="23">
        <v>5.4</v>
      </c>
      <c r="K19" s="21">
        <f>SUM(J19)+0.2</f>
        <v>5.6000000000000005</v>
      </c>
      <c r="L19" s="21">
        <f>SUM(K19)+0.2</f>
        <v>5.8000000000000007</v>
      </c>
      <c r="M19" s="22">
        <f>SUM(L19)+0.2</f>
        <v>6.0000000000000009</v>
      </c>
      <c r="N19" s="140">
        <f>SUM(M19)+0.2</f>
        <v>6.2000000000000011</v>
      </c>
    </row>
    <row r="20" spans="1:14" s="1" customFormat="1" ht="14.1" customHeight="1">
      <c r="A20" s="38"/>
      <c r="B20" s="56" t="s">
        <v>203</v>
      </c>
      <c r="C20" s="56"/>
      <c r="D20" s="47" t="s">
        <v>491</v>
      </c>
      <c r="E20" s="48"/>
      <c r="F20" s="48"/>
      <c r="G20" s="49"/>
      <c r="H20" s="36"/>
      <c r="I20" s="36"/>
      <c r="J20" s="23"/>
      <c r="K20" s="21"/>
      <c r="L20" s="21"/>
      <c r="M20" s="22"/>
      <c r="N20" s="140"/>
    </row>
    <row r="21" spans="1:14" s="1" customFormat="1" ht="14.1" customHeight="1">
      <c r="A21" s="38">
        <v>10</v>
      </c>
      <c r="B21" s="58" t="s">
        <v>4</v>
      </c>
      <c r="C21" s="58"/>
      <c r="D21" s="57" t="s">
        <v>5</v>
      </c>
      <c r="E21" s="57"/>
      <c r="F21" s="57"/>
      <c r="G21" s="57"/>
      <c r="H21" s="24">
        <f>SUM(I21)-3.6</f>
        <v>33</v>
      </c>
      <c r="I21" s="24">
        <f>SUM(J21)-3.6</f>
        <v>36.6</v>
      </c>
      <c r="J21" s="23">
        <v>40.200000000000003</v>
      </c>
      <c r="K21" s="21">
        <f>SUM(J21)+3.7</f>
        <v>43.900000000000006</v>
      </c>
      <c r="L21" s="21">
        <f>SUM(K21)+3.7</f>
        <v>47.600000000000009</v>
      </c>
      <c r="M21" s="22">
        <f>SUM(L21)+3.7</f>
        <v>51.300000000000011</v>
      </c>
      <c r="N21" s="140">
        <f>SUM(M21)+3.7</f>
        <v>55.000000000000014</v>
      </c>
    </row>
    <row r="22" spans="1:14" s="1" customFormat="1" ht="14.1" customHeight="1">
      <c r="A22" s="38"/>
      <c r="B22" s="56" t="s">
        <v>31</v>
      </c>
      <c r="C22" s="56"/>
      <c r="D22" s="47" t="s">
        <v>54</v>
      </c>
      <c r="E22" s="48"/>
      <c r="F22" s="48"/>
      <c r="G22" s="49"/>
      <c r="H22" s="36"/>
      <c r="I22" s="36"/>
      <c r="J22" s="23"/>
      <c r="K22" s="21"/>
      <c r="L22" s="21"/>
      <c r="M22" s="22"/>
      <c r="N22" s="140"/>
    </row>
    <row r="23" spans="1:14" s="1" customFormat="1" ht="14.1" customHeight="1">
      <c r="A23" s="38">
        <v>11</v>
      </c>
      <c r="B23" s="58" t="s">
        <v>6</v>
      </c>
      <c r="C23" s="58"/>
      <c r="D23" s="59" t="s">
        <v>7</v>
      </c>
      <c r="E23" s="60"/>
      <c r="F23" s="60"/>
      <c r="G23" s="61"/>
      <c r="H23" s="24">
        <f>SUM(I23)-1.5</f>
        <v>23.3</v>
      </c>
      <c r="I23" s="24">
        <f>SUM(J23)-1.5</f>
        <v>24.8</v>
      </c>
      <c r="J23" s="23">
        <v>26.3</v>
      </c>
      <c r="K23" s="21">
        <f>SUM(J23)+1.5</f>
        <v>27.8</v>
      </c>
      <c r="L23" s="21">
        <f t="shared" ref="L23:N23" si="1">SUM(K23)+1.5</f>
        <v>29.3</v>
      </c>
      <c r="M23" s="22">
        <f t="shared" si="1"/>
        <v>30.8</v>
      </c>
      <c r="N23" s="140">
        <f t="shared" si="1"/>
        <v>32.299999999999997</v>
      </c>
    </row>
    <row r="24" spans="1:14" s="1" customFormat="1" ht="14.1" customHeight="1">
      <c r="A24" s="38"/>
      <c r="B24" s="56" t="s">
        <v>32</v>
      </c>
      <c r="C24" s="56"/>
      <c r="D24" s="47" t="s">
        <v>76</v>
      </c>
      <c r="E24" s="48"/>
      <c r="F24" s="48"/>
      <c r="G24" s="49"/>
      <c r="H24" s="36"/>
      <c r="I24" s="36"/>
      <c r="J24" s="23"/>
      <c r="K24" s="21"/>
      <c r="L24" s="21"/>
      <c r="M24" s="22"/>
      <c r="N24" s="140"/>
    </row>
    <row r="25" spans="1:14" s="1" customFormat="1" ht="14.1" customHeight="1">
      <c r="A25" s="38">
        <v>12</v>
      </c>
      <c r="B25" s="51" t="s">
        <v>77</v>
      </c>
      <c r="C25" s="52"/>
      <c r="D25" s="57" t="s">
        <v>78</v>
      </c>
      <c r="E25" s="57"/>
      <c r="F25" s="57"/>
      <c r="G25" s="57"/>
      <c r="H25" s="24">
        <f>SUM(I25)-0.7</f>
        <v>16</v>
      </c>
      <c r="I25" s="24">
        <f>SUM(J25)-0.7</f>
        <v>16.7</v>
      </c>
      <c r="J25" s="23">
        <v>17.399999999999999</v>
      </c>
      <c r="K25" s="21">
        <f>SUM(J25)+0.7</f>
        <v>18.099999999999998</v>
      </c>
      <c r="L25" s="21">
        <f>SUM(K25)+0.7</f>
        <v>18.799999999999997</v>
      </c>
      <c r="M25" s="22">
        <f>SUM(L25)+0.7</f>
        <v>19.499999999999996</v>
      </c>
      <c r="N25" s="140">
        <f>SUM(M25)+0.7</f>
        <v>20.199999999999996</v>
      </c>
    </row>
    <row r="26" spans="1:14" s="1" customFormat="1" ht="14.1" customHeight="1">
      <c r="A26" s="38"/>
      <c r="B26" s="56" t="s">
        <v>33</v>
      </c>
      <c r="C26" s="56"/>
      <c r="D26" s="47" t="s">
        <v>79</v>
      </c>
      <c r="E26" s="48"/>
      <c r="F26" s="48"/>
      <c r="G26" s="49"/>
      <c r="H26" s="36"/>
      <c r="I26" s="36"/>
      <c r="J26" s="23"/>
      <c r="K26" s="21"/>
      <c r="L26" s="21"/>
      <c r="M26" s="22"/>
      <c r="N26" s="140"/>
    </row>
    <row r="27" spans="1:14" s="1" customFormat="1" ht="14.1" customHeight="1">
      <c r="A27" s="38">
        <v>13</v>
      </c>
      <c r="B27" s="51" t="s">
        <v>205</v>
      </c>
      <c r="C27" s="52"/>
      <c r="D27" s="53"/>
      <c r="E27" s="54"/>
      <c r="F27" s="54"/>
      <c r="G27" s="55"/>
      <c r="H27" s="24">
        <f>SUM(I27)</f>
        <v>11</v>
      </c>
      <c r="I27" s="24">
        <f>SUM(J27)</f>
        <v>11</v>
      </c>
      <c r="J27" s="23">
        <v>11</v>
      </c>
      <c r="K27" s="21">
        <f>SUM(J27)+0.2</f>
        <v>11.2</v>
      </c>
      <c r="L27" s="21">
        <f>SUM(K27)+0.2</f>
        <v>11.399999999999999</v>
      </c>
      <c r="M27" s="22">
        <f>SUM(L27)+0.2</f>
        <v>11.599999999999998</v>
      </c>
      <c r="N27" s="140">
        <f>SUM(M27)+0.2</f>
        <v>11.799999999999997</v>
      </c>
    </row>
    <row r="28" spans="1:14" s="1" customFormat="1" ht="14.1" customHeight="1">
      <c r="A28" s="38"/>
      <c r="B28" s="45" t="s">
        <v>206</v>
      </c>
      <c r="C28" s="46"/>
      <c r="D28" s="47" t="s">
        <v>461</v>
      </c>
      <c r="E28" s="48"/>
      <c r="F28" s="48"/>
      <c r="G28" s="49"/>
      <c r="H28" s="36"/>
      <c r="I28" s="36"/>
      <c r="J28" s="23"/>
      <c r="K28" s="21"/>
      <c r="L28" s="21"/>
      <c r="M28" s="22"/>
      <c r="N28" s="140"/>
    </row>
    <row r="29" spans="1:14" s="1" customFormat="1" ht="14.1" customHeight="1">
      <c r="A29" s="71">
        <v>14</v>
      </c>
      <c r="B29" s="51" t="s">
        <v>80</v>
      </c>
      <c r="C29" s="52"/>
      <c r="D29" s="53"/>
      <c r="E29" s="54"/>
      <c r="F29" s="54"/>
      <c r="G29" s="55"/>
      <c r="H29" s="24">
        <f>SUM(I29)-0.3</f>
        <v>4.4000000000000004</v>
      </c>
      <c r="I29" s="24">
        <f>SUM(J29)-0.3</f>
        <v>4.7</v>
      </c>
      <c r="J29" s="23">
        <v>5</v>
      </c>
      <c r="K29" s="21">
        <f>SUM(J29)+0.3</f>
        <v>5.3</v>
      </c>
      <c r="L29" s="21">
        <f t="shared" ref="L29" si="2">SUM(K29)+0.3</f>
        <v>5.6</v>
      </c>
      <c r="M29" s="22">
        <f t="shared" ref="M29" si="3">SUM(L29)+0.3</f>
        <v>5.8999999999999995</v>
      </c>
      <c r="N29" s="140">
        <f t="shared" ref="N29" si="4">SUM(M29)+0.3</f>
        <v>6.1999999999999993</v>
      </c>
    </row>
    <row r="30" spans="1:14" s="1" customFormat="1" ht="14.1" customHeight="1">
      <c r="A30" s="154"/>
      <c r="B30" s="45" t="s">
        <v>81</v>
      </c>
      <c r="C30" s="46"/>
      <c r="D30" s="47" t="s">
        <v>201</v>
      </c>
      <c r="E30" s="48"/>
      <c r="F30" s="48"/>
      <c r="G30" s="49"/>
      <c r="H30" s="36"/>
      <c r="I30" s="36"/>
      <c r="J30" s="23"/>
      <c r="K30" s="21"/>
      <c r="L30" s="21"/>
      <c r="M30" s="22"/>
      <c r="N30" s="140"/>
    </row>
    <row r="31" spans="1:14" s="1" customFormat="1" ht="14.1" customHeight="1">
      <c r="A31" s="38">
        <v>15</v>
      </c>
      <c r="B31" s="51"/>
      <c r="C31" s="52"/>
      <c r="D31" s="53"/>
      <c r="E31" s="54"/>
      <c r="F31" s="54"/>
      <c r="G31" s="55"/>
      <c r="H31" s="24"/>
      <c r="I31" s="24"/>
      <c r="J31" s="23"/>
      <c r="K31" s="21"/>
      <c r="L31" s="21"/>
      <c r="M31" s="22"/>
      <c r="N31" s="140"/>
    </row>
    <row r="32" spans="1:14" s="1" customFormat="1" ht="14.1" customHeight="1">
      <c r="A32" s="38"/>
      <c r="B32" s="45"/>
      <c r="C32" s="46"/>
      <c r="D32" s="47"/>
      <c r="E32" s="48"/>
      <c r="F32" s="48"/>
      <c r="G32" s="49"/>
      <c r="H32" s="36"/>
      <c r="I32" s="36"/>
      <c r="J32" s="23"/>
      <c r="K32" s="21"/>
      <c r="L32" s="21"/>
      <c r="M32" s="22"/>
      <c r="N32" s="140"/>
    </row>
    <row r="33" spans="1:14" s="1" customFormat="1" ht="14.1" customHeight="1">
      <c r="A33" s="71">
        <v>16</v>
      </c>
      <c r="B33" s="40"/>
      <c r="C33" s="41"/>
      <c r="D33" s="42"/>
      <c r="E33" s="43"/>
      <c r="F33" s="43"/>
      <c r="G33" s="44"/>
      <c r="H33" s="50"/>
      <c r="I33" s="50"/>
      <c r="J33" s="35"/>
      <c r="K33" s="36"/>
      <c r="L33" s="36"/>
      <c r="M33" s="22"/>
      <c r="N33" s="140"/>
    </row>
    <row r="34" spans="1:14" s="1" customFormat="1" ht="13.5" customHeight="1" thickBot="1">
      <c r="A34" s="39"/>
      <c r="B34" s="28"/>
      <c r="C34" s="29"/>
      <c r="D34" s="30"/>
      <c r="E34" s="31"/>
      <c r="F34" s="31"/>
      <c r="G34" s="32"/>
      <c r="H34" s="25"/>
      <c r="I34" s="25"/>
      <c r="J34" s="218"/>
      <c r="K34" s="216"/>
      <c r="L34" s="216"/>
      <c r="M34" s="220"/>
      <c r="N34" s="241"/>
    </row>
    <row r="35" spans="1:14" s="1" customFormat="1" ht="14.1" customHeight="1"/>
    <row r="36" spans="1:14" s="1" customFormat="1" ht="14.1" customHeight="1"/>
    <row r="37" spans="1:14" s="1" customFormat="1" ht="14.1" customHeight="1"/>
    <row r="38" spans="1:14" s="1" customFormat="1" ht="14.1" customHeight="1"/>
    <row r="39" spans="1:14" s="1" customFormat="1" ht="14.1" customHeight="1"/>
    <row r="40" spans="1:14" ht="14.1" customHeight="1"/>
    <row r="41" spans="1:14" ht="14.1" customHeight="1"/>
    <row r="42" spans="1:14" ht="14.1" customHeight="1"/>
    <row r="43" spans="1:14" ht="14.1" customHeight="1"/>
    <row r="44" spans="1:14" ht="14.1" customHeight="1">
      <c r="B44" s="6"/>
      <c r="C44" s="6"/>
      <c r="D44" s="6"/>
      <c r="E44" s="6"/>
      <c r="F44" s="6"/>
      <c r="G44" s="6"/>
    </row>
    <row r="45" spans="1:14" ht="14.1" customHeight="1">
      <c r="B45" s="6"/>
      <c r="C45" s="6"/>
      <c r="D45" s="6"/>
      <c r="E45" s="6"/>
      <c r="F45" s="6"/>
      <c r="G45" s="6"/>
    </row>
    <row r="46" spans="1:14" ht="14.1" customHeight="1">
      <c r="B46" s="6"/>
      <c r="C46" s="6"/>
      <c r="D46" s="6"/>
      <c r="E46" s="6"/>
      <c r="F46" s="6"/>
      <c r="G46" s="6"/>
    </row>
    <row r="47" spans="1:14" ht="14.1" customHeight="1"/>
    <row r="48" spans="1:14" ht="14.1" customHeight="1"/>
    <row r="49" ht="14.1" customHeight="1"/>
    <row r="50" ht="14.1" customHeight="1"/>
  </sheetData>
  <mergeCells count="195"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K29:K30"/>
    <mergeCell ref="L29:L30"/>
    <mergeCell ref="M29:M30"/>
    <mergeCell ref="B30:C30"/>
    <mergeCell ref="D30:G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9:J30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A1:M1"/>
    <mergeCell ref="N25:N26"/>
    <mergeCell ref="N27:N28"/>
    <mergeCell ref="N29:N30"/>
    <mergeCell ref="N31:N32"/>
    <mergeCell ref="N33:N34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K33:K34"/>
    <mergeCell ref="L33:L34"/>
    <mergeCell ref="M33:M34"/>
    <mergeCell ref="B34:C34"/>
    <mergeCell ref="D34:G34"/>
    <mergeCell ref="A33:A34"/>
    <mergeCell ref="B33:C33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03C17-053C-4874-A74E-5FF73564D049}">
  <sheetPr codeName="Sheet115">
    <tabColor rgb="FF00B050"/>
    <pageSetUpPr fitToPage="1"/>
  </sheetPr>
  <dimension ref="A1:M51"/>
  <sheetViews>
    <sheetView zoomScale="110" zoomScaleNormal="110" workbookViewId="0">
      <selection activeCell="J19" sqref="J19:J2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343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24">
        <f>SUM(I3)-3</f>
        <v>33</v>
      </c>
      <c r="I3" s="24">
        <f>SUM(J3)-3</f>
        <v>36</v>
      </c>
      <c r="J3" s="75">
        <v>39</v>
      </c>
      <c r="K3" s="76">
        <f>SUM(J3)+2.5</f>
        <v>41.5</v>
      </c>
      <c r="L3" s="76">
        <f>SUM(K3)+2.5</f>
        <v>44</v>
      </c>
      <c r="M3" s="77">
        <f>SUM(L3)+2.5</f>
        <v>46.5</v>
      </c>
    </row>
    <row r="4" spans="1:13" s="1" customFormat="1" ht="14.1" customHeight="1">
      <c r="A4" s="154"/>
      <c r="B4" s="141" t="s">
        <v>42</v>
      </c>
      <c r="C4" s="141"/>
      <c r="D4" s="100" t="s">
        <v>345</v>
      </c>
      <c r="E4" s="101"/>
      <c r="F4" s="101"/>
      <c r="G4" s="101"/>
      <c r="H4" s="50"/>
      <c r="I4" s="50"/>
      <c r="J4" s="33"/>
      <c r="K4" s="24"/>
      <c r="L4" s="24"/>
      <c r="M4" s="26"/>
    </row>
    <row r="5" spans="1:13" s="1" customFormat="1" ht="14.1" customHeight="1">
      <c r="A5" s="38">
        <v>2</v>
      </c>
      <c r="B5" s="58" t="s">
        <v>45</v>
      </c>
      <c r="C5" s="58"/>
      <c r="D5" s="57" t="s">
        <v>184</v>
      </c>
      <c r="E5" s="57"/>
      <c r="F5" s="57"/>
      <c r="G5" s="59"/>
      <c r="H5" s="24">
        <f>SUM(I5)-3</f>
        <v>37</v>
      </c>
      <c r="I5" s="24">
        <f>SUM(J5)-3</f>
        <v>40</v>
      </c>
      <c r="J5" s="23">
        <v>43</v>
      </c>
      <c r="K5" s="21">
        <f>SUM(J5)+2.5</f>
        <v>45.5</v>
      </c>
      <c r="L5" s="21">
        <f>SUM(K5)+2.5</f>
        <v>48</v>
      </c>
      <c r="M5" s="22">
        <f>SUM(L5)+2.5</f>
        <v>50.5</v>
      </c>
    </row>
    <row r="6" spans="1:13" s="1" customFormat="1" ht="14.1" customHeight="1">
      <c r="A6" s="38"/>
      <c r="B6" s="56" t="s">
        <v>42</v>
      </c>
      <c r="C6" s="56"/>
      <c r="D6" s="47" t="s">
        <v>344</v>
      </c>
      <c r="E6" s="48"/>
      <c r="F6" s="48"/>
      <c r="G6" s="48"/>
      <c r="H6" s="36"/>
      <c r="I6" s="36"/>
      <c r="J6" s="23"/>
      <c r="K6" s="21"/>
      <c r="L6" s="21"/>
      <c r="M6" s="22"/>
    </row>
    <row r="7" spans="1:13" s="1" customFormat="1" ht="14.1" customHeight="1">
      <c r="A7" s="38">
        <v>3</v>
      </c>
      <c r="B7" s="58" t="s">
        <v>43</v>
      </c>
      <c r="C7" s="58"/>
      <c r="D7" s="57" t="s">
        <v>44</v>
      </c>
      <c r="E7" s="57"/>
      <c r="F7" s="57"/>
      <c r="G7" s="57"/>
      <c r="H7" s="24">
        <f>SUM(I7)-1.8</f>
        <v>25.599999999999998</v>
      </c>
      <c r="I7" s="24">
        <f>SUM(J7)-1.8</f>
        <v>27.4</v>
      </c>
      <c r="J7" s="33">
        <v>29.2</v>
      </c>
      <c r="K7" s="24">
        <f>SUM(J7)+1.6</f>
        <v>30.8</v>
      </c>
      <c r="L7" s="24">
        <f>SUM(K7)+1.6</f>
        <v>32.4</v>
      </c>
      <c r="M7" s="26">
        <f>SUM(L7)+1.6</f>
        <v>34</v>
      </c>
    </row>
    <row r="8" spans="1:13" s="1" customFormat="1" ht="14.1" customHeight="1">
      <c r="A8" s="38"/>
      <c r="B8" s="56" t="s">
        <v>26</v>
      </c>
      <c r="C8" s="56"/>
      <c r="D8" s="47" t="s">
        <v>48</v>
      </c>
      <c r="E8" s="48"/>
      <c r="F8" s="48"/>
      <c r="G8" s="49"/>
      <c r="H8" s="36"/>
      <c r="I8" s="36"/>
      <c r="J8" s="35"/>
      <c r="K8" s="36"/>
      <c r="L8" s="36"/>
      <c r="M8" s="37"/>
    </row>
    <row r="9" spans="1:13" s="1" customFormat="1" ht="14.1" customHeight="1">
      <c r="A9" s="38">
        <v>4</v>
      </c>
      <c r="B9" s="58" t="s">
        <v>41</v>
      </c>
      <c r="C9" s="58"/>
      <c r="D9" s="57" t="s">
        <v>84</v>
      </c>
      <c r="E9" s="57"/>
      <c r="F9" s="57"/>
      <c r="G9" s="57"/>
      <c r="H9" s="24">
        <f>SUM(I9)-2.25</f>
        <v>30.5</v>
      </c>
      <c r="I9" s="24">
        <f>SUM(J9)-2.25</f>
        <v>32.75</v>
      </c>
      <c r="J9" s="33">
        <v>35</v>
      </c>
      <c r="K9" s="24">
        <f>SUM(J9)+2</f>
        <v>37</v>
      </c>
      <c r="L9" s="24">
        <f>SUM(K9)+2</f>
        <v>39</v>
      </c>
      <c r="M9" s="26">
        <f>SUM(L9)+2</f>
        <v>41</v>
      </c>
    </row>
    <row r="10" spans="1:13" s="1" customFormat="1" ht="14.1" customHeight="1">
      <c r="A10" s="38"/>
      <c r="B10" s="56" t="s">
        <v>46</v>
      </c>
      <c r="C10" s="56"/>
      <c r="D10" s="47" t="s">
        <v>49</v>
      </c>
      <c r="E10" s="48"/>
      <c r="F10" s="48"/>
      <c r="G10" s="49"/>
      <c r="H10" s="36"/>
      <c r="I10" s="36"/>
      <c r="J10" s="35"/>
      <c r="K10" s="36"/>
      <c r="L10" s="36"/>
      <c r="M10" s="37"/>
    </row>
    <row r="11" spans="1:13" s="1" customFormat="1" ht="14.1" customHeight="1">
      <c r="A11" s="38">
        <v>5</v>
      </c>
      <c r="B11" s="58" t="s">
        <v>47</v>
      </c>
      <c r="C11" s="58"/>
      <c r="D11" s="57" t="s">
        <v>8</v>
      </c>
      <c r="E11" s="57"/>
      <c r="F11" s="57"/>
      <c r="G11" s="57"/>
      <c r="H11" s="24">
        <f>SUM(I11)-2.25</f>
        <v>30.5</v>
      </c>
      <c r="I11" s="24">
        <f>SUM(J11)-2.25</f>
        <v>32.75</v>
      </c>
      <c r="J11" s="33">
        <v>35</v>
      </c>
      <c r="K11" s="24">
        <f>SUM(J11)+2</f>
        <v>37</v>
      </c>
      <c r="L11" s="24">
        <f>SUM(K11)+2</f>
        <v>39</v>
      </c>
      <c r="M11" s="26">
        <f>SUM(L11)+2</f>
        <v>41</v>
      </c>
    </row>
    <row r="12" spans="1:13" s="1" customFormat="1" ht="14.1" customHeight="1">
      <c r="A12" s="38"/>
      <c r="B12" s="56" t="s">
        <v>27</v>
      </c>
      <c r="C12" s="56"/>
      <c r="D12" s="47" t="s">
        <v>50</v>
      </c>
      <c r="E12" s="48"/>
      <c r="F12" s="48"/>
      <c r="G12" s="49"/>
      <c r="H12" s="36"/>
      <c r="I12" s="36"/>
      <c r="J12" s="35"/>
      <c r="K12" s="36"/>
      <c r="L12" s="36"/>
      <c r="M12" s="37"/>
    </row>
    <row r="13" spans="1:13" s="1" customFormat="1" ht="14.1" customHeight="1">
      <c r="A13" s="38">
        <v>6</v>
      </c>
      <c r="B13" s="58" t="s">
        <v>10</v>
      </c>
      <c r="C13" s="58"/>
      <c r="D13" s="57" t="s">
        <v>0</v>
      </c>
      <c r="E13" s="57"/>
      <c r="F13" s="57"/>
      <c r="G13" s="57"/>
      <c r="H13" s="24">
        <f>SUM(I13)-0.8</f>
        <v>13.2</v>
      </c>
      <c r="I13" s="24">
        <f>SUM(J13)-0.8</f>
        <v>14</v>
      </c>
      <c r="J13" s="23">
        <v>14.8</v>
      </c>
      <c r="K13" s="21">
        <f>SUM(J13)+0.8</f>
        <v>15.600000000000001</v>
      </c>
      <c r="L13" s="21">
        <f>SUM(K13)+0.8</f>
        <v>16.400000000000002</v>
      </c>
      <c r="M13" s="22">
        <f>SUM(L13)+0.8</f>
        <v>17.200000000000003</v>
      </c>
    </row>
    <row r="14" spans="1:13" s="1" customFormat="1" ht="14.1" customHeight="1">
      <c r="A14" s="38"/>
      <c r="B14" s="56" t="s">
        <v>28</v>
      </c>
      <c r="C14" s="56"/>
      <c r="D14" s="47" t="s">
        <v>51</v>
      </c>
      <c r="E14" s="48"/>
      <c r="F14" s="48"/>
      <c r="G14" s="49"/>
      <c r="H14" s="36"/>
      <c r="I14" s="36"/>
      <c r="J14" s="23"/>
      <c r="K14" s="21"/>
      <c r="L14" s="21"/>
      <c r="M14" s="22"/>
    </row>
    <row r="15" spans="1:13" s="1" customFormat="1" ht="14.1" customHeight="1">
      <c r="A15" s="38">
        <v>7</v>
      </c>
      <c r="B15" s="58" t="s">
        <v>1</v>
      </c>
      <c r="C15" s="58"/>
      <c r="D15" s="57" t="s">
        <v>180</v>
      </c>
      <c r="E15" s="57"/>
      <c r="F15" s="57"/>
      <c r="G15" s="57"/>
      <c r="H15" s="24">
        <f>SUM(I15)-0.6</f>
        <v>15.999999999999998</v>
      </c>
      <c r="I15" s="24">
        <f>SUM(J15)-0.6</f>
        <v>16.599999999999998</v>
      </c>
      <c r="J15" s="23">
        <v>17.2</v>
      </c>
      <c r="K15" s="21">
        <f>SUM(J15)+0.6</f>
        <v>17.8</v>
      </c>
      <c r="L15" s="21">
        <f>SUM(K15)+0.6</f>
        <v>18.400000000000002</v>
      </c>
      <c r="M15" s="22">
        <f>SUM(L15)+0.6</f>
        <v>19.000000000000004</v>
      </c>
    </row>
    <row r="16" spans="1:13" s="1" customFormat="1" ht="14.1" customHeight="1">
      <c r="A16" s="38"/>
      <c r="B16" s="56" t="s">
        <v>29</v>
      </c>
      <c r="C16" s="56"/>
      <c r="D16" s="47" t="s">
        <v>154</v>
      </c>
      <c r="E16" s="48"/>
      <c r="F16" s="48"/>
      <c r="G16" s="49"/>
      <c r="H16" s="36"/>
      <c r="I16" s="36"/>
      <c r="J16" s="23"/>
      <c r="K16" s="21"/>
      <c r="L16" s="21"/>
      <c r="M16" s="22"/>
    </row>
    <row r="17" spans="1:13" s="1" customFormat="1" ht="14.1" customHeight="1">
      <c r="A17" s="38">
        <v>8</v>
      </c>
      <c r="B17" s="58" t="s">
        <v>2</v>
      </c>
      <c r="C17" s="58"/>
      <c r="D17" s="57" t="s">
        <v>3</v>
      </c>
      <c r="E17" s="57"/>
      <c r="F17" s="57"/>
      <c r="G17" s="57"/>
      <c r="H17" s="24">
        <f>SUM(I17)-0.3</f>
        <v>6.9</v>
      </c>
      <c r="I17" s="24">
        <f>SUM(J17)-0.3</f>
        <v>7.2</v>
      </c>
      <c r="J17" s="23">
        <v>7.5</v>
      </c>
      <c r="K17" s="21">
        <f>SUM(J17)+0.3</f>
        <v>7.8</v>
      </c>
      <c r="L17" s="21">
        <f>SUM(K17)+0.3</f>
        <v>8.1</v>
      </c>
      <c r="M17" s="22">
        <f>SUM(L17)+0.3</f>
        <v>8.4</v>
      </c>
    </row>
    <row r="18" spans="1:13" s="1" customFormat="1" ht="14.1" customHeight="1">
      <c r="A18" s="38"/>
      <c r="B18" s="56" t="s">
        <v>30</v>
      </c>
      <c r="C18" s="56"/>
      <c r="D18" s="47" t="s">
        <v>155</v>
      </c>
      <c r="E18" s="48"/>
      <c r="F18" s="48"/>
      <c r="G18" s="49"/>
      <c r="H18" s="36"/>
      <c r="I18" s="36"/>
      <c r="J18" s="23"/>
      <c r="K18" s="21"/>
      <c r="L18" s="21"/>
      <c r="M18" s="22"/>
    </row>
    <row r="19" spans="1:13" s="1" customFormat="1" ht="14.1" customHeight="1">
      <c r="A19" s="38">
        <v>9</v>
      </c>
      <c r="B19" s="51" t="s">
        <v>85</v>
      </c>
      <c r="C19" s="52"/>
      <c r="D19" s="59" t="s">
        <v>86</v>
      </c>
      <c r="E19" s="60"/>
      <c r="F19" s="60"/>
      <c r="G19" s="61"/>
      <c r="H19" s="24">
        <f>SUM(I19)-1.6</f>
        <v>40.799999999999997</v>
      </c>
      <c r="I19" s="24">
        <f>SUM(J19)-1.6</f>
        <v>42.4</v>
      </c>
      <c r="J19" s="23">
        <v>44</v>
      </c>
      <c r="K19" s="21">
        <f>SUM(J19)+1.6</f>
        <v>45.6</v>
      </c>
      <c r="L19" s="21">
        <f>SUM(K19)+1.6</f>
        <v>47.2</v>
      </c>
      <c r="M19" s="22">
        <f>SUM(L19)+1.6</f>
        <v>48.800000000000004</v>
      </c>
    </row>
    <row r="20" spans="1:13" s="1" customFormat="1" ht="14.1" customHeight="1">
      <c r="A20" s="38"/>
      <c r="B20" s="56" t="s">
        <v>37</v>
      </c>
      <c r="C20" s="56"/>
      <c r="D20" s="47" t="s">
        <v>156</v>
      </c>
      <c r="E20" s="48"/>
      <c r="F20" s="48"/>
      <c r="G20" s="49"/>
      <c r="H20" s="36"/>
      <c r="I20" s="36"/>
      <c r="J20" s="23"/>
      <c r="K20" s="21"/>
      <c r="L20" s="21"/>
      <c r="M20" s="22"/>
    </row>
    <row r="21" spans="1:13" s="1" customFormat="1" ht="14.1" customHeight="1">
      <c r="A21" s="38">
        <v>10</v>
      </c>
      <c r="B21" s="58" t="s">
        <v>4</v>
      </c>
      <c r="C21" s="58"/>
      <c r="D21" s="57" t="s">
        <v>5</v>
      </c>
      <c r="E21" s="57"/>
      <c r="F21" s="57"/>
      <c r="G21" s="57"/>
      <c r="H21" s="24">
        <f>SUM(I21)-3.6</f>
        <v>31.199999999999996</v>
      </c>
      <c r="I21" s="24">
        <f>SUM(J21)-3.6</f>
        <v>34.799999999999997</v>
      </c>
      <c r="J21" s="23">
        <v>38.4</v>
      </c>
      <c r="K21" s="21">
        <f>SUM(J21)+3.7</f>
        <v>42.1</v>
      </c>
      <c r="L21" s="21">
        <f>SUM(K21)+3.7</f>
        <v>45.800000000000004</v>
      </c>
      <c r="M21" s="22">
        <f>SUM(L21)+3.7</f>
        <v>49.500000000000007</v>
      </c>
    </row>
    <row r="22" spans="1:13" s="1" customFormat="1" ht="14.1" customHeight="1">
      <c r="A22" s="38"/>
      <c r="B22" s="56" t="s">
        <v>31</v>
      </c>
      <c r="C22" s="56"/>
      <c r="D22" s="47" t="s">
        <v>54</v>
      </c>
      <c r="E22" s="48"/>
      <c r="F22" s="48"/>
      <c r="G22" s="49"/>
      <c r="H22" s="36"/>
      <c r="I22" s="36"/>
      <c r="J22" s="23"/>
      <c r="K22" s="21"/>
      <c r="L22" s="21"/>
      <c r="M22" s="22"/>
    </row>
    <row r="23" spans="1:13" s="1" customFormat="1" ht="14.1" customHeight="1">
      <c r="A23" s="38">
        <v>11</v>
      </c>
      <c r="B23" s="58" t="s">
        <v>6</v>
      </c>
      <c r="C23" s="58"/>
      <c r="D23" s="59" t="s">
        <v>7</v>
      </c>
      <c r="E23" s="60"/>
      <c r="F23" s="60"/>
      <c r="G23" s="61"/>
      <c r="H23" s="24">
        <f>SUM(I23)-1.4</f>
        <v>23.6</v>
      </c>
      <c r="I23" s="24">
        <f>SUM(J23)-1.4</f>
        <v>25</v>
      </c>
      <c r="J23" s="23">
        <v>26.4</v>
      </c>
      <c r="K23" s="21">
        <f>SUM(J23)+1.4</f>
        <v>27.799999999999997</v>
      </c>
      <c r="L23" s="21">
        <f>SUM(K23)+1.4</f>
        <v>29.199999999999996</v>
      </c>
      <c r="M23" s="22">
        <f>SUM(L23)+1.4</f>
        <v>30.599999999999994</v>
      </c>
    </row>
    <row r="24" spans="1:13" s="1" customFormat="1" ht="14.1" customHeight="1">
      <c r="A24" s="38"/>
      <c r="B24" s="56" t="s">
        <v>32</v>
      </c>
      <c r="C24" s="56"/>
      <c r="D24" s="47" t="s">
        <v>76</v>
      </c>
      <c r="E24" s="48"/>
      <c r="F24" s="48"/>
      <c r="G24" s="49"/>
      <c r="H24" s="36"/>
      <c r="I24" s="36"/>
      <c r="J24" s="23"/>
      <c r="K24" s="21"/>
      <c r="L24" s="21"/>
      <c r="M24" s="22"/>
    </row>
    <row r="25" spans="1:13" s="1" customFormat="1" ht="14.1" customHeight="1">
      <c r="A25" s="38">
        <v>12</v>
      </c>
      <c r="B25" s="51" t="s">
        <v>77</v>
      </c>
      <c r="C25" s="52"/>
      <c r="D25" s="57" t="s">
        <v>78</v>
      </c>
      <c r="E25" s="57"/>
      <c r="F25" s="57"/>
      <c r="G25" s="57"/>
      <c r="H25" s="24">
        <f>SUM(I25)-0.7</f>
        <v>15.600000000000001</v>
      </c>
      <c r="I25" s="24">
        <f>SUM(J25)-0.7</f>
        <v>16.3</v>
      </c>
      <c r="J25" s="23">
        <v>17</v>
      </c>
      <c r="K25" s="21">
        <f>SUM(J25)+0.7</f>
        <v>17.7</v>
      </c>
      <c r="L25" s="21">
        <f>SUM(K25)+0.7</f>
        <v>18.399999999999999</v>
      </c>
      <c r="M25" s="22">
        <f>SUM(L25)+0.7</f>
        <v>19.099999999999998</v>
      </c>
    </row>
    <row r="26" spans="1:13" s="1" customFormat="1" ht="14.1" customHeight="1">
      <c r="A26" s="38"/>
      <c r="B26" s="56" t="s">
        <v>33</v>
      </c>
      <c r="C26" s="56"/>
      <c r="D26" s="47" t="s">
        <v>79</v>
      </c>
      <c r="E26" s="48"/>
      <c r="F26" s="48"/>
      <c r="G26" s="49"/>
      <c r="H26" s="36"/>
      <c r="I26" s="36"/>
      <c r="J26" s="23"/>
      <c r="K26" s="21"/>
      <c r="L26" s="21"/>
      <c r="M26" s="22"/>
    </row>
    <row r="27" spans="1:13" s="1" customFormat="1" ht="14.1" customHeight="1">
      <c r="A27" s="38">
        <v>13</v>
      </c>
      <c r="B27" s="51" t="s">
        <v>346</v>
      </c>
      <c r="C27" s="52"/>
      <c r="D27" s="57"/>
      <c r="E27" s="57"/>
      <c r="F27" s="57"/>
      <c r="G27" s="57"/>
      <c r="H27" s="24">
        <f>SUM(I27)-2.1</f>
        <v>22.799999999999997</v>
      </c>
      <c r="I27" s="24">
        <f>SUM(J27)-2.1</f>
        <v>24.9</v>
      </c>
      <c r="J27" s="23">
        <v>27</v>
      </c>
      <c r="K27" s="21">
        <f>SUM(J27)+1.6</f>
        <v>28.6</v>
      </c>
      <c r="L27" s="21">
        <f>SUM(K27)+1.6</f>
        <v>30.200000000000003</v>
      </c>
      <c r="M27" s="22">
        <f>SUM(L27)+1.6</f>
        <v>31.800000000000004</v>
      </c>
    </row>
    <row r="28" spans="1:13" s="1" customFormat="1" ht="14.1" customHeight="1">
      <c r="A28" s="38"/>
      <c r="B28" s="56" t="s">
        <v>347</v>
      </c>
      <c r="C28" s="56"/>
      <c r="D28" s="47" t="s">
        <v>348</v>
      </c>
      <c r="E28" s="48"/>
      <c r="F28" s="48"/>
      <c r="G28" s="49"/>
      <c r="H28" s="36"/>
      <c r="I28" s="36"/>
      <c r="J28" s="23"/>
      <c r="K28" s="21"/>
      <c r="L28" s="21"/>
      <c r="M28" s="22"/>
    </row>
    <row r="29" spans="1:13" s="1" customFormat="1" ht="14.1" customHeight="1">
      <c r="A29" s="38">
        <v>14</v>
      </c>
      <c r="B29" s="51" t="s">
        <v>176</v>
      </c>
      <c r="C29" s="52"/>
      <c r="D29" s="53"/>
      <c r="E29" s="54"/>
      <c r="F29" s="54"/>
      <c r="G29" s="55"/>
      <c r="H29" s="24">
        <f>SUM(I29)-0.7</f>
        <v>10.100000000000001</v>
      </c>
      <c r="I29" s="24">
        <f>SUM(J29)-0.7</f>
        <v>10.8</v>
      </c>
      <c r="J29" s="23">
        <v>11.5</v>
      </c>
      <c r="K29" s="21">
        <f>SUM(J29)+0.7</f>
        <v>12.2</v>
      </c>
      <c r="L29" s="21">
        <f>SUM(K29)+0.7</f>
        <v>12.899999999999999</v>
      </c>
      <c r="M29" s="22">
        <f>SUM(L29)+0.7</f>
        <v>13.599999999999998</v>
      </c>
    </row>
    <row r="30" spans="1:13" s="1" customFormat="1" ht="14.1" customHeight="1">
      <c r="A30" s="38"/>
      <c r="B30" s="45" t="s">
        <v>175</v>
      </c>
      <c r="C30" s="46"/>
      <c r="D30" s="47" t="s">
        <v>212</v>
      </c>
      <c r="E30" s="48"/>
      <c r="F30" s="48"/>
      <c r="G30" s="49"/>
      <c r="H30" s="36"/>
      <c r="I30" s="36"/>
      <c r="J30" s="23"/>
      <c r="K30" s="21"/>
      <c r="L30" s="21"/>
      <c r="M30" s="22"/>
    </row>
    <row r="31" spans="1:13" ht="14.1" customHeight="1">
      <c r="A31" s="38">
        <v>15</v>
      </c>
      <c r="B31" s="40" t="s">
        <v>174</v>
      </c>
      <c r="C31" s="41"/>
      <c r="D31" s="42" t="s">
        <v>106</v>
      </c>
      <c r="E31" s="43"/>
      <c r="F31" s="43"/>
      <c r="G31" s="44"/>
      <c r="H31" s="50">
        <f>SUM(I31)-0.4</f>
        <v>5.9999999999999991</v>
      </c>
      <c r="I31" s="50">
        <f>SUM(J31)-0.4</f>
        <v>6.3999999999999995</v>
      </c>
      <c r="J31" s="35">
        <v>6.8</v>
      </c>
      <c r="K31" s="36">
        <f>SUM(J31)+0.4</f>
        <v>7.2</v>
      </c>
      <c r="L31" s="36">
        <f>SUM(K31)+0.4</f>
        <v>7.6000000000000005</v>
      </c>
      <c r="M31" s="37">
        <f>SUM(L31)+0.4</f>
        <v>8</v>
      </c>
    </row>
    <row r="32" spans="1:13" ht="14.1" customHeight="1">
      <c r="A32" s="38"/>
      <c r="B32" s="45" t="s">
        <v>173</v>
      </c>
      <c r="C32" s="46"/>
      <c r="D32" s="47" t="s">
        <v>105</v>
      </c>
      <c r="E32" s="48"/>
      <c r="F32" s="48"/>
      <c r="G32" s="49"/>
      <c r="H32" s="36"/>
      <c r="I32" s="36"/>
      <c r="J32" s="23"/>
      <c r="K32" s="21"/>
      <c r="L32" s="21"/>
      <c r="M32" s="22"/>
    </row>
    <row r="33" spans="1:13" ht="14.1" customHeight="1">
      <c r="A33" s="38">
        <v>16</v>
      </c>
      <c r="B33" s="40"/>
      <c r="C33" s="41"/>
      <c r="D33" s="42"/>
      <c r="E33" s="43"/>
      <c r="F33" s="43"/>
      <c r="G33" s="44"/>
      <c r="H33" s="24"/>
      <c r="I33" s="24"/>
      <c r="J33" s="33"/>
      <c r="K33" s="24"/>
      <c r="L33" s="24"/>
      <c r="M33" s="26"/>
    </row>
    <row r="34" spans="1:13" ht="14.1" customHeight="1" thickBot="1">
      <c r="A34" s="39"/>
      <c r="B34" s="28"/>
      <c r="C34" s="29"/>
      <c r="D34" s="30"/>
      <c r="E34" s="31"/>
      <c r="F34" s="31"/>
      <c r="G34" s="32"/>
      <c r="H34" s="25"/>
      <c r="I34" s="25"/>
      <c r="J34" s="34"/>
      <c r="K34" s="25"/>
      <c r="L34" s="25"/>
      <c r="M34" s="27"/>
    </row>
    <row r="35" spans="1:13" ht="14.1" customHeight="1"/>
    <row r="36" spans="1:13" ht="14.1" customHeight="1"/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179"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J5:J6"/>
    <mergeCell ref="K5:K6"/>
    <mergeCell ref="L5:L6"/>
    <mergeCell ref="M5:M6"/>
    <mergeCell ref="B6:C6"/>
    <mergeCell ref="D6:G6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J21:J22"/>
    <mergeCell ref="K21:K22"/>
    <mergeCell ref="L21:L22"/>
    <mergeCell ref="M21:M22"/>
    <mergeCell ref="B22:C22"/>
    <mergeCell ref="D22:G22"/>
    <mergeCell ref="K33:K34"/>
    <mergeCell ref="L33:L34"/>
    <mergeCell ref="M33:M34"/>
    <mergeCell ref="B34:C34"/>
    <mergeCell ref="D34:G34"/>
    <mergeCell ref="A5:A6"/>
    <mergeCell ref="B5:C5"/>
    <mergeCell ref="D5:G5"/>
    <mergeCell ref="H5:H6"/>
    <mergeCell ref="I5:I6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9:J30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K19:K20"/>
    <mergeCell ref="L19:L20"/>
    <mergeCell ref="M19:M20"/>
    <mergeCell ref="B20:C20"/>
    <mergeCell ref="D20:G20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J19:J20"/>
    <mergeCell ref="J17:J18"/>
    <mergeCell ref="K17:K18"/>
    <mergeCell ref="L17:L18"/>
    <mergeCell ref="M17:M18"/>
    <mergeCell ref="B18:C18"/>
    <mergeCell ref="D18:G18"/>
    <mergeCell ref="K15:K16"/>
    <mergeCell ref="L15:L16"/>
    <mergeCell ref="M15:M16"/>
    <mergeCell ref="B16:C16"/>
    <mergeCell ref="D16:G16"/>
    <mergeCell ref="J15:J16"/>
    <mergeCell ref="A17:A18"/>
    <mergeCell ref="B17:C17"/>
    <mergeCell ref="D17:G17"/>
    <mergeCell ref="H17:H18"/>
    <mergeCell ref="I17:I18"/>
    <mergeCell ref="A15:A16"/>
    <mergeCell ref="B15:C15"/>
    <mergeCell ref="D15:G15"/>
    <mergeCell ref="H15:H16"/>
    <mergeCell ref="I15:I16"/>
    <mergeCell ref="K13:K14"/>
    <mergeCell ref="L13:L14"/>
    <mergeCell ref="M13:M14"/>
    <mergeCell ref="B14:C14"/>
    <mergeCell ref="D14:G14"/>
    <mergeCell ref="K11:K12"/>
    <mergeCell ref="L11:L12"/>
    <mergeCell ref="M11:M12"/>
    <mergeCell ref="B12:C12"/>
    <mergeCell ref="D12:G12"/>
    <mergeCell ref="J11:J12"/>
    <mergeCell ref="A7:A8"/>
    <mergeCell ref="B7:C7"/>
    <mergeCell ref="D7:G7"/>
    <mergeCell ref="H7:H8"/>
    <mergeCell ref="I7:I8"/>
    <mergeCell ref="J7:J8"/>
    <mergeCell ref="B8:C8"/>
    <mergeCell ref="D8:G8"/>
    <mergeCell ref="A13:A14"/>
    <mergeCell ref="B13:C13"/>
    <mergeCell ref="D13:G13"/>
    <mergeCell ref="H13:H14"/>
    <mergeCell ref="I13:I14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J13:J14"/>
    <mergeCell ref="J9:J10"/>
    <mergeCell ref="K9:K10"/>
    <mergeCell ref="L9:L10"/>
    <mergeCell ref="M9:M10"/>
    <mergeCell ref="B10:C10"/>
    <mergeCell ref="D10:G10"/>
    <mergeCell ref="K7:K8"/>
    <mergeCell ref="L7:L8"/>
    <mergeCell ref="M7:M8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32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8B58E-144C-4EE0-953E-BF030A083021}">
  <sheetPr codeName="Sheet110">
    <tabColor rgb="FF00B050"/>
    <pageSetUpPr fitToPage="1"/>
  </sheetPr>
  <dimension ref="A1:N49"/>
  <sheetViews>
    <sheetView zoomScale="110" zoomScaleNormal="110" workbookViewId="0">
      <selection activeCell="M35" sqref="M35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28" t="s">
        <v>288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30"/>
    </row>
    <row r="2" spans="1:14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  <c r="N2" s="9" t="s">
        <v>170</v>
      </c>
    </row>
    <row r="3" spans="1:14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24">
        <f>SUM(I3)-3.5</f>
        <v>36.5</v>
      </c>
      <c r="I3" s="24">
        <f>SUM(J3)-3.5</f>
        <v>40</v>
      </c>
      <c r="J3" s="75">
        <v>43.5</v>
      </c>
      <c r="K3" s="76">
        <f>SUM(J3)+3</f>
        <v>46.5</v>
      </c>
      <c r="L3" s="76">
        <f>SUM(K3)+3</f>
        <v>49.5</v>
      </c>
      <c r="M3" s="76">
        <f>SUM(L3)+3</f>
        <v>52.5</v>
      </c>
      <c r="N3" s="171">
        <f>SUM(M3)+3</f>
        <v>55.5</v>
      </c>
    </row>
    <row r="4" spans="1:14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24"/>
      <c r="L4" s="24"/>
      <c r="M4" s="24"/>
      <c r="N4" s="121"/>
    </row>
    <row r="5" spans="1:14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/>
      <c r="I5" s="24"/>
      <c r="J5" s="33"/>
      <c r="K5" s="24"/>
      <c r="L5" s="24"/>
      <c r="M5" s="24"/>
      <c r="N5" s="121"/>
    </row>
    <row r="6" spans="1:14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36"/>
      <c r="N6" s="122"/>
    </row>
    <row r="7" spans="1:14" s="1" customFormat="1" ht="13.5" customHeight="1">
      <c r="A7" s="38">
        <v>3</v>
      </c>
      <c r="B7" s="164" t="s">
        <v>101</v>
      </c>
      <c r="C7" s="165"/>
      <c r="D7" s="100" t="s">
        <v>102</v>
      </c>
      <c r="E7" s="101"/>
      <c r="F7" s="101"/>
      <c r="G7" s="102"/>
      <c r="H7" s="24">
        <f>SUM(I7)-4.5</f>
        <v>44</v>
      </c>
      <c r="I7" s="24">
        <f>SUM(J7)-4.5</f>
        <v>48.5</v>
      </c>
      <c r="J7" s="23">
        <v>53</v>
      </c>
      <c r="K7" s="21">
        <f>SUM(J7)+4.5</f>
        <v>57.5</v>
      </c>
      <c r="L7" s="21">
        <f>SUM(K7)+4.5</f>
        <v>62</v>
      </c>
      <c r="M7" s="21">
        <f>SUM(L7)+4.5</f>
        <v>66.5</v>
      </c>
      <c r="N7" s="123">
        <f>SUM(M7)+4.5</f>
        <v>71</v>
      </c>
    </row>
    <row r="8" spans="1:14" s="1" customFormat="1" ht="14.1" customHeight="1">
      <c r="A8" s="38"/>
      <c r="B8" s="45" t="s">
        <v>99</v>
      </c>
      <c r="C8" s="46"/>
      <c r="D8" s="47" t="s">
        <v>100</v>
      </c>
      <c r="E8" s="48"/>
      <c r="F8" s="48"/>
      <c r="G8" s="49"/>
      <c r="H8" s="36"/>
      <c r="I8" s="36"/>
      <c r="J8" s="23"/>
      <c r="K8" s="21"/>
      <c r="L8" s="21"/>
      <c r="M8" s="21"/>
      <c r="N8" s="123"/>
    </row>
    <row r="9" spans="1:14" s="1" customFormat="1" ht="14.1" customHeight="1">
      <c r="A9" s="38">
        <v>4</v>
      </c>
      <c r="B9" s="58" t="s">
        <v>41</v>
      </c>
      <c r="C9" s="58"/>
      <c r="D9" s="57" t="s">
        <v>84</v>
      </c>
      <c r="E9" s="57"/>
      <c r="F9" s="57"/>
      <c r="G9" s="57"/>
      <c r="H9" s="24">
        <f>SUM(I9)-2.25</f>
        <v>32.5</v>
      </c>
      <c r="I9" s="24">
        <f>SUM(J9)-2.25</f>
        <v>34.75</v>
      </c>
      <c r="J9" s="33">
        <v>37</v>
      </c>
      <c r="K9" s="24">
        <f>SUM(J9)+2</f>
        <v>39</v>
      </c>
      <c r="L9" s="24">
        <f>SUM(K9)+2</f>
        <v>41</v>
      </c>
      <c r="M9" s="24">
        <f>SUM(L9)+2</f>
        <v>43</v>
      </c>
      <c r="N9" s="121">
        <f>SUM(M9)+2</f>
        <v>45</v>
      </c>
    </row>
    <row r="10" spans="1:14" s="1" customFormat="1" ht="14.1" customHeight="1">
      <c r="A10" s="38"/>
      <c r="B10" s="56" t="s">
        <v>46</v>
      </c>
      <c r="C10" s="56"/>
      <c r="D10" s="47" t="s">
        <v>49</v>
      </c>
      <c r="E10" s="48"/>
      <c r="F10" s="48"/>
      <c r="G10" s="49"/>
      <c r="H10" s="36"/>
      <c r="I10" s="36"/>
      <c r="J10" s="35"/>
      <c r="K10" s="36"/>
      <c r="L10" s="36"/>
      <c r="M10" s="36"/>
      <c r="N10" s="122"/>
    </row>
    <row r="11" spans="1:14" s="1" customFormat="1" ht="14.1" customHeight="1">
      <c r="A11" s="38">
        <v>5</v>
      </c>
      <c r="B11" s="58" t="s">
        <v>47</v>
      </c>
      <c r="C11" s="58"/>
      <c r="D11" s="57" t="s">
        <v>8</v>
      </c>
      <c r="E11" s="57"/>
      <c r="F11" s="57"/>
      <c r="G11" s="57"/>
      <c r="H11" s="24">
        <f>SUM(I11)-2.25</f>
        <v>32.5</v>
      </c>
      <c r="I11" s="24">
        <f>SUM(J11)-2.25</f>
        <v>34.75</v>
      </c>
      <c r="J11" s="33">
        <v>37</v>
      </c>
      <c r="K11" s="24">
        <f>SUM(J11)+2</f>
        <v>39</v>
      </c>
      <c r="L11" s="24">
        <f>SUM(K11)+2</f>
        <v>41</v>
      </c>
      <c r="M11" s="24">
        <f>SUM(L11)+2</f>
        <v>43</v>
      </c>
      <c r="N11" s="121">
        <f>SUM(M11)+2</f>
        <v>45</v>
      </c>
    </row>
    <row r="12" spans="1:14" s="1" customFormat="1" ht="14.1" customHeight="1">
      <c r="A12" s="38"/>
      <c r="B12" s="56" t="s">
        <v>27</v>
      </c>
      <c r="C12" s="56"/>
      <c r="D12" s="47" t="s">
        <v>50</v>
      </c>
      <c r="E12" s="48"/>
      <c r="F12" s="48"/>
      <c r="G12" s="49"/>
      <c r="H12" s="36"/>
      <c r="I12" s="36"/>
      <c r="J12" s="35"/>
      <c r="K12" s="36"/>
      <c r="L12" s="36"/>
      <c r="M12" s="36"/>
      <c r="N12" s="122"/>
    </row>
    <row r="13" spans="1:14" s="1" customFormat="1" ht="14.1" customHeight="1">
      <c r="A13" s="38">
        <v>6</v>
      </c>
      <c r="B13" s="58" t="s">
        <v>10</v>
      </c>
      <c r="C13" s="58"/>
      <c r="D13" s="57" t="s">
        <v>0</v>
      </c>
      <c r="E13" s="57"/>
      <c r="F13" s="57"/>
      <c r="G13" s="57"/>
      <c r="H13" s="24"/>
      <c r="I13" s="24"/>
      <c r="J13" s="23"/>
      <c r="K13" s="21"/>
      <c r="L13" s="21"/>
      <c r="M13" s="21"/>
      <c r="N13" s="123"/>
    </row>
    <row r="14" spans="1:14" s="1" customFormat="1" ht="14.1" customHeight="1">
      <c r="A14" s="38"/>
      <c r="B14" s="56" t="s">
        <v>28</v>
      </c>
      <c r="C14" s="56"/>
      <c r="D14" s="47" t="s">
        <v>51</v>
      </c>
      <c r="E14" s="48"/>
      <c r="F14" s="48"/>
      <c r="G14" s="49"/>
      <c r="H14" s="36"/>
      <c r="I14" s="36"/>
      <c r="J14" s="23"/>
      <c r="K14" s="21"/>
      <c r="L14" s="21"/>
      <c r="M14" s="21"/>
      <c r="N14" s="123"/>
    </row>
    <row r="15" spans="1:14" s="1" customFormat="1" ht="14.1" customHeight="1">
      <c r="A15" s="38">
        <v>7</v>
      </c>
      <c r="B15" s="58" t="s">
        <v>1</v>
      </c>
      <c r="C15" s="58"/>
      <c r="D15" s="57" t="s">
        <v>180</v>
      </c>
      <c r="E15" s="57"/>
      <c r="F15" s="57"/>
      <c r="G15" s="57"/>
      <c r="H15" s="24">
        <f>SUM(I15)-0.6</f>
        <v>12.100000000000001</v>
      </c>
      <c r="I15" s="24">
        <f>SUM(J15)-0.6</f>
        <v>12.700000000000001</v>
      </c>
      <c r="J15" s="23">
        <v>13.3</v>
      </c>
      <c r="K15" s="21">
        <f>SUM(J15)+0.6</f>
        <v>13.9</v>
      </c>
      <c r="L15" s="21">
        <f>SUM(K15)+0.6</f>
        <v>14.5</v>
      </c>
      <c r="M15" s="21">
        <f>SUM(L15)+0.6</f>
        <v>15.1</v>
      </c>
      <c r="N15" s="123">
        <f>SUM(M15)+0.6</f>
        <v>15.7</v>
      </c>
    </row>
    <row r="16" spans="1:14" s="1" customFormat="1" ht="14.1" customHeight="1">
      <c r="A16" s="38"/>
      <c r="B16" s="56" t="s">
        <v>29</v>
      </c>
      <c r="C16" s="56"/>
      <c r="D16" s="47" t="s">
        <v>154</v>
      </c>
      <c r="E16" s="48"/>
      <c r="F16" s="48"/>
      <c r="G16" s="49"/>
      <c r="H16" s="36"/>
      <c r="I16" s="36"/>
      <c r="J16" s="23"/>
      <c r="K16" s="21"/>
      <c r="L16" s="21"/>
      <c r="M16" s="21"/>
      <c r="N16" s="123"/>
    </row>
    <row r="17" spans="1:14" s="1" customFormat="1" ht="14.1" customHeight="1">
      <c r="A17" s="38">
        <v>8</v>
      </c>
      <c r="B17" s="58" t="s">
        <v>2</v>
      </c>
      <c r="C17" s="58"/>
      <c r="D17" s="57" t="s">
        <v>3</v>
      </c>
      <c r="E17" s="57"/>
      <c r="F17" s="57"/>
      <c r="G17" s="57"/>
      <c r="H17" s="24">
        <f>SUM(I17)-0.3</f>
        <v>5</v>
      </c>
      <c r="I17" s="24">
        <f>SUM(J17)-0.3</f>
        <v>5.3</v>
      </c>
      <c r="J17" s="23">
        <v>5.6</v>
      </c>
      <c r="K17" s="21">
        <f>SUM(J17)+0.3</f>
        <v>5.8999999999999995</v>
      </c>
      <c r="L17" s="21">
        <f>SUM(K17)+0.3</f>
        <v>6.1999999999999993</v>
      </c>
      <c r="M17" s="21">
        <f>SUM(L17)+0.3</f>
        <v>6.4999999999999991</v>
      </c>
      <c r="N17" s="123">
        <f>SUM(M17)+0.3</f>
        <v>6.7999999999999989</v>
      </c>
    </row>
    <row r="18" spans="1:14" s="1" customFormat="1" ht="14.1" customHeight="1">
      <c r="A18" s="38"/>
      <c r="B18" s="56" t="s">
        <v>30</v>
      </c>
      <c r="C18" s="56"/>
      <c r="D18" s="47" t="s">
        <v>155</v>
      </c>
      <c r="E18" s="48"/>
      <c r="F18" s="48"/>
      <c r="G18" s="49"/>
      <c r="H18" s="36"/>
      <c r="I18" s="36"/>
      <c r="J18" s="23"/>
      <c r="K18" s="21"/>
      <c r="L18" s="21"/>
      <c r="M18" s="21"/>
      <c r="N18" s="123"/>
    </row>
    <row r="19" spans="1:14" s="1" customFormat="1" ht="14.1" customHeight="1">
      <c r="A19" s="38">
        <v>9</v>
      </c>
      <c r="B19" s="51" t="s">
        <v>85</v>
      </c>
      <c r="C19" s="52"/>
      <c r="D19" s="59" t="s">
        <v>86</v>
      </c>
      <c r="E19" s="60"/>
      <c r="F19" s="60"/>
      <c r="G19" s="61"/>
      <c r="H19" s="24">
        <f>SUM(I19)-1.6</f>
        <v>31.799999999999997</v>
      </c>
      <c r="I19" s="24">
        <f>SUM(J19)-1.6</f>
        <v>33.4</v>
      </c>
      <c r="J19" s="23">
        <v>35</v>
      </c>
      <c r="K19" s="21">
        <f>SUM(J19)+1.6</f>
        <v>36.6</v>
      </c>
      <c r="L19" s="21">
        <f>SUM(K19)+1.6</f>
        <v>38.200000000000003</v>
      </c>
      <c r="M19" s="21">
        <f>SUM(L19)+1.6</f>
        <v>39.800000000000004</v>
      </c>
      <c r="N19" s="123">
        <f>SUM(M19)+1.6</f>
        <v>41.400000000000006</v>
      </c>
    </row>
    <row r="20" spans="1:14" s="1" customFormat="1" ht="14.1" customHeight="1">
      <c r="A20" s="38"/>
      <c r="B20" s="56" t="s">
        <v>37</v>
      </c>
      <c r="C20" s="56"/>
      <c r="D20" s="47" t="s">
        <v>156</v>
      </c>
      <c r="E20" s="48"/>
      <c r="F20" s="48"/>
      <c r="G20" s="49"/>
      <c r="H20" s="36"/>
      <c r="I20" s="36"/>
      <c r="J20" s="23"/>
      <c r="K20" s="21"/>
      <c r="L20" s="21"/>
      <c r="M20" s="21"/>
      <c r="N20" s="123"/>
    </row>
    <row r="21" spans="1:14" s="1" customFormat="1" ht="14.1" customHeight="1">
      <c r="A21" s="38">
        <v>10</v>
      </c>
      <c r="B21" s="58" t="s">
        <v>4</v>
      </c>
      <c r="C21" s="58"/>
      <c r="D21" s="57" t="s">
        <v>5</v>
      </c>
      <c r="E21" s="57"/>
      <c r="F21" s="57"/>
      <c r="G21" s="57"/>
      <c r="H21" s="24"/>
      <c r="I21" s="24"/>
      <c r="J21" s="23"/>
      <c r="K21" s="21"/>
      <c r="L21" s="21"/>
      <c r="M21" s="21"/>
      <c r="N21" s="123"/>
    </row>
    <row r="22" spans="1:14" s="1" customFormat="1" ht="14.1" customHeight="1">
      <c r="A22" s="38"/>
      <c r="B22" s="56" t="s">
        <v>31</v>
      </c>
      <c r="C22" s="56"/>
      <c r="D22" s="47" t="s">
        <v>54</v>
      </c>
      <c r="E22" s="48"/>
      <c r="F22" s="48"/>
      <c r="G22" s="49"/>
      <c r="H22" s="36"/>
      <c r="I22" s="36"/>
      <c r="J22" s="23"/>
      <c r="K22" s="21"/>
      <c r="L22" s="21"/>
      <c r="M22" s="21"/>
      <c r="N22" s="123"/>
    </row>
    <row r="23" spans="1:14" s="1" customFormat="1" ht="14.1" customHeight="1">
      <c r="A23" s="38">
        <v>11</v>
      </c>
      <c r="B23" s="58" t="s">
        <v>6</v>
      </c>
      <c r="C23" s="58"/>
      <c r="D23" s="59" t="s">
        <v>7</v>
      </c>
      <c r="E23" s="60"/>
      <c r="F23" s="60"/>
      <c r="G23" s="61"/>
      <c r="H23" s="24">
        <f>SUM(I23)-1.6</f>
        <v>25.499999999999996</v>
      </c>
      <c r="I23" s="24">
        <f>SUM(J23)-1.6</f>
        <v>27.099999999999998</v>
      </c>
      <c r="J23" s="23">
        <v>28.7</v>
      </c>
      <c r="K23" s="21">
        <f>SUM(J23)+1.6</f>
        <v>30.3</v>
      </c>
      <c r="L23" s="21">
        <f>SUM(K23)+1.6</f>
        <v>31.900000000000002</v>
      </c>
      <c r="M23" s="21">
        <f>SUM(L23)+1.6</f>
        <v>33.5</v>
      </c>
      <c r="N23" s="123">
        <f>SUM(M23)+1.6</f>
        <v>35.1</v>
      </c>
    </row>
    <row r="24" spans="1:14" s="1" customFormat="1" ht="14.1" customHeight="1">
      <c r="A24" s="38"/>
      <c r="B24" s="56" t="s">
        <v>32</v>
      </c>
      <c r="C24" s="56"/>
      <c r="D24" s="47" t="s">
        <v>76</v>
      </c>
      <c r="E24" s="48"/>
      <c r="F24" s="48"/>
      <c r="G24" s="49"/>
      <c r="H24" s="36"/>
      <c r="I24" s="36"/>
      <c r="J24" s="23"/>
      <c r="K24" s="21"/>
      <c r="L24" s="21"/>
      <c r="M24" s="21"/>
      <c r="N24" s="123"/>
    </row>
    <row r="25" spans="1:14" s="1" customFormat="1" ht="14.1" customHeight="1">
      <c r="A25" s="38">
        <v>12</v>
      </c>
      <c r="B25" s="51" t="s">
        <v>77</v>
      </c>
      <c r="C25" s="52"/>
      <c r="D25" s="57" t="s">
        <v>78</v>
      </c>
      <c r="E25" s="57"/>
      <c r="F25" s="57"/>
      <c r="G25" s="57"/>
      <c r="H25" s="24">
        <f>SUM(I25)-0.7</f>
        <v>16.600000000000001</v>
      </c>
      <c r="I25" s="24">
        <f>SUM(J25)-0.7</f>
        <v>17.3</v>
      </c>
      <c r="J25" s="23">
        <v>18</v>
      </c>
      <c r="K25" s="21">
        <f>SUM(J25)+0.7</f>
        <v>18.7</v>
      </c>
      <c r="L25" s="21">
        <f>SUM(K25)+0.7</f>
        <v>19.399999999999999</v>
      </c>
      <c r="M25" s="21">
        <f>SUM(L25)+0.7</f>
        <v>20.099999999999998</v>
      </c>
      <c r="N25" s="123">
        <f>SUM(M25)+0.7</f>
        <v>20.799999999999997</v>
      </c>
    </row>
    <row r="26" spans="1:14" s="1" customFormat="1" ht="14.1" customHeight="1">
      <c r="A26" s="38"/>
      <c r="B26" s="56" t="s">
        <v>33</v>
      </c>
      <c r="C26" s="56"/>
      <c r="D26" s="47" t="s">
        <v>79</v>
      </c>
      <c r="E26" s="48"/>
      <c r="F26" s="48"/>
      <c r="G26" s="49"/>
      <c r="H26" s="36"/>
      <c r="I26" s="36"/>
      <c r="J26" s="23"/>
      <c r="K26" s="21"/>
      <c r="L26" s="21"/>
      <c r="M26" s="21"/>
      <c r="N26" s="123"/>
    </row>
    <row r="27" spans="1:14" s="1" customFormat="1" ht="14.1" customHeight="1">
      <c r="A27" s="38">
        <v>13</v>
      </c>
      <c r="B27" s="51" t="s">
        <v>176</v>
      </c>
      <c r="C27" s="52"/>
      <c r="D27" s="53" t="s">
        <v>103</v>
      </c>
      <c r="E27" s="54"/>
      <c r="F27" s="54"/>
      <c r="G27" s="55"/>
      <c r="H27" s="24">
        <f>SUM(I27)-0.3</f>
        <v>4.4000000000000004</v>
      </c>
      <c r="I27" s="24">
        <f>SUM(J27)-0.3</f>
        <v>4.7</v>
      </c>
      <c r="J27" s="23">
        <v>5</v>
      </c>
      <c r="K27" s="21">
        <f>SUM(J27)+0.3</f>
        <v>5.3</v>
      </c>
      <c r="L27" s="21">
        <f>SUM(K27)+0.3</f>
        <v>5.6</v>
      </c>
      <c r="M27" s="21">
        <f>SUM(L27)+0.3</f>
        <v>5.8999999999999995</v>
      </c>
      <c r="N27" s="123">
        <f>SUM(M27)+0.3</f>
        <v>6.1999999999999993</v>
      </c>
    </row>
    <row r="28" spans="1:14" s="1" customFormat="1" ht="14.1" customHeight="1" thickBot="1">
      <c r="A28" s="39"/>
      <c r="B28" s="28" t="s">
        <v>175</v>
      </c>
      <c r="C28" s="29"/>
      <c r="D28" s="30" t="s">
        <v>104</v>
      </c>
      <c r="E28" s="31"/>
      <c r="F28" s="31"/>
      <c r="G28" s="32"/>
      <c r="H28" s="25"/>
      <c r="I28" s="25"/>
      <c r="J28" s="218"/>
      <c r="K28" s="216"/>
      <c r="L28" s="216"/>
      <c r="M28" s="216"/>
      <c r="N28" s="229"/>
    </row>
    <row r="29" spans="1:14" ht="14.1" customHeight="1"/>
    <row r="30" spans="1:14" ht="14.1" customHeight="1"/>
    <row r="31" spans="1:14" ht="14.1" customHeight="1"/>
    <row r="32" spans="1:14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</sheetData>
  <mergeCells count="159">
    <mergeCell ref="M5:M6"/>
    <mergeCell ref="B6:C6"/>
    <mergeCell ref="D6:G6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K5:K6"/>
    <mergeCell ref="L5:L6"/>
    <mergeCell ref="L7:L8"/>
    <mergeCell ref="A11:A12"/>
    <mergeCell ref="B11:C11"/>
    <mergeCell ref="D11:G11"/>
    <mergeCell ref="H11:H12"/>
    <mergeCell ref="I11:I12"/>
    <mergeCell ref="J11:J12"/>
    <mergeCell ref="K11:K12"/>
    <mergeCell ref="L11:L12"/>
    <mergeCell ref="M11:M12"/>
    <mergeCell ref="B12:C12"/>
    <mergeCell ref="D12:G12"/>
    <mergeCell ref="A13:A14"/>
    <mergeCell ref="B13:C13"/>
    <mergeCell ref="D13:G13"/>
    <mergeCell ref="H13:H14"/>
    <mergeCell ref="I13:I14"/>
    <mergeCell ref="J13:J14"/>
    <mergeCell ref="K13:K14"/>
    <mergeCell ref="L13:L14"/>
    <mergeCell ref="M13:M14"/>
    <mergeCell ref="B14:C14"/>
    <mergeCell ref="D14:G14"/>
    <mergeCell ref="A15:A16"/>
    <mergeCell ref="B15:C15"/>
    <mergeCell ref="D15:G15"/>
    <mergeCell ref="H15:H16"/>
    <mergeCell ref="I15:I16"/>
    <mergeCell ref="J15:J16"/>
    <mergeCell ref="K15:K16"/>
    <mergeCell ref="L15:L16"/>
    <mergeCell ref="M15:M16"/>
    <mergeCell ref="B16:C16"/>
    <mergeCell ref="D16:G16"/>
    <mergeCell ref="A17:A18"/>
    <mergeCell ref="B17:C17"/>
    <mergeCell ref="D17:G17"/>
    <mergeCell ref="H17:H18"/>
    <mergeCell ref="I17:I18"/>
    <mergeCell ref="J17:J18"/>
    <mergeCell ref="K17:K18"/>
    <mergeCell ref="L17:L18"/>
    <mergeCell ref="M17:M18"/>
    <mergeCell ref="B18:C18"/>
    <mergeCell ref="D18:G18"/>
    <mergeCell ref="A19:A20"/>
    <mergeCell ref="B19:C19"/>
    <mergeCell ref="D19:G19"/>
    <mergeCell ref="H19:H20"/>
    <mergeCell ref="I19:I20"/>
    <mergeCell ref="J19:J20"/>
    <mergeCell ref="K19:K20"/>
    <mergeCell ref="L19:L20"/>
    <mergeCell ref="M19:M20"/>
    <mergeCell ref="B20:C20"/>
    <mergeCell ref="D20:G20"/>
    <mergeCell ref="A21:A22"/>
    <mergeCell ref="B21:C21"/>
    <mergeCell ref="D21:G21"/>
    <mergeCell ref="H21:H22"/>
    <mergeCell ref="I21:I22"/>
    <mergeCell ref="J23:J24"/>
    <mergeCell ref="J21:J22"/>
    <mergeCell ref="K21:K22"/>
    <mergeCell ref="L21:L22"/>
    <mergeCell ref="D23:G23"/>
    <mergeCell ref="H23:H24"/>
    <mergeCell ref="I23:I24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B25:C25"/>
    <mergeCell ref="K27:K28"/>
    <mergeCell ref="J25:J26"/>
    <mergeCell ref="K25:K26"/>
    <mergeCell ref="A25:A26"/>
    <mergeCell ref="D25:G25"/>
    <mergeCell ref="J7:J8"/>
    <mergeCell ref="K7:K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M21:M22"/>
    <mergeCell ref="B22:C22"/>
    <mergeCell ref="D22:G22"/>
    <mergeCell ref="H25:H26"/>
    <mergeCell ref="I25:I26"/>
    <mergeCell ref="A23:A24"/>
    <mergeCell ref="B23:C23"/>
    <mergeCell ref="M7:M8"/>
    <mergeCell ref="B8:C8"/>
    <mergeCell ref="D8:G8"/>
    <mergeCell ref="A1:N1"/>
    <mergeCell ref="N3:N4"/>
    <mergeCell ref="N5:N6"/>
    <mergeCell ref="N7:N8"/>
    <mergeCell ref="N9:N10"/>
    <mergeCell ref="A7:A8"/>
    <mergeCell ref="B7:C7"/>
    <mergeCell ref="D7:G7"/>
    <mergeCell ref="H7:H8"/>
    <mergeCell ref="I7:I8"/>
    <mergeCell ref="A9:A10"/>
    <mergeCell ref="B9:C9"/>
    <mergeCell ref="D9:G9"/>
    <mergeCell ref="H9:H10"/>
    <mergeCell ref="I9:I10"/>
    <mergeCell ref="J9:J10"/>
    <mergeCell ref="K9:K10"/>
    <mergeCell ref="L9:L10"/>
    <mergeCell ref="M9:M10"/>
    <mergeCell ref="B10:C10"/>
    <mergeCell ref="D10:G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</mergeCells>
  <phoneticPr fontId="25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DDD11-20FA-4C2A-AADC-264562E2F790}">
  <sheetPr codeName="Sheet112">
    <tabColor rgb="FF00B050"/>
    <pageSetUpPr fitToPage="1"/>
  </sheetPr>
  <dimension ref="A1:N51"/>
  <sheetViews>
    <sheetView topLeftCell="A28" zoomScale="110" zoomScaleNormal="110" workbookViewId="0">
      <selection activeCell="Q9" sqref="Q9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28" t="s">
        <v>290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30"/>
    </row>
    <row r="2" spans="1:14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  <c r="N2" s="9" t="s">
        <v>229</v>
      </c>
    </row>
    <row r="3" spans="1:14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174">
        <f>SUM(I3)-3</f>
        <v>32</v>
      </c>
      <c r="I3" s="24">
        <f>SUM(J3)-3</f>
        <v>35</v>
      </c>
      <c r="J3" s="75">
        <v>38</v>
      </c>
      <c r="K3" s="76">
        <f>SUM(J3)+2.5</f>
        <v>40.5</v>
      </c>
      <c r="L3" s="76">
        <f>SUM(K3)+2.5</f>
        <v>43</v>
      </c>
      <c r="M3" s="76">
        <f>SUM(L3)+2.5</f>
        <v>45.5</v>
      </c>
      <c r="N3" s="171">
        <f>SUM(M3)+2.5</f>
        <v>48</v>
      </c>
    </row>
    <row r="4" spans="1:14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175"/>
      <c r="I4" s="36"/>
      <c r="J4" s="33"/>
      <c r="K4" s="24"/>
      <c r="L4" s="24"/>
      <c r="M4" s="24"/>
      <c r="N4" s="121"/>
    </row>
    <row r="5" spans="1:14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174">
        <f>SUM(I5)-2.2</f>
        <v>35.599999999999994</v>
      </c>
      <c r="I5" s="24">
        <f>SUM(J5)-2.2</f>
        <v>37.799999999999997</v>
      </c>
      <c r="J5" s="33">
        <v>40</v>
      </c>
      <c r="K5" s="24">
        <f>SUM(J5)+2</f>
        <v>42</v>
      </c>
      <c r="L5" s="24">
        <f>SUM(K5)+2</f>
        <v>44</v>
      </c>
      <c r="M5" s="24">
        <f>SUM(L5)+2</f>
        <v>46</v>
      </c>
      <c r="N5" s="121">
        <f>SUM(M5)+2</f>
        <v>48</v>
      </c>
    </row>
    <row r="6" spans="1:14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175"/>
      <c r="I6" s="36"/>
      <c r="J6" s="35"/>
      <c r="K6" s="36"/>
      <c r="L6" s="36"/>
      <c r="M6" s="36"/>
      <c r="N6" s="122"/>
    </row>
    <row r="7" spans="1:14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174">
        <f>SUM(I7)-2.25</f>
        <v>35.5</v>
      </c>
      <c r="I7" s="24">
        <f>SUM(J7)-2.25</f>
        <v>37.75</v>
      </c>
      <c r="J7" s="33">
        <v>40</v>
      </c>
      <c r="K7" s="24">
        <f>SUM(J7)+2</f>
        <v>42</v>
      </c>
      <c r="L7" s="24">
        <f>SUM(K7)+2</f>
        <v>44</v>
      </c>
      <c r="M7" s="24">
        <f>SUM(L7)+2</f>
        <v>46</v>
      </c>
      <c r="N7" s="121">
        <f>SUM(M7)+2</f>
        <v>48</v>
      </c>
    </row>
    <row r="8" spans="1:14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175"/>
      <c r="I8" s="36"/>
      <c r="J8" s="35"/>
      <c r="K8" s="36"/>
      <c r="L8" s="36"/>
      <c r="M8" s="36"/>
      <c r="N8" s="122"/>
    </row>
    <row r="9" spans="1:14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174">
        <f>SUM(I9)-1.9</f>
        <v>29.200000000000003</v>
      </c>
      <c r="I9" s="24">
        <f>SUM(J9)-1.9</f>
        <v>31.1</v>
      </c>
      <c r="J9" s="33">
        <v>33</v>
      </c>
      <c r="K9" s="24">
        <f>SUM(J9)+1.7</f>
        <v>34.700000000000003</v>
      </c>
      <c r="L9" s="24">
        <f>SUM(K9)+1.7</f>
        <v>36.400000000000006</v>
      </c>
      <c r="M9" s="24">
        <f>SUM(L9)+1.7</f>
        <v>38.100000000000009</v>
      </c>
      <c r="N9" s="121">
        <f>SUM(M9)+1.7</f>
        <v>39.800000000000011</v>
      </c>
    </row>
    <row r="10" spans="1:14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175"/>
      <c r="I10" s="36"/>
      <c r="J10" s="35"/>
      <c r="K10" s="36"/>
      <c r="L10" s="36"/>
      <c r="M10" s="36"/>
      <c r="N10" s="122"/>
    </row>
    <row r="11" spans="1:14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174">
        <f>SUM(I11)-0.8</f>
        <v>14.899999999999999</v>
      </c>
      <c r="I11" s="24">
        <f>SUM(J11)-0.8</f>
        <v>15.7</v>
      </c>
      <c r="J11" s="23">
        <v>16.5</v>
      </c>
      <c r="K11" s="21">
        <f>SUM(J11)+0.8</f>
        <v>17.3</v>
      </c>
      <c r="L11" s="21">
        <f>SUM(K11)+0.8</f>
        <v>18.100000000000001</v>
      </c>
      <c r="M11" s="21">
        <f>SUM(L11)+0.8</f>
        <v>18.900000000000002</v>
      </c>
      <c r="N11" s="123">
        <f>SUM(M11)+0.8</f>
        <v>19.700000000000003</v>
      </c>
    </row>
    <row r="12" spans="1:14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175"/>
      <c r="I12" s="36"/>
      <c r="J12" s="23"/>
      <c r="K12" s="21"/>
      <c r="L12" s="21"/>
      <c r="M12" s="21"/>
      <c r="N12" s="123"/>
    </row>
    <row r="13" spans="1:14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174">
        <f>SUM(I13)-0.9</f>
        <v>18.8</v>
      </c>
      <c r="I13" s="24">
        <f>SUM(J13)-0.8</f>
        <v>19.7</v>
      </c>
      <c r="J13" s="23">
        <v>20.5</v>
      </c>
      <c r="K13" s="21">
        <f>SUM(J13)+0.8</f>
        <v>21.3</v>
      </c>
      <c r="L13" s="21">
        <f>SUM(K13)+0.9</f>
        <v>22.2</v>
      </c>
      <c r="M13" s="21">
        <f>SUM(L13)+0.8</f>
        <v>23</v>
      </c>
      <c r="N13" s="123">
        <f>SUM(M13)+0.8</f>
        <v>23.8</v>
      </c>
    </row>
    <row r="14" spans="1:14" s="1" customFormat="1" ht="14.1" customHeight="1">
      <c r="A14" s="38"/>
      <c r="B14" s="56" t="s">
        <v>29</v>
      </c>
      <c r="C14" s="56"/>
      <c r="D14" s="47" t="s">
        <v>154</v>
      </c>
      <c r="E14" s="48"/>
      <c r="F14" s="48"/>
      <c r="G14" s="49"/>
      <c r="H14" s="175"/>
      <c r="I14" s="36"/>
      <c r="J14" s="23"/>
      <c r="K14" s="21"/>
      <c r="L14" s="21"/>
      <c r="M14" s="21"/>
      <c r="N14" s="123"/>
    </row>
    <row r="15" spans="1:14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174">
        <f>SUM(I15)-0.3</f>
        <v>6.4</v>
      </c>
      <c r="I15" s="24">
        <f>SUM(J15)-0.3</f>
        <v>6.7</v>
      </c>
      <c r="J15" s="23">
        <v>7</v>
      </c>
      <c r="K15" s="21">
        <f>SUM(J15)+0.3</f>
        <v>7.3</v>
      </c>
      <c r="L15" s="21">
        <f>SUM(K15)+0.3</f>
        <v>7.6</v>
      </c>
      <c r="M15" s="21">
        <f>SUM(L15)+0.3</f>
        <v>7.8999999999999995</v>
      </c>
      <c r="N15" s="123">
        <f>SUM(M15)+0.3</f>
        <v>8.1999999999999993</v>
      </c>
    </row>
    <row r="16" spans="1:14" s="1" customFormat="1" ht="14.1" customHeight="1">
      <c r="A16" s="38"/>
      <c r="B16" s="56" t="s">
        <v>30</v>
      </c>
      <c r="C16" s="56"/>
      <c r="D16" s="47" t="s">
        <v>155</v>
      </c>
      <c r="E16" s="48"/>
      <c r="F16" s="48"/>
      <c r="G16" s="49"/>
      <c r="H16" s="175"/>
      <c r="I16" s="36"/>
      <c r="J16" s="23"/>
      <c r="K16" s="21"/>
      <c r="L16" s="21"/>
      <c r="M16" s="21"/>
      <c r="N16" s="123"/>
    </row>
    <row r="17" spans="1:14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174">
        <f>SUM(I17)-1.6</f>
        <v>48.8</v>
      </c>
      <c r="I17" s="24">
        <f>SUM(J17)-1.6</f>
        <v>50.4</v>
      </c>
      <c r="J17" s="23">
        <v>52</v>
      </c>
      <c r="K17" s="21">
        <f>SUM(J17)+1.6</f>
        <v>53.6</v>
      </c>
      <c r="L17" s="21">
        <f>SUM(K17)+1.6</f>
        <v>55.2</v>
      </c>
      <c r="M17" s="21">
        <f>SUM(L17)+1.6</f>
        <v>56.800000000000004</v>
      </c>
      <c r="N17" s="123">
        <f>SUM(M17)+1.6</f>
        <v>58.400000000000006</v>
      </c>
    </row>
    <row r="18" spans="1:14" s="1" customFormat="1" ht="14.1" customHeight="1">
      <c r="A18" s="38"/>
      <c r="B18" s="56" t="s">
        <v>37</v>
      </c>
      <c r="C18" s="56"/>
      <c r="D18" s="47" t="s">
        <v>156</v>
      </c>
      <c r="E18" s="48"/>
      <c r="F18" s="48"/>
      <c r="G18" s="49"/>
      <c r="H18" s="175"/>
      <c r="I18" s="36"/>
      <c r="J18" s="23"/>
      <c r="K18" s="21"/>
      <c r="L18" s="21"/>
      <c r="M18" s="21"/>
      <c r="N18" s="123"/>
    </row>
    <row r="19" spans="1:14" s="1" customFormat="1" ht="14.1" customHeight="1">
      <c r="A19" s="38">
        <v>9</v>
      </c>
      <c r="B19" s="58" t="s">
        <v>4</v>
      </c>
      <c r="C19" s="58"/>
      <c r="D19" s="57" t="s">
        <v>5</v>
      </c>
      <c r="E19" s="57"/>
      <c r="F19" s="57"/>
      <c r="G19" s="57"/>
      <c r="H19" s="174">
        <f>SUM(I19)-3.4</f>
        <v>27.200000000000003</v>
      </c>
      <c r="I19" s="24">
        <f>SUM(J19)-3.4</f>
        <v>30.6</v>
      </c>
      <c r="J19" s="23">
        <v>34</v>
      </c>
      <c r="K19" s="21">
        <f>SUM(J19)+3.5</f>
        <v>37.5</v>
      </c>
      <c r="L19" s="21">
        <f>SUM(K19)+3.5</f>
        <v>41</v>
      </c>
      <c r="M19" s="21">
        <f>SUM(L19)+3.5</f>
        <v>44.5</v>
      </c>
      <c r="N19" s="123">
        <f>SUM(M19)+3.5</f>
        <v>48</v>
      </c>
    </row>
    <row r="20" spans="1:14" s="1" customFormat="1" ht="14.1" customHeight="1">
      <c r="A20" s="38"/>
      <c r="B20" s="56" t="s">
        <v>31</v>
      </c>
      <c r="C20" s="56"/>
      <c r="D20" s="47" t="s">
        <v>54</v>
      </c>
      <c r="E20" s="48"/>
      <c r="F20" s="48"/>
      <c r="G20" s="49"/>
      <c r="H20" s="175"/>
      <c r="I20" s="36"/>
      <c r="J20" s="23"/>
      <c r="K20" s="21"/>
      <c r="L20" s="21"/>
      <c r="M20" s="21"/>
      <c r="N20" s="123"/>
    </row>
    <row r="21" spans="1:14" s="1" customFormat="1" ht="14.1" customHeight="1">
      <c r="A21" s="38">
        <v>10</v>
      </c>
      <c r="B21" s="58" t="s">
        <v>6</v>
      </c>
      <c r="C21" s="58"/>
      <c r="D21" s="59" t="s">
        <v>7</v>
      </c>
      <c r="E21" s="60"/>
      <c r="F21" s="60"/>
      <c r="G21" s="61"/>
      <c r="H21" s="174">
        <f>SUM(I21)-1.6</f>
        <v>29.199999999999996</v>
      </c>
      <c r="I21" s="24">
        <f>SUM(J21)-1.6</f>
        <v>30.799999999999997</v>
      </c>
      <c r="J21" s="23">
        <v>32.4</v>
      </c>
      <c r="K21" s="21">
        <f>SUM(J21)+1.6</f>
        <v>34</v>
      </c>
      <c r="L21" s="21">
        <f>SUM(K21)+1.6</f>
        <v>35.6</v>
      </c>
      <c r="M21" s="21">
        <f>SUM(L21)+1.6</f>
        <v>37.200000000000003</v>
      </c>
      <c r="N21" s="123">
        <f>SUM(M21)+1.6</f>
        <v>38.800000000000004</v>
      </c>
    </row>
    <row r="22" spans="1:14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9"/>
      <c r="H22" s="175"/>
      <c r="I22" s="36"/>
      <c r="J22" s="23"/>
      <c r="K22" s="21"/>
      <c r="L22" s="21"/>
      <c r="M22" s="21"/>
      <c r="N22" s="123"/>
    </row>
    <row r="23" spans="1:14" s="1" customFormat="1" ht="14.1" customHeight="1">
      <c r="A23" s="38">
        <v>11</v>
      </c>
      <c r="B23" s="51" t="s">
        <v>77</v>
      </c>
      <c r="C23" s="52"/>
      <c r="D23" s="57" t="s">
        <v>78</v>
      </c>
      <c r="E23" s="57"/>
      <c r="F23" s="57"/>
      <c r="G23" s="57"/>
      <c r="H23" s="174">
        <f>SUM(I23)-0.6</f>
        <v>14</v>
      </c>
      <c r="I23" s="24">
        <f>SUM(J23)-0.6</f>
        <v>14.6</v>
      </c>
      <c r="J23" s="23">
        <v>15.2</v>
      </c>
      <c r="K23" s="21">
        <f>SUM(J23)+0.6</f>
        <v>15.799999999999999</v>
      </c>
      <c r="L23" s="21">
        <f>SUM(K23)+0.6</f>
        <v>16.399999999999999</v>
      </c>
      <c r="M23" s="21">
        <f>SUM(L23)+0.6</f>
        <v>17</v>
      </c>
      <c r="N23" s="123">
        <f>SUM(M23)+0.6</f>
        <v>17.600000000000001</v>
      </c>
    </row>
    <row r="24" spans="1:14" s="1" customFormat="1" ht="14.1" customHeight="1">
      <c r="A24" s="38"/>
      <c r="B24" s="56" t="s">
        <v>33</v>
      </c>
      <c r="C24" s="56"/>
      <c r="D24" s="47" t="s">
        <v>79</v>
      </c>
      <c r="E24" s="48"/>
      <c r="F24" s="48"/>
      <c r="G24" s="49"/>
      <c r="H24" s="175"/>
      <c r="I24" s="36"/>
      <c r="J24" s="23"/>
      <c r="K24" s="21"/>
      <c r="L24" s="21"/>
      <c r="M24" s="21"/>
      <c r="N24" s="123"/>
    </row>
    <row r="25" spans="1:14" s="1" customFormat="1" ht="14.1" customHeight="1">
      <c r="A25" s="38">
        <v>12</v>
      </c>
      <c r="B25" s="51" t="s">
        <v>291</v>
      </c>
      <c r="C25" s="52"/>
      <c r="D25" s="57"/>
      <c r="E25" s="57"/>
      <c r="F25" s="57"/>
      <c r="G25" s="57"/>
      <c r="H25" s="174">
        <f>SUM(I25)-0.4</f>
        <v>13.2</v>
      </c>
      <c r="I25" s="24">
        <f>SUM(J25)-0.4</f>
        <v>13.6</v>
      </c>
      <c r="J25" s="23">
        <v>14</v>
      </c>
      <c r="K25" s="21">
        <f>SUM(J25)+0.4</f>
        <v>14.4</v>
      </c>
      <c r="L25" s="21">
        <f>SUM(K25)+0.4</f>
        <v>14.8</v>
      </c>
      <c r="M25" s="21">
        <f>SUM(L25)+0.4</f>
        <v>15.200000000000001</v>
      </c>
      <c r="N25" s="123">
        <f>SUM(M25)+0.4</f>
        <v>15.600000000000001</v>
      </c>
    </row>
    <row r="26" spans="1:14" s="1" customFormat="1" ht="14.1" customHeight="1">
      <c r="A26" s="38"/>
      <c r="B26" s="56" t="s">
        <v>292</v>
      </c>
      <c r="C26" s="56"/>
      <c r="D26" s="47"/>
      <c r="E26" s="48"/>
      <c r="F26" s="48"/>
      <c r="G26" s="49"/>
      <c r="H26" s="175"/>
      <c r="I26" s="36"/>
      <c r="J26" s="23"/>
      <c r="K26" s="21"/>
      <c r="L26" s="21"/>
      <c r="M26" s="21"/>
      <c r="N26" s="123"/>
    </row>
    <row r="27" spans="1:14" s="1" customFormat="1" ht="14.1" customHeight="1">
      <c r="A27" s="38">
        <v>13</v>
      </c>
      <c r="B27" s="51" t="s">
        <v>176</v>
      </c>
      <c r="C27" s="52"/>
      <c r="D27" s="53"/>
      <c r="E27" s="54"/>
      <c r="F27" s="54"/>
      <c r="G27" s="55"/>
      <c r="H27" s="174">
        <f>SUM(I27)-0.4</f>
        <v>2.7</v>
      </c>
      <c r="I27" s="24">
        <f>SUM(J27)-0.4</f>
        <v>3.1</v>
      </c>
      <c r="J27" s="23">
        <v>3.5</v>
      </c>
      <c r="K27" s="21">
        <f>SUM(J27)+0.4</f>
        <v>3.9</v>
      </c>
      <c r="L27" s="21">
        <f>SUM(K27)+0.4</f>
        <v>4.3</v>
      </c>
      <c r="M27" s="21">
        <f>SUM(L27)+0.4</f>
        <v>4.7</v>
      </c>
      <c r="N27" s="123">
        <f>SUM(M27)+0.4</f>
        <v>5.1000000000000005</v>
      </c>
    </row>
    <row r="28" spans="1:14" s="1" customFormat="1" ht="14.1" customHeight="1">
      <c r="A28" s="38"/>
      <c r="B28" s="45" t="s">
        <v>175</v>
      </c>
      <c r="C28" s="46"/>
      <c r="D28" s="47" t="s">
        <v>269</v>
      </c>
      <c r="E28" s="48"/>
      <c r="F28" s="48"/>
      <c r="G28" s="49"/>
      <c r="H28" s="175"/>
      <c r="I28" s="36"/>
      <c r="J28" s="23"/>
      <c r="K28" s="21"/>
      <c r="L28" s="21"/>
      <c r="M28" s="21"/>
      <c r="N28" s="123"/>
    </row>
    <row r="29" spans="1:14" s="1" customFormat="1" ht="14.1" customHeight="1">
      <c r="A29" s="38">
        <v>14</v>
      </c>
      <c r="B29" s="40" t="s">
        <v>174</v>
      </c>
      <c r="C29" s="41"/>
      <c r="D29" s="42" t="s">
        <v>106</v>
      </c>
      <c r="E29" s="43"/>
      <c r="F29" s="43"/>
      <c r="G29" s="44"/>
      <c r="H29" s="176">
        <f>SUM(I29)-0.5</f>
        <v>5.2</v>
      </c>
      <c r="I29" s="50">
        <f>SUM(J29)-0.5</f>
        <v>5.7</v>
      </c>
      <c r="J29" s="35">
        <v>6.2</v>
      </c>
      <c r="K29" s="36">
        <f>SUM(J29)+0.4</f>
        <v>6.6000000000000005</v>
      </c>
      <c r="L29" s="36">
        <f>SUM(K29)+0.4</f>
        <v>7.0000000000000009</v>
      </c>
      <c r="M29" s="36">
        <f>SUM(L29)+0.4</f>
        <v>7.4000000000000012</v>
      </c>
      <c r="N29" s="122">
        <f>SUM(M29)+0.4</f>
        <v>7.8000000000000016</v>
      </c>
    </row>
    <row r="30" spans="1:14" s="1" customFormat="1" ht="14.1" customHeight="1">
      <c r="A30" s="38"/>
      <c r="B30" s="45" t="s">
        <v>173</v>
      </c>
      <c r="C30" s="46"/>
      <c r="D30" s="47" t="s">
        <v>105</v>
      </c>
      <c r="E30" s="48"/>
      <c r="F30" s="48"/>
      <c r="G30" s="49"/>
      <c r="H30" s="175"/>
      <c r="I30" s="36"/>
      <c r="J30" s="23"/>
      <c r="K30" s="21"/>
      <c r="L30" s="21"/>
      <c r="M30" s="21"/>
      <c r="N30" s="123"/>
    </row>
    <row r="31" spans="1:14" ht="14.1" customHeight="1">
      <c r="A31" s="38">
        <v>15</v>
      </c>
      <c r="B31" s="40"/>
      <c r="C31" s="41"/>
      <c r="D31" s="42"/>
      <c r="E31" s="43"/>
      <c r="F31" s="43"/>
      <c r="G31" s="44"/>
      <c r="H31" s="174"/>
      <c r="I31" s="24"/>
      <c r="J31" s="33"/>
      <c r="K31" s="24"/>
      <c r="L31" s="24"/>
      <c r="M31" s="24"/>
      <c r="N31" s="121"/>
    </row>
    <row r="32" spans="1:14" ht="14.1" customHeight="1" thickBot="1">
      <c r="A32" s="39"/>
      <c r="B32" s="28"/>
      <c r="C32" s="29"/>
      <c r="D32" s="30"/>
      <c r="E32" s="31"/>
      <c r="F32" s="31"/>
      <c r="G32" s="32"/>
      <c r="H32" s="177"/>
      <c r="I32" s="25"/>
      <c r="J32" s="34"/>
      <c r="K32" s="25"/>
      <c r="L32" s="25"/>
      <c r="M32" s="25"/>
      <c r="N32" s="124"/>
    </row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83">
    <mergeCell ref="N23:N24"/>
    <mergeCell ref="N25:N26"/>
    <mergeCell ref="N27:N28"/>
    <mergeCell ref="N29:N30"/>
    <mergeCell ref="N31:N32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A31:A32"/>
    <mergeCell ref="B31:C31"/>
    <mergeCell ref="D31:G31"/>
    <mergeCell ref="B32:C32"/>
    <mergeCell ref="D32:G32"/>
    <mergeCell ref="L27:L28"/>
    <mergeCell ref="K29:K30"/>
    <mergeCell ref="A29:A30"/>
    <mergeCell ref="B29:C29"/>
    <mergeCell ref="B30:C30"/>
    <mergeCell ref="M27:M28"/>
    <mergeCell ref="B28:C28"/>
    <mergeCell ref="D28:G28"/>
    <mergeCell ref="I29:I30"/>
    <mergeCell ref="M31:M32"/>
    <mergeCell ref="D29:G29"/>
    <mergeCell ref="H29:H30"/>
    <mergeCell ref="H31:H32"/>
    <mergeCell ref="I31:I32"/>
    <mergeCell ref="L29:L30"/>
    <mergeCell ref="D30:G30"/>
    <mergeCell ref="J31:J32"/>
    <mergeCell ref="J29:J30"/>
    <mergeCell ref="M29:M30"/>
    <mergeCell ref="K31:K32"/>
    <mergeCell ref="L31:L32"/>
    <mergeCell ref="J27:J28"/>
    <mergeCell ref="D26:G26"/>
    <mergeCell ref="A25:A26"/>
    <mergeCell ref="L23:L24"/>
    <mergeCell ref="M23:M24"/>
    <mergeCell ref="B24:C24"/>
    <mergeCell ref="D24:G24"/>
    <mergeCell ref="J23:J24"/>
    <mergeCell ref="B25:C25"/>
    <mergeCell ref="D25:G25"/>
    <mergeCell ref="H25:H26"/>
    <mergeCell ref="I25:I26"/>
    <mergeCell ref="K25:K26"/>
    <mergeCell ref="L25:L26"/>
    <mergeCell ref="M25:M26"/>
    <mergeCell ref="J25:J26"/>
    <mergeCell ref="K21:K22"/>
    <mergeCell ref="L21:L22"/>
    <mergeCell ref="M21:M22"/>
    <mergeCell ref="B22:C22"/>
    <mergeCell ref="D22:G22"/>
    <mergeCell ref="A27:A28"/>
    <mergeCell ref="B27:C27"/>
    <mergeCell ref="D27:G27"/>
    <mergeCell ref="H27:H28"/>
    <mergeCell ref="I27:I28"/>
    <mergeCell ref="A21:A22"/>
    <mergeCell ref="B21:C21"/>
    <mergeCell ref="D21:G21"/>
    <mergeCell ref="H21:H22"/>
    <mergeCell ref="I21:I22"/>
    <mergeCell ref="J21:J22"/>
    <mergeCell ref="A23:A24"/>
    <mergeCell ref="B23:C23"/>
    <mergeCell ref="D23:G23"/>
    <mergeCell ref="H23:H24"/>
    <mergeCell ref="I23:I24"/>
    <mergeCell ref="K27:K28"/>
    <mergeCell ref="K23:K24"/>
    <mergeCell ref="B26:C26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N1"/>
    <mergeCell ref="N3:N4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27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5514B-B160-4EB3-86BE-C047414F704E}">
  <sheetPr codeName="Sheet113">
    <tabColor rgb="FF00B050"/>
    <pageSetUpPr fitToPage="1"/>
  </sheetPr>
  <dimension ref="A1:M49"/>
  <sheetViews>
    <sheetView zoomScale="110" zoomScaleNormal="110" workbookViewId="0">
      <selection activeCell="I27" sqref="I27:I2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293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24">
        <f>SUM(I3)-3.5</f>
        <v>35</v>
      </c>
      <c r="I3" s="24">
        <f>SUM(J3)-3.5</f>
        <v>38.5</v>
      </c>
      <c r="J3" s="75">
        <v>42</v>
      </c>
      <c r="K3" s="76">
        <f>SUM(J3)+3</f>
        <v>45</v>
      </c>
      <c r="L3" s="76">
        <f>SUM(K3)+3</f>
        <v>48</v>
      </c>
      <c r="M3" s="77">
        <f>SUM(L3)+3</f>
        <v>51</v>
      </c>
    </row>
    <row r="4" spans="1:13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24"/>
      <c r="L4" s="24"/>
      <c r="M4" s="26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/>
      <c r="I5" s="24"/>
      <c r="J5" s="33"/>
      <c r="K5" s="24"/>
      <c r="L5" s="24"/>
      <c r="M5" s="26"/>
    </row>
    <row r="6" spans="1:13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37"/>
    </row>
    <row r="7" spans="1:13" s="1" customFormat="1" ht="13.5" customHeight="1">
      <c r="A7" s="38">
        <v>3</v>
      </c>
      <c r="B7" s="164" t="s">
        <v>101</v>
      </c>
      <c r="C7" s="165"/>
      <c r="D7" s="100" t="s">
        <v>102</v>
      </c>
      <c r="E7" s="101"/>
      <c r="F7" s="101"/>
      <c r="G7" s="102"/>
      <c r="H7" s="24">
        <f>SUM(I7)-4.5</f>
        <v>44</v>
      </c>
      <c r="I7" s="24">
        <f>SUM(J7)-4.5</f>
        <v>48.5</v>
      </c>
      <c r="J7" s="23">
        <v>53</v>
      </c>
      <c r="K7" s="21">
        <f>SUM(J7)+4.5</f>
        <v>57.5</v>
      </c>
      <c r="L7" s="21">
        <f>SUM(K7)+4.5</f>
        <v>62</v>
      </c>
      <c r="M7" s="22">
        <f>SUM(L7)+4.5</f>
        <v>66.5</v>
      </c>
    </row>
    <row r="8" spans="1:13" s="1" customFormat="1" ht="14.1" customHeight="1">
      <c r="A8" s="38"/>
      <c r="B8" s="45" t="s">
        <v>99</v>
      </c>
      <c r="C8" s="46"/>
      <c r="D8" s="47" t="s">
        <v>100</v>
      </c>
      <c r="E8" s="48"/>
      <c r="F8" s="48"/>
      <c r="G8" s="49"/>
      <c r="H8" s="36"/>
      <c r="I8" s="36"/>
      <c r="J8" s="23"/>
      <c r="K8" s="21"/>
      <c r="L8" s="21"/>
      <c r="M8" s="22"/>
    </row>
    <row r="9" spans="1:13" s="1" customFormat="1" ht="14.1" customHeight="1">
      <c r="A9" s="38">
        <v>4</v>
      </c>
      <c r="B9" s="58" t="s">
        <v>41</v>
      </c>
      <c r="C9" s="58"/>
      <c r="D9" s="57" t="s">
        <v>84</v>
      </c>
      <c r="E9" s="57"/>
      <c r="F9" s="57"/>
      <c r="G9" s="57"/>
      <c r="H9" s="24">
        <f>SUM(I9)-2.25</f>
        <v>33</v>
      </c>
      <c r="I9" s="24">
        <f>SUM(J9)-2.25</f>
        <v>35.25</v>
      </c>
      <c r="J9" s="33">
        <v>37.5</v>
      </c>
      <c r="K9" s="24">
        <f>SUM(J9)+2</f>
        <v>39.5</v>
      </c>
      <c r="L9" s="24">
        <f>SUM(K9)+2</f>
        <v>41.5</v>
      </c>
      <c r="M9" s="26">
        <f>SUM(L9)+2</f>
        <v>43.5</v>
      </c>
    </row>
    <row r="10" spans="1:13" s="1" customFormat="1" ht="14.1" customHeight="1">
      <c r="A10" s="38"/>
      <c r="B10" s="56" t="s">
        <v>46</v>
      </c>
      <c r="C10" s="56"/>
      <c r="D10" s="47" t="s">
        <v>49</v>
      </c>
      <c r="E10" s="48"/>
      <c r="F10" s="48"/>
      <c r="G10" s="49"/>
      <c r="H10" s="36"/>
      <c r="I10" s="36"/>
      <c r="J10" s="35"/>
      <c r="K10" s="36"/>
      <c r="L10" s="36"/>
      <c r="M10" s="37"/>
    </row>
    <row r="11" spans="1:13" s="1" customFormat="1" ht="14.1" customHeight="1">
      <c r="A11" s="38">
        <v>5</v>
      </c>
      <c r="B11" s="58" t="s">
        <v>47</v>
      </c>
      <c r="C11" s="58"/>
      <c r="D11" s="57" t="s">
        <v>8</v>
      </c>
      <c r="E11" s="57"/>
      <c r="F11" s="57"/>
      <c r="G11" s="57"/>
      <c r="H11" s="24">
        <f>SUM(I11)-2.25</f>
        <v>33</v>
      </c>
      <c r="I11" s="24">
        <f>SUM(J11)-2.25</f>
        <v>35.25</v>
      </c>
      <c r="J11" s="33">
        <v>37.5</v>
      </c>
      <c r="K11" s="24">
        <f>SUM(J11)+2</f>
        <v>39.5</v>
      </c>
      <c r="L11" s="24">
        <f>SUM(K11)+2</f>
        <v>41.5</v>
      </c>
      <c r="M11" s="26">
        <f>SUM(L11)+2</f>
        <v>43.5</v>
      </c>
    </row>
    <row r="12" spans="1:13" s="1" customFormat="1" ht="14.1" customHeight="1">
      <c r="A12" s="38"/>
      <c r="B12" s="56" t="s">
        <v>27</v>
      </c>
      <c r="C12" s="56"/>
      <c r="D12" s="47" t="s">
        <v>50</v>
      </c>
      <c r="E12" s="48"/>
      <c r="F12" s="48"/>
      <c r="G12" s="49"/>
      <c r="H12" s="36"/>
      <c r="I12" s="36"/>
      <c r="J12" s="35"/>
      <c r="K12" s="36"/>
      <c r="L12" s="36"/>
      <c r="M12" s="37"/>
    </row>
    <row r="13" spans="1:13" s="1" customFormat="1" ht="14.1" customHeight="1">
      <c r="A13" s="38">
        <v>6</v>
      </c>
      <c r="B13" s="58" t="s">
        <v>10</v>
      </c>
      <c r="C13" s="58"/>
      <c r="D13" s="57" t="s">
        <v>0</v>
      </c>
      <c r="E13" s="57"/>
      <c r="F13" s="57"/>
      <c r="G13" s="57"/>
      <c r="H13" s="24"/>
      <c r="I13" s="24"/>
      <c r="J13" s="23"/>
      <c r="K13" s="21"/>
      <c r="L13" s="21"/>
      <c r="M13" s="22"/>
    </row>
    <row r="14" spans="1:13" s="1" customFormat="1" ht="14.1" customHeight="1">
      <c r="A14" s="38"/>
      <c r="B14" s="56" t="s">
        <v>28</v>
      </c>
      <c r="C14" s="56"/>
      <c r="D14" s="47" t="s">
        <v>51</v>
      </c>
      <c r="E14" s="48"/>
      <c r="F14" s="48"/>
      <c r="G14" s="49"/>
      <c r="H14" s="36"/>
      <c r="I14" s="36"/>
      <c r="J14" s="23"/>
      <c r="K14" s="21"/>
      <c r="L14" s="21"/>
      <c r="M14" s="22"/>
    </row>
    <row r="15" spans="1:13" s="1" customFormat="1" ht="14.1" customHeight="1">
      <c r="A15" s="38">
        <v>7</v>
      </c>
      <c r="B15" s="58" t="s">
        <v>1</v>
      </c>
      <c r="C15" s="58"/>
      <c r="D15" s="57" t="s">
        <v>180</v>
      </c>
      <c r="E15" s="57"/>
      <c r="F15" s="57"/>
      <c r="G15" s="57"/>
      <c r="H15" s="24">
        <f>SUM(I15)-0.6</f>
        <v>13.8</v>
      </c>
      <c r="I15" s="24">
        <f>SUM(J15)-0.6</f>
        <v>14.4</v>
      </c>
      <c r="J15" s="23">
        <v>15</v>
      </c>
      <c r="K15" s="21">
        <f>SUM(J15)+0.6</f>
        <v>15.6</v>
      </c>
      <c r="L15" s="21">
        <f>SUM(K15)+0.6</f>
        <v>16.2</v>
      </c>
      <c r="M15" s="22">
        <f>SUM(L15)+0.6</f>
        <v>16.8</v>
      </c>
    </row>
    <row r="16" spans="1:13" s="1" customFormat="1" ht="14.1" customHeight="1">
      <c r="A16" s="38"/>
      <c r="B16" s="56" t="s">
        <v>29</v>
      </c>
      <c r="C16" s="56"/>
      <c r="D16" s="47" t="s">
        <v>154</v>
      </c>
      <c r="E16" s="48"/>
      <c r="F16" s="48"/>
      <c r="G16" s="49"/>
      <c r="H16" s="36"/>
      <c r="I16" s="36"/>
      <c r="J16" s="23"/>
      <c r="K16" s="21"/>
      <c r="L16" s="21"/>
      <c r="M16" s="22"/>
    </row>
    <row r="17" spans="1:13" s="1" customFormat="1" ht="14.1" customHeight="1">
      <c r="A17" s="38">
        <v>8</v>
      </c>
      <c r="B17" s="58" t="s">
        <v>2</v>
      </c>
      <c r="C17" s="58"/>
      <c r="D17" s="57" t="s">
        <v>3</v>
      </c>
      <c r="E17" s="57"/>
      <c r="F17" s="57"/>
      <c r="G17" s="57"/>
      <c r="H17" s="24">
        <f>SUM(I17)-0.3</f>
        <v>5.7</v>
      </c>
      <c r="I17" s="24">
        <f>SUM(J17)-0.3</f>
        <v>6</v>
      </c>
      <c r="J17" s="23">
        <v>6.3</v>
      </c>
      <c r="K17" s="21">
        <f>SUM(J17)+0.3</f>
        <v>6.6</v>
      </c>
      <c r="L17" s="21">
        <f>SUM(K17)+0.3</f>
        <v>6.8999999999999995</v>
      </c>
      <c r="M17" s="22">
        <f>SUM(L17)+0.3</f>
        <v>7.1999999999999993</v>
      </c>
    </row>
    <row r="18" spans="1:13" s="1" customFormat="1" ht="14.1" customHeight="1">
      <c r="A18" s="38"/>
      <c r="B18" s="56" t="s">
        <v>30</v>
      </c>
      <c r="C18" s="56"/>
      <c r="D18" s="47" t="s">
        <v>155</v>
      </c>
      <c r="E18" s="48"/>
      <c r="F18" s="48"/>
      <c r="G18" s="49"/>
      <c r="H18" s="36"/>
      <c r="I18" s="36"/>
      <c r="J18" s="23"/>
      <c r="K18" s="21"/>
      <c r="L18" s="21"/>
      <c r="M18" s="22"/>
    </row>
    <row r="19" spans="1:13" s="1" customFormat="1" ht="14.1" customHeight="1">
      <c r="A19" s="38">
        <v>9</v>
      </c>
      <c r="B19" s="51" t="s">
        <v>85</v>
      </c>
      <c r="C19" s="52"/>
      <c r="D19" s="59" t="s">
        <v>86</v>
      </c>
      <c r="E19" s="60"/>
      <c r="F19" s="60"/>
      <c r="G19" s="61"/>
      <c r="H19" s="24">
        <f>SUM(I19)-1.6</f>
        <v>34.799999999999997</v>
      </c>
      <c r="I19" s="24">
        <f>SUM(J19)-1.6</f>
        <v>36.4</v>
      </c>
      <c r="J19" s="23">
        <v>38</v>
      </c>
      <c r="K19" s="21">
        <f>SUM(J19)+1.6</f>
        <v>39.6</v>
      </c>
      <c r="L19" s="21">
        <f>SUM(K19)+1.6</f>
        <v>41.2</v>
      </c>
      <c r="M19" s="22">
        <f>SUM(L19)+1.6</f>
        <v>42.800000000000004</v>
      </c>
    </row>
    <row r="20" spans="1:13" s="1" customFormat="1" ht="14.1" customHeight="1">
      <c r="A20" s="38"/>
      <c r="B20" s="56" t="s">
        <v>37</v>
      </c>
      <c r="C20" s="56"/>
      <c r="D20" s="47" t="s">
        <v>156</v>
      </c>
      <c r="E20" s="48"/>
      <c r="F20" s="48"/>
      <c r="G20" s="49"/>
      <c r="H20" s="36"/>
      <c r="I20" s="36"/>
      <c r="J20" s="23"/>
      <c r="K20" s="21"/>
      <c r="L20" s="21"/>
      <c r="M20" s="22"/>
    </row>
    <row r="21" spans="1:13" s="1" customFormat="1" ht="14.1" customHeight="1">
      <c r="A21" s="38">
        <v>10</v>
      </c>
      <c r="B21" s="58" t="s">
        <v>4</v>
      </c>
      <c r="C21" s="58"/>
      <c r="D21" s="57" t="s">
        <v>5</v>
      </c>
      <c r="E21" s="57"/>
      <c r="F21" s="57"/>
      <c r="G21" s="57"/>
      <c r="H21" s="24"/>
      <c r="I21" s="24"/>
      <c r="J21" s="23"/>
      <c r="K21" s="21"/>
      <c r="L21" s="21"/>
      <c r="M21" s="22"/>
    </row>
    <row r="22" spans="1:13" s="1" customFormat="1" ht="14.1" customHeight="1">
      <c r="A22" s="38"/>
      <c r="B22" s="56" t="s">
        <v>31</v>
      </c>
      <c r="C22" s="56"/>
      <c r="D22" s="47" t="s">
        <v>54</v>
      </c>
      <c r="E22" s="48"/>
      <c r="F22" s="48"/>
      <c r="G22" s="49"/>
      <c r="H22" s="36"/>
      <c r="I22" s="36"/>
      <c r="J22" s="23"/>
      <c r="K22" s="21"/>
      <c r="L22" s="21"/>
      <c r="M22" s="22"/>
    </row>
    <row r="23" spans="1:13" s="1" customFormat="1" ht="14.1" customHeight="1">
      <c r="A23" s="38">
        <v>11</v>
      </c>
      <c r="B23" s="58" t="s">
        <v>6</v>
      </c>
      <c r="C23" s="58"/>
      <c r="D23" s="59" t="s">
        <v>7</v>
      </c>
      <c r="E23" s="60"/>
      <c r="F23" s="60"/>
      <c r="G23" s="61"/>
      <c r="H23" s="24">
        <f>SUM(I23)-1.6</f>
        <v>25.299999999999997</v>
      </c>
      <c r="I23" s="24">
        <f>SUM(J23)-1.6</f>
        <v>26.9</v>
      </c>
      <c r="J23" s="23">
        <v>28.5</v>
      </c>
      <c r="K23" s="21">
        <f>SUM(J23)+1.6</f>
        <v>30.1</v>
      </c>
      <c r="L23" s="21">
        <f>SUM(K23)+1.6</f>
        <v>31.700000000000003</v>
      </c>
      <c r="M23" s="22">
        <f>SUM(L23)+1.6</f>
        <v>33.300000000000004</v>
      </c>
    </row>
    <row r="24" spans="1:13" s="1" customFormat="1" ht="14.1" customHeight="1">
      <c r="A24" s="38"/>
      <c r="B24" s="56" t="s">
        <v>32</v>
      </c>
      <c r="C24" s="56"/>
      <c r="D24" s="47" t="s">
        <v>76</v>
      </c>
      <c r="E24" s="48"/>
      <c r="F24" s="48"/>
      <c r="G24" s="49"/>
      <c r="H24" s="36"/>
      <c r="I24" s="36"/>
      <c r="J24" s="23"/>
      <c r="K24" s="21"/>
      <c r="L24" s="21"/>
      <c r="M24" s="22"/>
    </row>
    <row r="25" spans="1:13" s="1" customFormat="1" ht="14.1" customHeight="1">
      <c r="A25" s="38">
        <v>12</v>
      </c>
      <c r="B25" s="51" t="s">
        <v>77</v>
      </c>
      <c r="C25" s="52"/>
      <c r="D25" s="57" t="s">
        <v>78</v>
      </c>
      <c r="E25" s="57"/>
      <c r="F25" s="57"/>
      <c r="G25" s="57"/>
      <c r="H25" s="24">
        <f>SUM(I25)-0.7</f>
        <v>16.600000000000001</v>
      </c>
      <c r="I25" s="24">
        <f>SUM(J25)-0.7</f>
        <v>17.3</v>
      </c>
      <c r="J25" s="23">
        <v>18</v>
      </c>
      <c r="K25" s="21">
        <f>SUM(J25)+0.7</f>
        <v>18.7</v>
      </c>
      <c r="L25" s="21">
        <f>SUM(K25)+0.7</f>
        <v>19.399999999999999</v>
      </c>
      <c r="M25" s="22">
        <f>SUM(L25)+0.7</f>
        <v>20.099999999999998</v>
      </c>
    </row>
    <row r="26" spans="1:13" s="1" customFormat="1" ht="14.1" customHeight="1">
      <c r="A26" s="38"/>
      <c r="B26" s="56" t="s">
        <v>33</v>
      </c>
      <c r="C26" s="56"/>
      <c r="D26" s="47" t="s">
        <v>79</v>
      </c>
      <c r="E26" s="48"/>
      <c r="F26" s="48"/>
      <c r="G26" s="49"/>
      <c r="H26" s="36"/>
      <c r="I26" s="36"/>
      <c r="J26" s="23"/>
      <c r="K26" s="21"/>
      <c r="L26" s="21"/>
      <c r="M26" s="22"/>
    </row>
    <row r="27" spans="1:13" s="1" customFormat="1" ht="14.1" customHeight="1">
      <c r="A27" s="38">
        <v>13</v>
      </c>
      <c r="B27" s="51" t="s">
        <v>176</v>
      </c>
      <c r="C27" s="52"/>
      <c r="D27" s="53" t="s">
        <v>103</v>
      </c>
      <c r="E27" s="54"/>
      <c r="F27" s="54"/>
      <c r="G27" s="55"/>
      <c r="H27" s="24">
        <f>SUM(I27)-0.3</f>
        <v>2.9000000000000004</v>
      </c>
      <c r="I27" s="24">
        <f>SUM(J27)-0.3</f>
        <v>3.2</v>
      </c>
      <c r="J27" s="23">
        <v>3.5</v>
      </c>
      <c r="K27" s="21">
        <f>SUM(J27)+0.3</f>
        <v>3.8</v>
      </c>
      <c r="L27" s="21">
        <f>SUM(K27)+0.3</f>
        <v>4.0999999999999996</v>
      </c>
      <c r="M27" s="22">
        <f>SUM(L27)+0.3</f>
        <v>4.3999999999999995</v>
      </c>
    </row>
    <row r="28" spans="1:13" s="1" customFormat="1" ht="14.1" customHeight="1" thickBot="1">
      <c r="A28" s="39"/>
      <c r="B28" s="28" t="s">
        <v>175</v>
      </c>
      <c r="C28" s="29"/>
      <c r="D28" s="30" t="s">
        <v>104</v>
      </c>
      <c r="E28" s="31"/>
      <c r="F28" s="31"/>
      <c r="G28" s="32"/>
      <c r="H28" s="25"/>
      <c r="I28" s="25"/>
      <c r="J28" s="218"/>
      <c r="K28" s="216"/>
      <c r="L28" s="216"/>
      <c r="M28" s="220"/>
    </row>
    <row r="29" spans="1:13" ht="14.1" customHeight="1"/>
    <row r="30" spans="1:13" ht="14.1" customHeight="1"/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</sheetData>
  <mergeCells count="146"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2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9FB75-0371-4CB9-A440-4A7726EB494F}">
  <sheetPr>
    <tabColor rgb="FF00B050"/>
    <pageSetUpPr fitToPage="1"/>
  </sheetPr>
  <dimension ref="A1:N51"/>
  <sheetViews>
    <sheetView zoomScale="110" zoomScaleNormal="110" workbookViewId="0">
      <selection activeCell="H21" sqref="H21:N2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28" t="s">
        <v>469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30"/>
    </row>
    <row r="2" spans="1:14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  <c r="N2" s="9" t="s">
        <v>229</v>
      </c>
    </row>
    <row r="3" spans="1:14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239">
        <f>SUM(I3)-3</f>
        <v>35</v>
      </c>
      <c r="I3" s="24">
        <f>SUM(J3)-3</f>
        <v>38</v>
      </c>
      <c r="J3" s="75">
        <v>41</v>
      </c>
      <c r="K3" s="76">
        <f>SUM(J3)+2.5</f>
        <v>43.5</v>
      </c>
      <c r="L3" s="76">
        <f>SUM(K3)+2.5</f>
        <v>46</v>
      </c>
      <c r="M3" s="76">
        <f>SUM(L3)+2.5</f>
        <v>48.5</v>
      </c>
      <c r="N3" s="171">
        <f>SUM(M3)+2.5</f>
        <v>51</v>
      </c>
    </row>
    <row r="4" spans="1:14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240"/>
      <c r="I4" s="36"/>
      <c r="J4" s="33"/>
      <c r="K4" s="24"/>
      <c r="L4" s="24"/>
      <c r="M4" s="24"/>
      <c r="N4" s="121"/>
    </row>
    <row r="5" spans="1:14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39">
        <f>SUM(I5)-1.6</f>
        <v>22.799999999999997</v>
      </c>
      <c r="I5" s="24">
        <f>SUM(J5)-1.6</f>
        <v>24.4</v>
      </c>
      <c r="J5" s="33">
        <v>26</v>
      </c>
      <c r="K5" s="24">
        <f>SUM(J5)+1.4</f>
        <v>27.4</v>
      </c>
      <c r="L5" s="24">
        <f>SUM(K5)+1.4</f>
        <v>28.799999999999997</v>
      </c>
      <c r="M5" s="24">
        <f>SUM(L5)+1.4</f>
        <v>30.199999999999996</v>
      </c>
      <c r="N5" s="121">
        <f>SUM(M5)+1.4</f>
        <v>31.599999999999994</v>
      </c>
    </row>
    <row r="6" spans="1:14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240"/>
      <c r="I6" s="36"/>
      <c r="J6" s="35"/>
      <c r="K6" s="36"/>
      <c r="L6" s="36"/>
      <c r="M6" s="36"/>
      <c r="N6" s="122"/>
    </row>
    <row r="7" spans="1:14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39">
        <f>SUM(I7)-2.25</f>
        <v>30.5</v>
      </c>
      <c r="I7" s="24">
        <f>SUM(J7)-2.25</f>
        <v>32.75</v>
      </c>
      <c r="J7" s="33">
        <v>35</v>
      </c>
      <c r="K7" s="24">
        <f>SUM(J7)+2</f>
        <v>37</v>
      </c>
      <c r="L7" s="24">
        <f>SUM(K7)+2</f>
        <v>39</v>
      </c>
      <c r="M7" s="24">
        <f>SUM(L7)+2</f>
        <v>41</v>
      </c>
      <c r="N7" s="121">
        <f>SUM(M7)+2</f>
        <v>43</v>
      </c>
    </row>
    <row r="8" spans="1:14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240"/>
      <c r="I8" s="36"/>
      <c r="J8" s="35"/>
      <c r="K8" s="36"/>
      <c r="L8" s="36"/>
      <c r="M8" s="36"/>
      <c r="N8" s="122"/>
    </row>
    <row r="9" spans="1:14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SUM(I9)-2.25</f>
        <v>30.5</v>
      </c>
      <c r="I9" s="24">
        <f>SUM(J9)-2.25</f>
        <v>32.75</v>
      </c>
      <c r="J9" s="33">
        <v>35</v>
      </c>
      <c r="K9" s="24">
        <f>SUM(J9)+2</f>
        <v>37</v>
      </c>
      <c r="L9" s="24">
        <f t="shared" ref="L9:N9" si="0">SUM(K9)+2</f>
        <v>39</v>
      </c>
      <c r="M9" s="24">
        <f t="shared" si="0"/>
        <v>41</v>
      </c>
      <c r="N9" s="26">
        <f t="shared" si="0"/>
        <v>43</v>
      </c>
    </row>
    <row r="10" spans="1:14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6"/>
      <c r="N10" s="37"/>
    </row>
    <row r="11" spans="1:14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SUM(I11)-0.9</f>
        <v>13</v>
      </c>
      <c r="I11" s="24">
        <f>SUM(J11)-0.9</f>
        <v>13.9</v>
      </c>
      <c r="J11" s="23">
        <v>14.8</v>
      </c>
      <c r="K11" s="21">
        <f>SUM(J11)+1</f>
        <v>15.8</v>
      </c>
      <c r="L11" s="21">
        <f>SUM(K11)+1</f>
        <v>16.8</v>
      </c>
      <c r="M11" s="21">
        <f>SUM(L11)+0.9</f>
        <v>17.7</v>
      </c>
      <c r="N11" s="22">
        <f>SUM(M11)+0.9</f>
        <v>18.599999999999998</v>
      </c>
    </row>
    <row r="12" spans="1:14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1"/>
      <c r="N12" s="22"/>
    </row>
    <row r="13" spans="1:14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12.4</v>
      </c>
      <c r="I13" s="24">
        <f>SUM(J13)-0.6</f>
        <v>13</v>
      </c>
      <c r="J13" s="23">
        <v>13.6</v>
      </c>
      <c r="K13" s="21">
        <f>SUM(J13)+0.6</f>
        <v>14.2</v>
      </c>
      <c r="L13" s="21">
        <f>SUM(K13)+0.6</f>
        <v>14.799999999999999</v>
      </c>
      <c r="M13" s="21">
        <f t="shared" ref="M13" si="1">SUM(L13)+0.6</f>
        <v>15.399999999999999</v>
      </c>
      <c r="N13" s="22">
        <f>SUM(M13)+0.6</f>
        <v>15.999999999999998</v>
      </c>
    </row>
    <row r="14" spans="1:14" s="1" customFormat="1" ht="14.1" customHeight="1">
      <c r="A14" s="38"/>
      <c r="B14" s="56" t="s">
        <v>29</v>
      </c>
      <c r="C14" s="56"/>
      <c r="D14" s="47" t="s">
        <v>154</v>
      </c>
      <c r="E14" s="48"/>
      <c r="F14" s="48"/>
      <c r="G14" s="49"/>
      <c r="H14" s="36"/>
      <c r="I14" s="36"/>
      <c r="J14" s="23"/>
      <c r="K14" s="21"/>
      <c r="L14" s="21"/>
      <c r="M14" s="21"/>
      <c r="N14" s="22"/>
    </row>
    <row r="15" spans="1:14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39">
        <f>SUM(I15)-0.4</f>
        <v>7.6999999999999993</v>
      </c>
      <c r="I15" s="24">
        <f>SUM(J15)-0.4</f>
        <v>8.1</v>
      </c>
      <c r="J15" s="23">
        <v>8.5</v>
      </c>
      <c r="K15" s="21">
        <f>SUM(J15)+0.4</f>
        <v>8.9</v>
      </c>
      <c r="L15" s="21">
        <f>SUM(K15)+0.4</f>
        <v>9.3000000000000007</v>
      </c>
      <c r="M15" s="21">
        <f>SUM(L15)+0.4</f>
        <v>9.7000000000000011</v>
      </c>
      <c r="N15" s="123">
        <f>SUM(M15)+0.3</f>
        <v>10.000000000000002</v>
      </c>
    </row>
    <row r="16" spans="1:14" s="1" customFormat="1" ht="14.1" customHeight="1">
      <c r="A16" s="38"/>
      <c r="B16" s="56" t="s">
        <v>466</v>
      </c>
      <c r="C16" s="56"/>
      <c r="D16" s="47" t="s">
        <v>155</v>
      </c>
      <c r="E16" s="48"/>
      <c r="F16" s="48"/>
      <c r="G16" s="49"/>
      <c r="H16" s="240"/>
      <c r="I16" s="36"/>
      <c r="J16" s="23"/>
      <c r="K16" s="21"/>
      <c r="L16" s="21"/>
      <c r="M16" s="21"/>
      <c r="N16" s="123"/>
    </row>
    <row r="17" spans="1:14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SUM(I17)-1.8</f>
        <v>39.400000000000006</v>
      </c>
      <c r="I17" s="24">
        <f>SUM(J17)-1.8</f>
        <v>41.2</v>
      </c>
      <c r="J17" s="23">
        <v>43</v>
      </c>
      <c r="K17" s="21">
        <f>SUM(J17)+1.8</f>
        <v>44.8</v>
      </c>
      <c r="L17" s="21">
        <f t="shared" ref="L17:M17" si="2">SUM(K17)+1.8</f>
        <v>46.599999999999994</v>
      </c>
      <c r="M17" s="21">
        <f t="shared" si="2"/>
        <v>48.399999999999991</v>
      </c>
      <c r="N17" s="22">
        <f>SUM(M17)+1.8</f>
        <v>50.199999999999989</v>
      </c>
    </row>
    <row r="18" spans="1:14" s="1" customFormat="1" ht="14.1" customHeight="1">
      <c r="A18" s="38"/>
      <c r="B18" s="56" t="s">
        <v>37</v>
      </c>
      <c r="C18" s="56"/>
      <c r="D18" s="47" t="s">
        <v>156</v>
      </c>
      <c r="E18" s="48"/>
      <c r="F18" s="48"/>
      <c r="G18" s="49"/>
      <c r="H18" s="36"/>
      <c r="I18" s="36"/>
      <c r="J18" s="23"/>
      <c r="K18" s="21"/>
      <c r="L18" s="21"/>
      <c r="M18" s="21"/>
      <c r="N18" s="22"/>
    </row>
    <row r="19" spans="1:14" s="1" customFormat="1" ht="14.1" customHeight="1">
      <c r="A19" s="38">
        <v>9</v>
      </c>
      <c r="B19" s="58" t="s">
        <v>4</v>
      </c>
      <c r="C19" s="58"/>
      <c r="D19" s="57" t="s">
        <v>5</v>
      </c>
      <c r="E19" s="57"/>
      <c r="F19" s="57"/>
      <c r="G19" s="57"/>
      <c r="H19" s="24">
        <f>SUM(I19)-3.7</f>
        <v>32.599999999999994</v>
      </c>
      <c r="I19" s="24">
        <f>SUM(J19)-3.7</f>
        <v>36.299999999999997</v>
      </c>
      <c r="J19" s="23">
        <v>40</v>
      </c>
      <c r="K19" s="21">
        <f>SUM(J19)+3.8</f>
        <v>43.8</v>
      </c>
      <c r="L19" s="21">
        <f t="shared" ref="L19:N19" si="3">SUM(K19)+3.8</f>
        <v>47.599999999999994</v>
      </c>
      <c r="M19" s="21">
        <f t="shared" si="3"/>
        <v>51.399999999999991</v>
      </c>
      <c r="N19" s="22">
        <f t="shared" si="3"/>
        <v>55.199999999999989</v>
      </c>
    </row>
    <row r="20" spans="1:14" s="1" customFormat="1" ht="14.1" customHeight="1">
      <c r="A20" s="38"/>
      <c r="B20" s="56" t="s">
        <v>31</v>
      </c>
      <c r="C20" s="56"/>
      <c r="D20" s="47" t="s">
        <v>54</v>
      </c>
      <c r="E20" s="48"/>
      <c r="F20" s="48"/>
      <c r="G20" s="49"/>
      <c r="H20" s="36"/>
      <c r="I20" s="36"/>
      <c r="J20" s="23"/>
      <c r="K20" s="21"/>
      <c r="L20" s="21"/>
      <c r="M20" s="21"/>
      <c r="N20" s="22"/>
    </row>
    <row r="21" spans="1:14" s="1" customFormat="1" ht="14.1" customHeight="1">
      <c r="A21" s="38">
        <v>10</v>
      </c>
      <c r="B21" s="58" t="s">
        <v>6</v>
      </c>
      <c r="C21" s="58"/>
      <c r="D21" s="59" t="s">
        <v>7</v>
      </c>
      <c r="E21" s="60"/>
      <c r="F21" s="60"/>
      <c r="G21" s="61"/>
      <c r="H21" s="24">
        <f>SUM(I21)-1.5</f>
        <v>21</v>
      </c>
      <c r="I21" s="24">
        <f>SUM(J21)-1.5</f>
        <v>22.5</v>
      </c>
      <c r="J21" s="23">
        <v>24</v>
      </c>
      <c r="K21" s="21">
        <f>SUM(J21)+1.5</f>
        <v>25.5</v>
      </c>
      <c r="L21" s="21">
        <f t="shared" ref="L21:N21" si="4">SUM(K21)+1.5</f>
        <v>27</v>
      </c>
      <c r="M21" s="21">
        <f t="shared" si="4"/>
        <v>28.5</v>
      </c>
      <c r="N21" s="22">
        <f t="shared" si="4"/>
        <v>30</v>
      </c>
    </row>
    <row r="22" spans="1:14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9"/>
      <c r="H22" s="36"/>
      <c r="I22" s="36"/>
      <c r="J22" s="23"/>
      <c r="K22" s="21"/>
      <c r="L22" s="21"/>
      <c r="M22" s="21"/>
      <c r="N22" s="22"/>
    </row>
    <row r="23" spans="1:14" s="1" customFormat="1" ht="14.1" customHeight="1">
      <c r="A23" s="38">
        <v>11</v>
      </c>
      <c r="B23" s="51" t="s">
        <v>77</v>
      </c>
      <c r="C23" s="52"/>
      <c r="D23" s="57" t="s">
        <v>78</v>
      </c>
      <c r="E23" s="57"/>
      <c r="F23" s="57"/>
      <c r="G23" s="57"/>
      <c r="H23" s="239">
        <f>SUM(I23)-0.6</f>
        <v>14</v>
      </c>
      <c r="I23" s="24">
        <f>SUM(J23)-0.6</f>
        <v>14.6</v>
      </c>
      <c r="J23" s="23">
        <v>15.2</v>
      </c>
      <c r="K23" s="21">
        <f>SUM(J23)+0.6</f>
        <v>15.799999999999999</v>
      </c>
      <c r="L23" s="21">
        <f>SUM(K23)+0.6</f>
        <v>16.399999999999999</v>
      </c>
      <c r="M23" s="21">
        <f>SUM(L23)+0.6</f>
        <v>17</v>
      </c>
      <c r="N23" s="123">
        <f>SUM(M23)+0.6</f>
        <v>17.600000000000001</v>
      </c>
    </row>
    <row r="24" spans="1:14" s="1" customFormat="1" ht="14.1" customHeight="1" thickBot="1">
      <c r="A24" s="154"/>
      <c r="B24" s="141" t="s">
        <v>33</v>
      </c>
      <c r="C24" s="141"/>
      <c r="D24" s="100" t="s">
        <v>79</v>
      </c>
      <c r="E24" s="101"/>
      <c r="F24" s="101"/>
      <c r="G24" s="102"/>
      <c r="H24" s="243"/>
      <c r="I24" s="50"/>
      <c r="J24" s="33"/>
      <c r="K24" s="24"/>
      <c r="L24" s="24"/>
      <c r="M24" s="24"/>
      <c r="N24" s="121"/>
    </row>
    <row r="25" spans="1:14" s="1" customFormat="1" ht="14.1" customHeight="1" thickTop="1">
      <c r="A25" s="157">
        <v>12</v>
      </c>
      <c r="B25" s="158" t="s">
        <v>468</v>
      </c>
      <c r="C25" s="159"/>
      <c r="D25" s="237"/>
      <c r="E25" s="237"/>
      <c r="F25" s="237"/>
      <c r="G25" s="160"/>
      <c r="H25" s="156">
        <f>SUM(I25)-2.7</f>
        <v>27.6</v>
      </c>
      <c r="I25" s="156">
        <f>SUM(J25)-2.7</f>
        <v>30.3</v>
      </c>
      <c r="J25" s="238">
        <v>33</v>
      </c>
      <c r="K25" s="235">
        <f>SUM(J25)+2.2</f>
        <v>35.200000000000003</v>
      </c>
      <c r="L25" s="235">
        <f>SUM(K25)+2.2</f>
        <v>37.400000000000006</v>
      </c>
      <c r="M25" s="235">
        <f>SUM(L25)+2.2</f>
        <v>39.600000000000009</v>
      </c>
      <c r="N25" s="236">
        <f>SUM(M25)+2.2</f>
        <v>41.800000000000011</v>
      </c>
    </row>
    <row r="26" spans="1:14" s="1" customFormat="1" ht="14.1" customHeight="1">
      <c r="A26" s="38"/>
      <c r="B26" s="45" t="s">
        <v>467</v>
      </c>
      <c r="C26" s="46"/>
      <c r="D26" s="47" t="s">
        <v>476</v>
      </c>
      <c r="E26" s="48"/>
      <c r="F26" s="48"/>
      <c r="G26" s="48"/>
      <c r="H26" s="36"/>
      <c r="I26" s="36"/>
      <c r="J26" s="23"/>
      <c r="K26" s="21"/>
      <c r="L26" s="21"/>
      <c r="M26" s="21"/>
      <c r="N26" s="22"/>
    </row>
    <row r="27" spans="1:14" s="1" customFormat="1" ht="14.1" customHeight="1">
      <c r="A27" s="38">
        <v>13</v>
      </c>
      <c r="B27" s="58" t="s">
        <v>381</v>
      </c>
      <c r="C27" s="58"/>
      <c r="D27" s="57"/>
      <c r="E27" s="57"/>
      <c r="F27" s="57"/>
      <c r="G27" s="57"/>
      <c r="H27" s="24">
        <f>SUM(I27)-0.6</f>
        <v>10.8</v>
      </c>
      <c r="I27" s="24">
        <f>SUM(J27)-0.6</f>
        <v>11.4</v>
      </c>
      <c r="J27" s="33">
        <v>12</v>
      </c>
      <c r="K27" s="24">
        <f>SUM(J27)+0.6</f>
        <v>12.6</v>
      </c>
      <c r="L27" s="24">
        <f>SUM(K27)+0.6</f>
        <v>13.2</v>
      </c>
      <c r="M27" s="24">
        <f>SUM(L27)+0.6</f>
        <v>13.799999999999999</v>
      </c>
      <c r="N27" s="26">
        <f>SUM(M27)+0.6</f>
        <v>14.399999999999999</v>
      </c>
    </row>
    <row r="28" spans="1:14" s="1" customFormat="1" ht="14.1" customHeight="1">
      <c r="A28" s="38"/>
      <c r="B28" s="56" t="s">
        <v>382</v>
      </c>
      <c r="C28" s="56"/>
      <c r="D28" s="47"/>
      <c r="E28" s="48"/>
      <c r="F28" s="48"/>
      <c r="G28" s="49"/>
      <c r="H28" s="36"/>
      <c r="I28" s="36"/>
      <c r="J28" s="35"/>
      <c r="K28" s="36"/>
      <c r="L28" s="36"/>
      <c r="M28" s="36"/>
      <c r="N28" s="37"/>
    </row>
    <row r="29" spans="1:14" s="1" customFormat="1" ht="14.1" customHeight="1">
      <c r="A29" s="71">
        <v>14</v>
      </c>
      <c r="B29" s="51" t="s">
        <v>386</v>
      </c>
      <c r="C29" s="52"/>
      <c r="D29" s="59"/>
      <c r="E29" s="60"/>
      <c r="F29" s="60"/>
      <c r="G29" s="61"/>
      <c r="H29" s="24">
        <f>SUM(I29)-1</f>
        <v>14</v>
      </c>
      <c r="I29" s="24">
        <f>SUM(J29)-1</f>
        <v>15</v>
      </c>
      <c r="J29" s="33">
        <v>16</v>
      </c>
      <c r="K29" s="24">
        <f>SUM(J29)+1</f>
        <v>17</v>
      </c>
      <c r="L29" s="24">
        <f>SUM(K29)+1</f>
        <v>18</v>
      </c>
      <c r="M29" s="24">
        <f>SUM(L29)+1</f>
        <v>19</v>
      </c>
      <c r="N29" s="26">
        <f>SUM(M29)+1</f>
        <v>20</v>
      </c>
    </row>
    <row r="30" spans="1:14" s="1" customFormat="1" ht="14.1" customHeight="1">
      <c r="A30" s="38"/>
      <c r="B30" s="56" t="s">
        <v>387</v>
      </c>
      <c r="C30" s="56"/>
      <c r="D30" s="47" t="s">
        <v>385</v>
      </c>
      <c r="E30" s="48"/>
      <c r="F30" s="48"/>
      <c r="G30" s="49"/>
      <c r="H30" s="36"/>
      <c r="I30" s="36"/>
      <c r="J30" s="35"/>
      <c r="K30" s="36"/>
      <c r="L30" s="36"/>
      <c r="M30" s="36"/>
      <c r="N30" s="37"/>
    </row>
    <row r="31" spans="1:14" ht="14.1" customHeight="1">
      <c r="A31" s="38">
        <v>15</v>
      </c>
      <c r="B31" s="51" t="s">
        <v>475</v>
      </c>
      <c r="C31" s="52"/>
      <c r="D31" s="57" t="s">
        <v>84</v>
      </c>
      <c r="E31" s="57"/>
      <c r="F31" s="57"/>
      <c r="G31" s="57"/>
      <c r="H31" s="239">
        <f>SUM(I31)-2</f>
        <v>26</v>
      </c>
      <c r="I31" s="24">
        <f>SUM(J31)-2</f>
        <v>28</v>
      </c>
      <c r="J31" s="33">
        <v>30</v>
      </c>
      <c r="K31" s="24">
        <f>SUM(J31)+1.8</f>
        <v>31.8</v>
      </c>
      <c r="L31" s="24">
        <f t="shared" ref="L31:N31" si="5">SUM(K31)+1.8</f>
        <v>33.6</v>
      </c>
      <c r="M31" s="24">
        <f t="shared" si="5"/>
        <v>35.4</v>
      </c>
      <c r="N31" s="26">
        <f t="shared" si="5"/>
        <v>37.199999999999996</v>
      </c>
    </row>
    <row r="32" spans="1:14" ht="14.1" customHeight="1">
      <c r="A32" s="38"/>
      <c r="B32" s="45" t="s">
        <v>474</v>
      </c>
      <c r="C32" s="46"/>
      <c r="D32" s="47" t="s">
        <v>49</v>
      </c>
      <c r="E32" s="48"/>
      <c r="F32" s="48"/>
      <c r="G32" s="49"/>
      <c r="H32" s="240"/>
      <c r="I32" s="36"/>
      <c r="J32" s="35"/>
      <c r="K32" s="36"/>
      <c r="L32" s="36"/>
      <c r="M32" s="36"/>
      <c r="N32" s="37"/>
    </row>
    <row r="33" spans="1:14" ht="14.1" customHeight="1">
      <c r="A33" s="38">
        <v>16</v>
      </c>
      <c r="B33" s="40"/>
      <c r="C33" s="41"/>
      <c r="D33" s="42"/>
      <c r="E33" s="43"/>
      <c r="F33" s="43"/>
      <c r="G33" s="44"/>
      <c r="H33" s="174"/>
      <c r="I33" s="24"/>
      <c r="J33" s="33"/>
      <c r="K33" s="24"/>
      <c r="L33" s="24"/>
      <c r="M33" s="24"/>
      <c r="N33" s="121"/>
    </row>
    <row r="34" spans="1:14" ht="14.1" customHeight="1" thickBot="1">
      <c r="A34" s="39"/>
      <c r="B34" s="28"/>
      <c r="C34" s="29"/>
      <c r="D34" s="30"/>
      <c r="E34" s="31"/>
      <c r="F34" s="31"/>
      <c r="G34" s="32"/>
      <c r="H34" s="177"/>
      <c r="I34" s="25"/>
      <c r="J34" s="34"/>
      <c r="K34" s="25"/>
      <c r="L34" s="25"/>
      <c r="M34" s="25"/>
      <c r="N34" s="124"/>
    </row>
    <row r="35" spans="1:14" ht="14.1" customHeight="1"/>
    <row r="36" spans="1:14" ht="14.1" customHeight="1"/>
    <row r="37" spans="1:14" ht="14.1" customHeight="1"/>
    <row r="38" spans="1:14" ht="14.1" customHeight="1"/>
    <row r="39" spans="1:14" ht="14.1" customHeight="1"/>
    <row r="40" spans="1:14" ht="14.1" customHeight="1"/>
    <row r="41" spans="1:14" ht="14.1" customHeight="1"/>
    <row r="42" spans="1:14" ht="14.1" customHeight="1"/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195"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7:K28"/>
    <mergeCell ref="L27:L28"/>
    <mergeCell ref="M27:M2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BA44A-90C9-4604-BAF0-C577115BDFAE}">
  <sheetPr>
    <tabColor rgb="FF00B050"/>
    <pageSetUpPr fitToPage="1"/>
  </sheetPr>
  <dimension ref="A1:N51"/>
  <sheetViews>
    <sheetView zoomScale="110" zoomScaleNormal="110" workbookViewId="0">
      <selection activeCell="A30" sqref="A3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248" t="s">
        <v>551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50"/>
      <c r="N1" s="10"/>
    </row>
    <row r="2" spans="1:14" ht="16.5" customHeight="1" thickBot="1">
      <c r="A2" s="4" t="s">
        <v>68</v>
      </c>
      <c r="B2" s="244" t="s">
        <v>69</v>
      </c>
      <c r="C2" s="245"/>
      <c r="D2" s="244" t="s">
        <v>70</v>
      </c>
      <c r="E2" s="246"/>
      <c r="F2" s="246"/>
      <c r="G2" s="245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  <c r="N2" s="11" t="s">
        <v>229</v>
      </c>
    </row>
    <row r="3" spans="1:14" s="1" customFormat="1" ht="14.1" customHeight="1">
      <c r="A3" s="169">
        <v>1</v>
      </c>
      <c r="B3" s="80" t="s">
        <v>45</v>
      </c>
      <c r="C3" s="81"/>
      <c r="D3" s="74" t="s">
        <v>184</v>
      </c>
      <c r="E3" s="82"/>
      <c r="F3" s="82"/>
      <c r="G3" s="83"/>
      <c r="H3" s="85">
        <f>SUM(I3)-3.5</f>
        <v>36</v>
      </c>
      <c r="I3" s="85">
        <f>SUM(J3)-3.5</f>
        <v>39.5</v>
      </c>
      <c r="J3" s="84">
        <v>43</v>
      </c>
      <c r="K3" s="85">
        <f>SUM(J3)+3</f>
        <v>46</v>
      </c>
      <c r="L3" s="85">
        <f t="shared" ref="L3:N3" si="0">SUM(K3)+3</f>
        <v>49</v>
      </c>
      <c r="M3" s="109">
        <f t="shared" si="0"/>
        <v>52</v>
      </c>
      <c r="N3" s="247">
        <f t="shared" si="0"/>
        <v>55</v>
      </c>
    </row>
    <row r="4" spans="1:14" s="1" customFormat="1" ht="14.1" customHeight="1">
      <c r="A4" s="71"/>
      <c r="B4" s="45" t="s">
        <v>42</v>
      </c>
      <c r="C4" s="46"/>
      <c r="D4" s="47" t="s">
        <v>124</v>
      </c>
      <c r="E4" s="48"/>
      <c r="F4" s="48"/>
      <c r="G4" s="49"/>
      <c r="H4" s="36"/>
      <c r="I4" s="36"/>
      <c r="J4" s="35"/>
      <c r="K4" s="36"/>
      <c r="L4" s="36"/>
      <c r="M4" s="37"/>
      <c r="N4" s="247"/>
    </row>
    <row r="5" spans="1:14" s="1" customFormat="1" ht="14.1" customHeight="1">
      <c r="A5" s="154">
        <v>2</v>
      </c>
      <c r="B5" s="51" t="s">
        <v>43</v>
      </c>
      <c r="C5" s="52"/>
      <c r="D5" s="59" t="s">
        <v>44</v>
      </c>
      <c r="E5" s="60"/>
      <c r="F5" s="60"/>
      <c r="G5" s="61"/>
      <c r="H5" s="24">
        <f>SUM(I5)-1.8</f>
        <v>26.599999999999998</v>
      </c>
      <c r="I5" s="24">
        <f>SUM(J5)-1.8</f>
        <v>28.4</v>
      </c>
      <c r="J5" s="33">
        <v>30.2</v>
      </c>
      <c r="K5" s="24">
        <f>SUM(J5)+1.6</f>
        <v>31.8</v>
      </c>
      <c r="L5" s="24">
        <f t="shared" ref="L5:N5" si="1">SUM(K5)+1.6</f>
        <v>33.4</v>
      </c>
      <c r="M5" s="26">
        <f t="shared" si="1"/>
        <v>35</v>
      </c>
      <c r="N5" s="247">
        <f t="shared" si="1"/>
        <v>36.6</v>
      </c>
    </row>
    <row r="6" spans="1:14" s="1" customFormat="1" ht="14.1" customHeight="1">
      <c r="A6" s="71"/>
      <c r="B6" s="45" t="s">
        <v>26</v>
      </c>
      <c r="C6" s="4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37"/>
      <c r="N6" s="247"/>
    </row>
    <row r="7" spans="1:14" s="1" customFormat="1" ht="14.1" customHeight="1">
      <c r="A7" s="154">
        <v>3</v>
      </c>
      <c r="B7" s="51" t="s">
        <v>41</v>
      </c>
      <c r="C7" s="52"/>
      <c r="D7" s="59" t="s">
        <v>84</v>
      </c>
      <c r="E7" s="60"/>
      <c r="F7" s="60"/>
      <c r="G7" s="61"/>
      <c r="H7" s="239">
        <f>SUM(I7)-2.25</f>
        <v>33</v>
      </c>
      <c r="I7" s="24">
        <f>SUM(J7)-2.25</f>
        <v>35.25</v>
      </c>
      <c r="J7" s="33">
        <v>37.5</v>
      </c>
      <c r="K7" s="24">
        <f>SUM(J7)+2</f>
        <v>39.5</v>
      </c>
      <c r="L7" s="24">
        <f>SUM(K7)+2</f>
        <v>41.5</v>
      </c>
      <c r="M7" s="26">
        <f>SUM(L7)+2</f>
        <v>43.5</v>
      </c>
      <c r="N7" s="247">
        <f>SUM(M7)+2</f>
        <v>45.5</v>
      </c>
    </row>
    <row r="8" spans="1:14" s="1" customFormat="1" ht="14.1" customHeight="1">
      <c r="A8" s="71"/>
      <c r="B8" s="45" t="s">
        <v>46</v>
      </c>
      <c r="C8" s="46"/>
      <c r="D8" s="47" t="s">
        <v>49</v>
      </c>
      <c r="E8" s="48"/>
      <c r="F8" s="48"/>
      <c r="G8" s="49"/>
      <c r="H8" s="240"/>
      <c r="I8" s="36"/>
      <c r="J8" s="35"/>
      <c r="K8" s="36"/>
      <c r="L8" s="36"/>
      <c r="M8" s="37"/>
      <c r="N8" s="247"/>
    </row>
    <row r="9" spans="1:14" s="1" customFormat="1" ht="14.1" customHeight="1">
      <c r="A9" s="154">
        <v>4</v>
      </c>
      <c r="B9" s="51" t="s">
        <v>47</v>
      </c>
      <c r="C9" s="52"/>
      <c r="D9" s="59" t="s">
        <v>8</v>
      </c>
      <c r="E9" s="60"/>
      <c r="F9" s="60"/>
      <c r="G9" s="61"/>
      <c r="H9" s="24">
        <f>SUM(I9)-2.25</f>
        <v>33</v>
      </c>
      <c r="I9" s="24">
        <f>SUM(J9)-2.25</f>
        <v>35.25</v>
      </c>
      <c r="J9" s="33">
        <v>37.5</v>
      </c>
      <c r="K9" s="24">
        <f>SUM(J9)+2</f>
        <v>39.5</v>
      </c>
      <c r="L9" s="24">
        <f t="shared" ref="L9:N9" si="2">SUM(K9)+2</f>
        <v>41.5</v>
      </c>
      <c r="M9" s="26">
        <f t="shared" si="2"/>
        <v>43.5</v>
      </c>
      <c r="N9" s="247">
        <f t="shared" si="2"/>
        <v>45.5</v>
      </c>
    </row>
    <row r="10" spans="1:14" s="1" customFormat="1" ht="14.1" customHeight="1">
      <c r="A10" s="71"/>
      <c r="B10" s="45" t="s">
        <v>27</v>
      </c>
      <c r="C10" s="4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7"/>
      <c r="N10" s="247"/>
    </row>
    <row r="11" spans="1:14" s="1" customFormat="1" ht="14.1" customHeight="1">
      <c r="A11" s="154">
        <v>5</v>
      </c>
      <c r="B11" s="51" t="s">
        <v>10</v>
      </c>
      <c r="C11" s="52"/>
      <c r="D11" s="59" t="s">
        <v>0</v>
      </c>
      <c r="E11" s="60"/>
      <c r="F11" s="60"/>
      <c r="G11" s="61"/>
      <c r="H11" s="24">
        <f>SUM(I11)-0.8</f>
        <v>13.2</v>
      </c>
      <c r="I11" s="24">
        <f>SUM(J11)-0.8</f>
        <v>14</v>
      </c>
      <c r="J11" s="33">
        <v>14.8</v>
      </c>
      <c r="K11" s="24">
        <f>SUM(J11)+0.8</f>
        <v>15.600000000000001</v>
      </c>
      <c r="L11" s="24">
        <f t="shared" ref="L11:N11" si="3">SUM(K11)+0.8</f>
        <v>16.400000000000002</v>
      </c>
      <c r="M11" s="26">
        <f t="shared" si="3"/>
        <v>17.200000000000003</v>
      </c>
      <c r="N11" s="247">
        <f t="shared" si="3"/>
        <v>18.000000000000004</v>
      </c>
    </row>
    <row r="12" spans="1:14" s="1" customFormat="1" ht="14.1" customHeight="1">
      <c r="A12" s="71"/>
      <c r="B12" s="45" t="s">
        <v>28</v>
      </c>
      <c r="C12" s="46"/>
      <c r="D12" s="47" t="s">
        <v>51</v>
      </c>
      <c r="E12" s="48"/>
      <c r="F12" s="48"/>
      <c r="G12" s="49"/>
      <c r="H12" s="36"/>
      <c r="I12" s="36"/>
      <c r="J12" s="35"/>
      <c r="K12" s="36"/>
      <c r="L12" s="36"/>
      <c r="M12" s="37"/>
      <c r="N12" s="247"/>
    </row>
    <row r="13" spans="1:14" s="1" customFormat="1" ht="14.1" customHeight="1">
      <c r="A13" s="154">
        <v>6</v>
      </c>
      <c r="B13" s="51" t="s">
        <v>1</v>
      </c>
      <c r="C13" s="52"/>
      <c r="D13" s="59" t="s">
        <v>180</v>
      </c>
      <c r="E13" s="60"/>
      <c r="F13" s="60"/>
      <c r="G13" s="61"/>
      <c r="H13" s="24">
        <f>SUM(I13)-0.6</f>
        <v>15.3</v>
      </c>
      <c r="I13" s="24">
        <f>SUM(J13)-0.6</f>
        <v>15.9</v>
      </c>
      <c r="J13" s="33">
        <v>16.5</v>
      </c>
      <c r="K13" s="24">
        <f>SUM(J13)+0.6</f>
        <v>17.100000000000001</v>
      </c>
      <c r="L13" s="24">
        <f>SUM(K13)+0.6</f>
        <v>17.700000000000003</v>
      </c>
      <c r="M13" s="26">
        <f t="shared" ref="M13" si="4">SUM(L13)+0.6</f>
        <v>18.300000000000004</v>
      </c>
      <c r="N13" s="247">
        <f>SUM(M13)+0.6</f>
        <v>18.900000000000006</v>
      </c>
    </row>
    <row r="14" spans="1:14" s="1" customFormat="1" ht="14.1" customHeight="1">
      <c r="A14" s="71"/>
      <c r="B14" s="45" t="s">
        <v>29</v>
      </c>
      <c r="C14" s="46"/>
      <c r="D14" s="47" t="s">
        <v>154</v>
      </c>
      <c r="E14" s="48"/>
      <c r="F14" s="48"/>
      <c r="G14" s="49"/>
      <c r="H14" s="36"/>
      <c r="I14" s="36"/>
      <c r="J14" s="35"/>
      <c r="K14" s="36"/>
      <c r="L14" s="36"/>
      <c r="M14" s="37"/>
      <c r="N14" s="247"/>
    </row>
    <row r="15" spans="1:14" s="1" customFormat="1" ht="14.1" customHeight="1">
      <c r="A15" s="154">
        <v>7</v>
      </c>
      <c r="B15" s="51" t="s">
        <v>2</v>
      </c>
      <c r="C15" s="52"/>
      <c r="D15" s="59" t="s">
        <v>3</v>
      </c>
      <c r="E15" s="60"/>
      <c r="F15" s="60"/>
      <c r="G15" s="61"/>
      <c r="H15" s="24">
        <f>SUM(I15)-0.3</f>
        <v>6.4</v>
      </c>
      <c r="I15" s="24">
        <f>SUM(J15)-0.3</f>
        <v>6.7</v>
      </c>
      <c r="J15" s="33">
        <v>7</v>
      </c>
      <c r="K15" s="24">
        <f>SUM(J15)+0.3</f>
        <v>7.3</v>
      </c>
      <c r="L15" s="24">
        <f t="shared" ref="L15:N15" si="5">SUM(K15)+0.3</f>
        <v>7.6</v>
      </c>
      <c r="M15" s="26">
        <f t="shared" si="5"/>
        <v>7.8999999999999995</v>
      </c>
      <c r="N15" s="247">
        <f t="shared" si="5"/>
        <v>8.1999999999999993</v>
      </c>
    </row>
    <row r="16" spans="1:14" s="1" customFormat="1" ht="14.1" customHeight="1">
      <c r="A16" s="71"/>
      <c r="B16" s="45" t="s">
        <v>466</v>
      </c>
      <c r="C16" s="46"/>
      <c r="D16" s="47" t="s">
        <v>155</v>
      </c>
      <c r="E16" s="48"/>
      <c r="F16" s="48"/>
      <c r="G16" s="49"/>
      <c r="H16" s="36"/>
      <c r="I16" s="36"/>
      <c r="J16" s="35"/>
      <c r="K16" s="36"/>
      <c r="L16" s="36"/>
      <c r="M16" s="37"/>
      <c r="N16" s="247"/>
    </row>
    <row r="17" spans="1:14" s="1" customFormat="1" ht="14.1" customHeight="1">
      <c r="A17" s="154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40.799999999999997</v>
      </c>
      <c r="I17" s="24">
        <f>SUM(J17)-1.6</f>
        <v>42.4</v>
      </c>
      <c r="J17" s="33">
        <v>44</v>
      </c>
      <c r="K17" s="24">
        <f>SUM(J17)+1.6</f>
        <v>45.6</v>
      </c>
      <c r="L17" s="24">
        <f t="shared" ref="L17:N17" si="6">SUM(K17)+1.6</f>
        <v>47.2</v>
      </c>
      <c r="M17" s="26">
        <f t="shared" si="6"/>
        <v>48.800000000000004</v>
      </c>
      <c r="N17" s="247">
        <f t="shared" si="6"/>
        <v>50.400000000000006</v>
      </c>
    </row>
    <row r="18" spans="1:14" s="1" customFormat="1" ht="14.1" customHeight="1">
      <c r="A18" s="71"/>
      <c r="B18" s="45" t="s">
        <v>37</v>
      </c>
      <c r="C18" s="46"/>
      <c r="D18" s="47" t="s">
        <v>156</v>
      </c>
      <c r="E18" s="48"/>
      <c r="F18" s="48"/>
      <c r="G18" s="49"/>
      <c r="H18" s="36"/>
      <c r="I18" s="36"/>
      <c r="J18" s="35"/>
      <c r="K18" s="36"/>
      <c r="L18" s="36"/>
      <c r="M18" s="37"/>
      <c r="N18" s="247"/>
    </row>
    <row r="19" spans="1:14" s="1" customFormat="1" ht="14.1" customHeight="1">
      <c r="A19" s="154">
        <v>9</v>
      </c>
      <c r="B19" s="51" t="s">
        <v>4</v>
      </c>
      <c r="C19" s="52"/>
      <c r="D19" s="59" t="s">
        <v>5</v>
      </c>
      <c r="E19" s="60"/>
      <c r="F19" s="60"/>
      <c r="G19" s="61"/>
      <c r="H19" s="24">
        <f>SUM(I19)-3.6</f>
        <v>31</v>
      </c>
      <c r="I19" s="24">
        <f>SUM(J19)-3.6</f>
        <v>34.6</v>
      </c>
      <c r="J19" s="33">
        <v>38.200000000000003</v>
      </c>
      <c r="K19" s="24">
        <f>SUM(J19)+3.7</f>
        <v>41.900000000000006</v>
      </c>
      <c r="L19" s="24">
        <f t="shared" ref="L19:N19" si="7">SUM(K19)+3.7</f>
        <v>45.600000000000009</v>
      </c>
      <c r="M19" s="26">
        <f t="shared" si="7"/>
        <v>49.300000000000011</v>
      </c>
      <c r="N19" s="247">
        <f t="shared" si="7"/>
        <v>53.000000000000014</v>
      </c>
    </row>
    <row r="20" spans="1:14" s="1" customFormat="1" ht="14.1" customHeight="1">
      <c r="A20" s="71"/>
      <c r="B20" s="45" t="s">
        <v>31</v>
      </c>
      <c r="C20" s="46"/>
      <c r="D20" s="47" t="s">
        <v>54</v>
      </c>
      <c r="E20" s="48"/>
      <c r="F20" s="48"/>
      <c r="G20" s="49"/>
      <c r="H20" s="36"/>
      <c r="I20" s="36"/>
      <c r="J20" s="35"/>
      <c r="K20" s="36"/>
      <c r="L20" s="36"/>
      <c r="M20" s="37"/>
      <c r="N20" s="247"/>
    </row>
    <row r="21" spans="1:14" s="1" customFormat="1" ht="14.1" customHeight="1">
      <c r="A21" s="154">
        <v>10</v>
      </c>
      <c r="B21" s="51" t="s">
        <v>6</v>
      </c>
      <c r="C21" s="52"/>
      <c r="D21" s="59" t="s">
        <v>7</v>
      </c>
      <c r="E21" s="60"/>
      <c r="F21" s="60"/>
      <c r="G21" s="61"/>
      <c r="H21" s="24">
        <f>SUM(I21)-1.5</f>
        <v>23.7</v>
      </c>
      <c r="I21" s="24">
        <f>SUM(J21)-1.5</f>
        <v>25.2</v>
      </c>
      <c r="J21" s="33">
        <v>26.7</v>
      </c>
      <c r="K21" s="24">
        <f>SUM(J21)+1.5</f>
        <v>28.2</v>
      </c>
      <c r="L21" s="24">
        <f t="shared" ref="L21:N21" si="8">SUM(K21)+1.5</f>
        <v>29.7</v>
      </c>
      <c r="M21" s="26">
        <f t="shared" si="8"/>
        <v>31.2</v>
      </c>
      <c r="N21" s="247">
        <f t="shared" si="8"/>
        <v>32.700000000000003</v>
      </c>
    </row>
    <row r="22" spans="1:14" s="1" customFormat="1" ht="14.1" customHeight="1">
      <c r="A22" s="71"/>
      <c r="B22" s="45" t="s">
        <v>32</v>
      </c>
      <c r="C22" s="46"/>
      <c r="D22" s="47" t="s">
        <v>76</v>
      </c>
      <c r="E22" s="48"/>
      <c r="F22" s="48"/>
      <c r="G22" s="49"/>
      <c r="H22" s="36"/>
      <c r="I22" s="36"/>
      <c r="J22" s="35"/>
      <c r="K22" s="36"/>
      <c r="L22" s="36"/>
      <c r="M22" s="37"/>
      <c r="N22" s="247"/>
    </row>
    <row r="23" spans="1:14" s="1" customFormat="1" ht="14.1" customHeight="1">
      <c r="A23" s="154">
        <v>11</v>
      </c>
      <c r="B23" s="51" t="s">
        <v>77</v>
      </c>
      <c r="C23" s="52"/>
      <c r="D23" s="59" t="s">
        <v>78</v>
      </c>
      <c r="E23" s="60"/>
      <c r="F23" s="60"/>
      <c r="G23" s="61"/>
      <c r="H23" s="24">
        <f>SUM(I23)-0.7</f>
        <v>15.600000000000001</v>
      </c>
      <c r="I23" s="24">
        <f>SUM(J23)-0.7</f>
        <v>16.3</v>
      </c>
      <c r="J23" s="33">
        <v>17</v>
      </c>
      <c r="K23" s="24">
        <f>SUM(J23)+0.7</f>
        <v>17.7</v>
      </c>
      <c r="L23" s="24">
        <f t="shared" ref="L23:N23" si="9">SUM(K23)+0.7</f>
        <v>18.399999999999999</v>
      </c>
      <c r="M23" s="26">
        <f t="shared" si="9"/>
        <v>19.099999999999998</v>
      </c>
      <c r="N23" s="247">
        <f t="shared" si="9"/>
        <v>19.799999999999997</v>
      </c>
    </row>
    <row r="24" spans="1:14" s="1" customFormat="1" ht="14.1" customHeight="1">
      <c r="A24" s="166"/>
      <c r="B24" s="40" t="s">
        <v>33</v>
      </c>
      <c r="C24" s="41"/>
      <c r="D24" s="100" t="s">
        <v>79</v>
      </c>
      <c r="E24" s="101"/>
      <c r="F24" s="101"/>
      <c r="G24" s="102"/>
      <c r="H24" s="50"/>
      <c r="I24" s="50"/>
      <c r="J24" s="117"/>
      <c r="K24" s="50"/>
      <c r="L24" s="50"/>
      <c r="M24" s="113"/>
      <c r="N24" s="247"/>
    </row>
    <row r="25" spans="1:14" s="1" customFormat="1" ht="14.1" customHeight="1">
      <c r="A25" s="154">
        <v>12</v>
      </c>
      <c r="B25" s="51" t="s">
        <v>176</v>
      </c>
      <c r="C25" s="52"/>
      <c r="D25" s="53" t="s">
        <v>103</v>
      </c>
      <c r="E25" s="54"/>
      <c r="F25" s="54"/>
      <c r="G25" s="55"/>
      <c r="H25" s="24">
        <f>SUM(I25)-0.3</f>
        <v>3.9000000000000004</v>
      </c>
      <c r="I25" s="24">
        <f>SUM(J25)-0.3</f>
        <v>4.2</v>
      </c>
      <c r="J25" s="23">
        <v>4.5</v>
      </c>
      <c r="K25" s="21">
        <f>SUM(J25)+0.3</f>
        <v>4.8</v>
      </c>
      <c r="L25" s="21">
        <f>SUM(K25)+0.3</f>
        <v>5.0999999999999996</v>
      </c>
      <c r="M25" s="22">
        <f>SUM(L25)+0.3</f>
        <v>5.3999999999999995</v>
      </c>
    </row>
    <row r="26" spans="1:14" s="1" customFormat="1" ht="14.1" customHeight="1" thickBot="1">
      <c r="A26" s="168"/>
      <c r="B26" s="28" t="s">
        <v>175</v>
      </c>
      <c r="C26" s="29"/>
      <c r="D26" s="30" t="s">
        <v>104</v>
      </c>
      <c r="E26" s="31"/>
      <c r="F26" s="31"/>
      <c r="G26" s="32"/>
      <c r="H26" s="25"/>
      <c r="I26" s="25"/>
      <c r="J26" s="218"/>
      <c r="K26" s="216"/>
      <c r="L26" s="216"/>
      <c r="M26" s="220"/>
    </row>
    <row r="27" spans="1:14" s="1" customFormat="1" ht="14.1" customHeight="1"/>
    <row r="28" spans="1:14" s="1" customFormat="1" ht="14.1" customHeight="1"/>
    <row r="29" spans="1:14" s="1" customFormat="1" ht="14.1" customHeight="1"/>
    <row r="30" spans="1:14" s="1" customFormat="1" ht="14.1" customHeight="1"/>
    <row r="31" spans="1:14" ht="14.1" customHeight="1"/>
    <row r="32" spans="1:14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46">
    <mergeCell ref="A1:M1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J3:J4"/>
    <mergeCell ref="K3:K4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L25:L26"/>
    <mergeCell ref="M25:M26"/>
    <mergeCell ref="A25:A26"/>
    <mergeCell ref="B25:C25"/>
    <mergeCell ref="B26:C26"/>
    <mergeCell ref="D25:G25"/>
    <mergeCell ref="D26:G26"/>
    <mergeCell ref="H25:H26"/>
    <mergeCell ref="I25:I26"/>
    <mergeCell ref="J25:J26"/>
    <mergeCell ref="K25:K26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0C611-317D-4EB0-B945-5A5C78F4C24C}">
  <sheetPr>
    <tabColor rgb="FF00B050"/>
    <pageSetUpPr fitToPage="1"/>
  </sheetPr>
  <dimension ref="A1:M57"/>
  <sheetViews>
    <sheetView zoomScale="110" zoomScaleNormal="110" workbookViewId="0">
      <selection activeCell="M25" sqref="A1:M2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480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481</v>
      </c>
      <c r="C3" s="72"/>
      <c r="D3" s="73"/>
      <c r="E3" s="73"/>
      <c r="F3" s="73"/>
      <c r="G3" s="74"/>
      <c r="H3" s="24">
        <f>SUM(I3)-2.5</f>
        <v>16.600000000000001</v>
      </c>
      <c r="I3" s="24">
        <f>SUM(J3)-2.4</f>
        <v>19.100000000000001</v>
      </c>
      <c r="J3" s="75">
        <v>21.5</v>
      </c>
      <c r="K3" s="76">
        <f>SUM(J3)+2</f>
        <v>23.5</v>
      </c>
      <c r="L3" s="76">
        <f>SUM(K3)+1.9</f>
        <v>25.4</v>
      </c>
      <c r="M3" s="77">
        <f>SUM(L3)+1.9</f>
        <v>27.299999999999997</v>
      </c>
    </row>
    <row r="4" spans="1:13" s="1" customFormat="1" ht="14.1" customHeight="1">
      <c r="A4" s="38"/>
      <c r="B4" s="56" t="s">
        <v>482</v>
      </c>
      <c r="C4" s="56"/>
      <c r="D4" s="47"/>
      <c r="E4" s="48"/>
      <c r="F4" s="48"/>
      <c r="G4" s="48"/>
      <c r="H4" s="36"/>
      <c r="I4" s="36"/>
      <c r="J4" s="33"/>
      <c r="K4" s="24"/>
      <c r="L4" s="24"/>
      <c r="M4" s="26"/>
    </row>
    <row r="5" spans="1:13" s="1" customFormat="1" ht="14.1" customHeight="1">
      <c r="A5" s="38">
        <v>2</v>
      </c>
      <c r="B5" s="58" t="s">
        <v>483</v>
      </c>
      <c r="C5" s="58"/>
      <c r="D5" s="57"/>
      <c r="E5" s="57"/>
      <c r="F5" s="57"/>
      <c r="G5" s="57"/>
      <c r="H5" s="24">
        <f>SUM(I5)-2.5</f>
        <v>17</v>
      </c>
      <c r="I5" s="24">
        <f>SUM(J5)-2.5</f>
        <v>19.5</v>
      </c>
      <c r="J5" s="33">
        <v>22</v>
      </c>
      <c r="K5" s="24">
        <f>SUM(J5)+2</f>
        <v>24</v>
      </c>
      <c r="L5" s="24">
        <f>SUM(K5)+2</f>
        <v>26</v>
      </c>
      <c r="M5" s="26">
        <f>SUM(L5)+2</f>
        <v>28</v>
      </c>
    </row>
    <row r="6" spans="1:13" s="1" customFormat="1" ht="14.1" customHeight="1">
      <c r="A6" s="38"/>
      <c r="B6" s="56" t="s">
        <v>484</v>
      </c>
      <c r="C6" s="56"/>
      <c r="D6" s="47"/>
      <c r="E6" s="48"/>
      <c r="F6" s="48"/>
      <c r="G6" s="49"/>
      <c r="H6" s="36"/>
      <c r="I6" s="36"/>
      <c r="J6" s="35"/>
      <c r="K6" s="36"/>
      <c r="L6" s="36"/>
      <c r="M6" s="37"/>
    </row>
    <row r="7" spans="1:13" s="1" customFormat="1" ht="14.1" customHeight="1">
      <c r="A7" s="38">
        <v>3</v>
      </c>
      <c r="B7" s="58" t="s">
        <v>381</v>
      </c>
      <c r="C7" s="58"/>
      <c r="D7" s="57"/>
      <c r="E7" s="57"/>
      <c r="F7" s="57"/>
      <c r="G7" s="57"/>
      <c r="H7" s="24">
        <f>SUM(I7)-1.1</f>
        <v>17.799999999999997</v>
      </c>
      <c r="I7" s="24">
        <f>SUM(J7)-1.1</f>
        <v>18.899999999999999</v>
      </c>
      <c r="J7" s="33">
        <v>20</v>
      </c>
      <c r="K7" s="24">
        <f>SUM(J7)+1.1</f>
        <v>21.1</v>
      </c>
      <c r="L7" s="24">
        <f>SUM(K7)+1.1</f>
        <v>22.200000000000003</v>
      </c>
      <c r="M7" s="26">
        <f>SUM(L7)+1.1</f>
        <v>23.300000000000004</v>
      </c>
    </row>
    <row r="8" spans="1:13" s="1" customFormat="1" ht="14.1" customHeight="1">
      <c r="A8" s="38"/>
      <c r="B8" s="56" t="s">
        <v>382</v>
      </c>
      <c r="C8" s="56"/>
      <c r="D8" s="47" t="s">
        <v>485</v>
      </c>
      <c r="E8" s="48"/>
      <c r="F8" s="48"/>
      <c r="G8" s="49"/>
      <c r="H8" s="36"/>
      <c r="I8" s="36"/>
      <c r="J8" s="35"/>
      <c r="K8" s="36"/>
      <c r="L8" s="36"/>
      <c r="M8" s="37"/>
    </row>
    <row r="9" spans="1:13" s="1" customFormat="1" ht="14.1" customHeight="1">
      <c r="A9" s="38">
        <v>4</v>
      </c>
      <c r="B9" s="51" t="s">
        <v>486</v>
      </c>
      <c r="C9" s="52"/>
      <c r="D9" s="59"/>
      <c r="E9" s="60"/>
      <c r="F9" s="60"/>
      <c r="G9" s="61"/>
      <c r="H9" s="24">
        <f>SUM(I9)-1</f>
        <v>14.2</v>
      </c>
      <c r="I9" s="24">
        <f>SUM(J9)-1</f>
        <v>15.2</v>
      </c>
      <c r="J9" s="33">
        <v>16.2</v>
      </c>
      <c r="K9" s="24">
        <f>SUM(J9)+1</f>
        <v>17.2</v>
      </c>
      <c r="L9" s="24">
        <f>SUM(K9)+1</f>
        <v>18.2</v>
      </c>
      <c r="M9" s="26">
        <f>SUM(L9)+1</f>
        <v>19.2</v>
      </c>
    </row>
    <row r="10" spans="1:13" s="1" customFormat="1" ht="14.1" customHeight="1">
      <c r="A10" s="38"/>
      <c r="B10" s="56" t="s">
        <v>487</v>
      </c>
      <c r="C10" s="56"/>
      <c r="D10" s="47" t="s">
        <v>385</v>
      </c>
      <c r="E10" s="48"/>
      <c r="F10" s="48"/>
      <c r="G10" s="49"/>
      <c r="H10" s="36"/>
      <c r="I10" s="36"/>
      <c r="J10" s="35"/>
      <c r="K10" s="36"/>
      <c r="L10" s="36"/>
      <c r="M10" s="37"/>
    </row>
    <row r="11" spans="1:13" s="1" customFormat="1" ht="14.1" customHeight="1">
      <c r="A11" s="38">
        <v>5</v>
      </c>
      <c r="B11" s="51" t="s">
        <v>488</v>
      </c>
      <c r="C11" s="52"/>
      <c r="D11" s="59"/>
      <c r="E11" s="60"/>
      <c r="F11" s="60"/>
      <c r="G11" s="61"/>
      <c r="H11" s="24">
        <f>SUM(I11)-1</f>
        <v>15</v>
      </c>
      <c r="I11" s="24">
        <f>SUM(J11)-1</f>
        <v>16</v>
      </c>
      <c r="J11" s="33">
        <v>17</v>
      </c>
      <c r="K11" s="24">
        <f>SUM(J11)+1</f>
        <v>18</v>
      </c>
      <c r="L11" s="24">
        <f>SUM(K11)+1</f>
        <v>19</v>
      </c>
      <c r="M11" s="26">
        <f>SUM(L11)+1</f>
        <v>20</v>
      </c>
    </row>
    <row r="12" spans="1:13" s="1" customFormat="1" ht="14.1" customHeight="1">
      <c r="A12" s="38"/>
      <c r="B12" s="56" t="s">
        <v>489</v>
      </c>
      <c r="C12" s="56"/>
      <c r="D12" s="47" t="s">
        <v>385</v>
      </c>
      <c r="E12" s="48"/>
      <c r="F12" s="48"/>
      <c r="G12" s="49"/>
      <c r="H12" s="36"/>
      <c r="I12" s="36"/>
      <c r="J12" s="35"/>
      <c r="K12" s="36"/>
      <c r="L12" s="36"/>
      <c r="M12" s="37"/>
    </row>
    <row r="13" spans="1:13" s="1" customFormat="1" ht="14.1" customHeight="1">
      <c r="A13" s="38">
        <v>6</v>
      </c>
      <c r="B13" s="58" t="s">
        <v>41</v>
      </c>
      <c r="C13" s="58"/>
      <c r="D13" s="57" t="s">
        <v>84</v>
      </c>
      <c r="E13" s="57"/>
      <c r="F13" s="57"/>
      <c r="G13" s="57"/>
      <c r="H13" s="24">
        <f>SUM(I13)-2.25</f>
        <v>31.5</v>
      </c>
      <c r="I13" s="24">
        <f>SUM(J13)-2.25</f>
        <v>33.75</v>
      </c>
      <c r="J13" s="33">
        <v>36</v>
      </c>
      <c r="K13" s="24">
        <f>SUM(J13)+2</f>
        <v>38</v>
      </c>
      <c r="L13" s="24">
        <f>SUM(K13)+2</f>
        <v>40</v>
      </c>
      <c r="M13" s="26">
        <f>SUM(L13)+2</f>
        <v>42</v>
      </c>
    </row>
    <row r="14" spans="1:13" s="1" customFormat="1" ht="14.1" customHeight="1">
      <c r="A14" s="38"/>
      <c r="B14" s="56" t="s">
        <v>46</v>
      </c>
      <c r="C14" s="56"/>
      <c r="D14" s="47" t="s">
        <v>49</v>
      </c>
      <c r="E14" s="48"/>
      <c r="F14" s="48"/>
      <c r="G14" s="49"/>
      <c r="H14" s="36"/>
      <c r="I14" s="36"/>
      <c r="J14" s="35"/>
      <c r="K14" s="36"/>
      <c r="L14" s="36"/>
      <c r="M14" s="37"/>
    </row>
    <row r="15" spans="1:13" s="1" customFormat="1" ht="14.1" customHeight="1">
      <c r="A15" s="38">
        <v>7</v>
      </c>
      <c r="B15" s="58" t="s">
        <v>47</v>
      </c>
      <c r="C15" s="58"/>
      <c r="D15" s="57" t="s">
        <v>8</v>
      </c>
      <c r="E15" s="57"/>
      <c r="F15" s="57"/>
      <c r="G15" s="57"/>
      <c r="H15" s="24">
        <f>SUM(I15)-2.1</f>
        <v>30.799999999999997</v>
      </c>
      <c r="I15" s="24">
        <f>SUM(J15)-2.1</f>
        <v>32.9</v>
      </c>
      <c r="J15" s="33">
        <v>35</v>
      </c>
      <c r="K15" s="24">
        <f>SUM(J15)+1.9</f>
        <v>36.9</v>
      </c>
      <c r="L15" s="24">
        <f>SUM(K15)+1.9</f>
        <v>38.799999999999997</v>
      </c>
      <c r="M15" s="26">
        <f>SUM(L15)+1.9</f>
        <v>40.699999999999996</v>
      </c>
    </row>
    <row r="16" spans="1:13" s="1" customFormat="1" ht="14.1" customHeight="1">
      <c r="A16" s="38"/>
      <c r="B16" s="56" t="s">
        <v>27</v>
      </c>
      <c r="C16" s="56"/>
      <c r="D16" s="47" t="s">
        <v>50</v>
      </c>
      <c r="E16" s="48"/>
      <c r="F16" s="48"/>
      <c r="G16" s="49"/>
      <c r="H16" s="36"/>
      <c r="I16" s="36"/>
      <c r="J16" s="35"/>
      <c r="K16" s="36"/>
      <c r="L16" s="36"/>
      <c r="M16" s="37"/>
    </row>
    <row r="17" spans="1:13" s="1" customFormat="1" ht="14.1" customHeight="1">
      <c r="A17" s="38">
        <v>8</v>
      </c>
      <c r="B17" s="58"/>
      <c r="C17" s="58"/>
      <c r="D17" s="57"/>
      <c r="E17" s="57"/>
      <c r="F17" s="57"/>
      <c r="G17" s="57"/>
      <c r="H17" s="24"/>
      <c r="I17" s="24"/>
      <c r="J17" s="23"/>
      <c r="K17" s="21"/>
      <c r="L17" s="21"/>
      <c r="M17" s="22"/>
    </row>
    <row r="18" spans="1:13" s="1" customFormat="1" ht="14.1" customHeight="1">
      <c r="A18" s="38"/>
      <c r="B18" s="56"/>
      <c r="C18" s="56"/>
      <c r="D18" s="47"/>
      <c r="E18" s="48"/>
      <c r="F18" s="48"/>
      <c r="G18" s="49"/>
      <c r="H18" s="36"/>
      <c r="I18" s="36"/>
      <c r="J18" s="23"/>
      <c r="K18" s="21"/>
      <c r="L18" s="21"/>
      <c r="M18" s="22"/>
    </row>
    <row r="19" spans="1:13" s="1" customFormat="1" ht="14.1" customHeight="1">
      <c r="A19" s="38">
        <v>9</v>
      </c>
      <c r="B19" s="58"/>
      <c r="C19" s="58"/>
      <c r="D19" s="57"/>
      <c r="E19" s="57"/>
      <c r="F19" s="57"/>
      <c r="G19" s="57"/>
      <c r="H19" s="24"/>
      <c r="I19" s="24"/>
      <c r="J19" s="23"/>
      <c r="K19" s="21"/>
      <c r="L19" s="21"/>
      <c r="M19" s="22"/>
    </row>
    <row r="20" spans="1:13" s="1" customFormat="1" ht="14.1" customHeight="1">
      <c r="A20" s="38"/>
      <c r="B20" s="56"/>
      <c r="C20" s="56"/>
      <c r="D20" s="47"/>
      <c r="E20" s="48"/>
      <c r="F20" s="48"/>
      <c r="G20" s="49"/>
      <c r="H20" s="36"/>
      <c r="I20" s="36"/>
      <c r="J20" s="23"/>
      <c r="K20" s="21"/>
      <c r="L20" s="21"/>
      <c r="M20" s="22"/>
    </row>
    <row r="21" spans="1:13" s="1" customFormat="1" ht="14.1" customHeight="1">
      <c r="A21" s="38">
        <v>10</v>
      </c>
      <c r="B21" s="51"/>
      <c r="C21" s="52"/>
      <c r="D21" s="57"/>
      <c r="E21" s="57"/>
      <c r="F21" s="57"/>
      <c r="G21" s="57"/>
      <c r="H21" s="24"/>
      <c r="I21" s="24"/>
      <c r="J21" s="23"/>
      <c r="K21" s="21"/>
      <c r="L21" s="21"/>
      <c r="M21" s="22"/>
    </row>
    <row r="22" spans="1:13" s="1" customFormat="1" ht="14.1" customHeight="1">
      <c r="A22" s="38"/>
      <c r="B22" s="56"/>
      <c r="C22" s="56"/>
      <c r="D22" s="47"/>
      <c r="E22" s="48"/>
      <c r="F22" s="48"/>
      <c r="G22" s="49"/>
      <c r="H22" s="36"/>
      <c r="I22" s="36"/>
      <c r="J22" s="23"/>
      <c r="K22" s="21"/>
      <c r="L22" s="21"/>
      <c r="M22" s="22"/>
    </row>
    <row r="23" spans="1:13" s="1" customFormat="1" ht="14.1" customHeight="1">
      <c r="A23" s="38">
        <v>11</v>
      </c>
      <c r="B23" s="51"/>
      <c r="C23" s="52"/>
      <c r="D23" s="182"/>
      <c r="E23" s="183"/>
      <c r="F23" s="183"/>
      <c r="G23" s="184"/>
      <c r="H23" s="24"/>
      <c r="I23" s="24"/>
      <c r="J23" s="33"/>
      <c r="K23" s="24"/>
      <c r="L23" s="24"/>
      <c r="M23" s="26"/>
    </row>
    <row r="24" spans="1:13" s="1" customFormat="1" ht="14.1" customHeight="1">
      <c r="A24" s="38"/>
      <c r="B24" s="36"/>
      <c r="C24" s="36"/>
      <c r="D24" s="114"/>
      <c r="E24" s="115"/>
      <c r="F24" s="115"/>
      <c r="G24" s="116"/>
      <c r="H24" s="36"/>
      <c r="I24" s="36"/>
      <c r="J24" s="35"/>
      <c r="K24" s="36"/>
      <c r="L24" s="36"/>
      <c r="M24" s="37"/>
    </row>
    <row r="25" spans="1:13" s="1" customFormat="1" ht="14.1" customHeight="1">
      <c r="A25" s="38">
        <v>12</v>
      </c>
      <c r="B25" s="164"/>
      <c r="C25" s="165"/>
      <c r="D25" s="42"/>
      <c r="E25" s="43"/>
      <c r="F25" s="43"/>
      <c r="G25" s="44"/>
      <c r="H25" s="50"/>
      <c r="I25" s="50"/>
      <c r="J25" s="35"/>
      <c r="K25" s="36"/>
      <c r="L25" s="36"/>
      <c r="M25" s="37"/>
    </row>
    <row r="26" spans="1:13" s="1" customFormat="1" ht="14.1" customHeight="1" thickBot="1">
      <c r="A26" s="39"/>
      <c r="B26" s="28"/>
      <c r="C26" s="29"/>
      <c r="D26" s="30"/>
      <c r="E26" s="31"/>
      <c r="F26" s="31"/>
      <c r="G26" s="32"/>
      <c r="H26" s="25"/>
      <c r="I26" s="25"/>
      <c r="J26" s="218"/>
      <c r="K26" s="216"/>
      <c r="L26" s="216"/>
      <c r="M26" s="220"/>
    </row>
    <row r="27" spans="1:13" s="1" customFormat="1" ht="14.1" customHeight="1">
      <c r="A27"/>
      <c r="B27"/>
      <c r="C27"/>
      <c r="D27"/>
      <c r="E27"/>
      <c r="F27"/>
      <c r="G27"/>
      <c r="H27"/>
      <c r="I27"/>
      <c r="J27"/>
      <c r="K27"/>
      <c r="L27"/>
      <c r="M27"/>
    </row>
    <row r="28" spans="1:13" s="1" customFormat="1" ht="14.1" customHeight="1">
      <c r="A28"/>
      <c r="B28"/>
      <c r="C28"/>
      <c r="D28"/>
      <c r="E28"/>
      <c r="F28"/>
      <c r="G28"/>
      <c r="H28"/>
      <c r="I28"/>
      <c r="J28"/>
      <c r="K28"/>
      <c r="L28"/>
      <c r="M28"/>
    </row>
    <row r="29" spans="1:13" s="1" customFormat="1" ht="14.1" customHeight="1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13" s="1" customFormat="1" ht="14.1" customHeight="1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13" s="1" customFormat="1" ht="14.1" customHeight="1">
      <c r="A31"/>
      <c r="B31"/>
      <c r="C31"/>
      <c r="D31"/>
      <c r="E31"/>
      <c r="F31"/>
      <c r="G31"/>
      <c r="H31"/>
      <c r="I31"/>
      <c r="J31"/>
      <c r="K31"/>
      <c r="L31"/>
      <c r="M31"/>
    </row>
    <row r="32" spans="1:13" s="1" customFormat="1" ht="14.1" customHeight="1">
      <c r="A32"/>
      <c r="B32"/>
      <c r="C32"/>
      <c r="D32"/>
      <c r="E32"/>
      <c r="F32"/>
      <c r="G32"/>
      <c r="H32"/>
      <c r="I32"/>
      <c r="J32"/>
      <c r="K32"/>
      <c r="L32"/>
      <c r="M32"/>
    </row>
    <row r="33" spans="1:13" s="1" customFormat="1" ht="14.1" customHeight="1">
      <c r="A33"/>
      <c r="B33"/>
      <c r="C33"/>
      <c r="D33"/>
      <c r="E33"/>
      <c r="F33"/>
      <c r="G33"/>
      <c r="H33"/>
      <c r="I33"/>
      <c r="J33"/>
      <c r="K33"/>
      <c r="L33"/>
      <c r="M33"/>
    </row>
    <row r="34" spans="1:13" s="1" customFormat="1" ht="14.1" customHeight="1">
      <c r="A34"/>
      <c r="B34"/>
      <c r="C34"/>
      <c r="D34"/>
      <c r="E34"/>
      <c r="F34"/>
      <c r="G34"/>
      <c r="H34"/>
      <c r="I34"/>
      <c r="J34"/>
      <c r="K34"/>
      <c r="L34"/>
      <c r="M34"/>
    </row>
    <row r="35" spans="1:13" s="1" customFormat="1" ht="14.1" customHeight="1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 s="1" customFormat="1" ht="14.1" customHeight="1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 s="1" customFormat="1" ht="14.1" customHeight="1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 s="1" customFormat="1" ht="14.1" customHeight="1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135">
    <mergeCell ref="L7:L8"/>
    <mergeCell ref="M7:M8"/>
    <mergeCell ref="B8:C8"/>
    <mergeCell ref="D8:G8"/>
    <mergeCell ref="K25:K26"/>
    <mergeCell ref="L25:L26"/>
    <mergeCell ref="M25:M26"/>
    <mergeCell ref="B26:C26"/>
    <mergeCell ref="D26:G26"/>
    <mergeCell ref="J25:J26"/>
    <mergeCell ref="K23:K24"/>
    <mergeCell ref="L23:L24"/>
    <mergeCell ref="M23:M24"/>
    <mergeCell ref="J23:J24"/>
    <mergeCell ref="J21:J22"/>
    <mergeCell ref="K21:K22"/>
    <mergeCell ref="L21:L22"/>
    <mergeCell ref="M21:M22"/>
    <mergeCell ref="J19:J20"/>
    <mergeCell ref="K19:K20"/>
    <mergeCell ref="L19:L20"/>
    <mergeCell ref="M19:M20"/>
    <mergeCell ref="K11:K12"/>
    <mergeCell ref="L11:L12"/>
    <mergeCell ref="B22:C22"/>
    <mergeCell ref="D22:G22"/>
    <mergeCell ref="A21:A22"/>
    <mergeCell ref="B21:C21"/>
    <mergeCell ref="D21:G21"/>
    <mergeCell ref="H21:H22"/>
    <mergeCell ref="I21:I22"/>
    <mergeCell ref="J7:J8"/>
    <mergeCell ref="K7:K8"/>
    <mergeCell ref="B20:C20"/>
    <mergeCell ref="D20:G20"/>
    <mergeCell ref="K17:K18"/>
    <mergeCell ref="J15:J16"/>
    <mergeCell ref="K15:K16"/>
    <mergeCell ref="J9:J10"/>
    <mergeCell ref="K9:K10"/>
    <mergeCell ref="B12:C12"/>
    <mergeCell ref="D12:G12"/>
    <mergeCell ref="A11:A12"/>
    <mergeCell ref="B11:C11"/>
    <mergeCell ref="D11:G11"/>
    <mergeCell ref="H11:H12"/>
    <mergeCell ref="I11:I12"/>
    <mergeCell ref="J11:J12"/>
    <mergeCell ref="A25:A26"/>
    <mergeCell ref="B25:C25"/>
    <mergeCell ref="D25:G25"/>
    <mergeCell ref="H25:H26"/>
    <mergeCell ref="I25:I26"/>
    <mergeCell ref="B24:C24"/>
    <mergeCell ref="D24:G24"/>
    <mergeCell ref="A23:A24"/>
    <mergeCell ref="B23:C23"/>
    <mergeCell ref="D23:G23"/>
    <mergeCell ref="H23:H24"/>
    <mergeCell ref="I23:I2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M11:M12"/>
    <mergeCell ref="L9:L10"/>
    <mergeCell ref="M9:M10"/>
    <mergeCell ref="B10:C10"/>
    <mergeCell ref="D10:G10"/>
    <mergeCell ref="L17:L18"/>
    <mergeCell ref="M17:M18"/>
    <mergeCell ref="B18:C18"/>
    <mergeCell ref="D18:G18"/>
    <mergeCell ref="J17:J18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D6:G6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A7:A8"/>
    <mergeCell ref="B7:C7"/>
    <mergeCell ref="D7:G7"/>
    <mergeCell ref="H7:H8"/>
    <mergeCell ref="I7:I8"/>
    <mergeCell ref="A9:A10"/>
    <mergeCell ref="B9:C9"/>
    <mergeCell ref="D9:G9"/>
    <mergeCell ref="H9:H10"/>
    <mergeCell ref="I9:I10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D905C-2187-427D-A951-B7C50565785D}">
  <sheetPr>
    <tabColor rgb="FF00B050"/>
    <pageSetUpPr fitToPage="1"/>
  </sheetPr>
  <dimension ref="A1:M49"/>
  <sheetViews>
    <sheetView zoomScale="110" zoomScaleNormal="110" workbookViewId="0">
      <selection activeCell="I25" sqref="I25:I2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550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24">
        <f>SUM(I3)-3.5</f>
        <v>36</v>
      </c>
      <c r="I3" s="24">
        <f>SUM(J3)-3.5</f>
        <v>39.5</v>
      </c>
      <c r="J3" s="75">
        <v>43</v>
      </c>
      <c r="K3" s="76">
        <f>SUM(J3)+3</f>
        <v>46</v>
      </c>
      <c r="L3" s="76">
        <f>SUM(K3)+3</f>
        <v>49</v>
      </c>
      <c r="M3" s="77">
        <f>SUM(L3)+3</f>
        <v>52</v>
      </c>
    </row>
    <row r="4" spans="1:13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24"/>
      <c r="L4" s="24"/>
      <c r="M4" s="26"/>
    </row>
    <row r="5" spans="1:13" s="1" customFormat="1" ht="14.1" customHeight="1">
      <c r="A5" s="38">
        <v>2</v>
      </c>
      <c r="B5" s="58" t="s">
        <v>43</v>
      </c>
      <c r="C5" s="58"/>
      <c r="D5" s="255" t="s">
        <v>44</v>
      </c>
      <c r="E5" s="255"/>
      <c r="F5" s="255"/>
      <c r="G5" s="255"/>
      <c r="H5" s="251">
        <f>SUM(I5)-1.6</f>
        <v>-3.2</v>
      </c>
      <c r="I5" s="251">
        <f>SUM(J5)-1.6</f>
        <v>-1.6</v>
      </c>
      <c r="J5" s="256">
        <v>0</v>
      </c>
      <c r="K5" s="251">
        <f>SUM(J5)+1.4</f>
        <v>1.4</v>
      </c>
      <c r="L5" s="251">
        <f>SUM(K5)+1.4</f>
        <v>2.8</v>
      </c>
      <c r="M5" s="253">
        <f>SUM(L5)+1.4</f>
        <v>4.1999999999999993</v>
      </c>
    </row>
    <row r="6" spans="1:13" s="1" customFormat="1" ht="14.1" customHeight="1">
      <c r="A6" s="38"/>
      <c r="B6" s="56" t="s">
        <v>26</v>
      </c>
      <c r="C6" s="56"/>
      <c r="D6" s="258" t="s">
        <v>48</v>
      </c>
      <c r="E6" s="259"/>
      <c r="F6" s="259"/>
      <c r="G6" s="260"/>
      <c r="H6" s="252"/>
      <c r="I6" s="252"/>
      <c r="J6" s="257"/>
      <c r="K6" s="252"/>
      <c r="L6" s="252"/>
      <c r="M6" s="254"/>
    </row>
    <row r="7" spans="1:13" s="1" customFormat="1" ht="13.5" customHeight="1">
      <c r="A7" s="38">
        <v>3</v>
      </c>
      <c r="B7" s="164" t="s">
        <v>101</v>
      </c>
      <c r="C7" s="165"/>
      <c r="D7" s="100" t="s">
        <v>102</v>
      </c>
      <c r="E7" s="101"/>
      <c r="F7" s="101"/>
      <c r="G7" s="102"/>
      <c r="H7" s="24">
        <f>SUM(I7)-4.5</f>
        <v>45</v>
      </c>
      <c r="I7" s="24">
        <f>SUM(J7)-4.5</f>
        <v>49.5</v>
      </c>
      <c r="J7" s="23">
        <v>54</v>
      </c>
      <c r="K7" s="21">
        <f>SUM(J7)+4.5</f>
        <v>58.5</v>
      </c>
      <c r="L7" s="21">
        <f>SUM(K7)+4.5</f>
        <v>63</v>
      </c>
      <c r="M7" s="22">
        <f>SUM(L7)+4.5</f>
        <v>67.5</v>
      </c>
    </row>
    <row r="8" spans="1:13" s="1" customFormat="1" ht="14.1" customHeight="1">
      <c r="A8" s="38"/>
      <c r="B8" s="45" t="s">
        <v>99</v>
      </c>
      <c r="C8" s="46"/>
      <c r="D8" s="47" t="s">
        <v>100</v>
      </c>
      <c r="E8" s="48"/>
      <c r="F8" s="48"/>
      <c r="G8" s="49"/>
      <c r="H8" s="36"/>
      <c r="I8" s="36"/>
      <c r="J8" s="23"/>
      <c r="K8" s="21"/>
      <c r="L8" s="21"/>
      <c r="M8" s="22"/>
    </row>
    <row r="9" spans="1:13" s="1" customFormat="1" ht="14.1" customHeight="1">
      <c r="A9" s="38">
        <v>4</v>
      </c>
      <c r="B9" s="58" t="s">
        <v>41</v>
      </c>
      <c r="C9" s="58"/>
      <c r="D9" s="57" t="s">
        <v>84</v>
      </c>
      <c r="E9" s="57"/>
      <c r="F9" s="57"/>
      <c r="G9" s="57"/>
      <c r="H9" s="24">
        <f>SUM(I9)-2.25</f>
        <v>35.5</v>
      </c>
      <c r="I9" s="24">
        <f>SUM(J9)-2.25</f>
        <v>37.75</v>
      </c>
      <c r="J9" s="33">
        <v>40</v>
      </c>
      <c r="K9" s="24">
        <f>SUM(J9)+2</f>
        <v>42</v>
      </c>
      <c r="L9" s="24">
        <f>SUM(K9)+2</f>
        <v>44</v>
      </c>
      <c r="M9" s="26">
        <f>SUM(L9)+2</f>
        <v>46</v>
      </c>
    </row>
    <row r="10" spans="1:13" s="1" customFormat="1" ht="14.1" customHeight="1">
      <c r="A10" s="38"/>
      <c r="B10" s="56" t="s">
        <v>46</v>
      </c>
      <c r="C10" s="56"/>
      <c r="D10" s="47" t="s">
        <v>49</v>
      </c>
      <c r="E10" s="48"/>
      <c r="F10" s="48"/>
      <c r="G10" s="49"/>
      <c r="H10" s="36"/>
      <c r="I10" s="36"/>
      <c r="J10" s="35"/>
      <c r="K10" s="36"/>
      <c r="L10" s="36"/>
      <c r="M10" s="37"/>
    </row>
    <row r="11" spans="1:13" s="1" customFormat="1" ht="14.1" customHeight="1">
      <c r="A11" s="38">
        <v>5</v>
      </c>
      <c r="B11" s="58" t="s">
        <v>47</v>
      </c>
      <c r="C11" s="58"/>
      <c r="D11" s="57" t="s">
        <v>8</v>
      </c>
      <c r="E11" s="57"/>
      <c r="F11" s="57"/>
      <c r="G11" s="57"/>
      <c r="H11" s="24">
        <f>SUM(I11)-1.8</f>
        <v>27.4</v>
      </c>
      <c r="I11" s="24">
        <f>SUM(J11)-1.8</f>
        <v>29.2</v>
      </c>
      <c r="J11" s="33">
        <v>31</v>
      </c>
      <c r="K11" s="24">
        <f>SUM(J11)+1.6</f>
        <v>32.6</v>
      </c>
      <c r="L11" s="24">
        <f>SUM(K11)+1.6</f>
        <v>34.200000000000003</v>
      </c>
      <c r="M11" s="26">
        <f>SUM(L11)+1.6</f>
        <v>35.800000000000004</v>
      </c>
    </row>
    <row r="12" spans="1:13" s="1" customFormat="1" ht="14.1" customHeight="1">
      <c r="A12" s="38"/>
      <c r="B12" s="56" t="s">
        <v>27</v>
      </c>
      <c r="C12" s="56"/>
      <c r="D12" s="47" t="s">
        <v>50</v>
      </c>
      <c r="E12" s="48"/>
      <c r="F12" s="48"/>
      <c r="G12" s="49"/>
      <c r="H12" s="36"/>
      <c r="I12" s="36"/>
      <c r="J12" s="35"/>
      <c r="K12" s="36"/>
      <c r="L12" s="36"/>
      <c r="M12" s="37"/>
    </row>
    <row r="13" spans="1:13" s="1" customFormat="1" ht="14.1" customHeight="1">
      <c r="A13" s="38">
        <v>6</v>
      </c>
      <c r="B13" s="51" t="s">
        <v>10</v>
      </c>
      <c r="C13" s="52"/>
      <c r="D13" s="59" t="s">
        <v>0</v>
      </c>
      <c r="E13" s="60"/>
      <c r="F13" s="60"/>
      <c r="G13" s="61"/>
      <c r="H13" s="24"/>
      <c r="I13" s="24"/>
      <c r="J13" s="23"/>
      <c r="K13" s="21"/>
      <c r="L13" s="21"/>
      <c r="M13" s="22"/>
    </row>
    <row r="14" spans="1:13" s="1" customFormat="1" ht="14.1" customHeight="1">
      <c r="A14" s="38"/>
      <c r="B14" s="45" t="s">
        <v>28</v>
      </c>
      <c r="C14" s="46"/>
      <c r="D14" s="47" t="s">
        <v>51</v>
      </c>
      <c r="E14" s="48"/>
      <c r="F14" s="48"/>
      <c r="G14" s="49"/>
      <c r="H14" s="36"/>
      <c r="I14" s="36"/>
      <c r="J14" s="23"/>
      <c r="K14" s="21"/>
      <c r="L14" s="21"/>
      <c r="M14" s="22"/>
    </row>
    <row r="15" spans="1:13" s="1" customFormat="1" ht="14.1" customHeight="1">
      <c r="A15" s="38">
        <v>7</v>
      </c>
      <c r="B15" s="58" t="s">
        <v>1</v>
      </c>
      <c r="C15" s="58"/>
      <c r="D15" s="57" t="s">
        <v>180</v>
      </c>
      <c r="E15" s="57"/>
      <c r="F15" s="57"/>
      <c r="G15" s="57"/>
      <c r="H15" s="24">
        <f>SUM(I15)-0.6</f>
        <v>15.799999999999999</v>
      </c>
      <c r="I15" s="24">
        <f>SUM(J15)-0.6</f>
        <v>16.399999999999999</v>
      </c>
      <c r="J15" s="23">
        <v>17</v>
      </c>
      <c r="K15" s="21">
        <f>SUM(J15)+0.6</f>
        <v>17.600000000000001</v>
      </c>
      <c r="L15" s="21">
        <f>SUM(K15)+0.6</f>
        <v>18.200000000000003</v>
      </c>
      <c r="M15" s="22">
        <f>SUM(L15)+0.6</f>
        <v>18.800000000000004</v>
      </c>
    </row>
    <row r="16" spans="1:13" s="1" customFormat="1" ht="14.1" customHeight="1">
      <c r="A16" s="38"/>
      <c r="B16" s="56" t="s">
        <v>29</v>
      </c>
      <c r="C16" s="56"/>
      <c r="D16" s="47" t="s">
        <v>154</v>
      </c>
      <c r="E16" s="48"/>
      <c r="F16" s="48"/>
      <c r="G16" s="49"/>
      <c r="H16" s="36"/>
      <c r="I16" s="36"/>
      <c r="J16" s="23"/>
      <c r="K16" s="21"/>
      <c r="L16" s="21"/>
      <c r="M16" s="22"/>
    </row>
    <row r="17" spans="1:13" s="1" customFormat="1" ht="14.1" customHeight="1">
      <c r="A17" s="38">
        <v>8</v>
      </c>
      <c r="B17" s="58" t="s">
        <v>2</v>
      </c>
      <c r="C17" s="58"/>
      <c r="D17" s="57" t="s">
        <v>3</v>
      </c>
      <c r="E17" s="57"/>
      <c r="F17" s="57"/>
      <c r="G17" s="57"/>
      <c r="H17" s="24">
        <f>SUM(I17)-0.3</f>
        <v>5.4</v>
      </c>
      <c r="I17" s="24">
        <f>SUM(J17)-0.3</f>
        <v>5.7</v>
      </c>
      <c r="J17" s="23">
        <v>6</v>
      </c>
      <c r="K17" s="21">
        <f>SUM(J17)+0.3</f>
        <v>6.3</v>
      </c>
      <c r="L17" s="21">
        <f>SUM(K17)+0.3</f>
        <v>6.6</v>
      </c>
      <c r="M17" s="22">
        <f>SUM(L17)+0.3</f>
        <v>6.8999999999999995</v>
      </c>
    </row>
    <row r="18" spans="1:13" s="1" customFormat="1" ht="14.1" customHeight="1">
      <c r="A18" s="38"/>
      <c r="B18" s="56" t="s">
        <v>30</v>
      </c>
      <c r="C18" s="56"/>
      <c r="D18" s="47" t="s">
        <v>155</v>
      </c>
      <c r="E18" s="48"/>
      <c r="F18" s="48"/>
      <c r="G18" s="49"/>
      <c r="H18" s="36"/>
      <c r="I18" s="36"/>
      <c r="J18" s="23"/>
      <c r="K18" s="21"/>
      <c r="L18" s="21"/>
      <c r="M18" s="22"/>
    </row>
    <row r="19" spans="1:13" s="1" customFormat="1" ht="14.1" customHeight="1">
      <c r="A19" s="38">
        <v>9</v>
      </c>
      <c r="B19" s="51" t="s">
        <v>85</v>
      </c>
      <c r="C19" s="52"/>
      <c r="D19" s="59" t="s">
        <v>86</v>
      </c>
      <c r="E19" s="60"/>
      <c r="F19" s="60"/>
      <c r="G19" s="61"/>
      <c r="H19" s="24">
        <f>SUM(I19)-1.6</f>
        <v>40.799999999999997</v>
      </c>
      <c r="I19" s="24">
        <f>SUM(J19)-1.6</f>
        <v>42.4</v>
      </c>
      <c r="J19" s="23">
        <v>44</v>
      </c>
      <c r="K19" s="21">
        <f>SUM(J19)+1.6</f>
        <v>45.6</v>
      </c>
      <c r="L19" s="21">
        <f>SUM(K19)+1.6</f>
        <v>47.2</v>
      </c>
      <c r="M19" s="22">
        <f>SUM(L19)+1.6</f>
        <v>48.800000000000004</v>
      </c>
    </row>
    <row r="20" spans="1:13" s="1" customFormat="1" ht="14.1" customHeight="1">
      <c r="A20" s="38"/>
      <c r="B20" s="56" t="s">
        <v>37</v>
      </c>
      <c r="C20" s="56"/>
      <c r="D20" s="47" t="s">
        <v>156</v>
      </c>
      <c r="E20" s="48"/>
      <c r="F20" s="48"/>
      <c r="G20" s="49"/>
      <c r="H20" s="36"/>
      <c r="I20" s="36"/>
      <c r="J20" s="23"/>
      <c r="K20" s="21"/>
      <c r="L20" s="21"/>
      <c r="M20" s="22"/>
    </row>
    <row r="21" spans="1:13" s="1" customFormat="1" ht="14.1" customHeight="1">
      <c r="A21" s="38">
        <v>10</v>
      </c>
      <c r="B21" s="58" t="s">
        <v>4</v>
      </c>
      <c r="C21" s="58"/>
      <c r="D21" s="57" t="s">
        <v>5</v>
      </c>
      <c r="E21" s="57"/>
      <c r="F21" s="57"/>
      <c r="G21" s="57"/>
      <c r="H21" s="24"/>
      <c r="I21" s="24"/>
      <c r="J21" s="23"/>
      <c r="K21" s="21"/>
      <c r="L21" s="21"/>
      <c r="M21" s="22"/>
    </row>
    <row r="22" spans="1:13" s="1" customFormat="1" ht="14.1" customHeight="1">
      <c r="A22" s="38"/>
      <c r="B22" s="56" t="s">
        <v>31</v>
      </c>
      <c r="C22" s="56"/>
      <c r="D22" s="47" t="s">
        <v>54</v>
      </c>
      <c r="E22" s="48"/>
      <c r="F22" s="48"/>
      <c r="G22" s="49"/>
      <c r="H22" s="36"/>
      <c r="I22" s="36"/>
      <c r="J22" s="23"/>
      <c r="K22" s="21"/>
      <c r="L22" s="21"/>
      <c r="M22" s="22"/>
    </row>
    <row r="23" spans="1:13" s="1" customFormat="1" ht="14.1" customHeight="1">
      <c r="A23" s="38">
        <v>11</v>
      </c>
      <c r="B23" s="51" t="s">
        <v>6</v>
      </c>
      <c r="C23" s="52"/>
      <c r="D23" s="59" t="s">
        <v>7</v>
      </c>
      <c r="E23" s="60"/>
      <c r="F23" s="60"/>
      <c r="G23" s="61"/>
      <c r="H23" s="24">
        <f>SUM(I23)-1.7</f>
        <v>29.200000000000003</v>
      </c>
      <c r="I23" s="24">
        <f>SUM(J23)-1.7</f>
        <v>30.900000000000002</v>
      </c>
      <c r="J23" s="33">
        <v>32.6</v>
      </c>
      <c r="K23" s="24">
        <f>SUM(J23)+1.7</f>
        <v>34.300000000000004</v>
      </c>
      <c r="L23" s="24">
        <f>SUM(K23)+1.7</f>
        <v>36.000000000000007</v>
      </c>
      <c r="M23" s="26">
        <f>SUM(L23)+1.7</f>
        <v>37.70000000000001</v>
      </c>
    </row>
    <row r="24" spans="1:13" s="1" customFormat="1" ht="14.1" customHeight="1">
      <c r="A24" s="38"/>
      <c r="B24" s="45" t="s">
        <v>32</v>
      </c>
      <c r="C24" s="46"/>
      <c r="D24" s="47" t="s">
        <v>76</v>
      </c>
      <c r="E24" s="48"/>
      <c r="F24" s="48"/>
      <c r="G24" s="49"/>
      <c r="H24" s="36"/>
      <c r="I24" s="36"/>
      <c r="J24" s="35"/>
      <c r="K24" s="36"/>
      <c r="L24" s="36"/>
      <c r="M24" s="37"/>
    </row>
    <row r="25" spans="1:13" s="1" customFormat="1" ht="14.1" customHeight="1">
      <c r="A25" s="38">
        <v>12</v>
      </c>
      <c r="B25" s="51" t="s">
        <v>77</v>
      </c>
      <c r="C25" s="52"/>
      <c r="D25" s="57" t="s">
        <v>78</v>
      </c>
      <c r="E25" s="57"/>
      <c r="F25" s="57"/>
      <c r="G25" s="57"/>
      <c r="H25" s="24">
        <f>SUM(I25)-0.6</f>
        <v>14</v>
      </c>
      <c r="I25" s="24">
        <f>SUM(J25)-0.6</f>
        <v>14.6</v>
      </c>
      <c r="J25" s="23">
        <v>15.2</v>
      </c>
      <c r="K25" s="21">
        <f>SUM(J25)+0.6</f>
        <v>15.799999999999999</v>
      </c>
      <c r="L25" s="21">
        <f>SUM(K25)+0.6</f>
        <v>16.399999999999999</v>
      </c>
      <c r="M25" s="22">
        <f>SUM(L25)+0.6</f>
        <v>17</v>
      </c>
    </row>
    <row r="26" spans="1:13" s="1" customFormat="1" ht="14.1" customHeight="1">
      <c r="A26" s="38"/>
      <c r="B26" s="56" t="s">
        <v>33</v>
      </c>
      <c r="C26" s="56"/>
      <c r="D26" s="47" t="s">
        <v>79</v>
      </c>
      <c r="E26" s="48"/>
      <c r="F26" s="48"/>
      <c r="G26" s="49"/>
      <c r="H26" s="36"/>
      <c r="I26" s="36"/>
      <c r="J26" s="23"/>
      <c r="K26" s="21"/>
      <c r="L26" s="21"/>
      <c r="M26" s="22"/>
    </row>
    <row r="27" spans="1:13" s="1" customFormat="1" ht="14.1" customHeight="1">
      <c r="A27" s="38">
        <v>13</v>
      </c>
      <c r="B27" s="51" t="s">
        <v>176</v>
      </c>
      <c r="C27" s="52"/>
      <c r="D27" s="53" t="s">
        <v>103</v>
      </c>
      <c r="E27" s="54"/>
      <c r="F27" s="54"/>
      <c r="G27" s="55"/>
      <c r="H27" s="24">
        <f>SUM(I27)-0.2</f>
        <v>2.5999999999999996</v>
      </c>
      <c r="I27" s="24">
        <f>SUM(J27)-0.2</f>
        <v>2.8</v>
      </c>
      <c r="J27" s="23">
        <v>3</v>
      </c>
      <c r="K27" s="21">
        <f>SUM(J27)+0.2</f>
        <v>3.2</v>
      </c>
      <c r="L27" s="21">
        <f>SUM(K27)+0.2</f>
        <v>3.4000000000000004</v>
      </c>
      <c r="M27" s="22">
        <f>SUM(L27)+0.2</f>
        <v>3.6000000000000005</v>
      </c>
    </row>
    <row r="28" spans="1:13" s="1" customFormat="1" ht="14.1" customHeight="1" thickBot="1">
      <c r="A28" s="39"/>
      <c r="B28" s="28" t="s">
        <v>175</v>
      </c>
      <c r="C28" s="29"/>
      <c r="D28" s="30" t="s">
        <v>104</v>
      </c>
      <c r="E28" s="31"/>
      <c r="F28" s="31"/>
      <c r="G28" s="32"/>
      <c r="H28" s="25"/>
      <c r="I28" s="25"/>
      <c r="J28" s="218"/>
      <c r="K28" s="216"/>
      <c r="L28" s="216"/>
      <c r="M28" s="220"/>
    </row>
    <row r="29" spans="1:13" ht="14.1" customHeight="1"/>
    <row r="30" spans="1:13" ht="14.1" customHeight="1"/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</sheetData>
  <mergeCells count="146"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A9003-E839-43AC-B2D8-26E2475BE5A2}">
  <sheetPr>
    <tabColor rgb="FF00B050"/>
    <pageSetUpPr fitToPage="1"/>
  </sheetPr>
  <dimension ref="A1:N51"/>
  <sheetViews>
    <sheetView zoomScale="110" zoomScaleNormal="110" workbookViewId="0">
      <selection activeCell="P16" sqref="P1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28" t="s">
        <v>586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30"/>
    </row>
    <row r="2" spans="1:14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  <c r="N2" s="9" t="s">
        <v>229</v>
      </c>
    </row>
    <row r="3" spans="1:14" s="1" customFormat="1" ht="14.1" customHeight="1">
      <c r="A3" s="71">
        <v>1</v>
      </c>
      <c r="B3" s="40" t="s">
        <v>136</v>
      </c>
      <c r="C3" s="41"/>
      <c r="D3" s="100" t="s">
        <v>135</v>
      </c>
      <c r="E3" s="101"/>
      <c r="F3" s="101"/>
      <c r="G3" s="102"/>
      <c r="H3" s="24">
        <f>SUM(I3)-3.4</f>
        <v>34.200000000000003</v>
      </c>
      <c r="I3" s="24">
        <f>SUM(J3)-3.4</f>
        <v>37.6</v>
      </c>
      <c r="J3" s="75">
        <v>41</v>
      </c>
      <c r="K3" s="76">
        <f>SUM(J3)+2.9</f>
        <v>43.9</v>
      </c>
      <c r="L3" s="76">
        <f>SUM(K3)+2.9</f>
        <v>46.8</v>
      </c>
      <c r="M3" s="76">
        <f>SUM(L3)+2.9</f>
        <v>49.699999999999996</v>
      </c>
      <c r="N3" s="214">
        <f>SUM(M3)+2.9</f>
        <v>52.599999999999994</v>
      </c>
    </row>
    <row r="4" spans="1:14" s="1" customFormat="1" ht="14.1" customHeight="1">
      <c r="A4" s="38"/>
      <c r="B4" s="56" t="s">
        <v>36</v>
      </c>
      <c r="C4" s="56"/>
      <c r="D4" s="47" t="s">
        <v>134</v>
      </c>
      <c r="E4" s="48"/>
      <c r="F4" s="48"/>
      <c r="G4" s="48"/>
      <c r="H4" s="36"/>
      <c r="I4" s="36"/>
      <c r="J4" s="33"/>
      <c r="K4" s="24"/>
      <c r="L4" s="24"/>
      <c r="M4" s="24"/>
      <c r="N4" s="88"/>
    </row>
    <row r="5" spans="1:14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SUM(I5)-2</f>
        <v>32</v>
      </c>
      <c r="I5" s="24">
        <f>SUM(J5)-2</f>
        <v>34</v>
      </c>
      <c r="J5" s="33">
        <v>36</v>
      </c>
      <c r="K5" s="24">
        <f>SUM(J5)+1.8</f>
        <v>37.799999999999997</v>
      </c>
      <c r="L5" s="24">
        <f>SUM(K5)+1.8</f>
        <v>39.599999999999994</v>
      </c>
      <c r="M5" s="239">
        <f>SUM(L5)+1.8</f>
        <v>41.399999999999991</v>
      </c>
      <c r="N5" s="261">
        <f>SUM(M5)+1.8</f>
        <v>43.199999999999989</v>
      </c>
    </row>
    <row r="6" spans="1:14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240"/>
      <c r="N6" s="262"/>
    </row>
    <row r="7" spans="1:14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33.5</v>
      </c>
      <c r="I7" s="24">
        <f>SUM(J7)-2.25</f>
        <v>35.75</v>
      </c>
      <c r="J7" s="33">
        <v>38</v>
      </c>
      <c r="K7" s="24">
        <f>SUM(J7)+2</f>
        <v>40</v>
      </c>
      <c r="L7" s="24">
        <f>SUM(K7)+2</f>
        <v>42</v>
      </c>
      <c r="M7" s="239">
        <f>SUM(L7)+2</f>
        <v>44</v>
      </c>
      <c r="N7" s="261">
        <f>SUM(M7)+2</f>
        <v>46</v>
      </c>
    </row>
    <row r="8" spans="1:14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240"/>
      <c r="N8" s="262"/>
    </row>
    <row r="9" spans="1:14" s="1" customFormat="1" ht="14.1" customHeight="1">
      <c r="A9" s="38">
        <v>4</v>
      </c>
      <c r="B9" s="58" t="s">
        <v>295</v>
      </c>
      <c r="C9" s="58"/>
      <c r="D9" s="57"/>
      <c r="E9" s="57"/>
      <c r="F9" s="57"/>
      <c r="G9" s="57"/>
      <c r="H9" s="24">
        <f>SUM(I9)-3</f>
        <v>54</v>
      </c>
      <c r="I9" s="24">
        <f>SUM(J9)-3</f>
        <v>57</v>
      </c>
      <c r="J9" s="33">
        <v>60</v>
      </c>
      <c r="K9" s="24">
        <f>SUM(J9)+3</f>
        <v>63</v>
      </c>
      <c r="L9" s="24">
        <f>SUM(K9)+3</f>
        <v>66</v>
      </c>
      <c r="M9" s="239">
        <f>SUM(L9)+3</f>
        <v>69</v>
      </c>
      <c r="N9" s="261">
        <f>SUM(M9)+3</f>
        <v>72</v>
      </c>
    </row>
    <row r="10" spans="1:14" s="1" customFormat="1" ht="14.1" customHeight="1">
      <c r="A10" s="38"/>
      <c r="B10" s="56" t="s">
        <v>579</v>
      </c>
      <c r="C10" s="56"/>
      <c r="D10" s="47"/>
      <c r="E10" s="48"/>
      <c r="F10" s="48"/>
      <c r="G10" s="49"/>
      <c r="H10" s="36"/>
      <c r="I10" s="36"/>
      <c r="J10" s="35"/>
      <c r="K10" s="36"/>
      <c r="L10" s="36"/>
      <c r="M10" s="240"/>
      <c r="N10" s="262"/>
    </row>
    <row r="11" spans="1:14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SUM(I11)-0.8</f>
        <v>14.5</v>
      </c>
      <c r="I11" s="24">
        <f>SUM(J11)-0.8</f>
        <v>15.3</v>
      </c>
      <c r="J11" s="23">
        <v>16.100000000000001</v>
      </c>
      <c r="K11" s="21">
        <f>SUM(J11)+0.8</f>
        <v>16.900000000000002</v>
      </c>
      <c r="L11" s="21">
        <f>SUM(K11)+0.8</f>
        <v>17.700000000000003</v>
      </c>
      <c r="M11" s="21">
        <f>SUM(L11)+0.8</f>
        <v>18.500000000000004</v>
      </c>
      <c r="N11" s="140">
        <f>SUM(M11)+0.8</f>
        <v>19.300000000000004</v>
      </c>
    </row>
    <row r="12" spans="1:14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1"/>
      <c r="N12" s="140"/>
    </row>
    <row r="13" spans="1:14" s="1" customFormat="1" ht="14.1" customHeight="1">
      <c r="A13" s="38">
        <v>6</v>
      </c>
      <c r="B13" s="58" t="s">
        <v>1</v>
      </c>
      <c r="C13" s="58"/>
      <c r="D13" s="57" t="s">
        <v>577</v>
      </c>
      <c r="E13" s="57"/>
      <c r="F13" s="57"/>
      <c r="G13" s="57"/>
      <c r="H13" s="24">
        <f>SUM(I13)-0.6</f>
        <v>12.3</v>
      </c>
      <c r="I13" s="24">
        <f>SUM(J13)-0.6</f>
        <v>12.9</v>
      </c>
      <c r="J13" s="23">
        <v>13.5</v>
      </c>
      <c r="K13" s="21">
        <f>SUM(J13)+0.6</f>
        <v>14.1</v>
      </c>
      <c r="L13" s="21">
        <f>SUM(K13)+0.6</f>
        <v>14.7</v>
      </c>
      <c r="M13" s="21">
        <f>SUM(L13)+0.6</f>
        <v>15.299999999999999</v>
      </c>
      <c r="N13" s="140">
        <f>SUM(M13)+0.6</f>
        <v>15.899999999999999</v>
      </c>
    </row>
    <row r="14" spans="1:14" s="1" customFormat="1" ht="14.1" customHeight="1">
      <c r="A14" s="38"/>
      <c r="B14" s="56" t="s">
        <v>29</v>
      </c>
      <c r="C14" s="56"/>
      <c r="D14" s="47" t="s">
        <v>52</v>
      </c>
      <c r="E14" s="48"/>
      <c r="F14" s="48"/>
      <c r="G14" s="49"/>
      <c r="H14" s="36"/>
      <c r="I14" s="36"/>
      <c r="J14" s="23"/>
      <c r="K14" s="21"/>
      <c r="L14" s="21"/>
      <c r="M14" s="21"/>
      <c r="N14" s="140"/>
    </row>
    <row r="15" spans="1:14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6.5</v>
      </c>
      <c r="I15" s="24">
        <f>SUM(J15)-0.3</f>
        <v>6.8</v>
      </c>
      <c r="J15" s="23">
        <v>7.1</v>
      </c>
      <c r="K15" s="21">
        <f>SUM(J15)+0.3</f>
        <v>7.3999999999999995</v>
      </c>
      <c r="L15" s="21">
        <f>SUM(K15)+0.3</f>
        <v>7.6999999999999993</v>
      </c>
      <c r="M15" s="21">
        <f>SUM(L15)+0.3</f>
        <v>7.9999999999999991</v>
      </c>
      <c r="N15" s="140">
        <f>SUM(M15)+0.3</f>
        <v>8.2999999999999989</v>
      </c>
    </row>
    <row r="16" spans="1:14" s="1" customFormat="1" ht="14.1" customHeight="1">
      <c r="A16" s="38"/>
      <c r="B16" s="56" t="s">
        <v>30</v>
      </c>
      <c r="C16" s="56"/>
      <c r="D16" s="47" t="s">
        <v>53</v>
      </c>
      <c r="E16" s="48"/>
      <c r="F16" s="48"/>
      <c r="G16" s="49"/>
      <c r="H16" s="36"/>
      <c r="I16" s="36"/>
      <c r="J16" s="23"/>
      <c r="K16" s="21"/>
      <c r="L16" s="21"/>
      <c r="M16" s="21"/>
      <c r="N16" s="140"/>
    </row>
    <row r="17" spans="1:14" s="1" customFormat="1" ht="14.1" customHeight="1">
      <c r="A17" s="38">
        <v>8</v>
      </c>
      <c r="B17" s="51" t="s">
        <v>85</v>
      </c>
      <c r="C17" s="52"/>
      <c r="D17" s="59"/>
      <c r="E17" s="60"/>
      <c r="F17" s="60"/>
      <c r="G17" s="61"/>
      <c r="H17" s="24">
        <f>SUM(I17)-1.5</f>
        <v>31.5</v>
      </c>
      <c r="I17" s="24">
        <f>SUM(J17)-1.5</f>
        <v>33</v>
      </c>
      <c r="J17" s="23">
        <v>34.5</v>
      </c>
      <c r="K17" s="21">
        <f>SUM(J17)+1.5</f>
        <v>36</v>
      </c>
      <c r="L17" s="21">
        <f>SUM(K17)+1.5</f>
        <v>37.5</v>
      </c>
      <c r="M17" s="21">
        <f>SUM(L17)+1.5</f>
        <v>39</v>
      </c>
      <c r="N17" s="215">
        <f>SUM(M17)+1.5</f>
        <v>40.5</v>
      </c>
    </row>
    <row r="18" spans="1:14" s="1" customFormat="1" ht="14.1" customHeight="1">
      <c r="A18" s="38"/>
      <c r="B18" s="56" t="s">
        <v>37</v>
      </c>
      <c r="C18" s="56"/>
      <c r="D18" s="89" t="s">
        <v>578</v>
      </c>
      <c r="E18" s="90"/>
      <c r="F18" s="90"/>
      <c r="G18" s="91"/>
      <c r="H18" s="36"/>
      <c r="I18" s="36"/>
      <c r="J18" s="23"/>
      <c r="K18" s="21"/>
      <c r="L18" s="21"/>
      <c r="M18" s="21"/>
      <c r="N18" s="215"/>
    </row>
    <row r="19" spans="1:14" s="1" customFormat="1" ht="14.1" customHeight="1">
      <c r="A19" s="38">
        <v>9</v>
      </c>
      <c r="B19" s="51" t="s">
        <v>87</v>
      </c>
      <c r="C19" s="52"/>
      <c r="D19" s="101" t="s">
        <v>88</v>
      </c>
      <c r="E19" s="101"/>
      <c r="F19" s="101"/>
      <c r="G19" s="101"/>
      <c r="H19" s="24">
        <f>SUM(I19)-0.1</f>
        <v>1.7999999999999998</v>
      </c>
      <c r="I19" s="24">
        <f>SUM(J19)-0.1</f>
        <v>1.9</v>
      </c>
      <c r="J19" s="23">
        <v>2</v>
      </c>
      <c r="K19" s="21">
        <f>SUM(J19)+0.1</f>
        <v>2.1</v>
      </c>
      <c r="L19" s="21">
        <f>SUM(K19)+0.1</f>
        <v>2.2000000000000002</v>
      </c>
      <c r="M19" s="21">
        <f>SUM(L19)+0.1</f>
        <v>2.3000000000000003</v>
      </c>
      <c r="N19" s="140">
        <f>SUM(M19)+0.1</f>
        <v>2.4000000000000004</v>
      </c>
    </row>
    <row r="20" spans="1:14" s="1" customFormat="1" ht="14.1" customHeight="1">
      <c r="A20" s="38"/>
      <c r="B20" s="56" t="s">
        <v>38</v>
      </c>
      <c r="C20" s="56"/>
      <c r="D20" s="47" t="s">
        <v>65</v>
      </c>
      <c r="E20" s="48"/>
      <c r="F20" s="48"/>
      <c r="G20" s="49"/>
      <c r="H20" s="36"/>
      <c r="I20" s="36"/>
      <c r="J20" s="23"/>
      <c r="K20" s="21"/>
      <c r="L20" s="21"/>
      <c r="M20" s="21"/>
      <c r="N20" s="140"/>
    </row>
    <row r="21" spans="1:14" s="1" customFormat="1" ht="13.5" customHeight="1">
      <c r="A21" s="38">
        <v>10</v>
      </c>
      <c r="B21" s="51" t="s">
        <v>89</v>
      </c>
      <c r="C21" s="52"/>
      <c r="D21" s="101" t="s">
        <v>11</v>
      </c>
      <c r="E21" s="101"/>
      <c r="F21" s="101"/>
      <c r="G21" s="101"/>
      <c r="H21" s="24">
        <f>SUM(I21)-0.2</f>
        <v>4.0999999999999996</v>
      </c>
      <c r="I21" s="24">
        <f>SUM(J21)-0.2</f>
        <v>4.3</v>
      </c>
      <c r="J21" s="23">
        <v>4.5</v>
      </c>
      <c r="K21" s="21">
        <f>SUM(J21)+0.2</f>
        <v>4.7</v>
      </c>
      <c r="L21" s="21">
        <f>SUM(K21)+0.2</f>
        <v>4.9000000000000004</v>
      </c>
      <c r="M21" s="21">
        <f>SUM(L21)+0.2</f>
        <v>5.1000000000000005</v>
      </c>
      <c r="N21" s="140">
        <f>SUM(M21)+0.2</f>
        <v>5.3000000000000007</v>
      </c>
    </row>
    <row r="22" spans="1:14" s="1" customFormat="1" ht="14.1" customHeight="1">
      <c r="A22" s="38"/>
      <c r="B22" s="56" t="s">
        <v>39</v>
      </c>
      <c r="C22" s="56"/>
      <c r="D22" s="47" t="s">
        <v>66</v>
      </c>
      <c r="E22" s="48"/>
      <c r="F22" s="48"/>
      <c r="G22" s="49"/>
      <c r="H22" s="36"/>
      <c r="I22" s="36"/>
      <c r="J22" s="23"/>
      <c r="K22" s="21"/>
      <c r="L22" s="21"/>
      <c r="M22" s="21"/>
      <c r="N22" s="140"/>
    </row>
    <row r="23" spans="1:14" s="1" customFormat="1" ht="14.1" customHeight="1">
      <c r="A23" s="38">
        <v>11</v>
      </c>
      <c r="B23" s="51" t="s">
        <v>90</v>
      </c>
      <c r="C23" s="52"/>
      <c r="D23" s="59" t="s">
        <v>12</v>
      </c>
      <c r="E23" s="60"/>
      <c r="F23" s="60"/>
      <c r="G23" s="61"/>
      <c r="H23" s="24">
        <f>SUM(I23)-0.2</f>
        <v>5.0999999999999996</v>
      </c>
      <c r="I23" s="24">
        <f>SUM(J23)-0.2</f>
        <v>5.3</v>
      </c>
      <c r="J23" s="33">
        <v>5.5</v>
      </c>
      <c r="K23" s="24">
        <f>SUM(J23)+0.2</f>
        <v>5.7</v>
      </c>
      <c r="L23" s="24">
        <f>SUM(K23)+0.2</f>
        <v>5.9</v>
      </c>
      <c r="M23" s="24">
        <f>SUM(L23)+0.2</f>
        <v>6.1000000000000005</v>
      </c>
      <c r="N23" s="139">
        <f>SUM(M23)+0.2</f>
        <v>6.3000000000000007</v>
      </c>
    </row>
    <row r="24" spans="1:14" s="1" customFormat="1" ht="14.1" customHeight="1">
      <c r="A24" s="38"/>
      <c r="B24" s="45" t="s">
        <v>40</v>
      </c>
      <c r="C24" s="46"/>
      <c r="D24" s="47" t="s">
        <v>67</v>
      </c>
      <c r="E24" s="48"/>
      <c r="F24" s="48"/>
      <c r="G24" s="49"/>
      <c r="H24" s="36"/>
      <c r="I24" s="36"/>
      <c r="J24" s="35"/>
      <c r="K24" s="36"/>
      <c r="L24" s="36"/>
      <c r="M24" s="36"/>
      <c r="N24" s="137"/>
    </row>
    <row r="25" spans="1:14" s="1" customFormat="1" ht="14.1" customHeight="1">
      <c r="A25" s="38">
        <v>12</v>
      </c>
      <c r="B25" s="51" t="s">
        <v>4</v>
      </c>
      <c r="C25" s="52"/>
      <c r="D25" s="57" t="s">
        <v>5</v>
      </c>
      <c r="E25" s="57"/>
      <c r="F25" s="57"/>
      <c r="G25" s="57"/>
      <c r="H25" s="24">
        <f>SUM(I25)-3.5</f>
        <v>29</v>
      </c>
      <c r="I25" s="24">
        <f>SUM(J25)-3.5</f>
        <v>32.5</v>
      </c>
      <c r="J25" s="23">
        <v>36</v>
      </c>
      <c r="K25" s="21">
        <f>SUM(J25)+3.6</f>
        <v>39.6</v>
      </c>
      <c r="L25" s="21">
        <f>SUM(K25)+3.6</f>
        <v>43.2</v>
      </c>
      <c r="M25" s="21">
        <f>SUM(L25)+3.6</f>
        <v>46.800000000000004</v>
      </c>
      <c r="N25" s="140">
        <f>SUM(M25)+3.6</f>
        <v>50.400000000000006</v>
      </c>
    </row>
    <row r="26" spans="1:14" s="1" customFormat="1" ht="14.1" customHeight="1">
      <c r="A26" s="38"/>
      <c r="B26" s="56" t="s">
        <v>31</v>
      </c>
      <c r="C26" s="56"/>
      <c r="D26" s="47" t="s">
        <v>54</v>
      </c>
      <c r="E26" s="48"/>
      <c r="F26" s="48"/>
      <c r="G26" s="49"/>
      <c r="H26" s="36"/>
      <c r="I26" s="36"/>
      <c r="J26" s="23"/>
      <c r="K26" s="21"/>
      <c r="L26" s="21"/>
      <c r="M26" s="21"/>
      <c r="N26" s="140"/>
    </row>
    <row r="27" spans="1:14" s="1" customFormat="1" ht="14.1" customHeight="1">
      <c r="A27" s="38">
        <v>13</v>
      </c>
      <c r="B27" s="51" t="s">
        <v>6</v>
      </c>
      <c r="C27" s="52"/>
      <c r="D27" s="59" t="s">
        <v>7</v>
      </c>
      <c r="E27" s="60"/>
      <c r="F27" s="60"/>
      <c r="G27" s="61"/>
      <c r="H27" s="24">
        <f>SUM(I27)-1.6</f>
        <v>28.799999999999997</v>
      </c>
      <c r="I27" s="24">
        <f>SUM(J27)-1.6</f>
        <v>30.4</v>
      </c>
      <c r="J27" s="23">
        <v>32</v>
      </c>
      <c r="K27" s="21">
        <f>SUM(J27)+1.6</f>
        <v>33.6</v>
      </c>
      <c r="L27" s="21">
        <f>SUM(K27)+1.6</f>
        <v>35.200000000000003</v>
      </c>
      <c r="M27" s="21">
        <f>SUM(L27)+1.6</f>
        <v>36.800000000000004</v>
      </c>
      <c r="N27" s="140">
        <f>SUM(M27)+1.6</f>
        <v>38.400000000000006</v>
      </c>
    </row>
    <row r="28" spans="1:14" s="1" customFormat="1" ht="14.1" customHeight="1">
      <c r="A28" s="38"/>
      <c r="B28" s="56" t="s">
        <v>32</v>
      </c>
      <c r="C28" s="56"/>
      <c r="D28" s="47" t="s">
        <v>76</v>
      </c>
      <c r="E28" s="48"/>
      <c r="F28" s="48"/>
      <c r="G28" s="49"/>
      <c r="H28" s="36"/>
      <c r="I28" s="36"/>
      <c r="J28" s="23"/>
      <c r="K28" s="21"/>
      <c r="L28" s="21"/>
      <c r="M28" s="21"/>
      <c r="N28" s="140"/>
    </row>
    <row r="29" spans="1:14" s="1" customFormat="1" ht="14.1" customHeight="1">
      <c r="A29" s="38">
        <v>14</v>
      </c>
      <c r="B29" s="51" t="s">
        <v>580</v>
      </c>
      <c r="C29" s="52"/>
      <c r="D29" s="57"/>
      <c r="E29" s="57"/>
      <c r="F29" s="57"/>
      <c r="G29" s="57"/>
      <c r="H29" s="24">
        <f>SUM(I29)-0.6</f>
        <v>16.799999999999997</v>
      </c>
      <c r="I29" s="24">
        <f>SUM(J29)-0.6</f>
        <v>17.399999999999999</v>
      </c>
      <c r="J29" s="23">
        <v>18</v>
      </c>
      <c r="K29" s="21">
        <f>SUM(J29)+0.6</f>
        <v>18.600000000000001</v>
      </c>
      <c r="L29" s="21">
        <f>SUM(K29)+0.6</f>
        <v>19.200000000000003</v>
      </c>
      <c r="M29" s="21">
        <f>SUM(L29)+0.6</f>
        <v>19.800000000000004</v>
      </c>
      <c r="N29" s="215">
        <f>SUM(M29)+0.6</f>
        <v>20.400000000000006</v>
      </c>
    </row>
    <row r="30" spans="1:14" s="1" customFormat="1" ht="14.1" customHeight="1">
      <c r="A30" s="38"/>
      <c r="B30" s="56" t="s">
        <v>581</v>
      </c>
      <c r="C30" s="56"/>
      <c r="D30" s="89"/>
      <c r="E30" s="90"/>
      <c r="F30" s="90"/>
      <c r="G30" s="91"/>
      <c r="H30" s="36"/>
      <c r="I30" s="36"/>
      <c r="J30" s="23"/>
      <c r="K30" s="21"/>
      <c r="L30" s="21"/>
      <c r="M30" s="21"/>
      <c r="N30" s="215"/>
    </row>
    <row r="31" spans="1:14" s="1" customFormat="1" ht="14.1" customHeight="1">
      <c r="A31" s="38">
        <v>15</v>
      </c>
      <c r="B31" s="51" t="s">
        <v>582</v>
      </c>
      <c r="C31" s="52"/>
      <c r="D31" s="57"/>
      <c r="E31" s="57"/>
      <c r="F31" s="57"/>
      <c r="G31" s="57"/>
      <c r="H31" s="24">
        <f>SUM(I31)-1</f>
        <v>9</v>
      </c>
      <c r="I31" s="24">
        <f>SUM(J31)-1</f>
        <v>10</v>
      </c>
      <c r="J31" s="23">
        <v>11</v>
      </c>
      <c r="K31" s="21">
        <f>SUM(J31)+0.5</f>
        <v>11.5</v>
      </c>
      <c r="L31" s="21">
        <f>SUM(K31)+0.5</f>
        <v>12</v>
      </c>
      <c r="M31" s="21">
        <f>SUM(L31)+0.5</f>
        <v>12.5</v>
      </c>
      <c r="N31" s="215">
        <f>SUM(M31)+0.5</f>
        <v>13</v>
      </c>
    </row>
    <row r="32" spans="1:14" s="1" customFormat="1" ht="14.1" customHeight="1">
      <c r="A32" s="38"/>
      <c r="B32" s="56" t="s">
        <v>583</v>
      </c>
      <c r="C32" s="56"/>
      <c r="D32" s="89"/>
      <c r="E32" s="90"/>
      <c r="F32" s="90"/>
      <c r="G32" s="91"/>
      <c r="H32" s="36"/>
      <c r="I32" s="36"/>
      <c r="J32" s="23"/>
      <c r="K32" s="21"/>
      <c r="L32" s="21"/>
      <c r="M32" s="21"/>
      <c r="N32" s="215"/>
    </row>
    <row r="33" spans="1:14" s="1" customFormat="1" ht="14.1" customHeight="1">
      <c r="A33" s="38">
        <v>16</v>
      </c>
      <c r="B33" s="51" t="s">
        <v>91</v>
      </c>
      <c r="C33" s="52"/>
      <c r="D33" s="59" t="s">
        <v>126</v>
      </c>
      <c r="E33" s="60"/>
      <c r="F33" s="60"/>
      <c r="G33" s="61"/>
      <c r="H33" s="24">
        <f>SUM(I33)-0.5</f>
        <v>8.5</v>
      </c>
      <c r="I33" s="24">
        <f>SUM(J33)-0.5</f>
        <v>9</v>
      </c>
      <c r="J33" s="33">
        <v>9.5</v>
      </c>
      <c r="K33" s="24">
        <f>SUM(J33)+0.5</f>
        <v>10</v>
      </c>
      <c r="L33" s="24">
        <f>SUM(K33)+0.5</f>
        <v>10.5</v>
      </c>
      <c r="M33" s="24">
        <f>SUM(L33)+0.5</f>
        <v>11</v>
      </c>
      <c r="N33" s="139">
        <f>SUM(M33)+0.5</f>
        <v>11.5</v>
      </c>
    </row>
    <row r="34" spans="1:14" s="1" customFormat="1" ht="14.1" customHeight="1">
      <c r="A34" s="154"/>
      <c r="B34" s="40" t="s">
        <v>125</v>
      </c>
      <c r="C34" s="41"/>
      <c r="D34" s="100" t="s">
        <v>92</v>
      </c>
      <c r="E34" s="101"/>
      <c r="F34" s="101"/>
      <c r="G34" s="102"/>
      <c r="H34" s="50"/>
      <c r="I34" s="50"/>
      <c r="J34" s="117"/>
      <c r="K34" s="50"/>
      <c r="L34" s="50"/>
      <c r="M34" s="50"/>
      <c r="N34" s="136"/>
    </row>
    <row r="35" spans="1:14" ht="14.1" customHeight="1">
      <c r="A35" s="38">
        <v>17</v>
      </c>
      <c r="B35" s="51" t="s">
        <v>584</v>
      </c>
      <c r="C35" s="52"/>
      <c r="D35" s="59"/>
      <c r="E35" s="60"/>
      <c r="F35" s="60"/>
      <c r="G35" s="61"/>
      <c r="H35" s="24">
        <f>SUM(I35)-3.2</f>
        <v>29.3</v>
      </c>
      <c r="I35" s="24">
        <f>SUM(J35)-3.2</f>
        <v>32.5</v>
      </c>
      <c r="J35" s="33">
        <v>35.700000000000003</v>
      </c>
      <c r="K35" s="24">
        <f>SUM(J35)+2.7</f>
        <v>38.400000000000006</v>
      </c>
      <c r="L35" s="24">
        <f>SUM(K35)+2.7</f>
        <v>41.100000000000009</v>
      </c>
      <c r="M35" s="24">
        <f>SUM(L35)+2.7</f>
        <v>43.800000000000011</v>
      </c>
      <c r="N35" s="139">
        <f>SUM(M35)+2.7</f>
        <v>46.500000000000014</v>
      </c>
    </row>
    <row r="36" spans="1:14" ht="14.1" customHeight="1">
      <c r="A36" s="38"/>
      <c r="B36" s="45" t="s">
        <v>585</v>
      </c>
      <c r="C36" s="46"/>
      <c r="D36" s="47"/>
      <c r="E36" s="48"/>
      <c r="F36" s="48"/>
      <c r="G36" s="49"/>
      <c r="H36" s="36"/>
      <c r="I36" s="36"/>
      <c r="J36" s="35"/>
      <c r="K36" s="36"/>
      <c r="L36" s="36"/>
      <c r="M36" s="36"/>
      <c r="N36" s="137"/>
    </row>
    <row r="37" spans="1:14" ht="14.1" customHeight="1">
      <c r="A37" s="38">
        <v>18</v>
      </c>
      <c r="B37" s="51" t="s">
        <v>176</v>
      </c>
      <c r="C37" s="52"/>
      <c r="D37" s="53"/>
      <c r="E37" s="54"/>
      <c r="F37" s="54"/>
      <c r="G37" s="55"/>
      <c r="H37" s="24"/>
      <c r="I37" s="24"/>
      <c r="J37" s="23">
        <v>11</v>
      </c>
      <c r="K37" s="21"/>
      <c r="L37" s="21"/>
      <c r="M37" s="153"/>
      <c r="N37" s="215"/>
    </row>
    <row r="38" spans="1:14" ht="14.1" customHeight="1">
      <c r="A38" s="38"/>
      <c r="B38" s="45" t="s">
        <v>175</v>
      </c>
      <c r="C38" s="46"/>
      <c r="D38" s="47" t="s">
        <v>555</v>
      </c>
      <c r="E38" s="48"/>
      <c r="F38" s="48"/>
      <c r="G38" s="49"/>
      <c r="H38" s="36"/>
      <c r="I38" s="36"/>
      <c r="J38" s="23"/>
      <c r="K38" s="21"/>
      <c r="L38" s="21"/>
      <c r="M38" s="153"/>
      <c r="N38" s="215"/>
    </row>
    <row r="39" spans="1:14" ht="14.1" customHeight="1">
      <c r="A39" s="38">
        <v>19</v>
      </c>
      <c r="B39" s="51" t="s">
        <v>174</v>
      </c>
      <c r="C39" s="52"/>
      <c r="D39" s="54" t="s">
        <v>106</v>
      </c>
      <c r="E39" s="54"/>
      <c r="F39" s="54"/>
      <c r="G39" s="55"/>
      <c r="H39" s="21"/>
      <c r="I39" s="21"/>
      <c r="J39" s="23">
        <v>6</v>
      </c>
      <c r="K39" s="21"/>
      <c r="L39" s="21"/>
      <c r="M39" s="21"/>
      <c r="N39" s="215"/>
    </row>
    <row r="40" spans="1:14" ht="14.1" customHeight="1">
      <c r="A40" s="38"/>
      <c r="B40" s="45" t="s">
        <v>173</v>
      </c>
      <c r="C40" s="46"/>
      <c r="D40" s="48" t="s">
        <v>105</v>
      </c>
      <c r="E40" s="48"/>
      <c r="F40" s="48"/>
      <c r="G40" s="49"/>
      <c r="H40" s="21"/>
      <c r="I40" s="21"/>
      <c r="J40" s="23"/>
      <c r="K40" s="21"/>
      <c r="L40" s="21"/>
      <c r="M40" s="21"/>
      <c r="N40" s="215"/>
    </row>
    <row r="41" spans="1:14" ht="14.1" customHeight="1">
      <c r="A41" s="38">
        <v>20</v>
      </c>
      <c r="B41" s="51"/>
      <c r="C41" s="52"/>
      <c r="D41" s="59"/>
      <c r="E41" s="60"/>
      <c r="F41" s="60"/>
      <c r="G41" s="61"/>
      <c r="H41" s="24"/>
      <c r="I41" s="24"/>
      <c r="J41" s="33"/>
      <c r="K41" s="24"/>
      <c r="L41" s="24"/>
      <c r="M41" s="24"/>
      <c r="N41" s="139"/>
    </row>
    <row r="42" spans="1:14" ht="14.1" customHeight="1">
      <c r="A42" s="38"/>
      <c r="B42" s="45"/>
      <c r="C42" s="46"/>
      <c r="D42" s="47"/>
      <c r="E42" s="48"/>
      <c r="F42" s="48"/>
      <c r="G42" s="49"/>
      <c r="H42" s="36"/>
      <c r="I42" s="36"/>
      <c r="J42" s="35"/>
      <c r="K42" s="36"/>
      <c r="L42" s="36"/>
      <c r="M42" s="36"/>
      <c r="N42" s="137"/>
    </row>
    <row r="43" spans="1:14" ht="14.1" customHeight="1">
      <c r="A43" s="71">
        <v>21</v>
      </c>
      <c r="B43" s="40"/>
      <c r="C43" s="41"/>
      <c r="D43" s="100"/>
      <c r="E43" s="101"/>
      <c r="F43" s="101"/>
      <c r="G43" s="102"/>
      <c r="H43" s="50"/>
      <c r="I43" s="50"/>
      <c r="J43" s="117"/>
      <c r="K43" s="50"/>
      <c r="L43" s="50"/>
      <c r="M43" s="50"/>
      <c r="N43" s="136"/>
    </row>
    <row r="44" spans="1:14" ht="14.1" customHeight="1" thickBot="1">
      <c r="A44" s="39"/>
      <c r="B44" s="28"/>
      <c r="C44" s="29"/>
      <c r="D44" s="30"/>
      <c r="E44" s="31"/>
      <c r="F44" s="31"/>
      <c r="G44" s="32"/>
      <c r="H44" s="25"/>
      <c r="I44" s="25"/>
      <c r="J44" s="34"/>
      <c r="K44" s="25"/>
      <c r="L44" s="25"/>
      <c r="M44" s="25"/>
      <c r="N44" s="209"/>
    </row>
    <row r="45" spans="1:14" ht="14.1" customHeight="1">
      <c r="B45" s="6"/>
      <c r="C45" s="6"/>
      <c r="D45" s="6"/>
      <c r="E45" s="6"/>
      <c r="F45" s="6"/>
      <c r="G45" s="6"/>
    </row>
    <row r="46" spans="1:14" ht="14.1" customHeight="1">
      <c r="B46" s="6"/>
      <c r="C46" s="6"/>
      <c r="D46" s="6"/>
      <c r="E46" s="6"/>
      <c r="F46" s="6"/>
      <c r="G46" s="6"/>
    </row>
    <row r="47" spans="1:14" ht="14.1" customHeight="1">
      <c r="B47" s="6"/>
      <c r="C47" s="6"/>
      <c r="D47" s="6"/>
      <c r="E47" s="6"/>
      <c r="F47" s="6"/>
      <c r="G47" s="6"/>
    </row>
    <row r="48" spans="1:14" ht="14.1" customHeight="1"/>
    <row r="49" ht="14.1" customHeight="1"/>
    <row r="50" ht="14.1" customHeight="1"/>
    <row r="51" ht="14.1" customHeight="1"/>
  </sheetData>
  <mergeCells count="255">
    <mergeCell ref="K37:K38"/>
    <mergeCell ref="L37:L38"/>
    <mergeCell ref="M37:M38"/>
    <mergeCell ref="N37:N38"/>
    <mergeCell ref="K39:K40"/>
    <mergeCell ref="L39:L40"/>
    <mergeCell ref="M39:M40"/>
    <mergeCell ref="N39:N40"/>
    <mergeCell ref="A39:A40"/>
    <mergeCell ref="B39:C39"/>
    <mergeCell ref="D39:G39"/>
    <mergeCell ref="H39:H40"/>
    <mergeCell ref="I39:I40"/>
    <mergeCell ref="J39:J40"/>
    <mergeCell ref="B40:C40"/>
    <mergeCell ref="D40:G40"/>
    <mergeCell ref="A37:A38"/>
    <mergeCell ref="B37:C37"/>
    <mergeCell ref="D37:G37"/>
    <mergeCell ref="H37:H38"/>
    <mergeCell ref="I37:I38"/>
    <mergeCell ref="J37:J38"/>
    <mergeCell ref="B38:C38"/>
    <mergeCell ref="D38:G38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1AE5B-D378-4CBE-B2FC-6EE25538BFE9}">
  <sheetPr>
    <tabColor rgb="FF00B050"/>
    <pageSetUpPr fitToPage="1"/>
  </sheetPr>
  <dimension ref="A1:M51"/>
  <sheetViews>
    <sheetView zoomScale="110" zoomScaleNormal="110" workbookViewId="0">
      <selection activeCell="R17" sqref="R17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67" t="s">
        <v>565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50">
        <f>SUM(I3)-3.5</f>
        <v>37.6</v>
      </c>
      <c r="I3" s="50">
        <f>SUM(J3)-3.5</f>
        <v>41.1</v>
      </c>
      <c r="J3" s="35">
        <v>44.6</v>
      </c>
      <c r="K3" s="36">
        <f>SUM(J3)+3</f>
        <v>47.6</v>
      </c>
      <c r="L3" s="36">
        <f t="shared" ref="L3:M3" si="0">SUM(K3)+3</f>
        <v>50.6</v>
      </c>
      <c r="M3" s="37">
        <f t="shared" si="0"/>
        <v>53.6</v>
      </c>
    </row>
    <row r="4" spans="1:13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24"/>
      <c r="L4" s="24"/>
      <c r="M4" s="26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9"/>
      <c r="H5" s="24">
        <f>SUM(I5)-2</f>
        <v>28.799999999999997</v>
      </c>
      <c r="I5" s="24">
        <f>SUM(J5)-2</f>
        <v>30.799999999999997</v>
      </c>
      <c r="J5" s="33">
        <v>32.799999999999997</v>
      </c>
      <c r="K5" s="24">
        <f>SUM(J5)+1.8</f>
        <v>34.599999999999994</v>
      </c>
      <c r="L5" s="24">
        <f t="shared" ref="L5:M5" si="1">SUM(K5)+1.8</f>
        <v>36.399999999999991</v>
      </c>
      <c r="M5" s="26">
        <f t="shared" si="1"/>
        <v>38.199999999999989</v>
      </c>
    </row>
    <row r="6" spans="1:13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8"/>
      <c r="H6" s="36"/>
      <c r="I6" s="36"/>
      <c r="J6" s="35"/>
      <c r="K6" s="36"/>
      <c r="L6" s="36"/>
      <c r="M6" s="37"/>
    </row>
    <row r="7" spans="1:13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9"/>
      <c r="H7" s="24">
        <f>SUM(I7)-2.25</f>
        <v>33.5</v>
      </c>
      <c r="I7" s="24">
        <f>SUM(J7)-2.25</f>
        <v>35.75</v>
      </c>
      <c r="J7" s="33">
        <v>38</v>
      </c>
      <c r="K7" s="24">
        <f>SUM(J7)+2</f>
        <v>40</v>
      </c>
      <c r="L7" s="24">
        <f t="shared" ref="L7:M7" si="2">SUM(K7)+2</f>
        <v>42</v>
      </c>
      <c r="M7" s="26">
        <f t="shared" si="2"/>
        <v>44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8"/>
      <c r="H8" s="36"/>
      <c r="I8" s="36"/>
      <c r="J8" s="35"/>
      <c r="K8" s="36"/>
      <c r="L8" s="36"/>
      <c r="M8" s="37"/>
    </row>
    <row r="9" spans="1:13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9"/>
      <c r="H9" s="24">
        <f>SUM(I9)-2.25</f>
        <v>33.5</v>
      </c>
      <c r="I9" s="24">
        <f>SUM(J9)-2.25</f>
        <v>35.75</v>
      </c>
      <c r="J9" s="33">
        <v>38</v>
      </c>
      <c r="K9" s="24">
        <f>SUM(J9)+2</f>
        <v>40</v>
      </c>
      <c r="L9" s="24">
        <f t="shared" ref="L9:M9" si="3">SUM(K9)+2</f>
        <v>42</v>
      </c>
      <c r="M9" s="26">
        <f t="shared" si="3"/>
        <v>44</v>
      </c>
    </row>
    <row r="10" spans="1:13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8"/>
      <c r="H10" s="36"/>
      <c r="I10" s="36"/>
      <c r="J10" s="35"/>
      <c r="K10" s="36"/>
      <c r="L10" s="36"/>
      <c r="M10" s="37"/>
    </row>
    <row r="11" spans="1:13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9"/>
      <c r="H11" s="24">
        <f>SUM(I11)-0.8</f>
        <v>13.399999999999999</v>
      </c>
      <c r="I11" s="24">
        <f>SUM(J11)-0.8</f>
        <v>14.2</v>
      </c>
      <c r="J11" s="23">
        <v>15</v>
      </c>
      <c r="K11" s="21">
        <f>SUM(J11)+0.8</f>
        <v>15.8</v>
      </c>
      <c r="L11" s="21">
        <f t="shared" ref="L11:M11" si="4">SUM(K11)+0.8</f>
        <v>16.600000000000001</v>
      </c>
      <c r="M11" s="22">
        <f t="shared" si="4"/>
        <v>17.400000000000002</v>
      </c>
    </row>
    <row r="12" spans="1:13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8"/>
      <c r="H12" s="36"/>
      <c r="I12" s="36"/>
      <c r="J12" s="23"/>
      <c r="K12" s="21"/>
      <c r="L12" s="21"/>
      <c r="M12" s="22"/>
    </row>
    <row r="13" spans="1:13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9"/>
      <c r="H13" s="24">
        <f>SUM(I13)-0.6</f>
        <v>14.3</v>
      </c>
      <c r="I13" s="24">
        <f>SUM(J13)-0.6</f>
        <v>14.9</v>
      </c>
      <c r="J13" s="23">
        <v>15.5</v>
      </c>
      <c r="K13" s="21">
        <f>SUM(J13)+0.6</f>
        <v>16.100000000000001</v>
      </c>
      <c r="L13" s="21">
        <f>SUM(K13)+0.6</f>
        <v>16.700000000000003</v>
      </c>
      <c r="M13" s="22">
        <f>SUM(L13)+0.6</f>
        <v>17.300000000000004</v>
      </c>
    </row>
    <row r="14" spans="1:13" s="1" customFormat="1" ht="14.1" customHeight="1">
      <c r="A14" s="38"/>
      <c r="B14" s="56" t="s">
        <v>29</v>
      </c>
      <c r="C14" s="56"/>
      <c r="D14" s="47" t="s">
        <v>255</v>
      </c>
      <c r="E14" s="48"/>
      <c r="F14" s="48"/>
      <c r="G14" s="48"/>
      <c r="H14" s="36"/>
      <c r="I14" s="36"/>
      <c r="J14" s="23"/>
      <c r="K14" s="21"/>
      <c r="L14" s="21"/>
      <c r="M14" s="22"/>
    </row>
    <row r="15" spans="1:13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9"/>
      <c r="H15" s="24">
        <f>SUM(I15)-0.3</f>
        <v>5.6000000000000005</v>
      </c>
      <c r="I15" s="24">
        <f>SUM(J15)-0.3</f>
        <v>5.9</v>
      </c>
      <c r="J15" s="23">
        <v>6.2</v>
      </c>
      <c r="K15" s="21">
        <f>SUM(J15)+0.3</f>
        <v>6.5</v>
      </c>
      <c r="L15" s="21">
        <f t="shared" ref="L15:M15" si="5">SUM(K15)+0.3</f>
        <v>6.8</v>
      </c>
      <c r="M15" s="22">
        <f t="shared" si="5"/>
        <v>7.1</v>
      </c>
    </row>
    <row r="16" spans="1:13" s="1" customFormat="1" ht="14.1" customHeight="1">
      <c r="A16" s="38"/>
      <c r="B16" s="56" t="s">
        <v>30</v>
      </c>
      <c r="C16" s="56"/>
      <c r="D16" s="47" t="s">
        <v>379</v>
      </c>
      <c r="E16" s="48"/>
      <c r="F16" s="48"/>
      <c r="G16" s="48"/>
      <c r="H16" s="36"/>
      <c r="I16" s="36"/>
      <c r="J16" s="23"/>
      <c r="K16" s="21"/>
      <c r="L16" s="21"/>
      <c r="M16" s="22"/>
    </row>
    <row r="17" spans="1:13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0"/>
      <c r="H17" s="24">
        <f>SUM(I17)-1.6</f>
        <v>35.799999999999997</v>
      </c>
      <c r="I17" s="24">
        <f>SUM(J17)-1.6</f>
        <v>37.4</v>
      </c>
      <c r="J17" s="23">
        <v>39</v>
      </c>
      <c r="K17" s="21">
        <f>SUM(J17)+1.6</f>
        <v>40.6</v>
      </c>
      <c r="L17" s="21">
        <f t="shared" ref="L17:M17" si="6">SUM(K17)+1.6</f>
        <v>42.2</v>
      </c>
      <c r="M17" s="22">
        <f t="shared" si="6"/>
        <v>43.800000000000004</v>
      </c>
    </row>
    <row r="18" spans="1:13" s="1" customFormat="1" ht="14.1" customHeight="1">
      <c r="A18" s="38"/>
      <c r="B18" s="56" t="s">
        <v>37</v>
      </c>
      <c r="C18" s="56"/>
      <c r="D18" s="47" t="s">
        <v>107</v>
      </c>
      <c r="E18" s="48"/>
      <c r="F18" s="48"/>
      <c r="G18" s="48"/>
      <c r="H18" s="36"/>
      <c r="I18" s="36"/>
      <c r="J18" s="23"/>
      <c r="K18" s="21"/>
      <c r="L18" s="21"/>
      <c r="M18" s="22"/>
    </row>
    <row r="19" spans="1:13" s="1" customFormat="1" ht="14.1" customHeight="1">
      <c r="A19" s="38">
        <v>9</v>
      </c>
      <c r="B19" s="58" t="s">
        <v>4</v>
      </c>
      <c r="C19" s="58"/>
      <c r="D19" s="57" t="s">
        <v>5</v>
      </c>
      <c r="E19" s="57"/>
      <c r="F19" s="57"/>
      <c r="G19" s="59"/>
      <c r="H19" s="24">
        <f>SUM(I19)-3.5</f>
        <v>28.4</v>
      </c>
      <c r="I19" s="24">
        <f>SUM(J19)-3.5</f>
        <v>31.9</v>
      </c>
      <c r="J19" s="23">
        <v>35.4</v>
      </c>
      <c r="K19" s="21">
        <f>SUM(J19)+3.6</f>
        <v>39</v>
      </c>
      <c r="L19" s="21">
        <f t="shared" ref="L19:M19" si="7">SUM(K19)+3.6</f>
        <v>42.6</v>
      </c>
      <c r="M19" s="22">
        <f t="shared" si="7"/>
        <v>46.2</v>
      </c>
    </row>
    <row r="20" spans="1:13" s="1" customFormat="1" ht="14.1" customHeight="1">
      <c r="A20" s="38"/>
      <c r="B20" s="56" t="s">
        <v>31</v>
      </c>
      <c r="C20" s="56"/>
      <c r="D20" s="47" t="s">
        <v>54</v>
      </c>
      <c r="E20" s="48"/>
      <c r="F20" s="48"/>
      <c r="G20" s="48"/>
      <c r="H20" s="36"/>
      <c r="I20" s="36"/>
      <c r="J20" s="23"/>
      <c r="K20" s="21"/>
      <c r="L20" s="21"/>
      <c r="M20" s="22"/>
    </row>
    <row r="21" spans="1:13" s="1" customFormat="1" ht="14.1" customHeight="1">
      <c r="A21" s="38">
        <v>10</v>
      </c>
      <c r="B21" s="58" t="s">
        <v>6</v>
      </c>
      <c r="C21" s="58"/>
      <c r="D21" s="59" t="s">
        <v>7</v>
      </c>
      <c r="E21" s="60"/>
      <c r="F21" s="60"/>
      <c r="G21" s="60"/>
      <c r="H21" s="24">
        <f>SUM(I21)-1.4</f>
        <v>24.1</v>
      </c>
      <c r="I21" s="24">
        <f>SUM(J21)-1.4</f>
        <v>25.5</v>
      </c>
      <c r="J21" s="23">
        <v>26.9</v>
      </c>
      <c r="K21" s="21">
        <f>SUM(J21)+1.4</f>
        <v>28.299999999999997</v>
      </c>
      <c r="L21" s="21">
        <f t="shared" ref="L21:M21" si="8">SUM(K21)+1.4</f>
        <v>29.699999999999996</v>
      </c>
      <c r="M21" s="22">
        <f t="shared" si="8"/>
        <v>31.099999999999994</v>
      </c>
    </row>
    <row r="22" spans="1:13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8"/>
      <c r="H22" s="36"/>
      <c r="I22" s="36"/>
      <c r="J22" s="23"/>
      <c r="K22" s="21"/>
      <c r="L22" s="21"/>
      <c r="M22" s="22"/>
    </row>
    <row r="23" spans="1:13" s="1" customFormat="1" ht="14.1" customHeight="1">
      <c r="A23" s="38">
        <v>11</v>
      </c>
      <c r="B23" s="51" t="s">
        <v>77</v>
      </c>
      <c r="C23" s="52"/>
      <c r="D23" s="57" t="s">
        <v>78</v>
      </c>
      <c r="E23" s="57"/>
      <c r="F23" s="57"/>
      <c r="G23" s="59"/>
      <c r="H23" s="24">
        <f>SUM(I23)-0.7</f>
        <v>17.600000000000001</v>
      </c>
      <c r="I23" s="24">
        <f>SUM(J23)-0.7</f>
        <v>18.3</v>
      </c>
      <c r="J23" s="23">
        <v>19</v>
      </c>
      <c r="K23" s="21">
        <f>SUM(J23)+0.7</f>
        <v>19.7</v>
      </c>
      <c r="L23" s="21">
        <f>SUM(K23)+0.7</f>
        <v>20.399999999999999</v>
      </c>
      <c r="M23" s="22">
        <f t="shared" ref="M23" si="9">SUM(L23)+0.7</f>
        <v>21.099999999999998</v>
      </c>
    </row>
    <row r="24" spans="1:13" s="1" customFormat="1" ht="14.1" customHeight="1">
      <c r="A24" s="38"/>
      <c r="B24" s="56" t="s">
        <v>33</v>
      </c>
      <c r="C24" s="56"/>
      <c r="D24" s="47" t="s">
        <v>566</v>
      </c>
      <c r="E24" s="48"/>
      <c r="F24" s="48"/>
      <c r="G24" s="48"/>
      <c r="H24" s="36"/>
      <c r="I24" s="36"/>
      <c r="J24" s="23"/>
      <c r="K24" s="21"/>
      <c r="L24" s="21"/>
      <c r="M24" s="22"/>
    </row>
    <row r="25" spans="1:13" s="1" customFormat="1" ht="14.1" customHeight="1">
      <c r="A25" s="38">
        <v>12</v>
      </c>
      <c r="B25" s="51" t="s">
        <v>563</v>
      </c>
      <c r="C25" s="52"/>
      <c r="D25" s="53"/>
      <c r="E25" s="54"/>
      <c r="F25" s="54"/>
      <c r="G25" s="55"/>
      <c r="H25" s="24">
        <f>SUM(I25)</f>
        <v>8.5</v>
      </c>
      <c r="I25" s="24">
        <f>SUM(J25)</f>
        <v>8.5</v>
      </c>
      <c r="J25" s="23">
        <v>8.5</v>
      </c>
      <c r="K25" s="21">
        <f>SUM(J25)+0.2</f>
        <v>8.6999999999999993</v>
      </c>
      <c r="L25" s="21">
        <f t="shared" ref="L25:M25" si="10">SUM(K25)+0.2</f>
        <v>8.8999999999999986</v>
      </c>
      <c r="M25" s="22">
        <f t="shared" si="10"/>
        <v>9.0999999999999979</v>
      </c>
    </row>
    <row r="26" spans="1:13" s="1" customFormat="1" ht="14.1" customHeight="1">
      <c r="A26" s="38"/>
      <c r="B26" s="45" t="s">
        <v>564</v>
      </c>
      <c r="C26" s="46"/>
      <c r="D26" s="47"/>
      <c r="E26" s="48"/>
      <c r="F26" s="48"/>
      <c r="G26" s="49"/>
      <c r="H26" s="36"/>
      <c r="I26" s="36"/>
      <c r="J26" s="23"/>
      <c r="K26" s="21"/>
      <c r="L26" s="21"/>
      <c r="M26" s="22"/>
    </row>
    <row r="27" spans="1:13" s="1" customFormat="1" ht="14.1" customHeight="1">
      <c r="A27" s="38">
        <v>13</v>
      </c>
      <c r="B27" s="51" t="s">
        <v>176</v>
      </c>
      <c r="C27" s="52"/>
      <c r="D27" s="53"/>
      <c r="E27" s="54"/>
      <c r="F27" s="54"/>
      <c r="G27" s="55"/>
      <c r="H27" s="24">
        <f>SUM(I27)-0.7</f>
        <v>10.400000000000002</v>
      </c>
      <c r="I27" s="24">
        <f>SUM(J27)-0.7</f>
        <v>11.100000000000001</v>
      </c>
      <c r="J27" s="23">
        <v>11.8</v>
      </c>
      <c r="K27" s="21">
        <f t="shared" ref="K27:M27" si="11">SUM(J27)+0.7</f>
        <v>12.5</v>
      </c>
      <c r="L27" s="21">
        <f t="shared" si="11"/>
        <v>13.2</v>
      </c>
      <c r="M27" s="22">
        <f t="shared" si="11"/>
        <v>13.899999999999999</v>
      </c>
    </row>
    <row r="28" spans="1:13" s="1" customFormat="1" ht="14.1" customHeight="1">
      <c r="A28" s="38"/>
      <c r="B28" s="45" t="s">
        <v>175</v>
      </c>
      <c r="C28" s="46"/>
      <c r="D28" s="47" t="s">
        <v>555</v>
      </c>
      <c r="E28" s="48"/>
      <c r="F28" s="48"/>
      <c r="G28" s="49"/>
      <c r="H28" s="36"/>
      <c r="I28" s="36"/>
      <c r="J28" s="23"/>
      <c r="K28" s="21"/>
      <c r="L28" s="21"/>
      <c r="M28" s="22"/>
    </row>
    <row r="29" spans="1:13" s="1" customFormat="1" ht="14.1" customHeight="1">
      <c r="A29" s="38">
        <v>14</v>
      </c>
      <c r="B29" s="51" t="s">
        <v>174</v>
      </c>
      <c r="C29" s="52"/>
      <c r="D29" s="54" t="s">
        <v>106</v>
      </c>
      <c r="E29" s="54"/>
      <c r="F29" s="54"/>
      <c r="G29" s="55"/>
      <c r="H29" s="21">
        <f>SUM(I29)-0.4</f>
        <v>4.1999999999999993</v>
      </c>
      <c r="I29" s="21">
        <f>SUM(J29)-0.4</f>
        <v>4.5999999999999996</v>
      </c>
      <c r="J29" s="23">
        <v>5</v>
      </c>
      <c r="K29" s="21">
        <f>SUM(J29)+0.4</f>
        <v>5.4</v>
      </c>
      <c r="L29" s="21">
        <f t="shared" ref="L29:M29" si="12">SUM(K29)+0.4</f>
        <v>5.8000000000000007</v>
      </c>
      <c r="M29" s="22">
        <f t="shared" si="12"/>
        <v>6.2000000000000011</v>
      </c>
    </row>
    <row r="30" spans="1:13" s="1" customFormat="1" ht="14.1" customHeight="1">
      <c r="A30" s="38"/>
      <c r="B30" s="45" t="s">
        <v>173</v>
      </c>
      <c r="C30" s="46"/>
      <c r="D30" s="48" t="s">
        <v>105</v>
      </c>
      <c r="E30" s="48"/>
      <c r="F30" s="48"/>
      <c r="G30" s="49"/>
      <c r="H30" s="21"/>
      <c r="I30" s="21"/>
      <c r="J30" s="23"/>
      <c r="K30" s="21"/>
      <c r="L30" s="21"/>
      <c r="M30" s="22"/>
    </row>
    <row r="31" spans="1:13" ht="14.1" customHeight="1">
      <c r="A31" s="38"/>
      <c r="B31" s="58"/>
      <c r="C31" s="58"/>
      <c r="D31" s="264"/>
      <c r="E31" s="264"/>
      <c r="F31" s="264"/>
      <c r="G31" s="264"/>
      <c r="H31" s="21"/>
      <c r="I31" s="21"/>
      <c r="J31" s="23"/>
      <c r="K31" s="21"/>
      <c r="L31" s="21"/>
      <c r="M31" s="22"/>
    </row>
    <row r="32" spans="1:13" ht="14.1" customHeight="1" thickBot="1">
      <c r="A32" s="39"/>
      <c r="B32" s="110"/>
      <c r="C32" s="110"/>
      <c r="D32" s="263"/>
      <c r="E32" s="263"/>
      <c r="F32" s="263"/>
      <c r="G32" s="263"/>
      <c r="H32" s="216"/>
      <c r="I32" s="216"/>
      <c r="J32" s="218"/>
      <c r="K32" s="216"/>
      <c r="L32" s="216"/>
      <c r="M32" s="220"/>
    </row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68">
    <mergeCell ref="A1:M1"/>
    <mergeCell ref="B32:C32"/>
    <mergeCell ref="D32:G32"/>
    <mergeCell ref="A31:A32"/>
    <mergeCell ref="B31:C31"/>
    <mergeCell ref="D31:G31"/>
    <mergeCell ref="H31:H32"/>
    <mergeCell ref="I31:I32"/>
    <mergeCell ref="J31:J32"/>
    <mergeCell ref="K31:K32"/>
    <mergeCell ref="L31:L32"/>
    <mergeCell ref="M31:M32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  <ignoredErrors>
    <ignoredError sqref="K25 L25:M25 H26:I26 I30:M30 I29 K29:M29 I25" formula="1"/>
  </ignoredError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746C4-F8CF-4711-AD7F-9ABC3C255354}">
  <sheetPr>
    <tabColor rgb="FF00B050"/>
    <pageSetUpPr fitToPage="1"/>
  </sheetPr>
  <dimension ref="A1:N51"/>
  <sheetViews>
    <sheetView zoomScale="110" zoomScaleNormal="110" workbookViewId="0">
      <selection activeCell="H3" sqref="H3:H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7" t="s">
        <v>560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  <c r="N1" s="12"/>
    </row>
    <row r="2" spans="1:14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4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50">
        <f>SUM(I3)-3.5</f>
        <v>36</v>
      </c>
      <c r="I3" s="50">
        <f>SUM(J3)-3.5</f>
        <v>39.5</v>
      </c>
      <c r="J3" s="35">
        <v>43</v>
      </c>
      <c r="K3" s="36">
        <f>SUM(J3)+3</f>
        <v>46</v>
      </c>
      <c r="L3" s="36">
        <f>SUM(K3)+3</f>
        <v>49</v>
      </c>
      <c r="M3" s="37">
        <f>SUM(L3)+3</f>
        <v>52</v>
      </c>
    </row>
    <row r="4" spans="1:14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24"/>
      <c r="L4" s="24"/>
      <c r="M4" s="26"/>
    </row>
    <row r="5" spans="1:14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9"/>
      <c r="H5" s="24">
        <f>SUM(I5)-1.6</f>
        <v>21.799999999999997</v>
      </c>
      <c r="I5" s="24">
        <f>SUM(J5)-1.6</f>
        <v>23.4</v>
      </c>
      <c r="J5" s="33">
        <v>25</v>
      </c>
      <c r="K5" s="24">
        <f>SUM(J5)+1.4</f>
        <v>26.4</v>
      </c>
      <c r="L5" s="24">
        <f>SUM(K5)+1.4</f>
        <v>27.799999999999997</v>
      </c>
      <c r="M5" s="26">
        <f>SUM(L5)+1.4</f>
        <v>29.199999999999996</v>
      </c>
    </row>
    <row r="6" spans="1:14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8"/>
      <c r="H6" s="36"/>
      <c r="I6" s="36"/>
      <c r="J6" s="35"/>
      <c r="K6" s="36"/>
      <c r="L6" s="36"/>
      <c r="M6" s="37"/>
    </row>
    <row r="7" spans="1:14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9"/>
      <c r="H7" s="24">
        <f>SUM(I7)-2</f>
        <v>28.5</v>
      </c>
      <c r="I7" s="24">
        <f>SUM(J7)-2</f>
        <v>30.5</v>
      </c>
      <c r="J7" s="33">
        <v>32.5</v>
      </c>
      <c r="K7" s="24">
        <f>SUM(J7)+1.8</f>
        <v>34.299999999999997</v>
      </c>
      <c r="L7" s="24">
        <f>SUM(K7)+1.8</f>
        <v>36.099999999999994</v>
      </c>
      <c r="M7" s="26">
        <f>SUM(L7)+1.8</f>
        <v>37.899999999999991</v>
      </c>
    </row>
    <row r="8" spans="1:14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8"/>
      <c r="H8" s="36"/>
      <c r="I8" s="36"/>
      <c r="J8" s="35"/>
      <c r="K8" s="36"/>
      <c r="L8" s="36"/>
      <c r="M8" s="37"/>
    </row>
    <row r="9" spans="1:14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9"/>
      <c r="H9" s="24">
        <f>SUM(I9)-2</f>
        <v>28.5</v>
      </c>
      <c r="I9" s="24">
        <f>SUM(J9)-2</f>
        <v>30.5</v>
      </c>
      <c r="J9" s="33">
        <v>32.5</v>
      </c>
      <c r="K9" s="24">
        <f>SUM(J9)+1.8</f>
        <v>34.299999999999997</v>
      </c>
      <c r="L9" s="24">
        <f>SUM(K9)+1.8</f>
        <v>36.099999999999994</v>
      </c>
      <c r="M9" s="26">
        <f>SUM(L9)+1.8</f>
        <v>37.899999999999991</v>
      </c>
    </row>
    <row r="10" spans="1:14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8"/>
      <c r="H10" s="36"/>
      <c r="I10" s="36"/>
      <c r="J10" s="35"/>
      <c r="K10" s="36"/>
      <c r="L10" s="36"/>
      <c r="M10" s="37"/>
    </row>
    <row r="11" spans="1:14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9"/>
      <c r="H11" s="24">
        <f>SUM(I11)-0.9</f>
        <v>13.2</v>
      </c>
      <c r="I11" s="24">
        <f>SUM(J11)-0.9</f>
        <v>14.1</v>
      </c>
      <c r="J11" s="23">
        <v>15</v>
      </c>
      <c r="K11" s="21">
        <f>SUM(J11)+0.9</f>
        <v>15.9</v>
      </c>
      <c r="L11" s="21">
        <f>SUM(K11)+0.9</f>
        <v>16.8</v>
      </c>
      <c r="M11" s="22">
        <f>SUM(L11)+0.9</f>
        <v>17.7</v>
      </c>
    </row>
    <row r="12" spans="1:14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8"/>
      <c r="H12" s="36"/>
      <c r="I12" s="36"/>
      <c r="J12" s="23"/>
      <c r="K12" s="21"/>
      <c r="L12" s="21"/>
      <c r="M12" s="22"/>
    </row>
    <row r="13" spans="1:14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9"/>
      <c r="H13" s="24">
        <f>SUM(I13)-0.6</f>
        <v>13.200000000000001</v>
      </c>
      <c r="I13" s="24">
        <f>SUM(J13)-0.6</f>
        <v>13.8</v>
      </c>
      <c r="J13" s="23">
        <v>14.4</v>
      </c>
      <c r="K13" s="21">
        <f>SUM(J13)+0.6</f>
        <v>15</v>
      </c>
      <c r="L13" s="21">
        <f>SUM(K13)+0.6</f>
        <v>15.6</v>
      </c>
      <c r="M13" s="22">
        <f>SUM(L13)+0.6</f>
        <v>16.2</v>
      </c>
    </row>
    <row r="14" spans="1:14" s="1" customFormat="1" ht="14.1" customHeight="1">
      <c r="A14" s="38"/>
      <c r="B14" s="56" t="s">
        <v>29</v>
      </c>
      <c r="C14" s="56"/>
      <c r="D14" s="47" t="s">
        <v>255</v>
      </c>
      <c r="E14" s="48"/>
      <c r="F14" s="48"/>
      <c r="G14" s="48"/>
      <c r="H14" s="36"/>
      <c r="I14" s="36"/>
      <c r="J14" s="23"/>
      <c r="K14" s="21"/>
      <c r="L14" s="21"/>
      <c r="M14" s="22"/>
    </row>
    <row r="15" spans="1:14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9"/>
      <c r="H15" s="24">
        <f>SUM(I15)-0.4</f>
        <v>9.5</v>
      </c>
      <c r="I15" s="24">
        <f>SUM(J15)-0.4</f>
        <v>9.9</v>
      </c>
      <c r="J15" s="23">
        <v>10.3</v>
      </c>
      <c r="K15" s="21">
        <f>SUM(J15)+0.4</f>
        <v>10.700000000000001</v>
      </c>
      <c r="L15" s="21">
        <f>SUM(K15)+0.4</f>
        <v>11.100000000000001</v>
      </c>
      <c r="M15" s="22">
        <f>SUM(L15)+0.4</f>
        <v>11.500000000000002</v>
      </c>
    </row>
    <row r="16" spans="1:14" s="1" customFormat="1" ht="14.1" customHeight="1">
      <c r="A16" s="38"/>
      <c r="B16" s="56" t="s">
        <v>30</v>
      </c>
      <c r="C16" s="56"/>
      <c r="D16" s="47" t="s">
        <v>379</v>
      </c>
      <c r="E16" s="48"/>
      <c r="F16" s="48"/>
      <c r="G16" s="48"/>
      <c r="H16" s="36"/>
      <c r="I16" s="36"/>
      <c r="J16" s="23"/>
      <c r="K16" s="21"/>
      <c r="L16" s="21"/>
      <c r="M16" s="22"/>
    </row>
    <row r="17" spans="1:13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0"/>
      <c r="H17" s="24">
        <f>SUM(I17)-1.8</f>
        <v>41.300000000000004</v>
      </c>
      <c r="I17" s="24">
        <f>SUM(J17)-1.8</f>
        <v>43.1</v>
      </c>
      <c r="J17" s="23">
        <v>44.9</v>
      </c>
      <c r="K17" s="21">
        <f>SUM(J17)+1.8</f>
        <v>46.699999999999996</v>
      </c>
      <c r="L17" s="21">
        <f>SUM(K17)+1.8</f>
        <v>48.499999999999993</v>
      </c>
      <c r="M17" s="22">
        <f>SUM(L17)+1.8</f>
        <v>50.29999999999999</v>
      </c>
    </row>
    <row r="18" spans="1:13" s="1" customFormat="1" ht="14.1" customHeight="1">
      <c r="A18" s="38"/>
      <c r="B18" s="56" t="s">
        <v>37</v>
      </c>
      <c r="C18" s="56"/>
      <c r="D18" s="47" t="s">
        <v>107</v>
      </c>
      <c r="E18" s="48"/>
      <c r="F18" s="48"/>
      <c r="G18" s="48"/>
      <c r="H18" s="36"/>
      <c r="I18" s="36"/>
      <c r="J18" s="23"/>
      <c r="K18" s="21"/>
      <c r="L18" s="21"/>
      <c r="M18" s="22"/>
    </row>
    <row r="19" spans="1:13" s="1" customFormat="1" ht="14.1" customHeight="1">
      <c r="A19" s="38">
        <v>9</v>
      </c>
      <c r="B19" s="58" t="s">
        <v>4</v>
      </c>
      <c r="C19" s="58"/>
      <c r="D19" s="57" t="s">
        <v>5</v>
      </c>
      <c r="E19" s="57"/>
      <c r="F19" s="57"/>
      <c r="G19" s="59"/>
      <c r="H19" s="24">
        <f>SUM(I19)-3.7</f>
        <v>33.099999999999994</v>
      </c>
      <c r="I19" s="24">
        <f>SUM(J19)-3.7</f>
        <v>36.799999999999997</v>
      </c>
      <c r="J19" s="23">
        <v>40.5</v>
      </c>
      <c r="K19" s="21">
        <f>SUM(J19)+3.8</f>
        <v>44.3</v>
      </c>
      <c r="L19" s="21">
        <f>SUM(K19)+3.8</f>
        <v>48.099999999999994</v>
      </c>
      <c r="M19" s="22">
        <f>SUM(L19)+3.8</f>
        <v>51.899999999999991</v>
      </c>
    </row>
    <row r="20" spans="1:13" s="1" customFormat="1" ht="14.1" customHeight="1">
      <c r="A20" s="38"/>
      <c r="B20" s="56" t="s">
        <v>31</v>
      </c>
      <c r="C20" s="56"/>
      <c r="D20" s="47" t="s">
        <v>54</v>
      </c>
      <c r="E20" s="48"/>
      <c r="F20" s="48"/>
      <c r="G20" s="48"/>
      <c r="H20" s="36"/>
      <c r="I20" s="36"/>
      <c r="J20" s="23"/>
      <c r="K20" s="21"/>
      <c r="L20" s="21"/>
      <c r="M20" s="22"/>
    </row>
    <row r="21" spans="1:13" s="1" customFormat="1" ht="14.1" customHeight="1">
      <c r="A21" s="38">
        <v>10</v>
      </c>
      <c r="B21" s="58" t="s">
        <v>6</v>
      </c>
      <c r="C21" s="58"/>
      <c r="D21" s="59" t="s">
        <v>7</v>
      </c>
      <c r="E21" s="60"/>
      <c r="F21" s="60"/>
      <c r="G21" s="60"/>
      <c r="H21" s="24">
        <f>SUM(I21)-1.5</f>
        <v>21.6</v>
      </c>
      <c r="I21" s="24">
        <f>SUM(J21)-1.5</f>
        <v>23.1</v>
      </c>
      <c r="J21" s="23">
        <v>24.6</v>
      </c>
      <c r="K21" s="21">
        <f>SUM(J21)+1.5</f>
        <v>26.1</v>
      </c>
      <c r="L21" s="21">
        <f>SUM(K21)+1.5</f>
        <v>27.6</v>
      </c>
      <c r="M21" s="22">
        <f>SUM(L21)+1.5</f>
        <v>29.1</v>
      </c>
    </row>
    <row r="22" spans="1:13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8"/>
      <c r="H22" s="36"/>
      <c r="I22" s="36"/>
      <c r="J22" s="23"/>
      <c r="K22" s="21"/>
      <c r="L22" s="21"/>
      <c r="M22" s="22"/>
    </row>
    <row r="23" spans="1:13" s="1" customFormat="1" ht="14.1" customHeight="1">
      <c r="A23" s="38">
        <v>11</v>
      </c>
      <c r="B23" s="51" t="s">
        <v>77</v>
      </c>
      <c r="C23" s="52"/>
      <c r="D23" s="57" t="s">
        <v>78</v>
      </c>
      <c r="E23" s="57"/>
      <c r="F23" s="57"/>
      <c r="G23" s="59"/>
      <c r="H23" s="24">
        <f>SUM(I23)-0.7</f>
        <v>14.600000000000001</v>
      </c>
      <c r="I23" s="24">
        <f>SUM(J23)-0.7</f>
        <v>15.3</v>
      </c>
      <c r="J23" s="23">
        <v>16</v>
      </c>
      <c r="K23" s="21">
        <f>SUM(J23)+0.7</f>
        <v>16.7</v>
      </c>
      <c r="L23" s="21">
        <f>SUM(K23)+0.7</f>
        <v>17.399999999999999</v>
      </c>
      <c r="M23" s="22">
        <f>SUM(L23)+0.7</f>
        <v>18.099999999999998</v>
      </c>
    </row>
    <row r="24" spans="1:13" s="1" customFormat="1" ht="14.1" customHeight="1">
      <c r="A24" s="38"/>
      <c r="B24" s="56" t="s">
        <v>33</v>
      </c>
      <c r="C24" s="56"/>
      <c r="D24" s="47" t="s">
        <v>79</v>
      </c>
      <c r="E24" s="48"/>
      <c r="F24" s="48"/>
      <c r="G24" s="48"/>
      <c r="H24" s="36"/>
      <c r="I24" s="36"/>
      <c r="J24" s="23"/>
      <c r="K24" s="21"/>
      <c r="L24" s="21"/>
      <c r="M24" s="22"/>
    </row>
    <row r="25" spans="1:13" s="1" customFormat="1" ht="14.1" customHeight="1">
      <c r="A25" s="38"/>
      <c r="B25" s="51"/>
      <c r="C25" s="52"/>
      <c r="D25" s="53"/>
      <c r="E25" s="54"/>
      <c r="F25" s="54"/>
      <c r="G25" s="55"/>
      <c r="H25" s="24"/>
      <c r="I25" s="24"/>
      <c r="J25" s="23"/>
      <c r="K25" s="21"/>
      <c r="L25" s="21"/>
      <c r="M25" s="22"/>
    </row>
    <row r="26" spans="1:13" s="1" customFormat="1" ht="14.1" customHeight="1">
      <c r="A26" s="38"/>
      <c r="B26" s="45"/>
      <c r="C26" s="46"/>
      <c r="D26" s="47"/>
      <c r="E26" s="48"/>
      <c r="F26" s="48"/>
      <c r="G26" s="49"/>
      <c r="H26" s="36"/>
      <c r="I26" s="36"/>
      <c r="J26" s="23"/>
      <c r="K26" s="21"/>
      <c r="L26" s="21"/>
      <c r="M26" s="22"/>
    </row>
    <row r="27" spans="1:13" s="1" customFormat="1" ht="14.1" customHeight="1">
      <c r="A27" s="38"/>
      <c r="B27" s="51"/>
      <c r="C27" s="52"/>
      <c r="D27" s="53"/>
      <c r="E27" s="54"/>
      <c r="F27" s="54"/>
      <c r="G27" s="55"/>
      <c r="H27" s="24"/>
      <c r="I27" s="24"/>
      <c r="J27" s="23"/>
      <c r="K27" s="21"/>
      <c r="L27" s="21"/>
      <c r="M27" s="22"/>
    </row>
    <row r="28" spans="1:13" s="1" customFormat="1" ht="14.1" customHeight="1">
      <c r="A28" s="38"/>
      <c r="B28" s="45"/>
      <c r="C28" s="46"/>
      <c r="D28" s="47"/>
      <c r="E28" s="48"/>
      <c r="F28" s="48"/>
      <c r="G28" s="49"/>
      <c r="H28" s="36"/>
      <c r="I28" s="36"/>
      <c r="J28" s="23"/>
      <c r="K28" s="21"/>
      <c r="L28" s="21"/>
      <c r="M28" s="22"/>
    </row>
    <row r="29" spans="1:13" s="1" customFormat="1" ht="14.1" customHeight="1">
      <c r="A29" s="38"/>
      <c r="B29" s="40"/>
      <c r="C29" s="41"/>
      <c r="D29" s="42"/>
      <c r="E29" s="43"/>
      <c r="F29" s="43"/>
      <c r="G29" s="44"/>
      <c r="H29" s="24"/>
      <c r="I29" s="24"/>
      <c r="J29" s="23"/>
      <c r="K29" s="21"/>
      <c r="L29" s="21"/>
      <c r="M29" s="22"/>
    </row>
    <row r="30" spans="1:13" s="1" customFormat="1" ht="14.1" customHeight="1" thickBot="1">
      <c r="A30" s="39"/>
      <c r="B30" s="28"/>
      <c r="C30" s="29"/>
      <c r="D30" s="30"/>
      <c r="E30" s="31"/>
      <c r="F30" s="31"/>
      <c r="G30" s="32"/>
      <c r="H30" s="25"/>
      <c r="I30" s="25"/>
      <c r="J30" s="218"/>
      <c r="K30" s="216"/>
      <c r="L30" s="216"/>
      <c r="M30" s="220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7"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A1:M1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54FF-19EF-44EE-B45E-A7B1424CEF25}">
  <sheetPr>
    <tabColor rgb="FF00B050"/>
    <pageSetUpPr fitToPage="1"/>
  </sheetPr>
  <dimension ref="A1:M50"/>
  <sheetViews>
    <sheetView zoomScale="110" zoomScaleNormal="110" workbookViewId="0">
      <selection sqref="A1:M1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67" t="s">
        <v>521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40" t="s">
        <v>136</v>
      </c>
      <c r="C3" s="41"/>
      <c r="D3" s="100" t="s">
        <v>135</v>
      </c>
      <c r="E3" s="101"/>
      <c r="F3" s="101"/>
      <c r="G3" s="102"/>
      <c r="H3" s="24">
        <f>SUM(I3)-3.4</f>
        <v>36.200000000000003</v>
      </c>
      <c r="I3" s="24">
        <f>SUM(J3)-3.4</f>
        <v>39.6</v>
      </c>
      <c r="J3" s="75">
        <v>43</v>
      </c>
      <c r="K3" s="76">
        <f>SUM(J3)+2.9</f>
        <v>45.9</v>
      </c>
      <c r="L3" s="76">
        <f t="shared" ref="L3:M3" si="0">SUM(K3)+2.9</f>
        <v>48.8</v>
      </c>
      <c r="M3" s="77">
        <f t="shared" si="0"/>
        <v>51.699999999999996</v>
      </c>
    </row>
    <row r="4" spans="1:13" s="1" customFormat="1" ht="14.1" customHeight="1">
      <c r="A4" s="38"/>
      <c r="B4" s="56" t="s">
        <v>36</v>
      </c>
      <c r="C4" s="56"/>
      <c r="D4" s="47" t="s">
        <v>134</v>
      </c>
      <c r="E4" s="48"/>
      <c r="F4" s="48"/>
      <c r="G4" s="48"/>
      <c r="H4" s="36"/>
      <c r="I4" s="36"/>
      <c r="J4" s="33"/>
      <c r="K4" s="24"/>
      <c r="L4" s="24"/>
      <c r="M4" s="26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SUM(I5)-1.8</f>
        <v>22.4</v>
      </c>
      <c r="I5" s="24">
        <f>SUM(J5)-1.8</f>
        <v>24.2</v>
      </c>
      <c r="J5" s="33">
        <v>26</v>
      </c>
      <c r="K5" s="24">
        <f>SUM(J5)+1.6</f>
        <v>27.6</v>
      </c>
      <c r="L5" s="24">
        <f>SUM(K5)+1.6</f>
        <v>29.200000000000003</v>
      </c>
      <c r="M5" s="26">
        <f>SUM(L5)+1.6</f>
        <v>30.800000000000004</v>
      </c>
    </row>
    <row r="6" spans="1:13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37"/>
    </row>
    <row r="7" spans="1:13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28.5</v>
      </c>
      <c r="I7" s="24">
        <f>SUM(J7)-2.25</f>
        <v>30.75</v>
      </c>
      <c r="J7" s="33">
        <v>33</v>
      </c>
      <c r="K7" s="24">
        <f>SUM(J7)+2</f>
        <v>35</v>
      </c>
      <c r="L7" s="24">
        <f>SUM(K7)+2</f>
        <v>37</v>
      </c>
      <c r="M7" s="26">
        <f>SUM(L7)+2</f>
        <v>39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37"/>
    </row>
    <row r="9" spans="1:13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SUM(I9)-2.25</f>
        <v>28.5</v>
      </c>
      <c r="I9" s="24">
        <f>SUM(J9)-2.25</f>
        <v>30.75</v>
      </c>
      <c r="J9" s="33">
        <v>33</v>
      </c>
      <c r="K9" s="24">
        <f>SUM(J9)+2</f>
        <v>35</v>
      </c>
      <c r="L9" s="24">
        <f>SUM(K9)+2</f>
        <v>37</v>
      </c>
      <c r="M9" s="26">
        <f>SUM(L9)+2</f>
        <v>39</v>
      </c>
    </row>
    <row r="10" spans="1:13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7"/>
    </row>
    <row r="11" spans="1:13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SUM(I11)-0.8</f>
        <v>13.099999999999998</v>
      </c>
      <c r="I11" s="24">
        <f>SUM(J11)-0.8</f>
        <v>13.899999999999999</v>
      </c>
      <c r="J11" s="23">
        <v>14.7</v>
      </c>
      <c r="K11" s="21">
        <f>SUM(J11+0.8)</f>
        <v>15.5</v>
      </c>
      <c r="L11" s="21">
        <f>SUM(K11+0.8)</f>
        <v>16.3</v>
      </c>
      <c r="M11" s="22">
        <f t="shared" ref="M11" si="1">SUM(L11+0.8)</f>
        <v>17.100000000000001</v>
      </c>
    </row>
    <row r="12" spans="1:13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2"/>
    </row>
    <row r="13" spans="1:13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11.8</v>
      </c>
      <c r="I13" s="24">
        <f>SUM(J13)-0.6</f>
        <v>12.4</v>
      </c>
      <c r="J13" s="23">
        <v>13</v>
      </c>
      <c r="K13" s="21">
        <f>SUM(J13)+0.6</f>
        <v>13.6</v>
      </c>
      <c r="L13" s="21">
        <f>SUM(K13)+0.6</f>
        <v>14.2</v>
      </c>
      <c r="M13" s="22">
        <f>SUM(L13)+0.6</f>
        <v>14.799999999999999</v>
      </c>
    </row>
    <row r="14" spans="1:13" s="1" customFormat="1" ht="14.1" customHeight="1">
      <c r="A14" s="38"/>
      <c r="B14" s="56" t="s">
        <v>29</v>
      </c>
      <c r="C14" s="56"/>
      <c r="D14" s="47" t="s">
        <v>255</v>
      </c>
      <c r="E14" s="48"/>
      <c r="F14" s="48"/>
      <c r="G14" s="49"/>
      <c r="H14" s="36"/>
      <c r="I14" s="36"/>
      <c r="J14" s="23"/>
      <c r="K14" s="21"/>
      <c r="L14" s="21"/>
      <c r="M14" s="22"/>
    </row>
    <row r="15" spans="1:13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5.6000000000000005</v>
      </c>
      <c r="I15" s="24">
        <f>SUM(J15)-0.3</f>
        <v>5.9</v>
      </c>
      <c r="J15" s="23">
        <v>6.2</v>
      </c>
      <c r="K15" s="21">
        <f>SUM(J15)+0.3</f>
        <v>6.5</v>
      </c>
      <c r="L15" s="21">
        <f>SUM(K15)+0.3</f>
        <v>6.8</v>
      </c>
      <c r="M15" s="22">
        <f>SUM(L15)+0.3</f>
        <v>7.1</v>
      </c>
    </row>
    <row r="16" spans="1:13" s="1" customFormat="1" ht="14.1" customHeight="1">
      <c r="A16" s="38"/>
      <c r="B16" s="56" t="s">
        <v>30</v>
      </c>
      <c r="C16" s="56"/>
      <c r="D16" s="47" t="s">
        <v>379</v>
      </c>
      <c r="E16" s="48"/>
      <c r="F16" s="48"/>
      <c r="G16" s="49"/>
      <c r="H16" s="36"/>
      <c r="I16" s="36"/>
      <c r="J16" s="23"/>
      <c r="K16" s="21"/>
      <c r="L16" s="21"/>
      <c r="M16" s="22"/>
    </row>
    <row r="17" spans="1:13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30.799999999999997</v>
      </c>
      <c r="I17" s="24">
        <f>SUM(J17)-1.6</f>
        <v>32.4</v>
      </c>
      <c r="J17" s="23">
        <v>34</v>
      </c>
      <c r="K17" s="21">
        <f>SUM(J17)+1.6</f>
        <v>35.6</v>
      </c>
      <c r="L17" s="21">
        <f>SUM(K17)+1.6</f>
        <v>37.200000000000003</v>
      </c>
      <c r="M17" s="22">
        <f>SUM(L17)+1.6</f>
        <v>38.800000000000004</v>
      </c>
    </row>
    <row r="18" spans="1:13" s="1" customFormat="1" ht="14.1" customHeight="1">
      <c r="A18" s="38"/>
      <c r="B18" s="56" t="s">
        <v>37</v>
      </c>
      <c r="C18" s="56"/>
      <c r="D18" s="47" t="s">
        <v>107</v>
      </c>
      <c r="E18" s="48"/>
      <c r="F18" s="48"/>
      <c r="G18" s="49"/>
      <c r="H18" s="36"/>
      <c r="I18" s="36"/>
      <c r="J18" s="23"/>
      <c r="K18" s="21"/>
      <c r="L18" s="21"/>
      <c r="M18" s="22"/>
    </row>
    <row r="19" spans="1:13" s="1" customFormat="1" ht="14.1" customHeight="1">
      <c r="A19" s="38">
        <v>9</v>
      </c>
      <c r="B19" s="51" t="s">
        <v>202</v>
      </c>
      <c r="C19" s="52"/>
      <c r="D19" s="59"/>
      <c r="E19" s="60"/>
      <c r="F19" s="60"/>
      <c r="G19" s="61"/>
      <c r="H19" s="24">
        <f>SUM(I19)-0.2</f>
        <v>6.8</v>
      </c>
      <c r="I19" s="24">
        <f>SUM(J19)-0.2</f>
        <v>7</v>
      </c>
      <c r="J19" s="23">
        <v>7.2</v>
      </c>
      <c r="K19" s="21">
        <f>SUM(J19)+0.2</f>
        <v>7.4</v>
      </c>
      <c r="L19" s="21">
        <f>SUM(K19)+0.2</f>
        <v>7.6000000000000005</v>
      </c>
      <c r="M19" s="22">
        <f>SUM(L19)+0.2</f>
        <v>7.8000000000000007</v>
      </c>
    </row>
    <row r="20" spans="1:13" s="1" customFormat="1" ht="14.1" customHeight="1">
      <c r="A20" s="38"/>
      <c r="B20" s="56" t="s">
        <v>203</v>
      </c>
      <c r="C20" s="56"/>
      <c r="D20" s="47" t="s">
        <v>491</v>
      </c>
      <c r="E20" s="48"/>
      <c r="F20" s="48"/>
      <c r="G20" s="49"/>
      <c r="H20" s="36"/>
      <c r="I20" s="36"/>
      <c r="J20" s="23"/>
      <c r="K20" s="21"/>
      <c r="L20" s="21"/>
      <c r="M20" s="22"/>
    </row>
    <row r="21" spans="1:13" s="1" customFormat="1" ht="14.1" customHeight="1">
      <c r="A21" s="38">
        <v>10</v>
      </c>
      <c r="B21" s="58" t="s">
        <v>4</v>
      </c>
      <c r="C21" s="58"/>
      <c r="D21" s="57" t="s">
        <v>5</v>
      </c>
      <c r="E21" s="57"/>
      <c r="F21" s="57"/>
      <c r="G21" s="57"/>
      <c r="H21" s="24">
        <f>SUM(I21)-3.6</f>
        <v>32.799999999999997</v>
      </c>
      <c r="I21" s="24">
        <f>SUM(J21)-3.6</f>
        <v>36.4</v>
      </c>
      <c r="J21" s="23">
        <v>40</v>
      </c>
      <c r="K21" s="21">
        <f>SUM(J21)+3.7</f>
        <v>43.7</v>
      </c>
      <c r="L21" s="21">
        <f>SUM(K21)+3.7</f>
        <v>47.400000000000006</v>
      </c>
      <c r="M21" s="22">
        <f>SUM(L21)+3.7</f>
        <v>51.100000000000009</v>
      </c>
    </row>
    <row r="22" spans="1:13" s="1" customFormat="1" ht="14.1" customHeight="1">
      <c r="A22" s="38"/>
      <c r="B22" s="56" t="s">
        <v>31</v>
      </c>
      <c r="C22" s="56"/>
      <c r="D22" s="47" t="s">
        <v>54</v>
      </c>
      <c r="E22" s="48"/>
      <c r="F22" s="48"/>
      <c r="G22" s="49"/>
      <c r="H22" s="36"/>
      <c r="I22" s="36"/>
      <c r="J22" s="23"/>
      <c r="K22" s="21"/>
      <c r="L22" s="21"/>
      <c r="M22" s="22"/>
    </row>
    <row r="23" spans="1:13" s="1" customFormat="1" ht="14.1" customHeight="1">
      <c r="A23" s="38">
        <v>11</v>
      </c>
      <c r="B23" s="58" t="s">
        <v>6</v>
      </c>
      <c r="C23" s="58"/>
      <c r="D23" s="59" t="s">
        <v>7</v>
      </c>
      <c r="E23" s="60"/>
      <c r="F23" s="60"/>
      <c r="G23" s="61"/>
      <c r="H23" s="24">
        <f>SUM(I23)-1.5</f>
        <v>22.8</v>
      </c>
      <c r="I23" s="24">
        <f>SUM(J23)-1.5</f>
        <v>24.3</v>
      </c>
      <c r="J23" s="23">
        <v>25.8</v>
      </c>
      <c r="K23" s="21">
        <f>SUM(J23)+1.5</f>
        <v>27.3</v>
      </c>
      <c r="L23" s="21">
        <f t="shared" ref="L23:M23" si="2">SUM(K23)+1.5</f>
        <v>28.8</v>
      </c>
      <c r="M23" s="22">
        <f t="shared" si="2"/>
        <v>30.3</v>
      </c>
    </row>
    <row r="24" spans="1:13" s="1" customFormat="1" ht="14.1" customHeight="1">
      <c r="A24" s="38"/>
      <c r="B24" s="56" t="s">
        <v>32</v>
      </c>
      <c r="C24" s="56"/>
      <c r="D24" s="47" t="s">
        <v>76</v>
      </c>
      <c r="E24" s="48"/>
      <c r="F24" s="48"/>
      <c r="G24" s="49"/>
      <c r="H24" s="36"/>
      <c r="I24" s="36"/>
      <c r="J24" s="23"/>
      <c r="K24" s="21"/>
      <c r="L24" s="21"/>
      <c r="M24" s="22"/>
    </row>
    <row r="25" spans="1:13" s="1" customFormat="1" ht="14.1" customHeight="1">
      <c r="A25" s="38">
        <v>12</v>
      </c>
      <c r="B25" s="51" t="s">
        <v>77</v>
      </c>
      <c r="C25" s="52"/>
      <c r="D25" s="57" t="s">
        <v>78</v>
      </c>
      <c r="E25" s="57"/>
      <c r="F25" s="57"/>
      <c r="G25" s="57"/>
      <c r="H25" s="24">
        <f>SUM(I25)-0.7</f>
        <v>16</v>
      </c>
      <c r="I25" s="24">
        <f>SUM(J25)-0.7</f>
        <v>16.7</v>
      </c>
      <c r="J25" s="23">
        <v>17.399999999999999</v>
      </c>
      <c r="K25" s="21">
        <f>SUM(J25)+0.7</f>
        <v>18.099999999999998</v>
      </c>
      <c r="L25" s="21">
        <f>SUM(K25)+0.7</f>
        <v>18.799999999999997</v>
      </c>
      <c r="M25" s="22">
        <f>SUM(L25)+0.7</f>
        <v>19.499999999999996</v>
      </c>
    </row>
    <row r="26" spans="1:13" s="1" customFormat="1" ht="14.1" customHeight="1">
      <c r="A26" s="38"/>
      <c r="B26" s="56" t="s">
        <v>33</v>
      </c>
      <c r="C26" s="56"/>
      <c r="D26" s="47" t="s">
        <v>79</v>
      </c>
      <c r="E26" s="48"/>
      <c r="F26" s="48"/>
      <c r="G26" s="49"/>
      <c r="H26" s="36"/>
      <c r="I26" s="36"/>
      <c r="J26" s="23"/>
      <c r="K26" s="21"/>
      <c r="L26" s="21"/>
      <c r="M26" s="22"/>
    </row>
    <row r="27" spans="1:13" s="1" customFormat="1" ht="14.1" customHeight="1">
      <c r="A27" s="38">
        <v>13</v>
      </c>
      <c r="B27" s="51" t="s">
        <v>205</v>
      </c>
      <c r="C27" s="52"/>
      <c r="D27" s="53"/>
      <c r="E27" s="54"/>
      <c r="F27" s="54"/>
      <c r="G27" s="55"/>
      <c r="H27" s="24">
        <f>SUM(I27)</f>
        <v>10.5</v>
      </c>
      <c r="I27" s="24">
        <f>SUM(J27)</f>
        <v>10.5</v>
      </c>
      <c r="J27" s="23">
        <v>10.5</v>
      </c>
      <c r="K27" s="21">
        <f>SUM(J27)+0.2</f>
        <v>10.7</v>
      </c>
      <c r="L27" s="21">
        <f>SUM(K27)+0.2</f>
        <v>10.899999999999999</v>
      </c>
      <c r="M27" s="22">
        <f>SUM(L27)+0.2</f>
        <v>11.099999999999998</v>
      </c>
    </row>
    <row r="28" spans="1:13" s="1" customFormat="1" ht="14.1" customHeight="1">
      <c r="A28" s="38"/>
      <c r="B28" s="45" t="s">
        <v>206</v>
      </c>
      <c r="C28" s="46"/>
      <c r="D28" s="47" t="s">
        <v>461</v>
      </c>
      <c r="E28" s="48"/>
      <c r="F28" s="48"/>
      <c r="G28" s="49"/>
      <c r="H28" s="36"/>
      <c r="I28" s="36"/>
      <c r="J28" s="23"/>
      <c r="K28" s="21"/>
      <c r="L28" s="21"/>
      <c r="M28" s="22"/>
    </row>
    <row r="29" spans="1:13" s="1" customFormat="1" ht="14.1" customHeight="1">
      <c r="A29" s="71">
        <v>14</v>
      </c>
      <c r="B29" s="51"/>
      <c r="C29" s="52"/>
      <c r="D29" s="53"/>
      <c r="E29" s="54"/>
      <c r="F29" s="54"/>
      <c r="G29" s="55"/>
      <c r="H29" s="24"/>
      <c r="I29" s="24"/>
      <c r="J29" s="23"/>
      <c r="K29" s="21"/>
      <c r="L29" s="21"/>
      <c r="M29" s="22"/>
    </row>
    <row r="30" spans="1:13" s="1" customFormat="1" ht="14.1" customHeight="1">
      <c r="A30" s="154"/>
      <c r="B30" s="45"/>
      <c r="C30" s="46"/>
      <c r="D30" s="47"/>
      <c r="E30" s="48"/>
      <c r="F30" s="48"/>
      <c r="G30" s="49"/>
      <c r="H30" s="36"/>
      <c r="I30" s="36"/>
      <c r="J30" s="23"/>
      <c r="K30" s="21"/>
      <c r="L30" s="21"/>
      <c r="M30" s="22"/>
    </row>
    <row r="31" spans="1:13" s="1" customFormat="1" ht="14.1" customHeight="1">
      <c r="A31" s="38">
        <v>15</v>
      </c>
      <c r="B31" s="51"/>
      <c r="C31" s="52"/>
      <c r="D31" s="53"/>
      <c r="E31" s="54"/>
      <c r="F31" s="54"/>
      <c r="G31" s="55"/>
      <c r="H31" s="24"/>
      <c r="I31" s="24"/>
      <c r="J31" s="23"/>
      <c r="K31" s="21"/>
      <c r="L31" s="21"/>
      <c r="M31" s="22"/>
    </row>
    <row r="32" spans="1:13" s="1" customFormat="1" ht="14.1" customHeight="1">
      <c r="A32" s="38"/>
      <c r="B32" s="45"/>
      <c r="C32" s="46"/>
      <c r="D32" s="47"/>
      <c r="E32" s="48"/>
      <c r="F32" s="48"/>
      <c r="G32" s="49"/>
      <c r="H32" s="36"/>
      <c r="I32" s="36"/>
      <c r="J32" s="23"/>
      <c r="K32" s="21"/>
      <c r="L32" s="21"/>
      <c r="M32" s="22"/>
    </row>
    <row r="33" spans="1:13" s="1" customFormat="1" ht="14.1" customHeight="1">
      <c r="A33" s="71">
        <v>16</v>
      </c>
      <c r="B33" s="40"/>
      <c r="C33" s="41"/>
      <c r="D33" s="42"/>
      <c r="E33" s="43"/>
      <c r="F33" s="43"/>
      <c r="G33" s="44"/>
      <c r="H33" s="50"/>
      <c r="I33" s="50"/>
      <c r="J33" s="35"/>
      <c r="K33" s="36"/>
      <c r="L33" s="36"/>
      <c r="M33" s="22"/>
    </row>
    <row r="34" spans="1:13" s="1" customFormat="1" ht="13.5" customHeight="1" thickBot="1">
      <c r="A34" s="39"/>
      <c r="B34" s="28"/>
      <c r="C34" s="29"/>
      <c r="D34" s="30"/>
      <c r="E34" s="31"/>
      <c r="F34" s="31"/>
      <c r="G34" s="32"/>
      <c r="H34" s="25"/>
      <c r="I34" s="25"/>
      <c r="J34" s="218"/>
      <c r="K34" s="216"/>
      <c r="L34" s="216"/>
      <c r="M34" s="220"/>
    </row>
    <row r="35" spans="1:13" s="1" customFormat="1" ht="14.1" customHeight="1"/>
    <row r="36" spans="1:13" s="1" customFormat="1" ht="14.1" customHeight="1"/>
    <row r="37" spans="1:13" s="1" customFormat="1" ht="14.1" customHeight="1"/>
    <row r="38" spans="1:13" s="1" customFormat="1" ht="14.1" customHeight="1"/>
    <row r="39" spans="1:13" s="1" customFormat="1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>
      <c r="B44" s="6"/>
      <c r="C44" s="6"/>
      <c r="D44" s="6"/>
      <c r="E44" s="6"/>
      <c r="F44" s="6"/>
      <c r="G44" s="6"/>
    </row>
    <row r="45" spans="1:13" ht="14.1" customHeight="1">
      <c r="B45" s="6"/>
      <c r="C45" s="6"/>
      <c r="D45" s="6"/>
      <c r="E45" s="6"/>
      <c r="F45" s="6"/>
      <c r="G45" s="6"/>
    </row>
    <row r="46" spans="1:13" ht="14.1" customHeight="1">
      <c r="B46" s="6"/>
      <c r="C46" s="6"/>
      <c r="D46" s="6"/>
      <c r="E46" s="6"/>
      <c r="F46" s="6"/>
      <c r="G46" s="6"/>
    </row>
    <row r="47" spans="1:13" ht="14.1" customHeight="1"/>
    <row r="48" spans="1:13" ht="14.1" customHeight="1"/>
    <row r="49" ht="14.1" customHeight="1"/>
    <row r="50" ht="14.1" customHeight="1"/>
  </sheetData>
  <mergeCells count="179">
    <mergeCell ref="B2:C2"/>
    <mergeCell ref="D2:G2"/>
    <mergeCell ref="A3:A4"/>
    <mergeCell ref="B3:C3"/>
    <mergeCell ref="D3:G3"/>
    <mergeCell ref="H3:H4"/>
    <mergeCell ref="I3:I4"/>
    <mergeCell ref="B6:C6"/>
    <mergeCell ref="D6:G6"/>
    <mergeCell ref="B4:C4"/>
    <mergeCell ref="D4:G4"/>
    <mergeCell ref="J3:J4"/>
    <mergeCell ref="K3:K4"/>
    <mergeCell ref="J5:J6"/>
    <mergeCell ref="K5:K6"/>
    <mergeCell ref="L5:L6"/>
    <mergeCell ref="M5:M6"/>
    <mergeCell ref="L3:L4"/>
    <mergeCell ref="M3:M4"/>
    <mergeCell ref="A5:A6"/>
    <mergeCell ref="B5:C5"/>
    <mergeCell ref="D5:G5"/>
    <mergeCell ref="H5:H6"/>
    <mergeCell ref="I5:I6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7:K8"/>
    <mergeCell ref="L7:L8"/>
    <mergeCell ref="M7:M8"/>
    <mergeCell ref="B8:C8"/>
    <mergeCell ref="D8:G8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A1:M1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A5A88-D4AD-4E86-918A-3095FD39F2DB}">
  <sheetPr>
    <tabColor rgb="FF00B050"/>
    <pageSetUpPr fitToPage="1"/>
  </sheetPr>
  <dimension ref="A1:M51"/>
  <sheetViews>
    <sheetView zoomScale="110" zoomScaleNormal="110" workbookViewId="0">
      <selection activeCell="B25" sqref="B25:G2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422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40" t="s">
        <v>434</v>
      </c>
      <c r="C3" s="41"/>
      <c r="D3" s="100" t="s">
        <v>184</v>
      </c>
      <c r="E3" s="101"/>
      <c r="F3" s="101"/>
      <c r="G3" s="102"/>
      <c r="H3" s="24">
        <f>SUM(I3)-3</f>
        <v>33</v>
      </c>
      <c r="I3" s="24">
        <f>SUM(J3)-3</f>
        <v>36</v>
      </c>
      <c r="J3" s="75">
        <v>39</v>
      </c>
      <c r="K3" s="76">
        <f>SUM(J3)+2.5</f>
        <v>41.5</v>
      </c>
      <c r="L3" s="76">
        <f>SUM(K3)+2.5</f>
        <v>44</v>
      </c>
      <c r="M3" s="77">
        <f>SUM(L3)+2.5</f>
        <v>46.5</v>
      </c>
    </row>
    <row r="4" spans="1:13" s="1" customFormat="1" ht="14.1" customHeight="1">
      <c r="A4" s="38"/>
      <c r="B4" s="56" t="s">
        <v>435</v>
      </c>
      <c r="C4" s="56"/>
      <c r="D4" s="47" t="s">
        <v>124</v>
      </c>
      <c r="E4" s="48"/>
      <c r="F4" s="48"/>
      <c r="G4" s="48"/>
      <c r="H4" s="36"/>
      <c r="I4" s="36"/>
      <c r="J4" s="33"/>
      <c r="K4" s="24"/>
      <c r="L4" s="24"/>
      <c r="M4" s="26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SUM(I5)-1.8</f>
        <v>27.4</v>
      </c>
      <c r="I5" s="24">
        <f>SUM(J5)-1.8</f>
        <v>29.2</v>
      </c>
      <c r="J5" s="23">
        <v>31</v>
      </c>
      <c r="K5" s="21">
        <f>SUM(J5)+1.6</f>
        <v>32.6</v>
      </c>
      <c r="L5" s="21">
        <f>SUM(K5)+1.6</f>
        <v>34.200000000000003</v>
      </c>
      <c r="M5" s="22">
        <f>SUM(L5)+1.6</f>
        <v>35.800000000000004</v>
      </c>
    </row>
    <row r="6" spans="1:13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23"/>
      <c r="K6" s="21"/>
      <c r="L6" s="21"/>
      <c r="M6" s="22"/>
    </row>
    <row r="7" spans="1:13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35</v>
      </c>
      <c r="I7" s="24">
        <f>SUM(J7)-2.25</f>
        <v>37.25</v>
      </c>
      <c r="J7" s="23">
        <v>39.5</v>
      </c>
      <c r="K7" s="21">
        <f>SUM(J7)+2</f>
        <v>41.5</v>
      </c>
      <c r="L7" s="21">
        <f>SUM(K7)+2</f>
        <v>43.5</v>
      </c>
      <c r="M7" s="22">
        <f>SUM(L7)+2</f>
        <v>45.5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23"/>
      <c r="K8" s="21"/>
      <c r="L8" s="21"/>
      <c r="M8" s="22"/>
    </row>
    <row r="9" spans="1:13" s="1" customFormat="1" ht="14.1" customHeight="1">
      <c r="A9" s="38">
        <v>4</v>
      </c>
      <c r="B9" s="58" t="s">
        <v>227</v>
      </c>
      <c r="C9" s="58"/>
      <c r="D9" s="57" t="s">
        <v>437</v>
      </c>
      <c r="E9" s="57"/>
      <c r="F9" s="57"/>
      <c r="G9" s="57"/>
      <c r="H9" s="24">
        <f>SUM(I9)-3.5</f>
        <v>57</v>
      </c>
      <c r="I9" s="24">
        <f>SUM(J9)-3.5</f>
        <v>60.5</v>
      </c>
      <c r="J9" s="23">
        <v>64</v>
      </c>
      <c r="K9" s="21">
        <f>SUM(J9)+3.5</f>
        <v>67.5</v>
      </c>
      <c r="L9" s="21">
        <f>SUM(K9)+3.5</f>
        <v>71</v>
      </c>
      <c r="M9" s="22">
        <f>SUM(L9)+3.5</f>
        <v>74.5</v>
      </c>
    </row>
    <row r="10" spans="1:13" s="1" customFormat="1" ht="14.1" customHeight="1">
      <c r="A10" s="38"/>
      <c r="B10" s="56" t="s">
        <v>436</v>
      </c>
      <c r="C10" s="56"/>
      <c r="D10" s="47" t="s">
        <v>438</v>
      </c>
      <c r="E10" s="48"/>
      <c r="F10" s="48"/>
      <c r="G10" s="49"/>
      <c r="H10" s="36"/>
      <c r="I10" s="36"/>
      <c r="J10" s="23"/>
      <c r="K10" s="21"/>
      <c r="L10" s="21"/>
      <c r="M10" s="22"/>
    </row>
    <row r="11" spans="1:13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SUM(I11)-0.8</f>
        <v>14.399999999999999</v>
      </c>
      <c r="I11" s="24">
        <f>SUM(J11)-0.8</f>
        <v>15.2</v>
      </c>
      <c r="J11" s="23">
        <v>16</v>
      </c>
      <c r="K11" s="21">
        <f>SUM(J11)+0.9</f>
        <v>16.899999999999999</v>
      </c>
      <c r="L11" s="21">
        <f>SUM(K11)+0.9</f>
        <v>17.799999999999997</v>
      </c>
      <c r="M11" s="22">
        <f>SUM(L11)+0.9</f>
        <v>18.699999999999996</v>
      </c>
    </row>
    <row r="12" spans="1:13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2"/>
    </row>
    <row r="13" spans="1:13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14.8</v>
      </c>
      <c r="I13" s="24">
        <f>SUM(J13)-0.6</f>
        <v>15.4</v>
      </c>
      <c r="J13" s="23">
        <v>16</v>
      </c>
      <c r="K13" s="21">
        <f>SUM(J13)+0.6</f>
        <v>16.600000000000001</v>
      </c>
      <c r="L13" s="21">
        <f>SUM(K13)+0.6</f>
        <v>17.200000000000003</v>
      </c>
      <c r="M13" s="22">
        <f>SUM(L13)+0.6</f>
        <v>17.800000000000004</v>
      </c>
    </row>
    <row r="14" spans="1:13" s="1" customFormat="1" ht="14.1" customHeight="1">
      <c r="A14" s="38"/>
      <c r="B14" s="56" t="s">
        <v>29</v>
      </c>
      <c r="C14" s="56"/>
      <c r="D14" s="47" t="s">
        <v>154</v>
      </c>
      <c r="E14" s="48"/>
      <c r="F14" s="48"/>
      <c r="G14" s="49"/>
      <c r="H14" s="36"/>
      <c r="I14" s="36"/>
      <c r="J14" s="23"/>
      <c r="K14" s="21"/>
      <c r="L14" s="21"/>
      <c r="M14" s="22"/>
    </row>
    <row r="15" spans="1:13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4.9000000000000004</v>
      </c>
      <c r="I15" s="24">
        <f>SUM(J15)-0.3</f>
        <v>5.2</v>
      </c>
      <c r="J15" s="23">
        <v>5.5</v>
      </c>
      <c r="K15" s="21">
        <f>SUM(J15)+0.3</f>
        <v>5.8</v>
      </c>
      <c r="L15" s="21">
        <f>SUM(K15)+0.3</f>
        <v>6.1</v>
      </c>
      <c r="M15" s="22">
        <f>SUM(L15)+0.3</f>
        <v>6.3999999999999995</v>
      </c>
    </row>
    <row r="16" spans="1:13" s="1" customFormat="1" ht="14.1" customHeight="1">
      <c r="A16" s="38"/>
      <c r="B16" s="56" t="s">
        <v>30</v>
      </c>
      <c r="C16" s="56"/>
      <c r="D16" s="47" t="s">
        <v>155</v>
      </c>
      <c r="E16" s="48"/>
      <c r="F16" s="48"/>
      <c r="G16" s="49"/>
      <c r="H16" s="36"/>
      <c r="I16" s="36"/>
      <c r="J16" s="23"/>
      <c r="K16" s="21"/>
      <c r="L16" s="21"/>
      <c r="M16" s="22"/>
    </row>
    <row r="17" spans="1:13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37.799999999999997</v>
      </c>
      <c r="I17" s="24">
        <f>SUM(J17)-1.6</f>
        <v>39.4</v>
      </c>
      <c r="J17" s="23">
        <v>41</v>
      </c>
      <c r="K17" s="21">
        <f>SUM(J17)+1.6</f>
        <v>42.6</v>
      </c>
      <c r="L17" s="21">
        <f>SUM(K17)+1.6</f>
        <v>44.2</v>
      </c>
      <c r="M17" s="22">
        <f>SUM(L17)+1.6</f>
        <v>45.800000000000004</v>
      </c>
    </row>
    <row r="18" spans="1:13" s="1" customFormat="1" ht="14.1" customHeight="1">
      <c r="A18" s="38"/>
      <c r="B18" s="56" t="s">
        <v>37</v>
      </c>
      <c r="C18" s="56"/>
      <c r="D18" s="47" t="s">
        <v>156</v>
      </c>
      <c r="E18" s="48"/>
      <c r="F18" s="48"/>
      <c r="G18" s="49"/>
      <c r="H18" s="36"/>
      <c r="I18" s="36"/>
      <c r="J18" s="23"/>
      <c r="K18" s="21"/>
      <c r="L18" s="21"/>
      <c r="M18" s="22"/>
    </row>
    <row r="19" spans="1:13" s="1" customFormat="1" ht="14.1" customHeight="1">
      <c r="A19" s="38">
        <v>9</v>
      </c>
      <c r="B19" s="51" t="s">
        <v>4</v>
      </c>
      <c r="C19" s="52"/>
      <c r="D19" s="57" t="s">
        <v>5</v>
      </c>
      <c r="E19" s="57"/>
      <c r="F19" s="57"/>
      <c r="G19" s="57"/>
      <c r="H19" s="24">
        <f>SUM(I19)-3.6</f>
        <v>31.299999999999997</v>
      </c>
      <c r="I19" s="24">
        <f>SUM(J19)-3.6</f>
        <v>34.9</v>
      </c>
      <c r="J19" s="23">
        <v>38.5</v>
      </c>
      <c r="K19" s="21">
        <f>SUM(J19)+3.7</f>
        <v>42.2</v>
      </c>
      <c r="L19" s="21">
        <f>SUM(K19)+3.7</f>
        <v>45.900000000000006</v>
      </c>
      <c r="M19" s="22">
        <f>SUM(L19)+3.7</f>
        <v>49.600000000000009</v>
      </c>
    </row>
    <row r="20" spans="1:13" s="1" customFormat="1" ht="14.1" customHeight="1">
      <c r="A20" s="38"/>
      <c r="B20" s="56" t="s">
        <v>31</v>
      </c>
      <c r="C20" s="56"/>
      <c r="D20" s="47" t="s">
        <v>54</v>
      </c>
      <c r="E20" s="48"/>
      <c r="F20" s="48"/>
      <c r="G20" s="49"/>
      <c r="H20" s="36"/>
      <c r="I20" s="36"/>
      <c r="J20" s="23"/>
      <c r="K20" s="21"/>
      <c r="L20" s="21"/>
      <c r="M20" s="22"/>
    </row>
    <row r="21" spans="1:13" s="1" customFormat="1" ht="13.5" customHeight="1">
      <c r="A21" s="38">
        <v>10</v>
      </c>
      <c r="B21" s="51" t="s">
        <v>6</v>
      </c>
      <c r="C21" s="52"/>
      <c r="D21" s="59" t="s">
        <v>7</v>
      </c>
      <c r="E21" s="60"/>
      <c r="F21" s="60"/>
      <c r="G21" s="61"/>
      <c r="H21" s="24">
        <f>SUM(I21)-1.6</f>
        <v>27.999999999999996</v>
      </c>
      <c r="I21" s="24">
        <f>SUM(J21)-1.6</f>
        <v>29.599999999999998</v>
      </c>
      <c r="J21" s="23">
        <v>31.2</v>
      </c>
      <c r="K21" s="21">
        <f>SUM(J21)+1.6</f>
        <v>32.799999999999997</v>
      </c>
      <c r="L21" s="21">
        <f>SUM(K21)+1.6</f>
        <v>34.4</v>
      </c>
      <c r="M21" s="22">
        <f>SUM(L21)+1.6</f>
        <v>36</v>
      </c>
    </row>
    <row r="22" spans="1:13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9"/>
      <c r="H22" s="36"/>
      <c r="I22" s="36"/>
      <c r="J22" s="23"/>
      <c r="K22" s="21"/>
      <c r="L22" s="21"/>
      <c r="M22" s="22"/>
    </row>
    <row r="23" spans="1:13" s="1" customFormat="1" ht="14.1" customHeight="1">
      <c r="A23" s="154">
        <v>11</v>
      </c>
      <c r="B23" s="51" t="s">
        <v>77</v>
      </c>
      <c r="C23" s="52"/>
      <c r="D23" s="57" t="s">
        <v>78</v>
      </c>
      <c r="E23" s="57"/>
      <c r="F23" s="57"/>
      <c r="G23" s="57"/>
      <c r="H23" s="24">
        <f>SUM(I23)-0.6</f>
        <v>14</v>
      </c>
      <c r="I23" s="24">
        <f>SUM(J23)-0.6</f>
        <v>14.6</v>
      </c>
      <c r="J23" s="23">
        <v>15.2</v>
      </c>
      <c r="K23" s="21">
        <f>SUM(J23)+0.6</f>
        <v>15.799999999999999</v>
      </c>
      <c r="L23" s="21">
        <f>SUM(K23)+0.6</f>
        <v>16.399999999999999</v>
      </c>
      <c r="M23" s="22">
        <f>SUM(L23)+0.6</f>
        <v>17</v>
      </c>
    </row>
    <row r="24" spans="1:13" s="1" customFormat="1" ht="14.1" customHeight="1">
      <c r="A24" s="71"/>
      <c r="B24" s="56" t="s">
        <v>33</v>
      </c>
      <c r="C24" s="56"/>
      <c r="D24" s="47" t="s">
        <v>79</v>
      </c>
      <c r="E24" s="48"/>
      <c r="F24" s="48"/>
      <c r="G24" s="49"/>
      <c r="H24" s="36"/>
      <c r="I24" s="36"/>
      <c r="J24" s="23"/>
      <c r="K24" s="21"/>
      <c r="L24" s="21"/>
      <c r="M24" s="22"/>
    </row>
    <row r="25" spans="1:13" s="1" customFormat="1" ht="14.1" customHeight="1">
      <c r="A25" s="38">
        <v>12</v>
      </c>
      <c r="B25" s="51" t="s">
        <v>176</v>
      </c>
      <c r="C25" s="52"/>
      <c r="D25" s="53"/>
      <c r="E25" s="54"/>
      <c r="F25" s="54"/>
      <c r="G25" s="55"/>
      <c r="H25" s="24">
        <f>SUM(I25)-0.3</f>
        <v>3.4000000000000004</v>
      </c>
      <c r="I25" s="24">
        <f>SUM(J25)-0.3</f>
        <v>3.7</v>
      </c>
      <c r="J25" s="23">
        <v>4</v>
      </c>
      <c r="K25" s="21">
        <f>SUM(J25)+0.3</f>
        <v>4.3</v>
      </c>
      <c r="L25" s="21">
        <f>SUM(K25)+0.3</f>
        <v>4.5999999999999996</v>
      </c>
      <c r="M25" s="22">
        <f>SUM(L25)+0.3</f>
        <v>4.8999999999999995</v>
      </c>
    </row>
    <row r="26" spans="1:13" s="1" customFormat="1" ht="14.1" customHeight="1">
      <c r="A26" s="38"/>
      <c r="B26" s="45" t="s">
        <v>175</v>
      </c>
      <c r="C26" s="46"/>
      <c r="D26" s="47" t="s">
        <v>269</v>
      </c>
      <c r="E26" s="48"/>
      <c r="F26" s="48"/>
      <c r="G26" s="49"/>
      <c r="H26" s="36"/>
      <c r="I26" s="36"/>
      <c r="J26" s="23"/>
      <c r="K26" s="21"/>
      <c r="L26" s="21"/>
      <c r="M26" s="22"/>
    </row>
    <row r="27" spans="1:13" s="1" customFormat="1" ht="14.1" customHeight="1">
      <c r="A27" s="38">
        <v>13</v>
      </c>
      <c r="B27" s="51"/>
      <c r="C27" s="52"/>
      <c r="D27" s="59"/>
      <c r="E27" s="60"/>
      <c r="F27" s="60"/>
      <c r="G27" s="61"/>
      <c r="H27" s="24"/>
      <c r="I27" s="24"/>
      <c r="J27" s="23"/>
      <c r="K27" s="21"/>
      <c r="L27" s="21"/>
      <c r="M27" s="22"/>
    </row>
    <row r="28" spans="1:13" s="1" customFormat="1" ht="14.1" customHeight="1">
      <c r="A28" s="38"/>
      <c r="B28" s="56"/>
      <c r="C28" s="56"/>
      <c r="D28" s="47"/>
      <c r="E28" s="48"/>
      <c r="F28" s="48"/>
      <c r="G28" s="49"/>
      <c r="H28" s="36"/>
      <c r="I28" s="36"/>
      <c r="J28" s="23"/>
      <c r="K28" s="21"/>
      <c r="L28" s="21"/>
      <c r="M28" s="22"/>
    </row>
    <row r="29" spans="1:13" s="1" customFormat="1" ht="14.1" customHeight="1">
      <c r="A29" s="38">
        <v>14</v>
      </c>
      <c r="B29" s="51"/>
      <c r="C29" s="52"/>
      <c r="D29" s="57"/>
      <c r="E29" s="57"/>
      <c r="F29" s="57"/>
      <c r="G29" s="57"/>
      <c r="H29" s="24"/>
      <c r="I29" s="24"/>
      <c r="J29" s="23"/>
      <c r="K29" s="21"/>
      <c r="L29" s="21"/>
      <c r="M29" s="22"/>
    </row>
    <row r="30" spans="1:13" s="1" customFormat="1" ht="14.1" customHeight="1">
      <c r="A30" s="38"/>
      <c r="B30" s="56"/>
      <c r="C30" s="56"/>
      <c r="D30" s="47"/>
      <c r="E30" s="48"/>
      <c r="F30" s="48"/>
      <c r="G30" s="49"/>
      <c r="H30" s="36"/>
      <c r="I30" s="36"/>
      <c r="J30" s="23"/>
      <c r="K30" s="21"/>
      <c r="L30" s="21"/>
      <c r="M30" s="22"/>
    </row>
    <row r="31" spans="1:13" s="1" customFormat="1" ht="14.1" customHeight="1">
      <c r="A31" s="154">
        <v>15</v>
      </c>
      <c r="B31" s="51"/>
      <c r="C31" s="52"/>
      <c r="D31" s="59"/>
      <c r="E31" s="60"/>
      <c r="F31" s="60"/>
      <c r="G31" s="61"/>
      <c r="H31" s="24"/>
      <c r="I31" s="24"/>
      <c r="J31" s="33"/>
      <c r="K31" s="24"/>
      <c r="L31" s="24"/>
      <c r="M31" s="26"/>
    </row>
    <row r="32" spans="1:13" s="1" customFormat="1" ht="14.1" customHeight="1">
      <c r="A32" s="71"/>
      <c r="B32" s="45"/>
      <c r="C32" s="46"/>
      <c r="D32" s="47"/>
      <c r="E32" s="48"/>
      <c r="F32" s="48"/>
      <c r="G32" s="49"/>
      <c r="H32" s="36"/>
      <c r="I32" s="36"/>
      <c r="J32" s="35"/>
      <c r="K32" s="36"/>
      <c r="L32" s="36"/>
      <c r="M32" s="37"/>
    </row>
    <row r="33" spans="1:13" s="1" customFormat="1" ht="14.1" customHeight="1">
      <c r="A33" s="154">
        <v>16</v>
      </c>
      <c r="B33" s="51"/>
      <c r="C33" s="52"/>
      <c r="D33" s="59"/>
      <c r="E33" s="60"/>
      <c r="F33" s="60"/>
      <c r="G33" s="61"/>
      <c r="H33" s="24"/>
      <c r="I33" s="24"/>
      <c r="J33" s="33"/>
      <c r="K33" s="24"/>
      <c r="L33" s="24"/>
      <c r="M33" s="26"/>
    </row>
    <row r="34" spans="1:13" s="1" customFormat="1" ht="14.1" customHeight="1" thickBot="1">
      <c r="A34" s="168"/>
      <c r="B34" s="28"/>
      <c r="C34" s="29"/>
      <c r="D34" s="30"/>
      <c r="E34" s="31"/>
      <c r="F34" s="31"/>
      <c r="G34" s="32"/>
      <c r="H34" s="25"/>
      <c r="I34" s="25"/>
      <c r="J34" s="34"/>
      <c r="K34" s="25"/>
      <c r="L34" s="25"/>
      <c r="M34" s="27"/>
    </row>
    <row r="35" spans="1:13" ht="14.1" customHeight="1"/>
    <row r="36" spans="1:13" ht="14.1" customHeight="1"/>
    <row r="37" spans="1:13" ht="14.1" customHeight="1"/>
    <row r="38" spans="1:13" ht="14.1" customHeight="1"/>
    <row r="39" spans="1:13" ht="14.1" customHeight="1"/>
    <row r="40" spans="1:13" ht="14.1" customHeight="1">
      <c r="B40" s="6"/>
      <c r="C40" s="6"/>
      <c r="D40" s="6"/>
      <c r="E40" s="6"/>
      <c r="F40" s="6"/>
      <c r="G40" s="6"/>
    </row>
    <row r="41" spans="1:13" ht="14.1" customHeight="1">
      <c r="B41" s="6"/>
      <c r="C41" s="6"/>
      <c r="D41" s="6"/>
      <c r="E41" s="6"/>
      <c r="F41" s="6"/>
      <c r="G41" s="6"/>
    </row>
    <row r="42" spans="1:13" ht="14.1" customHeight="1">
      <c r="B42" s="6"/>
      <c r="C42" s="6"/>
      <c r="D42" s="6"/>
      <c r="E42" s="6"/>
      <c r="F42" s="6"/>
      <c r="G42" s="6"/>
    </row>
    <row r="43" spans="1:13" ht="14.1" customHeight="1">
      <c r="B43" s="6"/>
      <c r="C43" s="6"/>
      <c r="D43" s="6"/>
      <c r="E43" s="6"/>
      <c r="F43" s="6"/>
      <c r="G43" s="6"/>
    </row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179"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  <ignoredErrors>
    <ignoredError sqref="K19:L19 I19" formula="1"/>
  </ignoredError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0FD55-C75B-4AC9-99A2-770D90F3AE11}">
  <sheetPr>
    <tabColor rgb="FF00B050"/>
    <pageSetUpPr fitToPage="1"/>
  </sheetPr>
  <dimension ref="A1:M51"/>
  <sheetViews>
    <sheetView zoomScale="110" zoomScaleNormal="110" workbookViewId="0">
      <selection activeCell="P12" sqref="P1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492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24">
        <f>SUM(I3)-3.5</f>
        <v>35</v>
      </c>
      <c r="I3" s="24">
        <f>SUM(J3)-3.5</f>
        <v>38.5</v>
      </c>
      <c r="J3" s="75">
        <v>42</v>
      </c>
      <c r="K3" s="76">
        <f>SUM(J3)+3</f>
        <v>45</v>
      </c>
      <c r="L3" s="76">
        <f>SUM(K3)+3</f>
        <v>48</v>
      </c>
      <c r="M3" s="77">
        <f>SUM(L3)+3</f>
        <v>51</v>
      </c>
    </row>
    <row r="4" spans="1:13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24"/>
      <c r="L4" s="24"/>
      <c r="M4" s="26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SUM(I5)-1.8</f>
        <v>23.4</v>
      </c>
      <c r="I5" s="24">
        <f>SUM(J5)-1.8</f>
        <v>25.2</v>
      </c>
      <c r="J5" s="33">
        <v>27</v>
      </c>
      <c r="K5" s="24">
        <f>SUM(J5)+1.6</f>
        <v>28.6</v>
      </c>
      <c r="L5" s="24">
        <f>SUM(K5)+1.6</f>
        <v>30.200000000000003</v>
      </c>
      <c r="M5" s="26">
        <f>SUM(L5)+1.6</f>
        <v>31.800000000000004</v>
      </c>
    </row>
    <row r="6" spans="1:13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37"/>
    </row>
    <row r="7" spans="1:13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30</v>
      </c>
      <c r="I7" s="24">
        <f>SUM(J7)-2.25</f>
        <v>32.25</v>
      </c>
      <c r="J7" s="33">
        <v>34.5</v>
      </c>
      <c r="K7" s="24">
        <f>SUM(J7)+2</f>
        <v>36.5</v>
      </c>
      <c r="L7" s="24">
        <f>SUM(K7)+2</f>
        <v>38.5</v>
      </c>
      <c r="M7" s="26">
        <f>SUM(L7)+2</f>
        <v>40.5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37"/>
    </row>
    <row r="9" spans="1:13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SUM(I9)-2.25</f>
        <v>30</v>
      </c>
      <c r="I9" s="24">
        <f>SUM(J9)-2.25</f>
        <v>32.25</v>
      </c>
      <c r="J9" s="33">
        <v>34.5</v>
      </c>
      <c r="K9" s="24">
        <f>SUM(J9)+2</f>
        <v>36.5</v>
      </c>
      <c r="L9" s="24">
        <f>SUM(K9)+2</f>
        <v>38.5</v>
      </c>
      <c r="M9" s="26">
        <f>SUM(L9)+2</f>
        <v>40.5</v>
      </c>
    </row>
    <row r="10" spans="1:13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7"/>
    </row>
    <row r="11" spans="1:13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SUM(I11)-0.8</f>
        <v>13.399999999999999</v>
      </c>
      <c r="I11" s="24">
        <f>SUM(J11)-0.8</f>
        <v>14.2</v>
      </c>
      <c r="J11" s="23">
        <v>15</v>
      </c>
      <c r="K11" s="21">
        <f>SUM(J11)+0.8</f>
        <v>15.8</v>
      </c>
      <c r="L11" s="21">
        <f>SUM(K11)+0.8</f>
        <v>16.600000000000001</v>
      </c>
      <c r="M11" s="22">
        <f>SUM(L11)+0.9</f>
        <v>17.5</v>
      </c>
    </row>
    <row r="12" spans="1:13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2"/>
    </row>
    <row r="13" spans="1:13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11.8</v>
      </c>
      <c r="I13" s="24">
        <f>SUM(J13)-0.6</f>
        <v>12.4</v>
      </c>
      <c r="J13" s="23">
        <v>13</v>
      </c>
      <c r="K13" s="21">
        <f>SUM(J13)+0.6</f>
        <v>13.6</v>
      </c>
      <c r="L13" s="21">
        <f>SUM(K13)+0.6</f>
        <v>14.2</v>
      </c>
      <c r="M13" s="22">
        <f>SUM(L13)+0.6</f>
        <v>14.799999999999999</v>
      </c>
    </row>
    <row r="14" spans="1:13" s="1" customFormat="1" ht="14.1" customHeight="1">
      <c r="A14" s="38"/>
      <c r="B14" s="56" t="s">
        <v>29</v>
      </c>
      <c r="C14" s="56"/>
      <c r="D14" s="47" t="s">
        <v>255</v>
      </c>
      <c r="E14" s="48"/>
      <c r="F14" s="48"/>
      <c r="G14" s="49"/>
      <c r="H14" s="36"/>
      <c r="I14" s="36"/>
      <c r="J14" s="23"/>
      <c r="K14" s="21"/>
      <c r="L14" s="21"/>
      <c r="M14" s="22"/>
    </row>
    <row r="15" spans="1:13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5.6000000000000005</v>
      </c>
      <c r="I15" s="24">
        <f>SUM(J15)-0.3</f>
        <v>5.9</v>
      </c>
      <c r="J15" s="23">
        <v>6.2</v>
      </c>
      <c r="K15" s="21">
        <f>SUM(J15)+0.3</f>
        <v>6.5</v>
      </c>
      <c r="L15" s="21">
        <f>SUM(K15)+0.3</f>
        <v>6.8</v>
      </c>
      <c r="M15" s="22">
        <f>SUM(L15)+0.3</f>
        <v>7.1</v>
      </c>
    </row>
    <row r="16" spans="1:13" s="1" customFormat="1" ht="14.1" customHeight="1">
      <c r="A16" s="38"/>
      <c r="B16" s="56" t="s">
        <v>30</v>
      </c>
      <c r="C16" s="56"/>
      <c r="D16" s="47" t="s">
        <v>379</v>
      </c>
      <c r="E16" s="48"/>
      <c r="F16" s="48"/>
      <c r="G16" s="49"/>
      <c r="H16" s="36"/>
      <c r="I16" s="36"/>
      <c r="J16" s="23"/>
      <c r="K16" s="21"/>
      <c r="L16" s="21"/>
      <c r="M16" s="22"/>
    </row>
    <row r="17" spans="1:13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31.299999999999997</v>
      </c>
      <c r="I17" s="24">
        <f>SUM(J17)-1.6</f>
        <v>32.9</v>
      </c>
      <c r="J17" s="23">
        <v>34.5</v>
      </c>
      <c r="K17" s="21">
        <f>SUM(J17)+1.6</f>
        <v>36.1</v>
      </c>
      <c r="L17" s="21">
        <f>SUM(K17)+1.6</f>
        <v>37.700000000000003</v>
      </c>
      <c r="M17" s="22">
        <f>SUM(L17)+1.6</f>
        <v>39.300000000000004</v>
      </c>
    </row>
    <row r="18" spans="1:13" s="1" customFormat="1" ht="14.1" customHeight="1">
      <c r="A18" s="38"/>
      <c r="B18" s="56" t="s">
        <v>37</v>
      </c>
      <c r="C18" s="56"/>
      <c r="D18" s="47" t="s">
        <v>107</v>
      </c>
      <c r="E18" s="48"/>
      <c r="F18" s="48"/>
      <c r="G18" s="49"/>
      <c r="H18" s="36"/>
      <c r="I18" s="36"/>
      <c r="J18" s="23"/>
      <c r="K18" s="21"/>
      <c r="L18" s="21"/>
      <c r="M18" s="22"/>
    </row>
    <row r="19" spans="1:13" s="1" customFormat="1" ht="14.1" customHeight="1">
      <c r="A19" s="38">
        <v>9</v>
      </c>
      <c r="B19" s="58" t="s">
        <v>240</v>
      </c>
      <c r="C19" s="58"/>
      <c r="D19" s="57" t="s">
        <v>5</v>
      </c>
      <c r="E19" s="57"/>
      <c r="F19" s="57"/>
      <c r="G19" s="57"/>
      <c r="H19" s="24">
        <f>SUM(I19)-3.6</f>
        <v>32.299999999999997</v>
      </c>
      <c r="I19" s="24">
        <f>SUM(J19)-3.6</f>
        <v>35.9</v>
      </c>
      <c r="J19" s="23">
        <v>39.5</v>
      </c>
      <c r="K19" s="21">
        <f>SUM(J19)+3.7</f>
        <v>43.2</v>
      </c>
      <c r="L19" s="21">
        <f>SUM(K19)+3.7</f>
        <v>46.900000000000006</v>
      </c>
      <c r="M19" s="22">
        <f>SUM(L19)+3.7</f>
        <v>50.600000000000009</v>
      </c>
    </row>
    <row r="20" spans="1:13" s="1" customFormat="1" ht="14.1" customHeight="1">
      <c r="A20" s="38"/>
      <c r="B20" s="56" t="s">
        <v>500</v>
      </c>
      <c r="C20" s="56"/>
      <c r="D20" s="47" t="s">
        <v>54</v>
      </c>
      <c r="E20" s="48"/>
      <c r="F20" s="48"/>
      <c r="G20" s="49"/>
      <c r="H20" s="36"/>
      <c r="I20" s="36"/>
      <c r="J20" s="23"/>
      <c r="K20" s="21"/>
      <c r="L20" s="21"/>
      <c r="M20" s="22"/>
    </row>
    <row r="21" spans="1:13" s="1" customFormat="1" ht="14.1" customHeight="1">
      <c r="A21" s="38">
        <v>10</v>
      </c>
      <c r="B21" s="58" t="s">
        <v>241</v>
      </c>
      <c r="C21" s="58"/>
      <c r="D21" s="57" t="s">
        <v>5</v>
      </c>
      <c r="E21" s="57"/>
      <c r="F21" s="57"/>
      <c r="G21" s="57"/>
      <c r="H21" s="24">
        <f>SUM(I21)-1.1</f>
        <v>10.8</v>
      </c>
      <c r="I21" s="24">
        <f>SUM(J21)-1.1</f>
        <v>11.9</v>
      </c>
      <c r="J21" s="23">
        <v>13</v>
      </c>
      <c r="K21" s="21">
        <f>SUM(J21)+1.2</f>
        <v>14.2</v>
      </c>
      <c r="L21" s="21">
        <f>SUM(K21)+1.2</f>
        <v>15.399999999999999</v>
      </c>
      <c r="M21" s="22">
        <f>SUM(L21)+1.2</f>
        <v>16.599999999999998</v>
      </c>
    </row>
    <row r="22" spans="1:13" s="1" customFormat="1" ht="14.1" customHeight="1">
      <c r="A22" s="38"/>
      <c r="B22" s="56" t="s">
        <v>501</v>
      </c>
      <c r="C22" s="56"/>
      <c r="D22" s="47" t="s">
        <v>54</v>
      </c>
      <c r="E22" s="48"/>
      <c r="F22" s="48"/>
      <c r="G22" s="49"/>
      <c r="H22" s="36"/>
      <c r="I22" s="36"/>
      <c r="J22" s="23"/>
      <c r="K22" s="21"/>
      <c r="L22" s="21"/>
      <c r="M22" s="22"/>
    </row>
    <row r="23" spans="1:13" s="1" customFormat="1" ht="14.1" customHeight="1">
      <c r="A23" s="38">
        <v>11</v>
      </c>
      <c r="B23" s="58" t="s">
        <v>6</v>
      </c>
      <c r="C23" s="58"/>
      <c r="D23" s="59" t="s">
        <v>7</v>
      </c>
      <c r="E23" s="60"/>
      <c r="F23" s="60"/>
      <c r="G23" s="61"/>
      <c r="H23" s="24">
        <f>SUM(I23)-1.5</f>
        <v>24</v>
      </c>
      <c r="I23" s="24">
        <f>SUM(J23)-1.5</f>
        <v>25.5</v>
      </c>
      <c r="J23" s="23">
        <v>27</v>
      </c>
      <c r="K23" s="21">
        <f>SUM(J23)+1.5</f>
        <v>28.5</v>
      </c>
      <c r="L23" s="21">
        <f>SUM(K23)+1.5</f>
        <v>30</v>
      </c>
      <c r="M23" s="22">
        <f>SUM(L23)+1.5</f>
        <v>31.5</v>
      </c>
    </row>
    <row r="24" spans="1:13" s="1" customFormat="1" ht="14.1" customHeight="1">
      <c r="A24" s="38"/>
      <c r="B24" s="56" t="s">
        <v>32</v>
      </c>
      <c r="C24" s="56"/>
      <c r="D24" s="47" t="s">
        <v>76</v>
      </c>
      <c r="E24" s="48"/>
      <c r="F24" s="48"/>
      <c r="G24" s="49"/>
      <c r="H24" s="36"/>
      <c r="I24" s="36"/>
      <c r="J24" s="23"/>
      <c r="K24" s="21"/>
      <c r="L24" s="21"/>
      <c r="M24" s="22"/>
    </row>
    <row r="25" spans="1:13" s="1" customFormat="1" ht="14.1" customHeight="1">
      <c r="A25" s="38">
        <v>12</v>
      </c>
      <c r="B25" s="51" t="s">
        <v>502</v>
      </c>
      <c r="C25" s="52"/>
      <c r="D25" s="57" t="s">
        <v>78</v>
      </c>
      <c r="E25" s="57"/>
      <c r="F25" s="57"/>
      <c r="G25" s="57"/>
      <c r="H25" s="24">
        <f>SUM(I25)-0.7</f>
        <v>16.600000000000001</v>
      </c>
      <c r="I25" s="24">
        <f>SUM(J25)-0.7</f>
        <v>17.3</v>
      </c>
      <c r="J25" s="23">
        <v>18</v>
      </c>
      <c r="K25" s="21">
        <f>SUM(J25)+0.7</f>
        <v>18.7</v>
      </c>
      <c r="L25" s="21">
        <f>SUM(K25)+0.7</f>
        <v>19.399999999999999</v>
      </c>
      <c r="M25" s="22">
        <f>SUM(L25)+0.7</f>
        <v>20.099999999999998</v>
      </c>
    </row>
    <row r="26" spans="1:13" s="1" customFormat="1" ht="14.1" customHeight="1">
      <c r="A26" s="38"/>
      <c r="B26" s="56" t="s">
        <v>504</v>
      </c>
      <c r="C26" s="56"/>
      <c r="D26" s="47" t="s">
        <v>79</v>
      </c>
      <c r="E26" s="48"/>
      <c r="F26" s="48"/>
      <c r="G26" s="49"/>
      <c r="H26" s="36"/>
      <c r="I26" s="36"/>
      <c r="J26" s="23"/>
      <c r="K26" s="21"/>
      <c r="L26" s="21"/>
      <c r="M26" s="22"/>
    </row>
    <row r="27" spans="1:13" s="1" customFormat="1" ht="14.1" customHeight="1">
      <c r="A27" s="38">
        <v>13</v>
      </c>
      <c r="B27" s="51" t="s">
        <v>503</v>
      </c>
      <c r="C27" s="52"/>
      <c r="D27" s="57" t="s">
        <v>78</v>
      </c>
      <c r="E27" s="57"/>
      <c r="F27" s="57"/>
      <c r="G27" s="57"/>
      <c r="H27" s="24">
        <f>SUM(I27)-1.2</f>
        <v>22.6</v>
      </c>
      <c r="I27" s="24">
        <f>SUM(J27)-1.2</f>
        <v>23.8</v>
      </c>
      <c r="J27" s="23">
        <v>25</v>
      </c>
      <c r="K27" s="21">
        <f>SUM(J27)+1.2</f>
        <v>26.2</v>
      </c>
      <c r="L27" s="21">
        <f>SUM(K27)+1.2</f>
        <v>27.4</v>
      </c>
      <c r="M27" s="22">
        <f>SUM(L27)+1.2</f>
        <v>28.599999999999998</v>
      </c>
    </row>
    <row r="28" spans="1:13" s="1" customFormat="1" ht="14.1" customHeight="1">
      <c r="A28" s="38"/>
      <c r="B28" s="56" t="s">
        <v>505</v>
      </c>
      <c r="C28" s="56"/>
      <c r="D28" s="47" t="s">
        <v>79</v>
      </c>
      <c r="E28" s="48"/>
      <c r="F28" s="48"/>
      <c r="G28" s="49"/>
      <c r="H28" s="36"/>
      <c r="I28" s="36"/>
      <c r="J28" s="23"/>
      <c r="K28" s="21"/>
      <c r="L28" s="21"/>
      <c r="M28" s="22"/>
    </row>
    <row r="29" spans="1:13" s="1" customFormat="1" ht="14.1" customHeight="1">
      <c r="A29" s="38">
        <v>14</v>
      </c>
      <c r="B29" s="51" t="s">
        <v>493</v>
      </c>
      <c r="C29" s="52"/>
      <c r="D29" s="53"/>
      <c r="E29" s="54"/>
      <c r="F29" s="54"/>
      <c r="G29" s="55"/>
      <c r="H29" s="24">
        <f>SUM(I29)-0.15</f>
        <v>3.2</v>
      </c>
      <c r="I29" s="24">
        <f>SUM(J29)-0.15</f>
        <v>3.35</v>
      </c>
      <c r="J29" s="23">
        <v>3.5</v>
      </c>
      <c r="K29" s="21">
        <f>SUM(J29)+0.15</f>
        <v>3.65</v>
      </c>
      <c r="L29" s="21">
        <f>SUM(K29)+0.15</f>
        <v>3.8</v>
      </c>
      <c r="M29" s="22">
        <f>SUM(L29)+0.15</f>
        <v>3.9499999999999997</v>
      </c>
    </row>
    <row r="30" spans="1:13" s="1" customFormat="1" ht="14.1" customHeight="1">
      <c r="A30" s="38"/>
      <c r="B30" s="45" t="s">
        <v>494</v>
      </c>
      <c r="C30" s="46"/>
      <c r="D30" s="47" t="s">
        <v>495</v>
      </c>
      <c r="E30" s="48"/>
      <c r="F30" s="48"/>
      <c r="G30" s="49"/>
      <c r="H30" s="36"/>
      <c r="I30" s="36"/>
      <c r="J30" s="23"/>
      <c r="K30" s="21"/>
      <c r="L30" s="21"/>
      <c r="M30" s="22"/>
    </row>
    <row r="31" spans="1:13" ht="14.1" customHeight="1">
      <c r="A31" s="38">
        <v>15</v>
      </c>
      <c r="B31" s="40" t="s">
        <v>496</v>
      </c>
      <c r="C31" s="41"/>
      <c r="D31" s="42"/>
      <c r="E31" s="43"/>
      <c r="F31" s="43"/>
      <c r="G31" s="44"/>
      <c r="H31" s="24">
        <f>SUM(I31)-0.6</f>
        <v>7.8000000000000007</v>
      </c>
      <c r="I31" s="24">
        <f>SUM(J31)-0.6</f>
        <v>8.4</v>
      </c>
      <c r="J31" s="23">
        <v>9</v>
      </c>
      <c r="K31" s="21">
        <f>SUM(J31)+0.5</f>
        <v>9.5</v>
      </c>
      <c r="L31" s="21">
        <f>SUM(K31)+0.5</f>
        <v>10</v>
      </c>
      <c r="M31" s="22">
        <f>SUM(L31)+0.5</f>
        <v>10.5</v>
      </c>
    </row>
    <row r="32" spans="1:13" ht="14.1" customHeight="1">
      <c r="A32" s="38"/>
      <c r="B32" s="45" t="s">
        <v>497</v>
      </c>
      <c r="C32" s="46"/>
      <c r="D32" s="47"/>
      <c r="E32" s="48"/>
      <c r="F32" s="48"/>
      <c r="G32" s="49"/>
      <c r="H32" s="36"/>
      <c r="I32" s="36"/>
      <c r="J32" s="23"/>
      <c r="K32" s="21"/>
      <c r="L32" s="21"/>
      <c r="M32" s="22"/>
    </row>
    <row r="33" spans="1:13" ht="14.1" customHeight="1">
      <c r="A33" s="38">
        <v>16</v>
      </c>
      <c r="B33" s="40" t="s">
        <v>498</v>
      </c>
      <c r="C33" s="41"/>
      <c r="D33" s="42"/>
      <c r="E33" s="43"/>
      <c r="F33" s="43"/>
      <c r="G33" s="44"/>
      <c r="H33" s="24">
        <f>SUM(I33)</f>
        <v>10.5</v>
      </c>
      <c r="I33" s="24">
        <f>SUM(J33)</f>
        <v>10.5</v>
      </c>
      <c r="J33" s="23">
        <v>10.5</v>
      </c>
      <c r="K33" s="21">
        <f>SUM(J33)+0.2</f>
        <v>10.7</v>
      </c>
      <c r="L33" s="21">
        <f>SUM(K33)+0.2</f>
        <v>10.899999999999999</v>
      </c>
      <c r="M33" s="22">
        <f>SUM(L33)+0.2</f>
        <v>11.099999999999998</v>
      </c>
    </row>
    <row r="34" spans="1:13" ht="14.1" customHeight="1">
      <c r="A34" s="38"/>
      <c r="B34" s="45" t="s">
        <v>499</v>
      </c>
      <c r="C34" s="46"/>
      <c r="D34" s="47"/>
      <c r="E34" s="48"/>
      <c r="F34" s="48"/>
      <c r="G34" s="49"/>
      <c r="H34" s="36"/>
      <c r="I34" s="36"/>
      <c r="J34" s="23"/>
      <c r="K34" s="21"/>
      <c r="L34" s="21"/>
      <c r="M34" s="22"/>
    </row>
    <row r="35" spans="1:13" ht="14.1" customHeight="1">
      <c r="A35" s="38">
        <v>17</v>
      </c>
      <c r="B35" s="40"/>
      <c r="C35" s="41"/>
      <c r="D35" s="42"/>
      <c r="E35" s="43"/>
      <c r="F35" s="43"/>
      <c r="G35" s="44"/>
      <c r="H35" s="24"/>
      <c r="I35" s="24"/>
      <c r="J35" s="33"/>
      <c r="K35" s="24"/>
      <c r="L35" s="24"/>
      <c r="M35" s="26"/>
    </row>
    <row r="36" spans="1:13" ht="14.1" customHeight="1" thickBot="1">
      <c r="A36" s="39"/>
      <c r="B36" s="28"/>
      <c r="C36" s="29"/>
      <c r="D36" s="30"/>
      <c r="E36" s="31"/>
      <c r="F36" s="31"/>
      <c r="G36" s="32"/>
      <c r="H36" s="25"/>
      <c r="I36" s="25"/>
      <c r="J36" s="34"/>
      <c r="K36" s="25"/>
      <c r="L36" s="25"/>
      <c r="M36" s="27"/>
    </row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190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L5:L6"/>
    <mergeCell ref="M5:M6"/>
    <mergeCell ref="B6:C6"/>
    <mergeCell ref="D6:G6"/>
    <mergeCell ref="A7:A8"/>
    <mergeCell ref="B7:C7"/>
    <mergeCell ref="D7:G7"/>
    <mergeCell ref="H7:H8"/>
    <mergeCell ref="I7:I8"/>
    <mergeCell ref="J7:J8"/>
    <mergeCell ref="K7:K8"/>
    <mergeCell ref="L7:L8"/>
    <mergeCell ref="M7:M8"/>
    <mergeCell ref="A5:A6"/>
    <mergeCell ref="B5:C5"/>
    <mergeCell ref="D5:G5"/>
    <mergeCell ref="H5:H6"/>
    <mergeCell ref="I5:I6"/>
    <mergeCell ref="J5:J6"/>
    <mergeCell ref="B8:C8"/>
    <mergeCell ref="D8:G8"/>
    <mergeCell ref="K5:K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35:A36"/>
    <mergeCell ref="B35:C35"/>
    <mergeCell ref="D35:G35"/>
    <mergeCell ref="H35:H36"/>
    <mergeCell ref="I35:I36"/>
    <mergeCell ref="J35:J36"/>
    <mergeCell ref="J31:J32"/>
    <mergeCell ref="K31:K32"/>
    <mergeCell ref="L31:L32"/>
    <mergeCell ref="B32:C32"/>
    <mergeCell ref="D32:G32"/>
    <mergeCell ref="A31:A32"/>
    <mergeCell ref="B31:C31"/>
    <mergeCell ref="D31:G31"/>
    <mergeCell ref="H31:H32"/>
    <mergeCell ref="I31:I32"/>
    <mergeCell ref="K35:K36"/>
    <mergeCell ref="L35:L36"/>
    <mergeCell ref="A33:A34"/>
    <mergeCell ref="M35:M36"/>
    <mergeCell ref="B36:C36"/>
    <mergeCell ref="D36:G36"/>
    <mergeCell ref="M31:M32"/>
    <mergeCell ref="K29:K30"/>
    <mergeCell ref="L29:L30"/>
    <mergeCell ref="M29:M30"/>
    <mergeCell ref="B30:C30"/>
    <mergeCell ref="D30:G30"/>
    <mergeCell ref="B29:C29"/>
    <mergeCell ref="D29:G29"/>
    <mergeCell ref="H29:H30"/>
    <mergeCell ref="I29:I30"/>
    <mergeCell ref="J29:J30"/>
    <mergeCell ref="B33:C33"/>
    <mergeCell ref="D33:G33"/>
    <mergeCell ref="H33:H34"/>
    <mergeCell ref="I33:I34"/>
    <mergeCell ref="K33:K34"/>
    <mergeCell ref="L33:L34"/>
    <mergeCell ref="M33:M34"/>
    <mergeCell ref="B34:C34"/>
    <mergeCell ref="D34:G34"/>
    <mergeCell ref="J33:J34"/>
    <mergeCell ref="J25:J26"/>
    <mergeCell ref="K25:K26"/>
    <mergeCell ref="L25:L26"/>
    <mergeCell ref="M25:M26"/>
    <mergeCell ref="A21:A22"/>
    <mergeCell ref="B21:C21"/>
    <mergeCell ref="D21:G21"/>
    <mergeCell ref="H21:H22"/>
    <mergeCell ref="I21:I22"/>
    <mergeCell ref="I25:I26"/>
    <mergeCell ref="J21:J22"/>
    <mergeCell ref="K21:K22"/>
    <mergeCell ref="L21:L22"/>
    <mergeCell ref="M21:M22"/>
    <mergeCell ref="B22:C22"/>
    <mergeCell ref="D22:G22"/>
    <mergeCell ref="K23:K24"/>
    <mergeCell ref="L23:L24"/>
    <mergeCell ref="M23:M24"/>
    <mergeCell ref="I23:I24"/>
    <mergeCell ref="J23:J24"/>
    <mergeCell ref="A29:A30"/>
    <mergeCell ref="B26:C26"/>
    <mergeCell ref="D26:G26"/>
    <mergeCell ref="B24:C24"/>
    <mergeCell ref="D24:G24"/>
    <mergeCell ref="A25:A26"/>
    <mergeCell ref="B25:C25"/>
    <mergeCell ref="D25:G25"/>
    <mergeCell ref="H25:H26"/>
    <mergeCell ref="A23:A24"/>
    <mergeCell ref="B23:C23"/>
    <mergeCell ref="D23:G23"/>
    <mergeCell ref="H23:H24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A89BC-49ED-41CD-BBEB-B4882CCC5A58}">
  <sheetPr>
    <tabColor rgb="FF00B050"/>
    <pageSetUpPr fitToPage="1"/>
  </sheetPr>
  <dimension ref="A1:M49"/>
  <sheetViews>
    <sheetView zoomScale="110" zoomScaleNormal="110" workbookViewId="0">
      <selection activeCell="B5" sqref="B5:M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450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24">
        <f>SUM(I3)-3.5</f>
        <v>35</v>
      </c>
      <c r="I3" s="24">
        <f>SUM(J3)-3.5</f>
        <v>38.5</v>
      </c>
      <c r="J3" s="75">
        <v>42</v>
      </c>
      <c r="K3" s="76">
        <f>SUM(J3)+3</f>
        <v>45</v>
      </c>
      <c r="L3" s="76">
        <f>SUM(K3)+3</f>
        <v>48</v>
      </c>
      <c r="M3" s="77">
        <f>SUM(L3)+3</f>
        <v>51</v>
      </c>
    </row>
    <row r="4" spans="1:13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24"/>
      <c r="L4" s="24"/>
      <c r="M4" s="26"/>
    </row>
    <row r="5" spans="1:13" s="1" customFormat="1" ht="14.1" customHeight="1">
      <c r="A5" s="71">
        <v>2</v>
      </c>
      <c r="B5" s="164" t="s">
        <v>101</v>
      </c>
      <c r="C5" s="165"/>
      <c r="D5" s="100" t="s">
        <v>102</v>
      </c>
      <c r="E5" s="101"/>
      <c r="F5" s="101"/>
      <c r="G5" s="102"/>
      <c r="H5" s="24">
        <f>SUM(I5)-4.5</f>
        <v>45</v>
      </c>
      <c r="I5" s="24">
        <f>SUM(J5)-4.5</f>
        <v>49.5</v>
      </c>
      <c r="J5" s="23">
        <v>54</v>
      </c>
      <c r="K5" s="21">
        <f>SUM(J5)+4.5</f>
        <v>58.5</v>
      </c>
      <c r="L5" s="21">
        <f>SUM(K5)+4.5</f>
        <v>63</v>
      </c>
      <c r="M5" s="22">
        <f>SUM(L5)+4.5</f>
        <v>67.5</v>
      </c>
    </row>
    <row r="6" spans="1:13" s="1" customFormat="1" ht="14.1" customHeight="1">
      <c r="A6" s="38"/>
      <c r="B6" s="45" t="s">
        <v>99</v>
      </c>
      <c r="C6" s="46"/>
      <c r="D6" s="47" t="s">
        <v>100</v>
      </c>
      <c r="E6" s="48"/>
      <c r="F6" s="48"/>
      <c r="G6" s="49"/>
      <c r="H6" s="36"/>
      <c r="I6" s="36"/>
      <c r="J6" s="23"/>
      <c r="K6" s="21"/>
      <c r="L6" s="21"/>
      <c r="M6" s="22"/>
    </row>
    <row r="7" spans="1:13" s="1" customFormat="1" ht="13.5" customHeight="1">
      <c r="A7" s="71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37.5</v>
      </c>
      <c r="I7" s="24">
        <f>SUM(J7)-2.25</f>
        <v>39.75</v>
      </c>
      <c r="J7" s="33">
        <v>42</v>
      </c>
      <c r="K7" s="24">
        <f>SUM(J7)+2</f>
        <v>44</v>
      </c>
      <c r="L7" s="24">
        <f>SUM(K7)+2</f>
        <v>46</v>
      </c>
      <c r="M7" s="26">
        <f>SUM(L7)+2</f>
        <v>48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37"/>
    </row>
    <row r="9" spans="1:13" s="1" customFormat="1" ht="14.1" customHeight="1">
      <c r="A9" s="71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SUM(I9)-1.8</f>
        <v>30.400000000000002</v>
      </c>
      <c r="I9" s="24">
        <f>SUM(J9)-1.8</f>
        <v>32.200000000000003</v>
      </c>
      <c r="J9" s="33">
        <v>34</v>
      </c>
      <c r="K9" s="24">
        <f>SUM(J9)+1.6</f>
        <v>35.6</v>
      </c>
      <c r="L9" s="24">
        <f>SUM(K9)+1.6</f>
        <v>37.200000000000003</v>
      </c>
      <c r="M9" s="26">
        <f>SUM(L9)+1.6</f>
        <v>38.800000000000004</v>
      </c>
    </row>
    <row r="10" spans="1:13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7"/>
    </row>
    <row r="11" spans="1:13" s="1" customFormat="1" ht="14.1" customHeight="1">
      <c r="A11" s="71">
        <v>5</v>
      </c>
      <c r="B11" s="58" t="s">
        <v>359</v>
      </c>
      <c r="C11" s="58"/>
      <c r="D11" s="57"/>
      <c r="E11" s="57"/>
      <c r="F11" s="57"/>
      <c r="G11" s="57"/>
      <c r="H11" s="24"/>
      <c r="I11" s="24"/>
      <c r="J11" s="33"/>
      <c r="K11" s="24"/>
      <c r="L11" s="24"/>
      <c r="M11" s="26"/>
    </row>
    <row r="12" spans="1:13" s="1" customFormat="1" ht="14.1" customHeight="1">
      <c r="A12" s="38"/>
      <c r="B12" s="56" t="s">
        <v>360</v>
      </c>
      <c r="C12" s="56"/>
      <c r="D12" s="47"/>
      <c r="E12" s="48"/>
      <c r="F12" s="48"/>
      <c r="G12" s="49"/>
      <c r="H12" s="36"/>
      <c r="I12" s="36"/>
      <c r="J12" s="35"/>
      <c r="K12" s="36"/>
      <c r="L12" s="36"/>
      <c r="M12" s="37"/>
    </row>
    <row r="13" spans="1:13" s="1" customFormat="1" ht="14.1" customHeight="1">
      <c r="A13" s="71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15.799999999999999</v>
      </c>
      <c r="I13" s="24">
        <f>SUM(J13)-0.6</f>
        <v>16.399999999999999</v>
      </c>
      <c r="J13" s="23">
        <v>17</v>
      </c>
      <c r="K13" s="21">
        <f>SUM(J13)+0.6</f>
        <v>17.600000000000001</v>
      </c>
      <c r="L13" s="21">
        <f>SUM(K13)+0.6</f>
        <v>18.200000000000003</v>
      </c>
      <c r="M13" s="22">
        <f>SUM(L13)+0.6</f>
        <v>18.800000000000004</v>
      </c>
    </row>
    <row r="14" spans="1:13" s="1" customFormat="1" ht="14.1" customHeight="1">
      <c r="A14" s="38"/>
      <c r="B14" s="56" t="s">
        <v>29</v>
      </c>
      <c r="C14" s="56"/>
      <c r="D14" s="47" t="s">
        <v>154</v>
      </c>
      <c r="E14" s="48"/>
      <c r="F14" s="48"/>
      <c r="G14" s="49"/>
      <c r="H14" s="36"/>
      <c r="I14" s="36"/>
      <c r="J14" s="23"/>
      <c r="K14" s="21"/>
      <c r="L14" s="21"/>
      <c r="M14" s="22"/>
    </row>
    <row r="15" spans="1:13" s="1" customFormat="1" ht="14.1" customHeight="1">
      <c r="A15" s="71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5.9</v>
      </c>
      <c r="I15" s="24">
        <f>SUM(J15)-0.3</f>
        <v>6.2</v>
      </c>
      <c r="J15" s="23">
        <v>6.5</v>
      </c>
      <c r="K15" s="21">
        <f>SUM(J15)+0.3</f>
        <v>6.8</v>
      </c>
      <c r="L15" s="21">
        <f>SUM(K15)+0.3</f>
        <v>7.1</v>
      </c>
      <c r="M15" s="22">
        <f>SUM(L15)+0.3</f>
        <v>7.3999999999999995</v>
      </c>
    </row>
    <row r="16" spans="1:13" s="1" customFormat="1" ht="14.1" customHeight="1">
      <c r="A16" s="38"/>
      <c r="B16" s="56" t="s">
        <v>30</v>
      </c>
      <c r="C16" s="56"/>
      <c r="D16" s="47" t="s">
        <v>155</v>
      </c>
      <c r="E16" s="48"/>
      <c r="F16" s="48"/>
      <c r="G16" s="49"/>
      <c r="H16" s="36"/>
      <c r="I16" s="36"/>
      <c r="J16" s="23"/>
      <c r="K16" s="21"/>
      <c r="L16" s="21"/>
      <c r="M16" s="22"/>
    </row>
    <row r="17" spans="1:13" s="1" customFormat="1" ht="14.1" customHeight="1">
      <c r="A17" s="71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40.799999999999997</v>
      </c>
      <c r="I17" s="24">
        <f>SUM(J17)-1.6</f>
        <v>42.4</v>
      </c>
      <c r="J17" s="23">
        <v>44</v>
      </c>
      <c r="K17" s="21">
        <f>SUM(J17)+1.6</f>
        <v>45.6</v>
      </c>
      <c r="L17" s="21">
        <f>SUM(K17)+1.6</f>
        <v>47.2</v>
      </c>
      <c r="M17" s="22">
        <f>SUM(L17)+1.6</f>
        <v>48.800000000000004</v>
      </c>
    </row>
    <row r="18" spans="1:13" s="1" customFormat="1" ht="14.1" customHeight="1">
      <c r="A18" s="38"/>
      <c r="B18" s="56" t="s">
        <v>37</v>
      </c>
      <c r="C18" s="56"/>
      <c r="D18" s="47" t="s">
        <v>156</v>
      </c>
      <c r="E18" s="48"/>
      <c r="F18" s="48"/>
      <c r="G18" s="49"/>
      <c r="H18" s="36"/>
      <c r="I18" s="36"/>
      <c r="J18" s="23"/>
      <c r="K18" s="21"/>
      <c r="L18" s="21"/>
      <c r="M18" s="22"/>
    </row>
    <row r="19" spans="1:13" s="1" customFormat="1" ht="14.1" customHeight="1">
      <c r="A19" s="71">
        <v>9</v>
      </c>
      <c r="B19" s="51" t="s">
        <v>367</v>
      </c>
      <c r="C19" s="52"/>
      <c r="D19" s="59"/>
      <c r="E19" s="60"/>
      <c r="F19" s="60"/>
      <c r="G19" s="61"/>
      <c r="H19" s="24"/>
      <c r="I19" s="24"/>
      <c r="J19" s="33"/>
      <c r="K19" s="24"/>
      <c r="L19" s="24"/>
      <c r="M19" s="26"/>
    </row>
    <row r="20" spans="1:13" s="1" customFormat="1" ht="14.1" customHeight="1">
      <c r="A20" s="38"/>
      <c r="B20" s="45" t="s">
        <v>368</v>
      </c>
      <c r="C20" s="46"/>
      <c r="D20" s="47"/>
      <c r="E20" s="48"/>
      <c r="F20" s="48"/>
      <c r="G20" s="49"/>
      <c r="H20" s="36"/>
      <c r="I20" s="36"/>
      <c r="J20" s="35"/>
      <c r="K20" s="36"/>
      <c r="L20" s="36"/>
      <c r="M20" s="37"/>
    </row>
    <row r="21" spans="1:13" s="1" customFormat="1" ht="14.1" customHeight="1">
      <c r="A21" s="71">
        <v>10</v>
      </c>
      <c r="B21" s="51" t="s">
        <v>6</v>
      </c>
      <c r="C21" s="52"/>
      <c r="D21" s="59" t="s">
        <v>7</v>
      </c>
      <c r="E21" s="60"/>
      <c r="F21" s="60"/>
      <c r="G21" s="61"/>
      <c r="H21" s="24">
        <f>SUM(I21)-1.7</f>
        <v>29.6</v>
      </c>
      <c r="I21" s="24">
        <f>SUM(J21)-1.7</f>
        <v>31.3</v>
      </c>
      <c r="J21" s="33">
        <v>33</v>
      </c>
      <c r="K21" s="24">
        <f>SUM(J21)+1.7</f>
        <v>34.700000000000003</v>
      </c>
      <c r="L21" s="24">
        <f>SUM(K21)+1.7</f>
        <v>36.400000000000006</v>
      </c>
      <c r="M21" s="26">
        <f>SUM(L21)+1.7</f>
        <v>38.100000000000009</v>
      </c>
    </row>
    <row r="22" spans="1:13" s="1" customFormat="1" ht="14.1" customHeight="1">
      <c r="A22" s="38"/>
      <c r="B22" s="45" t="s">
        <v>32</v>
      </c>
      <c r="C22" s="46"/>
      <c r="D22" s="47" t="s">
        <v>76</v>
      </c>
      <c r="E22" s="48"/>
      <c r="F22" s="48"/>
      <c r="G22" s="49"/>
      <c r="H22" s="36"/>
      <c r="I22" s="36"/>
      <c r="J22" s="35"/>
      <c r="K22" s="36"/>
      <c r="L22" s="36"/>
      <c r="M22" s="37"/>
    </row>
    <row r="23" spans="1:13" s="1" customFormat="1" ht="14.1" customHeight="1">
      <c r="A23" s="71">
        <v>11</v>
      </c>
      <c r="B23" s="51" t="s">
        <v>77</v>
      </c>
      <c r="C23" s="52"/>
      <c r="D23" s="57" t="s">
        <v>78</v>
      </c>
      <c r="E23" s="57"/>
      <c r="F23" s="57"/>
      <c r="G23" s="57"/>
      <c r="H23" s="24">
        <f>SUM(I23)-0.6</f>
        <v>14</v>
      </c>
      <c r="I23" s="24">
        <f>SUM(J23)-0.6</f>
        <v>14.6</v>
      </c>
      <c r="J23" s="23">
        <v>15.2</v>
      </c>
      <c r="K23" s="21">
        <f>SUM(J23)+0.6</f>
        <v>15.799999999999999</v>
      </c>
      <c r="L23" s="21">
        <f>SUM(K23)+0.6</f>
        <v>16.399999999999999</v>
      </c>
      <c r="M23" s="22">
        <f>SUM(L23)+0.6</f>
        <v>17</v>
      </c>
    </row>
    <row r="24" spans="1:13" s="1" customFormat="1" ht="14.1" customHeight="1">
      <c r="A24" s="38"/>
      <c r="B24" s="56" t="s">
        <v>33</v>
      </c>
      <c r="C24" s="56"/>
      <c r="D24" s="47" t="s">
        <v>79</v>
      </c>
      <c r="E24" s="48"/>
      <c r="F24" s="48"/>
      <c r="G24" s="49"/>
      <c r="H24" s="36"/>
      <c r="I24" s="36"/>
      <c r="J24" s="23"/>
      <c r="K24" s="21"/>
      <c r="L24" s="21"/>
      <c r="M24" s="22"/>
    </row>
    <row r="25" spans="1:13" s="1" customFormat="1" ht="14.1" customHeight="1">
      <c r="A25" s="71">
        <v>12</v>
      </c>
      <c r="B25" s="51" t="s">
        <v>176</v>
      </c>
      <c r="C25" s="52"/>
      <c r="D25" s="53" t="s">
        <v>103</v>
      </c>
      <c r="E25" s="54"/>
      <c r="F25" s="54"/>
      <c r="G25" s="55"/>
      <c r="H25" s="24">
        <f>SUM(I25)-0.2</f>
        <v>3.5999999999999996</v>
      </c>
      <c r="I25" s="24">
        <f>SUM(J25)-0.2</f>
        <v>3.8</v>
      </c>
      <c r="J25" s="23">
        <v>4</v>
      </c>
      <c r="K25" s="21">
        <f>SUM(J25)+0.2</f>
        <v>4.2</v>
      </c>
      <c r="L25" s="21">
        <f>SUM(K25)+0.2</f>
        <v>4.4000000000000004</v>
      </c>
      <c r="M25" s="22">
        <f>SUM(L25)+0.2</f>
        <v>4.6000000000000005</v>
      </c>
    </row>
    <row r="26" spans="1:13" s="1" customFormat="1" ht="14.1" customHeight="1" thickBot="1">
      <c r="A26" s="38"/>
      <c r="B26" s="28" t="s">
        <v>175</v>
      </c>
      <c r="C26" s="29"/>
      <c r="D26" s="30" t="s">
        <v>104</v>
      </c>
      <c r="E26" s="31"/>
      <c r="F26" s="31"/>
      <c r="G26" s="32"/>
      <c r="H26" s="25"/>
      <c r="I26" s="25"/>
      <c r="J26" s="218"/>
      <c r="K26" s="216"/>
      <c r="L26" s="216"/>
      <c r="M26" s="220"/>
    </row>
    <row r="27" spans="1:13" s="1" customFormat="1" ht="14.1" customHeight="1">
      <c r="A27"/>
      <c r="B27"/>
      <c r="C27"/>
      <c r="D27"/>
      <c r="E27"/>
      <c r="F27"/>
      <c r="G27"/>
      <c r="H27"/>
      <c r="I27"/>
      <c r="J27"/>
      <c r="K27"/>
      <c r="L27"/>
      <c r="M27"/>
    </row>
    <row r="28" spans="1:13" s="1" customFormat="1" ht="14.1" customHeight="1">
      <c r="A28"/>
      <c r="B28"/>
      <c r="C28"/>
      <c r="D28"/>
      <c r="E28"/>
      <c r="F28"/>
      <c r="G28"/>
      <c r="H28"/>
      <c r="I28"/>
      <c r="J28"/>
      <c r="K28"/>
      <c r="L28"/>
      <c r="M28"/>
    </row>
    <row r="29" spans="1:13" ht="14.1" customHeight="1"/>
    <row r="30" spans="1:13" ht="14.1" customHeight="1"/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</sheetData>
  <mergeCells count="135"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1:J22"/>
    <mergeCell ref="K21:K22"/>
    <mergeCell ref="L21:L22"/>
    <mergeCell ref="M21:M22"/>
    <mergeCell ref="B22:C22"/>
    <mergeCell ref="D22:G22"/>
    <mergeCell ref="K19:K20"/>
    <mergeCell ref="L19:L20"/>
    <mergeCell ref="M19:M20"/>
    <mergeCell ref="B20:C20"/>
    <mergeCell ref="D20:G20"/>
    <mergeCell ref="J19:J20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J17:J18"/>
    <mergeCell ref="K17:K18"/>
    <mergeCell ref="L17:L18"/>
    <mergeCell ref="M17:M18"/>
    <mergeCell ref="B18:C18"/>
    <mergeCell ref="D18:G18"/>
    <mergeCell ref="K15:K16"/>
    <mergeCell ref="L15:L16"/>
    <mergeCell ref="M15:M16"/>
    <mergeCell ref="B16:C16"/>
    <mergeCell ref="D16:G16"/>
    <mergeCell ref="J15:J16"/>
    <mergeCell ref="A17:A18"/>
    <mergeCell ref="B17:C17"/>
    <mergeCell ref="D17:G17"/>
    <mergeCell ref="H17:H18"/>
    <mergeCell ref="I17:I18"/>
    <mergeCell ref="A15:A16"/>
    <mergeCell ref="B15:C15"/>
    <mergeCell ref="D15:G15"/>
    <mergeCell ref="H15:H16"/>
    <mergeCell ref="I15:I16"/>
    <mergeCell ref="L13:L14"/>
    <mergeCell ref="M13:M14"/>
    <mergeCell ref="B14:C14"/>
    <mergeCell ref="D14:G14"/>
    <mergeCell ref="K11:K12"/>
    <mergeCell ref="L11:L12"/>
    <mergeCell ref="M11:M12"/>
    <mergeCell ref="B12:C12"/>
    <mergeCell ref="D12:G12"/>
    <mergeCell ref="J11:J12"/>
    <mergeCell ref="A9:A10"/>
    <mergeCell ref="A7:A8"/>
    <mergeCell ref="A5:A6"/>
    <mergeCell ref="B5:C5"/>
    <mergeCell ref="D5:G5"/>
    <mergeCell ref="H5:H6"/>
    <mergeCell ref="I5:I6"/>
    <mergeCell ref="J13:J14"/>
    <mergeCell ref="K13:K14"/>
    <mergeCell ref="A13:A14"/>
    <mergeCell ref="B13:C13"/>
    <mergeCell ref="D13:G13"/>
    <mergeCell ref="H13:H14"/>
    <mergeCell ref="I13:I14"/>
    <mergeCell ref="A11:A12"/>
    <mergeCell ref="B11:C11"/>
    <mergeCell ref="D11:G11"/>
    <mergeCell ref="H11:H12"/>
    <mergeCell ref="I11:I12"/>
    <mergeCell ref="K9:K10"/>
    <mergeCell ref="J5:J6"/>
    <mergeCell ref="K5:K6"/>
    <mergeCell ref="L9:L10"/>
    <mergeCell ref="M9:M10"/>
    <mergeCell ref="B10:C10"/>
    <mergeCell ref="D10:G10"/>
    <mergeCell ref="K7:K8"/>
    <mergeCell ref="L7:L8"/>
    <mergeCell ref="M7:M8"/>
    <mergeCell ref="B8:C8"/>
    <mergeCell ref="D8:G8"/>
    <mergeCell ref="J7:J8"/>
    <mergeCell ref="J9:J10"/>
    <mergeCell ref="B9:C9"/>
    <mergeCell ref="D9:G9"/>
    <mergeCell ref="H9:H10"/>
    <mergeCell ref="I9:I10"/>
    <mergeCell ref="B7:C7"/>
    <mergeCell ref="D7:G7"/>
    <mergeCell ref="H7:H8"/>
    <mergeCell ref="I7:I8"/>
    <mergeCell ref="L5:L6"/>
    <mergeCell ref="M5:M6"/>
    <mergeCell ref="B6:C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D6:G6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80018-55D9-49B6-8ECB-346CF91AF085}">
  <sheetPr>
    <tabColor rgb="FF00B050"/>
    <pageSetUpPr fitToPage="1"/>
  </sheetPr>
  <dimension ref="A1:N49"/>
  <sheetViews>
    <sheetView zoomScale="110" zoomScaleNormal="110" workbookViewId="0">
      <selection activeCell="A5" sqref="A5:A2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28" t="s">
        <v>552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30"/>
    </row>
    <row r="2" spans="1:14" ht="16.5" customHeight="1" thickBot="1">
      <c r="A2" s="4" t="s">
        <v>68</v>
      </c>
      <c r="B2" s="244" t="s">
        <v>69</v>
      </c>
      <c r="C2" s="245"/>
      <c r="D2" s="244" t="s">
        <v>70</v>
      </c>
      <c r="E2" s="246"/>
      <c r="F2" s="246"/>
      <c r="G2" s="245"/>
      <c r="H2" s="9" t="s">
        <v>644</v>
      </c>
      <c r="I2" s="9" t="s">
        <v>640</v>
      </c>
      <c r="J2" s="17" t="s">
        <v>645</v>
      </c>
      <c r="K2" s="5" t="s">
        <v>641</v>
      </c>
      <c r="L2" s="9" t="s">
        <v>642</v>
      </c>
      <c r="M2" s="9" t="s">
        <v>643</v>
      </c>
      <c r="N2" s="9" t="s">
        <v>654</v>
      </c>
    </row>
    <row r="3" spans="1:14" s="1" customFormat="1" ht="14.1" customHeight="1">
      <c r="A3" s="169">
        <v>1</v>
      </c>
      <c r="B3" s="80" t="s">
        <v>45</v>
      </c>
      <c r="C3" s="81"/>
      <c r="D3" s="74" t="s">
        <v>184</v>
      </c>
      <c r="E3" s="82"/>
      <c r="F3" s="82"/>
      <c r="G3" s="83"/>
      <c r="H3" s="85">
        <f>SUM(I3)-3</f>
        <v>34</v>
      </c>
      <c r="I3" s="85">
        <f>SUM(J3)-3.5</f>
        <v>37</v>
      </c>
      <c r="J3" s="85">
        <f>SUM(K3)-3.5</f>
        <v>40.5</v>
      </c>
      <c r="K3" s="84">
        <v>44</v>
      </c>
      <c r="L3" s="85">
        <f>SUM(K3)+3</f>
        <v>47</v>
      </c>
      <c r="M3" s="85">
        <f>SUM(L3)+3</f>
        <v>50</v>
      </c>
      <c r="N3" s="86">
        <f>SUM(M3)+3</f>
        <v>53</v>
      </c>
    </row>
    <row r="4" spans="1:14" s="1" customFormat="1" ht="14.1" customHeight="1">
      <c r="A4" s="71"/>
      <c r="B4" s="45" t="s">
        <v>42</v>
      </c>
      <c r="C4" s="46"/>
      <c r="D4" s="47" t="s">
        <v>124</v>
      </c>
      <c r="E4" s="48"/>
      <c r="F4" s="48"/>
      <c r="G4" s="49"/>
      <c r="H4" s="36"/>
      <c r="I4" s="36"/>
      <c r="J4" s="36"/>
      <c r="K4" s="35"/>
      <c r="L4" s="36"/>
      <c r="M4" s="36"/>
      <c r="N4" s="87"/>
    </row>
    <row r="5" spans="1:14" s="1" customFormat="1" ht="14.1" customHeight="1">
      <c r="A5" s="154">
        <v>2</v>
      </c>
      <c r="B5" s="51" t="s">
        <v>43</v>
      </c>
      <c r="C5" s="52"/>
      <c r="D5" s="59" t="s">
        <v>44</v>
      </c>
      <c r="E5" s="60"/>
      <c r="F5" s="60"/>
      <c r="G5" s="61"/>
      <c r="H5" s="24">
        <f>SUM(I5)-2.2</f>
        <v>34.399999999999991</v>
      </c>
      <c r="I5" s="24">
        <f>SUM(J5)-2.2</f>
        <v>36.599999999999994</v>
      </c>
      <c r="J5" s="24">
        <f>SUM(K5)-2.2</f>
        <v>38.799999999999997</v>
      </c>
      <c r="K5" s="33">
        <v>41</v>
      </c>
      <c r="L5" s="24">
        <f>SUM(K5)+2</f>
        <v>43</v>
      </c>
      <c r="M5" s="24">
        <f t="shared" ref="M5:N5" si="0">SUM(L5)+2</f>
        <v>45</v>
      </c>
      <c r="N5" s="88">
        <f t="shared" si="0"/>
        <v>47</v>
      </c>
    </row>
    <row r="6" spans="1:14" s="1" customFormat="1" ht="14.1" customHeight="1">
      <c r="A6" s="71"/>
      <c r="B6" s="45" t="s">
        <v>26</v>
      </c>
      <c r="C6" s="46"/>
      <c r="D6" s="47" t="s">
        <v>48</v>
      </c>
      <c r="E6" s="48"/>
      <c r="F6" s="48"/>
      <c r="G6" s="49"/>
      <c r="H6" s="36"/>
      <c r="I6" s="36"/>
      <c r="J6" s="36"/>
      <c r="K6" s="35"/>
      <c r="L6" s="36"/>
      <c r="M6" s="36"/>
      <c r="N6" s="87"/>
    </row>
    <row r="7" spans="1:14" s="1" customFormat="1" ht="13.5" customHeight="1">
      <c r="A7" s="154">
        <v>3</v>
      </c>
      <c r="B7" s="51" t="s">
        <v>41</v>
      </c>
      <c r="C7" s="52"/>
      <c r="D7" s="59" t="s">
        <v>84</v>
      </c>
      <c r="E7" s="60"/>
      <c r="F7" s="60"/>
      <c r="G7" s="61"/>
      <c r="H7" s="24">
        <f>SUM(I7)-2.25</f>
        <v>35.25</v>
      </c>
      <c r="I7" s="24">
        <f>SUM(J7)-2.25</f>
        <v>37.5</v>
      </c>
      <c r="J7" s="24">
        <f>SUM(K7)-2.25</f>
        <v>39.75</v>
      </c>
      <c r="K7" s="33">
        <v>42</v>
      </c>
      <c r="L7" s="24">
        <f>SUM(K7)+2</f>
        <v>44</v>
      </c>
      <c r="M7" s="24">
        <f>SUM(L7)+2</f>
        <v>46</v>
      </c>
      <c r="N7" s="88">
        <f>SUM(M7)+2</f>
        <v>48</v>
      </c>
    </row>
    <row r="8" spans="1:14" s="1" customFormat="1" ht="14.1" customHeight="1">
      <c r="A8" s="71"/>
      <c r="B8" s="45" t="s">
        <v>46</v>
      </c>
      <c r="C8" s="46"/>
      <c r="D8" s="47" t="s">
        <v>49</v>
      </c>
      <c r="E8" s="48"/>
      <c r="F8" s="48"/>
      <c r="G8" s="49"/>
      <c r="H8" s="36"/>
      <c r="I8" s="36"/>
      <c r="J8" s="36"/>
      <c r="K8" s="35"/>
      <c r="L8" s="36"/>
      <c r="M8" s="36"/>
      <c r="N8" s="87"/>
    </row>
    <row r="9" spans="1:14" s="1" customFormat="1" ht="14.1" customHeight="1">
      <c r="A9" s="154">
        <v>4</v>
      </c>
      <c r="B9" s="51" t="s">
        <v>47</v>
      </c>
      <c r="C9" s="52"/>
      <c r="D9" s="59" t="s">
        <v>8</v>
      </c>
      <c r="E9" s="60"/>
      <c r="F9" s="60"/>
      <c r="G9" s="61"/>
      <c r="H9" s="24">
        <f>SUM(I9)-1.8</f>
        <v>28.6</v>
      </c>
      <c r="I9" s="24">
        <f>SUM(J9)-1.8</f>
        <v>30.400000000000002</v>
      </c>
      <c r="J9" s="24">
        <f>SUM(K9)-1.8</f>
        <v>32.200000000000003</v>
      </c>
      <c r="K9" s="33">
        <v>34</v>
      </c>
      <c r="L9" s="24">
        <f>SUM(K9)+1.6</f>
        <v>35.6</v>
      </c>
      <c r="M9" s="24">
        <f>SUM(L9)+1.6</f>
        <v>37.200000000000003</v>
      </c>
      <c r="N9" s="88">
        <f>SUM(M9)+1.6</f>
        <v>38.800000000000004</v>
      </c>
    </row>
    <row r="10" spans="1:14" s="1" customFormat="1" ht="14.1" customHeight="1">
      <c r="A10" s="71"/>
      <c r="B10" s="45" t="s">
        <v>27</v>
      </c>
      <c r="C10" s="46"/>
      <c r="D10" s="47" t="s">
        <v>50</v>
      </c>
      <c r="E10" s="48"/>
      <c r="F10" s="48"/>
      <c r="G10" s="49"/>
      <c r="H10" s="36"/>
      <c r="I10" s="36"/>
      <c r="J10" s="36"/>
      <c r="K10" s="35"/>
      <c r="L10" s="36"/>
      <c r="M10" s="36"/>
      <c r="N10" s="87"/>
    </row>
    <row r="11" spans="1:14" s="1" customFormat="1" ht="14.1" customHeight="1">
      <c r="A11" s="154">
        <v>5</v>
      </c>
      <c r="B11" s="51" t="s">
        <v>10</v>
      </c>
      <c r="C11" s="52"/>
      <c r="D11" s="59" t="s">
        <v>0</v>
      </c>
      <c r="E11" s="60"/>
      <c r="F11" s="60"/>
      <c r="G11" s="61"/>
      <c r="H11" s="24">
        <f>SUM(I11)-0.8</f>
        <v>14.2</v>
      </c>
      <c r="I11" s="24">
        <f>SUM(J11)-0.8</f>
        <v>15</v>
      </c>
      <c r="J11" s="24">
        <f>SUM(K11)-0.8</f>
        <v>15.8</v>
      </c>
      <c r="K11" s="23">
        <v>16.600000000000001</v>
      </c>
      <c r="L11" s="24">
        <f>SUM(K11)+0.8</f>
        <v>17.400000000000002</v>
      </c>
      <c r="M11" s="24">
        <f>SUM(L11)+0.8</f>
        <v>18.200000000000003</v>
      </c>
      <c r="N11" s="88">
        <f>SUM(M11)+0.8</f>
        <v>19.000000000000004</v>
      </c>
    </row>
    <row r="12" spans="1:14" s="1" customFormat="1" ht="14.1" customHeight="1">
      <c r="A12" s="71"/>
      <c r="B12" s="45" t="s">
        <v>28</v>
      </c>
      <c r="C12" s="46"/>
      <c r="D12" s="47" t="s">
        <v>51</v>
      </c>
      <c r="E12" s="48"/>
      <c r="F12" s="48"/>
      <c r="G12" s="49"/>
      <c r="H12" s="36"/>
      <c r="I12" s="36"/>
      <c r="J12" s="36"/>
      <c r="K12" s="23"/>
      <c r="L12" s="36"/>
      <c r="M12" s="36"/>
      <c r="N12" s="87"/>
    </row>
    <row r="13" spans="1:14" s="1" customFormat="1" ht="14.1" customHeight="1">
      <c r="A13" s="154">
        <v>6</v>
      </c>
      <c r="B13" s="51" t="s">
        <v>1</v>
      </c>
      <c r="C13" s="52"/>
      <c r="D13" s="59" t="s">
        <v>180</v>
      </c>
      <c r="E13" s="60"/>
      <c r="F13" s="60"/>
      <c r="G13" s="61"/>
      <c r="H13" s="24">
        <f>SUM(I13)</f>
        <v>14.8</v>
      </c>
      <c r="I13" s="24">
        <f>SUM(J13)-0.6</f>
        <v>14.8</v>
      </c>
      <c r="J13" s="24">
        <f>SUM(K13)-0.6</f>
        <v>15.4</v>
      </c>
      <c r="K13" s="33">
        <v>16</v>
      </c>
      <c r="L13" s="24">
        <f>SUM(K13)+0.6</f>
        <v>16.600000000000001</v>
      </c>
      <c r="M13" s="24">
        <f>SUM(L13)+0.6</f>
        <v>17.200000000000003</v>
      </c>
      <c r="N13" s="88">
        <f>SUM(M13)+0.6</f>
        <v>17.800000000000004</v>
      </c>
    </row>
    <row r="14" spans="1:14" s="1" customFormat="1" ht="14.1" customHeight="1">
      <c r="A14" s="71"/>
      <c r="B14" s="45" t="s">
        <v>29</v>
      </c>
      <c r="C14" s="46"/>
      <c r="D14" s="47" t="s">
        <v>154</v>
      </c>
      <c r="E14" s="48"/>
      <c r="F14" s="48"/>
      <c r="G14" s="49"/>
      <c r="H14" s="36"/>
      <c r="I14" s="36"/>
      <c r="J14" s="36"/>
      <c r="K14" s="35"/>
      <c r="L14" s="36"/>
      <c r="M14" s="36"/>
      <c r="N14" s="87"/>
    </row>
    <row r="15" spans="1:14" s="1" customFormat="1" ht="14.1" customHeight="1">
      <c r="A15" s="154">
        <v>7</v>
      </c>
      <c r="B15" s="51" t="s">
        <v>2</v>
      </c>
      <c r="C15" s="52"/>
      <c r="D15" s="59" t="s">
        <v>3</v>
      </c>
      <c r="E15" s="60"/>
      <c r="F15" s="60"/>
      <c r="G15" s="61"/>
      <c r="H15" s="24">
        <f>SUM(I15)</f>
        <v>6.9</v>
      </c>
      <c r="I15" s="24">
        <f>SUM(J15)-0.3</f>
        <v>6.9</v>
      </c>
      <c r="J15" s="24">
        <f>SUM(K15)-0.3</f>
        <v>7.2</v>
      </c>
      <c r="K15" s="33">
        <v>7.5</v>
      </c>
      <c r="L15" s="24">
        <f>SUM(K15)+0.3</f>
        <v>7.8</v>
      </c>
      <c r="M15" s="24">
        <f>SUM(L15)+0.3</f>
        <v>8.1</v>
      </c>
      <c r="N15" s="88">
        <f>SUM(M15)+0.3</f>
        <v>8.4</v>
      </c>
    </row>
    <row r="16" spans="1:14" s="1" customFormat="1" ht="14.1" customHeight="1">
      <c r="A16" s="71"/>
      <c r="B16" s="45" t="s">
        <v>30</v>
      </c>
      <c r="C16" s="46"/>
      <c r="D16" s="47" t="s">
        <v>155</v>
      </c>
      <c r="E16" s="48"/>
      <c r="F16" s="48"/>
      <c r="G16" s="49"/>
      <c r="H16" s="36"/>
      <c r="I16" s="36"/>
      <c r="J16" s="36"/>
      <c r="K16" s="35"/>
      <c r="L16" s="36"/>
      <c r="M16" s="36"/>
      <c r="N16" s="87"/>
    </row>
    <row r="17" spans="1:14" s="1" customFormat="1" ht="14.1" customHeight="1">
      <c r="A17" s="154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</f>
        <v>42.8</v>
      </c>
      <c r="I17" s="24">
        <f>SUM(J17)-1.6</f>
        <v>42.8</v>
      </c>
      <c r="J17" s="24">
        <f>SUM(K17)-1.6</f>
        <v>44.4</v>
      </c>
      <c r="K17" s="33">
        <v>46</v>
      </c>
      <c r="L17" s="24">
        <f>SUM(K17)+1.6</f>
        <v>47.6</v>
      </c>
      <c r="M17" s="24">
        <f>SUM(L17)+1.6</f>
        <v>49.2</v>
      </c>
      <c r="N17" s="88">
        <f>SUM(M17)+1.6</f>
        <v>50.800000000000004</v>
      </c>
    </row>
    <row r="18" spans="1:14" s="1" customFormat="1" ht="14.1" customHeight="1">
      <c r="A18" s="71"/>
      <c r="B18" s="45" t="s">
        <v>37</v>
      </c>
      <c r="C18" s="46"/>
      <c r="D18" s="47" t="s">
        <v>156</v>
      </c>
      <c r="E18" s="48"/>
      <c r="F18" s="48"/>
      <c r="G18" s="49"/>
      <c r="H18" s="36"/>
      <c r="I18" s="36"/>
      <c r="J18" s="36"/>
      <c r="K18" s="35"/>
      <c r="L18" s="36"/>
      <c r="M18" s="36"/>
      <c r="N18" s="87"/>
    </row>
    <row r="19" spans="1:14" s="1" customFormat="1" ht="14.1" customHeight="1">
      <c r="A19" s="154">
        <v>9</v>
      </c>
      <c r="B19" s="58" t="s">
        <v>4</v>
      </c>
      <c r="C19" s="58"/>
      <c r="D19" s="57" t="s">
        <v>5</v>
      </c>
      <c r="E19" s="57"/>
      <c r="F19" s="57"/>
      <c r="G19" s="57"/>
      <c r="H19" s="24">
        <f t="shared" ref="H19:I19" si="1">SUM(I19)-3.4</f>
        <v>23.300000000000004</v>
      </c>
      <c r="I19" s="24">
        <f t="shared" si="1"/>
        <v>26.700000000000003</v>
      </c>
      <c r="J19" s="24">
        <f>SUM(K19)-3.4</f>
        <v>30.1</v>
      </c>
      <c r="K19" s="23">
        <v>33.5</v>
      </c>
      <c r="L19" s="24">
        <f>SUM(K19)+3.5</f>
        <v>37</v>
      </c>
      <c r="M19" s="24">
        <f>SUM(L19)+3.5</f>
        <v>40.5</v>
      </c>
      <c r="N19" s="88">
        <f>SUM(M19)+3.5</f>
        <v>44</v>
      </c>
    </row>
    <row r="20" spans="1:14" s="1" customFormat="1" ht="14.1" customHeight="1">
      <c r="A20" s="71"/>
      <c r="B20" s="56" t="s">
        <v>31</v>
      </c>
      <c r="C20" s="56"/>
      <c r="D20" s="47" t="s">
        <v>54</v>
      </c>
      <c r="E20" s="48"/>
      <c r="F20" s="48"/>
      <c r="G20" s="49"/>
      <c r="H20" s="36"/>
      <c r="I20" s="36"/>
      <c r="J20" s="36"/>
      <c r="K20" s="23"/>
      <c r="L20" s="36"/>
      <c r="M20" s="36"/>
      <c r="N20" s="87"/>
    </row>
    <row r="21" spans="1:14" s="1" customFormat="1" ht="14.1" customHeight="1">
      <c r="A21" s="154">
        <v>10</v>
      </c>
      <c r="B21" s="51" t="s">
        <v>6</v>
      </c>
      <c r="C21" s="52"/>
      <c r="D21" s="59" t="s">
        <v>7</v>
      </c>
      <c r="E21" s="60"/>
      <c r="F21" s="60"/>
      <c r="G21" s="61"/>
      <c r="H21" s="24">
        <f>SUM(I21)-1.6</f>
        <v>28.199999999999996</v>
      </c>
      <c r="I21" s="24">
        <f>SUM(J21)-1.6</f>
        <v>29.799999999999997</v>
      </c>
      <c r="J21" s="24">
        <f>SUM(K21)-1.6</f>
        <v>31.4</v>
      </c>
      <c r="K21" s="33">
        <v>33</v>
      </c>
      <c r="L21" s="24">
        <f>SUM(K21)+1.6</f>
        <v>34.6</v>
      </c>
      <c r="M21" s="24">
        <f t="shared" ref="M21:N21" si="2">SUM(L21)+1.6</f>
        <v>36.200000000000003</v>
      </c>
      <c r="N21" s="88">
        <f t="shared" si="2"/>
        <v>37.800000000000004</v>
      </c>
    </row>
    <row r="22" spans="1:14" s="1" customFormat="1" ht="14.1" customHeight="1">
      <c r="A22" s="71"/>
      <c r="B22" s="45" t="s">
        <v>32</v>
      </c>
      <c r="C22" s="46"/>
      <c r="D22" s="47" t="s">
        <v>76</v>
      </c>
      <c r="E22" s="48"/>
      <c r="F22" s="48"/>
      <c r="G22" s="49"/>
      <c r="H22" s="36"/>
      <c r="I22" s="36"/>
      <c r="J22" s="36"/>
      <c r="K22" s="35"/>
      <c r="L22" s="36"/>
      <c r="M22" s="36"/>
      <c r="N22" s="87"/>
    </row>
    <row r="23" spans="1:14" s="1" customFormat="1" ht="14.1" customHeight="1">
      <c r="A23" s="154">
        <v>11</v>
      </c>
      <c r="B23" s="51" t="s">
        <v>77</v>
      </c>
      <c r="C23" s="52"/>
      <c r="D23" s="59" t="s">
        <v>78</v>
      </c>
      <c r="E23" s="60"/>
      <c r="F23" s="60"/>
      <c r="G23" s="61"/>
      <c r="H23" s="24">
        <f>SUM(I23)-0.6</f>
        <v>13.4</v>
      </c>
      <c r="I23" s="24">
        <f>SUM(J23)-0.6</f>
        <v>14</v>
      </c>
      <c r="J23" s="24">
        <f>SUM(K23)-0.6</f>
        <v>14.6</v>
      </c>
      <c r="K23" s="33">
        <v>15.2</v>
      </c>
      <c r="L23" s="24">
        <f>SUM(K23)+0.6</f>
        <v>15.799999999999999</v>
      </c>
      <c r="M23" s="24">
        <f>SUM(L23)+0.6</f>
        <v>16.399999999999999</v>
      </c>
      <c r="N23" s="88">
        <f>SUM(M23)+0.6</f>
        <v>17</v>
      </c>
    </row>
    <row r="24" spans="1:14" s="1" customFormat="1" ht="14.1" customHeight="1">
      <c r="A24" s="71"/>
      <c r="B24" s="45" t="s">
        <v>33</v>
      </c>
      <c r="C24" s="46"/>
      <c r="D24" s="47" t="s">
        <v>79</v>
      </c>
      <c r="E24" s="48"/>
      <c r="F24" s="48"/>
      <c r="G24" s="49"/>
      <c r="H24" s="36"/>
      <c r="I24" s="36"/>
      <c r="J24" s="36"/>
      <c r="K24" s="35"/>
      <c r="L24" s="36"/>
      <c r="M24" s="36"/>
      <c r="N24" s="87"/>
    </row>
    <row r="25" spans="1:14" s="1" customFormat="1" ht="14.1" customHeight="1">
      <c r="A25" s="154">
        <v>12</v>
      </c>
      <c r="B25" s="51" t="s">
        <v>176</v>
      </c>
      <c r="C25" s="52"/>
      <c r="D25" s="53" t="s">
        <v>103</v>
      </c>
      <c r="E25" s="54"/>
      <c r="F25" s="54"/>
      <c r="G25" s="55"/>
      <c r="H25" s="24">
        <f>SUM(I25)-0.2</f>
        <v>3.8999999999999995</v>
      </c>
      <c r="I25" s="24">
        <f>SUM(J25)-0.2</f>
        <v>4.0999999999999996</v>
      </c>
      <c r="J25" s="24">
        <f>SUM(K25)-0.2</f>
        <v>4.3</v>
      </c>
      <c r="K25" s="33">
        <v>4.5</v>
      </c>
      <c r="L25" s="24">
        <f>SUM(K25)+0.2</f>
        <v>4.7</v>
      </c>
      <c r="M25" s="24">
        <f>SUM(L25)+0.2</f>
        <v>4.9000000000000004</v>
      </c>
      <c r="N25" s="88">
        <f>SUM(M25)+0.2</f>
        <v>5.1000000000000005</v>
      </c>
    </row>
    <row r="26" spans="1:14" s="1" customFormat="1" ht="14.1" customHeight="1" thickBot="1">
      <c r="A26" s="71"/>
      <c r="B26" s="28" t="s">
        <v>175</v>
      </c>
      <c r="C26" s="29"/>
      <c r="D26" s="30" t="s">
        <v>104</v>
      </c>
      <c r="E26" s="31"/>
      <c r="F26" s="31"/>
      <c r="G26" s="32"/>
      <c r="H26" s="25"/>
      <c r="I26" s="25"/>
      <c r="J26" s="25"/>
      <c r="K26" s="34"/>
      <c r="L26" s="25"/>
      <c r="M26" s="25"/>
      <c r="N26" s="103"/>
    </row>
    <row r="27" spans="1:14" s="1" customFormat="1" ht="14.1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1:14" s="1" customFormat="1" ht="14.1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1:14" ht="14.1" customHeight="1"/>
    <row r="30" spans="1:14" ht="14.1" customHeight="1"/>
    <row r="31" spans="1:14" ht="14.1" customHeight="1"/>
    <row r="32" spans="1:14" ht="14.1" customHeight="1"/>
    <row r="33" spans="3:3" ht="14.1" customHeight="1"/>
    <row r="34" spans="3:3" ht="14.1" customHeight="1"/>
    <row r="35" spans="3:3" ht="14.1" customHeight="1"/>
    <row r="36" spans="3:3" ht="14.1" customHeight="1"/>
    <row r="37" spans="3:3" ht="14.1" customHeight="1"/>
    <row r="38" spans="3:3" ht="14.1" customHeight="1"/>
    <row r="39" spans="3:3" ht="14.1" customHeight="1"/>
    <row r="40" spans="3:3" ht="14.1" customHeight="1"/>
    <row r="41" spans="3:3" ht="14.1" customHeight="1"/>
    <row r="42" spans="3:3" ht="14.1" customHeight="1"/>
    <row r="43" spans="3:3" ht="14.1" customHeight="1"/>
    <row r="44" spans="3:3" ht="14.1" customHeight="1"/>
    <row r="45" spans="3:3" ht="14.1" customHeight="1"/>
    <row r="46" spans="3:3" ht="14.1" customHeight="1"/>
    <row r="47" spans="3:3" ht="14.1" customHeight="1"/>
    <row r="48" spans="3:3" ht="14.1" customHeight="1"/>
    <row r="49" ht="14.1" customHeight="1"/>
  </sheetData>
  <mergeCells count="147">
    <mergeCell ref="N17:N18"/>
    <mergeCell ref="N19:N20"/>
    <mergeCell ref="N21:N22"/>
    <mergeCell ref="N23:N24"/>
    <mergeCell ref="N25:N26"/>
    <mergeCell ref="A1:N1"/>
    <mergeCell ref="N3:N4"/>
    <mergeCell ref="N5:N6"/>
    <mergeCell ref="N7:N8"/>
    <mergeCell ref="N9:N10"/>
    <mergeCell ref="N11:N12"/>
    <mergeCell ref="N13:N14"/>
    <mergeCell ref="N15:N16"/>
    <mergeCell ref="B2:C2"/>
    <mergeCell ref="D2:G2"/>
    <mergeCell ref="A3:A4"/>
    <mergeCell ref="B3:C3"/>
    <mergeCell ref="D3:G3"/>
    <mergeCell ref="H3:H4"/>
    <mergeCell ref="B4:C4"/>
    <mergeCell ref="D4:G4"/>
    <mergeCell ref="A5:A6"/>
    <mergeCell ref="B5:C5"/>
    <mergeCell ref="D5:G5"/>
    <mergeCell ref="H5:H6"/>
    <mergeCell ref="B6:C6"/>
    <mergeCell ref="D6:G6"/>
    <mergeCell ref="A13:A14"/>
    <mergeCell ref="B13:C13"/>
    <mergeCell ref="D13:G13"/>
    <mergeCell ref="H13:H14"/>
    <mergeCell ref="A11:A12"/>
    <mergeCell ref="B11:C11"/>
    <mergeCell ref="D11:G11"/>
    <mergeCell ref="H11:H12"/>
    <mergeCell ref="A7:A8"/>
    <mergeCell ref="B10:C10"/>
    <mergeCell ref="D10:G10"/>
    <mergeCell ref="B8:C8"/>
    <mergeCell ref="D8:G8"/>
    <mergeCell ref="A9:A10"/>
    <mergeCell ref="B9:C9"/>
    <mergeCell ref="D9:G9"/>
    <mergeCell ref="H9:H10"/>
    <mergeCell ref="B7:C7"/>
    <mergeCell ref="D7:G7"/>
    <mergeCell ref="H7:H8"/>
    <mergeCell ref="B14:C14"/>
    <mergeCell ref="D14:G14"/>
    <mergeCell ref="K11:K12"/>
    <mergeCell ref="M11:M12"/>
    <mergeCell ref="B12:C12"/>
    <mergeCell ref="D12:G12"/>
    <mergeCell ref="J11:J12"/>
    <mergeCell ref="I11:I12"/>
    <mergeCell ref="I13:I14"/>
    <mergeCell ref="L11:L12"/>
    <mergeCell ref="L13:L14"/>
    <mergeCell ref="M13:M14"/>
    <mergeCell ref="B16:C16"/>
    <mergeCell ref="D16:G16"/>
    <mergeCell ref="J15:J16"/>
    <mergeCell ref="I15:I16"/>
    <mergeCell ref="I17:I18"/>
    <mergeCell ref="A17:A18"/>
    <mergeCell ref="B17:C17"/>
    <mergeCell ref="D17:G17"/>
    <mergeCell ref="H17:H18"/>
    <mergeCell ref="A15:A16"/>
    <mergeCell ref="B15:C15"/>
    <mergeCell ref="D15:G15"/>
    <mergeCell ref="H15:H16"/>
    <mergeCell ref="B20:C20"/>
    <mergeCell ref="D20:G20"/>
    <mergeCell ref="J19:J20"/>
    <mergeCell ref="I19:I20"/>
    <mergeCell ref="I21:I22"/>
    <mergeCell ref="J25:J26"/>
    <mergeCell ref="K25:K26"/>
    <mergeCell ref="L25:L26"/>
    <mergeCell ref="D22:G22"/>
    <mergeCell ref="M25:M26"/>
    <mergeCell ref="B26:C26"/>
    <mergeCell ref="D26:G26"/>
    <mergeCell ref="K23:K24"/>
    <mergeCell ref="L23:L24"/>
    <mergeCell ref="M23:M24"/>
    <mergeCell ref="B24:C24"/>
    <mergeCell ref="D24:G24"/>
    <mergeCell ref="A25:A26"/>
    <mergeCell ref="B25:C25"/>
    <mergeCell ref="D25:G25"/>
    <mergeCell ref="H25:H26"/>
    <mergeCell ref="I25:I26"/>
    <mergeCell ref="A21:A22"/>
    <mergeCell ref="A23:A24"/>
    <mergeCell ref="B23:C23"/>
    <mergeCell ref="D23:G23"/>
    <mergeCell ref="H23:H24"/>
    <mergeCell ref="I23:I24"/>
    <mergeCell ref="J23:J24"/>
    <mergeCell ref="J21:J22"/>
    <mergeCell ref="K3:K4"/>
    <mergeCell ref="J3:J4"/>
    <mergeCell ref="I3:I4"/>
    <mergeCell ref="K13:K14"/>
    <mergeCell ref="K19:K20"/>
    <mergeCell ref="B21:C21"/>
    <mergeCell ref="D21:G21"/>
    <mergeCell ref="H21:H22"/>
    <mergeCell ref="A19:A20"/>
    <mergeCell ref="B19:C19"/>
    <mergeCell ref="D19:G19"/>
    <mergeCell ref="H19:H20"/>
    <mergeCell ref="J17:J18"/>
    <mergeCell ref="B18:C18"/>
    <mergeCell ref="D18:G18"/>
    <mergeCell ref="B22:C22"/>
    <mergeCell ref="M5:M6"/>
    <mergeCell ref="L5:L6"/>
    <mergeCell ref="K5:K6"/>
    <mergeCell ref="J5:J6"/>
    <mergeCell ref="I5:I6"/>
    <mergeCell ref="M3:M4"/>
    <mergeCell ref="L3:L4"/>
    <mergeCell ref="M15:M16"/>
    <mergeCell ref="M17:M18"/>
    <mergeCell ref="M19:M20"/>
    <mergeCell ref="M21:M22"/>
    <mergeCell ref="I7:I8"/>
    <mergeCell ref="I9:I10"/>
    <mergeCell ref="J7:J8"/>
    <mergeCell ref="M7:M8"/>
    <mergeCell ref="L7:L8"/>
    <mergeCell ref="K7:K8"/>
    <mergeCell ref="M9:M10"/>
    <mergeCell ref="L9:L10"/>
    <mergeCell ref="K9:K10"/>
    <mergeCell ref="J9:J10"/>
    <mergeCell ref="K21:K22"/>
    <mergeCell ref="L21:L22"/>
    <mergeCell ref="K17:K18"/>
    <mergeCell ref="L17:L18"/>
    <mergeCell ref="K15:K16"/>
    <mergeCell ref="L15:L16"/>
    <mergeCell ref="J13:J14"/>
    <mergeCell ref="L19:L20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orientation="portrait" r:id="rId1"/>
  <legacy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8B584-1A38-4050-9196-92A28B680E06}">
  <sheetPr>
    <tabColor rgb="FF00B050"/>
    <pageSetUpPr fitToPage="1"/>
  </sheetPr>
  <dimension ref="A1:N51"/>
  <sheetViews>
    <sheetView zoomScale="110" zoomScaleNormal="110" workbookViewId="0">
      <selection activeCell="A25" sqref="A25:N2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7" t="s">
        <v>554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9"/>
    </row>
    <row r="2" spans="1:14" ht="16.5" customHeight="1" thickBot="1">
      <c r="A2" s="4" t="s">
        <v>68</v>
      </c>
      <c r="B2" s="244" t="s">
        <v>69</v>
      </c>
      <c r="C2" s="245"/>
      <c r="D2" s="244" t="s">
        <v>70</v>
      </c>
      <c r="E2" s="246"/>
      <c r="F2" s="246"/>
      <c r="G2" s="245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  <c r="N2" s="9" t="s">
        <v>561</v>
      </c>
    </row>
    <row r="3" spans="1:14" s="1" customFormat="1" ht="14.1" customHeight="1">
      <c r="A3" s="169">
        <v>1</v>
      </c>
      <c r="B3" s="80" t="s">
        <v>45</v>
      </c>
      <c r="C3" s="81"/>
      <c r="D3" s="74" t="s">
        <v>184</v>
      </c>
      <c r="E3" s="82"/>
      <c r="F3" s="82"/>
      <c r="G3" s="83"/>
      <c r="H3" s="85">
        <f>SUM(I3)-3.5</f>
        <v>35</v>
      </c>
      <c r="I3" s="85">
        <f>SUM(J3)-3.5</f>
        <v>38.5</v>
      </c>
      <c r="J3" s="84">
        <v>42</v>
      </c>
      <c r="K3" s="85">
        <f>SUM(J3)+3</f>
        <v>45</v>
      </c>
      <c r="L3" s="85">
        <f t="shared" ref="L3:N3" si="0">SUM(K3)+3</f>
        <v>48</v>
      </c>
      <c r="M3" s="93">
        <f t="shared" si="0"/>
        <v>51</v>
      </c>
      <c r="N3" s="113">
        <f t="shared" si="0"/>
        <v>54</v>
      </c>
    </row>
    <row r="4" spans="1:14" s="1" customFormat="1" ht="14.1" customHeight="1">
      <c r="A4" s="71"/>
      <c r="B4" s="45" t="s">
        <v>42</v>
      </c>
      <c r="C4" s="46"/>
      <c r="D4" s="47" t="s">
        <v>124</v>
      </c>
      <c r="E4" s="48"/>
      <c r="F4" s="48"/>
      <c r="G4" s="49"/>
      <c r="H4" s="36"/>
      <c r="I4" s="36"/>
      <c r="J4" s="35"/>
      <c r="K4" s="36"/>
      <c r="L4" s="36"/>
      <c r="M4" s="62"/>
      <c r="N4" s="37"/>
    </row>
    <row r="5" spans="1:14" s="1" customFormat="1" ht="14.1" customHeight="1">
      <c r="A5" s="154">
        <v>2</v>
      </c>
      <c r="B5" s="51" t="s">
        <v>43</v>
      </c>
      <c r="C5" s="52"/>
      <c r="D5" s="59" t="s">
        <v>44</v>
      </c>
      <c r="E5" s="60"/>
      <c r="F5" s="60"/>
      <c r="G5" s="61"/>
      <c r="H5" s="24">
        <f>SUM(I5)-1.6</f>
        <v>22.199999999999996</v>
      </c>
      <c r="I5" s="24">
        <f>SUM(J5)-1.6</f>
        <v>23.799999999999997</v>
      </c>
      <c r="J5" s="33">
        <v>25.4</v>
      </c>
      <c r="K5" s="24">
        <f>SUM(J5)+1.4</f>
        <v>26.799999999999997</v>
      </c>
      <c r="L5" s="24">
        <f t="shared" ref="L5:N5" si="1">SUM(K5)+1.4</f>
        <v>28.199999999999996</v>
      </c>
      <c r="M5" s="134">
        <f t="shared" si="1"/>
        <v>29.599999999999994</v>
      </c>
      <c r="N5" s="26">
        <f t="shared" si="1"/>
        <v>30.999999999999993</v>
      </c>
    </row>
    <row r="6" spans="1:14" s="1" customFormat="1" ht="14.1" customHeight="1">
      <c r="A6" s="71"/>
      <c r="B6" s="45" t="s">
        <v>26</v>
      </c>
      <c r="C6" s="4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62"/>
      <c r="N6" s="37"/>
    </row>
    <row r="7" spans="1:14" s="1" customFormat="1" ht="14.1" customHeight="1">
      <c r="A7" s="154">
        <v>3</v>
      </c>
      <c r="B7" s="51" t="s">
        <v>41</v>
      </c>
      <c r="C7" s="52"/>
      <c r="D7" s="59" t="s">
        <v>84</v>
      </c>
      <c r="E7" s="60"/>
      <c r="F7" s="60"/>
      <c r="G7" s="61"/>
      <c r="H7" s="239">
        <f>SUM(I7)-2.25</f>
        <v>31.5</v>
      </c>
      <c r="I7" s="24">
        <f>SUM(J7)-2.25</f>
        <v>33.75</v>
      </c>
      <c r="J7" s="33">
        <v>36</v>
      </c>
      <c r="K7" s="24">
        <f>SUM(J7)+2</f>
        <v>38</v>
      </c>
      <c r="L7" s="24">
        <f>SUM(K7)+2</f>
        <v>40</v>
      </c>
      <c r="M7" s="134">
        <f>SUM(L7)+2</f>
        <v>42</v>
      </c>
      <c r="N7" s="26">
        <f>SUM(M7)+2</f>
        <v>44</v>
      </c>
    </row>
    <row r="8" spans="1:14" s="1" customFormat="1" ht="14.1" customHeight="1">
      <c r="A8" s="71"/>
      <c r="B8" s="45" t="s">
        <v>46</v>
      </c>
      <c r="C8" s="46"/>
      <c r="D8" s="47" t="s">
        <v>49</v>
      </c>
      <c r="E8" s="48"/>
      <c r="F8" s="48"/>
      <c r="G8" s="49"/>
      <c r="H8" s="240"/>
      <c r="I8" s="36"/>
      <c r="J8" s="35"/>
      <c r="K8" s="36"/>
      <c r="L8" s="36"/>
      <c r="M8" s="62"/>
      <c r="N8" s="37"/>
    </row>
    <row r="9" spans="1:14" s="1" customFormat="1" ht="14.1" customHeight="1">
      <c r="A9" s="154">
        <v>4</v>
      </c>
      <c r="B9" s="51" t="s">
        <v>47</v>
      </c>
      <c r="C9" s="52"/>
      <c r="D9" s="59" t="s">
        <v>8</v>
      </c>
      <c r="E9" s="60"/>
      <c r="F9" s="60"/>
      <c r="G9" s="61"/>
      <c r="H9" s="24">
        <f>SUM(I9)-2.25</f>
        <v>31.5</v>
      </c>
      <c r="I9" s="24">
        <f>SUM(J9)-2.25</f>
        <v>33.75</v>
      </c>
      <c r="J9" s="33">
        <v>36</v>
      </c>
      <c r="K9" s="24">
        <f>SUM(J9)+2</f>
        <v>38</v>
      </c>
      <c r="L9" s="24">
        <f t="shared" ref="L9:N9" si="2">SUM(K9)+2</f>
        <v>40</v>
      </c>
      <c r="M9" s="134">
        <f t="shared" si="2"/>
        <v>42</v>
      </c>
      <c r="N9" s="26">
        <f t="shared" si="2"/>
        <v>44</v>
      </c>
    </row>
    <row r="10" spans="1:14" s="1" customFormat="1" ht="14.1" customHeight="1">
      <c r="A10" s="71"/>
      <c r="B10" s="45" t="s">
        <v>27</v>
      </c>
      <c r="C10" s="4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62"/>
      <c r="N10" s="37"/>
    </row>
    <row r="11" spans="1:14" s="1" customFormat="1" ht="14.1" customHeight="1">
      <c r="A11" s="154">
        <v>5</v>
      </c>
      <c r="B11" s="51" t="s">
        <v>10</v>
      </c>
      <c r="C11" s="52"/>
      <c r="D11" s="59" t="s">
        <v>0</v>
      </c>
      <c r="E11" s="60"/>
      <c r="F11" s="60"/>
      <c r="G11" s="61"/>
      <c r="H11" s="24">
        <f>SUM(I11)-0.9</f>
        <v>13.299999999999999</v>
      </c>
      <c r="I11" s="24">
        <f>SUM(J11)-0.9</f>
        <v>14.2</v>
      </c>
      <c r="J11" s="33">
        <v>15.1</v>
      </c>
      <c r="K11" s="24">
        <f>SUM(J11)+0.9</f>
        <v>16</v>
      </c>
      <c r="L11" s="24">
        <f t="shared" ref="L11:N11" si="3">SUM(K11)+0.9</f>
        <v>16.899999999999999</v>
      </c>
      <c r="M11" s="134">
        <f t="shared" si="3"/>
        <v>17.799999999999997</v>
      </c>
      <c r="N11" s="26">
        <f t="shared" si="3"/>
        <v>18.699999999999996</v>
      </c>
    </row>
    <row r="12" spans="1:14" s="1" customFormat="1" ht="14.1" customHeight="1">
      <c r="A12" s="71"/>
      <c r="B12" s="45" t="s">
        <v>28</v>
      </c>
      <c r="C12" s="46"/>
      <c r="D12" s="47" t="s">
        <v>51</v>
      </c>
      <c r="E12" s="48"/>
      <c r="F12" s="48"/>
      <c r="G12" s="49"/>
      <c r="H12" s="36"/>
      <c r="I12" s="36"/>
      <c r="J12" s="35"/>
      <c r="K12" s="36"/>
      <c r="L12" s="36"/>
      <c r="M12" s="62"/>
      <c r="N12" s="37"/>
    </row>
    <row r="13" spans="1:14" s="1" customFormat="1" ht="14.1" customHeight="1">
      <c r="A13" s="154">
        <v>6</v>
      </c>
      <c r="B13" s="51" t="s">
        <v>1</v>
      </c>
      <c r="C13" s="52"/>
      <c r="D13" s="59" t="s">
        <v>180</v>
      </c>
      <c r="E13" s="60"/>
      <c r="F13" s="60"/>
      <c r="G13" s="61"/>
      <c r="H13" s="24">
        <f>SUM(I13)-0.6</f>
        <v>12.200000000000001</v>
      </c>
      <c r="I13" s="24">
        <f>SUM(J13)-0.6</f>
        <v>12.8</v>
      </c>
      <c r="J13" s="33">
        <v>13.4</v>
      </c>
      <c r="K13" s="24">
        <f>SUM(J13)+0.6</f>
        <v>14</v>
      </c>
      <c r="L13" s="24">
        <f>SUM(K13)+0.6</f>
        <v>14.6</v>
      </c>
      <c r="M13" s="134">
        <f t="shared" ref="M13:N13" si="4">SUM(L13)+0.6</f>
        <v>15.2</v>
      </c>
      <c r="N13" s="26">
        <f t="shared" si="4"/>
        <v>15.799999999999999</v>
      </c>
    </row>
    <row r="14" spans="1:14" s="1" customFormat="1" ht="14.1" customHeight="1">
      <c r="A14" s="71"/>
      <c r="B14" s="45" t="s">
        <v>29</v>
      </c>
      <c r="C14" s="46"/>
      <c r="D14" s="47" t="s">
        <v>154</v>
      </c>
      <c r="E14" s="48"/>
      <c r="F14" s="48"/>
      <c r="G14" s="49"/>
      <c r="H14" s="36"/>
      <c r="I14" s="36"/>
      <c r="J14" s="35"/>
      <c r="K14" s="36"/>
      <c r="L14" s="36"/>
      <c r="M14" s="62"/>
      <c r="N14" s="37"/>
    </row>
    <row r="15" spans="1:14" s="1" customFormat="1" ht="14.1" customHeight="1">
      <c r="A15" s="154">
        <v>7</v>
      </c>
      <c r="B15" s="51" t="s">
        <v>2</v>
      </c>
      <c r="C15" s="52"/>
      <c r="D15" s="59" t="s">
        <v>3</v>
      </c>
      <c r="E15" s="60"/>
      <c r="F15" s="60"/>
      <c r="G15" s="61"/>
      <c r="H15" s="24">
        <f>SUM(I15)-0.3</f>
        <v>5.3000000000000007</v>
      </c>
      <c r="I15" s="24">
        <f>SUM(J15)-0.3</f>
        <v>5.6000000000000005</v>
      </c>
      <c r="J15" s="33">
        <v>5.9</v>
      </c>
      <c r="K15" s="24">
        <f>SUM(J15)+0.3</f>
        <v>6.2</v>
      </c>
      <c r="L15" s="24">
        <f t="shared" ref="L15:N15" si="5">SUM(K15)+0.3</f>
        <v>6.5</v>
      </c>
      <c r="M15" s="134">
        <f t="shared" si="5"/>
        <v>6.8</v>
      </c>
      <c r="N15" s="26">
        <f t="shared" si="5"/>
        <v>7.1</v>
      </c>
    </row>
    <row r="16" spans="1:14" s="1" customFormat="1" ht="14.1" customHeight="1">
      <c r="A16" s="71"/>
      <c r="B16" s="45" t="s">
        <v>466</v>
      </c>
      <c r="C16" s="46"/>
      <c r="D16" s="47" t="s">
        <v>155</v>
      </c>
      <c r="E16" s="48"/>
      <c r="F16" s="48"/>
      <c r="G16" s="49"/>
      <c r="H16" s="36"/>
      <c r="I16" s="36"/>
      <c r="J16" s="35"/>
      <c r="K16" s="36"/>
      <c r="L16" s="36"/>
      <c r="M16" s="62"/>
      <c r="N16" s="37"/>
    </row>
    <row r="17" spans="1:14" s="1" customFormat="1" ht="14.1" customHeight="1">
      <c r="A17" s="154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34.799999999999997</v>
      </c>
      <c r="I17" s="24">
        <f>SUM(J17)-1.6</f>
        <v>36.4</v>
      </c>
      <c r="J17" s="33">
        <v>38</v>
      </c>
      <c r="K17" s="24">
        <f>SUM(J17)+1.6</f>
        <v>39.6</v>
      </c>
      <c r="L17" s="24">
        <f t="shared" ref="L17:N17" si="6">SUM(K17)+1.6</f>
        <v>41.2</v>
      </c>
      <c r="M17" s="134">
        <f t="shared" si="6"/>
        <v>42.800000000000004</v>
      </c>
      <c r="N17" s="26">
        <f t="shared" si="6"/>
        <v>44.400000000000006</v>
      </c>
    </row>
    <row r="18" spans="1:14" s="1" customFormat="1" ht="14.1" customHeight="1">
      <c r="A18" s="71"/>
      <c r="B18" s="45" t="s">
        <v>37</v>
      </c>
      <c r="C18" s="46"/>
      <c r="D18" s="47" t="s">
        <v>156</v>
      </c>
      <c r="E18" s="48"/>
      <c r="F18" s="48"/>
      <c r="G18" s="49"/>
      <c r="H18" s="36"/>
      <c r="I18" s="36"/>
      <c r="J18" s="35"/>
      <c r="K18" s="36"/>
      <c r="L18" s="36"/>
      <c r="M18" s="62"/>
      <c r="N18" s="37"/>
    </row>
    <row r="19" spans="1:14" s="1" customFormat="1" ht="14.1" customHeight="1">
      <c r="A19" s="154">
        <v>9</v>
      </c>
      <c r="B19" s="51" t="s">
        <v>4</v>
      </c>
      <c r="C19" s="52"/>
      <c r="D19" s="59" t="s">
        <v>5</v>
      </c>
      <c r="E19" s="60"/>
      <c r="F19" s="60"/>
      <c r="G19" s="61"/>
      <c r="H19" s="24">
        <f>SUM(I19)-3.7</f>
        <v>33.899999999999991</v>
      </c>
      <c r="I19" s="24">
        <f>SUM(J19)-3.7</f>
        <v>37.599999999999994</v>
      </c>
      <c r="J19" s="33">
        <v>41.3</v>
      </c>
      <c r="K19" s="24">
        <f>SUM(J19)+3.8</f>
        <v>45.099999999999994</v>
      </c>
      <c r="L19" s="24">
        <f t="shared" ref="L19" si="7">SUM(K19)+3.8</f>
        <v>48.899999999999991</v>
      </c>
      <c r="M19" s="134">
        <f t="shared" ref="M19:N19" si="8">SUM(L19)+3.8</f>
        <v>52.699999999999989</v>
      </c>
      <c r="N19" s="26">
        <f t="shared" si="8"/>
        <v>56.499999999999986</v>
      </c>
    </row>
    <row r="20" spans="1:14" s="1" customFormat="1" ht="14.1" customHeight="1">
      <c r="A20" s="71"/>
      <c r="B20" s="45" t="s">
        <v>31</v>
      </c>
      <c r="C20" s="46"/>
      <c r="D20" s="47" t="s">
        <v>54</v>
      </c>
      <c r="E20" s="48"/>
      <c r="F20" s="48"/>
      <c r="G20" s="49"/>
      <c r="H20" s="36"/>
      <c r="I20" s="36"/>
      <c r="J20" s="35"/>
      <c r="K20" s="36"/>
      <c r="L20" s="36"/>
      <c r="M20" s="62"/>
      <c r="N20" s="37"/>
    </row>
    <row r="21" spans="1:14" s="1" customFormat="1" ht="14.1" customHeight="1">
      <c r="A21" s="154">
        <v>10</v>
      </c>
      <c r="B21" s="51" t="s">
        <v>6</v>
      </c>
      <c r="C21" s="52"/>
      <c r="D21" s="59" t="s">
        <v>7</v>
      </c>
      <c r="E21" s="60"/>
      <c r="F21" s="60"/>
      <c r="G21" s="61"/>
      <c r="H21" s="265"/>
      <c r="I21" s="265"/>
      <c r="J21" s="271"/>
      <c r="K21" s="265"/>
      <c r="L21" s="265"/>
      <c r="M21" s="267"/>
      <c r="N21" s="269"/>
    </row>
    <row r="22" spans="1:14" s="1" customFormat="1" ht="14.1" customHeight="1">
      <c r="A22" s="71"/>
      <c r="B22" s="45" t="s">
        <v>32</v>
      </c>
      <c r="C22" s="46"/>
      <c r="D22" s="47" t="s">
        <v>76</v>
      </c>
      <c r="E22" s="48"/>
      <c r="F22" s="48"/>
      <c r="G22" s="49"/>
      <c r="H22" s="266"/>
      <c r="I22" s="266"/>
      <c r="J22" s="272"/>
      <c r="K22" s="266"/>
      <c r="L22" s="266"/>
      <c r="M22" s="268"/>
      <c r="N22" s="270"/>
    </row>
    <row r="23" spans="1:14" s="1" customFormat="1" ht="14.1" customHeight="1">
      <c r="A23" s="38">
        <v>11</v>
      </c>
      <c r="B23" s="51" t="s">
        <v>77</v>
      </c>
      <c r="C23" s="52"/>
      <c r="D23" s="59" t="s">
        <v>78</v>
      </c>
      <c r="E23" s="60"/>
      <c r="F23" s="60"/>
      <c r="G23" s="61"/>
      <c r="H23" s="24">
        <f>SUM(I23)-0.7</f>
        <v>14.600000000000001</v>
      </c>
      <c r="I23" s="24">
        <f>SUM(J23)-0.7</f>
        <v>15.3</v>
      </c>
      <c r="J23" s="33">
        <v>16</v>
      </c>
      <c r="K23" s="24">
        <f>SUM(J23)+0.7</f>
        <v>16.7</v>
      </c>
      <c r="L23" s="24">
        <f t="shared" ref="L23:N23" si="9">SUM(K23)+0.7</f>
        <v>17.399999999999999</v>
      </c>
      <c r="M23" s="134">
        <f t="shared" si="9"/>
        <v>18.099999999999998</v>
      </c>
      <c r="N23" s="26">
        <f t="shared" si="9"/>
        <v>18.799999999999997</v>
      </c>
    </row>
    <row r="24" spans="1:14" s="1" customFormat="1" ht="14.1" customHeight="1">
      <c r="A24" s="38"/>
      <c r="B24" s="40" t="s">
        <v>33</v>
      </c>
      <c r="C24" s="41"/>
      <c r="D24" s="100" t="s">
        <v>79</v>
      </c>
      <c r="E24" s="101"/>
      <c r="F24" s="101"/>
      <c r="G24" s="102"/>
      <c r="H24" s="50"/>
      <c r="I24" s="50"/>
      <c r="J24" s="117"/>
      <c r="K24" s="50"/>
      <c r="L24" s="50"/>
      <c r="M24" s="93"/>
      <c r="N24" s="113"/>
    </row>
    <row r="25" spans="1:14" s="1" customFormat="1" ht="14.1" customHeight="1">
      <c r="A25" s="38">
        <v>12</v>
      </c>
      <c r="B25" s="51" t="s">
        <v>176</v>
      </c>
      <c r="C25" s="52"/>
      <c r="D25" s="53"/>
      <c r="E25" s="54"/>
      <c r="F25" s="54"/>
      <c r="G25" s="55"/>
      <c r="H25" s="24">
        <f>SUM(I25)-0.7</f>
        <v>10.200000000000001</v>
      </c>
      <c r="I25" s="24">
        <f>SUM(J25)-0.7</f>
        <v>10.9</v>
      </c>
      <c r="J25" s="33">
        <v>11.6</v>
      </c>
      <c r="K25" s="24">
        <f>SUM(J25)+0.7</f>
        <v>12.299999999999999</v>
      </c>
      <c r="L25" s="24">
        <f t="shared" ref="L25:N25" si="10">SUM(K25)+0.7</f>
        <v>12.999999999999998</v>
      </c>
      <c r="M25" s="134">
        <f t="shared" si="10"/>
        <v>13.699999999999998</v>
      </c>
      <c r="N25" s="26">
        <f t="shared" si="10"/>
        <v>14.399999999999997</v>
      </c>
    </row>
    <row r="26" spans="1:14" s="1" customFormat="1" ht="14.1" customHeight="1">
      <c r="A26" s="38"/>
      <c r="B26" s="45" t="s">
        <v>175</v>
      </c>
      <c r="C26" s="46"/>
      <c r="D26" s="47" t="s">
        <v>555</v>
      </c>
      <c r="E26" s="48"/>
      <c r="F26" s="48"/>
      <c r="G26" s="49"/>
      <c r="H26" s="50"/>
      <c r="I26" s="50"/>
      <c r="J26" s="35"/>
      <c r="K26" s="50"/>
      <c r="L26" s="50"/>
      <c r="M26" s="93"/>
      <c r="N26" s="113"/>
    </row>
    <row r="27" spans="1:14" s="1" customFormat="1" ht="14.1" customHeight="1">
      <c r="A27" s="38">
        <v>13</v>
      </c>
      <c r="B27" s="40" t="s">
        <v>174</v>
      </c>
      <c r="C27" s="41"/>
      <c r="D27" s="42" t="s">
        <v>106</v>
      </c>
      <c r="E27" s="43"/>
      <c r="F27" s="43"/>
      <c r="G27" s="44"/>
      <c r="H27" s="24">
        <f>SUM(I27)-0.4</f>
        <v>4.7999999999999989</v>
      </c>
      <c r="I27" s="24">
        <f>SUM(J27)-0.4</f>
        <v>5.1999999999999993</v>
      </c>
      <c r="J27" s="33">
        <v>5.6</v>
      </c>
      <c r="K27" s="24">
        <f>SUM(J27)+0.4</f>
        <v>6</v>
      </c>
      <c r="L27" s="24">
        <f t="shared" ref="L27:N27" si="11">SUM(K27)+0.4</f>
        <v>6.4</v>
      </c>
      <c r="M27" s="134">
        <f t="shared" si="11"/>
        <v>6.8000000000000007</v>
      </c>
      <c r="N27" s="26">
        <f t="shared" si="11"/>
        <v>7.2000000000000011</v>
      </c>
    </row>
    <row r="28" spans="1:14" s="1" customFormat="1" ht="14.1" customHeight="1" thickBot="1">
      <c r="A28" s="39"/>
      <c r="B28" s="28" t="s">
        <v>173</v>
      </c>
      <c r="C28" s="29"/>
      <c r="D28" s="30" t="s">
        <v>105</v>
      </c>
      <c r="E28" s="31"/>
      <c r="F28" s="31"/>
      <c r="G28" s="32"/>
      <c r="H28" s="25"/>
      <c r="I28" s="25"/>
      <c r="J28" s="34"/>
      <c r="K28" s="25"/>
      <c r="L28" s="25"/>
      <c r="M28" s="104"/>
      <c r="N28" s="27"/>
    </row>
    <row r="29" spans="1:14" s="1" customFormat="1" ht="14.1" customHeight="1"/>
    <row r="30" spans="1:14" s="1" customFormat="1" ht="14.1" customHeight="1"/>
    <row r="31" spans="1:14" ht="14.1" customHeight="1"/>
    <row r="32" spans="1:14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9">
    <mergeCell ref="N25:N26"/>
    <mergeCell ref="N27:N28"/>
    <mergeCell ref="A1:N1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B26:C26"/>
    <mergeCell ref="D26:G26"/>
    <mergeCell ref="A27:A28"/>
    <mergeCell ref="B27:C27"/>
    <mergeCell ref="B28:C28"/>
    <mergeCell ref="D27:G27"/>
    <mergeCell ref="D28:G28"/>
    <mergeCell ref="A25:A26"/>
    <mergeCell ref="B25:C25"/>
    <mergeCell ref="D25:G25"/>
    <mergeCell ref="H27:H28"/>
    <mergeCell ref="I27:I28"/>
    <mergeCell ref="J27:J28"/>
    <mergeCell ref="K27:K28"/>
    <mergeCell ref="L27:L28"/>
    <mergeCell ref="M27:M28"/>
    <mergeCell ref="K25:K26"/>
    <mergeCell ref="L25:L26"/>
    <mergeCell ref="M25:M26"/>
    <mergeCell ref="H25:H26"/>
    <mergeCell ref="I25:I26"/>
    <mergeCell ref="J25:J26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  <ignoredErrors>
    <ignoredError sqref="I19 K19 L19:M20" formula="1"/>
  </ignoredError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39D9A-FD9F-4296-803A-314DA6C6D092}">
  <sheetPr>
    <tabColor rgb="FF00B050"/>
    <pageSetUpPr fitToPage="1"/>
  </sheetPr>
  <dimension ref="A1:Z57"/>
  <sheetViews>
    <sheetView zoomScale="110" zoomScaleNormal="110" workbookViewId="0">
      <selection activeCell="O10" sqref="O1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67" t="s">
        <v>621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244" t="s">
        <v>69</v>
      </c>
      <c r="C2" s="245"/>
      <c r="D2" s="244" t="s">
        <v>70</v>
      </c>
      <c r="E2" s="246"/>
      <c r="F2" s="246"/>
      <c r="G2" s="245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15" t="s">
        <v>170</v>
      </c>
    </row>
    <row r="3" spans="1:13" s="1" customFormat="1" ht="14.1" customHeight="1">
      <c r="A3" s="169">
        <v>1</v>
      </c>
      <c r="B3" s="80" t="s">
        <v>45</v>
      </c>
      <c r="C3" s="81"/>
      <c r="D3" s="74" t="s">
        <v>184</v>
      </c>
      <c r="E3" s="82"/>
      <c r="F3" s="82"/>
      <c r="G3" s="83"/>
      <c r="H3" s="85">
        <f>SUM(I3)-3.5</f>
        <v>35</v>
      </c>
      <c r="I3" s="85">
        <f>SUM(J3)-3.5</f>
        <v>38.5</v>
      </c>
      <c r="J3" s="84">
        <v>42</v>
      </c>
      <c r="K3" s="85">
        <f>SUM(J3)+3</f>
        <v>45</v>
      </c>
      <c r="L3" s="135">
        <f>SUM(K3)+3</f>
        <v>48</v>
      </c>
      <c r="M3" s="86">
        <f>SUM(L3)+3</f>
        <v>51</v>
      </c>
    </row>
    <row r="4" spans="1:13" s="1" customFormat="1" ht="14.1" customHeight="1">
      <c r="A4" s="71"/>
      <c r="B4" s="45" t="s">
        <v>42</v>
      </c>
      <c r="C4" s="46"/>
      <c r="D4" s="47" t="s">
        <v>625</v>
      </c>
      <c r="E4" s="48"/>
      <c r="F4" s="48"/>
      <c r="G4" s="49"/>
      <c r="H4" s="36"/>
      <c r="I4" s="36"/>
      <c r="J4" s="35"/>
      <c r="K4" s="36"/>
      <c r="L4" s="62"/>
      <c r="M4" s="87"/>
    </row>
    <row r="5" spans="1:13" s="1" customFormat="1" ht="14.1" customHeight="1">
      <c r="A5" s="154">
        <v>2</v>
      </c>
      <c r="B5" s="51" t="s">
        <v>43</v>
      </c>
      <c r="C5" s="52"/>
      <c r="D5" s="59" t="s">
        <v>44</v>
      </c>
      <c r="E5" s="60"/>
      <c r="F5" s="60"/>
      <c r="G5" s="61"/>
      <c r="H5" s="24">
        <f>SUM(I5)-1.8</f>
        <v>24.4</v>
      </c>
      <c r="I5" s="24">
        <f>SUM(J5)-1.8</f>
        <v>26.2</v>
      </c>
      <c r="J5" s="33">
        <v>28</v>
      </c>
      <c r="K5" s="24">
        <f>SUM(J5)+1.6</f>
        <v>29.6</v>
      </c>
      <c r="L5" s="134">
        <f t="shared" ref="L5:M5" si="0">SUM(K5)+1.6</f>
        <v>31.200000000000003</v>
      </c>
      <c r="M5" s="88">
        <f t="shared" si="0"/>
        <v>32.800000000000004</v>
      </c>
    </row>
    <row r="6" spans="1:13" s="1" customFormat="1" ht="14.1" customHeight="1">
      <c r="A6" s="71"/>
      <c r="B6" s="45" t="s">
        <v>26</v>
      </c>
      <c r="C6" s="46"/>
      <c r="D6" s="47" t="s">
        <v>48</v>
      </c>
      <c r="E6" s="48"/>
      <c r="F6" s="48"/>
      <c r="G6" s="49"/>
      <c r="H6" s="36"/>
      <c r="I6" s="36"/>
      <c r="J6" s="35"/>
      <c r="K6" s="36"/>
      <c r="L6" s="62"/>
      <c r="M6" s="87"/>
    </row>
    <row r="7" spans="1:13" s="1" customFormat="1" ht="14.1" customHeight="1">
      <c r="A7" s="154">
        <v>3</v>
      </c>
      <c r="B7" s="51" t="s">
        <v>41</v>
      </c>
      <c r="C7" s="52"/>
      <c r="D7" s="59" t="s">
        <v>84</v>
      </c>
      <c r="E7" s="60"/>
      <c r="F7" s="60"/>
      <c r="G7" s="61"/>
      <c r="H7" s="239">
        <f>SUM(I7)-2.25</f>
        <v>32</v>
      </c>
      <c r="I7" s="24">
        <f>SUM(J7)-2.25</f>
        <v>34.25</v>
      </c>
      <c r="J7" s="33">
        <v>36.5</v>
      </c>
      <c r="K7" s="24">
        <f>SUM(J7)+2</f>
        <v>38.5</v>
      </c>
      <c r="L7" s="134">
        <f>SUM(K7)+2</f>
        <v>40.5</v>
      </c>
      <c r="M7" s="88">
        <f>SUM(L7)+2</f>
        <v>42.5</v>
      </c>
    </row>
    <row r="8" spans="1:13" s="1" customFormat="1" ht="14.1" customHeight="1">
      <c r="A8" s="71"/>
      <c r="B8" s="45" t="s">
        <v>46</v>
      </c>
      <c r="C8" s="46"/>
      <c r="D8" s="47" t="s">
        <v>49</v>
      </c>
      <c r="E8" s="48"/>
      <c r="F8" s="48"/>
      <c r="G8" s="49"/>
      <c r="H8" s="240"/>
      <c r="I8" s="36"/>
      <c r="J8" s="35"/>
      <c r="K8" s="36"/>
      <c r="L8" s="62"/>
      <c r="M8" s="87"/>
    </row>
    <row r="9" spans="1:13" s="1" customFormat="1" ht="14.1" customHeight="1">
      <c r="A9" s="154">
        <v>4</v>
      </c>
      <c r="B9" s="51" t="s">
        <v>622</v>
      </c>
      <c r="C9" s="52"/>
      <c r="D9" s="59"/>
      <c r="E9" s="60"/>
      <c r="F9" s="60"/>
      <c r="G9" s="61"/>
      <c r="H9" s="24">
        <f>SUM(I9)-3</f>
        <v>52</v>
      </c>
      <c r="I9" s="24">
        <f>SUM(J9)-3</f>
        <v>55</v>
      </c>
      <c r="J9" s="33">
        <v>58</v>
      </c>
      <c r="K9" s="24">
        <f>SUM(J9)+3</f>
        <v>61</v>
      </c>
      <c r="L9" s="134">
        <f t="shared" ref="L9:M9" si="1">SUM(K9)+3</f>
        <v>64</v>
      </c>
      <c r="M9" s="88">
        <f t="shared" si="1"/>
        <v>67</v>
      </c>
    </row>
    <row r="10" spans="1:13" s="1" customFormat="1" ht="14.1" customHeight="1">
      <c r="A10" s="71"/>
      <c r="B10" s="45" t="s">
        <v>623</v>
      </c>
      <c r="C10" s="46"/>
      <c r="D10" s="47"/>
      <c r="E10" s="48"/>
      <c r="F10" s="48"/>
      <c r="G10" s="49"/>
      <c r="H10" s="36"/>
      <c r="I10" s="36"/>
      <c r="J10" s="35"/>
      <c r="K10" s="36"/>
      <c r="L10" s="62"/>
      <c r="M10" s="87"/>
    </row>
    <row r="11" spans="1:13" s="1" customFormat="1" ht="14.1" customHeight="1">
      <c r="A11" s="154">
        <v>5</v>
      </c>
      <c r="B11" s="51" t="s">
        <v>152</v>
      </c>
      <c r="C11" s="52"/>
      <c r="D11" s="59"/>
      <c r="E11" s="60"/>
      <c r="F11" s="60"/>
      <c r="G11" s="61"/>
      <c r="H11" s="24">
        <f>SUM(I11)-1</f>
        <v>9</v>
      </c>
      <c r="I11" s="24">
        <f>SUM(J11)-1</f>
        <v>10</v>
      </c>
      <c r="J11" s="33">
        <v>11</v>
      </c>
      <c r="K11" s="24">
        <f>SUM(J11)+0.5</f>
        <v>11.5</v>
      </c>
      <c r="L11" s="134">
        <f t="shared" ref="L11:M11" si="2">SUM(K11)+0.5</f>
        <v>12</v>
      </c>
      <c r="M11" s="88">
        <f t="shared" si="2"/>
        <v>12.5</v>
      </c>
    </row>
    <row r="12" spans="1:13" s="1" customFormat="1" ht="14.1" customHeight="1">
      <c r="A12" s="71"/>
      <c r="B12" s="45" t="s">
        <v>530</v>
      </c>
      <c r="C12" s="46"/>
      <c r="D12" s="47" t="s">
        <v>626</v>
      </c>
      <c r="E12" s="48"/>
      <c r="F12" s="48"/>
      <c r="G12" s="49"/>
      <c r="H12" s="36"/>
      <c r="I12" s="36"/>
      <c r="J12" s="35"/>
      <c r="K12" s="36"/>
      <c r="L12" s="62"/>
      <c r="M12" s="87"/>
    </row>
    <row r="13" spans="1:13" s="1" customFormat="1" ht="14.1" customHeight="1">
      <c r="A13" s="154">
        <v>6</v>
      </c>
      <c r="B13" s="51" t="s">
        <v>10</v>
      </c>
      <c r="C13" s="52"/>
      <c r="D13" s="59" t="s">
        <v>0</v>
      </c>
      <c r="E13" s="60"/>
      <c r="F13" s="60"/>
      <c r="G13" s="61"/>
      <c r="H13" s="24">
        <f>SUM(I13)-0.8</f>
        <v>14.099999999999998</v>
      </c>
      <c r="I13" s="24">
        <f>SUM(J13)-0.8</f>
        <v>14.899999999999999</v>
      </c>
      <c r="J13" s="33">
        <v>15.7</v>
      </c>
      <c r="K13" s="24">
        <f>SUM(J13)+0.8</f>
        <v>16.5</v>
      </c>
      <c r="L13" s="134">
        <f>SUM(K13)+0.8</f>
        <v>17.3</v>
      </c>
      <c r="M13" s="88">
        <f>SUM(L13)+0.8</f>
        <v>18.100000000000001</v>
      </c>
    </row>
    <row r="14" spans="1:13" s="1" customFormat="1" ht="14.1" customHeight="1">
      <c r="A14" s="71"/>
      <c r="B14" s="45" t="s">
        <v>28</v>
      </c>
      <c r="C14" s="46"/>
      <c r="D14" s="47" t="s">
        <v>51</v>
      </c>
      <c r="E14" s="48"/>
      <c r="F14" s="48"/>
      <c r="G14" s="49"/>
      <c r="H14" s="36"/>
      <c r="I14" s="36"/>
      <c r="J14" s="35"/>
      <c r="K14" s="36"/>
      <c r="L14" s="62"/>
      <c r="M14" s="87"/>
    </row>
    <row r="15" spans="1:13" s="1" customFormat="1" ht="14.1" customHeight="1">
      <c r="A15" s="154">
        <v>7</v>
      </c>
      <c r="B15" s="51" t="s">
        <v>1</v>
      </c>
      <c r="C15" s="52"/>
      <c r="D15" s="59" t="s">
        <v>180</v>
      </c>
      <c r="E15" s="60"/>
      <c r="F15" s="60"/>
      <c r="G15" s="61"/>
      <c r="H15" s="24">
        <f>SUM(I15)-0.6</f>
        <v>15.799999999999999</v>
      </c>
      <c r="I15" s="24">
        <f>SUM(J15)-0.6</f>
        <v>16.399999999999999</v>
      </c>
      <c r="J15" s="33">
        <v>17</v>
      </c>
      <c r="K15" s="24">
        <f>SUM(J15)+0.6</f>
        <v>17.600000000000001</v>
      </c>
      <c r="L15" s="134">
        <f>SUM(K15)+0.6</f>
        <v>18.200000000000003</v>
      </c>
      <c r="M15" s="88">
        <f>SUM(L15)+0.6</f>
        <v>18.800000000000004</v>
      </c>
    </row>
    <row r="16" spans="1:13" s="1" customFormat="1" ht="14.1" customHeight="1">
      <c r="A16" s="71"/>
      <c r="B16" s="45" t="s">
        <v>29</v>
      </c>
      <c r="C16" s="46"/>
      <c r="D16" s="47" t="s">
        <v>154</v>
      </c>
      <c r="E16" s="48"/>
      <c r="F16" s="48"/>
      <c r="G16" s="49"/>
      <c r="H16" s="36"/>
      <c r="I16" s="36"/>
      <c r="J16" s="35"/>
      <c r="K16" s="36"/>
      <c r="L16" s="62"/>
      <c r="M16" s="87"/>
    </row>
    <row r="17" spans="1:26" s="1" customFormat="1" ht="14.1" customHeight="1">
      <c r="A17" s="154">
        <v>8</v>
      </c>
      <c r="B17" s="51" t="s">
        <v>2</v>
      </c>
      <c r="C17" s="52"/>
      <c r="D17" s="59" t="s">
        <v>3</v>
      </c>
      <c r="E17" s="60"/>
      <c r="F17" s="60"/>
      <c r="G17" s="61"/>
      <c r="H17" s="24">
        <f>SUM(I17)-0.3</f>
        <v>5.7</v>
      </c>
      <c r="I17" s="24">
        <f>SUM(J17)-0.3</f>
        <v>6</v>
      </c>
      <c r="J17" s="33">
        <v>6.3</v>
      </c>
      <c r="K17" s="24">
        <f>SUM(J17)+0.3</f>
        <v>6.6</v>
      </c>
      <c r="L17" s="134">
        <f>SUM(K17)+0.3</f>
        <v>6.8999999999999995</v>
      </c>
      <c r="M17" s="88">
        <f>SUM(L17)+0.3</f>
        <v>7.1999999999999993</v>
      </c>
    </row>
    <row r="18" spans="1:26" s="1" customFormat="1" ht="14.1" customHeight="1">
      <c r="A18" s="71"/>
      <c r="B18" s="45" t="s">
        <v>466</v>
      </c>
      <c r="C18" s="46"/>
      <c r="D18" s="47" t="s">
        <v>155</v>
      </c>
      <c r="E18" s="48"/>
      <c r="F18" s="48"/>
      <c r="G18" s="49"/>
      <c r="H18" s="36"/>
      <c r="I18" s="36"/>
      <c r="J18" s="35"/>
      <c r="K18" s="36"/>
      <c r="L18" s="62"/>
      <c r="M18" s="87"/>
    </row>
    <row r="19" spans="1:26" s="1" customFormat="1" ht="14.1" customHeight="1">
      <c r="A19" s="154">
        <v>9</v>
      </c>
      <c r="B19" s="51" t="s">
        <v>85</v>
      </c>
      <c r="C19" s="52"/>
      <c r="D19" s="59" t="s">
        <v>86</v>
      </c>
      <c r="E19" s="60"/>
      <c r="F19" s="60"/>
      <c r="G19" s="61"/>
      <c r="H19" s="24">
        <f>SUM(I19)-1.6</f>
        <v>39.799999999999997</v>
      </c>
      <c r="I19" s="24">
        <f>SUM(J19)-1.6</f>
        <v>41.4</v>
      </c>
      <c r="J19" s="33">
        <v>43</v>
      </c>
      <c r="K19" s="24">
        <f>SUM(J19)+1.6</f>
        <v>44.6</v>
      </c>
      <c r="L19" s="134">
        <f>SUM(K19)+1.6</f>
        <v>46.2</v>
      </c>
      <c r="M19" s="88">
        <f>SUM(L19)+1.6</f>
        <v>47.800000000000004</v>
      </c>
    </row>
    <row r="20" spans="1:26" s="1" customFormat="1" ht="14.1" customHeight="1">
      <c r="A20" s="71"/>
      <c r="B20" s="45" t="s">
        <v>37</v>
      </c>
      <c r="C20" s="46"/>
      <c r="D20" s="47" t="s">
        <v>156</v>
      </c>
      <c r="E20" s="48"/>
      <c r="F20" s="48"/>
      <c r="G20" s="49"/>
      <c r="H20" s="36"/>
      <c r="I20" s="36"/>
      <c r="J20" s="35"/>
      <c r="K20" s="36"/>
      <c r="L20" s="62"/>
      <c r="M20" s="87"/>
    </row>
    <row r="21" spans="1:26" s="1" customFormat="1" ht="14.1" customHeight="1">
      <c r="A21" s="154">
        <v>10</v>
      </c>
      <c r="B21" s="51" t="s">
        <v>4</v>
      </c>
      <c r="C21" s="52"/>
      <c r="D21" s="59" t="s">
        <v>5</v>
      </c>
      <c r="E21" s="60"/>
      <c r="F21" s="60"/>
      <c r="G21" s="61"/>
      <c r="H21" s="24">
        <f>SUM(I21)-3.6</f>
        <v>31.699999999999996</v>
      </c>
      <c r="I21" s="24">
        <f>SUM(J21)-3.6</f>
        <v>35.299999999999997</v>
      </c>
      <c r="J21" s="33">
        <v>38.9</v>
      </c>
      <c r="K21" s="24">
        <f>SUM(J21)+3.7</f>
        <v>42.6</v>
      </c>
      <c r="L21" s="134">
        <f>SUM(K21)+3.7</f>
        <v>46.300000000000004</v>
      </c>
      <c r="M21" s="88">
        <f>SUM(L21)+3.7</f>
        <v>50.000000000000007</v>
      </c>
    </row>
    <row r="22" spans="1:26" s="1" customFormat="1" ht="14.1" customHeight="1">
      <c r="A22" s="71"/>
      <c r="B22" s="45" t="s">
        <v>31</v>
      </c>
      <c r="C22" s="46"/>
      <c r="D22" s="47" t="s">
        <v>54</v>
      </c>
      <c r="E22" s="48"/>
      <c r="F22" s="48"/>
      <c r="G22" s="49"/>
      <c r="H22" s="36"/>
      <c r="I22" s="36"/>
      <c r="J22" s="35"/>
      <c r="K22" s="36"/>
      <c r="L22" s="62"/>
      <c r="M22" s="87"/>
    </row>
    <row r="23" spans="1:26" s="1" customFormat="1" ht="14.1" customHeight="1">
      <c r="A23" s="154">
        <v>11</v>
      </c>
      <c r="B23" s="51" t="s">
        <v>6</v>
      </c>
      <c r="C23" s="52"/>
      <c r="D23" s="59" t="s">
        <v>7</v>
      </c>
      <c r="E23" s="60"/>
      <c r="F23" s="60"/>
      <c r="G23" s="61"/>
      <c r="H23" s="24">
        <f>SUM(I23)-1.4</f>
        <v>24.800000000000004</v>
      </c>
      <c r="I23" s="24">
        <f>SUM(J23)-1.4</f>
        <v>26.200000000000003</v>
      </c>
      <c r="J23" s="33">
        <v>27.6</v>
      </c>
      <c r="K23" s="24">
        <f>SUM(J23)+1.4</f>
        <v>29</v>
      </c>
      <c r="L23" s="134">
        <f t="shared" ref="L23:M23" si="3">SUM(K23)+1.4</f>
        <v>30.4</v>
      </c>
      <c r="M23" s="88">
        <f t="shared" si="3"/>
        <v>31.799999999999997</v>
      </c>
    </row>
    <row r="24" spans="1:26" s="1" customFormat="1" ht="14.1" customHeight="1">
      <c r="A24" s="71"/>
      <c r="B24" s="45" t="s">
        <v>32</v>
      </c>
      <c r="C24" s="46"/>
      <c r="D24" s="47" t="s">
        <v>76</v>
      </c>
      <c r="E24" s="48"/>
      <c r="F24" s="48"/>
      <c r="G24" s="49"/>
      <c r="H24" s="36"/>
      <c r="I24" s="36"/>
      <c r="J24" s="35"/>
      <c r="K24" s="36"/>
      <c r="L24" s="62"/>
      <c r="M24" s="87"/>
    </row>
    <row r="25" spans="1:26" s="1" customFormat="1" ht="14.1" customHeight="1">
      <c r="A25" s="154">
        <v>12</v>
      </c>
      <c r="B25" s="51" t="s">
        <v>77</v>
      </c>
      <c r="C25" s="52"/>
      <c r="D25" s="59" t="s">
        <v>78</v>
      </c>
      <c r="E25" s="60"/>
      <c r="F25" s="60"/>
      <c r="G25" s="61"/>
      <c r="H25" s="24">
        <f>SUM(I25)-0.7</f>
        <v>14.600000000000001</v>
      </c>
      <c r="I25" s="24">
        <f>SUM(J25)-0.7</f>
        <v>15.3</v>
      </c>
      <c r="J25" s="33">
        <v>16</v>
      </c>
      <c r="K25" s="24">
        <f>SUM(J25)+0.7</f>
        <v>16.7</v>
      </c>
      <c r="L25" s="134">
        <f>SUM(K25)+0.7</f>
        <v>17.399999999999999</v>
      </c>
      <c r="M25" s="88">
        <f>SUM(L25)+0.7</f>
        <v>18.099999999999998</v>
      </c>
    </row>
    <row r="26" spans="1:26" s="1" customFormat="1" ht="14.1" customHeight="1">
      <c r="A26" s="71"/>
      <c r="B26" s="45" t="s">
        <v>33</v>
      </c>
      <c r="C26" s="46"/>
      <c r="D26" s="47" t="s">
        <v>79</v>
      </c>
      <c r="E26" s="48"/>
      <c r="F26" s="48"/>
      <c r="G26" s="49"/>
      <c r="H26" s="36"/>
      <c r="I26" s="36"/>
      <c r="J26" s="35"/>
      <c r="K26" s="36"/>
      <c r="L26" s="62"/>
      <c r="M26" s="87"/>
    </row>
    <row r="27" spans="1:26" s="1" customFormat="1" ht="14.1" customHeight="1">
      <c r="A27" s="154">
        <v>13</v>
      </c>
      <c r="B27" s="51" t="s">
        <v>176</v>
      </c>
      <c r="C27" s="52"/>
      <c r="D27" s="53" t="s">
        <v>103</v>
      </c>
      <c r="E27" s="54"/>
      <c r="F27" s="54"/>
      <c r="G27" s="55"/>
      <c r="H27" s="24">
        <f>SUM(I27)-0.3</f>
        <v>3.9000000000000004</v>
      </c>
      <c r="I27" s="24">
        <f>SUM(J27)-0.3</f>
        <v>4.2</v>
      </c>
      <c r="J27" s="23">
        <v>4.5</v>
      </c>
      <c r="K27" s="21">
        <f>SUM(J27)+0.3</f>
        <v>4.8</v>
      </c>
      <c r="L27" s="153">
        <f t="shared" ref="L27:M27" si="4">SUM(K27)+0.3</f>
        <v>5.0999999999999996</v>
      </c>
      <c r="M27" s="215">
        <f t="shared" si="4"/>
        <v>5.3999999999999995</v>
      </c>
      <c r="N27"/>
      <c r="O27"/>
      <c r="P27"/>
      <c r="Q27"/>
      <c r="R27"/>
      <c r="S27"/>
      <c r="T27"/>
      <c r="U27"/>
      <c r="V27"/>
      <c r="W27"/>
      <c r="X27"/>
      <c r="Y27"/>
      <c r="Z27"/>
    </row>
    <row r="28" spans="1:26" s="1" customFormat="1" ht="14.1" customHeight="1" thickBot="1">
      <c r="A28" s="168"/>
      <c r="B28" s="28" t="s">
        <v>175</v>
      </c>
      <c r="C28" s="29"/>
      <c r="D28" s="30" t="s">
        <v>104</v>
      </c>
      <c r="E28" s="31"/>
      <c r="F28" s="31"/>
      <c r="G28" s="32"/>
      <c r="H28" s="25"/>
      <c r="I28" s="25"/>
      <c r="J28" s="218"/>
      <c r="K28" s="216"/>
      <c r="L28" s="273"/>
      <c r="M28" s="217"/>
      <c r="N28"/>
      <c r="O28"/>
      <c r="P28"/>
      <c r="Q28"/>
      <c r="R28"/>
      <c r="S28"/>
      <c r="T28"/>
      <c r="U28"/>
      <c r="V28"/>
      <c r="W28"/>
      <c r="X28"/>
      <c r="Y28"/>
      <c r="Z28"/>
    </row>
    <row r="29" spans="1:26" s="1" customFormat="1" ht="14.1" customHeight="1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26" s="1" customFormat="1" ht="14.1" customHeight="1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26" s="1" customFormat="1" ht="14.1" customHeight="1">
      <c r="A31"/>
      <c r="B31"/>
      <c r="C31"/>
      <c r="D31"/>
      <c r="E31"/>
      <c r="F31"/>
      <c r="G31"/>
      <c r="H31"/>
      <c r="I31"/>
      <c r="J31"/>
      <c r="K31"/>
      <c r="L31"/>
      <c r="M31"/>
    </row>
    <row r="32" spans="1:26" s="1" customFormat="1" ht="14.1" customHeight="1">
      <c r="A32"/>
      <c r="B32"/>
      <c r="C32"/>
      <c r="D32"/>
      <c r="E32"/>
      <c r="F32"/>
      <c r="G32"/>
      <c r="H32"/>
      <c r="I32"/>
      <c r="J32"/>
      <c r="K32"/>
      <c r="L32"/>
      <c r="M32"/>
    </row>
    <row r="33" spans="1:13" s="1" customFormat="1" ht="14.1" customHeight="1">
      <c r="A33"/>
      <c r="B33"/>
      <c r="C33"/>
      <c r="D33"/>
      <c r="E33"/>
      <c r="F33"/>
      <c r="G33"/>
      <c r="H33"/>
      <c r="I33"/>
      <c r="J33"/>
      <c r="K33"/>
      <c r="L33"/>
      <c r="M33"/>
    </row>
    <row r="34" spans="1:13" s="1" customFormat="1" ht="14.1" customHeight="1">
      <c r="A34"/>
      <c r="B34"/>
      <c r="C34"/>
      <c r="D34"/>
      <c r="E34"/>
      <c r="F34"/>
      <c r="G34"/>
      <c r="H34"/>
      <c r="I34"/>
      <c r="J34"/>
      <c r="K34"/>
      <c r="L34"/>
      <c r="M34"/>
    </row>
    <row r="35" spans="1:13" s="1" customFormat="1" ht="14.1" customHeight="1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 s="1" customFormat="1" ht="14.1" customHeight="1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 s="1" customFormat="1" ht="14.1" customHeight="1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 s="1" customFormat="1" ht="14.1" customHeight="1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146"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M5:M6"/>
    <mergeCell ref="B6:C6"/>
    <mergeCell ref="D6:G6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K5:K6"/>
    <mergeCell ref="L5:L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99210-4A01-4BE1-9339-9D2E20FF88CD}">
  <sheetPr>
    <tabColor rgb="FF00B050"/>
    <pageSetUpPr fitToPage="1"/>
  </sheetPr>
  <dimension ref="A1:AA57"/>
  <sheetViews>
    <sheetView zoomScale="110" zoomScaleNormal="110" workbookViewId="0">
      <selection activeCell="P30" sqref="P29:P3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28" t="s">
        <v>624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30"/>
    </row>
    <row r="2" spans="1:14" ht="16.5" customHeight="1" thickBot="1">
      <c r="A2" s="4" t="s">
        <v>68</v>
      </c>
      <c r="B2" s="244" t="s">
        <v>69</v>
      </c>
      <c r="C2" s="245"/>
      <c r="D2" s="244" t="s">
        <v>70</v>
      </c>
      <c r="E2" s="246"/>
      <c r="F2" s="246"/>
      <c r="G2" s="245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  <c r="N2" s="9" t="s">
        <v>561</v>
      </c>
    </row>
    <row r="3" spans="1:14" s="1" customFormat="1" ht="14.1" customHeight="1">
      <c r="A3" s="169">
        <v>1</v>
      </c>
      <c r="B3" s="80" t="s">
        <v>45</v>
      </c>
      <c r="C3" s="81"/>
      <c r="D3" s="74" t="s">
        <v>184</v>
      </c>
      <c r="E3" s="82"/>
      <c r="F3" s="82"/>
      <c r="G3" s="83"/>
      <c r="H3" s="85">
        <f>SUM(I3)-3.5</f>
        <v>39</v>
      </c>
      <c r="I3" s="85">
        <f>SUM(J3)-3.5</f>
        <v>42.5</v>
      </c>
      <c r="J3" s="84">
        <v>46</v>
      </c>
      <c r="K3" s="85">
        <f>SUM(J3)+3</f>
        <v>49</v>
      </c>
      <c r="L3" s="85">
        <f>SUM(K3)+3</f>
        <v>52</v>
      </c>
      <c r="M3" s="135">
        <f>SUM(L3)+3</f>
        <v>55</v>
      </c>
      <c r="N3" s="113">
        <f>SUM(M3)+3</f>
        <v>58</v>
      </c>
    </row>
    <row r="4" spans="1:14" s="1" customFormat="1" ht="14.1" customHeight="1">
      <c r="A4" s="71"/>
      <c r="B4" s="45" t="s">
        <v>42</v>
      </c>
      <c r="C4" s="46"/>
      <c r="D4" s="47" t="s">
        <v>124</v>
      </c>
      <c r="E4" s="48"/>
      <c r="F4" s="48"/>
      <c r="G4" s="49"/>
      <c r="H4" s="36"/>
      <c r="I4" s="36"/>
      <c r="J4" s="35"/>
      <c r="K4" s="36"/>
      <c r="L4" s="36"/>
      <c r="M4" s="62"/>
      <c r="N4" s="37"/>
    </row>
    <row r="5" spans="1:14" s="1" customFormat="1" ht="14.1" customHeight="1">
      <c r="A5" s="154">
        <v>2</v>
      </c>
      <c r="B5" s="51" t="s">
        <v>43</v>
      </c>
      <c r="C5" s="52"/>
      <c r="D5" s="59" t="s">
        <v>44</v>
      </c>
      <c r="E5" s="60"/>
      <c r="F5" s="60"/>
      <c r="G5" s="61"/>
      <c r="H5" s="24">
        <f>SUM(I5)-2.2</f>
        <v>35.599999999999994</v>
      </c>
      <c r="I5" s="24">
        <f>SUM(J5)-2.2</f>
        <v>37.799999999999997</v>
      </c>
      <c r="J5" s="33">
        <v>40</v>
      </c>
      <c r="K5" s="24">
        <f>SUM(J5)+2</f>
        <v>42</v>
      </c>
      <c r="L5" s="24">
        <f>SUM(K5)+2</f>
        <v>44</v>
      </c>
      <c r="M5" s="134">
        <f>SUM(L5)+2</f>
        <v>46</v>
      </c>
      <c r="N5" s="26">
        <f>SUM(M5)+2</f>
        <v>48</v>
      </c>
    </row>
    <row r="6" spans="1:14" s="1" customFormat="1" ht="14.1" customHeight="1">
      <c r="A6" s="71"/>
      <c r="B6" s="45" t="s">
        <v>26</v>
      </c>
      <c r="C6" s="4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62"/>
      <c r="N6" s="37"/>
    </row>
    <row r="7" spans="1:14" s="1" customFormat="1" ht="14.1" customHeight="1">
      <c r="A7" s="154">
        <v>3</v>
      </c>
      <c r="B7" s="51" t="s">
        <v>41</v>
      </c>
      <c r="C7" s="52"/>
      <c r="D7" s="59" t="s">
        <v>84</v>
      </c>
      <c r="E7" s="60"/>
      <c r="F7" s="60"/>
      <c r="G7" s="61"/>
      <c r="H7" s="239">
        <f>SUM(I7)-2.25</f>
        <v>36.5</v>
      </c>
      <c r="I7" s="24">
        <f>SUM(J7)-2.25</f>
        <v>38.75</v>
      </c>
      <c r="J7" s="33">
        <v>41</v>
      </c>
      <c r="K7" s="24">
        <f>SUM(J7)+2</f>
        <v>43</v>
      </c>
      <c r="L7" s="24">
        <f>SUM(K7)+2</f>
        <v>45</v>
      </c>
      <c r="M7" s="134">
        <f>SUM(L7)+2</f>
        <v>47</v>
      </c>
      <c r="N7" s="26">
        <f>SUM(M7)+2</f>
        <v>49</v>
      </c>
    </row>
    <row r="8" spans="1:14" s="1" customFormat="1" ht="14.1" customHeight="1">
      <c r="A8" s="71"/>
      <c r="B8" s="45" t="s">
        <v>46</v>
      </c>
      <c r="C8" s="46"/>
      <c r="D8" s="47" t="s">
        <v>49</v>
      </c>
      <c r="E8" s="48"/>
      <c r="F8" s="48"/>
      <c r="G8" s="49"/>
      <c r="H8" s="240"/>
      <c r="I8" s="36"/>
      <c r="J8" s="35"/>
      <c r="K8" s="36"/>
      <c r="L8" s="36"/>
      <c r="M8" s="62"/>
      <c r="N8" s="37"/>
    </row>
    <row r="9" spans="1:14" s="1" customFormat="1" ht="14.1" customHeight="1">
      <c r="A9" s="154">
        <v>4</v>
      </c>
      <c r="B9" s="51" t="s">
        <v>47</v>
      </c>
      <c r="C9" s="52"/>
      <c r="D9" s="59" t="s">
        <v>8</v>
      </c>
      <c r="E9" s="60"/>
      <c r="F9" s="60"/>
      <c r="G9" s="61"/>
      <c r="H9" s="24">
        <f>SUM(I9)-2.25</f>
        <v>36.5</v>
      </c>
      <c r="I9" s="24">
        <f>SUM(J9)-2.25</f>
        <v>38.75</v>
      </c>
      <c r="J9" s="33">
        <v>41</v>
      </c>
      <c r="K9" s="24">
        <f>SUM(J9)+2</f>
        <v>43</v>
      </c>
      <c r="L9" s="24">
        <f>SUM(K9)+2</f>
        <v>45</v>
      </c>
      <c r="M9" s="134">
        <f>SUM(L9)+2</f>
        <v>47</v>
      </c>
      <c r="N9" s="26">
        <f>SUM(M9)+2</f>
        <v>49</v>
      </c>
    </row>
    <row r="10" spans="1:14" s="1" customFormat="1" ht="14.1" customHeight="1">
      <c r="A10" s="71"/>
      <c r="B10" s="45" t="s">
        <v>27</v>
      </c>
      <c r="C10" s="4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62"/>
      <c r="N10" s="37"/>
    </row>
    <row r="11" spans="1:14" s="1" customFormat="1" ht="14.1" customHeight="1">
      <c r="A11" s="154">
        <v>5</v>
      </c>
      <c r="B11" s="51" t="s">
        <v>10</v>
      </c>
      <c r="C11" s="52"/>
      <c r="D11" s="59" t="s">
        <v>0</v>
      </c>
      <c r="E11" s="60"/>
      <c r="F11" s="60"/>
      <c r="G11" s="61"/>
      <c r="H11" s="24">
        <f>SUM(I11)-0.8</f>
        <v>12.899999999999999</v>
      </c>
      <c r="I11" s="24">
        <f>SUM(J11)-0.8</f>
        <v>13.7</v>
      </c>
      <c r="J11" s="33">
        <v>14.5</v>
      </c>
      <c r="K11" s="24">
        <f>SUM(J11)+0.8</f>
        <v>15.3</v>
      </c>
      <c r="L11" s="24">
        <f>SUM(K11)+0.8</f>
        <v>16.100000000000001</v>
      </c>
      <c r="M11" s="134">
        <f>SUM(L11)+0.8</f>
        <v>16.900000000000002</v>
      </c>
      <c r="N11" s="26">
        <f>SUM(M11)+0.8</f>
        <v>17.700000000000003</v>
      </c>
    </row>
    <row r="12" spans="1:14" s="1" customFormat="1" ht="14.1" customHeight="1">
      <c r="A12" s="71"/>
      <c r="B12" s="45" t="s">
        <v>28</v>
      </c>
      <c r="C12" s="46"/>
      <c r="D12" s="47" t="s">
        <v>51</v>
      </c>
      <c r="E12" s="48"/>
      <c r="F12" s="48"/>
      <c r="G12" s="49"/>
      <c r="H12" s="36"/>
      <c r="I12" s="36"/>
      <c r="J12" s="35"/>
      <c r="K12" s="36"/>
      <c r="L12" s="36"/>
      <c r="M12" s="62"/>
      <c r="N12" s="37"/>
    </row>
    <row r="13" spans="1:14" s="1" customFormat="1" ht="14.1" customHeight="1">
      <c r="A13" s="154">
        <v>6</v>
      </c>
      <c r="B13" s="51" t="s">
        <v>1</v>
      </c>
      <c r="C13" s="52"/>
      <c r="D13" s="59" t="s">
        <v>180</v>
      </c>
      <c r="E13" s="60"/>
      <c r="F13" s="60"/>
      <c r="G13" s="61"/>
      <c r="H13" s="24">
        <f>SUM(I13)-0.6</f>
        <v>16.299999999999997</v>
      </c>
      <c r="I13" s="24">
        <f>SUM(J13)-0.6</f>
        <v>16.899999999999999</v>
      </c>
      <c r="J13" s="33">
        <v>17.5</v>
      </c>
      <c r="K13" s="24">
        <f>SUM(J13)+0.6</f>
        <v>18.100000000000001</v>
      </c>
      <c r="L13" s="24">
        <f>SUM(K13)+0.6</f>
        <v>18.700000000000003</v>
      </c>
      <c r="M13" s="134">
        <f>SUM(L13)+0.6</f>
        <v>19.300000000000004</v>
      </c>
      <c r="N13" s="26">
        <f>SUM(M13)+0.6</f>
        <v>19.900000000000006</v>
      </c>
    </row>
    <row r="14" spans="1:14" s="1" customFormat="1" ht="14.1" customHeight="1">
      <c r="A14" s="71"/>
      <c r="B14" s="45" t="s">
        <v>29</v>
      </c>
      <c r="C14" s="46"/>
      <c r="D14" s="47" t="s">
        <v>154</v>
      </c>
      <c r="E14" s="48"/>
      <c r="F14" s="48"/>
      <c r="G14" s="49"/>
      <c r="H14" s="36"/>
      <c r="I14" s="36"/>
      <c r="J14" s="35"/>
      <c r="K14" s="36"/>
      <c r="L14" s="36"/>
      <c r="M14" s="62"/>
      <c r="N14" s="37"/>
    </row>
    <row r="15" spans="1:14" s="1" customFormat="1" ht="14.1" customHeight="1">
      <c r="A15" s="154">
        <v>7</v>
      </c>
      <c r="B15" s="51" t="s">
        <v>2</v>
      </c>
      <c r="C15" s="52"/>
      <c r="D15" s="59" t="s">
        <v>3</v>
      </c>
      <c r="E15" s="60"/>
      <c r="F15" s="60"/>
      <c r="G15" s="61"/>
      <c r="H15" s="24">
        <f>SUM(I15)-0.3</f>
        <v>6.2</v>
      </c>
      <c r="I15" s="24">
        <f>SUM(J15)-0.3</f>
        <v>6.5</v>
      </c>
      <c r="J15" s="33">
        <v>6.8</v>
      </c>
      <c r="K15" s="24">
        <f>SUM(J15)+0.3</f>
        <v>7.1</v>
      </c>
      <c r="L15" s="24">
        <f>SUM(K15)+0.3</f>
        <v>7.3999999999999995</v>
      </c>
      <c r="M15" s="134">
        <f>SUM(L15)+0.3</f>
        <v>7.6999999999999993</v>
      </c>
      <c r="N15" s="26">
        <f>SUM(M15)+0.3</f>
        <v>7.9999999999999991</v>
      </c>
    </row>
    <row r="16" spans="1:14" s="1" customFormat="1" ht="14.1" customHeight="1">
      <c r="A16" s="71"/>
      <c r="B16" s="45" t="s">
        <v>466</v>
      </c>
      <c r="C16" s="46"/>
      <c r="D16" s="47" t="s">
        <v>155</v>
      </c>
      <c r="E16" s="48"/>
      <c r="F16" s="48"/>
      <c r="G16" s="49"/>
      <c r="H16" s="36"/>
      <c r="I16" s="36"/>
      <c r="J16" s="35"/>
      <c r="K16" s="36"/>
      <c r="L16" s="36"/>
      <c r="M16" s="62"/>
      <c r="N16" s="37"/>
    </row>
    <row r="17" spans="1:27" s="1" customFormat="1" ht="14.1" customHeight="1">
      <c r="A17" s="154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41.8</v>
      </c>
      <c r="I17" s="24">
        <f>SUM(J17)-1.6</f>
        <v>43.4</v>
      </c>
      <c r="J17" s="33">
        <v>45</v>
      </c>
      <c r="K17" s="24">
        <f>SUM(J17)+1.6</f>
        <v>46.6</v>
      </c>
      <c r="L17" s="24">
        <f>SUM(K17)+1.6</f>
        <v>48.2</v>
      </c>
      <c r="M17" s="134">
        <f>SUM(L17)+1.6</f>
        <v>49.800000000000004</v>
      </c>
      <c r="N17" s="26">
        <f>SUM(M17)+1.6</f>
        <v>51.400000000000006</v>
      </c>
    </row>
    <row r="18" spans="1:27" s="1" customFormat="1" ht="14.1" customHeight="1">
      <c r="A18" s="71"/>
      <c r="B18" s="45" t="s">
        <v>37</v>
      </c>
      <c r="C18" s="46"/>
      <c r="D18" s="47" t="s">
        <v>156</v>
      </c>
      <c r="E18" s="48"/>
      <c r="F18" s="48"/>
      <c r="G18" s="49"/>
      <c r="H18" s="36"/>
      <c r="I18" s="36"/>
      <c r="J18" s="35"/>
      <c r="K18" s="36"/>
      <c r="L18" s="36"/>
      <c r="M18" s="62"/>
      <c r="N18" s="37"/>
    </row>
    <row r="19" spans="1:27" s="1" customFormat="1" ht="14.1" customHeight="1">
      <c r="A19" s="154">
        <v>9</v>
      </c>
      <c r="B19" s="51" t="s">
        <v>4</v>
      </c>
      <c r="C19" s="52"/>
      <c r="D19" s="59" t="s">
        <v>5</v>
      </c>
      <c r="E19" s="60"/>
      <c r="F19" s="60"/>
      <c r="G19" s="61"/>
      <c r="H19" s="24">
        <f>SUM(I19)-3.6</f>
        <v>25.799999999999997</v>
      </c>
      <c r="I19" s="24">
        <f>SUM(J19)-3.6</f>
        <v>29.4</v>
      </c>
      <c r="J19" s="33">
        <v>33</v>
      </c>
      <c r="K19" s="24">
        <f>SUM(J19)+3.7</f>
        <v>36.700000000000003</v>
      </c>
      <c r="L19" s="24">
        <f>SUM(K19)+3.7</f>
        <v>40.400000000000006</v>
      </c>
      <c r="M19" s="134">
        <f>SUM(L19)+3.7</f>
        <v>44.100000000000009</v>
      </c>
      <c r="N19" s="26">
        <f>SUM(M19)+3.7</f>
        <v>47.800000000000011</v>
      </c>
    </row>
    <row r="20" spans="1:27" s="1" customFormat="1" ht="14.1" customHeight="1">
      <c r="A20" s="71"/>
      <c r="B20" s="45" t="s">
        <v>31</v>
      </c>
      <c r="C20" s="46"/>
      <c r="D20" s="47" t="s">
        <v>54</v>
      </c>
      <c r="E20" s="48"/>
      <c r="F20" s="48"/>
      <c r="G20" s="49"/>
      <c r="H20" s="36"/>
      <c r="I20" s="36"/>
      <c r="J20" s="35"/>
      <c r="K20" s="36"/>
      <c r="L20" s="36"/>
      <c r="M20" s="62"/>
      <c r="N20" s="37"/>
    </row>
    <row r="21" spans="1:27" s="1" customFormat="1" ht="14.1" customHeight="1">
      <c r="A21" s="154">
        <v>10</v>
      </c>
      <c r="B21" s="51" t="s">
        <v>6</v>
      </c>
      <c r="C21" s="52"/>
      <c r="D21" s="59" t="s">
        <v>7</v>
      </c>
      <c r="E21" s="60"/>
      <c r="F21" s="60"/>
      <c r="G21" s="61"/>
      <c r="H21" s="24">
        <f>SUM(I21)-1.5</f>
        <v>24</v>
      </c>
      <c r="I21" s="24">
        <f>SUM(J21)-1.5</f>
        <v>25.5</v>
      </c>
      <c r="J21" s="33">
        <v>27</v>
      </c>
      <c r="K21" s="24">
        <f>SUM(J21)+1.5</f>
        <v>28.5</v>
      </c>
      <c r="L21" s="24">
        <f>SUM(K21)+1.5</f>
        <v>30</v>
      </c>
      <c r="M21" s="134">
        <f>SUM(L21)+1.5</f>
        <v>31.5</v>
      </c>
      <c r="N21" s="26">
        <f>SUM(M21)+1.5</f>
        <v>33</v>
      </c>
    </row>
    <row r="22" spans="1:27" s="1" customFormat="1" ht="14.1" customHeight="1">
      <c r="A22" s="71"/>
      <c r="B22" s="45" t="s">
        <v>32</v>
      </c>
      <c r="C22" s="46"/>
      <c r="D22" s="47" t="s">
        <v>76</v>
      </c>
      <c r="E22" s="48"/>
      <c r="F22" s="48"/>
      <c r="G22" s="49"/>
      <c r="H22" s="36"/>
      <c r="I22" s="36"/>
      <c r="J22" s="35"/>
      <c r="K22" s="36"/>
      <c r="L22" s="36"/>
      <c r="M22" s="62"/>
      <c r="N22" s="37"/>
    </row>
    <row r="23" spans="1:27" s="1" customFormat="1" ht="14.1" customHeight="1">
      <c r="A23" s="154">
        <v>11</v>
      </c>
      <c r="B23" s="51" t="s">
        <v>77</v>
      </c>
      <c r="C23" s="52"/>
      <c r="D23" s="59" t="s">
        <v>78</v>
      </c>
      <c r="E23" s="60"/>
      <c r="F23" s="60"/>
      <c r="G23" s="61"/>
      <c r="H23" s="24">
        <f>SUM(I23)-0.7</f>
        <v>17.600000000000001</v>
      </c>
      <c r="I23" s="24">
        <f>SUM(J23)-0.7</f>
        <v>18.3</v>
      </c>
      <c r="J23" s="33">
        <v>19</v>
      </c>
      <c r="K23" s="24">
        <f>SUM(J23)+0.7</f>
        <v>19.7</v>
      </c>
      <c r="L23" s="24">
        <f>SUM(K23)+0.7</f>
        <v>20.399999999999999</v>
      </c>
      <c r="M23" s="134">
        <f>SUM(L23)+0.7</f>
        <v>21.099999999999998</v>
      </c>
      <c r="N23" s="26">
        <f>SUM(M23)+0.7</f>
        <v>21.799999999999997</v>
      </c>
    </row>
    <row r="24" spans="1:27" s="1" customFormat="1" ht="14.1" customHeight="1">
      <c r="A24" s="166"/>
      <c r="B24" s="40" t="s">
        <v>33</v>
      </c>
      <c r="C24" s="41"/>
      <c r="D24" s="100" t="s">
        <v>79</v>
      </c>
      <c r="E24" s="101"/>
      <c r="F24" s="101"/>
      <c r="G24" s="102"/>
      <c r="H24" s="50"/>
      <c r="I24" s="50"/>
      <c r="J24" s="117"/>
      <c r="K24" s="50"/>
      <c r="L24" s="50"/>
      <c r="M24" s="93"/>
      <c r="N24" s="113"/>
    </row>
    <row r="25" spans="1:27" s="1" customFormat="1" ht="14.1" customHeight="1">
      <c r="A25" s="154">
        <v>12</v>
      </c>
      <c r="B25" s="51" t="s">
        <v>176</v>
      </c>
      <c r="C25" s="52"/>
      <c r="D25" s="53" t="s">
        <v>103</v>
      </c>
      <c r="E25" s="54"/>
      <c r="F25" s="54"/>
      <c r="G25" s="55"/>
      <c r="H25" s="24">
        <f>SUM(I25)-0.2</f>
        <v>2.5999999999999996</v>
      </c>
      <c r="I25" s="24">
        <f>SUM(J25)-0.2</f>
        <v>2.8</v>
      </c>
      <c r="J25" s="23">
        <v>3</v>
      </c>
      <c r="K25" s="21">
        <f>SUM(J25)+0.2</f>
        <v>3.2</v>
      </c>
      <c r="L25" s="21">
        <f>SUM(K25)+0.2</f>
        <v>3.4000000000000004</v>
      </c>
      <c r="M25" s="153">
        <f>SUM(L25)+0.2</f>
        <v>3.6000000000000005</v>
      </c>
      <c r="N25" s="22">
        <f>SUM(M25)+0.2</f>
        <v>3.8000000000000007</v>
      </c>
    </row>
    <row r="26" spans="1:27" s="1" customFormat="1" ht="14.1" customHeight="1">
      <c r="A26" s="166"/>
      <c r="B26" s="40" t="s">
        <v>175</v>
      </c>
      <c r="C26" s="41"/>
      <c r="D26" s="100" t="s">
        <v>104</v>
      </c>
      <c r="E26" s="101"/>
      <c r="F26" s="101"/>
      <c r="G26" s="102"/>
      <c r="H26" s="50"/>
      <c r="I26" s="50"/>
      <c r="J26" s="33"/>
      <c r="K26" s="24"/>
      <c r="L26" s="24"/>
      <c r="M26" s="134"/>
      <c r="N26" s="26"/>
    </row>
    <row r="27" spans="1:27" s="1" customFormat="1" ht="14.1" customHeight="1">
      <c r="A27" s="154"/>
      <c r="B27" s="51"/>
      <c r="C27" s="52"/>
      <c r="D27" s="53"/>
      <c r="E27" s="54"/>
      <c r="F27" s="54"/>
      <c r="G27" s="55"/>
      <c r="H27" s="24"/>
      <c r="I27" s="24"/>
      <c r="J27" s="23"/>
      <c r="K27" s="21"/>
      <c r="L27" s="21"/>
      <c r="M27" s="274"/>
      <c r="N27" s="215"/>
      <c r="O27"/>
      <c r="P27"/>
      <c r="Q27"/>
      <c r="R27"/>
      <c r="S27"/>
      <c r="T27"/>
      <c r="U27"/>
      <c r="V27"/>
      <c r="W27"/>
      <c r="X27"/>
      <c r="Y27"/>
      <c r="Z27"/>
      <c r="AA27"/>
    </row>
    <row r="28" spans="1:27" s="1" customFormat="1" ht="14.1" customHeight="1" thickBot="1">
      <c r="A28" s="168"/>
      <c r="B28" s="28"/>
      <c r="C28" s="29"/>
      <c r="D28" s="30"/>
      <c r="E28" s="31"/>
      <c r="F28" s="31"/>
      <c r="G28" s="32"/>
      <c r="H28" s="25"/>
      <c r="I28" s="25"/>
      <c r="J28" s="218"/>
      <c r="K28" s="216"/>
      <c r="L28" s="216"/>
      <c r="M28" s="275"/>
      <c r="N28" s="217"/>
      <c r="O28"/>
      <c r="P28"/>
      <c r="Q28"/>
      <c r="R28"/>
      <c r="S28"/>
      <c r="T28"/>
      <c r="U28"/>
      <c r="V28"/>
      <c r="W28"/>
      <c r="X28"/>
      <c r="Y28"/>
      <c r="Z28"/>
      <c r="AA28"/>
    </row>
    <row r="29" spans="1:27" s="1" customFormat="1" ht="14.1" customHeight="1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27" s="1" customFormat="1" ht="14.1" customHeight="1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27" s="1" customFormat="1" ht="14.1" customHeight="1">
      <c r="A31"/>
      <c r="B31"/>
      <c r="C31"/>
      <c r="D31"/>
      <c r="E31"/>
      <c r="F31"/>
      <c r="G31"/>
      <c r="H31"/>
      <c r="I31"/>
      <c r="J31"/>
      <c r="K31"/>
      <c r="L31"/>
      <c r="M31"/>
    </row>
    <row r="32" spans="1:27" s="1" customFormat="1" ht="14.1" customHeight="1">
      <c r="A32"/>
      <c r="B32"/>
      <c r="C32"/>
      <c r="D32"/>
      <c r="E32"/>
      <c r="F32"/>
      <c r="G32"/>
      <c r="H32"/>
      <c r="I32"/>
      <c r="J32"/>
      <c r="K32"/>
      <c r="L32"/>
      <c r="M32"/>
    </row>
    <row r="33" spans="1:13" s="1" customFormat="1" ht="14.1" customHeight="1">
      <c r="A33"/>
      <c r="B33"/>
      <c r="C33"/>
      <c r="D33"/>
      <c r="E33"/>
      <c r="F33"/>
      <c r="G33"/>
      <c r="H33"/>
      <c r="I33"/>
      <c r="J33"/>
      <c r="K33"/>
      <c r="L33"/>
      <c r="M33"/>
    </row>
    <row r="34" spans="1:13" s="1" customFormat="1" ht="14.1" customHeight="1">
      <c r="A34"/>
      <c r="B34"/>
      <c r="C34"/>
      <c r="D34"/>
      <c r="E34"/>
      <c r="F34"/>
      <c r="G34"/>
      <c r="H34"/>
      <c r="I34"/>
      <c r="J34"/>
      <c r="K34"/>
      <c r="L34"/>
      <c r="M34"/>
    </row>
    <row r="35" spans="1:13" s="1" customFormat="1" ht="14.1" customHeight="1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 s="1" customFormat="1" ht="14.1" customHeight="1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 s="1" customFormat="1" ht="14.1" customHeight="1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 s="1" customFormat="1" ht="14.1" customHeight="1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159"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643BF-93DA-4DFC-8ED0-655DEBD15C3E}">
  <sheetPr>
    <tabColor rgb="FF00B050"/>
    <pageSetUpPr fitToPage="1"/>
  </sheetPr>
  <dimension ref="A1:N57"/>
  <sheetViews>
    <sheetView zoomScale="110" zoomScaleNormal="110" workbookViewId="0">
      <selection activeCell="O21" sqref="O21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28" t="s">
        <v>534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30"/>
    </row>
    <row r="2" spans="1:14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  <c r="N2" s="9" t="s">
        <v>229</v>
      </c>
    </row>
    <row r="3" spans="1:14" s="1" customFormat="1" ht="14.1" customHeight="1">
      <c r="A3" s="71">
        <v>1</v>
      </c>
      <c r="B3" s="72" t="s">
        <v>481</v>
      </c>
      <c r="C3" s="72"/>
      <c r="D3" s="73"/>
      <c r="E3" s="73"/>
      <c r="F3" s="73"/>
      <c r="G3" s="74"/>
      <c r="H3" s="24">
        <f>SUM(I3)-1.3</f>
        <v>10.899999999999999</v>
      </c>
      <c r="I3" s="24">
        <f>SUM(J3)-1.3</f>
        <v>12.2</v>
      </c>
      <c r="J3" s="75">
        <v>13.5</v>
      </c>
      <c r="K3" s="76">
        <f>SUM(J3)+1.3</f>
        <v>14.8</v>
      </c>
      <c r="L3" s="76">
        <f>SUM(K3)+1.3</f>
        <v>16.100000000000001</v>
      </c>
      <c r="M3" s="163">
        <f>SUM(L3)+1.3</f>
        <v>17.400000000000002</v>
      </c>
      <c r="N3" s="77">
        <f>SUM(M3)+1.3</f>
        <v>18.700000000000003</v>
      </c>
    </row>
    <row r="4" spans="1:14" s="1" customFormat="1" ht="14.1" customHeight="1">
      <c r="A4" s="38"/>
      <c r="B4" s="56" t="s">
        <v>482</v>
      </c>
      <c r="C4" s="56"/>
      <c r="D4" s="47" t="s">
        <v>537</v>
      </c>
      <c r="E4" s="48"/>
      <c r="F4" s="48"/>
      <c r="G4" s="48"/>
      <c r="H4" s="36"/>
      <c r="I4" s="36"/>
      <c r="J4" s="33"/>
      <c r="K4" s="24"/>
      <c r="L4" s="24"/>
      <c r="M4" s="134"/>
      <c r="N4" s="26"/>
    </row>
    <row r="5" spans="1:14" s="1" customFormat="1" ht="14.1" customHeight="1">
      <c r="A5" s="38">
        <v>2</v>
      </c>
      <c r="B5" s="58" t="s">
        <v>483</v>
      </c>
      <c r="C5" s="58"/>
      <c r="D5" s="57"/>
      <c r="E5" s="57"/>
      <c r="F5" s="57"/>
      <c r="G5" s="57"/>
      <c r="H5" s="24">
        <f>SUM(I5)-1</f>
        <v>7.5</v>
      </c>
      <c r="I5" s="24">
        <f>SUM(J5)-1</f>
        <v>8.5</v>
      </c>
      <c r="J5" s="33">
        <v>9.5</v>
      </c>
      <c r="K5" s="24">
        <f>SUM(J5)+1</f>
        <v>10.5</v>
      </c>
      <c r="L5" s="24">
        <f>SUM(K5)+1</f>
        <v>11.5</v>
      </c>
      <c r="M5" s="134">
        <f>SUM(L5)+1</f>
        <v>12.5</v>
      </c>
      <c r="N5" s="26">
        <f>SUM(M5)+1</f>
        <v>13.5</v>
      </c>
    </row>
    <row r="6" spans="1:14" s="1" customFormat="1" ht="14.1" customHeight="1">
      <c r="A6" s="38"/>
      <c r="B6" s="56" t="s">
        <v>484</v>
      </c>
      <c r="C6" s="56"/>
      <c r="D6" s="47" t="s">
        <v>537</v>
      </c>
      <c r="E6" s="48"/>
      <c r="F6" s="48"/>
      <c r="G6" s="49"/>
      <c r="H6" s="36"/>
      <c r="I6" s="36"/>
      <c r="J6" s="35"/>
      <c r="K6" s="36"/>
      <c r="L6" s="36"/>
      <c r="M6" s="62"/>
      <c r="N6" s="37"/>
    </row>
    <row r="7" spans="1:14" s="1" customFormat="1" ht="14.1" customHeight="1">
      <c r="A7" s="38">
        <v>3</v>
      </c>
      <c r="B7" s="58" t="s">
        <v>381</v>
      </c>
      <c r="C7" s="58"/>
      <c r="D7" s="57"/>
      <c r="E7" s="57"/>
      <c r="F7" s="57"/>
      <c r="G7" s="57"/>
      <c r="H7" s="24">
        <f>SUM(I7)-1.7</f>
        <v>25.6</v>
      </c>
      <c r="I7" s="24">
        <f>SUM(J7)-1.7</f>
        <v>27.3</v>
      </c>
      <c r="J7" s="33">
        <v>29</v>
      </c>
      <c r="K7" s="24">
        <f>SUM(J7)+1.7</f>
        <v>30.7</v>
      </c>
      <c r="L7" s="24">
        <f>SUM(K7)+1.7</f>
        <v>32.4</v>
      </c>
      <c r="M7" s="134">
        <f>SUM(L7)+1.7</f>
        <v>34.1</v>
      </c>
      <c r="N7" s="26">
        <f>SUM(M7)+1.7</f>
        <v>35.800000000000004</v>
      </c>
    </row>
    <row r="8" spans="1:14" s="1" customFormat="1" ht="14.1" customHeight="1">
      <c r="A8" s="38"/>
      <c r="B8" s="56" t="s">
        <v>382</v>
      </c>
      <c r="C8" s="56"/>
      <c r="D8" s="47" t="s">
        <v>485</v>
      </c>
      <c r="E8" s="48"/>
      <c r="F8" s="48"/>
      <c r="G8" s="49"/>
      <c r="H8" s="36"/>
      <c r="I8" s="36"/>
      <c r="J8" s="35"/>
      <c r="K8" s="36"/>
      <c r="L8" s="36"/>
      <c r="M8" s="62"/>
      <c r="N8" s="37"/>
    </row>
    <row r="9" spans="1:14" s="1" customFormat="1" ht="14.1" customHeight="1">
      <c r="A9" s="38">
        <v>4</v>
      </c>
      <c r="B9" s="58" t="s">
        <v>41</v>
      </c>
      <c r="C9" s="58"/>
      <c r="D9" s="57" t="s">
        <v>84</v>
      </c>
      <c r="E9" s="57"/>
      <c r="F9" s="57"/>
      <c r="G9" s="57"/>
      <c r="H9" s="24">
        <f>SUM(I9)-2.25</f>
        <v>29.5</v>
      </c>
      <c r="I9" s="24">
        <f>SUM(J9)-2.25</f>
        <v>31.75</v>
      </c>
      <c r="J9" s="33">
        <v>34</v>
      </c>
      <c r="K9" s="24">
        <f>SUM(J9)+2</f>
        <v>36</v>
      </c>
      <c r="L9" s="24">
        <f>SUM(K9)+2</f>
        <v>38</v>
      </c>
      <c r="M9" s="134">
        <f>SUM(L9)+2</f>
        <v>40</v>
      </c>
      <c r="N9" s="26">
        <f>SUM(M9)+2</f>
        <v>42</v>
      </c>
    </row>
    <row r="10" spans="1:14" s="1" customFormat="1" ht="14.1" customHeight="1">
      <c r="A10" s="38"/>
      <c r="B10" s="56" t="s">
        <v>46</v>
      </c>
      <c r="C10" s="56"/>
      <c r="D10" s="47" t="s">
        <v>49</v>
      </c>
      <c r="E10" s="48"/>
      <c r="F10" s="48"/>
      <c r="G10" s="49"/>
      <c r="H10" s="36"/>
      <c r="I10" s="36"/>
      <c r="J10" s="35"/>
      <c r="K10" s="36"/>
      <c r="L10" s="36"/>
      <c r="M10" s="62"/>
      <c r="N10" s="37"/>
    </row>
    <row r="11" spans="1:14" s="1" customFormat="1" ht="14.1" customHeight="1">
      <c r="A11" s="38">
        <v>5</v>
      </c>
      <c r="B11" s="58" t="s">
        <v>47</v>
      </c>
      <c r="C11" s="58"/>
      <c r="D11" s="57" t="s">
        <v>8</v>
      </c>
      <c r="E11" s="57"/>
      <c r="F11" s="57"/>
      <c r="G11" s="57"/>
      <c r="H11" s="24">
        <f>SUM(I11)-2.25</f>
        <v>28.5</v>
      </c>
      <c r="I11" s="24">
        <f>SUM(J11)-2.25</f>
        <v>30.75</v>
      </c>
      <c r="J11" s="33">
        <v>33</v>
      </c>
      <c r="K11" s="24">
        <f>SUM(J11)+2</f>
        <v>35</v>
      </c>
      <c r="L11" s="24">
        <f>SUM(K11)+2</f>
        <v>37</v>
      </c>
      <c r="M11" s="134">
        <f>SUM(L11)+2</f>
        <v>39</v>
      </c>
      <c r="N11" s="26">
        <f>SUM(M11)+2</f>
        <v>41</v>
      </c>
    </row>
    <row r="12" spans="1:14" s="1" customFormat="1" ht="14.1" customHeight="1">
      <c r="A12" s="38"/>
      <c r="B12" s="56" t="s">
        <v>27</v>
      </c>
      <c r="C12" s="56"/>
      <c r="D12" s="47" t="s">
        <v>50</v>
      </c>
      <c r="E12" s="48"/>
      <c r="F12" s="48"/>
      <c r="G12" s="49"/>
      <c r="H12" s="36"/>
      <c r="I12" s="36"/>
      <c r="J12" s="35"/>
      <c r="K12" s="36"/>
      <c r="L12" s="36"/>
      <c r="M12" s="62"/>
      <c r="N12" s="37"/>
    </row>
    <row r="13" spans="1:14" s="1" customFormat="1" ht="14.1" customHeight="1">
      <c r="A13" s="38">
        <v>6</v>
      </c>
      <c r="B13" s="58" t="s">
        <v>535</v>
      </c>
      <c r="C13" s="58"/>
      <c r="D13" s="57"/>
      <c r="E13" s="57"/>
      <c r="F13" s="57"/>
      <c r="G13" s="57"/>
      <c r="H13" s="24">
        <f>SUM(I13)-1</f>
        <v>7</v>
      </c>
      <c r="I13" s="24">
        <f>SUM(J13)-1</f>
        <v>8</v>
      </c>
      <c r="J13" s="33">
        <v>9</v>
      </c>
      <c r="K13" s="24">
        <f>SUM(J13)+0.5</f>
        <v>9.5</v>
      </c>
      <c r="L13" s="24">
        <f>SUM(K13)+0.5</f>
        <v>10</v>
      </c>
      <c r="M13" s="134">
        <f>SUM(L13)+0.5</f>
        <v>10.5</v>
      </c>
      <c r="N13" s="26">
        <f>SUM(M13)+0.5</f>
        <v>11</v>
      </c>
    </row>
    <row r="14" spans="1:14" s="1" customFormat="1" ht="14.1" customHeight="1">
      <c r="A14" s="38"/>
      <c r="B14" s="56" t="s">
        <v>536</v>
      </c>
      <c r="C14" s="56"/>
      <c r="D14" s="47"/>
      <c r="E14" s="48"/>
      <c r="F14" s="48"/>
      <c r="G14" s="49"/>
      <c r="H14" s="36"/>
      <c r="I14" s="36"/>
      <c r="J14" s="35"/>
      <c r="K14" s="36"/>
      <c r="L14" s="36"/>
      <c r="M14" s="62"/>
      <c r="N14" s="37"/>
    </row>
    <row r="15" spans="1:14" s="1" customFormat="1" ht="14.1" customHeight="1">
      <c r="A15" s="38">
        <v>7</v>
      </c>
      <c r="B15" s="58" t="s">
        <v>538</v>
      </c>
      <c r="C15" s="58"/>
      <c r="D15" s="57"/>
      <c r="E15" s="57"/>
      <c r="F15" s="57"/>
      <c r="G15" s="57"/>
      <c r="H15" s="24"/>
      <c r="I15" s="24"/>
      <c r="J15" s="33"/>
      <c r="K15" s="24"/>
      <c r="L15" s="24"/>
      <c r="M15" s="134"/>
      <c r="N15" s="26"/>
    </row>
    <row r="16" spans="1:14" s="1" customFormat="1" ht="14.1" customHeight="1">
      <c r="A16" s="38"/>
      <c r="B16" s="56" t="s">
        <v>392</v>
      </c>
      <c r="C16" s="56"/>
      <c r="D16" s="47"/>
      <c r="E16" s="48"/>
      <c r="F16" s="48"/>
      <c r="G16" s="49"/>
      <c r="H16" s="36"/>
      <c r="I16" s="36"/>
      <c r="J16" s="35"/>
      <c r="K16" s="36"/>
      <c r="L16" s="36"/>
      <c r="M16" s="62"/>
      <c r="N16" s="37"/>
    </row>
    <row r="17" spans="1:14" s="1" customFormat="1" ht="14.1" customHeight="1">
      <c r="A17" s="38">
        <v>8</v>
      </c>
      <c r="B17" s="58"/>
      <c r="C17" s="58"/>
      <c r="D17" s="57"/>
      <c r="E17" s="57"/>
      <c r="F17" s="57"/>
      <c r="G17" s="57"/>
      <c r="H17" s="24"/>
      <c r="I17" s="24"/>
      <c r="J17" s="23"/>
      <c r="K17" s="21"/>
      <c r="L17" s="21"/>
      <c r="M17" s="153"/>
      <c r="N17" s="22"/>
    </row>
    <row r="18" spans="1:14" s="1" customFormat="1" ht="14.1" customHeight="1">
      <c r="A18" s="38"/>
      <c r="B18" s="56"/>
      <c r="C18" s="56"/>
      <c r="D18" s="47"/>
      <c r="E18" s="48"/>
      <c r="F18" s="48"/>
      <c r="G18" s="49"/>
      <c r="H18" s="36"/>
      <c r="I18" s="36"/>
      <c r="J18" s="23"/>
      <c r="K18" s="21"/>
      <c r="L18" s="21"/>
      <c r="M18" s="153"/>
      <c r="N18" s="22"/>
    </row>
    <row r="19" spans="1:14" s="1" customFormat="1" ht="14.1" customHeight="1">
      <c r="A19" s="38">
        <v>9</v>
      </c>
      <c r="B19" s="58"/>
      <c r="C19" s="58"/>
      <c r="D19" s="57"/>
      <c r="E19" s="57"/>
      <c r="F19" s="57"/>
      <c r="G19" s="57"/>
      <c r="H19" s="24"/>
      <c r="I19" s="24"/>
      <c r="J19" s="23"/>
      <c r="K19" s="21"/>
      <c r="L19" s="21"/>
      <c r="M19" s="153"/>
      <c r="N19" s="22"/>
    </row>
    <row r="20" spans="1:14" s="1" customFormat="1" ht="14.1" customHeight="1">
      <c r="A20" s="38"/>
      <c r="B20" s="56"/>
      <c r="C20" s="56"/>
      <c r="D20" s="47"/>
      <c r="E20" s="48"/>
      <c r="F20" s="48"/>
      <c r="G20" s="49"/>
      <c r="H20" s="36"/>
      <c r="I20" s="36"/>
      <c r="J20" s="23"/>
      <c r="K20" s="21"/>
      <c r="L20" s="21"/>
      <c r="M20" s="153"/>
      <c r="N20" s="22"/>
    </row>
    <row r="21" spans="1:14" s="1" customFormat="1" ht="14.1" customHeight="1">
      <c r="A21" s="38">
        <v>10</v>
      </c>
      <c r="B21" s="51"/>
      <c r="C21" s="52"/>
      <c r="D21" s="57"/>
      <c r="E21" s="57"/>
      <c r="F21" s="57"/>
      <c r="G21" s="57"/>
      <c r="H21" s="24"/>
      <c r="I21" s="24"/>
      <c r="J21" s="23"/>
      <c r="K21" s="21"/>
      <c r="L21" s="21"/>
      <c r="M21" s="153"/>
      <c r="N21" s="22"/>
    </row>
    <row r="22" spans="1:14" s="1" customFormat="1" ht="14.1" customHeight="1">
      <c r="A22" s="38"/>
      <c r="B22" s="56"/>
      <c r="C22" s="56"/>
      <c r="D22" s="47"/>
      <c r="E22" s="48"/>
      <c r="F22" s="48"/>
      <c r="G22" s="49"/>
      <c r="H22" s="36"/>
      <c r="I22" s="36"/>
      <c r="J22" s="23"/>
      <c r="K22" s="21"/>
      <c r="L22" s="21"/>
      <c r="M22" s="153"/>
      <c r="N22" s="22"/>
    </row>
    <row r="23" spans="1:14" s="1" customFormat="1" ht="14.1" customHeight="1">
      <c r="A23" s="38">
        <v>11</v>
      </c>
      <c r="B23" s="51"/>
      <c r="C23" s="52"/>
      <c r="D23" s="182"/>
      <c r="E23" s="183"/>
      <c r="F23" s="183"/>
      <c r="G23" s="184"/>
      <c r="H23" s="24"/>
      <c r="I23" s="24"/>
      <c r="J23" s="33"/>
      <c r="K23" s="24"/>
      <c r="L23" s="24"/>
      <c r="M23" s="134"/>
      <c r="N23" s="26"/>
    </row>
    <row r="24" spans="1:14" s="1" customFormat="1" ht="14.1" customHeight="1">
      <c r="A24" s="38"/>
      <c r="B24" s="36"/>
      <c r="C24" s="36"/>
      <c r="D24" s="114"/>
      <c r="E24" s="115"/>
      <c r="F24" s="115"/>
      <c r="G24" s="116"/>
      <c r="H24" s="36"/>
      <c r="I24" s="36"/>
      <c r="J24" s="35"/>
      <c r="K24" s="36"/>
      <c r="L24" s="36"/>
      <c r="M24" s="62"/>
      <c r="N24" s="37"/>
    </row>
    <row r="25" spans="1:14" s="1" customFormat="1" ht="14.1" customHeight="1">
      <c r="A25" s="38">
        <v>12</v>
      </c>
      <c r="B25" s="164"/>
      <c r="C25" s="165"/>
      <c r="D25" s="42"/>
      <c r="E25" s="43"/>
      <c r="F25" s="43"/>
      <c r="G25" s="44"/>
      <c r="H25" s="50"/>
      <c r="I25" s="50"/>
      <c r="J25" s="35"/>
      <c r="K25" s="36"/>
      <c r="L25" s="36"/>
      <c r="M25" s="62"/>
      <c r="N25" s="37"/>
    </row>
    <row r="26" spans="1:14" s="1" customFormat="1" ht="14.1" customHeight="1" thickBot="1">
      <c r="A26" s="39"/>
      <c r="B26" s="28"/>
      <c r="C26" s="29"/>
      <c r="D26" s="30"/>
      <c r="E26" s="31"/>
      <c r="F26" s="31"/>
      <c r="G26" s="32"/>
      <c r="H26" s="25"/>
      <c r="I26" s="25"/>
      <c r="J26" s="218"/>
      <c r="K26" s="216"/>
      <c r="L26" s="216"/>
      <c r="M26" s="273"/>
      <c r="N26" s="220"/>
    </row>
    <row r="27" spans="1:14" s="1" customFormat="1" ht="14.1" customHeight="1">
      <c r="A27"/>
      <c r="B27"/>
      <c r="C27"/>
      <c r="D27"/>
      <c r="E27"/>
      <c r="F27"/>
      <c r="G27"/>
      <c r="H27"/>
      <c r="I27"/>
      <c r="J27"/>
      <c r="K27"/>
      <c r="L27"/>
      <c r="M27"/>
    </row>
    <row r="28" spans="1:14" s="1" customFormat="1" ht="14.1" customHeight="1">
      <c r="A28"/>
      <c r="B28"/>
      <c r="C28"/>
      <c r="D28"/>
      <c r="E28"/>
      <c r="F28"/>
      <c r="G28"/>
      <c r="H28"/>
      <c r="I28"/>
      <c r="J28"/>
      <c r="K28"/>
      <c r="L28"/>
      <c r="M28"/>
    </row>
    <row r="29" spans="1:14" s="1" customFormat="1" ht="14.1" customHeight="1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14" s="1" customFormat="1" ht="14.1" customHeight="1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14" s="1" customFormat="1" ht="14.1" customHeight="1">
      <c r="A31"/>
      <c r="B31"/>
      <c r="C31"/>
      <c r="D31"/>
      <c r="E31"/>
      <c r="F31"/>
      <c r="G31"/>
      <c r="H31"/>
      <c r="I31"/>
      <c r="J31"/>
      <c r="K31"/>
      <c r="L31"/>
      <c r="M31"/>
    </row>
    <row r="32" spans="1:14" s="1" customFormat="1" ht="14.1" customHeight="1">
      <c r="A32"/>
      <c r="B32"/>
      <c r="C32"/>
      <c r="D32"/>
      <c r="E32"/>
      <c r="F32"/>
      <c r="G32"/>
      <c r="H32"/>
      <c r="I32"/>
      <c r="J32"/>
      <c r="K32"/>
      <c r="L32"/>
      <c r="M32"/>
    </row>
    <row r="33" spans="1:13" s="1" customFormat="1" ht="14.1" customHeight="1">
      <c r="A33"/>
      <c r="B33"/>
      <c r="C33"/>
      <c r="D33"/>
      <c r="E33"/>
      <c r="F33"/>
      <c r="G33"/>
      <c r="H33"/>
      <c r="I33"/>
      <c r="J33"/>
      <c r="K33"/>
      <c r="L33"/>
      <c r="M33"/>
    </row>
    <row r="34" spans="1:13" s="1" customFormat="1" ht="14.1" customHeight="1">
      <c r="A34"/>
      <c r="B34"/>
      <c r="C34"/>
      <c r="D34"/>
      <c r="E34"/>
      <c r="F34"/>
      <c r="G34"/>
      <c r="H34"/>
      <c r="I34"/>
      <c r="J34"/>
      <c r="K34"/>
      <c r="L34"/>
      <c r="M34"/>
    </row>
    <row r="35" spans="1:13" s="1" customFormat="1" ht="14.1" customHeight="1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 s="1" customFormat="1" ht="14.1" customHeight="1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 s="1" customFormat="1" ht="14.1" customHeight="1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 s="1" customFormat="1" ht="14.1" customHeight="1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147">
    <mergeCell ref="N23:N24"/>
    <mergeCell ref="N25:N26"/>
    <mergeCell ref="N11:N12"/>
    <mergeCell ref="N13:N14"/>
    <mergeCell ref="N15:N16"/>
    <mergeCell ref="N17:N18"/>
    <mergeCell ref="N19:N20"/>
    <mergeCell ref="N21:N22"/>
    <mergeCell ref="K25:K26"/>
    <mergeCell ref="L25:L26"/>
    <mergeCell ref="M25:M26"/>
    <mergeCell ref="B26:C26"/>
    <mergeCell ref="D26:G26"/>
    <mergeCell ref="A1:N1"/>
    <mergeCell ref="N3:N4"/>
    <mergeCell ref="N5:N6"/>
    <mergeCell ref="N7:N8"/>
    <mergeCell ref="N9:N10"/>
    <mergeCell ref="A25:A26"/>
    <mergeCell ref="B25:C25"/>
    <mergeCell ref="D25:G25"/>
    <mergeCell ref="H25:H26"/>
    <mergeCell ref="I25:I26"/>
    <mergeCell ref="J25:J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1:J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DCF27-4FB6-4002-9EA7-7159E2078CAF}">
  <sheetPr>
    <tabColor rgb="FF00B050"/>
    <pageSetUpPr fitToPage="1"/>
  </sheetPr>
  <dimension ref="A1:Z57"/>
  <sheetViews>
    <sheetView topLeftCell="A23" zoomScale="110" zoomScaleNormal="110" workbookViewId="0">
      <selection activeCell="N41" sqref="A1:N4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28" t="s">
        <v>715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30"/>
    </row>
    <row r="2" spans="1:14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7" t="s">
        <v>170</v>
      </c>
      <c r="N2" s="7" t="s">
        <v>561</v>
      </c>
    </row>
    <row r="3" spans="1:14" s="1" customFormat="1" ht="14.1" customHeight="1">
      <c r="A3" s="71">
        <v>1</v>
      </c>
      <c r="B3" s="40" t="s">
        <v>136</v>
      </c>
      <c r="C3" s="41"/>
      <c r="D3" s="100" t="s">
        <v>135</v>
      </c>
      <c r="E3" s="101"/>
      <c r="F3" s="101"/>
      <c r="G3" s="102"/>
      <c r="H3" s="24">
        <f>SUM(I3)-2.9</f>
        <v>31.200000000000003</v>
      </c>
      <c r="I3" s="24">
        <f>SUM(J3)-2.9</f>
        <v>34.1</v>
      </c>
      <c r="J3" s="75">
        <v>37</v>
      </c>
      <c r="K3" s="76">
        <f>SUM(J3)+2.4</f>
        <v>39.4</v>
      </c>
      <c r="L3" s="76">
        <f>SUM(K3)+2.4</f>
        <v>41.8</v>
      </c>
      <c r="M3" s="76">
        <f>SUM(L3)+2.4</f>
        <v>44.199999999999996</v>
      </c>
      <c r="N3" s="77">
        <f>SUM(M3)+2.4</f>
        <v>46.599999999999994</v>
      </c>
    </row>
    <row r="4" spans="1:14" s="1" customFormat="1" ht="14.1" customHeight="1">
      <c r="A4" s="38"/>
      <c r="B4" s="56" t="s">
        <v>36</v>
      </c>
      <c r="C4" s="56"/>
      <c r="D4" s="47" t="s">
        <v>716</v>
      </c>
      <c r="E4" s="48"/>
      <c r="F4" s="48"/>
      <c r="G4" s="48"/>
      <c r="H4" s="36"/>
      <c r="I4" s="36"/>
      <c r="J4" s="33"/>
      <c r="K4" s="24"/>
      <c r="L4" s="24"/>
      <c r="M4" s="24"/>
      <c r="N4" s="26"/>
    </row>
    <row r="5" spans="1:14" s="1" customFormat="1" ht="14.1" customHeight="1">
      <c r="A5" s="71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SUM(I5)-1.8</f>
        <v>30.400000000000002</v>
      </c>
      <c r="I5" s="24">
        <f>SUM(J5)-1.8</f>
        <v>32.200000000000003</v>
      </c>
      <c r="J5" s="23">
        <v>34</v>
      </c>
      <c r="K5" s="21">
        <f>SUM(J5)+1.6</f>
        <v>35.6</v>
      </c>
      <c r="L5" s="21">
        <f>SUM(K5)+1.6</f>
        <v>37.200000000000003</v>
      </c>
      <c r="M5" s="21">
        <f>SUM(L5)+1.6</f>
        <v>38.800000000000004</v>
      </c>
      <c r="N5" s="22">
        <f>SUM(M5)+1.6</f>
        <v>40.400000000000006</v>
      </c>
    </row>
    <row r="6" spans="1:14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23"/>
      <c r="K6" s="21"/>
      <c r="L6" s="21"/>
      <c r="M6" s="21"/>
      <c r="N6" s="22"/>
    </row>
    <row r="7" spans="1:14" s="1" customFormat="1" ht="14.1" customHeight="1">
      <c r="A7" s="71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35.5</v>
      </c>
      <c r="I7" s="24">
        <f>SUM(J7)-2.25</f>
        <v>37.75</v>
      </c>
      <c r="J7" s="23">
        <v>40</v>
      </c>
      <c r="K7" s="21">
        <f>SUM(J7)+2</f>
        <v>42</v>
      </c>
      <c r="L7" s="21">
        <f>SUM(K7)+2</f>
        <v>44</v>
      </c>
      <c r="M7" s="21">
        <f>SUM(L7)+2</f>
        <v>46</v>
      </c>
      <c r="N7" s="22">
        <f>SUM(M7)+2</f>
        <v>48</v>
      </c>
    </row>
    <row r="8" spans="1:14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23"/>
      <c r="K8" s="21"/>
      <c r="L8" s="21"/>
      <c r="M8" s="21"/>
      <c r="N8" s="22"/>
    </row>
    <row r="9" spans="1:14" s="1" customFormat="1" ht="14.1" customHeight="1">
      <c r="A9" s="71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SUM(I9)-2.25</f>
        <v>35.5</v>
      </c>
      <c r="I9" s="24">
        <f>SUM(J9)-2.25</f>
        <v>37.75</v>
      </c>
      <c r="J9" s="23">
        <v>40</v>
      </c>
      <c r="K9" s="21">
        <f>SUM(J9)+2</f>
        <v>42</v>
      </c>
      <c r="L9" s="21">
        <f>SUM(K9)+2</f>
        <v>44</v>
      </c>
      <c r="M9" s="21">
        <f>SUM(L9)+2</f>
        <v>46</v>
      </c>
      <c r="N9" s="22">
        <f>SUM(M9)+2</f>
        <v>48</v>
      </c>
    </row>
    <row r="10" spans="1:14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23"/>
      <c r="K10" s="21"/>
      <c r="L10" s="21"/>
      <c r="M10" s="21"/>
      <c r="N10" s="22"/>
    </row>
    <row r="11" spans="1:14" s="1" customFormat="1" ht="14.1" customHeight="1">
      <c r="A11" s="71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SUM(I11)-0.8</f>
        <v>14.899999999999999</v>
      </c>
      <c r="I11" s="24">
        <f>SUM(J11)-0.8</f>
        <v>15.7</v>
      </c>
      <c r="J11" s="23">
        <v>16.5</v>
      </c>
      <c r="K11" s="21">
        <f>SUM(J11)+0.8</f>
        <v>17.3</v>
      </c>
      <c r="L11" s="21">
        <f>SUM(K11)+0.8</f>
        <v>18.100000000000001</v>
      </c>
      <c r="M11" s="153">
        <f>SUM(L11)+0.8</f>
        <v>18.900000000000002</v>
      </c>
      <c r="N11" s="22">
        <f>SUM(M11)+0.8</f>
        <v>19.700000000000003</v>
      </c>
    </row>
    <row r="12" spans="1:14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153"/>
      <c r="N12" s="22"/>
    </row>
    <row r="13" spans="1:14" s="1" customFormat="1" ht="14.1" customHeight="1">
      <c r="A13" s="71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13.4</v>
      </c>
      <c r="I13" s="24">
        <f>SUM(J13)-0.6</f>
        <v>14</v>
      </c>
      <c r="J13" s="23">
        <v>14.6</v>
      </c>
      <c r="K13" s="21">
        <f>SUM(J13)+0.6</f>
        <v>15.2</v>
      </c>
      <c r="L13" s="21">
        <f>SUM(K13)+0.6</f>
        <v>15.799999999999999</v>
      </c>
      <c r="M13" s="153">
        <f>SUM(L13)+0.6</f>
        <v>16.399999999999999</v>
      </c>
      <c r="N13" s="22">
        <f>SUM(M13)+0.6</f>
        <v>17</v>
      </c>
    </row>
    <row r="14" spans="1:14" s="1" customFormat="1" ht="14.1" customHeight="1">
      <c r="A14" s="38"/>
      <c r="B14" s="56" t="s">
        <v>29</v>
      </c>
      <c r="C14" s="56"/>
      <c r="D14" s="47" t="s">
        <v>52</v>
      </c>
      <c r="E14" s="48"/>
      <c r="F14" s="48"/>
      <c r="G14" s="49"/>
      <c r="H14" s="36"/>
      <c r="I14" s="36"/>
      <c r="J14" s="23"/>
      <c r="K14" s="21"/>
      <c r="L14" s="21"/>
      <c r="M14" s="153"/>
      <c r="N14" s="22"/>
    </row>
    <row r="15" spans="1:14" s="1" customFormat="1" ht="14.1" customHeight="1">
      <c r="A15" s="71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6.5</v>
      </c>
      <c r="I15" s="24">
        <f>SUM(J15)-0.3</f>
        <v>6.8</v>
      </c>
      <c r="J15" s="23">
        <v>7.1</v>
      </c>
      <c r="K15" s="21">
        <f>SUM(J15)+0.3</f>
        <v>7.3999999999999995</v>
      </c>
      <c r="L15" s="21">
        <f>SUM(K15)+0.3</f>
        <v>7.6999999999999993</v>
      </c>
      <c r="M15" s="153">
        <f>SUM(L15)+0.3</f>
        <v>7.9999999999999991</v>
      </c>
      <c r="N15" s="22">
        <f>SUM(M15)+0.3</f>
        <v>8.2999999999999989</v>
      </c>
    </row>
    <row r="16" spans="1:14" s="1" customFormat="1" ht="14.1" customHeight="1">
      <c r="A16" s="38"/>
      <c r="B16" s="56" t="s">
        <v>30</v>
      </c>
      <c r="C16" s="56"/>
      <c r="D16" s="47" t="s">
        <v>53</v>
      </c>
      <c r="E16" s="48"/>
      <c r="F16" s="48"/>
      <c r="G16" s="49"/>
      <c r="H16" s="36"/>
      <c r="I16" s="36"/>
      <c r="J16" s="23"/>
      <c r="K16" s="21"/>
      <c r="L16" s="21"/>
      <c r="M16" s="153"/>
      <c r="N16" s="22"/>
    </row>
    <row r="17" spans="1:26" s="1" customFormat="1" ht="14.1" customHeight="1">
      <c r="A17" s="71">
        <v>8</v>
      </c>
      <c r="B17" s="51" t="s">
        <v>85</v>
      </c>
      <c r="C17" s="52"/>
      <c r="D17" s="59" t="s">
        <v>717</v>
      </c>
      <c r="E17" s="60"/>
      <c r="F17" s="60"/>
      <c r="G17" s="61"/>
      <c r="H17" s="24">
        <f>SUM(I17)-1.6</f>
        <v>33.199999999999996</v>
      </c>
      <c r="I17" s="24">
        <f>SUM(J17)-1.6</f>
        <v>34.799999999999997</v>
      </c>
      <c r="J17" s="23">
        <v>36.4</v>
      </c>
      <c r="K17" s="21">
        <f>SUM(J17)+1.6</f>
        <v>38</v>
      </c>
      <c r="L17" s="21">
        <f>SUM(K17)+1.6</f>
        <v>39.6</v>
      </c>
      <c r="M17" s="153">
        <f>SUM(L17)+1.6</f>
        <v>41.2</v>
      </c>
      <c r="N17" s="22">
        <f>SUM(M17)+1.6</f>
        <v>42.800000000000004</v>
      </c>
    </row>
    <row r="18" spans="1:26" s="1" customFormat="1" ht="14.1" customHeight="1">
      <c r="A18" s="38"/>
      <c r="B18" s="56" t="s">
        <v>37</v>
      </c>
      <c r="C18" s="56"/>
      <c r="D18" s="47" t="s">
        <v>107</v>
      </c>
      <c r="E18" s="48"/>
      <c r="F18" s="48"/>
      <c r="G18" s="49"/>
      <c r="H18" s="36"/>
      <c r="I18" s="36"/>
      <c r="J18" s="23"/>
      <c r="K18" s="21"/>
      <c r="L18" s="21"/>
      <c r="M18" s="153"/>
      <c r="N18" s="22"/>
    </row>
    <row r="19" spans="1:26" s="1" customFormat="1" ht="14.1" customHeight="1">
      <c r="A19" s="71">
        <v>9</v>
      </c>
      <c r="B19" s="51" t="s">
        <v>87</v>
      </c>
      <c r="C19" s="52"/>
      <c r="D19" s="101" t="s">
        <v>88</v>
      </c>
      <c r="E19" s="101"/>
      <c r="F19" s="101"/>
      <c r="G19" s="101"/>
      <c r="H19" s="24">
        <f>SUM(I19)-0.1</f>
        <v>1.7999999999999998</v>
      </c>
      <c r="I19" s="24">
        <f>SUM(J19)-0.1</f>
        <v>1.9</v>
      </c>
      <c r="J19" s="23">
        <v>2</v>
      </c>
      <c r="K19" s="21">
        <f>SUM(J19)+0.1</f>
        <v>2.1</v>
      </c>
      <c r="L19" s="21">
        <f>SUM(K19)+0.1</f>
        <v>2.2000000000000002</v>
      </c>
      <c r="M19" s="153">
        <f>SUM(L19)+0.1</f>
        <v>2.3000000000000003</v>
      </c>
      <c r="N19" s="22">
        <f>SUM(M19)+0.1</f>
        <v>2.4000000000000004</v>
      </c>
    </row>
    <row r="20" spans="1:26" s="1" customFormat="1" ht="14.1" customHeight="1">
      <c r="A20" s="38"/>
      <c r="B20" s="56" t="s">
        <v>38</v>
      </c>
      <c r="C20" s="56"/>
      <c r="D20" s="47" t="s">
        <v>65</v>
      </c>
      <c r="E20" s="48"/>
      <c r="F20" s="48"/>
      <c r="G20" s="49"/>
      <c r="H20" s="36"/>
      <c r="I20" s="36"/>
      <c r="J20" s="23"/>
      <c r="K20" s="21"/>
      <c r="L20" s="21"/>
      <c r="M20" s="153"/>
      <c r="N20" s="22"/>
    </row>
    <row r="21" spans="1:26" s="1" customFormat="1" ht="14.1" customHeight="1">
      <c r="A21" s="71">
        <v>10</v>
      </c>
      <c r="B21" s="51" t="s">
        <v>89</v>
      </c>
      <c r="C21" s="52"/>
      <c r="D21" s="101" t="s">
        <v>11</v>
      </c>
      <c r="E21" s="101"/>
      <c r="F21" s="101"/>
      <c r="G21" s="101"/>
      <c r="H21" s="24">
        <f>SUM(I21)-0.2</f>
        <v>4.0999999999999996</v>
      </c>
      <c r="I21" s="24">
        <f>SUM(J21)-0.2</f>
        <v>4.3</v>
      </c>
      <c r="J21" s="23">
        <v>4.5</v>
      </c>
      <c r="K21" s="21">
        <f>SUM(J21)+0.2</f>
        <v>4.7</v>
      </c>
      <c r="L21" s="21">
        <f>SUM(K21)+0.2</f>
        <v>4.9000000000000004</v>
      </c>
      <c r="M21" s="153">
        <f>SUM(L21)+0.2</f>
        <v>5.1000000000000005</v>
      </c>
      <c r="N21" s="22">
        <f>SUM(M21)+0.2</f>
        <v>5.3000000000000007</v>
      </c>
    </row>
    <row r="22" spans="1:26" s="1" customFormat="1" ht="14.1" customHeight="1">
      <c r="A22" s="38"/>
      <c r="B22" s="56" t="s">
        <v>39</v>
      </c>
      <c r="C22" s="56"/>
      <c r="D22" s="47" t="s">
        <v>66</v>
      </c>
      <c r="E22" s="48"/>
      <c r="F22" s="48"/>
      <c r="G22" s="49"/>
      <c r="H22" s="36"/>
      <c r="I22" s="36"/>
      <c r="J22" s="23"/>
      <c r="K22" s="21"/>
      <c r="L22" s="21"/>
      <c r="M22" s="153"/>
      <c r="N22" s="22"/>
    </row>
    <row r="23" spans="1:26" s="1" customFormat="1" ht="14.1" customHeight="1">
      <c r="A23" s="71">
        <v>11</v>
      </c>
      <c r="B23" s="51" t="s">
        <v>90</v>
      </c>
      <c r="C23" s="52"/>
      <c r="D23" s="59" t="s">
        <v>12</v>
      </c>
      <c r="E23" s="60"/>
      <c r="F23" s="60"/>
      <c r="G23" s="61"/>
      <c r="H23" s="24">
        <f>SUM(I23)-0.2</f>
        <v>5.0999999999999996</v>
      </c>
      <c r="I23" s="24">
        <f>SUM(J23)-0.2</f>
        <v>5.3</v>
      </c>
      <c r="J23" s="33">
        <v>5.5</v>
      </c>
      <c r="K23" s="24">
        <f>SUM(J23)+0.2</f>
        <v>5.7</v>
      </c>
      <c r="L23" s="24">
        <f>SUM(K23)+0.2</f>
        <v>5.9</v>
      </c>
      <c r="M23" s="134">
        <f>SUM(L23)+0.2</f>
        <v>6.1000000000000005</v>
      </c>
      <c r="N23" s="26">
        <f>SUM(M23)+0.2</f>
        <v>6.3000000000000007</v>
      </c>
    </row>
    <row r="24" spans="1:26" s="1" customFormat="1" ht="14.1" customHeight="1">
      <c r="A24" s="38"/>
      <c r="B24" s="45" t="s">
        <v>40</v>
      </c>
      <c r="C24" s="46"/>
      <c r="D24" s="47" t="s">
        <v>67</v>
      </c>
      <c r="E24" s="48"/>
      <c r="F24" s="48"/>
      <c r="G24" s="49"/>
      <c r="H24" s="36"/>
      <c r="I24" s="36"/>
      <c r="J24" s="35"/>
      <c r="K24" s="36"/>
      <c r="L24" s="36"/>
      <c r="M24" s="62"/>
      <c r="N24" s="37"/>
    </row>
    <row r="25" spans="1:26" s="1" customFormat="1" ht="14.1" customHeight="1">
      <c r="A25" s="71">
        <v>12</v>
      </c>
      <c r="B25" s="51" t="s">
        <v>4</v>
      </c>
      <c r="C25" s="52"/>
      <c r="D25" s="57" t="s">
        <v>5</v>
      </c>
      <c r="E25" s="57"/>
      <c r="F25" s="57"/>
      <c r="G25" s="57"/>
      <c r="H25" s="24">
        <f>SUM(I25)-3.6</f>
        <v>29.799999999999997</v>
      </c>
      <c r="I25" s="24">
        <f>SUM(J25)-3.6</f>
        <v>33.4</v>
      </c>
      <c r="J25" s="23">
        <v>37</v>
      </c>
      <c r="K25" s="21">
        <f>SUM(J25)+3.7</f>
        <v>40.700000000000003</v>
      </c>
      <c r="L25" s="21">
        <f>SUM(K25)+3.7</f>
        <v>44.400000000000006</v>
      </c>
      <c r="M25" s="153">
        <f>SUM(L25)+3.7</f>
        <v>48.100000000000009</v>
      </c>
      <c r="N25" s="22">
        <f>SUM(M25)+3.7</f>
        <v>51.800000000000011</v>
      </c>
    </row>
    <row r="26" spans="1:26" s="1" customFormat="1" ht="14.1" customHeight="1">
      <c r="A26" s="38"/>
      <c r="B26" s="56" t="s">
        <v>31</v>
      </c>
      <c r="C26" s="56"/>
      <c r="D26" s="47" t="s">
        <v>54</v>
      </c>
      <c r="E26" s="48"/>
      <c r="F26" s="48"/>
      <c r="G26" s="49"/>
      <c r="H26" s="36"/>
      <c r="I26" s="36"/>
      <c r="J26" s="23"/>
      <c r="K26" s="21"/>
      <c r="L26" s="21"/>
      <c r="M26" s="153"/>
      <c r="N26" s="22"/>
    </row>
    <row r="27" spans="1:26" s="1" customFormat="1" ht="14.1" customHeight="1">
      <c r="A27" s="71">
        <v>13</v>
      </c>
      <c r="B27" s="51" t="s">
        <v>6</v>
      </c>
      <c r="C27" s="52"/>
      <c r="D27" s="59" t="s">
        <v>7</v>
      </c>
      <c r="E27" s="60"/>
      <c r="F27" s="60"/>
      <c r="G27" s="61"/>
      <c r="H27" s="24">
        <f>SUM(I27)-1.6</f>
        <v>29.799999999999997</v>
      </c>
      <c r="I27" s="24">
        <f>SUM(J27)-1.6</f>
        <v>31.4</v>
      </c>
      <c r="J27" s="23">
        <v>33</v>
      </c>
      <c r="K27" s="21">
        <f>SUM(J27)+1.6</f>
        <v>34.6</v>
      </c>
      <c r="L27" s="21">
        <f>SUM(K27)+1.6</f>
        <v>36.200000000000003</v>
      </c>
      <c r="M27" s="153">
        <f>SUM(L27)+1.6</f>
        <v>37.800000000000004</v>
      </c>
      <c r="N27" s="22">
        <f>SUM(M27)+1.6</f>
        <v>39.400000000000006</v>
      </c>
      <c r="O27"/>
      <c r="P27"/>
      <c r="Q27"/>
      <c r="R27"/>
      <c r="S27"/>
      <c r="T27"/>
      <c r="U27"/>
      <c r="V27"/>
      <c r="W27"/>
      <c r="X27"/>
      <c r="Y27"/>
      <c r="Z27"/>
    </row>
    <row r="28" spans="1:26" s="1" customFormat="1" ht="14.1" customHeight="1">
      <c r="A28" s="38"/>
      <c r="B28" s="56" t="s">
        <v>32</v>
      </c>
      <c r="C28" s="56"/>
      <c r="D28" s="47" t="s">
        <v>76</v>
      </c>
      <c r="E28" s="48"/>
      <c r="F28" s="48"/>
      <c r="G28" s="49"/>
      <c r="H28" s="36"/>
      <c r="I28" s="36"/>
      <c r="J28" s="23"/>
      <c r="K28" s="21"/>
      <c r="L28" s="21"/>
      <c r="M28" s="153"/>
      <c r="N28" s="22"/>
      <c r="O28"/>
      <c r="P28"/>
      <c r="Q28"/>
      <c r="R28"/>
      <c r="S28"/>
      <c r="T28"/>
      <c r="U28"/>
      <c r="V28"/>
      <c r="W28"/>
      <c r="X28"/>
      <c r="Y28"/>
      <c r="Z28"/>
    </row>
    <row r="29" spans="1:26" s="1" customFormat="1" ht="14.1" customHeight="1">
      <c r="A29" s="71">
        <v>14</v>
      </c>
      <c r="B29" s="51" t="s">
        <v>77</v>
      </c>
      <c r="C29" s="52"/>
      <c r="D29" s="57" t="s">
        <v>78</v>
      </c>
      <c r="E29" s="57"/>
      <c r="F29" s="57"/>
      <c r="G29" s="57"/>
      <c r="H29" s="24">
        <f>SUM(I29)-1</f>
        <v>18</v>
      </c>
      <c r="I29" s="24">
        <f>SUM(J29)-1</f>
        <v>19</v>
      </c>
      <c r="J29" s="23">
        <v>20</v>
      </c>
      <c r="K29" s="21">
        <f>SUM(J29)+1</f>
        <v>21</v>
      </c>
      <c r="L29" s="21">
        <f>SUM(K29)+1</f>
        <v>22</v>
      </c>
      <c r="M29" s="21">
        <f>SUM(L29)+1</f>
        <v>23</v>
      </c>
      <c r="N29" s="22">
        <f>SUM(M29)+1</f>
        <v>24</v>
      </c>
    </row>
    <row r="30" spans="1:26" s="1" customFormat="1" ht="14.1" customHeight="1">
      <c r="A30" s="38"/>
      <c r="B30" s="56" t="s">
        <v>33</v>
      </c>
      <c r="C30" s="56"/>
      <c r="D30" s="47" t="s">
        <v>79</v>
      </c>
      <c r="E30" s="48"/>
      <c r="F30" s="48"/>
      <c r="G30" s="49"/>
      <c r="H30" s="36"/>
      <c r="I30" s="36"/>
      <c r="J30" s="23"/>
      <c r="K30" s="21"/>
      <c r="L30" s="21"/>
      <c r="M30" s="21"/>
      <c r="N30" s="22"/>
    </row>
    <row r="31" spans="1:26" s="1" customFormat="1" ht="14.1" customHeight="1">
      <c r="A31" s="71">
        <v>15</v>
      </c>
      <c r="B31" s="51" t="s">
        <v>91</v>
      </c>
      <c r="C31" s="52"/>
      <c r="D31" s="59" t="s">
        <v>126</v>
      </c>
      <c r="E31" s="60"/>
      <c r="F31" s="60"/>
      <c r="G31" s="61"/>
      <c r="H31" s="24">
        <f>SUM(I31)-0.4</f>
        <v>7.3999999999999986</v>
      </c>
      <c r="I31" s="24">
        <f>SUM(J31)-0.4</f>
        <v>7.7999999999999989</v>
      </c>
      <c r="J31" s="33">
        <v>8.1999999999999993</v>
      </c>
      <c r="K31" s="24">
        <f>SUM(J31)+0.4</f>
        <v>8.6</v>
      </c>
      <c r="L31" s="24">
        <f>SUM(K31)+0.4</f>
        <v>9</v>
      </c>
      <c r="M31" s="24">
        <f>SUM(L31)+0.4</f>
        <v>9.4</v>
      </c>
      <c r="N31" s="26">
        <f>SUM(M31)+0.4</f>
        <v>9.8000000000000007</v>
      </c>
    </row>
    <row r="32" spans="1:26" s="1" customFormat="1" ht="14.1" customHeight="1">
      <c r="A32" s="38"/>
      <c r="B32" s="40" t="s">
        <v>125</v>
      </c>
      <c r="C32" s="41"/>
      <c r="D32" s="100" t="s">
        <v>92</v>
      </c>
      <c r="E32" s="101"/>
      <c r="F32" s="101"/>
      <c r="G32" s="102"/>
      <c r="H32" s="50"/>
      <c r="I32" s="50"/>
      <c r="J32" s="117"/>
      <c r="K32" s="50"/>
      <c r="L32" s="50"/>
      <c r="M32" s="50"/>
      <c r="N32" s="113"/>
    </row>
    <row r="33" spans="1:14" s="1" customFormat="1" ht="14.1" customHeight="1">
      <c r="A33" s="71">
        <v>16</v>
      </c>
      <c r="B33" s="51" t="s">
        <v>144</v>
      </c>
      <c r="C33" s="52"/>
      <c r="D33" s="59"/>
      <c r="E33" s="60"/>
      <c r="F33" s="60"/>
      <c r="G33" s="61"/>
      <c r="H33" s="24">
        <f>SUM(I33)-0.4</f>
        <v>7.6999999999999993</v>
      </c>
      <c r="I33" s="24">
        <f>SUM(J33)-0.4</f>
        <v>8.1</v>
      </c>
      <c r="J33" s="23">
        <v>8.5</v>
      </c>
      <c r="K33" s="21">
        <f>SUM(J33)+0.4</f>
        <v>8.9</v>
      </c>
      <c r="L33" s="21">
        <f>SUM(K33)+0.4</f>
        <v>9.3000000000000007</v>
      </c>
      <c r="M33" s="21">
        <f>SUM(L33)+0.4</f>
        <v>9.7000000000000011</v>
      </c>
      <c r="N33" s="22">
        <f>SUM(M33)+0.4</f>
        <v>10.100000000000001</v>
      </c>
    </row>
    <row r="34" spans="1:14" s="1" customFormat="1" ht="14.1" customHeight="1">
      <c r="A34" s="38"/>
      <c r="B34" s="62" t="s">
        <v>720</v>
      </c>
      <c r="C34" s="63"/>
      <c r="D34" s="64" t="s">
        <v>718</v>
      </c>
      <c r="E34" s="65"/>
      <c r="F34" s="65"/>
      <c r="G34" s="66"/>
      <c r="H34" s="36"/>
      <c r="I34" s="36"/>
      <c r="J34" s="23"/>
      <c r="K34" s="21"/>
      <c r="L34" s="21"/>
      <c r="M34" s="21"/>
      <c r="N34" s="22"/>
    </row>
    <row r="35" spans="1:14" s="1" customFormat="1" ht="14.1" customHeight="1">
      <c r="A35" s="71">
        <v>17</v>
      </c>
      <c r="B35" s="51" t="s">
        <v>142</v>
      </c>
      <c r="C35" s="52"/>
      <c r="D35" s="59"/>
      <c r="E35" s="60"/>
      <c r="F35" s="60"/>
      <c r="G35" s="61"/>
      <c r="H35" s="24">
        <f>SUM(I35)-0.4</f>
        <v>8.1999999999999993</v>
      </c>
      <c r="I35" s="24">
        <f>SUM(J35)-0.4</f>
        <v>8.6</v>
      </c>
      <c r="J35" s="33">
        <v>9</v>
      </c>
      <c r="K35" s="21">
        <f>SUM(J35)+0.4</f>
        <v>9.4</v>
      </c>
      <c r="L35" s="21">
        <f>SUM(K35)+0.4</f>
        <v>9.8000000000000007</v>
      </c>
      <c r="M35" s="21">
        <f>SUM(L35)+0.4</f>
        <v>10.200000000000001</v>
      </c>
      <c r="N35" s="22">
        <f>SUM(M35)+0.4</f>
        <v>10.600000000000001</v>
      </c>
    </row>
    <row r="36" spans="1:14" s="1" customFormat="1" ht="14.1" customHeight="1">
      <c r="A36" s="38"/>
      <c r="B36" s="62" t="s">
        <v>721</v>
      </c>
      <c r="C36" s="63"/>
      <c r="D36" s="64" t="s">
        <v>719</v>
      </c>
      <c r="E36" s="65"/>
      <c r="F36" s="65"/>
      <c r="G36" s="66"/>
      <c r="H36" s="36"/>
      <c r="I36" s="36"/>
      <c r="J36" s="35"/>
      <c r="K36" s="21"/>
      <c r="L36" s="21"/>
      <c r="M36" s="21"/>
      <c r="N36" s="22"/>
    </row>
    <row r="37" spans="1:14" s="1" customFormat="1" ht="14.1" customHeight="1">
      <c r="A37" s="71">
        <v>18</v>
      </c>
      <c r="B37" s="51" t="s">
        <v>724</v>
      </c>
      <c r="C37" s="52"/>
      <c r="D37" s="53" t="s">
        <v>723</v>
      </c>
      <c r="E37" s="54"/>
      <c r="F37" s="54"/>
      <c r="G37" s="55"/>
      <c r="H37" s="24">
        <f>SUM(I37)-0.2</f>
        <v>1.35</v>
      </c>
      <c r="I37" s="24">
        <f>SUM(J37)-0.2</f>
        <v>1.55</v>
      </c>
      <c r="J37" s="23">
        <v>1.75</v>
      </c>
      <c r="K37" s="21">
        <f>SUM(J37)+0.2</f>
        <v>1.95</v>
      </c>
      <c r="L37" s="21">
        <f t="shared" ref="L37:N37" si="0">SUM(K37)+0.2</f>
        <v>2.15</v>
      </c>
      <c r="M37" s="21">
        <f t="shared" si="0"/>
        <v>2.35</v>
      </c>
      <c r="N37" s="22">
        <f t="shared" si="0"/>
        <v>2.5500000000000003</v>
      </c>
    </row>
    <row r="38" spans="1:14" s="1" customFormat="1" ht="14.1" customHeight="1">
      <c r="A38" s="38"/>
      <c r="B38" s="40" t="s">
        <v>81</v>
      </c>
      <c r="C38" s="41"/>
      <c r="D38" s="100" t="s">
        <v>722</v>
      </c>
      <c r="E38" s="101"/>
      <c r="F38" s="101"/>
      <c r="G38" s="102"/>
      <c r="H38" s="50"/>
      <c r="I38" s="50"/>
      <c r="J38" s="33"/>
      <c r="K38" s="21"/>
      <c r="L38" s="21"/>
      <c r="M38" s="21"/>
      <c r="N38" s="22"/>
    </row>
    <row r="39" spans="1:14" s="1" customFormat="1" ht="14.1" customHeight="1">
      <c r="A39" s="71">
        <v>19</v>
      </c>
      <c r="B39" s="51" t="s">
        <v>399</v>
      </c>
      <c r="C39" s="52"/>
      <c r="D39" s="53"/>
      <c r="E39" s="54"/>
      <c r="F39" s="54"/>
      <c r="G39" s="55"/>
      <c r="H39" s="24">
        <f>SUM(I39)-4.5</f>
        <v>71</v>
      </c>
      <c r="I39" s="24">
        <f>SUM(J39)-4.5</f>
        <v>75.5</v>
      </c>
      <c r="J39" s="23">
        <v>80</v>
      </c>
      <c r="K39" s="21">
        <f>SUM(J39)+4</f>
        <v>84</v>
      </c>
      <c r="L39" s="21">
        <f t="shared" ref="L39:N39" si="1">SUM(K39)+4</f>
        <v>88</v>
      </c>
      <c r="M39" s="21">
        <f t="shared" si="1"/>
        <v>92</v>
      </c>
      <c r="N39" s="22">
        <f t="shared" si="1"/>
        <v>96</v>
      </c>
    </row>
    <row r="40" spans="1:14" s="1" customFormat="1" ht="14.1" customHeight="1">
      <c r="A40" s="38"/>
      <c r="B40" s="45" t="s">
        <v>400</v>
      </c>
      <c r="C40" s="46"/>
      <c r="D40" s="47"/>
      <c r="E40" s="48"/>
      <c r="F40" s="48"/>
      <c r="G40" s="49"/>
      <c r="H40" s="36"/>
      <c r="I40" s="36"/>
      <c r="J40" s="23"/>
      <c r="K40" s="21"/>
      <c r="L40" s="21"/>
      <c r="M40" s="21"/>
      <c r="N40" s="22"/>
    </row>
    <row r="41" spans="1:14" s="1" customFormat="1" ht="14.1" customHeight="1">
      <c r="A41" s="71">
        <v>20</v>
      </c>
      <c r="B41" s="51"/>
      <c r="C41" s="52"/>
      <c r="D41" s="53"/>
      <c r="E41" s="54"/>
      <c r="F41" s="54"/>
      <c r="G41" s="55"/>
      <c r="H41" s="24"/>
      <c r="I41" s="24"/>
      <c r="J41" s="23"/>
      <c r="K41" s="21"/>
      <c r="L41" s="21"/>
      <c r="M41" s="21"/>
      <c r="N41" s="22"/>
    </row>
    <row r="42" spans="1:14" s="1" customFormat="1" ht="14.1" customHeight="1" thickBot="1">
      <c r="A42" s="39"/>
      <c r="B42" s="28"/>
      <c r="C42" s="29"/>
      <c r="D42" s="30"/>
      <c r="E42" s="31"/>
      <c r="F42" s="31"/>
      <c r="G42" s="32"/>
      <c r="H42" s="25"/>
      <c r="I42" s="25"/>
      <c r="J42" s="218"/>
      <c r="K42" s="216"/>
      <c r="L42" s="216"/>
      <c r="M42" s="216"/>
      <c r="N42" s="220"/>
    </row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243"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21:J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M25:M26"/>
    <mergeCell ref="B26:C26"/>
    <mergeCell ref="D26:G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5:J26"/>
    <mergeCell ref="N13:N14"/>
    <mergeCell ref="N15:N16"/>
    <mergeCell ref="N17:N18"/>
    <mergeCell ref="N19:N20"/>
    <mergeCell ref="N21:N22"/>
    <mergeCell ref="N23:N24"/>
    <mergeCell ref="A1:N1"/>
    <mergeCell ref="N3:N4"/>
    <mergeCell ref="N5:N6"/>
    <mergeCell ref="N7:N8"/>
    <mergeCell ref="N9:N10"/>
    <mergeCell ref="N11:N1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A23:A24"/>
    <mergeCell ref="A31:A32"/>
    <mergeCell ref="B31:C31"/>
    <mergeCell ref="D31:G31"/>
    <mergeCell ref="H31:H32"/>
    <mergeCell ref="I31:I32"/>
    <mergeCell ref="J31:J32"/>
    <mergeCell ref="N25:N26"/>
    <mergeCell ref="N27:N28"/>
    <mergeCell ref="A29:A30"/>
    <mergeCell ref="B29:C29"/>
    <mergeCell ref="D29:G29"/>
    <mergeCell ref="H29:H30"/>
    <mergeCell ref="I29:I30"/>
    <mergeCell ref="J29:J30"/>
    <mergeCell ref="K29:K30"/>
    <mergeCell ref="L29:L30"/>
    <mergeCell ref="J27:J28"/>
    <mergeCell ref="K27:K28"/>
    <mergeCell ref="L27:L28"/>
    <mergeCell ref="M27:M28"/>
    <mergeCell ref="B28:C28"/>
    <mergeCell ref="D28:G28"/>
    <mergeCell ref="K25:K26"/>
    <mergeCell ref="L25:L26"/>
    <mergeCell ref="K31:K32"/>
    <mergeCell ref="L31:L32"/>
    <mergeCell ref="M31:M32"/>
    <mergeCell ref="N31:N32"/>
    <mergeCell ref="B32:C32"/>
    <mergeCell ref="D32:G32"/>
    <mergeCell ref="M29:M30"/>
    <mergeCell ref="N29:N30"/>
    <mergeCell ref="B30:C30"/>
    <mergeCell ref="D30:G30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0F4D2-3BA4-417F-844A-ADD19AA27BB0}">
  <sheetPr>
    <tabColor rgb="FF00B050"/>
    <pageSetUpPr fitToPage="1"/>
  </sheetPr>
  <dimension ref="A1:M51"/>
  <sheetViews>
    <sheetView zoomScale="110" zoomScaleNormal="110" workbookViewId="0">
      <selection activeCell="D24" sqref="D24:G2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67" t="s">
        <v>639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24">
        <f>SUM(I3)-3.5</f>
        <v>35</v>
      </c>
      <c r="I3" s="24">
        <f>SUM(J3)-3.5</f>
        <v>38.5</v>
      </c>
      <c r="J3" s="75">
        <v>42</v>
      </c>
      <c r="K3" s="76">
        <f>SUM(J3)+3</f>
        <v>45</v>
      </c>
      <c r="L3" s="76">
        <f t="shared" ref="L3:M3" si="0">SUM(K3)+3</f>
        <v>48</v>
      </c>
      <c r="M3" s="77">
        <f t="shared" si="0"/>
        <v>51</v>
      </c>
    </row>
    <row r="4" spans="1:13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24"/>
      <c r="L4" s="24"/>
      <c r="M4" s="26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SUM(I5)-1.8</f>
        <v>22.4</v>
      </c>
      <c r="I5" s="24">
        <f>SUM(J5)-1.8</f>
        <v>24.2</v>
      </c>
      <c r="J5" s="33">
        <v>26</v>
      </c>
      <c r="K5" s="24">
        <f>SUM(J5)+1.6</f>
        <v>27.6</v>
      </c>
      <c r="L5" s="24">
        <f t="shared" ref="L5:M5" si="1">SUM(K5)+1.6</f>
        <v>29.200000000000003</v>
      </c>
      <c r="M5" s="26">
        <f t="shared" si="1"/>
        <v>30.800000000000004</v>
      </c>
    </row>
    <row r="6" spans="1:13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37"/>
    </row>
    <row r="7" spans="1:13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28.5</v>
      </c>
      <c r="I7" s="24">
        <f>SUM(J7)-2.25</f>
        <v>30.75</v>
      </c>
      <c r="J7" s="33">
        <v>33</v>
      </c>
      <c r="K7" s="24">
        <f>SUM(J7)+2</f>
        <v>35</v>
      </c>
      <c r="L7" s="24">
        <f>SUM(K7)+2</f>
        <v>37</v>
      </c>
      <c r="M7" s="26">
        <f>SUM(L7)+2</f>
        <v>39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37"/>
    </row>
    <row r="9" spans="1:13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SUM(I9)-2.25</f>
        <v>28.5</v>
      </c>
      <c r="I9" s="24">
        <f>SUM(J9)-2.25</f>
        <v>30.75</v>
      </c>
      <c r="J9" s="33">
        <v>33</v>
      </c>
      <c r="K9" s="24">
        <f>SUM(J9)+2</f>
        <v>35</v>
      </c>
      <c r="L9" s="24">
        <f t="shared" ref="L9:M9" si="2">SUM(K9)+2</f>
        <v>37</v>
      </c>
      <c r="M9" s="26">
        <f t="shared" si="2"/>
        <v>39</v>
      </c>
    </row>
    <row r="10" spans="1:13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7"/>
    </row>
    <row r="11" spans="1:13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SUM(I11)-0.9</f>
        <v>12.5</v>
      </c>
      <c r="I11" s="24">
        <f>SUM(J11)-0.9</f>
        <v>13.4</v>
      </c>
      <c r="J11" s="23">
        <v>14.3</v>
      </c>
      <c r="K11" s="21">
        <f>SUM(J11)+0.9</f>
        <v>15.200000000000001</v>
      </c>
      <c r="L11" s="21">
        <f t="shared" ref="L11:M11" si="3">SUM(K11)+0.9</f>
        <v>16.100000000000001</v>
      </c>
      <c r="M11" s="22">
        <f t="shared" si="3"/>
        <v>17</v>
      </c>
    </row>
    <row r="12" spans="1:13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2"/>
    </row>
    <row r="13" spans="1:13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10.3</v>
      </c>
      <c r="I13" s="24">
        <f>SUM(J13)-0.6</f>
        <v>10.9</v>
      </c>
      <c r="J13" s="23">
        <v>11.5</v>
      </c>
      <c r="K13" s="21">
        <f>SUM(J13)+0.6</f>
        <v>12.1</v>
      </c>
      <c r="L13" s="21">
        <f t="shared" ref="L13:M13" si="4">SUM(K13)+0.6</f>
        <v>12.7</v>
      </c>
      <c r="M13" s="22">
        <f t="shared" si="4"/>
        <v>13.299999999999999</v>
      </c>
    </row>
    <row r="14" spans="1:13" s="1" customFormat="1" ht="14.1" customHeight="1">
      <c r="A14" s="38"/>
      <c r="B14" s="56" t="s">
        <v>29</v>
      </c>
      <c r="C14" s="56"/>
      <c r="D14" s="47" t="s">
        <v>154</v>
      </c>
      <c r="E14" s="48"/>
      <c r="F14" s="48"/>
      <c r="G14" s="49"/>
      <c r="H14" s="36"/>
      <c r="I14" s="36"/>
      <c r="J14" s="23"/>
      <c r="K14" s="21"/>
      <c r="L14" s="21"/>
      <c r="M14" s="22"/>
    </row>
    <row r="15" spans="1:13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5.4</v>
      </c>
      <c r="I15" s="24">
        <f>SUM(J15)-0.3</f>
        <v>5.7</v>
      </c>
      <c r="J15" s="23">
        <v>6</v>
      </c>
      <c r="K15" s="21">
        <f>SUM(J15)+0.3</f>
        <v>6.3</v>
      </c>
      <c r="L15" s="21">
        <f>SUM(K15)+0.3</f>
        <v>6.6</v>
      </c>
      <c r="M15" s="22">
        <f>SUM(L15)+0.3</f>
        <v>6.8999999999999995</v>
      </c>
    </row>
    <row r="16" spans="1:13" s="1" customFormat="1" ht="14.1" customHeight="1">
      <c r="A16" s="38"/>
      <c r="B16" s="56" t="s">
        <v>30</v>
      </c>
      <c r="C16" s="56"/>
      <c r="D16" s="47" t="s">
        <v>155</v>
      </c>
      <c r="E16" s="48"/>
      <c r="F16" s="48"/>
      <c r="G16" s="49"/>
      <c r="H16" s="36"/>
      <c r="I16" s="36"/>
      <c r="J16" s="23"/>
      <c r="K16" s="21"/>
      <c r="L16" s="21"/>
      <c r="M16" s="22"/>
    </row>
    <row r="17" spans="1:13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32.799999999999997</v>
      </c>
      <c r="I17" s="24">
        <f>SUM(J17)-1.6</f>
        <v>34.4</v>
      </c>
      <c r="J17" s="23">
        <v>36</v>
      </c>
      <c r="K17" s="21">
        <f>SUM(J17)+1.6</f>
        <v>37.6</v>
      </c>
      <c r="L17" s="21">
        <f>SUM(K17)+1.6</f>
        <v>39.200000000000003</v>
      </c>
      <c r="M17" s="22">
        <f>SUM(L17)+1.6</f>
        <v>40.800000000000004</v>
      </c>
    </row>
    <row r="18" spans="1:13" s="1" customFormat="1" ht="14.1" customHeight="1">
      <c r="A18" s="38"/>
      <c r="B18" s="56" t="s">
        <v>37</v>
      </c>
      <c r="C18" s="56"/>
      <c r="D18" s="47" t="s">
        <v>156</v>
      </c>
      <c r="E18" s="48"/>
      <c r="F18" s="48"/>
      <c r="G18" s="49"/>
      <c r="H18" s="36"/>
      <c r="I18" s="36"/>
      <c r="J18" s="23"/>
      <c r="K18" s="21"/>
      <c r="L18" s="21"/>
      <c r="M18" s="22"/>
    </row>
    <row r="19" spans="1:13" s="1" customFormat="1" ht="14.1" customHeight="1">
      <c r="A19" s="38">
        <v>9</v>
      </c>
      <c r="B19" s="58" t="s">
        <v>4</v>
      </c>
      <c r="C19" s="58"/>
      <c r="D19" s="57" t="s">
        <v>5</v>
      </c>
      <c r="E19" s="57"/>
      <c r="F19" s="57"/>
      <c r="G19" s="57"/>
      <c r="H19" s="24">
        <f>SUM(I19)-3.6</f>
        <v>32.799999999999997</v>
      </c>
      <c r="I19" s="24">
        <f>SUM(J19)-3.6</f>
        <v>36.4</v>
      </c>
      <c r="J19" s="23">
        <v>40</v>
      </c>
      <c r="K19" s="21">
        <f>SUM(J19)+3.7</f>
        <v>43.7</v>
      </c>
      <c r="L19" s="21">
        <f t="shared" ref="L19:M19" si="5">SUM(K19)+3.7</f>
        <v>47.400000000000006</v>
      </c>
      <c r="M19" s="22">
        <f t="shared" si="5"/>
        <v>51.100000000000009</v>
      </c>
    </row>
    <row r="20" spans="1:13" s="1" customFormat="1" ht="14.1" customHeight="1">
      <c r="A20" s="38"/>
      <c r="B20" s="56" t="s">
        <v>31</v>
      </c>
      <c r="C20" s="56"/>
      <c r="D20" s="47" t="s">
        <v>54</v>
      </c>
      <c r="E20" s="48"/>
      <c r="F20" s="48"/>
      <c r="G20" s="49"/>
      <c r="H20" s="36"/>
      <c r="I20" s="36"/>
      <c r="J20" s="23"/>
      <c r="K20" s="21"/>
      <c r="L20" s="21"/>
      <c r="M20" s="22"/>
    </row>
    <row r="21" spans="1:13" s="1" customFormat="1" ht="14.1" customHeight="1">
      <c r="A21" s="38">
        <v>10</v>
      </c>
      <c r="B21" s="58" t="s">
        <v>6</v>
      </c>
      <c r="C21" s="58"/>
      <c r="D21" s="59" t="s">
        <v>7</v>
      </c>
      <c r="E21" s="60"/>
      <c r="F21" s="60"/>
      <c r="G21" s="61"/>
      <c r="H21" s="24">
        <f>SUM(I21)-1.5</f>
        <v>21</v>
      </c>
      <c r="I21" s="24">
        <f>SUM(J21)-1.5</f>
        <v>22.5</v>
      </c>
      <c r="J21" s="23">
        <v>24</v>
      </c>
      <c r="K21" s="21">
        <f>SUM(J21)+1.5</f>
        <v>25.5</v>
      </c>
      <c r="L21" s="21">
        <f t="shared" ref="L21:M21" si="6">SUM(K21)+1.5</f>
        <v>27</v>
      </c>
      <c r="M21" s="22">
        <f t="shared" si="6"/>
        <v>28.5</v>
      </c>
    </row>
    <row r="22" spans="1:13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9"/>
      <c r="H22" s="36"/>
      <c r="I22" s="36"/>
      <c r="J22" s="23"/>
      <c r="K22" s="21"/>
      <c r="L22" s="21"/>
      <c r="M22" s="22"/>
    </row>
    <row r="23" spans="1:13" s="1" customFormat="1" ht="14.1" customHeight="1">
      <c r="A23" s="38">
        <v>11</v>
      </c>
      <c r="B23" s="51" t="s">
        <v>77</v>
      </c>
      <c r="C23" s="52"/>
      <c r="D23" s="57" t="s">
        <v>78</v>
      </c>
      <c r="E23" s="57"/>
      <c r="F23" s="57"/>
      <c r="G23" s="57"/>
      <c r="H23" s="24">
        <f>SUM(I23)-0.7</f>
        <v>14.600000000000001</v>
      </c>
      <c r="I23" s="24">
        <f>SUM(J23)-0.7</f>
        <v>15.3</v>
      </c>
      <c r="J23" s="23">
        <v>16</v>
      </c>
      <c r="K23" s="21">
        <f>SUM(J23)+0.7</f>
        <v>16.7</v>
      </c>
      <c r="L23" s="21">
        <f t="shared" ref="L23:M23" si="7">SUM(K23)+0.7</f>
        <v>17.399999999999999</v>
      </c>
      <c r="M23" s="22">
        <f t="shared" si="7"/>
        <v>18.099999999999998</v>
      </c>
    </row>
    <row r="24" spans="1:13" s="1" customFormat="1" ht="14.1" customHeight="1">
      <c r="A24" s="38"/>
      <c r="B24" s="56" t="s">
        <v>33</v>
      </c>
      <c r="C24" s="56"/>
      <c r="D24" s="47" t="s">
        <v>79</v>
      </c>
      <c r="E24" s="48"/>
      <c r="F24" s="48"/>
      <c r="G24" s="49"/>
      <c r="H24" s="36"/>
      <c r="I24" s="36"/>
      <c r="J24" s="23"/>
      <c r="K24" s="21"/>
      <c r="L24" s="21"/>
      <c r="M24" s="22"/>
    </row>
    <row r="25" spans="1:13" s="1" customFormat="1" ht="14.1" customHeight="1">
      <c r="A25" s="38">
        <v>12</v>
      </c>
      <c r="B25" s="51" t="s">
        <v>176</v>
      </c>
      <c r="C25" s="52"/>
      <c r="D25" s="53"/>
      <c r="E25" s="54"/>
      <c r="F25" s="54"/>
      <c r="G25" s="55"/>
      <c r="H25" s="24">
        <f>SUM(I25)-0.1</f>
        <v>2.0999999999999996</v>
      </c>
      <c r="I25" s="24">
        <f>SUM(J25)-0.1</f>
        <v>2.1999999999999997</v>
      </c>
      <c r="J25" s="23">
        <v>2.2999999999999998</v>
      </c>
      <c r="K25" s="21">
        <f>SUM(J25)+0.1</f>
        <v>2.4</v>
      </c>
      <c r="L25" s="21">
        <f>SUM(K25)+0.1</f>
        <v>2.5</v>
      </c>
      <c r="M25" s="22">
        <f>SUM(L25)+0.1</f>
        <v>2.6</v>
      </c>
    </row>
    <row r="26" spans="1:13" s="1" customFormat="1" ht="14.1" customHeight="1">
      <c r="A26" s="38"/>
      <c r="B26" s="45" t="s">
        <v>175</v>
      </c>
      <c r="C26" s="46"/>
      <c r="D26" s="47"/>
      <c r="E26" s="48"/>
      <c r="F26" s="48"/>
      <c r="G26" s="49"/>
      <c r="H26" s="36"/>
      <c r="I26" s="36"/>
      <c r="J26" s="23"/>
      <c r="K26" s="21"/>
      <c r="L26" s="21"/>
      <c r="M26" s="22"/>
    </row>
    <row r="27" spans="1:13" s="1" customFormat="1" ht="14.1" customHeight="1">
      <c r="A27" s="38">
        <v>13</v>
      </c>
      <c r="B27" s="40"/>
      <c r="C27" s="41"/>
      <c r="D27" s="42"/>
      <c r="E27" s="43"/>
      <c r="F27" s="43"/>
      <c r="G27" s="44"/>
      <c r="H27" s="50"/>
      <c r="I27" s="50"/>
      <c r="J27" s="35"/>
      <c r="K27" s="36"/>
      <c r="L27" s="36"/>
      <c r="M27" s="37"/>
    </row>
    <row r="28" spans="1:13" s="1" customFormat="1" ht="14.1" customHeight="1">
      <c r="A28" s="38"/>
      <c r="B28" s="45"/>
      <c r="C28" s="46"/>
      <c r="D28" s="47"/>
      <c r="E28" s="48"/>
      <c r="F28" s="48"/>
      <c r="G28" s="49"/>
      <c r="H28" s="36"/>
      <c r="I28" s="36"/>
      <c r="J28" s="23"/>
      <c r="K28" s="21"/>
      <c r="L28" s="21"/>
      <c r="M28" s="22"/>
    </row>
    <row r="29" spans="1:13" s="1" customFormat="1" ht="14.1" customHeight="1">
      <c r="A29" s="38">
        <v>14</v>
      </c>
      <c r="B29" s="40"/>
      <c r="C29" s="41"/>
      <c r="D29" s="42"/>
      <c r="E29" s="43"/>
      <c r="F29" s="43"/>
      <c r="G29" s="44"/>
      <c r="H29" s="24"/>
      <c r="I29" s="24"/>
      <c r="J29" s="33"/>
      <c r="K29" s="24"/>
      <c r="L29" s="24"/>
      <c r="M29" s="26"/>
    </row>
    <row r="30" spans="1:13" s="1" customFormat="1" ht="14.1" customHeight="1" thickBot="1">
      <c r="A30" s="39"/>
      <c r="B30" s="28"/>
      <c r="C30" s="29"/>
      <c r="D30" s="30"/>
      <c r="E30" s="31"/>
      <c r="F30" s="31"/>
      <c r="G30" s="32"/>
      <c r="H30" s="25"/>
      <c r="I30" s="25"/>
      <c r="J30" s="34"/>
      <c r="K30" s="25"/>
      <c r="L30" s="25"/>
      <c r="M30" s="27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7"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3:K4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A1:M1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3:J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DE64E-91BF-4DF7-9CD4-A73D278C14FB}">
  <sheetPr>
    <tabColor rgb="FF00B050"/>
    <pageSetUpPr fitToPage="1"/>
  </sheetPr>
  <dimension ref="A1:N51"/>
  <sheetViews>
    <sheetView zoomScale="110" zoomScaleNormal="110" workbookViewId="0">
      <selection activeCell="P17" sqref="P17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7" t="s">
        <v>698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9"/>
    </row>
    <row r="2" spans="1:14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16" t="s">
        <v>170</v>
      </c>
      <c r="N2" s="9" t="s">
        <v>561</v>
      </c>
    </row>
    <row r="3" spans="1:14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24">
        <f>SUM(I3)-3.5</f>
        <v>40</v>
      </c>
      <c r="I3" s="24">
        <f>SUM(J3)-3.5</f>
        <v>43.5</v>
      </c>
      <c r="J3" s="75">
        <v>47</v>
      </c>
      <c r="K3" s="76">
        <f>SUM(J3)+3</f>
        <v>50</v>
      </c>
      <c r="L3" s="76">
        <f t="shared" ref="L3:N3" si="0">SUM(K3)+3</f>
        <v>53</v>
      </c>
      <c r="M3" s="163">
        <f t="shared" si="0"/>
        <v>56</v>
      </c>
      <c r="N3" s="77">
        <f t="shared" si="0"/>
        <v>59</v>
      </c>
    </row>
    <row r="4" spans="1:14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24"/>
      <c r="L4" s="24"/>
      <c r="M4" s="134"/>
      <c r="N4" s="26"/>
    </row>
    <row r="5" spans="1:14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SUM(I5)-1.8</f>
        <v>31.600000000000005</v>
      </c>
      <c r="I5" s="24">
        <f>SUM(J5)-1.8</f>
        <v>33.400000000000006</v>
      </c>
      <c r="J5" s="33">
        <v>35.200000000000003</v>
      </c>
      <c r="K5" s="24">
        <f>SUM(J5)+1.6</f>
        <v>36.800000000000004</v>
      </c>
      <c r="L5" s="24">
        <f t="shared" ref="L5:N5" si="1">SUM(K5)+1.6</f>
        <v>38.400000000000006</v>
      </c>
      <c r="M5" s="134">
        <f t="shared" si="1"/>
        <v>40.000000000000007</v>
      </c>
      <c r="N5" s="26">
        <f t="shared" si="1"/>
        <v>41.600000000000009</v>
      </c>
    </row>
    <row r="6" spans="1:14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62"/>
      <c r="N6" s="37"/>
    </row>
    <row r="7" spans="1:14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40.5</v>
      </c>
      <c r="I7" s="24">
        <f>SUM(J7)-2.25</f>
        <v>42.75</v>
      </c>
      <c r="J7" s="33">
        <v>45</v>
      </c>
      <c r="K7" s="24">
        <f>SUM(J7)+2</f>
        <v>47</v>
      </c>
      <c r="L7" s="24">
        <f>SUM(K7)+2</f>
        <v>49</v>
      </c>
      <c r="M7" s="134">
        <f>SUM(L7)+2</f>
        <v>51</v>
      </c>
      <c r="N7" s="26">
        <f>SUM(M7)+2</f>
        <v>53</v>
      </c>
    </row>
    <row r="8" spans="1:14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62"/>
      <c r="N8" s="37"/>
    </row>
    <row r="9" spans="1:14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SUM(I9)-1.8</f>
        <v>31.400000000000002</v>
      </c>
      <c r="I9" s="24">
        <f>SUM(J9)-1.8</f>
        <v>33.200000000000003</v>
      </c>
      <c r="J9" s="33">
        <v>35</v>
      </c>
      <c r="K9" s="24">
        <f>SUM(J9)+1.6</f>
        <v>36.6</v>
      </c>
      <c r="L9" s="24">
        <f t="shared" ref="L9:N9" si="2">SUM(K9)+1.6</f>
        <v>38.200000000000003</v>
      </c>
      <c r="M9" s="24">
        <f t="shared" si="2"/>
        <v>39.800000000000004</v>
      </c>
      <c r="N9" s="26">
        <f t="shared" si="2"/>
        <v>41.400000000000006</v>
      </c>
    </row>
    <row r="10" spans="1:14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6"/>
      <c r="N10" s="37"/>
    </row>
    <row r="11" spans="1:14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SUM(I11)-0.8</f>
        <v>15.399999999999999</v>
      </c>
      <c r="I11" s="24">
        <f>SUM(J11)-0.8</f>
        <v>16.2</v>
      </c>
      <c r="J11" s="23">
        <v>17</v>
      </c>
      <c r="K11" s="21">
        <f>SUM(J11)+0.8</f>
        <v>17.8</v>
      </c>
      <c r="L11" s="21">
        <f t="shared" ref="L11:N11" si="3">SUM(K11)+0.9</f>
        <v>18.7</v>
      </c>
      <c r="M11" s="153">
        <f>SUM(L11)+0.9</f>
        <v>19.599999999999998</v>
      </c>
      <c r="N11" s="22">
        <f t="shared" si="3"/>
        <v>20.499999999999996</v>
      </c>
    </row>
    <row r="12" spans="1:14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153"/>
      <c r="N12" s="22"/>
    </row>
    <row r="13" spans="1:14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13.8</v>
      </c>
      <c r="I13" s="24">
        <f>SUM(J13)-0.6</f>
        <v>14.4</v>
      </c>
      <c r="J13" s="23">
        <v>15</v>
      </c>
      <c r="K13" s="21">
        <f>SUM(J13)+0.6</f>
        <v>15.6</v>
      </c>
      <c r="L13" s="21">
        <f t="shared" ref="L13:N13" si="4">SUM(K13)+0.6</f>
        <v>16.2</v>
      </c>
      <c r="M13" s="153">
        <f t="shared" si="4"/>
        <v>16.8</v>
      </c>
      <c r="N13" s="22">
        <f t="shared" si="4"/>
        <v>17.400000000000002</v>
      </c>
    </row>
    <row r="14" spans="1:14" s="1" customFormat="1" ht="14.1" customHeight="1">
      <c r="A14" s="38"/>
      <c r="B14" s="56" t="s">
        <v>29</v>
      </c>
      <c r="C14" s="56"/>
      <c r="D14" s="47" t="s">
        <v>154</v>
      </c>
      <c r="E14" s="48"/>
      <c r="F14" s="48"/>
      <c r="G14" s="49"/>
      <c r="H14" s="36"/>
      <c r="I14" s="36"/>
      <c r="J14" s="23"/>
      <c r="K14" s="21"/>
      <c r="L14" s="21"/>
      <c r="M14" s="153"/>
      <c r="N14" s="22"/>
    </row>
    <row r="15" spans="1:14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6.4</v>
      </c>
      <c r="I15" s="24">
        <f>SUM(J15)-0.3</f>
        <v>6.7</v>
      </c>
      <c r="J15" s="23">
        <v>7</v>
      </c>
      <c r="K15" s="21">
        <f>SUM(J15)+0.3</f>
        <v>7.3</v>
      </c>
      <c r="L15" s="21">
        <f>SUM(K15)+0.3</f>
        <v>7.6</v>
      </c>
      <c r="M15" s="153">
        <f>SUM(L15)+0.3</f>
        <v>7.8999999999999995</v>
      </c>
      <c r="N15" s="22">
        <f>SUM(M15)+0.3</f>
        <v>8.1999999999999993</v>
      </c>
    </row>
    <row r="16" spans="1:14" s="1" customFormat="1" ht="14.1" customHeight="1">
      <c r="A16" s="38"/>
      <c r="B16" s="56" t="s">
        <v>30</v>
      </c>
      <c r="C16" s="56"/>
      <c r="D16" s="47" t="s">
        <v>155</v>
      </c>
      <c r="E16" s="48"/>
      <c r="F16" s="48"/>
      <c r="G16" s="49"/>
      <c r="H16" s="36"/>
      <c r="I16" s="36"/>
      <c r="J16" s="23"/>
      <c r="K16" s="21"/>
      <c r="L16" s="21"/>
      <c r="M16" s="153"/>
      <c r="N16" s="22"/>
    </row>
    <row r="17" spans="1:14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38.799999999999997</v>
      </c>
      <c r="I17" s="24">
        <f>SUM(J17)-1.6</f>
        <v>40.4</v>
      </c>
      <c r="J17" s="23">
        <v>42</v>
      </c>
      <c r="K17" s="21">
        <f>SUM(J17)+1.6</f>
        <v>43.6</v>
      </c>
      <c r="L17" s="24">
        <f>SUM(K17)+1.6</f>
        <v>45.2</v>
      </c>
      <c r="M17" s="24">
        <f>SUM(L17)+1.6</f>
        <v>46.800000000000004</v>
      </c>
      <c r="N17" s="26">
        <f>SUM(M17)+1.6</f>
        <v>48.400000000000006</v>
      </c>
    </row>
    <row r="18" spans="1:14" s="1" customFormat="1" ht="14.1" customHeight="1">
      <c r="A18" s="38"/>
      <c r="B18" s="56" t="s">
        <v>37</v>
      </c>
      <c r="C18" s="56"/>
      <c r="D18" s="47" t="s">
        <v>156</v>
      </c>
      <c r="E18" s="48"/>
      <c r="F18" s="48"/>
      <c r="G18" s="49"/>
      <c r="H18" s="36"/>
      <c r="I18" s="36"/>
      <c r="J18" s="23"/>
      <c r="K18" s="21"/>
      <c r="L18" s="36"/>
      <c r="M18" s="36"/>
      <c r="N18" s="37"/>
    </row>
    <row r="19" spans="1:14" s="1" customFormat="1" ht="14.1" customHeight="1">
      <c r="A19" s="38">
        <v>9</v>
      </c>
      <c r="B19" s="58" t="s">
        <v>4</v>
      </c>
      <c r="C19" s="58"/>
      <c r="D19" s="57" t="s">
        <v>5</v>
      </c>
      <c r="E19" s="57"/>
      <c r="F19" s="57"/>
      <c r="G19" s="57"/>
      <c r="H19" s="24">
        <f>SUM(I19)-3.6</f>
        <v>29.299999999999997</v>
      </c>
      <c r="I19" s="24">
        <f>SUM(J19)-3.6</f>
        <v>32.9</v>
      </c>
      <c r="J19" s="23">
        <v>36.5</v>
      </c>
      <c r="K19" s="21">
        <f>SUM(J19)+3.7</f>
        <v>40.200000000000003</v>
      </c>
      <c r="L19" s="21">
        <f t="shared" ref="L19:N19" si="5">SUM(K19)+3.7</f>
        <v>43.900000000000006</v>
      </c>
      <c r="M19" s="153">
        <f t="shared" si="5"/>
        <v>47.600000000000009</v>
      </c>
      <c r="N19" s="22">
        <f t="shared" si="5"/>
        <v>51.300000000000011</v>
      </c>
    </row>
    <row r="20" spans="1:14" s="1" customFormat="1" ht="14.1" customHeight="1">
      <c r="A20" s="38"/>
      <c r="B20" s="56" t="s">
        <v>31</v>
      </c>
      <c r="C20" s="56"/>
      <c r="D20" s="47" t="s">
        <v>54</v>
      </c>
      <c r="E20" s="48"/>
      <c r="F20" s="48"/>
      <c r="G20" s="49"/>
      <c r="H20" s="36"/>
      <c r="I20" s="36"/>
      <c r="J20" s="23"/>
      <c r="K20" s="21"/>
      <c r="L20" s="21"/>
      <c r="M20" s="153"/>
      <c r="N20" s="22"/>
    </row>
    <row r="21" spans="1:14" s="1" customFormat="1" ht="14.1" customHeight="1">
      <c r="A21" s="38">
        <v>10</v>
      </c>
      <c r="B21" s="58" t="s">
        <v>6</v>
      </c>
      <c r="C21" s="58"/>
      <c r="D21" s="59" t="s">
        <v>7</v>
      </c>
      <c r="E21" s="60"/>
      <c r="F21" s="60"/>
      <c r="G21" s="61"/>
      <c r="H21" s="24">
        <f>SUM(I21)-1.6</f>
        <v>29.599999999999994</v>
      </c>
      <c r="I21" s="24">
        <f>SUM(J21)-1.6</f>
        <v>31.199999999999996</v>
      </c>
      <c r="J21" s="23">
        <v>32.799999999999997</v>
      </c>
      <c r="K21" s="21">
        <f>SUM(J21)+1.6</f>
        <v>34.4</v>
      </c>
      <c r="L21" s="21">
        <f>SUM(K21)+1.6</f>
        <v>36</v>
      </c>
      <c r="M21" s="153">
        <f>SUM(L21)+1.6</f>
        <v>37.6</v>
      </c>
      <c r="N21" s="22">
        <f>SUM(M21)+1.6</f>
        <v>39.200000000000003</v>
      </c>
    </row>
    <row r="22" spans="1:14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9"/>
      <c r="H22" s="36"/>
      <c r="I22" s="36"/>
      <c r="J22" s="23"/>
      <c r="K22" s="21"/>
      <c r="L22" s="21"/>
      <c r="M22" s="153"/>
      <c r="N22" s="22"/>
    </row>
    <row r="23" spans="1:14" s="1" customFormat="1" ht="14.1" customHeight="1">
      <c r="A23" s="38">
        <v>11</v>
      </c>
      <c r="B23" s="51" t="s">
        <v>77</v>
      </c>
      <c r="C23" s="52"/>
      <c r="D23" s="57" t="s">
        <v>78</v>
      </c>
      <c r="E23" s="57"/>
      <c r="F23" s="57"/>
      <c r="G23" s="57"/>
      <c r="H23" s="24">
        <f>SUM(I23)-0.6</f>
        <v>13.8</v>
      </c>
      <c r="I23" s="24">
        <f>SUM(J23)-0.6</f>
        <v>14.4</v>
      </c>
      <c r="J23" s="23">
        <v>15</v>
      </c>
      <c r="K23" s="21">
        <f>SUM(J23)+0.6</f>
        <v>15.6</v>
      </c>
      <c r="L23" s="21">
        <f t="shared" ref="L23:N23" si="6">SUM(K23)+0.6</f>
        <v>16.2</v>
      </c>
      <c r="M23" s="153">
        <f t="shared" si="6"/>
        <v>16.8</v>
      </c>
      <c r="N23" s="22">
        <f t="shared" si="6"/>
        <v>17.400000000000002</v>
      </c>
    </row>
    <row r="24" spans="1:14" s="1" customFormat="1" ht="14.1" customHeight="1">
      <c r="A24" s="38"/>
      <c r="B24" s="56" t="s">
        <v>33</v>
      </c>
      <c r="C24" s="56"/>
      <c r="D24" s="47" t="s">
        <v>79</v>
      </c>
      <c r="E24" s="48"/>
      <c r="F24" s="48"/>
      <c r="G24" s="49"/>
      <c r="H24" s="36"/>
      <c r="I24" s="36"/>
      <c r="J24" s="23"/>
      <c r="K24" s="21"/>
      <c r="L24" s="21"/>
      <c r="M24" s="153"/>
      <c r="N24" s="22"/>
    </row>
    <row r="25" spans="1:14" s="1" customFormat="1" ht="14.1" customHeight="1">
      <c r="A25" s="38">
        <v>12</v>
      </c>
      <c r="B25" s="51" t="s">
        <v>176</v>
      </c>
      <c r="C25" s="52"/>
      <c r="D25" s="53" t="s">
        <v>103</v>
      </c>
      <c r="E25" s="54"/>
      <c r="F25" s="54"/>
      <c r="G25" s="55"/>
      <c r="H25" s="24">
        <f>SUM(I25)-0.4</f>
        <v>6.1999999999999993</v>
      </c>
      <c r="I25" s="24">
        <f>SUM(J25)-0.4</f>
        <v>6.6</v>
      </c>
      <c r="J25" s="23">
        <v>7</v>
      </c>
      <c r="K25" s="21">
        <f>SUM(J25)+0.4</f>
        <v>7.4</v>
      </c>
      <c r="L25" s="21">
        <f t="shared" ref="L25:N25" si="7">SUM(K25)+0.4</f>
        <v>7.8000000000000007</v>
      </c>
      <c r="M25" s="21">
        <f t="shared" si="7"/>
        <v>8.2000000000000011</v>
      </c>
      <c r="N25" s="22">
        <f t="shared" si="7"/>
        <v>8.6000000000000014</v>
      </c>
    </row>
    <row r="26" spans="1:14" s="1" customFormat="1" ht="14.1" customHeight="1">
      <c r="A26" s="38"/>
      <c r="B26" s="45" t="s">
        <v>175</v>
      </c>
      <c r="C26" s="46"/>
      <c r="D26" s="47" t="s">
        <v>104</v>
      </c>
      <c r="E26" s="48"/>
      <c r="F26" s="48"/>
      <c r="G26" s="49"/>
      <c r="H26" s="36"/>
      <c r="I26" s="36"/>
      <c r="J26" s="23"/>
      <c r="K26" s="21"/>
      <c r="L26" s="21"/>
      <c r="M26" s="21"/>
      <c r="N26" s="22"/>
    </row>
    <row r="27" spans="1:14" s="1" customFormat="1" ht="14.1" customHeight="1">
      <c r="A27" s="38">
        <v>13</v>
      </c>
      <c r="B27" s="40"/>
      <c r="C27" s="41"/>
      <c r="D27" s="42"/>
      <c r="E27" s="43"/>
      <c r="F27" s="43"/>
      <c r="G27" s="44"/>
      <c r="H27" s="50"/>
      <c r="I27" s="50"/>
      <c r="J27" s="35"/>
      <c r="K27" s="36"/>
      <c r="L27" s="36"/>
      <c r="M27" s="62"/>
      <c r="N27" s="37"/>
    </row>
    <row r="28" spans="1:14" s="1" customFormat="1" ht="14.1" customHeight="1">
      <c r="A28" s="38"/>
      <c r="B28" s="45"/>
      <c r="C28" s="46"/>
      <c r="D28" s="47"/>
      <c r="E28" s="48"/>
      <c r="F28" s="48"/>
      <c r="G28" s="49"/>
      <c r="H28" s="36"/>
      <c r="I28" s="36"/>
      <c r="J28" s="23"/>
      <c r="K28" s="21"/>
      <c r="L28" s="21"/>
      <c r="M28" s="153"/>
      <c r="N28" s="22"/>
    </row>
    <row r="29" spans="1:14" s="1" customFormat="1" ht="14.1" customHeight="1">
      <c r="A29" s="38">
        <v>14</v>
      </c>
      <c r="B29" s="40"/>
      <c r="C29" s="41"/>
      <c r="D29" s="42"/>
      <c r="E29" s="43"/>
      <c r="F29" s="43"/>
      <c r="G29" s="44"/>
      <c r="H29" s="24"/>
      <c r="I29" s="24"/>
      <c r="J29" s="33"/>
      <c r="K29" s="24"/>
      <c r="L29" s="24"/>
      <c r="M29" s="134"/>
      <c r="N29" s="26"/>
    </row>
    <row r="30" spans="1:14" s="1" customFormat="1" ht="14.1" customHeight="1" thickBot="1">
      <c r="A30" s="39"/>
      <c r="B30" s="28"/>
      <c r="C30" s="29"/>
      <c r="D30" s="30"/>
      <c r="E30" s="31"/>
      <c r="F30" s="31"/>
      <c r="G30" s="32"/>
      <c r="H30" s="25"/>
      <c r="I30" s="25"/>
      <c r="J30" s="34"/>
      <c r="K30" s="25"/>
      <c r="L30" s="25"/>
      <c r="M30" s="104"/>
      <c r="N30" s="27"/>
    </row>
    <row r="31" spans="1:14" ht="14.1" customHeight="1"/>
    <row r="32" spans="1:14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71">
    <mergeCell ref="N25:N26"/>
    <mergeCell ref="N27:N28"/>
    <mergeCell ref="N29:N30"/>
    <mergeCell ref="A1:N1"/>
    <mergeCell ref="N13:N14"/>
    <mergeCell ref="N15:N16"/>
    <mergeCell ref="N17:N18"/>
    <mergeCell ref="N19:N20"/>
    <mergeCell ref="N21:N22"/>
    <mergeCell ref="N23:N24"/>
    <mergeCell ref="K29:K30"/>
    <mergeCell ref="L29:L30"/>
    <mergeCell ref="M29:M30"/>
    <mergeCell ref="B30:C30"/>
    <mergeCell ref="D30:G30"/>
    <mergeCell ref="N3:N4"/>
    <mergeCell ref="N5:N6"/>
    <mergeCell ref="N7:N8"/>
    <mergeCell ref="N9:N10"/>
    <mergeCell ref="N11:N12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D7B3C-D3CD-4087-A2D0-5FA357EF9D75}">
  <sheetPr>
    <tabColor rgb="FF00B050"/>
    <pageSetUpPr fitToPage="1"/>
  </sheetPr>
  <dimension ref="A1:N51"/>
  <sheetViews>
    <sheetView topLeftCell="A4" zoomScale="110" zoomScaleNormal="110" workbookViewId="0">
      <selection activeCell="N27" sqref="A1:N2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2" width="5.5" customWidth="1"/>
    <col min="13" max="13" width="5.375" customWidth="1"/>
    <col min="14" max="14" width="5.5" customWidth="1"/>
  </cols>
  <sheetData>
    <row r="1" spans="1:14" ht="16.5" customHeight="1" thickBot="1">
      <c r="A1" s="128" t="s">
        <v>840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30"/>
    </row>
    <row r="2" spans="1:14" ht="16.5" customHeight="1" thickBot="1">
      <c r="A2" s="4" t="s">
        <v>68</v>
      </c>
      <c r="B2" s="244" t="s">
        <v>69</v>
      </c>
      <c r="C2" s="245"/>
      <c r="D2" s="244" t="s">
        <v>70</v>
      </c>
      <c r="E2" s="246"/>
      <c r="F2" s="246"/>
      <c r="G2" s="245"/>
      <c r="H2" s="9" t="s">
        <v>464</v>
      </c>
      <c r="I2" s="9" t="s">
        <v>71</v>
      </c>
      <c r="J2" s="9" t="s">
        <v>72</v>
      </c>
      <c r="K2" s="5" t="s">
        <v>73</v>
      </c>
      <c r="L2" s="9" t="s">
        <v>74</v>
      </c>
      <c r="M2" s="9" t="s">
        <v>169</v>
      </c>
      <c r="N2" s="15" t="s">
        <v>907</v>
      </c>
    </row>
    <row r="3" spans="1:14" s="1" customFormat="1" ht="14.1" customHeight="1">
      <c r="A3" s="169">
        <v>1</v>
      </c>
      <c r="B3" s="80" t="s">
        <v>45</v>
      </c>
      <c r="C3" s="81"/>
      <c r="D3" s="74" t="s">
        <v>184</v>
      </c>
      <c r="E3" s="82"/>
      <c r="F3" s="82"/>
      <c r="G3" s="83"/>
      <c r="H3" s="85">
        <f>SUM(I3)-2</f>
        <v>34</v>
      </c>
      <c r="I3" s="85">
        <f>SUM(J3)-3.5</f>
        <v>36</v>
      </c>
      <c r="J3" s="85">
        <f>SUM(K3)-3.5</f>
        <v>39.5</v>
      </c>
      <c r="K3" s="84">
        <v>43</v>
      </c>
      <c r="L3" s="85">
        <f>SUM(K3)+3</f>
        <v>46</v>
      </c>
      <c r="M3" s="85">
        <f t="shared" ref="M3:N3" si="0">SUM(L3)+3</f>
        <v>49</v>
      </c>
      <c r="N3" s="131">
        <f t="shared" si="0"/>
        <v>52</v>
      </c>
    </row>
    <row r="4" spans="1:14" s="1" customFormat="1" ht="14.1" customHeight="1">
      <c r="A4" s="71"/>
      <c r="B4" s="45" t="s">
        <v>42</v>
      </c>
      <c r="C4" s="46"/>
      <c r="D4" s="47" t="s">
        <v>124</v>
      </c>
      <c r="E4" s="48"/>
      <c r="F4" s="48"/>
      <c r="G4" s="49"/>
      <c r="H4" s="36"/>
      <c r="I4" s="36"/>
      <c r="J4" s="36"/>
      <c r="K4" s="35"/>
      <c r="L4" s="36"/>
      <c r="M4" s="36"/>
      <c r="N4" s="122"/>
    </row>
    <row r="5" spans="1:14" s="1" customFormat="1" ht="14.1" customHeight="1">
      <c r="A5" s="154">
        <v>2</v>
      </c>
      <c r="B5" s="51" t="s">
        <v>43</v>
      </c>
      <c r="C5" s="52"/>
      <c r="D5" s="59" t="s">
        <v>44</v>
      </c>
      <c r="E5" s="60"/>
      <c r="F5" s="60"/>
      <c r="G5" s="61"/>
      <c r="H5" s="24">
        <f>SUM(I5)-2</f>
        <v>32</v>
      </c>
      <c r="I5" s="24">
        <f>SUM(J5)-2</f>
        <v>34</v>
      </c>
      <c r="J5" s="24">
        <f>SUM(K5)-2</f>
        <v>36</v>
      </c>
      <c r="K5" s="33">
        <v>38</v>
      </c>
      <c r="L5" s="24">
        <f>SUM(K5)+1.8</f>
        <v>39.799999999999997</v>
      </c>
      <c r="M5" s="24">
        <f t="shared" ref="M5:N5" si="1">SUM(L5)+1.8</f>
        <v>41.599999999999994</v>
      </c>
      <c r="N5" s="121">
        <f t="shared" si="1"/>
        <v>43.399999999999991</v>
      </c>
    </row>
    <row r="6" spans="1:14" s="1" customFormat="1" ht="14.1" customHeight="1">
      <c r="A6" s="71"/>
      <c r="B6" s="45" t="s">
        <v>26</v>
      </c>
      <c r="C6" s="46"/>
      <c r="D6" s="47" t="s">
        <v>48</v>
      </c>
      <c r="E6" s="48"/>
      <c r="F6" s="48"/>
      <c r="G6" s="49"/>
      <c r="H6" s="36"/>
      <c r="I6" s="36"/>
      <c r="J6" s="36"/>
      <c r="K6" s="35"/>
      <c r="L6" s="36"/>
      <c r="M6" s="36"/>
      <c r="N6" s="122"/>
    </row>
    <row r="7" spans="1:14" s="1" customFormat="1" ht="14.1" customHeight="1">
      <c r="A7" s="154">
        <v>3</v>
      </c>
      <c r="B7" s="51" t="s">
        <v>41</v>
      </c>
      <c r="C7" s="52"/>
      <c r="D7" s="59" t="s">
        <v>84</v>
      </c>
      <c r="E7" s="60"/>
      <c r="F7" s="60"/>
      <c r="G7" s="61"/>
      <c r="H7" s="239">
        <f>SUM(I7)-2.25</f>
        <v>33.75</v>
      </c>
      <c r="I7" s="239">
        <f>SUM(J7)-2.25</f>
        <v>36</v>
      </c>
      <c r="J7" s="24">
        <f>SUM(K7)-2.25</f>
        <v>38.25</v>
      </c>
      <c r="K7" s="33">
        <v>40.5</v>
      </c>
      <c r="L7" s="24">
        <f>SUM(K7)+2</f>
        <v>42.5</v>
      </c>
      <c r="M7" s="24">
        <f>SUM(L7)+2</f>
        <v>44.5</v>
      </c>
      <c r="N7" s="121">
        <f>SUM(M7)+2</f>
        <v>46.5</v>
      </c>
    </row>
    <row r="8" spans="1:14" s="1" customFormat="1" ht="14.1" customHeight="1">
      <c r="A8" s="71"/>
      <c r="B8" s="45" t="s">
        <v>46</v>
      </c>
      <c r="C8" s="46"/>
      <c r="D8" s="47" t="s">
        <v>49</v>
      </c>
      <c r="E8" s="48"/>
      <c r="F8" s="48"/>
      <c r="G8" s="49"/>
      <c r="H8" s="240"/>
      <c r="I8" s="240"/>
      <c r="J8" s="36"/>
      <c r="K8" s="35"/>
      <c r="L8" s="36"/>
      <c r="M8" s="36"/>
      <c r="N8" s="122"/>
    </row>
    <row r="9" spans="1:14" s="1" customFormat="1" ht="14.1" customHeight="1">
      <c r="A9" s="154">
        <v>4</v>
      </c>
      <c r="B9" s="51" t="s">
        <v>47</v>
      </c>
      <c r="C9" s="52"/>
      <c r="D9" s="59" t="s">
        <v>8</v>
      </c>
      <c r="E9" s="60"/>
      <c r="F9" s="60"/>
      <c r="G9" s="61"/>
      <c r="H9" s="24">
        <f>SUM(I9)-1.8</f>
        <v>28.099999999999998</v>
      </c>
      <c r="I9" s="24">
        <f>SUM(J9)-1.8</f>
        <v>29.9</v>
      </c>
      <c r="J9" s="24">
        <f>SUM(K9)-1.8</f>
        <v>31.7</v>
      </c>
      <c r="K9" s="33">
        <v>33.5</v>
      </c>
      <c r="L9" s="24">
        <f>SUM(K9)+1.6</f>
        <v>35.1</v>
      </c>
      <c r="M9" s="24">
        <f t="shared" ref="M9:N9" si="2">SUM(L9)+1.6</f>
        <v>36.700000000000003</v>
      </c>
      <c r="N9" s="121">
        <f t="shared" si="2"/>
        <v>38.300000000000004</v>
      </c>
    </row>
    <row r="10" spans="1:14" s="1" customFormat="1" ht="14.1" customHeight="1">
      <c r="A10" s="71"/>
      <c r="B10" s="45" t="s">
        <v>27</v>
      </c>
      <c r="C10" s="46"/>
      <c r="D10" s="47" t="s">
        <v>50</v>
      </c>
      <c r="E10" s="48"/>
      <c r="F10" s="48"/>
      <c r="G10" s="49"/>
      <c r="H10" s="36"/>
      <c r="I10" s="36"/>
      <c r="J10" s="36"/>
      <c r="K10" s="35"/>
      <c r="L10" s="36"/>
      <c r="M10" s="36"/>
      <c r="N10" s="122"/>
    </row>
    <row r="11" spans="1:14" s="1" customFormat="1" ht="14.1" customHeight="1">
      <c r="A11" s="154">
        <v>5</v>
      </c>
      <c r="B11" s="51" t="s">
        <v>10</v>
      </c>
      <c r="C11" s="52"/>
      <c r="D11" s="59" t="s">
        <v>0</v>
      </c>
      <c r="E11" s="60"/>
      <c r="F11" s="60"/>
      <c r="G11" s="61"/>
      <c r="H11" s="24">
        <f>SUM(I11)-0.8</f>
        <v>13.799999999999997</v>
      </c>
      <c r="I11" s="24">
        <f>SUM(J11)-0.8</f>
        <v>14.599999999999998</v>
      </c>
      <c r="J11" s="24">
        <f>SUM(K11)-0.8</f>
        <v>15.399999999999999</v>
      </c>
      <c r="K11" s="33">
        <v>16.2</v>
      </c>
      <c r="L11" s="24">
        <f>SUM(K11)+0.8</f>
        <v>17</v>
      </c>
      <c r="M11" s="24">
        <f t="shared" ref="M11:N11" si="3">SUM(L11)+0.8</f>
        <v>17.8</v>
      </c>
      <c r="N11" s="121">
        <f t="shared" si="3"/>
        <v>18.600000000000001</v>
      </c>
    </row>
    <row r="12" spans="1:14" s="1" customFormat="1" ht="14.1" customHeight="1">
      <c r="A12" s="71"/>
      <c r="B12" s="45" t="s">
        <v>28</v>
      </c>
      <c r="C12" s="46"/>
      <c r="D12" s="47" t="s">
        <v>51</v>
      </c>
      <c r="E12" s="48"/>
      <c r="F12" s="48"/>
      <c r="G12" s="49"/>
      <c r="H12" s="36"/>
      <c r="I12" s="36"/>
      <c r="J12" s="36"/>
      <c r="K12" s="35"/>
      <c r="L12" s="36"/>
      <c r="M12" s="36"/>
      <c r="N12" s="122"/>
    </row>
    <row r="13" spans="1:14" s="1" customFormat="1" ht="14.1" customHeight="1">
      <c r="A13" s="154">
        <v>6</v>
      </c>
      <c r="B13" s="51" t="s">
        <v>1</v>
      </c>
      <c r="C13" s="52"/>
      <c r="D13" s="59" t="s">
        <v>180</v>
      </c>
      <c r="E13" s="60"/>
      <c r="F13" s="60"/>
      <c r="G13" s="61"/>
      <c r="H13" s="24">
        <f>SUM(I13)</f>
        <v>16.299999999999997</v>
      </c>
      <c r="I13" s="24">
        <f>SUM(J13)-0.6</f>
        <v>16.299999999999997</v>
      </c>
      <c r="J13" s="24">
        <f>SUM(K13)-0.6</f>
        <v>16.899999999999999</v>
      </c>
      <c r="K13" s="33">
        <v>17.5</v>
      </c>
      <c r="L13" s="24">
        <f>SUM(K13)+0.6</f>
        <v>18.100000000000001</v>
      </c>
      <c r="M13" s="24">
        <f>SUM(L13)+0.6</f>
        <v>18.700000000000003</v>
      </c>
      <c r="N13" s="121">
        <f>SUM(M13)+0.6</f>
        <v>19.300000000000004</v>
      </c>
    </row>
    <row r="14" spans="1:14" s="1" customFormat="1" ht="14.1" customHeight="1">
      <c r="A14" s="71"/>
      <c r="B14" s="45" t="s">
        <v>29</v>
      </c>
      <c r="C14" s="46"/>
      <c r="D14" s="47" t="s">
        <v>154</v>
      </c>
      <c r="E14" s="48"/>
      <c r="F14" s="48"/>
      <c r="G14" s="49"/>
      <c r="H14" s="36"/>
      <c r="I14" s="36"/>
      <c r="J14" s="36"/>
      <c r="K14" s="35"/>
      <c r="L14" s="36"/>
      <c r="M14" s="36"/>
      <c r="N14" s="122"/>
    </row>
    <row r="15" spans="1:14" s="1" customFormat="1" ht="14.1" customHeight="1">
      <c r="A15" s="154">
        <v>7</v>
      </c>
      <c r="B15" s="51" t="s">
        <v>2</v>
      </c>
      <c r="C15" s="52"/>
      <c r="D15" s="59" t="s">
        <v>3</v>
      </c>
      <c r="E15" s="60"/>
      <c r="F15" s="60"/>
      <c r="G15" s="61"/>
      <c r="H15" s="24">
        <f>SUM(I15)</f>
        <v>5.9</v>
      </c>
      <c r="I15" s="24">
        <f>SUM(J15)-0.3</f>
        <v>5.9</v>
      </c>
      <c r="J15" s="24">
        <f>SUM(K15)-0.3</f>
        <v>6.2</v>
      </c>
      <c r="K15" s="33">
        <v>6.5</v>
      </c>
      <c r="L15" s="24">
        <f>SUM(K15)+0.3</f>
        <v>6.8</v>
      </c>
      <c r="M15" s="24">
        <f t="shared" ref="M15:N15" si="4">SUM(L15)+0.3</f>
        <v>7.1</v>
      </c>
      <c r="N15" s="121">
        <f t="shared" si="4"/>
        <v>7.3999999999999995</v>
      </c>
    </row>
    <row r="16" spans="1:14" s="1" customFormat="1" ht="14.1" customHeight="1">
      <c r="A16" s="71"/>
      <c r="B16" s="45" t="s">
        <v>466</v>
      </c>
      <c r="C16" s="46"/>
      <c r="D16" s="47" t="s">
        <v>155</v>
      </c>
      <c r="E16" s="48"/>
      <c r="F16" s="48"/>
      <c r="G16" s="49"/>
      <c r="H16" s="36"/>
      <c r="I16" s="36"/>
      <c r="J16" s="36"/>
      <c r="K16" s="35"/>
      <c r="L16" s="36"/>
      <c r="M16" s="36"/>
      <c r="N16" s="122"/>
    </row>
    <row r="17" spans="1:14" s="1" customFormat="1" ht="14.1" customHeight="1">
      <c r="A17" s="154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</f>
        <v>42.8</v>
      </c>
      <c r="I17" s="24">
        <f>SUM(J17)-1.6</f>
        <v>42.8</v>
      </c>
      <c r="J17" s="24">
        <f>SUM(K17)-1.6</f>
        <v>44.4</v>
      </c>
      <c r="K17" s="33">
        <v>46</v>
      </c>
      <c r="L17" s="24">
        <f>SUM(K17)+1.6</f>
        <v>47.6</v>
      </c>
      <c r="M17" s="24">
        <f t="shared" ref="M17:N17" si="5">SUM(L17)+1.6</f>
        <v>49.2</v>
      </c>
      <c r="N17" s="121">
        <f t="shared" si="5"/>
        <v>50.800000000000004</v>
      </c>
    </row>
    <row r="18" spans="1:14" s="1" customFormat="1" ht="14.1" customHeight="1">
      <c r="A18" s="71"/>
      <c r="B18" s="45" t="s">
        <v>37</v>
      </c>
      <c r="C18" s="46"/>
      <c r="D18" s="47" t="s">
        <v>156</v>
      </c>
      <c r="E18" s="48"/>
      <c r="F18" s="48"/>
      <c r="G18" s="49"/>
      <c r="H18" s="36"/>
      <c r="I18" s="36"/>
      <c r="J18" s="36"/>
      <c r="K18" s="35"/>
      <c r="L18" s="36"/>
      <c r="M18" s="36"/>
      <c r="N18" s="122"/>
    </row>
    <row r="19" spans="1:14" s="1" customFormat="1" ht="14.1" customHeight="1">
      <c r="A19" s="154">
        <v>9</v>
      </c>
      <c r="B19" s="51" t="s">
        <v>4</v>
      </c>
      <c r="C19" s="52"/>
      <c r="D19" s="59" t="s">
        <v>5</v>
      </c>
      <c r="E19" s="60"/>
      <c r="F19" s="60"/>
      <c r="G19" s="61"/>
      <c r="H19" s="24">
        <f>SUM(I19)-3.5</f>
        <v>24.5</v>
      </c>
      <c r="I19" s="24">
        <f>SUM(J19)-3.5</f>
        <v>28</v>
      </c>
      <c r="J19" s="24">
        <f>SUM(K19)-3.5</f>
        <v>31.5</v>
      </c>
      <c r="K19" s="33">
        <v>35</v>
      </c>
      <c r="L19" s="24">
        <f>SUM(K19)+3.6</f>
        <v>38.6</v>
      </c>
      <c r="M19" s="24">
        <f t="shared" ref="M19:N19" si="6">SUM(L19)+3.6</f>
        <v>42.2</v>
      </c>
      <c r="N19" s="121">
        <f t="shared" si="6"/>
        <v>45.800000000000004</v>
      </c>
    </row>
    <row r="20" spans="1:14" s="1" customFormat="1" ht="14.1" customHeight="1">
      <c r="A20" s="71"/>
      <c r="B20" s="45" t="s">
        <v>31</v>
      </c>
      <c r="C20" s="46"/>
      <c r="D20" s="47" t="s">
        <v>54</v>
      </c>
      <c r="E20" s="48"/>
      <c r="F20" s="48"/>
      <c r="G20" s="49"/>
      <c r="H20" s="36"/>
      <c r="I20" s="36"/>
      <c r="J20" s="36"/>
      <c r="K20" s="35"/>
      <c r="L20" s="36"/>
      <c r="M20" s="36"/>
      <c r="N20" s="122"/>
    </row>
    <row r="21" spans="1:14" s="1" customFormat="1" ht="14.1" customHeight="1">
      <c r="A21" s="154">
        <v>10</v>
      </c>
      <c r="B21" s="51" t="s">
        <v>6</v>
      </c>
      <c r="C21" s="52"/>
      <c r="D21" s="59" t="s">
        <v>7</v>
      </c>
      <c r="E21" s="60"/>
      <c r="F21" s="60"/>
      <c r="G21" s="61"/>
      <c r="H21" s="24">
        <f>SUM(I21)-1.6</f>
        <v>27.799999999999997</v>
      </c>
      <c r="I21" s="24">
        <f>SUM(J21)-1.6</f>
        <v>29.4</v>
      </c>
      <c r="J21" s="24">
        <f>SUM(K21)-1.6</f>
        <v>31</v>
      </c>
      <c r="K21" s="33">
        <v>32.6</v>
      </c>
      <c r="L21" s="24">
        <f>SUM(K21)+1.6</f>
        <v>34.200000000000003</v>
      </c>
      <c r="M21" s="24">
        <f>SUM(L21)+1.6</f>
        <v>35.800000000000004</v>
      </c>
      <c r="N21" s="121">
        <f>SUM(M21)+1.6</f>
        <v>37.400000000000006</v>
      </c>
    </row>
    <row r="22" spans="1:14" s="1" customFormat="1" ht="14.1" customHeight="1">
      <c r="A22" s="71"/>
      <c r="B22" s="45" t="s">
        <v>32</v>
      </c>
      <c r="C22" s="46"/>
      <c r="D22" s="47" t="s">
        <v>76</v>
      </c>
      <c r="E22" s="48"/>
      <c r="F22" s="48"/>
      <c r="G22" s="49"/>
      <c r="H22" s="36"/>
      <c r="I22" s="36"/>
      <c r="J22" s="36"/>
      <c r="K22" s="35"/>
      <c r="L22" s="36"/>
      <c r="M22" s="36"/>
      <c r="N22" s="122"/>
    </row>
    <row r="23" spans="1:14" s="1" customFormat="1" ht="14.1" customHeight="1">
      <c r="A23" s="154">
        <v>11</v>
      </c>
      <c r="B23" s="51" t="s">
        <v>77</v>
      </c>
      <c r="C23" s="52"/>
      <c r="D23" s="59" t="s">
        <v>78</v>
      </c>
      <c r="E23" s="60"/>
      <c r="F23" s="60"/>
      <c r="G23" s="61"/>
      <c r="H23" s="24">
        <f>SUM(I23)-0.6</f>
        <v>13.4</v>
      </c>
      <c r="I23" s="24">
        <f>SUM(J23)-0.6</f>
        <v>14</v>
      </c>
      <c r="J23" s="24">
        <f>SUM(K23)-0.6</f>
        <v>14.6</v>
      </c>
      <c r="K23" s="33">
        <v>15.2</v>
      </c>
      <c r="L23" s="24">
        <f>SUM(K23)+0.6</f>
        <v>15.799999999999999</v>
      </c>
      <c r="M23" s="24">
        <f t="shared" ref="M23:N23" si="7">SUM(L23)+0.6</f>
        <v>16.399999999999999</v>
      </c>
      <c r="N23" s="121">
        <f t="shared" si="7"/>
        <v>17</v>
      </c>
    </row>
    <row r="24" spans="1:14" s="1" customFormat="1" ht="14.1" customHeight="1">
      <c r="A24" s="166"/>
      <c r="B24" s="40" t="s">
        <v>33</v>
      </c>
      <c r="C24" s="41"/>
      <c r="D24" s="100" t="s">
        <v>79</v>
      </c>
      <c r="E24" s="101"/>
      <c r="F24" s="101"/>
      <c r="G24" s="102"/>
      <c r="H24" s="50"/>
      <c r="I24" s="50"/>
      <c r="J24" s="50"/>
      <c r="K24" s="117"/>
      <c r="L24" s="50"/>
      <c r="M24" s="50"/>
      <c r="N24" s="127"/>
    </row>
    <row r="25" spans="1:14" s="1" customFormat="1" ht="14.1" customHeight="1">
      <c r="A25" s="154">
        <v>12</v>
      </c>
      <c r="B25" s="51" t="s">
        <v>176</v>
      </c>
      <c r="C25" s="52"/>
      <c r="D25" s="53"/>
      <c r="E25" s="54"/>
      <c r="F25" s="54"/>
      <c r="G25" s="55"/>
      <c r="H25" s="24">
        <f>SUM(I25)-0.7</f>
        <v>9.9000000000000021</v>
      </c>
      <c r="I25" s="24">
        <f>SUM(J25)-0.7</f>
        <v>10.600000000000001</v>
      </c>
      <c r="J25" s="24">
        <f>SUM(K25)-0.7</f>
        <v>11.3</v>
      </c>
      <c r="K25" s="23">
        <v>12</v>
      </c>
      <c r="L25" s="21">
        <f>SUM(K25)+0.7</f>
        <v>12.7</v>
      </c>
      <c r="M25" s="21">
        <f t="shared" ref="M25:N25" si="8">SUM(L25)+0.7</f>
        <v>13.399999999999999</v>
      </c>
      <c r="N25" s="123">
        <f t="shared" si="8"/>
        <v>14.099999999999998</v>
      </c>
    </row>
    <row r="26" spans="1:14" s="1" customFormat="1" ht="14.1" customHeight="1">
      <c r="A26" s="71"/>
      <c r="B26" s="45" t="s">
        <v>175</v>
      </c>
      <c r="C26" s="46"/>
      <c r="D26" s="47" t="s">
        <v>555</v>
      </c>
      <c r="E26" s="48"/>
      <c r="F26" s="48"/>
      <c r="G26" s="49"/>
      <c r="H26" s="36"/>
      <c r="I26" s="36"/>
      <c r="J26" s="36"/>
      <c r="K26" s="23"/>
      <c r="L26" s="21"/>
      <c r="M26" s="21"/>
      <c r="N26" s="123"/>
    </row>
    <row r="27" spans="1:14" s="1" customFormat="1" ht="14.1" customHeight="1">
      <c r="A27" s="166">
        <v>13</v>
      </c>
      <c r="B27" s="51" t="s">
        <v>174</v>
      </c>
      <c r="C27" s="52"/>
      <c r="D27" s="54" t="s">
        <v>106</v>
      </c>
      <c r="E27" s="54"/>
      <c r="F27" s="54"/>
      <c r="G27" s="55"/>
      <c r="H27" s="50">
        <f>SUM(I27)-0.5</f>
        <v>5.9</v>
      </c>
      <c r="I27" s="50">
        <f>SUM(J27)-0.5</f>
        <v>6.4</v>
      </c>
      <c r="J27" s="50">
        <f>SUM(K27)-0.5</f>
        <v>6.9</v>
      </c>
      <c r="K27" s="35">
        <v>7.4</v>
      </c>
      <c r="L27" s="36">
        <f>SUM(K27)+0.5</f>
        <v>7.9</v>
      </c>
      <c r="M27" s="36">
        <f t="shared" ref="M27:N27" si="9">SUM(L27)+0.5</f>
        <v>8.4</v>
      </c>
      <c r="N27" s="122">
        <f t="shared" si="9"/>
        <v>8.9</v>
      </c>
    </row>
    <row r="28" spans="1:14" s="1" customFormat="1" ht="14.1" customHeight="1" thickBot="1">
      <c r="A28" s="168"/>
      <c r="B28" s="28" t="s">
        <v>173</v>
      </c>
      <c r="C28" s="29"/>
      <c r="D28" s="31" t="s">
        <v>105</v>
      </c>
      <c r="E28" s="31"/>
      <c r="F28" s="31"/>
      <c r="G28" s="32"/>
      <c r="H28" s="25"/>
      <c r="I28" s="25"/>
      <c r="J28" s="25"/>
      <c r="K28" s="218"/>
      <c r="L28" s="216"/>
      <c r="M28" s="216"/>
      <c r="N28" s="229"/>
    </row>
    <row r="29" spans="1:14" s="1" customFormat="1" ht="14.1" customHeight="1"/>
    <row r="30" spans="1:14" s="1" customFormat="1" ht="14.1" customHeight="1"/>
    <row r="31" spans="1:14" ht="14.1" customHeight="1"/>
    <row r="32" spans="1:14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9">
    <mergeCell ref="M27:M28"/>
    <mergeCell ref="B28:C28"/>
    <mergeCell ref="D28:G28"/>
    <mergeCell ref="A27:A28"/>
    <mergeCell ref="I27:I28"/>
    <mergeCell ref="J27:J28"/>
    <mergeCell ref="L25:L26"/>
    <mergeCell ref="M25:M26"/>
    <mergeCell ref="B26:C26"/>
    <mergeCell ref="D26:G26"/>
    <mergeCell ref="B27:C27"/>
    <mergeCell ref="D27:G27"/>
    <mergeCell ref="K27:K28"/>
    <mergeCell ref="L27:L28"/>
    <mergeCell ref="A25:A26"/>
    <mergeCell ref="B25:C25"/>
    <mergeCell ref="D25:G25"/>
    <mergeCell ref="I25:I26"/>
    <mergeCell ref="J25:J26"/>
    <mergeCell ref="K25:K26"/>
    <mergeCell ref="H25:H26"/>
    <mergeCell ref="H27:H28"/>
    <mergeCell ref="L23:L24"/>
    <mergeCell ref="M23:M24"/>
    <mergeCell ref="B24:C24"/>
    <mergeCell ref="D24:G24"/>
    <mergeCell ref="A23:A24"/>
    <mergeCell ref="B23:C23"/>
    <mergeCell ref="D23:G23"/>
    <mergeCell ref="I23:I24"/>
    <mergeCell ref="J23:J24"/>
    <mergeCell ref="K23:K24"/>
    <mergeCell ref="H23:H24"/>
    <mergeCell ref="L21:L22"/>
    <mergeCell ref="M21:M22"/>
    <mergeCell ref="B22:C22"/>
    <mergeCell ref="D22:G22"/>
    <mergeCell ref="A21:A22"/>
    <mergeCell ref="B21:C21"/>
    <mergeCell ref="D21:G21"/>
    <mergeCell ref="I21:I22"/>
    <mergeCell ref="J21:J22"/>
    <mergeCell ref="K21:K22"/>
    <mergeCell ref="H21:H22"/>
    <mergeCell ref="L19:L20"/>
    <mergeCell ref="M19:M20"/>
    <mergeCell ref="B20:C20"/>
    <mergeCell ref="D20:G20"/>
    <mergeCell ref="A19:A20"/>
    <mergeCell ref="B19:C19"/>
    <mergeCell ref="D19:G19"/>
    <mergeCell ref="I19:I20"/>
    <mergeCell ref="J19:J20"/>
    <mergeCell ref="K19:K20"/>
    <mergeCell ref="H19:H20"/>
    <mergeCell ref="L17:L18"/>
    <mergeCell ref="M17:M18"/>
    <mergeCell ref="B18:C18"/>
    <mergeCell ref="D18:G18"/>
    <mergeCell ref="A17:A18"/>
    <mergeCell ref="B17:C17"/>
    <mergeCell ref="D17:G17"/>
    <mergeCell ref="I17:I18"/>
    <mergeCell ref="J17:J18"/>
    <mergeCell ref="K17:K18"/>
    <mergeCell ref="H17:H18"/>
    <mergeCell ref="L15:L16"/>
    <mergeCell ref="M15:M16"/>
    <mergeCell ref="B16:C16"/>
    <mergeCell ref="D16:G16"/>
    <mergeCell ref="A15:A16"/>
    <mergeCell ref="B15:C15"/>
    <mergeCell ref="D15:G15"/>
    <mergeCell ref="I15:I16"/>
    <mergeCell ref="J15:J16"/>
    <mergeCell ref="K15:K16"/>
    <mergeCell ref="H15:H16"/>
    <mergeCell ref="L13:L14"/>
    <mergeCell ref="M13:M14"/>
    <mergeCell ref="B14:C14"/>
    <mergeCell ref="D14:G14"/>
    <mergeCell ref="A13:A14"/>
    <mergeCell ref="B13:C13"/>
    <mergeCell ref="D13:G13"/>
    <mergeCell ref="I13:I14"/>
    <mergeCell ref="J13:J14"/>
    <mergeCell ref="K13:K14"/>
    <mergeCell ref="H13:H14"/>
    <mergeCell ref="L11:L12"/>
    <mergeCell ref="M11:M12"/>
    <mergeCell ref="B12:C12"/>
    <mergeCell ref="D12:G12"/>
    <mergeCell ref="A11:A12"/>
    <mergeCell ref="B11:C11"/>
    <mergeCell ref="D11:G11"/>
    <mergeCell ref="I11:I12"/>
    <mergeCell ref="J11:J12"/>
    <mergeCell ref="K11:K12"/>
    <mergeCell ref="H11:H12"/>
    <mergeCell ref="A7:A8"/>
    <mergeCell ref="B7:C7"/>
    <mergeCell ref="D7:G7"/>
    <mergeCell ref="I7:I8"/>
    <mergeCell ref="J7:J8"/>
    <mergeCell ref="K7:K8"/>
    <mergeCell ref="L9:L10"/>
    <mergeCell ref="M9:M10"/>
    <mergeCell ref="H9:H10"/>
    <mergeCell ref="B10:C10"/>
    <mergeCell ref="D10:G10"/>
    <mergeCell ref="A9:A10"/>
    <mergeCell ref="B9:C9"/>
    <mergeCell ref="D9:G9"/>
    <mergeCell ref="I9:I10"/>
    <mergeCell ref="J9:J10"/>
    <mergeCell ref="K9:K10"/>
    <mergeCell ref="B6:C6"/>
    <mergeCell ref="D6:G6"/>
    <mergeCell ref="M3:M4"/>
    <mergeCell ref="B4:C4"/>
    <mergeCell ref="D4:G4"/>
    <mergeCell ref="L7:L8"/>
    <mergeCell ref="M7:M8"/>
    <mergeCell ref="B8:C8"/>
    <mergeCell ref="D8:G8"/>
    <mergeCell ref="H7:H8"/>
    <mergeCell ref="I3:I4"/>
    <mergeCell ref="J3:J4"/>
    <mergeCell ref="K3:K4"/>
    <mergeCell ref="L3:L4"/>
    <mergeCell ref="K5:K6"/>
    <mergeCell ref="L5:L6"/>
    <mergeCell ref="M5:M6"/>
    <mergeCell ref="H3:H4"/>
    <mergeCell ref="H5:H6"/>
    <mergeCell ref="N19:N20"/>
    <mergeCell ref="N21:N22"/>
    <mergeCell ref="N23:N24"/>
    <mergeCell ref="N25:N26"/>
    <mergeCell ref="N27:N28"/>
    <mergeCell ref="A1:N1"/>
    <mergeCell ref="N3:N4"/>
    <mergeCell ref="N5:N6"/>
    <mergeCell ref="N7:N8"/>
    <mergeCell ref="N9:N10"/>
    <mergeCell ref="N11:N12"/>
    <mergeCell ref="N13:N14"/>
    <mergeCell ref="N15:N16"/>
    <mergeCell ref="N17:N18"/>
    <mergeCell ref="A5:A6"/>
    <mergeCell ref="B5:C5"/>
    <mergeCell ref="D5:G5"/>
    <mergeCell ref="I5:I6"/>
    <mergeCell ref="J5:J6"/>
    <mergeCell ref="B2:C2"/>
    <mergeCell ref="D2:G2"/>
    <mergeCell ref="A3:A4"/>
    <mergeCell ref="B3:C3"/>
    <mergeCell ref="D3:G3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48708-B614-4BED-BAA6-E4251B003E96}">
  <sheetPr>
    <tabColor rgb="FF00B050"/>
    <pageSetUpPr fitToPage="1"/>
  </sheetPr>
  <dimension ref="A1:M51"/>
  <sheetViews>
    <sheetView zoomScale="110" zoomScaleNormal="110" workbookViewId="0">
      <selection activeCell="B30" sqref="B30:C3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67" t="s">
        <v>729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24">
        <f>SUM(I3)-3.5</f>
        <v>35.700000000000003</v>
      </c>
      <c r="I3" s="24">
        <f>SUM(J3)-3.5</f>
        <v>39.200000000000003</v>
      </c>
      <c r="J3" s="75">
        <v>42.7</v>
      </c>
      <c r="K3" s="76">
        <f>SUM(J3)+3</f>
        <v>45.7</v>
      </c>
      <c r="L3" s="76">
        <f t="shared" ref="L3:M3" si="0">SUM(K3)+3</f>
        <v>48.7</v>
      </c>
      <c r="M3" s="77">
        <f t="shared" si="0"/>
        <v>51.7</v>
      </c>
    </row>
    <row r="4" spans="1:13" s="1" customFormat="1" ht="14.1" customHeight="1">
      <c r="A4" s="154"/>
      <c r="B4" s="141" t="s">
        <v>42</v>
      </c>
      <c r="C4" s="141"/>
      <c r="D4" s="100" t="s">
        <v>730</v>
      </c>
      <c r="E4" s="101"/>
      <c r="F4" s="101"/>
      <c r="G4" s="101"/>
      <c r="H4" s="50"/>
      <c r="I4" s="50"/>
      <c r="J4" s="33"/>
      <c r="K4" s="24"/>
      <c r="L4" s="24"/>
      <c r="M4" s="26"/>
    </row>
    <row r="5" spans="1:13" s="1" customFormat="1" ht="14.1" customHeight="1">
      <c r="A5" s="38">
        <v>2</v>
      </c>
      <c r="B5" s="58" t="s">
        <v>735</v>
      </c>
      <c r="C5" s="58"/>
      <c r="D5" s="57" t="s">
        <v>184</v>
      </c>
      <c r="E5" s="57"/>
      <c r="F5" s="57"/>
      <c r="G5" s="59"/>
      <c r="H5" s="24">
        <f>SUM(I5)-2.7</f>
        <v>24.3</v>
      </c>
      <c r="I5" s="24">
        <f>SUM(J5)-2.7</f>
        <v>27</v>
      </c>
      <c r="J5" s="23">
        <v>29.7</v>
      </c>
      <c r="K5" s="21">
        <f>SUM(J5)+2.2</f>
        <v>31.9</v>
      </c>
      <c r="L5" s="21">
        <f t="shared" ref="L5:M5" si="1">SUM(K5)+2.2</f>
        <v>34.1</v>
      </c>
      <c r="M5" s="22">
        <f t="shared" si="1"/>
        <v>36.300000000000004</v>
      </c>
    </row>
    <row r="6" spans="1:13" s="1" customFormat="1" ht="14.1" customHeight="1">
      <c r="A6" s="38"/>
      <c r="B6" s="56" t="s">
        <v>734</v>
      </c>
      <c r="C6" s="56"/>
      <c r="D6" s="47" t="s">
        <v>733</v>
      </c>
      <c r="E6" s="48"/>
      <c r="F6" s="48"/>
      <c r="G6" s="48"/>
      <c r="H6" s="36"/>
      <c r="I6" s="36"/>
      <c r="J6" s="23"/>
      <c r="K6" s="21"/>
      <c r="L6" s="21"/>
      <c r="M6" s="22"/>
    </row>
    <row r="7" spans="1:13" s="1" customFormat="1" ht="14.1" customHeight="1">
      <c r="A7" s="38">
        <v>3</v>
      </c>
      <c r="B7" s="58" t="s">
        <v>43</v>
      </c>
      <c r="C7" s="58"/>
      <c r="D7" s="57" t="s">
        <v>44</v>
      </c>
      <c r="E7" s="57"/>
      <c r="F7" s="57"/>
      <c r="G7" s="57"/>
      <c r="H7" s="24">
        <f>SUM(I7)-1.8</f>
        <v>22.4</v>
      </c>
      <c r="I7" s="24">
        <f>SUM(J7)-1.8</f>
        <v>24.2</v>
      </c>
      <c r="J7" s="33">
        <v>26</v>
      </c>
      <c r="K7" s="24">
        <f>SUM(J7)+1.6</f>
        <v>27.6</v>
      </c>
      <c r="L7" s="24">
        <f>SUM(K7)+1.6</f>
        <v>29.200000000000003</v>
      </c>
      <c r="M7" s="26">
        <f>SUM(L7)+1.6</f>
        <v>30.800000000000004</v>
      </c>
    </row>
    <row r="8" spans="1:13" s="1" customFormat="1" ht="14.1" customHeight="1">
      <c r="A8" s="38"/>
      <c r="B8" s="56" t="s">
        <v>26</v>
      </c>
      <c r="C8" s="56"/>
      <c r="D8" s="47" t="s">
        <v>48</v>
      </c>
      <c r="E8" s="48"/>
      <c r="F8" s="48"/>
      <c r="G8" s="49"/>
      <c r="H8" s="36"/>
      <c r="I8" s="36"/>
      <c r="J8" s="35"/>
      <c r="K8" s="36"/>
      <c r="L8" s="36"/>
      <c r="M8" s="37"/>
    </row>
    <row r="9" spans="1:13" s="1" customFormat="1" ht="14.1" customHeight="1">
      <c r="A9" s="38">
        <v>4</v>
      </c>
      <c r="B9" s="58" t="s">
        <v>41</v>
      </c>
      <c r="C9" s="58"/>
      <c r="D9" s="57" t="s">
        <v>84</v>
      </c>
      <c r="E9" s="57"/>
      <c r="F9" s="57"/>
      <c r="G9" s="57"/>
      <c r="H9" s="24">
        <f>SUM(I9)-2.25</f>
        <v>29.5</v>
      </c>
      <c r="I9" s="24">
        <f>SUM(J9)-2.25</f>
        <v>31.75</v>
      </c>
      <c r="J9" s="33">
        <v>34</v>
      </c>
      <c r="K9" s="24">
        <f>SUM(J9)+2</f>
        <v>36</v>
      </c>
      <c r="L9" s="24">
        <f>SUM(K9)+2</f>
        <v>38</v>
      </c>
      <c r="M9" s="26">
        <f>SUM(L9)+2</f>
        <v>40</v>
      </c>
    </row>
    <row r="10" spans="1:13" s="1" customFormat="1" ht="14.1" customHeight="1">
      <c r="A10" s="38"/>
      <c r="B10" s="56" t="s">
        <v>46</v>
      </c>
      <c r="C10" s="56"/>
      <c r="D10" s="47" t="s">
        <v>49</v>
      </c>
      <c r="E10" s="48"/>
      <c r="F10" s="48"/>
      <c r="G10" s="49"/>
      <c r="H10" s="36"/>
      <c r="I10" s="36"/>
      <c r="J10" s="35"/>
      <c r="K10" s="36"/>
      <c r="L10" s="36"/>
      <c r="M10" s="37"/>
    </row>
    <row r="11" spans="1:13" s="1" customFormat="1" ht="14.1" customHeight="1">
      <c r="A11" s="38">
        <v>5</v>
      </c>
      <c r="B11" s="58" t="s">
        <v>47</v>
      </c>
      <c r="C11" s="58"/>
      <c r="D11" s="57" t="s">
        <v>8</v>
      </c>
      <c r="E11" s="57"/>
      <c r="F11" s="57"/>
      <c r="G11" s="57"/>
      <c r="H11" s="24">
        <f>SUM(I11)-2.25</f>
        <v>29.5</v>
      </c>
      <c r="I11" s="24">
        <f>SUM(J11)-2.25</f>
        <v>31.75</v>
      </c>
      <c r="J11" s="33">
        <v>34</v>
      </c>
      <c r="K11" s="24">
        <f>SUM(J11)+2</f>
        <v>36</v>
      </c>
      <c r="L11" s="24">
        <f>SUM(K11)+2</f>
        <v>38</v>
      </c>
      <c r="M11" s="26">
        <f>SUM(L11)+2</f>
        <v>40</v>
      </c>
    </row>
    <row r="12" spans="1:13" s="1" customFormat="1" ht="14.1" customHeight="1">
      <c r="A12" s="38"/>
      <c r="B12" s="56" t="s">
        <v>27</v>
      </c>
      <c r="C12" s="56"/>
      <c r="D12" s="47" t="s">
        <v>50</v>
      </c>
      <c r="E12" s="48"/>
      <c r="F12" s="48"/>
      <c r="G12" s="49"/>
      <c r="H12" s="36"/>
      <c r="I12" s="36"/>
      <c r="J12" s="35"/>
      <c r="K12" s="36"/>
      <c r="L12" s="36"/>
      <c r="M12" s="37"/>
    </row>
    <row r="13" spans="1:13" s="1" customFormat="1" ht="14.1" customHeight="1">
      <c r="A13" s="38">
        <v>6</v>
      </c>
      <c r="B13" s="58" t="s">
        <v>10</v>
      </c>
      <c r="C13" s="58"/>
      <c r="D13" s="57" t="s">
        <v>0</v>
      </c>
      <c r="E13" s="57"/>
      <c r="F13" s="57"/>
      <c r="G13" s="57"/>
      <c r="H13" s="24">
        <f>SUM(I13)-0.8</f>
        <v>13.399999999999999</v>
      </c>
      <c r="I13" s="24">
        <f>SUM(J13)-0.8</f>
        <v>14.2</v>
      </c>
      <c r="J13" s="23">
        <v>15</v>
      </c>
      <c r="K13" s="21">
        <f>SUM(J13)+1</f>
        <v>16</v>
      </c>
      <c r="L13" s="21">
        <f>SUM(K13)+0.8</f>
        <v>16.8</v>
      </c>
      <c r="M13" s="22">
        <f t="shared" ref="M13" si="2">SUM(L13)+0.9</f>
        <v>17.7</v>
      </c>
    </row>
    <row r="14" spans="1:13" s="1" customFormat="1" ht="14.1" customHeight="1">
      <c r="A14" s="38"/>
      <c r="B14" s="56" t="s">
        <v>28</v>
      </c>
      <c r="C14" s="56"/>
      <c r="D14" s="47" t="s">
        <v>51</v>
      </c>
      <c r="E14" s="48"/>
      <c r="F14" s="48"/>
      <c r="G14" s="49"/>
      <c r="H14" s="36"/>
      <c r="I14" s="36"/>
      <c r="J14" s="23"/>
      <c r="K14" s="21"/>
      <c r="L14" s="21"/>
      <c r="M14" s="22"/>
    </row>
    <row r="15" spans="1:13" s="1" customFormat="1" ht="14.1" customHeight="1">
      <c r="A15" s="38">
        <v>7</v>
      </c>
      <c r="B15" s="58" t="s">
        <v>1</v>
      </c>
      <c r="C15" s="58"/>
      <c r="D15" s="57" t="s">
        <v>180</v>
      </c>
      <c r="E15" s="57"/>
      <c r="F15" s="57"/>
      <c r="G15" s="57"/>
      <c r="H15" s="24">
        <f>SUM(I15)-0.6</f>
        <v>13.5</v>
      </c>
      <c r="I15" s="24">
        <f>SUM(J15)-0.6</f>
        <v>14.1</v>
      </c>
      <c r="J15" s="23">
        <v>14.7</v>
      </c>
      <c r="K15" s="21">
        <f>SUM(J15)+0.6</f>
        <v>15.299999999999999</v>
      </c>
      <c r="L15" s="21">
        <f>SUM(K15)+0.6</f>
        <v>15.899999999999999</v>
      </c>
      <c r="M15" s="22">
        <f>SUM(L15)+0.6</f>
        <v>16.5</v>
      </c>
    </row>
    <row r="16" spans="1:13" s="1" customFormat="1" ht="14.1" customHeight="1">
      <c r="A16" s="38"/>
      <c r="B16" s="56" t="s">
        <v>29</v>
      </c>
      <c r="C16" s="56"/>
      <c r="D16" s="47" t="s">
        <v>52</v>
      </c>
      <c r="E16" s="48"/>
      <c r="F16" s="48"/>
      <c r="G16" s="49"/>
      <c r="H16" s="36"/>
      <c r="I16" s="36"/>
      <c r="J16" s="23"/>
      <c r="K16" s="21"/>
      <c r="L16" s="21"/>
      <c r="M16" s="22"/>
    </row>
    <row r="17" spans="1:13" s="1" customFormat="1" ht="14.1" customHeight="1">
      <c r="A17" s="38">
        <v>8</v>
      </c>
      <c r="B17" s="58" t="s">
        <v>2</v>
      </c>
      <c r="C17" s="58"/>
      <c r="D17" s="57" t="s">
        <v>3</v>
      </c>
      <c r="E17" s="57"/>
      <c r="F17" s="57"/>
      <c r="G17" s="57"/>
      <c r="H17" s="24">
        <f>SUM(I17)-0.3</f>
        <v>6.1000000000000005</v>
      </c>
      <c r="I17" s="24">
        <f>SUM(J17)-0.3</f>
        <v>6.4</v>
      </c>
      <c r="J17" s="23">
        <v>6.7</v>
      </c>
      <c r="K17" s="21">
        <f>SUM(J17)+0.3</f>
        <v>7</v>
      </c>
      <c r="L17" s="21">
        <f>SUM(K17)+0.3</f>
        <v>7.3</v>
      </c>
      <c r="M17" s="22">
        <f>SUM(L17)+0.3</f>
        <v>7.6</v>
      </c>
    </row>
    <row r="18" spans="1:13" s="1" customFormat="1" ht="14.1" customHeight="1">
      <c r="A18" s="38"/>
      <c r="B18" s="56" t="s">
        <v>30</v>
      </c>
      <c r="C18" s="56"/>
      <c r="D18" s="47" t="s">
        <v>379</v>
      </c>
      <c r="E18" s="48"/>
      <c r="F18" s="48"/>
      <c r="G18" s="49"/>
      <c r="H18" s="36"/>
      <c r="I18" s="36"/>
      <c r="J18" s="23"/>
      <c r="K18" s="21"/>
      <c r="L18" s="21"/>
      <c r="M18" s="22"/>
    </row>
    <row r="19" spans="1:13" s="1" customFormat="1" ht="14.1" customHeight="1">
      <c r="A19" s="38">
        <v>9</v>
      </c>
      <c r="B19" s="51" t="s">
        <v>85</v>
      </c>
      <c r="C19" s="52"/>
      <c r="D19" s="59" t="s">
        <v>86</v>
      </c>
      <c r="E19" s="60"/>
      <c r="F19" s="60"/>
      <c r="G19" s="61"/>
      <c r="H19" s="24">
        <f>SUM(I19)-1.6</f>
        <v>35.5</v>
      </c>
      <c r="I19" s="24">
        <f>SUM(J19)-1.6</f>
        <v>37.1</v>
      </c>
      <c r="J19" s="23">
        <v>38.700000000000003</v>
      </c>
      <c r="K19" s="21">
        <f>SUM(J19)+1.6</f>
        <v>40.300000000000004</v>
      </c>
      <c r="L19" s="21">
        <f>SUM(K19)+1.6</f>
        <v>41.900000000000006</v>
      </c>
      <c r="M19" s="22">
        <f>SUM(L19)+1.6</f>
        <v>43.500000000000007</v>
      </c>
    </row>
    <row r="20" spans="1:13" s="1" customFormat="1" ht="14.1" customHeight="1">
      <c r="A20" s="38"/>
      <c r="B20" s="56" t="s">
        <v>37</v>
      </c>
      <c r="C20" s="56"/>
      <c r="D20" s="47" t="s">
        <v>107</v>
      </c>
      <c r="E20" s="48"/>
      <c r="F20" s="48"/>
      <c r="G20" s="49"/>
      <c r="H20" s="36"/>
      <c r="I20" s="36"/>
      <c r="J20" s="23"/>
      <c r="K20" s="21"/>
      <c r="L20" s="21"/>
      <c r="M20" s="22"/>
    </row>
    <row r="21" spans="1:13" s="1" customFormat="1" ht="14.1" customHeight="1">
      <c r="A21" s="38">
        <v>10</v>
      </c>
      <c r="B21" s="58" t="s">
        <v>4</v>
      </c>
      <c r="C21" s="58"/>
      <c r="D21" s="57" t="s">
        <v>5</v>
      </c>
      <c r="E21" s="57"/>
      <c r="F21" s="57"/>
      <c r="G21" s="57"/>
      <c r="H21" s="24">
        <f>SUM(I21)-3.6</f>
        <v>33.799999999999997</v>
      </c>
      <c r="I21" s="24">
        <f>SUM(J21)-3.6</f>
        <v>37.4</v>
      </c>
      <c r="J21" s="23">
        <v>41</v>
      </c>
      <c r="K21" s="21">
        <f>SUM(J21)+3.7</f>
        <v>44.7</v>
      </c>
      <c r="L21" s="21">
        <f>SUM(K21)+3.7</f>
        <v>48.400000000000006</v>
      </c>
      <c r="M21" s="22">
        <f>SUM(L21)+3.7</f>
        <v>52.100000000000009</v>
      </c>
    </row>
    <row r="22" spans="1:13" s="1" customFormat="1" ht="14.1" customHeight="1">
      <c r="A22" s="38"/>
      <c r="B22" s="56" t="s">
        <v>31</v>
      </c>
      <c r="C22" s="56"/>
      <c r="D22" s="47" t="s">
        <v>54</v>
      </c>
      <c r="E22" s="48"/>
      <c r="F22" s="48"/>
      <c r="G22" s="49"/>
      <c r="H22" s="36"/>
      <c r="I22" s="36"/>
      <c r="J22" s="23"/>
      <c r="K22" s="21"/>
      <c r="L22" s="21"/>
      <c r="M22" s="22"/>
    </row>
    <row r="23" spans="1:13" s="1" customFormat="1" ht="14.1" customHeight="1">
      <c r="A23" s="38">
        <v>11</v>
      </c>
      <c r="B23" s="58" t="s">
        <v>6</v>
      </c>
      <c r="C23" s="58"/>
      <c r="D23" s="59" t="s">
        <v>7</v>
      </c>
      <c r="E23" s="60"/>
      <c r="F23" s="60"/>
      <c r="G23" s="61"/>
      <c r="H23" s="24">
        <f>SUM(I23)-1.5</f>
        <v>22</v>
      </c>
      <c r="I23" s="24">
        <f>SUM(J23)-1.5</f>
        <v>23.5</v>
      </c>
      <c r="J23" s="23">
        <v>25</v>
      </c>
      <c r="K23" s="21">
        <f>SUM(J23)+1.5</f>
        <v>26.5</v>
      </c>
      <c r="L23" s="21">
        <f t="shared" ref="L23" si="3">SUM(K23)+1.5</f>
        <v>28</v>
      </c>
      <c r="M23" s="22">
        <f>SUM(L23)+1.5</f>
        <v>29.5</v>
      </c>
    </row>
    <row r="24" spans="1:13" s="1" customFormat="1" ht="14.1" customHeight="1">
      <c r="A24" s="38"/>
      <c r="B24" s="56" t="s">
        <v>32</v>
      </c>
      <c r="C24" s="56"/>
      <c r="D24" s="47" t="s">
        <v>76</v>
      </c>
      <c r="E24" s="48"/>
      <c r="F24" s="48"/>
      <c r="G24" s="49"/>
      <c r="H24" s="36"/>
      <c r="I24" s="36"/>
      <c r="J24" s="23"/>
      <c r="K24" s="21"/>
      <c r="L24" s="21"/>
      <c r="M24" s="22"/>
    </row>
    <row r="25" spans="1:13" s="1" customFormat="1" ht="14.1" customHeight="1">
      <c r="A25" s="38">
        <v>12</v>
      </c>
      <c r="B25" s="51" t="s">
        <v>77</v>
      </c>
      <c r="C25" s="52"/>
      <c r="D25" s="57" t="s">
        <v>78</v>
      </c>
      <c r="E25" s="57"/>
      <c r="F25" s="57"/>
      <c r="G25" s="57"/>
      <c r="H25" s="24">
        <f>SUM(I25)-0.6</f>
        <v>15.999999999999998</v>
      </c>
      <c r="I25" s="24">
        <f>SUM(J25)-0.6</f>
        <v>16.599999999999998</v>
      </c>
      <c r="J25" s="23">
        <v>17.2</v>
      </c>
      <c r="K25" s="21">
        <f>SUM(J25)+0.6</f>
        <v>17.8</v>
      </c>
      <c r="L25" s="21">
        <f t="shared" ref="L25" si="4">SUM(K25)+0.6</f>
        <v>18.400000000000002</v>
      </c>
      <c r="M25" s="22">
        <f>SUM(L25)+0.6</f>
        <v>19.000000000000004</v>
      </c>
    </row>
    <row r="26" spans="1:13" s="1" customFormat="1" ht="14.1" customHeight="1">
      <c r="A26" s="38"/>
      <c r="B26" s="56" t="s">
        <v>33</v>
      </c>
      <c r="C26" s="56"/>
      <c r="D26" s="47" t="s">
        <v>79</v>
      </c>
      <c r="E26" s="48"/>
      <c r="F26" s="48"/>
      <c r="G26" s="49"/>
      <c r="H26" s="36"/>
      <c r="I26" s="36"/>
      <c r="J26" s="23"/>
      <c r="K26" s="21"/>
      <c r="L26" s="21"/>
      <c r="M26" s="22"/>
    </row>
    <row r="27" spans="1:13" s="1" customFormat="1" ht="14.1" customHeight="1">
      <c r="A27" s="38">
        <v>13</v>
      </c>
      <c r="B27" s="51" t="s">
        <v>731</v>
      </c>
      <c r="C27" s="52"/>
      <c r="D27" s="57"/>
      <c r="E27" s="57"/>
      <c r="F27" s="57"/>
      <c r="G27" s="57"/>
      <c r="H27" s="24">
        <f>SUM(I27)-1.5</f>
        <v>15</v>
      </c>
      <c r="I27" s="24">
        <f>SUM(J27)-1.5</f>
        <v>16.5</v>
      </c>
      <c r="J27" s="23">
        <v>18</v>
      </c>
      <c r="K27" s="21">
        <f>SUM(J27)+1</f>
        <v>19</v>
      </c>
      <c r="L27" s="21">
        <f t="shared" ref="L27:M27" si="5">SUM(K27)+1</f>
        <v>20</v>
      </c>
      <c r="M27" s="22">
        <f t="shared" si="5"/>
        <v>21</v>
      </c>
    </row>
    <row r="28" spans="1:13" s="1" customFormat="1" ht="14.1" customHeight="1">
      <c r="A28" s="38"/>
      <c r="B28" s="56" t="s">
        <v>732</v>
      </c>
      <c r="C28" s="56"/>
      <c r="D28" s="47" t="s">
        <v>736</v>
      </c>
      <c r="E28" s="48"/>
      <c r="F28" s="48"/>
      <c r="G28" s="49"/>
      <c r="H28" s="36"/>
      <c r="I28" s="36"/>
      <c r="J28" s="23"/>
      <c r="K28" s="21"/>
      <c r="L28" s="21"/>
      <c r="M28" s="22"/>
    </row>
    <row r="29" spans="1:13" s="1" customFormat="1" ht="14.1" customHeight="1">
      <c r="A29" s="38">
        <v>14</v>
      </c>
      <c r="B29" s="51" t="s">
        <v>737</v>
      </c>
      <c r="C29" s="52"/>
      <c r="D29" s="57"/>
      <c r="E29" s="57"/>
      <c r="F29" s="57"/>
      <c r="G29" s="57"/>
      <c r="H29" s="24">
        <f>SUM(I29)-2.4</f>
        <v>28.400000000000006</v>
      </c>
      <c r="I29" s="24">
        <f>SUM(J29)-2.4</f>
        <v>30.800000000000004</v>
      </c>
      <c r="J29" s="23">
        <v>33.200000000000003</v>
      </c>
      <c r="K29" s="21">
        <f>SUM(J29)+2.4</f>
        <v>35.6</v>
      </c>
      <c r="L29" s="21">
        <f t="shared" ref="L29:M29" si="6">SUM(K29)+2.4</f>
        <v>38</v>
      </c>
      <c r="M29" s="22">
        <f t="shared" si="6"/>
        <v>40.4</v>
      </c>
    </row>
    <row r="30" spans="1:13" s="1" customFormat="1" ht="14.1" customHeight="1">
      <c r="A30" s="38"/>
      <c r="B30" s="45" t="s">
        <v>738</v>
      </c>
      <c r="C30" s="46"/>
      <c r="D30" s="47"/>
      <c r="E30" s="48"/>
      <c r="F30" s="48"/>
      <c r="G30" s="49"/>
      <c r="H30" s="36"/>
      <c r="I30" s="36"/>
      <c r="J30" s="23"/>
      <c r="K30" s="21"/>
      <c r="L30" s="21"/>
      <c r="M30" s="22"/>
    </row>
    <row r="31" spans="1:13" ht="14.1" customHeight="1">
      <c r="A31" s="38">
        <v>15</v>
      </c>
      <c r="B31" s="40"/>
      <c r="C31" s="41"/>
      <c r="D31" s="42"/>
      <c r="E31" s="43"/>
      <c r="F31" s="43"/>
      <c r="G31" s="44"/>
      <c r="H31" s="50"/>
      <c r="I31" s="50"/>
      <c r="J31" s="35"/>
      <c r="K31" s="36"/>
      <c r="L31" s="36"/>
      <c r="M31" s="37"/>
    </row>
    <row r="32" spans="1:13" ht="14.1" customHeight="1">
      <c r="A32" s="38"/>
      <c r="B32" s="45"/>
      <c r="C32" s="46"/>
      <c r="D32" s="47"/>
      <c r="E32" s="48"/>
      <c r="F32" s="48"/>
      <c r="G32" s="49"/>
      <c r="H32" s="36"/>
      <c r="I32" s="36"/>
      <c r="J32" s="23"/>
      <c r="K32" s="21"/>
      <c r="L32" s="21"/>
      <c r="M32" s="22"/>
    </row>
    <row r="33" spans="1:13" ht="14.1" customHeight="1">
      <c r="A33" s="38">
        <v>16</v>
      </c>
      <c r="B33" s="40"/>
      <c r="C33" s="41"/>
      <c r="D33" s="42"/>
      <c r="E33" s="43"/>
      <c r="F33" s="43"/>
      <c r="G33" s="44"/>
      <c r="H33" s="24"/>
      <c r="I33" s="24"/>
      <c r="J33" s="33"/>
      <c r="K33" s="24"/>
      <c r="L33" s="24"/>
      <c r="M33" s="26"/>
    </row>
    <row r="34" spans="1:13" ht="14.1" customHeight="1" thickBot="1">
      <c r="A34" s="39"/>
      <c r="B34" s="28"/>
      <c r="C34" s="29"/>
      <c r="D34" s="30"/>
      <c r="E34" s="31"/>
      <c r="F34" s="31"/>
      <c r="G34" s="32"/>
      <c r="H34" s="25"/>
      <c r="I34" s="25"/>
      <c r="J34" s="34"/>
      <c r="K34" s="25"/>
      <c r="L34" s="25"/>
      <c r="M34" s="27"/>
    </row>
    <row r="35" spans="1:13" ht="14.1" customHeight="1"/>
    <row r="36" spans="1:13" ht="14.1" customHeight="1"/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179"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A1:M1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A31:A32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6FE4D-F536-4334-A009-8EA69EEB27E3}">
  <sheetPr>
    <tabColor rgb="FF00B050"/>
    <pageSetUpPr fitToPage="1"/>
  </sheetPr>
  <dimension ref="A1:M51"/>
  <sheetViews>
    <sheetView zoomScale="110" zoomScaleNormal="110" workbookViewId="0">
      <selection activeCell="I3" sqref="I3:I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660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24">
        <f>SUM(I3)-3.5</f>
        <v>36</v>
      </c>
      <c r="I3" s="24">
        <f>SUM(J3)-3.5</f>
        <v>39.5</v>
      </c>
      <c r="J3" s="75">
        <v>43</v>
      </c>
      <c r="K3" s="76">
        <f>SUM(J3)+3</f>
        <v>46</v>
      </c>
      <c r="L3" s="76">
        <f>SUM(K3)+3</f>
        <v>49</v>
      </c>
      <c r="M3" s="77">
        <f>SUM(L3)+3</f>
        <v>52</v>
      </c>
    </row>
    <row r="4" spans="1:13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24"/>
      <c r="L4" s="24"/>
      <c r="M4" s="26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SUM(I5)-1.8</f>
        <v>21.4</v>
      </c>
      <c r="I5" s="24">
        <f>SUM(J5)-1.8</f>
        <v>23.2</v>
      </c>
      <c r="J5" s="33">
        <v>25</v>
      </c>
      <c r="K5" s="24">
        <f>SUM(J5)+1.6</f>
        <v>26.6</v>
      </c>
      <c r="L5" s="24">
        <f>SUM(K5)+1.6</f>
        <v>28.200000000000003</v>
      </c>
      <c r="M5" s="26">
        <f>SUM(L5)+1.6</f>
        <v>29.800000000000004</v>
      </c>
    </row>
    <row r="6" spans="1:13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37"/>
    </row>
    <row r="7" spans="1:13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28</v>
      </c>
      <c r="I7" s="24">
        <f>SUM(J7)-2.25</f>
        <v>30.25</v>
      </c>
      <c r="J7" s="33">
        <v>32.5</v>
      </c>
      <c r="K7" s="24">
        <f>SUM(J7)+2</f>
        <v>34.5</v>
      </c>
      <c r="L7" s="24">
        <f>SUM(K7)+2</f>
        <v>36.5</v>
      </c>
      <c r="M7" s="26">
        <f>SUM(L7)+2</f>
        <v>38.5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37"/>
    </row>
    <row r="9" spans="1:13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SUM(I9)-2.25</f>
        <v>28</v>
      </c>
      <c r="I9" s="24">
        <f>SUM(J9)-2.25</f>
        <v>30.25</v>
      </c>
      <c r="J9" s="33">
        <v>32.5</v>
      </c>
      <c r="K9" s="24">
        <f>SUM(J9)+2</f>
        <v>34.5</v>
      </c>
      <c r="L9" s="24">
        <f>SUM(K9)+2</f>
        <v>36.5</v>
      </c>
      <c r="M9" s="26">
        <f>SUM(L9)+2</f>
        <v>38.5</v>
      </c>
    </row>
    <row r="10" spans="1:13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7"/>
    </row>
    <row r="11" spans="1:13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SUM(I11)-0.8</f>
        <v>13.2</v>
      </c>
      <c r="I11" s="24">
        <f>SUM(J11)-0.8</f>
        <v>14</v>
      </c>
      <c r="J11" s="23">
        <v>14.8</v>
      </c>
      <c r="K11" s="21">
        <f>SUM(J11)+0.9</f>
        <v>15.700000000000001</v>
      </c>
      <c r="L11" s="21">
        <f>SUM(K11)+0.9</f>
        <v>16.600000000000001</v>
      </c>
      <c r="M11" s="22">
        <f>SUM(L11)+0.9</f>
        <v>17.5</v>
      </c>
    </row>
    <row r="12" spans="1:13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2"/>
    </row>
    <row r="13" spans="1:13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15.3</v>
      </c>
      <c r="I13" s="24">
        <f>SUM(J13)-0.6</f>
        <v>15.9</v>
      </c>
      <c r="J13" s="23">
        <v>16.5</v>
      </c>
      <c r="K13" s="21">
        <f>SUM(J13)+0.6</f>
        <v>17.100000000000001</v>
      </c>
      <c r="L13" s="21">
        <f>SUM(K13)+0.6</f>
        <v>17.700000000000003</v>
      </c>
      <c r="M13" s="22">
        <f>SUM(L13)+0.6</f>
        <v>18.300000000000004</v>
      </c>
    </row>
    <row r="14" spans="1:13" s="1" customFormat="1" ht="14.1" customHeight="1">
      <c r="A14" s="38"/>
      <c r="B14" s="56" t="s">
        <v>29</v>
      </c>
      <c r="C14" s="56"/>
      <c r="D14" s="47" t="s">
        <v>154</v>
      </c>
      <c r="E14" s="48"/>
      <c r="F14" s="48"/>
      <c r="G14" s="49"/>
      <c r="H14" s="36"/>
      <c r="I14" s="36"/>
      <c r="J14" s="23"/>
      <c r="K14" s="21"/>
      <c r="L14" s="21"/>
      <c r="M14" s="22"/>
    </row>
    <row r="15" spans="1:13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6.2</v>
      </c>
      <c r="I15" s="24">
        <f>SUM(J15)-0.3</f>
        <v>6.5</v>
      </c>
      <c r="J15" s="23">
        <v>6.8</v>
      </c>
      <c r="K15" s="21">
        <f>SUM(J15)+0.3</f>
        <v>7.1</v>
      </c>
      <c r="L15" s="21">
        <f>SUM(K15)+0.3</f>
        <v>7.3999999999999995</v>
      </c>
      <c r="M15" s="22">
        <f>SUM(L15)+0.3</f>
        <v>7.6999999999999993</v>
      </c>
    </row>
    <row r="16" spans="1:13" s="1" customFormat="1" ht="14.1" customHeight="1">
      <c r="A16" s="38"/>
      <c r="B16" s="56" t="s">
        <v>30</v>
      </c>
      <c r="C16" s="56"/>
      <c r="D16" s="47" t="s">
        <v>155</v>
      </c>
      <c r="E16" s="48"/>
      <c r="F16" s="48"/>
      <c r="G16" s="49"/>
      <c r="H16" s="36"/>
      <c r="I16" s="36"/>
      <c r="J16" s="23"/>
      <c r="K16" s="21"/>
      <c r="L16" s="21"/>
      <c r="M16" s="22"/>
    </row>
    <row r="17" spans="1:13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39.799999999999997</v>
      </c>
      <c r="I17" s="24">
        <f>SUM(J17)-1.6</f>
        <v>41.4</v>
      </c>
      <c r="J17" s="23">
        <v>43</v>
      </c>
      <c r="K17" s="21">
        <f>SUM(J17)+1.6</f>
        <v>44.6</v>
      </c>
      <c r="L17" s="21">
        <f>SUM(K17)+1.6</f>
        <v>46.2</v>
      </c>
      <c r="M17" s="22">
        <f>SUM(L17)+1.6</f>
        <v>47.800000000000004</v>
      </c>
    </row>
    <row r="18" spans="1:13" s="1" customFormat="1" ht="14.1" customHeight="1">
      <c r="A18" s="38"/>
      <c r="B18" s="56" t="s">
        <v>37</v>
      </c>
      <c r="C18" s="56"/>
      <c r="D18" s="47" t="s">
        <v>156</v>
      </c>
      <c r="E18" s="48"/>
      <c r="F18" s="48"/>
      <c r="G18" s="49"/>
      <c r="H18" s="36"/>
      <c r="I18" s="36"/>
      <c r="J18" s="23"/>
      <c r="K18" s="21"/>
      <c r="L18" s="21"/>
      <c r="M18" s="22"/>
    </row>
    <row r="19" spans="1:13" s="1" customFormat="1" ht="14.1" customHeight="1">
      <c r="A19" s="38">
        <v>9</v>
      </c>
      <c r="B19" s="58" t="s">
        <v>4</v>
      </c>
      <c r="C19" s="58"/>
      <c r="D19" s="57" t="s">
        <v>5</v>
      </c>
      <c r="E19" s="57"/>
      <c r="F19" s="57"/>
      <c r="G19" s="57"/>
      <c r="H19" s="24">
        <f>SUM(I19)-3.6</f>
        <v>33.299999999999997</v>
      </c>
      <c r="I19" s="24">
        <f>SUM(J19)-3.6</f>
        <v>36.9</v>
      </c>
      <c r="J19" s="23">
        <v>40.5</v>
      </c>
      <c r="K19" s="21">
        <f>SUM(J19)+3.7</f>
        <v>44.2</v>
      </c>
      <c r="L19" s="21">
        <f>SUM(K19)+3.7</f>
        <v>47.900000000000006</v>
      </c>
      <c r="M19" s="22">
        <f>SUM(L19)+3.7</f>
        <v>51.600000000000009</v>
      </c>
    </row>
    <row r="20" spans="1:13" s="1" customFormat="1" ht="14.1" customHeight="1">
      <c r="A20" s="38"/>
      <c r="B20" s="56" t="s">
        <v>31</v>
      </c>
      <c r="C20" s="56"/>
      <c r="D20" s="47" t="s">
        <v>54</v>
      </c>
      <c r="E20" s="48"/>
      <c r="F20" s="48"/>
      <c r="G20" s="49"/>
      <c r="H20" s="36"/>
      <c r="I20" s="36"/>
      <c r="J20" s="23"/>
      <c r="K20" s="21"/>
      <c r="L20" s="21"/>
      <c r="M20" s="22"/>
    </row>
    <row r="21" spans="1:13" s="1" customFormat="1" ht="14.1" customHeight="1">
      <c r="A21" s="38">
        <v>10</v>
      </c>
      <c r="B21" s="58" t="s">
        <v>6</v>
      </c>
      <c r="C21" s="58"/>
      <c r="D21" s="59" t="s">
        <v>7</v>
      </c>
      <c r="E21" s="60"/>
      <c r="F21" s="60"/>
      <c r="G21" s="61"/>
      <c r="H21" s="24">
        <f>SUM(I21)-1.5</f>
        <v>22.5</v>
      </c>
      <c r="I21" s="24">
        <f>SUM(J21)-1.5</f>
        <v>24</v>
      </c>
      <c r="J21" s="23">
        <v>25.5</v>
      </c>
      <c r="K21" s="21">
        <f>SUM(J21)+1.5</f>
        <v>27</v>
      </c>
      <c r="L21" s="21">
        <f>SUM(K21)+1.5</f>
        <v>28.5</v>
      </c>
      <c r="M21" s="22">
        <f>SUM(L21)+1.5</f>
        <v>30</v>
      </c>
    </row>
    <row r="22" spans="1:13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9"/>
      <c r="H22" s="36"/>
      <c r="I22" s="36"/>
      <c r="J22" s="23"/>
      <c r="K22" s="21"/>
      <c r="L22" s="21"/>
      <c r="M22" s="22"/>
    </row>
    <row r="23" spans="1:13" s="1" customFormat="1" ht="14.1" customHeight="1">
      <c r="A23" s="38">
        <v>11</v>
      </c>
      <c r="B23" s="51" t="s">
        <v>77</v>
      </c>
      <c r="C23" s="52"/>
      <c r="D23" s="57" t="s">
        <v>78</v>
      </c>
      <c r="E23" s="57"/>
      <c r="F23" s="57"/>
      <c r="G23" s="57"/>
      <c r="H23" s="24">
        <f>SUM(I23)-0.7</f>
        <v>14.600000000000001</v>
      </c>
      <c r="I23" s="24">
        <f>SUM(J23)-0.7</f>
        <v>15.3</v>
      </c>
      <c r="J23" s="23">
        <v>16</v>
      </c>
      <c r="K23" s="21">
        <f>SUM(J23)+0.7</f>
        <v>16.7</v>
      </c>
      <c r="L23" s="21">
        <f>SUM(K23)+0.7</f>
        <v>17.399999999999999</v>
      </c>
      <c r="M23" s="22">
        <f>SUM(L23)+0.7</f>
        <v>18.099999999999998</v>
      </c>
    </row>
    <row r="24" spans="1:13" s="1" customFormat="1" ht="14.1" customHeight="1">
      <c r="A24" s="38"/>
      <c r="B24" s="56" t="s">
        <v>33</v>
      </c>
      <c r="C24" s="56"/>
      <c r="D24" s="47" t="s">
        <v>79</v>
      </c>
      <c r="E24" s="48"/>
      <c r="F24" s="48"/>
      <c r="G24" s="49"/>
      <c r="H24" s="36"/>
      <c r="I24" s="36"/>
      <c r="J24" s="23"/>
      <c r="K24" s="21"/>
      <c r="L24" s="21"/>
      <c r="M24" s="22"/>
    </row>
    <row r="25" spans="1:13" s="1" customFormat="1" ht="14.1" customHeight="1">
      <c r="A25" s="38">
        <v>12</v>
      </c>
      <c r="B25" s="51" t="s">
        <v>661</v>
      </c>
      <c r="C25" s="52"/>
      <c r="D25" s="53"/>
      <c r="E25" s="54"/>
      <c r="F25" s="54"/>
      <c r="G25" s="55"/>
      <c r="H25" s="24">
        <f>SUM(I25)-1.3</f>
        <v>13.399999999999999</v>
      </c>
      <c r="I25" s="24">
        <f>SUM(J25)-1.3</f>
        <v>14.7</v>
      </c>
      <c r="J25" s="23">
        <v>16</v>
      </c>
      <c r="K25" s="21">
        <f>SUM(J25)+1.3</f>
        <v>17.3</v>
      </c>
      <c r="L25" s="21">
        <f>SUM(K25)+1.3</f>
        <v>18.600000000000001</v>
      </c>
      <c r="M25" s="22">
        <f>SUM(L25)+1.3</f>
        <v>19.900000000000002</v>
      </c>
    </row>
    <row r="26" spans="1:13" s="1" customFormat="1" ht="14.1" customHeight="1">
      <c r="A26" s="38"/>
      <c r="B26" s="45" t="s">
        <v>662</v>
      </c>
      <c r="C26" s="46"/>
      <c r="D26" s="47" t="s">
        <v>272</v>
      </c>
      <c r="E26" s="48"/>
      <c r="F26" s="48"/>
      <c r="G26" s="49"/>
      <c r="H26" s="36"/>
      <c r="I26" s="36"/>
      <c r="J26" s="23"/>
      <c r="K26" s="21"/>
      <c r="L26" s="21"/>
      <c r="M26" s="22"/>
    </row>
    <row r="27" spans="1:13" s="1" customFormat="1" ht="14.1" customHeight="1">
      <c r="A27" s="38">
        <v>13</v>
      </c>
      <c r="B27" s="51" t="s">
        <v>663</v>
      </c>
      <c r="C27" s="52"/>
      <c r="D27" s="53"/>
      <c r="E27" s="54"/>
      <c r="F27" s="54"/>
      <c r="G27" s="55"/>
      <c r="H27" s="24">
        <f>SUM(I27)-0.9</f>
        <v>12.7</v>
      </c>
      <c r="I27" s="24">
        <f>SUM(J27)-0.9</f>
        <v>13.6</v>
      </c>
      <c r="J27" s="23">
        <v>14.5</v>
      </c>
      <c r="K27" s="21">
        <f>SUM(J27)+0.8</f>
        <v>15.3</v>
      </c>
      <c r="L27" s="21">
        <f>SUM(K27)+0.9</f>
        <v>16.2</v>
      </c>
      <c r="M27" s="22">
        <f>SUM(L27)+0.8</f>
        <v>17</v>
      </c>
    </row>
    <row r="28" spans="1:13" s="1" customFormat="1" ht="14.1" customHeight="1">
      <c r="A28" s="38"/>
      <c r="B28" s="45" t="s">
        <v>664</v>
      </c>
      <c r="C28" s="46"/>
      <c r="D28" s="47"/>
      <c r="E28" s="48"/>
      <c r="F28" s="48"/>
      <c r="G28" s="49"/>
      <c r="H28" s="36"/>
      <c r="I28" s="36"/>
      <c r="J28" s="23"/>
      <c r="K28" s="21"/>
      <c r="L28" s="21"/>
      <c r="M28" s="22"/>
    </row>
    <row r="29" spans="1:13" s="1" customFormat="1" ht="14.1" customHeight="1">
      <c r="A29" s="38">
        <v>14</v>
      </c>
      <c r="B29" s="51"/>
      <c r="C29" s="52"/>
      <c r="D29" s="53"/>
      <c r="E29" s="54"/>
      <c r="F29" s="54"/>
      <c r="G29" s="55"/>
      <c r="H29" s="24"/>
      <c r="I29" s="24"/>
      <c r="J29" s="23"/>
      <c r="K29" s="21"/>
      <c r="L29" s="21"/>
      <c r="M29" s="22"/>
    </row>
    <row r="30" spans="1:13" s="1" customFormat="1" ht="14.1" customHeight="1">
      <c r="A30" s="38"/>
      <c r="B30" s="45"/>
      <c r="C30" s="46"/>
      <c r="D30" s="47"/>
      <c r="E30" s="48"/>
      <c r="F30" s="48"/>
      <c r="G30" s="49"/>
      <c r="H30" s="36"/>
      <c r="I30" s="36"/>
      <c r="J30" s="23"/>
      <c r="K30" s="21"/>
      <c r="L30" s="21"/>
      <c r="M30" s="22"/>
    </row>
    <row r="31" spans="1:13" ht="14.1" customHeight="1">
      <c r="A31" s="38">
        <v>15</v>
      </c>
      <c r="B31" s="40"/>
      <c r="C31" s="41"/>
      <c r="D31" s="42"/>
      <c r="E31" s="43"/>
      <c r="F31" s="43"/>
      <c r="G31" s="44"/>
      <c r="H31" s="50"/>
      <c r="I31" s="50"/>
      <c r="J31" s="35"/>
      <c r="K31" s="36"/>
      <c r="L31" s="36"/>
      <c r="M31" s="37"/>
    </row>
    <row r="32" spans="1:13" ht="14.1" customHeight="1">
      <c r="A32" s="38"/>
      <c r="B32" s="45"/>
      <c r="C32" s="46"/>
      <c r="D32" s="47"/>
      <c r="E32" s="48"/>
      <c r="F32" s="48"/>
      <c r="G32" s="49"/>
      <c r="H32" s="36"/>
      <c r="I32" s="36"/>
      <c r="J32" s="23"/>
      <c r="K32" s="21"/>
      <c r="L32" s="21"/>
      <c r="M32" s="22"/>
    </row>
    <row r="33" spans="1:13" ht="14.1" customHeight="1">
      <c r="A33" s="38">
        <v>16</v>
      </c>
      <c r="B33" s="40"/>
      <c r="C33" s="41"/>
      <c r="D33" s="42"/>
      <c r="E33" s="43"/>
      <c r="F33" s="43"/>
      <c r="G33" s="44"/>
      <c r="H33" s="24"/>
      <c r="I33" s="24"/>
      <c r="J33" s="33"/>
      <c r="K33" s="24"/>
      <c r="L33" s="24"/>
      <c r="M33" s="26"/>
    </row>
    <row r="34" spans="1:13" ht="14.1" customHeight="1" thickBot="1">
      <c r="A34" s="39"/>
      <c r="B34" s="28"/>
      <c r="C34" s="29"/>
      <c r="D34" s="30"/>
      <c r="E34" s="31"/>
      <c r="F34" s="31"/>
      <c r="G34" s="32"/>
      <c r="H34" s="25"/>
      <c r="I34" s="25"/>
      <c r="J34" s="34"/>
      <c r="K34" s="25"/>
      <c r="L34" s="25"/>
      <c r="M34" s="27"/>
    </row>
    <row r="35" spans="1:13" ht="14.1" customHeight="1"/>
    <row r="36" spans="1:13" ht="14.1" customHeight="1"/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179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25839-3505-400C-B398-5733DB5C57D3}">
  <sheetPr>
    <tabColor rgb="FF00B050"/>
    <pageSetUpPr fitToPage="1"/>
  </sheetPr>
  <dimension ref="A1:M51"/>
  <sheetViews>
    <sheetView zoomScale="110" zoomScaleNormal="110" workbookViewId="0">
      <selection activeCell="H29" sqref="H29:M3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893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45</v>
      </c>
      <c r="C3" s="72"/>
      <c r="D3" s="74" t="s">
        <v>181</v>
      </c>
      <c r="E3" s="82"/>
      <c r="F3" s="82"/>
      <c r="G3" s="83"/>
      <c r="H3" s="24">
        <f>SUM(I3)-3</f>
        <v>35</v>
      </c>
      <c r="I3" s="24">
        <f>SUM(J3)-3</f>
        <v>38</v>
      </c>
      <c r="J3" s="75">
        <v>41</v>
      </c>
      <c r="K3" s="85">
        <f>SUM(J3)+2.5</f>
        <v>43.5</v>
      </c>
      <c r="L3" s="85">
        <f>SUM(K3)+2.5</f>
        <v>46</v>
      </c>
      <c r="M3" s="109">
        <f>SUM(L3)+2.5</f>
        <v>48.5</v>
      </c>
    </row>
    <row r="4" spans="1:13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36"/>
      <c r="L4" s="36"/>
      <c r="M4" s="37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SUM(I5)-1.5</f>
        <v>22</v>
      </c>
      <c r="I5" s="24">
        <f>SUM(J5)-1.5</f>
        <v>23.5</v>
      </c>
      <c r="J5" s="33">
        <v>25</v>
      </c>
      <c r="K5" s="24">
        <f>SUM(J5)+1.5</f>
        <v>26.5</v>
      </c>
      <c r="L5" s="24">
        <f>SUM(K5)+1.5</f>
        <v>28</v>
      </c>
      <c r="M5" s="26">
        <f>SUM(L5)+1.5</f>
        <v>29.5</v>
      </c>
    </row>
    <row r="6" spans="1:13" s="1" customFormat="1" ht="14.1" customHeight="1">
      <c r="A6" s="38"/>
      <c r="B6" s="56" t="s">
        <v>26</v>
      </c>
      <c r="C6" s="56"/>
      <c r="D6" s="47" t="s">
        <v>892</v>
      </c>
      <c r="E6" s="48"/>
      <c r="F6" s="48"/>
      <c r="G6" s="49"/>
      <c r="H6" s="36"/>
      <c r="I6" s="36"/>
      <c r="J6" s="35"/>
      <c r="K6" s="36"/>
      <c r="L6" s="36"/>
      <c r="M6" s="37"/>
    </row>
    <row r="7" spans="1:13" s="1" customFormat="1" ht="14.1" customHeight="1">
      <c r="A7" s="38">
        <v>3</v>
      </c>
      <c r="B7" s="58" t="s">
        <v>41</v>
      </c>
      <c r="C7" s="58"/>
      <c r="D7" s="57" t="s">
        <v>123</v>
      </c>
      <c r="E7" s="57"/>
      <c r="F7" s="57"/>
      <c r="G7" s="57"/>
      <c r="H7" s="24">
        <f>SUM(I7)-2</f>
        <v>32.5</v>
      </c>
      <c r="I7" s="24">
        <f>SUM(J7)-2</f>
        <v>34.5</v>
      </c>
      <c r="J7" s="33">
        <v>36.5</v>
      </c>
      <c r="K7" s="24">
        <f>SUM(J7)+2</f>
        <v>38.5</v>
      </c>
      <c r="L7" s="24">
        <f>SUM(K7)+2</f>
        <v>40.5</v>
      </c>
      <c r="M7" s="26">
        <f>SUM(L7)+2</f>
        <v>42.5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37"/>
    </row>
    <row r="9" spans="1:13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SUM(I9)-2</f>
        <v>28.5</v>
      </c>
      <c r="I9" s="24">
        <f>SUM(J9)-2</f>
        <v>30.5</v>
      </c>
      <c r="J9" s="33">
        <v>32.5</v>
      </c>
      <c r="K9" s="24">
        <f>SUM(J9)+2</f>
        <v>34.5</v>
      </c>
      <c r="L9" s="24">
        <f>SUM(K9)+2</f>
        <v>36.5</v>
      </c>
      <c r="M9" s="26">
        <f>SUM(L9)+2</f>
        <v>38.5</v>
      </c>
    </row>
    <row r="10" spans="1:13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7"/>
    </row>
    <row r="11" spans="1:13" s="1" customFormat="1" ht="14.1" customHeight="1">
      <c r="A11" s="38">
        <v>5</v>
      </c>
      <c r="B11" s="58" t="s">
        <v>359</v>
      </c>
      <c r="C11" s="58"/>
      <c r="D11" s="57"/>
      <c r="E11" s="57"/>
      <c r="F11" s="57"/>
      <c r="G11" s="57"/>
      <c r="H11" s="24">
        <f>SUM(I11)-0</f>
        <v>5</v>
      </c>
      <c r="I11" s="24">
        <f>SUM(J11)-0</f>
        <v>5</v>
      </c>
      <c r="J11" s="33">
        <v>5</v>
      </c>
      <c r="K11" s="24">
        <f>SUM(J11)+0.5</f>
        <v>5.5</v>
      </c>
      <c r="L11" s="24">
        <f>SUM(K11)+0</f>
        <v>5.5</v>
      </c>
      <c r="M11" s="26">
        <f>SUM(L11)+0</f>
        <v>5.5</v>
      </c>
    </row>
    <row r="12" spans="1:13" s="1" customFormat="1" ht="14.1" customHeight="1">
      <c r="A12" s="38"/>
      <c r="B12" s="56" t="s">
        <v>360</v>
      </c>
      <c r="C12" s="56"/>
      <c r="D12" s="47"/>
      <c r="E12" s="48"/>
      <c r="F12" s="48"/>
      <c r="G12" s="49"/>
      <c r="H12" s="36"/>
      <c r="I12" s="36"/>
      <c r="J12" s="35"/>
      <c r="K12" s="36"/>
      <c r="L12" s="36"/>
      <c r="M12" s="37"/>
    </row>
    <row r="13" spans="1:13" s="1" customFormat="1" ht="14.1" customHeight="1">
      <c r="A13" s="38">
        <v>6</v>
      </c>
      <c r="B13" s="58" t="s">
        <v>10</v>
      </c>
      <c r="C13" s="58"/>
      <c r="D13" s="57" t="s">
        <v>0</v>
      </c>
      <c r="E13" s="57"/>
      <c r="F13" s="57"/>
      <c r="G13" s="57"/>
      <c r="H13" s="24">
        <f>SUM(I13)-1</f>
        <v>16.5</v>
      </c>
      <c r="I13" s="24">
        <f>SUM(J13)-1</f>
        <v>17.5</v>
      </c>
      <c r="J13" s="23">
        <v>18.5</v>
      </c>
      <c r="K13" s="21">
        <f>SUM(J13)+1</f>
        <v>19.5</v>
      </c>
      <c r="L13" s="21">
        <f>SUM(K13)+1</f>
        <v>20.5</v>
      </c>
      <c r="M13" s="22">
        <f>SUM(L13)+1</f>
        <v>21.5</v>
      </c>
    </row>
    <row r="14" spans="1:13" s="1" customFormat="1" ht="14.1" customHeight="1">
      <c r="A14" s="38"/>
      <c r="B14" s="56" t="s">
        <v>28</v>
      </c>
      <c r="C14" s="56"/>
      <c r="D14" s="47" t="s">
        <v>51</v>
      </c>
      <c r="E14" s="48"/>
      <c r="F14" s="48"/>
      <c r="G14" s="49"/>
      <c r="H14" s="36"/>
      <c r="I14" s="36"/>
      <c r="J14" s="23"/>
      <c r="K14" s="21"/>
      <c r="L14" s="21"/>
      <c r="M14" s="22"/>
    </row>
    <row r="15" spans="1:13" s="1" customFormat="1" ht="14.1" customHeight="1">
      <c r="A15" s="38">
        <v>7</v>
      </c>
      <c r="B15" s="58" t="s">
        <v>894</v>
      </c>
      <c r="C15" s="58"/>
      <c r="D15" s="57"/>
      <c r="E15" s="57"/>
      <c r="F15" s="57"/>
      <c r="G15" s="57"/>
      <c r="H15" s="24">
        <f>SUM(I15)</f>
        <v>3</v>
      </c>
      <c r="I15" s="24">
        <f>SUM(J15)</f>
        <v>3</v>
      </c>
      <c r="J15" s="33">
        <v>3</v>
      </c>
      <c r="K15" s="24">
        <f>SUM(J15)</f>
        <v>3</v>
      </c>
      <c r="L15" s="24">
        <f>SUM(K15)</f>
        <v>3</v>
      </c>
      <c r="M15" s="26">
        <f>SUM(L15)</f>
        <v>3</v>
      </c>
    </row>
    <row r="16" spans="1:13" s="1" customFormat="1" ht="14.1" customHeight="1">
      <c r="A16" s="38"/>
      <c r="B16" s="56" t="s">
        <v>895</v>
      </c>
      <c r="C16" s="56"/>
      <c r="D16" s="47"/>
      <c r="E16" s="48"/>
      <c r="F16" s="48"/>
      <c r="G16" s="49"/>
      <c r="H16" s="36"/>
      <c r="I16" s="36"/>
      <c r="J16" s="35"/>
      <c r="K16" s="36"/>
      <c r="L16" s="36"/>
      <c r="M16" s="37"/>
    </row>
    <row r="17" spans="1:13" s="1" customFormat="1" ht="14.1" customHeight="1">
      <c r="A17" s="38">
        <v>8</v>
      </c>
      <c r="B17" s="58" t="s">
        <v>1</v>
      </c>
      <c r="C17" s="58"/>
      <c r="D17" s="57" t="s">
        <v>180</v>
      </c>
      <c r="E17" s="57"/>
      <c r="F17" s="57"/>
      <c r="G17" s="57"/>
      <c r="H17" s="24">
        <f>SUM(I17)-0.6</f>
        <v>15.3</v>
      </c>
      <c r="I17" s="24">
        <f>SUM(J17)-0.6</f>
        <v>15.9</v>
      </c>
      <c r="J17" s="23">
        <v>16.5</v>
      </c>
      <c r="K17" s="24">
        <f>SUM(J17)+0.6</f>
        <v>17.100000000000001</v>
      </c>
      <c r="L17" s="24">
        <f>SUM(K17)+0.6</f>
        <v>17.700000000000003</v>
      </c>
      <c r="M17" s="26">
        <f>SUM(L17)+0.6</f>
        <v>18.300000000000004</v>
      </c>
    </row>
    <row r="18" spans="1:13" s="1" customFormat="1" ht="14.1" customHeight="1">
      <c r="A18" s="38"/>
      <c r="B18" s="56" t="s">
        <v>29</v>
      </c>
      <c r="C18" s="56"/>
      <c r="D18" s="47" t="s">
        <v>52</v>
      </c>
      <c r="E18" s="48"/>
      <c r="F18" s="48"/>
      <c r="G18" s="49"/>
      <c r="H18" s="36"/>
      <c r="I18" s="36"/>
      <c r="J18" s="23"/>
      <c r="K18" s="36"/>
      <c r="L18" s="36"/>
      <c r="M18" s="37"/>
    </row>
    <row r="19" spans="1:13" s="1" customFormat="1" ht="14.1" customHeight="1">
      <c r="A19" s="38">
        <v>9</v>
      </c>
      <c r="B19" s="51" t="s">
        <v>2</v>
      </c>
      <c r="C19" s="52"/>
      <c r="D19" s="57" t="s">
        <v>3</v>
      </c>
      <c r="E19" s="57"/>
      <c r="F19" s="57"/>
      <c r="G19" s="57"/>
      <c r="H19" s="24">
        <f>SUM(I19)-0.3</f>
        <v>6.9</v>
      </c>
      <c r="I19" s="24">
        <f>SUM(J19)-0.3</f>
        <v>7.2</v>
      </c>
      <c r="J19" s="23">
        <v>7.5</v>
      </c>
      <c r="K19" s="21">
        <f>SUM(J19)+0.3</f>
        <v>7.8</v>
      </c>
      <c r="L19" s="21">
        <f>SUM(K19)+0.3</f>
        <v>8.1</v>
      </c>
      <c r="M19" s="227">
        <f>SUM(L19)+0.3</f>
        <v>8.4</v>
      </c>
    </row>
    <row r="20" spans="1:13" s="1" customFormat="1" ht="14.1" customHeight="1">
      <c r="A20" s="38"/>
      <c r="B20" s="45" t="s">
        <v>30</v>
      </c>
      <c r="C20" s="46"/>
      <c r="D20" s="47" t="s">
        <v>53</v>
      </c>
      <c r="E20" s="48"/>
      <c r="F20" s="48"/>
      <c r="G20" s="49"/>
      <c r="H20" s="36"/>
      <c r="I20" s="36"/>
      <c r="J20" s="23"/>
      <c r="K20" s="21"/>
      <c r="L20" s="21"/>
      <c r="M20" s="227"/>
    </row>
    <row r="21" spans="1:13" s="1" customFormat="1" ht="13.5" customHeight="1">
      <c r="A21" s="38">
        <v>10</v>
      </c>
      <c r="B21" s="51" t="s">
        <v>362</v>
      </c>
      <c r="C21" s="52"/>
      <c r="D21" s="59"/>
      <c r="E21" s="60"/>
      <c r="F21" s="60"/>
      <c r="G21" s="61"/>
      <c r="H21" s="24">
        <f>SUM(I21)</f>
        <v>2.5</v>
      </c>
      <c r="I21" s="24">
        <f>SUM(J21)</f>
        <v>2.5</v>
      </c>
      <c r="J21" s="33">
        <v>2.5</v>
      </c>
      <c r="K21" s="24">
        <f>SUM(J21)</f>
        <v>2.5</v>
      </c>
      <c r="L21" s="24">
        <f>SUM(K21)</f>
        <v>2.5</v>
      </c>
      <c r="M21" s="26">
        <f>SUM(L21)</f>
        <v>2.5</v>
      </c>
    </row>
    <row r="22" spans="1:13" s="1" customFormat="1" ht="14.1" customHeight="1">
      <c r="A22" s="38"/>
      <c r="B22" s="56" t="s">
        <v>896</v>
      </c>
      <c r="C22" s="56"/>
      <c r="D22" s="47"/>
      <c r="E22" s="48"/>
      <c r="F22" s="48"/>
      <c r="G22" s="49"/>
      <c r="H22" s="36"/>
      <c r="I22" s="36"/>
      <c r="J22" s="35"/>
      <c r="K22" s="36"/>
      <c r="L22" s="36"/>
      <c r="M22" s="37"/>
    </row>
    <row r="23" spans="1:13" s="1" customFormat="1" ht="14.1" customHeight="1">
      <c r="A23" s="38">
        <v>11</v>
      </c>
      <c r="B23" s="58" t="s">
        <v>4</v>
      </c>
      <c r="C23" s="58"/>
      <c r="D23" s="57" t="s">
        <v>5</v>
      </c>
      <c r="E23" s="57"/>
      <c r="F23" s="57"/>
      <c r="G23" s="57"/>
      <c r="H23" s="24"/>
      <c r="I23" s="24"/>
      <c r="J23" s="23"/>
      <c r="K23" s="21"/>
      <c r="L23" s="21"/>
      <c r="M23" s="22"/>
    </row>
    <row r="24" spans="1:13" s="1" customFormat="1" ht="14.1" customHeight="1">
      <c r="A24" s="38"/>
      <c r="B24" s="56" t="s">
        <v>31</v>
      </c>
      <c r="C24" s="56"/>
      <c r="D24" s="47" t="s">
        <v>54</v>
      </c>
      <c r="E24" s="48"/>
      <c r="F24" s="48"/>
      <c r="G24" s="49"/>
      <c r="H24" s="36"/>
      <c r="I24" s="36"/>
      <c r="J24" s="23"/>
      <c r="K24" s="21"/>
      <c r="L24" s="21"/>
      <c r="M24" s="22"/>
    </row>
    <row r="25" spans="1:13" s="1" customFormat="1" ht="14.1" customHeight="1">
      <c r="A25" s="38">
        <v>12</v>
      </c>
      <c r="B25" s="58" t="s">
        <v>6</v>
      </c>
      <c r="C25" s="58"/>
      <c r="D25" s="59" t="s">
        <v>7</v>
      </c>
      <c r="E25" s="60"/>
      <c r="F25" s="60"/>
      <c r="G25" s="61"/>
      <c r="H25" s="24"/>
      <c r="I25" s="24"/>
      <c r="J25" s="23"/>
      <c r="K25" s="21"/>
      <c r="L25" s="21"/>
      <c r="M25" s="22"/>
    </row>
    <row r="26" spans="1:13" s="1" customFormat="1" ht="14.1" customHeight="1">
      <c r="A26" s="38"/>
      <c r="B26" s="56" t="s">
        <v>32</v>
      </c>
      <c r="C26" s="56"/>
      <c r="D26" s="47" t="s">
        <v>76</v>
      </c>
      <c r="E26" s="48"/>
      <c r="F26" s="48"/>
      <c r="G26" s="49"/>
      <c r="H26" s="36"/>
      <c r="I26" s="36"/>
      <c r="J26" s="23"/>
      <c r="K26" s="21"/>
      <c r="L26" s="21"/>
      <c r="M26" s="22"/>
    </row>
    <row r="27" spans="1:13" s="1" customFormat="1" ht="14.1" customHeight="1">
      <c r="A27" s="38">
        <v>13</v>
      </c>
      <c r="B27" s="51" t="s">
        <v>122</v>
      </c>
      <c r="C27" s="52"/>
      <c r="D27" s="57" t="s">
        <v>78</v>
      </c>
      <c r="E27" s="57"/>
      <c r="F27" s="57"/>
      <c r="G27" s="57"/>
      <c r="H27" s="24"/>
      <c r="I27" s="24"/>
      <c r="J27" s="23"/>
      <c r="K27" s="24"/>
      <c r="L27" s="24"/>
      <c r="M27" s="26"/>
    </row>
    <row r="28" spans="1:13" s="1" customFormat="1" ht="14.1" customHeight="1">
      <c r="A28" s="38"/>
      <c r="B28" s="56" t="s">
        <v>33</v>
      </c>
      <c r="C28" s="56"/>
      <c r="D28" s="47" t="s">
        <v>79</v>
      </c>
      <c r="E28" s="48"/>
      <c r="F28" s="48"/>
      <c r="G28" s="49"/>
      <c r="H28" s="36"/>
      <c r="I28" s="36"/>
      <c r="J28" s="23"/>
      <c r="K28" s="36"/>
      <c r="L28" s="36"/>
      <c r="M28" s="37"/>
    </row>
    <row r="29" spans="1:13" s="1" customFormat="1" ht="14.1" customHeight="1">
      <c r="A29" s="38">
        <v>14</v>
      </c>
      <c r="B29" s="58"/>
      <c r="C29" s="58"/>
      <c r="D29" s="57"/>
      <c r="E29" s="57"/>
      <c r="F29" s="57"/>
      <c r="G29" s="57"/>
      <c r="H29" s="24"/>
      <c r="I29" s="24"/>
      <c r="J29" s="23"/>
      <c r="K29" s="21"/>
      <c r="L29" s="21"/>
      <c r="M29" s="227"/>
    </row>
    <row r="30" spans="1:13" s="1" customFormat="1" ht="14.1" customHeight="1">
      <c r="A30" s="38"/>
      <c r="B30" s="56"/>
      <c r="C30" s="56"/>
      <c r="D30" s="47"/>
      <c r="E30" s="48"/>
      <c r="F30" s="48"/>
      <c r="G30" s="49"/>
      <c r="H30" s="36"/>
      <c r="I30" s="36"/>
      <c r="J30" s="23"/>
      <c r="K30" s="21"/>
      <c r="L30" s="21"/>
      <c r="M30" s="227"/>
    </row>
    <row r="31" spans="1:13" s="1" customFormat="1" ht="14.1" customHeight="1">
      <c r="A31" s="38">
        <v>15</v>
      </c>
      <c r="B31" s="40"/>
      <c r="C31" s="41"/>
      <c r="D31" s="101"/>
      <c r="E31" s="101"/>
      <c r="F31" s="101"/>
      <c r="G31" s="101"/>
      <c r="H31" s="50"/>
      <c r="I31" s="50"/>
      <c r="J31" s="35"/>
      <c r="K31" s="36"/>
      <c r="L31" s="36"/>
      <c r="M31" s="37"/>
    </row>
    <row r="32" spans="1:13" s="1" customFormat="1" ht="14.1" customHeight="1">
      <c r="A32" s="154"/>
      <c r="B32" s="141"/>
      <c r="C32" s="141"/>
      <c r="D32" s="100"/>
      <c r="E32" s="101"/>
      <c r="F32" s="101"/>
      <c r="G32" s="102"/>
      <c r="H32" s="50"/>
      <c r="I32" s="50"/>
      <c r="J32" s="33"/>
      <c r="K32" s="24"/>
      <c r="L32" s="24"/>
      <c r="M32" s="26"/>
    </row>
    <row r="33" spans="1:13" s="1" customFormat="1" ht="14.1" customHeight="1">
      <c r="A33" s="154">
        <v>16</v>
      </c>
      <c r="B33" s="51"/>
      <c r="C33" s="52"/>
      <c r="D33" s="59"/>
      <c r="E33" s="60"/>
      <c r="F33" s="60"/>
      <c r="G33" s="61"/>
      <c r="H33" s="24"/>
      <c r="I33" s="24"/>
      <c r="J33" s="33"/>
      <c r="K33" s="24"/>
      <c r="L33" s="24"/>
      <c r="M33" s="26"/>
    </row>
    <row r="34" spans="1:13" s="1" customFormat="1" ht="14.1" customHeight="1">
      <c r="A34" s="71"/>
      <c r="B34" s="45"/>
      <c r="C34" s="46"/>
      <c r="D34" s="47"/>
      <c r="E34" s="48"/>
      <c r="F34" s="48"/>
      <c r="G34" s="49"/>
      <c r="H34" s="36"/>
      <c r="I34" s="36"/>
      <c r="J34" s="35"/>
      <c r="K34" s="36"/>
      <c r="L34" s="36"/>
      <c r="M34" s="37"/>
    </row>
    <row r="35" spans="1:13" ht="14.1" customHeight="1">
      <c r="A35" s="154">
        <v>17</v>
      </c>
      <c r="B35" s="51"/>
      <c r="C35" s="52"/>
      <c r="D35" s="59"/>
      <c r="E35" s="60"/>
      <c r="F35" s="60"/>
      <c r="G35" s="61"/>
      <c r="H35" s="24"/>
      <c r="I35" s="24"/>
      <c r="J35" s="33"/>
      <c r="K35" s="24"/>
      <c r="L35" s="24"/>
      <c r="M35" s="26"/>
    </row>
    <row r="36" spans="1:13" ht="14.1" customHeight="1" thickBot="1">
      <c r="A36" s="168"/>
      <c r="B36" s="28"/>
      <c r="C36" s="29"/>
      <c r="D36" s="30"/>
      <c r="E36" s="31"/>
      <c r="F36" s="31"/>
      <c r="G36" s="32"/>
      <c r="H36" s="25"/>
      <c r="I36" s="25"/>
      <c r="J36" s="34"/>
      <c r="K36" s="25"/>
      <c r="L36" s="25"/>
      <c r="M36" s="27"/>
    </row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>
      <c r="B42" s="6"/>
      <c r="C42" s="6"/>
      <c r="D42" s="6"/>
      <c r="E42" s="6"/>
      <c r="F42" s="6"/>
      <c r="G42" s="6"/>
    </row>
    <row r="43" spans="1:13" ht="14.1" customHeight="1">
      <c r="B43" s="6"/>
      <c r="C43" s="6"/>
      <c r="D43" s="6"/>
      <c r="E43" s="6"/>
      <c r="F43" s="6"/>
      <c r="G43" s="6"/>
    </row>
    <row r="44" spans="1:13" ht="14.1" customHeight="1">
      <c r="B44" s="6"/>
      <c r="C44" s="6"/>
      <c r="D44" s="6"/>
      <c r="E44" s="6"/>
      <c r="F44" s="6"/>
      <c r="G44" s="6"/>
    </row>
    <row r="45" spans="1:13" ht="14.1" customHeight="1">
      <c r="B45" s="6"/>
      <c r="C45" s="6"/>
      <c r="D45" s="6"/>
      <c r="E45" s="6"/>
      <c r="F45" s="6"/>
      <c r="G45" s="6"/>
    </row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190"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1:J22"/>
    <mergeCell ref="K21:K22"/>
    <mergeCell ref="L21:L22"/>
    <mergeCell ref="M21:M22"/>
    <mergeCell ref="B22:C22"/>
    <mergeCell ref="D22:G22"/>
    <mergeCell ref="K19:K20"/>
    <mergeCell ref="L19:L20"/>
    <mergeCell ref="M19:M20"/>
    <mergeCell ref="B20:C20"/>
    <mergeCell ref="D20:G20"/>
    <mergeCell ref="J19:J20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J17:J18"/>
    <mergeCell ref="K17:K18"/>
    <mergeCell ref="L17:L18"/>
    <mergeCell ref="M17:M18"/>
    <mergeCell ref="B18:C18"/>
    <mergeCell ref="D18:G18"/>
    <mergeCell ref="K13:K14"/>
    <mergeCell ref="L13:L14"/>
    <mergeCell ref="M13:M14"/>
    <mergeCell ref="B14:C14"/>
    <mergeCell ref="D14:G14"/>
    <mergeCell ref="J13:J14"/>
    <mergeCell ref="J15:J16"/>
    <mergeCell ref="K15:K16"/>
    <mergeCell ref="L15:L16"/>
    <mergeCell ref="M15:M16"/>
    <mergeCell ref="A17:A18"/>
    <mergeCell ref="B17:C17"/>
    <mergeCell ref="D17:G17"/>
    <mergeCell ref="H17:H18"/>
    <mergeCell ref="I17:I18"/>
    <mergeCell ref="A13:A14"/>
    <mergeCell ref="B13:C13"/>
    <mergeCell ref="D13:G13"/>
    <mergeCell ref="H13:H14"/>
    <mergeCell ref="I13:I14"/>
    <mergeCell ref="A15:A16"/>
    <mergeCell ref="B15:C15"/>
    <mergeCell ref="D15:G15"/>
    <mergeCell ref="H15:H16"/>
    <mergeCell ref="I15:I16"/>
    <mergeCell ref="B16:C16"/>
    <mergeCell ref="D16:G16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A5197-132A-42FE-B300-3C09DCE09E63}">
  <sheetPr>
    <tabColor rgb="FF00B050"/>
    <pageSetUpPr fitToPage="1"/>
  </sheetPr>
  <dimension ref="A1:N51"/>
  <sheetViews>
    <sheetView zoomScale="110" zoomScaleNormal="110" workbookViewId="0">
      <selection activeCell="P15" sqref="P15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28" t="s">
        <v>695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30"/>
    </row>
    <row r="2" spans="1:14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  <c r="N2" s="9" t="s">
        <v>229</v>
      </c>
    </row>
    <row r="3" spans="1:14" s="1" customFormat="1" ht="14.1" customHeight="1">
      <c r="A3" s="71">
        <v>1</v>
      </c>
      <c r="B3" s="40" t="s">
        <v>136</v>
      </c>
      <c r="C3" s="41"/>
      <c r="D3" s="100" t="s">
        <v>135</v>
      </c>
      <c r="E3" s="101"/>
      <c r="F3" s="101"/>
      <c r="G3" s="102"/>
      <c r="H3" s="24">
        <f>SUM(I3)-2.9</f>
        <v>31</v>
      </c>
      <c r="I3" s="24">
        <f>SUM(J3)-2.9</f>
        <v>33.9</v>
      </c>
      <c r="J3" s="75">
        <v>36.799999999999997</v>
      </c>
      <c r="K3" s="76">
        <f>SUM(J3)+2.4</f>
        <v>39.199999999999996</v>
      </c>
      <c r="L3" s="76">
        <f>SUM(K3)+2.4</f>
        <v>41.599999999999994</v>
      </c>
      <c r="M3" s="76">
        <f>SUM(L3)+2.4</f>
        <v>43.999999999999993</v>
      </c>
      <c r="N3" s="171">
        <f>SUM(M3)+2.4</f>
        <v>46.399999999999991</v>
      </c>
    </row>
    <row r="4" spans="1:14" s="1" customFormat="1" ht="14.1" customHeight="1">
      <c r="A4" s="38"/>
      <c r="B4" s="56" t="s">
        <v>36</v>
      </c>
      <c r="C4" s="56"/>
      <c r="D4" s="47" t="s">
        <v>134</v>
      </c>
      <c r="E4" s="48"/>
      <c r="F4" s="48"/>
      <c r="G4" s="48"/>
      <c r="H4" s="36"/>
      <c r="I4" s="36"/>
      <c r="J4" s="33"/>
      <c r="K4" s="24"/>
      <c r="L4" s="24"/>
      <c r="M4" s="24"/>
      <c r="N4" s="121"/>
    </row>
    <row r="5" spans="1:14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SUM(I5)-1.8</f>
        <v>24.4</v>
      </c>
      <c r="I5" s="24">
        <f>SUM(J5)-1.8</f>
        <v>26.2</v>
      </c>
      <c r="J5" s="23">
        <v>28</v>
      </c>
      <c r="K5" s="21">
        <f>SUM(J5)+1.6</f>
        <v>29.6</v>
      </c>
      <c r="L5" s="21">
        <f>SUM(K5)+1.6</f>
        <v>31.200000000000003</v>
      </c>
      <c r="M5" s="21">
        <f>SUM(L5)+1.6</f>
        <v>32.800000000000004</v>
      </c>
      <c r="N5" s="123">
        <f>SUM(M5)+1.6</f>
        <v>34.400000000000006</v>
      </c>
    </row>
    <row r="6" spans="1:14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23"/>
      <c r="K6" s="21"/>
      <c r="L6" s="21"/>
      <c r="M6" s="21"/>
      <c r="N6" s="123"/>
    </row>
    <row r="7" spans="1:14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31.5</v>
      </c>
      <c r="I7" s="24">
        <f>SUM(J7)-2.25</f>
        <v>33.75</v>
      </c>
      <c r="J7" s="23">
        <v>36</v>
      </c>
      <c r="K7" s="21">
        <f>SUM(J7)+2</f>
        <v>38</v>
      </c>
      <c r="L7" s="21">
        <f>SUM(K7)+2</f>
        <v>40</v>
      </c>
      <c r="M7" s="21">
        <f>SUM(L7)+2</f>
        <v>42</v>
      </c>
      <c r="N7" s="123">
        <f>SUM(M7)+2</f>
        <v>44</v>
      </c>
    </row>
    <row r="8" spans="1:14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23"/>
      <c r="K8" s="21"/>
      <c r="L8" s="21"/>
      <c r="M8" s="21"/>
      <c r="N8" s="123"/>
    </row>
    <row r="9" spans="1:14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SUM(I9)-2.25</f>
        <v>31.5</v>
      </c>
      <c r="I9" s="24">
        <f>SUM(J9)-2.25</f>
        <v>33.75</v>
      </c>
      <c r="J9" s="23">
        <v>36</v>
      </c>
      <c r="K9" s="21">
        <f>SUM(J9)+2</f>
        <v>38</v>
      </c>
      <c r="L9" s="21">
        <f>SUM(K9)+2</f>
        <v>40</v>
      </c>
      <c r="M9" s="21">
        <f>SUM(L9)+2</f>
        <v>42</v>
      </c>
      <c r="N9" s="123">
        <f>SUM(M9)+2</f>
        <v>44</v>
      </c>
    </row>
    <row r="10" spans="1:14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23"/>
      <c r="K10" s="21"/>
      <c r="L10" s="21"/>
      <c r="M10" s="21"/>
      <c r="N10" s="123"/>
    </row>
    <row r="11" spans="1:14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SUM(I11)-0.8</f>
        <v>14.399999999999999</v>
      </c>
      <c r="I11" s="24">
        <f>SUM(J11)-0.8</f>
        <v>15.2</v>
      </c>
      <c r="J11" s="23">
        <v>16</v>
      </c>
      <c r="K11" s="21">
        <f>SUM(J11)+0.8</f>
        <v>16.8</v>
      </c>
      <c r="L11" s="21">
        <f>SUM(K11)+0.9</f>
        <v>17.7</v>
      </c>
      <c r="M11" s="21">
        <f>SUM(L11)+0.8</f>
        <v>18.5</v>
      </c>
      <c r="N11" s="123">
        <f>SUM(M11)+0.9</f>
        <v>19.399999999999999</v>
      </c>
    </row>
    <row r="12" spans="1:14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1"/>
      <c r="N12" s="123"/>
    </row>
    <row r="13" spans="1:14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12.200000000000001</v>
      </c>
      <c r="I13" s="24">
        <f>SUM(J13)-0.6</f>
        <v>12.8</v>
      </c>
      <c r="J13" s="23">
        <v>13.4</v>
      </c>
      <c r="K13" s="21">
        <f>SUM(J13)+0.6</f>
        <v>14</v>
      </c>
      <c r="L13" s="21">
        <f>SUM(K13)+0.6</f>
        <v>14.6</v>
      </c>
      <c r="M13" s="21">
        <f>SUM(L13)+0.6</f>
        <v>15.2</v>
      </c>
      <c r="N13" s="123">
        <f>SUM(M13)+0.6</f>
        <v>15.799999999999999</v>
      </c>
    </row>
    <row r="14" spans="1:14" s="1" customFormat="1" ht="14.1" customHeight="1">
      <c r="A14" s="38"/>
      <c r="B14" s="56" t="s">
        <v>29</v>
      </c>
      <c r="C14" s="56"/>
      <c r="D14" s="47" t="s">
        <v>52</v>
      </c>
      <c r="E14" s="48"/>
      <c r="F14" s="48"/>
      <c r="G14" s="49"/>
      <c r="H14" s="36"/>
      <c r="I14" s="36"/>
      <c r="J14" s="23"/>
      <c r="K14" s="21"/>
      <c r="L14" s="21"/>
      <c r="M14" s="21"/>
      <c r="N14" s="123"/>
    </row>
    <row r="15" spans="1:14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6.5</v>
      </c>
      <c r="I15" s="24">
        <f>SUM(J15)-0.3</f>
        <v>6.8</v>
      </c>
      <c r="J15" s="23">
        <v>7.1</v>
      </c>
      <c r="K15" s="21">
        <f>SUM(J15)+0.3</f>
        <v>7.3999999999999995</v>
      </c>
      <c r="L15" s="21">
        <f>SUM(K15)+0.3</f>
        <v>7.6999999999999993</v>
      </c>
      <c r="M15" s="21">
        <f>SUM(L15)+0.3</f>
        <v>7.9999999999999991</v>
      </c>
      <c r="N15" s="123">
        <f>SUM(M15)+0.3</f>
        <v>8.2999999999999989</v>
      </c>
    </row>
    <row r="16" spans="1:14" s="1" customFormat="1" ht="14.1" customHeight="1">
      <c r="A16" s="38"/>
      <c r="B16" s="56" t="s">
        <v>30</v>
      </c>
      <c r="C16" s="56"/>
      <c r="D16" s="47" t="s">
        <v>53</v>
      </c>
      <c r="E16" s="48"/>
      <c r="F16" s="48"/>
      <c r="G16" s="49"/>
      <c r="H16" s="36"/>
      <c r="I16" s="36"/>
      <c r="J16" s="23"/>
      <c r="K16" s="21"/>
      <c r="L16" s="21"/>
      <c r="M16" s="21"/>
      <c r="N16" s="123"/>
    </row>
    <row r="17" spans="1:14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33.099999999999994</v>
      </c>
      <c r="I17" s="24">
        <f>SUM(J17)-1.6</f>
        <v>34.699999999999996</v>
      </c>
      <c r="J17" s="23">
        <v>36.299999999999997</v>
      </c>
      <c r="K17" s="21">
        <f>SUM(J17)+1.6</f>
        <v>37.9</v>
      </c>
      <c r="L17" s="21">
        <f>SUM(K17)+1.6</f>
        <v>39.5</v>
      </c>
      <c r="M17" s="21">
        <f>SUM(L17)+1.6</f>
        <v>41.1</v>
      </c>
      <c r="N17" s="123">
        <f>SUM(M17)+1.6</f>
        <v>42.7</v>
      </c>
    </row>
    <row r="18" spans="1:14" s="1" customFormat="1" ht="14.1" customHeight="1">
      <c r="A18" s="38"/>
      <c r="B18" s="56" t="s">
        <v>37</v>
      </c>
      <c r="C18" s="56"/>
      <c r="D18" s="47" t="s">
        <v>107</v>
      </c>
      <c r="E18" s="48"/>
      <c r="F18" s="48"/>
      <c r="G18" s="49"/>
      <c r="H18" s="36"/>
      <c r="I18" s="36"/>
      <c r="J18" s="23"/>
      <c r="K18" s="21"/>
      <c r="L18" s="21"/>
      <c r="M18" s="21"/>
      <c r="N18" s="123"/>
    </row>
    <row r="19" spans="1:14" s="1" customFormat="1" ht="14.1" customHeight="1">
      <c r="A19" s="38">
        <v>9</v>
      </c>
      <c r="B19" s="51" t="s">
        <v>87</v>
      </c>
      <c r="C19" s="52"/>
      <c r="D19" s="101" t="s">
        <v>88</v>
      </c>
      <c r="E19" s="101"/>
      <c r="F19" s="101"/>
      <c r="G19" s="101"/>
      <c r="H19" s="24">
        <f>SUM(I19)-0.1</f>
        <v>1.6999999999999997</v>
      </c>
      <c r="I19" s="24">
        <f>SUM(J19)-0.1</f>
        <v>1.7999999999999998</v>
      </c>
      <c r="J19" s="23">
        <v>1.9</v>
      </c>
      <c r="K19" s="21">
        <f>SUM(J19)+0.1</f>
        <v>2</v>
      </c>
      <c r="L19" s="21">
        <f>SUM(K19)+0.1</f>
        <v>2.1</v>
      </c>
      <c r="M19" s="21">
        <f>SUM(L19)+0.1</f>
        <v>2.2000000000000002</v>
      </c>
      <c r="N19" s="123">
        <f>SUM(M19)+0.1</f>
        <v>2.3000000000000003</v>
      </c>
    </row>
    <row r="20" spans="1:14" s="1" customFormat="1" ht="14.1" customHeight="1">
      <c r="A20" s="38"/>
      <c r="B20" s="56" t="s">
        <v>38</v>
      </c>
      <c r="C20" s="56"/>
      <c r="D20" s="47" t="s">
        <v>65</v>
      </c>
      <c r="E20" s="48"/>
      <c r="F20" s="48"/>
      <c r="G20" s="49"/>
      <c r="H20" s="36"/>
      <c r="I20" s="36"/>
      <c r="J20" s="23"/>
      <c r="K20" s="21"/>
      <c r="L20" s="21"/>
      <c r="M20" s="21"/>
      <c r="N20" s="123"/>
    </row>
    <row r="21" spans="1:14" s="1" customFormat="1" ht="13.5" customHeight="1">
      <c r="A21" s="38">
        <v>10</v>
      </c>
      <c r="B21" s="51" t="s">
        <v>89</v>
      </c>
      <c r="C21" s="52"/>
      <c r="D21" s="101" t="s">
        <v>11</v>
      </c>
      <c r="E21" s="101"/>
      <c r="F21" s="101"/>
      <c r="G21" s="101"/>
      <c r="H21" s="24">
        <f>SUM(I21)-0.2</f>
        <v>3.8</v>
      </c>
      <c r="I21" s="24">
        <f>SUM(J21)-0.2</f>
        <v>4</v>
      </c>
      <c r="J21" s="23">
        <v>4.2</v>
      </c>
      <c r="K21" s="21">
        <f>SUM(J21)+0.2</f>
        <v>4.4000000000000004</v>
      </c>
      <c r="L21" s="21">
        <f>SUM(K21)+0.2</f>
        <v>4.6000000000000005</v>
      </c>
      <c r="M21" s="21">
        <f>SUM(L21)+0.2</f>
        <v>4.8000000000000007</v>
      </c>
      <c r="N21" s="123">
        <f>SUM(M21)+0.2</f>
        <v>5.0000000000000009</v>
      </c>
    </row>
    <row r="22" spans="1:14" s="1" customFormat="1" ht="14.1" customHeight="1">
      <c r="A22" s="38"/>
      <c r="B22" s="56" t="s">
        <v>39</v>
      </c>
      <c r="C22" s="56"/>
      <c r="D22" s="47" t="s">
        <v>66</v>
      </c>
      <c r="E22" s="48"/>
      <c r="F22" s="48"/>
      <c r="G22" s="49"/>
      <c r="H22" s="36"/>
      <c r="I22" s="36"/>
      <c r="J22" s="23"/>
      <c r="K22" s="21"/>
      <c r="L22" s="21"/>
      <c r="M22" s="21"/>
      <c r="N22" s="123"/>
    </row>
    <row r="23" spans="1:14" s="1" customFormat="1" ht="14.1" customHeight="1">
      <c r="A23" s="154">
        <v>11</v>
      </c>
      <c r="B23" s="51" t="s">
        <v>90</v>
      </c>
      <c r="C23" s="52"/>
      <c r="D23" s="59" t="s">
        <v>12</v>
      </c>
      <c r="E23" s="60"/>
      <c r="F23" s="60"/>
      <c r="G23" s="61"/>
      <c r="H23" s="24">
        <f>SUM(I23)-0.2</f>
        <v>5.3</v>
      </c>
      <c r="I23" s="24">
        <f>SUM(J23)-0.2</f>
        <v>5.5</v>
      </c>
      <c r="J23" s="23">
        <v>5.7</v>
      </c>
      <c r="K23" s="21">
        <f>SUM(J23)+0.2</f>
        <v>5.9</v>
      </c>
      <c r="L23" s="21">
        <f>SUM(K23)+0.2</f>
        <v>6.1000000000000005</v>
      </c>
      <c r="M23" s="21">
        <f>SUM(L23)+0.2</f>
        <v>6.3000000000000007</v>
      </c>
      <c r="N23" s="123">
        <f>SUM(M23)+0.2</f>
        <v>6.5000000000000009</v>
      </c>
    </row>
    <row r="24" spans="1:14" s="1" customFormat="1" ht="14.1" customHeight="1">
      <c r="A24" s="71"/>
      <c r="B24" s="45" t="s">
        <v>40</v>
      </c>
      <c r="C24" s="46"/>
      <c r="D24" s="47" t="s">
        <v>67</v>
      </c>
      <c r="E24" s="48"/>
      <c r="F24" s="48"/>
      <c r="G24" s="49"/>
      <c r="H24" s="36"/>
      <c r="I24" s="36"/>
      <c r="J24" s="23"/>
      <c r="K24" s="21"/>
      <c r="L24" s="21"/>
      <c r="M24" s="21"/>
      <c r="N24" s="123"/>
    </row>
    <row r="25" spans="1:14" s="1" customFormat="1" ht="14.1" customHeight="1">
      <c r="A25" s="38">
        <v>12</v>
      </c>
      <c r="B25" s="51" t="s">
        <v>4</v>
      </c>
      <c r="C25" s="52"/>
      <c r="D25" s="57" t="s">
        <v>5</v>
      </c>
      <c r="E25" s="57"/>
      <c r="F25" s="57"/>
      <c r="G25" s="57"/>
      <c r="H25" s="24">
        <f>SUM(I25)-3.6</f>
        <v>32.799999999999997</v>
      </c>
      <c r="I25" s="24">
        <f>SUM(J25)-3.6</f>
        <v>36.4</v>
      </c>
      <c r="J25" s="23">
        <v>40</v>
      </c>
      <c r="K25" s="21">
        <f>SUM(J25)+3.7</f>
        <v>43.7</v>
      </c>
      <c r="L25" s="21">
        <f>SUM(K25)+3.7</f>
        <v>47.400000000000006</v>
      </c>
      <c r="M25" s="21">
        <f>SUM(L25)+3.7</f>
        <v>51.100000000000009</v>
      </c>
      <c r="N25" s="123">
        <f>SUM(M25)+3.7</f>
        <v>54.800000000000011</v>
      </c>
    </row>
    <row r="26" spans="1:14" s="1" customFormat="1" ht="14.1" customHeight="1">
      <c r="A26" s="38"/>
      <c r="B26" s="56" t="s">
        <v>31</v>
      </c>
      <c r="C26" s="56"/>
      <c r="D26" s="47" t="s">
        <v>54</v>
      </c>
      <c r="E26" s="48"/>
      <c r="F26" s="48"/>
      <c r="G26" s="49"/>
      <c r="H26" s="36"/>
      <c r="I26" s="36"/>
      <c r="J26" s="23"/>
      <c r="K26" s="21"/>
      <c r="L26" s="21"/>
      <c r="M26" s="21"/>
      <c r="N26" s="123"/>
    </row>
    <row r="27" spans="1:14" s="1" customFormat="1" ht="14.1" customHeight="1">
      <c r="A27" s="38">
        <v>13</v>
      </c>
      <c r="B27" s="51" t="s">
        <v>6</v>
      </c>
      <c r="C27" s="52"/>
      <c r="D27" s="59" t="s">
        <v>7</v>
      </c>
      <c r="E27" s="60"/>
      <c r="F27" s="60"/>
      <c r="G27" s="61"/>
      <c r="H27" s="24">
        <f>SUM(I27)-1.6</f>
        <v>26.799999999999997</v>
      </c>
      <c r="I27" s="24">
        <f>SUM(J27)-1.6</f>
        <v>28.4</v>
      </c>
      <c r="J27" s="23">
        <v>30</v>
      </c>
      <c r="K27" s="21">
        <f>SUM(J27)+1.6</f>
        <v>31.6</v>
      </c>
      <c r="L27" s="21">
        <f>SUM(K27)+1.6</f>
        <v>33.200000000000003</v>
      </c>
      <c r="M27" s="21">
        <f>SUM(L27)+1.6</f>
        <v>34.800000000000004</v>
      </c>
      <c r="N27" s="123">
        <f>SUM(M27)+1.6</f>
        <v>36.400000000000006</v>
      </c>
    </row>
    <row r="28" spans="1:14" s="1" customFormat="1" ht="14.1" customHeight="1">
      <c r="A28" s="38"/>
      <c r="B28" s="56" t="s">
        <v>32</v>
      </c>
      <c r="C28" s="56"/>
      <c r="D28" s="47" t="s">
        <v>76</v>
      </c>
      <c r="E28" s="48"/>
      <c r="F28" s="48"/>
      <c r="G28" s="49"/>
      <c r="H28" s="36"/>
      <c r="I28" s="36"/>
      <c r="J28" s="23"/>
      <c r="K28" s="21"/>
      <c r="L28" s="21"/>
      <c r="M28" s="21"/>
      <c r="N28" s="123"/>
    </row>
    <row r="29" spans="1:14" s="1" customFormat="1" ht="14.1" customHeight="1">
      <c r="A29" s="38">
        <v>14</v>
      </c>
      <c r="B29" s="51" t="s">
        <v>77</v>
      </c>
      <c r="C29" s="52"/>
      <c r="D29" s="57" t="s">
        <v>78</v>
      </c>
      <c r="E29" s="57"/>
      <c r="F29" s="57"/>
      <c r="G29" s="57"/>
      <c r="H29" s="24">
        <f>SUM(I29)-0.6</f>
        <v>14</v>
      </c>
      <c r="I29" s="24">
        <f>SUM(J29)-0.6</f>
        <v>14.6</v>
      </c>
      <c r="J29" s="23">
        <v>15.2</v>
      </c>
      <c r="K29" s="21">
        <f>SUM(J29)+0.6</f>
        <v>15.799999999999999</v>
      </c>
      <c r="L29" s="21">
        <f>SUM(K29)+0.6</f>
        <v>16.399999999999999</v>
      </c>
      <c r="M29" s="21">
        <f>SUM(L29)+0.6</f>
        <v>17</v>
      </c>
      <c r="N29" s="123">
        <f>SUM(M29)+0.6</f>
        <v>17.600000000000001</v>
      </c>
    </row>
    <row r="30" spans="1:14" s="1" customFormat="1" ht="14.1" customHeight="1">
      <c r="A30" s="38"/>
      <c r="B30" s="56" t="s">
        <v>33</v>
      </c>
      <c r="C30" s="56"/>
      <c r="D30" s="47" t="s">
        <v>79</v>
      </c>
      <c r="E30" s="48"/>
      <c r="F30" s="48"/>
      <c r="G30" s="49"/>
      <c r="H30" s="36"/>
      <c r="I30" s="36"/>
      <c r="J30" s="23"/>
      <c r="K30" s="21"/>
      <c r="L30" s="21"/>
      <c r="M30" s="21"/>
      <c r="N30" s="123"/>
    </row>
    <row r="31" spans="1:14" s="1" customFormat="1" ht="14.1" customHeight="1">
      <c r="A31" s="38">
        <v>15</v>
      </c>
      <c r="B31" s="51" t="s">
        <v>456</v>
      </c>
      <c r="C31" s="52"/>
      <c r="D31" s="59"/>
      <c r="E31" s="60"/>
      <c r="F31" s="60"/>
      <c r="G31" s="61"/>
      <c r="H31" s="24">
        <f>SUM(I31)-0.5</f>
        <v>10.8</v>
      </c>
      <c r="I31" s="24">
        <f>SUM(J31)-0.5</f>
        <v>11.3</v>
      </c>
      <c r="J31" s="23">
        <v>11.8</v>
      </c>
      <c r="K31" s="21">
        <f>SUM(J31)+0.5</f>
        <v>12.3</v>
      </c>
      <c r="L31" s="21">
        <f>SUM(K31)+0.5</f>
        <v>12.8</v>
      </c>
      <c r="M31" s="21">
        <f>SUM(L31)+0.5</f>
        <v>13.3</v>
      </c>
      <c r="N31" s="123">
        <f>SUM(M31)+0.5</f>
        <v>13.8</v>
      </c>
    </row>
    <row r="32" spans="1:14" s="1" customFormat="1" ht="14.1" customHeight="1">
      <c r="A32" s="38"/>
      <c r="B32" s="56" t="s">
        <v>457</v>
      </c>
      <c r="C32" s="56"/>
      <c r="D32" s="47"/>
      <c r="E32" s="48"/>
      <c r="F32" s="48"/>
      <c r="G32" s="49"/>
      <c r="H32" s="36"/>
      <c r="I32" s="36"/>
      <c r="J32" s="23"/>
      <c r="K32" s="21"/>
      <c r="L32" s="21"/>
      <c r="M32" s="21"/>
      <c r="N32" s="123"/>
    </row>
    <row r="33" spans="1:14" s="1" customFormat="1" ht="14.1" customHeight="1">
      <c r="A33" s="38">
        <v>16</v>
      </c>
      <c r="B33" s="51" t="s">
        <v>459</v>
      </c>
      <c r="C33" s="52"/>
      <c r="D33" s="57"/>
      <c r="E33" s="57"/>
      <c r="F33" s="57"/>
      <c r="G33" s="57"/>
      <c r="H33" s="24">
        <f>SUM(I33)-0.15</f>
        <v>3.2</v>
      </c>
      <c r="I33" s="24">
        <f>SUM(J33)-0.15</f>
        <v>3.35</v>
      </c>
      <c r="J33" s="23">
        <v>3.5</v>
      </c>
      <c r="K33" s="21">
        <f>SUM(J33)+0.15</f>
        <v>3.65</v>
      </c>
      <c r="L33" s="21">
        <f>SUM(K33)+0.15</f>
        <v>3.8</v>
      </c>
      <c r="M33" s="21">
        <f>SUM(L33)+0.15</f>
        <v>3.9499999999999997</v>
      </c>
      <c r="N33" s="123">
        <f>SUM(M33)+0.15</f>
        <v>4.0999999999999996</v>
      </c>
    </row>
    <row r="34" spans="1:14" s="1" customFormat="1" ht="14.1" customHeight="1">
      <c r="A34" s="38"/>
      <c r="B34" s="56" t="s">
        <v>460</v>
      </c>
      <c r="C34" s="56"/>
      <c r="D34" s="47"/>
      <c r="E34" s="48"/>
      <c r="F34" s="48"/>
      <c r="G34" s="49"/>
      <c r="H34" s="36"/>
      <c r="I34" s="36"/>
      <c r="J34" s="23"/>
      <c r="K34" s="21"/>
      <c r="L34" s="21"/>
      <c r="M34" s="21"/>
      <c r="N34" s="123"/>
    </row>
    <row r="35" spans="1:14" ht="14.1" customHeight="1">
      <c r="A35" s="154">
        <v>17</v>
      </c>
      <c r="B35" s="51" t="s">
        <v>696</v>
      </c>
      <c r="C35" s="52"/>
      <c r="D35" s="59"/>
      <c r="E35" s="60"/>
      <c r="F35" s="60"/>
      <c r="G35" s="61"/>
      <c r="H35" s="24">
        <f>SUM(I35)-0.3</f>
        <v>4.4000000000000004</v>
      </c>
      <c r="I35" s="24">
        <f>SUM(J35)-0.3</f>
        <v>4.7</v>
      </c>
      <c r="J35" s="23">
        <v>5</v>
      </c>
      <c r="K35" s="21">
        <f>SUM(J35)+0.3</f>
        <v>5.3</v>
      </c>
      <c r="L35" s="21">
        <f>SUM(K35)+0.3</f>
        <v>5.6</v>
      </c>
      <c r="M35" s="21">
        <f>SUM(L35)+0.3</f>
        <v>5.8999999999999995</v>
      </c>
      <c r="N35" s="123">
        <f>SUM(M35)+0.3</f>
        <v>6.1999999999999993</v>
      </c>
    </row>
    <row r="36" spans="1:14" ht="14.1" customHeight="1">
      <c r="A36" s="71"/>
      <c r="B36" s="45" t="s">
        <v>697</v>
      </c>
      <c r="C36" s="46"/>
      <c r="D36" s="47" t="s">
        <v>603</v>
      </c>
      <c r="E36" s="48"/>
      <c r="F36" s="48"/>
      <c r="G36" s="49"/>
      <c r="H36" s="36"/>
      <c r="I36" s="36"/>
      <c r="J36" s="23"/>
      <c r="K36" s="21"/>
      <c r="L36" s="21"/>
      <c r="M36" s="21"/>
      <c r="N36" s="123"/>
    </row>
    <row r="37" spans="1:14" ht="14.1" customHeight="1">
      <c r="A37" s="154">
        <v>18</v>
      </c>
      <c r="B37" s="51"/>
      <c r="C37" s="52"/>
      <c r="D37" s="59"/>
      <c r="E37" s="60"/>
      <c r="F37" s="60"/>
      <c r="G37" s="61"/>
      <c r="H37" s="24"/>
      <c r="I37" s="24"/>
      <c r="J37" s="33"/>
      <c r="K37" s="24"/>
      <c r="L37" s="24"/>
      <c r="M37" s="24"/>
      <c r="N37" s="121"/>
    </row>
    <row r="38" spans="1:14" ht="14.1" customHeight="1" thickBot="1">
      <c r="A38" s="168"/>
      <c r="B38" s="28"/>
      <c r="C38" s="29"/>
      <c r="D38" s="30"/>
      <c r="E38" s="31"/>
      <c r="F38" s="31"/>
      <c r="G38" s="32"/>
      <c r="H38" s="25"/>
      <c r="I38" s="25"/>
      <c r="J38" s="34"/>
      <c r="K38" s="25"/>
      <c r="L38" s="25"/>
      <c r="M38" s="25"/>
      <c r="N38" s="124"/>
    </row>
    <row r="39" spans="1:14" ht="14.1" customHeight="1"/>
    <row r="40" spans="1:14" ht="14.1" customHeight="1"/>
    <row r="41" spans="1:14" ht="14.1" customHeight="1"/>
    <row r="42" spans="1:14" ht="14.1" customHeight="1"/>
    <row r="43" spans="1:14" ht="14.1" customHeight="1"/>
    <row r="44" spans="1:14" ht="14.1" customHeight="1">
      <c r="B44" s="6"/>
      <c r="C44" s="6"/>
      <c r="D44" s="6"/>
      <c r="E44" s="6"/>
      <c r="F44" s="6"/>
      <c r="G44" s="6"/>
    </row>
    <row r="45" spans="1:14" ht="14.1" customHeight="1">
      <c r="B45" s="6"/>
      <c r="C45" s="6"/>
      <c r="D45" s="6"/>
      <c r="E45" s="6"/>
      <c r="F45" s="6"/>
      <c r="G45" s="6"/>
    </row>
    <row r="46" spans="1:14" ht="14.1" customHeight="1">
      <c r="B46" s="6"/>
      <c r="C46" s="6"/>
      <c r="D46" s="6"/>
      <c r="E46" s="6"/>
      <c r="F46" s="6"/>
      <c r="G46" s="6"/>
    </row>
    <row r="47" spans="1:14" ht="14.1" customHeight="1">
      <c r="B47" s="6"/>
      <c r="C47" s="6"/>
      <c r="D47" s="6"/>
      <c r="E47" s="6"/>
      <c r="F47" s="6"/>
      <c r="G47" s="6"/>
    </row>
    <row r="48" spans="1:14" ht="14.1" customHeight="1"/>
    <row r="49" ht="14.1" customHeight="1"/>
    <row r="50" ht="14.1" customHeight="1"/>
    <row r="51" ht="14.1" customHeight="1"/>
  </sheetData>
  <mergeCells count="219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0E2E4-70F1-4178-943E-375DB65D117D}">
  <sheetPr>
    <tabColor rgb="FF00B050"/>
    <pageSetUpPr fitToPage="1"/>
  </sheetPr>
  <dimension ref="A1:M51"/>
  <sheetViews>
    <sheetView zoomScale="110" zoomScaleNormal="110" workbookViewId="0">
      <selection activeCell="D26" sqref="D26:G2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67" t="s">
        <v>666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24">
        <f>SUM(I3)-3</f>
        <v>35</v>
      </c>
      <c r="I3" s="24">
        <f>SUM(J3)-3</f>
        <v>38</v>
      </c>
      <c r="J3" s="75">
        <v>41</v>
      </c>
      <c r="K3" s="76">
        <f>SUM(J3)+2.5</f>
        <v>43.5</v>
      </c>
      <c r="L3" s="76">
        <f t="shared" ref="L3:M3" si="0">SUM(K3)+2.5</f>
        <v>46</v>
      </c>
      <c r="M3" s="77">
        <f t="shared" si="0"/>
        <v>48.5</v>
      </c>
    </row>
    <row r="4" spans="1:13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24"/>
      <c r="L4" s="24"/>
      <c r="M4" s="26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SUM(I5)-2.2</f>
        <v>38.499999999999993</v>
      </c>
      <c r="I5" s="24">
        <f>SUM(J5)-2.2</f>
        <v>40.699999999999996</v>
      </c>
      <c r="J5" s="33">
        <v>42.9</v>
      </c>
      <c r="K5" s="24">
        <f>SUM(J5)+2</f>
        <v>44.9</v>
      </c>
      <c r="L5" s="24">
        <f t="shared" ref="L5:M5" si="1">SUM(K5)+2</f>
        <v>46.9</v>
      </c>
      <c r="M5" s="26">
        <f t="shared" si="1"/>
        <v>48.9</v>
      </c>
    </row>
    <row r="6" spans="1:13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37"/>
    </row>
    <row r="7" spans="1:13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36.5</v>
      </c>
      <c r="I7" s="24">
        <f>SUM(J7)-2.25</f>
        <v>38.75</v>
      </c>
      <c r="J7" s="33">
        <v>41</v>
      </c>
      <c r="K7" s="24">
        <f>SUM(J7)+2</f>
        <v>43</v>
      </c>
      <c r="L7" s="24">
        <f>SUM(K7)+2</f>
        <v>45</v>
      </c>
      <c r="M7" s="26">
        <f>SUM(L7)+2</f>
        <v>47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37"/>
    </row>
    <row r="9" spans="1:13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SUM(I9)-1.8</f>
        <v>29.9</v>
      </c>
      <c r="I9" s="24">
        <f>SUM(J9)-1.8</f>
        <v>31.7</v>
      </c>
      <c r="J9" s="33">
        <v>33.5</v>
      </c>
      <c r="K9" s="24">
        <f>SUM(J9)+1.6</f>
        <v>35.1</v>
      </c>
      <c r="L9" s="24">
        <f t="shared" ref="L9:M9" si="2">SUM(K9)+1.6</f>
        <v>36.700000000000003</v>
      </c>
      <c r="M9" s="26">
        <f t="shared" si="2"/>
        <v>38.300000000000004</v>
      </c>
    </row>
    <row r="10" spans="1:13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7"/>
    </row>
    <row r="11" spans="1:13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SUM(I11)-0.8</f>
        <v>14.399999999999999</v>
      </c>
      <c r="I11" s="24">
        <f>SUM(J11)-0.8</f>
        <v>15.2</v>
      </c>
      <c r="J11" s="23">
        <v>16</v>
      </c>
      <c r="K11" s="21">
        <f>SUM(J11)+0.8</f>
        <v>16.8</v>
      </c>
      <c r="L11" s="21">
        <f t="shared" ref="L11:M11" si="3">SUM(K11)+0.8</f>
        <v>17.600000000000001</v>
      </c>
      <c r="M11" s="22">
        <f t="shared" si="3"/>
        <v>18.400000000000002</v>
      </c>
    </row>
    <row r="12" spans="1:13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2"/>
    </row>
    <row r="13" spans="1:13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15.3</v>
      </c>
      <c r="I13" s="24">
        <f>SUM(J13)-0.6</f>
        <v>15.9</v>
      </c>
      <c r="J13" s="23">
        <v>16.5</v>
      </c>
      <c r="K13" s="21">
        <f>SUM(J13)+0.6</f>
        <v>17.100000000000001</v>
      </c>
      <c r="L13" s="21">
        <f t="shared" ref="L13:M13" si="4">SUM(K13)+0.6</f>
        <v>17.700000000000003</v>
      </c>
      <c r="M13" s="22">
        <f t="shared" si="4"/>
        <v>18.300000000000004</v>
      </c>
    </row>
    <row r="14" spans="1:13" s="1" customFormat="1" ht="14.1" customHeight="1">
      <c r="A14" s="38"/>
      <c r="B14" s="56" t="s">
        <v>29</v>
      </c>
      <c r="C14" s="56"/>
      <c r="D14" s="47" t="s">
        <v>154</v>
      </c>
      <c r="E14" s="48"/>
      <c r="F14" s="48"/>
      <c r="G14" s="49"/>
      <c r="H14" s="36"/>
      <c r="I14" s="36"/>
      <c r="J14" s="23"/>
      <c r="K14" s="21"/>
      <c r="L14" s="21"/>
      <c r="M14" s="22"/>
    </row>
    <row r="15" spans="1:13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6.4</v>
      </c>
      <c r="I15" s="24">
        <f>SUM(J15)-0.3</f>
        <v>6.7</v>
      </c>
      <c r="J15" s="23">
        <v>7</v>
      </c>
      <c r="K15" s="21">
        <f>SUM(J15)+0.3</f>
        <v>7.3</v>
      </c>
      <c r="L15" s="21">
        <f>SUM(K15)+0.3</f>
        <v>7.6</v>
      </c>
      <c r="M15" s="22">
        <f>SUM(L15)+0.3</f>
        <v>7.8999999999999995</v>
      </c>
    </row>
    <row r="16" spans="1:13" s="1" customFormat="1" ht="14.1" customHeight="1">
      <c r="A16" s="38"/>
      <c r="B16" s="56" t="s">
        <v>30</v>
      </c>
      <c r="C16" s="56"/>
      <c r="D16" s="47" t="s">
        <v>155</v>
      </c>
      <c r="E16" s="48"/>
      <c r="F16" s="48"/>
      <c r="G16" s="49"/>
      <c r="H16" s="36"/>
      <c r="I16" s="36"/>
      <c r="J16" s="23"/>
      <c r="K16" s="21"/>
      <c r="L16" s="21"/>
      <c r="M16" s="22"/>
    </row>
    <row r="17" spans="1:13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34.799999999999997</v>
      </c>
      <c r="I17" s="24">
        <f>SUM(J17)-1.6</f>
        <v>36.4</v>
      </c>
      <c r="J17" s="23">
        <v>38</v>
      </c>
      <c r="K17" s="21">
        <f>SUM(J17)+1.6</f>
        <v>39.6</v>
      </c>
      <c r="L17" s="21">
        <f>SUM(K17)+1.6</f>
        <v>41.2</v>
      </c>
      <c r="M17" s="22">
        <f>SUM(L17)+1.6</f>
        <v>42.800000000000004</v>
      </c>
    </row>
    <row r="18" spans="1:13" s="1" customFormat="1" ht="14.1" customHeight="1">
      <c r="A18" s="38"/>
      <c r="B18" s="56" t="s">
        <v>37</v>
      </c>
      <c r="C18" s="56"/>
      <c r="D18" s="47" t="s">
        <v>156</v>
      </c>
      <c r="E18" s="48"/>
      <c r="F18" s="48"/>
      <c r="G18" s="49"/>
      <c r="H18" s="36"/>
      <c r="I18" s="36"/>
      <c r="J18" s="23"/>
      <c r="K18" s="21"/>
      <c r="L18" s="21"/>
      <c r="M18" s="22"/>
    </row>
    <row r="19" spans="1:13" s="1" customFormat="1" ht="14.1" customHeight="1">
      <c r="A19" s="38">
        <v>9</v>
      </c>
      <c r="B19" s="58" t="s">
        <v>4</v>
      </c>
      <c r="C19" s="58"/>
      <c r="D19" s="57" t="s">
        <v>5</v>
      </c>
      <c r="E19" s="57"/>
      <c r="F19" s="57"/>
      <c r="G19" s="57"/>
      <c r="H19" s="24">
        <f>SUM(I19)-3.4</f>
        <v>25.5</v>
      </c>
      <c r="I19" s="24">
        <f>SUM(J19)-3.4</f>
        <v>28.9</v>
      </c>
      <c r="J19" s="23">
        <v>32.299999999999997</v>
      </c>
      <c r="K19" s="21">
        <f>SUM(J19)+3.5</f>
        <v>35.799999999999997</v>
      </c>
      <c r="L19" s="21">
        <f t="shared" ref="L19:M19" si="5">SUM(K19)+3.5</f>
        <v>39.299999999999997</v>
      </c>
      <c r="M19" s="22">
        <f t="shared" si="5"/>
        <v>42.8</v>
      </c>
    </row>
    <row r="20" spans="1:13" s="1" customFormat="1" ht="14.1" customHeight="1">
      <c r="A20" s="38"/>
      <c r="B20" s="56" t="s">
        <v>31</v>
      </c>
      <c r="C20" s="56"/>
      <c r="D20" s="47" t="s">
        <v>54</v>
      </c>
      <c r="E20" s="48"/>
      <c r="F20" s="48"/>
      <c r="G20" s="49"/>
      <c r="H20" s="36"/>
      <c r="I20" s="36"/>
      <c r="J20" s="23"/>
      <c r="K20" s="21"/>
      <c r="L20" s="21"/>
      <c r="M20" s="22"/>
    </row>
    <row r="21" spans="1:13" s="1" customFormat="1" ht="14.1" customHeight="1">
      <c r="A21" s="38">
        <v>10</v>
      </c>
      <c r="B21" s="58" t="s">
        <v>6</v>
      </c>
      <c r="C21" s="58"/>
      <c r="D21" s="59" t="s">
        <v>7</v>
      </c>
      <c r="E21" s="60"/>
      <c r="F21" s="60"/>
      <c r="G21" s="61"/>
      <c r="H21" s="24">
        <f>SUM(I21)-1.5</f>
        <v>27.8</v>
      </c>
      <c r="I21" s="24">
        <f>SUM(J21)-1.5</f>
        <v>29.3</v>
      </c>
      <c r="J21" s="23">
        <v>30.8</v>
      </c>
      <c r="K21" s="21">
        <f>SUM(J21)+1.6</f>
        <v>32.4</v>
      </c>
      <c r="L21" s="21">
        <f>SUM(K21)+1.5</f>
        <v>33.9</v>
      </c>
      <c r="M21" s="22">
        <f>SUM(L21)+1.5</f>
        <v>35.4</v>
      </c>
    </row>
    <row r="22" spans="1:13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9"/>
      <c r="H22" s="36"/>
      <c r="I22" s="36"/>
      <c r="J22" s="23"/>
      <c r="K22" s="21"/>
      <c r="L22" s="21"/>
      <c r="M22" s="22"/>
    </row>
    <row r="23" spans="1:13" s="1" customFormat="1" ht="14.1" customHeight="1">
      <c r="A23" s="38">
        <v>11</v>
      </c>
      <c r="B23" s="51" t="s">
        <v>77</v>
      </c>
      <c r="C23" s="52"/>
      <c r="D23" s="57" t="s">
        <v>78</v>
      </c>
      <c r="E23" s="57"/>
      <c r="F23" s="57"/>
      <c r="G23" s="57"/>
      <c r="H23" s="24">
        <f>SUM(I23)-0.6</f>
        <v>13.8</v>
      </c>
      <c r="I23" s="24">
        <f>SUM(J23)-0.6</f>
        <v>14.4</v>
      </c>
      <c r="J23" s="23">
        <v>15</v>
      </c>
      <c r="K23" s="21">
        <f>SUM(J23)+0.6</f>
        <v>15.6</v>
      </c>
      <c r="L23" s="21">
        <f t="shared" ref="L23:M23" si="6">SUM(K23)+0.6</f>
        <v>16.2</v>
      </c>
      <c r="M23" s="22">
        <f t="shared" si="6"/>
        <v>16.8</v>
      </c>
    </row>
    <row r="24" spans="1:13" s="1" customFormat="1" ht="14.1" customHeight="1">
      <c r="A24" s="38"/>
      <c r="B24" s="56" t="s">
        <v>33</v>
      </c>
      <c r="C24" s="56"/>
      <c r="D24" s="47" t="s">
        <v>79</v>
      </c>
      <c r="E24" s="48"/>
      <c r="F24" s="48"/>
      <c r="G24" s="49"/>
      <c r="H24" s="36"/>
      <c r="I24" s="36"/>
      <c r="J24" s="23"/>
      <c r="K24" s="21"/>
      <c r="L24" s="21"/>
      <c r="M24" s="22"/>
    </row>
    <row r="25" spans="1:13" s="1" customFormat="1" ht="14.1" customHeight="1">
      <c r="A25" s="38">
        <v>12</v>
      </c>
      <c r="B25" s="51" t="s">
        <v>176</v>
      </c>
      <c r="C25" s="52"/>
      <c r="D25" s="53"/>
      <c r="E25" s="54"/>
      <c r="F25" s="54"/>
      <c r="G25" s="55"/>
      <c r="H25" s="24">
        <f>SUM(I25)-0.2</f>
        <v>4.3999999999999995</v>
      </c>
      <c r="I25" s="24">
        <f>SUM(J25)-0.2</f>
        <v>4.5999999999999996</v>
      </c>
      <c r="J25" s="23">
        <v>4.8</v>
      </c>
      <c r="K25" s="21">
        <f>SUM(J25)+0.2</f>
        <v>5</v>
      </c>
      <c r="L25" s="21">
        <f t="shared" ref="L25:M25" si="7">SUM(K25)+0.2</f>
        <v>5.2</v>
      </c>
      <c r="M25" s="22">
        <f t="shared" si="7"/>
        <v>5.4</v>
      </c>
    </row>
    <row r="26" spans="1:13" s="1" customFormat="1" ht="14.1" customHeight="1">
      <c r="A26" s="38"/>
      <c r="B26" s="45" t="s">
        <v>175</v>
      </c>
      <c r="C26" s="46"/>
      <c r="D26" s="47" t="s">
        <v>667</v>
      </c>
      <c r="E26" s="48"/>
      <c r="F26" s="48"/>
      <c r="G26" s="49"/>
      <c r="H26" s="36"/>
      <c r="I26" s="36"/>
      <c r="J26" s="23"/>
      <c r="K26" s="21"/>
      <c r="L26" s="21"/>
      <c r="M26" s="22"/>
    </row>
    <row r="27" spans="1:13" s="1" customFormat="1" ht="14.1" customHeight="1">
      <c r="A27" s="38">
        <v>13</v>
      </c>
      <c r="B27" s="40"/>
      <c r="C27" s="41"/>
      <c r="D27" s="42"/>
      <c r="E27" s="43"/>
      <c r="F27" s="43"/>
      <c r="G27" s="44"/>
      <c r="H27" s="50"/>
      <c r="I27" s="50"/>
      <c r="J27" s="35"/>
      <c r="K27" s="36"/>
      <c r="L27" s="36"/>
      <c r="M27" s="37"/>
    </row>
    <row r="28" spans="1:13" s="1" customFormat="1" ht="14.1" customHeight="1">
      <c r="A28" s="38"/>
      <c r="B28" s="45"/>
      <c r="C28" s="46"/>
      <c r="D28" s="47"/>
      <c r="E28" s="48"/>
      <c r="F28" s="48"/>
      <c r="G28" s="49"/>
      <c r="H28" s="36"/>
      <c r="I28" s="36"/>
      <c r="J28" s="23"/>
      <c r="K28" s="21"/>
      <c r="L28" s="21"/>
      <c r="M28" s="22"/>
    </row>
    <row r="29" spans="1:13" s="1" customFormat="1" ht="14.1" customHeight="1">
      <c r="A29" s="38">
        <v>14</v>
      </c>
      <c r="B29" s="40"/>
      <c r="C29" s="41"/>
      <c r="D29" s="42"/>
      <c r="E29" s="43"/>
      <c r="F29" s="43"/>
      <c r="G29" s="44"/>
      <c r="H29" s="24"/>
      <c r="I29" s="24"/>
      <c r="J29" s="33"/>
      <c r="K29" s="24"/>
      <c r="L29" s="24"/>
      <c r="M29" s="26"/>
    </row>
    <row r="30" spans="1:13" s="1" customFormat="1" ht="14.1" customHeight="1" thickBot="1">
      <c r="A30" s="39"/>
      <c r="B30" s="28"/>
      <c r="C30" s="29"/>
      <c r="D30" s="30"/>
      <c r="E30" s="31"/>
      <c r="F30" s="31"/>
      <c r="G30" s="32"/>
      <c r="H30" s="25"/>
      <c r="I30" s="25"/>
      <c r="J30" s="34"/>
      <c r="K30" s="25"/>
      <c r="L30" s="25"/>
      <c r="M30" s="27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7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B62D0-E061-4513-A465-61FC879A6563}">
  <sheetPr>
    <tabColor rgb="FF00B050"/>
    <pageSetUpPr fitToPage="1"/>
  </sheetPr>
  <dimension ref="A1:M51"/>
  <sheetViews>
    <sheetView zoomScale="110" zoomScaleNormal="110" workbookViewId="0">
      <selection activeCell="O12" sqref="O1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686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24">
        <f>SUM(I3)-3</f>
        <v>32</v>
      </c>
      <c r="I3" s="24">
        <f>SUM(J3)-3</f>
        <v>35</v>
      </c>
      <c r="J3" s="75">
        <v>38</v>
      </c>
      <c r="K3" s="76">
        <f>SUM(J3)+2.5</f>
        <v>40.5</v>
      </c>
      <c r="L3" s="76">
        <f>SUM(K3)+2.5</f>
        <v>43</v>
      </c>
      <c r="M3" s="77">
        <f>SUM(L3)+2.5</f>
        <v>45.5</v>
      </c>
    </row>
    <row r="4" spans="1:13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24"/>
      <c r="L4" s="24"/>
      <c r="M4" s="26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SUM(I5)-1.8</f>
        <v>22.4</v>
      </c>
      <c r="I5" s="24">
        <f>SUM(J5)-1.8</f>
        <v>24.2</v>
      </c>
      <c r="J5" s="33">
        <v>26</v>
      </c>
      <c r="K5" s="24">
        <f>SUM(J5)+1.6</f>
        <v>27.6</v>
      </c>
      <c r="L5" s="24">
        <f>SUM(K5)+1.6</f>
        <v>29.200000000000003</v>
      </c>
      <c r="M5" s="26">
        <f>SUM(L5)+1.6</f>
        <v>30.800000000000004</v>
      </c>
    </row>
    <row r="6" spans="1:13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37"/>
    </row>
    <row r="7" spans="1:13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27.5</v>
      </c>
      <c r="I7" s="24">
        <f>SUM(J7)-2.25</f>
        <v>29.75</v>
      </c>
      <c r="J7" s="33">
        <v>32</v>
      </c>
      <c r="K7" s="24">
        <f>SUM(J7)+2</f>
        <v>34</v>
      </c>
      <c r="L7" s="24">
        <f>SUM(K7)+2</f>
        <v>36</v>
      </c>
      <c r="M7" s="26">
        <f>SUM(L7)+2</f>
        <v>38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37"/>
    </row>
    <row r="9" spans="1:13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SUM(I9)-2.4</f>
        <v>29.099999999999998</v>
      </c>
      <c r="I9" s="24">
        <f>SUM(J9)-2.3</f>
        <v>31.499999999999996</v>
      </c>
      <c r="J9" s="33">
        <v>33.799999999999997</v>
      </c>
      <c r="K9" s="24">
        <f>SUM(J9)+2.1</f>
        <v>35.9</v>
      </c>
      <c r="L9" s="24">
        <f>SUM(K9)+2</f>
        <v>37.9</v>
      </c>
      <c r="M9" s="26">
        <f>SUM(L9)+2.1</f>
        <v>40</v>
      </c>
    </row>
    <row r="10" spans="1:13" s="1" customFormat="1" ht="14.1" customHeight="1">
      <c r="A10" s="38"/>
      <c r="B10" s="56" t="s">
        <v>27</v>
      </c>
      <c r="C10" s="56"/>
      <c r="D10" s="47" t="s">
        <v>911</v>
      </c>
      <c r="E10" s="48"/>
      <c r="F10" s="48"/>
      <c r="G10" s="49"/>
      <c r="H10" s="36"/>
      <c r="I10" s="36"/>
      <c r="J10" s="35"/>
      <c r="K10" s="36"/>
      <c r="L10" s="36"/>
      <c r="M10" s="37"/>
    </row>
    <row r="11" spans="1:13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SUM(I11)-0.8</f>
        <v>12.899999999999999</v>
      </c>
      <c r="I11" s="24">
        <f>SUM(J11)-0.8</f>
        <v>13.7</v>
      </c>
      <c r="J11" s="23">
        <v>14.5</v>
      </c>
      <c r="K11" s="21">
        <f>SUM(J11)+0.9</f>
        <v>15.4</v>
      </c>
      <c r="L11" s="21">
        <f>SUM(K11)+0.9</f>
        <v>16.3</v>
      </c>
      <c r="M11" s="22">
        <f>SUM(L11)+0.8</f>
        <v>17.100000000000001</v>
      </c>
    </row>
    <row r="12" spans="1:13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2"/>
    </row>
    <row r="13" spans="1:13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12.8</v>
      </c>
      <c r="I13" s="24">
        <f>SUM(J13)-0.6</f>
        <v>13.4</v>
      </c>
      <c r="J13" s="23">
        <v>14</v>
      </c>
      <c r="K13" s="21">
        <f>SUM(J13)+0.6</f>
        <v>14.6</v>
      </c>
      <c r="L13" s="21">
        <f>SUM(K13)+0.6</f>
        <v>15.2</v>
      </c>
      <c r="M13" s="22">
        <f>SUM(L13)+0.6</f>
        <v>15.799999999999999</v>
      </c>
    </row>
    <row r="14" spans="1:13" s="1" customFormat="1" ht="14.1" customHeight="1">
      <c r="A14" s="38"/>
      <c r="B14" s="56" t="s">
        <v>29</v>
      </c>
      <c r="C14" s="56"/>
      <c r="D14" s="47" t="s">
        <v>154</v>
      </c>
      <c r="E14" s="48"/>
      <c r="F14" s="48"/>
      <c r="G14" s="49"/>
      <c r="H14" s="36"/>
      <c r="I14" s="36"/>
      <c r="J14" s="23"/>
      <c r="K14" s="21"/>
      <c r="L14" s="21"/>
      <c r="M14" s="22"/>
    </row>
    <row r="15" spans="1:13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4.5</v>
      </c>
      <c r="I15" s="24">
        <f>SUM(J15)-0.3</f>
        <v>4.8</v>
      </c>
      <c r="J15" s="23">
        <v>5.0999999999999996</v>
      </c>
      <c r="K15" s="21">
        <f>SUM(J15)+0.3</f>
        <v>5.3999999999999995</v>
      </c>
      <c r="L15" s="21">
        <f>SUM(K15)+0.3</f>
        <v>5.6999999999999993</v>
      </c>
      <c r="M15" s="22">
        <f>SUM(L15)+0.3</f>
        <v>5.9999999999999991</v>
      </c>
    </row>
    <row r="16" spans="1:13" s="1" customFormat="1" ht="14.1" customHeight="1">
      <c r="A16" s="38"/>
      <c r="B16" s="56" t="s">
        <v>30</v>
      </c>
      <c r="C16" s="56"/>
      <c r="D16" s="47" t="s">
        <v>155</v>
      </c>
      <c r="E16" s="48"/>
      <c r="F16" s="48"/>
      <c r="G16" s="49"/>
      <c r="H16" s="36"/>
      <c r="I16" s="36"/>
      <c r="J16" s="23"/>
      <c r="K16" s="21"/>
      <c r="L16" s="21"/>
      <c r="M16" s="22"/>
    </row>
    <row r="17" spans="1:13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35.4</v>
      </c>
      <c r="I17" s="24">
        <f>SUM(J17)-1.6</f>
        <v>37</v>
      </c>
      <c r="J17" s="23">
        <v>38.6</v>
      </c>
      <c r="K17" s="21">
        <f>SUM(J17)+1.6</f>
        <v>40.200000000000003</v>
      </c>
      <c r="L17" s="21">
        <f>SUM(K17)+1.6</f>
        <v>41.800000000000004</v>
      </c>
      <c r="M17" s="22">
        <f>SUM(L17)+1.6</f>
        <v>43.400000000000006</v>
      </c>
    </row>
    <row r="18" spans="1:13" s="1" customFormat="1" ht="14.1" customHeight="1">
      <c r="A18" s="38"/>
      <c r="B18" s="56" t="s">
        <v>37</v>
      </c>
      <c r="C18" s="56"/>
      <c r="D18" s="47" t="s">
        <v>156</v>
      </c>
      <c r="E18" s="48"/>
      <c r="F18" s="48"/>
      <c r="G18" s="49"/>
      <c r="H18" s="36"/>
      <c r="I18" s="36"/>
      <c r="J18" s="23"/>
      <c r="K18" s="21"/>
      <c r="L18" s="21"/>
      <c r="M18" s="22"/>
    </row>
    <row r="19" spans="1:13" s="1" customFormat="1" ht="14.1" customHeight="1">
      <c r="A19" s="38">
        <v>9</v>
      </c>
      <c r="B19" s="58" t="s">
        <v>4</v>
      </c>
      <c r="C19" s="58"/>
      <c r="D19" s="57" t="s">
        <v>5</v>
      </c>
      <c r="E19" s="57"/>
      <c r="F19" s="57"/>
      <c r="G19" s="57"/>
      <c r="H19" s="24">
        <f>SUM(I19)-3.6</f>
        <v>32.9</v>
      </c>
      <c r="I19" s="24">
        <f>SUM(J19)-3.6</f>
        <v>36.5</v>
      </c>
      <c r="J19" s="23">
        <v>40.1</v>
      </c>
      <c r="K19" s="21">
        <f>SUM(J19)+3.7</f>
        <v>43.800000000000004</v>
      </c>
      <c r="L19" s="21">
        <f>SUM(K19)+3.7</f>
        <v>47.500000000000007</v>
      </c>
      <c r="M19" s="22">
        <f>SUM(L19)+3.7</f>
        <v>51.20000000000001</v>
      </c>
    </row>
    <row r="20" spans="1:13" s="1" customFormat="1" ht="14.1" customHeight="1">
      <c r="A20" s="38"/>
      <c r="B20" s="56" t="s">
        <v>31</v>
      </c>
      <c r="C20" s="56"/>
      <c r="D20" s="47" t="s">
        <v>54</v>
      </c>
      <c r="E20" s="48"/>
      <c r="F20" s="48"/>
      <c r="G20" s="49"/>
      <c r="H20" s="36"/>
      <c r="I20" s="36"/>
      <c r="J20" s="23"/>
      <c r="K20" s="21"/>
      <c r="L20" s="21"/>
      <c r="M20" s="22"/>
    </row>
    <row r="21" spans="1:13" s="1" customFormat="1" ht="14.1" customHeight="1">
      <c r="A21" s="38">
        <v>10</v>
      </c>
      <c r="B21" s="58" t="s">
        <v>6</v>
      </c>
      <c r="C21" s="58"/>
      <c r="D21" s="59" t="s">
        <v>7</v>
      </c>
      <c r="E21" s="60"/>
      <c r="F21" s="60"/>
      <c r="G21" s="61"/>
      <c r="H21" s="24">
        <f>SUM(I21)-1.5</f>
        <v>22.6</v>
      </c>
      <c r="I21" s="24">
        <f>SUM(J21)-1.5</f>
        <v>24.1</v>
      </c>
      <c r="J21" s="23">
        <v>25.6</v>
      </c>
      <c r="K21" s="21">
        <f>SUM(J21)+1.5</f>
        <v>27.1</v>
      </c>
      <c r="L21" s="21">
        <f>SUM(K21)+1.5</f>
        <v>28.6</v>
      </c>
      <c r="M21" s="22">
        <f>SUM(L21)+1.5</f>
        <v>30.1</v>
      </c>
    </row>
    <row r="22" spans="1:13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9"/>
      <c r="H22" s="36"/>
      <c r="I22" s="36"/>
      <c r="J22" s="23"/>
      <c r="K22" s="21"/>
      <c r="L22" s="21"/>
      <c r="M22" s="22"/>
    </row>
    <row r="23" spans="1:13" s="1" customFormat="1" ht="14.1" customHeight="1">
      <c r="A23" s="38">
        <v>11</v>
      </c>
      <c r="B23" s="51" t="s">
        <v>77</v>
      </c>
      <c r="C23" s="52"/>
      <c r="D23" s="57" t="s">
        <v>78</v>
      </c>
      <c r="E23" s="57"/>
      <c r="F23" s="57"/>
      <c r="G23" s="57"/>
      <c r="H23" s="24">
        <f>SUM(I23)-0.7</f>
        <v>15.600000000000001</v>
      </c>
      <c r="I23" s="24">
        <f>SUM(J23)-0.7</f>
        <v>16.3</v>
      </c>
      <c r="J23" s="23">
        <v>17</v>
      </c>
      <c r="K23" s="21">
        <f>SUM(J23)+0.7</f>
        <v>17.7</v>
      </c>
      <c r="L23" s="21">
        <f>SUM(K23)+0.7</f>
        <v>18.399999999999999</v>
      </c>
      <c r="M23" s="22">
        <f>SUM(L23)+0.7</f>
        <v>19.099999999999998</v>
      </c>
    </row>
    <row r="24" spans="1:13" s="1" customFormat="1" ht="14.1" customHeight="1">
      <c r="A24" s="38"/>
      <c r="B24" s="56" t="s">
        <v>33</v>
      </c>
      <c r="C24" s="56"/>
      <c r="D24" s="47" t="s">
        <v>79</v>
      </c>
      <c r="E24" s="48"/>
      <c r="F24" s="48"/>
      <c r="G24" s="49"/>
      <c r="H24" s="36"/>
      <c r="I24" s="36"/>
      <c r="J24" s="23"/>
      <c r="K24" s="21"/>
      <c r="L24" s="21"/>
      <c r="M24" s="22"/>
    </row>
    <row r="25" spans="1:13" s="1" customFormat="1" ht="14.1" customHeight="1">
      <c r="A25" s="38">
        <v>12</v>
      </c>
      <c r="B25" s="51" t="s">
        <v>176</v>
      </c>
      <c r="C25" s="52"/>
      <c r="D25" s="53"/>
      <c r="E25" s="54"/>
      <c r="F25" s="54"/>
      <c r="G25" s="55"/>
      <c r="H25" s="24">
        <v>2.2000000000000002</v>
      </c>
      <c r="I25" s="24">
        <v>2.2000000000000002</v>
      </c>
      <c r="J25" s="23">
        <v>2.2000000000000002</v>
      </c>
      <c r="K25" s="21">
        <v>2.2000000000000002</v>
      </c>
      <c r="L25" s="21">
        <v>2.2000000000000002</v>
      </c>
      <c r="M25" s="22">
        <v>2.2000000000000002</v>
      </c>
    </row>
    <row r="26" spans="1:13" s="1" customFormat="1" ht="14.1" customHeight="1">
      <c r="A26" s="38"/>
      <c r="B26" s="45" t="s">
        <v>175</v>
      </c>
      <c r="C26" s="46"/>
      <c r="D26" s="47" t="s">
        <v>212</v>
      </c>
      <c r="E26" s="48"/>
      <c r="F26" s="48"/>
      <c r="G26" s="49"/>
      <c r="H26" s="36"/>
      <c r="I26" s="36"/>
      <c r="J26" s="23"/>
      <c r="K26" s="21"/>
      <c r="L26" s="21"/>
      <c r="M26" s="22"/>
    </row>
    <row r="27" spans="1:13" s="1" customFormat="1" ht="14.1" customHeight="1">
      <c r="A27" s="38">
        <v>13</v>
      </c>
      <c r="B27" s="40"/>
      <c r="C27" s="41"/>
      <c r="D27" s="42"/>
      <c r="E27" s="43"/>
      <c r="F27" s="43"/>
      <c r="G27" s="44"/>
      <c r="H27" s="50"/>
      <c r="I27" s="50"/>
      <c r="J27" s="35"/>
      <c r="K27" s="36"/>
      <c r="L27" s="36"/>
      <c r="M27" s="37"/>
    </row>
    <row r="28" spans="1:13" s="1" customFormat="1" ht="14.1" customHeight="1">
      <c r="A28" s="38"/>
      <c r="B28" s="45"/>
      <c r="C28" s="46"/>
      <c r="D28" s="47"/>
      <c r="E28" s="48"/>
      <c r="F28" s="48"/>
      <c r="G28" s="49"/>
      <c r="H28" s="36"/>
      <c r="I28" s="36"/>
      <c r="J28" s="23"/>
      <c r="K28" s="21"/>
      <c r="L28" s="21"/>
      <c r="M28" s="22"/>
    </row>
    <row r="29" spans="1:13" s="1" customFormat="1" ht="14.1" customHeight="1">
      <c r="A29" s="38">
        <v>14</v>
      </c>
      <c r="B29" s="40"/>
      <c r="C29" s="41"/>
      <c r="D29" s="42"/>
      <c r="E29" s="43"/>
      <c r="F29" s="43"/>
      <c r="G29" s="44"/>
      <c r="H29" s="24"/>
      <c r="I29" s="24"/>
      <c r="J29" s="33"/>
      <c r="K29" s="24"/>
      <c r="L29" s="24"/>
      <c r="M29" s="26"/>
    </row>
    <row r="30" spans="1:13" s="1" customFormat="1" ht="14.1" customHeight="1" thickBot="1">
      <c r="A30" s="39"/>
      <c r="B30" s="28"/>
      <c r="C30" s="29"/>
      <c r="D30" s="30"/>
      <c r="E30" s="31"/>
      <c r="F30" s="31"/>
      <c r="G30" s="32"/>
      <c r="H30" s="25"/>
      <c r="I30" s="25"/>
      <c r="J30" s="34"/>
      <c r="K30" s="25"/>
      <c r="L30" s="25"/>
      <c r="M30" s="27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7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980D2-2289-48AB-8718-77FC9CA0D999}">
  <sheetPr>
    <tabColor rgb="FF00B050"/>
    <pageSetUpPr fitToPage="1"/>
  </sheetPr>
  <dimension ref="A1:M51"/>
  <sheetViews>
    <sheetView zoomScale="110" zoomScaleNormal="110" workbookViewId="0">
      <selection activeCell="P8" sqref="P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67" t="s">
        <v>694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24">
        <f>SUM(I3)-3.5</f>
        <v>37</v>
      </c>
      <c r="I3" s="24">
        <f>SUM(J3)-3.5</f>
        <v>40.5</v>
      </c>
      <c r="J3" s="75">
        <v>44</v>
      </c>
      <c r="K3" s="76">
        <f>SUM(J3)+3</f>
        <v>47</v>
      </c>
      <c r="L3" s="76">
        <f t="shared" ref="L3:M3" si="0">SUM(K3)+3</f>
        <v>50</v>
      </c>
      <c r="M3" s="77">
        <f t="shared" si="0"/>
        <v>53</v>
      </c>
    </row>
    <row r="4" spans="1:13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24"/>
      <c r="L4" s="24"/>
      <c r="M4" s="26"/>
    </row>
    <row r="5" spans="1:13" s="1" customFormat="1" ht="14.1" customHeight="1">
      <c r="A5" s="38">
        <v>2</v>
      </c>
      <c r="B5" s="164" t="s">
        <v>101</v>
      </c>
      <c r="C5" s="165"/>
      <c r="D5" s="100" t="s">
        <v>102</v>
      </c>
      <c r="E5" s="101"/>
      <c r="F5" s="101"/>
      <c r="G5" s="102"/>
      <c r="H5" s="24">
        <f>SUM(I5)-4.5</f>
        <v>45.2</v>
      </c>
      <c r="I5" s="24">
        <f>SUM(J5)-4.5</f>
        <v>49.7</v>
      </c>
      <c r="J5" s="23">
        <v>54.2</v>
      </c>
      <c r="K5" s="21">
        <f>SUM(J5)+4.5</f>
        <v>58.7</v>
      </c>
      <c r="L5" s="21">
        <f>SUM(K5)+4.5</f>
        <v>63.2</v>
      </c>
      <c r="M5" s="22">
        <f>SUM(L5)+4.5</f>
        <v>67.7</v>
      </c>
    </row>
    <row r="6" spans="1:13" s="1" customFormat="1" ht="14.1" customHeight="1">
      <c r="A6" s="38"/>
      <c r="B6" s="45" t="s">
        <v>99</v>
      </c>
      <c r="C6" s="46"/>
      <c r="D6" s="47" t="s">
        <v>100</v>
      </c>
      <c r="E6" s="48"/>
      <c r="F6" s="48"/>
      <c r="G6" s="49"/>
      <c r="H6" s="36"/>
      <c r="I6" s="36"/>
      <c r="J6" s="23"/>
      <c r="K6" s="21"/>
      <c r="L6" s="21"/>
      <c r="M6" s="22"/>
    </row>
    <row r="7" spans="1:13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33</v>
      </c>
      <c r="I7" s="24">
        <f>SUM(J7)-2.25</f>
        <v>35.25</v>
      </c>
      <c r="J7" s="33">
        <v>37.5</v>
      </c>
      <c r="K7" s="24">
        <f>SUM(J7)+2</f>
        <v>39.5</v>
      </c>
      <c r="L7" s="24">
        <f>SUM(K7)+2</f>
        <v>41.5</v>
      </c>
      <c r="M7" s="26">
        <f>SUM(L7)+2</f>
        <v>43.5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37"/>
    </row>
    <row r="9" spans="1:13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SUM(I9)-2.25</f>
        <v>33</v>
      </c>
      <c r="I9" s="24">
        <f>SUM(J9)-2.25</f>
        <v>35.25</v>
      </c>
      <c r="J9" s="33">
        <v>37.5</v>
      </c>
      <c r="K9" s="24">
        <f>SUM(J9)+2</f>
        <v>39.5</v>
      </c>
      <c r="L9" s="24">
        <f t="shared" ref="L9:M9" si="1">SUM(K9)+2</f>
        <v>41.5</v>
      </c>
      <c r="M9" s="26">
        <f t="shared" si="1"/>
        <v>43.5</v>
      </c>
    </row>
    <row r="10" spans="1:13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7"/>
    </row>
    <row r="11" spans="1:13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/>
      <c r="I11" s="24"/>
      <c r="J11" s="23"/>
      <c r="K11" s="21"/>
      <c r="L11" s="21"/>
      <c r="M11" s="22"/>
    </row>
    <row r="12" spans="1:13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2"/>
    </row>
    <row r="13" spans="1:13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15.3</v>
      </c>
      <c r="I13" s="24">
        <f>SUM(J13)-0.6</f>
        <v>15.9</v>
      </c>
      <c r="J13" s="23">
        <v>16.5</v>
      </c>
      <c r="K13" s="21">
        <f>SUM(J13)+0.6</f>
        <v>17.100000000000001</v>
      </c>
      <c r="L13" s="21">
        <f t="shared" ref="L13:M13" si="2">SUM(K13)+0.6</f>
        <v>17.700000000000003</v>
      </c>
      <c r="M13" s="22">
        <f t="shared" si="2"/>
        <v>18.300000000000004</v>
      </c>
    </row>
    <row r="14" spans="1:13" s="1" customFormat="1" ht="14.1" customHeight="1">
      <c r="A14" s="38"/>
      <c r="B14" s="56" t="s">
        <v>29</v>
      </c>
      <c r="C14" s="56"/>
      <c r="D14" s="47" t="s">
        <v>154</v>
      </c>
      <c r="E14" s="48"/>
      <c r="F14" s="48"/>
      <c r="G14" s="49"/>
      <c r="H14" s="36"/>
      <c r="I14" s="36"/>
      <c r="J14" s="23"/>
      <c r="K14" s="21"/>
      <c r="L14" s="21"/>
      <c r="M14" s="22"/>
    </row>
    <row r="15" spans="1:13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6.2</v>
      </c>
      <c r="I15" s="24">
        <f>SUM(J15)-0.3</f>
        <v>6.5</v>
      </c>
      <c r="J15" s="23">
        <v>6.8</v>
      </c>
      <c r="K15" s="21">
        <f>SUM(J15)+0.3</f>
        <v>7.1</v>
      </c>
      <c r="L15" s="21">
        <f>SUM(K15)+0.3</f>
        <v>7.3999999999999995</v>
      </c>
      <c r="M15" s="22">
        <f>SUM(L15)+0.3</f>
        <v>7.6999999999999993</v>
      </c>
    </row>
    <row r="16" spans="1:13" s="1" customFormat="1" ht="14.1" customHeight="1">
      <c r="A16" s="38"/>
      <c r="B16" s="56" t="s">
        <v>30</v>
      </c>
      <c r="C16" s="56"/>
      <c r="D16" s="47" t="s">
        <v>155</v>
      </c>
      <c r="E16" s="48"/>
      <c r="F16" s="48"/>
      <c r="G16" s="49"/>
      <c r="H16" s="36"/>
      <c r="I16" s="36"/>
      <c r="J16" s="23"/>
      <c r="K16" s="21"/>
      <c r="L16" s="21"/>
      <c r="M16" s="22"/>
    </row>
    <row r="17" spans="1:13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39.799999999999997</v>
      </c>
      <c r="I17" s="24">
        <f>SUM(J17)-1.6</f>
        <v>41.4</v>
      </c>
      <c r="J17" s="23">
        <v>43</v>
      </c>
      <c r="K17" s="21">
        <f>SUM(J17)+1.6</f>
        <v>44.6</v>
      </c>
      <c r="L17" s="21">
        <f>SUM(K17)+1.6</f>
        <v>46.2</v>
      </c>
      <c r="M17" s="22">
        <f>SUM(L17)+1.6</f>
        <v>47.800000000000004</v>
      </c>
    </row>
    <row r="18" spans="1:13" s="1" customFormat="1" ht="14.1" customHeight="1">
      <c r="A18" s="38"/>
      <c r="B18" s="56" t="s">
        <v>37</v>
      </c>
      <c r="C18" s="56"/>
      <c r="D18" s="47" t="s">
        <v>156</v>
      </c>
      <c r="E18" s="48"/>
      <c r="F18" s="48"/>
      <c r="G18" s="49"/>
      <c r="H18" s="36"/>
      <c r="I18" s="36"/>
      <c r="J18" s="23"/>
      <c r="K18" s="21"/>
      <c r="L18" s="21"/>
      <c r="M18" s="22"/>
    </row>
    <row r="19" spans="1:13" s="1" customFormat="1" ht="14.1" customHeight="1">
      <c r="A19" s="38">
        <v>9</v>
      </c>
      <c r="B19" s="58" t="s">
        <v>4</v>
      </c>
      <c r="C19" s="58"/>
      <c r="D19" s="57" t="s">
        <v>5</v>
      </c>
      <c r="E19" s="57"/>
      <c r="F19" s="57"/>
      <c r="G19" s="57"/>
      <c r="H19" s="24"/>
      <c r="I19" s="24"/>
      <c r="J19" s="23"/>
      <c r="K19" s="21"/>
      <c r="L19" s="21"/>
      <c r="M19" s="22"/>
    </row>
    <row r="20" spans="1:13" s="1" customFormat="1" ht="14.1" customHeight="1">
      <c r="A20" s="38"/>
      <c r="B20" s="56" t="s">
        <v>31</v>
      </c>
      <c r="C20" s="56"/>
      <c r="D20" s="47" t="s">
        <v>54</v>
      </c>
      <c r="E20" s="48"/>
      <c r="F20" s="48"/>
      <c r="G20" s="49"/>
      <c r="H20" s="36"/>
      <c r="I20" s="36"/>
      <c r="J20" s="23"/>
      <c r="K20" s="21"/>
      <c r="L20" s="21"/>
      <c r="M20" s="22"/>
    </row>
    <row r="21" spans="1:13" s="1" customFormat="1" ht="14.1" customHeight="1">
      <c r="A21" s="38">
        <v>10</v>
      </c>
      <c r="B21" s="58" t="s">
        <v>6</v>
      </c>
      <c r="C21" s="58"/>
      <c r="D21" s="59" t="s">
        <v>7</v>
      </c>
      <c r="E21" s="60"/>
      <c r="F21" s="60"/>
      <c r="G21" s="61"/>
      <c r="H21" s="24">
        <f>SUM(I21)-1.6</f>
        <v>26.4</v>
      </c>
      <c r="I21" s="24">
        <f>SUM(J21)-1.6</f>
        <v>28</v>
      </c>
      <c r="J21" s="23">
        <v>29.6</v>
      </c>
      <c r="K21" s="21">
        <f>SUM(J21)+1.7</f>
        <v>31.3</v>
      </c>
      <c r="L21" s="21">
        <f t="shared" ref="L21:M21" si="3">SUM(K21)+1.7</f>
        <v>33</v>
      </c>
      <c r="M21" s="22">
        <f t="shared" si="3"/>
        <v>34.700000000000003</v>
      </c>
    </row>
    <row r="22" spans="1:13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9"/>
      <c r="H22" s="36"/>
      <c r="I22" s="36"/>
      <c r="J22" s="23"/>
      <c r="K22" s="21"/>
      <c r="L22" s="21"/>
      <c r="M22" s="22"/>
    </row>
    <row r="23" spans="1:13" s="1" customFormat="1" ht="14.1" customHeight="1">
      <c r="A23" s="38">
        <v>11</v>
      </c>
      <c r="B23" s="51" t="s">
        <v>77</v>
      </c>
      <c r="C23" s="52"/>
      <c r="D23" s="57" t="s">
        <v>78</v>
      </c>
      <c r="E23" s="57"/>
      <c r="F23" s="57"/>
      <c r="G23" s="57"/>
      <c r="H23" s="24">
        <f>SUM(I23)-0.6</f>
        <v>12.8</v>
      </c>
      <c r="I23" s="24">
        <f>SUM(J23)-0.6</f>
        <v>13.4</v>
      </c>
      <c r="J23" s="23">
        <v>14</v>
      </c>
      <c r="K23" s="21">
        <f>SUM(J23)+0.6</f>
        <v>14.6</v>
      </c>
      <c r="L23" s="21">
        <f t="shared" ref="L23:M23" si="4">SUM(K23)+0.6</f>
        <v>15.2</v>
      </c>
      <c r="M23" s="22">
        <f t="shared" si="4"/>
        <v>15.799999999999999</v>
      </c>
    </row>
    <row r="24" spans="1:13" s="1" customFormat="1" ht="14.1" customHeight="1">
      <c r="A24" s="38"/>
      <c r="B24" s="56" t="s">
        <v>33</v>
      </c>
      <c r="C24" s="56"/>
      <c r="D24" s="47" t="s">
        <v>79</v>
      </c>
      <c r="E24" s="48"/>
      <c r="F24" s="48"/>
      <c r="G24" s="49"/>
      <c r="H24" s="36"/>
      <c r="I24" s="36"/>
      <c r="J24" s="23"/>
      <c r="K24" s="21"/>
      <c r="L24" s="21"/>
      <c r="M24" s="22"/>
    </row>
    <row r="25" spans="1:13" s="1" customFormat="1" ht="14.1" customHeight="1">
      <c r="A25" s="38">
        <v>12</v>
      </c>
      <c r="B25" s="51" t="s">
        <v>176</v>
      </c>
      <c r="C25" s="52"/>
      <c r="D25" s="53"/>
      <c r="E25" s="54"/>
      <c r="F25" s="54"/>
      <c r="G25" s="55"/>
      <c r="H25" s="24">
        <f>SUM(I25)-0.3</f>
        <v>3.4000000000000004</v>
      </c>
      <c r="I25" s="24">
        <f>SUM(J25)-0.3</f>
        <v>3.7</v>
      </c>
      <c r="J25" s="23">
        <v>4</v>
      </c>
      <c r="K25" s="21">
        <f>SUM(J25)+0.3</f>
        <v>4.3</v>
      </c>
      <c r="L25" s="21">
        <f t="shared" ref="L25:M25" si="5">SUM(K25)+0.3</f>
        <v>4.5999999999999996</v>
      </c>
      <c r="M25" s="22">
        <f t="shared" si="5"/>
        <v>4.8999999999999995</v>
      </c>
    </row>
    <row r="26" spans="1:13" s="1" customFormat="1" ht="14.1" customHeight="1">
      <c r="A26" s="38"/>
      <c r="B26" s="45" t="s">
        <v>175</v>
      </c>
      <c r="C26" s="46"/>
      <c r="D26" s="47" t="s">
        <v>667</v>
      </c>
      <c r="E26" s="48"/>
      <c r="F26" s="48"/>
      <c r="G26" s="49"/>
      <c r="H26" s="36"/>
      <c r="I26" s="36"/>
      <c r="J26" s="23"/>
      <c r="K26" s="21"/>
      <c r="L26" s="21"/>
      <c r="M26" s="22"/>
    </row>
    <row r="27" spans="1:13" s="1" customFormat="1" ht="14.1" customHeight="1">
      <c r="A27" s="38">
        <v>13</v>
      </c>
      <c r="B27" s="40"/>
      <c r="C27" s="41"/>
      <c r="D27" s="42"/>
      <c r="E27" s="43"/>
      <c r="F27" s="43"/>
      <c r="G27" s="44"/>
      <c r="H27" s="50"/>
      <c r="I27" s="50"/>
      <c r="J27" s="35"/>
      <c r="K27" s="36"/>
      <c r="L27" s="36"/>
      <c r="M27" s="37"/>
    </row>
    <row r="28" spans="1:13" s="1" customFormat="1" ht="14.1" customHeight="1">
      <c r="A28" s="38"/>
      <c r="B28" s="45"/>
      <c r="C28" s="46"/>
      <c r="D28" s="47"/>
      <c r="E28" s="48"/>
      <c r="F28" s="48"/>
      <c r="G28" s="49"/>
      <c r="H28" s="36"/>
      <c r="I28" s="36"/>
      <c r="J28" s="23"/>
      <c r="K28" s="21"/>
      <c r="L28" s="21"/>
      <c r="M28" s="22"/>
    </row>
    <row r="29" spans="1:13" s="1" customFormat="1" ht="14.1" customHeight="1">
      <c r="A29" s="38">
        <v>14</v>
      </c>
      <c r="B29" s="40"/>
      <c r="C29" s="41"/>
      <c r="D29" s="42"/>
      <c r="E29" s="43"/>
      <c r="F29" s="43"/>
      <c r="G29" s="44"/>
      <c r="H29" s="24"/>
      <c r="I29" s="24"/>
      <c r="J29" s="33"/>
      <c r="K29" s="24"/>
      <c r="L29" s="24"/>
      <c r="M29" s="26"/>
    </row>
    <row r="30" spans="1:13" s="1" customFormat="1" ht="14.1" customHeight="1" thickBot="1">
      <c r="A30" s="39"/>
      <c r="B30" s="28"/>
      <c r="C30" s="29"/>
      <c r="D30" s="30"/>
      <c r="E30" s="31"/>
      <c r="F30" s="31"/>
      <c r="G30" s="32"/>
      <c r="H30" s="25"/>
      <c r="I30" s="25"/>
      <c r="J30" s="34"/>
      <c r="K30" s="25"/>
      <c r="L30" s="25"/>
      <c r="M30" s="27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7"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E1888-69F7-4C69-AA06-49CD24E4D4FE}">
  <sheetPr>
    <tabColor rgb="FF00B050"/>
    <pageSetUpPr fitToPage="1"/>
  </sheetPr>
  <dimension ref="A1:M51"/>
  <sheetViews>
    <sheetView zoomScale="110" zoomScaleNormal="110" workbookViewId="0">
      <selection activeCell="P14" sqref="P1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67" t="s">
        <v>668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24">
        <f>SUM(I3)-3.5</f>
        <v>36</v>
      </c>
      <c r="I3" s="24">
        <f>SUM(J3)-3.5</f>
        <v>39.5</v>
      </c>
      <c r="J3" s="75">
        <v>43</v>
      </c>
      <c r="K3" s="76">
        <f>SUM(J3)+3</f>
        <v>46</v>
      </c>
      <c r="L3" s="76">
        <f>SUM(K3)+3</f>
        <v>49</v>
      </c>
      <c r="M3" s="77">
        <f>SUM(L3)+3</f>
        <v>52</v>
      </c>
    </row>
    <row r="4" spans="1:13" s="1" customFormat="1" ht="14.1" customHeight="1">
      <c r="A4" s="38"/>
      <c r="B4" s="56" t="s">
        <v>42</v>
      </c>
      <c r="C4" s="56"/>
      <c r="D4" s="47" t="s">
        <v>246</v>
      </c>
      <c r="E4" s="48"/>
      <c r="F4" s="48"/>
      <c r="G4" s="48"/>
      <c r="H4" s="36"/>
      <c r="I4" s="36"/>
      <c r="J4" s="33"/>
      <c r="K4" s="24"/>
      <c r="L4" s="24"/>
      <c r="M4" s="26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SUM(I5)-1.6</f>
        <v>23.799999999999997</v>
      </c>
      <c r="I5" s="24">
        <f>SUM(J5)-1.6</f>
        <v>25.4</v>
      </c>
      <c r="J5" s="33">
        <v>27</v>
      </c>
      <c r="K5" s="24">
        <f>SUM(J5)+1.3</f>
        <v>28.3</v>
      </c>
      <c r="L5" s="24">
        <f t="shared" ref="L5:M5" si="0">SUM(K5)+1.4</f>
        <v>29.7</v>
      </c>
      <c r="M5" s="26">
        <f t="shared" si="0"/>
        <v>31.099999999999998</v>
      </c>
    </row>
    <row r="6" spans="1:13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37"/>
    </row>
    <row r="7" spans="1:13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</f>
        <v>28.5</v>
      </c>
      <c r="I7" s="24">
        <f>SUM(J7)-2</f>
        <v>30.5</v>
      </c>
      <c r="J7" s="33">
        <v>32.5</v>
      </c>
      <c r="K7" s="24">
        <f>SUM(J7)+1.8</f>
        <v>34.299999999999997</v>
      </c>
      <c r="L7" s="24">
        <f t="shared" ref="L7:M7" si="1">SUM(K7)+1.8</f>
        <v>36.099999999999994</v>
      </c>
      <c r="M7" s="26">
        <f t="shared" si="1"/>
        <v>37.899999999999991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37"/>
    </row>
    <row r="9" spans="1:13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SUM(I9)-2</f>
        <v>28.5</v>
      </c>
      <c r="I9" s="24">
        <f>SUM(J9)-2</f>
        <v>30.5</v>
      </c>
      <c r="J9" s="33">
        <v>32.5</v>
      </c>
      <c r="K9" s="24">
        <f>SUM(J9)+1.8</f>
        <v>34.299999999999997</v>
      </c>
      <c r="L9" s="24">
        <f t="shared" ref="L9:M9" si="2">SUM(K9)+1.8</f>
        <v>36.099999999999994</v>
      </c>
      <c r="M9" s="26">
        <f t="shared" si="2"/>
        <v>37.899999999999991</v>
      </c>
    </row>
    <row r="10" spans="1:13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7"/>
    </row>
    <row r="11" spans="1:13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SUM(I11)-0.8</f>
        <v>12.899999999999999</v>
      </c>
      <c r="I11" s="24">
        <f>SUM(J11)-0.8</f>
        <v>13.7</v>
      </c>
      <c r="J11" s="23">
        <v>14.5</v>
      </c>
      <c r="K11" s="21">
        <f>SUM(J11)+0.9</f>
        <v>15.4</v>
      </c>
      <c r="L11" s="21">
        <f t="shared" ref="L11:M11" si="3">SUM(K11)+0.9</f>
        <v>16.3</v>
      </c>
      <c r="M11" s="22">
        <f t="shared" si="3"/>
        <v>17.2</v>
      </c>
    </row>
    <row r="12" spans="1:13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2"/>
    </row>
    <row r="13" spans="1:13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13.3</v>
      </c>
      <c r="I13" s="24">
        <f>SUM(J13)-0.6</f>
        <v>13.9</v>
      </c>
      <c r="J13" s="23">
        <v>14.5</v>
      </c>
      <c r="K13" s="21">
        <f>SUM(J13)+0.6</f>
        <v>15.1</v>
      </c>
      <c r="L13" s="21">
        <f>SUM(K13)+0.6</f>
        <v>15.7</v>
      </c>
      <c r="M13" s="22">
        <f>SUM(L13)+0.6</f>
        <v>16.3</v>
      </c>
    </row>
    <row r="14" spans="1:13" s="1" customFormat="1" ht="14.1" customHeight="1">
      <c r="A14" s="38"/>
      <c r="B14" s="56" t="s">
        <v>29</v>
      </c>
      <c r="C14" s="56"/>
      <c r="D14" s="47" t="s">
        <v>255</v>
      </c>
      <c r="E14" s="48"/>
      <c r="F14" s="48"/>
      <c r="G14" s="49"/>
      <c r="H14" s="36"/>
      <c r="I14" s="36"/>
      <c r="J14" s="23"/>
      <c r="K14" s="21"/>
      <c r="L14" s="21"/>
      <c r="M14" s="22"/>
    </row>
    <row r="15" spans="1:13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5.8000000000000007</v>
      </c>
      <c r="I15" s="24">
        <f>SUM(J15)-0.3</f>
        <v>6.1000000000000005</v>
      </c>
      <c r="J15" s="23">
        <v>6.4</v>
      </c>
      <c r="K15" s="21">
        <f>SUM(J15)+0.3</f>
        <v>6.7</v>
      </c>
      <c r="L15" s="21">
        <f>SUM(K15)+0.3</f>
        <v>7</v>
      </c>
      <c r="M15" s="22">
        <f>SUM(L15)+0.3</f>
        <v>7.3</v>
      </c>
    </row>
    <row r="16" spans="1:13" s="1" customFormat="1" ht="14.1" customHeight="1">
      <c r="A16" s="38"/>
      <c r="B16" s="56" t="s">
        <v>30</v>
      </c>
      <c r="C16" s="56"/>
      <c r="D16" s="47" t="s">
        <v>379</v>
      </c>
      <c r="E16" s="48"/>
      <c r="F16" s="48"/>
      <c r="G16" s="49"/>
      <c r="H16" s="36"/>
      <c r="I16" s="36"/>
      <c r="J16" s="23"/>
      <c r="K16" s="21"/>
      <c r="L16" s="21"/>
      <c r="M16" s="22"/>
    </row>
    <row r="17" spans="1:13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34.299999999999997</v>
      </c>
      <c r="I17" s="24">
        <f>SUM(J17)-1.6</f>
        <v>35.9</v>
      </c>
      <c r="J17" s="23">
        <v>37.5</v>
      </c>
      <c r="K17" s="21">
        <f>SUM(J17)+1.6</f>
        <v>39.1</v>
      </c>
      <c r="L17" s="21">
        <f>SUM(K17)+1.6</f>
        <v>40.700000000000003</v>
      </c>
      <c r="M17" s="22">
        <f>SUM(L17)+1.6</f>
        <v>42.300000000000004</v>
      </c>
    </row>
    <row r="18" spans="1:13" s="1" customFormat="1" ht="14.1" customHeight="1">
      <c r="A18" s="38"/>
      <c r="B18" s="56" t="s">
        <v>37</v>
      </c>
      <c r="C18" s="56"/>
      <c r="D18" s="47" t="s">
        <v>107</v>
      </c>
      <c r="E18" s="48"/>
      <c r="F18" s="48"/>
      <c r="G18" s="49"/>
      <c r="H18" s="36"/>
      <c r="I18" s="36"/>
      <c r="J18" s="23"/>
      <c r="K18" s="21"/>
      <c r="L18" s="21"/>
      <c r="M18" s="22"/>
    </row>
    <row r="19" spans="1:13" s="1" customFormat="1" ht="14.1" customHeight="1">
      <c r="A19" s="38">
        <v>9</v>
      </c>
      <c r="B19" s="58" t="s">
        <v>4</v>
      </c>
      <c r="C19" s="58"/>
      <c r="D19" s="57" t="s">
        <v>5</v>
      </c>
      <c r="E19" s="57"/>
      <c r="F19" s="57"/>
      <c r="G19" s="57"/>
      <c r="H19" s="24">
        <f>SUM(I19)-3.7</f>
        <v>32.199999999999996</v>
      </c>
      <c r="I19" s="24">
        <f>SUM(J19)-3.7</f>
        <v>35.9</v>
      </c>
      <c r="J19" s="23">
        <v>39.6</v>
      </c>
      <c r="K19" s="21">
        <f>SUM(J19)+3.8</f>
        <v>43.4</v>
      </c>
      <c r="L19" s="21">
        <f t="shared" ref="L19:M19" si="4">SUM(K19)+3.8</f>
        <v>47.199999999999996</v>
      </c>
      <c r="M19" s="22">
        <f t="shared" si="4"/>
        <v>50.999999999999993</v>
      </c>
    </row>
    <row r="20" spans="1:13" s="1" customFormat="1" ht="14.1" customHeight="1">
      <c r="A20" s="38"/>
      <c r="B20" s="56" t="s">
        <v>31</v>
      </c>
      <c r="C20" s="56"/>
      <c r="D20" s="47" t="s">
        <v>54</v>
      </c>
      <c r="E20" s="48"/>
      <c r="F20" s="48"/>
      <c r="G20" s="49"/>
      <c r="H20" s="36"/>
      <c r="I20" s="36"/>
      <c r="J20" s="23"/>
      <c r="K20" s="21"/>
      <c r="L20" s="21"/>
      <c r="M20" s="22"/>
    </row>
    <row r="21" spans="1:13" s="1" customFormat="1" ht="14.1" customHeight="1">
      <c r="A21" s="38">
        <v>10</v>
      </c>
      <c r="B21" s="58" t="s">
        <v>6</v>
      </c>
      <c r="C21" s="58"/>
      <c r="D21" s="59" t="s">
        <v>7</v>
      </c>
      <c r="E21" s="60"/>
      <c r="F21" s="60"/>
      <c r="G21" s="61"/>
      <c r="H21" s="24">
        <f>SUM(I21)-1.4</f>
        <v>23.200000000000003</v>
      </c>
      <c r="I21" s="24">
        <f>SUM(J21)-1.4</f>
        <v>24.6</v>
      </c>
      <c r="J21" s="23">
        <v>26</v>
      </c>
      <c r="K21" s="21">
        <f>SUM(J21)+1.6</f>
        <v>27.6</v>
      </c>
      <c r="L21" s="21">
        <f t="shared" ref="L21:M21" si="5">SUM(K21)+1.6</f>
        <v>29.200000000000003</v>
      </c>
      <c r="M21" s="22">
        <f t="shared" si="5"/>
        <v>30.800000000000004</v>
      </c>
    </row>
    <row r="22" spans="1:13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9"/>
      <c r="H22" s="36"/>
      <c r="I22" s="36"/>
      <c r="J22" s="23"/>
      <c r="K22" s="21"/>
      <c r="L22" s="21"/>
      <c r="M22" s="22"/>
    </row>
    <row r="23" spans="1:13" s="1" customFormat="1" ht="14.1" customHeight="1">
      <c r="A23" s="38">
        <v>11</v>
      </c>
      <c r="B23" s="51" t="s">
        <v>77</v>
      </c>
      <c r="C23" s="52"/>
      <c r="D23" s="57" t="s">
        <v>78</v>
      </c>
      <c r="E23" s="57"/>
      <c r="F23" s="57"/>
      <c r="G23" s="57"/>
      <c r="H23" s="24">
        <f>SUM(I23)-0.6</f>
        <v>14.8</v>
      </c>
      <c r="I23" s="24">
        <f>SUM(J23)-0.6</f>
        <v>15.4</v>
      </c>
      <c r="J23" s="23">
        <v>16</v>
      </c>
      <c r="K23" s="21">
        <f>SUM(J23)+0.6</f>
        <v>16.600000000000001</v>
      </c>
      <c r="L23" s="21">
        <f t="shared" ref="L23:M23" si="6">SUM(K23)+0.6</f>
        <v>17.200000000000003</v>
      </c>
      <c r="M23" s="22">
        <f t="shared" si="6"/>
        <v>17.800000000000004</v>
      </c>
    </row>
    <row r="24" spans="1:13" s="1" customFormat="1" ht="14.1" customHeight="1">
      <c r="A24" s="38"/>
      <c r="B24" s="56" t="s">
        <v>33</v>
      </c>
      <c r="C24" s="56"/>
      <c r="D24" s="47" t="s">
        <v>79</v>
      </c>
      <c r="E24" s="48"/>
      <c r="F24" s="48"/>
      <c r="G24" s="49"/>
      <c r="H24" s="36"/>
      <c r="I24" s="36"/>
      <c r="J24" s="23"/>
      <c r="K24" s="21"/>
      <c r="L24" s="21"/>
      <c r="M24" s="22"/>
    </row>
    <row r="25" spans="1:13" s="1" customFormat="1" ht="14.1" customHeight="1">
      <c r="A25" s="38">
        <v>12</v>
      </c>
      <c r="B25" s="51" t="s">
        <v>244</v>
      </c>
      <c r="C25" s="52"/>
      <c r="D25" s="57"/>
      <c r="E25" s="57"/>
      <c r="F25" s="57"/>
      <c r="G25" s="57"/>
      <c r="H25" s="24">
        <f>SUM(I25)</f>
        <v>11</v>
      </c>
      <c r="I25" s="24">
        <f>SUM(J25)</f>
        <v>11</v>
      </c>
      <c r="J25" s="23">
        <v>11</v>
      </c>
      <c r="K25" s="21">
        <f>SUM(J25)+0.2</f>
        <v>11.2</v>
      </c>
      <c r="L25" s="21">
        <f t="shared" ref="L25:M25" si="7">SUM(K25)+0.2</f>
        <v>11.399999999999999</v>
      </c>
      <c r="M25" s="22">
        <f t="shared" si="7"/>
        <v>11.599999999999998</v>
      </c>
    </row>
    <row r="26" spans="1:13" s="1" customFormat="1" ht="14.1" customHeight="1">
      <c r="A26" s="38"/>
      <c r="B26" s="56" t="s">
        <v>206</v>
      </c>
      <c r="C26" s="56"/>
      <c r="D26" s="47"/>
      <c r="E26" s="48"/>
      <c r="F26" s="48"/>
      <c r="G26" s="49"/>
      <c r="H26" s="36"/>
      <c r="I26" s="36"/>
      <c r="J26" s="23"/>
      <c r="K26" s="21"/>
      <c r="L26" s="21"/>
      <c r="M26" s="22"/>
    </row>
    <row r="27" spans="1:13" s="1" customFormat="1" ht="14.1" customHeight="1">
      <c r="A27" s="38">
        <v>13</v>
      </c>
      <c r="B27" s="51"/>
      <c r="C27" s="52"/>
      <c r="D27" s="53"/>
      <c r="E27" s="54"/>
      <c r="F27" s="54"/>
      <c r="G27" s="55"/>
      <c r="H27" s="24"/>
      <c r="I27" s="24"/>
      <c r="J27" s="23"/>
      <c r="K27" s="21"/>
      <c r="L27" s="21"/>
      <c r="M27" s="22"/>
    </row>
    <row r="28" spans="1:13" s="1" customFormat="1" ht="14.1" customHeight="1">
      <c r="A28" s="38"/>
      <c r="B28" s="45"/>
      <c r="C28" s="46"/>
      <c r="D28" s="47"/>
      <c r="E28" s="48"/>
      <c r="F28" s="48"/>
      <c r="G28" s="49"/>
      <c r="H28" s="36"/>
      <c r="I28" s="36"/>
      <c r="J28" s="23"/>
      <c r="K28" s="21"/>
      <c r="L28" s="21"/>
      <c r="M28" s="22"/>
    </row>
    <row r="29" spans="1:13" s="1" customFormat="1" ht="14.1" customHeight="1">
      <c r="A29" s="38">
        <v>14</v>
      </c>
      <c r="B29" s="40"/>
      <c r="C29" s="41"/>
      <c r="D29" s="42"/>
      <c r="E29" s="43"/>
      <c r="F29" s="43"/>
      <c r="G29" s="44"/>
      <c r="H29" s="50"/>
      <c r="I29" s="50"/>
      <c r="J29" s="35"/>
      <c r="K29" s="36"/>
      <c r="L29" s="36"/>
      <c r="M29" s="37"/>
    </row>
    <row r="30" spans="1:13" s="1" customFormat="1" ht="14.1" customHeight="1">
      <c r="A30" s="38"/>
      <c r="B30" s="45"/>
      <c r="C30" s="46"/>
      <c r="D30" s="47"/>
      <c r="E30" s="48"/>
      <c r="F30" s="48"/>
      <c r="G30" s="49"/>
      <c r="H30" s="36"/>
      <c r="I30" s="36"/>
      <c r="J30" s="23"/>
      <c r="K30" s="21"/>
      <c r="L30" s="21"/>
      <c r="M30" s="22"/>
    </row>
    <row r="31" spans="1:13" ht="14.1" customHeight="1">
      <c r="A31" s="38">
        <v>15</v>
      </c>
      <c r="B31" s="40"/>
      <c r="C31" s="41"/>
      <c r="D31" s="42"/>
      <c r="E31" s="43"/>
      <c r="F31" s="43"/>
      <c r="G31" s="44"/>
      <c r="H31" s="24"/>
      <c r="I31" s="24"/>
      <c r="J31" s="33"/>
      <c r="K31" s="24"/>
      <c r="L31" s="24"/>
      <c r="M31" s="26"/>
    </row>
    <row r="32" spans="1:13" ht="14.1" customHeight="1" thickBot="1">
      <c r="A32" s="39"/>
      <c r="B32" s="28"/>
      <c r="C32" s="29"/>
      <c r="D32" s="30"/>
      <c r="E32" s="31"/>
      <c r="F32" s="31"/>
      <c r="G32" s="32"/>
      <c r="H32" s="25"/>
      <c r="I32" s="25"/>
      <c r="J32" s="34"/>
      <c r="K32" s="25"/>
      <c r="L32" s="25"/>
      <c r="M32" s="27"/>
    </row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68"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7CB1E-647C-42DC-B636-21ACE7FD9839}">
  <sheetPr>
    <tabColor rgb="FF00B050"/>
    <pageSetUpPr fitToPage="1"/>
  </sheetPr>
  <dimension ref="A1:N51"/>
  <sheetViews>
    <sheetView zoomScale="110" zoomScaleNormal="110" workbookViewId="0">
      <selection activeCell="J13" sqref="J13:J1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7" t="s">
        <v>646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  <c r="N1" s="12"/>
    </row>
    <row r="2" spans="1:14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4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50">
        <f>SUM(I3)-3.5</f>
        <v>36.5</v>
      </c>
      <c r="I3" s="50">
        <f>SUM(J3)-3.5</f>
        <v>40</v>
      </c>
      <c r="J3" s="35">
        <v>43.5</v>
      </c>
      <c r="K3" s="36">
        <f>SUM(J3)+3</f>
        <v>46.5</v>
      </c>
      <c r="L3" s="36">
        <f>SUM(K3)+3</f>
        <v>49.5</v>
      </c>
      <c r="M3" s="87">
        <f>SUM(L3)+3</f>
        <v>52.5</v>
      </c>
    </row>
    <row r="4" spans="1:14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24"/>
      <c r="L4" s="24"/>
      <c r="M4" s="88"/>
    </row>
    <row r="5" spans="1:14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9"/>
      <c r="H5" s="24">
        <f>SUM(I5)-2</f>
        <v>28</v>
      </c>
      <c r="I5" s="24">
        <f>SUM(J5)-2</f>
        <v>30</v>
      </c>
      <c r="J5" s="33">
        <v>32</v>
      </c>
      <c r="K5" s="24">
        <f>SUM(J5)+1.8</f>
        <v>33.799999999999997</v>
      </c>
      <c r="L5" s="24">
        <f>SUM(K5)+1.8</f>
        <v>35.599999999999994</v>
      </c>
      <c r="M5" s="88">
        <f>SUM(L5)+1.8</f>
        <v>37.399999999999991</v>
      </c>
    </row>
    <row r="6" spans="1:14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8"/>
      <c r="H6" s="36"/>
      <c r="I6" s="36"/>
      <c r="J6" s="35"/>
      <c r="K6" s="36"/>
      <c r="L6" s="36"/>
      <c r="M6" s="87"/>
    </row>
    <row r="7" spans="1:14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9"/>
      <c r="H7" s="24">
        <f>SUM(I7)-2.25</f>
        <v>33</v>
      </c>
      <c r="I7" s="24">
        <f>SUM(J7)-2.25</f>
        <v>35.25</v>
      </c>
      <c r="J7" s="33">
        <v>37.5</v>
      </c>
      <c r="K7" s="24">
        <f>SUM(J7)+2</f>
        <v>39.5</v>
      </c>
      <c r="L7" s="24">
        <f>SUM(K7)+2</f>
        <v>41.5</v>
      </c>
      <c r="M7" s="88">
        <f>SUM(L7)+2</f>
        <v>43.5</v>
      </c>
    </row>
    <row r="8" spans="1:14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8"/>
      <c r="H8" s="36"/>
      <c r="I8" s="36"/>
      <c r="J8" s="35"/>
      <c r="K8" s="36"/>
      <c r="L8" s="36"/>
      <c r="M8" s="87"/>
    </row>
    <row r="9" spans="1:14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9"/>
      <c r="H9" s="24">
        <f>SUM(I9)-2.25</f>
        <v>33</v>
      </c>
      <c r="I9" s="24">
        <f>SUM(J9)-2.25</f>
        <v>35.25</v>
      </c>
      <c r="J9" s="33">
        <v>37.5</v>
      </c>
      <c r="K9" s="24">
        <f>SUM(J9)+2</f>
        <v>39.5</v>
      </c>
      <c r="L9" s="24">
        <f>SUM(K9)+2</f>
        <v>41.5</v>
      </c>
      <c r="M9" s="88">
        <f>SUM(L9)+2</f>
        <v>43.5</v>
      </c>
    </row>
    <row r="10" spans="1:14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8"/>
      <c r="H10" s="36"/>
      <c r="I10" s="36"/>
      <c r="J10" s="35"/>
      <c r="K10" s="36"/>
      <c r="L10" s="36"/>
      <c r="M10" s="87"/>
    </row>
    <row r="11" spans="1:14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9"/>
      <c r="H11" s="24">
        <f>SUM(I11)-0.8</f>
        <v>12.899999999999999</v>
      </c>
      <c r="I11" s="24">
        <f>SUM(J11)-0.8</f>
        <v>13.7</v>
      </c>
      <c r="J11" s="23">
        <v>14.5</v>
      </c>
      <c r="K11" s="21">
        <f>SUM(J11)+0.8</f>
        <v>15.3</v>
      </c>
      <c r="L11" s="21">
        <f>SUM(K11)+0.8</f>
        <v>16.100000000000001</v>
      </c>
      <c r="M11" s="215">
        <f>SUM(L11)+0.8</f>
        <v>16.900000000000002</v>
      </c>
    </row>
    <row r="12" spans="1:14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8"/>
      <c r="H12" s="36"/>
      <c r="I12" s="36"/>
      <c r="J12" s="23"/>
      <c r="K12" s="21"/>
      <c r="L12" s="21"/>
      <c r="M12" s="215"/>
    </row>
    <row r="13" spans="1:14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9"/>
      <c r="H13" s="24">
        <f>SUM(I13)-0.6</f>
        <v>14.3</v>
      </c>
      <c r="I13" s="24">
        <f>SUM(J13)-0.6</f>
        <v>14.9</v>
      </c>
      <c r="J13" s="23">
        <v>15.5</v>
      </c>
      <c r="K13" s="21">
        <f>SUM(J13)+0.6</f>
        <v>16.100000000000001</v>
      </c>
      <c r="L13" s="21">
        <f>SUM(K13)+0.6</f>
        <v>16.700000000000003</v>
      </c>
      <c r="M13" s="215">
        <f>SUM(L13)+0.6</f>
        <v>17.300000000000004</v>
      </c>
    </row>
    <row r="14" spans="1:14" s="1" customFormat="1" ht="14.1" customHeight="1">
      <c r="A14" s="38"/>
      <c r="B14" s="56" t="s">
        <v>29</v>
      </c>
      <c r="C14" s="56"/>
      <c r="D14" s="47" t="s">
        <v>652</v>
      </c>
      <c r="E14" s="48"/>
      <c r="F14" s="48"/>
      <c r="G14" s="48"/>
      <c r="H14" s="36"/>
      <c r="I14" s="36"/>
      <c r="J14" s="23"/>
      <c r="K14" s="21"/>
      <c r="L14" s="21"/>
      <c r="M14" s="215"/>
    </row>
    <row r="15" spans="1:14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9"/>
      <c r="H15" s="24">
        <f>SUM(I15)-0.3</f>
        <v>6</v>
      </c>
      <c r="I15" s="24">
        <f>SUM(J15)-0.3</f>
        <v>6.3</v>
      </c>
      <c r="J15" s="23">
        <v>6.6</v>
      </c>
      <c r="K15" s="21">
        <f>SUM(J15)+0.3</f>
        <v>6.8999999999999995</v>
      </c>
      <c r="L15" s="21">
        <f>SUM(K15)+0.3</f>
        <v>7.1999999999999993</v>
      </c>
      <c r="M15" s="215">
        <f>SUM(L15)+0.3</f>
        <v>7.4999999999999991</v>
      </c>
    </row>
    <row r="16" spans="1:14" s="1" customFormat="1" ht="14.1" customHeight="1">
      <c r="A16" s="38"/>
      <c r="B16" s="56" t="s">
        <v>30</v>
      </c>
      <c r="C16" s="56"/>
      <c r="D16" s="47" t="s">
        <v>653</v>
      </c>
      <c r="E16" s="48"/>
      <c r="F16" s="48"/>
      <c r="G16" s="48"/>
      <c r="H16" s="36"/>
      <c r="I16" s="36"/>
      <c r="J16" s="23"/>
      <c r="K16" s="21"/>
      <c r="L16" s="21"/>
      <c r="M16" s="215"/>
    </row>
    <row r="17" spans="1:13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0"/>
      <c r="H17" s="24">
        <f>SUM(I17)-1.8</f>
        <v>38.400000000000006</v>
      </c>
      <c r="I17" s="24">
        <f>SUM(J17)-1.8</f>
        <v>40.200000000000003</v>
      </c>
      <c r="J17" s="23">
        <v>42</v>
      </c>
      <c r="K17" s="21">
        <f>SUM(J17)+1.8</f>
        <v>43.8</v>
      </c>
      <c r="L17" s="21">
        <f>SUM(K17)+1.8</f>
        <v>45.599999999999994</v>
      </c>
      <c r="M17" s="215">
        <f>SUM(L17)+1.8</f>
        <v>47.399999999999991</v>
      </c>
    </row>
    <row r="18" spans="1:13" s="1" customFormat="1" ht="14.1" customHeight="1">
      <c r="A18" s="38"/>
      <c r="B18" s="56" t="s">
        <v>37</v>
      </c>
      <c r="C18" s="56"/>
      <c r="D18" s="47" t="s">
        <v>517</v>
      </c>
      <c r="E18" s="48"/>
      <c r="F18" s="48"/>
      <c r="G18" s="48"/>
      <c r="H18" s="36"/>
      <c r="I18" s="36"/>
      <c r="J18" s="23"/>
      <c r="K18" s="21"/>
      <c r="L18" s="21"/>
      <c r="M18" s="215"/>
    </row>
    <row r="19" spans="1:13" s="1" customFormat="1" ht="14.1" customHeight="1">
      <c r="A19" s="38">
        <v>9</v>
      </c>
      <c r="B19" s="58" t="s">
        <v>4</v>
      </c>
      <c r="C19" s="58"/>
      <c r="D19" s="57" t="s">
        <v>5</v>
      </c>
      <c r="E19" s="57"/>
      <c r="F19" s="57"/>
      <c r="G19" s="59"/>
      <c r="H19" s="24">
        <f>SUM(I19)-3.5</f>
        <v>30</v>
      </c>
      <c r="I19" s="24">
        <f>SUM(J19)-3.5</f>
        <v>33.5</v>
      </c>
      <c r="J19" s="23">
        <v>37</v>
      </c>
      <c r="K19" s="21">
        <f>SUM(J19)+3.6</f>
        <v>40.6</v>
      </c>
      <c r="L19" s="21">
        <f>SUM(K19)+3.6</f>
        <v>44.2</v>
      </c>
      <c r="M19" s="215">
        <f>SUM(L19)+3.6</f>
        <v>47.800000000000004</v>
      </c>
    </row>
    <row r="20" spans="1:13" s="1" customFormat="1" ht="14.1" customHeight="1">
      <c r="A20" s="38"/>
      <c r="B20" s="56" t="s">
        <v>31</v>
      </c>
      <c r="C20" s="56"/>
      <c r="D20" s="47" t="s">
        <v>54</v>
      </c>
      <c r="E20" s="48"/>
      <c r="F20" s="48"/>
      <c r="G20" s="48"/>
      <c r="H20" s="36"/>
      <c r="I20" s="36"/>
      <c r="J20" s="23"/>
      <c r="K20" s="21"/>
      <c r="L20" s="21"/>
      <c r="M20" s="215"/>
    </row>
    <row r="21" spans="1:13" s="1" customFormat="1" ht="14.1" customHeight="1">
      <c r="A21" s="38">
        <v>10</v>
      </c>
      <c r="B21" s="58" t="s">
        <v>6</v>
      </c>
      <c r="C21" s="58"/>
      <c r="D21" s="59" t="s">
        <v>7</v>
      </c>
      <c r="E21" s="60"/>
      <c r="F21" s="60"/>
      <c r="G21" s="60"/>
      <c r="H21" s="24">
        <f>SUM(I21)-1.5</f>
        <v>23.4</v>
      </c>
      <c r="I21" s="24">
        <f>SUM(J21)-1.5</f>
        <v>24.9</v>
      </c>
      <c r="J21" s="23">
        <v>26.4</v>
      </c>
      <c r="K21" s="21">
        <f>SUM(J21)+1.5</f>
        <v>27.9</v>
      </c>
      <c r="L21" s="21">
        <f>SUM(K21)+1.5</f>
        <v>29.4</v>
      </c>
      <c r="M21" s="215">
        <f>SUM(L21)+1.5</f>
        <v>30.9</v>
      </c>
    </row>
    <row r="22" spans="1:13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8"/>
      <c r="H22" s="36"/>
      <c r="I22" s="36"/>
      <c r="J22" s="23"/>
      <c r="K22" s="21"/>
      <c r="L22" s="21"/>
      <c r="M22" s="215"/>
    </row>
    <row r="23" spans="1:13" s="1" customFormat="1" ht="14.1" customHeight="1">
      <c r="A23" s="38">
        <v>11</v>
      </c>
      <c r="B23" s="51" t="s">
        <v>77</v>
      </c>
      <c r="C23" s="52"/>
      <c r="D23" s="57" t="s">
        <v>78</v>
      </c>
      <c r="E23" s="57"/>
      <c r="F23" s="57"/>
      <c r="G23" s="59"/>
      <c r="H23" s="24">
        <f>SUM(I23)-0.7</f>
        <v>14.600000000000001</v>
      </c>
      <c r="I23" s="24">
        <f>SUM(J23)-0.7</f>
        <v>15.3</v>
      </c>
      <c r="J23" s="23">
        <v>16</v>
      </c>
      <c r="K23" s="21">
        <f>SUM(J23)+0.7</f>
        <v>16.7</v>
      </c>
      <c r="L23" s="21">
        <f>SUM(K23)+0.7</f>
        <v>17.399999999999999</v>
      </c>
      <c r="M23" s="215">
        <f>SUM(L23)+0.7</f>
        <v>18.099999999999998</v>
      </c>
    </row>
    <row r="24" spans="1:13" s="1" customFormat="1" ht="14.1" customHeight="1">
      <c r="A24" s="38"/>
      <c r="B24" s="56" t="s">
        <v>33</v>
      </c>
      <c r="C24" s="56"/>
      <c r="D24" s="47" t="s">
        <v>79</v>
      </c>
      <c r="E24" s="48"/>
      <c r="F24" s="48"/>
      <c r="G24" s="48"/>
      <c r="H24" s="36"/>
      <c r="I24" s="36"/>
      <c r="J24" s="23"/>
      <c r="K24" s="21"/>
      <c r="L24" s="21"/>
      <c r="M24" s="215"/>
    </row>
    <row r="25" spans="1:13" s="1" customFormat="1" ht="14.1" customHeight="1">
      <c r="A25" s="38">
        <v>12</v>
      </c>
      <c r="B25" s="51" t="s">
        <v>647</v>
      </c>
      <c r="C25" s="52"/>
      <c r="D25" s="57"/>
      <c r="E25" s="57"/>
      <c r="F25" s="57"/>
      <c r="G25" s="59"/>
      <c r="H25" s="24">
        <f>SUM(I25)-0.5</f>
        <v>4</v>
      </c>
      <c r="I25" s="24">
        <f>SUM(J25)-0.5</f>
        <v>4.5</v>
      </c>
      <c r="J25" s="23">
        <v>5</v>
      </c>
      <c r="K25" s="21">
        <f>SUM(J25)+0.2</f>
        <v>5.2</v>
      </c>
      <c r="L25" s="21">
        <f>SUM(K25)+0.2</f>
        <v>5.4</v>
      </c>
      <c r="M25" s="215">
        <f>SUM(L25)+0.2</f>
        <v>5.6000000000000005</v>
      </c>
    </row>
    <row r="26" spans="1:13" s="1" customFormat="1" ht="14.1" customHeight="1">
      <c r="A26" s="38"/>
      <c r="B26" s="56" t="s">
        <v>648</v>
      </c>
      <c r="C26" s="56"/>
      <c r="D26" s="47" t="s">
        <v>651</v>
      </c>
      <c r="E26" s="48"/>
      <c r="F26" s="48"/>
      <c r="G26" s="48"/>
      <c r="H26" s="36"/>
      <c r="I26" s="36"/>
      <c r="J26" s="23"/>
      <c r="K26" s="21"/>
      <c r="L26" s="21"/>
      <c r="M26" s="215"/>
    </row>
    <row r="27" spans="1:13" s="1" customFormat="1" ht="14.1" customHeight="1">
      <c r="A27" s="38">
        <v>13</v>
      </c>
      <c r="B27" s="51" t="s">
        <v>649</v>
      </c>
      <c r="C27" s="52"/>
      <c r="D27" s="57"/>
      <c r="E27" s="57"/>
      <c r="F27" s="57"/>
      <c r="G27" s="59"/>
      <c r="H27" s="24">
        <f>SUM(I27)-0.9</f>
        <v>7.6999999999999993</v>
      </c>
      <c r="I27" s="24">
        <f>SUM(J27)-0.9</f>
        <v>8.6</v>
      </c>
      <c r="J27" s="23">
        <v>9.5</v>
      </c>
      <c r="K27" s="21">
        <f>SUM(J27)+0.4</f>
        <v>9.9</v>
      </c>
      <c r="L27" s="21">
        <f>SUM(K27)+0.4</f>
        <v>10.3</v>
      </c>
      <c r="M27" s="215">
        <f>SUM(L27)+0.4</f>
        <v>10.700000000000001</v>
      </c>
    </row>
    <row r="28" spans="1:13" s="1" customFormat="1" ht="14.1" customHeight="1">
      <c r="A28" s="38"/>
      <c r="B28" s="56" t="s">
        <v>650</v>
      </c>
      <c r="C28" s="56"/>
      <c r="D28" s="47" t="s">
        <v>651</v>
      </c>
      <c r="E28" s="48"/>
      <c r="F28" s="48"/>
      <c r="G28" s="48"/>
      <c r="H28" s="36"/>
      <c r="I28" s="36"/>
      <c r="J28" s="23"/>
      <c r="K28" s="21"/>
      <c r="L28" s="21"/>
      <c r="M28" s="215"/>
    </row>
    <row r="29" spans="1:13" s="1" customFormat="1" ht="14.1" customHeight="1">
      <c r="A29" s="38">
        <v>14</v>
      </c>
      <c r="B29" s="51" t="s">
        <v>176</v>
      </c>
      <c r="C29" s="52"/>
      <c r="D29" s="53"/>
      <c r="E29" s="54"/>
      <c r="F29" s="54"/>
      <c r="G29" s="55"/>
      <c r="H29" s="24">
        <f>SUM(I29)-0.3</f>
        <v>3.4000000000000004</v>
      </c>
      <c r="I29" s="24">
        <f>SUM(J29)-0.3</f>
        <v>3.7</v>
      </c>
      <c r="J29" s="23">
        <v>4</v>
      </c>
      <c r="K29" s="21">
        <f>SUM(J29)+0.3</f>
        <v>4.3</v>
      </c>
      <c r="L29" s="21">
        <f>SUM(K29)+0.3</f>
        <v>4.5999999999999996</v>
      </c>
      <c r="M29" s="215">
        <f>SUM(L29)+0.3</f>
        <v>4.8999999999999995</v>
      </c>
    </row>
    <row r="30" spans="1:13" s="1" customFormat="1" ht="14.1" customHeight="1">
      <c r="A30" s="38"/>
      <c r="B30" s="45" t="s">
        <v>175</v>
      </c>
      <c r="C30" s="46"/>
      <c r="D30" s="47" t="s">
        <v>269</v>
      </c>
      <c r="E30" s="48"/>
      <c r="F30" s="48"/>
      <c r="G30" s="49"/>
      <c r="H30" s="36"/>
      <c r="I30" s="36"/>
      <c r="J30" s="23"/>
      <c r="K30" s="21"/>
      <c r="L30" s="21"/>
      <c r="M30" s="215"/>
    </row>
    <row r="31" spans="1:13" ht="14.1" customHeight="1">
      <c r="A31" s="38">
        <v>15</v>
      </c>
      <c r="B31" s="40"/>
      <c r="C31" s="41"/>
      <c r="D31" s="42"/>
      <c r="E31" s="43"/>
      <c r="F31" s="43"/>
      <c r="G31" s="44"/>
      <c r="H31" s="24"/>
      <c r="I31" s="24"/>
      <c r="J31" s="23"/>
      <c r="K31" s="21"/>
      <c r="L31" s="21"/>
      <c r="M31" s="215"/>
    </row>
    <row r="32" spans="1:13" ht="14.1" customHeight="1" thickBot="1">
      <c r="A32" s="39"/>
      <c r="B32" s="28"/>
      <c r="C32" s="29"/>
      <c r="D32" s="30"/>
      <c r="E32" s="31"/>
      <c r="F32" s="31"/>
      <c r="G32" s="32"/>
      <c r="H32" s="25"/>
      <c r="I32" s="25"/>
      <c r="J32" s="218"/>
      <c r="K32" s="216"/>
      <c r="L32" s="216"/>
      <c r="M32" s="217"/>
    </row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68">
    <mergeCell ref="J29:J30"/>
    <mergeCell ref="K29:K30"/>
    <mergeCell ref="L29:L30"/>
    <mergeCell ref="M29:M30"/>
    <mergeCell ref="B30:C30"/>
    <mergeCell ref="D30:G30"/>
    <mergeCell ref="K31:K32"/>
    <mergeCell ref="L31:L32"/>
    <mergeCell ref="M31:M32"/>
    <mergeCell ref="B32:C32"/>
    <mergeCell ref="D32:G32"/>
    <mergeCell ref="J31:J32"/>
    <mergeCell ref="A29:A30"/>
    <mergeCell ref="B29:C29"/>
    <mergeCell ref="D29:G29"/>
    <mergeCell ref="H29:H30"/>
    <mergeCell ref="I29:I30"/>
    <mergeCell ref="A31:A32"/>
    <mergeCell ref="B31:C31"/>
    <mergeCell ref="D31:G31"/>
    <mergeCell ref="H31:H32"/>
    <mergeCell ref="I31:I32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CEBF-ABF5-47FA-9572-CB6E47DE824A}">
  <sheetPr>
    <tabColor rgb="FF00B050"/>
    <pageSetUpPr fitToPage="1"/>
  </sheetPr>
  <dimension ref="A1:M51"/>
  <sheetViews>
    <sheetView zoomScale="110" zoomScaleNormal="110" workbookViewId="0">
      <selection activeCell="H19" sqref="H19:M2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7" t="s">
        <v>655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24">
        <f>SUM(I3)-3.5</f>
        <v>35</v>
      </c>
      <c r="I3" s="24">
        <f>SUM(J3)-3.5</f>
        <v>38.5</v>
      </c>
      <c r="J3" s="75">
        <v>42</v>
      </c>
      <c r="K3" s="76">
        <f>SUM(J3)+3</f>
        <v>45</v>
      </c>
      <c r="L3" s="76">
        <f>SUM(K3)+3</f>
        <v>48</v>
      </c>
      <c r="M3" s="77">
        <f>SUM(L3)+3</f>
        <v>51</v>
      </c>
    </row>
    <row r="4" spans="1:13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24"/>
      <c r="L4" s="24"/>
      <c r="M4" s="26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SUM(I5)-2</f>
        <v>27.6</v>
      </c>
      <c r="I5" s="24">
        <f>SUM(J5)-2</f>
        <v>29.6</v>
      </c>
      <c r="J5" s="33">
        <v>31.6</v>
      </c>
      <c r="K5" s="24">
        <f>SUM(J5)+1.8</f>
        <v>33.4</v>
      </c>
      <c r="L5" s="24">
        <f>SUM(K5)+1.8</f>
        <v>35.199999999999996</v>
      </c>
      <c r="M5" s="26">
        <f>SUM(L5)+1.8</f>
        <v>36.999999999999993</v>
      </c>
    </row>
    <row r="6" spans="1:13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37"/>
    </row>
    <row r="7" spans="1:13" s="1" customFormat="1" ht="14.1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31.5</v>
      </c>
      <c r="I7" s="24">
        <f>SUM(J7)-2.25</f>
        <v>33.75</v>
      </c>
      <c r="J7" s="33">
        <v>36</v>
      </c>
      <c r="K7" s="24">
        <f>SUM(J7)+2</f>
        <v>38</v>
      </c>
      <c r="L7" s="24">
        <f>SUM(K7)+2</f>
        <v>40</v>
      </c>
      <c r="M7" s="26">
        <f>SUM(L7)+2</f>
        <v>42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37"/>
    </row>
    <row r="9" spans="1:13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SUM(I9)-2.25</f>
        <v>31.5</v>
      </c>
      <c r="I9" s="24">
        <f>SUM(J9)-2.25</f>
        <v>33.75</v>
      </c>
      <c r="J9" s="33">
        <v>36</v>
      </c>
      <c r="K9" s="24">
        <f>SUM(J9)+2</f>
        <v>38</v>
      </c>
      <c r="L9" s="24">
        <f>SUM(K9)+2</f>
        <v>40</v>
      </c>
      <c r="M9" s="26">
        <f>SUM(L9)+2</f>
        <v>42</v>
      </c>
    </row>
    <row r="10" spans="1:13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7"/>
    </row>
    <row r="11" spans="1:13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SUM(I11)-0.8</f>
        <v>12.399999999999999</v>
      </c>
      <c r="I11" s="24">
        <f>SUM(J11)-0.8</f>
        <v>13.2</v>
      </c>
      <c r="J11" s="23">
        <v>14</v>
      </c>
      <c r="K11" s="21">
        <f>SUM(J11)+0.8</f>
        <v>14.8</v>
      </c>
      <c r="L11" s="21">
        <f>SUM(K11)+0.8</f>
        <v>15.600000000000001</v>
      </c>
      <c r="M11" s="22">
        <f>SUM(L11)+0.8</f>
        <v>16.400000000000002</v>
      </c>
    </row>
    <row r="12" spans="1:13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2"/>
    </row>
    <row r="13" spans="1:13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12.4</v>
      </c>
      <c r="I13" s="24">
        <f>SUM(J13)-0.6</f>
        <v>13</v>
      </c>
      <c r="J13" s="23">
        <v>13.6</v>
      </c>
      <c r="K13" s="21">
        <f>SUM(J13)+0.6</f>
        <v>14.2</v>
      </c>
      <c r="L13" s="21">
        <f>SUM(K13)+0.6</f>
        <v>14.799999999999999</v>
      </c>
      <c r="M13" s="22">
        <f>SUM(L13)+0.6</f>
        <v>15.399999999999999</v>
      </c>
    </row>
    <row r="14" spans="1:13" s="1" customFormat="1" ht="14.1" customHeight="1">
      <c r="A14" s="38"/>
      <c r="B14" s="56" t="s">
        <v>29</v>
      </c>
      <c r="C14" s="56"/>
      <c r="D14" s="47" t="s">
        <v>255</v>
      </c>
      <c r="E14" s="48"/>
      <c r="F14" s="48"/>
      <c r="G14" s="49"/>
      <c r="H14" s="36"/>
      <c r="I14" s="36"/>
      <c r="J14" s="23"/>
      <c r="K14" s="21"/>
      <c r="L14" s="21"/>
      <c r="M14" s="22"/>
    </row>
    <row r="15" spans="1:13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5.5</v>
      </c>
      <c r="I15" s="24">
        <f>SUM(J15)-0.3</f>
        <v>5.8</v>
      </c>
      <c r="J15" s="23">
        <v>6.1</v>
      </c>
      <c r="K15" s="21">
        <f>SUM(J15)+0.3</f>
        <v>6.3999999999999995</v>
      </c>
      <c r="L15" s="21">
        <f>SUM(K15)+0.3</f>
        <v>6.6999999999999993</v>
      </c>
      <c r="M15" s="22">
        <f>SUM(L15)+0.3</f>
        <v>6.9999999999999991</v>
      </c>
    </row>
    <row r="16" spans="1:13" s="1" customFormat="1" ht="14.1" customHeight="1">
      <c r="A16" s="38"/>
      <c r="B16" s="56" t="s">
        <v>30</v>
      </c>
      <c r="C16" s="56"/>
      <c r="D16" s="47" t="s">
        <v>379</v>
      </c>
      <c r="E16" s="48"/>
      <c r="F16" s="48"/>
      <c r="G16" s="49"/>
      <c r="H16" s="36"/>
      <c r="I16" s="36"/>
      <c r="J16" s="23"/>
      <c r="K16" s="21"/>
      <c r="L16" s="21"/>
      <c r="M16" s="22"/>
    </row>
    <row r="17" spans="1:13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32.199999999999996</v>
      </c>
      <c r="I17" s="24">
        <f>SUM(J17)-1.6</f>
        <v>33.799999999999997</v>
      </c>
      <c r="J17" s="23">
        <v>35.4</v>
      </c>
      <c r="K17" s="21">
        <f>SUM(J17)+1.6</f>
        <v>37</v>
      </c>
      <c r="L17" s="21">
        <f>SUM(K17)+1.6</f>
        <v>38.6</v>
      </c>
      <c r="M17" s="22">
        <f>SUM(L17)+1.6</f>
        <v>40.200000000000003</v>
      </c>
    </row>
    <row r="18" spans="1:13" s="1" customFormat="1" ht="14.1" customHeight="1">
      <c r="A18" s="38"/>
      <c r="B18" s="56" t="s">
        <v>37</v>
      </c>
      <c r="C18" s="56"/>
      <c r="D18" s="47" t="s">
        <v>107</v>
      </c>
      <c r="E18" s="48"/>
      <c r="F18" s="48"/>
      <c r="G18" s="49"/>
      <c r="H18" s="36"/>
      <c r="I18" s="36"/>
      <c r="J18" s="23"/>
      <c r="K18" s="21"/>
      <c r="L18" s="21"/>
      <c r="M18" s="22"/>
    </row>
    <row r="19" spans="1:13" s="1" customFormat="1" ht="14.1" customHeight="1">
      <c r="A19" s="38">
        <v>9</v>
      </c>
      <c r="B19" s="58" t="s">
        <v>4</v>
      </c>
      <c r="C19" s="58"/>
      <c r="D19" s="57" t="s">
        <v>5</v>
      </c>
      <c r="E19" s="57"/>
      <c r="F19" s="57"/>
      <c r="G19" s="57"/>
      <c r="H19" s="24">
        <f>SUM(I19)-3.5</f>
        <v>30.1</v>
      </c>
      <c r="I19" s="24">
        <f>SUM(J19)-3.5</f>
        <v>33.6</v>
      </c>
      <c r="J19" s="23">
        <v>37.1</v>
      </c>
      <c r="K19" s="21">
        <f>SUM(J19)+3.6</f>
        <v>40.700000000000003</v>
      </c>
      <c r="L19" s="21">
        <f>SUM(K19)+3.6</f>
        <v>44.300000000000004</v>
      </c>
      <c r="M19" s="22">
        <f>SUM(L19)+3.6</f>
        <v>47.900000000000006</v>
      </c>
    </row>
    <row r="20" spans="1:13" s="1" customFormat="1" ht="14.1" customHeight="1">
      <c r="A20" s="38"/>
      <c r="B20" s="56" t="s">
        <v>31</v>
      </c>
      <c r="C20" s="56"/>
      <c r="D20" s="47" t="s">
        <v>54</v>
      </c>
      <c r="E20" s="48"/>
      <c r="F20" s="48"/>
      <c r="G20" s="49"/>
      <c r="H20" s="36"/>
      <c r="I20" s="36"/>
      <c r="J20" s="23"/>
      <c r="K20" s="21"/>
      <c r="L20" s="21"/>
      <c r="M20" s="22"/>
    </row>
    <row r="21" spans="1:13" s="1" customFormat="1" ht="14.1" customHeight="1">
      <c r="A21" s="38">
        <v>10</v>
      </c>
      <c r="B21" s="58" t="s">
        <v>6</v>
      </c>
      <c r="C21" s="58"/>
      <c r="D21" s="59" t="s">
        <v>7</v>
      </c>
      <c r="E21" s="60"/>
      <c r="F21" s="60"/>
      <c r="G21" s="61"/>
      <c r="H21" s="24">
        <f>SUM(I21)-1.4</f>
        <v>22.200000000000003</v>
      </c>
      <c r="I21" s="24">
        <f>SUM(J21)-1.4</f>
        <v>23.6</v>
      </c>
      <c r="J21" s="23">
        <v>25</v>
      </c>
      <c r="K21" s="21">
        <f>SUM(J21)+1.4</f>
        <v>26.4</v>
      </c>
      <c r="L21" s="21">
        <f>SUM(K21)+1.4</f>
        <v>27.799999999999997</v>
      </c>
      <c r="M21" s="22">
        <f>SUM(L21)+1.4</f>
        <v>29.199999999999996</v>
      </c>
    </row>
    <row r="22" spans="1:13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9"/>
      <c r="H22" s="36"/>
      <c r="I22" s="36"/>
      <c r="J22" s="23"/>
      <c r="K22" s="21"/>
      <c r="L22" s="21"/>
      <c r="M22" s="22"/>
    </row>
    <row r="23" spans="1:13" s="1" customFormat="1" ht="14.1" customHeight="1">
      <c r="A23" s="38">
        <v>11</v>
      </c>
      <c r="B23" s="51" t="s">
        <v>77</v>
      </c>
      <c r="C23" s="52"/>
      <c r="D23" s="57" t="s">
        <v>78</v>
      </c>
      <c r="E23" s="57"/>
      <c r="F23" s="57"/>
      <c r="G23" s="57"/>
      <c r="H23" s="24">
        <f>SUM(I23)-0.7</f>
        <v>14.600000000000001</v>
      </c>
      <c r="I23" s="24">
        <f>SUM(J23)-0.7</f>
        <v>15.3</v>
      </c>
      <c r="J23" s="23">
        <v>16</v>
      </c>
      <c r="K23" s="21">
        <f>SUM(J23)+0.7</f>
        <v>16.7</v>
      </c>
      <c r="L23" s="21">
        <f>SUM(K23)+0.7</f>
        <v>17.399999999999999</v>
      </c>
      <c r="M23" s="22">
        <f>SUM(L23)+0.7</f>
        <v>18.099999999999998</v>
      </c>
    </row>
    <row r="24" spans="1:13" s="1" customFormat="1" ht="14.1" customHeight="1">
      <c r="A24" s="38"/>
      <c r="B24" s="56" t="s">
        <v>33</v>
      </c>
      <c r="C24" s="56"/>
      <c r="D24" s="47" t="s">
        <v>79</v>
      </c>
      <c r="E24" s="48"/>
      <c r="F24" s="48"/>
      <c r="G24" s="49"/>
      <c r="H24" s="36"/>
      <c r="I24" s="36"/>
      <c r="J24" s="23"/>
      <c r="K24" s="21"/>
      <c r="L24" s="21"/>
      <c r="M24" s="22"/>
    </row>
    <row r="25" spans="1:13" s="1" customFormat="1" ht="14.1" customHeight="1">
      <c r="A25" s="38">
        <v>12</v>
      </c>
      <c r="B25" s="51" t="s">
        <v>615</v>
      </c>
      <c r="C25" s="52"/>
      <c r="D25" s="53"/>
      <c r="E25" s="54"/>
      <c r="F25" s="54"/>
      <c r="G25" s="55"/>
      <c r="H25" s="24">
        <f>SUM(I25)-0.5</f>
        <v>6.6</v>
      </c>
      <c r="I25" s="24">
        <f>SUM(J25)-0.5</f>
        <v>7.1</v>
      </c>
      <c r="J25" s="23">
        <v>7.6</v>
      </c>
      <c r="K25" s="21">
        <f>SUM(J25)+0.5</f>
        <v>8.1</v>
      </c>
      <c r="L25" s="21">
        <f>SUM(K25)+0.5</f>
        <v>8.6</v>
      </c>
      <c r="M25" s="22">
        <f>SUM(L25)+0.5</f>
        <v>9.1</v>
      </c>
    </row>
    <row r="26" spans="1:13" s="1" customFormat="1" ht="14.1" customHeight="1">
      <c r="A26" s="38"/>
      <c r="B26" s="45" t="s">
        <v>616</v>
      </c>
      <c r="C26" s="46"/>
      <c r="D26" s="47" t="s">
        <v>656</v>
      </c>
      <c r="E26" s="48"/>
      <c r="F26" s="48"/>
      <c r="G26" s="49"/>
      <c r="H26" s="36"/>
      <c r="I26" s="36"/>
      <c r="J26" s="23"/>
      <c r="K26" s="21"/>
      <c r="L26" s="21"/>
      <c r="M26" s="22"/>
    </row>
    <row r="27" spans="1:13" s="1" customFormat="1" ht="14.1" customHeight="1">
      <c r="A27" s="38">
        <v>13</v>
      </c>
      <c r="B27" s="40" t="s">
        <v>657</v>
      </c>
      <c r="C27" s="41"/>
      <c r="D27" s="42"/>
      <c r="E27" s="43"/>
      <c r="F27" s="43"/>
      <c r="G27" s="44"/>
      <c r="H27" s="24">
        <f>SUM(I27)-0.7</f>
        <v>10.400000000000002</v>
      </c>
      <c r="I27" s="24">
        <f>SUM(J27)-0.7</f>
        <v>11.100000000000001</v>
      </c>
      <c r="J27" s="23">
        <v>11.8</v>
      </c>
      <c r="K27" s="21">
        <f>SUM(J27)+0.7</f>
        <v>12.5</v>
      </c>
      <c r="L27" s="21">
        <f>SUM(K27)+0.8</f>
        <v>13.3</v>
      </c>
      <c r="M27" s="22">
        <f>SUM(L27)+0.8</f>
        <v>14.100000000000001</v>
      </c>
    </row>
    <row r="28" spans="1:13" s="1" customFormat="1" ht="14.1" customHeight="1">
      <c r="A28" s="38"/>
      <c r="B28" s="45" t="s">
        <v>658</v>
      </c>
      <c r="C28" s="46"/>
      <c r="D28" s="47" t="s">
        <v>659</v>
      </c>
      <c r="E28" s="48"/>
      <c r="F28" s="48"/>
      <c r="G28" s="49"/>
      <c r="H28" s="36"/>
      <c r="I28" s="36"/>
      <c r="J28" s="23"/>
      <c r="K28" s="21"/>
      <c r="L28" s="21"/>
      <c r="M28" s="22"/>
    </row>
    <row r="29" spans="1:13" s="1" customFormat="1" ht="14.1" customHeight="1">
      <c r="A29" s="38">
        <v>14</v>
      </c>
      <c r="B29" s="40" t="s">
        <v>498</v>
      </c>
      <c r="C29" s="41"/>
      <c r="D29" s="42"/>
      <c r="E29" s="43"/>
      <c r="F29" s="43"/>
      <c r="G29" s="44"/>
      <c r="H29" s="24">
        <f>SUM(I29)</f>
        <v>10</v>
      </c>
      <c r="I29" s="24">
        <f>SUM(J29)</f>
        <v>10</v>
      </c>
      <c r="J29" s="23">
        <v>10</v>
      </c>
      <c r="K29" s="21">
        <f>SUM(J29)+0.2</f>
        <v>10.199999999999999</v>
      </c>
      <c r="L29" s="21">
        <f>SUM(K29)+0.2</f>
        <v>10.399999999999999</v>
      </c>
      <c r="M29" s="22">
        <f>SUM(L29)+0.2</f>
        <v>10.599999999999998</v>
      </c>
    </row>
    <row r="30" spans="1:13" s="1" customFormat="1" ht="14.1" customHeight="1">
      <c r="A30" s="38"/>
      <c r="B30" s="45" t="s">
        <v>499</v>
      </c>
      <c r="C30" s="46"/>
      <c r="D30" s="47"/>
      <c r="E30" s="48"/>
      <c r="F30" s="48"/>
      <c r="G30" s="49"/>
      <c r="H30" s="36"/>
      <c r="I30" s="36"/>
      <c r="J30" s="23"/>
      <c r="K30" s="21"/>
      <c r="L30" s="21"/>
      <c r="M30" s="22"/>
    </row>
    <row r="31" spans="1:13" ht="14.1" customHeight="1">
      <c r="A31" s="38">
        <v>15</v>
      </c>
      <c r="B31" s="40"/>
      <c r="C31" s="41"/>
      <c r="D31" s="42"/>
      <c r="E31" s="43"/>
      <c r="F31" s="43"/>
      <c r="G31" s="44"/>
      <c r="H31" s="24"/>
      <c r="I31" s="24"/>
      <c r="J31" s="33"/>
      <c r="K31" s="24"/>
      <c r="L31" s="24"/>
      <c r="M31" s="26"/>
    </row>
    <row r="32" spans="1:13" ht="14.1" customHeight="1" thickBot="1">
      <c r="A32" s="39"/>
      <c r="B32" s="28"/>
      <c r="C32" s="29"/>
      <c r="D32" s="30"/>
      <c r="E32" s="31"/>
      <c r="F32" s="31"/>
      <c r="G32" s="32"/>
      <c r="H32" s="25"/>
      <c r="I32" s="25"/>
      <c r="J32" s="34"/>
      <c r="K32" s="25"/>
      <c r="L32" s="25"/>
      <c r="M32" s="27"/>
    </row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68">
    <mergeCell ref="J29:J30"/>
    <mergeCell ref="K29:K30"/>
    <mergeCell ref="L29:L30"/>
    <mergeCell ref="M29:M30"/>
    <mergeCell ref="B30:C30"/>
    <mergeCell ref="D30:G30"/>
    <mergeCell ref="K31:K32"/>
    <mergeCell ref="L31:L32"/>
    <mergeCell ref="M31:M32"/>
    <mergeCell ref="B32:C32"/>
    <mergeCell ref="D32:G32"/>
    <mergeCell ref="J31:J32"/>
    <mergeCell ref="A29:A30"/>
    <mergeCell ref="B29:C29"/>
    <mergeCell ref="D29:G29"/>
    <mergeCell ref="H29:H30"/>
    <mergeCell ref="I29:I30"/>
    <mergeCell ref="A31:A32"/>
    <mergeCell ref="B31:C31"/>
    <mergeCell ref="D31:G31"/>
    <mergeCell ref="H31:H32"/>
    <mergeCell ref="I31:I32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18F6D-3375-4977-B364-BA958D12EB09}">
  <sheetPr>
    <tabColor rgb="FF00B050"/>
    <pageSetUpPr fitToPage="1"/>
  </sheetPr>
  <dimension ref="A1:N49"/>
  <sheetViews>
    <sheetView zoomScale="110" zoomScaleNormal="110" workbookViewId="0">
      <selection activeCell="B21" sqref="B21:C21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28" t="s">
        <v>676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30"/>
    </row>
    <row r="2" spans="1:14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  <c r="N2" s="9" t="s">
        <v>561</v>
      </c>
    </row>
    <row r="3" spans="1:14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24">
        <f>SUM(I3)-3.5</f>
        <v>40</v>
      </c>
      <c r="I3" s="24">
        <f>SUM(J3)-3.5</f>
        <v>43.5</v>
      </c>
      <c r="J3" s="75">
        <v>47</v>
      </c>
      <c r="K3" s="76">
        <f>SUM(J3)+3</f>
        <v>50</v>
      </c>
      <c r="L3" s="76">
        <f>SUM(K3)+3</f>
        <v>53</v>
      </c>
      <c r="M3" s="76">
        <f>SUM(L3)+3</f>
        <v>56</v>
      </c>
      <c r="N3" s="171">
        <f>SUM(M3)+3</f>
        <v>59</v>
      </c>
    </row>
    <row r="4" spans="1:14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24"/>
      <c r="L4" s="24"/>
      <c r="M4" s="24"/>
      <c r="N4" s="121"/>
    </row>
    <row r="5" spans="1:14" s="1" customFormat="1" ht="14.1" customHeight="1">
      <c r="A5" s="71">
        <v>2</v>
      </c>
      <c r="B5" s="164" t="s">
        <v>101</v>
      </c>
      <c r="C5" s="165"/>
      <c r="D5" s="100" t="s">
        <v>102</v>
      </c>
      <c r="E5" s="101"/>
      <c r="F5" s="101"/>
      <c r="G5" s="102"/>
      <c r="H5" s="24">
        <f>SUM(I5)-4.5</f>
        <v>45</v>
      </c>
      <c r="I5" s="24">
        <f>SUM(J5)-4.5</f>
        <v>49.5</v>
      </c>
      <c r="J5" s="23">
        <v>54</v>
      </c>
      <c r="K5" s="21">
        <f>SUM(J5)+4.5</f>
        <v>58.5</v>
      </c>
      <c r="L5" s="21">
        <f>SUM(K5)+4.5</f>
        <v>63</v>
      </c>
      <c r="M5" s="21">
        <f>SUM(L5)+4.5</f>
        <v>67.5</v>
      </c>
      <c r="N5" s="123">
        <f>SUM(M5)+4.5</f>
        <v>72</v>
      </c>
    </row>
    <row r="6" spans="1:14" s="1" customFormat="1" ht="14.1" customHeight="1">
      <c r="A6" s="38"/>
      <c r="B6" s="45" t="s">
        <v>99</v>
      </c>
      <c r="C6" s="46"/>
      <c r="D6" s="47" t="s">
        <v>100</v>
      </c>
      <c r="E6" s="48"/>
      <c r="F6" s="48"/>
      <c r="G6" s="49"/>
      <c r="H6" s="36"/>
      <c r="I6" s="36"/>
      <c r="J6" s="23"/>
      <c r="K6" s="21"/>
      <c r="L6" s="21"/>
      <c r="M6" s="21"/>
      <c r="N6" s="123"/>
    </row>
    <row r="7" spans="1:14" s="1" customFormat="1" ht="13.5" customHeight="1">
      <c r="A7" s="71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40.5</v>
      </c>
      <c r="I7" s="24">
        <f>SUM(J7)-2.25</f>
        <v>42.75</v>
      </c>
      <c r="J7" s="33">
        <v>45</v>
      </c>
      <c r="K7" s="24">
        <f>SUM(J7)+2</f>
        <v>47</v>
      </c>
      <c r="L7" s="24">
        <f>SUM(K7)+2</f>
        <v>49</v>
      </c>
      <c r="M7" s="24">
        <f>SUM(L7)+2</f>
        <v>51</v>
      </c>
      <c r="N7" s="121">
        <f>SUM(M7)+2</f>
        <v>53</v>
      </c>
    </row>
    <row r="8" spans="1:14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36"/>
      <c r="N8" s="122"/>
    </row>
    <row r="9" spans="1:14" s="1" customFormat="1" ht="14.1" customHeight="1">
      <c r="A9" s="71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SUM(I9)-1.8</f>
        <v>31.400000000000002</v>
      </c>
      <c r="I9" s="24">
        <f>SUM(J9)-1.8</f>
        <v>33.200000000000003</v>
      </c>
      <c r="J9" s="33">
        <v>35</v>
      </c>
      <c r="K9" s="24">
        <f>SUM(J9)+1.6</f>
        <v>36.6</v>
      </c>
      <c r="L9" s="24">
        <f>SUM(K9)+1.6</f>
        <v>38.200000000000003</v>
      </c>
      <c r="M9" s="24">
        <f>SUM(L9)+1.6</f>
        <v>39.800000000000004</v>
      </c>
      <c r="N9" s="121">
        <f>SUM(M9)+1.6</f>
        <v>41.400000000000006</v>
      </c>
    </row>
    <row r="10" spans="1:14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6"/>
      <c r="N10" s="122"/>
    </row>
    <row r="11" spans="1:14" s="1" customFormat="1" ht="14.1" customHeight="1">
      <c r="A11" s="71">
        <v>5</v>
      </c>
      <c r="B11" s="51" t="s">
        <v>10</v>
      </c>
      <c r="C11" s="52"/>
      <c r="D11" s="59" t="s">
        <v>0</v>
      </c>
      <c r="E11" s="60"/>
      <c r="F11" s="60"/>
      <c r="G11" s="61"/>
      <c r="H11" s="24"/>
      <c r="I11" s="24"/>
      <c r="J11" s="23"/>
      <c r="K11" s="21"/>
      <c r="L11" s="21"/>
      <c r="M11" s="21"/>
      <c r="N11" s="123"/>
    </row>
    <row r="12" spans="1:14" s="1" customFormat="1" ht="14.1" customHeight="1">
      <c r="A12" s="38"/>
      <c r="B12" s="45" t="s">
        <v>28</v>
      </c>
      <c r="C12" s="4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1"/>
      <c r="N12" s="123"/>
    </row>
    <row r="13" spans="1:14" s="1" customFormat="1" ht="14.1" customHeight="1">
      <c r="A13" s="71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14.3</v>
      </c>
      <c r="I13" s="24">
        <f>SUM(J13)-0.6</f>
        <v>14.9</v>
      </c>
      <c r="J13" s="23">
        <v>15.5</v>
      </c>
      <c r="K13" s="21">
        <f>SUM(J13)+0.6</f>
        <v>16.100000000000001</v>
      </c>
      <c r="L13" s="21">
        <f>SUM(K13)+0.6</f>
        <v>16.700000000000003</v>
      </c>
      <c r="M13" s="21">
        <f>SUM(L13)+0.6</f>
        <v>17.300000000000004</v>
      </c>
      <c r="N13" s="123">
        <f>SUM(M13)+0.6</f>
        <v>17.900000000000006</v>
      </c>
    </row>
    <row r="14" spans="1:14" s="1" customFormat="1" ht="14.1" customHeight="1">
      <c r="A14" s="38"/>
      <c r="B14" s="56" t="s">
        <v>29</v>
      </c>
      <c r="C14" s="56"/>
      <c r="D14" s="47" t="s">
        <v>154</v>
      </c>
      <c r="E14" s="48"/>
      <c r="F14" s="48"/>
      <c r="G14" s="49"/>
      <c r="H14" s="36"/>
      <c r="I14" s="36"/>
      <c r="J14" s="23"/>
      <c r="K14" s="21"/>
      <c r="L14" s="21"/>
      <c r="M14" s="21"/>
      <c r="N14" s="123"/>
    </row>
    <row r="15" spans="1:14" s="1" customFormat="1" ht="14.1" customHeight="1">
      <c r="A15" s="71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6</v>
      </c>
      <c r="I15" s="24">
        <f>SUM(J15)-0.3</f>
        <v>6.3</v>
      </c>
      <c r="J15" s="23">
        <v>6.6</v>
      </c>
      <c r="K15" s="21">
        <f>SUM(J15)+0.3</f>
        <v>6.8999999999999995</v>
      </c>
      <c r="L15" s="21">
        <f>SUM(K15)+0.3</f>
        <v>7.1999999999999993</v>
      </c>
      <c r="M15" s="21">
        <f>SUM(L15)+0.3</f>
        <v>7.4999999999999991</v>
      </c>
      <c r="N15" s="123">
        <f>SUM(M15)+0.3</f>
        <v>7.7999999999999989</v>
      </c>
    </row>
    <row r="16" spans="1:14" s="1" customFormat="1" ht="14.1" customHeight="1">
      <c r="A16" s="38"/>
      <c r="B16" s="56" t="s">
        <v>30</v>
      </c>
      <c r="C16" s="56"/>
      <c r="D16" s="47" t="s">
        <v>155</v>
      </c>
      <c r="E16" s="48"/>
      <c r="F16" s="48"/>
      <c r="G16" s="49"/>
      <c r="H16" s="36"/>
      <c r="I16" s="36"/>
      <c r="J16" s="23"/>
      <c r="K16" s="21"/>
      <c r="L16" s="21"/>
      <c r="M16" s="21"/>
      <c r="N16" s="123"/>
    </row>
    <row r="17" spans="1:14" s="1" customFormat="1" ht="14.1" customHeight="1">
      <c r="A17" s="71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38.799999999999997</v>
      </c>
      <c r="I17" s="24">
        <f>SUM(J17)-1.6</f>
        <v>40.4</v>
      </c>
      <c r="J17" s="23">
        <v>42</v>
      </c>
      <c r="K17" s="21">
        <f>SUM(J17)+1.6</f>
        <v>43.6</v>
      </c>
      <c r="L17" s="21">
        <f>SUM(K17)+1.6</f>
        <v>45.2</v>
      </c>
      <c r="M17" s="21">
        <f>SUM(L17)+1.6</f>
        <v>46.800000000000004</v>
      </c>
      <c r="N17" s="123">
        <f>SUM(M17)+1.6</f>
        <v>48.400000000000006</v>
      </c>
    </row>
    <row r="18" spans="1:14" s="1" customFormat="1" ht="14.1" customHeight="1">
      <c r="A18" s="38"/>
      <c r="B18" s="56" t="s">
        <v>37</v>
      </c>
      <c r="C18" s="56"/>
      <c r="D18" s="47" t="s">
        <v>156</v>
      </c>
      <c r="E18" s="48"/>
      <c r="F18" s="48"/>
      <c r="G18" s="49"/>
      <c r="H18" s="36"/>
      <c r="I18" s="36"/>
      <c r="J18" s="23"/>
      <c r="K18" s="21"/>
      <c r="L18" s="21"/>
      <c r="M18" s="21"/>
      <c r="N18" s="123"/>
    </row>
    <row r="19" spans="1:14" s="1" customFormat="1" ht="14.1" customHeight="1">
      <c r="A19" s="71">
        <v>9</v>
      </c>
      <c r="B19" s="58" t="s">
        <v>4</v>
      </c>
      <c r="C19" s="58"/>
      <c r="D19" s="57" t="s">
        <v>5</v>
      </c>
      <c r="E19" s="57"/>
      <c r="F19" s="57"/>
      <c r="G19" s="57"/>
      <c r="H19" s="24"/>
      <c r="I19" s="24"/>
      <c r="J19" s="23"/>
      <c r="K19" s="21"/>
      <c r="L19" s="21"/>
      <c r="M19" s="21"/>
      <c r="N19" s="123"/>
    </row>
    <row r="20" spans="1:14" s="1" customFormat="1" ht="14.1" customHeight="1">
      <c r="A20" s="38"/>
      <c r="B20" s="56" t="s">
        <v>31</v>
      </c>
      <c r="C20" s="56"/>
      <c r="D20" s="47" t="s">
        <v>54</v>
      </c>
      <c r="E20" s="48"/>
      <c r="F20" s="48"/>
      <c r="G20" s="49"/>
      <c r="H20" s="36"/>
      <c r="I20" s="36"/>
      <c r="J20" s="23"/>
      <c r="K20" s="21"/>
      <c r="L20" s="21"/>
      <c r="M20" s="21"/>
      <c r="N20" s="123"/>
    </row>
    <row r="21" spans="1:14" s="1" customFormat="1" ht="14.1" customHeight="1">
      <c r="A21" s="71">
        <v>10</v>
      </c>
      <c r="B21" s="51" t="s">
        <v>6</v>
      </c>
      <c r="C21" s="52"/>
      <c r="D21" s="59" t="s">
        <v>7</v>
      </c>
      <c r="E21" s="60"/>
      <c r="F21" s="60"/>
      <c r="G21" s="61"/>
      <c r="H21" s="24">
        <f>SUM(I21)-1.7</f>
        <v>30.099999999999998</v>
      </c>
      <c r="I21" s="24">
        <f>SUM(J21)-1.6</f>
        <v>31.799999999999997</v>
      </c>
      <c r="J21" s="33">
        <v>33.4</v>
      </c>
      <c r="K21" s="24">
        <f>SUM(J21)+1.7</f>
        <v>35.1</v>
      </c>
      <c r="L21" s="24">
        <f>SUM(K21)+1.7</f>
        <v>36.800000000000004</v>
      </c>
      <c r="M21" s="24">
        <f>SUM(L21)+1.7</f>
        <v>38.500000000000007</v>
      </c>
      <c r="N21" s="121">
        <f>SUM(M21)+1.7</f>
        <v>40.20000000000001</v>
      </c>
    </row>
    <row r="22" spans="1:14" s="1" customFormat="1" ht="14.1" customHeight="1">
      <c r="A22" s="38"/>
      <c r="B22" s="45" t="s">
        <v>32</v>
      </c>
      <c r="C22" s="46"/>
      <c r="D22" s="47" t="s">
        <v>76</v>
      </c>
      <c r="E22" s="48"/>
      <c r="F22" s="48"/>
      <c r="G22" s="49"/>
      <c r="H22" s="36"/>
      <c r="I22" s="36"/>
      <c r="J22" s="35"/>
      <c r="K22" s="36"/>
      <c r="L22" s="36"/>
      <c r="M22" s="36"/>
      <c r="N22" s="122"/>
    </row>
    <row r="23" spans="1:14" s="1" customFormat="1" ht="14.1" customHeight="1">
      <c r="A23" s="71">
        <v>11</v>
      </c>
      <c r="B23" s="51" t="s">
        <v>77</v>
      </c>
      <c r="C23" s="52"/>
      <c r="D23" s="57" t="s">
        <v>78</v>
      </c>
      <c r="E23" s="57"/>
      <c r="F23" s="57"/>
      <c r="G23" s="57"/>
      <c r="H23" s="24">
        <f>SUM(I23)-0.6</f>
        <v>14</v>
      </c>
      <c r="I23" s="24">
        <f>SUM(J23)-0.6</f>
        <v>14.6</v>
      </c>
      <c r="J23" s="23">
        <v>15.2</v>
      </c>
      <c r="K23" s="21">
        <f>SUM(J23)+0.6</f>
        <v>15.799999999999999</v>
      </c>
      <c r="L23" s="21">
        <f>SUM(K23)+0.6</f>
        <v>16.399999999999999</v>
      </c>
      <c r="M23" s="21">
        <f>SUM(L23)+0.6</f>
        <v>17</v>
      </c>
      <c r="N23" s="123">
        <f>SUM(M23)+0.6</f>
        <v>17.600000000000001</v>
      </c>
    </row>
    <row r="24" spans="1:14" s="1" customFormat="1" ht="14.1" customHeight="1">
      <c r="A24" s="38"/>
      <c r="B24" s="56" t="s">
        <v>33</v>
      </c>
      <c r="C24" s="56"/>
      <c r="D24" s="47" t="s">
        <v>79</v>
      </c>
      <c r="E24" s="48"/>
      <c r="F24" s="48"/>
      <c r="G24" s="49"/>
      <c r="H24" s="36"/>
      <c r="I24" s="36"/>
      <c r="J24" s="23"/>
      <c r="K24" s="21"/>
      <c r="L24" s="21"/>
      <c r="M24" s="21"/>
      <c r="N24" s="123"/>
    </row>
    <row r="25" spans="1:14" s="1" customFormat="1" ht="14.1" customHeight="1">
      <c r="A25" s="71">
        <v>12</v>
      </c>
      <c r="B25" s="51" t="s">
        <v>176</v>
      </c>
      <c r="C25" s="52"/>
      <c r="D25" s="53" t="s">
        <v>103</v>
      </c>
      <c r="E25" s="54"/>
      <c r="F25" s="54"/>
      <c r="G25" s="55"/>
      <c r="H25" s="24">
        <f>SUM(I25)-0.2</f>
        <v>3.8999999999999995</v>
      </c>
      <c r="I25" s="24">
        <f>SUM(J25)-0.2</f>
        <v>4.0999999999999996</v>
      </c>
      <c r="J25" s="23">
        <v>4.3</v>
      </c>
      <c r="K25" s="21">
        <f>SUM(J25)+0.2</f>
        <v>4.5</v>
      </c>
      <c r="L25" s="21">
        <f>SUM(K25)+0.2</f>
        <v>4.7</v>
      </c>
      <c r="M25" s="21">
        <f>SUM(L25)+0.2</f>
        <v>4.9000000000000004</v>
      </c>
      <c r="N25" s="123">
        <f>SUM(M25)+0.2</f>
        <v>5.1000000000000005</v>
      </c>
    </row>
    <row r="26" spans="1:14" s="1" customFormat="1" ht="14.1" customHeight="1" thickBot="1">
      <c r="A26" s="39"/>
      <c r="B26" s="28" t="s">
        <v>175</v>
      </c>
      <c r="C26" s="29"/>
      <c r="D26" s="30" t="s">
        <v>104</v>
      </c>
      <c r="E26" s="31"/>
      <c r="F26" s="31"/>
      <c r="G26" s="32"/>
      <c r="H26" s="25"/>
      <c r="I26" s="25"/>
      <c r="J26" s="218"/>
      <c r="K26" s="216"/>
      <c r="L26" s="216"/>
      <c r="M26" s="216"/>
      <c r="N26" s="229"/>
    </row>
    <row r="27" spans="1:14" s="1" customFormat="1" ht="14.1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1:14" s="1" customFormat="1" ht="14.1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1:14" ht="14.1" customHeight="1"/>
    <row r="30" spans="1:14" ht="14.1" customHeight="1"/>
    <row r="31" spans="1:14" ht="14.1" customHeight="1"/>
    <row r="32" spans="1:14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</sheetData>
  <mergeCells count="147">
    <mergeCell ref="N23:N24"/>
    <mergeCell ref="N25:N26"/>
    <mergeCell ref="N11:N12"/>
    <mergeCell ref="N13:N14"/>
    <mergeCell ref="N15:N16"/>
    <mergeCell ref="N17:N18"/>
    <mergeCell ref="N19:N20"/>
    <mergeCell ref="N21:N22"/>
    <mergeCell ref="A1:N1"/>
    <mergeCell ref="N3:N4"/>
    <mergeCell ref="N5:N6"/>
    <mergeCell ref="N7:N8"/>
    <mergeCell ref="N9:N10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3:J24"/>
    <mergeCell ref="J21:J22"/>
    <mergeCell ref="K21:K22"/>
    <mergeCell ref="L21:L22"/>
    <mergeCell ref="M21:M22"/>
    <mergeCell ref="B22:C22"/>
    <mergeCell ref="D22:G22"/>
    <mergeCell ref="K19:K20"/>
    <mergeCell ref="L19:L20"/>
    <mergeCell ref="M19:M20"/>
    <mergeCell ref="B20:C20"/>
    <mergeCell ref="D20:G20"/>
    <mergeCell ref="J19:J20"/>
    <mergeCell ref="D24:G24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J17:J18"/>
    <mergeCell ref="K17:K18"/>
    <mergeCell ref="L17:L18"/>
    <mergeCell ref="M17:M18"/>
    <mergeCell ref="B18:C18"/>
    <mergeCell ref="D18:G18"/>
    <mergeCell ref="K15:K16"/>
    <mergeCell ref="L15:L16"/>
    <mergeCell ref="M15:M16"/>
    <mergeCell ref="B16:C16"/>
    <mergeCell ref="D16:G16"/>
    <mergeCell ref="J15:J16"/>
    <mergeCell ref="A17:A18"/>
    <mergeCell ref="B17:C17"/>
    <mergeCell ref="D17:G17"/>
    <mergeCell ref="H17:H18"/>
    <mergeCell ref="I17:I18"/>
    <mergeCell ref="A15:A16"/>
    <mergeCell ref="B15:C15"/>
    <mergeCell ref="D15:G15"/>
    <mergeCell ref="H15:H16"/>
    <mergeCell ref="I15:I16"/>
    <mergeCell ref="J13:J14"/>
    <mergeCell ref="K13:K14"/>
    <mergeCell ref="L13:L14"/>
    <mergeCell ref="M13:M14"/>
    <mergeCell ref="B14:C14"/>
    <mergeCell ref="D14:G14"/>
    <mergeCell ref="K11:K12"/>
    <mergeCell ref="L11:L12"/>
    <mergeCell ref="M11:M12"/>
    <mergeCell ref="B12:C12"/>
    <mergeCell ref="D12:G12"/>
    <mergeCell ref="J11:J12"/>
    <mergeCell ref="A13:A14"/>
    <mergeCell ref="B13:C13"/>
    <mergeCell ref="D13:G13"/>
    <mergeCell ref="H13:H14"/>
    <mergeCell ref="I13:I14"/>
    <mergeCell ref="A11:A12"/>
    <mergeCell ref="B11:C11"/>
    <mergeCell ref="D11:G11"/>
    <mergeCell ref="H11:H12"/>
    <mergeCell ref="I11:I12"/>
    <mergeCell ref="J9:J10"/>
    <mergeCell ref="K9:K10"/>
    <mergeCell ref="L9:L10"/>
    <mergeCell ref="M9:M10"/>
    <mergeCell ref="B10:C10"/>
    <mergeCell ref="D10:G10"/>
    <mergeCell ref="K7:K8"/>
    <mergeCell ref="L7:L8"/>
    <mergeCell ref="M7:M8"/>
    <mergeCell ref="B8:C8"/>
    <mergeCell ref="D8:G8"/>
    <mergeCell ref="J7:J8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A5:A6"/>
    <mergeCell ref="B5:C5"/>
    <mergeCell ref="D5:G5"/>
    <mergeCell ref="H5:H6"/>
    <mergeCell ref="I5:I6"/>
    <mergeCell ref="L3:L4"/>
    <mergeCell ref="M3:M4"/>
    <mergeCell ref="B4:C4"/>
    <mergeCell ref="D4:G4"/>
    <mergeCell ref="J5:J6"/>
    <mergeCell ref="K5:K6"/>
    <mergeCell ref="L5:L6"/>
    <mergeCell ref="M5:M6"/>
    <mergeCell ref="B6:C6"/>
    <mergeCell ref="D6:G6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DA858-A42B-469D-BF25-BD5BCCA9FF3A}">
  <sheetPr>
    <tabColor rgb="FF00B050"/>
    <pageSetUpPr fitToPage="1"/>
  </sheetPr>
  <dimension ref="A1:N49"/>
  <sheetViews>
    <sheetView zoomScale="110" zoomScaleNormal="110" workbookViewId="0">
      <selection activeCell="K17" sqref="K17:K1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67" t="s">
        <v>834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71</v>
      </c>
      <c r="I2" s="9" t="s">
        <v>72</v>
      </c>
      <c r="J2" s="5" t="s">
        <v>73</v>
      </c>
      <c r="K2" s="9" t="s">
        <v>74</v>
      </c>
      <c r="L2" s="9" t="s">
        <v>169</v>
      </c>
      <c r="M2" s="9" t="s">
        <v>170</v>
      </c>
    </row>
    <row r="3" spans="1:13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24">
        <f>SUM(I3)-3</f>
        <v>35</v>
      </c>
      <c r="I3" s="24">
        <f>SUM(J3)-3</f>
        <v>38</v>
      </c>
      <c r="J3" s="75">
        <v>41</v>
      </c>
      <c r="K3" s="76">
        <f>SUM(J3)+2.5</f>
        <v>43.5</v>
      </c>
      <c r="L3" s="76">
        <f>SUM(K3)+2.5</f>
        <v>46</v>
      </c>
      <c r="M3" s="77">
        <f>SUM(L3)+2.5</f>
        <v>48.5</v>
      </c>
    </row>
    <row r="4" spans="1:13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3"/>
      <c r="K4" s="24"/>
      <c r="L4" s="24"/>
      <c r="M4" s="26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SUM(I5)-2.4</f>
        <v>38.200000000000003</v>
      </c>
      <c r="I5" s="24">
        <f>SUM(J5)-2.4</f>
        <v>40.6</v>
      </c>
      <c r="J5" s="33">
        <v>43</v>
      </c>
      <c r="K5" s="24">
        <f>SUM(J5)+2.2</f>
        <v>45.2</v>
      </c>
      <c r="L5" s="24">
        <f t="shared" ref="L5:M5" si="0">SUM(K5)+2.2</f>
        <v>47.400000000000006</v>
      </c>
      <c r="M5" s="26">
        <f t="shared" si="0"/>
        <v>49.600000000000009</v>
      </c>
    </row>
    <row r="6" spans="1:13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5"/>
      <c r="K6" s="36"/>
      <c r="L6" s="36"/>
      <c r="M6" s="37"/>
    </row>
    <row r="7" spans="1:13" s="1" customFormat="1" ht="13.5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36.5</v>
      </c>
      <c r="I7" s="24">
        <f>SUM(J7)-2.25</f>
        <v>38.75</v>
      </c>
      <c r="J7" s="33">
        <v>41</v>
      </c>
      <c r="K7" s="24">
        <f>SUM(J7)+2</f>
        <v>43</v>
      </c>
      <c r="L7" s="24">
        <f>SUM(K7)+2</f>
        <v>45</v>
      </c>
      <c r="M7" s="26">
        <f>SUM(L7)+2</f>
        <v>47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5"/>
      <c r="K8" s="36"/>
      <c r="L8" s="36"/>
      <c r="M8" s="37"/>
    </row>
    <row r="9" spans="1:13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SUM(I9)-1.8</f>
        <v>29.9</v>
      </c>
      <c r="I9" s="24">
        <f>SUM(J9)-1.8</f>
        <v>31.7</v>
      </c>
      <c r="J9" s="33">
        <v>33.5</v>
      </c>
      <c r="K9" s="24">
        <f>SUM(J9)+1.6</f>
        <v>35.1</v>
      </c>
      <c r="L9" s="24">
        <f t="shared" ref="L9:M9" si="1">SUM(K9)+1.6</f>
        <v>36.700000000000003</v>
      </c>
      <c r="M9" s="26">
        <f t="shared" si="1"/>
        <v>38.300000000000004</v>
      </c>
    </row>
    <row r="10" spans="1:13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35"/>
      <c r="K10" s="36"/>
      <c r="L10" s="36"/>
      <c r="M10" s="37"/>
    </row>
    <row r="11" spans="1:13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SUM(I11)-0.8</f>
        <v>14.399999999999999</v>
      </c>
      <c r="I11" s="24">
        <f>SUM(J11)-0.8</f>
        <v>15.2</v>
      </c>
      <c r="J11" s="23">
        <v>16</v>
      </c>
      <c r="K11" s="21">
        <f>SUM(J11)+0.8</f>
        <v>16.8</v>
      </c>
      <c r="L11" s="21">
        <f t="shared" ref="L11:M11" si="2">SUM(K11)+0.8</f>
        <v>17.600000000000001</v>
      </c>
      <c r="M11" s="22">
        <f t="shared" si="2"/>
        <v>18.400000000000002</v>
      </c>
    </row>
    <row r="12" spans="1:13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23"/>
      <c r="K12" s="21"/>
      <c r="L12" s="21"/>
      <c r="M12" s="22"/>
    </row>
    <row r="13" spans="1:13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SUM(I13)-0.6</f>
        <v>14.8</v>
      </c>
      <c r="I13" s="24">
        <f>SUM(J13)-0.6</f>
        <v>15.4</v>
      </c>
      <c r="J13" s="23">
        <v>16</v>
      </c>
      <c r="K13" s="21">
        <f>SUM(J13)+0.6</f>
        <v>16.600000000000001</v>
      </c>
      <c r="L13" s="21">
        <f>SUM(K13)+0.6</f>
        <v>17.200000000000003</v>
      </c>
      <c r="M13" s="22">
        <f>SUM(L13)+0.6</f>
        <v>17.800000000000004</v>
      </c>
    </row>
    <row r="14" spans="1:13" s="1" customFormat="1" ht="14.1" customHeight="1">
      <c r="A14" s="38"/>
      <c r="B14" s="56" t="s">
        <v>29</v>
      </c>
      <c r="C14" s="56"/>
      <c r="D14" s="47" t="s">
        <v>154</v>
      </c>
      <c r="E14" s="48"/>
      <c r="F14" s="48"/>
      <c r="G14" s="49"/>
      <c r="H14" s="36"/>
      <c r="I14" s="36"/>
      <c r="J14" s="23"/>
      <c r="K14" s="21"/>
      <c r="L14" s="21"/>
      <c r="M14" s="22"/>
    </row>
    <row r="15" spans="1:13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SUM(I15)-0.3</f>
        <v>6.9</v>
      </c>
      <c r="I15" s="24">
        <f>SUM(J15)-0.3</f>
        <v>7.2</v>
      </c>
      <c r="J15" s="23">
        <v>7.5</v>
      </c>
      <c r="K15" s="21">
        <f>SUM(J15)+0.3</f>
        <v>7.8</v>
      </c>
      <c r="L15" s="21">
        <f>SUM(K15)+0.3</f>
        <v>8.1</v>
      </c>
      <c r="M15" s="22">
        <f>SUM(L15)+0.3</f>
        <v>8.4</v>
      </c>
    </row>
    <row r="16" spans="1:13" s="1" customFormat="1" ht="14.1" customHeight="1">
      <c r="A16" s="38"/>
      <c r="B16" s="56" t="s">
        <v>30</v>
      </c>
      <c r="C16" s="56"/>
      <c r="D16" s="47" t="s">
        <v>155</v>
      </c>
      <c r="E16" s="48"/>
      <c r="F16" s="48"/>
      <c r="G16" s="49"/>
      <c r="H16" s="36"/>
      <c r="I16" s="36"/>
      <c r="J16" s="23"/>
      <c r="K16" s="21"/>
      <c r="L16" s="21"/>
      <c r="M16" s="22"/>
    </row>
    <row r="17" spans="1:14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SUM(I17)-1.6</f>
        <v>41.8</v>
      </c>
      <c r="I17" s="24">
        <f>SUM(J17)-1.6</f>
        <v>43.4</v>
      </c>
      <c r="J17" s="23">
        <v>45</v>
      </c>
      <c r="K17" s="21">
        <f>SUM(J17)+1.6</f>
        <v>46.6</v>
      </c>
      <c r="L17" s="21">
        <f>SUM(K17)+1.6</f>
        <v>48.2</v>
      </c>
      <c r="M17" s="22">
        <f>SUM(L17)+1.6</f>
        <v>49.800000000000004</v>
      </c>
    </row>
    <row r="18" spans="1:14" s="1" customFormat="1" ht="14.1" customHeight="1">
      <c r="A18" s="38"/>
      <c r="B18" s="56" t="s">
        <v>37</v>
      </c>
      <c r="C18" s="56"/>
      <c r="D18" s="47" t="s">
        <v>156</v>
      </c>
      <c r="E18" s="48"/>
      <c r="F18" s="48"/>
      <c r="G18" s="49"/>
      <c r="H18" s="36"/>
      <c r="I18" s="36"/>
      <c r="J18" s="23"/>
      <c r="K18" s="21"/>
      <c r="L18" s="21"/>
      <c r="M18" s="22"/>
    </row>
    <row r="19" spans="1:14" s="1" customFormat="1" ht="14.1" customHeight="1">
      <c r="A19" s="38">
        <v>9</v>
      </c>
      <c r="B19" s="58" t="s">
        <v>4</v>
      </c>
      <c r="C19" s="58"/>
      <c r="D19" s="57" t="s">
        <v>5</v>
      </c>
      <c r="E19" s="57"/>
      <c r="F19" s="57"/>
      <c r="G19" s="57"/>
      <c r="H19" s="24">
        <f>SUM(I19)-3.3</f>
        <v>25.799999999999997</v>
      </c>
      <c r="I19" s="24">
        <f>SUM(J19)-3.3</f>
        <v>29.099999999999998</v>
      </c>
      <c r="J19" s="23">
        <v>32.4</v>
      </c>
      <c r="K19" s="21">
        <f>SUM(J19)+3.4</f>
        <v>35.799999999999997</v>
      </c>
      <c r="L19" s="21">
        <f t="shared" ref="L19:M19" si="3">SUM(K19)+3.4</f>
        <v>39.199999999999996</v>
      </c>
      <c r="M19" s="22">
        <f t="shared" si="3"/>
        <v>42.599999999999994</v>
      </c>
    </row>
    <row r="20" spans="1:14" s="1" customFormat="1" ht="14.1" customHeight="1">
      <c r="A20" s="38"/>
      <c r="B20" s="56" t="s">
        <v>31</v>
      </c>
      <c r="C20" s="56"/>
      <c r="D20" s="47" t="s">
        <v>54</v>
      </c>
      <c r="E20" s="48"/>
      <c r="F20" s="48"/>
      <c r="G20" s="49"/>
      <c r="H20" s="36"/>
      <c r="I20" s="36"/>
      <c r="J20" s="23"/>
      <c r="K20" s="21"/>
      <c r="L20" s="21"/>
      <c r="M20" s="22"/>
    </row>
    <row r="21" spans="1:14" s="1" customFormat="1" ht="14.1" customHeight="1">
      <c r="A21" s="38">
        <v>10</v>
      </c>
      <c r="B21" s="58" t="s">
        <v>6</v>
      </c>
      <c r="C21" s="58"/>
      <c r="D21" s="59" t="s">
        <v>7</v>
      </c>
      <c r="E21" s="60"/>
      <c r="F21" s="60"/>
      <c r="G21" s="61"/>
      <c r="H21" s="24">
        <f>SUM(I21)-1.5</f>
        <v>27.9</v>
      </c>
      <c r="I21" s="24">
        <f>SUM(J21)-1.5</f>
        <v>29.4</v>
      </c>
      <c r="J21" s="23">
        <v>30.9</v>
      </c>
      <c r="K21" s="21">
        <f>SUM(J21)+1.5</f>
        <v>32.4</v>
      </c>
      <c r="L21" s="21">
        <f>SUM(K21)+1.5</f>
        <v>33.9</v>
      </c>
      <c r="M21" s="22">
        <f>SUM(L21)+1.5</f>
        <v>35.4</v>
      </c>
    </row>
    <row r="22" spans="1:14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9"/>
      <c r="H22" s="36"/>
      <c r="I22" s="36"/>
      <c r="J22" s="23"/>
      <c r="K22" s="21"/>
      <c r="L22" s="21"/>
      <c r="M22" s="22"/>
    </row>
    <row r="23" spans="1:14" s="1" customFormat="1" ht="14.1" customHeight="1">
      <c r="A23" s="38">
        <v>11</v>
      </c>
      <c r="B23" s="51" t="s">
        <v>77</v>
      </c>
      <c r="C23" s="52"/>
      <c r="D23" s="57" t="s">
        <v>78</v>
      </c>
      <c r="E23" s="57"/>
      <c r="F23" s="57"/>
      <c r="G23" s="57"/>
      <c r="H23" s="24">
        <f>SUM(I23)-0.6</f>
        <v>13.8</v>
      </c>
      <c r="I23" s="24">
        <f>SUM(J23)-0.6</f>
        <v>14.4</v>
      </c>
      <c r="J23" s="23">
        <v>15</v>
      </c>
      <c r="K23" s="21">
        <f>SUM(J23)+0.6</f>
        <v>15.6</v>
      </c>
      <c r="L23" s="21">
        <f t="shared" ref="L23:M23" si="4">SUM(K23)+0.6</f>
        <v>16.2</v>
      </c>
      <c r="M23" s="22">
        <f t="shared" si="4"/>
        <v>16.8</v>
      </c>
    </row>
    <row r="24" spans="1:14" s="1" customFormat="1" ht="14.1" customHeight="1">
      <c r="A24" s="38"/>
      <c r="B24" s="56" t="s">
        <v>33</v>
      </c>
      <c r="C24" s="56"/>
      <c r="D24" s="47" t="s">
        <v>79</v>
      </c>
      <c r="E24" s="48"/>
      <c r="F24" s="48"/>
      <c r="G24" s="49"/>
      <c r="H24" s="36"/>
      <c r="I24" s="36"/>
      <c r="J24" s="23"/>
      <c r="K24" s="21"/>
      <c r="L24" s="21"/>
      <c r="M24" s="22"/>
    </row>
    <row r="25" spans="1:14" s="1" customFormat="1" ht="14.1" customHeight="1">
      <c r="A25" s="38">
        <v>12</v>
      </c>
      <c r="B25" s="51" t="s">
        <v>176</v>
      </c>
      <c r="C25" s="52"/>
      <c r="D25" s="53"/>
      <c r="E25" s="54"/>
      <c r="F25" s="54"/>
      <c r="G25" s="55"/>
      <c r="H25" s="24">
        <f>SUM(I25)-0.3</f>
        <v>4.4000000000000004</v>
      </c>
      <c r="I25" s="24">
        <f>SUM(J25)-0.3</f>
        <v>4.7</v>
      </c>
      <c r="J25" s="23">
        <v>5</v>
      </c>
      <c r="K25" s="21">
        <f>SUM(J25)+0.3</f>
        <v>5.3</v>
      </c>
      <c r="L25" s="21">
        <f>SUM(K25)+0.3</f>
        <v>5.6</v>
      </c>
      <c r="M25" s="22">
        <f>SUM(L25)+0.3</f>
        <v>5.8999999999999995</v>
      </c>
    </row>
    <row r="26" spans="1:14" s="1" customFormat="1" ht="14.1" customHeight="1">
      <c r="A26" s="38"/>
      <c r="B26" s="45" t="s">
        <v>175</v>
      </c>
      <c r="C26" s="46"/>
      <c r="D26" s="47" t="s">
        <v>606</v>
      </c>
      <c r="E26" s="48"/>
      <c r="F26" s="48"/>
      <c r="G26" s="49"/>
      <c r="H26" s="36"/>
      <c r="I26" s="36"/>
      <c r="J26" s="23"/>
      <c r="K26" s="21"/>
      <c r="L26" s="21"/>
      <c r="M26" s="22"/>
    </row>
    <row r="27" spans="1:14" s="1" customFormat="1" ht="14.1" customHeight="1">
      <c r="A27" s="38">
        <v>13</v>
      </c>
      <c r="B27" s="40"/>
      <c r="C27" s="41"/>
      <c r="D27" s="42"/>
      <c r="E27" s="43"/>
      <c r="F27" s="43"/>
      <c r="G27" s="44"/>
      <c r="H27" s="50"/>
      <c r="I27" s="50"/>
      <c r="J27" s="35"/>
      <c r="K27" s="36"/>
      <c r="L27" s="36"/>
      <c r="M27" s="37"/>
      <c r="N27"/>
    </row>
    <row r="28" spans="1:14" s="1" customFormat="1" ht="14.1" customHeight="1">
      <c r="A28" s="38"/>
      <c r="B28" s="45"/>
      <c r="C28" s="46"/>
      <c r="D28" s="47"/>
      <c r="E28" s="48"/>
      <c r="F28" s="48"/>
      <c r="G28" s="49"/>
      <c r="H28" s="36"/>
      <c r="I28" s="36"/>
      <c r="J28" s="23"/>
      <c r="K28" s="21"/>
      <c r="L28" s="21"/>
      <c r="M28" s="22"/>
      <c r="N28"/>
    </row>
    <row r="29" spans="1:14" ht="14.1" customHeight="1">
      <c r="A29" s="38">
        <v>14</v>
      </c>
      <c r="B29" s="40"/>
      <c r="C29" s="41"/>
      <c r="D29" s="42"/>
      <c r="E29" s="43"/>
      <c r="F29" s="43"/>
      <c r="G29" s="44"/>
      <c r="H29" s="24"/>
      <c r="I29" s="24"/>
      <c r="J29" s="33"/>
      <c r="K29" s="24"/>
      <c r="L29" s="24"/>
      <c r="M29" s="26"/>
    </row>
    <row r="30" spans="1:14" ht="14.1" customHeight="1" thickBot="1">
      <c r="A30" s="39"/>
      <c r="B30" s="28"/>
      <c r="C30" s="29"/>
      <c r="D30" s="30"/>
      <c r="E30" s="31"/>
      <c r="F30" s="31"/>
      <c r="G30" s="32"/>
      <c r="H30" s="25"/>
      <c r="I30" s="25"/>
      <c r="J30" s="34"/>
      <c r="K30" s="25"/>
      <c r="L30" s="25"/>
      <c r="M30" s="27"/>
    </row>
    <row r="31" spans="1:14" ht="14.1" customHeight="1"/>
    <row r="32" spans="1:14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</sheetData>
  <mergeCells count="157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D911-CDC6-4A78-9E56-62962F19CCFC}">
  <sheetPr>
    <tabColor rgb="FF00B050"/>
    <pageSetUpPr fitToPage="1"/>
  </sheetPr>
  <dimension ref="A1:N49"/>
  <sheetViews>
    <sheetView zoomScale="110" zoomScaleNormal="110" workbookViewId="0">
      <selection activeCell="M25" sqref="A1:M2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67" t="s">
        <v>751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3" ht="16.5" customHeight="1" thickBot="1">
      <c r="A2" s="4" t="s">
        <v>68</v>
      </c>
      <c r="B2" s="70" t="s">
        <v>69</v>
      </c>
      <c r="C2" s="70"/>
      <c r="D2" s="70" t="s">
        <v>70</v>
      </c>
      <c r="E2" s="70"/>
      <c r="F2" s="70"/>
      <c r="G2" s="70"/>
      <c r="H2" s="9" t="s">
        <v>464</v>
      </c>
      <c r="I2" s="9" t="s">
        <v>71</v>
      </c>
      <c r="J2" s="9" t="s">
        <v>72</v>
      </c>
      <c r="K2" s="5" t="s">
        <v>73</v>
      </c>
      <c r="L2" s="9" t="s">
        <v>74</v>
      </c>
      <c r="M2" s="9" t="s">
        <v>169</v>
      </c>
    </row>
    <row r="3" spans="1:13" s="1" customFormat="1" ht="14.1" customHeight="1">
      <c r="A3" s="71">
        <v>1</v>
      </c>
      <c r="B3" s="72" t="s">
        <v>45</v>
      </c>
      <c r="C3" s="72"/>
      <c r="D3" s="73" t="s">
        <v>184</v>
      </c>
      <c r="E3" s="73"/>
      <c r="F3" s="73"/>
      <c r="G3" s="74"/>
      <c r="H3" s="24">
        <f>SUM(I3)-3.5</f>
        <v>34.5</v>
      </c>
      <c r="I3" s="24">
        <f>SUM(J3)-3.5</f>
        <v>38</v>
      </c>
      <c r="J3" s="24">
        <f>SUM(K3)-3.5</f>
        <v>41.5</v>
      </c>
      <c r="K3" s="75">
        <v>45</v>
      </c>
      <c r="L3" s="76">
        <f>SUM(K3)+3</f>
        <v>48</v>
      </c>
      <c r="M3" s="77">
        <f>SUM(L3)+3</f>
        <v>51</v>
      </c>
    </row>
    <row r="4" spans="1:13" s="1" customFormat="1" ht="14.1" customHeight="1">
      <c r="A4" s="38"/>
      <c r="B4" s="56" t="s">
        <v>42</v>
      </c>
      <c r="C4" s="56"/>
      <c r="D4" s="47" t="s">
        <v>124</v>
      </c>
      <c r="E4" s="48"/>
      <c r="F4" s="48"/>
      <c r="G4" s="48"/>
      <c r="H4" s="36"/>
      <c r="I4" s="36"/>
      <c r="J4" s="36"/>
      <c r="K4" s="33"/>
      <c r="L4" s="24"/>
      <c r="M4" s="26"/>
    </row>
    <row r="5" spans="1:13" s="1" customFormat="1" ht="14.1" customHeight="1">
      <c r="A5" s="38">
        <v>2</v>
      </c>
      <c r="B5" s="58" t="s">
        <v>43</v>
      </c>
      <c r="C5" s="58"/>
      <c r="D5" s="57" t="s">
        <v>44</v>
      </c>
      <c r="E5" s="57"/>
      <c r="F5" s="57"/>
      <c r="G5" s="57"/>
      <c r="H5" s="24">
        <f>SUM(I5)-2</f>
        <v>33.700000000000003</v>
      </c>
      <c r="I5" s="24">
        <f>SUM(J5)-2</f>
        <v>35.700000000000003</v>
      </c>
      <c r="J5" s="24">
        <f>SUM(K5)-2</f>
        <v>37.700000000000003</v>
      </c>
      <c r="K5" s="33">
        <v>39.700000000000003</v>
      </c>
      <c r="L5" s="21">
        <f>SUM(K5)+1.8</f>
        <v>41.5</v>
      </c>
      <c r="M5" s="22">
        <f t="shared" ref="M5" si="0">SUM(L5)+1.8</f>
        <v>43.3</v>
      </c>
    </row>
    <row r="6" spans="1:13" s="1" customFormat="1" ht="14.1" customHeight="1">
      <c r="A6" s="38"/>
      <c r="B6" s="56" t="s">
        <v>26</v>
      </c>
      <c r="C6" s="56"/>
      <c r="D6" s="47" t="s">
        <v>48</v>
      </c>
      <c r="E6" s="48"/>
      <c r="F6" s="48"/>
      <c r="G6" s="49"/>
      <c r="H6" s="36"/>
      <c r="I6" s="36"/>
      <c r="J6" s="36"/>
      <c r="K6" s="35"/>
      <c r="L6" s="21"/>
      <c r="M6" s="22"/>
    </row>
    <row r="7" spans="1:13" s="1" customFormat="1" ht="13.5" customHeight="1">
      <c r="A7" s="38">
        <v>3</v>
      </c>
      <c r="B7" s="58" t="s">
        <v>41</v>
      </c>
      <c r="C7" s="58"/>
      <c r="D7" s="57" t="s">
        <v>84</v>
      </c>
      <c r="E7" s="57"/>
      <c r="F7" s="57"/>
      <c r="G7" s="57"/>
      <c r="H7" s="24">
        <f>SUM(I7)-2.25</f>
        <v>35.25</v>
      </c>
      <c r="I7" s="24">
        <f>SUM(J7)-2.25</f>
        <v>37.5</v>
      </c>
      <c r="J7" s="24">
        <f>SUM(K7)-2.25</f>
        <v>39.75</v>
      </c>
      <c r="K7" s="33">
        <v>42</v>
      </c>
      <c r="L7" s="24">
        <f>SUM(K7)+2</f>
        <v>44</v>
      </c>
      <c r="M7" s="26">
        <f>SUM(L7)+2</f>
        <v>46</v>
      </c>
    </row>
    <row r="8" spans="1:13" s="1" customFormat="1" ht="14.1" customHeight="1">
      <c r="A8" s="38"/>
      <c r="B8" s="56" t="s">
        <v>46</v>
      </c>
      <c r="C8" s="56"/>
      <c r="D8" s="47" t="s">
        <v>49</v>
      </c>
      <c r="E8" s="48"/>
      <c r="F8" s="48"/>
      <c r="G8" s="49"/>
      <c r="H8" s="36"/>
      <c r="I8" s="36"/>
      <c r="J8" s="36"/>
      <c r="K8" s="35"/>
      <c r="L8" s="36"/>
      <c r="M8" s="37"/>
    </row>
    <row r="9" spans="1:13" s="1" customFormat="1" ht="14.1" customHeight="1">
      <c r="A9" s="38">
        <v>4</v>
      </c>
      <c r="B9" s="58" t="s">
        <v>47</v>
      </c>
      <c r="C9" s="58"/>
      <c r="D9" s="57" t="s">
        <v>8</v>
      </c>
      <c r="E9" s="57"/>
      <c r="F9" s="57"/>
      <c r="G9" s="57"/>
      <c r="H9" s="24">
        <f>SUM(I9)-1.8</f>
        <v>28.099999999999998</v>
      </c>
      <c r="I9" s="24">
        <f>SUM(J9)-1.8</f>
        <v>29.9</v>
      </c>
      <c r="J9" s="24">
        <f>SUM(K9)-1.8</f>
        <v>31.7</v>
      </c>
      <c r="K9" s="33">
        <v>33.5</v>
      </c>
      <c r="L9" s="24">
        <f>SUM(K9)+1.6</f>
        <v>35.1</v>
      </c>
      <c r="M9" s="26">
        <f t="shared" ref="M9" si="1">SUM(L9)+1.6</f>
        <v>36.700000000000003</v>
      </c>
    </row>
    <row r="10" spans="1:13" s="1" customFormat="1" ht="14.1" customHeight="1">
      <c r="A10" s="38"/>
      <c r="B10" s="56" t="s">
        <v>27</v>
      </c>
      <c r="C10" s="56"/>
      <c r="D10" s="47" t="s">
        <v>50</v>
      </c>
      <c r="E10" s="48"/>
      <c r="F10" s="48"/>
      <c r="G10" s="49"/>
      <c r="H10" s="36"/>
      <c r="I10" s="36"/>
      <c r="J10" s="36"/>
      <c r="K10" s="35"/>
      <c r="L10" s="36"/>
      <c r="M10" s="37"/>
    </row>
    <row r="11" spans="1:13" s="1" customFormat="1" ht="14.1" customHeight="1">
      <c r="A11" s="38">
        <v>5</v>
      </c>
      <c r="B11" s="58" t="s">
        <v>10</v>
      </c>
      <c r="C11" s="58"/>
      <c r="D11" s="57" t="s">
        <v>0</v>
      </c>
      <c r="E11" s="57"/>
      <c r="F11" s="57"/>
      <c r="G11" s="57"/>
      <c r="H11" s="24">
        <f>SUM(I11)-0.8</f>
        <v>13.499999999999998</v>
      </c>
      <c r="I11" s="24">
        <f>SUM(J11)-0.8</f>
        <v>14.299999999999999</v>
      </c>
      <c r="J11" s="24">
        <f>SUM(K11)-0.8</f>
        <v>15.1</v>
      </c>
      <c r="K11" s="23">
        <v>15.9</v>
      </c>
      <c r="L11" s="24">
        <f>SUM(K11)+0.8</f>
        <v>16.7</v>
      </c>
      <c r="M11" s="26">
        <f t="shared" ref="M11" si="2">SUM(L11)+0.8</f>
        <v>17.5</v>
      </c>
    </row>
    <row r="12" spans="1:13" s="1" customFormat="1" ht="14.1" customHeight="1">
      <c r="A12" s="38"/>
      <c r="B12" s="56" t="s">
        <v>28</v>
      </c>
      <c r="C12" s="56"/>
      <c r="D12" s="47" t="s">
        <v>51</v>
      </c>
      <c r="E12" s="48"/>
      <c r="F12" s="48"/>
      <c r="G12" s="49"/>
      <c r="H12" s="36"/>
      <c r="I12" s="36"/>
      <c r="J12" s="36"/>
      <c r="K12" s="23"/>
      <c r="L12" s="36"/>
      <c r="M12" s="37"/>
    </row>
    <row r="13" spans="1:13" s="1" customFormat="1" ht="14.1" customHeight="1">
      <c r="A13" s="38">
        <v>6</v>
      </c>
      <c r="B13" s="58" t="s">
        <v>1</v>
      </c>
      <c r="C13" s="58"/>
      <c r="D13" s="57" t="s">
        <v>180</v>
      </c>
      <c r="E13" s="57"/>
      <c r="F13" s="57"/>
      <c r="G13" s="57"/>
      <c r="H13" s="24">
        <f>SUM(I13)</f>
        <v>13.8</v>
      </c>
      <c r="I13" s="24">
        <f>SUM(J13)-0.6</f>
        <v>13.8</v>
      </c>
      <c r="J13" s="24">
        <f>SUM(K13)-0.6</f>
        <v>14.4</v>
      </c>
      <c r="K13" s="23">
        <v>15</v>
      </c>
      <c r="L13" s="21">
        <f>SUM(K13)+0.6</f>
        <v>15.6</v>
      </c>
      <c r="M13" s="22">
        <f>SUM(L13)+0.6</f>
        <v>16.2</v>
      </c>
    </row>
    <row r="14" spans="1:13" s="1" customFormat="1" ht="14.1" customHeight="1">
      <c r="A14" s="38"/>
      <c r="B14" s="56" t="s">
        <v>29</v>
      </c>
      <c r="C14" s="56"/>
      <c r="D14" s="47" t="s">
        <v>154</v>
      </c>
      <c r="E14" s="48"/>
      <c r="F14" s="48"/>
      <c r="G14" s="49"/>
      <c r="H14" s="36"/>
      <c r="I14" s="36"/>
      <c r="J14" s="36"/>
      <c r="K14" s="23"/>
      <c r="L14" s="21"/>
      <c r="M14" s="22"/>
    </row>
    <row r="15" spans="1:13" s="1" customFormat="1" ht="14.1" customHeight="1">
      <c r="A15" s="38">
        <v>7</v>
      </c>
      <c r="B15" s="58" t="s">
        <v>2</v>
      </c>
      <c r="C15" s="58"/>
      <c r="D15" s="57" t="s">
        <v>3</v>
      </c>
      <c r="E15" s="57"/>
      <c r="F15" s="57"/>
      <c r="G15" s="57"/>
      <c r="H15" s="24">
        <f>SUM(I15)</f>
        <v>7.4</v>
      </c>
      <c r="I15" s="24">
        <f>SUM(J15)-0.3</f>
        <v>7.4</v>
      </c>
      <c r="J15" s="24">
        <f>SUM(K15)-0.3</f>
        <v>7.7</v>
      </c>
      <c r="K15" s="23">
        <v>8</v>
      </c>
      <c r="L15" s="21">
        <f>SUM(K15)+0.3</f>
        <v>8.3000000000000007</v>
      </c>
      <c r="M15" s="22">
        <f>SUM(L15)+0.3</f>
        <v>8.6000000000000014</v>
      </c>
    </row>
    <row r="16" spans="1:13" s="1" customFormat="1" ht="14.1" customHeight="1">
      <c r="A16" s="38"/>
      <c r="B16" s="56" t="s">
        <v>30</v>
      </c>
      <c r="C16" s="56"/>
      <c r="D16" s="47" t="s">
        <v>155</v>
      </c>
      <c r="E16" s="48"/>
      <c r="F16" s="48"/>
      <c r="G16" s="49"/>
      <c r="H16" s="36"/>
      <c r="I16" s="36"/>
      <c r="J16" s="36"/>
      <c r="K16" s="23"/>
      <c r="L16" s="21"/>
      <c r="M16" s="22"/>
    </row>
    <row r="17" spans="1:14" s="1" customFormat="1" ht="14.1" customHeight="1">
      <c r="A17" s="38">
        <v>8</v>
      </c>
      <c r="B17" s="51" t="s">
        <v>85</v>
      </c>
      <c r="C17" s="52"/>
      <c r="D17" s="59" t="s">
        <v>86</v>
      </c>
      <c r="E17" s="60"/>
      <c r="F17" s="60"/>
      <c r="G17" s="61"/>
      <c r="H17" s="24">
        <f>SUM(I17)</f>
        <v>40.799999999999997</v>
      </c>
      <c r="I17" s="24">
        <f>SUM(J17)-1.6</f>
        <v>40.799999999999997</v>
      </c>
      <c r="J17" s="24">
        <f>SUM(K17)-1.6</f>
        <v>42.4</v>
      </c>
      <c r="K17" s="23">
        <v>44</v>
      </c>
      <c r="L17" s="21">
        <f>SUM(K17)+1.6</f>
        <v>45.6</v>
      </c>
      <c r="M17" s="22">
        <f>SUM(L17)+1.6</f>
        <v>47.2</v>
      </c>
    </row>
    <row r="18" spans="1:14" s="1" customFormat="1" ht="14.1" customHeight="1">
      <c r="A18" s="38"/>
      <c r="B18" s="56" t="s">
        <v>37</v>
      </c>
      <c r="C18" s="56"/>
      <c r="D18" s="47" t="s">
        <v>156</v>
      </c>
      <c r="E18" s="48"/>
      <c r="F18" s="48"/>
      <c r="G18" s="49"/>
      <c r="H18" s="36"/>
      <c r="I18" s="36"/>
      <c r="J18" s="36"/>
      <c r="K18" s="23"/>
      <c r="L18" s="21"/>
      <c r="M18" s="22"/>
    </row>
    <row r="19" spans="1:14" s="1" customFormat="1" ht="14.1" customHeight="1">
      <c r="A19" s="38">
        <v>9</v>
      </c>
      <c r="B19" s="58" t="s">
        <v>4</v>
      </c>
      <c r="C19" s="58"/>
      <c r="D19" s="57" t="s">
        <v>5</v>
      </c>
      <c r="E19" s="57"/>
      <c r="F19" s="57"/>
      <c r="G19" s="57"/>
      <c r="H19" s="24">
        <f>SUM(I19)-3.5</f>
        <v>23.6</v>
      </c>
      <c r="I19" s="24">
        <f>SUM(J19)-3.5</f>
        <v>27.1</v>
      </c>
      <c r="J19" s="24">
        <f>SUM(K19)-3.5</f>
        <v>30.6</v>
      </c>
      <c r="K19" s="23">
        <v>34.1</v>
      </c>
      <c r="L19" s="21">
        <f>SUM(K19)+3.6</f>
        <v>37.700000000000003</v>
      </c>
      <c r="M19" s="22">
        <f t="shared" ref="M19" si="3">SUM(L19)+3.6</f>
        <v>41.300000000000004</v>
      </c>
    </row>
    <row r="20" spans="1:14" s="1" customFormat="1" ht="14.1" customHeight="1">
      <c r="A20" s="38"/>
      <c r="B20" s="56" t="s">
        <v>31</v>
      </c>
      <c r="C20" s="56"/>
      <c r="D20" s="47" t="s">
        <v>54</v>
      </c>
      <c r="E20" s="48"/>
      <c r="F20" s="48"/>
      <c r="G20" s="49"/>
      <c r="H20" s="36"/>
      <c r="I20" s="36"/>
      <c r="J20" s="36"/>
      <c r="K20" s="23"/>
      <c r="L20" s="21"/>
      <c r="M20" s="22"/>
    </row>
    <row r="21" spans="1:14" s="1" customFormat="1" ht="14.1" customHeight="1">
      <c r="A21" s="38">
        <v>10</v>
      </c>
      <c r="B21" s="58" t="s">
        <v>6</v>
      </c>
      <c r="C21" s="58"/>
      <c r="D21" s="59" t="s">
        <v>7</v>
      </c>
      <c r="E21" s="60"/>
      <c r="F21" s="60"/>
      <c r="G21" s="61"/>
      <c r="H21" s="24">
        <f>SUM(I21)-1.6</f>
        <v>26.999999999999996</v>
      </c>
      <c r="I21" s="24">
        <f>SUM(J21)-1.6</f>
        <v>28.599999999999998</v>
      </c>
      <c r="J21" s="24">
        <f>SUM(K21)-1.6</f>
        <v>30.2</v>
      </c>
      <c r="K21" s="23">
        <v>31.8</v>
      </c>
      <c r="L21" s="21">
        <f>SUM(K21)+1.6</f>
        <v>33.4</v>
      </c>
      <c r="M21" s="22">
        <f>SUM(L21)+1.6</f>
        <v>35</v>
      </c>
    </row>
    <row r="22" spans="1:14" s="1" customFormat="1" ht="14.1" customHeight="1">
      <c r="A22" s="38"/>
      <c r="B22" s="56" t="s">
        <v>32</v>
      </c>
      <c r="C22" s="56"/>
      <c r="D22" s="47" t="s">
        <v>76</v>
      </c>
      <c r="E22" s="48"/>
      <c r="F22" s="48"/>
      <c r="G22" s="49"/>
      <c r="H22" s="36"/>
      <c r="I22" s="36"/>
      <c r="J22" s="36"/>
      <c r="K22" s="23"/>
      <c r="L22" s="21"/>
      <c r="M22" s="22"/>
    </row>
    <row r="23" spans="1:14" s="1" customFormat="1" ht="14.1" customHeight="1">
      <c r="A23" s="38">
        <v>11</v>
      </c>
      <c r="B23" s="51" t="s">
        <v>77</v>
      </c>
      <c r="C23" s="52"/>
      <c r="D23" s="57" t="s">
        <v>78</v>
      </c>
      <c r="E23" s="57"/>
      <c r="F23" s="57"/>
      <c r="G23" s="57"/>
      <c r="H23" s="24">
        <f>SUM(I23)-0.6</f>
        <v>13.4</v>
      </c>
      <c r="I23" s="24">
        <f>SUM(J23)-0.6</f>
        <v>14</v>
      </c>
      <c r="J23" s="24">
        <f>SUM(K23)-0.6</f>
        <v>14.6</v>
      </c>
      <c r="K23" s="23">
        <v>15.2</v>
      </c>
      <c r="L23" s="21">
        <f>SUM(K23)+0.6</f>
        <v>15.799999999999999</v>
      </c>
      <c r="M23" s="22">
        <f t="shared" ref="M23" si="4">SUM(L23)+0.6</f>
        <v>16.399999999999999</v>
      </c>
    </row>
    <row r="24" spans="1:14" s="1" customFormat="1" ht="14.1" customHeight="1">
      <c r="A24" s="38"/>
      <c r="B24" s="56" t="s">
        <v>33</v>
      </c>
      <c r="C24" s="56"/>
      <c r="D24" s="47" t="s">
        <v>79</v>
      </c>
      <c r="E24" s="48"/>
      <c r="F24" s="48"/>
      <c r="G24" s="49"/>
      <c r="H24" s="36"/>
      <c r="I24" s="36"/>
      <c r="J24" s="36"/>
      <c r="K24" s="23"/>
      <c r="L24" s="21"/>
      <c r="M24" s="22"/>
    </row>
    <row r="25" spans="1:14" s="1" customFormat="1" ht="14.1" customHeight="1">
      <c r="A25" s="38"/>
      <c r="B25" s="51"/>
      <c r="C25" s="52"/>
      <c r="D25" s="53"/>
      <c r="E25" s="54"/>
      <c r="F25" s="54"/>
      <c r="G25" s="55"/>
      <c r="H25" s="24"/>
      <c r="I25" s="24"/>
      <c r="J25" s="24"/>
      <c r="K25" s="23"/>
      <c r="L25" s="21"/>
      <c r="M25" s="22"/>
    </row>
    <row r="26" spans="1:14" s="1" customFormat="1" ht="14.1" customHeight="1" thickBot="1">
      <c r="A26" s="39"/>
      <c r="B26" s="28"/>
      <c r="C26" s="29"/>
      <c r="D26" s="30"/>
      <c r="E26" s="31"/>
      <c r="F26" s="31"/>
      <c r="G26" s="32"/>
      <c r="H26" s="25"/>
      <c r="I26" s="25"/>
      <c r="J26" s="25"/>
      <c r="K26" s="218"/>
      <c r="L26" s="216"/>
      <c r="M26" s="220"/>
    </row>
    <row r="27" spans="1:14" s="1" customFormat="1" ht="14.1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1:14" s="1" customFormat="1" ht="14.1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1:14" ht="14.1" customHeight="1"/>
    <row r="30" spans="1:14" ht="14.1" customHeight="1"/>
    <row r="31" spans="1:14" ht="14.1" customHeight="1"/>
    <row r="32" spans="1:14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</sheetData>
  <mergeCells count="135">
    <mergeCell ref="A5:A6"/>
    <mergeCell ref="B5:C5"/>
    <mergeCell ref="D5:G5"/>
    <mergeCell ref="I5:I6"/>
    <mergeCell ref="J5:J6"/>
    <mergeCell ref="B2:C2"/>
    <mergeCell ref="D2:G2"/>
    <mergeCell ref="A3:A4"/>
    <mergeCell ref="B3:C3"/>
    <mergeCell ref="D3:G3"/>
    <mergeCell ref="I3:I4"/>
    <mergeCell ref="J3:J4"/>
    <mergeCell ref="K5:K6"/>
    <mergeCell ref="L5:L6"/>
    <mergeCell ref="M5:M6"/>
    <mergeCell ref="B6:C6"/>
    <mergeCell ref="D6:G6"/>
    <mergeCell ref="M3:M4"/>
    <mergeCell ref="B4:C4"/>
    <mergeCell ref="D4:G4"/>
    <mergeCell ref="K3:K4"/>
    <mergeCell ref="L3:L4"/>
    <mergeCell ref="H3:H4"/>
    <mergeCell ref="H5:H6"/>
    <mergeCell ref="L7:L8"/>
    <mergeCell ref="M7:M8"/>
    <mergeCell ref="B8:C8"/>
    <mergeCell ref="D8:G8"/>
    <mergeCell ref="A7:A8"/>
    <mergeCell ref="B7:C7"/>
    <mergeCell ref="D7:G7"/>
    <mergeCell ref="I7:I8"/>
    <mergeCell ref="J7:J8"/>
    <mergeCell ref="K7:K8"/>
    <mergeCell ref="H7:H8"/>
    <mergeCell ref="L9:L10"/>
    <mergeCell ref="M9:M10"/>
    <mergeCell ref="B10:C10"/>
    <mergeCell ref="D10:G10"/>
    <mergeCell ref="A9:A10"/>
    <mergeCell ref="B9:C9"/>
    <mergeCell ref="D9:G9"/>
    <mergeCell ref="I9:I10"/>
    <mergeCell ref="J9:J10"/>
    <mergeCell ref="K9:K10"/>
    <mergeCell ref="H9:H10"/>
    <mergeCell ref="L11:L12"/>
    <mergeCell ref="M11:M12"/>
    <mergeCell ref="B12:C12"/>
    <mergeCell ref="D12:G12"/>
    <mergeCell ref="A11:A12"/>
    <mergeCell ref="B11:C11"/>
    <mergeCell ref="D11:G11"/>
    <mergeCell ref="I11:I12"/>
    <mergeCell ref="J11:J12"/>
    <mergeCell ref="K11:K12"/>
    <mergeCell ref="H11:H12"/>
    <mergeCell ref="L13:L14"/>
    <mergeCell ref="M13:M14"/>
    <mergeCell ref="B14:C14"/>
    <mergeCell ref="D14:G14"/>
    <mergeCell ref="A13:A14"/>
    <mergeCell ref="B13:C13"/>
    <mergeCell ref="D13:G13"/>
    <mergeCell ref="I13:I14"/>
    <mergeCell ref="J13:J14"/>
    <mergeCell ref="K13:K14"/>
    <mergeCell ref="H13:H14"/>
    <mergeCell ref="L15:L16"/>
    <mergeCell ref="M15:M16"/>
    <mergeCell ref="B16:C16"/>
    <mergeCell ref="D16:G16"/>
    <mergeCell ref="A15:A16"/>
    <mergeCell ref="B15:C15"/>
    <mergeCell ref="D15:G15"/>
    <mergeCell ref="I15:I16"/>
    <mergeCell ref="J15:J16"/>
    <mergeCell ref="K15:K16"/>
    <mergeCell ref="H15:H16"/>
    <mergeCell ref="L17:L18"/>
    <mergeCell ref="M17:M18"/>
    <mergeCell ref="B18:C18"/>
    <mergeCell ref="D18:G18"/>
    <mergeCell ref="A17:A18"/>
    <mergeCell ref="B17:C17"/>
    <mergeCell ref="D17:G17"/>
    <mergeCell ref="I17:I18"/>
    <mergeCell ref="J17:J18"/>
    <mergeCell ref="K17:K18"/>
    <mergeCell ref="H17:H18"/>
    <mergeCell ref="L19:L20"/>
    <mergeCell ref="M19:M20"/>
    <mergeCell ref="B20:C20"/>
    <mergeCell ref="D20:G20"/>
    <mergeCell ref="A19:A20"/>
    <mergeCell ref="B19:C19"/>
    <mergeCell ref="D19:G19"/>
    <mergeCell ref="I19:I20"/>
    <mergeCell ref="J19:J20"/>
    <mergeCell ref="K19:K20"/>
    <mergeCell ref="H19:H20"/>
    <mergeCell ref="M21:M22"/>
    <mergeCell ref="B22:C22"/>
    <mergeCell ref="D22:G22"/>
    <mergeCell ref="A21:A22"/>
    <mergeCell ref="B21:C21"/>
    <mergeCell ref="D21:G21"/>
    <mergeCell ref="I21:I22"/>
    <mergeCell ref="J21:J22"/>
    <mergeCell ref="K21:K22"/>
    <mergeCell ref="H21:H22"/>
    <mergeCell ref="H23:H24"/>
    <mergeCell ref="H25:H26"/>
    <mergeCell ref="A1:M1"/>
    <mergeCell ref="L25:L26"/>
    <mergeCell ref="M25:M26"/>
    <mergeCell ref="B26:C26"/>
    <mergeCell ref="D26:G26"/>
    <mergeCell ref="A25:A26"/>
    <mergeCell ref="B25:C25"/>
    <mergeCell ref="D25:G25"/>
    <mergeCell ref="I25:I26"/>
    <mergeCell ref="J25:J26"/>
    <mergeCell ref="K25:K26"/>
    <mergeCell ref="L23:L24"/>
    <mergeCell ref="M23:M24"/>
    <mergeCell ref="B24:C24"/>
    <mergeCell ref="D24:G24"/>
    <mergeCell ref="A23:A24"/>
    <mergeCell ref="B23:C23"/>
    <mergeCell ref="D23:G23"/>
    <mergeCell ref="I23:I24"/>
    <mergeCell ref="J23:J24"/>
    <mergeCell ref="K23:K24"/>
    <mergeCell ref="L21:L22"/>
  </mergeCells>
  <phoneticPr fontId="53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137</vt:i4>
      </vt:variant>
      <vt:variant>
        <vt:lpstr>이름 지정된 범위</vt:lpstr>
      </vt:variant>
      <vt:variant>
        <vt:i4>137</vt:i4>
      </vt:variant>
    </vt:vector>
  </HeadingPairs>
  <TitlesOfParts>
    <vt:vector size="274" baseType="lpstr">
      <vt:lpstr> EC04</vt:lpstr>
      <vt:lpstr>LE01</vt:lpstr>
      <vt:lpstr>LE02</vt:lpstr>
      <vt:lpstr>LE03</vt:lpstr>
      <vt:lpstr>PT01</vt:lpstr>
      <vt:lpstr>PT02</vt:lpstr>
      <vt:lpstr>PT03</vt:lpstr>
      <vt:lpstr>PT04</vt:lpstr>
      <vt:lpstr>PT05(완사입)</vt:lpstr>
      <vt:lpstr>PT06</vt:lpstr>
      <vt:lpstr>PT07</vt:lpstr>
      <vt:lpstr>PT08(완사입)</vt:lpstr>
      <vt:lpstr>PT09(완사입)</vt:lpstr>
      <vt:lpstr>PT10(완사입)</vt:lpstr>
      <vt:lpstr>PT11(완사입)</vt:lpstr>
      <vt:lpstr>PT12</vt:lpstr>
      <vt:lpstr>PT13(완사입)</vt:lpstr>
      <vt:lpstr>PT14</vt:lpstr>
      <vt:lpstr>PT15(완사입)</vt:lpstr>
      <vt:lpstr>PT16</vt:lpstr>
      <vt:lpstr>PT17</vt:lpstr>
      <vt:lpstr>PT18(완사입)</vt:lpstr>
      <vt:lpstr>PT19</vt:lpstr>
      <vt:lpstr>PT20(완사입)</vt:lpstr>
      <vt:lpstr>PT21(완사입)</vt:lpstr>
      <vt:lpstr>PT22(완사입)</vt:lpstr>
      <vt:lpstr>PT23</vt:lpstr>
      <vt:lpstr>PT24(완사입)</vt:lpstr>
      <vt:lpstr>SE01</vt:lpstr>
      <vt:lpstr>SE02</vt:lpstr>
      <vt:lpstr>SE03</vt:lpstr>
      <vt:lpstr>SE04</vt:lpstr>
      <vt:lpstr>SE05</vt:lpstr>
      <vt:lpstr>SE06</vt:lpstr>
      <vt:lpstr>SK01</vt:lpstr>
      <vt:lpstr>SK02</vt:lpstr>
      <vt:lpstr>SK03</vt:lpstr>
      <vt:lpstr>SK04</vt:lpstr>
      <vt:lpstr>SK05</vt:lpstr>
      <vt:lpstr>SK06</vt:lpstr>
      <vt:lpstr>SK07</vt:lpstr>
      <vt:lpstr>SK08</vt:lpstr>
      <vt:lpstr>SK09(완사입)</vt:lpstr>
      <vt:lpstr>SK10</vt:lpstr>
      <vt:lpstr>SK11</vt:lpstr>
      <vt:lpstr>SK12(니트)</vt:lpstr>
      <vt:lpstr>OP01(켄슬)</vt:lpstr>
      <vt:lpstr>OP01</vt:lpstr>
      <vt:lpstr>OP02</vt:lpstr>
      <vt:lpstr>OP03</vt:lpstr>
      <vt:lpstr>OP04</vt:lpstr>
      <vt:lpstr>OP05</vt:lpstr>
      <vt:lpstr>OP06</vt:lpstr>
      <vt:lpstr>OP07</vt:lpstr>
      <vt:lpstr>OP08</vt:lpstr>
      <vt:lpstr>OP09(니트)</vt:lpstr>
      <vt:lpstr>OP10</vt:lpstr>
      <vt:lpstr>OP11</vt:lpstr>
      <vt:lpstr>OP12</vt:lpstr>
      <vt:lpstr>OP13</vt:lpstr>
      <vt:lpstr>OP14</vt:lpstr>
      <vt:lpstr>OP15</vt:lpstr>
      <vt:lpstr>OP16</vt:lpstr>
      <vt:lpstr>OP17(완사입)</vt:lpstr>
      <vt:lpstr>OP18</vt:lpstr>
      <vt:lpstr>OU01</vt:lpstr>
      <vt:lpstr>OU02</vt:lpstr>
      <vt:lpstr>OU03</vt:lpstr>
      <vt:lpstr>OU04</vt:lpstr>
      <vt:lpstr>OU05</vt:lpstr>
      <vt:lpstr>OU06</vt:lpstr>
      <vt:lpstr>OU07</vt:lpstr>
      <vt:lpstr>OU08</vt:lpstr>
      <vt:lpstr>OU09</vt:lpstr>
      <vt:lpstr>OU10(니트)</vt:lpstr>
      <vt:lpstr>OU11</vt:lpstr>
      <vt:lpstr>OU12</vt:lpstr>
      <vt:lpstr>OU13</vt:lpstr>
      <vt:lpstr>OU14(니트)</vt:lpstr>
      <vt:lpstr>OU15(니트)</vt:lpstr>
      <vt:lpstr>OU16(완사입)</vt:lpstr>
      <vt:lpstr>OU17</vt:lpstr>
      <vt:lpstr>OU18</vt:lpstr>
      <vt:lpstr>OU19(니트)</vt:lpstr>
      <vt:lpstr>OU20</vt:lpstr>
      <vt:lpstr>OU21(니트)</vt:lpstr>
      <vt:lpstr>OU22(니트)</vt:lpstr>
      <vt:lpstr>TO01</vt:lpstr>
      <vt:lpstr>TO02</vt:lpstr>
      <vt:lpstr>TO03</vt:lpstr>
      <vt:lpstr>TO04</vt:lpstr>
      <vt:lpstr>TO05</vt:lpstr>
      <vt:lpstr>TO06</vt:lpstr>
      <vt:lpstr>TO07</vt:lpstr>
      <vt:lpstr>TO08</vt:lpstr>
      <vt:lpstr>TO09</vt:lpstr>
      <vt:lpstr>TO10</vt:lpstr>
      <vt:lpstr>TO11</vt:lpstr>
      <vt:lpstr>TO12</vt:lpstr>
      <vt:lpstr>TO13</vt:lpstr>
      <vt:lpstr>TO14</vt:lpstr>
      <vt:lpstr>TO15</vt:lpstr>
      <vt:lpstr>TO16</vt:lpstr>
      <vt:lpstr>TO17</vt:lpstr>
      <vt:lpstr>TO18</vt:lpstr>
      <vt:lpstr>TO19</vt:lpstr>
      <vt:lpstr>TO20</vt:lpstr>
      <vt:lpstr>TO21</vt:lpstr>
      <vt:lpstr>TO22(완사입)</vt:lpstr>
      <vt:lpstr>TO23</vt:lpstr>
      <vt:lpstr>TO24</vt:lpstr>
      <vt:lpstr>TO25</vt:lpstr>
      <vt:lpstr>TO26</vt:lpstr>
      <vt:lpstr>TO27</vt:lpstr>
      <vt:lpstr>TO28</vt:lpstr>
      <vt:lpstr>TO29</vt:lpstr>
      <vt:lpstr>TO30</vt:lpstr>
      <vt:lpstr>TO31</vt:lpstr>
      <vt:lpstr>TO32</vt:lpstr>
      <vt:lpstr>TO33(완사입)</vt:lpstr>
      <vt:lpstr>TO34</vt:lpstr>
      <vt:lpstr>TO35</vt:lpstr>
      <vt:lpstr>TO36</vt:lpstr>
      <vt:lpstr>TO37</vt:lpstr>
      <vt:lpstr>TO38</vt:lpstr>
      <vt:lpstr>TO39</vt:lpstr>
      <vt:lpstr>TO40(니트)</vt:lpstr>
      <vt:lpstr>TO41</vt:lpstr>
      <vt:lpstr>TO42</vt:lpstr>
      <vt:lpstr>TO43</vt:lpstr>
      <vt:lpstr>TO44</vt:lpstr>
      <vt:lpstr>TO45</vt:lpstr>
      <vt:lpstr>TO46</vt:lpstr>
      <vt:lpstr>TO47</vt:lpstr>
      <vt:lpstr>TO48</vt:lpstr>
      <vt:lpstr>TO49</vt:lpstr>
      <vt:lpstr>TO50</vt:lpstr>
      <vt:lpstr>' EC04'!Print_Area</vt:lpstr>
      <vt:lpstr>'LE01'!Print_Area</vt:lpstr>
      <vt:lpstr>'LE02'!Print_Area</vt:lpstr>
      <vt:lpstr>'LE03'!Print_Area</vt:lpstr>
      <vt:lpstr>'OP01'!Print_Area</vt:lpstr>
      <vt:lpstr>'OP01(켄슬)'!Print_Area</vt:lpstr>
      <vt:lpstr>'OP02'!Print_Area</vt:lpstr>
      <vt:lpstr>'OP03'!Print_Area</vt:lpstr>
      <vt:lpstr>'OP04'!Print_Area</vt:lpstr>
      <vt:lpstr>'OP05'!Print_Area</vt:lpstr>
      <vt:lpstr>'OP06'!Print_Area</vt:lpstr>
      <vt:lpstr>'OP07'!Print_Area</vt:lpstr>
      <vt:lpstr>'OP08'!Print_Area</vt:lpstr>
      <vt:lpstr>'OP09(니트)'!Print_Area</vt:lpstr>
      <vt:lpstr>'OP10'!Print_Area</vt:lpstr>
      <vt:lpstr>'OP11'!Print_Area</vt:lpstr>
      <vt:lpstr>'OP12'!Print_Area</vt:lpstr>
      <vt:lpstr>'OP13'!Print_Area</vt:lpstr>
      <vt:lpstr>'OP14'!Print_Area</vt:lpstr>
      <vt:lpstr>'OP15'!Print_Area</vt:lpstr>
      <vt:lpstr>'OP16'!Print_Area</vt:lpstr>
      <vt:lpstr>'OP17(완사입)'!Print_Area</vt:lpstr>
      <vt:lpstr>'OP18'!Print_Area</vt:lpstr>
      <vt:lpstr>'OU01'!Print_Area</vt:lpstr>
      <vt:lpstr>'OU02'!Print_Area</vt:lpstr>
      <vt:lpstr>'OU03'!Print_Area</vt:lpstr>
      <vt:lpstr>'OU04'!Print_Area</vt:lpstr>
      <vt:lpstr>'OU05'!Print_Area</vt:lpstr>
      <vt:lpstr>'OU06'!Print_Area</vt:lpstr>
      <vt:lpstr>'OU07'!Print_Area</vt:lpstr>
      <vt:lpstr>'OU08'!Print_Area</vt:lpstr>
      <vt:lpstr>'OU09'!Print_Area</vt:lpstr>
      <vt:lpstr>'OU10(니트)'!Print_Area</vt:lpstr>
      <vt:lpstr>'OU11'!Print_Area</vt:lpstr>
      <vt:lpstr>'OU12'!Print_Area</vt:lpstr>
      <vt:lpstr>'OU13'!Print_Area</vt:lpstr>
      <vt:lpstr>'OU14(니트)'!Print_Area</vt:lpstr>
      <vt:lpstr>'OU15(니트)'!Print_Area</vt:lpstr>
      <vt:lpstr>'OU16(완사입)'!Print_Area</vt:lpstr>
      <vt:lpstr>'OU17'!Print_Area</vt:lpstr>
      <vt:lpstr>'OU18'!Print_Area</vt:lpstr>
      <vt:lpstr>'OU19(니트)'!Print_Area</vt:lpstr>
      <vt:lpstr>'OU20'!Print_Area</vt:lpstr>
      <vt:lpstr>'OU21(니트)'!Print_Area</vt:lpstr>
      <vt:lpstr>'OU22(니트)'!Print_Area</vt:lpstr>
      <vt:lpstr>'PT01'!Print_Area</vt:lpstr>
      <vt:lpstr>'PT02'!Print_Area</vt:lpstr>
      <vt:lpstr>'PT03'!Print_Area</vt:lpstr>
      <vt:lpstr>'PT04'!Print_Area</vt:lpstr>
      <vt:lpstr>'PT05(완사입)'!Print_Area</vt:lpstr>
      <vt:lpstr>'PT06'!Print_Area</vt:lpstr>
      <vt:lpstr>'PT07'!Print_Area</vt:lpstr>
      <vt:lpstr>'PT08(완사입)'!Print_Area</vt:lpstr>
      <vt:lpstr>'PT09(완사입)'!Print_Area</vt:lpstr>
      <vt:lpstr>'PT10(완사입)'!Print_Area</vt:lpstr>
      <vt:lpstr>'PT11(완사입)'!Print_Area</vt:lpstr>
      <vt:lpstr>'PT12'!Print_Area</vt:lpstr>
      <vt:lpstr>'PT13(완사입)'!Print_Area</vt:lpstr>
      <vt:lpstr>'PT14'!Print_Area</vt:lpstr>
      <vt:lpstr>'PT15(완사입)'!Print_Area</vt:lpstr>
      <vt:lpstr>'PT16'!Print_Area</vt:lpstr>
      <vt:lpstr>'PT17'!Print_Area</vt:lpstr>
      <vt:lpstr>'PT18(완사입)'!Print_Area</vt:lpstr>
      <vt:lpstr>'PT19'!Print_Area</vt:lpstr>
      <vt:lpstr>'PT20(완사입)'!Print_Area</vt:lpstr>
      <vt:lpstr>'PT21(완사입)'!Print_Area</vt:lpstr>
      <vt:lpstr>'PT22(완사입)'!Print_Area</vt:lpstr>
      <vt:lpstr>'PT23'!Print_Area</vt:lpstr>
      <vt:lpstr>'PT24(완사입)'!Print_Area</vt:lpstr>
      <vt:lpstr>'SE01'!Print_Area</vt:lpstr>
      <vt:lpstr>'SE02'!Print_Area</vt:lpstr>
      <vt:lpstr>'SE03'!Print_Area</vt:lpstr>
      <vt:lpstr>'SE04'!Print_Area</vt:lpstr>
      <vt:lpstr>'SE05'!Print_Area</vt:lpstr>
      <vt:lpstr>'SE06'!Print_Area</vt:lpstr>
      <vt:lpstr>'SK01'!Print_Area</vt:lpstr>
      <vt:lpstr>'SK02'!Print_Area</vt:lpstr>
      <vt:lpstr>'SK03'!Print_Area</vt:lpstr>
      <vt:lpstr>'SK04'!Print_Area</vt:lpstr>
      <vt:lpstr>'SK05'!Print_Area</vt:lpstr>
      <vt:lpstr>'SK06'!Print_Area</vt:lpstr>
      <vt:lpstr>'SK07'!Print_Area</vt:lpstr>
      <vt:lpstr>'SK08'!Print_Area</vt:lpstr>
      <vt:lpstr>'SK09(완사입)'!Print_Area</vt:lpstr>
      <vt:lpstr>'SK10'!Print_Area</vt:lpstr>
      <vt:lpstr>'SK11'!Print_Area</vt:lpstr>
      <vt:lpstr>'SK12(니트)'!Print_Area</vt:lpstr>
      <vt:lpstr>'TO01'!Print_Area</vt:lpstr>
      <vt:lpstr>'TO02'!Print_Area</vt:lpstr>
      <vt:lpstr>'TO03'!Print_Area</vt:lpstr>
      <vt:lpstr>'TO04'!Print_Area</vt:lpstr>
      <vt:lpstr>'TO05'!Print_Area</vt:lpstr>
      <vt:lpstr>'TO06'!Print_Area</vt:lpstr>
      <vt:lpstr>'TO07'!Print_Area</vt:lpstr>
      <vt:lpstr>'TO08'!Print_Area</vt:lpstr>
      <vt:lpstr>'TO09'!Print_Area</vt:lpstr>
      <vt:lpstr>'TO10'!Print_Area</vt:lpstr>
      <vt:lpstr>'TO11'!Print_Area</vt:lpstr>
      <vt:lpstr>'TO12'!Print_Area</vt:lpstr>
      <vt:lpstr>'TO13'!Print_Area</vt:lpstr>
      <vt:lpstr>'TO14'!Print_Area</vt:lpstr>
      <vt:lpstr>'TO15'!Print_Area</vt:lpstr>
      <vt:lpstr>'TO16'!Print_Area</vt:lpstr>
      <vt:lpstr>'TO17'!Print_Area</vt:lpstr>
      <vt:lpstr>'TO18'!Print_Area</vt:lpstr>
      <vt:lpstr>'TO19'!Print_Area</vt:lpstr>
      <vt:lpstr>'TO20'!Print_Area</vt:lpstr>
      <vt:lpstr>'TO21'!Print_Area</vt:lpstr>
      <vt:lpstr>'TO22(완사입)'!Print_Area</vt:lpstr>
      <vt:lpstr>'TO23'!Print_Area</vt:lpstr>
      <vt:lpstr>'TO24'!Print_Area</vt:lpstr>
      <vt:lpstr>'TO25'!Print_Area</vt:lpstr>
      <vt:lpstr>'TO26'!Print_Area</vt:lpstr>
      <vt:lpstr>'TO27'!Print_Area</vt:lpstr>
      <vt:lpstr>'TO28'!Print_Area</vt:lpstr>
      <vt:lpstr>'TO29'!Print_Area</vt:lpstr>
      <vt:lpstr>'TO30'!Print_Area</vt:lpstr>
      <vt:lpstr>'TO31'!Print_Area</vt:lpstr>
      <vt:lpstr>'TO32'!Print_Area</vt:lpstr>
      <vt:lpstr>'TO33(완사입)'!Print_Area</vt:lpstr>
      <vt:lpstr>'TO34'!Print_Area</vt:lpstr>
      <vt:lpstr>'TO35'!Print_Area</vt:lpstr>
      <vt:lpstr>'TO36'!Print_Area</vt:lpstr>
      <vt:lpstr>'TO37'!Print_Area</vt:lpstr>
      <vt:lpstr>'TO38'!Print_Area</vt:lpstr>
      <vt:lpstr>'TO39'!Print_Area</vt:lpstr>
      <vt:lpstr>'TO40(니트)'!Print_Area</vt:lpstr>
      <vt:lpstr>'TO41'!Print_Area</vt:lpstr>
      <vt:lpstr>'TO42'!Print_Area</vt:lpstr>
      <vt:lpstr>'TO43'!Print_Area</vt:lpstr>
      <vt:lpstr>'TO44'!Print_Area</vt:lpstr>
      <vt:lpstr>'TO45'!Print_Area</vt:lpstr>
      <vt:lpstr>'TO46'!Print_Area</vt:lpstr>
      <vt:lpstr>'TO47'!Print_Area</vt:lpstr>
      <vt:lpstr>'TO48'!Print_Area</vt:lpstr>
      <vt:lpstr>'TO49'!Print_Area</vt:lpstr>
      <vt:lpstr>'TO50'!Print_Area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지동호</dc:creator>
  <cp:lastModifiedBy>sc240610</cp:lastModifiedBy>
  <cp:lastPrinted>2025-11-24T06:04:10Z</cp:lastPrinted>
  <dcterms:created xsi:type="dcterms:W3CDTF">2018-05-14T06:17:18Z</dcterms:created>
  <dcterms:modified xsi:type="dcterms:W3CDTF">2025-12-10T09:37:44Z</dcterms:modified>
</cp:coreProperties>
</file>