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대표님오더\2026\CJ몰행사\"/>
    </mc:Choice>
  </mc:AlternateContent>
  <xr:revisionPtr revIDLastSave="0" documentId="13_ncr:1_{AACBCC39-EBF7-4113-A025-3D7B0DDEA8F2}" xr6:coauthVersionLast="47" xr6:coauthVersionMax="47" xr10:uidLastSave="{00000000-0000-0000-0000-000000000000}"/>
  <bookViews>
    <workbookView xWindow="36510" yWindow="1335" windowWidth="19635" windowHeight="14145" tabRatio="772" firstSheet="4" activeTab="6" xr2:uid="{A5169EC5-901A-41B4-BBF5-38046B3EA48A}"/>
  </bookViews>
  <sheets>
    <sheet name="CFSE01" sheetId="2235" r:id="rId1"/>
    <sheet name="CFSE02" sheetId="2233" r:id="rId2"/>
    <sheet name="CFSE04" sheetId="2238" r:id="rId3"/>
    <sheet name="CFSE05" sheetId="2237" r:id="rId4"/>
    <sheet name="PWLE01" sheetId="2246" r:id="rId5"/>
    <sheet name="PWOP02" sheetId="2242" r:id="rId6"/>
    <sheet name="PWOP03" sheetId="2248" r:id="rId7"/>
    <sheet name="PWOU01(패턴사이즈) " sheetId="2241" r:id="rId8"/>
    <sheet name="PWOU01(제품사이즈)" sheetId="2240" r:id="rId9"/>
    <sheet name="PWSE01 " sheetId="2234" r:id="rId10"/>
    <sheet name="PWSE02" sheetId="2243" r:id="rId11"/>
    <sheet name="PWTO01" sheetId="2236" r:id="rId12"/>
    <sheet name="PWTO02" sheetId="2239" r:id="rId13"/>
    <sheet name="PWTO03" sheetId="2244" r:id="rId14"/>
    <sheet name="PWTO04" sheetId="2247" r:id="rId15"/>
    <sheet name="PWTO05" sheetId="2245" r:id="rId16"/>
  </sheets>
  <definedNames>
    <definedName name="_xlnm.Print_Area" localSheetId="0">CFSE01!$A$1:$M$56</definedName>
    <definedName name="_xlnm.Print_Area" localSheetId="1">CFSE02!$A$1:$M$74</definedName>
    <definedName name="_xlnm.Print_Area" localSheetId="2">CFSE04!$A$1:$M$50</definedName>
    <definedName name="_xlnm.Print_Area" localSheetId="3">CFSE05!$A$1:$M$60</definedName>
    <definedName name="_xlnm.Print_Area" localSheetId="4">PWLE01!$A$1:$M$22</definedName>
    <definedName name="_xlnm.Print_Area" localSheetId="5">PWOP02!$A$1:$M$36</definedName>
    <definedName name="_xlnm.Print_Area" localSheetId="6">PWOP03!$A$1:$M$32</definedName>
    <definedName name="_xlnm.Print_Area" localSheetId="8">'PWOU01(제품사이즈)'!$A$1:$M$36</definedName>
    <definedName name="_xlnm.Print_Area" localSheetId="7">'PWOU01(패턴사이즈) '!$A$1:$M$36</definedName>
    <definedName name="_xlnm.Print_Area" localSheetId="9">'PWSE01 '!$A$1:$M$50</definedName>
    <definedName name="_xlnm.Print_Area" localSheetId="10">PWSE02!$A$1:$M$56</definedName>
    <definedName name="_xlnm.Print_Area" localSheetId="11">PWTO01!$A$1:$M$26</definedName>
    <definedName name="_xlnm.Print_Area" localSheetId="12">PWTO02!$A$1:$M$36</definedName>
    <definedName name="_xlnm.Print_Area" localSheetId="13">PWTO03!$A$1:$M$36</definedName>
    <definedName name="_xlnm.Print_Area" localSheetId="14">PWTO04!$A$1:$N$28</definedName>
    <definedName name="_xlnm.Print_Area" localSheetId="15">PWTO05!$A$1:$M$26</definedName>
  </definedNames>
  <calcPr calcId="191029"/>
</workbook>
</file>

<file path=xl/calcChain.xml><?xml version="1.0" encoding="utf-8"?>
<calcChain xmlns="http://schemas.openxmlformats.org/spreadsheetml/2006/main">
  <c r="I27" i="2248" l="1"/>
  <c r="J27" i="2248" s="1"/>
  <c r="K27" i="2248" s="1"/>
  <c r="L27" i="2248" s="1"/>
  <c r="M27" i="2248" s="1"/>
  <c r="I25" i="2248"/>
  <c r="J25" i="2248" s="1"/>
  <c r="K25" i="2248" s="1"/>
  <c r="L25" i="2248" s="1"/>
  <c r="M25" i="2248" s="1"/>
  <c r="I17" i="2248"/>
  <c r="J17" i="2248" s="1"/>
  <c r="K17" i="2248" s="1"/>
  <c r="L17" i="2248" s="1"/>
  <c r="M17" i="2248" s="1"/>
  <c r="I15" i="2248"/>
  <c r="J15" i="2248" s="1"/>
  <c r="K15" i="2248" s="1"/>
  <c r="L15" i="2248" s="1"/>
  <c r="M15" i="2248" s="1"/>
  <c r="I13" i="2248"/>
  <c r="J13" i="2248" s="1"/>
  <c r="K13" i="2248" s="1"/>
  <c r="L13" i="2248" s="1"/>
  <c r="M13" i="2248" s="1"/>
  <c r="I11" i="2248"/>
  <c r="J11" i="2248" s="1"/>
  <c r="K11" i="2248" s="1"/>
  <c r="L11" i="2248" s="1"/>
  <c r="M11" i="2248" s="1"/>
  <c r="I9" i="2248"/>
  <c r="J9" i="2248" s="1"/>
  <c r="K9" i="2248" s="1"/>
  <c r="L9" i="2248" s="1"/>
  <c r="M9" i="2248" s="1"/>
  <c r="I7" i="2248"/>
  <c r="J7" i="2248" s="1"/>
  <c r="K7" i="2248" s="1"/>
  <c r="L7" i="2248" s="1"/>
  <c r="M7" i="2248" s="1"/>
  <c r="I5" i="2248"/>
  <c r="J5" i="2248" s="1"/>
  <c r="K5" i="2248" s="1"/>
  <c r="L5" i="2248" s="1"/>
  <c r="M5" i="2248" s="1"/>
  <c r="I3" i="2248"/>
  <c r="J3" i="2248" s="1"/>
  <c r="K3" i="2248" s="1"/>
  <c r="L3" i="2248" s="1"/>
  <c r="M3" i="2248" s="1"/>
  <c r="N25" i="2247"/>
  <c r="N23" i="2247"/>
  <c r="N21" i="2247"/>
  <c r="N19" i="2247"/>
  <c r="N17" i="2247"/>
  <c r="N15" i="2247"/>
  <c r="N13" i="2247"/>
  <c r="N11" i="2247"/>
  <c r="N9" i="2247"/>
  <c r="N7" i="2247"/>
  <c r="N5" i="2247"/>
  <c r="N3" i="2247"/>
  <c r="M19" i="2247"/>
  <c r="L19" i="2247"/>
  <c r="K19" i="2247"/>
  <c r="M9" i="2247"/>
  <c r="L9" i="2247"/>
  <c r="K9" i="2247"/>
  <c r="J9" i="2247"/>
  <c r="I9" i="2247"/>
  <c r="M7" i="2247"/>
  <c r="L7" i="2247"/>
  <c r="K7" i="2247"/>
  <c r="J7" i="2247"/>
  <c r="I7" i="2247"/>
  <c r="I25" i="2247"/>
  <c r="J25" i="2247" s="1"/>
  <c r="K25" i="2247" s="1"/>
  <c r="L25" i="2247" s="1"/>
  <c r="M25" i="2247" s="1"/>
  <c r="I23" i="2247"/>
  <c r="J23" i="2247" s="1"/>
  <c r="K23" i="2247" s="1"/>
  <c r="L23" i="2247" s="1"/>
  <c r="M23" i="2247" s="1"/>
  <c r="I21" i="2247"/>
  <c r="J21" i="2247" s="1"/>
  <c r="K21" i="2247" s="1"/>
  <c r="L21" i="2247" s="1"/>
  <c r="M21" i="2247" s="1"/>
  <c r="I19" i="2247"/>
  <c r="J19" i="2247" s="1"/>
  <c r="I17" i="2247"/>
  <c r="J17" i="2247" s="1"/>
  <c r="K17" i="2247" s="1"/>
  <c r="L17" i="2247" s="1"/>
  <c r="M17" i="2247" s="1"/>
  <c r="I15" i="2247"/>
  <c r="J15" i="2247" s="1"/>
  <c r="K15" i="2247" s="1"/>
  <c r="L15" i="2247" s="1"/>
  <c r="M15" i="2247" s="1"/>
  <c r="J13" i="2247"/>
  <c r="K13" i="2247" s="1"/>
  <c r="L13" i="2247" s="1"/>
  <c r="M13" i="2247" s="1"/>
  <c r="I13" i="2247"/>
  <c r="I11" i="2247"/>
  <c r="J11" i="2247" s="1"/>
  <c r="K11" i="2247" s="1"/>
  <c r="L11" i="2247" s="1"/>
  <c r="M11" i="2247" s="1"/>
  <c r="I5" i="2247"/>
  <c r="J5" i="2247" s="1"/>
  <c r="K5" i="2247" s="1"/>
  <c r="L5" i="2247" s="1"/>
  <c r="M5" i="2247" s="1"/>
  <c r="I3" i="2247"/>
  <c r="J3" i="2247" s="1"/>
  <c r="K3" i="2247" s="1"/>
  <c r="L3" i="2247" s="1"/>
  <c r="M3" i="2247" s="1"/>
  <c r="J3" i="2246"/>
  <c r="K3" i="2246" s="1"/>
  <c r="L3" i="2246" s="1"/>
  <c r="M3" i="2246" s="1"/>
  <c r="I3" i="2246"/>
  <c r="K13" i="2246"/>
  <c r="K11" i="2246"/>
  <c r="K19" i="2246"/>
  <c r="I21" i="2246"/>
  <c r="J21" i="2246" s="1"/>
  <c r="K21" i="2246" s="1"/>
  <c r="L21" i="2246" s="1"/>
  <c r="M21" i="2246" s="1"/>
  <c r="I19" i="2246"/>
  <c r="J19" i="2246" s="1"/>
  <c r="I17" i="2246"/>
  <c r="J17" i="2246" s="1"/>
  <c r="K17" i="2246" s="1"/>
  <c r="L17" i="2246" s="1"/>
  <c r="M17" i="2246" s="1"/>
  <c r="I15" i="2246"/>
  <c r="J15" i="2246" s="1"/>
  <c r="K15" i="2246" s="1"/>
  <c r="L15" i="2246" s="1"/>
  <c r="M15" i="2246" s="1"/>
  <c r="I13" i="2246"/>
  <c r="J13" i="2246" s="1"/>
  <c r="I11" i="2246"/>
  <c r="J11" i="2246" s="1"/>
  <c r="L11" i="2246" s="1"/>
  <c r="M11" i="2246" s="1"/>
  <c r="I9" i="2246"/>
  <c r="J9" i="2246" s="1"/>
  <c r="K9" i="2246" s="1"/>
  <c r="L9" i="2246" s="1"/>
  <c r="M9" i="2246" s="1"/>
  <c r="I7" i="2246"/>
  <c r="J7" i="2246" s="1"/>
  <c r="K7" i="2246" s="1"/>
  <c r="L7" i="2246" s="1"/>
  <c r="M7" i="2246" s="1"/>
  <c r="I5" i="2246"/>
  <c r="J5" i="2246" s="1"/>
  <c r="K5" i="2246" s="1"/>
  <c r="L5" i="2246" s="1"/>
  <c r="M5" i="2246" s="1"/>
  <c r="K23" i="2245"/>
  <c r="L23" i="2245"/>
  <c r="M23" i="2245" s="1"/>
  <c r="J23" i="2245"/>
  <c r="I23" i="2245"/>
  <c r="M21" i="2245"/>
  <c r="L21" i="2245"/>
  <c r="K21" i="2245"/>
  <c r="J21" i="2245"/>
  <c r="I21" i="2245"/>
  <c r="M17" i="2245"/>
  <c r="L17" i="2245"/>
  <c r="K17" i="2245"/>
  <c r="I17" i="2245"/>
  <c r="J17" i="2245"/>
  <c r="I19" i="2245"/>
  <c r="J19" i="2245" s="1"/>
  <c r="K19" i="2245" s="1"/>
  <c r="L19" i="2245" s="1"/>
  <c r="M19" i="2245" s="1"/>
  <c r="I15" i="2245"/>
  <c r="J15" i="2245" s="1"/>
  <c r="K15" i="2245" s="1"/>
  <c r="L15" i="2245" s="1"/>
  <c r="M15" i="2245" s="1"/>
  <c r="I13" i="2245"/>
  <c r="J13" i="2245" s="1"/>
  <c r="K13" i="2245" s="1"/>
  <c r="L13" i="2245" s="1"/>
  <c r="M13" i="2245" s="1"/>
  <c r="I11" i="2245"/>
  <c r="J11" i="2245" s="1"/>
  <c r="K11" i="2245" s="1"/>
  <c r="L11" i="2245" s="1"/>
  <c r="M11" i="2245" s="1"/>
  <c r="I9" i="2245"/>
  <c r="J9" i="2245" s="1"/>
  <c r="K9" i="2245" s="1"/>
  <c r="L9" i="2245" s="1"/>
  <c r="M9" i="2245" s="1"/>
  <c r="I7" i="2245"/>
  <c r="J7" i="2245" s="1"/>
  <c r="K7" i="2245" s="1"/>
  <c r="L7" i="2245" s="1"/>
  <c r="M7" i="2245" s="1"/>
  <c r="I5" i="2245"/>
  <c r="J5" i="2245" s="1"/>
  <c r="K5" i="2245" s="1"/>
  <c r="L5" i="2245" s="1"/>
  <c r="M5" i="2245" s="1"/>
  <c r="I3" i="2245"/>
  <c r="J3" i="2245" s="1"/>
  <c r="K3" i="2245" s="1"/>
  <c r="L3" i="2245" s="1"/>
  <c r="M3" i="2245" s="1"/>
  <c r="M25" i="2244"/>
  <c r="L25" i="2244"/>
  <c r="K25" i="2244"/>
  <c r="H25" i="2244"/>
  <c r="I25" i="2244"/>
  <c r="K21" i="2244"/>
  <c r="L21" i="2244" s="1"/>
  <c r="M21" i="2244" s="1"/>
  <c r="I21" i="2244"/>
  <c r="H21" i="2244" s="1"/>
  <c r="K19" i="2244"/>
  <c r="L19" i="2244" s="1"/>
  <c r="M19" i="2244" s="1"/>
  <c r="I19" i="2244"/>
  <c r="H19" i="2244" s="1"/>
  <c r="L11" i="2244"/>
  <c r="K11" i="2244"/>
  <c r="K5" i="2244"/>
  <c r="L5" i="2244" s="1"/>
  <c r="M5" i="2244" s="1"/>
  <c r="I5" i="2244"/>
  <c r="H5" i="2244" s="1"/>
  <c r="L13" i="2246" l="1"/>
  <c r="M13" i="2246" s="1"/>
  <c r="L19" i="2246"/>
  <c r="M19" i="2246" s="1"/>
  <c r="K23" i="2244"/>
  <c r="L23" i="2244" s="1"/>
  <c r="M23" i="2244" s="1"/>
  <c r="I23" i="2244"/>
  <c r="H23" i="2244" s="1"/>
  <c r="K17" i="2244"/>
  <c r="L17" i="2244" s="1"/>
  <c r="M17" i="2244" s="1"/>
  <c r="I17" i="2244"/>
  <c r="H17" i="2244"/>
  <c r="K15" i="2244"/>
  <c r="L15" i="2244" s="1"/>
  <c r="M15" i="2244" s="1"/>
  <c r="I15" i="2244"/>
  <c r="H15" i="2244" s="1"/>
  <c r="K13" i="2244"/>
  <c r="L13" i="2244" s="1"/>
  <c r="M13" i="2244" s="1"/>
  <c r="I13" i="2244"/>
  <c r="H13" i="2244" s="1"/>
  <c r="M11" i="2244"/>
  <c r="I11" i="2244"/>
  <c r="H11" i="2244" s="1"/>
  <c r="K9" i="2244"/>
  <c r="L9" i="2244" s="1"/>
  <c r="M9" i="2244" s="1"/>
  <c r="I9" i="2244"/>
  <c r="H9" i="2244" s="1"/>
  <c r="K7" i="2244"/>
  <c r="L7" i="2244" s="1"/>
  <c r="M7" i="2244" s="1"/>
  <c r="I7" i="2244"/>
  <c r="H7" i="2244" s="1"/>
  <c r="K3" i="2244"/>
  <c r="L3" i="2244" s="1"/>
  <c r="M3" i="2244" s="1"/>
  <c r="I3" i="2244"/>
  <c r="H3" i="2244" s="1"/>
  <c r="K55" i="2243"/>
  <c r="L55" i="2243"/>
  <c r="M55" i="2243" s="1"/>
  <c r="H55" i="2243"/>
  <c r="I55" i="2243"/>
  <c r="K53" i="2243" l="1"/>
  <c r="L53" i="2243" s="1"/>
  <c r="M53" i="2243" s="1"/>
  <c r="I53" i="2243"/>
  <c r="H53" i="2243"/>
  <c r="K51" i="2243"/>
  <c r="L51" i="2243" s="1"/>
  <c r="M51" i="2243" s="1"/>
  <c r="I51" i="2243"/>
  <c r="H51" i="2243"/>
  <c r="K49" i="2243"/>
  <c r="L49" i="2243" s="1"/>
  <c r="M49" i="2243" s="1"/>
  <c r="I49" i="2243"/>
  <c r="H49" i="2243"/>
  <c r="K47" i="2243"/>
  <c r="L47" i="2243" s="1"/>
  <c r="M47" i="2243" s="1"/>
  <c r="I47" i="2243"/>
  <c r="H47" i="2243"/>
  <c r="K45" i="2243"/>
  <c r="L45" i="2243" s="1"/>
  <c r="M45" i="2243" s="1"/>
  <c r="I45" i="2243"/>
  <c r="H45" i="2243"/>
  <c r="L43" i="2243"/>
  <c r="M43" i="2243" s="1"/>
  <c r="K43" i="2243"/>
  <c r="I43" i="2243"/>
  <c r="H43" i="2243" s="1"/>
  <c r="K41" i="2243"/>
  <c r="L41" i="2243" s="1"/>
  <c r="M41" i="2243" s="1"/>
  <c r="I41" i="2243"/>
  <c r="H41" i="2243"/>
  <c r="K39" i="2243"/>
  <c r="L39" i="2243" s="1"/>
  <c r="M39" i="2243" s="1"/>
  <c r="I39" i="2243"/>
  <c r="H39" i="2243"/>
  <c r="K37" i="2243"/>
  <c r="L37" i="2243" s="1"/>
  <c r="M37" i="2243" s="1"/>
  <c r="I37" i="2243"/>
  <c r="H37" i="2243"/>
  <c r="K35" i="2243"/>
  <c r="L35" i="2243" s="1"/>
  <c r="M35" i="2243" s="1"/>
  <c r="I35" i="2243"/>
  <c r="H35" i="2243"/>
  <c r="K33" i="2243"/>
  <c r="L33" i="2243" s="1"/>
  <c r="M33" i="2243" s="1"/>
  <c r="I33" i="2243"/>
  <c r="H33" i="2243"/>
  <c r="K31" i="2243"/>
  <c r="L31" i="2243" s="1"/>
  <c r="M31" i="2243" s="1"/>
  <c r="I31" i="2243"/>
  <c r="H31" i="2243" s="1"/>
  <c r="K29" i="2243"/>
  <c r="L29" i="2243" s="1"/>
  <c r="M29" i="2243" s="1"/>
  <c r="I29" i="2243"/>
  <c r="H29" i="2243"/>
  <c r="K27" i="2243"/>
  <c r="L27" i="2243" s="1"/>
  <c r="M27" i="2243" s="1"/>
  <c r="I27" i="2243"/>
  <c r="H27" i="2243"/>
  <c r="K25" i="2243"/>
  <c r="L25" i="2243" s="1"/>
  <c r="M25" i="2243" s="1"/>
  <c r="I25" i="2243"/>
  <c r="H25" i="2243"/>
  <c r="L23" i="2243"/>
  <c r="M23" i="2243" s="1"/>
  <c r="K23" i="2243"/>
  <c r="I23" i="2243"/>
  <c r="H23" i="2243"/>
  <c r="K21" i="2243"/>
  <c r="L21" i="2243" s="1"/>
  <c r="M21" i="2243" s="1"/>
  <c r="I21" i="2243"/>
  <c r="H21" i="2243"/>
  <c r="K19" i="2243"/>
  <c r="L19" i="2243" s="1"/>
  <c r="M19" i="2243" s="1"/>
  <c r="I19" i="2243"/>
  <c r="H19" i="2243"/>
  <c r="K17" i="2243"/>
  <c r="L17" i="2243" s="1"/>
  <c r="M17" i="2243" s="1"/>
  <c r="I17" i="2243"/>
  <c r="H17" i="2243"/>
  <c r="K15" i="2243"/>
  <c r="L15" i="2243" s="1"/>
  <c r="M15" i="2243" s="1"/>
  <c r="I15" i="2243"/>
  <c r="H15" i="2243"/>
  <c r="K13" i="2243"/>
  <c r="L13" i="2243" s="1"/>
  <c r="M13" i="2243" s="1"/>
  <c r="I13" i="2243"/>
  <c r="H13" i="2243"/>
  <c r="L11" i="2243"/>
  <c r="M11" i="2243" s="1"/>
  <c r="K11" i="2243"/>
  <c r="I11" i="2243"/>
  <c r="H11" i="2243" s="1"/>
  <c r="K9" i="2243"/>
  <c r="L9" i="2243" s="1"/>
  <c r="M9" i="2243" s="1"/>
  <c r="I9" i="2243"/>
  <c r="H9" i="2243"/>
  <c r="K7" i="2243"/>
  <c r="L7" i="2243" s="1"/>
  <c r="M7" i="2243" s="1"/>
  <c r="I7" i="2243"/>
  <c r="H7" i="2243"/>
  <c r="K5" i="2243"/>
  <c r="L5" i="2243" s="1"/>
  <c r="M5" i="2243" s="1"/>
  <c r="I5" i="2243"/>
  <c r="H5" i="2243"/>
  <c r="K3" i="2243"/>
  <c r="L3" i="2243" s="1"/>
  <c r="M3" i="2243" s="1"/>
  <c r="I3" i="2243"/>
  <c r="H3" i="2243"/>
  <c r="M31" i="2242"/>
  <c r="L31" i="2242"/>
  <c r="K31" i="2242"/>
  <c r="I31" i="2242"/>
  <c r="H31" i="2242"/>
  <c r="P25" i="2242"/>
  <c r="P24" i="2242"/>
  <c r="K29" i="2242"/>
  <c r="L29" i="2242" s="1"/>
  <c r="M29" i="2242" s="1"/>
  <c r="I29" i="2242"/>
  <c r="H29" i="2242"/>
  <c r="K27" i="2242"/>
  <c r="L27" i="2242" s="1"/>
  <c r="M27" i="2242" s="1"/>
  <c r="I27" i="2242"/>
  <c r="H27" i="2242"/>
  <c r="K25" i="2242"/>
  <c r="L25" i="2242" s="1"/>
  <c r="M25" i="2242" s="1"/>
  <c r="I25" i="2242"/>
  <c r="H25" i="2242"/>
  <c r="L23" i="2242"/>
  <c r="M23" i="2242" s="1"/>
  <c r="K23" i="2242"/>
  <c r="I23" i="2242"/>
  <c r="H23" i="2242" s="1"/>
  <c r="K21" i="2242"/>
  <c r="L21" i="2242" s="1"/>
  <c r="M21" i="2242" s="1"/>
  <c r="I21" i="2242"/>
  <c r="H21" i="2242"/>
  <c r="K19" i="2242"/>
  <c r="L19" i="2242" s="1"/>
  <c r="M19" i="2242" s="1"/>
  <c r="I19" i="2242"/>
  <c r="H19" i="2242"/>
  <c r="K17" i="2242"/>
  <c r="L17" i="2242" s="1"/>
  <c r="M17" i="2242" s="1"/>
  <c r="I17" i="2242"/>
  <c r="H17" i="2242"/>
  <c r="K15" i="2242"/>
  <c r="L15" i="2242" s="1"/>
  <c r="M15" i="2242" s="1"/>
  <c r="I15" i="2242"/>
  <c r="H15" i="2242"/>
  <c r="K13" i="2242"/>
  <c r="L13" i="2242" s="1"/>
  <c r="M13" i="2242" s="1"/>
  <c r="I13" i="2242"/>
  <c r="H13" i="2242"/>
  <c r="K11" i="2242"/>
  <c r="L11" i="2242" s="1"/>
  <c r="M11" i="2242" s="1"/>
  <c r="I11" i="2242"/>
  <c r="H11" i="2242" s="1"/>
  <c r="K9" i="2242"/>
  <c r="L9" i="2242" s="1"/>
  <c r="M9" i="2242" s="1"/>
  <c r="I9" i="2242"/>
  <c r="H9" i="2242"/>
  <c r="K7" i="2242"/>
  <c r="L7" i="2242" s="1"/>
  <c r="M7" i="2242" s="1"/>
  <c r="I7" i="2242"/>
  <c r="H7" i="2242"/>
  <c r="K5" i="2242"/>
  <c r="L5" i="2242" s="1"/>
  <c r="M5" i="2242" s="1"/>
  <c r="I5" i="2242"/>
  <c r="H5" i="2242"/>
  <c r="K3" i="2242"/>
  <c r="L3" i="2242" s="1"/>
  <c r="M3" i="2242" s="1"/>
  <c r="I3" i="2242"/>
  <c r="H3" i="2242"/>
  <c r="P15" i="2240"/>
  <c r="P14" i="2240"/>
  <c r="P11" i="2240"/>
  <c r="P10" i="2240"/>
  <c r="I35" i="2241"/>
  <c r="J35" i="2241" s="1"/>
  <c r="K35" i="2241" s="1"/>
  <c r="L35" i="2241" s="1"/>
  <c r="M35" i="2241" s="1"/>
  <c r="I33" i="2241"/>
  <c r="J33" i="2241" s="1"/>
  <c r="K33" i="2241" s="1"/>
  <c r="L33" i="2241" s="1"/>
  <c r="M33" i="2241" s="1"/>
  <c r="I31" i="2241"/>
  <c r="J31" i="2241" s="1"/>
  <c r="K31" i="2241" s="1"/>
  <c r="L31" i="2241" s="1"/>
  <c r="M31" i="2241" s="1"/>
  <c r="I29" i="2241"/>
  <c r="J29" i="2241" s="1"/>
  <c r="K29" i="2241" s="1"/>
  <c r="L29" i="2241" s="1"/>
  <c r="M29" i="2241" s="1"/>
  <c r="I27" i="2241"/>
  <c r="J27" i="2241" s="1"/>
  <c r="K27" i="2241" s="1"/>
  <c r="L27" i="2241" s="1"/>
  <c r="M27" i="2241" s="1"/>
  <c r="I19" i="2241"/>
  <c r="J19" i="2241" s="1"/>
  <c r="K19" i="2241" s="1"/>
  <c r="L19" i="2241" s="1"/>
  <c r="M19" i="2241" s="1"/>
  <c r="I17" i="2241"/>
  <c r="J17" i="2241" s="1"/>
  <c r="K17" i="2241" s="1"/>
  <c r="L17" i="2241" s="1"/>
  <c r="M17" i="2241" s="1"/>
  <c r="I15" i="2241"/>
  <c r="J15" i="2241" s="1"/>
  <c r="K15" i="2241" s="1"/>
  <c r="L15" i="2241" s="1"/>
  <c r="M15" i="2241" s="1"/>
  <c r="I13" i="2241"/>
  <c r="J13" i="2241" s="1"/>
  <c r="K13" i="2241" s="1"/>
  <c r="L13" i="2241" s="1"/>
  <c r="M13" i="2241" s="1"/>
  <c r="I11" i="2241"/>
  <c r="J11" i="2241" s="1"/>
  <c r="K11" i="2241" s="1"/>
  <c r="L11" i="2241" s="1"/>
  <c r="M11" i="2241" s="1"/>
  <c r="I9" i="2241"/>
  <c r="J9" i="2241" s="1"/>
  <c r="K9" i="2241" s="1"/>
  <c r="L9" i="2241" s="1"/>
  <c r="M9" i="2241" s="1"/>
  <c r="I7" i="2241"/>
  <c r="J7" i="2241" s="1"/>
  <c r="K7" i="2241" s="1"/>
  <c r="L7" i="2241" s="1"/>
  <c r="M7" i="2241" s="1"/>
  <c r="J5" i="2241"/>
  <c r="K5" i="2241" s="1"/>
  <c r="L5" i="2241" s="1"/>
  <c r="M5" i="2241" s="1"/>
  <c r="I5" i="2241"/>
  <c r="I3" i="2241"/>
  <c r="J3" i="2241" s="1"/>
  <c r="K3" i="2241" s="1"/>
  <c r="L3" i="2241" s="1"/>
  <c r="M3" i="2241" s="1"/>
  <c r="I35" i="2240"/>
  <c r="J35" i="2240" s="1"/>
  <c r="K35" i="2240" s="1"/>
  <c r="L35" i="2240" s="1"/>
  <c r="M35" i="2240" s="1"/>
  <c r="I33" i="2240"/>
  <c r="J33" i="2240" s="1"/>
  <c r="K33" i="2240" s="1"/>
  <c r="L33" i="2240" s="1"/>
  <c r="M33" i="2240" s="1"/>
  <c r="I31" i="2240"/>
  <c r="J31" i="2240" s="1"/>
  <c r="K31" i="2240" s="1"/>
  <c r="L31" i="2240" s="1"/>
  <c r="M31" i="2240" s="1"/>
  <c r="I29" i="2240"/>
  <c r="J29" i="2240" s="1"/>
  <c r="K29" i="2240" s="1"/>
  <c r="L29" i="2240" s="1"/>
  <c r="M29" i="2240" s="1"/>
  <c r="I27" i="2240"/>
  <c r="J27" i="2240" s="1"/>
  <c r="K27" i="2240" s="1"/>
  <c r="L27" i="2240" s="1"/>
  <c r="M27" i="2240" s="1"/>
  <c r="I19" i="2240"/>
  <c r="J19" i="2240" s="1"/>
  <c r="K19" i="2240" s="1"/>
  <c r="L19" i="2240" s="1"/>
  <c r="M19" i="2240" s="1"/>
  <c r="I17" i="2240"/>
  <c r="J17" i="2240" s="1"/>
  <c r="K17" i="2240" s="1"/>
  <c r="L17" i="2240" s="1"/>
  <c r="M17" i="2240" s="1"/>
  <c r="I15" i="2240"/>
  <c r="J15" i="2240" s="1"/>
  <c r="K15" i="2240" s="1"/>
  <c r="L15" i="2240" s="1"/>
  <c r="M15" i="2240" s="1"/>
  <c r="I13" i="2240"/>
  <c r="J13" i="2240" s="1"/>
  <c r="K13" i="2240" s="1"/>
  <c r="L13" i="2240" s="1"/>
  <c r="M13" i="2240" s="1"/>
  <c r="I11" i="2240"/>
  <c r="J11" i="2240" s="1"/>
  <c r="K11" i="2240" s="1"/>
  <c r="L11" i="2240" s="1"/>
  <c r="M11" i="2240" s="1"/>
  <c r="I9" i="2240"/>
  <c r="J9" i="2240" s="1"/>
  <c r="K9" i="2240" s="1"/>
  <c r="L9" i="2240" s="1"/>
  <c r="M9" i="2240" s="1"/>
  <c r="I7" i="2240"/>
  <c r="J7" i="2240" s="1"/>
  <c r="K7" i="2240" s="1"/>
  <c r="L7" i="2240" s="1"/>
  <c r="M7" i="2240" s="1"/>
  <c r="I5" i="2240"/>
  <c r="J5" i="2240" s="1"/>
  <c r="K5" i="2240" s="1"/>
  <c r="L5" i="2240" s="1"/>
  <c r="M5" i="2240" s="1"/>
  <c r="I3" i="2240"/>
  <c r="J3" i="2240" s="1"/>
  <c r="K3" i="2240" s="1"/>
  <c r="L3" i="2240" s="1"/>
  <c r="M3" i="2240" s="1"/>
  <c r="K33" i="2239"/>
  <c r="L33" i="2239" s="1"/>
  <c r="M33" i="2239" s="1"/>
  <c r="I33" i="2239"/>
  <c r="H33" i="2239"/>
  <c r="K31" i="2239"/>
  <c r="L31" i="2239" s="1"/>
  <c r="M31" i="2239" s="1"/>
  <c r="I31" i="2239"/>
  <c r="H31" i="2239"/>
  <c r="K29" i="2239"/>
  <c r="L29" i="2239" s="1"/>
  <c r="M29" i="2239" s="1"/>
  <c r="I29" i="2239"/>
  <c r="H29" i="2239"/>
  <c r="K27" i="2239"/>
  <c r="L27" i="2239" s="1"/>
  <c r="M27" i="2239" s="1"/>
  <c r="I27" i="2239"/>
  <c r="H27" i="2239"/>
  <c r="K25" i="2239"/>
  <c r="L25" i="2239" s="1"/>
  <c r="M25" i="2239" s="1"/>
  <c r="I25" i="2239"/>
  <c r="H25" i="2239"/>
  <c r="K23" i="2239"/>
  <c r="L23" i="2239" s="1"/>
  <c r="M23" i="2239" s="1"/>
  <c r="I23" i="2239"/>
  <c r="H23" i="2239"/>
  <c r="L21" i="2239"/>
  <c r="M21" i="2239" s="1"/>
  <c r="K21" i="2239"/>
  <c r="I21" i="2239"/>
  <c r="H21" i="2239"/>
  <c r="K19" i="2239"/>
  <c r="L19" i="2239" s="1"/>
  <c r="M19" i="2239" s="1"/>
  <c r="I19" i="2239"/>
  <c r="H19" i="2239"/>
  <c r="K17" i="2239"/>
  <c r="L17" i="2239" s="1"/>
  <c r="M17" i="2239" s="1"/>
  <c r="I17" i="2239"/>
  <c r="H17" i="2239" s="1"/>
  <c r="K15" i="2239"/>
  <c r="L15" i="2239" s="1"/>
  <c r="M15" i="2239" s="1"/>
  <c r="I15" i="2239"/>
  <c r="H15" i="2239" s="1"/>
  <c r="K13" i="2239"/>
  <c r="L13" i="2239" s="1"/>
  <c r="M13" i="2239" s="1"/>
  <c r="I13" i="2239"/>
  <c r="H13" i="2239" s="1"/>
  <c r="K11" i="2239"/>
  <c r="L11" i="2239" s="1"/>
  <c r="M11" i="2239" s="1"/>
  <c r="I11" i="2239"/>
  <c r="H11" i="2239"/>
  <c r="K9" i="2239"/>
  <c r="L9" i="2239" s="1"/>
  <c r="M9" i="2239" s="1"/>
  <c r="I9" i="2239"/>
  <c r="H9" i="2239" s="1"/>
  <c r="K7" i="2239"/>
  <c r="L7" i="2239" s="1"/>
  <c r="M7" i="2239" s="1"/>
  <c r="I7" i="2239"/>
  <c r="H7" i="2239"/>
  <c r="K5" i="2239"/>
  <c r="L5" i="2239" s="1"/>
  <c r="M5" i="2239" s="1"/>
  <c r="I5" i="2239"/>
  <c r="H5" i="2239" s="1"/>
  <c r="K3" i="2239"/>
  <c r="L3" i="2239" s="1"/>
  <c r="M3" i="2239" s="1"/>
  <c r="I3" i="2239"/>
  <c r="H3" i="2239"/>
  <c r="M25" i="2238" l="1"/>
  <c r="L25" i="2238"/>
  <c r="K25" i="2238"/>
  <c r="J25" i="2238"/>
  <c r="I25" i="2238"/>
  <c r="K39" i="2238"/>
  <c r="M31" i="2238"/>
  <c r="L31" i="2238"/>
  <c r="K31" i="2238"/>
  <c r="J31" i="2238"/>
  <c r="I31" i="2238"/>
  <c r="I49" i="2238"/>
  <c r="J49" i="2238" s="1"/>
  <c r="K49" i="2238" s="1"/>
  <c r="L49" i="2238" s="1"/>
  <c r="M49" i="2238" s="1"/>
  <c r="I47" i="2238"/>
  <c r="J47" i="2238" s="1"/>
  <c r="K47" i="2238" s="1"/>
  <c r="L47" i="2238" s="1"/>
  <c r="M47" i="2238" s="1"/>
  <c r="I45" i="2238"/>
  <c r="J45" i="2238" s="1"/>
  <c r="K45" i="2238" s="1"/>
  <c r="L45" i="2238" s="1"/>
  <c r="M45" i="2238" s="1"/>
  <c r="I43" i="2238"/>
  <c r="J43" i="2238" s="1"/>
  <c r="K43" i="2238" s="1"/>
  <c r="L43" i="2238" s="1"/>
  <c r="M43" i="2238" s="1"/>
  <c r="I41" i="2238"/>
  <c r="J41" i="2238" s="1"/>
  <c r="K41" i="2238" s="1"/>
  <c r="L41" i="2238" s="1"/>
  <c r="M41" i="2238" s="1"/>
  <c r="I39" i="2238"/>
  <c r="J39" i="2238" s="1"/>
  <c r="L39" i="2238" s="1"/>
  <c r="M39" i="2238" s="1"/>
  <c r="I37" i="2238"/>
  <c r="J37" i="2238" s="1"/>
  <c r="K37" i="2238" s="1"/>
  <c r="L37" i="2238" s="1"/>
  <c r="M37" i="2238" s="1"/>
  <c r="I35" i="2238"/>
  <c r="J35" i="2238" s="1"/>
  <c r="K35" i="2238" s="1"/>
  <c r="L35" i="2238" s="1"/>
  <c r="M35" i="2238" s="1"/>
  <c r="I33" i="2238"/>
  <c r="J33" i="2238" s="1"/>
  <c r="K33" i="2238" s="1"/>
  <c r="L33" i="2238" s="1"/>
  <c r="M33" i="2238" s="1"/>
  <c r="I29" i="2238"/>
  <c r="J29" i="2238" s="1"/>
  <c r="K29" i="2238" s="1"/>
  <c r="L29" i="2238" s="1"/>
  <c r="M29" i="2238" s="1"/>
  <c r="I27" i="2238"/>
  <c r="J27" i="2238" s="1"/>
  <c r="K27" i="2238" s="1"/>
  <c r="L27" i="2238" s="1"/>
  <c r="M27" i="2238" s="1"/>
  <c r="I23" i="2238"/>
  <c r="J23" i="2238" s="1"/>
  <c r="K23" i="2238" s="1"/>
  <c r="L23" i="2238" s="1"/>
  <c r="M23" i="2238" s="1"/>
  <c r="I21" i="2238"/>
  <c r="J21" i="2238" s="1"/>
  <c r="K21" i="2238" s="1"/>
  <c r="L21" i="2238" s="1"/>
  <c r="M21" i="2238" s="1"/>
  <c r="I19" i="2238"/>
  <c r="J19" i="2238" s="1"/>
  <c r="K19" i="2238" s="1"/>
  <c r="L19" i="2238" s="1"/>
  <c r="M19" i="2238" s="1"/>
  <c r="I17" i="2238"/>
  <c r="J17" i="2238" s="1"/>
  <c r="K17" i="2238" s="1"/>
  <c r="L17" i="2238" s="1"/>
  <c r="M17" i="2238" s="1"/>
  <c r="I15" i="2238"/>
  <c r="J15" i="2238" s="1"/>
  <c r="K15" i="2238" s="1"/>
  <c r="L15" i="2238" s="1"/>
  <c r="M15" i="2238" s="1"/>
  <c r="I13" i="2238"/>
  <c r="J13" i="2238" s="1"/>
  <c r="K13" i="2238" s="1"/>
  <c r="L13" i="2238" s="1"/>
  <c r="M13" i="2238" s="1"/>
  <c r="I11" i="2238"/>
  <c r="J11" i="2238" s="1"/>
  <c r="K11" i="2238" s="1"/>
  <c r="L11" i="2238" s="1"/>
  <c r="M11" i="2238" s="1"/>
  <c r="I9" i="2238"/>
  <c r="J9" i="2238" s="1"/>
  <c r="K9" i="2238" s="1"/>
  <c r="L9" i="2238" s="1"/>
  <c r="M9" i="2238" s="1"/>
  <c r="I7" i="2238"/>
  <c r="J7" i="2238" s="1"/>
  <c r="K7" i="2238" s="1"/>
  <c r="L7" i="2238" s="1"/>
  <c r="M7" i="2238" s="1"/>
  <c r="I5" i="2238"/>
  <c r="J5" i="2238" s="1"/>
  <c r="K5" i="2238" s="1"/>
  <c r="L5" i="2238" s="1"/>
  <c r="M5" i="2238" s="1"/>
  <c r="I3" i="2238"/>
  <c r="J3" i="2238" s="1"/>
  <c r="K3" i="2238" s="1"/>
  <c r="L3" i="2238" s="1"/>
  <c r="M3" i="2238" s="1"/>
  <c r="P24" i="2237"/>
  <c r="P23" i="2237"/>
  <c r="P22" i="2237"/>
  <c r="P21" i="2237"/>
  <c r="K59" i="2237"/>
  <c r="L59" i="2237" s="1"/>
  <c r="M59" i="2237" s="1"/>
  <c r="I59" i="2237"/>
  <c r="H59" i="2237" s="1"/>
  <c r="K57" i="2237"/>
  <c r="L57" i="2237" s="1"/>
  <c r="M57" i="2237" s="1"/>
  <c r="I57" i="2237"/>
  <c r="H57" i="2237"/>
  <c r="K55" i="2237"/>
  <c r="L55" i="2237" s="1"/>
  <c r="M55" i="2237" s="1"/>
  <c r="I55" i="2237"/>
  <c r="H55" i="2237"/>
  <c r="K53" i="2237"/>
  <c r="L53" i="2237" s="1"/>
  <c r="M53" i="2237" s="1"/>
  <c r="I53" i="2237"/>
  <c r="H53" i="2237"/>
  <c r="K51" i="2237"/>
  <c r="L51" i="2237" s="1"/>
  <c r="M51" i="2237" s="1"/>
  <c r="I51" i="2237"/>
  <c r="H51" i="2237"/>
  <c r="K49" i="2237"/>
  <c r="L49" i="2237" s="1"/>
  <c r="M49" i="2237" s="1"/>
  <c r="I49" i="2237"/>
  <c r="H49" i="2237"/>
  <c r="K47" i="2237"/>
  <c r="L47" i="2237" s="1"/>
  <c r="M47" i="2237" s="1"/>
  <c r="I47" i="2237"/>
  <c r="H47" i="2237"/>
  <c r="K45" i="2237"/>
  <c r="L45" i="2237" s="1"/>
  <c r="M45" i="2237" s="1"/>
  <c r="I45" i="2237"/>
  <c r="H45" i="2237"/>
  <c r="K43" i="2237"/>
  <c r="L43" i="2237" s="1"/>
  <c r="M43" i="2237" s="1"/>
  <c r="I43" i="2237"/>
  <c r="H43" i="2237"/>
  <c r="K41" i="2237"/>
  <c r="L41" i="2237" s="1"/>
  <c r="M41" i="2237" s="1"/>
  <c r="I41" i="2237"/>
  <c r="H41" i="2237"/>
  <c r="L39" i="2237"/>
  <c r="M39" i="2237" s="1"/>
  <c r="K39" i="2237"/>
  <c r="I39" i="2237"/>
  <c r="H39" i="2237"/>
  <c r="K37" i="2237"/>
  <c r="L37" i="2237" s="1"/>
  <c r="M37" i="2237" s="1"/>
  <c r="I37" i="2237"/>
  <c r="H37" i="2237"/>
  <c r="K35" i="2237"/>
  <c r="L35" i="2237" s="1"/>
  <c r="M35" i="2237" s="1"/>
  <c r="I35" i="2237"/>
  <c r="H35" i="2237"/>
  <c r="K31" i="2237"/>
  <c r="L31" i="2237" s="1"/>
  <c r="M31" i="2237" s="1"/>
  <c r="I31" i="2237"/>
  <c r="H31" i="2237"/>
  <c r="K29" i="2237"/>
  <c r="L29" i="2237" s="1"/>
  <c r="M29" i="2237" s="1"/>
  <c r="I29" i="2237"/>
  <c r="H29" i="2237"/>
  <c r="K27" i="2237"/>
  <c r="L27" i="2237" s="1"/>
  <c r="M27" i="2237" s="1"/>
  <c r="I27" i="2237"/>
  <c r="H27" i="2237"/>
  <c r="K25" i="2237"/>
  <c r="L25" i="2237" s="1"/>
  <c r="M25" i="2237" s="1"/>
  <c r="I25" i="2237"/>
  <c r="H25" i="2237" s="1"/>
  <c r="K23" i="2237"/>
  <c r="L23" i="2237" s="1"/>
  <c r="M23" i="2237" s="1"/>
  <c r="I23" i="2237"/>
  <c r="H23" i="2237"/>
  <c r="K21" i="2237"/>
  <c r="L21" i="2237" s="1"/>
  <c r="M21" i="2237" s="1"/>
  <c r="I21" i="2237"/>
  <c r="H21" i="2237"/>
  <c r="K19" i="2237"/>
  <c r="L19" i="2237" s="1"/>
  <c r="M19" i="2237" s="1"/>
  <c r="I19" i="2237"/>
  <c r="H19" i="2237"/>
  <c r="K17" i="2237"/>
  <c r="L17" i="2237" s="1"/>
  <c r="M17" i="2237" s="1"/>
  <c r="I17" i="2237"/>
  <c r="H17" i="2237"/>
  <c r="K15" i="2237"/>
  <c r="L15" i="2237" s="1"/>
  <c r="M15" i="2237" s="1"/>
  <c r="I15" i="2237"/>
  <c r="H15" i="2237"/>
  <c r="K13" i="2237"/>
  <c r="L13" i="2237" s="1"/>
  <c r="M13" i="2237" s="1"/>
  <c r="I13" i="2237"/>
  <c r="H13" i="2237"/>
  <c r="K11" i="2237"/>
  <c r="L11" i="2237" s="1"/>
  <c r="M11" i="2237" s="1"/>
  <c r="I11" i="2237"/>
  <c r="H11" i="2237"/>
  <c r="K9" i="2237"/>
  <c r="L9" i="2237" s="1"/>
  <c r="M9" i="2237" s="1"/>
  <c r="I9" i="2237"/>
  <c r="H9" i="2237"/>
  <c r="K7" i="2237"/>
  <c r="L7" i="2237" s="1"/>
  <c r="M7" i="2237" s="1"/>
  <c r="I7" i="2237"/>
  <c r="H7" i="2237"/>
  <c r="L5" i="2237"/>
  <c r="M5" i="2237" s="1"/>
  <c r="K5" i="2237"/>
  <c r="I5" i="2237"/>
  <c r="H5" i="2237"/>
  <c r="K3" i="2237"/>
  <c r="L3" i="2237" s="1"/>
  <c r="M3" i="2237" s="1"/>
  <c r="I3" i="2237"/>
  <c r="H3" i="2237"/>
  <c r="K25" i="2236"/>
  <c r="L25" i="2236" s="1"/>
  <c r="M25" i="2236" s="1"/>
  <c r="I25" i="2236"/>
  <c r="H25" i="2236"/>
  <c r="K23" i="2236"/>
  <c r="L23" i="2236" s="1"/>
  <c r="M23" i="2236" s="1"/>
  <c r="I23" i="2236"/>
  <c r="H23" i="2236"/>
  <c r="K21" i="2236"/>
  <c r="L21" i="2236" s="1"/>
  <c r="M21" i="2236" s="1"/>
  <c r="I21" i="2236"/>
  <c r="H21" i="2236"/>
  <c r="K19" i="2236"/>
  <c r="L19" i="2236" s="1"/>
  <c r="M19" i="2236" s="1"/>
  <c r="I19" i="2236"/>
  <c r="H19" i="2236"/>
  <c r="K17" i="2236"/>
  <c r="L17" i="2236" s="1"/>
  <c r="M17" i="2236" s="1"/>
  <c r="I17" i="2236"/>
  <c r="H17" i="2236"/>
  <c r="K15" i="2236"/>
  <c r="L15" i="2236" s="1"/>
  <c r="M15" i="2236" s="1"/>
  <c r="I15" i="2236"/>
  <c r="H15" i="2236" s="1"/>
  <c r="K13" i="2236"/>
  <c r="L13" i="2236" s="1"/>
  <c r="M13" i="2236" s="1"/>
  <c r="I13" i="2236"/>
  <c r="H13" i="2236"/>
  <c r="K11" i="2236"/>
  <c r="L11" i="2236" s="1"/>
  <c r="M11" i="2236" s="1"/>
  <c r="I11" i="2236"/>
  <c r="H11" i="2236"/>
  <c r="K9" i="2236"/>
  <c r="L9" i="2236" s="1"/>
  <c r="M9" i="2236" s="1"/>
  <c r="I9" i="2236"/>
  <c r="H9" i="2236"/>
  <c r="K7" i="2236"/>
  <c r="L7" i="2236" s="1"/>
  <c r="M7" i="2236" s="1"/>
  <c r="I7" i="2236"/>
  <c r="H7" i="2236"/>
  <c r="K5" i="2236"/>
  <c r="L5" i="2236" s="1"/>
  <c r="M5" i="2236" s="1"/>
  <c r="I5" i="2236"/>
  <c r="H5" i="2236"/>
  <c r="K3" i="2236"/>
  <c r="L3" i="2236" s="1"/>
  <c r="M3" i="2236" s="1"/>
  <c r="I3" i="2236"/>
  <c r="H3" i="2236"/>
  <c r="K25" i="2235" l="1"/>
  <c r="L25" i="2235" s="1"/>
  <c r="M25" i="2235" s="1"/>
  <c r="I25" i="2235"/>
  <c r="H25" i="2235" s="1"/>
  <c r="K55" i="2235"/>
  <c r="L55" i="2235" s="1"/>
  <c r="M55" i="2235" s="1"/>
  <c r="I55" i="2235"/>
  <c r="H55" i="2235" s="1"/>
  <c r="K53" i="2235"/>
  <c r="L53" i="2235" s="1"/>
  <c r="M53" i="2235" s="1"/>
  <c r="I53" i="2235"/>
  <c r="H53" i="2235"/>
  <c r="K51" i="2235"/>
  <c r="L51" i="2235" s="1"/>
  <c r="M51" i="2235" s="1"/>
  <c r="I51" i="2235"/>
  <c r="H51" i="2235"/>
  <c r="K49" i="2235"/>
  <c r="L49" i="2235" s="1"/>
  <c r="M49" i="2235" s="1"/>
  <c r="I49" i="2235"/>
  <c r="H49" i="2235"/>
  <c r="K47" i="2235"/>
  <c r="L47" i="2235" s="1"/>
  <c r="M47" i="2235" s="1"/>
  <c r="I47" i="2235"/>
  <c r="H47" i="2235"/>
  <c r="K45" i="2235"/>
  <c r="L45" i="2235" s="1"/>
  <c r="M45" i="2235" s="1"/>
  <c r="I45" i="2235"/>
  <c r="H45" i="2235" s="1"/>
  <c r="K43" i="2235"/>
  <c r="L43" i="2235" s="1"/>
  <c r="M43" i="2235" s="1"/>
  <c r="I43" i="2235"/>
  <c r="H43" i="2235"/>
  <c r="K41" i="2235"/>
  <c r="L41" i="2235" s="1"/>
  <c r="M41" i="2235" s="1"/>
  <c r="I41" i="2235"/>
  <c r="H41" i="2235"/>
  <c r="K39" i="2235"/>
  <c r="L39" i="2235" s="1"/>
  <c r="M39" i="2235" s="1"/>
  <c r="I39" i="2235"/>
  <c r="H39" i="2235"/>
  <c r="K37" i="2235"/>
  <c r="L37" i="2235" s="1"/>
  <c r="M37" i="2235" s="1"/>
  <c r="I37" i="2235"/>
  <c r="H37" i="2235"/>
  <c r="K35" i="2235"/>
  <c r="L35" i="2235" s="1"/>
  <c r="M35" i="2235" s="1"/>
  <c r="I35" i="2235"/>
  <c r="H35" i="2235" s="1"/>
  <c r="K33" i="2235"/>
  <c r="L33" i="2235" s="1"/>
  <c r="M33" i="2235" s="1"/>
  <c r="I33" i="2235"/>
  <c r="H33" i="2235"/>
  <c r="K31" i="2235"/>
  <c r="L31" i="2235" s="1"/>
  <c r="M31" i="2235" s="1"/>
  <c r="I31" i="2235"/>
  <c r="H31" i="2235"/>
  <c r="K29" i="2235"/>
  <c r="L29" i="2235" s="1"/>
  <c r="M29" i="2235" s="1"/>
  <c r="I29" i="2235"/>
  <c r="H29" i="2235" s="1"/>
  <c r="K27" i="2235"/>
  <c r="L27" i="2235" s="1"/>
  <c r="M27" i="2235" s="1"/>
  <c r="I27" i="2235"/>
  <c r="H27" i="2235"/>
  <c r="K23" i="2235"/>
  <c r="L23" i="2235" s="1"/>
  <c r="M23" i="2235" s="1"/>
  <c r="I23" i="2235"/>
  <c r="H23" i="2235"/>
  <c r="K21" i="2235"/>
  <c r="L21" i="2235" s="1"/>
  <c r="M21" i="2235" s="1"/>
  <c r="I21" i="2235"/>
  <c r="H21" i="2235"/>
  <c r="K19" i="2235"/>
  <c r="L19" i="2235" s="1"/>
  <c r="M19" i="2235" s="1"/>
  <c r="I19" i="2235"/>
  <c r="H19" i="2235"/>
  <c r="K17" i="2235"/>
  <c r="L17" i="2235" s="1"/>
  <c r="M17" i="2235" s="1"/>
  <c r="I17" i="2235"/>
  <c r="H17" i="2235"/>
  <c r="K15" i="2235"/>
  <c r="L15" i="2235" s="1"/>
  <c r="M15" i="2235" s="1"/>
  <c r="I15" i="2235"/>
  <c r="H15" i="2235"/>
  <c r="K13" i="2235"/>
  <c r="L13" i="2235" s="1"/>
  <c r="M13" i="2235" s="1"/>
  <c r="I13" i="2235"/>
  <c r="H13" i="2235" s="1"/>
  <c r="K11" i="2235"/>
  <c r="L11" i="2235" s="1"/>
  <c r="M11" i="2235" s="1"/>
  <c r="I11" i="2235"/>
  <c r="H11" i="2235"/>
  <c r="K9" i="2235"/>
  <c r="L9" i="2235" s="1"/>
  <c r="M9" i="2235" s="1"/>
  <c r="I9" i="2235"/>
  <c r="H9" i="2235"/>
  <c r="K7" i="2235"/>
  <c r="L7" i="2235" s="1"/>
  <c r="M7" i="2235" s="1"/>
  <c r="I7" i="2235"/>
  <c r="H7" i="2235"/>
  <c r="K5" i="2235"/>
  <c r="L5" i="2235" s="1"/>
  <c r="M5" i="2235" s="1"/>
  <c r="I5" i="2235"/>
  <c r="H5" i="2235"/>
  <c r="K3" i="2235"/>
  <c r="L3" i="2235" s="1"/>
  <c r="M3" i="2235" s="1"/>
  <c r="I3" i="2235"/>
  <c r="H3" i="2235" s="1"/>
  <c r="K49" i="2234" l="1"/>
  <c r="L49" i="2234" s="1"/>
  <c r="M49" i="2234" s="1"/>
  <c r="I49" i="2234"/>
  <c r="H49" i="2234"/>
  <c r="K47" i="2234"/>
  <c r="L47" i="2234" s="1"/>
  <c r="M47" i="2234" s="1"/>
  <c r="I47" i="2234"/>
  <c r="H47" i="2234" s="1"/>
  <c r="K45" i="2234"/>
  <c r="L45" i="2234" s="1"/>
  <c r="M45" i="2234" s="1"/>
  <c r="I45" i="2234"/>
  <c r="H45" i="2234"/>
  <c r="K43" i="2234"/>
  <c r="L43" i="2234" s="1"/>
  <c r="M43" i="2234" s="1"/>
  <c r="I43" i="2234"/>
  <c r="H43" i="2234"/>
  <c r="K41" i="2234"/>
  <c r="L41" i="2234" s="1"/>
  <c r="M41" i="2234" s="1"/>
  <c r="I41" i="2234"/>
  <c r="H41" i="2234" s="1"/>
  <c r="K39" i="2234"/>
  <c r="L39" i="2234" s="1"/>
  <c r="M39" i="2234" s="1"/>
  <c r="I39" i="2234"/>
  <c r="H39" i="2234"/>
  <c r="K37" i="2234"/>
  <c r="L37" i="2234" s="1"/>
  <c r="M37" i="2234" s="1"/>
  <c r="I37" i="2234"/>
  <c r="H37" i="2234" s="1"/>
  <c r="K35" i="2234"/>
  <c r="L35" i="2234" s="1"/>
  <c r="M35" i="2234" s="1"/>
  <c r="I35" i="2234"/>
  <c r="H35" i="2234" s="1"/>
  <c r="K33" i="2234"/>
  <c r="L33" i="2234" s="1"/>
  <c r="M33" i="2234" s="1"/>
  <c r="I33" i="2234"/>
  <c r="H33" i="2234"/>
  <c r="K31" i="2234"/>
  <c r="L31" i="2234" s="1"/>
  <c r="M31" i="2234" s="1"/>
  <c r="I31" i="2234"/>
  <c r="H31" i="2234"/>
  <c r="K29" i="2234"/>
  <c r="L29" i="2234" s="1"/>
  <c r="M29" i="2234" s="1"/>
  <c r="I29" i="2234"/>
  <c r="H29" i="2234"/>
  <c r="K27" i="2234"/>
  <c r="L27" i="2234" s="1"/>
  <c r="M27" i="2234" s="1"/>
  <c r="I27" i="2234"/>
  <c r="H27" i="2234"/>
  <c r="K25" i="2234"/>
  <c r="L25" i="2234" s="1"/>
  <c r="M25" i="2234" s="1"/>
  <c r="I25" i="2234"/>
  <c r="H25" i="2234" s="1"/>
  <c r="K23" i="2234"/>
  <c r="L23" i="2234" s="1"/>
  <c r="M23" i="2234" s="1"/>
  <c r="I23" i="2234"/>
  <c r="H23" i="2234"/>
  <c r="K21" i="2234"/>
  <c r="L21" i="2234" s="1"/>
  <c r="M21" i="2234" s="1"/>
  <c r="I21" i="2234"/>
  <c r="H21" i="2234"/>
  <c r="K19" i="2234"/>
  <c r="L19" i="2234" s="1"/>
  <c r="M19" i="2234" s="1"/>
  <c r="I19" i="2234"/>
  <c r="H19" i="2234"/>
  <c r="K17" i="2234"/>
  <c r="L17" i="2234" s="1"/>
  <c r="M17" i="2234" s="1"/>
  <c r="I17" i="2234"/>
  <c r="H17" i="2234"/>
  <c r="K15" i="2234"/>
  <c r="L15" i="2234" s="1"/>
  <c r="M15" i="2234" s="1"/>
  <c r="I15" i="2234"/>
  <c r="H15" i="2234" s="1"/>
  <c r="K13" i="2234"/>
  <c r="L13" i="2234" s="1"/>
  <c r="M13" i="2234" s="1"/>
  <c r="I13" i="2234"/>
  <c r="H13" i="2234"/>
  <c r="K11" i="2234"/>
  <c r="L11" i="2234" s="1"/>
  <c r="M11" i="2234" s="1"/>
  <c r="I11" i="2234"/>
  <c r="H11" i="2234"/>
  <c r="K9" i="2234"/>
  <c r="L9" i="2234" s="1"/>
  <c r="M9" i="2234" s="1"/>
  <c r="I9" i="2234"/>
  <c r="H9" i="2234" s="1"/>
  <c r="K7" i="2234"/>
  <c r="L7" i="2234" s="1"/>
  <c r="M7" i="2234" s="1"/>
  <c r="I7" i="2234"/>
  <c r="H7" i="2234"/>
  <c r="K5" i="2234"/>
  <c r="L5" i="2234" s="1"/>
  <c r="M5" i="2234" s="1"/>
  <c r="I5" i="2234"/>
  <c r="H5" i="2234" s="1"/>
  <c r="K3" i="2234"/>
  <c r="L3" i="2234" s="1"/>
  <c r="M3" i="2234" s="1"/>
  <c r="I3" i="2234"/>
  <c r="H3" i="2234" s="1"/>
  <c r="K73" i="2233"/>
  <c r="L73" i="2233"/>
  <c r="M73" i="2233"/>
  <c r="I73" i="2233"/>
  <c r="H73" i="2233"/>
  <c r="I63" i="2233"/>
  <c r="H63" i="2233"/>
  <c r="K63" i="2233"/>
  <c r="L63" i="2233"/>
  <c r="M63" i="2233"/>
  <c r="H61" i="2233"/>
  <c r="I61" i="2233"/>
  <c r="L61" i="2233"/>
  <c r="M61" i="2233"/>
  <c r="K61" i="2233"/>
  <c r="H59" i="2233"/>
  <c r="I59" i="2233"/>
  <c r="M59" i="2233"/>
  <c r="L59" i="2233"/>
  <c r="K59" i="2233"/>
  <c r="I57" i="2233"/>
  <c r="H57" i="2233"/>
  <c r="K57" i="2233"/>
  <c r="L57" i="2233"/>
  <c r="M57" i="2233"/>
  <c r="K43" i="2233"/>
  <c r="L43" i="2233"/>
  <c r="M43" i="2233"/>
  <c r="I43" i="2233"/>
  <c r="H43" i="2233"/>
  <c r="K41" i="2233"/>
  <c r="L41" i="2233"/>
  <c r="M41" i="2233"/>
  <c r="I41" i="2233"/>
  <c r="H41" i="2233"/>
  <c r="H39" i="2233"/>
  <c r="I39" i="2233"/>
  <c r="L39" i="2233"/>
  <c r="M39" i="2233"/>
  <c r="K39" i="2233"/>
  <c r="K71" i="2233"/>
  <c r="L71" i="2233"/>
  <c r="M71" i="2233"/>
  <c r="I71" i="2233"/>
  <c r="H71" i="2233"/>
  <c r="K69" i="2233"/>
  <c r="L69" i="2233"/>
  <c r="M69" i="2233"/>
  <c r="I69" i="2233"/>
  <c r="H69" i="2233"/>
  <c r="K67" i="2233"/>
  <c r="L67" i="2233"/>
  <c r="M67" i="2233"/>
  <c r="I67" i="2233"/>
  <c r="H67" i="2233"/>
  <c r="K65" i="2233"/>
  <c r="L65" i="2233"/>
  <c r="M65" i="2233"/>
  <c r="I65" i="2233"/>
  <c r="H65" i="2233"/>
  <c r="K55" i="2233"/>
  <c r="L55" i="2233"/>
  <c r="M55" i="2233"/>
  <c r="I55" i="2233"/>
  <c r="H55" i="2233"/>
  <c r="K53" i="2233"/>
  <c r="L53" i="2233"/>
  <c r="M53" i="2233"/>
  <c r="I53" i="2233"/>
  <c r="H53" i="2233"/>
  <c r="K51" i="2233"/>
  <c r="L51" i="2233"/>
  <c r="M51" i="2233"/>
  <c r="I51" i="2233"/>
  <c r="H51" i="2233"/>
  <c r="K49" i="2233"/>
  <c r="L49" i="2233"/>
  <c r="M49" i="2233"/>
  <c r="I49" i="2233"/>
  <c r="H49" i="2233"/>
  <c r="K31" i="2233"/>
  <c r="L31" i="2233"/>
  <c r="M31" i="2233"/>
  <c r="I31" i="2233"/>
  <c r="H31" i="2233"/>
  <c r="K15" i="2233"/>
  <c r="L15" i="2233"/>
  <c r="M15" i="2233"/>
  <c r="I15" i="2233"/>
  <c r="H15" i="2233"/>
  <c r="K11" i="2233"/>
  <c r="L11" i="2233"/>
  <c r="M11" i="2233"/>
  <c r="I11" i="2233"/>
  <c r="H11" i="2233"/>
  <c r="K29" i="2233"/>
  <c r="L29" i="2233"/>
  <c r="M29" i="2233"/>
  <c r="I29" i="2233"/>
  <c r="H29" i="2233"/>
  <c r="I23" i="2233"/>
  <c r="H23" i="2233"/>
  <c r="K23" i="2233"/>
  <c r="L23" i="2233"/>
  <c r="M23" i="2233"/>
  <c r="I9" i="2233"/>
  <c r="H9" i="2233"/>
  <c r="K9" i="2233"/>
  <c r="L9" i="2233"/>
  <c r="M9" i="2233"/>
  <c r="I5" i="2233"/>
  <c r="H5" i="2233"/>
  <c r="K5" i="2233"/>
  <c r="L5" i="2233"/>
  <c r="M5" i="2233"/>
  <c r="I3" i="2233"/>
  <c r="H3" i="2233"/>
  <c r="K3" i="2233"/>
  <c r="L3" i="2233"/>
  <c r="M3" i="2233"/>
  <c r="K27" i="2233"/>
  <c r="L27" i="2233"/>
  <c r="M27" i="2233"/>
  <c r="I27" i="2233"/>
  <c r="H27" i="2233"/>
  <c r="K25" i="2233"/>
  <c r="L25" i="2233"/>
  <c r="M25" i="2233"/>
  <c r="I25" i="2233"/>
  <c r="H25" i="2233"/>
  <c r="K21" i="2233"/>
  <c r="L21" i="2233"/>
  <c r="M21" i="2233"/>
  <c r="I21" i="2233"/>
  <c r="H21" i="2233"/>
  <c r="K19" i="2233"/>
  <c r="L19" i="2233"/>
  <c r="M19" i="2233"/>
  <c r="I19" i="2233"/>
  <c r="H19" i="2233"/>
  <c r="K17" i="2233"/>
  <c r="L17" i="2233"/>
  <c r="M17" i="2233"/>
  <c r="I17" i="2233"/>
  <c r="H17" i="2233"/>
  <c r="K13" i="2233"/>
  <c r="L13" i="2233"/>
  <c r="M13" i="2233"/>
  <c r="I13" i="2233"/>
  <c r="H13" i="2233"/>
  <c r="K7" i="2233"/>
  <c r="L7" i="2233"/>
  <c r="M7" i="2233"/>
  <c r="I7" i="2233"/>
  <c r="H7" i="2233"/>
</calcChain>
</file>

<file path=xl/sharedStrings.xml><?xml version="1.0" encoding="utf-8"?>
<sst xmlns="http://schemas.openxmlformats.org/spreadsheetml/2006/main" count="1290" uniqueCount="289">
  <si>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</si>
  <si>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</si>
  <si>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</si>
  <si>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</si>
  <si>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</si>
  <si>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</si>
  <si>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</si>
  <si>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</si>
  <si>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</si>
  <si>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</si>
  <si>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</si>
  <si>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</si>
  <si>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</si>
  <si>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</si>
  <si>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</si>
  <si>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</si>
  <si>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</si>
  <si>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</si>
  <si>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</si>
  <si>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</si>
  <si>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</si>
  <si>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</si>
  <si>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</si>
  <si>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</si>
  <si>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</si>
  <si>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</si>
  <si>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</si>
  <si>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</si>
  <si>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</si>
  <si>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</si>
  <si>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</si>
  <si>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</si>
  <si>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</si>
  <si>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</si>
  <si>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</si>
  <si>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</si>
  <si>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</si>
  <si>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</si>
  <si>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</si>
  <si>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</si>
  <si>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</si>
  <si>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</si>
  <si>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</si>
  <si>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</si>
  <si>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</si>
  <si>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</si>
  <si>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</si>
  <si>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</si>
  <si>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</si>
  <si>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</si>
  <si>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</si>
  <si>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</si>
  <si>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</si>
  <si>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</si>
  <si>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</si>
  <si>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</si>
  <si>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</si>
  <si>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</si>
  <si>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</si>
  <si>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</si>
  <si>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</si>
  <si>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CUFF OPENING </t>
    <phoneticPr fontId="2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</si>
  <si>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</si>
  <si>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</si>
  <si>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</si>
  <si>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</si>
  <si>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</si>
  <si>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</si>
  <si>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</si>
  <si>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FROM FRONT NECK CENTER TO VERTICAL</t>
    <phoneticPr fontId="1" type="noConversion"/>
  </si>
  <si>
    <t>앞목중심에서 수직으로</t>
    <phoneticPr fontId="1" type="noConversion"/>
  </si>
  <si>
    <t>허리완성사이즈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</si>
  <si>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</si>
  <si>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</si>
  <si>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</si>
  <si>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</si>
  <si>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</si>
  <si>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</si>
  <si>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</si>
  <si>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</si>
  <si>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</si>
  <si>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</si>
  <si>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</si>
  <si>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</si>
  <si>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옆목점에서 밑단까지의 직선길이</t>
    <phoneticPr fontId="1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</si>
  <si>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</si>
  <si>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</si>
  <si>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</si>
  <si>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</si>
  <si>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</si>
  <si>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</si>
  <si>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</si>
  <si>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</si>
  <si>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</si>
  <si>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</si>
  <si>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</si>
  <si>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</si>
  <si>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</si>
  <si>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</si>
  <si>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</si>
  <si>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</si>
  <si>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</si>
  <si>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</si>
  <si>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허리에서 수직으로 (오비포함)</t>
    <phoneticPr fontId="1" type="noConversion"/>
  </si>
  <si>
    <t>나나밴드</t>
    <phoneticPr fontId="1" type="noConversion"/>
  </si>
  <si>
    <t>ADIJUSTABLE BAND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</si>
  <si>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</si>
  <si>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</si>
  <si>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</si>
  <si>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</si>
  <si>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</si>
  <si>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2XL</t>
    <phoneticPr fontId="1" type="noConversion"/>
  </si>
  <si>
    <t>3XL</t>
    <phoneticPr fontId="1" type="noConversion"/>
  </si>
  <si>
    <t>위치 A</t>
    <phoneticPr fontId="1" type="noConversion"/>
  </si>
  <si>
    <t>POINT A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</si>
  <si>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</si>
  <si>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</si>
  <si>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</si>
  <si>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WITHOUT NECK BAND</t>
    <phoneticPr fontId="2" type="noConversion"/>
  </si>
  <si>
    <t>BASED ON ZIPPER FLY OUT LINE ,STRIGHT</t>
    <phoneticPr fontId="1" type="noConversion"/>
  </si>
  <si>
    <t>HPS TO BOTTOM EDGE</t>
    <phoneticPr fontId="2" type="noConversion"/>
  </si>
  <si>
    <t>BOTTOM LACE WIDTH</t>
    <phoneticPr fontId="2" type="noConversion"/>
  </si>
  <si>
    <t>밑단레이스폭</t>
    <phoneticPr fontId="5" type="noConversion"/>
  </si>
  <si>
    <t>ARMHOLE LACE WIDTH</t>
    <phoneticPr fontId="2" type="noConversion"/>
  </si>
  <si>
    <t>암홀레이스폭</t>
    <phoneticPr fontId="5" type="noConversion"/>
  </si>
  <si>
    <t>WAIST LACE WIDTH</t>
    <phoneticPr fontId="2" type="noConversion"/>
  </si>
  <si>
    <t>허리레이스폭</t>
    <phoneticPr fontId="5" type="noConversion"/>
  </si>
  <si>
    <t>STYLE NO: CYFSE02-K#G02</t>
    <phoneticPr fontId="1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</si>
  <si>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</si>
  <si>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WITHOUT NECK BAND (INSIDE)</t>
    <phoneticPr fontId="2" type="noConversion"/>
  </si>
  <si>
    <t xml:space="preserve">ROUND ,@ NECK SEWING  LINE </t>
    <phoneticPr fontId="1" type="noConversion"/>
  </si>
  <si>
    <t xml:space="preserve">CUFFS OPENING </t>
    <phoneticPr fontId="2" type="noConversion"/>
  </si>
  <si>
    <t xml:space="preserve"> GRAPHIC POINT A</t>
    <phoneticPr fontId="1" type="noConversion"/>
  </si>
  <si>
    <t>나염위치 A</t>
    <phoneticPr fontId="1" type="noConversion"/>
  </si>
  <si>
    <t>WAIST PATTERN SIZE</t>
    <phoneticPr fontId="1" type="noConversion"/>
  </si>
  <si>
    <t>패턴 허리사이즈</t>
    <phoneticPr fontId="1" type="noConversion"/>
  </si>
  <si>
    <t xml:space="preserve">BASED ON ZIPPER FLY OUT LINE ,STRIGHT </t>
  </si>
  <si>
    <t>HIP POINT</t>
    <phoneticPr fontId="1" type="noConversion"/>
  </si>
  <si>
    <t>엉덩이 위치</t>
    <phoneticPr fontId="1" type="noConversion"/>
  </si>
  <si>
    <t>오비포함 와끼기준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</si>
  <si>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</si>
  <si>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</si>
  <si>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</si>
  <si>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 xml:space="preserve">허리에서 수직으로 </t>
    <phoneticPr fontId="1" type="noConversion"/>
  </si>
  <si>
    <t>STYLE NO: PYWSE01-K#R02</t>
    <phoneticPr fontId="1" type="noConversion"/>
  </si>
  <si>
    <t>OUTSIDE LENGTH</t>
    <phoneticPr fontId="2" type="noConversion"/>
  </si>
  <si>
    <t>겉기장(옆목)</t>
    <phoneticPr fontId="2" type="noConversion"/>
  </si>
  <si>
    <t>오비포함</t>
    <phoneticPr fontId="1" type="noConversion"/>
  </si>
  <si>
    <t>TOTAL FRILL LENGTH</t>
    <phoneticPr fontId="14" type="noConversion"/>
  </si>
  <si>
    <t>총프릴기장</t>
    <phoneticPr fontId="14" type="noConversion"/>
  </si>
  <si>
    <t>오비제외</t>
    <phoneticPr fontId="14" type="noConversion"/>
  </si>
  <si>
    <t>1ST FRILL LENGTH</t>
    <phoneticPr fontId="14" type="noConversion"/>
  </si>
  <si>
    <t>1단프릴기장</t>
    <phoneticPr fontId="14" type="noConversion"/>
  </si>
  <si>
    <t>2ND FRILL LENGTH</t>
    <phoneticPr fontId="14" type="noConversion"/>
  </si>
  <si>
    <t>2단프릴기장</t>
    <phoneticPr fontId="14" type="noConversion"/>
  </si>
  <si>
    <t>보이는부분</t>
    <phoneticPr fontId="14" type="noConversion"/>
  </si>
  <si>
    <t>STYLE NO: CYFSE01-K#R01</t>
    <phoneticPr fontId="1" type="noConversion"/>
  </si>
  <si>
    <t xml:space="preserve">HPS TO BOTTOM EDGE </t>
    <phoneticPr fontId="2" type="noConversion"/>
  </si>
  <si>
    <t>STYLE NO: PYWTO01-K#G01</t>
    <phoneticPr fontId="1" type="noConversion"/>
  </si>
  <si>
    <t>WAIST (1/2)</t>
    <phoneticPr fontId="2" type="noConversion"/>
  </si>
  <si>
    <t>허리둘레 (반품)</t>
    <phoneticPr fontId="1" type="noConversion"/>
  </si>
  <si>
    <t>허리절개서 양끝점을 수평으로 잰 길이</t>
    <phoneticPr fontId="1" type="noConversion"/>
  </si>
  <si>
    <t xml:space="preserve">ROUND ,@ NECK SEWING  LINE </t>
    <phoneticPr fontId="1" type="noConversion"/>
  </si>
  <si>
    <t>CUFFS E-BAND</t>
    <phoneticPr fontId="2" type="noConversion"/>
  </si>
  <si>
    <t>소매부리 고무줄 완성</t>
    <phoneticPr fontId="1" type="noConversion"/>
  </si>
  <si>
    <t>SLEEVE MIDIUM E-BAND</t>
    <phoneticPr fontId="2" type="noConversion"/>
  </si>
  <si>
    <t>소매 중간 고무줄 완성</t>
    <phoneticPr fontId="1" type="noConversion"/>
  </si>
  <si>
    <t>BOTTM FRILL LENGTH</t>
    <phoneticPr fontId="2" type="noConversion"/>
  </si>
  <si>
    <t>밑단 프릴 기장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</si>
  <si>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</si>
  <si>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</si>
  <si>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</si>
  <si>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</si>
  <si>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</si>
  <si>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</si>
  <si>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</si>
  <si>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>STYLE NO: CYFSE05-K#A03</t>
    <phoneticPr fontId="1" type="noConversion"/>
  </si>
  <si>
    <t>4골고무줄</t>
    <phoneticPr fontId="14" type="noConversion"/>
  </si>
  <si>
    <t>START ARM HOLE JOINING POINT TO POINT(1/2)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</si>
  <si>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</si>
  <si>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</si>
  <si>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COLLAR WIDTH</t>
    <phoneticPr fontId="2" type="noConversion"/>
  </si>
  <si>
    <t xml:space="preserve">AT CENTER BACK HIGHT WITHOUT NECK BAND </t>
  </si>
  <si>
    <t>카라폭</t>
  </si>
  <si>
    <t>뒷목 중심에서 고시 분량을 빼고 수직으로 잰 길이</t>
  </si>
  <si>
    <t>FRONT ZIPPER</t>
    <phoneticPr fontId="2" type="noConversion"/>
  </si>
  <si>
    <t>앞지퍼길이</t>
    <phoneticPr fontId="1" type="noConversion"/>
  </si>
  <si>
    <t xml:space="preserve"> GRAPHIC POINT B</t>
    <phoneticPr fontId="1" type="noConversion"/>
  </si>
  <si>
    <t>FROM FRONTCENTER TO HORIZONTALLY</t>
    <phoneticPr fontId="1" type="noConversion"/>
  </si>
  <si>
    <t>나염위치 B</t>
    <phoneticPr fontId="1" type="noConversion"/>
  </si>
  <si>
    <r>
      <t>앞중심에서 수평으로</t>
    </r>
    <r>
      <rPr>
        <sz val="7.5"/>
        <color indexed="10"/>
        <rFont val="맑은 고딕"/>
        <family val="3"/>
        <charset val="129"/>
      </rPr>
      <t xml:space="preserve"> (지퍼제외) </t>
    </r>
    <phoneticPr fontId="1" type="noConversion"/>
  </si>
  <si>
    <t xml:space="preserve">WAIST </t>
  </si>
  <si>
    <t>허리둘레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</si>
  <si>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</si>
  <si>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</si>
  <si>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</si>
  <si>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 xml:space="preserve">허리에서 수직으로 </t>
    <phoneticPr fontId="1" type="noConversion"/>
  </si>
  <si>
    <t>STYLE NO: CYFSE04-K#2M07</t>
    <phoneticPr fontId="1" type="noConversion"/>
  </si>
  <si>
    <t>FRONT YOKE LENGTH</t>
    <phoneticPr fontId="1" type="noConversion"/>
  </si>
  <si>
    <t>앞요크기장</t>
    <phoneticPr fontId="1" type="noConversion"/>
  </si>
  <si>
    <t>앞중심</t>
    <phoneticPr fontId="1" type="noConversion"/>
  </si>
  <si>
    <t>BACK YOKE LENGTH</t>
    <phoneticPr fontId="1" type="noConversion"/>
  </si>
  <si>
    <t>뒤요크기장</t>
    <phoneticPr fontId="1" type="noConversion"/>
  </si>
  <si>
    <t>뒤중심</t>
    <phoneticPr fontId="1" type="noConversion"/>
  </si>
  <si>
    <t>SHOULDER 10mm TAPE</t>
    <phoneticPr fontId="1" type="noConversion"/>
  </si>
  <si>
    <t>어깨테잎길이</t>
    <phoneticPr fontId="1" type="noConversion"/>
  </si>
  <si>
    <t>앞뒤전체</t>
    <phoneticPr fontId="14" type="noConversion"/>
  </si>
  <si>
    <t>1ST MESH FRILL LENGTH</t>
    <phoneticPr fontId="14" type="noConversion"/>
  </si>
  <si>
    <t>1단망사프릴 기장</t>
    <phoneticPr fontId="14" type="noConversion"/>
  </si>
  <si>
    <t>2ND MESH FRILL LENGTH</t>
    <phoneticPr fontId="14" type="noConversion"/>
  </si>
  <si>
    <t>2단망사프릴 기장</t>
    <phoneticPr fontId="14" type="noConversion"/>
  </si>
  <si>
    <t>보이는 부분</t>
    <phoneticPr fontId="14" type="noConversion"/>
  </si>
  <si>
    <t>STYLE NO: PYWTO02-K#Y03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</si>
  <si>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</si>
  <si>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</si>
  <si>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</si>
  <si>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</si>
  <si>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>WAIST E-STRING</t>
    <phoneticPr fontId="2" type="noConversion"/>
  </si>
  <si>
    <t>허리 엘라스트링 사용길이</t>
    <phoneticPr fontId="1" type="noConversion"/>
  </si>
  <si>
    <t>BOTTOM E-BAND</t>
    <phoneticPr fontId="2" type="noConversion"/>
  </si>
  <si>
    <t>밑단 고무줄 완성</t>
    <phoneticPr fontId="1" type="noConversion"/>
  </si>
  <si>
    <t xml:space="preserve">ROUND ,@ NECK SEWING  LINE </t>
    <phoneticPr fontId="1" type="noConversion"/>
  </si>
  <si>
    <r>
      <t xml:space="preserve">목라인(NECK LINE)을 따라 잰 곡선의 둘레길이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</si>
  <si>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CENTER BACK HIGHT</t>
    <phoneticPr fontId="1" type="noConversion"/>
  </si>
  <si>
    <t>뒷목 중심에서 수직으로 잰 길이</t>
    <phoneticPr fontId="1" type="noConversion"/>
  </si>
  <si>
    <t>SINGLE WELT POCKET</t>
    <phoneticPr fontId="1" type="noConversion"/>
  </si>
  <si>
    <t>구찌길이</t>
    <phoneticPr fontId="1" type="noConversion"/>
  </si>
  <si>
    <t>FROM FRONT TO HORIZONTALLY</t>
    <phoneticPr fontId="1" type="noConversion"/>
  </si>
  <si>
    <r>
      <t xml:space="preserve">앞단작끝에서 수평으로 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</si>
  <si>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ZIPPER LENGTH</t>
    <phoneticPr fontId="1" type="noConversion"/>
  </si>
  <si>
    <t>지퍼길이</t>
    <phoneticPr fontId="1" type="noConversion"/>
  </si>
  <si>
    <t>광저우에서 전달 받은 사이즈</t>
    <phoneticPr fontId="1" type="noConversion"/>
  </si>
  <si>
    <t xml:space="preserve">  </t>
    <phoneticPr fontId="1" type="noConversion"/>
  </si>
  <si>
    <t>STYLE NO: PYWOU01-K#R03 (제품사이즈)</t>
    <phoneticPr fontId="1" type="noConversion"/>
  </si>
  <si>
    <t>STYLE NO: PYWOU01-K#R03 (패턴사이즈)</t>
    <phoneticPr fontId="1" type="noConversion"/>
  </si>
  <si>
    <t>허리엘라스트링</t>
    <phoneticPr fontId="14" type="noConversion"/>
  </si>
  <si>
    <t>밑단15mm밴드</t>
    <phoneticPr fontId="14" type="noConversion"/>
  </si>
  <si>
    <t>목라인(NECK LINE)을 따라 잰 곡선의 둘레길이</t>
    <phoneticPr fontId="1" type="noConversion"/>
  </si>
  <si>
    <t>CUFFS 4G E-BAND</t>
    <phoneticPr fontId="2" type="noConversion"/>
  </si>
  <si>
    <t>소매부리 4골 고무줄완성</t>
    <phoneticPr fontId="1" type="noConversion"/>
  </si>
  <si>
    <t>TOP LENGTH (C/B)</t>
    <phoneticPr fontId="2" type="noConversion"/>
  </si>
  <si>
    <t>FROM CENTER BACK TO WAIST STRIGHT</t>
    <phoneticPr fontId="2" type="noConversion"/>
  </si>
  <si>
    <t>상의장 (뒷목)</t>
    <phoneticPr fontId="2" type="noConversion"/>
  </si>
  <si>
    <t>뒷목 중심에서 허리선까지 직선길이</t>
    <phoneticPr fontId="1" type="noConversion"/>
  </si>
  <si>
    <t>TOTAL SKIRT LENGTH</t>
    <phoneticPr fontId="1" type="noConversion"/>
  </si>
  <si>
    <t>치마총장</t>
    <phoneticPr fontId="1" type="noConversion"/>
  </si>
  <si>
    <t>와끼기준 (겉망사측정)</t>
    <phoneticPr fontId="1" type="noConversion"/>
  </si>
  <si>
    <t>BOTTOM SKIRT FRILL</t>
    <phoneticPr fontId="1" type="noConversion"/>
  </si>
  <si>
    <t>밑단프릴폭</t>
    <phoneticPr fontId="1" type="noConversion"/>
  </si>
  <si>
    <t>BACK ZIPPER</t>
    <phoneticPr fontId="2" type="noConversion"/>
  </si>
  <si>
    <t>뒤지퍼길이</t>
    <phoneticPr fontId="1" type="noConversion"/>
  </si>
  <si>
    <t>STYLE NO: PYWOP02-K#Y03</t>
    <phoneticPr fontId="1" type="noConversion"/>
  </si>
  <si>
    <t>STYLE NO: PYWSE02-K#Y02</t>
    <phoneticPr fontId="1" type="noConversion"/>
  </si>
  <si>
    <t>HIP POINT</t>
    <phoneticPr fontId="1" type="noConversion"/>
  </si>
  <si>
    <t>엉덩이 위치</t>
    <phoneticPr fontId="1" type="noConversion"/>
  </si>
  <si>
    <t>BOTTOM OPENING E-BAND</t>
    <phoneticPr fontId="1" type="noConversion"/>
  </si>
  <si>
    <t>바지밑단고무줄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</si>
  <si>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</si>
  <si>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</si>
  <si>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</si>
  <si>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 xml:space="preserve">허리에서 수직으로 </t>
    <phoneticPr fontId="1" type="noConversion"/>
  </si>
  <si>
    <t>WAIST STRING LENGTH</t>
    <phoneticPr fontId="1" type="noConversion"/>
  </si>
  <si>
    <t>허리스트링길이</t>
    <phoneticPr fontId="1" type="noConversion"/>
  </si>
  <si>
    <t>노출길이 M~L=15cm, XL~3XL=18cm</t>
    <phoneticPr fontId="1" type="noConversion"/>
  </si>
  <si>
    <t>STYLE NO: PYWTO03</t>
    <phoneticPr fontId="1" type="noConversion"/>
  </si>
  <si>
    <t>NECK HEM WIDTH</t>
    <phoneticPr fontId="14" type="noConversion"/>
  </si>
  <si>
    <t>목폴라 폭</t>
    <phoneticPr fontId="14" type="noConversion"/>
  </si>
  <si>
    <t>옆목점에서 밑단까지의 직선길이 (RIB제외)</t>
    <phoneticPr fontId="1" type="noConversion"/>
  </si>
  <si>
    <t>소매기장(레이스포함)</t>
    <phoneticPr fontId="14" type="noConversion"/>
  </si>
  <si>
    <t>STYLE NO: PYWTO05-D#1M18</t>
    <phoneticPr fontId="1" type="noConversion"/>
  </si>
  <si>
    <t>레깅스기장</t>
    <phoneticPr fontId="1" type="noConversion"/>
  </si>
  <si>
    <t xml:space="preserve">SKIRT LENGTH </t>
    <phoneticPr fontId="1" type="noConversion"/>
  </si>
  <si>
    <t xml:space="preserve">FROM WAIST POINT TO EDGE STRIGHT </t>
    <phoneticPr fontId="1" type="noConversion"/>
  </si>
  <si>
    <t>ROUND (1/2)</t>
    <phoneticPr fontId="2" type="noConversion"/>
  </si>
  <si>
    <t>밑단모양을 따라서 잰길이</t>
    <phoneticPr fontId="1" type="noConversion"/>
  </si>
  <si>
    <t>STYLE NO : PYWLE01-K#N01</t>
    <phoneticPr fontId="1" type="noConversion"/>
  </si>
  <si>
    <t>치마기장</t>
    <phoneticPr fontId="14" type="noConversion"/>
  </si>
  <si>
    <t>허리와끼에서 밑단까지의 직선길이(오비포함)</t>
    <phoneticPr fontId="1" type="noConversion"/>
  </si>
  <si>
    <t xml:space="preserve">ROUND ,@ NECK SEWING  LINE </t>
    <phoneticPr fontId="1" type="noConversion"/>
  </si>
  <si>
    <t>목라인(NECK LINE)을 따라 잰 곡선의 둘레길이</t>
  </si>
  <si>
    <t>뒤요크길이</t>
    <phoneticPr fontId="1" type="noConversion"/>
  </si>
  <si>
    <t>GRAPHIC POINT A</t>
    <phoneticPr fontId="1" type="noConversion"/>
  </si>
  <si>
    <t>STYLE NO: PYWTO04-M#2C03</t>
    <phoneticPr fontId="1" type="noConversion"/>
  </si>
  <si>
    <t>4XL</t>
    <phoneticPr fontId="1" type="noConversion"/>
  </si>
  <si>
    <t>STYLE NO: PYWOP03-K#N02</t>
    <phoneticPr fontId="1" type="noConversion"/>
  </si>
  <si>
    <t>허리둘레(반품)</t>
    <phoneticPr fontId="1" type="noConversion"/>
  </si>
  <si>
    <t>SKIRT LENGTH</t>
    <phoneticPr fontId="1" type="noConversion"/>
  </si>
  <si>
    <t>치마기장</t>
    <phoneticPr fontId="1" type="noConversion"/>
  </si>
  <si>
    <t>앞,뒤 중심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</si>
</sst>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20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/>
    <xf numFmtId="0" fontId="16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7" fillId="2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7" fillId="2" borderId="50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7" xfId="0" applyFont="1" applyBorder="1" applyAlignment="1">
      <alignment horizontal="left" vertical="center"/>
    </xf>
    <xf numFmtId="0" fontId="10" fillId="0" borderId="49" xfId="0" applyFont="1" applyBorder="1" applyAlignment="1">
      <alignment horizontal="left" vertical="center"/>
    </xf>
    <xf numFmtId="0" fontId="10" fillId="0" borderId="48" xfId="0" applyFont="1" applyBorder="1" applyAlignment="1">
      <alignment horizontal="left" vertical="center"/>
    </xf>
    <xf numFmtId="0" fontId="10" fillId="0" borderId="5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7" fillId="2" borderId="38" xfId="0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58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2" fillId="0" borderId="45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19" xfId="0" applyFont="1" applyBorder="1" applyAlignment="1">
      <alignment horizontal="left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6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7" xfId="0" applyFont="1" applyBorder="1" applyAlignment="1">
      <alignment horizontal="left" vertical="center"/>
    </xf>
    <xf numFmtId="0" fontId="18" fillId="0" borderId="49" xfId="0" applyFont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2" fillId="0" borderId="6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53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42" xfId="2" applyFont="1" applyBorder="1" applyAlignment="1">
      <alignment horizontal="center" vertical="center"/>
    </xf>
    <xf numFmtId="0" fontId="7" fillId="0" borderId="41" xfId="2" applyFont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left" vertical="center"/>
    </xf>
    <xf numFmtId="0" fontId="10" fillId="0" borderId="53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9" fillId="0" borderId="62" xfId="0" applyFont="1" applyBorder="1" applyAlignment="1">
      <alignment horizontal="left" vertical="center"/>
    </xf>
    <xf numFmtId="0" fontId="9" fillId="0" borderId="54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7" fillId="0" borderId="66" xfId="0" applyFont="1" applyBorder="1" applyAlignment="1">
      <alignment horizontal="center" vertical="center"/>
    </xf>
  </cellXfs>
  <cellStyles count="3">
    <cellStyle name="표준" xfId="0" builtinId="0"/>
    <cellStyle name="표준 2" xfId="1" xr:uid="{4507B50C-9675-4E2F-91D4-A7C0CE25037B}"/>
    <cellStyle name="표준 2 2" xfId="2" xr:uid="{EF9C2F7F-3F20-4D7E-9BD7-6DD39044B1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B8BD-A744-4BC5-8465-555492CA0DFB}">
  <sheetPr>
    <tabColor rgb="FF00B050"/>
    <pageSetUpPr fitToPage="1"/>
  </sheetPr>
  <dimension ref="A1:M74"/>
  <sheetViews>
    <sheetView topLeftCell="A10" zoomScale="110" zoomScaleNormal="110" workbookViewId="0">
      <selection activeCell="P19" sqref="P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156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145</v>
      </c>
      <c r="C3" s="71"/>
      <c r="D3" s="72" t="s">
        <v>120</v>
      </c>
      <c r="E3" s="72"/>
      <c r="F3" s="72"/>
      <c r="G3" s="73"/>
      <c r="H3" s="9">
        <f>SUM(I3)-3.5</f>
        <v>34.5</v>
      </c>
      <c r="I3" s="9">
        <f>SUM(J3)-3.5</f>
        <v>38</v>
      </c>
      <c r="J3" s="74">
        <v>41.5</v>
      </c>
      <c r="K3" s="75">
        <f>SUM(J3)+3</f>
        <v>44.5</v>
      </c>
      <c r="L3" s="75">
        <f t="shared" ref="L3:M3" si="0">SUM(K3)+3</f>
        <v>47.5</v>
      </c>
      <c r="M3" s="76">
        <f t="shared" si="0"/>
        <v>50.5</v>
      </c>
    </row>
    <row r="4" spans="1:13" s="1" customFormat="1" ht="14.1" customHeight="1" x14ac:dyDescent="0.3">
      <c r="A4" s="24"/>
      <c r="B4" s="19" t="s">
        <v>146</v>
      </c>
      <c r="C4" s="19"/>
      <c r="D4" s="43" t="s">
        <v>84</v>
      </c>
      <c r="E4" s="21"/>
      <c r="F4" s="21"/>
      <c r="G4" s="21"/>
      <c r="H4" s="17"/>
      <c r="I4" s="17"/>
      <c r="J4" s="7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SUM(I5)-2.4</f>
        <v>38.1</v>
      </c>
      <c r="I5" s="9">
        <f>SUM(J5)-2.4</f>
        <v>40.5</v>
      </c>
      <c r="J5" s="7">
        <v>42.9</v>
      </c>
      <c r="K5" s="9">
        <f>SUM(J5)+2.2</f>
        <v>45.1</v>
      </c>
      <c r="L5" s="9">
        <f t="shared" ref="L5:M5" si="1">SUM(K5)+2.2</f>
        <v>47.300000000000004</v>
      </c>
      <c r="M5" s="11">
        <f t="shared" si="1"/>
        <v>49.500000000000007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35.5</v>
      </c>
      <c r="I7" s="9">
        <f>SUM(J7)-2.25</f>
        <v>37.75</v>
      </c>
      <c r="J7" s="7">
        <v>40</v>
      </c>
      <c r="K7" s="9">
        <f>SUM(J7)+2</f>
        <v>42</v>
      </c>
      <c r="L7" s="9">
        <f>SUM(K7)+2</f>
        <v>44</v>
      </c>
      <c r="M7" s="11">
        <f>SUM(L7)+2</f>
        <v>46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9">
        <f>SUM(I9)-1.8</f>
        <v>29.9</v>
      </c>
      <c r="I9" s="9">
        <f>SUM(J9)-1.8</f>
        <v>31.7</v>
      </c>
      <c r="J9" s="7">
        <v>33.5</v>
      </c>
      <c r="K9" s="9">
        <f>SUM(J9)+1.6</f>
        <v>35.1</v>
      </c>
      <c r="L9" s="9">
        <f t="shared" ref="L9:M9" si="2">SUM(K9)+1.6</f>
        <v>36.700000000000003</v>
      </c>
      <c r="M9" s="11">
        <f t="shared" si="2"/>
        <v>38.300000000000004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SUM(I11)-0.8</f>
        <v>13.799999999999999</v>
      </c>
      <c r="I11" s="9">
        <f>SUM(J11)-0.8</f>
        <v>14.6</v>
      </c>
      <c r="J11" s="29">
        <v>15.4</v>
      </c>
      <c r="K11" s="30">
        <f>SUM(J11)+0.8</f>
        <v>16.2</v>
      </c>
      <c r="L11" s="30">
        <f>SUM(K11)+0.8</f>
        <v>17</v>
      </c>
      <c r="M11" s="31">
        <f>SUM(L11)+0.8</f>
        <v>17.8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9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118</v>
      </c>
      <c r="E13" s="28"/>
      <c r="F13" s="28"/>
      <c r="G13" s="28"/>
      <c r="H13" s="9">
        <f>SUM(I13)-0.6</f>
        <v>16.099999999999998</v>
      </c>
      <c r="I13" s="9">
        <f>SUM(J13)-0.6</f>
        <v>16.7</v>
      </c>
      <c r="J13" s="29">
        <v>17.3</v>
      </c>
      <c r="K13" s="30">
        <f>SUM(J13)+0.6</f>
        <v>17.900000000000002</v>
      </c>
      <c r="L13" s="30">
        <f>SUM(K13)+0.6</f>
        <v>18.500000000000004</v>
      </c>
      <c r="M13" s="31">
        <f>SUM(L13)+0.6</f>
        <v>19.100000000000005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98</v>
      </c>
      <c r="E14" s="21"/>
      <c r="F14" s="21"/>
      <c r="G14" s="22"/>
      <c r="H14" s="17"/>
      <c r="I14" s="17"/>
      <c r="J14" s="29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6.4</v>
      </c>
      <c r="I15" s="9">
        <f>SUM(J15)-0.3</f>
        <v>6.7</v>
      </c>
      <c r="J15" s="29">
        <v>7</v>
      </c>
      <c r="K15" s="30">
        <f>SUM(J15)+0.3</f>
        <v>7.3</v>
      </c>
      <c r="L15" s="30">
        <f>SUM(K15)+0.3</f>
        <v>7.6</v>
      </c>
      <c r="M15" s="31">
        <f>SUM(L15)+0.3</f>
        <v>7.8999999999999995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99</v>
      </c>
      <c r="E16" s="21"/>
      <c r="F16" s="21"/>
      <c r="G16" s="22"/>
      <c r="H16" s="17"/>
      <c r="I16" s="17"/>
      <c r="J16" s="29"/>
      <c r="K16" s="30"/>
      <c r="L16" s="30"/>
      <c r="M16" s="31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68</v>
      </c>
      <c r="E17" s="38"/>
      <c r="F17" s="38"/>
      <c r="G17" s="39"/>
      <c r="H17" s="9">
        <f>SUM(I17)-1.6</f>
        <v>42.8</v>
      </c>
      <c r="I17" s="9">
        <f>SUM(J17)-1.6</f>
        <v>44.4</v>
      </c>
      <c r="J17" s="29">
        <v>46</v>
      </c>
      <c r="K17" s="30">
        <f>SUM(J17)+1.6</f>
        <v>47.6</v>
      </c>
      <c r="L17" s="30">
        <f>SUM(K17)+1.6</f>
        <v>49.2</v>
      </c>
      <c r="M17" s="31">
        <f>SUM(L17)+1.6</f>
        <v>50.800000000000004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100</v>
      </c>
      <c r="E18" s="21"/>
      <c r="F18" s="21"/>
      <c r="G18" s="22"/>
      <c r="H18" s="17"/>
      <c r="I18" s="17"/>
      <c r="J18" s="29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SUM(I19)-3.3</f>
        <v>25.9</v>
      </c>
      <c r="I19" s="9">
        <f>SUM(J19)-3.3</f>
        <v>29.2</v>
      </c>
      <c r="J19" s="29">
        <v>32.5</v>
      </c>
      <c r="K19" s="30">
        <f>SUM(J19)+3.4</f>
        <v>35.9</v>
      </c>
      <c r="L19" s="30">
        <f t="shared" ref="L19:M19" si="3">SUM(K19)+3.4</f>
        <v>39.299999999999997</v>
      </c>
      <c r="M19" s="31">
        <f t="shared" si="3"/>
        <v>42.699999999999996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9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SUM(I21)-1.5</f>
        <v>27.299999999999997</v>
      </c>
      <c r="I21" s="9">
        <f>SUM(J21)-1.6</f>
        <v>28.799999999999997</v>
      </c>
      <c r="J21" s="29">
        <v>30.4</v>
      </c>
      <c r="K21" s="30">
        <f>SUM(J21)+1.6</f>
        <v>32</v>
      </c>
      <c r="L21" s="30">
        <f>SUM(K21)+1.6</f>
        <v>33.6</v>
      </c>
      <c r="M21" s="31">
        <f>SUM(L21)+1.6</f>
        <v>35.200000000000003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9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61</v>
      </c>
      <c r="C23" s="27"/>
      <c r="D23" s="28" t="s">
        <v>62</v>
      </c>
      <c r="E23" s="28"/>
      <c r="F23" s="28"/>
      <c r="G23" s="28"/>
      <c r="H23" s="9">
        <f>SUM(I23)-0.6</f>
        <v>14</v>
      </c>
      <c r="I23" s="9">
        <f>SUM(J23)-0.6</f>
        <v>14.6</v>
      </c>
      <c r="J23" s="29">
        <v>15.2</v>
      </c>
      <c r="K23" s="30">
        <f>SUM(J23)+0.6</f>
        <v>15.799999999999999</v>
      </c>
      <c r="L23" s="30">
        <f>SUM(K23)+0.6</f>
        <v>16.399999999999999</v>
      </c>
      <c r="M23" s="31">
        <f>SUM(L23)+0.6</f>
        <v>17</v>
      </c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17"/>
      <c r="I24" s="17"/>
      <c r="J24" s="29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114</v>
      </c>
      <c r="C25" s="27"/>
      <c r="D25" s="63" t="s">
        <v>69</v>
      </c>
      <c r="E25" s="64"/>
      <c r="F25" s="64"/>
      <c r="G25" s="65"/>
      <c r="H25" s="9">
        <f>SUM(I25)-0.2</f>
        <v>1.8</v>
      </c>
      <c r="I25" s="9">
        <f>SUM(J25)-0.2</f>
        <v>2</v>
      </c>
      <c r="J25" s="29">
        <v>2.2000000000000002</v>
      </c>
      <c r="K25" s="30">
        <f>SUM(J25)+0.2</f>
        <v>2.4000000000000004</v>
      </c>
      <c r="L25" s="30">
        <f>SUM(K25)+0.2</f>
        <v>2.6000000000000005</v>
      </c>
      <c r="M25" s="31">
        <f>SUM(L25)+0.2</f>
        <v>2.8000000000000007</v>
      </c>
    </row>
    <row r="26" spans="1:13" s="1" customFormat="1" ht="14.1" customHeight="1" thickBot="1" x14ac:dyDescent="0.35">
      <c r="A26" s="62"/>
      <c r="B26" s="53" t="s">
        <v>113</v>
      </c>
      <c r="C26" s="54"/>
      <c r="D26" s="47" t="s">
        <v>70</v>
      </c>
      <c r="E26" s="48"/>
      <c r="F26" s="48"/>
      <c r="G26" s="49"/>
      <c r="H26" s="44"/>
      <c r="I26" s="44"/>
      <c r="J26" s="7"/>
      <c r="K26" s="9"/>
      <c r="L26" s="9"/>
      <c r="M26" s="11"/>
    </row>
    <row r="27" spans="1:13" s="1" customFormat="1" ht="14.1" customHeight="1" thickTop="1" x14ac:dyDescent="0.3">
      <c r="A27" s="55">
        <v>13</v>
      </c>
      <c r="B27" s="56" t="s">
        <v>97</v>
      </c>
      <c r="C27" s="57"/>
      <c r="D27" s="58" t="s">
        <v>64</v>
      </c>
      <c r="E27" s="59"/>
      <c r="F27" s="59"/>
      <c r="G27" s="60"/>
      <c r="H27" s="61">
        <f>SUM(I27)-3</f>
        <v>45</v>
      </c>
      <c r="I27" s="51">
        <f>SUM(J27)-3</f>
        <v>48</v>
      </c>
      <c r="J27" s="50">
        <v>51</v>
      </c>
      <c r="K27" s="51">
        <f>SUM(J27)+3</f>
        <v>54</v>
      </c>
      <c r="L27" s="51">
        <f>SUM(K27)+3</f>
        <v>57</v>
      </c>
      <c r="M27" s="52">
        <f>SUM(L27)+3</f>
        <v>60</v>
      </c>
    </row>
    <row r="28" spans="1:13" s="1" customFormat="1" ht="14.1" customHeight="1" x14ac:dyDescent="0.3">
      <c r="A28" s="24"/>
      <c r="B28" s="32" t="s">
        <v>71</v>
      </c>
      <c r="C28" s="33"/>
      <c r="D28" s="34" t="s">
        <v>65</v>
      </c>
      <c r="E28" s="35"/>
      <c r="F28" s="35"/>
      <c r="G28" s="36"/>
      <c r="H28" s="19"/>
      <c r="I28" s="17"/>
      <c r="J28" s="23"/>
      <c r="K28" s="17"/>
      <c r="L28" s="17"/>
      <c r="M28" s="18"/>
    </row>
    <row r="29" spans="1:13" s="1" customFormat="1" ht="14.1" customHeight="1" x14ac:dyDescent="0.3">
      <c r="A29" s="24">
        <v>14</v>
      </c>
      <c r="B29" s="26" t="s">
        <v>101</v>
      </c>
      <c r="C29" s="27"/>
      <c r="D29" s="47"/>
      <c r="E29" s="48"/>
      <c r="F29" s="48"/>
      <c r="G29" s="49"/>
      <c r="H29" s="9">
        <f>SUM(I29)-3.5</f>
        <v>63</v>
      </c>
      <c r="I29" s="9">
        <f>SUM(J29)-3.5</f>
        <v>66.5</v>
      </c>
      <c r="J29" s="46">
        <v>70</v>
      </c>
      <c r="K29" s="44">
        <f>SUM(J29)+3.5</f>
        <v>73.5</v>
      </c>
      <c r="L29" s="44">
        <f>SUM(K29)+3.5</f>
        <v>77</v>
      </c>
      <c r="M29" s="45">
        <f>SUM(L29)+3.5</f>
        <v>80.5</v>
      </c>
    </row>
    <row r="30" spans="1:13" s="1" customFormat="1" ht="14.1" customHeight="1" x14ac:dyDescent="0.3">
      <c r="A30" s="24"/>
      <c r="B30" s="32" t="s">
        <v>102</v>
      </c>
      <c r="C30" s="33"/>
      <c r="D30" s="34"/>
      <c r="E30" s="35"/>
      <c r="F30" s="35"/>
      <c r="G30" s="36"/>
      <c r="H30" s="17"/>
      <c r="I30" s="17"/>
      <c r="J30" s="23"/>
      <c r="K30" s="17"/>
      <c r="L30" s="17"/>
      <c r="M30" s="18"/>
    </row>
    <row r="31" spans="1:13" ht="14.1" customHeight="1" x14ac:dyDescent="0.3">
      <c r="A31" s="24">
        <v>15</v>
      </c>
      <c r="B31" s="26" t="s">
        <v>11</v>
      </c>
      <c r="C31" s="27"/>
      <c r="D31" s="37" t="s">
        <v>119</v>
      </c>
      <c r="E31" s="38"/>
      <c r="F31" s="38"/>
      <c r="G31" s="39"/>
      <c r="H31" s="9">
        <f>SUM(I31)-4</f>
        <v>68</v>
      </c>
      <c r="I31" s="9">
        <f>SUM(J31)-4</f>
        <v>72</v>
      </c>
      <c r="J31" s="7">
        <v>76</v>
      </c>
      <c r="K31" s="9">
        <f>SUM(J31)+4</f>
        <v>80</v>
      </c>
      <c r="L31" s="9">
        <f>SUM(K31)+4</f>
        <v>84</v>
      </c>
      <c r="M31" s="11">
        <f>SUM(L31)+4</f>
        <v>88</v>
      </c>
    </row>
    <row r="32" spans="1:13" ht="14.1" customHeight="1" x14ac:dyDescent="0.3">
      <c r="A32" s="24"/>
      <c r="B32" s="32" t="s">
        <v>44</v>
      </c>
      <c r="C32" s="33"/>
      <c r="D32" s="34" t="s">
        <v>83</v>
      </c>
      <c r="E32" s="35"/>
      <c r="F32" s="35"/>
      <c r="G32" s="36"/>
      <c r="H32" s="17"/>
      <c r="I32" s="17"/>
      <c r="J32" s="23"/>
      <c r="K32" s="17"/>
      <c r="L32" s="17"/>
      <c r="M32" s="18"/>
    </row>
    <row r="33" spans="1:13" ht="14.1" customHeight="1" x14ac:dyDescent="0.3">
      <c r="A33" s="24">
        <v>16</v>
      </c>
      <c r="B33" s="26" t="s">
        <v>94</v>
      </c>
      <c r="C33" s="27"/>
      <c r="D33" s="37"/>
      <c r="E33" s="38"/>
      <c r="F33" s="38"/>
      <c r="G33" s="39"/>
      <c r="H33" s="42">
        <f>SUM(I33)-0.7</f>
        <v>12.600000000000001</v>
      </c>
      <c r="I33" s="9">
        <f>SUM(J33)-0.7</f>
        <v>13.3</v>
      </c>
      <c r="J33" s="7">
        <v>14</v>
      </c>
      <c r="K33" s="9">
        <f>SUM(J33)+1.2</f>
        <v>15.2</v>
      </c>
      <c r="L33" s="9">
        <f>SUM(K33)+0.7</f>
        <v>15.899999999999999</v>
      </c>
      <c r="M33" s="40">
        <f>SUM(L33)+0.7</f>
        <v>16.599999999999998</v>
      </c>
    </row>
    <row r="34" spans="1:13" ht="14.1" customHeight="1" x14ac:dyDescent="0.3">
      <c r="A34" s="24"/>
      <c r="B34" s="32" t="s">
        <v>93</v>
      </c>
      <c r="C34" s="33"/>
      <c r="D34" s="34" t="s">
        <v>147</v>
      </c>
      <c r="E34" s="35"/>
      <c r="F34" s="35"/>
      <c r="G34" s="36"/>
      <c r="H34" s="19"/>
      <c r="I34" s="17"/>
      <c r="J34" s="23"/>
      <c r="K34" s="17"/>
      <c r="L34" s="17"/>
      <c r="M34" s="41"/>
    </row>
    <row r="35" spans="1:13" ht="14.1" customHeight="1" x14ac:dyDescent="0.3">
      <c r="A35" s="24">
        <v>17</v>
      </c>
      <c r="B35" s="26" t="s">
        <v>9</v>
      </c>
      <c r="C35" s="27"/>
      <c r="D35" s="37" t="s">
        <v>66</v>
      </c>
      <c r="E35" s="38"/>
      <c r="F35" s="38"/>
      <c r="G35" s="39"/>
      <c r="H35" s="9">
        <f>SUM(I35)-7</f>
        <v>52</v>
      </c>
      <c r="I35" s="9">
        <f>SUM(J35)-7</f>
        <v>59</v>
      </c>
      <c r="J35" s="7">
        <v>66</v>
      </c>
      <c r="K35" s="9">
        <f>SUM(J35)+6</f>
        <v>72</v>
      </c>
      <c r="L35" s="9">
        <f>SUM(K35)+6</f>
        <v>78</v>
      </c>
      <c r="M35" s="11">
        <f>SUM(L35)+6</f>
        <v>84</v>
      </c>
    </row>
    <row r="36" spans="1:13" ht="14.1" customHeight="1" x14ac:dyDescent="0.3">
      <c r="A36" s="24"/>
      <c r="B36" s="32" t="s">
        <v>45</v>
      </c>
      <c r="C36" s="33"/>
      <c r="D36" s="34" t="s">
        <v>82</v>
      </c>
      <c r="E36" s="35"/>
      <c r="F36" s="35"/>
      <c r="G36" s="36"/>
      <c r="H36" s="17"/>
      <c r="I36" s="17"/>
      <c r="J36" s="23"/>
      <c r="K36" s="17"/>
      <c r="L36" s="17"/>
      <c r="M36" s="18"/>
    </row>
    <row r="37" spans="1:13" ht="14.1" customHeight="1" x14ac:dyDescent="0.3">
      <c r="A37" s="24">
        <v>18</v>
      </c>
      <c r="B37" s="26" t="s">
        <v>13</v>
      </c>
      <c r="C37" s="27"/>
      <c r="D37" s="37" t="s">
        <v>14</v>
      </c>
      <c r="E37" s="38"/>
      <c r="F37" s="38"/>
      <c r="G37" s="39"/>
      <c r="H37" s="9">
        <f>SUM(I37)-1.8</f>
        <v>36.400000000000006</v>
      </c>
      <c r="I37" s="9">
        <f>SUM(J37)-1.8</f>
        <v>38.200000000000003</v>
      </c>
      <c r="J37" s="7">
        <v>40</v>
      </c>
      <c r="K37" s="9">
        <f>SUM(J37)+1.8</f>
        <v>41.8</v>
      </c>
      <c r="L37" s="9">
        <f t="shared" ref="L37:M37" si="4">SUM(K37)+1.8</f>
        <v>43.599999999999994</v>
      </c>
      <c r="M37" s="11">
        <f t="shared" si="4"/>
        <v>45.399999999999991</v>
      </c>
    </row>
    <row r="38" spans="1:13" ht="14.1" customHeight="1" x14ac:dyDescent="0.3">
      <c r="A38" s="24"/>
      <c r="B38" s="32" t="s">
        <v>46</v>
      </c>
      <c r="C38" s="33"/>
      <c r="D38" s="43" t="s">
        <v>81</v>
      </c>
      <c r="E38" s="21"/>
      <c r="F38" s="21"/>
      <c r="G38" s="22"/>
      <c r="H38" s="17"/>
      <c r="I38" s="17"/>
      <c r="J38" s="23"/>
      <c r="K38" s="17"/>
      <c r="L38" s="17"/>
      <c r="M38" s="18"/>
    </row>
    <row r="39" spans="1:13" ht="14.1" customHeight="1" x14ac:dyDescent="0.3">
      <c r="A39" s="24">
        <v>19</v>
      </c>
      <c r="B39" s="26" t="s">
        <v>15</v>
      </c>
      <c r="C39" s="27"/>
      <c r="D39" s="37" t="s">
        <v>12</v>
      </c>
      <c r="E39" s="38"/>
      <c r="F39" s="38"/>
      <c r="G39" s="39"/>
      <c r="H39" s="42">
        <f>SUM(I39)-1.1</f>
        <v>20.799999999999997</v>
      </c>
      <c r="I39" s="9">
        <f>SUM(J39)-1.1</f>
        <v>21.9</v>
      </c>
      <c r="J39" s="7">
        <v>23</v>
      </c>
      <c r="K39" s="9">
        <f>SUM(J39)+1.6</f>
        <v>24.6</v>
      </c>
      <c r="L39" s="9">
        <f>SUM(K39)+1.1</f>
        <v>25.700000000000003</v>
      </c>
      <c r="M39" s="40">
        <f>SUM(L39)+1.1</f>
        <v>26.800000000000004</v>
      </c>
    </row>
    <row r="40" spans="1:13" ht="14.1" customHeight="1" x14ac:dyDescent="0.3">
      <c r="A40" s="24"/>
      <c r="B40" s="32" t="s">
        <v>52</v>
      </c>
      <c r="C40" s="33"/>
      <c r="D40" s="34" t="s">
        <v>80</v>
      </c>
      <c r="E40" s="35"/>
      <c r="F40" s="35"/>
      <c r="G40" s="36"/>
      <c r="H40" s="19"/>
      <c r="I40" s="17"/>
      <c r="J40" s="23"/>
      <c r="K40" s="17"/>
      <c r="L40" s="17"/>
      <c r="M40" s="41"/>
    </row>
    <row r="41" spans="1:13" ht="14.1" customHeight="1" x14ac:dyDescent="0.3">
      <c r="A41" s="24">
        <v>20</v>
      </c>
      <c r="B41" s="26" t="s">
        <v>16</v>
      </c>
      <c r="C41" s="27"/>
      <c r="D41" s="37" t="s">
        <v>12</v>
      </c>
      <c r="E41" s="38"/>
      <c r="F41" s="38"/>
      <c r="G41" s="39"/>
      <c r="H41" s="42">
        <f>SUM(I41)-1.3</f>
        <v>27</v>
      </c>
      <c r="I41" s="9">
        <f>SUM(J41)-1.3</f>
        <v>28.3</v>
      </c>
      <c r="J41" s="7">
        <v>29.6</v>
      </c>
      <c r="K41" s="9">
        <f>SUM(J41)+1.8</f>
        <v>31.400000000000002</v>
      </c>
      <c r="L41" s="9">
        <f>SUM(K41)+1.3</f>
        <v>32.700000000000003</v>
      </c>
      <c r="M41" s="40">
        <f>SUM(L41)+1.3</f>
        <v>34</v>
      </c>
    </row>
    <row r="42" spans="1:13" ht="14.1" customHeight="1" x14ac:dyDescent="0.3">
      <c r="A42" s="24"/>
      <c r="B42" s="32" t="s">
        <v>51</v>
      </c>
      <c r="C42" s="33"/>
      <c r="D42" s="34" t="s">
        <v>80</v>
      </c>
      <c r="E42" s="35"/>
      <c r="F42" s="35"/>
      <c r="G42" s="36"/>
      <c r="H42" s="19"/>
      <c r="I42" s="17"/>
      <c r="J42" s="23"/>
      <c r="K42" s="17"/>
      <c r="L42" s="17"/>
      <c r="M42" s="41"/>
    </row>
    <row r="43" spans="1:13" ht="14.1" customHeight="1" x14ac:dyDescent="0.3">
      <c r="A43" s="24">
        <v>21</v>
      </c>
      <c r="B43" s="26" t="s">
        <v>17</v>
      </c>
      <c r="C43" s="27"/>
      <c r="D43" s="37" t="s">
        <v>18</v>
      </c>
      <c r="E43" s="38"/>
      <c r="F43" s="38"/>
      <c r="G43" s="39"/>
      <c r="H43" s="9">
        <f>SUM(I43)-2.7</f>
        <v>42.899999999999991</v>
      </c>
      <c r="I43" s="9">
        <f>SUM(J43)-2.7</f>
        <v>45.599999999999994</v>
      </c>
      <c r="J43" s="7">
        <v>48.3</v>
      </c>
      <c r="K43" s="9">
        <f>SUM(J43)+2.6</f>
        <v>50.9</v>
      </c>
      <c r="L43" s="9">
        <f>SUM(K43)+2.6</f>
        <v>53.5</v>
      </c>
      <c r="M43" s="11">
        <f>SUM(L43)+2.7</f>
        <v>56.2</v>
      </c>
    </row>
    <row r="44" spans="1:13" ht="14.1" customHeight="1" x14ac:dyDescent="0.3">
      <c r="A44" s="24"/>
      <c r="B44" s="32" t="s">
        <v>50</v>
      </c>
      <c r="C44" s="33"/>
      <c r="D44" s="34" t="s">
        <v>79</v>
      </c>
      <c r="E44" s="35"/>
      <c r="F44" s="35"/>
      <c r="G44" s="36"/>
      <c r="H44" s="17"/>
      <c r="I44" s="17"/>
      <c r="J44" s="23"/>
      <c r="K44" s="17"/>
      <c r="L44" s="17"/>
      <c r="M44" s="18"/>
    </row>
    <row r="45" spans="1:13" ht="14.1" customHeight="1" x14ac:dyDescent="0.3">
      <c r="A45" s="24">
        <v>22</v>
      </c>
      <c r="B45" s="26" t="s">
        <v>19</v>
      </c>
      <c r="C45" s="27"/>
      <c r="D45" s="37" t="s">
        <v>20</v>
      </c>
      <c r="E45" s="38"/>
      <c r="F45" s="38"/>
      <c r="G45" s="39"/>
      <c r="H45" s="9">
        <f>SUM(I45)-6</f>
        <v>32.799999999999997</v>
      </c>
      <c r="I45" s="9">
        <f>SUM(J45)-6</f>
        <v>38.799999999999997</v>
      </c>
      <c r="J45" s="7">
        <v>44.8</v>
      </c>
      <c r="K45" s="9">
        <f>SUM(J45)+4.5</f>
        <v>49.3</v>
      </c>
      <c r="L45" s="9">
        <f>SUM(K45)+5</f>
        <v>54.3</v>
      </c>
      <c r="M45" s="11">
        <f>SUM(L45)+5</f>
        <v>59.3</v>
      </c>
    </row>
    <row r="46" spans="1:13" ht="14.1" customHeight="1" x14ac:dyDescent="0.3">
      <c r="A46" s="24"/>
      <c r="B46" s="32" t="s">
        <v>49</v>
      </c>
      <c r="C46" s="33"/>
      <c r="D46" s="34" t="s">
        <v>78</v>
      </c>
      <c r="E46" s="35"/>
      <c r="F46" s="35"/>
      <c r="G46" s="36"/>
      <c r="H46" s="17"/>
      <c r="I46" s="17"/>
      <c r="J46" s="23"/>
      <c r="K46" s="17"/>
      <c r="L46" s="17"/>
      <c r="M46" s="18"/>
    </row>
    <row r="47" spans="1:13" ht="14.1" customHeight="1" x14ac:dyDescent="0.3">
      <c r="A47" s="24">
        <v>23</v>
      </c>
      <c r="B47" s="26" t="s">
        <v>77</v>
      </c>
      <c r="C47" s="27"/>
      <c r="D47" s="37" t="s">
        <v>75</v>
      </c>
      <c r="E47" s="38"/>
      <c r="F47" s="38"/>
      <c r="G47" s="39"/>
      <c r="H47" s="9">
        <f>SUM(I47)-1.9</f>
        <v>39.200000000000003</v>
      </c>
      <c r="I47" s="9">
        <f>SUM(J47)-1.9</f>
        <v>41.1</v>
      </c>
      <c r="J47" s="7">
        <v>43</v>
      </c>
      <c r="K47" s="9">
        <f>SUM(J47)+2</f>
        <v>45</v>
      </c>
      <c r="L47" s="9">
        <f t="shared" ref="L47:M47" si="5">SUM(K47)+1.9</f>
        <v>46.9</v>
      </c>
      <c r="M47" s="11">
        <f t="shared" si="5"/>
        <v>48.8</v>
      </c>
    </row>
    <row r="48" spans="1:13" ht="14.1" customHeight="1" x14ac:dyDescent="0.3">
      <c r="A48" s="24"/>
      <c r="B48" s="32" t="s">
        <v>76</v>
      </c>
      <c r="C48" s="33"/>
      <c r="D48" s="34" t="s">
        <v>75</v>
      </c>
      <c r="E48" s="35"/>
      <c r="F48" s="35"/>
      <c r="G48" s="36"/>
      <c r="H48" s="17"/>
      <c r="I48" s="17"/>
      <c r="J48" s="23"/>
      <c r="K48" s="17"/>
      <c r="L48" s="17"/>
      <c r="M48" s="18"/>
    </row>
    <row r="49" spans="1:13" ht="14.1" customHeight="1" x14ac:dyDescent="0.3">
      <c r="A49" s="24">
        <v>24</v>
      </c>
      <c r="B49" s="26" t="s">
        <v>74</v>
      </c>
      <c r="C49" s="27"/>
      <c r="D49" s="37" t="s">
        <v>73</v>
      </c>
      <c r="E49" s="38"/>
      <c r="F49" s="38"/>
      <c r="G49" s="39"/>
      <c r="H49" s="9">
        <f>SUM(I49)-3.5</f>
        <v>32.700000000000003</v>
      </c>
      <c r="I49" s="9">
        <f>SUM(J49)-3.4</f>
        <v>36.200000000000003</v>
      </c>
      <c r="J49" s="7">
        <v>39.6</v>
      </c>
      <c r="K49" s="9">
        <f>SUM(J49)+3.3</f>
        <v>42.9</v>
      </c>
      <c r="L49" s="9">
        <f>SUM(K49)+3</f>
        <v>45.9</v>
      </c>
      <c r="M49" s="11">
        <f t="shared" ref="M49" si="6">SUM(L49)+3</f>
        <v>48.9</v>
      </c>
    </row>
    <row r="50" spans="1:13" ht="14.1" customHeight="1" x14ac:dyDescent="0.3">
      <c r="A50" s="24"/>
      <c r="B50" s="32" t="s">
        <v>72</v>
      </c>
      <c r="C50" s="33"/>
      <c r="D50" s="34" t="s">
        <v>103</v>
      </c>
      <c r="E50" s="35"/>
      <c r="F50" s="35"/>
      <c r="G50" s="36"/>
      <c r="H50" s="17"/>
      <c r="I50" s="17"/>
      <c r="J50" s="23"/>
      <c r="K50" s="17"/>
      <c r="L50" s="17"/>
      <c r="M50" s="18"/>
    </row>
    <row r="51" spans="1:13" ht="14.1" customHeight="1" x14ac:dyDescent="0.3">
      <c r="A51" s="24">
        <v>25</v>
      </c>
      <c r="B51" s="26" t="s">
        <v>148</v>
      </c>
      <c r="C51" s="27"/>
      <c r="D51" s="28"/>
      <c r="E51" s="28"/>
      <c r="F51" s="28"/>
      <c r="G51" s="28"/>
      <c r="H51" s="9">
        <f>SUM(I51)-1</f>
        <v>16</v>
      </c>
      <c r="I51" s="9">
        <f>SUM(J51)-1</f>
        <v>17</v>
      </c>
      <c r="J51" s="29">
        <v>18</v>
      </c>
      <c r="K51" s="30">
        <f>SUM(J51)+1</f>
        <v>19</v>
      </c>
      <c r="L51" s="30">
        <f t="shared" ref="L51:M51" si="7">SUM(K51)+1</f>
        <v>20</v>
      </c>
      <c r="M51" s="31">
        <f t="shared" si="7"/>
        <v>21</v>
      </c>
    </row>
    <row r="52" spans="1:13" ht="14.1" customHeight="1" x14ac:dyDescent="0.3">
      <c r="A52" s="24"/>
      <c r="B52" s="19" t="s">
        <v>149</v>
      </c>
      <c r="C52" s="19"/>
      <c r="D52" s="20" t="s">
        <v>150</v>
      </c>
      <c r="E52" s="21"/>
      <c r="F52" s="21"/>
      <c r="G52" s="22"/>
      <c r="H52" s="17"/>
      <c r="I52" s="17"/>
      <c r="J52" s="29"/>
      <c r="K52" s="30"/>
      <c r="L52" s="30"/>
      <c r="M52" s="31"/>
    </row>
    <row r="53" spans="1:13" ht="14.1" customHeight="1" x14ac:dyDescent="0.3">
      <c r="A53" s="24">
        <v>26</v>
      </c>
      <c r="B53" s="26" t="s">
        <v>151</v>
      </c>
      <c r="C53" s="27"/>
      <c r="D53" s="28"/>
      <c r="E53" s="28"/>
      <c r="F53" s="28"/>
      <c r="G53" s="28"/>
      <c r="H53" s="9">
        <f>SUM(I53)-0.5</f>
        <v>8</v>
      </c>
      <c r="I53" s="9">
        <f>SUM(J53)-0.5</f>
        <v>8.5</v>
      </c>
      <c r="J53" s="7">
        <v>9</v>
      </c>
      <c r="K53" s="9">
        <f>SUM(J53)+0.5</f>
        <v>9.5</v>
      </c>
      <c r="L53" s="9">
        <f t="shared" ref="L53:M53" si="8">SUM(K53)+0.5</f>
        <v>10</v>
      </c>
      <c r="M53" s="11">
        <f t="shared" si="8"/>
        <v>10.5</v>
      </c>
    </row>
    <row r="54" spans="1:13" ht="14.1" customHeight="1" x14ac:dyDescent="0.3">
      <c r="A54" s="24"/>
      <c r="B54" s="19" t="s">
        <v>152</v>
      </c>
      <c r="C54" s="19"/>
      <c r="D54" s="20" t="s">
        <v>150</v>
      </c>
      <c r="E54" s="21"/>
      <c r="F54" s="21"/>
      <c r="G54" s="22"/>
      <c r="H54" s="17"/>
      <c r="I54" s="17"/>
      <c r="J54" s="23"/>
      <c r="K54" s="17"/>
      <c r="L54" s="17"/>
      <c r="M54" s="18"/>
    </row>
    <row r="55" spans="1:13" ht="14.1" customHeight="1" x14ac:dyDescent="0.3">
      <c r="A55" s="24">
        <v>27</v>
      </c>
      <c r="B55" s="26" t="s">
        <v>153</v>
      </c>
      <c r="C55" s="27"/>
      <c r="D55" s="28"/>
      <c r="E55" s="28"/>
      <c r="F55" s="28"/>
      <c r="G55" s="28"/>
      <c r="H55" s="9">
        <f>SUM(I55)-0.5</f>
        <v>8</v>
      </c>
      <c r="I55" s="9">
        <f>SUM(J55)-0.5</f>
        <v>8.5</v>
      </c>
      <c r="J55" s="7">
        <v>9</v>
      </c>
      <c r="K55" s="9">
        <f>SUM(J55)+0.5</f>
        <v>9.5</v>
      </c>
      <c r="L55" s="9">
        <f t="shared" ref="L55:M55" si="9">SUM(K55)+0.5</f>
        <v>10</v>
      </c>
      <c r="M55" s="11">
        <f t="shared" si="9"/>
        <v>10.5</v>
      </c>
    </row>
    <row r="56" spans="1:13" ht="14.1" customHeight="1" thickBot="1" x14ac:dyDescent="0.35">
      <c r="A56" s="25"/>
      <c r="B56" s="13" t="s">
        <v>154</v>
      </c>
      <c r="C56" s="13"/>
      <c r="D56" s="14" t="s">
        <v>155</v>
      </c>
      <c r="E56" s="15"/>
      <c r="F56" s="15"/>
      <c r="G56" s="16"/>
      <c r="H56" s="10"/>
      <c r="I56" s="10"/>
      <c r="J56" s="8"/>
      <c r="K56" s="10"/>
      <c r="L56" s="10"/>
      <c r="M56" s="12"/>
    </row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4.1" customHeight="1" x14ac:dyDescent="0.3"/>
    <row r="63" spans="1:13" ht="14.1" customHeight="1" x14ac:dyDescent="0.3"/>
    <row r="64" spans="1:13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30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0256-4A9C-4338-97EB-48C353F12C30}">
  <sheetPr codeName="Sheet106">
    <tabColor rgb="FF00B050"/>
    <pageSetUpPr fitToPage="1"/>
  </sheetPr>
  <dimension ref="A1:M74"/>
  <sheetViews>
    <sheetView topLeftCell="A19" zoomScale="110" zoomScaleNormal="110" workbookViewId="0">
      <selection activeCell="P35" sqref="P3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127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120</v>
      </c>
      <c r="E3" s="72"/>
      <c r="F3" s="72"/>
      <c r="G3" s="73"/>
      <c r="H3" s="9">
        <f>SUM(I3)-3</f>
        <v>34</v>
      </c>
      <c r="I3" s="9">
        <f>SUM(J3)-3</f>
        <v>37</v>
      </c>
      <c r="J3" s="74">
        <v>40</v>
      </c>
      <c r="K3" s="75">
        <f>SUM(J3)+2.5</f>
        <v>42.5</v>
      </c>
      <c r="L3" s="75">
        <f>SUM(K3)+2.5</f>
        <v>45</v>
      </c>
      <c r="M3" s="76">
        <f>SUM(L3)+2.5</f>
        <v>47.5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17"/>
      <c r="I4" s="17"/>
      <c r="J4" s="7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SUM(I5)-2</f>
        <v>34</v>
      </c>
      <c r="I5" s="9">
        <f>SUM(J5)-2</f>
        <v>36</v>
      </c>
      <c r="J5" s="7">
        <v>38</v>
      </c>
      <c r="K5" s="9">
        <f>SUM(J5)+1.8</f>
        <v>39.799999999999997</v>
      </c>
      <c r="L5" s="9">
        <f>SUM(K5)+1.8</f>
        <v>41.599999999999994</v>
      </c>
      <c r="M5" s="11">
        <f>SUM(L5)+1.8</f>
        <v>43.399999999999991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36.5</v>
      </c>
      <c r="I7" s="9">
        <f>SUM(J7)-2.25</f>
        <v>38.75</v>
      </c>
      <c r="J7" s="7">
        <v>41</v>
      </c>
      <c r="K7" s="9">
        <f>SUM(J7)+2</f>
        <v>43</v>
      </c>
      <c r="L7" s="9">
        <f>SUM(K7)+2</f>
        <v>45</v>
      </c>
      <c r="M7" s="11">
        <f>SUM(L7)+2</f>
        <v>47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9">
        <f>SUM(I9)-1.8</f>
        <v>30.400000000000002</v>
      </c>
      <c r="I9" s="9">
        <f>SUM(J9)-1.8</f>
        <v>32.200000000000003</v>
      </c>
      <c r="J9" s="7">
        <v>34</v>
      </c>
      <c r="K9" s="9">
        <f>SUM(J9)+1.6</f>
        <v>35.6</v>
      </c>
      <c r="L9" s="9">
        <f>SUM(K9)+1.6</f>
        <v>37.200000000000003</v>
      </c>
      <c r="M9" s="11">
        <f>SUM(L9)+1.6</f>
        <v>38.800000000000004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121</v>
      </c>
      <c r="C11" s="42"/>
      <c r="D11" s="28"/>
      <c r="E11" s="28"/>
      <c r="F11" s="28"/>
      <c r="G11" s="28"/>
      <c r="H11" s="9">
        <f>SUM(I11)-0</f>
        <v>2.5</v>
      </c>
      <c r="I11" s="9">
        <f>SUM(J11)-0</f>
        <v>2.5</v>
      </c>
      <c r="J11" s="7">
        <v>2.5</v>
      </c>
      <c r="K11" s="9">
        <f>SUM(J11)+0.3</f>
        <v>2.8</v>
      </c>
      <c r="L11" s="9">
        <f>SUM(K11)+0</f>
        <v>2.8</v>
      </c>
      <c r="M11" s="11">
        <f>SUM(L11)+0</f>
        <v>2.8</v>
      </c>
    </row>
    <row r="12" spans="1:13" s="1" customFormat="1" ht="14.1" customHeight="1" x14ac:dyDescent="0.3">
      <c r="A12" s="24"/>
      <c r="B12" s="19" t="s">
        <v>122</v>
      </c>
      <c r="C12" s="19"/>
      <c r="D12" s="43"/>
      <c r="E12" s="21"/>
      <c r="F12" s="21"/>
      <c r="G12" s="22"/>
      <c r="H12" s="17"/>
      <c r="I12" s="17"/>
      <c r="J12" s="23"/>
      <c r="K12" s="17"/>
      <c r="L12" s="17"/>
      <c r="M12" s="18"/>
    </row>
    <row r="13" spans="1:13" s="1" customFormat="1" ht="14.1" customHeight="1" x14ac:dyDescent="0.3">
      <c r="A13" s="24">
        <v>6</v>
      </c>
      <c r="B13" s="42" t="s">
        <v>10</v>
      </c>
      <c r="C13" s="42"/>
      <c r="D13" s="28" t="s">
        <v>0</v>
      </c>
      <c r="E13" s="28"/>
      <c r="F13" s="28"/>
      <c r="G13" s="28"/>
      <c r="H13" s="9">
        <f>SUM(I13)-0.8</f>
        <v>14.399999999999999</v>
      </c>
      <c r="I13" s="9">
        <f>SUM(J13)-0.8</f>
        <v>15.2</v>
      </c>
      <c r="J13" s="29">
        <v>16</v>
      </c>
      <c r="K13" s="30">
        <f>SUM(J13)+0.8</f>
        <v>16.8</v>
      </c>
      <c r="L13" s="30">
        <f>SUM(K13)+0.8</f>
        <v>17.600000000000001</v>
      </c>
      <c r="M13" s="31">
        <f>SUM(L13)+0.8</f>
        <v>18.400000000000002</v>
      </c>
    </row>
    <row r="14" spans="1:13" s="1" customFormat="1" ht="14.1" customHeight="1" x14ac:dyDescent="0.3">
      <c r="A14" s="24"/>
      <c r="B14" s="19" t="s">
        <v>25</v>
      </c>
      <c r="C14" s="19"/>
      <c r="D14" s="43" t="s">
        <v>42</v>
      </c>
      <c r="E14" s="21"/>
      <c r="F14" s="21"/>
      <c r="G14" s="22"/>
      <c r="H14" s="17"/>
      <c r="I14" s="17"/>
      <c r="J14" s="29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123</v>
      </c>
      <c r="C15" s="42"/>
      <c r="D15" s="28"/>
      <c r="E15" s="28"/>
      <c r="F15" s="28"/>
      <c r="G15" s="28"/>
      <c r="H15" s="9">
        <f>SUM(I15)-0</f>
        <v>3</v>
      </c>
      <c r="I15" s="9">
        <f>SUM(J15)-0</f>
        <v>3</v>
      </c>
      <c r="J15" s="7">
        <v>3</v>
      </c>
      <c r="K15" s="9">
        <f>SUM(J15)+0.3</f>
        <v>3.3</v>
      </c>
      <c r="L15" s="9">
        <f>SUM(K15)+0</f>
        <v>3.3</v>
      </c>
      <c r="M15" s="11">
        <f>SUM(L15)+0</f>
        <v>3.3</v>
      </c>
    </row>
    <row r="16" spans="1:13" s="1" customFormat="1" ht="14.1" customHeight="1" x14ac:dyDescent="0.3">
      <c r="A16" s="24"/>
      <c r="B16" s="19" t="s">
        <v>124</v>
      </c>
      <c r="C16" s="19"/>
      <c r="D16" s="43"/>
      <c r="E16" s="21"/>
      <c r="F16" s="21"/>
      <c r="G16" s="22"/>
      <c r="H16" s="17"/>
      <c r="I16" s="17"/>
      <c r="J16" s="23"/>
      <c r="K16" s="17"/>
      <c r="L16" s="17"/>
      <c r="M16" s="18"/>
    </row>
    <row r="17" spans="1:13" s="1" customFormat="1" ht="14.1" customHeight="1" x14ac:dyDescent="0.3">
      <c r="A17" s="24">
        <v>8</v>
      </c>
      <c r="B17" s="42" t="s">
        <v>1</v>
      </c>
      <c r="C17" s="42"/>
      <c r="D17" s="28" t="s">
        <v>118</v>
      </c>
      <c r="E17" s="28"/>
      <c r="F17" s="28"/>
      <c r="G17" s="28"/>
      <c r="H17" s="9">
        <f>SUM(I17)-0.6</f>
        <v>14.8</v>
      </c>
      <c r="I17" s="9">
        <f>SUM(J17)-0.6</f>
        <v>15.4</v>
      </c>
      <c r="J17" s="29">
        <v>16</v>
      </c>
      <c r="K17" s="30">
        <f>SUM(J17)+0.6</f>
        <v>16.600000000000001</v>
      </c>
      <c r="L17" s="30">
        <f>SUM(K17)+0.6</f>
        <v>17.200000000000003</v>
      </c>
      <c r="M17" s="31">
        <f>SUM(L17)+0.6</f>
        <v>17.800000000000004</v>
      </c>
    </row>
    <row r="18" spans="1:13" s="1" customFormat="1" ht="14.1" customHeight="1" x14ac:dyDescent="0.3">
      <c r="A18" s="24"/>
      <c r="B18" s="19" t="s">
        <v>26</v>
      </c>
      <c r="C18" s="19"/>
      <c r="D18" s="43" t="s">
        <v>98</v>
      </c>
      <c r="E18" s="21"/>
      <c r="F18" s="21"/>
      <c r="G18" s="22"/>
      <c r="H18" s="17"/>
      <c r="I18" s="17"/>
      <c r="J18" s="29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2</v>
      </c>
      <c r="C19" s="42"/>
      <c r="D19" s="28" t="s">
        <v>3</v>
      </c>
      <c r="E19" s="28"/>
      <c r="F19" s="28"/>
      <c r="G19" s="28"/>
      <c r="H19" s="9">
        <f>SUM(I19)-0.3</f>
        <v>6.5</v>
      </c>
      <c r="I19" s="9">
        <f>SUM(J19)-0.3</f>
        <v>6.8</v>
      </c>
      <c r="J19" s="29">
        <v>7.1</v>
      </c>
      <c r="K19" s="30">
        <f>SUM(J19)+0.3</f>
        <v>7.3999999999999995</v>
      </c>
      <c r="L19" s="30">
        <f>SUM(K19)+0.3</f>
        <v>7.6999999999999993</v>
      </c>
      <c r="M19" s="31">
        <f>SUM(L19)+0.3</f>
        <v>7.9999999999999991</v>
      </c>
    </row>
    <row r="20" spans="1:13" s="1" customFormat="1" ht="14.1" customHeight="1" x14ac:dyDescent="0.3">
      <c r="A20" s="24"/>
      <c r="B20" s="19" t="s">
        <v>27</v>
      </c>
      <c r="C20" s="19"/>
      <c r="D20" s="43" t="s">
        <v>99</v>
      </c>
      <c r="E20" s="21"/>
      <c r="F20" s="21"/>
      <c r="G20" s="22"/>
      <c r="H20" s="17"/>
      <c r="I20" s="17"/>
      <c r="J20" s="29"/>
      <c r="K20" s="30"/>
      <c r="L20" s="30"/>
      <c r="M20" s="31"/>
    </row>
    <row r="21" spans="1:13" s="1" customFormat="1" ht="14.1" customHeight="1" x14ac:dyDescent="0.3">
      <c r="A21" s="24">
        <v>10</v>
      </c>
      <c r="B21" s="26" t="s">
        <v>67</v>
      </c>
      <c r="C21" s="27"/>
      <c r="D21" s="37" t="s">
        <v>68</v>
      </c>
      <c r="E21" s="38"/>
      <c r="F21" s="38"/>
      <c r="G21" s="39"/>
      <c r="H21" s="9">
        <f>SUM(I21)-1.6</f>
        <v>38.199999999999996</v>
      </c>
      <c r="I21" s="9">
        <f>SUM(J21)-1.6</f>
        <v>39.799999999999997</v>
      </c>
      <c r="J21" s="29">
        <v>41.4</v>
      </c>
      <c r="K21" s="30">
        <f>SUM(J21)+1.6</f>
        <v>43</v>
      </c>
      <c r="L21" s="30">
        <f>SUM(K21)+1.6</f>
        <v>44.6</v>
      </c>
      <c r="M21" s="31">
        <f>SUM(L21)+1.6</f>
        <v>46.2</v>
      </c>
    </row>
    <row r="22" spans="1:13" s="1" customFormat="1" ht="14.1" customHeight="1" x14ac:dyDescent="0.3">
      <c r="A22" s="24"/>
      <c r="B22" s="19" t="s">
        <v>31</v>
      </c>
      <c r="C22" s="19"/>
      <c r="D22" s="43" t="s">
        <v>100</v>
      </c>
      <c r="E22" s="21"/>
      <c r="F22" s="21"/>
      <c r="G22" s="22"/>
      <c r="H22" s="17"/>
      <c r="I22" s="17"/>
      <c r="J22" s="29"/>
      <c r="K22" s="30"/>
      <c r="L22" s="30"/>
      <c r="M22" s="31"/>
    </row>
    <row r="23" spans="1:13" s="1" customFormat="1" ht="14.1" customHeight="1" x14ac:dyDescent="0.3">
      <c r="A23" s="24">
        <v>11</v>
      </c>
      <c r="B23" s="42" t="s">
        <v>4</v>
      </c>
      <c r="C23" s="42"/>
      <c r="D23" s="28" t="s">
        <v>5</v>
      </c>
      <c r="E23" s="28"/>
      <c r="F23" s="28"/>
      <c r="G23" s="28"/>
      <c r="H23" s="9">
        <f>SUM(I23)-3.5</f>
        <v>28</v>
      </c>
      <c r="I23" s="9">
        <f>SUM(J23)-3.5</f>
        <v>31.5</v>
      </c>
      <c r="J23" s="29">
        <v>35</v>
      </c>
      <c r="K23" s="30">
        <f>SUM(J23)+3.6</f>
        <v>38.6</v>
      </c>
      <c r="L23" s="30">
        <f>SUM(K23)+3.6</f>
        <v>42.2</v>
      </c>
      <c r="M23" s="31">
        <f>SUM(L23)+3.6</f>
        <v>45.800000000000004</v>
      </c>
    </row>
    <row r="24" spans="1:13" s="1" customFormat="1" ht="14.1" customHeight="1" x14ac:dyDescent="0.3">
      <c r="A24" s="24"/>
      <c r="B24" s="19" t="s">
        <v>28</v>
      </c>
      <c r="C24" s="19"/>
      <c r="D24" s="43" t="s">
        <v>43</v>
      </c>
      <c r="E24" s="21"/>
      <c r="F24" s="21"/>
      <c r="G24" s="22"/>
      <c r="H24" s="17"/>
      <c r="I24" s="17"/>
      <c r="J24" s="29"/>
      <c r="K24" s="30"/>
      <c r="L24" s="30"/>
      <c r="M24" s="31"/>
    </row>
    <row r="25" spans="1:13" s="1" customFormat="1" ht="14.1" customHeight="1" x14ac:dyDescent="0.3">
      <c r="A25" s="24">
        <v>12</v>
      </c>
      <c r="B25" s="42" t="s">
        <v>6</v>
      </c>
      <c r="C25" s="42"/>
      <c r="D25" s="37" t="s">
        <v>7</v>
      </c>
      <c r="E25" s="38"/>
      <c r="F25" s="38"/>
      <c r="G25" s="39"/>
      <c r="H25" s="9">
        <f>SUM(I25)-1.6</f>
        <v>29.4</v>
      </c>
      <c r="I25" s="9">
        <f>SUM(J25)-1.6</f>
        <v>31</v>
      </c>
      <c r="J25" s="29">
        <v>32.6</v>
      </c>
      <c r="K25" s="30">
        <f>SUM(J25)+1.6</f>
        <v>34.200000000000003</v>
      </c>
      <c r="L25" s="30">
        <f>SUM(K25)+1.6</f>
        <v>35.800000000000004</v>
      </c>
      <c r="M25" s="31">
        <f>SUM(L25)+1.6</f>
        <v>37.400000000000006</v>
      </c>
    </row>
    <row r="26" spans="1:13" s="1" customFormat="1" ht="14.1" customHeight="1" x14ac:dyDescent="0.3">
      <c r="A26" s="24"/>
      <c r="B26" s="19" t="s">
        <v>29</v>
      </c>
      <c r="C26" s="19"/>
      <c r="D26" s="43" t="s">
        <v>60</v>
      </c>
      <c r="E26" s="21"/>
      <c r="F26" s="21"/>
      <c r="G26" s="22"/>
      <c r="H26" s="17"/>
      <c r="I26" s="17"/>
      <c r="J26" s="29"/>
      <c r="K26" s="30"/>
      <c r="L26" s="30"/>
      <c r="M26" s="31"/>
    </row>
    <row r="27" spans="1:13" s="1" customFormat="1" ht="14.1" customHeight="1" x14ac:dyDescent="0.3">
      <c r="A27" s="24">
        <v>13</v>
      </c>
      <c r="B27" s="26" t="s">
        <v>61</v>
      </c>
      <c r="C27" s="27"/>
      <c r="D27" s="28" t="s">
        <v>62</v>
      </c>
      <c r="E27" s="28"/>
      <c r="F27" s="28"/>
      <c r="G27" s="28"/>
      <c r="H27" s="9">
        <f>SUM(I27)-0.6</f>
        <v>14</v>
      </c>
      <c r="I27" s="9">
        <f>SUM(J27)-0.6</f>
        <v>14.6</v>
      </c>
      <c r="J27" s="29">
        <v>15.2</v>
      </c>
      <c r="K27" s="30">
        <f>SUM(J27)+0.6</f>
        <v>15.799999999999999</v>
      </c>
      <c r="L27" s="30">
        <f>SUM(K27)+0.6</f>
        <v>16.399999999999999</v>
      </c>
      <c r="M27" s="31">
        <f>SUM(L27)+0.6</f>
        <v>17</v>
      </c>
    </row>
    <row r="28" spans="1:13" s="1" customFormat="1" ht="14.1" customHeight="1" x14ac:dyDescent="0.3">
      <c r="A28" s="24"/>
      <c r="B28" s="19" t="s">
        <v>30</v>
      </c>
      <c r="C28" s="19"/>
      <c r="D28" s="43" t="s">
        <v>63</v>
      </c>
      <c r="E28" s="21"/>
      <c r="F28" s="21"/>
      <c r="G28" s="22"/>
      <c r="H28" s="17"/>
      <c r="I28" s="17"/>
      <c r="J28" s="29"/>
      <c r="K28" s="30"/>
      <c r="L28" s="30"/>
      <c r="M28" s="31"/>
    </row>
    <row r="29" spans="1:13" s="1" customFormat="1" ht="14.1" customHeight="1" x14ac:dyDescent="0.3">
      <c r="A29" s="24">
        <v>14</v>
      </c>
      <c r="B29" s="26" t="s">
        <v>114</v>
      </c>
      <c r="C29" s="27"/>
      <c r="D29" s="63" t="s">
        <v>69</v>
      </c>
      <c r="E29" s="64"/>
      <c r="F29" s="64"/>
      <c r="G29" s="65"/>
      <c r="H29" s="9">
        <f>SUM(I29)-0.3</f>
        <v>3.4000000000000004</v>
      </c>
      <c r="I29" s="9">
        <f>SUM(J29)-0.3</f>
        <v>3.7</v>
      </c>
      <c r="J29" s="29">
        <v>4</v>
      </c>
      <c r="K29" s="30">
        <f>SUM(J29)+0.3</f>
        <v>4.3</v>
      </c>
      <c r="L29" s="30">
        <f>SUM(K29)+0.3</f>
        <v>4.5999999999999996</v>
      </c>
      <c r="M29" s="31">
        <f>SUM(L29)+0.3</f>
        <v>4.8999999999999995</v>
      </c>
    </row>
    <row r="30" spans="1:13" s="1" customFormat="1" ht="14.1" customHeight="1" thickBot="1" x14ac:dyDescent="0.35">
      <c r="A30" s="97"/>
      <c r="B30" s="92" t="s">
        <v>113</v>
      </c>
      <c r="C30" s="93"/>
      <c r="D30" s="94" t="s">
        <v>70</v>
      </c>
      <c r="E30" s="95"/>
      <c r="F30" s="95"/>
      <c r="G30" s="96"/>
      <c r="H30" s="98"/>
      <c r="I30" s="98"/>
      <c r="J30" s="91"/>
      <c r="K30" s="89"/>
      <c r="L30" s="89"/>
      <c r="M30" s="90"/>
    </row>
    <row r="31" spans="1:13" ht="14.1" customHeight="1" thickTop="1" x14ac:dyDescent="0.3">
      <c r="A31" s="70">
        <v>15</v>
      </c>
      <c r="B31" s="53" t="s">
        <v>97</v>
      </c>
      <c r="C31" s="54"/>
      <c r="D31" s="47" t="s">
        <v>64</v>
      </c>
      <c r="E31" s="48"/>
      <c r="F31" s="48"/>
      <c r="G31" s="49"/>
      <c r="H31" s="77">
        <f>SUM(I31)-3</f>
        <v>45</v>
      </c>
      <c r="I31" s="44">
        <f>SUM(J31)-3</f>
        <v>48</v>
      </c>
      <c r="J31" s="46">
        <v>51</v>
      </c>
      <c r="K31" s="44">
        <f>SUM(J31)+3</f>
        <v>54</v>
      </c>
      <c r="L31" s="44">
        <f>SUM(K31)+3</f>
        <v>57</v>
      </c>
      <c r="M31" s="45">
        <f>SUM(L31)+3</f>
        <v>60</v>
      </c>
    </row>
    <row r="32" spans="1:13" ht="14.1" customHeight="1" x14ac:dyDescent="0.3">
      <c r="A32" s="24"/>
      <c r="B32" s="32" t="s">
        <v>71</v>
      </c>
      <c r="C32" s="33"/>
      <c r="D32" s="34" t="s">
        <v>65</v>
      </c>
      <c r="E32" s="35"/>
      <c r="F32" s="35"/>
      <c r="G32" s="36"/>
      <c r="H32" s="19"/>
      <c r="I32" s="17"/>
      <c r="J32" s="23"/>
      <c r="K32" s="17"/>
      <c r="L32" s="17"/>
      <c r="M32" s="18"/>
    </row>
    <row r="33" spans="1:13" ht="14.1" customHeight="1" x14ac:dyDescent="0.3">
      <c r="A33" s="24">
        <v>16</v>
      </c>
      <c r="B33" s="53" t="s">
        <v>107</v>
      </c>
      <c r="C33" s="54"/>
      <c r="D33" s="47"/>
      <c r="E33" s="48"/>
      <c r="F33" s="48"/>
      <c r="G33" s="49"/>
      <c r="H33" s="42"/>
      <c r="I33" s="9"/>
      <c r="J33" s="46"/>
      <c r="K33" s="44"/>
      <c r="L33" s="44"/>
      <c r="M33" s="45"/>
    </row>
    <row r="34" spans="1:13" ht="14.1" customHeight="1" x14ac:dyDescent="0.3">
      <c r="A34" s="24"/>
      <c r="B34" s="32" t="s">
        <v>106</v>
      </c>
      <c r="C34" s="33"/>
      <c r="D34" s="34"/>
      <c r="E34" s="35"/>
      <c r="F34" s="35"/>
      <c r="G34" s="36"/>
      <c r="H34" s="19"/>
      <c r="I34" s="17"/>
      <c r="J34" s="23"/>
      <c r="K34" s="17"/>
      <c r="L34" s="17"/>
      <c r="M34" s="18"/>
    </row>
    <row r="35" spans="1:13" ht="14.1" customHeight="1" x14ac:dyDescent="0.3">
      <c r="A35" s="24">
        <v>17</v>
      </c>
      <c r="B35" s="53" t="s">
        <v>96</v>
      </c>
      <c r="C35" s="54"/>
      <c r="D35" s="47"/>
      <c r="E35" s="48"/>
      <c r="F35" s="48"/>
      <c r="G35" s="49"/>
      <c r="H35" s="42"/>
      <c r="I35" s="9"/>
      <c r="J35" s="46"/>
      <c r="K35" s="44"/>
      <c r="L35" s="44"/>
      <c r="M35" s="45"/>
    </row>
    <row r="36" spans="1:13" ht="14.1" customHeight="1" x14ac:dyDescent="0.3">
      <c r="A36" s="24"/>
      <c r="B36" s="32" t="s">
        <v>95</v>
      </c>
      <c r="C36" s="33"/>
      <c r="D36" s="34"/>
      <c r="E36" s="35"/>
      <c r="F36" s="35"/>
      <c r="G36" s="36"/>
      <c r="H36" s="19"/>
      <c r="I36" s="17"/>
      <c r="J36" s="23"/>
      <c r="K36" s="17"/>
      <c r="L36" s="17"/>
      <c r="M36" s="18"/>
    </row>
    <row r="37" spans="1:13" ht="14.1" customHeight="1" x14ac:dyDescent="0.3">
      <c r="A37" s="24">
        <v>18</v>
      </c>
      <c r="B37" s="26" t="s">
        <v>105</v>
      </c>
      <c r="C37" s="27"/>
      <c r="D37" s="86"/>
      <c r="E37" s="87"/>
      <c r="F37" s="87"/>
      <c r="G37" s="88"/>
      <c r="H37" s="9"/>
      <c r="I37" s="9"/>
      <c r="J37" s="46"/>
      <c r="K37" s="44"/>
      <c r="L37" s="44"/>
      <c r="M37" s="45"/>
    </row>
    <row r="38" spans="1:13" ht="14.1" customHeight="1" x14ac:dyDescent="0.3">
      <c r="A38" s="24"/>
      <c r="B38" s="32" t="s">
        <v>104</v>
      </c>
      <c r="C38" s="33"/>
      <c r="D38" s="83"/>
      <c r="E38" s="84"/>
      <c r="F38" s="84"/>
      <c r="G38" s="85"/>
      <c r="H38" s="17"/>
      <c r="I38" s="17"/>
      <c r="J38" s="23"/>
      <c r="K38" s="17"/>
      <c r="L38" s="17"/>
      <c r="M38" s="18"/>
    </row>
    <row r="39" spans="1:13" ht="14.1" customHeight="1" x14ac:dyDescent="0.3">
      <c r="A39" s="24">
        <v>19</v>
      </c>
      <c r="B39" s="26" t="s">
        <v>101</v>
      </c>
      <c r="C39" s="27"/>
      <c r="D39" s="47"/>
      <c r="E39" s="48"/>
      <c r="F39" s="48"/>
      <c r="G39" s="49"/>
      <c r="H39" s="9">
        <f>SUM(I39)-3.5</f>
        <v>65.599999999999994</v>
      </c>
      <c r="I39" s="9">
        <f>SUM(J39)-3.5</f>
        <v>69.099999999999994</v>
      </c>
      <c r="J39" s="46">
        <v>72.599999999999994</v>
      </c>
      <c r="K39" s="44">
        <f>SUM(J39)+3.5</f>
        <v>76.099999999999994</v>
      </c>
      <c r="L39" s="44">
        <f>SUM(K39)+3.5</f>
        <v>79.599999999999994</v>
      </c>
      <c r="M39" s="45">
        <f>SUM(L39)+3.5</f>
        <v>83.1</v>
      </c>
    </row>
    <row r="40" spans="1:13" ht="14.1" customHeight="1" x14ac:dyDescent="0.3">
      <c r="A40" s="24"/>
      <c r="B40" s="32" t="s">
        <v>102</v>
      </c>
      <c r="C40" s="33"/>
      <c r="D40" s="34"/>
      <c r="E40" s="35"/>
      <c r="F40" s="35"/>
      <c r="G40" s="36"/>
      <c r="H40" s="17"/>
      <c r="I40" s="17"/>
      <c r="J40" s="23"/>
      <c r="K40" s="17"/>
      <c r="L40" s="17"/>
      <c r="M40" s="18"/>
    </row>
    <row r="41" spans="1:13" ht="14.1" customHeight="1" x14ac:dyDescent="0.3">
      <c r="A41" s="24">
        <v>20</v>
      </c>
      <c r="B41" s="26" t="s">
        <v>11</v>
      </c>
      <c r="C41" s="27"/>
      <c r="D41" s="37" t="s">
        <v>119</v>
      </c>
      <c r="E41" s="38"/>
      <c r="F41" s="38"/>
      <c r="G41" s="39"/>
      <c r="H41" s="9">
        <f>SUM(I41)-4</f>
        <v>68.8</v>
      </c>
      <c r="I41" s="9">
        <f>SUM(J41)-4</f>
        <v>72.8</v>
      </c>
      <c r="J41" s="7">
        <v>76.8</v>
      </c>
      <c r="K41" s="9">
        <f>SUM(J41)+4</f>
        <v>80.8</v>
      </c>
      <c r="L41" s="9">
        <f>SUM(K41)+4</f>
        <v>84.8</v>
      </c>
      <c r="M41" s="11">
        <f>SUM(L41)+4</f>
        <v>88.8</v>
      </c>
    </row>
    <row r="42" spans="1:13" ht="14.1" customHeight="1" x14ac:dyDescent="0.3">
      <c r="A42" s="24"/>
      <c r="B42" s="32" t="s">
        <v>44</v>
      </c>
      <c r="C42" s="33"/>
      <c r="D42" s="34" t="s">
        <v>83</v>
      </c>
      <c r="E42" s="35"/>
      <c r="F42" s="35"/>
      <c r="G42" s="36"/>
      <c r="H42" s="17"/>
      <c r="I42" s="17"/>
      <c r="J42" s="23"/>
      <c r="K42" s="17"/>
      <c r="L42" s="17"/>
      <c r="M42" s="18"/>
    </row>
    <row r="43" spans="1:13" ht="14.1" customHeight="1" x14ac:dyDescent="0.3">
      <c r="A43" s="24">
        <v>21</v>
      </c>
      <c r="B43" s="26" t="s">
        <v>94</v>
      </c>
      <c r="C43" s="27"/>
      <c r="D43" s="37"/>
      <c r="E43" s="38"/>
      <c r="F43" s="38"/>
      <c r="G43" s="39"/>
      <c r="H43" s="42">
        <f>SUM(I43)-0.7</f>
        <v>13.600000000000001</v>
      </c>
      <c r="I43" s="9">
        <f>SUM(J43)-0.7</f>
        <v>14.3</v>
      </c>
      <c r="J43" s="7">
        <v>15</v>
      </c>
      <c r="K43" s="9">
        <f>SUM(J43)+1.2</f>
        <v>16.2</v>
      </c>
      <c r="L43" s="9">
        <f>SUM(K43)+0.7</f>
        <v>16.899999999999999</v>
      </c>
      <c r="M43" s="40">
        <f>SUM(L43)+0.7</f>
        <v>17.599999999999998</v>
      </c>
    </row>
    <row r="44" spans="1:13" ht="14.1" customHeight="1" x14ac:dyDescent="0.3">
      <c r="A44" s="24"/>
      <c r="B44" s="32" t="s">
        <v>93</v>
      </c>
      <c r="C44" s="33"/>
      <c r="D44" s="20" t="s">
        <v>117</v>
      </c>
      <c r="E44" s="81"/>
      <c r="F44" s="81"/>
      <c r="G44" s="82"/>
      <c r="H44" s="19"/>
      <c r="I44" s="17"/>
      <c r="J44" s="23"/>
      <c r="K44" s="17"/>
      <c r="L44" s="17"/>
      <c r="M44" s="41"/>
    </row>
    <row r="45" spans="1:13" ht="14.1" customHeight="1" x14ac:dyDescent="0.3">
      <c r="A45" s="24">
        <v>22</v>
      </c>
      <c r="B45" s="26" t="s">
        <v>108</v>
      </c>
      <c r="C45" s="27"/>
      <c r="D45" s="37"/>
      <c r="E45" s="38"/>
      <c r="F45" s="38"/>
      <c r="G45" s="39"/>
      <c r="H45" s="42"/>
      <c r="I45" s="9"/>
      <c r="J45" s="7"/>
      <c r="K45" s="9"/>
      <c r="L45" s="9"/>
      <c r="M45" s="40"/>
    </row>
    <row r="46" spans="1:13" ht="14.1" customHeight="1" x14ac:dyDescent="0.3">
      <c r="A46" s="24"/>
      <c r="B46" s="32" t="s">
        <v>109</v>
      </c>
      <c r="C46" s="33"/>
      <c r="D46" s="20" t="s">
        <v>110</v>
      </c>
      <c r="E46" s="81"/>
      <c r="F46" s="81"/>
      <c r="G46" s="82"/>
      <c r="H46" s="19"/>
      <c r="I46" s="17"/>
      <c r="J46" s="23"/>
      <c r="K46" s="17"/>
      <c r="L46" s="17"/>
      <c r="M46" s="41"/>
    </row>
    <row r="47" spans="1:13" ht="14.1" customHeight="1" x14ac:dyDescent="0.3">
      <c r="A47" s="24">
        <v>23</v>
      </c>
      <c r="B47" s="26" t="s">
        <v>116</v>
      </c>
      <c r="C47" s="27"/>
      <c r="D47" s="37"/>
      <c r="E47" s="38"/>
      <c r="F47" s="38"/>
      <c r="G47" s="39"/>
      <c r="H47" s="9"/>
      <c r="I47" s="9"/>
      <c r="J47" s="7"/>
      <c r="K47" s="9"/>
      <c r="L47" s="9"/>
      <c r="M47" s="11"/>
    </row>
    <row r="48" spans="1:13" ht="14.1" customHeight="1" x14ac:dyDescent="0.3">
      <c r="A48" s="24"/>
      <c r="B48" s="32" t="s">
        <v>115</v>
      </c>
      <c r="C48" s="33"/>
      <c r="D48" s="20"/>
      <c r="E48" s="81"/>
      <c r="F48" s="81"/>
      <c r="G48" s="82"/>
      <c r="H48" s="17"/>
      <c r="I48" s="17"/>
      <c r="J48" s="23"/>
      <c r="K48" s="17"/>
      <c r="L48" s="17"/>
      <c r="M48" s="18"/>
    </row>
    <row r="49" spans="1:13" ht="14.1" customHeight="1" x14ac:dyDescent="0.3">
      <c r="A49" s="24">
        <v>24</v>
      </c>
      <c r="B49" s="26" t="s">
        <v>9</v>
      </c>
      <c r="C49" s="27"/>
      <c r="D49" s="37" t="s">
        <v>66</v>
      </c>
      <c r="E49" s="38"/>
      <c r="F49" s="38"/>
      <c r="G49" s="39"/>
      <c r="H49" s="9">
        <f>SUM(I49)-7</f>
        <v>51</v>
      </c>
      <c r="I49" s="9">
        <f>SUM(J49)-7</f>
        <v>58</v>
      </c>
      <c r="J49" s="7">
        <v>65</v>
      </c>
      <c r="K49" s="9">
        <f>SUM(J49)+6</f>
        <v>71</v>
      </c>
      <c r="L49" s="9">
        <f>SUM(K49)+6</f>
        <v>77</v>
      </c>
      <c r="M49" s="11">
        <f>SUM(L49)+6</f>
        <v>83</v>
      </c>
    </row>
    <row r="50" spans="1:13" ht="14.1" customHeight="1" x14ac:dyDescent="0.3">
      <c r="A50" s="24"/>
      <c r="B50" s="32" t="s">
        <v>45</v>
      </c>
      <c r="C50" s="33"/>
      <c r="D50" s="34" t="s">
        <v>82</v>
      </c>
      <c r="E50" s="35"/>
      <c r="F50" s="35"/>
      <c r="G50" s="36"/>
      <c r="H50" s="17"/>
      <c r="I50" s="17"/>
      <c r="J50" s="23"/>
      <c r="K50" s="17"/>
      <c r="L50" s="17"/>
      <c r="M50" s="18"/>
    </row>
    <row r="51" spans="1:13" ht="14.1" customHeight="1" x14ac:dyDescent="0.3">
      <c r="A51" s="24">
        <v>25</v>
      </c>
      <c r="B51" s="26" t="s">
        <v>13</v>
      </c>
      <c r="C51" s="27"/>
      <c r="D51" s="37" t="s">
        <v>14</v>
      </c>
      <c r="E51" s="38"/>
      <c r="F51" s="38"/>
      <c r="G51" s="39"/>
      <c r="H51" s="9">
        <f>SUM(I51)-1.8</f>
        <v>35.400000000000006</v>
      </c>
      <c r="I51" s="9">
        <f>SUM(J51)-1.8</f>
        <v>37.200000000000003</v>
      </c>
      <c r="J51" s="7">
        <v>39</v>
      </c>
      <c r="K51" s="9">
        <f>SUM(J51)+1.8</f>
        <v>40.799999999999997</v>
      </c>
      <c r="L51" s="9">
        <f>SUM(K51)+1.8</f>
        <v>42.599999999999994</v>
      </c>
      <c r="M51" s="11">
        <f>SUM(L51)+1.8</f>
        <v>44.399999999999991</v>
      </c>
    </row>
    <row r="52" spans="1:13" ht="14.1" customHeight="1" x14ac:dyDescent="0.3">
      <c r="A52" s="24"/>
      <c r="B52" s="32" t="s">
        <v>46</v>
      </c>
      <c r="C52" s="33"/>
      <c r="D52" s="43" t="s">
        <v>81</v>
      </c>
      <c r="E52" s="21"/>
      <c r="F52" s="21"/>
      <c r="G52" s="22"/>
      <c r="H52" s="17"/>
      <c r="I52" s="17"/>
      <c r="J52" s="23"/>
      <c r="K52" s="17"/>
      <c r="L52" s="17"/>
      <c r="M52" s="18"/>
    </row>
    <row r="53" spans="1:13" ht="14.1" customHeight="1" x14ac:dyDescent="0.3">
      <c r="A53" s="24">
        <v>26</v>
      </c>
      <c r="B53" s="26" t="s">
        <v>15</v>
      </c>
      <c r="C53" s="27"/>
      <c r="D53" s="37" t="s">
        <v>12</v>
      </c>
      <c r="E53" s="38"/>
      <c r="F53" s="38"/>
      <c r="G53" s="39"/>
      <c r="H53" s="42">
        <f>SUM(I53)-1.1</f>
        <v>21.599999999999998</v>
      </c>
      <c r="I53" s="9">
        <f>SUM(J53)-1.1</f>
        <v>22.7</v>
      </c>
      <c r="J53" s="7">
        <v>23.8</v>
      </c>
      <c r="K53" s="9">
        <f>SUM(J53)+1.6</f>
        <v>25.400000000000002</v>
      </c>
      <c r="L53" s="9">
        <f>SUM(K53)+1.1</f>
        <v>26.500000000000004</v>
      </c>
      <c r="M53" s="40">
        <f>SUM(L53)+1.1</f>
        <v>27.600000000000005</v>
      </c>
    </row>
    <row r="54" spans="1:13" ht="14.1" customHeight="1" x14ac:dyDescent="0.3">
      <c r="A54" s="24"/>
      <c r="B54" s="32" t="s">
        <v>52</v>
      </c>
      <c r="C54" s="33"/>
      <c r="D54" s="34" t="s">
        <v>80</v>
      </c>
      <c r="E54" s="35"/>
      <c r="F54" s="35"/>
      <c r="G54" s="36"/>
      <c r="H54" s="19"/>
      <c r="I54" s="17"/>
      <c r="J54" s="23"/>
      <c r="K54" s="17"/>
      <c r="L54" s="17"/>
      <c r="M54" s="41"/>
    </row>
    <row r="55" spans="1:13" ht="14.1" customHeight="1" x14ac:dyDescent="0.3">
      <c r="A55" s="24">
        <v>27</v>
      </c>
      <c r="B55" s="26" t="s">
        <v>16</v>
      </c>
      <c r="C55" s="27"/>
      <c r="D55" s="37" t="s">
        <v>12</v>
      </c>
      <c r="E55" s="38"/>
      <c r="F55" s="38"/>
      <c r="G55" s="39"/>
      <c r="H55" s="42">
        <f>SUM(I55)-1.3</f>
        <v>28.5</v>
      </c>
      <c r="I55" s="9">
        <f>SUM(J55)-1.3</f>
        <v>29.8</v>
      </c>
      <c r="J55" s="7">
        <v>31.1</v>
      </c>
      <c r="K55" s="9">
        <f>SUM(J55)+1.8</f>
        <v>32.9</v>
      </c>
      <c r="L55" s="9">
        <f>SUM(K55)+1.3</f>
        <v>34.199999999999996</v>
      </c>
      <c r="M55" s="40">
        <f>SUM(L55)+1.3</f>
        <v>35.499999999999993</v>
      </c>
    </row>
    <row r="56" spans="1:13" ht="14.1" customHeight="1" x14ac:dyDescent="0.3">
      <c r="A56" s="24"/>
      <c r="B56" s="32" t="s">
        <v>51</v>
      </c>
      <c r="C56" s="33"/>
      <c r="D56" s="34" t="s">
        <v>80</v>
      </c>
      <c r="E56" s="35"/>
      <c r="F56" s="35"/>
      <c r="G56" s="36"/>
      <c r="H56" s="19"/>
      <c r="I56" s="17"/>
      <c r="J56" s="23"/>
      <c r="K56" s="17"/>
      <c r="L56" s="17"/>
      <c r="M56" s="41"/>
    </row>
    <row r="57" spans="1:13" ht="14.1" customHeight="1" x14ac:dyDescent="0.3">
      <c r="A57" s="24">
        <v>28</v>
      </c>
      <c r="B57" s="26" t="s">
        <v>17</v>
      </c>
      <c r="C57" s="27"/>
      <c r="D57" s="37" t="s">
        <v>18</v>
      </c>
      <c r="E57" s="38"/>
      <c r="F57" s="38"/>
      <c r="G57" s="39"/>
      <c r="H57" s="9">
        <f>SUM(I57)-2.7</f>
        <v>42.999999999999993</v>
      </c>
      <c r="I57" s="9">
        <f>SUM(J57)-2.7</f>
        <v>45.699999999999996</v>
      </c>
      <c r="J57" s="7">
        <v>48.4</v>
      </c>
      <c r="K57" s="9">
        <f>SUM(J57)+2.6</f>
        <v>51</v>
      </c>
      <c r="L57" s="9">
        <f>SUM(K57)+2.6</f>
        <v>53.6</v>
      </c>
      <c r="M57" s="11">
        <f>SUM(L57)+2.6</f>
        <v>56.2</v>
      </c>
    </row>
    <row r="58" spans="1:13" ht="14.1" customHeight="1" x14ac:dyDescent="0.3">
      <c r="A58" s="24"/>
      <c r="B58" s="32" t="s">
        <v>50</v>
      </c>
      <c r="C58" s="33"/>
      <c r="D58" s="34" t="s">
        <v>79</v>
      </c>
      <c r="E58" s="35"/>
      <c r="F58" s="35"/>
      <c r="G58" s="36"/>
      <c r="H58" s="17"/>
      <c r="I58" s="17"/>
      <c r="J58" s="23"/>
      <c r="K58" s="17"/>
      <c r="L58" s="17"/>
      <c r="M58" s="18"/>
    </row>
    <row r="59" spans="1:13" ht="14.1" customHeight="1" x14ac:dyDescent="0.3">
      <c r="A59" s="24">
        <v>29</v>
      </c>
      <c r="B59" s="26" t="s">
        <v>19</v>
      </c>
      <c r="C59" s="27"/>
      <c r="D59" s="37" t="s">
        <v>20</v>
      </c>
      <c r="E59" s="38"/>
      <c r="F59" s="38"/>
      <c r="G59" s="39"/>
      <c r="H59" s="9">
        <f>SUM(I59)-6</f>
        <v>30.4</v>
      </c>
      <c r="I59" s="9">
        <f>SUM(J59)-6</f>
        <v>36.4</v>
      </c>
      <c r="J59" s="7">
        <v>42.4</v>
      </c>
      <c r="K59" s="9">
        <f>SUM(J59)+4.5</f>
        <v>46.9</v>
      </c>
      <c r="L59" s="9">
        <f>SUM(K59)+5</f>
        <v>51.9</v>
      </c>
      <c r="M59" s="11">
        <f>SUM(L59)+5</f>
        <v>56.9</v>
      </c>
    </row>
    <row r="60" spans="1:13" ht="14.1" customHeight="1" x14ac:dyDescent="0.3">
      <c r="A60" s="24"/>
      <c r="B60" s="32" t="s">
        <v>49</v>
      </c>
      <c r="C60" s="33"/>
      <c r="D60" s="34" t="s">
        <v>78</v>
      </c>
      <c r="E60" s="35"/>
      <c r="F60" s="35"/>
      <c r="G60" s="36"/>
      <c r="H60" s="17"/>
      <c r="I60" s="17"/>
      <c r="J60" s="23"/>
      <c r="K60" s="17"/>
      <c r="L60" s="17"/>
      <c r="M60" s="18"/>
    </row>
    <row r="61" spans="1:13" ht="14.1" customHeight="1" x14ac:dyDescent="0.3">
      <c r="A61" s="24">
        <v>30</v>
      </c>
      <c r="B61" s="26" t="s">
        <v>77</v>
      </c>
      <c r="C61" s="27"/>
      <c r="D61" s="37" t="s">
        <v>75</v>
      </c>
      <c r="E61" s="38"/>
      <c r="F61" s="38"/>
      <c r="G61" s="39"/>
      <c r="H61" s="9">
        <f>SUM(I61)-2</f>
        <v>39.1</v>
      </c>
      <c r="I61" s="9">
        <f>SUM(J61)-2</f>
        <v>41.1</v>
      </c>
      <c r="J61" s="7">
        <v>43.1</v>
      </c>
      <c r="K61" s="9">
        <f>SUM(J61)+2</f>
        <v>45.1</v>
      </c>
      <c r="L61" s="9">
        <f>SUM(K61)+2</f>
        <v>47.1</v>
      </c>
      <c r="M61" s="11">
        <f>SUM(L61)+2</f>
        <v>49.1</v>
      </c>
    </row>
    <row r="62" spans="1:13" ht="14.1" customHeight="1" x14ac:dyDescent="0.3">
      <c r="A62" s="24"/>
      <c r="B62" s="32" t="s">
        <v>76</v>
      </c>
      <c r="C62" s="33"/>
      <c r="D62" s="34" t="s">
        <v>75</v>
      </c>
      <c r="E62" s="35"/>
      <c r="F62" s="35"/>
      <c r="G62" s="36"/>
      <c r="H62" s="17"/>
      <c r="I62" s="17"/>
      <c r="J62" s="23"/>
      <c r="K62" s="17"/>
      <c r="L62" s="17"/>
      <c r="M62" s="18"/>
    </row>
    <row r="63" spans="1:13" ht="14.1" customHeight="1" x14ac:dyDescent="0.3">
      <c r="A63" s="24">
        <v>31</v>
      </c>
      <c r="B63" s="26" t="s">
        <v>74</v>
      </c>
      <c r="C63" s="27"/>
      <c r="D63" s="37" t="s">
        <v>73</v>
      </c>
      <c r="E63" s="38"/>
      <c r="F63" s="38"/>
      <c r="G63" s="39"/>
      <c r="H63" s="9">
        <f>SUM(I63)-3.4</f>
        <v>33</v>
      </c>
      <c r="I63" s="9">
        <f>SUM(J63)-3.4</f>
        <v>36.4</v>
      </c>
      <c r="J63" s="7">
        <v>39.799999999999997</v>
      </c>
      <c r="K63" s="9">
        <f>SUM(J63)+3.3</f>
        <v>43.099999999999994</v>
      </c>
      <c r="L63" s="9">
        <f>SUM(K63)+3</f>
        <v>46.099999999999994</v>
      </c>
      <c r="M63" s="11">
        <f>SUM(L63)+3</f>
        <v>49.099999999999994</v>
      </c>
    </row>
    <row r="64" spans="1:13" ht="14.1" customHeight="1" x14ac:dyDescent="0.3">
      <c r="A64" s="24"/>
      <c r="B64" s="32" t="s">
        <v>72</v>
      </c>
      <c r="C64" s="33"/>
      <c r="D64" s="34" t="s">
        <v>103</v>
      </c>
      <c r="E64" s="35"/>
      <c r="F64" s="35"/>
      <c r="G64" s="36"/>
      <c r="H64" s="17"/>
      <c r="I64" s="17"/>
      <c r="J64" s="23"/>
      <c r="K64" s="17"/>
      <c r="L64" s="17"/>
      <c r="M64" s="18"/>
    </row>
    <row r="65" spans="1:13" ht="14.1" customHeight="1" x14ac:dyDescent="0.3">
      <c r="A65" s="24">
        <v>32</v>
      </c>
      <c r="B65" s="26" t="s">
        <v>92</v>
      </c>
      <c r="C65" s="27"/>
      <c r="D65" s="37" t="s">
        <v>21</v>
      </c>
      <c r="E65" s="38"/>
      <c r="F65" s="38"/>
      <c r="G65" s="39"/>
      <c r="H65" s="9">
        <f>SUM(I65)-0.2</f>
        <v>4.5999999999999996</v>
      </c>
      <c r="I65" s="9">
        <f>SUM(J65)-0.2</f>
        <v>4.8</v>
      </c>
      <c r="J65" s="29">
        <v>5</v>
      </c>
      <c r="K65" s="30">
        <f>SUM(J65)+0.2</f>
        <v>5.2</v>
      </c>
      <c r="L65" s="30">
        <f>SUM(K65)+0.2</f>
        <v>5.4</v>
      </c>
      <c r="M65" s="31">
        <f>SUM(L65)+0.2</f>
        <v>5.6000000000000005</v>
      </c>
    </row>
    <row r="66" spans="1:13" ht="14.1" customHeight="1" x14ac:dyDescent="0.3">
      <c r="A66" s="24"/>
      <c r="B66" s="32" t="s">
        <v>48</v>
      </c>
      <c r="C66" s="33"/>
      <c r="D66" s="34" t="s">
        <v>91</v>
      </c>
      <c r="E66" s="35"/>
      <c r="F66" s="35"/>
      <c r="G66" s="36"/>
      <c r="H66" s="17"/>
      <c r="I66" s="17"/>
      <c r="J66" s="29"/>
      <c r="K66" s="30"/>
      <c r="L66" s="30"/>
      <c r="M66" s="31"/>
    </row>
    <row r="67" spans="1:13" ht="14.1" customHeight="1" x14ac:dyDescent="0.3">
      <c r="A67" s="24">
        <v>33</v>
      </c>
      <c r="B67" s="26" t="s">
        <v>90</v>
      </c>
      <c r="C67" s="27"/>
      <c r="D67" s="37" t="s">
        <v>22</v>
      </c>
      <c r="E67" s="38"/>
      <c r="F67" s="38"/>
      <c r="G67" s="39"/>
      <c r="H67" s="9">
        <f>SUM(I67)-0.6</f>
        <v>9.4</v>
      </c>
      <c r="I67" s="9">
        <f>SUM(J67)-0.6</f>
        <v>10</v>
      </c>
      <c r="J67" s="7">
        <v>10.6</v>
      </c>
      <c r="K67" s="9">
        <f>SUM(J67)+0.6</f>
        <v>11.2</v>
      </c>
      <c r="L67" s="9">
        <f>SUM(K67)+0.6</f>
        <v>11.799999999999999</v>
      </c>
      <c r="M67" s="11">
        <f>SUM(L67)+0.6</f>
        <v>12.399999999999999</v>
      </c>
    </row>
    <row r="68" spans="1:13" ht="14.1" customHeight="1" x14ac:dyDescent="0.3">
      <c r="A68" s="24"/>
      <c r="B68" s="32" t="s">
        <v>47</v>
      </c>
      <c r="C68" s="33"/>
      <c r="D68" s="34" t="s">
        <v>89</v>
      </c>
      <c r="E68" s="35"/>
      <c r="F68" s="35"/>
      <c r="G68" s="36"/>
      <c r="H68" s="17"/>
      <c r="I68" s="17"/>
      <c r="J68" s="23"/>
      <c r="K68" s="17"/>
      <c r="L68" s="17"/>
      <c r="M68" s="18"/>
    </row>
    <row r="69" spans="1:13" ht="14.1" customHeight="1" x14ac:dyDescent="0.3">
      <c r="A69" s="24">
        <v>34</v>
      </c>
      <c r="B69" s="26" t="s">
        <v>88</v>
      </c>
      <c r="C69" s="27"/>
      <c r="D69" s="28"/>
      <c r="E69" s="28"/>
      <c r="F69" s="28"/>
      <c r="G69" s="28"/>
      <c r="H69" s="9">
        <f>SUM(I69)-0.5</f>
        <v>10</v>
      </c>
      <c r="I69" s="9">
        <f>SUM(J69)-0.5</f>
        <v>10.5</v>
      </c>
      <c r="J69" s="7">
        <v>11</v>
      </c>
      <c r="K69" s="9">
        <f>SUM(J69)+0.5</f>
        <v>11.5</v>
      </c>
      <c r="L69" s="9">
        <f>SUM(K69)+0.5</f>
        <v>12</v>
      </c>
      <c r="M69" s="11">
        <f>SUM(L69)+0.5</f>
        <v>12.5</v>
      </c>
    </row>
    <row r="70" spans="1:13" ht="14.1" customHeight="1" x14ac:dyDescent="0.3">
      <c r="A70" s="24"/>
      <c r="B70" s="79" t="s">
        <v>87</v>
      </c>
      <c r="C70" s="80"/>
      <c r="D70" s="43"/>
      <c r="E70" s="21"/>
      <c r="F70" s="21"/>
      <c r="G70" s="22"/>
      <c r="H70" s="17"/>
      <c r="I70" s="17"/>
      <c r="J70" s="23"/>
      <c r="K70" s="17"/>
      <c r="L70" s="17"/>
      <c r="M70" s="18"/>
    </row>
    <row r="71" spans="1:13" ht="14.1" customHeight="1" x14ac:dyDescent="0.3">
      <c r="A71" s="24">
        <v>35</v>
      </c>
      <c r="B71" s="26" t="s">
        <v>86</v>
      </c>
      <c r="C71" s="27"/>
      <c r="D71" s="28"/>
      <c r="E71" s="28"/>
      <c r="F71" s="28"/>
      <c r="G71" s="28"/>
      <c r="H71" s="9">
        <f>SUM(I71)-0.5</f>
        <v>10</v>
      </c>
      <c r="I71" s="9">
        <f>SUM(J71)-0.5</f>
        <v>10.5</v>
      </c>
      <c r="J71" s="7">
        <v>11</v>
      </c>
      <c r="K71" s="9">
        <f>SUM(J71)+0.5</f>
        <v>11.5</v>
      </c>
      <c r="L71" s="9">
        <f>SUM(K71)+0.5</f>
        <v>12</v>
      </c>
      <c r="M71" s="11">
        <f>SUM(L71)+0.5</f>
        <v>12.5</v>
      </c>
    </row>
    <row r="72" spans="1:13" ht="14.1" customHeight="1" x14ac:dyDescent="0.3">
      <c r="A72" s="24"/>
      <c r="B72" s="19" t="s">
        <v>85</v>
      </c>
      <c r="C72" s="19"/>
      <c r="D72" s="43"/>
      <c r="E72" s="21"/>
      <c r="F72" s="21"/>
      <c r="G72" s="22"/>
      <c r="H72" s="17"/>
      <c r="I72" s="17"/>
      <c r="J72" s="23"/>
      <c r="K72" s="17"/>
      <c r="L72" s="17"/>
      <c r="M72" s="18"/>
    </row>
    <row r="73" spans="1:13" s="1" customFormat="1" ht="14.1" customHeight="1" x14ac:dyDescent="0.3">
      <c r="A73" s="24">
        <v>36</v>
      </c>
      <c r="B73" s="77" t="s">
        <v>125</v>
      </c>
      <c r="C73" s="77"/>
      <c r="D73" s="78"/>
      <c r="E73" s="78"/>
      <c r="F73" s="78"/>
      <c r="G73" s="78"/>
      <c r="H73" s="44">
        <f>SUM(I73)-0</f>
        <v>4</v>
      </c>
      <c r="I73" s="44">
        <f>SUM(J73)-0</f>
        <v>4</v>
      </c>
      <c r="J73" s="46">
        <v>4</v>
      </c>
      <c r="K73" s="44">
        <f>SUM(J73)+0.3</f>
        <v>4.3</v>
      </c>
      <c r="L73" s="44">
        <f>SUM(K73)+0</f>
        <v>4.3</v>
      </c>
      <c r="M73" s="45">
        <f>SUM(L73)+0</f>
        <v>4.3</v>
      </c>
    </row>
    <row r="74" spans="1:13" s="1" customFormat="1" ht="14.1" customHeight="1" thickBot="1" x14ac:dyDescent="0.35">
      <c r="A74" s="25"/>
      <c r="B74" s="13" t="s">
        <v>126</v>
      </c>
      <c r="C74" s="13"/>
      <c r="D74" s="14"/>
      <c r="E74" s="15"/>
      <c r="F74" s="15"/>
      <c r="G74" s="16"/>
      <c r="H74" s="10"/>
      <c r="I74" s="10"/>
      <c r="J74" s="8"/>
      <c r="K74" s="10"/>
      <c r="L74" s="10"/>
      <c r="M74" s="12"/>
    </row>
  </sheetData>
  <mergeCells count="39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3:A14"/>
    <mergeCell ref="B13:C13"/>
    <mergeCell ref="D13:G13"/>
    <mergeCell ref="H13:H14"/>
    <mergeCell ref="I13:I14"/>
    <mergeCell ref="A9:A10"/>
    <mergeCell ref="B9:C9"/>
    <mergeCell ref="D9:G9"/>
    <mergeCell ref="H9:H10"/>
    <mergeCell ref="I9:I10"/>
    <mergeCell ref="A11:A12"/>
    <mergeCell ref="A7:A8"/>
    <mergeCell ref="B7:C7"/>
    <mergeCell ref="D7:G7"/>
    <mergeCell ref="H7:H8"/>
    <mergeCell ref="I7:I8"/>
    <mergeCell ref="J13:J14"/>
    <mergeCell ref="K13:K14"/>
    <mergeCell ref="L13:L14"/>
    <mergeCell ref="M13:M14"/>
    <mergeCell ref="B14:C14"/>
    <mergeCell ref="D14:G14"/>
    <mergeCell ref="K9:K10"/>
    <mergeCell ref="L9:L10"/>
    <mergeCell ref="M9:M10"/>
    <mergeCell ref="B10:C10"/>
    <mergeCell ref="D10:G10"/>
    <mergeCell ref="J9:J10"/>
    <mergeCell ref="B11:C11"/>
    <mergeCell ref="D11:G11"/>
    <mergeCell ref="H11:H12"/>
    <mergeCell ref="I11:I12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A33:A34"/>
    <mergeCell ref="B33:C33"/>
    <mergeCell ref="D33:G33"/>
    <mergeCell ref="H33:H34"/>
    <mergeCell ref="I33:I34"/>
    <mergeCell ref="B32:C32"/>
    <mergeCell ref="D32:G32"/>
    <mergeCell ref="B30:C30"/>
    <mergeCell ref="D30:G30"/>
    <mergeCell ref="A29:A30"/>
    <mergeCell ref="B29:C29"/>
    <mergeCell ref="D29:G29"/>
    <mergeCell ref="H29:H30"/>
    <mergeCell ref="I29:I30"/>
    <mergeCell ref="A31:A32"/>
    <mergeCell ref="B28:C28"/>
    <mergeCell ref="D28:G28"/>
    <mergeCell ref="B26:C26"/>
    <mergeCell ref="D26:G26"/>
    <mergeCell ref="A27:A28"/>
    <mergeCell ref="J11:J12"/>
    <mergeCell ref="K11:K12"/>
    <mergeCell ref="L11:L12"/>
    <mergeCell ref="M11:M12"/>
    <mergeCell ref="B12:C12"/>
    <mergeCell ref="D12:G12"/>
    <mergeCell ref="B16:C16"/>
    <mergeCell ref="D16:G16"/>
    <mergeCell ref="A15:A16"/>
    <mergeCell ref="B15:C15"/>
    <mergeCell ref="D15:G15"/>
    <mergeCell ref="H15:H16"/>
    <mergeCell ref="I15:I16"/>
    <mergeCell ref="B27:C27"/>
    <mergeCell ref="D27:G27"/>
    <mergeCell ref="H27:H28"/>
    <mergeCell ref="I27:I28"/>
    <mergeCell ref="A25:A26"/>
    <mergeCell ref="B25:C25"/>
    <mergeCell ref="K33:K34"/>
    <mergeCell ref="L33:L34"/>
    <mergeCell ref="M33:M34"/>
    <mergeCell ref="B34:C34"/>
    <mergeCell ref="D34:G34"/>
    <mergeCell ref="J33:J34"/>
    <mergeCell ref="J31:J32"/>
    <mergeCell ref="K31:K32"/>
    <mergeCell ref="L31:L32"/>
    <mergeCell ref="M31:M32"/>
    <mergeCell ref="B31:C31"/>
    <mergeCell ref="D31:G31"/>
    <mergeCell ref="H31:H32"/>
    <mergeCell ref="I31:I32"/>
    <mergeCell ref="K29:K30"/>
    <mergeCell ref="L29:L30"/>
    <mergeCell ref="M29:M30"/>
    <mergeCell ref="J29:J30"/>
    <mergeCell ref="J27:J28"/>
    <mergeCell ref="K27:K28"/>
    <mergeCell ref="L27:L28"/>
    <mergeCell ref="M27:M28"/>
    <mergeCell ref="K15:K16"/>
    <mergeCell ref="L15:L16"/>
    <mergeCell ref="M15:M16"/>
    <mergeCell ref="J15:J16"/>
    <mergeCell ref="K25:K26"/>
    <mergeCell ref="L25:L26"/>
    <mergeCell ref="M25:M26"/>
    <mergeCell ref="K21:K22"/>
    <mergeCell ref="L21:L22"/>
    <mergeCell ref="M21:M22"/>
    <mergeCell ref="J21:J22"/>
    <mergeCell ref="J19:J20"/>
    <mergeCell ref="K19:K20"/>
    <mergeCell ref="L19:L20"/>
    <mergeCell ref="M19:M20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5:A46"/>
    <mergeCell ref="B45:C45"/>
    <mergeCell ref="D45:G45"/>
    <mergeCell ref="H45:H46"/>
    <mergeCell ref="I45:I46"/>
    <mergeCell ref="A43:A44"/>
    <mergeCell ref="B43:C43"/>
    <mergeCell ref="D43:G43"/>
    <mergeCell ref="H43:H44"/>
    <mergeCell ref="I43:I44"/>
    <mergeCell ref="J45:J46"/>
    <mergeCell ref="K45:K46"/>
    <mergeCell ref="L45:L46"/>
    <mergeCell ref="M45:M46"/>
    <mergeCell ref="B46:C46"/>
    <mergeCell ref="D46:G46"/>
    <mergeCell ref="K43:K44"/>
    <mergeCell ref="L43:L44"/>
    <mergeCell ref="M43:M44"/>
    <mergeCell ref="B44:C44"/>
    <mergeCell ref="D44:G44"/>
    <mergeCell ref="J43:J44"/>
    <mergeCell ref="A49:A50"/>
    <mergeCell ref="B49:C49"/>
    <mergeCell ref="D49:G49"/>
    <mergeCell ref="H49:H50"/>
    <mergeCell ref="I49:I50"/>
    <mergeCell ref="A47:A48"/>
    <mergeCell ref="B47:C47"/>
    <mergeCell ref="D47:G47"/>
    <mergeCell ref="H47:H48"/>
    <mergeCell ref="I47:I48"/>
    <mergeCell ref="J49:J50"/>
    <mergeCell ref="K49:K50"/>
    <mergeCell ref="L49:L50"/>
    <mergeCell ref="M49:M50"/>
    <mergeCell ref="B50:C50"/>
    <mergeCell ref="D50:G50"/>
    <mergeCell ref="K47:K48"/>
    <mergeCell ref="L47:L48"/>
    <mergeCell ref="M47:M48"/>
    <mergeCell ref="B48:C48"/>
    <mergeCell ref="D48:G48"/>
    <mergeCell ref="J47:J48"/>
    <mergeCell ref="A53:A54"/>
    <mergeCell ref="B53:C53"/>
    <mergeCell ref="D53:G53"/>
    <mergeCell ref="H53:H54"/>
    <mergeCell ref="I53:I54"/>
    <mergeCell ref="A51:A52"/>
    <mergeCell ref="B51:C51"/>
    <mergeCell ref="D51:G51"/>
    <mergeCell ref="H51:H52"/>
    <mergeCell ref="I51:I52"/>
    <mergeCell ref="J53:J54"/>
    <mergeCell ref="K53:K54"/>
    <mergeCell ref="L53:L54"/>
    <mergeCell ref="M53:M54"/>
    <mergeCell ref="B54:C54"/>
    <mergeCell ref="D54:G54"/>
    <mergeCell ref="K51:K52"/>
    <mergeCell ref="L51:L52"/>
    <mergeCell ref="M51:M52"/>
    <mergeCell ref="B52:C52"/>
    <mergeCell ref="D52:G52"/>
    <mergeCell ref="J51:J52"/>
    <mergeCell ref="A57:A58"/>
    <mergeCell ref="B57:C57"/>
    <mergeCell ref="D57:G57"/>
    <mergeCell ref="H57:H58"/>
    <mergeCell ref="I57:I58"/>
    <mergeCell ref="A55:A56"/>
    <mergeCell ref="B55:C55"/>
    <mergeCell ref="D55:G55"/>
    <mergeCell ref="H55:H56"/>
    <mergeCell ref="I55:I56"/>
    <mergeCell ref="J57:J58"/>
    <mergeCell ref="K57:K58"/>
    <mergeCell ref="L57:L58"/>
    <mergeCell ref="M57:M58"/>
    <mergeCell ref="B58:C58"/>
    <mergeCell ref="D58:G58"/>
    <mergeCell ref="K55:K56"/>
    <mergeCell ref="L55:L56"/>
    <mergeCell ref="M55:M56"/>
    <mergeCell ref="B56:C56"/>
    <mergeCell ref="D56:G56"/>
    <mergeCell ref="J55:J56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D60:G60"/>
    <mergeCell ref="J59:J60"/>
    <mergeCell ref="A65:A66"/>
    <mergeCell ref="B65:C65"/>
    <mergeCell ref="D65:G65"/>
    <mergeCell ref="H65:H66"/>
    <mergeCell ref="I65:I66"/>
    <mergeCell ref="A63:A64"/>
    <mergeCell ref="B63:C63"/>
    <mergeCell ref="D63:G63"/>
    <mergeCell ref="H63:H64"/>
    <mergeCell ref="I63:I64"/>
    <mergeCell ref="J65:J66"/>
    <mergeCell ref="K65:K66"/>
    <mergeCell ref="L65:L66"/>
    <mergeCell ref="M65:M66"/>
    <mergeCell ref="B66:C66"/>
    <mergeCell ref="D66:G66"/>
    <mergeCell ref="K63:K64"/>
    <mergeCell ref="L63:L64"/>
    <mergeCell ref="M63:M64"/>
    <mergeCell ref="B64:C64"/>
    <mergeCell ref="D64:G64"/>
    <mergeCell ref="J63:J64"/>
    <mergeCell ref="A69:A70"/>
    <mergeCell ref="B69:C69"/>
    <mergeCell ref="D69:G69"/>
    <mergeCell ref="H69:H70"/>
    <mergeCell ref="I69:I70"/>
    <mergeCell ref="A67:A68"/>
    <mergeCell ref="B67:C67"/>
    <mergeCell ref="D67:G67"/>
    <mergeCell ref="H67:H68"/>
    <mergeCell ref="I67:I68"/>
    <mergeCell ref="J69:J70"/>
    <mergeCell ref="K69:K70"/>
    <mergeCell ref="L69:L70"/>
    <mergeCell ref="M69:M70"/>
    <mergeCell ref="B70:C70"/>
    <mergeCell ref="D70:G70"/>
    <mergeCell ref="K67:K68"/>
    <mergeCell ref="L67:L68"/>
    <mergeCell ref="M67:M68"/>
    <mergeCell ref="B68:C68"/>
    <mergeCell ref="D68:G68"/>
    <mergeCell ref="J67:J68"/>
    <mergeCell ref="D74:G74"/>
    <mergeCell ref="K71:K72"/>
    <mergeCell ref="L71:L72"/>
    <mergeCell ref="M71:M72"/>
    <mergeCell ref="B72:C72"/>
    <mergeCell ref="D72:G72"/>
    <mergeCell ref="J71:J72"/>
    <mergeCell ref="A73:A74"/>
    <mergeCell ref="B73:C73"/>
    <mergeCell ref="D73:G73"/>
    <mergeCell ref="H73:H74"/>
    <mergeCell ref="I73:I74"/>
    <mergeCell ref="A71:A72"/>
    <mergeCell ref="B71:C71"/>
    <mergeCell ref="D71:G71"/>
    <mergeCell ref="H71:H72"/>
    <mergeCell ref="I71:I72"/>
    <mergeCell ref="J73:J74"/>
    <mergeCell ref="K73:K74"/>
    <mergeCell ref="L73:L74"/>
    <mergeCell ref="M73:M74"/>
    <mergeCell ref="B74:C74"/>
  </mergeCells>
  <phoneticPr fontId="5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6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E73A-3796-4C22-96E4-74B63BBE94DD}">
  <sheetPr>
    <tabColor rgb="FF00B050"/>
    <pageSetUpPr fitToPage="1"/>
  </sheetPr>
  <dimension ref="A1:M74"/>
  <sheetViews>
    <sheetView topLeftCell="A7" zoomScale="110" zoomScaleNormal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197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128</v>
      </c>
      <c r="E3" s="72"/>
      <c r="F3" s="72"/>
      <c r="G3" s="73"/>
      <c r="H3" s="75">
        <v>37.700000000000003</v>
      </c>
      <c r="I3" s="75">
        <f>SUM(H3)+3.5</f>
        <v>41.2</v>
      </c>
      <c r="J3" s="75">
        <f>SUM(I3)+3.5</f>
        <v>44.7</v>
      </c>
      <c r="K3" s="75">
        <f>SUM(J3)+3</f>
        <v>47.7</v>
      </c>
      <c r="L3" s="75">
        <f>SUM(K3)+3</f>
        <v>50.7</v>
      </c>
      <c r="M3" s="76">
        <f>SUM(L3)+3</f>
        <v>53.7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30"/>
      <c r="I4" s="9"/>
      <c r="J4" s="9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29.9</v>
      </c>
      <c r="I5" s="9">
        <f>SUM(H5)+2</f>
        <v>31.9</v>
      </c>
      <c r="J5" s="9">
        <f>SUM(I5)+2</f>
        <v>33.9</v>
      </c>
      <c r="K5" s="9">
        <f>SUM(J5)+1.8</f>
        <v>35.699999999999996</v>
      </c>
      <c r="L5" s="9">
        <f>SUM(K5)+1.8</f>
        <v>37.499999999999993</v>
      </c>
      <c r="M5" s="11">
        <f>SUM(L5)+1.8</f>
        <v>39.29999999999999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17"/>
      <c r="J6" s="17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178</v>
      </c>
      <c r="E7" s="28"/>
      <c r="F7" s="28"/>
      <c r="G7" s="28"/>
      <c r="H7" s="30">
        <v>35</v>
      </c>
      <c r="I7" s="30">
        <f>SUM(H7)+2.25</f>
        <v>37.25</v>
      </c>
      <c r="J7" s="30">
        <f>SUM(I7)+2.25</f>
        <v>39.5</v>
      </c>
      <c r="K7" s="30">
        <f>SUM(J7)+2</f>
        <v>41.5</v>
      </c>
      <c r="L7" s="30">
        <f>SUM(K7)+2</f>
        <v>43.5</v>
      </c>
      <c r="M7" s="31">
        <f>SUM(L7)+2</f>
        <v>45.5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1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30">
        <v>29</v>
      </c>
      <c r="I9" s="30">
        <f>SUM(H9)+2</f>
        <v>31</v>
      </c>
      <c r="J9" s="30">
        <f>SUM(I9)+2</f>
        <v>33</v>
      </c>
      <c r="K9" s="30">
        <f>SUM(J9)+1.8</f>
        <v>34.799999999999997</v>
      </c>
      <c r="L9" s="30">
        <f>SUM(K9)+1.8</f>
        <v>36.599999999999994</v>
      </c>
      <c r="M9" s="31">
        <f>SUM(L9)+1.8</f>
        <v>38.399999999999991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30"/>
      <c r="I10" s="30"/>
      <c r="J10" s="30"/>
      <c r="K10" s="30"/>
      <c r="L10" s="30"/>
      <c r="M10" s="31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30">
        <v>15.8</v>
      </c>
      <c r="I11" s="30">
        <f t="shared" ref="I11:M11" si="0">SUM(H11)+0.8</f>
        <v>16.600000000000001</v>
      </c>
      <c r="J11" s="30">
        <f t="shared" si="0"/>
        <v>17.400000000000002</v>
      </c>
      <c r="K11" s="30">
        <f t="shared" si="0"/>
        <v>18.200000000000003</v>
      </c>
      <c r="L11" s="30">
        <f t="shared" si="0"/>
        <v>19.000000000000004</v>
      </c>
      <c r="M11" s="31">
        <f t="shared" si="0"/>
        <v>19.800000000000004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30"/>
      <c r="I12" s="30"/>
      <c r="J12" s="30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129</v>
      </c>
      <c r="E13" s="28"/>
      <c r="F13" s="28"/>
      <c r="G13" s="28"/>
      <c r="H13" s="30">
        <v>13.1</v>
      </c>
      <c r="I13" s="30">
        <f t="shared" ref="I13:M13" si="1">SUM(H13)+0.6</f>
        <v>13.7</v>
      </c>
      <c r="J13" s="30">
        <f t="shared" si="1"/>
        <v>14.299999999999999</v>
      </c>
      <c r="K13" s="30">
        <f t="shared" si="1"/>
        <v>14.899999999999999</v>
      </c>
      <c r="L13" s="30">
        <f t="shared" si="1"/>
        <v>15.499999999999998</v>
      </c>
      <c r="M13" s="31">
        <f t="shared" si="1"/>
        <v>16.099999999999998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179</v>
      </c>
      <c r="E14" s="21"/>
      <c r="F14" s="21"/>
      <c r="G14" s="22"/>
      <c r="H14" s="30"/>
      <c r="I14" s="30"/>
      <c r="J14" s="30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30">
        <v>6.5</v>
      </c>
      <c r="I15" s="30">
        <f t="shared" ref="I15:M15" si="2">SUM(H15)+0.3</f>
        <v>6.8</v>
      </c>
      <c r="J15" s="30">
        <f t="shared" si="2"/>
        <v>7.1</v>
      </c>
      <c r="K15" s="30">
        <f t="shared" si="2"/>
        <v>7.3999999999999995</v>
      </c>
      <c r="L15" s="30">
        <f t="shared" si="2"/>
        <v>7.6999999999999993</v>
      </c>
      <c r="M15" s="31">
        <f t="shared" si="2"/>
        <v>7.9999999999999991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180</v>
      </c>
      <c r="E16" s="21"/>
      <c r="F16" s="21"/>
      <c r="G16" s="22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24">
        <v>8</v>
      </c>
      <c r="B17" s="42" t="s">
        <v>4</v>
      </c>
      <c r="C17" s="42"/>
      <c r="D17" s="28" t="s">
        <v>5</v>
      </c>
      <c r="E17" s="28"/>
      <c r="F17" s="28"/>
      <c r="G17" s="28"/>
      <c r="H17" s="30">
        <v>30.5</v>
      </c>
      <c r="I17" s="30">
        <f t="shared" ref="I17:M17" si="3">SUM(H17)+3.5</f>
        <v>34</v>
      </c>
      <c r="J17" s="30">
        <f t="shared" si="3"/>
        <v>37.5</v>
      </c>
      <c r="K17" s="30">
        <f t="shared" si="3"/>
        <v>41</v>
      </c>
      <c r="L17" s="30">
        <f t="shared" si="3"/>
        <v>44.5</v>
      </c>
      <c r="M17" s="31">
        <f t="shared" si="3"/>
        <v>48</v>
      </c>
    </row>
    <row r="18" spans="1:13" s="1" customFormat="1" ht="14.1" customHeight="1" x14ac:dyDescent="0.3">
      <c r="A18" s="24"/>
      <c r="B18" s="19" t="s">
        <v>28</v>
      </c>
      <c r="C18" s="19"/>
      <c r="D18" s="43" t="s">
        <v>43</v>
      </c>
      <c r="E18" s="21"/>
      <c r="F18" s="21"/>
      <c r="G18" s="22"/>
      <c r="H18" s="30"/>
      <c r="I18" s="30"/>
      <c r="J18" s="30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6</v>
      </c>
      <c r="C19" s="42"/>
      <c r="D19" s="37" t="s">
        <v>7</v>
      </c>
      <c r="E19" s="38"/>
      <c r="F19" s="38"/>
      <c r="G19" s="39"/>
      <c r="H19" s="30">
        <v>30.5</v>
      </c>
      <c r="I19" s="30">
        <f t="shared" ref="I19:M19" si="4">SUM(H19)+1.5</f>
        <v>32</v>
      </c>
      <c r="J19" s="30">
        <f t="shared" si="4"/>
        <v>33.5</v>
      </c>
      <c r="K19" s="30">
        <f t="shared" si="4"/>
        <v>35</v>
      </c>
      <c r="L19" s="30">
        <f t="shared" si="4"/>
        <v>36.5</v>
      </c>
      <c r="M19" s="31">
        <f t="shared" si="4"/>
        <v>38</v>
      </c>
    </row>
    <row r="20" spans="1:13" s="1" customFormat="1" ht="14.1" customHeight="1" x14ac:dyDescent="0.3">
      <c r="A20" s="24"/>
      <c r="B20" s="19" t="s">
        <v>29</v>
      </c>
      <c r="C20" s="19"/>
      <c r="D20" s="43" t="s">
        <v>60</v>
      </c>
      <c r="E20" s="21"/>
      <c r="F20" s="21"/>
      <c r="G20" s="22"/>
      <c r="H20" s="30"/>
      <c r="I20" s="30"/>
      <c r="J20" s="30"/>
      <c r="K20" s="30"/>
      <c r="L20" s="30"/>
      <c r="M20" s="31"/>
    </row>
    <row r="21" spans="1:13" s="1" customFormat="1" ht="14.1" customHeight="1" x14ac:dyDescent="0.3">
      <c r="A21" s="24">
        <v>10</v>
      </c>
      <c r="B21" s="26" t="s">
        <v>131</v>
      </c>
      <c r="C21" s="27"/>
      <c r="D21" s="28" t="s">
        <v>62</v>
      </c>
      <c r="E21" s="28"/>
      <c r="F21" s="28"/>
      <c r="G21" s="28"/>
      <c r="H21" s="30">
        <v>17</v>
      </c>
      <c r="I21" s="30">
        <f t="shared" ref="I21:M21" si="5">SUM(H21)+0.6</f>
        <v>17.600000000000001</v>
      </c>
      <c r="J21" s="30">
        <f t="shared" si="5"/>
        <v>18.200000000000003</v>
      </c>
      <c r="K21" s="30">
        <f t="shared" si="5"/>
        <v>18.800000000000004</v>
      </c>
      <c r="L21" s="30">
        <f t="shared" si="5"/>
        <v>19.400000000000006</v>
      </c>
      <c r="M21" s="31">
        <f t="shared" si="5"/>
        <v>20.000000000000007</v>
      </c>
    </row>
    <row r="22" spans="1:13" s="1" customFormat="1" ht="14.1" customHeight="1" x14ac:dyDescent="0.3">
      <c r="A22" s="24"/>
      <c r="B22" s="19" t="s">
        <v>30</v>
      </c>
      <c r="C22" s="19"/>
      <c r="D22" s="43" t="s">
        <v>63</v>
      </c>
      <c r="E22" s="21"/>
      <c r="F22" s="21"/>
      <c r="G22" s="22"/>
      <c r="H22" s="30"/>
      <c r="I22" s="30"/>
      <c r="J22" s="30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181</v>
      </c>
      <c r="C23" s="27"/>
      <c r="D23" s="48" t="s">
        <v>182</v>
      </c>
      <c r="E23" s="48"/>
      <c r="F23" s="48"/>
      <c r="G23" s="48"/>
      <c r="H23" s="30">
        <v>10</v>
      </c>
      <c r="I23" s="30">
        <f t="shared" ref="I23:M23" si="6">SUM(H23)+0.2</f>
        <v>10.199999999999999</v>
      </c>
      <c r="J23" s="30">
        <f t="shared" si="6"/>
        <v>10.399999999999999</v>
      </c>
      <c r="K23" s="30">
        <f t="shared" si="6"/>
        <v>10.599999999999998</v>
      </c>
      <c r="L23" s="30">
        <f t="shared" si="6"/>
        <v>10.799999999999997</v>
      </c>
      <c r="M23" s="31">
        <f t="shared" si="6"/>
        <v>10.999999999999996</v>
      </c>
    </row>
    <row r="24" spans="1:13" s="1" customFormat="1" ht="14.1" customHeight="1" x14ac:dyDescent="0.3">
      <c r="A24" s="24"/>
      <c r="B24" s="19" t="s">
        <v>183</v>
      </c>
      <c r="C24" s="19"/>
      <c r="D24" s="43" t="s">
        <v>184</v>
      </c>
      <c r="E24" s="21"/>
      <c r="F24" s="21"/>
      <c r="G24" s="22"/>
      <c r="H24" s="30"/>
      <c r="I24" s="30"/>
      <c r="J24" s="30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185</v>
      </c>
      <c r="C25" s="27"/>
      <c r="D25" s="38"/>
      <c r="E25" s="38"/>
      <c r="F25" s="38"/>
      <c r="G25" s="38"/>
      <c r="H25" s="30">
        <v>22.6</v>
      </c>
      <c r="I25" s="30">
        <f>SUM(H25)+0.5</f>
        <v>23.1</v>
      </c>
      <c r="J25" s="30">
        <f>SUM(I25)+0.5</f>
        <v>23.6</v>
      </c>
      <c r="K25" s="30">
        <f>SUM(J25)+0.5</f>
        <v>24.1</v>
      </c>
      <c r="L25" s="30">
        <f>SUM(K25)+0.5</f>
        <v>24.6</v>
      </c>
      <c r="M25" s="31">
        <f>SUM(L25)+0.5</f>
        <v>25.1</v>
      </c>
    </row>
    <row r="26" spans="1:13" s="1" customFormat="1" ht="14.1" customHeight="1" x14ac:dyDescent="0.3">
      <c r="A26" s="24"/>
      <c r="B26" s="19" t="s">
        <v>186</v>
      </c>
      <c r="C26" s="19"/>
      <c r="D26" s="43"/>
      <c r="E26" s="21"/>
      <c r="F26" s="21"/>
      <c r="G26" s="22"/>
      <c r="H26" s="30"/>
      <c r="I26" s="30"/>
      <c r="J26" s="30"/>
      <c r="K26" s="30"/>
      <c r="L26" s="30"/>
      <c r="M26" s="31"/>
    </row>
    <row r="27" spans="1:13" s="1" customFormat="1" ht="14.1" customHeight="1" x14ac:dyDescent="0.3">
      <c r="A27" s="24">
        <v>13</v>
      </c>
      <c r="B27" s="53" t="s">
        <v>132</v>
      </c>
      <c r="C27" s="54"/>
      <c r="D27" s="99" t="s">
        <v>69</v>
      </c>
      <c r="E27" s="100"/>
      <c r="F27" s="100"/>
      <c r="G27" s="101"/>
      <c r="H27" s="44">
        <v>2</v>
      </c>
      <c r="I27" s="30">
        <f t="shared" ref="I27:M27" si="7">SUM(H27)+0.2</f>
        <v>2.2000000000000002</v>
      </c>
      <c r="J27" s="30">
        <f t="shared" si="7"/>
        <v>2.4000000000000004</v>
      </c>
      <c r="K27" s="30">
        <f t="shared" si="7"/>
        <v>2.6000000000000005</v>
      </c>
      <c r="L27" s="30">
        <f t="shared" si="7"/>
        <v>2.8000000000000007</v>
      </c>
      <c r="M27" s="31">
        <f t="shared" si="7"/>
        <v>3.0000000000000009</v>
      </c>
    </row>
    <row r="28" spans="1:13" s="1" customFormat="1" ht="14.1" customHeight="1" x14ac:dyDescent="0.3">
      <c r="A28" s="24"/>
      <c r="B28" s="79" t="s">
        <v>133</v>
      </c>
      <c r="C28" s="80"/>
      <c r="D28" s="43" t="s">
        <v>70</v>
      </c>
      <c r="E28" s="21"/>
      <c r="F28" s="21"/>
      <c r="G28" s="22"/>
      <c r="H28" s="17"/>
      <c r="I28" s="30"/>
      <c r="J28" s="30"/>
      <c r="K28" s="30"/>
      <c r="L28" s="30"/>
      <c r="M28" s="31"/>
    </row>
    <row r="29" spans="1:13" s="1" customFormat="1" ht="14.1" customHeight="1" x14ac:dyDescent="0.3">
      <c r="A29" s="24">
        <v>14</v>
      </c>
      <c r="B29" s="26" t="s">
        <v>187</v>
      </c>
      <c r="C29" s="27"/>
      <c r="D29" s="63" t="s">
        <v>188</v>
      </c>
      <c r="E29" s="64"/>
      <c r="F29" s="64"/>
      <c r="G29" s="65"/>
      <c r="H29" s="9">
        <v>2.7</v>
      </c>
      <c r="I29" s="30">
        <f t="shared" ref="I29:M29" si="8">SUM(H29)+0.4</f>
        <v>3.1</v>
      </c>
      <c r="J29" s="30">
        <f t="shared" si="8"/>
        <v>3.5</v>
      </c>
      <c r="K29" s="30">
        <f t="shared" si="8"/>
        <v>3.9</v>
      </c>
      <c r="L29" s="30">
        <f t="shared" si="8"/>
        <v>4.3</v>
      </c>
      <c r="M29" s="31">
        <f t="shared" si="8"/>
        <v>4.7</v>
      </c>
    </row>
    <row r="30" spans="1:13" s="1" customFormat="1" ht="14.1" customHeight="1" thickBot="1" x14ac:dyDescent="0.35">
      <c r="A30" s="97"/>
      <c r="B30" s="92" t="s">
        <v>189</v>
      </c>
      <c r="C30" s="93"/>
      <c r="D30" s="94" t="s">
        <v>190</v>
      </c>
      <c r="E30" s="95"/>
      <c r="F30" s="95"/>
      <c r="G30" s="96"/>
      <c r="H30" s="98"/>
      <c r="I30" s="89"/>
      <c r="J30" s="89"/>
      <c r="K30" s="89"/>
      <c r="L30" s="89"/>
      <c r="M30" s="90"/>
    </row>
    <row r="31" spans="1:13" ht="14.1" customHeight="1" thickTop="1" x14ac:dyDescent="0.3">
      <c r="A31" s="70">
        <v>15</v>
      </c>
      <c r="B31" s="53" t="s">
        <v>191</v>
      </c>
      <c r="C31" s="54"/>
      <c r="D31" s="47" t="s">
        <v>64</v>
      </c>
      <c r="E31" s="48"/>
      <c r="F31" s="48"/>
      <c r="G31" s="49"/>
      <c r="H31" s="17">
        <v>45</v>
      </c>
      <c r="I31" s="44">
        <f>SUM(H31)+3</f>
        <v>48</v>
      </c>
      <c r="J31" s="44">
        <f>SUM(I31)+3</f>
        <v>51</v>
      </c>
      <c r="K31" s="44">
        <f>SUM(J31)+3</f>
        <v>54</v>
      </c>
      <c r="L31" s="44">
        <f>SUM(K31)+3</f>
        <v>57</v>
      </c>
      <c r="M31" s="45">
        <f>SUM(L31)+3</f>
        <v>60</v>
      </c>
    </row>
    <row r="32" spans="1:13" ht="14.1" customHeight="1" x14ac:dyDescent="0.3">
      <c r="A32" s="24"/>
      <c r="B32" s="32" t="s">
        <v>192</v>
      </c>
      <c r="C32" s="33"/>
      <c r="D32" s="34" t="s">
        <v>65</v>
      </c>
      <c r="E32" s="35"/>
      <c r="F32" s="35"/>
      <c r="G32" s="36"/>
      <c r="H32" s="30"/>
      <c r="I32" s="17"/>
      <c r="J32" s="17"/>
      <c r="K32" s="17"/>
      <c r="L32" s="17"/>
      <c r="M32" s="18"/>
    </row>
    <row r="33" spans="1:13" ht="14.1" customHeight="1" x14ac:dyDescent="0.3">
      <c r="A33" s="24">
        <v>16</v>
      </c>
      <c r="B33" s="26" t="s">
        <v>11</v>
      </c>
      <c r="C33" s="27"/>
      <c r="D33" s="37" t="s">
        <v>136</v>
      </c>
      <c r="E33" s="38"/>
      <c r="F33" s="38"/>
      <c r="G33" s="39"/>
      <c r="H33" s="9">
        <v>58.3</v>
      </c>
      <c r="I33" s="9">
        <f t="shared" ref="I33:M33" si="9">SUM(H33)+4</f>
        <v>62.3</v>
      </c>
      <c r="J33" s="9">
        <f t="shared" si="9"/>
        <v>66.3</v>
      </c>
      <c r="K33" s="9">
        <f t="shared" si="9"/>
        <v>70.3</v>
      </c>
      <c r="L33" s="9">
        <f t="shared" si="9"/>
        <v>74.3</v>
      </c>
      <c r="M33" s="11">
        <f t="shared" si="9"/>
        <v>78.3</v>
      </c>
    </row>
    <row r="34" spans="1:13" ht="14.1" customHeight="1" x14ac:dyDescent="0.3">
      <c r="A34" s="24"/>
      <c r="B34" s="32" t="s">
        <v>44</v>
      </c>
      <c r="C34" s="33"/>
      <c r="D34" s="34" t="s">
        <v>83</v>
      </c>
      <c r="E34" s="35"/>
      <c r="F34" s="35"/>
      <c r="G34" s="36"/>
      <c r="H34" s="17"/>
      <c r="I34" s="17"/>
      <c r="J34" s="17"/>
      <c r="K34" s="17"/>
      <c r="L34" s="17"/>
      <c r="M34" s="18"/>
    </row>
    <row r="35" spans="1:13" ht="14.1" customHeight="1" x14ac:dyDescent="0.3">
      <c r="A35" s="24">
        <v>17</v>
      </c>
      <c r="B35" s="26" t="s">
        <v>9</v>
      </c>
      <c r="C35" s="27"/>
      <c r="D35" s="37" t="s">
        <v>66</v>
      </c>
      <c r="E35" s="38"/>
      <c r="F35" s="38"/>
      <c r="G35" s="39"/>
      <c r="H35" s="9">
        <v>48.5</v>
      </c>
      <c r="I35" s="9">
        <f>SUM(H35)+7</f>
        <v>55.5</v>
      </c>
      <c r="J35" s="9">
        <f>SUM(I35)+7</f>
        <v>62.5</v>
      </c>
      <c r="K35" s="9">
        <f>SUM(J35)+6</f>
        <v>68.5</v>
      </c>
      <c r="L35" s="9">
        <f>SUM(K35)+6</f>
        <v>74.5</v>
      </c>
      <c r="M35" s="11">
        <f>SUM(L35)+6</f>
        <v>80.5</v>
      </c>
    </row>
    <row r="36" spans="1:13" ht="14.1" customHeight="1" x14ac:dyDescent="0.3">
      <c r="A36" s="24"/>
      <c r="B36" s="32" t="s">
        <v>45</v>
      </c>
      <c r="C36" s="33"/>
      <c r="D36" s="34" t="s">
        <v>82</v>
      </c>
      <c r="E36" s="35"/>
      <c r="F36" s="35"/>
      <c r="G36" s="36"/>
      <c r="H36" s="17"/>
      <c r="I36" s="17"/>
      <c r="J36" s="17"/>
      <c r="K36" s="17"/>
      <c r="L36" s="17"/>
      <c r="M36" s="18"/>
    </row>
    <row r="37" spans="1:13" ht="14.1" customHeight="1" x14ac:dyDescent="0.3">
      <c r="A37" s="24">
        <v>18</v>
      </c>
      <c r="B37" s="26" t="s">
        <v>13</v>
      </c>
      <c r="C37" s="27"/>
      <c r="D37" s="37" t="s">
        <v>14</v>
      </c>
      <c r="E37" s="38"/>
      <c r="F37" s="38"/>
      <c r="G37" s="39"/>
      <c r="H37" s="9">
        <v>30</v>
      </c>
      <c r="I37" s="9">
        <f t="shared" ref="I37:M37" si="10">SUM(H37)+1.6</f>
        <v>31.6</v>
      </c>
      <c r="J37" s="9">
        <f t="shared" si="10"/>
        <v>33.200000000000003</v>
      </c>
      <c r="K37" s="9">
        <f t="shared" si="10"/>
        <v>34.800000000000004</v>
      </c>
      <c r="L37" s="9">
        <f t="shared" si="10"/>
        <v>36.400000000000006</v>
      </c>
      <c r="M37" s="11">
        <f t="shared" si="10"/>
        <v>38.000000000000007</v>
      </c>
    </row>
    <row r="38" spans="1:13" ht="14.1" customHeight="1" x14ac:dyDescent="0.3">
      <c r="A38" s="24"/>
      <c r="B38" s="32" t="s">
        <v>46</v>
      </c>
      <c r="C38" s="33"/>
      <c r="D38" s="43" t="s">
        <v>81</v>
      </c>
      <c r="E38" s="21"/>
      <c r="F38" s="21"/>
      <c r="G38" s="22"/>
      <c r="H38" s="17"/>
      <c r="I38" s="17"/>
      <c r="J38" s="17"/>
      <c r="K38" s="17"/>
      <c r="L38" s="17"/>
      <c r="M38" s="18"/>
    </row>
    <row r="39" spans="1:13" ht="14.1" customHeight="1" x14ac:dyDescent="0.3">
      <c r="A39" s="24">
        <v>19</v>
      </c>
      <c r="B39" s="26" t="s">
        <v>15</v>
      </c>
      <c r="C39" s="27"/>
      <c r="D39" s="37" t="s">
        <v>12</v>
      </c>
      <c r="E39" s="38"/>
      <c r="F39" s="38"/>
      <c r="G39" s="39"/>
      <c r="H39" s="9">
        <v>18.899999999999999</v>
      </c>
      <c r="I39" s="9">
        <f>SUM(H39)+1.1</f>
        <v>20</v>
      </c>
      <c r="J39" s="9">
        <f>SUM(I39)+1.1</f>
        <v>21.1</v>
      </c>
      <c r="K39" s="9">
        <f>SUM(J39)+1.6</f>
        <v>22.700000000000003</v>
      </c>
      <c r="L39" s="9">
        <f>SUM(K39)+1.1</f>
        <v>23.800000000000004</v>
      </c>
      <c r="M39" s="11">
        <f>SUM(L39)+1.1</f>
        <v>24.900000000000006</v>
      </c>
    </row>
    <row r="40" spans="1:13" ht="14.1" customHeight="1" x14ac:dyDescent="0.3">
      <c r="A40" s="24"/>
      <c r="B40" s="32" t="s">
        <v>52</v>
      </c>
      <c r="C40" s="33"/>
      <c r="D40" s="34" t="s">
        <v>80</v>
      </c>
      <c r="E40" s="35"/>
      <c r="F40" s="35"/>
      <c r="G40" s="36"/>
      <c r="H40" s="17"/>
      <c r="I40" s="17"/>
      <c r="J40" s="17"/>
      <c r="K40" s="17"/>
      <c r="L40" s="17"/>
      <c r="M40" s="18"/>
    </row>
    <row r="41" spans="1:13" ht="14.1" customHeight="1" x14ac:dyDescent="0.3">
      <c r="A41" s="24">
        <v>20</v>
      </c>
      <c r="B41" s="26" t="s">
        <v>16</v>
      </c>
      <c r="C41" s="27"/>
      <c r="D41" s="37" t="s">
        <v>12</v>
      </c>
      <c r="E41" s="38"/>
      <c r="F41" s="38"/>
      <c r="G41" s="39"/>
      <c r="H41" s="9">
        <v>24.1</v>
      </c>
      <c r="I41" s="9">
        <f>SUM(H41)+1.3</f>
        <v>25.400000000000002</v>
      </c>
      <c r="J41" s="9">
        <f>SUM(I41)+1.3</f>
        <v>26.700000000000003</v>
      </c>
      <c r="K41" s="9">
        <f>SUM(J41)+1.8</f>
        <v>28.500000000000004</v>
      </c>
      <c r="L41" s="9">
        <f>SUM(K41)+1.3</f>
        <v>29.800000000000004</v>
      </c>
      <c r="M41" s="11">
        <f>SUM(L41)+1.3</f>
        <v>31.100000000000005</v>
      </c>
    </row>
    <row r="42" spans="1:13" ht="14.1" customHeight="1" x14ac:dyDescent="0.3">
      <c r="A42" s="24"/>
      <c r="B42" s="32" t="s">
        <v>51</v>
      </c>
      <c r="C42" s="33"/>
      <c r="D42" s="34" t="s">
        <v>80</v>
      </c>
      <c r="E42" s="35"/>
      <c r="F42" s="35"/>
      <c r="G42" s="36"/>
      <c r="H42" s="17"/>
      <c r="I42" s="17"/>
      <c r="J42" s="17"/>
      <c r="K42" s="17"/>
      <c r="L42" s="17"/>
      <c r="M42" s="18"/>
    </row>
    <row r="43" spans="1:13" ht="14.1" customHeight="1" x14ac:dyDescent="0.3">
      <c r="A43" s="24">
        <v>21</v>
      </c>
      <c r="B43" s="26" t="s">
        <v>17</v>
      </c>
      <c r="C43" s="27"/>
      <c r="D43" s="37" t="s">
        <v>18</v>
      </c>
      <c r="E43" s="38"/>
      <c r="F43" s="38"/>
      <c r="G43" s="39"/>
      <c r="H43" s="9">
        <v>31.5</v>
      </c>
      <c r="I43" s="9">
        <f>SUM(H43)+2.7</f>
        <v>34.200000000000003</v>
      </c>
      <c r="J43" s="9">
        <f>SUM(I43)+2.7</f>
        <v>36.900000000000006</v>
      </c>
      <c r="K43" s="9">
        <f>SUM(J43)+2.6</f>
        <v>39.500000000000007</v>
      </c>
      <c r="L43" s="9">
        <f>SUM(K43)+2.6</f>
        <v>42.100000000000009</v>
      </c>
      <c r="M43" s="11">
        <f>SUM(L43)+2.6</f>
        <v>44.70000000000001</v>
      </c>
    </row>
    <row r="44" spans="1:13" ht="14.1" customHeight="1" x14ac:dyDescent="0.3">
      <c r="A44" s="24"/>
      <c r="B44" s="32" t="s">
        <v>50</v>
      </c>
      <c r="C44" s="33"/>
      <c r="D44" s="34" t="s">
        <v>79</v>
      </c>
      <c r="E44" s="35"/>
      <c r="F44" s="35"/>
      <c r="G44" s="36"/>
      <c r="H44" s="17"/>
      <c r="I44" s="17"/>
      <c r="J44" s="17"/>
      <c r="K44" s="17"/>
      <c r="L44" s="17"/>
      <c r="M44" s="18"/>
    </row>
    <row r="45" spans="1:13" ht="14.1" customHeight="1" x14ac:dyDescent="0.3">
      <c r="A45" s="24">
        <v>22</v>
      </c>
      <c r="B45" s="26" t="s">
        <v>19</v>
      </c>
      <c r="C45" s="27"/>
      <c r="D45" s="37" t="s">
        <v>20</v>
      </c>
      <c r="E45" s="38"/>
      <c r="F45" s="38"/>
      <c r="G45" s="39"/>
      <c r="H45" s="9">
        <v>30.3</v>
      </c>
      <c r="I45" s="9">
        <f>SUM(H45)+6</f>
        <v>36.299999999999997</v>
      </c>
      <c r="J45" s="9">
        <f>SUM(I45)+6</f>
        <v>42.3</v>
      </c>
      <c r="K45" s="9">
        <f>SUM(J45)+4.5</f>
        <v>46.8</v>
      </c>
      <c r="L45" s="9">
        <f>SUM(K45)+5</f>
        <v>51.8</v>
      </c>
      <c r="M45" s="11">
        <f>SUM(L45)+5</f>
        <v>56.8</v>
      </c>
    </row>
    <row r="46" spans="1:13" ht="14.1" customHeight="1" x14ac:dyDescent="0.3">
      <c r="A46" s="24"/>
      <c r="B46" s="32" t="s">
        <v>49</v>
      </c>
      <c r="C46" s="33"/>
      <c r="D46" s="34" t="s">
        <v>78</v>
      </c>
      <c r="E46" s="35"/>
      <c r="F46" s="35"/>
      <c r="G46" s="36"/>
      <c r="H46" s="17"/>
      <c r="I46" s="17"/>
      <c r="J46" s="17"/>
      <c r="K46" s="17"/>
      <c r="L46" s="17"/>
      <c r="M46" s="18"/>
    </row>
    <row r="47" spans="1:13" ht="14.1" customHeight="1" x14ac:dyDescent="0.3">
      <c r="A47" s="24">
        <v>23</v>
      </c>
      <c r="B47" s="26" t="s">
        <v>77</v>
      </c>
      <c r="C47" s="27"/>
      <c r="D47" s="37" t="s">
        <v>75</v>
      </c>
      <c r="E47" s="38"/>
      <c r="F47" s="38"/>
      <c r="G47" s="39"/>
      <c r="H47" s="9">
        <v>26.6</v>
      </c>
      <c r="I47" s="9">
        <f t="shared" ref="I47:M47" si="11">SUM(H47)+1.4</f>
        <v>28</v>
      </c>
      <c r="J47" s="9">
        <f t="shared" si="11"/>
        <v>29.4</v>
      </c>
      <c r="K47" s="9">
        <f t="shared" si="11"/>
        <v>30.799999999999997</v>
      </c>
      <c r="L47" s="9">
        <f t="shared" si="11"/>
        <v>32.199999999999996</v>
      </c>
      <c r="M47" s="11">
        <f t="shared" si="11"/>
        <v>33.599999999999994</v>
      </c>
    </row>
    <row r="48" spans="1:13" ht="14.1" customHeight="1" x14ac:dyDescent="0.3">
      <c r="A48" s="24"/>
      <c r="B48" s="32" t="s">
        <v>76</v>
      </c>
      <c r="C48" s="33"/>
      <c r="D48" s="34" t="s">
        <v>75</v>
      </c>
      <c r="E48" s="35"/>
      <c r="F48" s="35"/>
      <c r="G48" s="36"/>
      <c r="H48" s="17"/>
      <c r="I48" s="17"/>
      <c r="J48" s="17"/>
      <c r="K48" s="17"/>
      <c r="L48" s="17"/>
      <c r="M48" s="18"/>
    </row>
    <row r="49" spans="1:13" ht="14.1" customHeight="1" x14ac:dyDescent="0.3">
      <c r="A49" s="24">
        <v>24</v>
      </c>
      <c r="B49" s="26" t="s">
        <v>193</v>
      </c>
      <c r="C49" s="27"/>
      <c r="D49" s="37" t="s">
        <v>194</v>
      </c>
      <c r="E49" s="38"/>
      <c r="F49" s="38"/>
      <c r="G49" s="39"/>
      <c r="H49" s="9">
        <v>32.1</v>
      </c>
      <c r="I49" s="9">
        <f>SUM(H49)+3.7</f>
        <v>35.800000000000004</v>
      </c>
      <c r="J49" s="9">
        <f>SUM(I49)+3.7</f>
        <v>39.500000000000007</v>
      </c>
      <c r="K49" s="9">
        <f>SUM(J49)+3.7</f>
        <v>43.20000000000001</v>
      </c>
      <c r="L49" s="9">
        <f>SUM(K49)+3.2</f>
        <v>46.400000000000013</v>
      </c>
      <c r="M49" s="11">
        <f>SUM(L49)+3.2</f>
        <v>49.600000000000016</v>
      </c>
    </row>
    <row r="50" spans="1:13" ht="14.1" customHeight="1" thickBot="1" x14ac:dyDescent="0.35">
      <c r="A50" s="25"/>
      <c r="B50" s="102" t="s">
        <v>195</v>
      </c>
      <c r="C50" s="103"/>
      <c r="D50" s="104" t="s">
        <v>196</v>
      </c>
      <c r="E50" s="105"/>
      <c r="F50" s="105"/>
      <c r="G50" s="106"/>
      <c r="H50" s="10"/>
      <c r="I50" s="10"/>
      <c r="J50" s="10"/>
      <c r="K50" s="10"/>
      <c r="L50" s="10"/>
      <c r="M50" s="12"/>
    </row>
    <row r="51" spans="1:13" ht="14.1" customHeight="1" x14ac:dyDescent="0.3"/>
    <row r="52" spans="1:13" ht="14.1" customHeight="1" x14ac:dyDescent="0.3"/>
    <row r="53" spans="1:13" ht="14.1" customHeight="1" x14ac:dyDescent="0.3"/>
    <row r="54" spans="1:13" ht="14.1" customHeight="1" x14ac:dyDescent="0.3"/>
    <row r="55" spans="1:13" ht="14.1" customHeight="1" x14ac:dyDescent="0.3"/>
    <row r="56" spans="1:13" ht="14.1" customHeight="1" x14ac:dyDescent="0.3"/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4.1" customHeight="1" x14ac:dyDescent="0.3"/>
    <row r="63" spans="1:13" ht="14.1" customHeight="1" x14ac:dyDescent="0.3"/>
    <row r="64" spans="1:13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E158-AAAD-4E63-8FFE-A4421075A6C1}">
  <sheetPr>
    <tabColor rgb="FF00B050"/>
    <pageSetUpPr fitToPage="1"/>
  </sheetPr>
  <dimension ref="A1:P74"/>
  <sheetViews>
    <sheetView topLeftCell="A16" zoomScale="110" zoomScaleNormal="110" workbookViewId="0">
      <selection activeCell="M31" sqref="M31:M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176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112">
        <v>1</v>
      </c>
      <c r="B3" s="71" t="s">
        <v>36</v>
      </c>
      <c r="C3" s="71"/>
      <c r="D3" s="72" t="s">
        <v>128</v>
      </c>
      <c r="E3" s="72"/>
      <c r="F3" s="72"/>
      <c r="G3" s="73"/>
      <c r="H3" s="113">
        <f>SUM(I3)-3.5</f>
        <v>36</v>
      </c>
      <c r="I3" s="113">
        <f>SUM(J3)-3.5</f>
        <v>39.5</v>
      </c>
      <c r="J3" s="114">
        <v>43</v>
      </c>
      <c r="K3" s="113">
        <f>SUM(J3)+3</f>
        <v>46</v>
      </c>
      <c r="L3" s="113">
        <f>SUM(K3)+3</f>
        <v>49</v>
      </c>
      <c r="M3" s="115">
        <f>SUM(L3)+3</f>
        <v>52</v>
      </c>
    </row>
    <row r="4" spans="1:13" s="1" customFormat="1" ht="14.1" customHeight="1" x14ac:dyDescent="0.3">
      <c r="A4" s="70"/>
      <c r="B4" s="19" t="s">
        <v>33</v>
      </c>
      <c r="C4" s="19"/>
      <c r="D4" s="43" t="s">
        <v>84</v>
      </c>
      <c r="E4" s="21"/>
      <c r="F4" s="21"/>
      <c r="G4" s="21"/>
      <c r="H4" s="17"/>
      <c r="I4" s="17"/>
      <c r="J4" s="23"/>
      <c r="K4" s="17"/>
      <c r="L4" s="17"/>
      <c r="M4" s="18"/>
    </row>
    <row r="5" spans="1:13" s="1" customFormat="1" ht="14.1" customHeight="1" x14ac:dyDescent="0.3">
      <c r="A5" s="107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SUM(I5)-1.8</f>
        <v>23</v>
      </c>
      <c r="I5" s="9">
        <f>SUM(J5)-1.8</f>
        <v>24.8</v>
      </c>
      <c r="J5" s="7">
        <v>26.6</v>
      </c>
      <c r="K5" s="9">
        <f>SUM(J5)+1.6</f>
        <v>28.200000000000003</v>
      </c>
      <c r="L5" s="9">
        <f>SUM(K5)+1.6</f>
        <v>29.800000000000004</v>
      </c>
      <c r="M5" s="11">
        <f>SUM(L5)+1.6</f>
        <v>31.400000000000006</v>
      </c>
    </row>
    <row r="6" spans="1:13" s="1" customFormat="1" ht="14.1" customHeight="1" x14ac:dyDescent="0.3">
      <c r="A6" s="70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107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28.5</v>
      </c>
      <c r="I7" s="9">
        <f>SUM(J7)-2.25</f>
        <v>30.75</v>
      </c>
      <c r="J7" s="7">
        <v>33</v>
      </c>
      <c r="K7" s="9">
        <f>SUM(J7)+2</f>
        <v>35</v>
      </c>
      <c r="L7" s="9">
        <f>SUM(K7)+2</f>
        <v>37</v>
      </c>
      <c r="M7" s="11">
        <f>SUM(L7)+2</f>
        <v>39</v>
      </c>
    </row>
    <row r="8" spans="1:13" s="1" customFormat="1" ht="14.1" customHeight="1" x14ac:dyDescent="0.3">
      <c r="A8" s="70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107">
        <v>4</v>
      </c>
      <c r="B9" s="42" t="s">
        <v>159</v>
      </c>
      <c r="C9" s="42"/>
      <c r="D9" s="28" t="s">
        <v>8</v>
      </c>
      <c r="E9" s="28"/>
      <c r="F9" s="28"/>
      <c r="G9" s="28"/>
      <c r="H9" s="9">
        <f>SUM(I9)-2.25</f>
        <v>28.5</v>
      </c>
      <c r="I9" s="9">
        <f>SUM(J9)-2.25</f>
        <v>30.75</v>
      </c>
      <c r="J9" s="7">
        <v>33</v>
      </c>
      <c r="K9" s="9">
        <f>SUM(J9)+2</f>
        <v>35</v>
      </c>
      <c r="L9" s="9">
        <f>SUM(K9)+2</f>
        <v>37</v>
      </c>
      <c r="M9" s="11">
        <f>SUM(L9)+2</f>
        <v>39</v>
      </c>
    </row>
    <row r="10" spans="1:13" s="1" customFormat="1" ht="14.1" customHeight="1" x14ac:dyDescent="0.3">
      <c r="A10" s="70"/>
      <c r="B10" s="19" t="s">
        <v>160</v>
      </c>
      <c r="C10" s="19"/>
      <c r="D10" s="43" t="s">
        <v>161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107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SUM(I11)-0.8</f>
        <v>13.899999999999999</v>
      </c>
      <c r="I11" s="9">
        <f>SUM(J11)-0.8</f>
        <v>14.7</v>
      </c>
      <c r="J11" s="29">
        <v>15.5</v>
      </c>
      <c r="K11" s="30">
        <f>SUM(J11)+0.8</f>
        <v>16.3</v>
      </c>
      <c r="L11" s="30">
        <f>SUM(K11)+0.8</f>
        <v>17.100000000000001</v>
      </c>
      <c r="M11" s="31">
        <f>SUM(L11)+0.8</f>
        <v>17.900000000000002</v>
      </c>
    </row>
    <row r="12" spans="1:13" s="1" customFormat="1" ht="14.1" customHeight="1" x14ac:dyDescent="0.3">
      <c r="A12" s="70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9"/>
      <c r="K12" s="30"/>
      <c r="L12" s="30"/>
      <c r="M12" s="31"/>
    </row>
    <row r="13" spans="1:13" s="1" customFormat="1" ht="14.1" customHeight="1" x14ac:dyDescent="0.3">
      <c r="A13" s="107">
        <v>6</v>
      </c>
      <c r="B13" s="42" t="s">
        <v>1</v>
      </c>
      <c r="C13" s="42"/>
      <c r="D13" s="28" t="s">
        <v>129</v>
      </c>
      <c r="E13" s="28"/>
      <c r="F13" s="28"/>
      <c r="G13" s="28"/>
      <c r="H13" s="9">
        <f>SUM(I13)-0.6</f>
        <v>15.3</v>
      </c>
      <c r="I13" s="9">
        <f>SUM(J13)-0.6</f>
        <v>15.9</v>
      </c>
      <c r="J13" s="29">
        <v>16.5</v>
      </c>
      <c r="K13" s="30">
        <f>SUM(J13)+0.6</f>
        <v>17.100000000000001</v>
      </c>
      <c r="L13" s="30">
        <f>SUM(K13)+0.6</f>
        <v>17.700000000000003</v>
      </c>
      <c r="M13" s="31">
        <f>SUM(L13)+0.6</f>
        <v>18.300000000000004</v>
      </c>
    </row>
    <row r="14" spans="1:13" s="1" customFormat="1" ht="14.1" customHeight="1" x14ac:dyDescent="0.3">
      <c r="A14" s="70"/>
      <c r="B14" s="19" t="s">
        <v>26</v>
      </c>
      <c r="C14" s="19"/>
      <c r="D14" s="43" t="s">
        <v>98</v>
      </c>
      <c r="E14" s="21"/>
      <c r="F14" s="21"/>
      <c r="G14" s="22"/>
      <c r="H14" s="17"/>
      <c r="I14" s="17"/>
      <c r="J14" s="29"/>
      <c r="K14" s="30"/>
      <c r="L14" s="30"/>
      <c r="M14" s="31"/>
    </row>
    <row r="15" spans="1:13" s="1" customFormat="1" ht="14.1" customHeight="1" x14ac:dyDescent="0.3">
      <c r="A15" s="107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6.2</v>
      </c>
      <c r="I15" s="9">
        <f>SUM(J15)-0.3</f>
        <v>6.5</v>
      </c>
      <c r="J15" s="29">
        <v>6.8</v>
      </c>
      <c r="K15" s="30">
        <f>SUM(J15)+0.3</f>
        <v>7.1</v>
      </c>
      <c r="L15" s="30">
        <f>SUM(K15)+0.3</f>
        <v>7.3999999999999995</v>
      </c>
      <c r="M15" s="31">
        <f>SUM(L15)+0.3</f>
        <v>7.6999999999999993</v>
      </c>
    </row>
    <row r="16" spans="1:13" s="1" customFormat="1" ht="14.1" customHeight="1" x14ac:dyDescent="0.3">
      <c r="A16" s="70"/>
      <c r="B16" s="19" t="s">
        <v>27</v>
      </c>
      <c r="C16" s="19"/>
      <c r="D16" s="43" t="s">
        <v>99</v>
      </c>
      <c r="E16" s="21"/>
      <c r="F16" s="21"/>
      <c r="G16" s="22"/>
      <c r="H16" s="17"/>
      <c r="I16" s="17"/>
      <c r="J16" s="29"/>
      <c r="K16" s="30"/>
      <c r="L16" s="30"/>
      <c r="M16" s="31"/>
    </row>
    <row r="17" spans="1:16" s="1" customFormat="1" ht="14.1" customHeight="1" x14ac:dyDescent="0.3">
      <c r="A17" s="107">
        <v>8</v>
      </c>
      <c r="B17" s="26" t="s">
        <v>67</v>
      </c>
      <c r="C17" s="27"/>
      <c r="D17" s="37" t="s">
        <v>162</v>
      </c>
      <c r="E17" s="38"/>
      <c r="F17" s="38"/>
      <c r="G17" s="39"/>
      <c r="H17" s="9">
        <f>SUM(I17)-1.6</f>
        <v>39.799999999999997</v>
      </c>
      <c r="I17" s="9">
        <f>SUM(J17)-1.6</f>
        <v>41.4</v>
      </c>
      <c r="J17" s="29">
        <v>43</v>
      </c>
      <c r="K17" s="30">
        <f>SUM(J17)+1.6</f>
        <v>44.6</v>
      </c>
      <c r="L17" s="30">
        <f>SUM(K17)+1.6</f>
        <v>46.2</v>
      </c>
      <c r="M17" s="31">
        <f>SUM(L17)+1.6</f>
        <v>47.800000000000004</v>
      </c>
    </row>
    <row r="18" spans="1:16" s="1" customFormat="1" ht="14.1" customHeight="1" x14ac:dyDescent="0.3">
      <c r="A18" s="70"/>
      <c r="B18" s="19" t="s">
        <v>31</v>
      </c>
      <c r="C18" s="19"/>
      <c r="D18" s="43" t="s">
        <v>100</v>
      </c>
      <c r="E18" s="21"/>
      <c r="F18" s="21"/>
      <c r="G18" s="22"/>
      <c r="H18" s="17"/>
      <c r="I18" s="17"/>
      <c r="J18" s="29"/>
      <c r="K18" s="30"/>
      <c r="L18" s="30"/>
      <c r="M18" s="31"/>
    </row>
    <row r="19" spans="1:16" s="1" customFormat="1" ht="14.1" customHeight="1" x14ac:dyDescent="0.3">
      <c r="A19" s="107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SUM(I19)-3.6</f>
        <v>34</v>
      </c>
      <c r="I19" s="9">
        <f>SUM(J19)-3.6</f>
        <v>37.6</v>
      </c>
      <c r="J19" s="7">
        <v>41.2</v>
      </c>
      <c r="K19" s="9">
        <f>SUM(J19)+3.7</f>
        <v>44.900000000000006</v>
      </c>
      <c r="L19" s="9">
        <f>SUM(K19)+3.7</f>
        <v>48.600000000000009</v>
      </c>
      <c r="M19" s="11">
        <f>SUM(L19)+3.7</f>
        <v>52.300000000000011</v>
      </c>
    </row>
    <row r="20" spans="1:16" s="1" customFormat="1" ht="14.1" customHeight="1" x14ac:dyDescent="0.3">
      <c r="A20" s="70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3"/>
      <c r="K20" s="17"/>
      <c r="L20" s="17"/>
      <c r="M20" s="18"/>
      <c r="P20" s="1" t="s">
        <v>177</v>
      </c>
    </row>
    <row r="21" spans="1:16" s="1" customFormat="1" ht="14.1" customHeight="1" x14ac:dyDescent="0.3">
      <c r="A21" s="107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SUM(I21)-1.8</f>
        <v>30.400000000000002</v>
      </c>
      <c r="I21" s="9">
        <f>SUM(J21)-1.8</f>
        <v>32.200000000000003</v>
      </c>
      <c r="J21" s="29">
        <v>34</v>
      </c>
      <c r="K21" s="30">
        <f>SUM(J21)+1.8</f>
        <v>35.799999999999997</v>
      </c>
      <c r="L21" s="30">
        <f>SUM(K21)+1.8</f>
        <v>37.599999999999994</v>
      </c>
      <c r="M21" s="31">
        <f>SUM(L21)+1.8</f>
        <v>39.399999999999991</v>
      </c>
      <c r="P21" s="1">
        <f>SUM(H23+H23+I23+I23+J23+J23+K23+K23+L23+L23+M23+M23)</f>
        <v>183.6</v>
      </c>
    </row>
    <row r="22" spans="1:16" s="1" customFormat="1" ht="14.1" customHeight="1" x14ac:dyDescent="0.3">
      <c r="A22" s="70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9"/>
      <c r="K22" s="30"/>
      <c r="L22" s="30"/>
      <c r="M22" s="31"/>
      <c r="P22" s="1">
        <f>SUM(H25+H25+I25+I25+J25+J25+K25+K25+L25+L25+M25+M25)</f>
        <v>283.20000000000005</v>
      </c>
    </row>
    <row r="23" spans="1:16" s="1" customFormat="1" ht="14.1" customHeight="1" x14ac:dyDescent="0.3">
      <c r="A23" s="107">
        <v>11</v>
      </c>
      <c r="B23" s="26" t="s">
        <v>163</v>
      </c>
      <c r="C23" s="27"/>
      <c r="D23" s="28"/>
      <c r="E23" s="28"/>
      <c r="F23" s="28"/>
      <c r="G23" s="28"/>
      <c r="H23" s="9">
        <f>SUM(I23)-0.6</f>
        <v>13.8</v>
      </c>
      <c r="I23" s="9">
        <f>SUM(J23)-0.6</f>
        <v>14.4</v>
      </c>
      <c r="J23" s="29">
        <v>15</v>
      </c>
      <c r="K23" s="30">
        <f>SUM(J23)+0.6</f>
        <v>15.6</v>
      </c>
      <c r="L23" s="30">
        <f>SUM(K23)+0.6</f>
        <v>16.2</v>
      </c>
      <c r="M23" s="31">
        <f>SUM(L23)+0.6</f>
        <v>16.8</v>
      </c>
      <c r="P23" s="1">
        <f>SUM(P21+P22)</f>
        <v>466.80000000000007</v>
      </c>
    </row>
    <row r="24" spans="1:16" s="1" customFormat="1" ht="14.1" customHeight="1" x14ac:dyDescent="0.3">
      <c r="A24" s="70"/>
      <c r="B24" s="19" t="s">
        <v>164</v>
      </c>
      <c r="C24" s="19"/>
      <c r="D24" s="43"/>
      <c r="E24" s="21"/>
      <c r="F24" s="21"/>
      <c r="G24" s="22"/>
      <c r="H24" s="17"/>
      <c r="I24" s="17"/>
      <c r="J24" s="29"/>
      <c r="K24" s="30"/>
      <c r="L24" s="30"/>
      <c r="M24" s="31"/>
      <c r="P24" s="1">
        <f>SUM(P23/91.44/6*1.08)</f>
        <v>0.91889763779527578</v>
      </c>
    </row>
    <row r="25" spans="1:16" s="1" customFormat="1" ht="14.1" customHeight="1" x14ac:dyDescent="0.3">
      <c r="A25" s="107">
        <v>12</v>
      </c>
      <c r="B25" s="26" t="s">
        <v>165</v>
      </c>
      <c r="C25" s="27"/>
      <c r="D25" s="28"/>
      <c r="E25" s="28"/>
      <c r="F25" s="28"/>
      <c r="G25" s="28"/>
      <c r="H25" s="9">
        <f>SUM(I25)-1.2</f>
        <v>20.6</v>
      </c>
      <c r="I25" s="9">
        <f>SUM(J25)-1.2</f>
        <v>21.8</v>
      </c>
      <c r="J25" s="29">
        <v>23</v>
      </c>
      <c r="K25" s="30">
        <f>SUM(J25)+1.2</f>
        <v>24.2</v>
      </c>
      <c r="L25" s="30">
        <f>SUM(K25)+1.2</f>
        <v>25.4</v>
      </c>
      <c r="M25" s="31">
        <f>SUM(L25)+1.2</f>
        <v>26.599999999999998</v>
      </c>
    </row>
    <row r="26" spans="1:16" s="1" customFormat="1" ht="14.1" customHeight="1" x14ac:dyDescent="0.3">
      <c r="A26" s="70"/>
      <c r="B26" s="19" t="s">
        <v>166</v>
      </c>
      <c r="C26" s="19"/>
      <c r="D26" s="43"/>
      <c r="E26" s="21"/>
      <c r="F26" s="21"/>
      <c r="G26" s="22"/>
      <c r="H26" s="17"/>
      <c r="I26" s="17"/>
      <c r="J26" s="29"/>
      <c r="K26" s="30"/>
      <c r="L26" s="30"/>
      <c r="M26" s="31"/>
    </row>
    <row r="27" spans="1:16" s="1" customFormat="1" ht="14.1" customHeight="1" x14ac:dyDescent="0.3">
      <c r="A27" s="107">
        <v>13</v>
      </c>
      <c r="B27" s="26" t="s">
        <v>132</v>
      </c>
      <c r="C27" s="27"/>
      <c r="D27" s="63" t="s">
        <v>69</v>
      </c>
      <c r="E27" s="64"/>
      <c r="F27" s="64"/>
      <c r="G27" s="65"/>
      <c r="H27" s="44">
        <f>SUM(I27)-0.2</f>
        <v>2.0999999999999996</v>
      </c>
      <c r="I27" s="44">
        <f>SUM(J27)-0.2</f>
        <v>2.2999999999999998</v>
      </c>
      <c r="J27" s="23">
        <v>2.5</v>
      </c>
      <c r="K27" s="17">
        <f>SUM(J27)+0.2</f>
        <v>2.7</v>
      </c>
      <c r="L27" s="17">
        <f>SUM(K27)+0.2</f>
        <v>2.9000000000000004</v>
      </c>
      <c r="M27" s="18">
        <f>SUM(L27)+0.2</f>
        <v>3.1000000000000005</v>
      </c>
    </row>
    <row r="28" spans="1:16" s="1" customFormat="1" ht="14.1" customHeight="1" x14ac:dyDescent="0.3">
      <c r="A28" s="70"/>
      <c r="B28" s="79" t="s">
        <v>133</v>
      </c>
      <c r="C28" s="80"/>
      <c r="D28" s="43" t="s">
        <v>70</v>
      </c>
      <c r="E28" s="21"/>
      <c r="F28" s="21"/>
      <c r="G28" s="22"/>
      <c r="H28" s="17"/>
      <c r="I28" s="17"/>
      <c r="J28" s="29"/>
      <c r="K28" s="30"/>
      <c r="L28" s="30"/>
      <c r="M28" s="31"/>
    </row>
    <row r="29" spans="1:16" s="1" customFormat="1" ht="14.1" customHeight="1" x14ac:dyDescent="0.3">
      <c r="A29" s="62">
        <v>14</v>
      </c>
      <c r="B29" s="26" t="s">
        <v>167</v>
      </c>
      <c r="C29" s="27"/>
      <c r="D29" s="37"/>
      <c r="E29" s="38"/>
      <c r="F29" s="38"/>
      <c r="G29" s="39"/>
      <c r="H29" s="9">
        <f>SUM(I29)-1.7</f>
        <v>14.600000000000001</v>
      </c>
      <c r="I29" s="9">
        <f>SUM(J29)-1.7</f>
        <v>16.3</v>
      </c>
      <c r="J29" s="7">
        <v>18</v>
      </c>
      <c r="K29" s="9">
        <f>SUM(J29)+1.2</f>
        <v>19.2</v>
      </c>
      <c r="L29" s="9">
        <f>SUM(K29)+1.2</f>
        <v>20.399999999999999</v>
      </c>
      <c r="M29" s="11">
        <f>SUM(L29)+1.2</f>
        <v>21.599999999999998</v>
      </c>
    </row>
    <row r="30" spans="1:16" s="1" customFormat="1" ht="14.1" customHeight="1" thickBot="1" x14ac:dyDescent="0.35">
      <c r="A30" s="111"/>
      <c r="B30" s="92" t="s">
        <v>168</v>
      </c>
      <c r="C30" s="93"/>
      <c r="D30" s="94"/>
      <c r="E30" s="95"/>
      <c r="F30" s="95"/>
      <c r="G30" s="96"/>
      <c r="H30" s="98"/>
      <c r="I30" s="98"/>
      <c r="J30" s="110"/>
      <c r="K30" s="98"/>
      <c r="L30" s="98"/>
      <c r="M30" s="109"/>
    </row>
    <row r="31" spans="1:16" ht="14.1" customHeight="1" thickTop="1" x14ac:dyDescent="0.3">
      <c r="A31" s="107">
        <v>15</v>
      </c>
      <c r="B31" s="53" t="s">
        <v>97</v>
      </c>
      <c r="C31" s="54"/>
      <c r="D31" s="47" t="s">
        <v>64</v>
      </c>
      <c r="E31" s="48"/>
      <c r="F31" s="48"/>
      <c r="G31" s="49"/>
      <c r="H31" s="44">
        <f>SUM(I31)-3</f>
        <v>45</v>
      </c>
      <c r="I31" s="44">
        <f>SUM(J31)-3</f>
        <v>48</v>
      </c>
      <c r="J31" s="46">
        <v>51</v>
      </c>
      <c r="K31" s="44">
        <f>SUM(J31)+3</f>
        <v>54</v>
      </c>
      <c r="L31" s="44">
        <f>SUM(K31)+3</f>
        <v>57</v>
      </c>
      <c r="M31" s="45">
        <f>SUM(L31)+3</f>
        <v>60</v>
      </c>
    </row>
    <row r="32" spans="1:16" ht="14.1" customHeight="1" x14ac:dyDescent="0.3">
      <c r="A32" s="70"/>
      <c r="B32" s="32" t="s">
        <v>71</v>
      </c>
      <c r="C32" s="33"/>
      <c r="D32" s="34" t="s">
        <v>65</v>
      </c>
      <c r="E32" s="35"/>
      <c r="F32" s="35"/>
      <c r="G32" s="36"/>
      <c r="H32" s="17"/>
      <c r="I32" s="17"/>
      <c r="J32" s="23"/>
      <c r="K32" s="17"/>
      <c r="L32" s="17"/>
      <c r="M32" s="18"/>
    </row>
    <row r="33" spans="1:13" ht="14.1" customHeight="1" x14ac:dyDescent="0.3">
      <c r="A33" s="107">
        <v>16</v>
      </c>
      <c r="B33" s="53" t="s">
        <v>96</v>
      </c>
      <c r="C33" s="54"/>
      <c r="D33" s="47"/>
      <c r="E33" s="48"/>
      <c r="F33" s="48"/>
      <c r="G33" s="49"/>
      <c r="H33" s="44"/>
      <c r="I33" s="44"/>
      <c r="J33" s="29"/>
      <c r="K33" s="30"/>
      <c r="L33" s="30"/>
      <c r="M33" s="31"/>
    </row>
    <row r="34" spans="1:13" ht="14.1" customHeight="1" x14ac:dyDescent="0.3">
      <c r="A34" s="70"/>
      <c r="B34" s="32" t="s">
        <v>95</v>
      </c>
      <c r="C34" s="33"/>
      <c r="D34" s="34"/>
      <c r="E34" s="35"/>
      <c r="F34" s="35"/>
      <c r="G34" s="36"/>
      <c r="H34" s="17"/>
      <c r="I34" s="17"/>
      <c r="J34" s="29"/>
      <c r="K34" s="30"/>
      <c r="L34" s="30"/>
      <c r="M34" s="31"/>
    </row>
    <row r="35" spans="1:13" ht="14.1" customHeight="1" x14ac:dyDescent="0.3">
      <c r="A35" s="107">
        <v>17</v>
      </c>
      <c r="B35" s="26" t="s">
        <v>101</v>
      </c>
      <c r="C35" s="27"/>
      <c r="D35" s="47"/>
      <c r="E35" s="48"/>
      <c r="F35" s="48"/>
      <c r="G35" s="49"/>
      <c r="H35" s="9">
        <f>SUM(I35)-3.5</f>
        <v>60.7</v>
      </c>
      <c r="I35" s="9">
        <f>SUM(J35)-3.5</f>
        <v>64.2</v>
      </c>
      <c r="J35" s="46">
        <v>67.7</v>
      </c>
      <c r="K35" s="44">
        <f>SUM(J35)+3.5</f>
        <v>71.2</v>
      </c>
      <c r="L35" s="44">
        <f>SUM(K35)+3.5</f>
        <v>74.7</v>
      </c>
      <c r="M35" s="45">
        <f>SUM(L35)+3.5</f>
        <v>78.2</v>
      </c>
    </row>
    <row r="36" spans="1:13" ht="14.1" customHeight="1" x14ac:dyDescent="0.3">
      <c r="A36" s="70"/>
      <c r="B36" s="32" t="s">
        <v>102</v>
      </c>
      <c r="C36" s="33"/>
      <c r="D36" s="34"/>
      <c r="E36" s="35"/>
      <c r="F36" s="35"/>
      <c r="G36" s="36"/>
      <c r="H36" s="17"/>
      <c r="I36" s="17"/>
      <c r="J36" s="23"/>
      <c r="K36" s="17"/>
      <c r="L36" s="17"/>
      <c r="M36" s="18"/>
    </row>
    <row r="37" spans="1:13" ht="14.1" customHeight="1" x14ac:dyDescent="0.3">
      <c r="A37" s="107">
        <v>18</v>
      </c>
      <c r="B37" s="26" t="s">
        <v>11</v>
      </c>
      <c r="C37" s="27"/>
      <c r="D37" s="37" t="s">
        <v>136</v>
      </c>
      <c r="E37" s="38"/>
      <c r="F37" s="38"/>
      <c r="G37" s="39"/>
      <c r="H37" s="9">
        <f>SUM(I37)-4</f>
        <v>64.400000000000006</v>
      </c>
      <c r="I37" s="9">
        <f>SUM(J37)-4</f>
        <v>68.400000000000006</v>
      </c>
      <c r="J37" s="7">
        <v>72.400000000000006</v>
      </c>
      <c r="K37" s="9">
        <f>SUM(J37)+4</f>
        <v>76.400000000000006</v>
      </c>
      <c r="L37" s="9">
        <f>SUM(K37)+4</f>
        <v>80.400000000000006</v>
      </c>
      <c r="M37" s="11">
        <f>SUM(L37)+4</f>
        <v>84.4</v>
      </c>
    </row>
    <row r="38" spans="1:13" ht="14.1" customHeight="1" x14ac:dyDescent="0.3">
      <c r="A38" s="70"/>
      <c r="B38" s="32" t="s">
        <v>44</v>
      </c>
      <c r="C38" s="33"/>
      <c r="D38" s="34" t="s">
        <v>83</v>
      </c>
      <c r="E38" s="35"/>
      <c r="F38" s="35"/>
      <c r="G38" s="36"/>
      <c r="H38" s="17"/>
      <c r="I38" s="17"/>
      <c r="J38" s="23"/>
      <c r="K38" s="17"/>
      <c r="L38" s="17"/>
      <c r="M38" s="18"/>
    </row>
    <row r="39" spans="1:13" ht="14.1" customHeight="1" x14ac:dyDescent="0.3">
      <c r="A39" s="107">
        <v>19</v>
      </c>
      <c r="B39" s="26" t="s">
        <v>169</v>
      </c>
      <c r="C39" s="27"/>
      <c r="D39" s="37"/>
      <c r="E39" s="38"/>
      <c r="F39" s="38"/>
      <c r="G39" s="39"/>
      <c r="H39" s="9">
        <f>SUM(I39)-0.7</f>
        <v>12.100000000000001</v>
      </c>
      <c r="I39" s="9">
        <f>SUM(J39)-0.7</f>
        <v>12.8</v>
      </c>
      <c r="J39" s="7">
        <v>13.5</v>
      </c>
      <c r="K39" s="9">
        <f>SUM(J39)+1.2</f>
        <v>14.7</v>
      </c>
      <c r="L39" s="9">
        <f>SUM(K39)+0.7</f>
        <v>15.399999999999999</v>
      </c>
      <c r="M39" s="11">
        <f>SUM(L39)+0.7</f>
        <v>16.099999999999998</v>
      </c>
    </row>
    <row r="40" spans="1:13" ht="14.1" customHeight="1" x14ac:dyDescent="0.3">
      <c r="A40" s="70"/>
      <c r="B40" s="32" t="s">
        <v>170</v>
      </c>
      <c r="C40" s="33"/>
      <c r="D40" s="20" t="s">
        <v>171</v>
      </c>
      <c r="E40" s="81"/>
      <c r="F40" s="81"/>
      <c r="G40" s="82"/>
      <c r="H40" s="17"/>
      <c r="I40" s="17"/>
      <c r="J40" s="23"/>
      <c r="K40" s="17"/>
      <c r="L40" s="17"/>
      <c r="M40" s="18"/>
    </row>
    <row r="41" spans="1:13" ht="14.1" customHeight="1" x14ac:dyDescent="0.3">
      <c r="A41" s="107">
        <v>20</v>
      </c>
      <c r="B41" s="26" t="s">
        <v>9</v>
      </c>
      <c r="C41" s="27"/>
      <c r="D41" s="37" t="s">
        <v>66</v>
      </c>
      <c r="E41" s="38"/>
      <c r="F41" s="38"/>
      <c r="G41" s="39"/>
      <c r="H41" s="9">
        <f>SUM(I41)-7</f>
        <v>50</v>
      </c>
      <c r="I41" s="9">
        <f>SUM(J41)-7</f>
        <v>57</v>
      </c>
      <c r="J41" s="7">
        <v>64</v>
      </c>
      <c r="K41" s="9">
        <f>SUM(J41)+6</f>
        <v>70</v>
      </c>
      <c r="L41" s="9">
        <f>SUM(K41)+6</f>
        <v>76</v>
      </c>
      <c r="M41" s="11">
        <f>SUM(L41)+6</f>
        <v>82</v>
      </c>
    </row>
    <row r="42" spans="1:13" ht="14.1" customHeight="1" x14ac:dyDescent="0.3">
      <c r="A42" s="70"/>
      <c r="B42" s="32" t="s">
        <v>45</v>
      </c>
      <c r="C42" s="33"/>
      <c r="D42" s="34" t="s">
        <v>82</v>
      </c>
      <c r="E42" s="35"/>
      <c r="F42" s="35"/>
      <c r="G42" s="36"/>
      <c r="H42" s="17"/>
      <c r="I42" s="17"/>
      <c r="J42" s="23"/>
      <c r="K42" s="17"/>
      <c r="L42" s="17"/>
      <c r="M42" s="18"/>
    </row>
    <row r="43" spans="1:13" ht="14.1" customHeight="1" x14ac:dyDescent="0.3">
      <c r="A43" s="107">
        <v>21</v>
      </c>
      <c r="B43" s="26" t="s">
        <v>13</v>
      </c>
      <c r="C43" s="27"/>
      <c r="D43" s="37" t="s">
        <v>14</v>
      </c>
      <c r="E43" s="38"/>
      <c r="F43" s="38"/>
      <c r="G43" s="39"/>
      <c r="H43" s="9">
        <f>SUM(I43)-2</f>
        <v>39.5</v>
      </c>
      <c r="I43" s="9">
        <f>SUM(J43)-2</f>
        <v>41.5</v>
      </c>
      <c r="J43" s="7">
        <v>43.5</v>
      </c>
      <c r="K43" s="9">
        <f>SUM(J43)+2</f>
        <v>45.5</v>
      </c>
      <c r="L43" s="9">
        <f>SUM(K43)+2</f>
        <v>47.5</v>
      </c>
      <c r="M43" s="11">
        <f>SUM(L43)+2</f>
        <v>49.5</v>
      </c>
    </row>
    <row r="44" spans="1:13" ht="14.1" customHeight="1" x14ac:dyDescent="0.3">
      <c r="A44" s="70"/>
      <c r="B44" s="32" t="s">
        <v>46</v>
      </c>
      <c r="C44" s="33"/>
      <c r="D44" s="43" t="s">
        <v>81</v>
      </c>
      <c r="E44" s="21"/>
      <c r="F44" s="21"/>
      <c r="G44" s="22"/>
      <c r="H44" s="17"/>
      <c r="I44" s="17"/>
      <c r="J44" s="23"/>
      <c r="K44" s="17"/>
      <c r="L44" s="17"/>
      <c r="M44" s="18"/>
    </row>
    <row r="45" spans="1:13" ht="14.1" customHeight="1" x14ac:dyDescent="0.3">
      <c r="A45" s="107">
        <v>22</v>
      </c>
      <c r="B45" s="26" t="s">
        <v>15</v>
      </c>
      <c r="C45" s="27"/>
      <c r="D45" s="37" t="s">
        <v>12</v>
      </c>
      <c r="E45" s="38"/>
      <c r="F45" s="38"/>
      <c r="G45" s="39"/>
      <c r="H45" s="9">
        <f>SUM(I45)-1.1</f>
        <v>20.099999999999998</v>
      </c>
      <c r="I45" s="9">
        <f>SUM(J45)-1.1</f>
        <v>21.2</v>
      </c>
      <c r="J45" s="7">
        <v>22.3</v>
      </c>
      <c r="K45" s="9">
        <f>SUM(J45)+1.6</f>
        <v>23.900000000000002</v>
      </c>
      <c r="L45" s="9">
        <f>SUM(K45)+1.1</f>
        <v>25.000000000000004</v>
      </c>
      <c r="M45" s="11">
        <f>SUM(L45)+1.1</f>
        <v>26.100000000000005</v>
      </c>
    </row>
    <row r="46" spans="1:13" ht="14.1" customHeight="1" x14ac:dyDescent="0.3">
      <c r="A46" s="70"/>
      <c r="B46" s="32" t="s">
        <v>52</v>
      </c>
      <c r="C46" s="33"/>
      <c r="D46" s="34" t="s">
        <v>80</v>
      </c>
      <c r="E46" s="35"/>
      <c r="F46" s="35"/>
      <c r="G46" s="36"/>
      <c r="H46" s="17"/>
      <c r="I46" s="17"/>
      <c r="J46" s="23"/>
      <c r="K46" s="17"/>
      <c r="L46" s="17"/>
      <c r="M46" s="18"/>
    </row>
    <row r="47" spans="1:13" ht="14.1" customHeight="1" x14ac:dyDescent="0.3">
      <c r="A47" s="107">
        <v>23</v>
      </c>
      <c r="B47" s="26" t="s">
        <v>16</v>
      </c>
      <c r="C47" s="27"/>
      <c r="D47" s="37" t="s">
        <v>12</v>
      </c>
      <c r="E47" s="38"/>
      <c r="F47" s="38"/>
      <c r="G47" s="39"/>
      <c r="H47" s="9">
        <f>SUM(I47)-1.3</f>
        <v>26.4</v>
      </c>
      <c r="I47" s="9">
        <f>SUM(J47)-1.3</f>
        <v>27.7</v>
      </c>
      <c r="J47" s="7">
        <v>29</v>
      </c>
      <c r="K47" s="9">
        <f>SUM(J47)+1.8</f>
        <v>30.8</v>
      </c>
      <c r="L47" s="9">
        <f>SUM(K47)+1.3</f>
        <v>32.1</v>
      </c>
      <c r="M47" s="11">
        <f>SUM(L47)+1.3</f>
        <v>33.4</v>
      </c>
    </row>
    <row r="48" spans="1:13" ht="14.1" customHeight="1" x14ac:dyDescent="0.3">
      <c r="A48" s="70"/>
      <c r="B48" s="32" t="s">
        <v>51</v>
      </c>
      <c r="C48" s="33"/>
      <c r="D48" s="34" t="s">
        <v>80</v>
      </c>
      <c r="E48" s="35"/>
      <c r="F48" s="35"/>
      <c r="G48" s="36"/>
      <c r="H48" s="17"/>
      <c r="I48" s="17"/>
      <c r="J48" s="23"/>
      <c r="K48" s="17"/>
      <c r="L48" s="17"/>
      <c r="M48" s="18"/>
    </row>
    <row r="49" spans="1:13" ht="14.1" customHeight="1" x14ac:dyDescent="0.3">
      <c r="A49" s="107">
        <v>24</v>
      </c>
      <c r="B49" s="26" t="s">
        <v>17</v>
      </c>
      <c r="C49" s="27"/>
      <c r="D49" s="37" t="s">
        <v>18</v>
      </c>
      <c r="E49" s="38"/>
      <c r="F49" s="38"/>
      <c r="G49" s="39"/>
      <c r="H49" s="9">
        <f>SUM(I49)-2.9</f>
        <v>36.300000000000004</v>
      </c>
      <c r="I49" s="9">
        <f>SUM(J49)-2.9</f>
        <v>39.200000000000003</v>
      </c>
      <c r="J49" s="7">
        <v>42.1</v>
      </c>
      <c r="K49" s="9">
        <f>SUM(J49)+2.7</f>
        <v>44.800000000000004</v>
      </c>
      <c r="L49" s="9">
        <f>SUM(K49)+2.7</f>
        <v>47.500000000000007</v>
      </c>
      <c r="M49" s="11">
        <f>SUM(L49)+2.7</f>
        <v>50.20000000000001</v>
      </c>
    </row>
    <row r="50" spans="1:13" ht="14.1" customHeight="1" x14ac:dyDescent="0.3">
      <c r="A50" s="70"/>
      <c r="B50" s="32" t="s">
        <v>50</v>
      </c>
      <c r="C50" s="33"/>
      <c r="D50" s="34" t="s">
        <v>79</v>
      </c>
      <c r="E50" s="35"/>
      <c r="F50" s="35"/>
      <c r="G50" s="36"/>
      <c r="H50" s="17"/>
      <c r="I50" s="17"/>
      <c r="J50" s="23"/>
      <c r="K50" s="17"/>
      <c r="L50" s="17"/>
      <c r="M50" s="18"/>
    </row>
    <row r="51" spans="1:13" ht="14.1" customHeight="1" x14ac:dyDescent="0.3">
      <c r="A51" s="107">
        <v>25</v>
      </c>
      <c r="B51" s="26" t="s">
        <v>19</v>
      </c>
      <c r="C51" s="27"/>
      <c r="D51" s="37" t="s">
        <v>20</v>
      </c>
      <c r="E51" s="38"/>
      <c r="F51" s="38"/>
      <c r="G51" s="39"/>
      <c r="H51" s="9">
        <f>SUM(I51)-6</f>
        <v>30.4</v>
      </c>
      <c r="I51" s="9">
        <f>SUM(J51)-6</f>
        <v>36.4</v>
      </c>
      <c r="J51" s="7">
        <v>42.4</v>
      </c>
      <c r="K51" s="9">
        <f>SUM(J51)+4.5</f>
        <v>46.9</v>
      </c>
      <c r="L51" s="9">
        <f>SUM(K51)+5</f>
        <v>51.9</v>
      </c>
      <c r="M51" s="11">
        <f>SUM(L51)+5</f>
        <v>56.9</v>
      </c>
    </row>
    <row r="52" spans="1:13" ht="14.1" customHeight="1" x14ac:dyDescent="0.3">
      <c r="A52" s="70"/>
      <c r="B52" s="32" t="s">
        <v>49</v>
      </c>
      <c r="C52" s="33"/>
      <c r="D52" s="34" t="s">
        <v>78</v>
      </c>
      <c r="E52" s="35"/>
      <c r="F52" s="35"/>
      <c r="G52" s="36"/>
      <c r="H52" s="17"/>
      <c r="I52" s="17"/>
      <c r="J52" s="23"/>
      <c r="K52" s="17"/>
      <c r="L52" s="17"/>
      <c r="M52" s="18"/>
    </row>
    <row r="53" spans="1:13" ht="14.1" customHeight="1" x14ac:dyDescent="0.3">
      <c r="A53" s="107">
        <v>26</v>
      </c>
      <c r="B53" s="26" t="s">
        <v>77</v>
      </c>
      <c r="C53" s="27"/>
      <c r="D53" s="37" t="s">
        <v>75</v>
      </c>
      <c r="E53" s="38"/>
      <c r="F53" s="38"/>
      <c r="G53" s="39"/>
      <c r="H53" s="9">
        <f>SUM(I53)-1.8</f>
        <v>31.7</v>
      </c>
      <c r="I53" s="9">
        <f>SUM(J53)-1.8</f>
        <v>33.5</v>
      </c>
      <c r="J53" s="7">
        <v>35.299999999999997</v>
      </c>
      <c r="K53" s="9">
        <f>SUM(J53)+1.8</f>
        <v>37.099999999999994</v>
      </c>
      <c r="L53" s="9">
        <f>SUM(K53)+1.8</f>
        <v>38.899999999999991</v>
      </c>
      <c r="M53" s="11">
        <f>SUM(L53)+1.8</f>
        <v>40.699999999999989</v>
      </c>
    </row>
    <row r="54" spans="1:13" ht="14.1" customHeight="1" x14ac:dyDescent="0.3">
      <c r="A54" s="70"/>
      <c r="B54" s="32" t="s">
        <v>76</v>
      </c>
      <c r="C54" s="33"/>
      <c r="D54" s="34" t="s">
        <v>75</v>
      </c>
      <c r="E54" s="35"/>
      <c r="F54" s="35"/>
      <c r="G54" s="36"/>
      <c r="H54" s="17"/>
      <c r="I54" s="17"/>
      <c r="J54" s="23"/>
      <c r="K54" s="17"/>
      <c r="L54" s="17"/>
      <c r="M54" s="18"/>
    </row>
    <row r="55" spans="1:13" ht="14.1" customHeight="1" x14ac:dyDescent="0.3">
      <c r="A55" s="107">
        <v>27</v>
      </c>
      <c r="B55" s="26" t="s">
        <v>172</v>
      </c>
      <c r="C55" s="27"/>
      <c r="D55" s="37" t="s">
        <v>173</v>
      </c>
      <c r="E55" s="38"/>
      <c r="F55" s="38"/>
      <c r="G55" s="39"/>
      <c r="H55" s="9">
        <f>SUM(I55)-3.1</f>
        <v>30.299999999999997</v>
      </c>
      <c r="I55" s="9">
        <f>SUM(J55)-3.1</f>
        <v>33.4</v>
      </c>
      <c r="J55" s="7">
        <v>36.5</v>
      </c>
      <c r="K55" s="9">
        <f>SUM(J55)+3.1</f>
        <v>39.6</v>
      </c>
      <c r="L55" s="9">
        <f>SUM(K55)+2.7</f>
        <v>42.300000000000004</v>
      </c>
      <c r="M55" s="11">
        <f>SUM(L55)+2.7</f>
        <v>45.000000000000007</v>
      </c>
    </row>
    <row r="56" spans="1:13" ht="14.1" customHeight="1" x14ac:dyDescent="0.3">
      <c r="A56" s="70"/>
      <c r="B56" s="32" t="s">
        <v>174</v>
      </c>
      <c r="C56" s="33"/>
      <c r="D56" s="34" t="s">
        <v>175</v>
      </c>
      <c r="E56" s="35"/>
      <c r="F56" s="35"/>
      <c r="G56" s="36"/>
      <c r="H56" s="17"/>
      <c r="I56" s="17"/>
      <c r="J56" s="23"/>
      <c r="K56" s="17"/>
      <c r="L56" s="17"/>
      <c r="M56" s="18"/>
    </row>
    <row r="57" spans="1:13" ht="14.1" customHeight="1" x14ac:dyDescent="0.3">
      <c r="A57" s="107">
        <v>28</v>
      </c>
      <c r="B57" s="26" t="s">
        <v>92</v>
      </c>
      <c r="C57" s="27"/>
      <c r="D57" s="37" t="s">
        <v>21</v>
      </c>
      <c r="E57" s="38"/>
      <c r="F57" s="38"/>
      <c r="G57" s="39"/>
      <c r="H57" s="9">
        <f>SUM(I57)-0.3</f>
        <v>4.4000000000000004</v>
      </c>
      <c r="I57" s="9">
        <f>SUM(J57)-0.3</f>
        <v>4.7</v>
      </c>
      <c r="J57" s="7">
        <v>5</v>
      </c>
      <c r="K57" s="9">
        <f>SUM(J57)+0.3</f>
        <v>5.3</v>
      </c>
      <c r="L57" s="9">
        <f>SUM(K57)+0.3</f>
        <v>5.6</v>
      </c>
      <c r="M57" s="11">
        <f>SUM(L57)+0.3</f>
        <v>5.8999999999999995</v>
      </c>
    </row>
    <row r="58" spans="1:13" ht="14.1" customHeight="1" x14ac:dyDescent="0.3">
      <c r="A58" s="70"/>
      <c r="B58" s="32" t="s">
        <v>48</v>
      </c>
      <c r="C58" s="33"/>
      <c r="D58" s="34" t="s">
        <v>91</v>
      </c>
      <c r="E58" s="35"/>
      <c r="F58" s="35"/>
      <c r="G58" s="36"/>
      <c r="H58" s="17"/>
      <c r="I58" s="17"/>
      <c r="J58" s="23"/>
      <c r="K58" s="17"/>
      <c r="L58" s="17"/>
      <c r="M58" s="18"/>
    </row>
    <row r="59" spans="1:13" ht="14.1" customHeight="1" x14ac:dyDescent="0.3">
      <c r="A59" s="107">
        <v>29</v>
      </c>
      <c r="B59" s="26" t="s">
        <v>90</v>
      </c>
      <c r="C59" s="27"/>
      <c r="D59" s="37" t="s">
        <v>22</v>
      </c>
      <c r="E59" s="38"/>
      <c r="F59" s="38"/>
      <c r="G59" s="39"/>
      <c r="H59" s="9">
        <f>SUM(I59)-0.7</f>
        <v>9.9000000000000021</v>
      </c>
      <c r="I59" s="9">
        <f>SUM(J59)-0.7</f>
        <v>10.600000000000001</v>
      </c>
      <c r="J59" s="7">
        <v>11.3</v>
      </c>
      <c r="K59" s="9">
        <f>SUM(J59)+0.7</f>
        <v>12</v>
      </c>
      <c r="L59" s="9">
        <f>SUM(K59)+0.7</f>
        <v>12.7</v>
      </c>
      <c r="M59" s="11">
        <f>SUM(L59)+0.7</f>
        <v>13.399999999999999</v>
      </c>
    </row>
    <row r="60" spans="1:13" ht="14.1" customHeight="1" thickBot="1" x14ac:dyDescent="0.35">
      <c r="A60" s="108"/>
      <c r="B60" s="102" t="s">
        <v>47</v>
      </c>
      <c r="C60" s="103"/>
      <c r="D60" s="104" t="s">
        <v>89</v>
      </c>
      <c r="E60" s="105"/>
      <c r="F60" s="105"/>
      <c r="G60" s="106"/>
      <c r="H60" s="10"/>
      <c r="I60" s="10"/>
      <c r="J60" s="8"/>
      <c r="K60" s="10"/>
      <c r="L60" s="10"/>
      <c r="M60" s="12"/>
    </row>
    <row r="61" spans="1:13" ht="14.1" customHeight="1" x14ac:dyDescent="0.3"/>
    <row r="62" spans="1:13" ht="14.1" customHeight="1" x14ac:dyDescent="0.3"/>
    <row r="63" spans="1:13" ht="14.1" customHeight="1" x14ac:dyDescent="0.3"/>
    <row r="64" spans="1:13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322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9E1A-5A2F-4263-9874-3A48D1C6E13B}">
  <sheetPr>
    <tabColor rgb="FF00B050"/>
    <pageSetUpPr fitToPage="1"/>
  </sheetPr>
  <dimension ref="A1:M74"/>
  <sheetViews>
    <sheetView zoomScale="110" zoomScaleNormal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156" t="s">
        <v>275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8"/>
    </row>
    <row r="2" spans="1:13" ht="16.5" customHeight="1" thickBot="1" x14ac:dyDescent="0.25">
      <c r="A2" s="5" t="s">
        <v>53</v>
      </c>
      <c r="B2" s="159" t="s">
        <v>54</v>
      </c>
      <c r="C2" s="159"/>
      <c r="D2" s="159" t="s">
        <v>55</v>
      </c>
      <c r="E2" s="159"/>
      <c r="F2" s="159"/>
      <c r="G2" s="159"/>
      <c r="H2" s="6" t="s">
        <v>56</v>
      </c>
      <c r="I2" s="6" t="s">
        <v>57</v>
      </c>
      <c r="J2" s="6" t="s">
        <v>58</v>
      </c>
      <c r="K2" s="6" t="s">
        <v>59</v>
      </c>
      <c r="L2" s="6" t="s">
        <v>111</v>
      </c>
      <c r="M2" s="6" t="s">
        <v>112</v>
      </c>
    </row>
    <row r="3" spans="1:13" s="1" customFormat="1" ht="14.1" customHeight="1" x14ac:dyDescent="0.3">
      <c r="A3" s="160">
        <v>1</v>
      </c>
      <c r="B3" s="161" t="s">
        <v>191</v>
      </c>
      <c r="C3" s="162"/>
      <c r="D3" s="163" t="s">
        <v>64</v>
      </c>
      <c r="E3" s="164"/>
      <c r="F3" s="164"/>
      <c r="G3" s="165"/>
      <c r="H3" s="166">
        <v>45</v>
      </c>
      <c r="I3" s="168">
        <f>SUM(H3)+3</f>
        <v>48</v>
      </c>
      <c r="J3" s="168">
        <f>SUM(I3)+3</f>
        <v>51</v>
      </c>
      <c r="K3" s="168">
        <f>SUM(J3)+3</f>
        <v>54</v>
      </c>
      <c r="L3" s="168">
        <f>SUM(K3)+3</f>
        <v>57</v>
      </c>
      <c r="M3" s="169">
        <f>SUM(L3)+3</f>
        <v>60</v>
      </c>
    </row>
    <row r="4" spans="1:13" s="1" customFormat="1" ht="14.1" customHeight="1" x14ac:dyDescent="0.3">
      <c r="A4" s="155"/>
      <c r="B4" s="151" t="s">
        <v>192</v>
      </c>
      <c r="C4" s="152"/>
      <c r="D4" s="83" t="s">
        <v>65</v>
      </c>
      <c r="E4" s="84"/>
      <c r="F4" s="84"/>
      <c r="G4" s="85"/>
      <c r="H4" s="167"/>
      <c r="I4" s="116"/>
      <c r="J4" s="116"/>
      <c r="K4" s="116"/>
      <c r="L4" s="116"/>
      <c r="M4" s="118"/>
    </row>
    <row r="5" spans="1:13" s="1" customFormat="1" ht="14.1" customHeight="1" x14ac:dyDescent="0.3">
      <c r="A5" s="145">
        <v>2</v>
      </c>
      <c r="B5" s="146" t="s">
        <v>11</v>
      </c>
      <c r="C5" s="147"/>
      <c r="D5" s="148" t="s">
        <v>136</v>
      </c>
      <c r="E5" s="149"/>
      <c r="F5" s="149"/>
      <c r="G5" s="150"/>
      <c r="H5" s="153">
        <v>46</v>
      </c>
      <c r="I5" s="153">
        <f>SUM(H5)+3.2</f>
        <v>49.2</v>
      </c>
      <c r="J5" s="153">
        <f>SUM(I5)+3.2</f>
        <v>52.400000000000006</v>
      </c>
      <c r="K5" s="153">
        <f>SUM(J5)+3.2</f>
        <v>55.600000000000009</v>
      </c>
      <c r="L5" s="153">
        <f>SUM(K5)+3.2</f>
        <v>58.800000000000011</v>
      </c>
      <c r="M5" s="154">
        <f>SUM(L5)+3.2</f>
        <v>62.000000000000014</v>
      </c>
    </row>
    <row r="6" spans="1:13" s="1" customFormat="1" ht="14.1" customHeight="1" x14ac:dyDescent="0.3">
      <c r="A6" s="155"/>
      <c r="B6" s="151" t="s">
        <v>44</v>
      </c>
      <c r="C6" s="152"/>
      <c r="D6" s="83" t="s">
        <v>83</v>
      </c>
      <c r="E6" s="84"/>
      <c r="F6" s="84"/>
      <c r="G6" s="85"/>
      <c r="H6" s="116"/>
      <c r="I6" s="116"/>
      <c r="J6" s="116"/>
      <c r="K6" s="116"/>
      <c r="L6" s="116"/>
      <c r="M6" s="118"/>
    </row>
    <row r="7" spans="1:13" s="1" customFormat="1" ht="14.1" customHeight="1" x14ac:dyDescent="0.3">
      <c r="A7" s="145">
        <v>3</v>
      </c>
      <c r="B7" s="146" t="s">
        <v>9</v>
      </c>
      <c r="C7" s="147"/>
      <c r="D7" s="148" t="s">
        <v>66</v>
      </c>
      <c r="E7" s="149"/>
      <c r="F7" s="149"/>
      <c r="G7" s="150"/>
      <c r="H7" s="153">
        <v>51.5</v>
      </c>
      <c r="I7" s="153">
        <f>SUM(H7)+7</f>
        <v>58.5</v>
      </c>
      <c r="J7" s="153">
        <f>SUM(I7)+7</f>
        <v>65.5</v>
      </c>
      <c r="K7" s="153">
        <f>SUM(J7)+6</f>
        <v>71.5</v>
      </c>
      <c r="L7" s="153">
        <f>SUM(K7)+6</f>
        <v>77.5</v>
      </c>
      <c r="M7" s="154">
        <f>SUM(L7)+6</f>
        <v>83.5</v>
      </c>
    </row>
    <row r="8" spans="1:13" s="1" customFormat="1" ht="14.1" customHeight="1" x14ac:dyDescent="0.3">
      <c r="A8" s="155"/>
      <c r="B8" s="151" t="s">
        <v>270</v>
      </c>
      <c r="C8" s="152"/>
      <c r="D8" s="83" t="s">
        <v>82</v>
      </c>
      <c r="E8" s="84"/>
      <c r="F8" s="84"/>
      <c r="G8" s="85"/>
      <c r="H8" s="116"/>
      <c r="I8" s="116"/>
      <c r="J8" s="116"/>
      <c r="K8" s="116"/>
      <c r="L8" s="116"/>
      <c r="M8" s="118"/>
    </row>
    <row r="9" spans="1:13" s="1" customFormat="1" ht="14.1" customHeight="1" x14ac:dyDescent="0.3">
      <c r="A9" s="145">
        <v>4</v>
      </c>
      <c r="B9" s="146" t="s">
        <v>13</v>
      </c>
      <c r="C9" s="147"/>
      <c r="D9" s="148" t="s">
        <v>14</v>
      </c>
      <c r="E9" s="149"/>
      <c r="F9" s="149"/>
      <c r="G9" s="150"/>
      <c r="H9" s="153">
        <v>15.5</v>
      </c>
      <c r="I9" s="153">
        <f>SUM(H9)+0.6</f>
        <v>16.100000000000001</v>
      </c>
      <c r="J9" s="153">
        <f>SUM(I9)+0.6</f>
        <v>16.700000000000003</v>
      </c>
      <c r="K9" s="153">
        <f>SUM(J9)+0.6</f>
        <v>17.300000000000004</v>
      </c>
      <c r="L9" s="153">
        <f>SUM(K9)+0.6</f>
        <v>17.900000000000006</v>
      </c>
      <c r="M9" s="154">
        <f>SUM(L9)+0.6</f>
        <v>18.500000000000007</v>
      </c>
    </row>
    <row r="10" spans="1:13" s="1" customFormat="1" ht="14.1" customHeight="1" x14ac:dyDescent="0.3">
      <c r="A10" s="155"/>
      <c r="B10" s="151" t="s">
        <v>46</v>
      </c>
      <c r="C10" s="152"/>
      <c r="D10" s="130" t="s">
        <v>81</v>
      </c>
      <c r="E10" s="131"/>
      <c r="F10" s="131"/>
      <c r="G10" s="132"/>
      <c r="H10" s="116"/>
      <c r="I10" s="116"/>
      <c r="J10" s="116"/>
      <c r="K10" s="116"/>
      <c r="L10" s="116"/>
      <c r="M10" s="118"/>
    </row>
    <row r="11" spans="1:13" s="1" customFormat="1" ht="14.1" customHeight="1" x14ac:dyDescent="0.3">
      <c r="A11" s="145">
        <v>5</v>
      </c>
      <c r="B11" s="146" t="s">
        <v>15</v>
      </c>
      <c r="C11" s="147"/>
      <c r="D11" s="148" t="s">
        <v>12</v>
      </c>
      <c r="E11" s="149"/>
      <c r="F11" s="149"/>
      <c r="G11" s="150"/>
      <c r="H11" s="153">
        <v>20</v>
      </c>
      <c r="I11" s="153">
        <f>SUM(H11)+1</f>
        <v>21</v>
      </c>
      <c r="J11" s="153">
        <f>SUM(I11)+1</f>
        <v>22</v>
      </c>
      <c r="K11" s="153">
        <f>SUM(J11)+1.5</f>
        <v>23.5</v>
      </c>
      <c r="L11" s="153">
        <f>SUM(K11)+1</f>
        <v>24.5</v>
      </c>
      <c r="M11" s="154">
        <f>SUM(L11)+1</f>
        <v>25.5</v>
      </c>
    </row>
    <row r="12" spans="1:13" s="1" customFormat="1" ht="14.1" customHeight="1" x14ac:dyDescent="0.3">
      <c r="A12" s="155"/>
      <c r="B12" s="151" t="s">
        <v>52</v>
      </c>
      <c r="C12" s="152"/>
      <c r="D12" s="83" t="s">
        <v>80</v>
      </c>
      <c r="E12" s="84"/>
      <c r="F12" s="84"/>
      <c r="G12" s="85"/>
      <c r="H12" s="116"/>
      <c r="I12" s="116"/>
      <c r="J12" s="116"/>
      <c r="K12" s="116"/>
      <c r="L12" s="116"/>
      <c r="M12" s="118"/>
    </row>
    <row r="13" spans="1:13" s="1" customFormat="1" ht="14.1" customHeight="1" x14ac:dyDescent="0.3">
      <c r="A13" s="145">
        <v>6</v>
      </c>
      <c r="B13" s="146" t="s">
        <v>16</v>
      </c>
      <c r="C13" s="147"/>
      <c r="D13" s="148" t="s">
        <v>12</v>
      </c>
      <c r="E13" s="149"/>
      <c r="F13" s="149"/>
      <c r="G13" s="150"/>
      <c r="H13" s="153">
        <v>22.1</v>
      </c>
      <c r="I13" s="153">
        <f>SUM(H13)+1.2</f>
        <v>23.3</v>
      </c>
      <c r="J13" s="153">
        <f>SUM(I13)+1.2</f>
        <v>24.5</v>
      </c>
      <c r="K13" s="153">
        <f>SUM(J13)+1.7</f>
        <v>26.2</v>
      </c>
      <c r="L13" s="153">
        <f>SUM(K13)+1.2</f>
        <v>27.4</v>
      </c>
      <c r="M13" s="154">
        <f>SUM(L13)+1.2</f>
        <v>28.599999999999998</v>
      </c>
    </row>
    <row r="14" spans="1:13" s="1" customFormat="1" ht="14.1" customHeight="1" x14ac:dyDescent="0.3">
      <c r="A14" s="155"/>
      <c r="B14" s="151" t="s">
        <v>51</v>
      </c>
      <c r="C14" s="152"/>
      <c r="D14" s="83" t="s">
        <v>80</v>
      </c>
      <c r="E14" s="84"/>
      <c r="F14" s="84"/>
      <c r="G14" s="85"/>
      <c r="H14" s="116"/>
      <c r="I14" s="116"/>
      <c r="J14" s="116"/>
      <c r="K14" s="116"/>
      <c r="L14" s="116"/>
      <c r="M14" s="118"/>
    </row>
    <row r="15" spans="1:13" s="1" customFormat="1" ht="14.1" customHeight="1" x14ac:dyDescent="0.3">
      <c r="A15" s="145">
        <v>7</v>
      </c>
      <c r="B15" s="146" t="s">
        <v>17</v>
      </c>
      <c r="C15" s="147"/>
      <c r="D15" s="148" t="s">
        <v>18</v>
      </c>
      <c r="E15" s="149"/>
      <c r="F15" s="149"/>
      <c r="G15" s="150"/>
      <c r="H15" s="30">
        <v>25.4</v>
      </c>
      <c r="I15" s="30">
        <f>SUM(H15)+2.2</f>
        <v>27.599999999999998</v>
      </c>
      <c r="J15" s="30">
        <f>SUM(I15)+2.2</f>
        <v>29.799999999999997</v>
      </c>
      <c r="K15" s="30">
        <f>SUM(J15)+2.1</f>
        <v>31.9</v>
      </c>
      <c r="L15" s="30">
        <f>SUM(K15)+2.1</f>
        <v>34</v>
      </c>
      <c r="M15" s="31">
        <f>SUM(L15)+2.1</f>
        <v>36.1</v>
      </c>
    </row>
    <row r="16" spans="1:13" s="1" customFormat="1" ht="14.1" customHeight="1" x14ac:dyDescent="0.3">
      <c r="A16" s="155"/>
      <c r="B16" s="151" t="s">
        <v>50</v>
      </c>
      <c r="C16" s="152"/>
      <c r="D16" s="83" t="s">
        <v>79</v>
      </c>
      <c r="E16" s="84"/>
      <c r="F16" s="84"/>
      <c r="G16" s="85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145">
        <v>8</v>
      </c>
      <c r="B17" s="146" t="s">
        <v>77</v>
      </c>
      <c r="C17" s="147"/>
      <c r="D17" s="148" t="s">
        <v>75</v>
      </c>
      <c r="E17" s="149"/>
      <c r="F17" s="149"/>
      <c r="G17" s="150"/>
      <c r="H17" s="9">
        <v>18.8</v>
      </c>
      <c r="I17" s="9">
        <f>SUM(H17)+0.9</f>
        <v>19.7</v>
      </c>
      <c r="J17" s="9">
        <f>SUM(I17)+0.9</f>
        <v>20.599999999999998</v>
      </c>
      <c r="K17" s="9">
        <f>SUM(J17)+0.9</f>
        <v>21.499999999999996</v>
      </c>
      <c r="L17" s="9">
        <f>SUM(K17)+0.9</f>
        <v>22.399999999999995</v>
      </c>
      <c r="M17" s="11">
        <f>SUM(L17)+0.9</f>
        <v>23.299999999999994</v>
      </c>
    </row>
    <row r="18" spans="1:13" s="1" customFormat="1" ht="14.1" customHeight="1" thickBot="1" x14ac:dyDescent="0.35">
      <c r="A18" s="145"/>
      <c r="B18" s="133" t="s">
        <v>76</v>
      </c>
      <c r="C18" s="134"/>
      <c r="D18" s="135" t="s">
        <v>75</v>
      </c>
      <c r="E18" s="136"/>
      <c r="F18" s="136"/>
      <c r="G18" s="137"/>
      <c r="H18" s="44"/>
      <c r="I18" s="44"/>
      <c r="J18" s="44"/>
      <c r="K18" s="44"/>
      <c r="L18" s="44"/>
      <c r="M18" s="45"/>
    </row>
    <row r="19" spans="1:13" s="1" customFormat="1" ht="13.5" customHeight="1" thickTop="1" x14ac:dyDescent="0.3">
      <c r="A19" s="138">
        <v>9</v>
      </c>
      <c r="B19" s="140" t="s">
        <v>271</v>
      </c>
      <c r="C19" s="141"/>
      <c r="D19" s="142" t="s">
        <v>272</v>
      </c>
      <c r="E19" s="143"/>
      <c r="F19" s="143"/>
      <c r="G19" s="144"/>
      <c r="H19" s="128">
        <v>24.5</v>
      </c>
      <c r="I19" s="128">
        <f>SUM(H19)+2.5</f>
        <v>27</v>
      </c>
      <c r="J19" s="128">
        <f>SUM(I19)+2.5</f>
        <v>29.5</v>
      </c>
      <c r="K19" s="128">
        <f>SUM(J19)+3</f>
        <v>32.5</v>
      </c>
      <c r="L19" s="128">
        <f>SUM(K19)+2.5</f>
        <v>35</v>
      </c>
      <c r="M19" s="129">
        <f>SUM(L19)+2.5</f>
        <v>37.5</v>
      </c>
    </row>
    <row r="20" spans="1:13" s="1" customFormat="1" ht="14.1" customHeight="1" x14ac:dyDescent="0.3">
      <c r="A20" s="139"/>
      <c r="B20" s="116" t="s">
        <v>276</v>
      </c>
      <c r="C20" s="116"/>
      <c r="D20" s="130" t="s">
        <v>277</v>
      </c>
      <c r="E20" s="131"/>
      <c r="F20" s="131"/>
      <c r="G20" s="132"/>
      <c r="H20" s="116"/>
      <c r="I20" s="116"/>
      <c r="J20" s="116"/>
      <c r="K20" s="116"/>
      <c r="L20" s="116"/>
      <c r="M20" s="118"/>
    </row>
    <row r="21" spans="1:13" s="1" customFormat="1" ht="14.1" customHeight="1" x14ac:dyDescent="0.3">
      <c r="A21" s="124">
        <v>10</v>
      </c>
      <c r="B21" s="126" t="s">
        <v>38</v>
      </c>
      <c r="C21" s="126"/>
      <c r="D21" s="127" t="s">
        <v>273</v>
      </c>
      <c r="E21" s="127"/>
      <c r="F21" s="127"/>
      <c r="G21" s="127"/>
      <c r="H21" s="116">
        <v>85.8</v>
      </c>
      <c r="I21" s="116">
        <f>SUM(H21)+5.4</f>
        <v>91.2</v>
      </c>
      <c r="J21" s="116">
        <f>SUM(I21)+5.4</f>
        <v>96.600000000000009</v>
      </c>
      <c r="K21" s="116">
        <f>SUM(J21)+5.4</f>
        <v>102.00000000000001</v>
      </c>
      <c r="L21" s="116">
        <f>SUM(K21)+5.4</f>
        <v>107.40000000000002</v>
      </c>
      <c r="M21" s="118">
        <f>SUM(L21)+5.4</f>
        <v>112.80000000000003</v>
      </c>
    </row>
    <row r="22" spans="1:13" s="1" customFormat="1" ht="14.1" customHeight="1" thickBot="1" x14ac:dyDescent="0.35">
      <c r="A22" s="125"/>
      <c r="B22" s="120" t="s">
        <v>24</v>
      </c>
      <c r="C22" s="120"/>
      <c r="D22" s="121" t="s">
        <v>274</v>
      </c>
      <c r="E22" s="122"/>
      <c r="F22" s="122"/>
      <c r="G22" s="123"/>
      <c r="H22" s="117"/>
      <c r="I22" s="117"/>
      <c r="J22" s="117"/>
      <c r="K22" s="117"/>
      <c r="L22" s="117"/>
      <c r="M22" s="119"/>
    </row>
    <row r="23" spans="1:13" s="1" customFormat="1" ht="14.1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1" customFormat="1" ht="14.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1" customFormat="1" ht="14.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" customFormat="1" ht="14.1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1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EC7A-0DFE-4E42-A870-A88AD3537873}">
  <sheetPr>
    <tabColor rgb="FF00B050"/>
    <pageSetUpPr fitToPage="1"/>
  </sheetPr>
  <dimension ref="A1:P74"/>
  <sheetViews>
    <sheetView topLeftCell="A10" zoomScale="110" zoomScaleNormal="110" workbookViewId="0">
      <selection activeCell="Q16" sqref="Q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112">
        <v>1</v>
      </c>
      <c r="B3" s="53" t="s">
        <v>213</v>
      </c>
      <c r="C3" s="54"/>
      <c r="D3" s="47" t="s">
        <v>214</v>
      </c>
      <c r="E3" s="48"/>
      <c r="F3" s="48"/>
      <c r="G3" s="49"/>
      <c r="H3" s="113">
        <f>SUM(I3)-4.9</f>
        <v>55.7</v>
      </c>
      <c r="I3" s="113">
        <f>SUM(J3)-4.9</f>
        <v>60.6</v>
      </c>
      <c r="J3" s="114">
        <v>65.5</v>
      </c>
      <c r="K3" s="113">
        <f>SUM(J3)+4.9</f>
        <v>70.400000000000006</v>
      </c>
      <c r="L3" s="113">
        <f>SUM(K3)+4.9</f>
        <v>75.300000000000011</v>
      </c>
      <c r="M3" s="177">
        <f>SUM(L3)+4.9</f>
        <v>80.200000000000017</v>
      </c>
    </row>
    <row r="4" spans="1:13" s="1" customFormat="1" ht="14.1" customHeight="1" x14ac:dyDescent="0.3">
      <c r="A4" s="70"/>
      <c r="B4" s="19" t="s">
        <v>215</v>
      </c>
      <c r="C4" s="19"/>
      <c r="D4" s="43" t="s">
        <v>216</v>
      </c>
      <c r="E4" s="21"/>
      <c r="F4" s="21"/>
      <c r="G4" s="21"/>
      <c r="H4" s="17"/>
      <c r="I4" s="17"/>
      <c r="J4" s="23"/>
      <c r="K4" s="17"/>
      <c r="L4" s="17"/>
      <c r="M4" s="174"/>
    </row>
    <row r="5" spans="1:13" s="1" customFormat="1" ht="14.1" customHeight="1" x14ac:dyDescent="0.3">
      <c r="A5" s="107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SUM(I5)-1.6</f>
        <v>21.799999999999997</v>
      </c>
      <c r="I5" s="9">
        <f>SUM(J5)-1.6</f>
        <v>23.4</v>
      </c>
      <c r="J5" s="7">
        <v>25</v>
      </c>
      <c r="K5" s="9">
        <f>SUM(J5)+1.4</f>
        <v>26.4</v>
      </c>
      <c r="L5" s="9">
        <f>SUM(K5)+1.4</f>
        <v>27.799999999999997</v>
      </c>
      <c r="M5" s="175">
        <f>SUM(L5)+1.4</f>
        <v>29.199999999999996</v>
      </c>
    </row>
    <row r="6" spans="1:13" s="1" customFormat="1" ht="14.1" customHeight="1" x14ac:dyDescent="0.3">
      <c r="A6" s="70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74"/>
    </row>
    <row r="7" spans="1:13" s="1" customFormat="1" ht="14.1" customHeight="1" x14ac:dyDescent="0.3">
      <c r="A7" s="107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28.5</v>
      </c>
      <c r="I7" s="9">
        <f>SUM(J7)-2.25</f>
        <v>30.75</v>
      </c>
      <c r="J7" s="7">
        <v>33</v>
      </c>
      <c r="K7" s="9">
        <f>SUM(J7)+2</f>
        <v>35</v>
      </c>
      <c r="L7" s="9">
        <f>SUM(K7)+2</f>
        <v>37</v>
      </c>
      <c r="M7" s="175">
        <f>SUM(L7)+2</f>
        <v>39</v>
      </c>
    </row>
    <row r="8" spans="1:13" s="1" customFormat="1" ht="14.1" customHeight="1" x14ac:dyDescent="0.3">
      <c r="A8" s="70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74"/>
    </row>
    <row r="9" spans="1:13" s="1" customFormat="1" ht="14.1" customHeight="1" x14ac:dyDescent="0.3">
      <c r="A9" s="107">
        <v>4</v>
      </c>
      <c r="B9" s="42" t="s">
        <v>159</v>
      </c>
      <c r="C9" s="42"/>
      <c r="D9" s="28"/>
      <c r="E9" s="28"/>
      <c r="F9" s="28"/>
      <c r="G9" s="28"/>
      <c r="H9" s="9">
        <f>SUM(I9)-2</f>
        <v>26</v>
      </c>
      <c r="I9" s="9">
        <f>SUM(J9)-2</f>
        <v>28</v>
      </c>
      <c r="J9" s="7">
        <v>30</v>
      </c>
      <c r="K9" s="9">
        <f>SUM(J9)+1.8</f>
        <v>31.8</v>
      </c>
      <c r="L9" s="9">
        <f>SUM(K9)+1.8</f>
        <v>33.6</v>
      </c>
      <c r="M9" s="175">
        <f>SUM(L9)+1.8</f>
        <v>35.4</v>
      </c>
    </row>
    <row r="10" spans="1:13" s="1" customFormat="1" ht="14.1" customHeight="1" x14ac:dyDescent="0.3">
      <c r="A10" s="70"/>
      <c r="B10" s="19" t="s">
        <v>160</v>
      </c>
      <c r="C10" s="19"/>
      <c r="D10" s="43"/>
      <c r="E10" s="21"/>
      <c r="F10" s="21"/>
      <c r="G10" s="22"/>
      <c r="H10" s="17"/>
      <c r="I10" s="17"/>
      <c r="J10" s="23"/>
      <c r="K10" s="17"/>
      <c r="L10" s="17"/>
      <c r="M10" s="174"/>
    </row>
    <row r="11" spans="1:13" s="1" customFormat="1" ht="14.1" customHeight="1" x14ac:dyDescent="0.3">
      <c r="A11" s="107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SUM(I11)-0.9</f>
        <v>13.6</v>
      </c>
      <c r="I11" s="9">
        <f>SUM(J11)-0.9</f>
        <v>14.5</v>
      </c>
      <c r="J11" s="29">
        <v>15.4</v>
      </c>
      <c r="K11" s="30">
        <f>SUM(J11)+0.9</f>
        <v>16.3</v>
      </c>
      <c r="L11" s="30">
        <f>SUM(K11)+0.9</f>
        <v>17.2</v>
      </c>
      <c r="M11" s="172">
        <f>SUM(L11)+0.9</f>
        <v>18.099999999999998</v>
      </c>
    </row>
    <row r="12" spans="1:13" s="1" customFormat="1" ht="14.1" customHeight="1" x14ac:dyDescent="0.3">
      <c r="A12" s="70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9"/>
      <c r="K12" s="30"/>
      <c r="L12" s="30"/>
      <c r="M12" s="172"/>
    </row>
    <row r="13" spans="1:13" s="1" customFormat="1" ht="14.1" customHeight="1" x14ac:dyDescent="0.3">
      <c r="A13" s="107">
        <v>6</v>
      </c>
      <c r="B13" s="42" t="s">
        <v>1</v>
      </c>
      <c r="C13" s="42"/>
      <c r="D13" s="28" t="s">
        <v>129</v>
      </c>
      <c r="E13" s="28"/>
      <c r="F13" s="28"/>
      <c r="G13" s="28"/>
      <c r="H13" s="9">
        <f>SUM(I13)-0.6</f>
        <v>12.4</v>
      </c>
      <c r="I13" s="9">
        <f>SUM(J13)-0.6</f>
        <v>13</v>
      </c>
      <c r="J13" s="29">
        <v>13.6</v>
      </c>
      <c r="K13" s="30">
        <f>SUM(J13)+0.6</f>
        <v>14.2</v>
      </c>
      <c r="L13" s="30">
        <f>SUM(K13)+0.6</f>
        <v>14.799999999999999</v>
      </c>
      <c r="M13" s="172">
        <f>SUM(L13)+0.6</f>
        <v>15.399999999999999</v>
      </c>
    </row>
    <row r="14" spans="1:13" s="1" customFormat="1" ht="14.1" customHeight="1" x14ac:dyDescent="0.3">
      <c r="A14" s="70"/>
      <c r="B14" s="19" t="s">
        <v>26</v>
      </c>
      <c r="C14" s="19"/>
      <c r="D14" s="43" t="s">
        <v>179</v>
      </c>
      <c r="E14" s="21"/>
      <c r="F14" s="21"/>
      <c r="G14" s="22"/>
      <c r="H14" s="17"/>
      <c r="I14" s="17"/>
      <c r="J14" s="29"/>
      <c r="K14" s="30"/>
      <c r="L14" s="30"/>
      <c r="M14" s="172"/>
    </row>
    <row r="15" spans="1:13" s="1" customFormat="1" ht="14.1" customHeight="1" x14ac:dyDescent="0.3">
      <c r="A15" s="107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5.8000000000000007</v>
      </c>
      <c r="I15" s="9">
        <f>SUM(J15)-0.3</f>
        <v>6.1000000000000005</v>
      </c>
      <c r="J15" s="29">
        <v>6.4</v>
      </c>
      <c r="K15" s="30">
        <f>SUM(J15)+0.3</f>
        <v>6.7</v>
      </c>
      <c r="L15" s="30">
        <f>SUM(K15)+0.3</f>
        <v>7</v>
      </c>
      <c r="M15" s="172">
        <f>SUM(L15)+0.3</f>
        <v>7.3</v>
      </c>
    </row>
    <row r="16" spans="1:13" s="1" customFormat="1" ht="14.1" customHeight="1" x14ac:dyDescent="0.3">
      <c r="A16" s="70"/>
      <c r="B16" s="19" t="s">
        <v>27</v>
      </c>
      <c r="C16" s="19"/>
      <c r="D16" s="43" t="s">
        <v>180</v>
      </c>
      <c r="E16" s="21"/>
      <c r="F16" s="21"/>
      <c r="G16" s="22"/>
      <c r="H16" s="17"/>
      <c r="I16" s="17"/>
      <c r="J16" s="29"/>
      <c r="K16" s="30"/>
      <c r="L16" s="30"/>
      <c r="M16" s="172"/>
    </row>
    <row r="17" spans="1:16" s="1" customFormat="1" ht="14.1" customHeight="1" x14ac:dyDescent="0.3">
      <c r="A17" s="107">
        <v>8</v>
      </c>
      <c r="B17" s="26" t="s">
        <v>67</v>
      </c>
      <c r="C17" s="27"/>
      <c r="D17" s="37" t="s">
        <v>221</v>
      </c>
      <c r="E17" s="38"/>
      <c r="F17" s="38"/>
      <c r="G17" s="39"/>
      <c r="H17" s="9">
        <f>SUM(I17)-1.6</f>
        <v>32.699999999999996</v>
      </c>
      <c r="I17" s="9">
        <f>SUM(J17)-1.6</f>
        <v>34.299999999999997</v>
      </c>
      <c r="J17" s="29">
        <v>35.9</v>
      </c>
      <c r="K17" s="30">
        <f>SUM(J17)+1.6</f>
        <v>37.5</v>
      </c>
      <c r="L17" s="30">
        <f>SUM(K17)+1.6</f>
        <v>39.1</v>
      </c>
      <c r="M17" s="172">
        <f>SUM(L17)+1.6</f>
        <v>40.700000000000003</v>
      </c>
    </row>
    <row r="18" spans="1:16" s="1" customFormat="1" ht="14.1" customHeight="1" x14ac:dyDescent="0.3">
      <c r="A18" s="70"/>
      <c r="B18" s="19" t="s">
        <v>31</v>
      </c>
      <c r="C18" s="19"/>
      <c r="D18" s="43" t="s">
        <v>237</v>
      </c>
      <c r="E18" s="21"/>
      <c r="F18" s="21"/>
      <c r="G18" s="22"/>
      <c r="H18" s="17"/>
      <c r="I18" s="17"/>
      <c r="J18" s="29"/>
      <c r="K18" s="30"/>
      <c r="L18" s="30"/>
      <c r="M18" s="172"/>
    </row>
    <row r="19" spans="1:16" s="1" customFormat="1" ht="14.1" customHeight="1" x14ac:dyDescent="0.3">
      <c r="A19" s="107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SUM(I19)-3.7</f>
        <v>35.699999999999996</v>
      </c>
      <c r="I19" s="9">
        <f>SUM(J19)-3.7</f>
        <v>39.4</v>
      </c>
      <c r="J19" s="7">
        <v>43.1</v>
      </c>
      <c r="K19" s="9">
        <f>SUM(J19)+3.8</f>
        <v>46.9</v>
      </c>
      <c r="L19" s="9">
        <f>SUM(K19)+3.8</f>
        <v>50.699999999999996</v>
      </c>
      <c r="M19" s="175">
        <f>SUM(L19)+3.8</f>
        <v>54.499999999999993</v>
      </c>
    </row>
    <row r="20" spans="1:16" s="1" customFormat="1" ht="14.1" customHeight="1" x14ac:dyDescent="0.3">
      <c r="A20" s="70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3"/>
      <c r="K20" s="17"/>
      <c r="L20" s="17"/>
      <c r="M20" s="174"/>
    </row>
    <row r="21" spans="1:16" s="1" customFormat="1" ht="14.1" customHeight="1" x14ac:dyDescent="0.3">
      <c r="A21" s="107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SUM(I21)-1.8</f>
        <v>25.7</v>
      </c>
      <c r="I21" s="9">
        <f>SUM(J21)-1.8</f>
        <v>27.5</v>
      </c>
      <c r="J21" s="29">
        <v>29.3</v>
      </c>
      <c r="K21" s="30">
        <f>SUM(J21)+1.8</f>
        <v>31.1</v>
      </c>
      <c r="L21" s="30">
        <f>SUM(K21)+1.8</f>
        <v>32.9</v>
      </c>
      <c r="M21" s="172">
        <f>SUM(L21)+1.8</f>
        <v>34.699999999999996</v>
      </c>
    </row>
    <row r="22" spans="1:16" s="1" customFormat="1" ht="14.1" customHeight="1" x14ac:dyDescent="0.3">
      <c r="A22" s="70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9"/>
      <c r="K22" s="30"/>
      <c r="L22" s="30"/>
      <c r="M22" s="172"/>
    </row>
    <row r="23" spans="1:16" s="1" customFormat="1" ht="14.1" customHeight="1" x14ac:dyDescent="0.3">
      <c r="A23" s="107">
        <v>11</v>
      </c>
      <c r="B23" s="26" t="s">
        <v>238</v>
      </c>
      <c r="C23" s="27"/>
      <c r="D23" s="28"/>
      <c r="E23" s="28"/>
      <c r="F23" s="28"/>
      <c r="G23" s="28"/>
      <c r="H23" s="9">
        <f>SUM(I23)-0.6</f>
        <v>14.8</v>
      </c>
      <c r="I23" s="9">
        <f>SUM(J23)-0.6</f>
        <v>15.4</v>
      </c>
      <c r="J23" s="29">
        <v>16</v>
      </c>
      <c r="K23" s="30">
        <f>SUM(J23)+0.6</f>
        <v>16.600000000000001</v>
      </c>
      <c r="L23" s="30">
        <f>SUM(K23)+0.6</f>
        <v>17.200000000000003</v>
      </c>
      <c r="M23" s="172">
        <f>SUM(L23)+0.6</f>
        <v>17.800000000000004</v>
      </c>
      <c r="P23" s="1" t="s">
        <v>177</v>
      </c>
    </row>
    <row r="24" spans="1:16" s="1" customFormat="1" ht="14.1" customHeight="1" x14ac:dyDescent="0.3">
      <c r="A24" s="70"/>
      <c r="B24" s="19" t="s">
        <v>239</v>
      </c>
      <c r="C24" s="19"/>
      <c r="D24" s="43"/>
      <c r="E24" s="21"/>
      <c r="F24" s="21"/>
      <c r="G24" s="22"/>
      <c r="H24" s="17"/>
      <c r="I24" s="17"/>
      <c r="J24" s="29"/>
      <c r="K24" s="30"/>
      <c r="L24" s="30"/>
      <c r="M24" s="172"/>
      <c r="P24" s="1">
        <f>SUM(H23+I23+J23+K23+L23)*2</f>
        <v>160</v>
      </c>
    </row>
    <row r="25" spans="1:16" s="1" customFormat="1" ht="14.1" customHeight="1" x14ac:dyDescent="0.3">
      <c r="A25" s="107">
        <v>12</v>
      </c>
      <c r="B25" s="77" t="s">
        <v>240</v>
      </c>
      <c r="C25" s="77"/>
      <c r="D25" s="47" t="s">
        <v>241</v>
      </c>
      <c r="E25" s="48"/>
      <c r="F25" s="48"/>
      <c r="G25" s="49"/>
      <c r="H25" s="44">
        <f>SUM(I25)-1.6</f>
        <v>18.299999999999997</v>
      </c>
      <c r="I25" s="44">
        <f>SUM(J25)-1.6</f>
        <v>19.899999999999999</v>
      </c>
      <c r="J25" s="46">
        <v>21.5</v>
      </c>
      <c r="K25" s="44">
        <f>SUM(J25)+1.6</f>
        <v>23.1</v>
      </c>
      <c r="L25" s="44">
        <f>SUM(K25)+1.6</f>
        <v>24.700000000000003</v>
      </c>
      <c r="M25" s="176">
        <f>SUM(L25)+1.6</f>
        <v>26.300000000000004</v>
      </c>
      <c r="P25" s="1">
        <f>SUM(P24/91.44/5*1.08)</f>
        <v>0.37795275590551186</v>
      </c>
    </row>
    <row r="26" spans="1:16" s="1" customFormat="1" ht="14.1" customHeight="1" x14ac:dyDescent="0.3">
      <c r="A26" s="70"/>
      <c r="B26" s="19" t="s">
        <v>242</v>
      </c>
      <c r="C26" s="19"/>
      <c r="D26" s="43" t="s">
        <v>243</v>
      </c>
      <c r="E26" s="21"/>
      <c r="F26" s="21"/>
      <c r="G26" s="21"/>
      <c r="H26" s="17"/>
      <c r="I26" s="17"/>
      <c r="J26" s="23"/>
      <c r="K26" s="17"/>
      <c r="L26" s="17"/>
      <c r="M26" s="174"/>
    </row>
    <row r="27" spans="1:16" s="1" customFormat="1" ht="14.1" customHeight="1" x14ac:dyDescent="0.3">
      <c r="A27" s="107">
        <v>13</v>
      </c>
      <c r="B27" s="26" t="s">
        <v>244</v>
      </c>
      <c r="C27" s="27"/>
      <c r="D27" s="63"/>
      <c r="E27" s="64"/>
      <c r="F27" s="64"/>
      <c r="G27" s="65"/>
      <c r="H27" s="9">
        <f>SUM(I27)-3.3</f>
        <v>37.400000000000006</v>
      </c>
      <c r="I27" s="9">
        <f>SUM(J27)-3.3</f>
        <v>40.700000000000003</v>
      </c>
      <c r="J27" s="29">
        <v>44</v>
      </c>
      <c r="K27" s="30">
        <f>SUM(J27)+3.3</f>
        <v>47.3</v>
      </c>
      <c r="L27" s="30">
        <f>SUM(K27)+3.3</f>
        <v>50.599999999999994</v>
      </c>
      <c r="M27" s="172">
        <f>SUM(L27)+3.3</f>
        <v>53.899999999999991</v>
      </c>
    </row>
    <row r="28" spans="1:16" s="1" customFormat="1" ht="14.1" customHeight="1" x14ac:dyDescent="0.3">
      <c r="A28" s="70"/>
      <c r="B28" s="79" t="s">
        <v>245</v>
      </c>
      <c r="C28" s="80"/>
      <c r="D28" s="43" t="s">
        <v>246</v>
      </c>
      <c r="E28" s="21"/>
      <c r="F28" s="21"/>
      <c r="G28" s="22"/>
      <c r="H28" s="17"/>
      <c r="I28" s="17"/>
      <c r="J28" s="29"/>
      <c r="K28" s="30"/>
      <c r="L28" s="30"/>
      <c r="M28" s="172"/>
    </row>
    <row r="29" spans="1:16" s="1" customFormat="1" ht="14.1" customHeight="1" x14ac:dyDescent="0.3">
      <c r="A29" s="107">
        <v>14</v>
      </c>
      <c r="B29" s="26" t="s">
        <v>247</v>
      </c>
      <c r="C29" s="27"/>
      <c r="D29" s="63"/>
      <c r="E29" s="64"/>
      <c r="F29" s="64"/>
      <c r="G29" s="65"/>
      <c r="H29" s="9">
        <f>SUM(I29)-1.4</f>
        <v>16.200000000000003</v>
      </c>
      <c r="I29" s="9">
        <f>SUM(J29)-1.4</f>
        <v>17.600000000000001</v>
      </c>
      <c r="J29" s="29">
        <v>19</v>
      </c>
      <c r="K29" s="30">
        <f>SUM(J29)+1.4</f>
        <v>20.399999999999999</v>
      </c>
      <c r="L29" s="30">
        <f>SUM(K29)+1.4</f>
        <v>21.799999999999997</v>
      </c>
      <c r="M29" s="172">
        <f>SUM(L29)+1.4</f>
        <v>23.199999999999996</v>
      </c>
    </row>
    <row r="30" spans="1:16" s="1" customFormat="1" ht="14.1" customHeight="1" x14ac:dyDescent="0.3">
      <c r="A30" s="70"/>
      <c r="B30" s="79" t="s">
        <v>248</v>
      </c>
      <c r="C30" s="80"/>
      <c r="D30" s="43" t="s">
        <v>246</v>
      </c>
      <c r="E30" s="21"/>
      <c r="F30" s="21"/>
      <c r="G30" s="22"/>
      <c r="H30" s="17"/>
      <c r="I30" s="17"/>
      <c r="J30" s="29"/>
      <c r="K30" s="30"/>
      <c r="L30" s="30"/>
      <c r="M30" s="172"/>
    </row>
    <row r="31" spans="1:16" ht="14.1" customHeight="1" x14ac:dyDescent="0.3">
      <c r="A31" s="107">
        <v>15</v>
      </c>
      <c r="B31" s="53" t="s">
        <v>249</v>
      </c>
      <c r="C31" s="54"/>
      <c r="D31" s="48" t="s">
        <v>75</v>
      </c>
      <c r="E31" s="48"/>
      <c r="F31" s="48"/>
      <c r="G31" s="48"/>
      <c r="H31" s="9">
        <f>SUM(I31)-2.5</f>
        <v>29.700000000000003</v>
      </c>
      <c r="I31" s="9">
        <f>SUM(J31)-2.5</f>
        <v>32.200000000000003</v>
      </c>
      <c r="J31" s="23">
        <v>34.700000000000003</v>
      </c>
      <c r="K31" s="17">
        <f>SUM(J31)+2.5</f>
        <v>37.200000000000003</v>
      </c>
      <c r="L31" s="17">
        <f>SUM(K31)+2.5</f>
        <v>39.700000000000003</v>
      </c>
      <c r="M31" s="174">
        <f>SUM(L31)+2.5</f>
        <v>42.2</v>
      </c>
    </row>
    <row r="32" spans="1:16" ht="14.1" customHeight="1" x14ac:dyDescent="0.3">
      <c r="A32" s="107"/>
      <c r="B32" s="77" t="s">
        <v>250</v>
      </c>
      <c r="C32" s="77"/>
      <c r="D32" s="47"/>
      <c r="E32" s="48"/>
      <c r="F32" s="48"/>
      <c r="G32" s="49"/>
      <c r="H32" s="44"/>
      <c r="I32" s="44"/>
      <c r="J32" s="7"/>
      <c r="K32" s="9"/>
      <c r="L32" s="9"/>
      <c r="M32" s="175"/>
    </row>
    <row r="33" spans="1:13" ht="14.1" customHeight="1" x14ac:dyDescent="0.3">
      <c r="A33" s="62">
        <v>16</v>
      </c>
      <c r="B33" s="26"/>
      <c r="C33" s="27"/>
      <c r="D33" s="38"/>
      <c r="E33" s="38"/>
      <c r="F33" s="38"/>
      <c r="G33" s="38"/>
      <c r="H33" s="9"/>
      <c r="I33" s="9"/>
      <c r="J33" s="29"/>
      <c r="K33" s="30"/>
      <c r="L33" s="30"/>
      <c r="M33" s="172"/>
    </row>
    <row r="34" spans="1:13" ht="14.1" customHeight="1" x14ac:dyDescent="0.3">
      <c r="A34" s="70"/>
      <c r="B34" s="19"/>
      <c r="C34" s="19"/>
      <c r="D34" s="43"/>
      <c r="E34" s="21"/>
      <c r="F34" s="21"/>
      <c r="G34" s="22"/>
      <c r="H34" s="17"/>
      <c r="I34" s="17"/>
      <c r="J34" s="29"/>
      <c r="K34" s="30"/>
      <c r="L34" s="30"/>
      <c r="M34" s="172"/>
    </row>
    <row r="35" spans="1:13" ht="14.1" customHeight="1" x14ac:dyDescent="0.3">
      <c r="A35" s="62">
        <v>17</v>
      </c>
      <c r="B35" s="26"/>
      <c r="C35" s="27"/>
      <c r="D35" s="38"/>
      <c r="E35" s="38"/>
      <c r="F35" s="38"/>
      <c r="G35" s="38"/>
      <c r="H35" s="9"/>
      <c r="I35" s="9"/>
      <c r="J35" s="29"/>
      <c r="K35" s="30"/>
      <c r="L35" s="30"/>
      <c r="M35" s="172"/>
    </row>
    <row r="36" spans="1:13" ht="14.1" customHeight="1" thickBot="1" x14ac:dyDescent="0.35">
      <c r="A36" s="108"/>
      <c r="B36" s="13"/>
      <c r="C36" s="13"/>
      <c r="D36" s="14"/>
      <c r="E36" s="15"/>
      <c r="F36" s="15"/>
      <c r="G36" s="16"/>
      <c r="H36" s="10"/>
      <c r="I36" s="10"/>
      <c r="J36" s="170"/>
      <c r="K36" s="171"/>
      <c r="L36" s="171"/>
      <c r="M36" s="17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D8F4-2855-4E86-A457-2A82BD2DB511}">
  <sheetPr>
    <tabColor rgb="FF00B050"/>
    <pageSetUpPr fitToPage="1"/>
  </sheetPr>
  <dimension ref="A1:M74"/>
  <sheetViews>
    <sheetView tabSelected="1" zoomScale="110" zoomScaleNormal="110" workbookViewId="0">
      <selection activeCell="P11" sqref="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284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128</v>
      </c>
      <c r="E3" s="72"/>
      <c r="F3" s="72"/>
      <c r="G3" s="73"/>
      <c r="H3" s="75">
        <v>53</v>
      </c>
      <c r="I3" s="75">
        <f>SUM(H3)+5</f>
        <v>58</v>
      </c>
      <c r="J3" s="75">
        <f>SUM(I3)+5</f>
        <v>63</v>
      </c>
      <c r="K3" s="75">
        <f>SUM(J3)+5</f>
        <v>68</v>
      </c>
      <c r="L3" s="75">
        <f>SUM(K3)+5</f>
        <v>73</v>
      </c>
      <c r="M3" s="76">
        <f>SUM(L3)+5</f>
        <v>78</v>
      </c>
    </row>
    <row r="4" spans="1:13" s="1" customFormat="1" ht="14.1" customHeight="1" x14ac:dyDescent="0.3">
      <c r="A4" s="24"/>
      <c r="B4" s="19" t="s">
        <v>33</v>
      </c>
      <c r="C4" s="19"/>
      <c r="D4" s="43" t="s">
        <v>267</v>
      </c>
      <c r="E4" s="21"/>
      <c r="F4" s="21"/>
      <c r="G4" s="21"/>
      <c r="H4" s="30"/>
      <c r="I4" s="9"/>
      <c r="J4" s="9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23.4</v>
      </c>
      <c r="I5" s="30">
        <f>SUM(H5)+1.6</f>
        <v>25</v>
      </c>
      <c r="J5" s="30">
        <f>SUM(I5)+1.6</f>
        <v>26.6</v>
      </c>
      <c r="K5" s="30">
        <f>SUM(J5)+1.4</f>
        <v>28</v>
      </c>
      <c r="L5" s="30">
        <f>SUM(K5)+1.4</f>
        <v>29.4</v>
      </c>
      <c r="M5" s="31">
        <f>SUM(L5)+1.4</f>
        <v>30.799999999999997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30"/>
      <c r="J6" s="30"/>
      <c r="K6" s="30"/>
      <c r="L6" s="30"/>
      <c r="M6" s="31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30">
        <v>31</v>
      </c>
      <c r="I7" s="30">
        <f>SUM(H7)+2.25</f>
        <v>33.25</v>
      </c>
      <c r="J7" s="30">
        <f>SUM(I7)+2.25</f>
        <v>35.5</v>
      </c>
      <c r="K7" s="30">
        <f>SUM(J7)+2</f>
        <v>37.5</v>
      </c>
      <c r="L7" s="30">
        <f>SUM(K7)+2</f>
        <v>39.5</v>
      </c>
      <c r="M7" s="31">
        <f>SUM(L7)+2</f>
        <v>41.5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1"/>
    </row>
    <row r="9" spans="1:13" s="1" customFormat="1" ht="14.1" customHeight="1" x14ac:dyDescent="0.3">
      <c r="A9" s="24">
        <v>4</v>
      </c>
      <c r="B9" s="42" t="s">
        <v>159</v>
      </c>
      <c r="C9" s="42"/>
      <c r="D9" s="28"/>
      <c r="E9" s="28"/>
      <c r="F9" s="28"/>
      <c r="G9" s="28"/>
      <c r="H9" s="30">
        <v>29</v>
      </c>
      <c r="I9" s="30">
        <f>SUM(H9)+2.1</f>
        <v>31.1</v>
      </c>
      <c r="J9" s="30">
        <f>SUM(I9)+2.1</f>
        <v>33.200000000000003</v>
      </c>
      <c r="K9" s="30">
        <f>SUM(J9)+1.9</f>
        <v>35.1</v>
      </c>
      <c r="L9" s="30">
        <f>SUM(K9)+1.9</f>
        <v>37</v>
      </c>
      <c r="M9" s="31">
        <f>SUM(L9)+1.9</f>
        <v>38.9</v>
      </c>
    </row>
    <row r="10" spans="1:13" s="1" customFormat="1" ht="14.1" customHeight="1" x14ac:dyDescent="0.3">
      <c r="A10" s="24"/>
      <c r="B10" s="19" t="s">
        <v>285</v>
      </c>
      <c r="C10" s="19"/>
      <c r="D10" s="43"/>
      <c r="E10" s="21"/>
      <c r="F10" s="21"/>
      <c r="G10" s="22"/>
      <c r="H10" s="30"/>
      <c r="I10" s="30"/>
      <c r="J10" s="30"/>
      <c r="K10" s="30"/>
      <c r="L10" s="30"/>
      <c r="M10" s="31"/>
    </row>
    <row r="11" spans="1:13" s="1" customFormat="1" ht="14.1" customHeight="1" x14ac:dyDescent="0.3">
      <c r="A11" s="24">
        <v>5</v>
      </c>
      <c r="B11" s="42" t="s">
        <v>38</v>
      </c>
      <c r="C11" s="42"/>
      <c r="D11" s="28"/>
      <c r="E11" s="28"/>
      <c r="F11" s="28"/>
      <c r="G11" s="28"/>
      <c r="H11" s="30">
        <v>74</v>
      </c>
      <c r="I11" s="30">
        <f>SUM(H11)+4.2</f>
        <v>78.2</v>
      </c>
      <c r="J11" s="30">
        <f>SUM(I11)+4.2</f>
        <v>82.4</v>
      </c>
      <c r="K11" s="30">
        <f>SUM(J11)+4</f>
        <v>86.4</v>
      </c>
      <c r="L11" s="30">
        <f>SUM(K11)+4</f>
        <v>90.4</v>
      </c>
      <c r="M11" s="31">
        <f>SUM(L11)+4</f>
        <v>94.4</v>
      </c>
    </row>
    <row r="12" spans="1:13" s="1" customFormat="1" ht="14.1" customHeight="1" x14ac:dyDescent="0.3">
      <c r="A12" s="24"/>
      <c r="B12" s="19" t="s">
        <v>24</v>
      </c>
      <c r="C12" s="19"/>
      <c r="D12" s="43"/>
      <c r="E12" s="21"/>
      <c r="F12" s="21"/>
      <c r="G12" s="22"/>
      <c r="H12" s="30"/>
      <c r="I12" s="30"/>
      <c r="J12" s="30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10</v>
      </c>
      <c r="C13" s="42"/>
      <c r="D13" s="28" t="s">
        <v>0</v>
      </c>
      <c r="E13" s="28"/>
      <c r="F13" s="28"/>
      <c r="G13" s="28"/>
      <c r="H13" s="30">
        <v>16</v>
      </c>
      <c r="I13" s="30">
        <f>SUM(H13)+0.8</f>
        <v>16.8</v>
      </c>
      <c r="J13" s="30">
        <f>SUM(I13)+0.9</f>
        <v>17.7</v>
      </c>
      <c r="K13" s="30">
        <f>SUM(J13)+0.9</f>
        <v>18.599999999999998</v>
      </c>
      <c r="L13" s="30">
        <f>SUM(K13)+0.9</f>
        <v>19.499999999999996</v>
      </c>
      <c r="M13" s="31">
        <f>SUM(L13)+0.9</f>
        <v>20.399999999999995</v>
      </c>
    </row>
    <row r="14" spans="1:13" s="1" customFormat="1" ht="14.1" customHeight="1" x14ac:dyDescent="0.3">
      <c r="A14" s="24"/>
      <c r="B14" s="19" t="s">
        <v>25</v>
      </c>
      <c r="C14" s="19"/>
      <c r="D14" s="43" t="s">
        <v>42</v>
      </c>
      <c r="E14" s="21"/>
      <c r="F14" s="21"/>
      <c r="G14" s="22"/>
      <c r="H14" s="30"/>
      <c r="I14" s="30"/>
      <c r="J14" s="30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1</v>
      </c>
      <c r="C15" s="42"/>
      <c r="D15" s="28" t="s">
        <v>129</v>
      </c>
      <c r="E15" s="28"/>
      <c r="F15" s="28"/>
      <c r="G15" s="28"/>
      <c r="H15" s="30">
        <v>14</v>
      </c>
      <c r="I15" s="30">
        <f>SUM(H15)+0.6</f>
        <v>14.6</v>
      </c>
      <c r="J15" s="30">
        <f>SUM(I15)+0.6</f>
        <v>15.2</v>
      </c>
      <c r="K15" s="30">
        <f>SUM(J15)+0.6</f>
        <v>15.799999999999999</v>
      </c>
      <c r="L15" s="30">
        <f>SUM(K15)+0.6</f>
        <v>16.399999999999999</v>
      </c>
      <c r="M15" s="31">
        <f>SUM(L15)+0.6</f>
        <v>17</v>
      </c>
    </row>
    <row r="16" spans="1:13" s="1" customFormat="1" ht="14.1" customHeight="1" x14ac:dyDescent="0.3">
      <c r="A16" s="24"/>
      <c r="B16" s="19" t="s">
        <v>26</v>
      </c>
      <c r="C16" s="19"/>
      <c r="D16" s="43" t="s">
        <v>179</v>
      </c>
      <c r="E16" s="21"/>
      <c r="F16" s="21"/>
      <c r="G16" s="22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24">
        <v>8</v>
      </c>
      <c r="B17" s="42" t="s">
        <v>2</v>
      </c>
      <c r="C17" s="42"/>
      <c r="D17" s="28" t="s">
        <v>3</v>
      </c>
      <c r="E17" s="28"/>
      <c r="F17" s="28"/>
      <c r="G17" s="28"/>
      <c r="H17" s="30">
        <v>18.5</v>
      </c>
      <c r="I17" s="30">
        <f>SUM(H17)+0.8</f>
        <v>19.3</v>
      </c>
      <c r="J17" s="30">
        <f>SUM(I17)+0.8</f>
        <v>20.100000000000001</v>
      </c>
      <c r="K17" s="30">
        <f>SUM(J17)+0.8</f>
        <v>20.900000000000002</v>
      </c>
      <c r="L17" s="30">
        <f>SUM(K17)+0.8</f>
        <v>21.700000000000003</v>
      </c>
      <c r="M17" s="31">
        <f>SUM(L17)+0.8</f>
        <v>22.500000000000004</v>
      </c>
    </row>
    <row r="18" spans="1:13" s="1" customFormat="1" ht="14.1" customHeight="1" x14ac:dyDescent="0.3">
      <c r="A18" s="24"/>
      <c r="B18" s="19" t="s">
        <v>27</v>
      </c>
      <c r="C18" s="19"/>
      <c r="D18" s="43" t="s">
        <v>180</v>
      </c>
      <c r="E18" s="21"/>
      <c r="F18" s="21"/>
      <c r="G18" s="22"/>
      <c r="H18" s="30"/>
      <c r="I18" s="30"/>
      <c r="J18" s="30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30"/>
      <c r="I19" s="30"/>
      <c r="J19" s="30"/>
      <c r="K19" s="30"/>
      <c r="L19" s="30"/>
      <c r="M19" s="31"/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30"/>
      <c r="I20" s="30"/>
      <c r="J20" s="30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30"/>
      <c r="I21" s="30"/>
      <c r="J21" s="30"/>
      <c r="K21" s="30"/>
      <c r="L21" s="30"/>
      <c r="M21" s="31"/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30"/>
      <c r="I22" s="30"/>
      <c r="J22" s="30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131</v>
      </c>
      <c r="C23" s="27"/>
      <c r="D23" s="28" t="s">
        <v>62</v>
      </c>
      <c r="E23" s="28"/>
      <c r="F23" s="28"/>
      <c r="G23" s="28"/>
      <c r="H23" s="30"/>
      <c r="I23" s="9"/>
      <c r="J23" s="9"/>
      <c r="K23" s="9"/>
      <c r="L23" s="9"/>
      <c r="M23" s="11"/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30"/>
      <c r="I24" s="17"/>
      <c r="J24" s="17"/>
      <c r="K24" s="17"/>
      <c r="L24" s="17"/>
      <c r="M24" s="18"/>
    </row>
    <row r="25" spans="1:13" s="1" customFormat="1" ht="14.1" customHeight="1" x14ac:dyDescent="0.3">
      <c r="A25" s="24">
        <v>12</v>
      </c>
      <c r="B25" s="26" t="s">
        <v>286</v>
      </c>
      <c r="C25" s="27"/>
      <c r="D25" s="63"/>
      <c r="E25" s="64"/>
      <c r="F25" s="64"/>
      <c r="G25" s="65"/>
      <c r="H25" s="9">
        <v>30</v>
      </c>
      <c r="I25" s="9">
        <f>SUM(H25)+3.1</f>
        <v>33.1</v>
      </c>
      <c r="J25" s="9">
        <f>SUM(I25)+3.1</f>
        <v>36.200000000000003</v>
      </c>
      <c r="K25" s="9">
        <f>SUM(J25)+3.1</f>
        <v>39.300000000000004</v>
      </c>
      <c r="L25" s="9">
        <f>SUM(K25)+3.1</f>
        <v>42.400000000000006</v>
      </c>
      <c r="M25" s="11">
        <f>SUM(L25)+3.1</f>
        <v>45.500000000000007</v>
      </c>
    </row>
    <row r="26" spans="1:13" s="1" customFormat="1" ht="14.1" customHeight="1" x14ac:dyDescent="0.3">
      <c r="A26" s="24"/>
      <c r="B26" s="79" t="s">
        <v>287</v>
      </c>
      <c r="C26" s="80"/>
      <c r="D26" s="43" t="s">
        <v>288</v>
      </c>
      <c r="E26" s="21"/>
      <c r="F26" s="21"/>
      <c r="G26" s="22"/>
      <c r="H26" s="17"/>
      <c r="I26" s="17"/>
      <c r="J26" s="17"/>
      <c r="K26" s="17"/>
      <c r="L26" s="17"/>
      <c r="M26" s="18"/>
    </row>
    <row r="27" spans="1:13" s="1" customFormat="1" ht="14.1" customHeight="1" x14ac:dyDescent="0.3">
      <c r="A27" s="24">
        <v>13</v>
      </c>
      <c r="B27" s="26" t="s">
        <v>229</v>
      </c>
      <c r="C27" s="27"/>
      <c r="D27" s="99"/>
      <c r="E27" s="100"/>
      <c r="F27" s="100"/>
      <c r="G27" s="101"/>
      <c r="H27" s="17">
        <v>26.5</v>
      </c>
      <c r="I27" s="44">
        <f>SUM(H27)+2.4</f>
        <v>28.9</v>
      </c>
      <c r="J27" s="44">
        <f>SUM(I27)+2.4</f>
        <v>31.299999999999997</v>
      </c>
      <c r="K27" s="44">
        <f>SUM(J27)+2.4</f>
        <v>33.699999999999996</v>
      </c>
      <c r="L27" s="44">
        <f>SUM(K27)+2.4</f>
        <v>36.099999999999994</v>
      </c>
      <c r="M27" s="45">
        <f>SUM(L27)+2.4</f>
        <v>38.499999999999993</v>
      </c>
    </row>
    <row r="28" spans="1:13" s="1" customFormat="1" ht="14.1" customHeight="1" x14ac:dyDescent="0.3">
      <c r="A28" s="24"/>
      <c r="B28" s="79" t="s">
        <v>230</v>
      </c>
      <c r="C28" s="80"/>
      <c r="D28" s="43"/>
      <c r="E28" s="21"/>
      <c r="F28" s="21"/>
      <c r="G28" s="22"/>
      <c r="H28" s="30"/>
      <c r="I28" s="17"/>
      <c r="J28" s="17"/>
      <c r="K28" s="17"/>
      <c r="L28" s="17"/>
      <c r="M28" s="18"/>
    </row>
    <row r="29" spans="1:13" s="1" customFormat="1" ht="14.1" customHeight="1" x14ac:dyDescent="0.3">
      <c r="A29" s="70">
        <v>14</v>
      </c>
      <c r="B29" s="26"/>
      <c r="C29" s="27"/>
      <c r="D29" s="99"/>
      <c r="E29" s="100"/>
      <c r="F29" s="100"/>
      <c r="G29" s="101"/>
      <c r="H29" s="17"/>
      <c r="I29" s="44"/>
      <c r="J29" s="44"/>
      <c r="K29" s="44"/>
      <c r="L29" s="44"/>
      <c r="M29" s="45"/>
    </row>
    <row r="30" spans="1:13" s="1" customFormat="1" ht="14.1" customHeight="1" x14ac:dyDescent="0.3">
      <c r="A30" s="24"/>
      <c r="B30" s="79"/>
      <c r="C30" s="80"/>
      <c r="D30" s="43"/>
      <c r="E30" s="21"/>
      <c r="F30" s="21"/>
      <c r="G30" s="22"/>
      <c r="H30" s="30"/>
      <c r="I30" s="17"/>
      <c r="J30" s="17"/>
      <c r="K30" s="17"/>
      <c r="L30" s="17"/>
      <c r="M30" s="18"/>
    </row>
    <row r="31" spans="1:13" ht="14.1" customHeight="1" x14ac:dyDescent="0.3">
      <c r="A31" s="24">
        <v>15</v>
      </c>
      <c r="B31" s="26"/>
      <c r="C31" s="27"/>
      <c r="D31" s="28"/>
      <c r="E31" s="28"/>
      <c r="F31" s="28"/>
      <c r="G31" s="28"/>
      <c r="H31" s="30"/>
      <c r="I31" s="9"/>
      <c r="J31" s="9"/>
      <c r="K31" s="9"/>
      <c r="L31" s="9"/>
      <c r="M31" s="11"/>
    </row>
    <row r="32" spans="1:13" ht="14.1" customHeight="1" thickBot="1" x14ac:dyDescent="0.35">
      <c r="A32" s="25"/>
      <c r="B32" s="200"/>
      <c r="C32" s="201"/>
      <c r="D32" s="14"/>
      <c r="E32" s="15"/>
      <c r="F32" s="15"/>
      <c r="G32" s="16"/>
      <c r="H32" s="171"/>
      <c r="I32" s="10"/>
      <c r="J32" s="10"/>
      <c r="K32" s="10"/>
      <c r="L32" s="10"/>
      <c r="M32" s="12"/>
    </row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E3C85-A865-43C6-9A5E-1CDDE696024B}">
  <sheetPr>
    <tabColor rgb="FF00B050"/>
    <pageSetUpPr fitToPage="1"/>
  </sheetPr>
  <dimension ref="A1:M74"/>
  <sheetViews>
    <sheetView zoomScale="110" zoomScaleNormal="110" workbookViewId="0">
      <selection sqref="A1:M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625" customWidth="1"/>
    <col min="14" max="14" width="5.5" customWidth="1"/>
  </cols>
  <sheetData>
    <row r="1" spans="1:13" ht="16.5" customHeight="1" thickBot="1" x14ac:dyDescent="0.35">
      <c r="A1" s="66" t="s">
        <v>234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232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53" t="s">
        <v>213</v>
      </c>
      <c r="C3" s="54"/>
      <c r="D3" s="47" t="s">
        <v>214</v>
      </c>
      <c r="E3" s="48"/>
      <c r="F3" s="48"/>
      <c r="G3" s="49"/>
      <c r="H3" s="113">
        <v>43.4</v>
      </c>
      <c r="I3" s="75">
        <f>SUM(H3)+3.4</f>
        <v>46.8</v>
      </c>
      <c r="J3" s="75">
        <f>SUM(I3)+3.4</f>
        <v>50.199999999999996</v>
      </c>
      <c r="K3" s="75">
        <f>SUM(J3)+2.9</f>
        <v>53.099999999999994</v>
      </c>
      <c r="L3" s="75">
        <f>SUM(K3)+2.9</f>
        <v>55.999999999999993</v>
      </c>
      <c r="M3" s="76">
        <f>SUM(L3)+2.9</f>
        <v>58.899999999999991</v>
      </c>
    </row>
    <row r="4" spans="1:13" s="1" customFormat="1" ht="14.1" customHeight="1" x14ac:dyDescent="0.3">
      <c r="A4" s="24"/>
      <c r="B4" s="19" t="s">
        <v>215</v>
      </c>
      <c r="C4" s="19"/>
      <c r="D4" s="43" t="s">
        <v>216</v>
      </c>
      <c r="E4" s="21"/>
      <c r="F4" s="21"/>
      <c r="G4" s="21"/>
      <c r="H4" s="17"/>
      <c r="I4" s="9"/>
      <c r="J4" s="9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38</v>
      </c>
      <c r="I5" s="30">
        <f>SUM(H5)+2</f>
        <v>40</v>
      </c>
      <c r="J5" s="30">
        <f>SUM(I5)+2</f>
        <v>42</v>
      </c>
      <c r="K5" s="30">
        <f>SUM(J5)+1.8</f>
        <v>43.8</v>
      </c>
      <c r="L5" s="30">
        <f>SUM(K5)+1.8</f>
        <v>45.599999999999994</v>
      </c>
      <c r="M5" s="31">
        <f>SUM(L5)+1.8</f>
        <v>47.399999999999991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30"/>
      <c r="J6" s="30"/>
      <c r="K6" s="30"/>
      <c r="L6" s="30"/>
      <c r="M6" s="31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178</v>
      </c>
      <c r="E7" s="28"/>
      <c r="F7" s="28"/>
      <c r="G7" s="28"/>
      <c r="H7" s="30">
        <v>41</v>
      </c>
      <c r="I7" s="30">
        <f>SUM(H7)+2.25</f>
        <v>43.25</v>
      </c>
      <c r="J7" s="30">
        <f>SUM(I7)+2.25</f>
        <v>45.5</v>
      </c>
      <c r="K7" s="30">
        <f>SUM(J7)+2</f>
        <v>47.5</v>
      </c>
      <c r="L7" s="30">
        <f>SUM(K7)+2</f>
        <v>49.5</v>
      </c>
      <c r="M7" s="31">
        <f>SUM(L7)+2</f>
        <v>51.5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1"/>
    </row>
    <row r="9" spans="1:13" s="1" customFormat="1" ht="14.1" customHeight="1" x14ac:dyDescent="0.3">
      <c r="A9" s="24">
        <v>4</v>
      </c>
      <c r="B9" s="42" t="s">
        <v>217</v>
      </c>
      <c r="C9" s="27"/>
      <c r="D9" s="37"/>
      <c r="E9" s="38"/>
      <c r="F9" s="38"/>
      <c r="G9" s="39"/>
      <c r="H9" s="9">
        <v>81.7</v>
      </c>
      <c r="I9" s="9">
        <f>SUM(H9)+4.7</f>
        <v>86.4</v>
      </c>
      <c r="J9" s="9">
        <f>SUM(I9)+4.7</f>
        <v>91.100000000000009</v>
      </c>
      <c r="K9" s="9">
        <f>SUM(J9)+4.3</f>
        <v>95.4</v>
      </c>
      <c r="L9" s="9">
        <f>SUM(K9)+4.2</f>
        <v>99.600000000000009</v>
      </c>
      <c r="M9" s="11">
        <f>SUM(L9)+4.3</f>
        <v>103.9</v>
      </c>
    </row>
    <row r="10" spans="1:13" s="1" customFormat="1" ht="14.1" customHeight="1" x14ac:dyDescent="0.3">
      <c r="A10" s="24"/>
      <c r="B10" s="19" t="s">
        <v>218</v>
      </c>
      <c r="C10" s="80"/>
      <c r="D10" s="43"/>
      <c r="E10" s="21"/>
      <c r="F10" s="21"/>
      <c r="G10" s="22"/>
      <c r="H10" s="17"/>
      <c r="I10" s="17"/>
      <c r="J10" s="17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219</v>
      </c>
      <c r="C11" s="42"/>
      <c r="D11" s="28"/>
      <c r="E11" s="28"/>
      <c r="F11" s="28"/>
      <c r="G11" s="28"/>
      <c r="H11" s="30">
        <v>64</v>
      </c>
      <c r="I11" s="30">
        <f t="shared" ref="I11:M11" si="0">SUM(H11)+3.5</f>
        <v>67.5</v>
      </c>
      <c r="J11" s="30">
        <f t="shared" si="0"/>
        <v>71</v>
      </c>
      <c r="K11" s="30">
        <f t="shared" si="0"/>
        <v>74.5</v>
      </c>
      <c r="L11" s="30">
        <f t="shared" si="0"/>
        <v>78</v>
      </c>
      <c r="M11" s="31">
        <f t="shared" si="0"/>
        <v>81.5</v>
      </c>
    </row>
    <row r="12" spans="1:13" s="1" customFormat="1" ht="14.1" customHeight="1" x14ac:dyDescent="0.3">
      <c r="A12" s="24"/>
      <c r="B12" s="19" t="s">
        <v>220</v>
      </c>
      <c r="C12" s="19"/>
      <c r="D12" s="43"/>
      <c r="E12" s="21"/>
      <c r="F12" s="21"/>
      <c r="G12" s="22"/>
      <c r="H12" s="30"/>
      <c r="I12" s="30"/>
      <c r="J12" s="30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10</v>
      </c>
      <c r="C13" s="42"/>
      <c r="D13" s="28" t="s">
        <v>0</v>
      </c>
      <c r="E13" s="28"/>
      <c r="F13" s="28"/>
      <c r="G13" s="28"/>
      <c r="H13" s="30">
        <v>15.7</v>
      </c>
      <c r="I13" s="30">
        <f t="shared" ref="I13:M13" si="1">SUM(H13)+0.8</f>
        <v>16.5</v>
      </c>
      <c r="J13" s="30">
        <f t="shared" si="1"/>
        <v>17.3</v>
      </c>
      <c r="K13" s="30">
        <f t="shared" si="1"/>
        <v>18.100000000000001</v>
      </c>
      <c r="L13" s="30">
        <f t="shared" si="1"/>
        <v>18.900000000000002</v>
      </c>
      <c r="M13" s="31">
        <f t="shared" si="1"/>
        <v>19.700000000000003</v>
      </c>
    </row>
    <row r="14" spans="1:13" s="1" customFormat="1" ht="14.1" customHeight="1" x14ac:dyDescent="0.3">
      <c r="A14" s="24"/>
      <c r="B14" s="19" t="s">
        <v>25</v>
      </c>
      <c r="C14" s="19"/>
      <c r="D14" s="43" t="s">
        <v>42</v>
      </c>
      <c r="E14" s="21"/>
      <c r="F14" s="21"/>
      <c r="G14" s="22"/>
      <c r="H14" s="30"/>
      <c r="I14" s="30"/>
      <c r="J14" s="30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1</v>
      </c>
      <c r="C15" s="42"/>
      <c r="D15" s="28" t="s">
        <v>129</v>
      </c>
      <c r="E15" s="28"/>
      <c r="F15" s="28"/>
      <c r="G15" s="28"/>
      <c r="H15" s="30">
        <v>16.600000000000001</v>
      </c>
      <c r="I15" s="30">
        <f t="shared" ref="I15:M15" si="2">SUM(H15)+0.6</f>
        <v>17.200000000000003</v>
      </c>
      <c r="J15" s="30">
        <f t="shared" si="2"/>
        <v>17.800000000000004</v>
      </c>
      <c r="K15" s="30">
        <f t="shared" si="2"/>
        <v>18.400000000000006</v>
      </c>
      <c r="L15" s="30">
        <f t="shared" si="2"/>
        <v>19.000000000000007</v>
      </c>
      <c r="M15" s="31">
        <f t="shared" si="2"/>
        <v>19.600000000000009</v>
      </c>
    </row>
    <row r="16" spans="1:13" s="1" customFormat="1" ht="14.1" customHeight="1" x14ac:dyDescent="0.3">
      <c r="A16" s="24"/>
      <c r="B16" s="19" t="s">
        <v>26</v>
      </c>
      <c r="C16" s="19"/>
      <c r="D16" s="43" t="s">
        <v>179</v>
      </c>
      <c r="E16" s="21"/>
      <c r="F16" s="21"/>
      <c r="G16" s="22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24">
        <v>8</v>
      </c>
      <c r="B17" s="42" t="s">
        <v>2</v>
      </c>
      <c r="C17" s="42"/>
      <c r="D17" s="28" t="s">
        <v>3</v>
      </c>
      <c r="E17" s="28"/>
      <c r="F17" s="28"/>
      <c r="G17" s="28"/>
      <c r="H17" s="30">
        <v>8</v>
      </c>
      <c r="I17" s="30">
        <f t="shared" ref="I17:M17" si="3">SUM(H17)+0.3</f>
        <v>8.3000000000000007</v>
      </c>
      <c r="J17" s="30">
        <f t="shared" si="3"/>
        <v>8.6000000000000014</v>
      </c>
      <c r="K17" s="30">
        <f t="shared" si="3"/>
        <v>8.9000000000000021</v>
      </c>
      <c r="L17" s="30">
        <f t="shared" si="3"/>
        <v>9.2000000000000028</v>
      </c>
      <c r="M17" s="31">
        <f t="shared" si="3"/>
        <v>9.5000000000000036</v>
      </c>
    </row>
    <row r="18" spans="1:13" s="1" customFormat="1" ht="14.1" customHeight="1" x14ac:dyDescent="0.3">
      <c r="A18" s="24"/>
      <c r="B18" s="19" t="s">
        <v>27</v>
      </c>
      <c r="C18" s="19"/>
      <c r="D18" s="43" t="s">
        <v>180</v>
      </c>
      <c r="E18" s="21"/>
      <c r="F18" s="21"/>
      <c r="G18" s="22"/>
      <c r="H18" s="30"/>
      <c r="I18" s="30"/>
      <c r="J18" s="30"/>
      <c r="K18" s="30"/>
      <c r="L18" s="30"/>
      <c r="M18" s="31"/>
    </row>
    <row r="19" spans="1:13" s="1" customFormat="1" ht="14.1" customHeight="1" x14ac:dyDescent="0.3">
      <c r="A19" s="24">
        <v>9</v>
      </c>
      <c r="B19" s="26" t="s">
        <v>67</v>
      </c>
      <c r="C19" s="27"/>
      <c r="D19" s="37" t="s">
        <v>221</v>
      </c>
      <c r="E19" s="38"/>
      <c r="F19" s="38"/>
      <c r="G19" s="39"/>
      <c r="H19" s="30">
        <v>43</v>
      </c>
      <c r="I19" s="30">
        <f t="shared" ref="I19:M19" si="4">SUM(H19)+1.6</f>
        <v>44.6</v>
      </c>
      <c r="J19" s="30">
        <f t="shared" si="4"/>
        <v>46.2</v>
      </c>
      <c r="K19" s="30">
        <f t="shared" si="4"/>
        <v>47.800000000000004</v>
      </c>
      <c r="L19" s="30">
        <f t="shared" si="4"/>
        <v>49.400000000000006</v>
      </c>
      <c r="M19" s="31">
        <f t="shared" si="4"/>
        <v>51.000000000000007</v>
      </c>
    </row>
    <row r="20" spans="1:13" s="1" customFormat="1" ht="14.1" customHeight="1" x14ac:dyDescent="0.3">
      <c r="A20" s="24"/>
      <c r="B20" s="19" t="s">
        <v>31</v>
      </c>
      <c r="C20" s="19"/>
      <c r="D20" s="43" t="s">
        <v>222</v>
      </c>
      <c r="E20" s="21"/>
      <c r="F20" s="21"/>
      <c r="G20" s="22"/>
      <c r="H20" s="30"/>
      <c r="I20" s="30"/>
      <c r="J20" s="30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4</v>
      </c>
      <c r="C21" s="42"/>
      <c r="D21" s="28" t="s">
        <v>5</v>
      </c>
      <c r="E21" s="28"/>
      <c r="F21" s="28"/>
      <c r="G21" s="28"/>
      <c r="H21" s="30"/>
      <c r="I21" s="30"/>
      <c r="J21" s="30"/>
      <c r="K21" s="30"/>
      <c r="L21" s="30"/>
      <c r="M21" s="31"/>
    </row>
    <row r="22" spans="1:13" s="1" customFormat="1" ht="14.1" customHeight="1" x14ac:dyDescent="0.3">
      <c r="A22" s="24"/>
      <c r="B22" s="19" t="s">
        <v>28</v>
      </c>
      <c r="C22" s="19"/>
      <c r="D22" s="43" t="s">
        <v>43</v>
      </c>
      <c r="E22" s="21"/>
      <c r="F22" s="21"/>
      <c r="G22" s="22"/>
      <c r="H22" s="30"/>
      <c r="I22" s="30"/>
      <c r="J22" s="30"/>
      <c r="K22" s="30"/>
      <c r="L22" s="30"/>
      <c r="M22" s="31"/>
    </row>
    <row r="23" spans="1:13" s="1" customFormat="1" ht="14.1" customHeight="1" x14ac:dyDescent="0.3">
      <c r="A23" s="24">
        <v>11</v>
      </c>
      <c r="B23" s="42" t="s">
        <v>6</v>
      </c>
      <c r="C23" s="42"/>
      <c r="D23" s="37" t="s">
        <v>7</v>
      </c>
      <c r="E23" s="38"/>
      <c r="F23" s="38"/>
      <c r="G23" s="39"/>
      <c r="H23" s="30"/>
      <c r="I23" s="30"/>
      <c r="J23" s="30"/>
      <c r="K23" s="30"/>
      <c r="L23" s="30"/>
      <c r="M23" s="31"/>
    </row>
    <row r="24" spans="1:13" s="1" customFormat="1" ht="14.1" customHeight="1" x14ac:dyDescent="0.3">
      <c r="A24" s="24"/>
      <c r="B24" s="19" t="s">
        <v>29</v>
      </c>
      <c r="C24" s="19"/>
      <c r="D24" s="43" t="s">
        <v>60</v>
      </c>
      <c r="E24" s="21"/>
      <c r="F24" s="21"/>
      <c r="G24" s="22"/>
      <c r="H24" s="30"/>
      <c r="I24" s="30"/>
      <c r="J24" s="30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61</v>
      </c>
      <c r="C25" s="27"/>
      <c r="D25" s="28" t="s">
        <v>62</v>
      </c>
      <c r="E25" s="28"/>
      <c r="F25" s="28"/>
      <c r="G25" s="28"/>
      <c r="H25" s="30"/>
      <c r="I25" s="30"/>
      <c r="J25" s="30"/>
      <c r="K25" s="30"/>
      <c r="L25" s="30"/>
      <c r="M25" s="31"/>
    </row>
    <row r="26" spans="1:13" s="1" customFormat="1" ht="14.1" customHeight="1" x14ac:dyDescent="0.3">
      <c r="A26" s="24"/>
      <c r="B26" s="19" t="s">
        <v>30</v>
      </c>
      <c r="C26" s="19"/>
      <c r="D26" s="43" t="s">
        <v>63</v>
      </c>
      <c r="E26" s="21"/>
      <c r="F26" s="21"/>
      <c r="G26" s="22"/>
      <c r="H26" s="30"/>
      <c r="I26" s="30"/>
      <c r="J26" s="30"/>
      <c r="K26" s="30"/>
      <c r="L26" s="30"/>
      <c r="M26" s="31"/>
    </row>
    <row r="27" spans="1:13" s="1" customFormat="1" ht="14.1" customHeight="1" x14ac:dyDescent="0.3">
      <c r="A27" s="24">
        <v>13</v>
      </c>
      <c r="B27" s="53" t="s">
        <v>181</v>
      </c>
      <c r="C27" s="54"/>
      <c r="D27" s="48" t="s">
        <v>223</v>
      </c>
      <c r="E27" s="48"/>
      <c r="F27" s="48"/>
      <c r="G27" s="48"/>
      <c r="H27" s="17">
        <v>6</v>
      </c>
      <c r="I27" s="30">
        <f t="shared" ref="I27:M27" si="5">SUM(H27)+0.2</f>
        <v>6.2</v>
      </c>
      <c r="J27" s="30">
        <f t="shared" si="5"/>
        <v>6.4</v>
      </c>
      <c r="K27" s="30">
        <f t="shared" si="5"/>
        <v>6.6000000000000005</v>
      </c>
      <c r="L27" s="30">
        <f t="shared" si="5"/>
        <v>6.8000000000000007</v>
      </c>
      <c r="M27" s="31">
        <f t="shared" si="5"/>
        <v>7.0000000000000009</v>
      </c>
    </row>
    <row r="28" spans="1:13" s="1" customFormat="1" ht="14.1" customHeight="1" x14ac:dyDescent="0.3">
      <c r="A28" s="24"/>
      <c r="B28" s="19" t="s">
        <v>183</v>
      </c>
      <c r="C28" s="19"/>
      <c r="D28" s="43" t="s">
        <v>224</v>
      </c>
      <c r="E28" s="21"/>
      <c r="F28" s="21"/>
      <c r="G28" s="22"/>
      <c r="H28" s="30"/>
      <c r="I28" s="30"/>
      <c r="J28" s="30"/>
      <c r="K28" s="30"/>
      <c r="L28" s="30"/>
      <c r="M28" s="31"/>
    </row>
    <row r="29" spans="1:13" s="1" customFormat="1" ht="14.1" customHeight="1" x14ac:dyDescent="0.3">
      <c r="A29" s="24">
        <v>14</v>
      </c>
      <c r="B29" s="42" t="s">
        <v>225</v>
      </c>
      <c r="C29" s="42"/>
      <c r="D29" s="28"/>
      <c r="E29" s="28"/>
      <c r="F29" s="28"/>
      <c r="G29" s="28"/>
      <c r="H29" s="30">
        <v>11</v>
      </c>
      <c r="I29" s="30">
        <f t="shared" ref="I29:M29" si="6">SUM(H29)+0.5</f>
        <v>11.5</v>
      </c>
      <c r="J29" s="30">
        <f t="shared" si="6"/>
        <v>12</v>
      </c>
      <c r="K29" s="30">
        <f t="shared" si="6"/>
        <v>12.5</v>
      </c>
      <c r="L29" s="30">
        <f t="shared" si="6"/>
        <v>13</v>
      </c>
      <c r="M29" s="31">
        <f t="shared" si="6"/>
        <v>13.5</v>
      </c>
    </row>
    <row r="30" spans="1:13" s="1" customFormat="1" ht="14.1" customHeight="1" x14ac:dyDescent="0.3">
      <c r="A30" s="24"/>
      <c r="B30" s="17" t="s">
        <v>226</v>
      </c>
      <c r="C30" s="17"/>
      <c r="D30" s="43"/>
      <c r="E30" s="21"/>
      <c r="F30" s="21"/>
      <c r="G30" s="22"/>
      <c r="H30" s="30"/>
      <c r="I30" s="30"/>
      <c r="J30" s="30"/>
      <c r="K30" s="30"/>
      <c r="L30" s="30"/>
      <c r="M30" s="31"/>
    </row>
    <row r="31" spans="1:13" ht="14.1" customHeight="1" x14ac:dyDescent="0.3">
      <c r="A31" s="24">
        <v>15</v>
      </c>
      <c r="B31" s="26" t="s">
        <v>132</v>
      </c>
      <c r="C31" s="27"/>
      <c r="D31" s="63" t="s">
        <v>69</v>
      </c>
      <c r="E31" s="64"/>
      <c r="F31" s="64"/>
      <c r="G31" s="65"/>
      <c r="H31" s="44">
        <v>3.7</v>
      </c>
      <c r="I31" s="17">
        <f t="shared" ref="I31:M31" si="7">SUM(H31)+0.3</f>
        <v>4</v>
      </c>
      <c r="J31" s="17">
        <f t="shared" si="7"/>
        <v>4.3</v>
      </c>
      <c r="K31" s="17">
        <f t="shared" si="7"/>
        <v>4.5999999999999996</v>
      </c>
      <c r="L31" s="17">
        <f t="shared" si="7"/>
        <v>4.8999999999999995</v>
      </c>
      <c r="M31" s="18">
        <f t="shared" si="7"/>
        <v>5.1999999999999993</v>
      </c>
    </row>
    <row r="32" spans="1:13" ht="14.1" customHeight="1" x14ac:dyDescent="0.3">
      <c r="A32" s="24"/>
      <c r="B32" s="79" t="s">
        <v>133</v>
      </c>
      <c r="C32" s="80"/>
      <c r="D32" s="43" t="s">
        <v>70</v>
      </c>
      <c r="E32" s="21"/>
      <c r="F32" s="21"/>
      <c r="G32" s="22"/>
      <c r="H32" s="17"/>
      <c r="I32" s="30"/>
      <c r="J32" s="30"/>
      <c r="K32" s="30"/>
      <c r="L32" s="30"/>
      <c r="M32" s="31"/>
    </row>
    <row r="33" spans="1:13" ht="14.1" customHeight="1" x14ac:dyDescent="0.3">
      <c r="A33" s="24">
        <v>16</v>
      </c>
      <c r="B33" s="26" t="s">
        <v>187</v>
      </c>
      <c r="C33" s="27"/>
      <c r="D33" s="63" t="s">
        <v>227</v>
      </c>
      <c r="E33" s="64"/>
      <c r="F33" s="64"/>
      <c r="G33" s="65"/>
      <c r="H33" s="9">
        <v>4.0999999999999996</v>
      </c>
      <c r="I33" s="30">
        <f t="shared" ref="I33:M33" si="8">SUM(H33)+0.4</f>
        <v>4.5</v>
      </c>
      <c r="J33" s="30">
        <f t="shared" si="8"/>
        <v>4.9000000000000004</v>
      </c>
      <c r="K33" s="30">
        <f t="shared" si="8"/>
        <v>5.3000000000000007</v>
      </c>
      <c r="L33" s="30">
        <f t="shared" si="8"/>
        <v>5.7000000000000011</v>
      </c>
      <c r="M33" s="31">
        <f t="shared" si="8"/>
        <v>6.1000000000000014</v>
      </c>
    </row>
    <row r="34" spans="1:13" ht="14.1" customHeight="1" x14ac:dyDescent="0.3">
      <c r="A34" s="24"/>
      <c r="B34" s="79" t="s">
        <v>189</v>
      </c>
      <c r="C34" s="80"/>
      <c r="D34" s="43" t="s">
        <v>228</v>
      </c>
      <c r="E34" s="21"/>
      <c r="F34" s="21"/>
      <c r="G34" s="22"/>
      <c r="H34" s="17"/>
      <c r="I34" s="30"/>
      <c r="J34" s="30"/>
      <c r="K34" s="30"/>
      <c r="L34" s="30"/>
      <c r="M34" s="31"/>
    </row>
    <row r="35" spans="1:13" ht="14.1" customHeight="1" x14ac:dyDescent="0.3">
      <c r="A35" s="24">
        <v>17</v>
      </c>
      <c r="B35" s="77" t="s">
        <v>229</v>
      </c>
      <c r="C35" s="77"/>
      <c r="D35" s="78"/>
      <c r="E35" s="78"/>
      <c r="F35" s="78"/>
      <c r="G35" s="78"/>
      <c r="H35" s="17">
        <v>42.7</v>
      </c>
      <c r="I35" s="17">
        <f>SUM(H35)+3.4</f>
        <v>46.1</v>
      </c>
      <c r="J35" s="17">
        <f>SUM(I35)+3.4</f>
        <v>49.5</v>
      </c>
      <c r="K35" s="17">
        <f>SUM(J35)+2.9</f>
        <v>52.4</v>
      </c>
      <c r="L35" s="17">
        <f>SUM(K35)+2.9</f>
        <v>55.3</v>
      </c>
      <c r="M35" s="18">
        <f>SUM(L35)+2.9</f>
        <v>58.199999999999996</v>
      </c>
    </row>
    <row r="36" spans="1:13" ht="14.1" customHeight="1" thickBot="1" x14ac:dyDescent="0.35">
      <c r="A36" s="25"/>
      <c r="B36" s="10" t="s">
        <v>230</v>
      </c>
      <c r="C36" s="10"/>
      <c r="D36" s="14" t="s">
        <v>231</v>
      </c>
      <c r="E36" s="15"/>
      <c r="F36" s="15"/>
      <c r="G36" s="16"/>
      <c r="H36" s="171"/>
      <c r="I36" s="171"/>
      <c r="J36" s="171"/>
      <c r="K36" s="171"/>
      <c r="L36" s="171"/>
      <c r="M36" s="178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6D418-D5C9-4856-B2AB-ECA783498BAB}">
  <sheetPr>
    <tabColor rgb="FF00B050"/>
    <pageSetUpPr fitToPage="1"/>
  </sheetPr>
  <dimension ref="A1:P74"/>
  <sheetViews>
    <sheetView zoomScale="110" zoomScaleNormal="110" workbookViewId="0">
      <selection activeCell="P28" sqref="P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625" customWidth="1"/>
    <col min="14" max="14" width="5.5" customWidth="1"/>
  </cols>
  <sheetData>
    <row r="1" spans="1:16" ht="16.5" customHeight="1" thickBot="1" x14ac:dyDescent="0.35">
      <c r="A1" s="66" t="s">
        <v>233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6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</row>
    <row r="3" spans="1:16" s="1" customFormat="1" ht="14.1" customHeight="1" x14ac:dyDescent="0.3">
      <c r="A3" s="70">
        <v>1</v>
      </c>
      <c r="B3" s="53" t="s">
        <v>213</v>
      </c>
      <c r="C3" s="54"/>
      <c r="D3" s="47" t="s">
        <v>214</v>
      </c>
      <c r="E3" s="48"/>
      <c r="F3" s="48"/>
      <c r="G3" s="49"/>
      <c r="H3" s="75">
        <v>38.200000000000003</v>
      </c>
      <c r="I3" s="75">
        <f>SUM(H3)+3.4</f>
        <v>41.6</v>
      </c>
      <c r="J3" s="75">
        <f>SUM(I3)+3.4</f>
        <v>45</v>
      </c>
      <c r="K3" s="75">
        <f>SUM(J3)+2.9</f>
        <v>47.9</v>
      </c>
      <c r="L3" s="75">
        <f>SUM(K3)+2.9</f>
        <v>50.8</v>
      </c>
      <c r="M3" s="76">
        <f>SUM(L3)+2.9</f>
        <v>53.699999999999996</v>
      </c>
    </row>
    <row r="4" spans="1:16" s="1" customFormat="1" ht="14.1" customHeight="1" x14ac:dyDescent="0.3">
      <c r="A4" s="24"/>
      <c r="B4" s="19" t="s">
        <v>215</v>
      </c>
      <c r="C4" s="19"/>
      <c r="D4" s="43" t="s">
        <v>216</v>
      </c>
      <c r="E4" s="21"/>
      <c r="F4" s="21"/>
      <c r="G4" s="21"/>
      <c r="H4" s="9"/>
      <c r="I4" s="9"/>
      <c r="J4" s="9"/>
      <c r="K4" s="9"/>
      <c r="L4" s="9"/>
      <c r="M4" s="11"/>
    </row>
    <row r="5" spans="1:16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37</v>
      </c>
      <c r="I5" s="30">
        <f>SUM(H5)+2</f>
        <v>39</v>
      </c>
      <c r="J5" s="30">
        <f>SUM(I5)+2</f>
        <v>41</v>
      </c>
      <c r="K5" s="30">
        <f>SUM(J5)+1.8</f>
        <v>42.8</v>
      </c>
      <c r="L5" s="30">
        <f>SUM(K5)+1.8</f>
        <v>44.599999999999994</v>
      </c>
      <c r="M5" s="31">
        <f>SUM(L5)+1.8</f>
        <v>46.399999999999991</v>
      </c>
    </row>
    <row r="6" spans="1:16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30"/>
      <c r="J6" s="30"/>
      <c r="K6" s="30"/>
      <c r="L6" s="30"/>
      <c r="M6" s="31"/>
    </row>
    <row r="7" spans="1:16" s="1" customFormat="1" ht="14.1" customHeight="1" x14ac:dyDescent="0.3">
      <c r="A7" s="24">
        <v>3</v>
      </c>
      <c r="B7" s="42" t="s">
        <v>32</v>
      </c>
      <c r="C7" s="42"/>
      <c r="D7" s="28" t="s">
        <v>178</v>
      </c>
      <c r="E7" s="28"/>
      <c r="F7" s="28"/>
      <c r="G7" s="28"/>
      <c r="H7" s="30">
        <v>38.5</v>
      </c>
      <c r="I7" s="30">
        <f>SUM(H7)+2.25</f>
        <v>40.75</v>
      </c>
      <c r="J7" s="30">
        <f>SUM(I7)+2.25</f>
        <v>43</v>
      </c>
      <c r="K7" s="30">
        <f>SUM(J7)+2</f>
        <v>45</v>
      </c>
      <c r="L7" s="30">
        <f>SUM(K7)+2</f>
        <v>47</v>
      </c>
      <c r="M7" s="31">
        <f>SUM(L7)+2</f>
        <v>49</v>
      </c>
    </row>
    <row r="8" spans="1:16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1"/>
    </row>
    <row r="9" spans="1:16" s="1" customFormat="1" ht="14.1" customHeight="1" x14ac:dyDescent="0.3">
      <c r="A9" s="24">
        <v>4</v>
      </c>
      <c r="B9" s="42" t="s">
        <v>217</v>
      </c>
      <c r="C9" s="27"/>
      <c r="D9" s="37"/>
      <c r="E9" s="38"/>
      <c r="F9" s="38"/>
      <c r="G9" s="39"/>
      <c r="H9" s="9">
        <v>81.7</v>
      </c>
      <c r="I9" s="9">
        <f>SUM(H9)+4.7</f>
        <v>86.4</v>
      </c>
      <c r="J9" s="9">
        <f>SUM(I9)+4.7</f>
        <v>91.100000000000009</v>
      </c>
      <c r="K9" s="9">
        <f>SUM(J9)+4.3</f>
        <v>95.4</v>
      </c>
      <c r="L9" s="9">
        <f>SUM(K9)+4.2</f>
        <v>99.600000000000009</v>
      </c>
      <c r="M9" s="11">
        <f>SUM(L9)+4.3</f>
        <v>103.9</v>
      </c>
      <c r="P9" s="1" t="s">
        <v>235</v>
      </c>
    </row>
    <row r="10" spans="1:16" s="1" customFormat="1" ht="14.1" customHeight="1" x14ac:dyDescent="0.3">
      <c r="A10" s="24"/>
      <c r="B10" s="19" t="s">
        <v>218</v>
      </c>
      <c r="C10" s="80"/>
      <c r="D10" s="43"/>
      <c r="E10" s="21"/>
      <c r="F10" s="21"/>
      <c r="G10" s="22"/>
      <c r="H10" s="17"/>
      <c r="I10" s="17"/>
      <c r="J10" s="17"/>
      <c r="K10" s="17"/>
      <c r="L10" s="17"/>
      <c r="M10" s="18"/>
      <c r="P10" s="1">
        <f>SUM(H9+I9+J9+K9+L9+M9)</f>
        <v>558.1</v>
      </c>
    </row>
    <row r="11" spans="1:16" s="1" customFormat="1" ht="14.1" customHeight="1" x14ac:dyDescent="0.3">
      <c r="A11" s="24">
        <v>5</v>
      </c>
      <c r="B11" s="42" t="s">
        <v>219</v>
      </c>
      <c r="C11" s="42"/>
      <c r="D11" s="28"/>
      <c r="E11" s="28"/>
      <c r="F11" s="28"/>
      <c r="G11" s="28"/>
      <c r="H11" s="30">
        <v>64</v>
      </c>
      <c r="I11" s="30">
        <f t="shared" ref="I11:M11" si="0">SUM(H11)+3.5</f>
        <v>67.5</v>
      </c>
      <c r="J11" s="30">
        <f t="shared" si="0"/>
        <v>71</v>
      </c>
      <c r="K11" s="30">
        <f t="shared" si="0"/>
        <v>74.5</v>
      </c>
      <c r="L11" s="30">
        <f t="shared" si="0"/>
        <v>78</v>
      </c>
      <c r="M11" s="31">
        <f t="shared" si="0"/>
        <v>81.5</v>
      </c>
      <c r="P11" s="1">
        <f>SUM(P10/91.44/6*1.08)</f>
        <v>1.0986220472440946</v>
      </c>
    </row>
    <row r="12" spans="1:16" s="1" customFormat="1" ht="14.1" customHeight="1" x14ac:dyDescent="0.3">
      <c r="A12" s="24"/>
      <c r="B12" s="19" t="s">
        <v>220</v>
      </c>
      <c r="C12" s="19"/>
      <c r="D12" s="43"/>
      <c r="E12" s="21"/>
      <c r="F12" s="21"/>
      <c r="G12" s="22"/>
      <c r="H12" s="30"/>
      <c r="I12" s="30"/>
      <c r="J12" s="30"/>
      <c r="K12" s="30"/>
      <c r="L12" s="30"/>
      <c r="M12" s="31"/>
    </row>
    <row r="13" spans="1:16" s="1" customFormat="1" ht="14.1" customHeight="1" x14ac:dyDescent="0.3">
      <c r="A13" s="24">
        <v>6</v>
      </c>
      <c r="B13" s="42" t="s">
        <v>10</v>
      </c>
      <c r="C13" s="42"/>
      <c r="D13" s="28" t="s">
        <v>0</v>
      </c>
      <c r="E13" s="28"/>
      <c r="F13" s="28"/>
      <c r="G13" s="28"/>
      <c r="H13" s="30">
        <v>14.4</v>
      </c>
      <c r="I13" s="30">
        <f t="shared" ref="I13:M13" si="1">SUM(H13)+0.8</f>
        <v>15.200000000000001</v>
      </c>
      <c r="J13" s="30">
        <f t="shared" si="1"/>
        <v>16</v>
      </c>
      <c r="K13" s="30">
        <f t="shared" si="1"/>
        <v>16.8</v>
      </c>
      <c r="L13" s="30">
        <f t="shared" si="1"/>
        <v>17.600000000000001</v>
      </c>
      <c r="M13" s="31">
        <f t="shared" si="1"/>
        <v>18.400000000000002</v>
      </c>
      <c r="P13" s="1" t="s">
        <v>236</v>
      </c>
    </row>
    <row r="14" spans="1:16" s="1" customFormat="1" ht="14.1" customHeight="1" x14ac:dyDescent="0.3">
      <c r="A14" s="24"/>
      <c r="B14" s="19" t="s">
        <v>25</v>
      </c>
      <c r="C14" s="19"/>
      <c r="D14" s="43" t="s">
        <v>42</v>
      </c>
      <c r="E14" s="21"/>
      <c r="F14" s="21"/>
      <c r="G14" s="22"/>
      <c r="H14" s="30"/>
      <c r="I14" s="30"/>
      <c r="J14" s="30"/>
      <c r="K14" s="30"/>
      <c r="L14" s="30"/>
      <c r="M14" s="31"/>
      <c r="P14" s="1">
        <f>SUM(H11+I11+J11+K11+L11+M11)</f>
        <v>436.5</v>
      </c>
    </row>
    <row r="15" spans="1:16" s="1" customFormat="1" ht="14.1" customHeight="1" x14ac:dyDescent="0.3">
      <c r="A15" s="24">
        <v>7</v>
      </c>
      <c r="B15" s="42" t="s">
        <v>1</v>
      </c>
      <c r="C15" s="42"/>
      <c r="D15" s="28" t="s">
        <v>129</v>
      </c>
      <c r="E15" s="28"/>
      <c r="F15" s="28"/>
      <c r="G15" s="28"/>
      <c r="H15" s="30">
        <v>18.5</v>
      </c>
      <c r="I15" s="30">
        <f t="shared" ref="I15:M15" si="2">SUM(H15)+0.6</f>
        <v>19.100000000000001</v>
      </c>
      <c r="J15" s="30">
        <f t="shared" si="2"/>
        <v>19.700000000000003</v>
      </c>
      <c r="K15" s="30">
        <f t="shared" si="2"/>
        <v>20.300000000000004</v>
      </c>
      <c r="L15" s="30">
        <f t="shared" si="2"/>
        <v>20.900000000000006</v>
      </c>
      <c r="M15" s="31">
        <f t="shared" si="2"/>
        <v>21.500000000000007</v>
      </c>
      <c r="P15" s="1">
        <f>SUM(P14/91.44/6*1.08)</f>
        <v>0.85925196850393704</v>
      </c>
    </row>
    <row r="16" spans="1:16" s="1" customFormat="1" ht="14.1" customHeight="1" x14ac:dyDescent="0.3">
      <c r="A16" s="24"/>
      <c r="B16" s="19" t="s">
        <v>26</v>
      </c>
      <c r="C16" s="19"/>
      <c r="D16" s="43" t="s">
        <v>179</v>
      </c>
      <c r="E16" s="21"/>
      <c r="F16" s="21"/>
      <c r="G16" s="22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24">
        <v>8</v>
      </c>
      <c r="B17" s="42" t="s">
        <v>2</v>
      </c>
      <c r="C17" s="42"/>
      <c r="D17" s="28" t="s">
        <v>3</v>
      </c>
      <c r="E17" s="28"/>
      <c r="F17" s="28"/>
      <c r="G17" s="28"/>
      <c r="H17" s="30">
        <v>5.7</v>
      </c>
      <c r="I17" s="30">
        <f t="shared" ref="I17:M17" si="3">SUM(H17)+0.3</f>
        <v>6</v>
      </c>
      <c r="J17" s="30">
        <f t="shared" si="3"/>
        <v>6.3</v>
      </c>
      <c r="K17" s="30">
        <f t="shared" si="3"/>
        <v>6.6</v>
      </c>
      <c r="L17" s="30">
        <f t="shared" si="3"/>
        <v>6.8999999999999995</v>
      </c>
      <c r="M17" s="31">
        <f t="shared" si="3"/>
        <v>7.1999999999999993</v>
      </c>
    </row>
    <row r="18" spans="1:13" s="1" customFormat="1" ht="14.1" customHeight="1" x14ac:dyDescent="0.3">
      <c r="A18" s="24"/>
      <c r="B18" s="19" t="s">
        <v>27</v>
      </c>
      <c r="C18" s="19"/>
      <c r="D18" s="43" t="s">
        <v>180</v>
      </c>
      <c r="E18" s="21"/>
      <c r="F18" s="21"/>
      <c r="G18" s="22"/>
      <c r="H18" s="30"/>
      <c r="I18" s="30"/>
      <c r="J18" s="30"/>
      <c r="K18" s="30"/>
      <c r="L18" s="30"/>
      <c r="M18" s="31"/>
    </row>
    <row r="19" spans="1:13" s="1" customFormat="1" ht="14.1" customHeight="1" x14ac:dyDescent="0.3">
      <c r="A19" s="24">
        <v>9</v>
      </c>
      <c r="B19" s="26" t="s">
        <v>67</v>
      </c>
      <c r="C19" s="27"/>
      <c r="D19" s="37" t="s">
        <v>221</v>
      </c>
      <c r="E19" s="38"/>
      <c r="F19" s="38"/>
      <c r="G19" s="39"/>
      <c r="H19" s="30">
        <v>41.8</v>
      </c>
      <c r="I19" s="30">
        <f t="shared" ref="I19:M19" si="4">SUM(H19)+1.6</f>
        <v>43.4</v>
      </c>
      <c r="J19" s="30">
        <f t="shared" si="4"/>
        <v>45</v>
      </c>
      <c r="K19" s="30">
        <f t="shared" si="4"/>
        <v>46.6</v>
      </c>
      <c r="L19" s="30">
        <f t="shared" si="4"/>
        <v>48.2</v>
      </c>
      <c r="M19" s="31">
        <f t="shared" si="4"/>
        <v>49.800000000000004</v>
      </c>
    </row>
    <row r="20" spans="1:13" s="1" customFormat="1" ht="14.1" customHeight="1" x14ac:dyDescent="0.3">
      <c r="A20" s="24"/>
      <c r="B20" s="19" t="s">
        <v>31</v>
      </c>
      <c r="C20" s="19"/>
      <c r="D20" s="43" t="s">
        <v>222</v>
      </c>
      <c r="E20" s="21"/>
      <c r="F20" s="21"/>
      <c r="G20" s="22"/>
      <c r="H20" s="30"/>
      <c r="I20" s="30"/>
      <c r="J20" s="30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4</v>
      </c>
      <c r="C21" s="42"/>
      <c r="D21" s="28" t="s">
        <v>5</v>
      </c>
      <c r="E21" s="28"/>
      <c r="F21" s="28"/>
      <c r="G21" s="28"/>
      <c r="H21" s="30"/>
      <c r="I21" s="30"/>
      <c r="J21" s="30"/>
      <c r="K21" s="30"/>
      <c r="L21" s="30"/>
      <c r="M21" s="31"/>
    </row>
    <row r="22" spans="1:13" s="1" customFormat="1" ht="14.1" customHeight="1" x14ac:dyDescent="0.3">
      <c r="A22" s="24"/>
      <c r="B22" s="19" t="s">
        <v>28</v>
      </c>
      <c r="C22" s="19"/>
      <c r="D22" s="43" t="s">
        <v>43</v>
      </c>
      <c r="E22" s="21"/>
      <c r="F22" s="21"/>
      <c r="G22" s="22"/>
      <c r="H22" s="30"/>
      <c r="I22" s="30"/>
      <c r="J22" s="30"/>
      <c r="K22" s="30"/>
      <c r="L22" s="30"/>
      <c r="M22" s="31"/>
    </row>
    <row r="23" spans="1:13" s="1" customFormat="1" ht="14.1" customHeight="1" x14ac:dyDescent="0.3">
      <c r="A23" s="24">
        <v>11</v>
      </c>
      <c r="B23" s="42" t="s">
        <v>6</v>
      </c>
      <c r="C23" s="42"/>
      <c r="D23" s="37" t="s">
        <v>7</v>
      </c>
      <c r="E23" s="38"/>
      <c r="F23" s="38"/>
      <c r="G23" s="39"/>
      <c r="H23" s="30"/>
      <c r="I23" s="30"/>
      <c r="J23" s="30"/>
      <c r="K23" s="30"/>
      <c r="L23" s="30"/>
      <c r="M23" s="31"/>
    </row>
    <row r="24" spans="1:13" s="1" customFormat="1" ht="14.1" customHeight="1" x14ac:dyDescent="0.3">
      <c r="A24" s="24"/>
      <c r="B24" s="19" t="s">
        <v>29</v>
      </c>
      <c r="C24" s="19"/>
      <c r="D24" s="43" t="s">
        <v>60</v>
      </c>
      <c r="E24" s="21"/>
      <c r="F24" s="21"/>
      <c r="G24" s="22"/>
      <c r="H24" s="30"/>
      <c r="I24" s="30"/>
      <c r="J24" s="30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61</v>
      </c>
      <c r="C25" s="27"/>
      <c r="D25" s="28" t="s">
        <v>62</v>
      </c>
      <c r="E25" s="28"/>
      <c r="F25" s="28"/>
      <c r="G25" s="28"/>
      <c r="H25" s="30"/>
      <c r="I25" s="30"/>
      <c r="J25" s="30"/>
      <c r="K25" s="30"/>
      <c r="L25" s="30"/>
      <c r="M25" s="31"/>
    </row>
    <row r="26" spans="1:13" s="1" customFormat="1" ht="14.1" customHeight="1" x14ac:dyDescent="0.3">
      <c r="A26" s="24"/>
      <c r="B26" s="19" t="s">
        <v>30</v>
      </c>
      <c r="C26" s="19"/>
      <c r="D26" s="43" t="s">
        <v>63</v>
      </c>
      <c r="E26" s="21"/>
      <c r="F26" s="21"/>
      <c r="G26" s="22"/>
      <c r="H26" s="30"/>
      <c r="I26" s="30"/>
      <c r="J26" s="30"/>
      <c r="K26" s="30"/>
      <c r="L26" s="30"/>
      <c r="M26" s="31"/>
    </row>
    <row r="27" spans="1:13" s="1" customFormat="1" ht="14.1" customHeight="1" x14ac:dyDescent="0.3">
      <c r="A27" s="24">
        <v>13</v>
      </c>
      <c r="B27" s="53" t="s">
        <v>181</v>
      </c>
      <c r="C27" s="54"/>
      <c r="D27" s="48" t="s">
        <v>223</v>
      </c>
      <c r="E27" s="48"/>
      <c r="F27" s="48"/>
      <c r="G27" s="48"/>
      <c r="H27" s="30">
        <v>6</v>
      </c>
      <c r="I27" s="30">
        <f t="shared" ref="I27:M27" si="5">SUM(H27)+0.2</f>
        <v>6.2</v>
      </c>
      <c r="J27" s="30">
        <f t="shared" si="5"/>
        <v>6.4</v>
      </c>
      <c r="K27" s="30">
        <f t="shared" si="5"/>
        <v>6.6000000000000005</v>
      </c>
      <c r="L27" s="30">
        <f t="shared" si="5"/>
        <v>6.8000000000000007</v>
      </c>
      <c r="M27" s="31">
        <f t="shared" si="5"/>
        <v>7.0000000000000009</v>
      </c>
    </row>
    <row r="28" spans="1:13" s="1" customFormat="1" ht="14.1" customHeight="1" x14ac:dyDescent="0.3">
      <c r="A28" s="24"/>
      <c r="B28" s="19" t="s">
        <v>183</v>
      </c>
      <c r="C28" s="19"/>
      <c r="D28" s="43" t="s">
        <v>224</v>
      </c>
      <c r="E28" s="21"/>
      <c r="F28" s="21"/>
      <c r="G28" s="22"/>
      <c r="H28" s="30"/>
      <c r="I28" s="30"/>
      <c r="J28" s="30"/>
      <c r="K28" s="30"/>
      <c r="L28" s="30"/>
      <c r="M28" s="31"/>
    </row>
    <row r="29" spans="1:13" s="1" customFormat="1" ht="14.1" customHeight="1" x14ac:dyDescent="0.3">
      <c r="A29" s="24">
        <v>14</v>
      </c>
      <c r="B29" s="42" t="s">
        <v>225</v>
      </c>
      <c r="C29" s="42"/>
      <c r="D29" s="28"/>
      <c r="E29" s="28"/>
      <c r="F29" s="28"/>
      <c r="G29" s="28"/>
      <c r="H29" s="30">
        <v>11</v>
      </c>
      <c r="I29" s="30">
        <f t="shared" ref="I29:M29" si="6">SUM(H29)+0.5</f>
        <v>11.5</v>
      </c>
      <c r="J29" s="30">
        <f t="shared" si="6"/>
        <v>12</v>
      </c>
      <c r="K29" s="30">
        <f t="shared" si="6"/>
        <v>12.5</v>
      </c>
      <c r="L29" s="30">
        <f t="shared" si="6"/>
        <v>13</v>
      </c>
      <c r="M29" s="31">
        <f t="shared" si="6"/>
        <v>13.5</v>
      </c>
    </row>
    <row r="30" spans="1:13" s="1" customFormat="1" ht="14.1" customHeight="1" x14ac:dyDescent="0.3">
      <c r="A30" s="24"/>
      <c r="B30" s="17" t="s">
        <v>226</v>
      </c>
      <c r="C30" s="17"/>
      <c r="D30" s="43"/>
      <c r="E30" s="21"/>
      <c r="F30" s="21"/>
      <c r="G30" s="22"/>
      <c r="H30" s="30"/>
      <c r="I30" s="30"/>
      <c r="J30" s="30"/>
      <c r="K30" s="30"/>
      <c r="L30" s="30"/>
      <c r="M30" s="31"/>
    </row>
    <row r="31" spans="1:13" ht="14.1" customHeight="1" x14ac:dyDescent="0.3">
      <c r="A31" s="24">
        <v>15</v>
      </c>
      <c r="B31" s="26" t="s">
        <v>132</v>
      </c>
      <c r="C31" s="27"/>
      <c r="D31" s="63" t="s">
        <v>69</v>
      </c>
      <c r="E31" s="64"/>
      <c r="F31" s="64"/>
      <c r="G31" s="65"/>
      <c r="H31" s="17">
        <v>3.7</v>
      </c>
      <c r="I31" s="17">
        <f t="shared" ref="I31:M31" si="7">SUM(H31)+0.3</f>
        <v>4</v>
      </c>
      <c r="J31" s="17">
        <f t="shared" si="7"/>
        <v>4.3</v>
      </c>
      <c r="K31" s="17">
        <f t="shared" si="7"/>
        <v>4.5999999999999996</v>
      </c>
      <c r="L31" s="17">
        <f t="shared" si="7"/>
        <v>4.8999999999999995</v>
      </c>
      <c r="M31" s="18">
        <f t="shared" si="7"/>
        <v>5.1999999999999993</v>
      </c>
    </row>
    <row r="32" spans="1:13" ht="14.1" customHeight="1" x14ac:dyDescent="0.3">
      <c r="A32" s="24"/>
      <c r="B32" s="79" t="s">
        <v>133</v>
      </c>
      <c r="C32" s="80"/>
      <c r="D32" s="43" t="s">
        <v>70</v>
      </c>
      <c r="E32" s="21"/>
      <c r="F32" s="21"/>
      <c r="G32" s="22"/>
      <c r="H32" s="30"/>
      <c r="I32" s="30"/>
      <c r="J32" s="30"/>
      <c r="K32" s="30"/>
      <c r="L32" s="30"/>
      <c r="M32" s="31"/>
    </row>
    <row r="33" spans="1:13" ht="14.1" customHeight="1" x14ac:dyDescent="0.3">
      <c r="A33" s="24">
        <v>16</v>
      </c>
      <c r="B33" s="26" t="s">
        <v>187</v>
      </c>
      <c r="C33" s="27"/>
      <c r="D33" s="63" t="s">
        <v>227</v>
      </c>
      <c r="E33" s="64"/>
      <c r="F33" s="64"/>
      <c r="G33" s="65"/>
      <c r="H33" s="30">
        <v>4.0999999999999996</v>
      </c>
      <c r="I33" s="30">
        <f t="shared" ref="I33:M33" si="8">SUM(H33)+0.4</f>
        <v>4.5</v>
      </c>
      <c r="J33" s="30">
        <f t="shared" si="8"/>
        <v>4.9000000000000004</v>
      </c>
      <c r="K33" s="30">
        <f t="shared" si="8"/>
        <v>5.3000000000000007</v>
      </c>
      <c r="L33" s="30">
        <f t="shared" si="8"/>
        <v>5.7000000000000011</v>
      </c>
      <c r="M33" s="31">
        <f t="shared" si="8"/>
        <v>6.1000000000000014</v>
      </c>
    </row>
    <row r="34" spans="1:13" ht="14.1" customHeight="1" x14ac:dyDescent="0.3">
      <c r="A34" s="24"/>
      <c r="B34" s="79" t="s">
        <v>189</v>
      </c>
      <c r="C34" s="80"/>
      <c r="D34" s="43" t="s">
        <v>228</v>
      </c>
      <c r="E34" s="21"/>
      <c r="F34" s="21"/>
      <c r="G34" s="22"/>
      <c r="H34" s="30"/>
      <c r="I34" s="30"/>
      <c r="J34" s="30"/>
      <c r="K34" s="30"/>
      <c r="L34" s="30"/>
      <c r="M34" s="31"/>
    </row>
    <row r="35" spans="1:13" ht="14.1" customHeight="1" x14ac:dyDescent="0.3">
      <c r="A35" s="24">
        <v>17</v>
      </c>
      <c r="B35" s="77" t="s">
        <v>229</v>
      </c>
      <c r="C35" s="77"/>
      <c r="D35" s="78"/>
      <c r="E35" s="78"/>
      <c r="F35" s="78"/>
      <c r="G35" s="78"/>
      <c r="H35" s="17">
        <v>42.7</v>
      </c>
      <c r="I35" s="17">
        <f>SUM(H35)+3.4</f>
        <v>46.1</v>
      </c>
      <c r="J35" s="17">
        <f>SUM(I35)+3.4</f>
        <v>49.5</v>
      </c>
      <c r="K35" s="17">
        <f>SUM(J35)+2.9</f>
        <v>52.4</v>
      </c>
      <c r="L35" s="17">
        <f>SUM(K35)+2.9</f>
        <v>55.3</v>
      </c>
      <c r="M35" s="18">
        <f>SUM(L35)+2.9</f>
        <v>58.199999999999996</v>
      </c>
    </row>
    <row r="36" spans="1:13" ht="14.1" customHeight="1" thickBot="1" x14ac:dyDescent="0.35">
      <c r="A36" s="25"/>
      <c r="B36" s="10" t="s">
        <v>230</v>
      </c>
      <c r="C36" s="10"/>
      <c r="D36" s="14" t="s">
        <v>231</v>
      </c>
      <c r="E36" s="15"/>
      <c r="F36" s="15"/>
      <c r="G36" s="16"/>
      <c r="H36" s="171"/>
      <c r="I36" s="171"/>
      <c r="J36" s="171"/>
      <c r="K36" s="171"/>
      <c r="L36" s="171"/>
      <c r="M36" s="178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B802-7054-4A63-B262-ED04FBFC95A7}">
  <sheetPr>
    <tabColor rgb="FF00B050"/>
    <pageSetUpPr fitToPage="1"/>
  </sheetPr>
  <dimension ref="A1:M74"/>
  <sheetViews>
    <sheetView zoomScale="110" zoomScaleNormal="110" workbookViewId="0">
      <selection activeCell="M27" sqref="M27:M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144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128</v>
      </c>
      <c r="E3" s="72"/>
      <c r="F3" s="72"/>
      <c r="G3" s="73"/>
      <c r="H3" s="9">
        <f>SUM(I3)-3</f>
        <v>35</v>
      </c>
      <c r="I3" s="9">
        <f>SUM(J3)-3</f>
        <v>38</v>
      </c>
      <c r="J3" s="7">
        <v>41</v>
      </c>
      <c r="K3" s="9">
        <f>SUM(J3)+2.5</f>
        <v>43.5</v>
      </c>
      <c r="L3" s="113">
        <f>SUM(K3)+2.5</f>
        <v>46</v>
      </c>
      <c r="M3" s="179">
        <f>SUM(L3)+2.5</f>
        <v>48.5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17"/>
      <c r="I4" s="17"/>
      <c r="J4" s="23"/>
      <c r="K4" s="17"/>
      <c r="L4" s="17"/>
      <c r="M4" s="180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SUM(I5)-2.2</f>
        <v>33.099999999999994</v>
      </c>
      <c r="I5" s="9">
        <f>SUM(J5)-2.2</f>
        <v>35.299999999999997</v>
      </c>
      <c r="J5" s="7">
        <v>37.5</v>
      </c>
      <c r="K5" s="9">
        <f>SUM(J5)+2</f>
        <v>39.5</v>
      </c>
      <c r="L5" s="9">
        <f>SUM(K5)+2</f>
        <v>41.5</v>
      </c>
      <c r="M5" s="11">
        <f>SUM(L5)+2</f>
        <v>43.5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33.5</v>
      </c>
      <c r="I7" s="9">
        <f>SUM(J7)-2.25</f>
        <v>35.75</v>
      </c>
      <c r="J7" s="7">
        <v>38</v>
      </c>
      <c r="K7" s="9">
        <f>SUM(J7)+2</f>
        <v>40</v>
      </c>
      <c r="L7" s="9">
        <f>SUM(K7)+2</f>
        <v>42</v>
      </c>
      <c r="M7" s="11">
        <f>SUM(L7)+2</f>
        <v>44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9">
        <f>SUM(I9)-2.25</f>
        <v>33.5</v>
      </c>
      <c r="I9" s="9">
        <f>SUM(J9)-2.25</f>
        <v>35.75</v>
      </c>
      <c r="J9" s="7">
        <v>38</v>
      </c>
      <c r="K9" s="9">
        <f>SUM(J9)+2</f>
        <v>40</v>
      </c>
      <c r="L9" s="9">
        <f>SUM(K9)+2</f>
        <v>42</v>
      </c>
      <c r="M9" s="11">
        <f>SUM(L9)+2</f>
        <v>44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SUM(I11)-0.8</f>
        <v>14.7</v>
      </c>
      <c r="I11" s="9">
        <f>SUM(J11)-0.8</f>
        <v>15.5</v>
      </c>
      <c r="J11" s="7">
        <v>16.3</v>
      </c>
      <c r="K11" s="9">
        <f>SUM(J11)+0.8</f>
        <v>17.100000000000001</v>
      </c>
      <c r="L11" s="9">
        <f>SUM(K11)+0.8</f>
        <v>17.900000000000002</v>
      </c>
      <c r="M11" s="181">
        <f>SUM(L11)+0.8</f>
        <v>18.700000000000003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3"/>
      <c r="K12" s="17"/>
      <c r="L12" s="17"/>
      <c r="M12" s="180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129</v>
      </c>
      <c r="E13" s="28"/>
      <c r="F13" s="28"/>
      <c r="G13" s="28"/>
      <c r="H13" s="9">
        <f>SUM(I13)-0.6</f>
        <v>15.799999999999999</v>
      </c>
      <c r="I13" s="9">
        <f>SUM(J13)-0.6</f>
        <v>16.399999999999999</v>
      </c>
      <c r="J13" s="7">
        <v>17</v>
      </c>
      <c r="K13" s="9">
        <f>SUM(J13)+0.6</f>
        <v>17.600000000000001</v>
      </c>
      <c r="L13" s="9">
        <f>SUM(K13)+0.6</f>
        <v>18.200000000000003</v>
      </c>
      <c r="M13" s="181">
        <f>SUM(L13)+0.6</f>
        <v>18.800000000000004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98</v>
      </c>
      <c r="E14" s="21"/>
      <c r="F14" s="21"/>
      <c r="G14" s="22"/>
      <c r="H14" s="17"/>
      <c r="I14" s="17"/>
      <c r="J14" s="23"/>
      <c r="K14" s="17"/>
      <c r="L14" s="17"/>
      <c r="M14" s="180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7.9999999999999991</v>
      </c>
      <c r="I15" s="9">
        <f>SUM(J15)-0.3</f>
        <v>8.2999999999999989</v>
      </c>
      <c r="J15" s="7">
        <v>8.6</v>
      </c>
      <c r="K15" s="9">
        <f>SUM(J15)+0.3</f>
        <v>8.9</v>
      </c>
      <c r="L15" s="9">
        <f>SUM(K15)+0.3</f>
        <v>9.2000000000000011</v>
      </c>
      <c r="M15" s="181">
        <f>SUM(L15)+0.3</f>
        <v>9.5000000000000018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99</v>
      </c>
      <c r="E16" s="21"/>
      <c r="F16" s="21"/>
      <c r="G16" s="22"/>
      <c r="H16" s="17"/>
      <c r="I16" s="17"/>
      <c r="J16" s="23"/>
      <c r="K16" s="17"/>
      <c r="L16" s="17"/>
      <c r="M16" s="180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130</v>
      </c>
      <c r="E17" s="38"/>
      <c r="F17" s="38"/>
      <c r="G17" s="39"/>
      <c r="H17" s="9">
        <f>SUM(I17)-1.6</f>
        <v>40.799999999999997</v>
      </c>
      <c r="I17" s="9">
        <f>SUM(J17)-1.6</f>
        <v>42.4</v>
      </c>
      <c r="J17" s="7">
        <v>44</v>
      </c>
      <c r="K17" s="9">
        <f>SUM(J17)+1.6</f>
        <v>45.6</v>
      </c>
      <c r="L17" s="9">
        <f>SUM(K17)+1.6</f>
        <v>47.2</v>
      </c>
      <c r="M17" s="181">
        <f>SUM(L17)+1.6</f>
        <v>48.800000000000004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100</v>
      </c>
      <c r="E18" s="21"/>
      <c r="F18" s="21"/>
      <c r="G18" s="22"/>
      <c r="H18" s="17"/>
      <c r="I18" s="17"/>
      <c r="J18" s="23"/>
      <c r="K18" s="17"/>
      <c r="L18" s="17"/>
      <c r="M18" s="180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SUM(I19)-3.4</f>
        <v>29.400000000000006</v>
      </c>
      <c r="I19" s="9">
        <f>SUM(J19)-3.4</f>
        <v>32.800000000000004</v>
      </c>
      <c r="J19" s="7">
        <v>36.200000000000003</v>
      </c>
      <c r="K19" s="9">
        <f>SUM(J19)+3.5</f>
        <v>39.700000000000003</v>
      </c>
      <c r="L19" s="9">
        <f>SUM(K19)+3.5</f>
        <v>43.2</v>
      </c>
      <c r="M19" s="11">
        <f>SUM(L19)+3.5</f>
        <v>46.7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3"/>
      <c r="K20" s="17"/>
      <c r="L20" s="17"/>
      <c r="M20" s="18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SUM(I21)-2</f>
        <v>35.6</v>
      </c>
      <c r="I21" s="9">
        <f>SUM(J21)-2</f>
        <v>37.6</v>
      </c>
      <c r="J21" s="7">
        <v>39.6</v>
      </c>
      <c r="K21" s="9">
        <f>SUM(J21)+2</f>
        <v>41.6</v>
      </c>
      <c r="L21" s="9">
        <f>SUM(K21)+2</f>
        <v>43.6</v>
      </c>
      <c r="M21" s="11">
        <f>SUM(L21)+2</f>
        <v>45.6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3"/>
      <c r="K22" s="17"/>
      <c r="L22" s="17"/>
      <c r="M22" s="18"/>
    </row>
    <row r="23" spans="1:13" s="1" customFormat="1" ht="14.1" customHeight="1" x14ac:dyDescent="0.3">
      <c r="A23" s="24">
        <v>11</v>
      </c>
      <c r="B23" s="26" t="s">
        <v>131</v>
      </c>
      <c r="C23" s="27"/>
      <c r="D23" s="28" t="s">
        <v>62</v>
      </c>
      <c r="E23" s="28"/>
      <c r="F23" s="28"/>
      <c r="G23" s="28"/>
      <c r="H23" s="9">
        <f>SUM(I23)-0.6</f>
        <v>14</v>
      </c>
      <c r="I23" s="9">
        <f>SUM(J23)-0.6</f>
        <v>14.6</v>
      </c>
      <c r="J23" s="7">
        <v>15.2</v>
      </c>
      <c r="K23" s="9">
        <f>SUM(J23)+0.6</f>
        <v>15.799999999999999</v>
      </c>
      <c r="L23" s="9">
        <f>SUM(K23)+0.6</f>
        <v>16.399999999999999</v>
      </c>
      <c r="M23" s="181">
        <f>SUM(L23)+0.6</f>
        <v>17</v>
      </c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17"/>
      <c r="I24" s="17"/>
      <c r="J24" s="23"/>
      <c r="K24" s="17"/>
      <c r="L24" s="17"/>
      <c r="M24" s="180"/>
    </row>
    <row r="25" spans="1:13" s="1" customFormat="1" ht="14.1" customHeight="1" x14ac:dyDescent="0.3">
      <c r="A25" s="24">
        <v>12</v>
      </c>
      <c r="B25" s="26" t="s">
        <v>132</v>
      </c>
      <c r="C25" s="27"/>
      <c r="D25" s="63" t="s">
        <v>69</v>
      </c>
      <c r="E25" s="64"/>
      <c r="F25" s="64"/>
      <c r="G25" s="65"/>
      <c r="H25" s="9">
        <f>SUM(I25)-0.3</f>
        <v>3.4000000000000004</v>
      </c>
      <c r="I25" s="9">
        <f>SUM(J25)-0.3</f>
        <v>3.7</v>
      </c>
      <c r="J25" s="7">
        <v>4</v>
      </c>
      <c r="K25" s="9">
        <f>SUM(J25)+0.3</f>
        <v>4.3</v>
      </c>
      <c r="L25" s="9">
        <f>SUM(K25)+0.3</f>
        <v>4.5999999999999996</v>
      </c>
      <c r="M25" s="181">
        <f>SUM(L25)+0.3</f>
        <v>4.8999999999999995</v>
      </c>
    </row>
    <row r="26" spans="1:13" s="1" customFormat="1" ht="14.1" customHeight="1" thickBot="1" x14ac:dyDescent="0.35">
      <c r="A26" s="97"/>
      <c r="B26" s="92" t="s">
        <v>133</v>
      </c>
      <c r="C26" s="93"/>
      <c r="D26" s="94" t="s">
        <v>70</v>
      </c>
      <c r="E26" s="95"/>
      <c r="F26" s="95"/>
      <c r="G26" s="96"/>
      <c r="H26" s="98"/>
      <c r="I26" s="98"/>
      <c r="J26" s="110"/>
      <c r="K26" s="98"/>
      <c r="L26" s="98"/>
      <c r="M26" s="183"/>
    </row>
    <row r="27" spans="1:13" s="1" customFormat="1" ht="14.1" customHeight="1" thickTop="1" x14ac:dyDescent="0.3">
      <c r="A27" s="70">
        <v>13</v>
      </c>
      <c r="B27" s="53" t="s">
        <v>97</v>
      </c>
      <c r="C27" s="54"/>
      <c r="D27" s="47" t="s">
        <v>64</v>
      </c>
      <c r="E27" s="48"/>
      <c r="F27" s="48"/>
      <c r="G27" s="49"/>
      <c r="H27" s="44">
        <f>SUM(I27)-3</f>
        <v>45</v>
      </c>
      <c r="I27" s="44">
        <f>SUM(J27)-3</f>
        <v>48</v>
      </c>
      <c r="J27" s="46">
        <v>51</v>
      </c>
      <c r="K27" s="44">
        <f>SUM(J27)+3</f>
        <v>54</v>
      </c>
      <c r="L27" s="44">
        <f>SUM(K27)+3</f>
        <v>57</v>
      </c>
      <c r="M27" s="182">
        <f>SUM(L27)+3</f>
        <v>60</v>
      </c>
    </row>
    <row r="28" spans="1:13" s="1" customFormat="1" ht="14.1" customHeight="1" x14ac:dyDescent="0.3">
      <c r="A28" s="24"/>
      <c r="B28" s="32" t="s">
        <v>71</v>
      </c>
      <c r="C28" s="33"/>
      <c r="D28" s="34" t="s">
        <v>65</v>
      </c>
      <c r="E28" s="35"/>
      <c r="F28" s="35"/>
      <c r="G28" s="36"/>
      <c r="H28" s="17"/>
      <c r="I28" s="17"/>
      <c r="J28" s="23"/>
      <c r="K28" s="17"/>
      <c r="L28" s="17"/>
      <c r="M28" s="180"/>
    </row>
    <row r="29" spans="1:13" s="1" customFormat="1" ht="14.1" customHeight="1" x14ac:dyDescent="0.3">
      <c r="A29" s="24">
        <v>14</v>
      </c>
      <c r="B29" s="26" t="s">
        <v>134</v>
      </c>
      <c r="C29" s="27"/>
      <c r="D29" s="47"/>
      <c r="E29" s="48"/>
      <c r="F29" s="48"/>
      <c r="G29" s="49"/>
      <c r="H29" s="9">
        <f>SUM(I29)-3.5</f>
        <v>57.5</v>
      </c>
      <c r="I29" s="9">
        <f>SUM(J29)-3.5</f>
        <v>61</v>
      </c>
      <c r="J29" s="46">
        <v>64.5</v>
      </c>
      <c r="K29" s="44">
        <f>SUM(J29)+3.5</f>
        <v>68</v>
      </c>
      <c r="L29" s="44">
        <f>SUM(K29)+3.5</f>
        <v>71.5</v>
      </c>
      <c r="M29" s="182">
        <f>SUM(L29)+3.5</f>
        <v>75</v>
      </c>
    </row>
    <row r="30" spans="1:13" s="1" customFormat="1" ht="14.1" customHeight="1" x14ac:dyDescent="0.3">
      <c r="A30" s="24"/>
      <c r="B30" s="32" t="s">
        <v>135</v>
      </c>
      <c r="C30" s="33"/>
      <c r="D30" s="34" t="s">
        <v>102</v>
      </c>
      <c r="E30" s="35"/>
      <c r="F30" s="35"/>
      <c r="G30" s="36"/>
      <c r="H30" s="17"/>
      <c r="I30" s="17"/>
      <c r="J30" s="23"/>
      <c r="K30" s="17"/>
      <c r="L30" s="17"/>
      <c r="M30" s="180"/>
    </row>
    <row r="31" spans="1:13" ht="14.1" customHeight="1" x14ac:dyDescent="0.3">
      <c r="A31" s="24">
        <v>15</v>
      </c>
      <c r="B31" s="26" t="s">
        <v>11</v>
      </c>
      <c r="C31" s="27"/>
      <c r="D31" s="37" t="s">
        <v>136</v>
      </c>
      <c r="E31" s="38"/>
      <c r="F31" s="38"/>
      <c r="G31" s="39"/>
      <c r="H31" s="9">
        <f>SUM(I31)-4</f>
        <v>62.3</v>
      </c>
      <c r="I31" s="9">
        <f>SUM(J31)-4</f>
        <v>66.3</v>
      </c>
      <c r="J31" s="7">
        <v>70.3</v>
      </c>
      <c r="K31" s="9">
        <f>SUM(J31)+4</f>
        <v>74.3</v>
      </c>
      <c r="L31" s="9">
        <f>SUM(K31)+4</f>
        <v>78.3</v>
      </c>
      <c r="M31" s="181">
        <f>SUM(L31)+4</f>
        <v>82.3</v>
      </c>
    </row>
    <row r="32" spans="1:13" ht="14.1" customHeight="1" x14ac:dyDescent="0.3">
      <c r="A32" s="24"/>
      <c r="B32" s="32" t="s">
        <v>44</v>
      </c>
      <c r="C32" s="33"/>
      <c r="D32" s="34" t="s">
        <v>83</v>
      </c>
      <c r="E32" s="35"/>
      <c r="F32" s="35"/>
      <c r="G32" s="36"/>
      <c r="H32" s="17"/>
      <c r="I32" s="17"/>
      <c r="J32" s="23"/>
      <c r="K32" s="17"/>
      <c r="L32" s="17"/>
      <c r="M32" s="180"/>
    </row>
    <row r="33" spans="1:13" ht="14.1" customHeight="1" x14ac:dyDescent="0.3">
      <c r="A33" s="24">
        <v>16</v>
      </c>
      <c r="B33" s="26" t="s">
        <v>137</v>
      </c>
      <c r="C33" s="27"/>
      <c r="D33" s="37"/>
      <c r="E33" s="38"/>
      <c r="F33" s="38"/>
      <c r="G33" s="39"/>
      <c r="H33" s="9">
        <f>SUM(I33)-0.7</f>
        <v>12.3</v>
      </c>
      <c r="I33" s="9">
        <f>SUM(J33)-0.7</f>
        <v>13</v>
      </c>
      <c r="J33" s="188">
        <v>13.7</v>
      </c>
      <c r="K33" s="184">
        <f>SUM(J33)+1.2</f>
        <v>14.899999999999999</v>
      </c>
      <c r="L33" s="184">
        <f>SUM(K33)+0.7</f>
        <v>15.599999999999998</v>
      </c>
      <c r="M33" s="186">
        <f>SUM(L33)+0.7</f>
        <v>16.299999999999997</v>
      </c>
    </row>
    <row r="34" spans="1:13" ht="14.1" customHeight="1" x14ac:dyDescent="0.3">
      <c r="A34" s="24"/>
      <c r="B34" s="32" t="s">
        <v>138</v>
      </c>
      <c r="C34" s="33"/>
      <c r="D34" s="20" t="s">
        <v>139</v>
      </c>
      <c r="E34" s="81"/>
      <c r="F34" s="81"/>
      <c r="G34" s="82"/>
      <c r="H34" s="17"/>
      <c r="I34" s="17"/>
      <c r="J34" s="189"/>
      <c r="K34" s="185"/>
      <c r="L34" s="185"/>
      <c r="M34" s="187"/>
    </row>
    <row r="35" spans="1:13" ht="14.1" customHeight="1" x14ac:dyDescent="0.3">
      <c r="A35" s="24">
        <v>17</v>
      </c>
      <c r="B35" s="26" t="s">
        <v>9</v>
      </c>
      <c r="C35" s="27"/>
      <c r="D35" s="37" t="s">
        <v>66</v>
      </c>
      <c r="E35" s="38"/>
      <c r="F35" s="38"/>
      <c r="G35" s="39"/>
      <c r="H35" s="9">
        <f>SUM(I35)-7</f>
        <v>49</v>
      </c>
      <c r="I35" s="9">
        <f>SUM(J35)-7</f>
        <v>56</v>
      </c>
      <c r="J35" s="7">
        <v>63</v>
      </c>
      <c r="K35" s="9">
        <f>SUM(J35)+6</f>
        <v>69</v>
      </c>
      <c r="L35" s="9">
        <f>SUM(K35)+6</f>
        <v>75</v>
      </c>
      <c r="M35" s="181">
        <f>SUM(L35)+6</f>
        <v>81</v>
      </c>
    </row>
    <row r="36" spans="1:13" ht="14.1" customHeight="1" x14ac:dyDescent="0.3">
      <c r="A36" s="24"/>
      <c r="B36" s="32" t="s">
        <v>45</v>
      </c>
      <c r="C36" s="33"/>
      <c r="D36" s="34" t="s">
        <v>82</v>
      </c>
      <c r="E36" s="35"/>
      <c r="F36" s="35"/>
      <c r="G36" s="36"/>
      <c r="H36" s="17"/>
      <c r="I36" s="17"/>
      <c r="J36" s="23"/>
      <c r="K36" s="17"/>
      <c r="L36" s="17"/>
      <c r="M36" s="180"/>
    </row>
    <row r="37" spans="1:13" ht="14.1" customHeight="1" x14ac:dyDescent="0.3">
      <c r="A37" s="24">
        <v>18</v>
      </c>
      <c r="B37" s="26" t="s">
        <v>13</v>
      </c>
      <c r="C37" s="27"/>
      <c r="D37" s="37" t="s">
        <v>14</v>
      </c>
      <c r="E37" s="38"/>
      <c r="F37" s="38"/>
      <c r="G37" s="39"/>
      <c r="H37" s="9">
        <f>SUM(I37)-2</f>
        <v>33.9</v>
      </c>
      <c r="I37" s="9">
        <f>SUM(J37)-2</f>
        <v>35.9</v>
      </c>
      <c r="J37" s="7">
        <v>37.9</v>
      </c>
      <c r="K37" s="9">
        <f>SUM(J37)+2</f>
        <v>39.9</v>
      </c>
      <c r="L37" s="9">
        <f>SUM(K37)+2</f>
        <v>41.9</v>
      </c>
      <c r="M37" s="11">
        <f>SUM(L37)+2</f>
        <v>43.9</v>
      </c>
    </row>
    <row r="38" spans="1:13" ht="14.1" customHeight="1" x14ac:dyDescent="0.3">
      <c r="A38" s="24"/>
      <c r="B38" s="32" t="s">
        <v>46</v>
      </c>
      <c r="C38" s="33"/>
      <c r="D38" s="43" t="s">
        <v>81</v>
      </c>
      <c r="E38" s="21"/>
      <c r="F38" s="21"/>
      <c r="G38" s="22"/>
      <c r="H38" s="17"/>
      <c r="I38" s="17"/>
      <c r="J38" s="23"/>
      <c r="K38" s="17"/>
      <c r="L38" s="17"/>
      <c r="M38" s="18"/>
    </row>
    <row r="39" spans="1:13" ht="14.1" customHeight="1" x14ac:dyDescent="0.3">
      <c r="A39" s="24">
        <v>19</v>
      </c>
      <c r="B39" s="26" t="s">
        <v>15</v>
      </c>
      <c r="C39" s="27"/>
      <c r="D39" s="37" t="s">
        <v>12</v>
      </c>
      <c r="E39" s="38"/>
      <c r="F39" s="38"/>
      <c r="G39" s="39"/>
      <c r="H39" s="9">
        <f>SUM(I39)-1.1</f>
        <v>19.299999999999997</v>
      </c>
      <c r="I39" s="9">
        <f>SUM(J39)-1.1</f>
        <v>20.399999999999999</v>
      </c>
      <c r="J39" s="7">
        <v>21.5</v>
      </c>
      <c r="K39" s="9">
        <f>SUM(J39)+1.6</f>
        <v>23.1</v>
      </c>
      <c r="L39" s="9">
        <f>SUM(K39)+1.1</f>
        <v>24.200000000000003</v>
      </c>
      <c r="M39" s="181">
        <f>SUM(L39)+1.1</f>
        <v>25.300000000000004</v>
      </c>
    </row>
    <row r="40" spans="1:13" ht="14.1" customHeight="1" x14ac:dyDescent="0.3">
      <c r="A40" s="24"/>
      <c r="B40" s="32" t="s">
        <v>52</v>
      </c>
      <c r="C40" s="33"/>
      <c r="D40" s="34" t="s">
        <v>80</v>
      </c>
      <c r="E40" s="35"/>
      <c r="F40" s="35"/>
      <c r="G40" s="36"/>
      <c r="H40" s="17"/>
      <c r="I40" s="17"/>
      <c r="J40" s="23"/>
      <c r="K40" s="17"/>
      <c r="L40" s="17"/>
      <c r="M40" s="180"/>
    </row>
    <row r="41" spans="1:13" ht="14.1" customHeight="1" x14ac:dyDescent="0.3">
      <c r="A41" s="24">
        <v>20</v>
      </c>
      <c r="B41" s="26" t="s">
        <v>16</v>
      </c>
      <c r="C41" s="27"/>
      <c r="D41" s="37" t="s">
        <v>12</v>
      </c>
      <c r="E41" s="38"/>
      <c r="F41" s="38"/>
      <c r="G41" s="39"/>
      <c r="H41" s="9">
        <f>SUM(I41)-1.3</f>
        <v>25.9</v>
      </c>
      <c r="I41" s="9">
        <f>SUM(J41)-1.3</f>
        <v>27.2</v>
      </c>
      <c r="J41" s="7">
        <v>28.5</v>
      </c>
      <c r="K41" s="9">
        <f>SUM(J41)+1.8</f>
        <v>30.3</v>
      </c>
      <c r="L41" s="9">
        <f>SUM(K41)+1.3</f>
        <v>31.6</v>
      </c>
      <c r="M41" s="181">
        <f>SUM(L41)+1.3</f>
        <v>32.9</v>
      </c>
    </row>
    <row r="42" spans="1:13" ht="14.1" customHeight="1" x14ac:dyDescent="0.3">
      <c r="A42" s="24"/>
      <c r="B42" s="32" t="s">
        <v>51</v>
      </c>
      <c r="C42" s="33"/>
      <c r="D42" s="34" t="s">
        <v>80</v>
      </c>
      <c r="E42" s="35"/>
      <c r="F42" s="35"/>
      <c r="G42" s="36"/>
      <c r="H42" s="17"/>
      <c r="I42" s="17"/>
      <c r="J42" s="23"/>
      <c r="K42" s="17"/>
      <c r="L42" s="17"/>
      <c r="M42" s="180"/>
    </row>
    <row r="43" spans="1:13" ht="14.1" customHeight="1" x14ac:dyDescent="0.3">
      <c r="A43" s="24">
        <v>21</v>
      </c>
      <c r="B43" s="26" t="s">
        <v>17</v>
      </c>
      <c r="C43" s="27"/>
      <c r="D43" s="37" t="s">
        <v>18</v>
      </c>
      <c r="E43" s="38"/>
      <c r="F43" s="38"/>
      <c r="G43" s="39"/>
      <c r="H43" s="9">
        <f>SUM(I43)-2.9</f>
        <v>33.700000000000003</v>
      </c>
      <c r="I43" s="9">
        <f>SUM(J43)-2.9</f>
        <v>36.6</v>
      </c>
      <c r="J43" s="7">
        <v>39.5</v>
      </c>
      <c r="K43" s="9">
        <f>SUM(J43)+2.7</f>
        <v>42.2</v>
      </c>
      <c r="L43" s="9">
        <f>SUM(K43)+2.7</f>
        <v>44.900000000000006</v>
      </c>
      <c r="M43" s="11">
        <f>SUM(L43)+2.7</f>
        <v>47.600000000000009</v>
      </c>
    </row>
    <row r="44" spans="1:13" ht="14.1" customHeight="1" x14ac:dyDescent="0.3">
      <c r="A44" s="24"/>
      <c r="B44" s="32" t="s">
        <v>50</v>
      </c>
      <c r="C44" s="33"/>
      <c r="D44" s="34" t="s">
        <v>79</v>
      </c>
      <c r="E44" s="35"/>
      <c r="F44" s="35"/>
      <c r="G44" s="36"/>
      <c r="H44" s="17"/>
      <c r="I44" s="17"/>
      <c r="J44" s="23"/>
      <c r="K44" s="17"/>
      <c r="L44" s="17"/>
      <c r="M44" s="18"/>
    </row>
    <row r="45" spans="1:13" ht="14.1" customHeight="1" x14ac:dyDescent="0.3">
      <c r="A45" s="24">
        <v>22</v>
      </c>
      <c r="B45" s="26" t="s">
        <v>19</v>
      </c>
      <c r="C45" s="27"/>
      <c r="D45" s="37" t="s">
        <v>20</v>
      </c>
      <c r="E45" s="38"/>
      <c r="F45" s="38"/>
      <c r="G45" s="39"/>
      <c r="H45" s="9">
        <f>SUM(I45)-6</f>
        <v>30.299999999999997</v>
      </c>
      <c r="I45" s="9">
        <f>SUM(J45)-6</f>
        <v>36.299999999999997</v>
      </c>
      <c r="J45" s="7">
        <v>42.3</v>
      </c>
      <c r="K45" s="9">
        <f>SUM(J45)+4.5</f>
        <v>46.8</v>
      </c>
      <c r="L45" s="9">
        <f>SUM(K45)+5</f>
        <v>51.8</v>
      </c>
      <c r="M45" s="181">
        <f>SUM(L45)+5</f>
        <v>56.8</v>
      </c>
    </row>
    <row r="46" spans="1:13" ht="14.1" customHeight="1" x14ac:dyDescent="0.3">
      <c r="A46" s="24"/>
      <c r="B46" s="32" t="s">
        <v>49</v>
      </c>
      <c r="C46" s="33"/>
      <c r="D46" s="34" t="s">
        <v>78</v>
      </c>
      <c r="E46" s="35"/>
      <c r="F46" s="35"/>
      <c r="G46" s="36"/>
      <c r="H46" s="17"/>
      <c r="I46" s="17"/>
      <c r="J46" s="23"/>
      <c r="K46" s="17"/>
      <c r="L46" s="17"/>
      <c r="M46" s="180"/>
    </row>
    <row r="47" spans="1:13" ht="14.1" customHeight="1" x14ac:dyDescent="0.3">
      <c r="A47" s="24">
        <v>23</v>
      </c>
      <c r="B47" s="26" t="s">
        <v>77</v>
      </c>
      <c r="C47" s="27"/>
      <c r="D47" s="37" t="s">
        <v>75</v>
      </c>
      <c r="E47" s="38"/>
      <c r="F47" s="38"/>
      <c r="G47" s="39"/>
      <c r="H47" s="9">
        <f>SUM(I47)-1.6</f>
        <v>27.9</v>
      </c>
      <c r="I47" s="9">
        <f>SUM(J47)-1.6</f>
        <v>29.5</v>
      </c>
      <c r="J47" s="7">
        <v>31.1</v>
      </c>
      <c r="K47" s="9">
        <f>SUM(J47)+1.6</f>
        <v>32.700000000000003</v>
      </c>
      <c r="L47" s="9">
        <f>SUM(K47)+1.6</f>
        <v>34.300000000000004</v>
      </c>
      <c r="M47" s="11">
        <f>SUM(L47)+1.6</f>
        <v>35.900000000000006</v>
      </c>
    </row>
    <row r="48" spans="1:13" ht="14.1" customHeight="1" x14ac:dyDescent="0.3">
      <c r="A48" s="24"/>
      <c r="B48" s="32" t="s">
        <v>76</v>
      </c>
      <c r="C48" s="33"/>
      <c r="D48" s="34" t="s">
        <v>75</v>
      </c>
      <c r="E48" s="35"/>
      <c r="F48" s="35"/>
      <c r="G48" s="36"/>
      <c r="H48" s="17"/>
      <c r="I48" s="17"/>
      <c r="J48" s="23"/>
      <c r="K48" s="17"/>
      <c r="L48" s="17"/>
      <c r="M48" s="18"/>
    </row>
    <row r="49" spans="1:13" ht="14.1" customHeight="1" x14ac:dyDescent="0.3">
      <c r="A49" s="24">
        <v>24</v>
      </c>
      <c r="B49" s="26" t="s">
        <v>140</v>
      </c>
      <c r="C49" s="27"/>
      <c r="D49" s="37" t="s">
        <v>141</v>
      </c>
      <c r="E49" s="38"/>
      <c r="F49" s="38"/>
      <c r="G49" s="39"/>
      <c r="H49" s="9">
        <f>SUM(I49)-3.6</f>
        <v>32.699999999999996</v>
      </c>
      <c r="I49" s="9">
        <f>SUM(J49)-3.6</f>
        <v>36.299999999999997</v>
      </c>
      <c r="J49" s="7">
        <v>39.9</v>
      </c>
      <c r="K49" s="9">
        <f>SUM(J49)+3.5</f>
        <v>43.4</v>
      </c>
      <c r="L49" s="9">
        <f>SUM(K49)+3.2</f>
        <v>46.6</v>
      </c>
      <c r="M49" s="11">
        <f>SUM(L49)+3.2</f>
        <v>49.800000000000004</v>
      </c>
    </row>
    <row r="50" spans="1:13" ht="14.1" customHeight="1" thickBot="1" x14ac:dyDescent="0.35">
      <c r="A50" s="25"/>
      <c r="B50" s="102" t="s">
        <v>142</v>
      </c>
      <c r="C50" s="103"/>
      <c r="D50" s="104" t="s">
        <v>143</v>
      </c>
      <c r="E50" s="105"/>
      <c r="F50" s="105"/>
      <c r="G50" s="106"/>
      <c r="H50" s="10"/>
      <c r="I50" s="10"/>
      <c r="J50" s="8"/>
      <c r="K50" s="10"/>
      <c r="L50" s="10"/>
      <c r="M50" s="12"/>
    </row>
    <row r="51" spans="1:13" ht="14.1" customHeight="1" x14ac:dyDescent="0.3"/>
    <row r="52" spans="1:13" ht="14.1" customHeight="1" x14ac:dyDescent="0.3"/>
    <row r="53" spans="1:13" ht="14.1" customHeight="1" x14ac:dyDescent="0.3"/>
    <row r="54" spans="1:13" ht="14.1" customHeight="1" x14ac:dyDescent="0.3"/>
    <row r="55" spans="1:13" ht="14.1" customHeight="1" x14ac:dyDescent="0.3"/>
    <row r="56" spans="1:13" ht="14.1" customHeight="1" x14ac:dyDescent="0.3"/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4.1" customHeight="1" x14ac:dyDescent="0.3"/>
    <row r="63" spans="1:13" ht="14.1" customHeight="1" x14ac:dyDescent="0.3"/>
    <row r="64" spans="1:13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2E49-9800-425B-990F-1E39F6C04847}">
  <sheetPr>
    <tabColor rgb="FF00B050"/>
    <pageSetUpPr fitToPage="1"/>
  </sheetPr>
  <dimension ref="A1:M74"/>
  <sheetViews>
    <sheetView zoomScale="110" zoomScaleNormal="110" workbookViewId="0">
      <selection activeCell="O23" sqref="O2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252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157</v>
      </c>
      <c r="E3" s="72"/>
      <c r="F3" s="72"/>
      <c r="G3" s="73"/>
      <c r="H3" s="194">
        <f>SUM(I3)-3.5</f>
        <v>39</v>
      </c>
      <c r="I3" s="113">
        <f>SUM(J3)-3.5</f>
        <v>42.5</v>
      </c>
      <c r="J3" s="114">
        <v>46</v>
      </c>
      <c r="K3" s="113">
        <f>SUM(J3)+3</f>
        <v>49</v>
      </c>
      <c r="L3" s="113">
        <f>SUM(K3)+3</f>
        <v>52</v>
      </c>
      <c r="M3" s="115">
        <f>SUM(L3)+3</f>
        <v>55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195"/>
      <c r="I4" s="44"/>
      <c r="J4" s="46"/>
      <c r="K4" s="44"/>
      <c r="L4" s="44"/>
      <c r="M4" s="45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190">
        <f>SUM(I5)-2.4</f>
        <v>42.2</v>
      </c>
      <c r="I5" s="9">
        <f>SUM(J5)-2.4</f>
        <v>44.6</v>
      </c>
      <c r="J5" s="7">
        <v>47</v>
      </c>
      <c r="K5" s="9">
        <f>SUM(J5)+2.2</f>
        <v>49.2</v>
      </c>
      <c r="L5" s="9">
        <f>SUM(K5)+2.2</f>
        <v>51.400000000000006</v>
      </c>
      <c r="M5" s="11">
        <f>SUM(L5)+2.2</f>
        <v>53.600000000000009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92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190">
        <f>SUM(I7)-2.4</f>
        <v>40.200000000000003</v>
      </c>
      <c r="I7" s="9">
        <f>SUM(J7)-2.4</f>
        <v>42.6</v>
      </c>
      <c r="J7" s="7">
        <v>45</v>
      </c>
      <c r="K7" s="9">
        <f>SUM(J7)+2.2</f>
        <v>47.2</v>
      </c>
      <c r="L7" s="9">
        <f>SUM(K7)+2.2</f>
        <v>49.400000000000006</v>
      </c>
      <c r="M7" s="11">
        <f>SUM(L7)+2.2</f>
        <v>51.600000000000009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92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190">
        <f>SUM(I9)-1.9</f>
        <v>31.200000000000003</v>
      </c>
      <c r="I9" s="9">
        <f>SUM(J9)-1.9</f>
        <v>33.1</v>
      </c>
      <c r="J9" s="7">
        <v>35</v>
      </c>
      <c r="K9" s="9">
        <f>SUM(J9)+1.7</f>
        <v>36.700000000000003</v>
      </c>
      <c r="L9" s="9">
        <f>SUM(K9)+1.7</f>
        <v>38.400000000000006</v>
      </c>
      <c r="M9" s="11">
        <f>SUM(L9)+1.7</f>
        <v>40.100000000000009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92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190">
        <f>SUM(I11)-0.8</f>
        <v>17.899999999999999</v>
      </c>
      <c r="I11" s="9">
        <f>SUM(J11)-0.8</f>
        <v>18.7</v>
      </c>
      <c r="J11" s="7">
        <v>19.5</v>
      </c>
      <c r="K11" s="9">
        <f>SUM(J11)+0.8</f>
        <v>20.3</v>
      </c>
      <c r="L11" s="9">
        <f>SUM(K11)+0.8</f>
        <v>21.1</v>
      </c>
      <c r="M11" s="11">
        <f>SUM(L11)+0.8</f>
        <v>21.900000000000002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92"/>
      <c r="I12" s="17"/>
      <c r="J12" s="23"/>
      <c r="K12" s="17"/>
      <c r="L12" s="17"/>
      <c r="M12" s="18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129</v>
      </c>
      <c r="E13" s="28"/>
      <c r="F13" s="28"/>
      <c r="G13" s="28"/>
      <c r="H13" s="190">
        <f>SUM(I13)-0.6</f>
        <v>15</v>
      </c>
      <c r="I13" s="9">
        <f>SUM(J13)-0.6</f>
        <v>15.6</v>
      </c>
      <c r="J13" s="7">
        <v>16.2</v>
      </c>
      <c r="K13" s="9">
        <f>SUM(J13)+0.6</f>
        <v>16.8</v>
      </c>
      <c r="L13" s="9">
        <f>SUM(K13)+0.6</f>
        <v>17.400000000000002</v>
      </c>
      <c r="M13" s="11">
        <f>SUM(L13)+0.6</f>
        <v>18.000000000000004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179</v>
      </c>
      <c r="E14" s="21"/>
      <c r="F14" s="21"/>
      <c r="G14" s="22"/>
      <c r="H14" s="192"/>
      <c r="I14" s="17"/>
      <c r="J14" s="23"/>
      <c r="K14" s="17"/>
      <c r="L14" s="17"/>
      <c r="M14" s="18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190">
        <f>SUM(I15)-0.3</f>
        <v>6.5</v>
      </c>
      <c r="I15" s="9">
        <f>SUM(J15)-0.3</f>
        <v>6.8</v>
      </c>
      <c r="J15" s="7">
        <v>7.1</v>
      </c>
      <c r="K15" s="9">
        <f>SUM(J15)+0.3</f>
        <v>7.3999999999999995</v>
      </c>
      <c r="L15" s="9">
        <f>SUM(K15)+0.3</f>
        <v>7.6999999999999993</v>
      </c>
      <c r="M15" s="11">
        <f>SUM(L15)+0.3</f>
        <v>7.9999999999999991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180</v>
      </c>
      <c r="E16" s="21"/>
      <c r="F16" s="21"/>
      <c r="G16" s="22"/>
      <c r="H16" s="192"/>
      <c r="I16" s="17"/>
      <c r="J16" s="23"/>
      <c r="K16" s="17"/>
      <c r="L16" s="17"/>
      <c r="M16" s="18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221</v>
      </c>
      <c r="E17" s="38"/>
      <c r="F17" s="38"/>
      <c r="G17" s="39"/>
      <c r="H17" s="190">
        <f>SUM(I17)-1.6</f>
        <v>39.4</v>
      </c>
      <c r="I17" s="9">
        <f>SUM(J17)-1.6</f>
        <v>41</v>
      </c>
      <c r="J17" s="7">
        <v>42.6</v>
      </c>
      <c r="K17" s="9">
        <f>SUM(J17)+1.6</f>
        <v>44.2</v>
      </c>
      <c r="L17" s="9">
        <f>SUM(K17)+1.6</f>
        <v>45.800000000000004</v>
      </c>
      <c r="M17" s="11">
        <f>SUM(L17)+1.6</f>
        <v>47.400000000000006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237</v>
      </c>
      <c r="E18" s="21"/>
      <c r="F18" s="21"/>
      <c r="G18" s="22"/>
      <c r="H18" s="192"/>
      <c r="I18" s="17"/>
      <c r="J18" s="23"/>
      <c r="K18" s="17"/>
      <c r="L18" s="17"/>
      <c r="M18" s="18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190">
        <f>SUM(I19)-3.3</f>
        <v>25.4</v>
      </c>
      <c r="I19" s="9">
        <f>SUM(J19)-3.3</f>
        <v>28.7</v>
      </c>
      <c r="J19" s="7">
        <v>32</v>
      </c>
      <c r="K19" s="9">
        <f>SUM(J19)+3.4</f>
        <v>35.4</v>
      </c>
      <c r="L19" s="9">
        <f>SUM(K19)+3.4</f>
        <v>38.799999999999997</v>
      </c>
      <c r="M19" s="11">
        <f>SUM(L19)+3.4</f>
        <v>42.199999999999996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92"/>
      <c r="I20" s="17"/>
      <c r="J20" s="23"/>
      <c r="K20" s="17"/>
      <c r="L20" s="17"/>
      <c r="M20" s="18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190">
        <f>SUM(I21)-1.6</f>
        <v>36</v>
      </c>
      <c r="I21" s="9">
        <f>SUM(J21)-1.6</f>
        <v>37.6</v>
      </c>
      <c r="J21" s="7">
        <v>39.200000000000003</v>
      </c>
      <c r="K21" s="9">
        <f>SUM(J21)+1.6</f>
        <v>40.800000000000004</v>
      </c>
      <c r="L21" s="9">
        <f>SUM(K21)+1.6</f>
        <v>42.400000000000006</v>
      </c>
      <c r="M21" s="11">
        <f>SUM(L21)+1.6</f>
        <v>44.000000000000007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92"/>
      <c r="I22" s="17"/>
      <c r="J22" s="23"/>
      <c r="K22" s="17"/>
      <c r="L22" s="17"/>
      <c r="M22" s="18"/>
    </row>
    <row r="23" spans="1:13" s="1" customFormat="1" ht="14.1" customHeight="1" x14ac:dyDescent="0.3">
      <c r="A23" s="24">
        <v>11</v>
      </c>
      <c r="B23" s="26" t="s">
        <v>131</v>
      </c>
      <c r="C23" s="27"/>
      <c r="D23" s="28" t="s">
        <v>62</v>
      </c>
      <c r="E23" s="28"/>
      <c r="F23" s="28"/>
      <c r="G23" s="28"/>
      <c r="H23" s="190">
        <f>SUM(I23)-0.6</f>
        <v>15</v>
      </c>
      <c r="I23" s="9">
        <f>SUM(J23)-0.6</f>
        <v>15.6</v>
      </c>
      <c r="J23" s="7">
        <v>16.2</v>
      </c>
      <c r="K23" s="9">
        <f>SUM(J23)+0.6</f>
        <v>16.8</v>
      </c>
      <c r="L23" s="9">
        <f>SUM(K23)+0.6</f>
        <v>17.400000000000002</v>
      </c>
      <c r="M23" s="11">
        <f>SUM(L23)+0.6</f>
        <v>18.000000000000004</v>
      </c>
    </row>
    <row r="24" spans="1:13" s="1" customFormat="1" ht="14.1" customHeight="1" x14ac:dyDescent="0.3">
      <c r="A24" s="24"/>
      <c r="B24" s="77" t="s">
        <v>30</v>
      </c>
      <c r="C24" s="77"/>
      <c r="D24" s="47" t="s">
        <v>63</v>
      </c>
      <c r="E24" s="48"/>
      <c r="F24" s="48"/>
      <c r="G24" s="49"/>
      <c r="H24" s="192"/>
      <c r="I24" s="17"/>
      <c r="J24" s="23"/>
      <c r="K24" s="17"/>
      <c r="L24" s="17"/>
      <c r="M24" s="18"/>
    </row>
    <row r="25" spans="1:13" s="1" customFormat="1" ht="14.1" customHeight="1" x14ac:dyDescent="0.3">
      <c r="A25" s="24">
        <v>12</v>
      </c>
      <c r="B25" s="26" t="s">
        <v>132</v>
      </c>
      <c r="C25" s="27"/>
      <c r="D25" s="63"/>
      <c r="E25" s="64"/>
      <c r="F25" s="64"/>
      <c r="G25" s="65"/>
      <c r="H25" s="190">
        <f>SUM(I25)-0.3</f>
        <v>5.9</v>
      </c>
      <c r="I25" s="9">
        <f>SUM(J25)-0.3</f>
        <v>6.2</v>
      </c>
      <c r="J25" s="7">
        <v>6.5</v>
      </c>
      <c r="K25" s="9">
        <f>SUM(J25)+0.3</f>
        <v>6.8</v>
      </c>
      <c r="L25" s="9">
        <f>SUM(K25)+0.3</f>
        <v>7.1</v>
      </c>
      <c r="M25" s="11">
        <f>SUM(L25)+0.3</f>
        <v>7.3999999999999995</v>
      </c>
    </row>
    <row r="26" spans="1:13" s="1" customFormat="1" ht="14.1" customHeight="1" thickBot="1" x14ac:dyDescent="0.35">
      <c r="A26" s="24"/>
      <c r="B26" s="53" t="s">
        <v>133</v>
      </c>
      <c r="C26" s="54"/>
      <c r="D26" s="47"/>
      <c r="E26" s="48"/>
      <c r="F26" s="48"/>
      <c r="G26" s="49"/>
      <c r="H26" s="192"/>
      <c r="I26" s="17"/>
      <c r="J26" s="23"/>
      <c r="K26" s="17"/>
      <c r="L26" s="17"/>
      <c r="M26" s="18"/>
    </row>
    <row r="27" spans="1:13" s="1" customFormat="1" ht="14.1" customHeight="1" thickTop="1" x14ac:dyDescent="0.3">
      <c r="A27" s="55">
        <v>13</v>
      </c>
      <c r="B27" s="56" t="s">
        <v>97</v>
      </c>
      <c r="C27" s="57"/>
      <c r="D27" s="58" t="s">
        <v>64</v>
      </c>
      <c r="E27" s="59"/>
      <c r="F27" s="59"/>
      <c r="G27" s="60"/>
      <c r="H27" s="193">
        <f>SUM(I27)-3</f>
        <v>45</v>
      </c>
      <c r="I27" s="51">
        <f>SUM(J27)-3</f>
        <v>48</v>
      </c>
      <c r="J27" s="50">
        <v>51</v>
      </c>
      <c r="K27" s="51">
        <f>SUM(J27)+3</f>
        <v>54</v>
      </c>
      <c r="L27" s="51">
        <f>SUM(K27)+3</f>
        <v>57</v>
      </c>
      <c r="M27" s="52">
        <f>SUM(L27)+3</f>
        <v>60</v>
      </c>
    </row>
    <row r="28" spans="1:13" s="1" customFormat="1" ht="14.1" customHeight="1" x14ac:dyDescent="0.3">
      <c r="A28" s="24"/>
      <c r="B28" s="32" t="s">
        <v>71</v>
      </c>
      <c r="C28" s="33"/>
      <c r="D28" s="34" t="s">
        <v>65</v>
      </c>
      <c r="E28" s="35"/>
      <c r="F28" s="35"/>
      <c r="G28" s="36"/>
      <c r="H28" s="192"/>
      <c r="I28" s="17"/>
      <c r="J28" s="23"/>
      <c r="K28" s="17"/>
      <c r="L28" s="17"/>
      <c r="M28" s="18"/>
    </row>
    <row r="29" spans="1:13" s="1" customFormat="1" ht="14.1" customHeight="1" x14ac:dyDescent="0.3">
      <c r="A29" s="24">
        <v>14</v>
      </c>
      <c r="B29" s="26" t="s">
        <v>134</v>
      </c>
      <c r="C29" s="27"/>
      <c r="D29" s="47"/>
      <c r="E29" s="48"/>
      <c r="F29" s="48"/>
      <c r="G29" s="49"/>
      <c r="H29" s="190">
        <f>SUM(I29)-3.5</f>
        <v>67.099999999999994</v>
      </c>
      <c r="I29" s="9">
        <f>SUM(J29)-3.5</f>
        <v>70.599999999999994</v>
      </c>
      <c r="J29" s="7">
        <v>74.099999999999994</v>
      </c>
      <c r="K29" s="9">
        <f>SUM(J29)+3.5</f>
        <v>77.599999999999994</v>
      </c>
      <c r="L29" s="9">
        <f>SUM(K29)+3.5</f>
        <v>81.099999999999994</v>
      </c>
      <c r="M29" s="11">
        <f>SUM(L29)+3.5</f>
        <v>84.6</v>
      </c>
    </row>
    <row r="30" spans="1:13" s="1" customFormat="1" ht="14.1" customHeight="1" x14ac:dyDescent="0.3">
      <c r="A30" s="24"/>
      <c r="B30" s="32" t="s">
        <v>135</v>
      </c>
      <c r="C30" s="33"/>
      <c r="D30" s="34" t="s">
        <v>102</v>
      </c>
      <c r="E30" s="35"/>
      <c r="F30" s="35"/>
      <c r="G30" s="36"/>
      <c r="H30" s="192"/>
      <c r="I30" s="17"/>
      <c r="J30" s="23"/>
      <c r="K30" s="17"/>
      <c r="L30" s="17"/>
      <c r="M30" s="18"/>
    </row>
    <row r="31" spans="1:13" ht="14.1" customHeight="1" x14ac:dyDescent="0.3">
      <c r="A31" s="24">
        <v>15</v>
      </c>
      <c r="B31" s="26" t="s">
        <v>11</v>
      </c>
      <c r="C31" s="27"/>
      <c r="D31" s="37" t="s">
        <v>136</v>
      </c>
      <c r="E31" s="38"/>
      <c r="F31" s="38"/>
      <c r="G31" s="39"/>
      <c r="H31" s="190">
        <f>SUM(I31)-4</f>
        <v>70.400000000000006</v>
      </c>
      <c r="I31" s="9">
        <f>SUM(J31)-4</f>
        <v>74.400000000000006</v>
      </c>
      <c r="J31" s="7">
        <v>78.400000000000006</v>
      </c>
      <c r="K31" s="9">
        <f>SUM(J31)+4</f>
        <v>82.4</v>
      </c>
      <c r="L31" s="9">
        <f>SUM(K31)+4</f>
        <v>86.4</v>
      </c>
      <c r="M31" s="11">
        <f>SUM(L31)+4</f>
        <v>90.4</v>
      </c>
    </row>
    <row r="32" spans="1:13" ht="14.1" customHeight="1" x14ac:dyDescent="0.3">
      <c r="A32" s="24"/>
      <c r="B32" s="32" t="s">
        <v>44</v>
      </c>
      <c r="C32" s="33"/>
      <c r="D32" s="34" t="s">
        <v>83</v>
      </c>
      <c r="E32" s="35"/>
      <c r="F32" s="35"/>
      <c r="G32" s="36"/>
      <c r="H32" s="192"/>
      <c r="I32" s="17"/>
      <c r="J32" s="23"/>
      <c r="K32" s="17"/>
      <c r="L32" s="17"/>
      <c r="M32" s="18"/>
    </row>
    <row r="33" spans="1:13" ht="14.1" customHeight="1" x14ac:dyDescent="0.3">
      <c r="A33" s="24">
        <v>16</v>
      </c>
      <c r="B33" s="26" t="s">
        <v>253</v>
      </c>
      <c r="C33" s="27"/>
      <c r="D33" s="37"/>
      <c r="E33" s="38"/>
      <c r="F33" s="38"/>
      <c r="G33" s="39"/>
      <c r="H33" s="190">
        <f>SUM(I33)-0.7</f>
        <v>12.500000000000002</v>
      </c>
      <c r="I33" s="9">
        <f>SUM(J33)-0.7</f>
        <v>13.200000000000001</v>
      </c>
      <c r="J33" s="7">
        <v>13.9</v>
      </c>
      <c r="K33" s="9">
        <f>SUM(J33)+1.2</f>
        <v>15.1</v>
      </c>
      <c r="L33" s="9">
        <f>SUM(K33)+0.7</f>
        <v>15.799999999999999</v>
      </c>
      <c r="M33" s="11">
        <f>SUM(L33)+0.7</f>
        <v>16.5</v>
      </c>
    </row>
    <row r="34" spans="1:13" ht="14.1" customHeight="1" x14ac:dyDescent="0.3">
      <c r="A34" s="24"/>
      <c r="B34" s="32" t="s">
        <v>254</v>
      </c>
      <c r="C34" s="33"/>
      <c r="D34" s="20" t="s">
        <v>139</v>
      </c>
      <c r="E34" s="81"/>
      <c r="F34" s="81"/>
      <c r="G34" s="82"/>
      <c r="H34" s="192"/>
      <c r="I34" s="17"/>
      <c r="J34" s="23"/>
      <c r="K34" s="17"/>
      <c r="L34" s="17"/>
      <c r="M34" s="18"/>
    </row>
    <row r="35" spans="1:13" ht="14.1" customHeight="1" x14ac:dyDescent="0.3">
      <c r="A35" s="24">
        <v>17</v>
      </c>
      <c r="B35" s="26" t="s">
        <v>9</v>
      </c>
      <c r="C35" s="27"/>
      <c r="D35" s="37" t="s">
        <v>66</v>
      </c>
      <c r="E35" s="38"/>
      <c r="F35" s="38"/>
      <c r="G35" s="39"/>
      <c r="H35" s="190">
        <f>SUM(I35)-7</f>
        <v>52.5</v>
      </c>
      <c r="I35" s="9">
        <f>SUM(J35)-7</f>
        <v>59.5</v>
      </c>
      <c r="J35" s="7">
        <v>66.5</v>
      </c>
      <c r="K35" s="9">
        <f>SUM(J35)+6</f>
        <v>72.5</v>
      </c>
      <c r="L35" s="9">
        <f>SUM(K35)+6</f>
        <v>78.5</v>
      </c>
      <c r="M35" s="11">
        <f>SUM(L35)+6</f>
        <v>84.5</v>
      </c>
    </row>
    <row r="36" spans="1:13" ht="14.1" customHeight="1" x14ac:dyDescent="0.3">
      <c r="A36" s="24"/>
      <c r="B36" s="32" t="s">
        <v>45</v>
      </c>
      <c r="C36" s="33"/>
      <c r="D36" s="34" t="s">
        <v>82</v>
      </c>
      <c r="E36" s="35"/>
      <c r="F36" s="35"/>
      <c r="G36" s="36"/>
      <c r="H36" s="192"/>
      <c r="I36" s="17"/>
      <c r="J36" s="23"/>
      <c r="K36" s="17"/>
      <c r="L36" s="17"/>
      <c r="M36" s="18"/>
    </row>
    <row r="37" spans="1:13" ht="14.1" customHeight="1" x14ac:dyDescent="0.3">
      <c r="A37" s="24">
        <v>18</v>
      </c>
      <c r="B37" s="26" t="s">
        <v>255</v>
      </c>
      <c r="C37" s="27"/>
      <c r="D37" s="37" t="s">
        <v>14</v>
      </c>
      <c r="E37" s="38"/>
      <c r="F37" s="38"/>
      <c r="G37" s="39"/>
      <c r="H37" s="190">
        <f>SUM(I37)-1</f>
        <v>19</v>
      </c>
      <c r="I37" s="9">
        <f>SUM(J37)-1</f>
        <v>20</v>
      </c>
      <c r="J37" s="7">
        <v>21</v>
      </c>
      <c r="K37" s="9">
        <f>SUM(J37)+1</f>
        <v>22</v>
      </c>
      <c r="L37" s="9">
        <f>SUM(K37)+1</f>
        <v>23</v>
      </c>
      <c r="M37" s="11">
        <f>SUM(L37)+1</f>
        <v>24</v>
      </c>
    </row>
    <row r="38" spans="1:13" ht="14.1" customHeight="1" x14ac:dyDescent="0.3">
      <c r="A38" s="24"/>
      <c r="B38" s="32" t="s">
        <v>256</v>
      </c>
      <c r="C38" s="33"/>
      <c r="D38" s="43" t="s">
        <v>81</v>
      </c>
      <c r="E38" s="21"/>
      <c r="F38" s="21"/>
      <c r="G38" s="22"/>
      <c r="H38" s="192"/>
      <c r="I38" s="17"/>
      <c r="J38" s="23"/>
      <c r="K38" s="17"/>
      <c r="L38" s="17"/>
      <c r="M38" s="18"/>
    </row>
    <row r="39" spans="1:13" ht="14.1" customHeight="1" x14ac:dyDescent="0.3">
      <c r="A39" s="24">
        <v>19</v>
      </c>
      <c r="B39" s="26" t="s">
        <v>15</v>
      </c>
      <c r="C39" s="27"/>
      <c r="D39" s="37" t="s">
        <v>12</v>
      </c>
      <c r="E39" s="38"/>
      <c r="F39" s="38"/>
      <c r="G39" s="39"/>
      <c r="H39" s="190">
        <f>SUM(I39)-1.1</f>
        <v>19.899999999999999</v>
      </c>
      <c r="I39" s="9">
        <f>SUM(J39)-1.1</f>
        <v>21</v>
      </c>
      <c r="J39" s="7">
        <v>22.1</v>
      </c>
      <c r="K39" s="9">
        <f>SUM(J39)+1.6</f>
        <v>23.700000000000003</v>
      </c>
      <c r="L39" s="9">
        <f>SUM(K39)+1.1</f>
        <v>24.800000000000004</v>
      </c>
      <c r="M39" s="11">
        <f>SUM(L39)+1.1</f>
        <v>25.900000000000006</v>
      </c>
    </row>
    <row r="40" spans="1:13" ht="14.1" customHeight="1" x14ac:dyDescent="0.3">
      <c r="A40" s="24"/>
      <c r="B40" s="32" t="s">
        <v>52</v>
      </c>
      <c r="C40" s="33"/>
      <c r="D40" s="34" t="s">
        <v>80</v>
      </c>
      <c r="E40" s="35"/>
      <c r="F40" s="35"/>
      <c r="G40" s="36"/>
      <c r="H40" s="192"/>
      <c r="I40" s="17"/>
      <c r="J40" s="23"/>
      <c r="K40" s="17"/>
      <c r="L40" s="17"/>
      <c r="M40" s="18"/>
    </row>
    <row r="41" spans="1:13" ht="14.1" customHeight="1" x14ac:dyDescent="0.3">
      <c r="A41" s="24">
        <v>20</v>
      </c>
      <c r="B41" s="26" t="s">
        <v>16</v>
      </c>
      <c r="C41" s="27"/>
      <c r="D41" s="37" t="s">
        <v>12</v>
      </c>
      <c r="E41" s="38"/>
      <c r="F41" s="38"/>
      <c r="G41" s="39"/>
      <c r="H41" s="190">
        <f>SUM(I41)-1.3</f>
        <v>26.2</v>
      </c>
      <c r="I41" s="9">
        <f>SUM(J41)-1.3</f>
        <v>27.5</v>
      </c>
      <c r="J41" s="7">
        <v>28.8</v>
      </c>
      <c r="K41" s="9">
        <f>SUM(J41)+1.8</f>
        <v>30.6</v>
      </c>
      <c r="L41" s="9">
        <f>SUM(K41)+1.3</f>
        <v>31.900000000000002</v>
      </c>
      <c r="M41" s="11">
        <f>SUM(L41)+1.3</f>
        <v>33.200000000000003</v>
      </c>
    </row>
    <row r="42" spans="1:13" ht="14.1" customHeight="1" x14ac:dyDescent="0.3">
      <c r="A42" s="24"/>
      <c r="B42" s="32" t="s">
        <v>51</v>
      </c>
      <c r="C42" s="33"/>
      <c r="D42" s="34" t="s">
        <v>80</v>
      </c>
      <c r="E42" s="35"/>
      <c r="F42" s="35"/>
      <c r="G42" s="36"/>
      <c r="H42" s="192"/>
      <c r="I42" s="17"/>
      <c r="J42" s="23"/>
      <c r="K42" s="17"/>
      <c r="L42" s="17"/>
      <c r="M42" s="18"/>
    </row>
    <row r="43" spans="1:13" ht="14.1" customHeight="1" x14ac:dyDescent="0.3">
      <c r="A43" s="24">
        <v>21</v>
      </c>
      <c r="B43" s="26" t="s">
        <v>17</v>
      </c>
      <c r="C43" s="27"/>
      <c r="D43" s="37" t="s">
        <v>18</v>
      </c>
      <c r="E43" s="38"/>
      <c r="F43" s="38"/>
      <c r="G43" s="39"/>
      <c r="H43" s="190">
        <f>SUM(I43)-2.8</f>
        <v>42.9</v>
      </c>
      <c r="I43" s="9">
        <f>SUM(J43)-2.7</f>
        <v>45.699999999999996</v>
      </c>
      <c r="J43" s="7">
        <v>48.4</v>
      </c>
      <c r="K43" s="9">
        <f>SUM(J43)+2.7</f>
        <v>51.1</v>
      </c>
      <c r="L43" s="9">
        <f>SUM(K43)+2.6</f>
        <v>53.7</v>
      </c>
      <c r="M43" s="11">
        <f>SUM(L43)+2.6</f>
        <v>56.300000000000004</v>
      </c>
    </row>
    <row r="44" spans="1:13" ht="14.1" customHeight="1" x14ac:dyDescent="0.3">
      <c r="A44" s="24"/>
      <c r="B44" s="32" t="s">
        <v>50</v>
      </c>
      <c r="C44" s="33"/>
      <c r="D44" s="34" t="s">
        <v>79</v>
      </c>
      <c r="E44" s="35"/>
      <c r="F44" s="35"/>
      <c r="G44" s="36"/>
      <c r="H44" s="192"/>
      <c r="I44" s="17"/>
      <c r="J44" s="23"/>
      <c r="K44" s="17"/>
      <c r="L44" s="17"/>
      <c r="M44" s="18"/>
    </row>
    <row r="45" spans="1:13" ht="14.1" customHeight="1" x14ac:dyDescent="0.3">
      <c r="A45" s="24">
        <v>22</v>
      </c>
      <c r="B45" s="26" t="s">
        <v>19</v>
      </c>
      <c r="C45" s="27"/>
      <c r="D45" s="37" t="s">
        <v>20</v>
      </c>
      <c r="E45" s="38"/>
      <c r="F45" s="38"/>
      <c r="G45" s="39"/>
      <c r="H45" s="190">
        <f>SUM(I45)-6</f>
        <v>33.4</v>
      </c>
      <c r="I45" s="9">
        <f>SUM(J45)-6</f>
        <v>39.4</v>
      </c>
      <c r="J45" s="7">
        <v>45.4</v>
      </c>
      <c r="K45" s="9">
        <f>SUM(J45)+4.5</f>
        <v>49.9</v>
      </c>
      <c r="L45" s="9">
        <f>SUM(K45)+5</f>
        <v>54.9</v>
      </c>
      <c r="M45" s="11">
        <f>SUM(L45)+5</f>
        <v>59.9</v>
      </c>
    </row>
    <row r="46" spans="1:13" ht="14.1" customHeight="1" x14ac:dyDescent="0.3">
      <c r="A46" s="24"/>
      <c r="B46" s="32" t="s">
        <v>49</v>
      </c>
      <c r="C46" s="33"/>
      <c r="D46" s="34" t="s">
        <v>78</v>
      </c>
      <c r="E46" s="35"/>
      <c r="F46" s="35"/>
      <c r="G46" s="36"/>
      <c r="H46" s="192"/>
      <c r="I46" s="17"/>
      <c r="J46" s="23"/>
      <c r="K46" s="17"/>
      <c r="L46" s="17"/>
      <c r="M46" s="18"/>
    </row>
    <row r="47" spans="1:13" ht="14.1" customHeight="1" x14ac:dyDescent="0.3">
      <c r="A47" s="24">
        <v>23</v>
      </c>
      <c r="B47" s="26" t="s">
        <v>77</v>
      </c>
      <c r="C47" s="27"/>
      <c r="D47" s="37" t="s">
        <v>75</v>
      </c>
      <c r="E47" s="38"/>
      <c r="F47" s="38"/>
      <c r="G47" s="39"/>
      <c r="H47" s="190">
        <f>SUM(I47)-2.1</f>
        <v>38.9</v>
      </c>
      <c r="I47" s="9">
        <f>SUM(J47)-2.1</f>
        <v>41</v>
      </c>
      <c r="J47" s="7">
        <v>43.1</v>
      </c>
      <c r="K47" s="9">
        <f>SUM(J47)+2.1</f>
        <v>45.2</v>
      </c>
      <c r="L47" s="9">
        <f>SUM(K47)+2.1</f>
        <v>47.300000000000004</v>
      </c>
      <c r="M47" s="11">
        <f>SUM(L47)+2.1</f>
        <v>49.400000000000006</v>
      </c>
    </row>
    <row r="48" spans="1:13" ht="14.1" customHeight="1" x14ac:dyDescent="0.3">
      <c r="A48" s="24"/>
      <c r="B48" s="32" t="s">
        <v>76</v>
      </c>
      <c r="C48" s="33"/>
      <c r="D48" s="34" t="s">
        <v>75</v>
      </c>
      <c r="E48" s="35"/>
      <c r="F48" s="35"/>
      <c r="G48" s="36"/>
      <c r="H48" s="192"/>
      <c r="I48" s="17"/>
      <c r="J48" s="23"/>
      <c r="K48" s="17"/>
      <c r="L48" s="17"/>
      <c r="M48" s="18"/>
    </row>
    <row r="49" spans="1:13" ht="14.1" customHeight="1" x14ac:dyDescent="0.3">
      <c r="A49" s="24">
        <v>24</v>
      </c>
      <c r="B49" s="26" t="s">
        <v>257</v>
      </c>
      <c r="C49" s="27"/>
      <c r="D49" s="37" t="s">
        <v>258</v>
      </c>
      <c r="E49" s="38"/>
      <c r="F49" s="38"/>
      <c r="G49" s="39"/>
      <c r="H49" s="190">
        <f>SUM(I49)-2.8</f>
        <v>28.799999999999997</v>
      </c>
      <c r="I49" s="9">
        <f>SUM(J49)-2.8</f>
        <v>31.599999999999998</v>
      </c>
      <c r="J49" s="7">
        <v>34.4</v>
      </c>
      <c r="K49" s="9">
        <f>SUM(J49)+2.8</f>
        <v>37.199999999999996</v>
      </c>
      <c r="L49" s="9">
        <f>SUM(K49)+2.5</f>
        <v>39.699999999999996</v>
      </c>
      <c r="M49" s="11">
        <f>SUM(L49)+2.5</f>
        <v>42.199999999999996</v>
      </c>
    </row>
    <row r="50" spans="1:13" ht="14.1" customHeight="1" x14ac:dyDescent="0.3">
      <c r="A50" s="24"/>
      <c r="B50" s="32" t="s">
        <v>259</v>
      </c>
      <c r="C50" s="33"/>
      <c r="D50" s="34" t="s">
        <v>260</v>
      </c>
      <c r="E50" s="35"/>
      <c r="F50" s="35"/>
      <c r="G50" s="36"/>
      <c r="H50" s="192"/>
      <c r="I50" s="17"/>
      <c r="J50" s="23"/>
      <c r="K50" s="17"/>
      <c r="L50" s="17"/>
      <c r="M50" s="18"/>
    </row>
    <row r="51" spans="1:13" ht="14.1" customHeight="1" x14ac:dyDescent="0.3">
      <c r="A51" s="24">
        <v>25</v>
      </c>
      <c r="B51" s="26" t="s">
        <v>92</v>
      </c>
      <c r="C51" s="27"/>
      <c r="D51" s="37" t="s">
        <v>21</v>
      </c>
      <c r="E51" s="38"/>
      <c r="F51" s="38"/>
      <c r="G51" s="39"/>
      <c r="H51" s="190">
        <f>SUM(I51)-0.3</f>
        <v>4.5</v>
      </c>
      <c r="I51" s="9">
        <f>SUM(J51)-0.3</f>
        <v>4.8</v>
      </c>
      <c r="J51" s="7">
        <v>5.0999999999999996</v>
      </c>
      <c r="K51" s="9">
        <f>SUM(J51)+0.3</f>
        <v>5.3999999999999995</v>
      </c>
      <c r="L51" s="9">
        <f>SUM(K51)+0.3</f>
        <v>5.6999999999999993</v>
      </c>
      <c r="M51" s="11">
        <f>SUM(L51)+0.3</f>
        <v>5.9999999999999991</v>
      </c>
    </row>
    <row r="52" spans="1:13" ht="14.1" customHeight="1" x14ac:dyDescent="0.3">
      <c r="A52" s="24"/>
      <c r="B52" s="32" t="s">
        <v>48</v>
      </c>
      <c r="C52" s="33"/>
      <c r="D52" s="34" t="s">
        <v>91</v>
      </c>
      <c r="E52" s="35"/>
      <c r="F52" s="35"/>
      <c r="G52" s="36"/>
      <c r="H52" s="192"/>
      <c r="I52" s="17"/>
      <c r="J52" s="23"/>
      <c r="K52" s="17"/>
      <c r="L52" s="17"/>
      <c r="M52" s="18"/>
    </row>
    <row r="53" spans="1:13" ht="14.1" customHeight="1" x14ac:dyDescent="0.3">
      <c r="A53" s="24">
        <v>26</v>
      </c>
      <c r="B53" s="26" t="s">
        <v>90</v>
      </c>
      <c r="C53" s="27"/>
      <c r="D53" s="37" t="s">
        <v>22</v>
      </c>
      <c r="E53" s="38"/>
      <c r="F53" s="38"/>
      <c r="G53" s="39"/>
      <c r="H53" s="190">
        <f>SUM(I53)-0.7</f>
        <v>8.7000000000000011</v>
      </c>
      <c r="I53" s="9">
        <f>SUM(J53)-0.7</f>
        <v>9.4</v>
      </c>
      <c r="J53" s="7">
        <v>10.1</v>
      </c>
      <c r="K53" s="9">
        <f>SUM(J53)+0.7</f>
        <v>10.799999999999999</v>
      </c>
      <c r="L53" s="9">
        <f>SUM(K53)+0.7</f>
        <v>11.499999999999998</v>
      </c>
      <c r="M53" s="11">
        <f>SUM(L53)+0.7</f>
        <v>12.199999999999998</v>
      </c>
    </row>
    <row r="54" spans="1:13" ht="14.1" customHeight="1" x14ac:dyDescent="0.3">
      <c r="A54" s="24"/>
      <c r="B54" s="32" t="s">
        <v>47</v>
      </c>
      <c r="C54" s="33"/>
      <c r="D54" s="34" t="s">
        <v>89</v>
      </c>
      <c r="E54" s="35"/>
      <c r="F54" s="35"/>
      <c r="G54" s="36"/>
      <c r="H54" s="192"/>
      <c r="I54" s="17"/>
      <c r="J54" s="23"/>
      <c r="K54" s="17"/>
      <c r="L54" s="17"/>
      <c r="M54" s="18"/>
    </row>
    <row r="55" spans="1:13" ht="14.1" customHeight="1" x14ac:dyDescent="0.3">
      <c r="A55" s="24">
        <v>27</v>
      </c>
      <c r="B55" s="26" t="s">
        <v>261</v>
      </c>
      <c r="C55" s="27"/>
      <c r="D55" s="28"/>
      <c r="E55" s="28"/>
      <c r="F55" s="28"/>
      <c r="G55" s="28"/>
      <c r="H55" s="190">
        <f>SUM(I55)-3</f>
        <v>75</v>
      </c>
      <c r="I55" s="9">
        <f>SUM(J55)-3</f>
        <v>78</v>
      </c>
      <c r="J55" s="7">
        <v>81</v>
      </c>
      <c r="K55" s="9">
        <f>SUM(J55)+9</f>
        <v>90</v>
      </c>
      <c r="L55" s="9">
        <f>SUM(K55)+3</f>
        <v>93</v>
      </c>
      <c r="M55" s="11">
        <f>SUM(L55)+3</f>
        <v>96</v>
      </c>
    </row>
    <row r="56" spans="1:13" ht="14.1" customHeight="1" thickBot="1" x14ac:dyDescent="0.35">
      <c r="A56" s="25"/>
      <c r="B56" s="13" t="s">
        <v>262</v>
      </c>
      <c r="C56" s="13"/>
      <c r="D56" s="14" t="s">
        <v>263</v>
      </c>
      <c r="E56" s="15"/>
      <c r="F56" s="15"/>
      <c r="G56" s="16"/>
      <c r="H56" s="191"/>
      <c r="I56" s="10"/>
      <c r="J56" s="8"/>
      <c r="K56" s="10"/>
      <c r="L56" s="10"/>
      <c r="M56" s="12"/>
    </row>
    <row r="57" spans="1:13" ht="14.1" customHeight="1" x14ac:dyDescent="0.3"/>
    <row r="58" spans="1:13" ht="14.1" customHeight="1" x14ac:dyDescent="0.3"/>
    <row r="59" spans="1:13" ht="14.1" customHeight="1" x14ac:dyDescent="0.3"/>
    <row r="60" spans="1:13" ht="14.1" customHeight="1" x14ac:dyDescent="0.3"/>
    <row r="61" spans="1:13" ht="14.1" customHeight="1" x14ac:dyDescent="0.3"/>
    <row r="62" spans="1:13" ht="14.1" customHeight="1" x14ac:dyDescent="0.3"/>
    <row r="63" spans="1:13" ht="14.1" customHeight="1" x14ac:dyDescent="0.3"/>
    <row r="64" spans="1:13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30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6B83-01CD-468B-BD4B-5DF3ED8375A4}">
  <sheetPr>
    <tabColor rgb="FF00B050"/>
    <pageSetUpPr fitToPage="1"/>
  </sheetPr>
  <dimension ref="A1:M74"/>
  <sheetViews>
    <sheetView zoomScale="110" zoomScaleNormal="110" workbookViewId="0">
      <selection activeCell="I7" sqref="I7:I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158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112">
        <v>1</v>
      </c>
      <c r="B3" s="196" t="s">
        <v>36</v>
      </c>
      <c r="C3" s="197"/>
      <c r="D3" s="73" t="s">
        <v>157</v>
      </c>
      <c r="E3" s="198"/>
      <c r="F3" s="198"/>
      <c r="G3" s="199"/>
      <c r="H3" s="113">
        <f>SUM(I3)-3.5</f>
        <v>38</v>
      </c>
      <c r="I3" s="113">
        <f>SUM(J3)-3.5</f>
        <v>41.5</v>
      </c>
      <c r="J3" s="114">
        <v>45</v>
      </c>
      <c r="K3" s="113">
        <f>SUM(J3)+3</f>
        <v>48</v>
      </c>
      <c r="L3" s="113">
        <f>SUM(K3)+3</f>
        <v>51</v>
      </c>
      <c r="M3" s="115">
        <f>SUM(L3)+3</f>
        <v>54</v>
      </c>
    </row>
    <row r="4" spans="1:13" s="1" customFormat="1" ht="14.1" customHeight="1" x14ac:dyDescent="0.3">
      <c r="A4" s="70"/>
      <c r="B4" s="79" t="s">
        <v>33</v>
      </c>
      <c r="C4" s="80"/>
      <c r="D4" s="43" t="s">
        <v>84</v>
      </c>
      <c r="E4" s="21"/>
      <c r="F4" s="21"/>
      <c r="G4" s="22"/>
      <c r="H4" s="17"/>
      <c r="I4" s="17"/>
      <c r="J4" s="23"/>
      <c r="K4" s="17"/>
      <c r="L4" s="17"/>
      <c r="M4" s="18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SUM(I5)-2.2</f>
        <v>37.599999999999994</v>
      </c>
      <c r="I5" s="9">
        <f>SUM(J5)-2.2</f>
        <v>39.799999999999997</v>
      </c>
      <c r="J5" s="7">
        <v>42</v>
      </c>
      <c r="K5" s="9">
        <f>SUM(J5)+2</f>
        <v>44</v>
      </c>
      <c r="L5" s="9">
        <f>SUM(K5)+2</f>
        <v>46</v>
      </c>
      <c r="M5" s="11">
        <f>SUM(L5)+2</f>
        <v>48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SUM(I7)-2.25</f>
        <v>39.5</v>
      </c>
      <c r="I7" s="9">
        <f>SUM(J7)-2.25</f>
        <v>41.75</v>
      </c>
      <c r="J7" s="7">
        <v>44</v>
      </c>
      <c r="K7" s="9">
        <f>SUM(J7)+2</f>
        <v>46</v>
      </c>
      <c r="L7" s="9">
        <f>SUM(K7)+2</f>
        <v>48</v>
      </c>
      <c r="M7" s="11">
        <f>SUM(L7)+2</f>
        <v>50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9">
        <f>SUM(I9)-1.8</f>
        <v>31.400000000000002</v>
      </c>
      <c r="I9" s="9">
        <f>SUM(J9)-1.8</f>
        <v>33.200000000000003</v>
      </c>
      <c r="J9" s="7">
        <v>35</v>
      </c>
      <c r="K9" s="9">
        <f>SUM(J9)+1.6</f>
        <v>36.6</v>
      </c>
      <c r="L9" s="9">
        <f>SUM(K9)+1.6</f>
        <v>38.200000000000003</v>
      </c>
      <c r="M9" s="11">
        <f>SUM(L9)+1.6</f>
        <v>39.800000000000004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SUM(I11)-0.8</f>
        <v>15.099999999999998</v>
      </c>
      <c r="I11" s="9">
        <f>SUM(J11)-0.8</f>
        <v>15.899999999999999</v>
      </c>
      <c r="J11" s="7">
        <v>16.7</v>
      </c>
      <c r="K11" s="9">
        <f>SUM(J11)+0.8</f>
        <v>17.5</v>
      </c>
      <c r="L11" s="9">
        <f>SUM(K11)+0.8</f>
        <v>18.3</v>
      </c>
      <c r="M11" s="11">
        <f>SUM(L11)+0.8</f>
        <v>19.100000000000001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3"/>
      <c r="K12" s="17"/>
      <c r="L12" s="17"/>
      <c r="M12" s="18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118</v>
      </c>
      <c r="E13" s="28"/>
      <c r="F13" s="28"/>
      <c r="G13" s="28"/>
      <c r="H13" s="9">
        <f>SUM(I13)-0.6</f>
        <v>14.8</v>
      </c>
      <c r="I13" s="9">
        <f>SUM(J13)-0.6</f>
        <v>15.4</v>
      </c>
      <c r="J13" s="29">
        <v>16</v>
      </c>
      <c r="K13" s="30">
        <f>SUM(J13)+0.6</f>
        <v>16.600000000000001</v>
      </c>
      <c r="L13" s="30">
        <f>SUM(K13)+0.6</f>
        <v>17.200000000000003</v>
      </c>
      <c r="M13" s="31">
        <f>SUM(L13)+0.6</f>
        <v>17.800000000000004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98</v>
      </c>
      <c r="E14" s="21"/>
      <c r="F14" s="21"/>
      <c r="G14" s="22"/>
      <c r="H14" s="17"/>
      <c r="I14" s="17"/>
      <c r="J14" s="29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6</v>
      </c>
      <c r="I15" s="9">
        <f>SUM(J15)-0.3</f>
        <v>6.3</v>
      </c>
      <c r="J15" s="29">
        <v>6.6</v>
      </c>
      <c r="K15" s="30">
        <f>SUM(J15)+0.3</f>
        <v>6.8999999999999995</v>
      </c>
      <c r="L15" s="30">
        <f>SUM(K15)+0.3</f>
        <v>7.1999999999999993</v>
      </c>
      <c r="M15" s="31">
        <f>SUM(L15)+0.3</f>
        <v>7.4999999999999991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99</v>
      </c>
      <c r="E16" s="21"/>
      <c r="F16" s="21"/>
      <c r="G16" s="22"/>
      <c r="H16" s="17"/>
      <c r="I16" s="17"/>
      <c r="J16" s="29"/>
      <c r="K16" s="30"/>
      <c r="L16" s="30"/>
      <c r="M16" s="31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68</v>
      </c>
      <c r="E17" s="38"/>
      <c r="F17" s="38"/>
      <c r="G17" s="39"/>
      <c r="H17" s="9">
        <f>SUM(I17)-1.6</f>
        <v>38.799999999999997</v>
      </c>
      <c r="I17" s="9">
        <f>SUM(J17)-1.6</f>
        <v>40.4</v>
      </c>
      <c r="J17" s="29">
        <v>42</v>
      </c>
      <c r="K17" s="30">
        <f>SUM(J17)+1.6</f>
        <v>43.6</v>
      </c>
      <c r="L17" s="30">
        <f>SUM(K17)+1.6</f>
        <v>45.2</v>
      </c>
      <c r="M17" s="31">
        <f>SUM(L17)+1.6</f>
        <v>46.800000000000004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100</v>
      </c>
      <c r="E18" s="21"/>
      <c r="F18" s="21"/>
      <c r="G18" s="22"/>
      <c r="H18" s="17"/>
      <c r="I18" s="17"/>
      <c r="J18" s="29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SUM(I19)-3.4</f>
        <v>26.900000000000006</v>
      </c>
      <c r="I19" s="9">
        <f>SUM(J19)-3.4</f>
        <v>30.300000000000004</v>
      </c>
      <c r="J19" s="7">
        <v>33.700000000000003</v>
      </c>
      <c r="K19" s="9">
        <f>SUM(J19)+3.5</f>
        <v>37.200000000000003</v>
      </c>
      <c r="L19" s="9">
        <f>SUM(K19)+3.5</f>
        <v>40.700000000000003</v>
      </c>
      <c r="M19" s="11">
        <f>SUM(L19)+3.5</f>
        <v>44.2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3"/>
      <c r="K20" s="17"/>
      <c r="L20" s="17"/>
      <c r="M20" s="18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SUM(I21)-1.6</f>
        <v>29.9</v>
      </c>
      <c r="I21" s="9">
        <f>SUM(J21)-1.6</f>
        <v>31.5</v>
      </c>
      <c r="J21" s="29">
        <v>33.1</v>
      </c>
      <c r="K21" s="30">
        <f>SUM(J21)+1.6</f>
        <v>34.700000000000003</v>
      </c>
      <c r="L21" s="30">
        <f>SUM(K21)+1.6</f>
        <v>36.300000000000004</v>
      </c>
      <c r="M21" s="31">
        <f>SUM(L21)+1.6</f>
        <v>37.900000000000006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9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131</v>
      </c>
      <c r="C23" s="27"/>
      <c r="D23" s="28" t="s">
        <v>62</v>
      </c>
      <c r="E23" s="28"/>
      <c r="F23" s="28"/>
      <c r="G23" s="28"/>
      <c r="H23" s="9">
        <f>SUM(I23)-0.6</f>
        <v>13.8</v>
      </c>
      <c r="I23" s="9">
        <f>SUM(J23)-0.6</f>
        <v>14.4</v>
      </c>
      <c r="J23" s="29">
        <v>15</v>
      </c>
      <c r="K23" s="30">
        <f>SUM(J23)+0.6</f>
        <v>15.6</v>
      </c>
      <c r="L23" s="30">
        <f>SUM(K23)+0.6</f>
        <v>16.2</v>
      </c>
      <c r="M23" s="31">
        <f>SUM(L23)+0.6</f>
        <v>16.8</v>
      </c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17"/>
      <c r="I24" s="17"/>
      <c r="J24" s="29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114</v>
      </c>
      <c r="C25" s="27"/>
      <c r="D25" s="63" t="s">
        <v>69</v>
      </c>
      <c r="E25" s="64"/>
      <c r="F25" s="64"/>
      <c r="G25" s="65"/>
      <c r="H25" s="9">
        <f>SUM(I25)-0.3</f>
        <v>2.9000000000000004</v>
      </c>
      <c r="I25" s="9">
        <f>SUM(J25)-0.3</f>
        <v>3.2</v>
      </c>
      <c r="J25" s="29">
        <v>3.5</v>
      </c>
      <c r="K25" s="30">
        <f>SUM(J25)+0.3</f>
        <v>3.8</v>
      </c>
      <c r="L25" s="30">
        <f>SUM(K25)+0.3</f>
        <v>4.0999999999999996</v>
      </c>
      <c r="M25" s="31">
        <f>SUM(L25)+0.3</f>
        <v>4.3999999999999995</v>
      </c>
    </row>
    <row r="26" spans="1:13" s="1" customFormat="1" ht="14.1" customHeight="1" thickBot="1" x14ac:dyDescent="0.35">
      <c r="A26" s="25"/>
      <c r="B26" s="200" t="s">
        <v>113</v>
      </c>
      <c r="C26" s="201"/>
      <c r="D26" s="14" t="s">
        <v>70</v>
      </c>
      <c r="E26" s="15"/>
      <c r="F26" s="15"/>
      <c r="G26" s="16"/>
      <c r="H26" s="10"/>
      <c r="I26" s="10"/>
      <c r="J26" s="170"/>
      <c r="K26" s="171"/>
      <c r="L26" s="171"/>
      <c r="M26" s="178"/>
    </row>
    <row r="27" spans="1:13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E452-C8EB-42E6-8743-3B6966300B44}">
  <sheetPr>
    <tabColor rgb="FF00B050"/>
    <pageSetUpPr fitToPage="1"/>
  </sheetPr>
  <dimension ref="A1:M74"/>
  <sheetViews>
    <sheetView zoomScale="110" zoomScaleNormal="110" workbookViewId="0">
      <selection activeCell="M9" sqref="M9:M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212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120</v>
      </c>
      <c r="E3" s="72"/>
      <c r="F3" s="72"/>
      <c r="G3" s="73"/>
      <c r="H3" s="190">
        <f>SUM(I3)-3.5</f>
        <v>36</v>
      </c>
      <c r="I3" s="9">
        <f>SUM(J3)-3.5</f>
        <v>39.5</v>
      </c>
      <c r="J3" s="74">
        <v>43</v>
      </c>
      <c r="K3" s="75">
        <f>SUM(J3)+3</f>
        <v>46</v>
      </c>
      <c r="L3" s="75">
        <f>SUM(K3)+3</f>
        <v>49</v>
      </c>
      <c r="M3" s="76">
        <f>SUM(L3)+3</f>
        <v>52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192"/>
      <c r="I4" s="17"/>
      <c r="J4" s="7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190">
        <f>SUM(I5)-1.6</f>
        <v>20.099999999999998</v>
      </c>
      <c r="I5" s="9">
        <f>SUM(J5)-1.6</f>
        <v>21.7</v>
      </c>
      <c r="J5" s="7">
        <v>23.3</v>
      </c>
      <c r="K5" s="9">
        <f>SUM(J5)+1.4</f>
        <v>24.7</v>
      </c>
      <c r="L5" s="9">
        <f>SUM(K5)+1.4</f>
        <v>26.099999999999998</v>
      </c>
      <c r="M5" s="11">
        <f>SUM(L5)+1.4</f>
        <v>27.499999999999996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92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190">
        <f>SUM(I7)-2</f>
        <v>28</v>
      </c>
      <c r="I7" s="9">
        <f>SUM(J7)-2</f>
        <v>30</v>
      </c>
      <c r="J7" s="7">
        <v>32</v>
      </c>
      <c r="K7" s="9">
        <f>SUM(J7)+1.8</f>
        <v>33.799999999999997</v>
      </c>
      <c r="L7" s="9">
        <f>SUM(K7)+1.8</f>
        <v>35.599999999999994</v>
      </c>
      <c r="M7" s="11">
        <f>SUM(L7)+1.8</f>
        <v>37.399999999999991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92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190">
        <f>SUM(I9)-2</f>
        <v>28</v>
      </c>
      <c r="I9" s="9">
        <f>SUM(J9)-2</f>
        <v>30</v>
      </c>
      <c r="J9" s="7">
        <v>32</v>
      </c>
      <c r="K9" s="9">
        <f>SUM(J9)+1.8</f>
        <v>33.799999999999997</v>
      </c>
      <c r="L9" s="9">
        <f>SUM(K9)+1.8</f>
        <v>35.599999999999994</v>
      </c>
      <c r="M9" s="11">
        <f>SUM(L9)+1.8</f>
        <v>37.399999999999991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92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190">
        <f>SUM(I11)-0.8</f>
        <v>13.499999999999998</v>
      </c>
      <c r="I11" s="9">
        <f>SUM(J11)-0.8</f>
        <v>14.299999999999999</v>
      </c>
      <c r="J11" s="29">
        <v>15.1</v>
      </c>
      <c r="K11" s="30">
        <f>SUM(J11)+0.9</f>
        <v>16</v>
      </c>
      <c r="L11" s="30">
        <f>SUM(K11)+0.9</f>
        <v>16.899999999999999</v>
      </c>
      <c r="M11" s="31">
        <f>SUM(L11)+0.8</f>
        <v>17.7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92"/>
      <c r="I12" s="17"/>
      <c r="J12" s="29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118</v>
      </c>
      <c r="E13" s="28"/>
      <c r="F13" s="28"/>
      <c r="G13" s="28"/>
      <c r="H13" s="190">
        <f>SUM(I13)-0.6</f>
        <v>13.600000000000001</v>
      </c>
      <c r="I13" s="9">
        <f>SUM(J13)-0.6</f>
        <v>14.200000000000001</v>
      </c>
      <c r="J13" s="29">
        <v>14.8</v>
      </c>
      <c r="K13" s="30">
        <f>SUM(J13)+0.6</f>
        <v>15.4</v>
      </c>
      <c r="L13" s="30">
        <f>SUM(K13)+0.6</f>
        <v>16</v>
      </c>
      <c r="M13" s="31">
        <f>SUM(L13)+0.6</f>
        <v>16.600000000000001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98</v>
      </c>
      <c r="E14" s="21"/>
      <c r="F14" s="21"/>
      <c r="G14" s="22"/>
      <c r="H14" s="192"/>
      <c r="I14" s="17"/>
      <c r="J14" s="29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190">
        <f>SUM(I15)-0.3</f>
        <v>5.2</v>
      </c>
      <c r="I15" s="9">
        <f>SUM(J15)-0.3</f>
        <v>5.5</v>
      </c>
      <c r="J15" s="29">
        <v>5.8</v>
      </c>
      <c r="K15" s="30">
        <f>SUM(J15)+0.3</f>
        <v>6.1</v>
      </c>
      <c r="L15" s="30">
        <f>SUM(K15)+0.3</f>
        <v>6.3999999999999995</v>
      </c>
      <c r="M15" s="31">
        <f>SUM(L15)+0.3</f>
        <v>6.6999999999999993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99</v>
      </c>
      <c r="E16" s="21"/>
      <c r="F16" s="21"/>
      <c r="G16" s="22"/>
      <c r="H16" s="192"/>
      <c r="I16" s="17"/>
      <c r="J16" s="29"/>
      <c r="K16" s="30"/>
      <c r="L16" s="30"/>
      <c r="M16" s="31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68</v>
      </c>
      <c r="E17" s="38"/>
      <c r="F17" s="38"/>
      <c r="G17" s="39"/>
      <c r="H17" s="190">
        <f>SUM(I17)-1.6</f>
        <v>35.799999999999997</v>
      </c>
      <c r="I17" s="9">
        <f>SUM(J17)-1.6</f>
        <v>37.4</v>
      </c>
      <c r="J17" s="29">
        <v>39</v>
      </c>
      <c r="K17" s="30">
        <f>SUM(J17)+1.6</f>
        <v>40.6</v>
      </c>
      <c r="L17" s="30">
        <f>SUM(K17)+1.6</f>
        <v>42.2</v>
      </c>
      <c r="M17" s="31">
        <f>SUM(L17)+1.6</f>
        <v>43.800000000000004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100</v>
      </c>
      <c r="E18" s="21"/>
      <c r="F18" s="21"/>
      <c r="G18" s="22"/>
      <c r="H18" s="192"/>
      <c r="I18" s="17"/>
      <c r="J18" s="29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190">
        <f>SUM(I19)-3.7</f>
        <v>33.599999999999994</v>
      </c>
      <c r="I19" s="9">
        <f>SUM(J19)-3.7</f>
        <v>37.299999999999997</v>
      </c>
      <c r="J19" s="29">
        <v>41</v>
      </c>
      <c r="K19" s="30">
        <f>SUM(J19)+3.8</f>
        <v>44.8</v>
      </c>
      <c r="L19" s="30">
        <f>SUM(K19)+3.8</f>
        <v>48.599999999999994</v>
      </c>
      <c r="M19" s="31">
        <f>SUM(L19)+3.8</f>
        <v>52.399999999999991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92"/>
      <c r="I20" s="17"/>
      <c r="J20" s="29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190">
        <f>SUM(I21)-1.4</f>
        <v>21.6</v>
      </c>
      <c r="I21" s="9">
        <f>SUM(J21)-1.4</f>
        <v>23</v>
      </c>
      <c r="J21" s="29">
        <v>24.4</v>
      </c>
      <c r="K21" s="30">
        <f>SUM(J21)+1.4</f>
        <v>25.799999999999997</v>
      </c>
      <c r="L21" s="30">
        <f>SUM(K21)+1.4</f>
        <v>27.199999999999996</v>
      </c>
      <c r="M21" s="31">
        <f>SUM(L21)+1.4</f>
        <v>28.599999999999994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92"/>
      <c r="I22" s="17"/>
      <c r="J22" s="29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61</v>
      </c>
      <c r="C23" s="27"/>
      <c r="D23" s="28" t="s">
        <v>62</v>
      </c>
      <c r="E23" s="28"/>
      <c r="F23" s="28"/>
      <c r="G23" s="28"/>
      <c r="H23" s="190">
        <f>SUM(I23)-0.6</f>
        <v>14.8</v>
      </c>
      <c r="I23" s="9">
        <f>SUM(J23)-0.6</f>
        <v>15.4</v>
      </c>
      <c r="J23" s="29">
        <v>16</v>
      </c>
      <c r="K23" s="30">
        <f>SUM(J23)+0.6</f>
        <v>16.600000000000001</v>
      </c>
      <c r="L23" s="30">
        <f>SUM(K23)+0.6</f>
        <v>17.200000000000003</v>
      </c>
      <c r="M23" s="31">
        <f>SUM(L23)+0.6</f>
        <v>17.800000000000004</v>
      </c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192"/>
      <c r="I24" s="17"/>
      <c r="J24" s="29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198</v>
      </c>
      <c r="C25" s="27"/>
      <c r="D25" s="63"/>
      <c r="E25" s="64"/>
      <c r="F25" s="64"/>
      <c r="G25" s="65"/>
      <c r="H25" s="190">
        <f>SUM(I25)-0.5</f>
        <v>6</v>
      </c>
      <c r="I25" s="9">
        <f>SUM(J25)-0.5</f>
        <v>6.5</v>
      </c>
      <c r="J25" s="29">
        <v>7</v>
      </c>
      <c r="K25" s="30">
        <f>SUM(J25)+0.5</f>
        <v>7.5</v>
      </c>
      <c r="L25" s="30">
        <f>SUM(K25)+0.5</f>
        <v>8</v>
      </c>
      <c r="M25" s="31">
        <f>SUM(L25)+0.5</f>
        <v>8.5</v>
      </c>
    </row>
    <row r="26" spans="1:13" s="1" customFormat="1" ht="14.1" customHeight="1" x14ac:dyDescent="0.3">
      <c r="A26" s="24"/>
      <c r="B26" s="79" t="s">
        <v>199</v>
      </c>
      <c r="C26" s="80"/>
      <c r="D26" s="43" t="s">
        <v>200</v>
      </c>
      <c r="E26" s="21"/>
      <c r="F26" s="21"/>
      <c r="G26" s="22"/>
      <c r="H26" s="192"/>
      <c r="I26" s="17"/>
      <c r="J26" s="29"/>
      <c r="K26" s="30"/>
      <c r="L26" s="30"/>
      <c r="M26" s="31"/>
    </row>
    <row r="27" spans="1:13" s="1" customFormat="1" ht="14.1" customHeight="1" x14ac:dyDescent="0.3">
      <c r="A27" s="24">
        <v>13</v>
      </c>
      <c r="B27" s="26" t="s">
        <v>201</v>
      </c>
      <c r="C27" s="27"/>
      <c r="D27" s="63"/>
      <c r="E27" s="64"/>
      <c r="F27" s="64"/>
      <c r="G27" s="65"/>
      <c r="H27" s="190">
        <f>SUM(I27)-0.7</f>
        <v>9.6000000000000014</v>
      </c>
      <c r="I27" s="9">
        <f>SUM(J27)-0.7</f>
        <v>10.3</v>
      </c>
      <c r="J27" s="29">
        <v>11</v>
      </c>
      <c r="K27" s="30">
        <f>SUM(J27)+0.7</f>
        <v>11.7</v>
      </c>
      <c r="L27" s="30">
        <f>SUM(K27)+0.7</f>
        <v>12.399999999999999</v>
      </c>
      <c r="M27" s="31">
        <f>SUM(L27)+0.7</f>
        <v>13.099999999999998</v>
      </c>
    </row>
    <row r="28" spans="1:13" s="1" customFormat="1" ht="14.1" customHeight="1" x14ac:dyDescent="0.3">
      <c r="A28" s="24"/>
      <c r="B28" s="79" t="s">
        <v>202</v>
      </c>
      <c r="C28" s="80"/>
      <c r="D28" s="43" t="s">
        <v>203</v>
      </c>
      <c r="E28" s="21"/>
      <c r="F28" s="21"/>
      <c r="G28" s="22"/>
      <c r="H28" s="192"/>
      <c r="I28" s="17"/>
      <c r="J28" s="29"/>
      <c r="K28" s="30"/>
      <c r="L28" s="30"/>
      <c r="M28" s="31"/>
    </row>
    <row r="29" spans="1:13" s="1" customFormat="1" ht="14.1" customHeight="1" x14ac:dyDescent="0.3">
      <c r="A29" s="24">
        <v>14</v>
      </c>
      <c r="B29" s="26" t="s">
        <v>204</v>
      </c>
      <c r="C29" s="27"/>
      <c r="D29" s="63"/>
      <c r="E29" s="64"/>
      <c r="F29" s="64"/>
      <c r="G29" s="65"/>
      <c r="H29" s="190">
        <f>SUM(I29)-1.4</f>
        <v>21.800000000000004</v>
      </c>
      <c r="I29" s="9">
        <f>SUM(J29)-1.4</f>
        <v>23.200000000000003</v>
      </c>
      <c r="J29" s="29">
        <v>24.6</v>
      </c>
      <c r="K29" s="30">
        <f>SUM(J29)+1.5</f>
        <v>26.1</v>
      </c>
      <c r="L29" s="30">
        <f>SUM(K29)+1.5</f>
        <v>27.6</v>
      </c>
      <c r="M29" s="31">
        <f>SUM(L29)+1.5</f>
        <v>29.1</v>
      </c>
    </row>
    <row r="30" spans="1:13" s="1" customFormat="1" ht="14.1" customHeight="1" x14ac:dyDescent="0.3">
      <c r="A30" s="24"/>
      <c r="B30" s="79" t="s">
        <v>205</v>
      </c>
      <c r="C30" s="80"/>
      <c r="D30" s="43" t="s">
        <v>206</v>
      </c>
      <c r="E30" s="21"/>
      <c r="F30" s="21"/>
      <c r="G30" s="22"/>
      <c r="H30" s="192"/>
      <c r="I30" s="17"/>
      <c r="J30" s="29"/>
      <c r="K30" s="30"/>
      <c r="L30" s="30"/>
      <c r="M30" s="31"/>
    </row>
    <row r="31" spans="1:13" ht="14.1" customHeight="1" x14ac:dyDescent="0.3">
      <c r="A31" s="24">
        <v>15</v>
      </c>
      <c r="B31" s="53" t="s">
        <v>207</v>
      </c>
      <c r="C31" s="54"/>
      <c r="D31" s="99"/>
      <c r="E31" s="100"/>
      <c r="F31" s="100"/>
      <c r="G31" s="101"/>
      <c r="H31" s="190">
        <f>SUM(I31)-1.2</f>
        <v>10.100000000000001</v>
      </c>
      <c r="I31" s="9">
        <f>SUM(J31)-1.2</f>
        <v>11.3</v>
      </c>
      <c r="J31" s="29">
        <v>12.5</v>
      </c>
      <c r="K31" s="30">
        <f>SUM(J31)+1</f>
        <v>13.5</v>
      </c>
      <c r="L31" s="30">
        <f>SUM(K31)+1</f>
        <v>14.5</v>
      </c>
      <c r="M31" s="31">
        <f>SUM(L31)+1</f>
        <v>15.5</v>
      </c>
    </row>
    <row r="32" spans="1:13" ht="14.1" customHeight="1" x14ac:dyDescent="0.3">
      <c r="A32" s="24"/>
      <c r="B32" s="79" t="s">
        <v>208</v>
      </c>
      <c r="C32" s="80"/>
      <c r="D32" s="43"/>
      <c r="E32" s="21"/>
      <c r="F32" s="21"/>
      <c r="G32" s="22"/>
      <c r="H32" s="192"/>
      <c r="I32" s="17"/>
      <c r="J32" s="29"/>
      <c r="K32" s="30"/>
      <c r="L32" s="30"/>
      <c r="M32" s="31"/>
    </row>
    <row r="33" spans="1:13" ht="14.1" customHeight="1" x14ac:dyDescent="0.3">
      <c r="A33" s="24">
        <v>16</v>
      </c>
      <c r="B33" s="53" t="s">
        <v>209</v>
      </c>
      <c r="C33" s="54"/>
      <c r="D33" s="99"/>
      <c r="E33" s="100"/>
      <c r="F33" s="100"/>
      <c r="G33" s="101"/>
      <c r="H33" s="190">
        <f>SUM(I33)-0.4</f>
        <v>3.2</v>
      </c>
      <c r="I33" s="9">
        <f>SUM(J33)-0.4</f>
        <v>3.6</v>
      </c>
      <c r="J33" s="29">
        <v>4</v>
      </c>
      <c r="K33" s="30">
        <f>SUM(J33)+0.3</f>
        <v>4.3</v>
      </c>
      <c r="L33" s="30">
        <f>SUM(K33)+0.3</f>
        <v>4.5999999999999996</v>
      </c>
      <c r="M33" s="31">
        <f>SUM(L33)+0.3</f>
        <v>4.8999999999999995</v>
      </c>
    </row>
    <row r="34" spans="1:13" ht="14.1" customHeight="1" x14ac:dyDescent="0.3">
      <c r="A34" s="24"/>
      <c r="B34" s="79" t="s">
        <v>210</v>
      </c>
      <c r="C34" s="80"/>
      <c r="D34" s="43" t="s">
        <v>211</v>
      </c>
      <c r="E34" s="21"/>
      <c r="F34" s="21"/>
      <c r="G34" s="22"/>
      <c r="H34" s="192"/>
      <c r="I34" s="17"/>
      <c r="J34" s="29"/>
      <c r="K34" s="30"/>
      <c r="L34" s="30"/>
      <c r="M34" s="31"/>
    </row>
    <row r="35" spans="1:13" ht="14.1" customHeight="1" x14ac:dyDescent="0.3">
      <c r="A35" s="24">
        <v>17</v>
      </c>
      <c r="B35" s="53"/>
      <c r="C35" s="54"/>
      <c r="D35" s="99"/>
      <c r="E35" s="100"/>
      <c r="F35" s="100"/>
      <c r="G35" s="101"/>
      <c r="H35" s="190"/>
      <c r="I35" s="9"/>
      <c r="J35" s="7"/>
      <c r="K35" s="9"/>
      <c r="L35" s="9"/>
      <c r="M35" s="11"/>
    </row>
    <row r="36" spans="1:13" ht="14.1" customHeight="1" thickBot="1" x14ac:dyDescent="0.35">
      <c r="A36" s="25"/>
      <c r="B36" s="200"/>
      <c r="C36" s="201"/>
      <c r="D36" s="14"/>
      <c r="E36" s="15"/>
      <c r="F36" s="15"/>
      <c r="G36" s="16"/>
      <c r="H36" s="191"/>
      <c r="I36" s="10"/>
      <c r="J36" s="8"/>
      <c r="K36" s="10"/>
      <c r="L36" s="10"/>
      <c r="M36" s="12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E87A-ADDB-4288-9C15-B2BD9BD0D72E}">
  <sheetPr>
    <tabColor rgb="FF00B050"/>
    <pageSetUpPr fitToPage="1"/>
  </sheetPr>
  <dimension ref="A1:M74"/>
  <sheetViews>
    <sheetView zoomScale="110" zoomScaleNormal="110" workbookViewId="0">
      <selection activeCell="B25" sqref="B25:C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264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3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120</v>
      </c>
      <c r="E3" s="72"/>
      <c r="F3" s="72"/>
      <c r="G3" s="73"/>
      <c r="H3" s="9">
        <f>SUM(I3)-3.5</f>
        <v>38</v>
      </c>
      <c r="I3" s="9">
        <f>SUM(J3)-3.5</f>
        <v>41.5</v>
      </c>
      <c r="J3" s="74">
        <v>45</v>
      </c>
      <c r="K3" s="75">
        <f>SUM(J3)+3</f>
        <v>48</v>
      </c>
      <c r="L3" s="75">
        <f>SUM(K3)+3</f>
        <v>51</v>
      </c>
      <c r="M3" s="76">
        <f>SUM(L3)+3</f>
        <v>54</v>
      </c>
    </row>
    <row r="4" spans="1:13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17"/>
      <c r="I4" s="17"/>
      <c r="J4" s="7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9">
        <f>SUM(I5)-1.8</f>
        <v>22</v>
      </c>
      <c r="I5" s="9">
        <f>SUM(J5)-1.8</f>
        <v>23.8</v>
      </c>
      <c r="J5" s="7">
        <v>25.6</v>
      </c>
      <c r="K5" s="9">
        <f>SUM(J5)+1.6</f>
        <v>27.200000000000003</v>
      </c>
      <c r="L5" s="9">
        <f>SUM(K5)+1.6</f>
        <v>28.800000000000004</v>
      </c>
      <c r="M5" s="11">
        <f>SUM(L5)+1.6</f>
        <v>30.400000000000006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17"/>
      <c r="I6" s="17"/>
      <c r="J6" s="23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9">
        <f>SUM(I7)-2</f>
        <v>26</v>
      </c>
      <c r="I7" s="9">
        <f>SUM(J7)-2</f>
        <v>28</v>
      </c>
      <c r="J7" s="7">
        <v>30</v>
      </c>
      <c r="K7" s="9">
        <f>SUM(J7)+1.8</f>
        <v>31.8</v>
      </c>
      <c r="L7" s="9">
        <f>SUM(K7)+1.8</f>
        <v>33.6</v>
      </c>
      <c r="M7" s="11">
        <f>SUM(L7)+1.8</f>
        <v>35.4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17"/>
      <c r="I8" s="17"/>
      <c r="J8" s="23"/>
      <c r="K8" s="17"/>
      <c r="L8" s="17"/>
      <c r="M8" s="18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9">
        <f>SUM(I9)-2</f>
        <v>26</v>
      </c>
      <c r="I9" s="9">
        <f>SUM(J9)-2</f>
        <v>28</v>
      </c>
      <c r="J9" s="7">
        <v>30</v>
      </c>
      <c r="K9" s="9">
        <f>SUM(J9)+1.8</f>
        <v>31.8</v>
      </c>
      <c r="L9" s="9">
        <f>SUM(K9)+1.8</f>
        <v>33.6</v>
      </c>
      <c r="M9" s="11">
        <f>SUM(L9)+1.8</f>
        <v>35.4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17"/>
      <c r="I10" s="17"/>
      <c r="J10" s="23"/>
      <c r="K10" s="17"/>
      <c r="L10" s="17"/>
      <c r="M10" s="18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9">
        <f>SUM(I11)-0.8</f>
        <v>12.499999999999998</v>
      </c>
      <c r="I11" s="9">
        <f>SUM(J11)-0.8</f>
        <v>13.299999999999999</v>
      </c>
      <c r="J11" s="29">
        <v>14.1</v>
      </c>
      <c r="K11" s="30">
        <f>SUM(J11)+0.8</f>
        <v>14.9</v>
      </c>
      <c r="L11" s="30">
        <f>SUM(K11)+0.8</f>
        <v>15.700000000000001</v>
      </c>
      <c r="M11" s="31">
        <f>SUM(L11)+0.8</f>
        <v>16.5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17"/>
      <c r="I12" s="17"/>
      <c r="J12" s="29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118</v>
      </c>
      <c r="E13" s="28"/>
      <c r="F13" s="28"/>
      <c r="G13" s="28"/>
      <c r="H13" s="9">
        <f>SUM(I13)-0.6</f>
        <v>13.4</v>
      </c>
      <c r="I13" s="9">
        <f>SUM(J13)-0.6</f>
        <v>14</v>
      </c>
      <c r="J13" s="29">
        <v>14.6</v>
      </c>
      <c r="K13" s="30">
        <f>SUM(J13)+0.6</f>
        <v>15.2</v>
      </c>
      <c r="L13" s="30">
        <f>SUM(K13)+0.6</f>
        <v>15.799999999999999</v>
      </c>
      <c r="M13" s="31">
        <f>SUM(L13)+0.6</f>
        <v>16.399999999999999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98</v>
      </c>
      <c r="E14" s="21"/>
      <c r="F14" s="21"/>
      <c r="G14" s="22"/>
      <c r="H14" s="17"/>
      <c r="I14" s="17"/>
      <c r="J14" s="29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9">
        <f>SUM(I15)-0.3</f>
        <v>4.9000000000000004</v>
      </c>
      <c r="I15" s="9">
        <f>SUM(J15)-0.3</f>
        <v>5.2</v>
      </c>
      <c r="J15" s="29">
        <v>5.5</v>
      </c>
      <c r="K15" s="30">
        <f>SUM(J15)+0.3</f>
        <v>5.8</v>
      </c>
      <c r="L15" s="30">
        <f>SUM(K15)+0.3</f>
        <v>6.1</v>
      </c>
      <c r="M15" s="31">
        <f>SUM(L15)+0.3</f>
        <v>6.3999999999999995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99</v>
      </c>
      <c r="E16" s="21"/>
      <c r="F16" s="21"/>
      <c r="G16" s="22"/>
      <c r="H16" s="17"/>
      <c r="I16" s="17"/>
      <c r="J16" s="29"/>
      <c r="K16" s="30"/>
      <c r="L16" s="30"/>
      <c r="M16" s="31"/>
    </row>
    <row r="17" spans="1:13" s="1" customFormat="1" ht="14.1" customHeight="1" x14ac:dyDescent="0.3">
      <c r="A17" s="24">
        <v>8</v>
      </c>
      <c r="B17" s="26" t="s">
        <v>67</v>
      </c>
      <c r="C17" s="27"/>
      <c r="D17" s="37" t="s">
        <v>68</v>
      </c>
      <c r="E17" s="38"/>
      <c r="F17" s="38"/>
      <c r="G17" s="39"/>
      <c r="H17" s="9">
        <f>SUM(I17)-1.6</f>
        <v>34.799999999999997</v>
      </c>
      <c r="I17" s="9">
        <f>SUM(J17)-1.6</f>
        <v>36.4</v>
      </c>
      <c r="J17" s="29">
        <v>38</v>
      </c>
      <c r="K17" s="30">
        <f>SUM(J17)+1.6</f>
        <v>39.6</v>
      </c>
      <c r="L17" s="30">
        <f>SUM(K17)+1.6</f>
        <v>41.2</v>
      </c>
      <c r="M17" s="31">
        <f>SUM(L17)+1.6</f>
        <v>42.800000000000004</v>
      </c>
    </row>
    <row r="18" spans="1:13" s="1" customFormat="1" ht="14.1" customHeight="1" x14ac:dyDescent="0.3">
      <c r="A18" s="24"/>
      <c r="B18" s="19" t="s">
        <v>31</v>
      </c>
      <c r="C18" s="19"/>
      <c r="D18" s="43" t="s">
        <v>100</v>
      </c>
      <c r="E18" s="21"/>
      <c r="F18" s="21"/>
      <c r="G18" s="22"/>
      <c r="H18" s="17"/>
      <c r="I18" s="17"/>
      <c r="J18" s="29"/>
      <c r="K18" s="30"/>
      <c r="L18" s="30"/>
      <c r="M18" s="31"/>
    </row>
    <row r="19" spans="1:13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9">
        <f>SUM(I19)-3.6</f>
        <v>31.5</v>
      </c>
      <c r="I19" s="9">
        <f>SUM(J19)-3.6</f>
        <v>35.1</v>
      </c>
      <c r="J19" s="29">
        <v>38.700000000000003</v>
      </c>
      <c r="K19" s="30">
        <f>SUM(J19)+3.7</f>
        <v>42.400000000000006</v>
      </c>
      <c r="L19" s="30">
        <f>SUM(K19)+3.7</f>
        <v>46.100000000000009</v>
      </c>
      <c r="M19" s="31">
        <f>SUM(L19)+3.7</f>
        <v>49.800000000000011</v>
      </c>
    </row>
    <row r="20" spans="1:13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17"/>
      <c r="I20" s="17"/>
      <c r="J20" s="29"/>
      <c r="K20" s="30"/>
      <c r="L20" s="30"/>
      <c r="M20" s="31"/>
    </row>
    <row r="21" spans="1:13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9">
        <f>SUM(I21)-1.3</f>
        <v>19</v>
      </c>
      <c r="I21" s="9">
        <f>SUM(J21)-1.3</f>
        <v>20.3</v>
      </c>
      <c r="J21" s="29">
        <v>21.6</v>
      </c>
      <c r="K21" s="30">
        <f>SUM(J21)+1.3</f>
        <v>22.900000000000002</v>
      </c>
      <c r="L21" s="30">
        <f>SUM(K21)+1.3</f>
        <v>24.200000000000003</v>
      </c>
      <c r="M21" s="31">
        <f>SUM(L21)+1.3</f>
        <v>25.500000000000004</v>
      </c>
    </row>
    <row r="22" spans="1:13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17"/>
      <c r="I22" s="17"/>
      <c r="J22" s="29"/>
      <c r="K22" s="30"/>
      <c r="L22" s="30"/>
      <c r="M22" s="31"/>
    </row>
    <row r="23" spans="1:13" s="1" customFormat="1" ht="14.1" customHeight="1" x14ac:dyDescent="0.3">
      <c r="A23" s="24">
        <v>11</v>
      </c>
      <c r="B23" s="26" t="s">
        <v>61</v>
      </c>
      <c r="C23" s="27"/>
      <c r="D23" s="28" t="s">
        <v>62</v>
      </c>
      <c r="E23" s="28"/>
      <c r="F23" s="28"/>
      <c r="G23" s="28"/>
      <c r="H23" s="9">
        <f>SUM(I23)-0.6</f>
        <v>14</v>
      </c>
      <c r="I23" s="9">
        <f>SUM(J23)-0.6</f>
        <v>14.6</v>
      </c>
      <c r="J23" s="29">
        <v>15.2</v>
      </c>
      <c r="K23" s="30">
        <f>SUM(J23)+0.6</f>
        <v>15.799999999999999</v>
      </c>
      <c r="L23" s="30">
        <f>SUM(K23)+0.6</f>
        <v>16.399999999999999</v>
      </c>
      <c r="M23" s="31">
        <f>SUM(L23)+0.6</f>
        <v>17</v>
      </c>
    </row>
    <row r="24" spans="1:13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17"/>
      <c r="I24" s="17"/>
      <c r="J24" s="29"/>
      <c r="K24" s="30"/>
      <c r="L24" s="30"/>
      <c r="M24" s="31"/>
    </row>
    <row r="25" spans="1:13" s="1" customFormat="1" ht="14.1" customHeight="1" x14ac:dyDescent="0.3">
      <c r="A25" s="24">
        <v>12</v>
      </c>
      <c r="B25" s="26" t="s">
        <v>265</v>
      </c>
      <c r="C25" s="27"/>
      <c r="D25" s="63"/>
      <c r="E25" s="64"/>
      <c r="F25" s="64"/>
      <c r="G25" s="65"/>
      <c r="H25" s="9">
        <f>SUM(I25)-0.2</f>
        <v>4</v>
      </c>
      <c r="I25" s="9">
        <f>SUM(J25)-0.2</f>
        <v>4.2</v>
      </c>
      <c r="J25" s="29">
        <v>4.4000000000000004</v>
      </c>
      <c r="K25" s="30">
        <f>SUM(J25)+0.2</f>
        <v>4.6000000000000005</v>
      </c>
      <c r="L25" s="30">
        <f>SUM(K25)+0.2</f>
        <v>4.8000000000000007</v>
      </c>
      <c r="M25" s="31">
        <f>SUM(L25)+0.2</f>
        <v>5.0000000000000009</v>
      </c>
    </row>
    <row r="26" spans="1:13" s="1" customFormat="1" ht="14.1" customHeight="1" x14ac:dyDescent="0.3">
      <c r="A26" s="24"/>
      <c r="B26" s="79" t="s">
        <v>266</v>
      </c>
      <c r="C26" s="80"/>
      <c r="D26" s="43"/>
      <c r="E26" s="21"/>
      <c r="F26" s="21"/>
      <c r="G26" s="22"/>
      <c r="H26" s="17"/>
      <c r="I26" s="17"/>
      <c r="J26" s="29"/>
      <c r="K26" s="30"/>
      <c r="L26" s="30"/>
      <c r="M26" s="31"/>
    </row>
    <row r="27" spans="1:13" s="1" customFormat="1" ht="14.1" customHeight="1" x14ac:dyDescent="0.3">
      <c r="A27" s="24">
        <v>13</v>
      </c>
      <c r="B27" s="26"/>
      <c r="C27" s="27"/>
      <c r="D27" s="63"/>
      <c r="E27" s="64"/>
      <c r="F27" s="64"/>
      <c r="G27" s="65"/>
      <c r="H27" s="9"/>
      <c r="I27" s="9"/>
      <c r="J27" s="29"/>
      <c r="K27" s="30"/>
      <c r="L27" s="30"/>
      <c r="M27" s="31"/>
    </row>
    <row r="28" spans="1:13" s="1" customFormat="1" ht="14.1" customHeight="1" x14ac:dyDescent="0.3">
      <c r="A28" s="24"/>
      <c r="B28" s="79"/>
      <c r="C28" s="80"/>
      <c r="D28" s="43"/>
      <c r="E28" s="21"/>
      <c r="F28" s="21"/>
      <c r="G28" s="22"/>
      <c r="H28" s="17"/>
      <c r="I28" s="17"/>
      <c r="J28" s="29"/>
      <c r="K28" s="30"/>
      <c r="L28" s="30"/>
      <c r="M28" s="31"/>
    </row>
    <row r="29" spans="1:13" s="1" customFormat="1" ht="14.1" customHeight="1" x14ac:dyDescent="0.3">
      <c r="A29" s="24">
        <v>14</v>
      </c>
      <c r="B29" s="26"/>
      <c r="C29" s="27"/>
      <c r="D29" s="63"/>
      <c r="E29" s="64"/>
      <c r="F29" s="64"/>
      <c r="G29" s="65"/>
      <c r="H29" s="9"/>
      <c r="I29" s="9"/>
      <c r="J29" s="29"/>
      <c r="K29" s="30"/>
      <c r="L29" s="30"/>
      <c r="M29" s="31"/>
    </row>
    <row r="30" spans="1:13" s="1" customFormat="1" ht="14.1" customHeight="1" x14ac:dyDescent="0.3">
      <c r="A30" s="24"/>
      <c r="B30" s="79"/>
      <c r="C30" s="80"/>
      <c r="D30" s="43"/>
      <c r="E30" s="21"/>
      <c r="F30" s="21"/>
      <c r="G30" s="22"/>
      <c r="H30" s="17"/>
      <c r="I30" s="17"/>
      <c r="J30" s="29"/>
      <c r="K30" s="30"/>
      <c r="L30" s="30"/>
      <c r="M30" s="31"/>
    </row>
    <row r="31" spans="1:13" ht="14.1" customHeight="1" x14ac:dyDescent="0.3">
      <c r="A31" s="24">
        <v>15</v>
      </c>
      <c r="B31" s="53"/>
      <c r="C31" s="54"/>
      <c r="D31" s="99"/>
      <c r="E31" s="100"/>
      <c r="F31" s="100"/>
      <c r="G31" s="101"/>
      <c r="H31" s="9"/>
      <c r="I31" s="9"/>
      <c r="J31" s="29"/>
      <c r="K31" s="30"/>
      <c r="L31" s="30"/>
      <c r="M31" s="31"/>
    </row>
    <row r="32" spans="1:13" ht="14.1" customHeight="1" x14ac:dyDescent="0.3">
      <c r="A32" s="24"/>
      <c r="B32" s="79"/>
      <c r="C32" s="80"/>
      <c r="D32" s="43"/>
      <c r="E32" s="21"/>
      <c r="F32" s="21"/>
      <c r="G32" s="22"/>
      <c r="H32" s="17"/>
      <c r="I32" s="17"/>
      <c r="J32" s="29"/>
      <c r="K32" s="30"/>
      <c r="L32" s="30"/>
      <c r="M32" s="31"/>
    </row>
    <row r="33" spans="1:13" ht="14.1" customHeight="1" x14ac:dyDescent="0.3">
      <c r="A33" s="24">
        <v>16</v>
      </c>
      <c r="B33" s="53"/>
      <c r="C33" s="54"/>
      <c r="D33" s="99"/>
      <c r="E33" s="100"/>
      <c r="F33" s="100"/>
      <c r="G33" s="101"/>
      <c r="H33" s="9"/>
      <c r="I33" s="9"/>
      <c r="J33" s="29"/>
      <c r="K33" s="30"/>
      <c r="L33" s="30"/>
      <c r="M33" s="31"/>
    </row>
    <row r="34" spans="1:13" ht="14.1" customHeight="1" x14ac:dyDescent="0.3">
      <c r="A34" s="24"/>
      <c r="B34" s="79"/>
      <c r="C34" s="80"/>
      <c r="D34" s="43"/>
      <c r="E34" s="21"/>
      <c r="F34" s="21"/>
      <c r="G34" s="22"/>
      <c r="H34" s="17"/>
      <c r="I34" s="17"/>
      <c r="J34" s="29"/>
      <c r="K34" s="30"/>
      <c r="L34" s="30"/>
      <c r="M34" s="31"/>
    </row>
    <row r="35" spans="1:13" ht="14.1" customHeight="1" x14ac:dyDescent="0.3">
      <c r="A35" s="24">
        <v>17</v>
      </c>
      <c r="B35" s="53"/>
      <c r="C35" s="54"/>
      <c r="D35" s="99"/>
      <c r="E35" s="100"/>
      <c r="F35" s="100"/>
      <c r="G35" s="101"/>
      <c r="H35" s="9"/>
      <c r="I35" s="9"/>
      <c r="J35" s="7"/>
      <c r="K35" s="9"/>
      <c r="L35" s="9"/>
      <c r="M35" s="11"/>
    </row>
    <row r="36" spans="1:13" ht="14.1" customHeight="1" thickBot="1" x14ac:dyDescent="0.35">
      <c r="A36" s="25"/>
      <c r="B36" s="200"/>
      <c r="C36" s="201"/>
      <c r="D36" s="14"/>
      <c r="E36" s="15"/>
      <c r="F36" s="15"/>
      <c r="G36" s="16"/>
      <c r="H36" s="10"/>
      <c r="I36" s="10"/>
      <c r="J36" s="8"/>
      <c r="K36" s="10"/>
      <c r="L36" s="10"/>
      <c r="M36" s="12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CD82-A37B-4A4B-A8C7-C1B42F8BDF9A}">
  <sheetPr>
    <tabColor rgb="FF00B050"/>
    <pageSetUpPr fitToPage="1"/>
  </sheetPr>
  <dimension ref="A1:N74"/>
  <sheetViews>
    <sheetView zoomScale="110" zoomScaleNormal="110" workbookViewId="0">
      <selection activeCell="P14" sqref="P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 x14ac:dyDescent="0.35">
      <c r="A1" s="204" t="s">
        <v>282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6"/>
    </row>
    <row r="2" spans="1:14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  <c r="N2" s="4" t="s">
        <v>283</v>
      </c>
    </row>
    <row r="3" spans="1:14" s="1" customFormat="1" ht="14.1" customHeight="1" x14ac:dyDescent="0.3">
      <c r="A3" s="70">
        <v>1</v>
      </c>
      <c r="B3" s="71" t="s">
        <v>36</v>
      </c>
      <c r="C3" s="71"/>
      <c r="D3" s="72" t="s">
        <v>128</v>
      </c>
      <c r="E3" s="72"/>
      <c r="F3" s="72"/>
      <c r="G3" s="73"/>
      <c r="H3" s="75">
        <v>42</v>
      </c>
      <c r="I3" s="75">
        <f>SUM(H3)+3.5</f>
        <v>45.5</v>
      </c>
      <c r="J3" s="75">
        <f>SUM(I3)+3.5</f>
        <v>49</v>
      </c>
      <c r="K3" s="75">
        <f>SUM(J3)+3</f>
        <v>52</v>
      </c>
      <c r="L3" s="75">
        <f>SUM(K3)+3</f>
        <v>55</v>
      </c>
      <c r="M3" s="75">
        <f>SUM(L3)+3</f>
        <v>58</v>
      </c>
      <c r="N3" s="207">
        <f>SUM(M3)+3</f>
        <v>61</v>
      </c>
    </row>
    <row r="4" spans="1:14" s="1" customFormat="1" ht="14.1" customHeight="1" x14ac:dyDescent="0.3">
      <c r="A4" s="24"/>
      <c r="B4" s="19" t="s">
        <v>33</v>
      </c>
      <c r="C4" s="19"/>
      <c r="D4" s="43" t="s">
        <v>84</v>
      </c>
      <c r="E4" s="21"/>
      <c r="F4" s="21"/>
      <c r="G4" s="21"/>
      <c r="H4" s="30"/>
      <c r="I4" s="9"/>
      <c r="J4" s="9"/>
      <c r="K4" s="9"/>
      <c r="L4" s="9"/>
      <c r="M4" s="9"/>
      <c r="N4" s="181"/>
    </row>
    <row r="5" spans="1:14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42</v>
      </c>
      <c r="I5" s="30">
        <f>SUM(H5)+2.4</f>
        <v>44.4</v>
      </c>
      <c r="J5" s="30">
        <f>SUM(I5)+2.4</f>
        <v>46.8</v>
      </c>
      <c r="K5" s="30">
        <f>SUM(J5)+2.2</f>
        <v>49</v>
      </c>
      <c r="L5" s="30">
        <f>SUM(K5)+2.2</f>
        <v>51.2</v>
      </c>
      <c r="M5" s="30">
        <f>SUM(L5)+2.2</f>
        <v>53.400000000000006</v>
      </c>
      <c r="N5" s="202">
        <f>SUM(M5)+2.2</f>
        <v>55.600000000000009</v>
      </c>
    </row>
    <row r="6" spans="1:14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30"/>
      <c r="J6" s="30"/>
      <c r="K6" s="30"/>
      <c r="L6" s="30"/>
      <c r="M6" s="30"/>
      <c r="N6" s="202"/>
    </row>
    <row r="7" spans="1:14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30">
        <v>40</v>
      </c>
      <c r="I7" s="30">
        <f>SUM(H7)+2.25</f>
        <v>42.25</v>
      </c>
      <c r="J7" s="30">
        <f>SUM(I7)+2.25</f>
        <v>44.5</v>
      </c>
      <c r="K7" s="30">
        <f>SUM(J7)+2</f>
        <v>46.5</v>
      </c>
      <c r="L7" s="30">
        <f>SUM(K7)+2</f>
        <v>48.5</v>
      </c>
      <c r="M7" s="30">
        <f>SUM(L7)+2</f>
        <v>50.5</v>
      </c>
      <c r="N7" s="202">
        <f>SUM(M7)+2</f>
        <v>52.5</v>
      </c>
    </row>
    <row r="8" spans="1:14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0"/>
      <c r="N8" s="202"/>
    </row>
    <row r="9" spans="1:14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30">
        <v>32</v>
      </c>
      <c r="I9" s="30">
        <f>SUM(H9)+1.8</f>
        <v>33.799999999999997</v>
      </c>
      <c r="J9" s="30">
        <f>SUM(I9)+1.8</f>
        <v>35.599999999999994</v>
      </c>
      <c r="K9" s="30">
        <f>SUM(J9)+1.6</f>
        <v>37.199999999999996</v>
      </c>
      <c r="L9" s="30">
        <f>SUM(K9)+1.6</f>
        <v>38.799999999999997</v>
      </c>
      <c r="M9" s="30">
        <f>SUM(L9)+1.6</f>
        <v>40.4</v>
      </c>
      <c r="N9" s="202">
        <f>SUM(M9)+1.6</f>
        <v>42</v>
      </c>
    </row>
    <row r="10" spans="1:14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30"/>
      <c r="I10" s="30"/>
      <c r="J10" s="30"/>
      <c r="K10" s="30"/>
      <c r="L10" s="30"/>
      <c r="M10" s="30"/>
      <c r="N10" s="202"/>
    </row>
    <row r="11" spans="1:14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30">
        <v>17.399999999999999</v>
      </c>
      <c r="I11" s="30">
        <f t="shared" ref="I11:N11" si="0">SUM(H11)+0.8</f>
        <v>18.2</v>
      </c>
      <c r="J11" s="30">
        <f t="shared" si="0"/>
        <v>19</v>
      </c>
      <c r="K11" s="30">
        <f t="shared" si="0"/>
        <v>19.8</v>
      </c>
      <c r="L11" s="30">
        <f t="shared" si="0"/>
        <v>20.6</v>
      </c>
      <c r="M11" s="30">
        <f t="shared" si="0"/>
        <v>21.400000000000002</v>
      </c>
      <c r="N11" s="202">
        <f t="shared" si="0"/>
        <v>22.200000000000003</v>
      </c>
    </row>
    <row r="12" spans="1:14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30"/>
      <c r="I12" s="30"/>
      <c r="J12" s="30"/>
      <c r="K12" s="30"/>
      <c r="L12" s="30"/>
      <c r="M12" s="30"/>
      <c r="N12" s="202"/>
    </row>
    <row r="13" spans="1:14" s="1" customFormat="1" ht="14.1" customHeight="1" x14ac:dyDescent="0.3">
      <c r="A13" s="24">
        <v>6</v>
      </c>
      <c r="B13" s="42" t="s">
        <v>1</v>
      </c>
      <c r="C13" s="42"/>
      <c r="D13" s="28" t="s">
        <v>129</v>
      </c>
      <c r="E13" s="28"/>
      <c r="F13" s="28"/>
      <c r="G13" s="28"/>
      <c r="H13" s="30">
        <v>15.2</v>
      </c>
      <c r="I13" s="30">
        <f t="shared" ref="I13:N13" si="1">SUM(H13)+0.6</f>
        <v>15.799999999999999</v>
      </c>
      <c r="J13" s="30">
        <f t="shared" si="1"/>
        <v>16.399999999999999</v>
      </c>
      <c r="K13" s="30">
        <f t="shared" si="1"/>
        <v>17</v>
      </c>
      <c r="L13" s="30">
        <f t="shared" si="1"/>
        <v>17.600000000000001</v>
      </c>
      <c r="M13" s="30">
        <f t="shared" si="1"/>
        <v>18.200000000000003</v>
      </c>
      <c r="N13" s="202">
        <f t="shared" si="1"/>
        <v>18.800000000000004</v>
      </c>
    </row>
    <row r="14" spans="1:14" s="1" customFormat="1" ht="14.1" customHeight="1" x14ac:dyDescent="0.3">
      <c r="A14" s="24"/>
      <c r="B14" s="19" t="s">
        <v>26</v>
      </c>
      <c r="C14" s="19"/>
      <c r="D14" s="43" t="s">
        <v>179</v>
      </c>
      <c r="E14" s="21"/>
      <c r="F14" s="21"/>
      <c r="G14" s="22"/>
      <c r="H14" s="30"/>
      <c r="I14" s="30"/>
      <c r="J14" s="30"/>
      <c r="K14" s="30"/>
      <c r="L14" s="30"/>
      <c r="M14" s="30"/>
      <c r="N14" s="202"/>
    </row>
    <row r="15" spans="1:14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30">
        <v>6.4</v>
      </c>
      <c r="I15" s="30">
        <f t="shared" ref="I15:N15" si="2">SUM(H15)+0.3</f>
        <v>6.7</v>
      </c>
      <c r="J15" s="30">
        <f t="shared" si="2"/>
        <v>7</v>
      </c>
      <c r="K15" s="30">
        <f t="shared" si="2"/>
        <v>7.3</v>
      </c>
      <c r="L15" s="30">
        <f t="shared" si="2"/>
        <v>7.6</v>
      </c>
      <c r="M15" s="30">
        <f t="shared" si="2"/>
        <v>7.8999999999999995</v>
      </c>
      <c r="N15" s="202">
        <f t="shared" si="2"/>
        <v>8.1999999999999993</v>
      </c>
    </row>
    <row r="16" spans="1:14" s="1" customFormat="1" ht="14.1" customHeight="1" x14ac:dyDescent="0.3">
      <c r="A16" s="24"/>
      <c r="B16" s="19" t="s">
        <v>27</v>
      </c>
      <c r="C16" s="19"/>
      <c r="D16" s="43" t="s">
        <v>180</v>
      </c>
      <c r="E16" s="21"/>
      <c r="F16" s="21"/>
      <c r="G16" s="22"/>
      <c r="H16" s="30"/>
      <c r="I16" s="30"/>
      <c r="J16" s="30"/>
      <c r="K16" s="30"/>
      <c r="L16" s="30"/>
      <c r="M16" s="30"/>
      <c r="N16" s="202"/>
    </row>
    <row r="17" spans="1:14" s="1" customFormat="1" ht="14.1" customHeight="1" x14ac:dyDescent="0.3">
      <c r="A17" s="24">
        <v>8</v>
      </c>
      <c r="B17" s="26" t="s">
        <v>67</v>
      </c>
      <c r="C17" s="27"/>
      <c r="D17" s="37" t="s">
        <v>278</v>
      </c>
      <c r="E17" s="38"/>
      <c r="F17" s="38"/>
      <c r="G17" s="39"/>
      <c r="H17" s="30">
        <v>40</v>
      </c>
      <c r="I17" s="30">
        <f t="shared" ref="I17:N17" si="3">SUM(H17)+1.6</f>
        <v>41.6</v>
      </c>
      <c r="J17" s="30">
        <f t="shared" si="3"/>
        <v>43.2</v>
      </c>
      <c r="K17" s="30">
        <f t="shared" si="3"/>
        <v>44.800000000000004</v>
      </c>
      <c r="L17" s="30">
        <f t="shared" si="3"/>
        <v>46.400000000000006</v>
      </c>
      <c r="M17" s="30">
        <f t="shared" si="3"/>
        <v>48.000000000000007</v>
      </c>
      <c r="N17" s="202">
        <f t="shared" si="3"/>
        <v>49.600000000000009</v>
      </c>
    </row>
    <row r="18" spans="1:14" s="1" customFormat="1" ht="14.1" customHeight="1" x14ac:dyDescent="0.3">
      <c r="A18" s="24"/>
      <c r="B18" s="19" t="s">
        <v>31</v>
      </c>
      <c r="C18" s="19"/>
      <c r="D18" s="43" t="s">
        <v>279</v>
      </c>
      <c r="E18" s="21"/>
      <c r="F18" s="21"/>
      <c r="G18" s="22"/>
      <c r="H18" s="30"/>
      <c r="I18" s="30"/>
      <c r="J18" s="30"/>
      <c r="K18" s="30"/>
      <c r="L18" s="30"/>
      <c r="M18" s="30"/>
      <c r="N18" s="202"/>
    </row>
    <row r="19" spans="1:14" s="1" customFormat="1" ht="14.1" customHeight="1" x14ac:dyDescent="0.3">
      <c r="A19" s="24">
        <v>9</v>
      </c>
      <c r="B19" s="42" t="s">
        <v>4</v>
      </c>
      <c r="C19" s="42"/>
      <c r="D19" s="28" t="s">
        <v>5</v>
      </c>
      <c r="E19" s="28"/>
      <c r="F19" s="28"/>
      <c r="G19" s="28"/>
      <c r="H19" s="30">
        <v>25.5</v>
      </c>
      <c r="I19" s="30">
        <f>SUM(H19)+3.3</f>
        <v>28.8</v>
      </c>
      <c r="J19" s="30">
        <f>SUM(I19)+3.3</f>
        <v>32.1</v>
      </c>
      <c r="K19" s="30">
        <f>SUM(J19)+3.4</f>
        <v>35.5</v>
      </c>
      <c r="L19" s="30">
        <f>SUM(K19)+3.4</f>
        <v>38.9</v>
      </c>
      <c r="M19" s="30">
        <f>SUM(L19)+3.4</f>
        <v>42.3</v>
      </c>
      <c r="N19" s="202">
        <f>SUM(M19)+3.4</f>
        <v>45.699999999999996</v>
      </c>
    </row>
    <row r="20" spans="1:14" s="1" customFormat="1" ht="14.1" customHeight="1" x14ac:dyDescent="0.3">
      <c r="A20" s="24"/>
      <c r="B20" s="19" t="s">
        <v>28</v>
      </c>
      <c r="C20" s="19"/>
      <c r="D20" s="43" t="s">
        <v>43</v>
      </c>
      <c r="E20" s="21"/>
      <c r="F20" s="21"/>
      <c r="G20" s="22"/>
      <c r="H20" s="30"/>
      <c r="I20" s="30"/>
      <c r="J20" s="30"/>
      <c r="K20" s="30"/>
      <c r="L20" s="30"/>
      <c r="M20" s="30"/>
      <c r="N20" s="202"/>
    </row>
    <row r="21" spans="1:14" s="1" customFormat="1" ht="14.1" customHeight="1" x14ac:dyDescent="0.3">
      <c r="A21" s="24">
        <v>10</v>
      </c>
      <c r="B21" s="42" t="s">
        <v>6</v>
      </c>
      <c r="C21" s="42"/>
      <c r="D21" s="37" t="s">
        <v>7</v>
      </c>
      <c r="E21" s="38"/>
      <c r="F21" s="38"/>
      <c r="G21" s="39"/>
      <c r="H21" s="30">
        <v>33.6</v>
      </c>
      <c r="I21" s="30">
        <f>SUM(H21)+1.5</f>
        <v>35.1</v>
      </c>
      <c r="J21" s="30">
        <f>SUM(I21)+1.5</f>
        <v>36.6</v>
      </c>
      <c r="K21" s="30">
        <f>SUM(J21)+1.6</f>
        <v>38.200000000000003</v>
      </c>
      <c r="L21" s="30">
        <f>SUM(K21)+1.6</f>
        <v>39.800000000000004</v>
      </c>
      <c r="M21" s="30">
        <f>SUM(L21)+1.6</f>
        <v>41.400000000000006</v>
      </c>
      <c r="N21" s="202">
        <f>SUM(M21)+1.6</f>
        <v>43.000000000000007</v>
      </c>
    </row>
    <row r="22" spans="1:14" s="1" customFormat="1" ht="14.1" customHeight="1" x14ac:dyDescent="0.3">
      <c r="A22" s="24"/>
      <c r="B22" s="19" t="s">
        <v>29</v>
      </c>
      <c r="C22" s="19"/>
      <c r="D22" s="43" t="s">
        <v>60</v>
      </c>
      <c r="E22" s="21"/>
      <c r="F22" s="21"/>
      <c r="G22" s="22"/>
      <c r="H22" s="30"/>
      <c r="I22" s="30"/>
      <c r="J22" s="30"/>
      <c r="K22" s="30"/>
      <c r="L22" s="30"/>
      <c r="M22" s="30"/>
      <c r="N22" s="202"/>
    </row>
    <row r="23" spans="1:14" s="1" customFormat="1" ht="14.1" customHeight="1" x14ac:dyDescent="0.3">
      <c r="A23" s="24">
        <v>11</v>
      </c>
      <c r="B23" s="26" t="s">
        <v>131</v>
      </c>
      <c r="C23" s="27"/>
      <c r="D23" s="28" t="s">
        <v>62</v>
      </c>
      <c r="E23" s="28"/>
      <c r="F23" s="28"/>
      <c r="G23" s="28"/>
      <c r="H23" s="30">
        <v>14</v>
      </c>
      <c r="I23" s="9">
        <f t="shared" ref="I23:N23" si="4">SUM(H23)+0.6</f>
        <v>14.6</v>
      </c>
      <c r="J23" s="9">
        <f t="shared" si="4"/>
        <v>15.2</v>
      </c>
      <c r="K23" s="9">
        <f t="shared" si="4"/>
        <v>15.799999999999999</v>
      </c>
      <c r="L23" s="9">
        <f t="shared" si="4"/>
        <v>16.399999999999999</v>
      </c>
      <c r="M23" s="9">
        <f t="shared" si="4"/>
        <v>17</v>
      </c>
      <c r="N23" s="181">
        <f t="shared" si="4"/>
        <v>17.600000000000001</v>
      </c>
    </row>
    <row r="24" spans="1:14" s="1" customFormat="1" ht="14.1" customHeight="1" x14ac:dyDescent="0.3">
      <c r="A24" s="24"/>
      <c r="B24" s="19" t="s">
        <v>30</v>
      </c>
      <c r="C24" s="19"/>
      <c r="D24" s="43" t="s">
        <v>63</v>
      </c>
      <c r="E24" s="21"/>
      <c r="F24" s="21"/>
      <c r="G24" s="22"/>
      <c r="H24" s="30"/>
      <c r="I24" s="17"/>
      <c r="J24" s="17"/>
      <c r="K24" s="17"/>
      <c r="L24" s="17"/>
      <c r="M24" s="17"/>
      <c r="N24" s="180"/>
    </row>
    <row r="25" spans="1:14" s="1" customFormat="1" ht="14.1" customHeight="1" x14ac:dyDescent="0.3">
      <c r="A25" s="24">
        <v>12</v>
      </c>
      <c r="B25" s="26" t="s">
        <v>201</v>
      </c>
      <c r="C25" s="27"/>
      <c r="D25" s="63"/>
      <c r="E25" s="64"/>
      <c r="F25" s="64"/>
      <c r="G25" s="65"/>
      <c r="H25" s="9">
        <v>6</v>
      </c>
      <c r="I25" s="30">
        <f t="shared" ref="I25:N25" si="5">SUM(H25)+0.4</f>
        <v>6.4</v>
      </c>
      <c r="J25" s="30">
        <f t="shared" si="5"/>
        <v>6.8000000000000007</v>
      </c>
      <c r="K25" s="30">
        <f t="shared" si="5"/>
        <v>7.2000000000000011</v>
      </c>
      <c r="L25" s="30">
        <f t="shared" si="5"/>
        <v>7.6000000000000014</v>
      </c>
      <c r="M25" s="30">
        <f t="shared" si="5"/>
        <v>8.0000000000000018</v>
      </c>
      <c r="N25" s="202">
        <f t="shared" si="5"/>
        <v>8.4000000000000021</v>
      </c>
    </row>
    <row r="26" spans="1:14" s="1" customFormat="1" ht="14.1" customHeight="1" x14ac:dyDescent="0.3">
      <c r="A26" s="24"/>
      <c r="B26" s="79" t="s">
        <v>280</v>
      </c>
      <c r="C26" s="80"/>
      <c r="D26" s="43" t="s">
        <v>203</v>
      </c>
      <c r="E26" s="21"/>
      <c r="F26" s="21"/>
      <c r="G26" s="22"/>
      <c r="H26" s="17"/>
      <c r="I26" s="30"/>
      <c r="J26" s="30"/>
      <c r="K26" s="30"/>
      <c r="L26" s="30"/>
      <c r="M26" s="30"/>
      <c r="N26" s="202"/>
    </row>
    <row r="27" spans="1:14" s="1" customFormat="1" ht="14.1" customHeight="1" x14ac:dyDescent="0.3">
      <c r="A27" s="24">
        <v>13</v>
      </c>
      <c r="B27" s="26" t="s">
        <v>281</v>
      </c>
      <c r="C27" s="27"/>
      <c r="D27" s="63" t="s">
        <v>69</v>
      </c>
      <c r="E27" s="64"/>
      <c r="F27" s="64"/>
      <c r="G27" s="65"/>
      <c r="H27" s="9">
        <v>2.5</v>
      </c>
      <c r="I27" s="30">
        <v>2.7</v>
      </c>
      <c r="J27" s="30">
        <v>4.4000000000000004</v>
      </c>
      <c r="K27" s="30">
        <v>3.6</v>
      </c>
      <c r="L27" s="30">
        <v>3.8</v>
      </c>
      <c r="M27" s="30">
        <v>5</v>
      </c>
      <c r="N27" s="202">
        <v>5.2</v>
      </c>
    </row>
    <row r="28" spans="1:14" s="1" customFormat="1" ht="14.1" customHeight="1" thickBot="1" x14ac:dyDescent="0.35">
      <c r="A28" s="25"/>
      <c r="B28" s="200" t="s">
        <v>133</v>
      </c>
      <c r="C28" s="201"/>
      <c r="D28" s="14" t="s">
        <v>70</v>
      </c>
      <c r="E28" s="15"/>
      <c r="F28" s="15"/>
      <c r="G28" s="16"/>
      <c r="H28" s="10"/>
      <c r="I28" s="171"/>
      <c r="J28" s="171"/>
      <c r="K28" s="171"/>
      <c r="L28" s="171"/>
      <c r="M28" s="171"/>
      <c r="N28" s="203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59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A1:N1"/>
    <mergeCell ref="N3:N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23:N24"/>
    <mergeCell ref="N25:N26"/>
    <mergeCell ref="N27:N2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3072-0546-45BF-95FF-402A608F0E20}">
  <sheetPr>
    <tabColor rgb="FF00B050"/>
    <pageSetUpPr fitToPage="1"/>
  </sheetPr>
  <dimension ref="A1:M74"/>
  <sheetViews>
    <sheetView zoomScale="110" zoomScaleNormal="110" workbookViewId="0">
      <selection activeCell="O13" sqref="O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66" t="s">
        <v>269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 ht="16.5" customHeight="1" thickBot="1" x14ac:dyDescent="0.35">
      <c r="A2" s="2" t="s">
        <v>53</v>
      </c>
      <c r="B2" s="69" t="s">
        <v>54</v>
      </c>
      <c r="C2" s="69"/>
      <c r="D2" s="69" t="s">
        <v>55</v>
      </c>
      <c r="E2" s="69"/>
      <c r="F2" s="69"/>
      <c r="G2" s="69"/>
      <c r="H2" s="4" t="s">
        <v>56</v>
      </c>
      <c r="I2" s="4" t="s">
        <v>57</v>
      </c>
      <c r="J2" s="4" t="s">
        <v>58</v>
      </c>
      <c r="K2" s="4" t="s">
        <v>59</v>
      </c>
      <c r="L2" s="4" t="s">
        <v>111</v>
      </c>
      <c r="M2" s="4" t="s">
        <v>112</v>
      </c>
    </row>
    <row r="3" spans="1:13" s="1" customFormat="1" ht="14.1" customHeight="1" x14ac:dyDescent="0.3">
      <c r="A3" s="70">
        <v>1</v>
      </c>
      <c r="B3" s="71" t="s">
        <v>36</v>
      </c>
      <c r="C3" s="71"/>
      <c r="D3" s="72" t="s">
        <v>128</v>
      </c>
      <c r="E3" s="72"/>
      <c r="F3" s="72"/>
      <c r="G3" s="73"/>
      <c r="H3" s="75">
        <v>40</v>
      </c>
      <c r="I3" s="75">
        <f>SUM(H3)+3.5</f>
        <v>43.5</v>
      </c>
      <c r="J3" s="75">
        <f>SUM(I3)+3.5</f>
        <v>47</v>
      </c>
      <c r="K3" s="75">
        <f>SUM(J3)+3</f>
        <v>50</v>
      </c>
      <c r="L3" s="75">
        <f>SUM(K3)+3</f>
        <v>53</v>
      </c>
      <c r="M3" s="76">
        <f>SUM(L3)+3</f>
        <v>56</v>
      </c>
    </row>
    <row r="4" spans="1:13" s="1" customFormat="1" ht="14.1" customHeight="1" x14ac:dyDescent="0.3">
      <c r="A4" s="24"/>
      <c r="B4" s="19" t="s">
        <v>33</v>
      </c>
      <c r="C4" s="19"/>
      <c r="D4" s="43" t="s">
        <v>267</v>
      </c>
      <c r="E4" s="21"/>
      <c r="F4" s="21"/>
      <c r="G4" s="21"/>
      <c r="H4" s="30"/>
      <c r="I4" s="9"/>
      <c r="J4" s="9"/>
      <c r="K4" s="9"/>
      <c r="L4" s="9"/>
      <c r="M4" s="11"/>
    </row>
    <row r="5" spans="1:13" s="1" customFormat="1" ht="14.1" customHeight="1" x14ac:dyDescent="0.3">
      <c r="A5" s="24">
        <v>2</v>
      </c>
      <c r="B5" s="42" t="s">
        <v>34</v>
      </c>
      <c r="C5" s="42"/>
      <c r="D5" s="28" t="s">
        <v>35</v>
      </c>
      <c r="E5" s="28"/>
      <c r="F5" s="28"/>
      <c r="G5" s="28"/>
      <c r="H5" s="30">
        <v>24</v>
      </c>
      <c r="I5" s="9">
        <f>SUM(H5)+1.8</f>
        <v>25.8</v>
      </c>
      <c r="J5" s="9">
        <f>SUM(I5)+1.8</f>
        <v>27.6</v>
      </c>
      <c r="K5" s="9">
        <f>SUM(J5)+1.6</f>
        <v>29.200000000000003</v>
      </c>
      <c r="L5" s="9">
        <f>SUM(K5)+1.6</f>
        <v>30.800000000000004</v>
      </c>
      <c r="M5" s="11">
        <f>SUM(L5)+1.6</f>
        <v>32.400000000000006</v>
      </c>
    </row>
    <row r="6" spans="1:13" s="1" customFormat="1" ht="14.1" customHeight="1" x14ac:dyDescent="0.3">
      <c r="A6" s="24"/>
      <c r="B6" s="19" t="s">
        <v>23</v>
      </c>
      <c r="C6" s="19"/>
      <c r="D6" s="43" t="s">
        <v>39</v>
      </c>
      <c r="E6" s="21"/>
      <c r="F6" s="21"/>
      <c r="G6" s="22"/>
      <c r="H6" s="30"/>
      <c r="I6" s="17"/>
      <c r="J6" s="17"/>
      <c r="K6" s="17"/>
      <c r="L6" s="17"/>
      <c r="M6" s="18"/>
    </row>
    <row r="7" spans="1:13" s="1" customFormat="1" ht="14.1" customHeight="1" x14ac:dyDescent="0.3">
      <c r="A7" s="24">
        <v>3</v>
      </c>
      <c r="B7" s="42" t="s">
        <v>32</v>
      </c>
      <c r="C7" s="42"/>
      <c r="D7" s="28" t="s">
        <v>66</v>
      </c>
      <c r="E7" s="28"/>
      <c r="F7" s="28"/>
      <c r="G7" s="28"/>
      <c r="H7" s="30">
        <v>26</v>
      </c>
      <c r="I7" s="30">
        <f>SUM(H7)+2</f>
        <v>28</v>
      </c>
      <c r="J7" s="30">
        <f>SUM(I7)+2</f>
        <v>30</v>
      </c>
      <c r="K7" s="30">
        <f>SUM(J7)+1.8</f>
        <v>31.8</v>
      </c>
      <c r="L7" s="30">
        <f>SUM(K7)+1.8</f>
        <v>33.6</v>
      </c>
      <c r="M7" s="31">
        <f>SUM(L7)+1.8</f>
        <v>35.4</v>
      </c>
    </row>
    <row r="8" spans="1:13" s="1" customFormat="1" ht="14.1" customHeight="1" x14ac:dyDescent="0.3">
      <c r="A8" s="24"/>
      <c r="B8" s="19" t="s">
        <v>37</v>
      </c>
      <c r="C8" s="19"/>
      <c r="D8" s="43" t="s">
        <v>40</v>
      </c>
      <c r="E8" s="21"/>
      <c r="F8" s="21"/>
      <c r="G8" s="22"/>
      <c r="H8" s="30"/>
      <c r="I8" s="30"/>
      <c r="J8" s="30"/>
      <c r="K8" s="30"/>
      <c r="L8" s="30"/>
      <c r="M8" s="31"/>
    </row>
    <row r="9" spans="1:13" s="1" customFormat="1" ht="14.1" customHeight="1" x14ac:dyDescent="0.3">
      <c r="A9" s="24">
        <v>4</v>
      </c>
      <c r="B9" s="42" t="s">
        <v>38</v>
      </c>
      <c r="C9" s="42"/>
      <c r="D9" s="28" t="s">
        <v>8</v>
      </c>
      <c r="E9" s="28"/>
      <c r="F9" s="28"/>
      <c r="G9" s="28"/>
      <c r="H9" s="30">
        <v>26</v>
      </c>
      <c r="I9" s="30">
        <f>SUM(H9)+2</f>
        <v>28</v>
      </c>
      <c r="J9" s="30">
        <f>SUM(I9)+2</f>
        <v>30</v>
      </c>
      <c r="K9" s="30">
        <f>SUM(J9)+1.8</f>
        <v>31.8</v>
      </c>
      <c r="L9" s="30">
        <f>SUM(K9)+1.8</f>
        <v>33.6</v>
      </c>
      <c r="M9" s="31">
        <f>SUM(L9)+1.8</f>
        <v>35.4</v>
      </c>
    </row>
    <row r="10" spans="1:13" s="1" customFormat="1" ht="14.1" customHeight="1" x14ac:dyDescent="0.3">
      <c r="A10" s="24"/>
      <c r="B10" s="19" t="s">
        <v>24</v>
      </c>
      <c r="C10" s="19"/>
      <c r="D10" s="43" t="s">
        <v>41</v>
      </c>
      <c r="E10" s="21"/>
      <c r="F10" s="21"/>
      <c r="G10" s="22"/>
      <c r="H10" s="30"/>
      <c r="I10" s="30"/>
      <c r="J10" s="30"/>
      <c r="K10" s="30"/>
      <c r="L10" s="30"/>
      <c r="M10" s="31"/>
    </row>
    <row r="11" spans="1:13" s="1" customFormat="1" ht="14.1" customHeight="1" x14ac:dyDescent="0.3">
      <c r="A11" s="24">
        <v>5</v>
      </c>
      <c r="B11" s="42" t="s">
        <v>10</v>
      </c>
      <c r="C11" s="42"/>
      <c r="D11" s="28" t="s">
        <v>0</v>
      </c>
      <c r="E11" s="28"/>
      <c r="F11" s="28"/>
      <c r="G11" s="28"/>
      <c r="H11" s="30">
        <v>12.5</v>
      </c>
      <c r="I11" s="30">
        <f>SUM(H11)+0.8</f>
        <v>13.3</v>
      </c>
      <c r="J11" s="30">
        <f>SUM(I11)+0.8</f>
        <v>14.100000000000001</v>
      </c>
      <c r="K11" s="30">
        <f>SUM(J11)+0.8</f>
        <v>14.900000000000002</v>
      </c>
      <c r="L11" s="30">
        <f>SUM(K11)+0.8</f>
        <v>15.700000000000003</v>
      </c>
      <c r="M11" s="31">
        <f>SUM(L11)+0.8</f>
        <v>16.500000000000004</v>
      </c>
    </row>
    <row r="12" spans="1:13" s="1" customFormat="1" ht="14.1" customHeight="1" x14ac:dyDescent="0.3">
      <c r="A12" s="24"/>
      <c r="B12" s="19" t="s">
        <v>25</v>
      </c>
      <c r="C12" s="19"/>
      <c r="D12" s="43" t="s">
        <v>42</v>
      </c>
      <c r="E12" s="21"/>
      <c r="F12" s="21"/>
      <c r="G12" s="22"/>
      <c r="H12" s="30"/>
      <c r="I12" s="30"/>
      <c r="J12" s="30"/>
      <c r="K12" s="30"/>
      <c r="L12" s="30"/>
      <c r="M12" s="31"/>
    </row>
    <row r="13" spans="1:13" s="1" customFormat="1" ht="14.1" customHeight="1" x14ac:dyDescent="0.3">
      <c r="A13" s="24">
        <v>6</v>
      </c>
      <c r="B13" s="42" t="s">
        <v>1</v>
      </c>
      <c r="C13" s="42"/>
      <c r="D13" s="28" t="s">
        <v>129</v>
      </c>
      <c r="E13" s="28"/>
      <c r="F13" s="28"/>
      <c r="G13" s="28"/>
      <c r="H13" s="30">
        <v>12</v>
      </c>
      <c r="I13" s="30">
        <f>SUM(H13)+0.6</f>
        <v>12.6</v>
      </c>
      <c r="J13" s="30">
        <f>SUM(I13)+0.6</f>
        <v>13.2</v>
      </c>
      <c r="K13" s="30">
        <f>SUM(J13)+0.6</f>
        <v>13.799999999999999</v>
      </c>
      <c r="L13" s="30">
        <f>SUM(K13)+0.6</f>
        <v>14.399999999999999</v>
      </c>
      <c r="M13" s="31">
        <f>SUM(L13)+0.6</f>
        <v>14.999999999999998</v>
      </c>
    </row>
    <row r="14" spans="1:13" s="1" customFormat="1" ht="14.1" customHeight="1" x14ac:dyDescent="0.3">
      <c r="A14" s="24"/>
      <c r="B14" s="19" t="s">
        <v>26</v>
      </c>
      <c r="C14" s="19"/>
      <c r="D14" s="43" t="s">
        <v>179</v>
      </c>
      <c r="E14" s="21"/>
      <c r="F14" s="21"/>
      <c r="G14" s="22"/>
      <c r="H14" s="30"/>
      <c r="I14" s="30"/>
      <c r="J14" s="30"/>
      <c r="K14" s="30"/>
      <c r="L14" s="30"/>
      <c r="M14" s="31"/>
    </row>
    <row r="15" spans="1:13" s="1" customFormat="1" ht="14.1" customHeight="1" x14ac:dyDescent="0.3">
      <c r="A15" s="24">
        <v>7</v>
      </c>
      <c r="B15" s="42" t="s">
        <v>2</v>
      </c>
      <c r="C15" s="42"/>
      <c r="D15" s="28" t="s">
        <v>3</v>
      </c>
      <c r="E15" s="28"/>
      <c r="F15" s="28"/>
      <c r="G15" s="28"/>
      <c r="H15" s="30">
        <v>6</v>
      </c>
      <c r="I15" s="30">
        <f>SUM(H15)+0.3</f>
        <v>6.3</v>
      </c>
      <c r="J15" s="30">
        <f>SUM(I15)+0.3</f>
        <v>6.6</v>
      </c>
      <c r="K15" s="30">
        <f>SUM(J15)+0.3</f>
        <v>6.8999999999999995</v>
      </c>
      <c r="L15" s="30">
        <f>SUM(K15)+0.3</f>
        <v>7.1999999999999993</v>
      </c>
      <c r="M15" s="31">
        <f>SUM(L15)+0.3</f>
        <v>7.4999999999999991</v>
      </c>
    </row>
    <row r="16" spans="1:13" s="1" customFormat="1" ht="14.1" customHeight="1" x14ac:dyDescent="0.3">
      <c r="A16" s="24"/>
      <c r="B16" s="19" t="s">
        <v>27</v>
      </c>
      <c r="C16" s="19"/>
      <c r="D16" s="43" t="s">
        <v>180</v>
      </c>
      <c r="E16" s="21"/>
      <c r="F16" s="21"/>
      <c r="G16" s="22"/>
      <c r="H16" s="30"/>
      <c r="I16" s="30"/>
      <c r="J16" s="30"/>
      <c r="K16" s="30"/>
      <c r="L16" s="30"/>
      <c r="M16" s="31"/>
    </row>
    <row r="17" spans="1:13" s="1" customFormat="1" ht="14.1" customHeight="1" x14ac:dyDescent="0.3">
      <c r="A17" s="24">
        <v>8</v>
      </c>
      <c r="B17" s="42" t="s">
        <v>4</v>
      </c>
      <c r="C17" s="42"/>
      <c r="D17" s="28" t="s">
        <v>5</v>
      </c>
      <c r="E17" s="28"/>
      <c r="F17" s="28"/>
      <c r="G17" s="28"/>
      <c r="H17" s="30">
        <v>32.5</v>
      </c>
      <c r="I17" s="30">
        <f>SUM(H17)+3.6</f>
        <v>36.1</v>
      </c>
      <c r="J17" s="30">
        <f>SUM(I17)+3.6</f>
        <v>39.700000000000003</v>
      </c>
      <c r="K17" s="30">
        <f>SUM(J17)+3.7</f>
        <v>43.400000000000006</v>
      </c>
      <c r="L17" s="30">
        <f>SUM(K17)+3.7</f>
        <v>47.100000000000009</v>
      </c>
      <c r="M17" s="31">
        <f>SUM(L17)+3.7</f>
        <v>50.800000000000011</v>
      </c>
    </row>
    <row r="18" spans="1:13" s="1" customFormat="1" ht="14.1" customHeight="1" x14ac:dyDescent="0.3">
      <c r="A18" s="24"/>
      <c r="B18" s="19" t="s">
        <v>268</v>
      </c>
      <c r="C18" s="19"/>
      <c r="D18" s="43" t="s">
        <v>43</v>
      </c>
      <c r="E18" s="21"/>
      <c r="F18" s="21"/>
      <c r="G18" s="22"/>
      <c r="H18" s="30"/>
      <c r="I18" s="30"/>
      <c r="J18" s="30"/>
      <c r="K18" s="30"/>
      <c r="L18" s="30"/>
      <c r="M18" s="31"/>
    </row>
    <row r="19" spans="1:13" s="1" customFormat="1" ht="13.5" customHeight="1" x14ac:dyDescent="0.3">
      <c r="A19" s="24">
        <v>9</v>
      </c>
      <c r="B19" s="42" t="s">
        <v>6</v>
      </c>
      <c r="C19" s="42"/>
      <c r="D19" s="37" t="s">
        <v>7</v>
      </c>
      <c r="E19" s="38"/>
      <c r="F19" s="38"/>
      <c r="G19" s="39"/>
      <c r="H19" s="30">
        <v>19</v>
      </c>
      <c r="I19" s="30">
        <f>SUM(H19)+1.2</f>
        <v>20.2</v>
      </c>
      <c r="J19" s="30">
        <f>SUM(I19)+1.2</f>
        <v>21.4</v>
      </c>
      <c r="K19" s="30">
        <f>SUM(J19)+1.2</f>
        <v>22.599999999999998</v>
      </c>
      <c r="L19" s="30">
        <f>SUM(K19)+1.2</f>
        <v>23.799999999999997</v>
      </c>
      <c r="M19" s="31">
        <f>SUM(L19)+1.2</f>
        <v>24.999999999999996</v>
      </c>
    </row>
    <row r="20" spans="1:13" s="1" customFormat="1" ht="14.1" customHeight="1" x14ac:dyDescent="0.3">
      <c r="A20" s="24"/>
      <c r="B20" s="19" t="s">
        <v>29</v>
      </c>
      <c r="C20" s="19"/>
      <c r="D20" s="43" t="s">
        <v>60</v>
      </c>
      <c r="E20" s="21"/>
      <c r="F20" s="21"/>
      <c r="G20" s="22"/>
      <c r="H20" s="30"/>
      <c r="I20" s="30"/>
      <c r="J20" s="30"/>
      <c r="K20" s="30"/>
      <c r="L20" s="30"/>
      <c r="M20" s="31"/>
    </row>
    <row r="21" spans="1:13" s="1" customFormat="1" ht="14.1" customHeight="1" x14ac:dyDescent="0.3">
      <c r="A21" s="24">
        <v>10</v>
      </c>
      <c r="B21" s="26" t="s">
        <v>131</v>
      </c>
      <c r="C21" s="27"/>
      <c r="D21" s="28" t="s">
        <v>62</v>
      </c>
      <c r="E21" s="28"/>
      <c r="F21" s="28"/>
      <c r="G21" s="28"/>
      <c r="H21" s="30">
        <v>14</v>
      </c>
      <c r="I21" s="9">
        <f>SUM(H21)+0.6</f>
        <v>14.6</v>
      </c>
      <c r="J21" s="9">
        <f>SUM(I21)+0.6</f>
        <v>15.2</v>
      </c>
      <c r="K21" s="9">
        <f>SUM(J21)+0.6</f>
        <v>15.799999999999999</v>
      </c>
      <c r="L21" s="9">
        <f>SUM(K21)+0.6</f>
        <v>16.399999999999999</v>
      </c>
      <c r="M21" s="11">
        <f>SUM(L21)+0.6</f>
        <v>17</v>
      </c>
    </row>
    <row r="22" spans="1:13" s="1" customFormat="1" ht="14.1" customHeight="1" x14ac:dyDescent="0.3">
      <c r="A22" s="62"/>
      <c r="B22" s="77" t="s">
        <v>30</v>
      </c>
      <c r="C22" s="77"/>
      <c r="D22" s="47" t="s">
        <v>63</v>
      </c>
      <c r="E22" s="48"/>
      <c r="F22" s="48"/>
      <c r="G22" s="49"/>
      <c r="H22" s="9"/>
      <c r="I22" s="44"/>
      <c r="J22" s="44"/>
      <c r="K22" s="44"/>
      <c r="L22" s="44"/>
      <c r="M22" s="45"/>
    </row>
    <row r="23" spans="1:13" s="1" customFormat="1" ht="14.1" customHeight="1" x14ac:dyDescent="0.3">
      <c r="A23" s="24">
        <v>11</v>
      </c>
      <c r="B23" s="26" t="s">
        <v>265</v>
      </c>
      <c r="C23" s="27"/>
      <c r="D23" s="37"/>
      <c r="E23" s="38"/>
      <c r="F23" s="38"/>
      <c r="G23" s="39"/>
      <c r="H23" s="30">
        <v>3.5</v>
      </c>
      <c r="I23" s="30">
        <f>SUM(H23)</f>
        <v>3.5</v>
      </c>
      <c r="J23" s="30">
        <f>SUM(I23)</f>
        <v>3.5</v>
      </c>
      <c r="K23" s="30">
        <f>SUM(J23)+0.5</f>
        <v>4</v>
      </c>
      <c r="L23" s="30">
        <f>SUM(K23)</f>
        <v>4</v>
      </c>
      <c r="M23" s="31">
        <f>SUM(L23)</f>
        <v>4</v>
      </c>
    </row>
    <row r="24" spans="1:13" s="1" customFormat="1" ht="14.1" customHeight="1" x14ac:dyDescent="0.3">
      <c r="A24" s="24"/>
      <c r="B24" s="79" t="s">
        <v>266</v>
      </c>
      <c r="C24" s="80"/>
      <c r="D24" s="43"/>
      <c r="E24" s="21"/>
      <c r="F24" s="21"/>
      <c r="G24" s="22"/>
      <c r="H24" s="30"/>
      <c r="I24" s="30"/>
      <c r="J24" s="30"/>
      <c r="K24" s="30"/>
      <c r="L24" s="30"/>
      <c r="M24" s="31"/>
    </row>
    <row r="25" spans="1:13" s="1" customFormat="1" ht="14.1" customHeight="1" x14ac:dyDescent="0.3">
      <c r="A25" s="24">
        <v>12</v>
      </c>
      <c r="B25" s="26"/>
      <c r="C25" s="27"/>
      <c r="D25" s="28"/>
      <c r="E25" s="28"/>
      <c r="F25" s="28"/>
      <c r="G25" s="28"/>
      <c r="H25" s="30"/>
      <c r="I25" s="9"/>
      <c r="J25" s="9"/>
      <c r="K25" s="9"/>
      <c r="L25" s="9"/>
      <c r="M25" s="11"/>
    </row>
    <row r="26" spans="1:13" s="1" customFormat="1" ht="14.1" customHeight="1" thickBot="1" x14ac:dyDescent="0.35">
      <c r="A26" s="25"/>
      <c r="B26" s="13"/>
      <c r="C26" s="13"/>
      <c r="D26" s="14"/>
      <c r="E26" s="15"/>
      <c r="F26" s="15"/>
      <c r="G26" s="16"/>
      <c r="H26" s="171"/>
      <c r="I26" s="10"/>
      <c r="J26" s="10"/>
      <c r="K26" s="10"/>
      <c r="L26" s="10"/>
      <c r="M26" s="12"/>
    </row>
    <row r="27" spans="1:13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 x14ac:dyDescent="0.3"/>
    <row r="32" spans="1:13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  <row r="52" ht="14.1" customHeight="1" x14ac:dyDescent="0.3"/>
    <row r="53" ht="14.1" customHeight="1" x14ac:dyDescent="0.3"/>
    <row r="54" ht="14.1" customHeight="1" x14ac:dyDescent="0.3"/>
    <row r="55" ht="14.1" customHeight="1" x14ac:dyDescent="0.3"/>
    <row r="56" ht="14.1" customHeight="1" x14ac:dyDescent="0.3"/>
    <row r="57" ht="14.1" customHeight="1" x14ac:dyDescent="0.3"/>
    <row r="58" ht="14.1" customHeight="1" x14ac:dyDescent="0.3"/>
    <row r="59" ht="14.1" customHeight="1" x14ac:dyDescent="0.3"/>
    <row r="60" ht="14.1" customHeight="1" x14ac:dyDescent="0.3"/>
    <row r="61" ht="14.1" customHeight="1" x14ac:dyDescent="0.3"/>
    <row r="62" ht="14.1" customHeight="1" x14ac:dyDescent="0.3"/>
    <row r="63" ht="14.1" customHeight="1" x14ac:dyDescent="0.3"/>
    <row r="64" ht="14.1" customHeight="1" x14ac:dyDescent="0.3"/>
    <row r="65" spans="1:13" ht="14.1" customHeight="1" x14ac:dyDescent="0.3"/>
    <row r="66" spans="1:13" ht="14.1" customHeight="1" x14ac:dyDescent="0.3"/>
    <row r="67" spans="1:13" ht="14.1" customHeight="1" x14ac:dyDescent="0.3"/>
    <row r="68" spans="1:13" ht="14.1" customHeight="1" x14ac:dyDescent="0.3"/>
    <row r="69" spans="1:13" ht="14.1" customHeight="1" x14ac:dyDescent="0.3"/>
    <row r="70" spans="1:13" ht="14.1" customHeight="1" x14ac:dyDescent="0.3"/>
    <row r="71" spans="1:13" ht="14.1" customHeight="1" x14ac:dyDescent="0.3"/>
    <row r="72" spans="1:13" ht="14.1" customHeight="1" x14ac:dyDescent="0.3"/>
    <row r="73" spans="1:13" s="1" customFormat="1" ht="14.1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3" s="1" customFormat="1" ht="14.1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</row>
  </sheetData>
  <mergeCells count="135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5:A26"/>
    <mergeCell ref="B25:C25"/>
    <mergeCell ref="D25:G25"/>
    <mergeCell ref="H25:H26"/>
    <mergeCell ref="I25:I26"/>
    <mergeCell ref="K25:K26"/>
    <mergeCell ref="L25:L26"/>
    <mergeCell ref="M25:M26"/>
    <mergeCell ref="B26:C26"/>
    <mergeCell ref="D26:G26"/>
    <mergeCell ref="J25:J26"/>
  </mergeCells>
  <phoneticPr fontId="14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16</vt:i4>
      </vt:variant>
    </vt:vector>
  </HeadingPairs>
  <TitlesOfParts>
    <vt:vector size="32" baseType="lpstr">
      <vt:lpstr>CFSE01</vt:lpstr>
      <vt:lpstr>CFSE02</vt:lpstr>
      <vt:lpstr>CFSE04</vt:lpstr>
      <vt:lpstr>CFSE05</vt:lpstr>
      <vt:lpstr>PWLE01</vt:lpstr>
      <vt:lpstr>PWOP02</vt:lpstr>
      <vt:lpstr>PWOP03</vt:lpstr>
      <vt:lpstr>PWOU01(패턴사이즈) </vt:lpstr>
      <vt:lpstr>PWOU01(제품사이즈)</vt:lpstr>
      <vt:lpstr>PWSE01 </vt:lpstr>
      <vt:lpstr>PWSE02</vt:lpstr>
      <vt:lpstr>PWTO01</vt:lpstr>
      <vt:lpstr>PWTO02</vt:lpstr>
      <vt:lpstr>PWTO03</vt:lpstr>
      <vt:lpstr>PWTO04</vt:lpstr>
      <vt:lpstr>PWTO05</vt:lpstr>
      <vt:lpstr>CFSE01!Print_Area</vt:lpstr>
      <vt:lpstr>CFSE02!Print_Area</vt:lpstr>
      <vt:lpstr>CFSE04!Print_Area</vt:lpstr>
      <vt:lpstr>CFSE05!Print_Area</vt:lpstr>
      <vt:lpstr>PWLE01!Print_Area</vt:lpstr>
      <vt:lpstr>PWOP02!Print_Area</vt:lpstr>
      <vt:lpstr>PWOP03!Print_Area</vt:lpstr>
      <vt:lpstr>'PWOU01(제품사이즈)'!Print_Area</vt:lpstr>
      <vt:lpstr>'PWOU01(패턴사이즈) '!Print_Area</vt:lpstr>
      <vt:lpstr>'PWSE01 '!Print_Area</vt:lpstr>
      <vt:lpstr>PWSE02!Print_Area</vt:lpstr>
      <vt:lpstr>PWTO01!Print_Area</vt:lpstr>
      <vt:lpstr>PWTO02!Print_Area</vt:lpstr>
      <vt:lpstr>PWTO03!Print_Area</vt:lpstr>
      <vt:lpstr>PWTO04!Print_Area</vt:lpstr>
      <vt:lpstr>PWTO05!Print_Area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2026-08-20T02:46:14Z</cp:lastPrinted>
  <dcterms:created xsi:type="dcterms:W3CDTF">2018-05-14T06:17:18Z</dcterms:created>
  <dcterms:modified xsi:type="dcterms:W3CDTF">2026-08-20T02:46:16Z</dcterms:modified>
</cp:coreProperties>
</file>