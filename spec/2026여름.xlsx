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본공장풀패턴\2026\2026여름풀패턴\2026여름사이즈스펙\"/>
    </mc:Choice>
  </mc:AlternateContent>
  <xr:revisionPtr revIDLastSave="0" documentId="13_ncr:1_{939F7522-182D-4DDE-8A83-DFB7C925971C}" xr6:coauthVersionLast="47" xr6:coauthVersionMax="47" xr10:uidLastSave="{00000000-0000-0000-0000-000000000000}"/>
  <bookViews>
    <workbookView xWindow="33840" yWindow="810" windowWidth="19650" windowHeight="13935" tabRatio="772" xr2:uid="{248B8E69-6C34-46C8-9649-87D2B01A7065}"/>
  </bookViews>
  <sheets>
    <sheet name="OP01" sheetId="2499" r:id="rId1"/>
    <sheet name="OP02" sheetId="2509" r:id="rId2"/>
    <sheet name="OP03" sheetId="2496" r:id="rId3"/>
    <sheet name="OP04" sheetId="2475" r:id="rId4"/>
    <sheet name="OP05" sheetId="2500" r:id="rId5"/>
    <sheet name="OP06" sheetId="2510" r:id="rId6"/>
    <sheet name="OP07" sheetId="2489" r:id="rId7"/>
    <sheet name="OP08" sheetId="2505" r:id="rId8"/>
    <sheet name="OP09" sheetId="2506" r:id="rId9"/>
    <sheet name="OP10" sheetId="2529" r:id="rId10"/>
    <sheet name="OP11" sheetId="2515" r:id="rId11"/>
    <sheet name="OP12" sheetId="2525" r:id="rId12"/>
    <sheet name="OP13" sheetId="2579" r:id="rId13"/>
    <sheet name="OP14" sheetId="2586" r:id="rId14"/>
    <sheet name="OP15" sheetId="2575" r:id="rId15"/>
    <sheet name="OP16" sheetId="2582" r:id="rId16"/>
    <sheet name="OP17" sheetId="2611" r:id="rId17"/>
    <sheet name="OP18" sheetId="2618" r:id="rId18"/>
    <sheet name="OP19" sheetId="2626" r:id="rId19"/>
    <sheet name="OP20" sheetId="2601" r:id="rId20"/>
    <sheet name="OP21" sheetId="2604" r:id="rId21"/>
    <sheet name="OP22" sheetId="2589" r:id="rId22"/>
    <sheet name="OP23" sheetId="2610" r:id="rId23"/>
    <sheet name="OU01" sheetId="2503" r:id="rId24"/>
    <sheet name="OU02" sheetId="2502" r:id="rId25"/>
    <sheet name="OU03" sheetId="2491" r:id="rId26"/>
    <sheet name="OU04" sheetId="2486" r:id="rId27"/>
    <sheet name="OU05" sheetId="2512" r:id="rId28"/>
    <sheet name="OU06(니트)" sheetId="2526" r:id="rId29"/>
    <sheet name="OU07(니트)" sheetId="2527" r:id="rId30"/>
    <sheet name="OU08" sheetId="2581" r:id="rId31"/>
    <sheet name="OU09" sheetId="2617" r:id="rId32"/>
    <sheet name="PT01" sheetId="2501" r:id="rId33"/>
    <sheet name="PT02" sheetId="2477" r:id="rId34"/>
    <sheet name="PT03" sheetId="2494" r:id="rId35"/>
    <sheet name="PT04" sheetId="2492" r:id="rId36"/>
    <sheet name="PT05" sheetId="2528" r:id="rId37"/>
    <sheet name="PT06" sheetId="2543" r:id="rId38"/>
    <sheet name="PT07(완사입)" sheetId="2504" r:id="rId39"/>
    <sheet name="PT08" sheetId="2522" r:id="rId40"/>
    <sheet name="PT09(완사입)" sheetId="2553" r:id="rId41"/>
    <sheet name="PT10" sheetId="2548" r:id="rId42"/>
    <sheet name="PT11(완사입)" sheetId="2537" r:id="rId43"/>
    <sheet name="PT12" sheetId="2538" r:id="rId44"/>
    <sheet name="PT13" sheetId="2533" r:id="rId45"/>
    <sheet name="PT14" sheetId="2531" r:id="rId46"/>
    <sheet name="PT15" sheetId="2596" r:id="rId47"/>
    <sheet name="PT16" sheetId="2556" r:id="rId48"/>
    <sheet name="PT17" sheetId="2569" r:id="rId49"/>
    <sheet name="PT18" sheetId="2599" r:id="rId50"/>
    <sheet name="PT19" sheetId="2580" r:id="rId51"/>
    <sheet name="PT20" sheetId="2555" r:id="rId52"/>
    <sheet name="PT21" sheetId="2597" r:id="rId53"/>
    <sheet name="PT22(완사입) " sheetId="2552" r:id="rId54"/>
    <sheet name="PT23" sheetId="2570" r:id="rId55"/>
    <sheet name="PT24" sheetId="2598" r:id="rId56"/>
    <sheet name="PT25(완사입)" sheetId="2583" r:id="rId57"/>
    <sheet name="PT26(완사입)" sheetId="2613" r:id="rId58"/>
    <sheet name="PT27(완사입)" sheetId="2574" r:id="rId59"/>
    <sheet name="PT28(완사입)" sheetId="2573" r:id="rId60"/>
    <sheet name="PT29(완사입) " sheetId="2603" r:id="rId61"/>
    <sheet name="PT30" sheetId="2605" r:id="rId62"/>
    <sheet name="PT31" sheetId="2623" r:id="rId63"/>
    <sheet name="PT32(완사입)" sheetId="2614" r:id="rId64"/>
    <sheet name="PT33(완사입)" sheetId="2612" r:id="rId65"/>
    <sheet name="PT34" sheetId="2602" r:id="rId66"/>
    <sheet name="PT35" sheetId="2606" r:id="rId67"/>
    <sheet name="PT36" sheetId="2624" r:id="rId68"/>
    <sheet name="PT37" sheetId="2609" r:id="rId69"/>
    <sheet name="SE01" sheetId="2482" r:id="rId70"/>
    <sheet name="SE02" sheetId="2478" r:id="rId71"/>
    <sheet name="SE03" sheetId="2514" r:id="rId72"/>
    <sheet name="SE04" sheetId="2517" r:id="rId73"/>
    <sheet name="SE05" sheetId="2563" r:id="rId74"/>
    <sheet name="SE06" sheetId="2584" r:id="rId75"/>
    <sheet name="SE07" sheetId="2594" r:id="rId76"/>
    <sheet name="SE08" sheetId="2627" r:id="rId77"/>
    <sheet name="SE09" sheetId="2615" r:id="rId78"/>
    <sheet name="SE10" sheetId="2619" r:id="rId79"/>
    <sheet name="SK01" sheetId="2493" r:id="rId80"/>
    <sheet name="SK02" sheetId="2495" r:id="rId81"/>
    <sheet name="SK03" sheetId="2513" r:id="rId82"/>
    <sheet name="SK04" sheetId="2571" r:id="rId83"/>
    <sheet name="SK05" sheetId="2550" r:id="rId84"/>
    <sheet name="SK06" sheetId="2572" r:id="rId85"/>
    <sheet name="SK07" sheetId="2560" r:id="rId86"/>
    <sheet name="SK08" sheetId="2621" r:id="rId87"/>
    <sheet name="SK09" sheetId="2600" r:id="rId88"/>
    <sheet name="SK10" sheetId="2616" r:id="rId89"/>
    <sheet name="TO01" sheetId="2479" r:id="rId90"/>
    <sheet name="TO02" sheetId="2476" r:id="rId91"/>
    <sheet name="TO03" sheetId="2481" r:id="rId92"/>
    <sheet name="TO04" sheetId="2480" r:id="rId93"/>
    <sheet name="TO05" sheetId="2519" r:id="rId94"/>
    <sheet name="TO06" sheetId="2516" r:id="rId95"/>
    <sheet name="TO07" sheetId="2508" r:id="rId96"/>
    <sheet name="TO08" sheetId="2532" r:id="rId97"/>
    <sheet name="TO09" sheetId="2520" r:id="rId98"/>
    <sheet name="TO10" sheetId="2490" r:id="rId99"/>
    <sheet name="TO11" sheetId="2498" r:id="rId100"/>
    <sheet name="TO12" sheetId="2536" r:id="rId101"/>
    <sheet name="TO13" sheetId="2507" r:id="rId102"/>
    <sheet name="TO14" sheetId="2511" r:id="rId103"/>
    <sheet name="TO15" sheetId="2518" r:id="rId104"/>
    <sheet name="TO16" sheetId="2487" r:id="rId105"/>
    <sheet name="TO17" sheetId="2530" r:id="rId106"/>
    <sheet name="TO18" sheetId="2539" r:id="rId107"/>
    <sheet name="TO19" sheetId="2534" r:id="rId108"/>
    <sheet name="TO20" sheetId="2540" r:id="rId109"/>
    <sheet name="TO21" sheetId="2523" r:id="rId110"/>
    <sheet name="TO22" sheetId="2535" r:id="rId111"/>
    <sheet name="TO23" sheetId="2547" r:id="rId112"/>
    <sheet name="TO24" sheetId="2576" r:id="rId113"/>
    <sheet name="TO25" sheetId="2554" r:id="rId114"/>
    <sheet name="TO26" sheetId="2546" r:id="rId115"/>
    <sheet name="TO27" sheetId="2524" r:id="rId116"/>
    <sheet name="TO28" sheetId="2541" r:id="rId117"/>
    <sheet name="TO29" sheetId="2545" r:id="rId118"/>
    <sheet name="TO30" sheetId="2497" r:id="rId119"/>
    <sheet name="TO31" sheetId="2542" r:id="rId120"/>
    <sheet name="TO32" sheetId="2521" r:id="rId121"/>
    <sheet name="TO33" sheetId="2578" r:id="rId122"/>
    <sheet name="TO34" sheetId="2551" r:id="rId123"/>
    <sheet name="TO36" sheetId="2544" r:id="rId124"/>
    <sheet name="TO35" sheetId="2549" r:id="rId125"/>
    <sheet name="TO37" sheetId="2566" r:id="rId126"/>
    <sheet name="TO38" sheetId="2557" r:id="rId127"/>
    <sheet name="TO39" sheetId="2620" r:id="rId128"/>
    <sheet name="TO40" sheetId="2585" r:id="rId129"/>
    <sheet name="TO41" sheetId="2565" r:id="rId130"/>
    <sheet name="TO42" sheetId="2558" r:id="rId131"/>
    <sheet name="TO43" sheetId="2577" r:id="rId132"/>
    <sheet name="TO44" sheetId="2562" r:id="rId133"/>
    <sheet name="TO45" sheetId="2559" r:id="rId134"/>
    <sheet name="TO46" sheetId="2622" r:id="rId135"/>
    <sheet name="TO47" sheetId="2595" r:id="rId136"/>
    <sheet name="TO48" sheetId="2592" r:id="rId137"/>
    <sheet name="TO49" sheetId="2607" r:id="rId138"/>
    <sheet name="TO50" sheetId="2591" r:id="rId139"/>
    <sheet name="TO51" sheetId="2588" r:id="rId140"/>
    <sheet name="TO52" sheetId="2561" r:id="rId141"/>
    <sheet name="TO53" sheetId="2567" r:id="rId142"/>
    <sheet name="TO54" sheetId="2568" r:id="rId143"/>
    <sheet name="TO55" sheetId="2590" r:id="rId144"/>
    <sheet name="TO56" sheetId="2593" r:id="rId145"/>
    <sheet name="TO57" sheetId="2625" r:id="rId146"/>
    <sheet name="TO58" sheetId="2608" r:id="rId147"/>
  </sheets>
  <definedNames>
    <definedName name="_xlnm.Print_Area" localSheetId="0">'OP01'!$A$1:$M$44</definedName>
    <definedName name="_xlnm.Print_Area" localSheetId="1">'OP02'!$A$1:$M$40</definedName>
    <definedName name="_xlnm.Print_Area" localSheetId="2">'OP03'!$A$1:$M$34</definedName>
    <definedName name="_xlnm.Print_Area" localSheetId="3">'OP04'!$A$1:$N$30</definedName>
    <definedName name="_xlnm.Print_Area" localSheetId="4">'OP05'!$A$1:$M$40</definedName>
    <definedName name="_xlnm.Print_Area" localSheetId="5">'OP06'!$A$1:$M$40</definedName>
    <definedName name="_xlnm.Print_Area" localSheetId="6">'OP07'!$A$1:$M$36</definedName>
    <definedName name="_xlnm.Print_Area" localSheetId="7">'OP08'!$A$1:$M$36</definedName>
    <definedName name="_xlnm.Print_Area" localSheetId="8">'OP09'!$A$1:$M$40</definedName>
    <definedName name="_xlnm.Print_Area" localSheetId="9">'OP10'!$A$1:$M$34</definedName>
    <definedName name="_xlnm.Print_Area" localSheetId="10">'OP11'!$A$1:$M$34</definedName>
    <definedName name="_xlnm.Print_Area" localSheetId="11">'OP12'!$A$1:$M$38</definedName>
    <definedName name="_xlnm.Print_Area" localSheetId="12">'OP13'!$A$1:$M$32</definedName>
    <definedName name="_xlnm.Print_Area" localSheetId="13">'OP14'!$A$1:$M$32</definedName>
    <definedName name="_xlnm.Print_Area" localSheetId="14">'OP15'!$A$1:$M$34</definedName>
    <definedName name="_xlnm.Print_Area" localSheetId="15">'OP16'!$A$1:$M$32</definedName>
    <definedName name="_xlnm.Print_Area" localSheetId="16">'OP17'!$A$1:$M$26</definedName>
    <definedName name="_xlnm.Print_Area" localSheetId="17">'OP18'!$A$1:$M$44</definedName>
    <definedName name="_xlnm.Print_Area" localSheetId="18">'OP19'!$A$1:$M$36</definedName>
    <definedName name="_xlnm.Print_Area" localSheetId="19">'OP20'!$A$1:$M$36</definedName>
    <definedName name="_xlnm.Print_Area" localSheetId="20">'OP21'!$A$1:$M$32</definedName>
    <definedName name="_xlnm.Print_Area" localSheetId="21">'OP22'!$A$1:$M$36</definedName>
    <definedName name="_xlnm.Print_Area" localSheetId="22">'OP23'!$A$1:$M$44</definedName>
    <definedName name="_xlnm.Print_Area" localSheetId="23">'OU01'!$A$1:$M$42</definedName>
    <definedName name="_xlnm.Print_Area" localSheetId="24">'OU02'!$A$1:$M$40</definedName>
    <definedName name="_xlnm.Print_Area" localSheetId="25">'OU03'!$A$1:$N$36</definedName>
    <definedName name="_xlnm.Print_Area" localSheetId="26">'OU04'!$A$1:$N$30</definedName>
    <definedName name="_xlnm.Print_Area" localSheetId="27">'OU05'!$A$1:$N$30</definedName>
    <definedName name="_xlnm.Print_Area" localSheetId="28">'OU06(니트)'!$A$1:$N$34</definedName>
    <definedName name="_xlnm.Print_Area" localSheetId="29">'OU07(니트)'!$A$1:$N$34</definedName>
    <definedName name="_xlnm.Print_Area" localSheetId="30">'OU08'!$A$1:$N$36</definedName>
    <definedName name="_xlnm.Print_Area" localSheetId="31">'OU09'!$A$1:$M$42</definedName>
    <definedName name="_xlnm.Print_Area" localSheetId="32">'PT01'!$A$1:$M$46</definedName>
    <definedName name="_xlnm.Print_Area" localSheetId="33">'PT02'!$A$1:$N$44</definedName>
    <definedName name="_xlnm.Print_Area" localSheetId="34">'PT03'!$A$1:$M$44</definedName>
    <definedName name="_xlnm.Print_Area" localSheetId="35">'PT04'!$A$1:$M$46</definedName>
    <definedName name="_xlnm.Print_Area" localSheetId="36">'PT05'!$A$1:$N$44</definedName>
    <definedName name="_xlnm.Print_Area" localSheetId="37">'PT06'!$A$1:$N$50</definedName>
    <definedName name="_xlnm.Print_Area" localSheetId="38">'PT07(완사입)'!$A$1:$N$46</definedName>
    <definedName name="_xlnm.Print_Area" localSheetId="39">'PT08'!$A$1:$N$48</definedName>
    <definedName name="_xlnm.Print_Area" localSheetId="40">'PT09(완사입)'!$A$1:$N$46</definedName>
    <definedName name="_xlnm.Print_Area" localSheetId="41">'PT10'!$A$1:$M$40</definedName>
    <definedName name="_xlnm.Print_Area" localSheetId="42">'PT11(완사입)'!$A$1:$N$46</definedName>
    <definedName name="_xlnm.Print_Area" localSheetId="43">'PT12'!$A$1:$M$48</definedName>
    <definedName name="_xlnm.Print_Area" localSheetId="44">'PT13'!$A$1:$N$48</definedName>
    <definedName name="_xlnm.Print_Area" localSheetId="45">'PT14'!$A$1:$N$46</definedName>
    <definedName name="_xlnm.Print_Area" localSheetId="46">'PT15'!$A$1:$M$61</definedName>
    <definedName name="_xlnm.Print_Area" localSheetId="47">'PT16'!$A$1:$N$42</definedName>
    <definedName name="_xlnm.Print_Area" localSheetId="48">'PT17'!$A$1:$N$50</definedName>
    <definedName name="_xlnm.Print_Area" localSheetId="49">'PT18'!$A$1:$N$40</definedName>
    <definedName name="_xlnm.Print_Area" localSheetId="50">'PT19'!$A$1:$M$46</definedName>
    <definedName name="_xlnm.Print_Area" localSheetId="51">'PT20'!$A$1:$M$48</definedName>
    <definedName name="_xlnm.Print_Area" localSheetId="52">'PT21'!$A$1:$N$36</definedName>
    <definedName name="_xlnm.Print_Area" localSheetId="53">'PT22(완사입) '!$A$1:$N$46</definedName>
    <definedName name="_xlnm.Print_Area" localSheetId="54">'PT23'!$A$1:$N$46</definedName>
    <definedName name="_xlnm.Print_Area" localSheetId="55">'PT24'!$A$1:$N$44</definedName>
    <definedName name="_xlnm.Print_Area" localSheetId="56">'PT25(완사입)'!$A$1:$N$46</definedName>
    <definedName name="_xlnm.Print_Area" localSheetId="57">'PT26(완사입)'!$A$1:$N$46</definedName>
    <definedName name="_xlnm.Print_Area" localSheetId="58">'PT27(완사입)'!$A$1:$N$50</definedName>
    <definedName name="_xlnm.Print_Area" localSheetId="59">'PT28(완사입)'!$A$1:$N$46</definedName>
    <definedName name="_xlnm.Print_Area" localSheetId="60">'PT29(완사입) '!$A$1:$N$50</definedName>
    <definedName name="_xlnm.Print_Area" localSheetId="61">'PT30'!$A$1:$M$44</definedName>
    <definedName name="_xlnm.Print_Area" localSheetId="62">'PT31'!$A$1:$M$50</definedName>
    <definedName name="_xlnm.Print_Area" localSheetId="63">'PT32(완사입)'!$A$1:$N$46</definedName>
    <definedName name="_xlnm.Print_Area" localSheetId="64">'PT33(완사입)'!$A$1:$N$46</definedName>
    <definedName name="_xlnm.Print_Area" localSheetId="65">'PT34'!$A$1:$M$46</definedName>
    <definedName name="_xlnm.Print_Area" localSheetId="66">'PT35'!$A$1:$N$46</definedName>
    <definedName name="_xlnm.Print_Area" localSheetId="67">'PT36'!$A$1:$N$46</definedName>
    <definedName name="_xlnm.Print_Area" localSheetId="68">'PT37'!$A$1:$M$38</definedName>
    <definedName name="_xlnm.Print_Area" localSheetId="69">'SE01'!$A$1:$M$64</definedName>
    <definedName name="_xlnm.Print_Area" localSheetId="70">'SE02'!$A$1:$N$66</definedName>
    <definedName name="_xlnm.Print_Area" localSheetId="71">'SE03'!$A$1:$M$58</definedName>
    <definedName name="_xlnm.Print_Area" localSheetId="72">'SE04'!$A$1:$M$56</definedName>
    <definedName name="_xlnm.Print_Area" localSheetId="73">'SE05'!$A$1:$N$64</definedName>
    <definedName name="_xlnm.Print_Area" localSheetId="74">'SE06'!$A$1:$M$66</definedName>
    <definedName name="_xlnm.Print_Area" localSheetId="75">'SE07'!$A$1:$N$74</definedName>
    <definedName name="_xlnm.Print_Area" localSheetId="76">'SE08'!$A$1:$N$62</definedName>
    <definedName name="_xlnm.Print_Area" localSheetId="77">'SE09'!$A$1:$M$58</definedName>
    <definedName name="_xlnm.Print_Area" localSheetId="78">'SE10'!$A$1:$M$53</definedName>
    <definedName name="_xlnm.Print_Area" localSheetId="79">'SK01'!$A$1:$M$34</definedName>
    <definedName name="_xlnm.Print_Area" localSheetId="80">'SK02'!$A$1:$M$34</definedName>
    <definedName name="_xlnm.Print_Area" localSheetId="81">'SK03'!$A$1:$M$34</definedName>
    <definedName name="_xlnm.Print_Area" localSheetId="82">'SK04'!$A$1:$M$34</definedName>
    <definedName name="_xlnm.Print_Area" localSheetId="83">'SK05'!$A$1:$M$36</definedName>
    <definedName name="_xlnm.Print_Area" localSheetId="84">'SK06'!$A$1:$M$34</definedName>
    <definedName name="_xlnm.Print_Area" localSheetId="85">'SK07'!$A$1:$M$34</definedName>
    <definedName name="_xlnm.Print_Area" localSheetId="86">'SK08'!$A$1:$M$34</definedName>
    <definedName name="_xlnm.Print_Area" localSheetId="87">'SK09'!$A$1:$M$34</definedName>
    <definedName name="_xlnm.Print_Area" localSheetId="88">'SK10'!$A$1:$M$32</definedName>
    <definedName name="_xlnm.Print_Area" localSheetId="89">'TO01'!$A$1:$M$30</definedName>
    <definedName name="_xlnm.Print_Area" localSheetId="90">'TO02'!$A$1:$M$30</definedName>
    <definedName name="_xlnm.Print_Area" localSheetId="91">'TO03'!$A$1:$M$32</definedName>
    <definedName name="_xlnm.Print_Area" localSheetId="92">'TO04'!$A$1:$M$26</definedName>
    <definedName name="_xlnm.Print_Area" localSheetId="93">'TO05'!$A$1:$M$34</definedName>
    <definedName name="_xlnm.Print_Area" localSheetId="94">'TO06'!$A$1:$M$26</definedName>
    <definedName name="_xlnm.Print_Area" localSheetId="95">'TO07'!$A$1:$N$34</definedName>
    <definedName name="_xlnm.Print_Area" localSheetId="96">'TO08'!$A$1:$M$32</definedName>
    <definedName name="_xlnm.Print_Area" localSheetId="97">'TO09'!$A$1:$M$28</definedName>
    <definedName name="_xlnm.Print_Area" localSheetId="98">'TO10'!$A$1:$M$30</definedName>
    <definedName name="_xlnm.Print_Area" localSheetId="99">'TO11'!$A$1:$M$32</definedName>
    <definedName name="_xlnm.Print_Area" localSheetId="100">'TO12'!$A$1:$N$32</definedName>
    <definedName name="_xlnm.Print_Area" localSheetId="101">'TO13'!$A$1:$M$30</definedName>
    <definedName name="_xlnm.Print_Area" localSheetId="102">'TO14'!$A$1:$M$26</definedName>
    <definedName name="_xlnm.Print_Area" localSheetId="103">'TO15'!$A$1:$M$26</definedName>
    <definedName name="_xlnm.Print_Area" localSheetId="104">'TO16'!$A$1:$N$28</definedName>
    <definedName name="_xlnm.Print_Area" localSheetId="105">'TO17'!$A$1:$M$36</definedName>
    <definedName name="_xlnm.Print_Area" localSheetId="106">'TO18'!$A$1:$N$26</definedName>
    <definedName name="_xlnm.Print_Area" localSheetId="107">'TO19'!$A$1:$M$30</definedName>
    <definedName name="_xlnm.Print_Area" localSheetId="108">'TO20'!$A$1:$N$28</definedName>
    <definedName name="_xlnm.Print_Area" localSheetId="109">'TO21'!$A$1:$N$30</definedName>
    <definedName name="_xlnm.Print_Area" localSheetId="110">'TO22'!$A$1:$N$26</definedName>
    <definedName name="_xlnm.Print_Area" localSheetId="111">'TO23'!$A$1:$M$28</definedName>
    <definedName name="_xlnm.Print_Area" localSheetId="112">'TO24'!$A$1:$M$30</definedName>
    <definedName name="_xlnm.Print_Area" localSheetId="113">'TO25'!$A$1:$N$30</definedName>
    <definedName name="_xlnm.Print_Area" localSheetId="114">'TO26'!$A$1:$M$26</definedName>
    <definedName name="_xlnm.Print_Area" localSheetId="115">'TO27'!$A$1:$N$26</definedName>
    <definedName name="_xlnm.Print_Area" localSheetId="116">'TO28'!$A$1:$M$26</definedName>
    <definedName name="_xlnm.Print_Area" localSheetId="117">'TO29'!$A$1:$N$30</definedName>
    <definedName name="_xlnm.Print_Area" localSheetId="118">'TO30'!$A$1:$M$30</definedName>
    <definedName name="_xlnm.Print_Area" localSheetId="119">'TO31'!$A$1:$N$26</definedName>
    <definedName name="_xlnm.Print_Area" localSheetId="120">'TO32'!$A$1:$N$26</definedName>
    <definedName name="_xlnm.Print_Area" localSheetId="121">'TO33'!$A$1:$N$26</definedName>
    <definedName name="_xlnm.Print_Area" localSheetId="122">'TO34'!$A$1:$M$30</definedName>
    <definedName name="_xlnm.Print_Area" localSheetId="124">'TO35'!$A$1:$M$32</definedName>
    <definedName name="_xlnm.Print_Area" localSheetId="123">'TO36'!$A$1:$M$30</definedName>
    <definedName name="_xlnm.Print_Area" localSheetId="125">'TO37'!$A$1:$M$26</definedName>
    <definedName name="_xlnm.Print_Area" localSheetId="126">'TO38'!$A$1:$N$34</definedName>
    <definedName name="_xlnm.Print_Area" localSheetId="127">'TO39'!$A$1:$M$30</definedName>
    <definedName name="_xlnm.Print_Area" localSheetId="128">'TO40'!$A$1:$N$34</definedName>
    <definedName name="_xlnm.Print_Area" localSheetId="129">'TO41'!$A$1:$N$28</definedName>
    <definedName name="_xlnm.Print_Area" localSheetId="130">'TO42'!$A$1:$M$30</definedName>
    <definedName name="_xlnm.Print_Area" localSheetId="131">'TO43'!$A$1:$M$28</definedName>
    <definedName name="_xlnm.Print_Area" localSheetId="132">'TO44'!$A$1:$M$26</definedName>
    <definedName name="_xlnm.Print_Area" localSheetId="133">'TO45'!$A$1:$N$30</definedName>
    <definedName name="_xlnm.Print_Area" localSheetId="134">'TO46'!$A$1:$N$26</definedName>
    <definedName name="_xlnm.Print_Area" localSheetId="135">'TO47'!$A$1:$N$26</definedName>
    <definedName name="_xlnm.Print_Area" localSheetId="136">'TO48'!$A$1:$M$30</definedName>
    <definedName name="_xlnm.Print_Area" localSheetId="137">'TO49'!$A$1:$N$34</definedName>
    <definedName name="_xlnm.Print_Area" localSheetId="138">'TO50'!$A$1:$M$43</definedName>
    <definedName name="_xlnm.Print_Area" localSheetId="139">'TO51'!$A$1:$N$28</definedName>
    <definedName name="_xlnm.Print_Area" localSheetId="140">'TO52'!$A$1:$N$30</definedName>
    <definedName name="_xlnm.Print_Area" localSheetId="141">'TO53'!$A$1:$M$30</definedName>
    <definedName name="_xlnm.Print_Area" localSheetId="142">'TO54'!$A$1:$M$34</definedName>
    <definedName name="_xlnm.Print_Area" localSheetId="143">'TO55'!$A$1:$N$32</definedName>
    <definedName name="_xlnm.Print_Area" localSheetId="144">'TO56'!$A$1:$M$32</definedName>
    <definedName name="_xlnm.Print_Area" localSheetId="145">'TO57'!$A$1:$N$38</definedName>
    <definedName name="_xlnm.Print_Area" localSheetId="146">'TO58'!$A$1:$M$30</definedName>
  </definedNames>
  <calcPr calcId="191029"/>
</workbook>
</file>

<file path=xl/calcChain.xml><?xml version="1.0" encoding="utf-8"?>
<calcChain xmlns="http://schemas.openxmlformats.org/spreadsheetml/2006/main">
  <c r="N23" i="2545" l="1"/>
  <c r="M23" i="2545"/>
  <c r="L23" i="2545"/>
  <c r="H23" i="2545"/>
  <c r="I23" i="2545"/>
  <c r="K23" i="2545"/>
  <c r="L11" i="2530"/>
  <c r="K11" i="2530"/>
  <c r="K31" i="2530"/>
  <c r="L31" i="2530" s="1"/>
  <c r="M31" i="2530" s="1"/>
  <c r="I31" i="2530"/>
  <c r="H31" i="2530" s="1"/>
  <c r="K29" i="2530"/>
  <c r="L29" i="2530" s="1"/>
  <c r="M29" i="2530" s="1"/>
  <c r="I29" i="2530"/>
  <c r="H29" i="2530" s="1"/>
  <c r="M27" i="2481"/>
  <c r="L27" i="2481"/>
  <c r="K27" i="2481"/>
  <c r="H27" i="2481"/>
  <c r="I27" i="2481"/>
  <c r="N3" i="2624"/>
  <c r="N9" i="2624"/>
  <c r="N11" i="2624"/>
  <c r="N13" i="2624"/>
  <c r="N21" i="2624"/>
  <c r="N23" i="2624"/>
  <c r="N29" i="2624"/>
  <c r="N31" i="2624"/>
  <c r="N33" i="2624"/>
  <c r="N35" i="2624"/>
  <c r="N37" i="2624"/>
  <c r="M3" i="2624"/>
  <c r="M9" i="2624"/>
  <c r="M11" i="2624"/>
  <c r="M13" i="2624"/>
  <c r="M21" i="2624"/>
  <c r="M23" i="2624"/>
  <c r="M29" i="2624"/>
  <c r="M31" i="2624"/>
  <c r="M33" i="2624"/>
  <c r="M35" i="2624"/>
  <c r="M37" i="2624"/>
  <c r="N3" i="2625"/>
  <c r="N5" i="2625"/>
  <c r="N7" i="2625"/>
  <c r="N9" i="2625"/>
  <c r="N11" i="2625"/>
  <c r="N13" i="2625"/>
  <c r="N15" i="2625"/>
  <c r="N17" i="2625"/>
  <c r="N19" i="2625"/>
  <c r="N23" i="2625"/>
  <c r="N27" i="2625"/>
  <c r="N29" i="2625"/>
  <c r="N31" i="2625"/>
  <c r="N33" i="2625"/>
  <c r="N35" i="2625"/>
  <c r="K49" i="2627"/>
  <c r="L49" i="2627" s="1"/>
  <c r="M49" i="2627" s="1"/>
  <c r="N49" i="2627" s="1"/>
  <c r="K47" i="2627"/>
  <c r="L47" i="2627" s="1"/>
  <c r="M39" i="2627"/>
  <c r="N39" i="2627" s="1"/>
  <c r="I9" i="2627"/>
  <c r="I49" i="2627"/>
  <c r="H49" i="2627" s="1"/>
  <c r="K41" i="2627"/>
  <c r="L41" i="2627" s="1"/>
  <c r="M41" i="2627" s="1"/>
  <c r="N41" i="2627" s="1"/>
  <c r="I41" i="2627"/>
  <c r="H41" i="2627" s="1"/>
  <c r="K39" i="2627"/>
  <c r="L39" i="2627" s="1"/>
  <c r="I39" i="2627"/>
  <c r="H39" i="2627" s="1"/>
  <c r="K25" i="2627"/>
  <c r="L25" i="2627" s="1"/>
  <c r="M25" i="2627" s="1"/>
  <c r="N25" i="2627" s="1"/>
  <c r="I25" i="2627"/>
  <c r="H25" i="2627" s="1"/>
  <c r="K23" i="2627"/>
  <c r="L23" i="2627" s="1"/>
  <c r="M23" i="2627" s="1"/>
  <c r="N23" i="2627" s="1"/>
  <c r="I23" i="2627"/>
  <c r="H23" i="2627" s="1"/>
  <c r="K5" i="2627"/>
  <c r="L5" i="2627" s="1"/>
  <c r="M5" i="2627" s="1"/>
  <c r="N5" i="2627" s="1"/>
  <c r="I5" i="2627"/>
  <c r="H5" i="2627" s="1"/>
  <c r="I3" i="2627" l="1"/>
  <c r="H3" i="2627" s="1"/>
  <c r="K3" i="2627"/>
  <c r="L3" i="2627" s="1"/>
  <c r="M3" i="2627" s="1"/>
  <c r="N3" i="2627" s="1"/>
  <c r="K59" i="2627"/>
  <c r="L59" i="2627" s="1"/>
  <c r="M59" i="2627" s="1"/>
  <c r="N59" i="2627" s="1"/>
  <c r="I59" i="2627"/>
  <c r="H59" i="2627" s="1"/>
  <c r="K57" i="2627"/>
  <c r="L57" i="2627" s="1"/>
  <c r="M57" i="2627" s="1"/>
  <c r="N57" i="2627" s="1"/>
  <c r="I57" i="2627"/>
  <c r="H57" i="2627" s="1"/>
  <c r="K55" i="2627"/>
  <c r="L55" i="2627" s="1"/>
  <c r="M55" i="2627" s="1"/>
  <c r="N55" i="2627" s="1"/>
  <c r="I55" i="2627"/>
  <c r="H55" i="2627" s="1"/>
  <c r="M47" i="2627"/>
  <c r="N47" i="2627" s="1"/>
  <c r="I47" i="2627"/>
  <c r="H47" i="2627" s="1"/>
  <c r="K45" i="2627"/>
  <c r="L45" i="2627" s="1"/>
  <c r="M45" i="2627" s="1"/>
  <c r="N45" i="2627" s="1"/>
  <c r="I45" i="2627"/>
  <c r="H45" i="2627" s="1"/>
  <c r="K43" i="2627"/>
  <c r="L43" i="2627" s="1"/>
  <c r="M43" i="2627" s="1"/>
  <c r="N43" i="2627" s="1"/>
  <c r="I43" i="2627"/>
  <c r="H43" i="2627" s="1"/>
  <c r="K35" i="2627"/>
  <c r="L35" i="2627" s="1"/>
  <c r="M35" i="2627" s="1"/>
  <c r="N35" i="2627" s="1"/>
  <c r="I35" i="2627"/>
  <c r="H35" i="2627"/>
  <c r="K33" i="2627"/>
  <c r="L33" i="2627" s="1"/>
  <c r="M33" i="2627" s="1"/>
  <c r="N33" i="2627" s="1"/>
  <c r="I33" i="2627"/>
  <c r="H33" i="2627" s="1"/>
  <c r="K31" i="2627"/>
  <c r="L31" i="2627" s="1"/>
  <c r="M31" i="2627" s="1"/>
  <c r="N31" i="2627" s="1"/>
  <c r="I31" i="2627"/>
  <c r="H31" i="2627" s="1"/>
  <c r="K29" i="2627"/>
  <c r="L29" i="2627" s="1"/>
  <c r="M29" i="2627" s="1"/>
  <c r="N29" i="2627" s="1"/>
  <c r="I29" i="2627"/>
  <c r="H29" i="2627" s="1"/>
  <c r="K17" i="2627"/>
  <c r="L17" i="2627" s="1"/>
  <c r="M17" i="2627" s="1"/>
  <c r="N17" i="2627" s="1"/>
  <c r="I17" i="2627"/>
  <c r="H17" i="2627" s="1"/>
  <c r="K15" i="2627"/>
  <c r="L15" i="2627" s="1"/>
  <c r="M15" i="2627" s="1"/>
  <c r="N15" i="2627" s="1"/>
  <c r="I15" i="2627"/>
  <c r="H15" i="2627" s="1"/>
  <c r="K13" i="2627"/>
  <c r="L13" i="2627" s="1"/>
  <c r="M13" i="2627" s="1"/>
  <c r="N13" i="2627" s="1"/>
  <c r="I13" i="2627"/>
  <c r="H13" i="2627" s="1"/>
  <c r="K9" i="2627"/>
  <c r="L9" i="2627" s="1"/>
  <c r="M9" i="2627" s="1"/>
  <c r="N9" i="2627" s="1"/>
  <c r="H9" i="2627"/>
  <c r="K7" i="2627"/>
  <c r="L7" i="2627" s="1"/>
  <c r="M7" i="2627" s="1"/>
  <c r="N7" i="2627" s="1"/>
  <c r="I7" i="2627"/>
  <c r="H7" i="2627"/>
  <c r="P10" i="2611"/>
  <c r="P9" i="2611"/>
  <c r="H7" i="2611"/>
  <c r="P7" i="2611"/>
  <c r="P6" i="2611"/>
  <c r="M3" i="2611"/>
  <c r="M5" i="2611"/>
  <c r="M7" i="2611"/>
  <c r="M9" i="2611"/>
  <c r="M11" i="2611"/>
  <c r="M13" i="2611"/>
  <c r="M15" i="2611"/>
  <c r="M17" i="2611"/>
  <c r="M19" i="2611"/>
  <c r="P16" i="2607"/>
  <c r="P15" i="2607"/>
  <c r="N3" i="2607"/>
  <c r="N5" i="2607"/>
  <c r="N7" i="2607"/>
  <c r="N9" i="2607"/>
  <c r="N11" i="2607"/>
  <c r="N13" i="2607"/>
  <c r="N15" i="2607"/>
  <c r="N17" i="2607"/>
  <c r="N19" i="2607"/>
  <c r="N23" i="2607"/>
  <c r="N25" i="2607"/>
  <c r="N27" i="2607"/>
  <c r="N29" i="2607"/>
  <c r="N31" i="2607"/>
  <c r="N33" i="2607"/>
  <c r="M35" i="2626"/>
  <c r="M33" i="2626"/>
  <c r="K31" i="2626"/>
  <c r="L31" i="2626" s="1"/>
  <c r="I31" i="2626"/>
  <c r="H31" i="2626" s="1"/>
  <c r="K29" i="2626"/>
  <c r="L29" i="2626" s="1"/>
  <c r="I29" i="2626"/>
  <c r="H29" i="2626"/>
  <c r="P13" i="2626" s="1"/>
  <c r="P14" i="2626" s="1"/>
  <c r="K25" i="2626"/>
  <c r="L25" i="2626" s="1"/>
  <c r="I25" i="2626"/>
  <c r="H25" i="2626"/>
  <c r="K21" i="2626"/>
  <c r="L21" i="2626" s="1"/>
  <c r="I21" i="2626"/>
  <c r="H21" i="2626"/>
  <c r="L19" i="2626"/>
  <c r="K19" i="2626"/>
  <c r="I19" i="2626"/>
  <c r="H19" i="2626"/>
  <c r="K17" i="2626"/>
  <c r="L17" i="2626" s="1"/>
  <c r="I17" i="2626"/>
  <c r="H17" i="2626"/>
  <c r="P16" i="2626"/>
  <c r="P17" i="2626" s="1"/>
  <c r="K15" i="2626"/>
  <c r="I15" i="2626"/>
  <c r="H15" i="2626"/>
  <c r="L13" i="2626"/>
  <c r="K13" i="2626"/>
  <c r="I13" i="2626"/>
  <c r="H13" i="2626"/>
  <c r="K11" i="2626"/>
  <c r="L11" i="2626" s="1"/>
  <c r="P10" i="2626" s="1"/>
  <c r="P11" i="2626" s="1"/>
  <c r="I11" i="2626"/>
  <c r="H11" i="2626"/>
  <c r="K9" i="2626"/>
  <c r="L9" i="2626" s="1"/>
  <c r="I9" i="2626"/>
  <c r="H9" i="2626"/>
  <c r="K7" i="2626"/>
  <c r="L7" i="2626" s="1"/>
  <c r="I7" i="2626"/>
  <c r="H7" i="2626" s="1"/>
  <c r="K5" i="2626"/>
  <c r="L5" i="2626" s="1"/>
  <c r="I5" i="2626"/>
  <c r="H5" i="2626"/>
  <c r="K3" i="2626"/>
  <c r="L3" i="2626" s="1"/>
  <c r="I3" i="2626"/>
  <c r="H3" i="2626"/>
  <c r="L15" i="2626" l="1"/>
  <c r="P19" i="2626" s="1"/>
  <c r="P20" i="2626" s="1"/>
  <c r="M33" i="2625" l="1"/>
  <c r="L33" i="2625"/>
  <c r="K33" i="2625"/>
  <c r="H33" i="2625"/>
  <c r="I33" i="2625"/>
  <c r="K35" i="2625"/>
  <c r="L35" i="2625" s="1"/>
  <c r="M35" i="2625" s="1"/>
  <c r="I35" i="2625"/>
  <c r="H35" i="2625"/>
  <c r="M31" i="2625"/>
  <c r="L31" i="2625"/>
  <c r="K31" i="2625"/>
  <c r="H31" i="2625"/>
  <c r="I31" i="2625"/>
  <c r="M29" i="2625"/>
  <c r="K29" i="2625"/>
  <c r="H29" i="2625"/>
  <c r="L29" i="2625"/>
  <c r="I29" i="2625"/>
  <c r="L27" i="2625"/>
  <c r="M27" i="2625" s="1"/>
  <c r="K27" i="2625"/>
  <c r="I27" i="2625"/>
  <c r="H27" i="2625" s="1"/>
  <c r="K23" i="2625"/>
  <c r="L23" i="2625" s="1"/>
  <c r="M23" i="2625" s="1"/>
  <c r="I23" i="2625"/>
  <c r="H23" i="2625" s="1"/>
  <c r="K19" i="2625"/>
  <c r="L19" i="2625" s="1"/>
  <c r="M19" i="2625" s="1"/>
  <c r="I19" i="2625"/>
  <c r="H19" i="2625" s="1"/>
  <c r="K11" i="2625"/>
  <c r="L11" i="2625" s="1"/>
  <c r="M11" i="2625" s="1"/>
  <c r="K17" i="2625"/>
  <c r="L17" i="2625" s="1"/>
  <c r="M17" i="2625" s="1"/>
  <c r="I17" i="2625"/>
  <c r="H17" i="2625" s="1"/>
  <c r="K15" i="2625"/>
  <c r="L15" i="2625" s="1"/>
  <c r="M15" i="2625" s="1"/>
  <c r="I15" i="2625"/>
  <c r="H15" i="2625" s="1"/>
  <c r="K13" i="2625"/>
  <c r="L13" i="2625" s="1"/>
  <c r="M13" i="2625" s="1"/>
  <c r="I13" i="2625"/>
  <c r="H13" i="2625" s="1"/>
  <c r="I11" i="2625"/>
  <c r="H11" i="2625" s="1"/>
  <c r="K9" i="2625"/>
  <c r="L9" i="2625" s="1"/>
  <c r="M9" i="2625" s="1"/>
  <c r="I9" i="2625"/>
  <c r="H9" i="2625"/>
  <c r="K7" i="2625"/>
  <c r="L7" i="2625" s="1"/>
  <c r="M7" i="2625" s="1"/>
  <c r="I7" i="2625"/>
  <c r="H7" i="2625" s="1"/>
  <c r="K5" i="2625"/>
  <c r="L5" i="2625" s="1"/>
  <c r="M5" i="2625" s="1"/>
  <c r="I5" i="2625"/>
  <c r="H5" i="2625" s="1"/>
  <c r="K3" i="2625"/>
  <c r="L3" i="2625" s="1"/>
  <c r="M3" i="2625" s="1"/>
  <c r="I3" i="2625"/>
  <c r="H3" i="2625" s="1"/>
  <c r="K37" i="2624"/>
  <c r="L37" i="2624" s="1"/>
  <c r="I37" i="2624"/>
  <c r="H37" i="2624" s="1"/>
  <c r="L31" i="2624"/>
  <c r="K31" i="2624"/>
  <c r="I31" i="2624"/>
  <c r="H31" i="2624" s="1"/>
  <c r="L23" i="2624"/>
  <c r="K23" i="2624"/>
  <c r="H23" i="2624"/>
  <c r="I23" i="2624"/>
  <c r="L13" i="2624"/>
  <c r="K13" i="2624"/>
  <c r="I13" i="2624"/>
  <c r="H13" i="2624" s="1"/>
  <c r="I11" i="2624"/>
  <c r="K35" i="2624"/>
  <c r="L35" i="2624" s="1"/>
  <c r="I35" i="2624"/>
  <c r="H35" i="2624"/>
  <c r="K33" i="2624"/>
  <c r="L33" i="2624" s="1"/>
  <c r="I33" i="2624"/>
  <c r="H33" i="2624"/>
  <c r="K29" i="2624"/>
  <c r="L29" i="2624" s="1"/>
  <c r="I29" i="2624"/>
  <c r="H29" i="2624" s="1"/>
  <c r="K21" i="2624"/>
  <c r="L21" i="2624" s="1"/>
  <c r="I21" i="2624"/>
  <c r="H21" i="2624" s="1"/>
  <c r="K11" i="2624"/>
  <c r="L11" i="2624" s="1"/>
  <c r="H11" i="2624"/>
  <c r="K9" i="2624"/>
  <c r="L9" i="2624" s="1"/>
  <c r="I9" i="2624"/>
  <c r="H9" i="2624"/>
  <c r="K3" i="2624"/>
  <c r="L3" i="2624" s="1"/>
  <c r="I3" i="2624"/>
  <c r="H3" i="2624"/>
  <c r="K49" i="2623"/>
  <c r="L49" i="2623" s="1"/>
  <c r="M49" i="2623" s="1"/>
  <c r="I49" i="2623"/>
  <c r="H49" i="2623"/>
  <c r="K47" i="2623"/>
  <c r="L47" i="2623" s="1"/>
  <c r="M47" i="2623" s="1"/>
  <c r="I47" i="2623"/>
  <c r="H47" i="2623"/>
  <c r="K45" i="2623"/>
  <c r="L45" i="2623" s="1"/>
  <c r="M45" i="2623" s="1"/>
  <c r="I45" i="2623"/>
  <c r="H45" i="2623"/>
  <c r="K43" i="2623"/>
  <c r="L43" i="2623" s="1"/>
  <c r="M43" i="2623" s="1"/>
  <c r="I43" i="2623"/>
  <c r="H43" i="2623"/>
  <c r="K41" i="2623"/>
  <c r="L41" i="2623" s="1"/>
  <c r="M41" i="2623" s="1"/>
  <c r="I41" i="2623"/>
  <c r="H41" i="2623"/>
  <c r="K39" i="2623"/>
  <c r="L39" i="2623" s="1"/>
  <c r="M39" i="2623" s="1"/>
  <c r="I39" i="2623"/>
  <c r="H39" i="2623"/>
  <c r="L37" i="2623"/>
  <c r="M37" i="2623" s="1"/>
  <c r="K37" i="2623"/>
  <c r="I37" i="2623"/>
  <c r="H37" i="2623"/>
  <c r="K35" i="2623"/>
  <c r="L35" i="2623" s="1"/>
  <c r="M35" i="2623" s="1"/>
  <c r="I35" i="2623"/>
  <c r="H35" i="2623"/>
  <c r="K33" i="2623"/>
  <c r="L33" i="2623" s="1"/>
  <c r="M33" i="2623" s="1"/>
  <c r="I33" i="2623"/>
  <c r="H33" i="2623"/>
  <c r="K31" i="2623"/>
  <c r="L31" i="2623" s="1"/>
  <c r="M31" i="2623" s="1"/>
  <c r="I31" i="2623"/>
  <c r="H31" i="2623" s="1"/>
  <c r="K29" i="2623"/>
  <c r="L29" i="2623" s="1"/>
  <c r="M29" i="2623" s="1"/>
  <c r="I29" i="2623"/>
  <c r="H29" i="2623"/>
  <c r="K27" i="2623"/>
  <c r="L27" i="2623" s="1"/>
  <c r="M27" i="2623" s="1"/>
  <c r="I27" i="2623"/>
  <c r="H27" i="2623"/>
  <c r="K25" i="2623"/>
  <c r="L25" i="2623" s="1"/>
  <c r="M25" i="2623" s="1"/>
  <c r="I25" i="2623"/>
  <c r="H25" i="2623" s="1"/>
  <c r="K23" i="2623"/>
  <c r="L23" i="2623" s="1"/>
  <c r="M23" i="2623" s="1"/>
  <c r="I23" i="2623"/>
  <c r="H23" i="2623"/>
  <c r="K21" i="2623"/>
  <c r="L21" i="2623" s="1"/>
  <c r="M21" i="2623" s="1"/>
  <c r="I21" i="2623"/>
  <c r="H21" i="2623"/>
  <c r="K15" i="2623"/>
  <c r="L15" i="2623" s="1"/>
  <c r="M15" i="2623" s="1"/>
  <c r="I15" i="2623"/>
  <c r="H15" i="2623"/>
  <c r="K13" i="2623"/>
  <c r="L13" i="2623" s="1"/>
  <c r="M13" i="2623" s="1"/>
  <c r="I13" i="2623"/>
  <c r="H13" i="2623"/>
  <c r="K11" i="2623"/>
  <c r="L11" i="2623" s="1"/>
  <c r="M11" i="2623" s="1"/>
  <c r="I11" i="2623"/>
  <c r="H11" i="2623"/>
  <c r="K9" i="2623"/>
  <c r="L9" i="2623" s="1"/>
  <c r="M9" i="2623" s="1"/>
  <c r="I9" i="2623"/>
  <c r="H9" i="2623"/>
  <c r="K3" i="2623"/>
  <c r="L3" i="2623" s="1"/>
  <c r="M3" i="2623" s="1"/>
  <c r="I3" i="2623"/>
  <c r="H3" i="2623"/>
  <c r="K25" i="2622"/>
  <c r="L25" i="2622" s="1"/>
  <c r="M25" i="2622" s="1"/>
  <c r="N25" i="2622" s="1"/>
  <c r="I25" i="2622"/>
  <c r="H25" i="2622"/>
  <c r="K23" i="2622"/>
  <c r="L23" i="2622" s="1"/>
  <c r="M23" i="2622" s="1"/>
  <c r="N23" i="2622" s="1"/>
  <c r="I23" i="2622"/>
  <c r="H23" i="2622"/>
  <c r="K19" i="2622"/>
  <c r="L19" i="2622" s="1"/>
  <c r="M19" i="2622" s="1"/>
  <c r="N19" i="2622" s="1"/>
  <c r="I19" i="2622"/>
  <c r="H19" i="2622"/>
  <c r="K17" i="2622"/>
  <c r="L17" i="2622" s="1"/>
  <c r="M17" i="2622" s="1"/>
  <c r="N17" i="2622" s="1"/>
  <c r="I17" i="2622"/>
  <c r="H17" i="2622"/>
  <c r="K15" i="2622"/>
  <c r="L15" i="2622" s="1"/>
  <c r="M15" i="2622" s="1"/>
  <c r="N15" i="2622" s="1"/>
  <c r="I15" i="2622"/>
  <c r="H15" i="2622"/>
  <c r="K13" i="2622"/>
  <c r="L13" i="2622" s="1"/>
  <c r="M13" i="2622" s="1"/>
  <c r="N13" i="2622" s="1"/>
  <c r="I13" i="2622"/>
  <c r="H13" i="2622"/>
  <c r="K11" i="2622"/>
  <c r="L11" i="2622" s="1"/>
  <c r="M11" i="2622" s="1"/>
  <c r="N11" i="2622" s="1"/>
  <c r="I11" i="2622"/>
  <c r="H11" i="2622"/>
  <c r="K9" i="2622"/>
  <c r="L9" i="2622" s="1"/>
  <c r="M9" i="2622" s="1"/>
  <c r="N9" i="2622" s="1"/>
  <c r="I9" i="2622"/>
  <c r="H9" i="2622"/>
  <c r="K7" i="2622"/>
  <c r="L7" i="2622" s="1"/>
  <c r="M7" i="2622" s="1"/>
  <c r="N7" i="2622" s="1"/>
  <c r="I7" i="2622"/>
  <c r="H7" i="2622"/>
  <c r="K5" i="2622"/>
  <c r="L5" i="2622" s="1"/>
  <c r="M5" i="2622" s="1"/>
  <c r="N5" i="2622" s="1"/>
  <c r="I5" i="2622"/>
  <c r="H5" i="2622"/>
  <c r="K3" i="2622"/>
  <c r="L3" i="2622" s="1"/>
  <c r="M3" i="2622" s="1"/>
  <c r="N3" i="2622" s="1"/>
  <c r="I3" i="2622"/>
  <c r="H3" i="2622"/>
  <c r="K25" i="2621"/>
  <c r="L25" i="2621" s="1"/>
  <c r="I25" i="2621"/>
  <c r="H25" i="2621"/>
  <c r="K23" i="2621"/>
  <c r="L23" i="2621" s="1"/>
  <c r="I23" i="2621"/>
  <c r="H23" i="2621"/>
  <c r="K21" i="2621"/>
  <c r="L21" i="2621" s="1"/>
  <c r="I21" i="2621"/>
  <c r="H21" i="2621"/>
  <c r="K19" i="2621"/>
  <c r="L19" i="2621" s="1"/>
  <c r="I19" i="2621"/>
  <c r="H19" i="2621"/>
  <c r="K17" i="2621"/>
  <c r="L17" i="2621" s="1"/>
  <c r="I17" i="2621"/>
  <c r="H17" i="2621"/>
  <c r="K15" i="2621"/>
  <c r="L15" i="2621" s="1"/>
  <c r="I15" i="2621"/>
  <c r="H15" i="2621"/>
  <c r="K13" i="2621"/>
  <c r="L13" i="2621" s="1"/>
  <c r="I13" i="2621"/>
  <c r="H13" i="2621"/>
  <c r="K11" i="2621"/>
  <c r="L11" i="2621" s="1"/>
  <c r="I11" i="2621"/>
  <c r="H11" i="2621"/>
  <c r="K9" i="2621"/>
  <c r="L9" i="2621" s="1"/>
  <c r="I9" i="2621"/>
  <c r="H9" i="2621"/>
  <c r="K7" i="2621"/>
  <c r="L7" i="2621" s="1"/>
  <c r="I7" i="2621"/>
  <c r="H7" i="2621"/>
  <c r="K5" i="2621"/>
  <c r="L5" i="2621" s="1"/>
  <c r="I5" i="2621"/>
  <c r="H5" i="2621"/>
  <c r="K3" i="2621"/>
  <c r="L3" i="2621" s="1"/>
  <c r="I3" i="2621"/>
  <c r="H3" i="2621"/>
  <c r="K39" i="2596" l="1"/>
  <c r="L39" i="2596" s="1"/>
  <c r="I39" i="2596"/>
  <c r="H39" i="2596"/>
  <c r="K52" i="2596"/>
  <c r="L52" i="2596" s="1"/>
  <c r="I52" i="2596"/>
  <c r="H52" i="2596" s="1"/>
  <c r="K50" i="2596"/>
  <c r="L50" i="2596" s="1"/>
  <c r="I50" i="2596"/>
  <c r="H50" i="2596" s="1"/>
  <c r="K48" i="2596"/>
  <c r="L48" i="2596" s="1"/>
  <c r="I48" i="2596"/>
  <c r="H48" i="2596"/>
  <c r="K46" i="2596"/>
  <c r="L46" i="2596" s="1"/>
  <c r="I46" i="2596"/>
  <c r="H46" i="2596" s="1"/>
  <c r="K44" i="2596"/>
  <c r="L44" i="2596" s="1"/>
  <c r="I44" i="2596"/>
  <c r="H44" i="2596" s="1"/>
  <c r="K42" i="2596"/>
  <c r="L42" i="2596" s="1"/>
  <c r="I42" i="2596"/>
  <c r="H42" i="2596" s="1"/>
  <c r="N3" i="2595"/>
  <c r="N5" i="2595"/>
  <c r="N7" i="2595"/>
  <c r="N9" i="2595"/>
  <c r="N11" i="2595"/>
  <c r="N13" i="2595"/>
  <c r="N15" i="2595"/>
  <c r="N17" i="2595"/>
  <c r="N19" i="2595"/>
  <c r="N23" i="2595"/>
  <c r="N25" i="2595"/>
  <c r="K11" i="2503" l="1"/>
  <c r="H5" i="2620"/>
  <c r="I5" i="2620"/>
  <c r="L25" i="2620"/>
  <c r="M25" i="2620" s="1"/>
  <c r="K25" i="2620"/>
  <c r="I25" i="2620"/>
  <c r="H25" i="2620" s="1"/>
  <c r="K23" i="2620"/>
  <c r="L23" i="2620" s="1"/>
  <c r="M23" i="2620" s="1"/>
  <c r="I23" i="2620"/>
  <c r="H23" i="2620" s="1"/>
  <c r="K19" i="2620"/>
  <c r="L19" i="2620" s="1"/>
  <c r="M19" i="2620" s="1"/>
  <c r="I19" i="2620"/>
  <c r="H19" i="2620" s="1"/>
  <c r="K5" i="2620"/>
  <c r="L5" i="2620" s="1"/>
  <c r="M5" i="2620" s="1"/>
  <c r="K17" i="2620"/>
  <c r="L17" i="2620" s="1"/>
  <c r="M17" i="2620" s="1"/>
  <c r="I17" i="2620"/>
  <c r="H17" i="2620" s="1"/>
  <c r="K15" i="2620"/>
  <c r="L15" i="2620" s="1"/>
  <c r="M15" i="2620" s="1"/>
  <c r="I15" i="2620"/>
  <c r="H15" i="2620" s="1"/>
  <c r="K13" i="2620"/>
  <c r="L13" i="2620" s="1"/>
  <c r="M13" i="2620" s="1"/>
  <c r="I13" i="2620"/>
  <c r="H13" i="2620" s="1"/>
  <c r="K11" i="2620"/>
  <c r="L11" i="2620" s="1"/>
  <c r="M11" i="2620" s="1"/>
  <c r="I11" i="2620"/>
  <c r="H11" i="2620" s="1"/>
  <c r="K9" i="2620"/>
  <c r="L9" i="2620" s="1"/>
  <c r="M9" i="2620" s="1"/>
  <c r="I9" i="2620"/>
  <c r="H9" i="2620" s="1"/>
  <c r="K7" i="2620"/>
  <c r="L7" i="2620" s="1"/>
  <c r="M7" i="2620" s="1"/>
  <c r="I7" i="2620"/>
  <c r="H7" i="2620" s="1"/>
  <c r="K3" i="2620"/>
  <c r="L3" i="2620" s="1"/>
  <c r="M3" i="2620" s="1"/>
  <c r="I3" i="2620"/>
  <c r="H3" i="2620" s="1"/>
  <c r="H3" i="2598"/>
  <c r="N3" i="2585"/>
  <c r="N5" i="2585"/>
  <c r="N7" i="2585"/>
  <c r="N9" i="2585"/>
  <c r="N11" i="2585"/>
  <c r="N13" i="2585"/>
  <c r="N15" i="2585"/>
  <c r="N17" i="2585"/>
  <c r="N19" i="2585"/>
  <c r="N23" i="2585"/>
  <c r="N25" i="2585"/>
  <c r="N27" i="2585"/>
  <c r="N29" i="2585"/>
  <c r="N31" i="2585"/>
  <c r="I42" i="2619"/>
  <c r="K5" i="2619"/>
  <c r="L5" i="2619" s="1"/>
  <c r="M5" i="2619" s="1"/>
  <c r="I5" i="2619"/>
  <c r="H5" i="2619" s="1"/>
  <c r="K3" i="2619"/>
  <c r="L3" i="2619" s="1"/>
  <c r="M3" i="2619" s="1"/>
  <c r="I3" i="2619"/>
  <c r="H3" i="2619"/>
  <c r="K29" i="2619"/>
  <c r="L29" i="2619" s="1"/>
  <c r="M29" i="2619" s="1"/>
  <c r="I29" i="2619"/>
  <c r="H29" i="2619" s="1"/>
  <c r="I27" i="2619"/>
  <c r="H27" i="2619" s="1"/>
  <c r="K9" i="2619"/>
  <c r="L9" i="2619" s="1"/>
  <c r="M9" i="2619" s="1"/>
  <c r="I9" i="2619"/>
  <c r="H9" i="2619" s="1"/>
  <c r="K7" i="2619"/>
  <c r="L7" i="2619" s="1"/>
  <c r="M7" i="2619" s="1"/>
  <c r="I7" i="2619"/>
  <c r="H7" i="2619" s="1"/>
  <c r="K44" i="2619"/>
  <c r="L44" i="2619" s="1"/>
  <c r="M44" i="2619" s="1"/>
  <c r="I44" i="2619"/>
  <c r="H44" i="2619" s="1"/>
  <c r="K42" i="2619"/>
  <c r="L42" i="2619" s="1"/>
  <c r="M42" i="2619" s="1"/>
  <c r="H42" i="2619"/>
  <c r="K40" i="2619"/>
  <c r="L40" i="2619" s="1"/>
  <c r="M40" i="2619" s="1"/>
  <c r="I40" i="2619"/>
  <c r="H40" i="2619" s="1"/>
  <c r="K38" i="2619"/>
  <c r="L38" i="2619" s="1"/>
  <c r="M38" i="2619" s="1"/>
  <c r="I38" i="2619"/>
  <c r="H38" i="2619" s="1"/>
  <c r="K32" i="2619"/>
  <c r="L32" i="2619" s="1"/>
  <c r="M32" i="2619" s="1"/>
  <c r="I32" i="2619"/>
  <c r="H32" i="2619" s="1"/>
  <c r="K36" i="2619"/>
  <c r="L36" i="2619" s="1"/>
  <c r="M36" i="2619" s="1"/>
  <c r="I36" i="2619"/>
  <c r="H36" i="2619" s="1"/>
  <c r="K34" i="2619"/>
  <c r="L34" i="2619" s="1"/>
  <c r="M34" i="2619" s="1"/>
  <c r="I34" i="2619"/>
  <c r="H34" i="2619" s="1"/>
  <c r="K27" i="2619"/>
  <c r="L27" i="2619" s="1"/>
  <c r="M27" i="2619" s="1"/>
  <c r="K19" i="2619"/>
  <c r="L19" i="2619" s="1"/>
  <c r="M19" i="2619" s="1"/>
  <c r="I19" i="2619"/>
  <c r="H19" i="2619" s="1"/>
  <c r="K17" i="2619"/>
  <c r="L17" i="2619" s="1"/>
  <c r="M17" i="2619" s="1"/>
  <c r="I17" i="2619"/>
  <c r="H17" i="2619" s="1"/>
  <c r="K15" i="2619"/>
  <c r="L15" i="2619" s="1"/>
  <c r="M15" i="2619" s="1"/>
  <c r="I15" i="2619"/>
  <c r="H15" i="2619" s="1"/>
  <c r="K13" i="2619"/>
  <c r="L13" i="2619" s="1"/>
  <c r="M13" i="2619" s="1"/>
  <c r="I13" i="2619"/>
  <c r="H13" i="2619" s="1"/>
  <c r="K33" i="2618" l="1"/>
  <c r="L33" i="2618" s="1"/>
  <c r="M33" i="2618" s="1"/>
  <c r="I33" i="2618"/>
  <c r="H33" i="2618" s="1"/>
  <c r="K31" i="2618"/>
  <c r="L31" i="2618" s="1"/>
  <c r="M31" i="2618" s="1"/>
  <c r="I31" i="2618"/>
  <c r="H31" i="2618" s="1"/>
  <c r="K29" i="2618"/>
  <c r="L29" i="2618" s="1"/>
  <c r="M29" i="2618" s="1"/>
  <c r="I29" i="2618"/>
  <c r="H29" i="2618"/>
  <c r="K27" i="2618"/>
  <c r="L27" i="2618" s="1"/>
  <c r="M27" i="2618" s="1"/>
  <c r="I27" i="2618"/>
  <c r="H27" i="2618" s="1"/>
  <c r="K25" i="2618"/>
  <c r="L25" i="2618" s="1"/>
  <c r="M25" i="2618" s="1"/>
  <c r="I25" i="2618"/>
  <c r="H25" i="2618" s="1"/>
  <c r="K21" i="2618"/>
  <c r="L21" i="2618" s="1"/>
  <c r="M21" i="2618" s="1"/>
  <c r="I21" i="2618"/>
  <c r="H21" i="2618" s="1"/>
  <c r="K19" i="2618"/>
  <c r="L19" i="2618" s="1"/>
  <c r="M19" i="2618" s="1"/>
  <c r="I19" i="2618"/>
  <c r="H19" i="2618" s="1"/>
  <c r="M17" i="2618"/>
  <c r="L17" i="2618"/>
  <c r="K17" i="2618"/>
  <c r="H17" i="2618"/>
  <c r="I17" i="2618"/>
  <c r="L11" i="2618"/>
  <c r="M11" i="2618" s="1"/>
  <c r="K11" i="2618"/>
  <c r="M7" i="2618"/>
  <c r="L7" i="2618"/>
  <c r="K7" i="2618"/>
  <c r="H7" i="2618"/>
  <c r="I7" i="2618"/>
  <c r="L5" i="2618"/>
  <c r="M5" i="2618" s="1"/>
  <c r="K5" i="2618"/>
  <c r="I5" i="2618"/>
  <c r="H5" i="2618" s="1"/>
  <c r="K3" i="2618"/>
  <c r="L3" i="2618" s="1"/>
  <c r="M3" i="2618" s="1"/>
  <c r="I3" i="2618"/>
  <c r="H3" i="2618"/>
  <c r="K15" i="2618"/>
  <c r="L15" i="2618" s="1"/>
  <c r="M15" i="2618" s="1"/>
  <c r="I15" i="2618"/>
  <c r="H15" i="2618" s="1"/>
  <c r="K13" i="2618"/>
  <c r="L13" i="2618" s="1"/>
  <c r="M13" i="2618" s="1"/>
  <c r="I13" i="2618"/>
  <c r="H13" i="2618"/>
  <c r="I11" i="2618"/>
  <c r="H11" i="2618"/>
  <c r="K9" i="2618"/>
  <c r="L9" i="2618" s="1"/>
  <c r="M9" i="2618" s="1"/>
  <c r="I9" i="2618"/>
  <c r="H9" i="2618"/>
  <c r="H11" i="2617"/>
  <c r="M31" i="2617"/>
  <c r="L31" i="2617"/>
  <c r="K31" i="2617"/>
  <c r="H31" i="2617"/>
  <c r="I31" i="2617"/>
  <c r="K33" i="2617"/>
  <c r="L33" i="2617" s="1"/>
  <c r="M33" i="2617" s="1"/>
  <c r="I33" i="2617"/>
  <c r="H33" i="2617" s="1"/>
  <c r="K29" i="2617"/>
  <c r="L29" i="2617" s="1"/>
  <c r="M29" i="2617" s="1"/>
  <c r="I29" i="2617"/>
  <c r="H29" i="2617"/>
  <c r="K21" i="2617"/>
  <c r="L21" i="2617" s="1"/>
  <c r="M21" i="2617" s="1"/>
  <c r="I21" i="2617"/>
  <c r="H21" i="2617"/>
  <c r="L25" i="2617"/>
  <c r="M25" i="2617" s="1"/>
  <c r="K25" i="2617"/>
  <c r="I25" i="2617"/>
  <c r="H25" i="2617" s="1"/>
  <c r="K23" i="2617"/>
  <c r="L23" i="2617" s="1"/>
  <c r="M23" i="2617" s="1"/>
  <c r="I23" i="2617"/>
  <c r="H23" i="2617"/>
  <c r="K27" i="2617"/>
  <c r="L27" i="2617" s="1"/>
  <c r="M27" i="2617" s="1"/>
  <c r="I27" i="2617"/>
  <c r="H27" i="2617"/>
  <c r="M13" i="2617"/>
  <c r="L13" i="2617"/>
  <c r="K13" i="2617"/>
  <c r="H13" i="2617"/>
  <c r="I13" i="2617"/>
  <c r="K11" i="2617"/>
  <c r="L11" i="2617" s="1"/>
  <c r="M11" i="2617" s="1"/>
  <c r="I11" i="2617"/>
  <c r="K9" i="2617"/>
  <c r="L9" i="2617" s="1"/>
  <c r="M9" i="2617" s="1"/>
  <c r="I9" i="2617"/>
  <c r="H9" i="2617"/>
  <c r="L5" i="2617"/>
  <c r="M5" i="2617" s="1"/>
  <c r="K5" i="2617"/>
  <c r="I5" i="2617"/>
  <c r="H5" i="2617" s="1"/>
  <c r="L3" i="2617"/>
  <c r="M3" i="2617" s="1"/>
  <c r="K3" i="2617"/>
  <c r="I3" i="2617"/>
  <c r="H3" i="2617" s="1"/>
  <c r="K19" i="2617"/>
  <c r="L19" i="2617" s="1"/>
  <c r="M19" i="2617" s="1"/>
  <c r="I19" i="2617"/>
  <c r="H19" i="2617" s="1"/>
  <c r="K17" i="2617"/>
  <c r="L17" i="2617" s="1"/>
  <c r="M17" i="2617" s="1"/>
  <c r="I17" i="2617"/>
  <c r="H17" i="2617" s="1"/>
  <c r="K15" i="2617"/>
  <c r="L15" i="2617" s="1"/>
  <c r="M15" i="2617" s="1"/>
  <c r="I15" i="2617"/>
  <c r="H15" i="2617" s="1"/>
  <c r="K7" i="2617"/>
  <c r="L7" i="2617" s="1"/>
  <c r="M7" i="2617" s="1"/>
  <c r="I7" i="2617"/>
  <c r="H7" i="2617"/>
  <c r="M9" i="2616"/>
  <c r="L9" i="2616"/>
  <c r="K9" i="2616"/>
  <c r="H9" i="2616"/>
  <c r="I9" i="2616"/>
  <c r="K3" i="2616"/>
  <c r="L3" i="2616" s="1"/>
  <c r="M3" i="2616" s="1"/>
  <c r="I3" i="2616"/>
  <c r="H3" i="2616" s="1"/>
  <c r="K25" i="2616"/>
  <c r="L25" i="2616" s="1"/>
  <c r="M25" i="2616" s="1"/>
  <c r="I25" i="2616"/>
  <c r="H25" i="2616" s="1"/>
  <c r="K23" i="2616"/>
  <c r="L23" i="2616" s="1"/>
  <c r="M23" i="2616" s="1"/>
  <c r="I23" i="2616"/>
  <c r="H23" i="2616" s="1"/>
  <c r="K21" i="2616"/>
  <c r="L21" i="2616" s="1"/>
  <c r="M21" i="2616" s="1"/>
  <c r="I21" i="2616"/>
  <c r="H21" i="2616" s="1"/>
  <c r="K19" i="2616"/>
  <c r="L19" i="2616" s="1"/>
  <c r="M19" i="2616" s="1"/>
  <c r="I19" i="2616"/>
  <c r="H19" i="2616" s="1"/>
  <c r="K17" i="2616"/>
  <c r="L17" i="2616" s="1"/>
  <c r="M17" i="2616" s="1"/>
  <c r="I17" i="2616"/>
  <c r="H17" i="2616" s="1"/>
  <c r="K15" i="2616"/>
  <c r="L15" i="2616" s="1"/>
  <c r="M15" i="2616" s="1"/>
  <c r="I15" i="2616"/>
  <c r="H15" i="2616" s="1"/>
  <c r="K7" i="2616"/>
  <c r="L7" i="2616" s="1"/>
  <c r="M7" i="2616" s="1"/>
  <c r="I7" i="2616"/>
  <c r="H7" i="2616" s="1"/>
  <c r="K5" i="2616"/>
  <c r="L5" i="2616" s="1"/>
  <c r="M5" i="2616" s="1"/>
  <c r="I5" i="2616"/>
  <c r="H5" i="2616" s="1"/>
  <c r="M3" i="2615"/>
  <c r="L3" i="2615"/>
  <c r="K3" i="2615"/>
  <c r="K55" i="2615"/>
  <c r="L55" i="2615" s="1"/>
  <c r="M55" i="2615" s="1"/>
  <c r="I55" i="2615"/>
  <c r="H55" i="2615" s="1"/>
  <c r="K53" i="2615"/>
  <c r="L53" i="2615" s="1"/>
  <c r="M53" i="2615" s="1"/>
  <c r="I53" i="2615"/>
  <c r="H53" i="2615" s="1"/>
  <c r="K47" i="2615"/>
  <c r="L47" i="2615" s="1"/>
  <c r="M47" i="2615" s="1"/>
  <c r="I47" i="2615"/>
  <c r="H47" i="2615" s="1"/>
  <c r="K45" i="2615"/>
  <c r="L45" i="2615" s="1"/>
  <c r="M45" i="2615" s="1"/>
  <c r="I45" i="2615"/>
  <c r="H45" i="2615" s="1"/>
  <c r="K39" i="2615"/>
  <c r="L39" i="2615" s="1"/>
  <c r="M39" i="2615" s="1"/>
  <c r="I39" i="2615"/>
  <c r="H39" i="2615" s="1"/>
  <c r="K37" i="2615"/>
  <c r="L37" i="2615" s="1"/>
  <c r="M37" i="2615" s="1"/>
  <c r="I37" i="2615"/>
  <c r="H37" i="2615" s="1"/>
  <c r="I15" i="2615"/>
  <c r="H15" i="2615" s="1"/>
  <c r="K15" i="2615"/>
  <c r="L15" i="2615" s="1"/>
  <c r="M15" i="2615" s="1"/>
  <c r="K17" i="2615"/>
  <c r="L17" i="2615" s="1"/>
  <c r="M17" i="2615" s="1"/>
  <c r="I17" i="2615"/>
  <c r="H17" i="2615" s="1"/>
  <c r="K9" i="2615" l="1"/>
  <c r="L9" i="2615" s="1"/>
  <c r="M9" i="2615" s="1"/>
  <c r="I9" i="2615"/>
  <c r="H9" i="2615" s="1"/>
  <c r="I3" i="2615"/>
  <c r="H3" i="2615" s="1"/>
  <c r="K43" i="2615"/>
  <c r="L43" i="2615" s="1"/>
  <c r="M43" i="2615" s="1"/>
  <c r="I43" i="2615"/>
  <c r="H43" i="2615" s="1"/>
  <c r="K41" i="2615"/>
  <c r="L41" i="2615" s="1"/>
  <c r="M41" i="2615" s="1"/>
  <c r="I41" i="2615"/>
  <c r="H41" i="2615" s="1"/>
  <c r="K33" i="2615"/>
  <c r="L33" i="2615" s="1"/>
  <c r="M33" i="2615" s="1"/>
  <c r="I33" i="2615"/>
  <c r="H33" i="2615" s="1"/>
  <c r="K31" i="2615"/>
  <c r="L31" i="2615" s="1"/>
  <c r="M31" i="2615" s="1"/>
  <c r="I31" i="2615"/>
  <c r="H31" i="2615" s="1"/>
  <c r="K29" i="2615"/>
  <c r="L29" i="2615" s="1"/>
  <c r="M29" i="2615" s="1"/>
  <c r="I29" i="2615"/>
  <c r="H29" i="2615" s="1"/>
  <c r="K27" i="2615"/>
  <c r="L27" i="2615" s="1"/>
  <c r="M27" i="2615" s="1"/>
  <c r="I27" i="2615"/>
  <c r="H27" i="2615" s="1"/>
  <c r="K13" i="2615"/>
  <c r="L13" i="2615" s="1"/>
  <c r="M13" i="2615" s="1"/>
  <c r="I13" i="2615"/>
  <c r="H13" i="2615" s="1"/>
  <c r="K11" i="2615"/>
  <c r="L11" i="2615" s="1"/>
  <c r="M11" i="2615" s="1"/>
  <c r="I11" i="2615"/>
  <c r="H11" i="2615" s="1"/>
  <c r="K7" i="2615"/>
  <c r="L7" i="2615" s="1"/>
  <c r="M7" i="2615" s="1"/>
  <c r="I7" i="2615"/>
  <c r="H7" i="2615"/>
  <c r="K5" i="2615"/>
  <c r="L5" i="2615" s="1"/>
  <c r="M5" i="2615" s="1"/>
  <c r="I5" i="2615"/>
  <c r="H5" i="2615" s="1"/>
  <c r="N39" i="2614"/>
  <c r="M39" i="2614"/>
  <c r="L39" i="2614"/>
  <c r="K39" i="2614"/>
  <c r="H39" i="2614"/>
  <c r="I39" i="2614"/>
  <c r="N37" i="2614"/>
  <c r="M37" i="2614"/>
  <c r="L37" i="2614"/>
  <c r="K37" i="2614"/>
  <c r="H37" i="2614"/>
  <c r="I37" i="2614"/>
  <c r="N21" i="2614"/>
  <c r="M21" i="2614"/>
  <c r="L21" i="2614"/>
  <c r="K21" i="2614"/>
  <c r="H21" i="2614"/>
  <c r="I21" i="2614"/>
  <c r="K43" i="2614"/>
  <c r="L43" i="2614" s="1"/>
  <c r="M43" i="2614" s="1"/>
  <c r="N43" i="2614" s="1"/>
  <c r="I43" i="2614"/>
  <c r="H43" i="2614" s="1"/>
  <c r="K41" i="2614"/>
  <c r="L41" i="2614" s="1"/>
  <c r="M41" i="2614" s="1"/>
  <c r="N41" i="2614" s="1"/>
  <c r="I41" i="2614"/>
  <c r="H41" i="2614"/>
  <c r="K27" i="2614"/>
  <c r="L27" i="2614" s="1"/>
  <c r="M27" i="2614" s="1"/>
  <c r="N27" i="2614" s="1"/>
  <c r="I27" i="2614"/>
  <c r="H27" i="2614" s="1"/>
  <c r="K25" i="2614"/>
  <c r="L25" i="2614" s="1"/>
  <c r="M25" i="2614" s="1"/>
  <c r="N25" i="2614" s="1"/>
  <c r="I25" i="2614"/>
  <c r="H25" i="2614"/>
  <c r="K23" i="2614"/>
  <c r="L23" i="2614" s="1"/>
  <c r="M23" i="2614" s="1"/>
  <c r="N23" i="2614" s="1"/>
  <c r="I23" i="2614"/>
  <c r="H23" i="2614" s="1"/>
  <c r="K19" i="2614"/>
  <c r="L19" i="2614" s="1"/>
  <c r="M19" i="2614" s="1"/>
  <c r="N19" i="2614" s="1"/>
  <c r="I19" i="2614"/>
  <c r="H19" i="2614"/>
  <c r="K17" i="2614"/>
  <c r="L17" i="2614" s="1"/>
  <c r="M17" i="2614" s="1"/>
  <c r="N17" i="2614" s="1"/>
  <c r="I17" i="2614"/>
  <c r="H17" i="2614"/>
  <c r="K15" i="2614"/>
  <c r="L15" i="2614" s="1"/>
  <c r="M15" i="2614" s="1"/>
  <c r="N15" i="2614" s="1"/>
  <c r="I15" i="2614"/>
  <c r="H15" i="2614"/>
  <c r="K13" i="2614"/>
  <c r="L13" i="2614" s="1"/>
  <c r="M13" i="2614" s="1"/>
  <c r="N13" i="2614" s="1"/>
  <c r="I13" i="2614"/>
  <c r="H13" i="2614" s="1"/>
  <c r="K11" i="2614"/>
  <c r="L11" i="2614" s="1"/>
  <c r="M11" i="2614" s="1"/>
  <c r="N11" i="2614" s="1"/>
  <c r="I11" i="2614"/>
  <c r="H11" i="2614" s="1"/>
  <c r="K9" i="2614"/>
  <c r="L9" i="2614" s="1"/>
  <c r="M9" i="2614" s="1"/>
  <c r="N9" i="2614" s="1"/>
  <c r="I9" i="2614"/>
  <c r="H9" i="2614"/>
  <c r="K3" i="2614"/>
  <c r="L3" i="2614" s="1"/>
  <c r="M3" i="2614" s="1"/>
  <c r="N3" i="2614" s="1"/>
  <c r="I3" i="2614"/>
  <c r="H3" i="2614"/>
  <c r="N37" i="2613"/>
  <c r="M37" i="2613"/>
  <c r="L37" i="2613"/>
  <c r="K37" i="2613"/>
  <c r="H37" i="2613"/>
  <c r="I37" i="2613"/>
  <c r="N39" i="2613"/>
  <c r="M39" i="2613"/>
  <c r="L39" i="2613"/>
  <c r="K39" i="2613"/>
  <c r="H39" i="2613"/>
  <c r="I39" i="2613"/>
  <c r="K23" i="2613"/>
  <c r="L23" i="2613" s="1"/>
  <c r="M23" i="2613" s="1"/>
  <c r="N23" i="2613" s="1"/>
  <c r="I23" i="2613"/>
  <c r="H23" i="2613" s="1"/>
  <c r="K21" i="2613"/>
  <c r="L21" i="2613" s="1"/>
  <c r="M21" i="2613" s="1"/>
  <c r="N21" i="2613" s="1"/>
  <c r="I21" i="2613"/>
  <c r="H21" i="2613" s="1"/>
  <c r="K27" i="2613"/>
  <c r="L27" i="2613" s="1"/>
  <c r="M27" i="2613" s="1"/>
  <c r="N27" i="2613" s="1"/>
  <c r="I27" i="2613"/>
  <c r="H27" i="2613"/>
  <c r="L25" i="2613"/>
  <c r="M25" i="2613" s="1"/>
  <c r="N25" i="2613" s="1"/>
  <c r="K25" i="2613"/>
  <c r="I25" i="2613"/>
  <c r="H25" i="2613"/>
  <c r="K19" i="2613"/>
  <c r="L19" i="2613" s="1"/>
  <c r="M19" i="2613" s="1"/>
  <c r="N19" i="2613" s="1"/>
  <c r="I19" i="2613"/>
  <c r="H19" i="2613"/>
  <c r="K17" i="2613"/>
  <c r="L17" i="2613" s="1"/>
  <c r="M17" i="2613" s="1"/>
  <c r="N17" i="2613" s="1"/>
  <c r="I17" i="2613"/>
  <c r="H17" i="2613"/>
  <c r="K15" i="2613"/>
  <c r="L15" i="2613" s="1"/>
  <c r="M15" i="2613" s="1"/>
  <c r="N15" i="2613" s="1"/>
  <c r="I15" i="2613"/>
  <c r="H15" i="2613" s="1"/>
  <c r="K13" i="2613"/>
  <c r="L13" i="2613" s="1"/>
  <c r="M13" i="2613" s="1"/>
  <c r="N13" i="2613" s="1"/>
  <c r="I13" i="2613"/>
  <c r="H13" i="2613" s="1"/>
  <c r="K11" i="2613"/>
  <c r="L11" i="2613" s="1"/>
  <c r="M11" i="2613" s="1"/>
  <c r="N11" i="2613" s="1"/>
  <c r="I11" i="2613"/>
  <c r="H11" i="2613" s="1"/>
  <c r="L9" i="2613"/>
  <c r="M9" i="2613" s="1"/>
  <c r="N9" i="2613" s="1"/>
  <c r="K9" i="2613"/>
  <c r="I9" i="2613"/>
  <c r="H9" i="2613"/>
  <c r="L3" i="2613"/>
  <c r="M3" i="2613" s="1"/>
  <c r="N3" i="2613" s="1"/>
  <c r="K3" i="2613"/>
  <c r="I3" i="2613"/>
  <c r="H3" i="2613"/>
  <c r="H39" i="2612"/>
  <c r="H37" i="2612"/>
  <c r="I39" i="2612"/>
  <c r="I37" i="2612"/>
  <c r="K39" i="2612"/>
  <c r="L39" i="2612" s="1"/>
  <c r="M39" i="2612" s="1"/>
  <c r="N39" i="2612" s="1"/>
  <c r="K37" i="2612"/>
  <c r="L37" i="2612" s="1"/>
  <c r="M37" i="2612" s="1"/>
  <c r="N37" i="2612" s="1"/>
  <c r="K15" i="2612"/>
  <c r="K27" i="2612"/>
  <c r="L27" i="2612" s="1"/>
  <c r="M27" i="2612" s="1"/>
  <c r="N27" i="2612" s="1"/>
  <c r="I27" i="2612"/>
  <c r="H27" i="2612" s="1"/>
  <c r="K25" i="2612"/>
  <c r="L25" i="2612" s="1"/>
  <c r="M25" i="2612" s="1"/>
  <c r="N25" i="2612" s="1"/>
  <c r="I25" i="2612"/>
  <c r="H25" i="2612" s="1"/>
  <c r="K23" i="2612"/>
  <c r="L23" i="2612" s="1"/>
  <c r="M23" i="2612" s="1"/>
  <c r="N23" i="2612" s="1"/>
  <c r="I23" i="2612"/>
  <c r="H23" i="2612"/>
  <c r="K21" i="2612"/>
  <c r="L21" i="2612" s="1"/>
  <c r="M21" i="2612" s="1"/>
  <c r="N21" i="2612" s="1"/>
  <c r="I21" i="2612"/>
  <c r="H21" i="2612" s="1"/>
  <c r="L15" i="2612"/>
  <c r="M15" i="2612" s="1"/>
  <c r="N15" i="2612" s="1"/>
  <c r="I15" i="2612"/>
  <c r="H15" i="2612" s="1"/>
  <c r="K13" i="2612"/>
  <c r="L13" i="2612" s="1"/>
  <c r="M13" i="2612" s="1"/>
  <c r="N13" i="2612" s="1"/>
  <c r="I13" i="2612"/>
  <c r="H13" i="2612" s="1"/>
  <c r="K11" i="2612"/>
  <c r="L11" i="2612" s="1"/>
  <c r="M11" i="2612" s="1"/>
  <c r="N11" i="2612" s="1"/>
  <c r="I11" i="2612"/>
  <c r="H11" i="2612"/>
  <c r="K3" i="2612"/>
  <c r="L3" i="2612" s="1"/>
  <c r="M3" i="2612" s="1"/>
  <c r="N3" i="2612" s="1"/>
  <c r="I3" i="2612"/>
  <c r="H3" i="2612"/>
  <c r="M35" i="2610"/>
  <c r="L35" i="2610"/>
  <c r="K35" i="2610"/>
  <c r="H35" i="2610"/>
  <c r="I35" i="2610"/>
  <c r="M33" i="2610"/>
  <c r="L33" i="2610"/>
  <c r="K33" i="2610"/>
  <c r="H33" i="2610"/>
  <c r="I33" i="2610"/>
  <c r="M31" i="2610"/>
  <c r="L31" i="2610"/>
  <c r="K31" i="2610"/>
  <c r="H31" i="2610"/>
  <c r="I31" i="2610"/>
  <c r="K9" i="2611"/>
  <c r="L9" i="2611" s="1"/>
  <c r="I9" i="2611"/>
  <c r="H9" i="2611" s="1"/>
  <c r="K19" i="2611"/>
  <c r="L19" i="2611" s="1"/>
  <c r="I19" i="2611"/>
  <c r="H19" i="2611" s="1"/>
  <c r="K17" i="2611"/>
  <c r="L17" i="2611" s="1"/>
  <c r="I17" i="2611"/>
  <c r="H17" i="2611" s="1"/>
  <c r="K15" i="2611"/>
  <c r="L15" i="2611" s="1"/>
  <c r="I15" i="2611"/>
  <c r="H15" i="2611" s="1"/>
  <c r="L13" i="2611"/>
  <c r="K13" i="2611"/>
  <c r="I13" i="2611"/>
  <c r="H13" i="2611" s="1"/>
  <c r="K11" i="2611"/>
  <c r="L11" i="2611" s="1"/>
  <c r="I11" i="2611"/>
  <c r="H11" i="2611" s="1"/>
  <c r="K7" i="2611"/>
  <c r="L7" i="2611" s="1"/>
  <c r="I7" i="2611"/>
  <c r="K5" i="2611"/>
  <c r="L5" i="2611" s="1"/>
  <c r="I5" i="2611"/>
  <c r="H5" i="2611" s="1"/>
  <c r="I3" i="2611"/>
  <c r="H3" i="2611" s="1"/>
  <c r="K3" i="2611"/>
  <c r="L3" i="2611" s="1"/>
  <c r="K41" i="2610" l="1"/>
  <c r="L41" i="2610" s="1"/>
  <c r="M41" i="2610" s="1"/>
  <c r="I41" i="2610"/>
  <c r="H41" i="2610" s="1"/>
  <c r="K39" i="2610"/>
  <c r="L39" i="2610" s="1"/>
  <c r="M39" i="2610" s="1"/>
  <c r="I39" i="2610"/>
  <c r="H39" i="2610" s="1"/>
  <c r="K37" i="2610"/>
  <c r="L37" i="2610" s="1"/>
  <c r="M37" i="2610" s="1"/>
  <c r="I37" i="2610"/>
  <c r="H37" i="2610" s="1"/>
  <c r="K29" i="2610"/>
  <c r="L29" i="2610" s="1"/>
  <c r="M29" i="2610" s="1"/>
  <c r="I29" i="2610"/>
  <c r="H29" i="2610" s="1"/>
  <c r="K27" i="2610"/>
  <c r="L27" i="2610" s="1"/>
  <c r="M27" i="2610" s="1"/>
  <c r="I27" i="2610"/>
  <c r="H27" i="2610" s="1"/>
  <c r="K23" i="2610"/>
  <c r="L23" i="2610" s="1"/>
  <c r="M23" i="2610" s="1"/>
  <c r="I23" i="2610"/>
  <c r="H23" i="2610" s="1"/>
  <c r="K21" i="2610"/>
  <c r="L21" i="2610" s="1"/>
  <c r="M21" i="2610" s="1"/>
  <c r="I21" i="2610"/>
  <c r="H21" i="2610" s="1"/>
  <c r="K19" i="2610"/>
  <c r="L19" i="2610" s="1"/>
  <c r="M19" i="2610" s="1"/>
  <c r="I19" i="2610"/>
  <c r="H19" i="2610" s="1"/>
  <c r="K9" i="2610"/>
  <c r="L9" i="2610" s="1"/>
  <c r="M9" i="2610" s="1"/>
  <c r="I9" i="2610"/>
  <c r="H9" i="2610" s="1"/>
  <c r="K3" i="2610"/>
  <c r="L3" i="2610" s="1"/>
  <c r="M3" i="2610" s="1"/>
  <c r="I3" i="2610"/>
  <c r="H3" i="2610" s="1"/>
  <c r="K17" i="2610"/>
  <c r="L17" i="2610" s="1"/>
  <c r="M17" i="2610" s="1"/>
  <c r="I17" i="2610"/>
  <c r="H17" i="2610" s="1"/>
  <c r="K15" i="2610"/>
  <c r="L15" i="2610" s="1"/>
  <c r="M15" i="2610" s="1"/>
  <c r="I15" i="2610"/>
  <c r="H15" i="2610" s="1"/>
  <c r="K13" i="2610"/>
  <c r="L13" i="2610" s="1"/>
  <c r="M13" i="2610" s="1"/>
  <c r="I13" i="2610"/>
  <c r="H13" i="2610" s="1"/>
  <c r="K11" i="2610"/>
  <c r="L11" i="2610" s="1"/>
  <c r="M11" i="2610" s="1"/>
  <c r="I11" i="2610"/>
  <c r="H11" i="2610" s="1"/>
  <c r="K7" i="2610"/>
  <c r="L7" i="2610" s="1"/>
  <c r="M7" i="2610" s="1"/>
  <c r="I7" i="2610"/>
  <c r="H7" i="2610"/>
  <c r="K5" i="2610"/>
  <c r="L5" i="2610" s="1"/>
  <c r="M5" i="2610" s="1"/>
  <c r="I5" i="2610"/>
  <c r="H5" i="2610" s="1"/>
  <c r="K35" i="2609"/>
  <c r="L35" i="2609" s="1"/>
  <c r="M35" i="2609" s="1"/>
  <c r="I35" i="2609"/>
  <c r="H35" i="2609" s="1"/>
  <c r="K33" i="2609"/>
  <c r="L33" i="2609" s="1"/>
  <c r="M33" i="2609" s="1"/>
  <c r="I33" i="2609"/>
  <c r="H33" i="2609"/>
  <c r="K31" i="2609"/>
  <c r="L31" i="2609" s="1"/>
  <c r="M31" i="2609" s="1"/>
  <c r="I31" i="2609"/>
  <c r="H31" i="2609"/>
  <c r="K29" i="2609"/>
  <c r="L29" i="2609" s="1"/>
  <c r="M29" i="2609" s="1"/>
  <c r="I29" i="2609"/>
  <c r="H29" i="2609"/>
  <c r="K19" i="2609"/>
  <c r="L19" i="2609" s="1"/>
  <c r="M19" i="2609" s="1"/>
  <c r="I19" i="2609"/>
  <c r="H19" i="2609" s="1"/>
  <c r="K17" i="2609"/>
  <c r="L17" i="2609" s="1"/>
  <c r="M17" i="2609" s="1"/>
  <c r="I17" i="2609"/>
  <c r="H17" i="2609"/>
  <c r="K15" i="2609"/>
  <c r="L15" i="2609" s="1"/>
  <c r="M15" i="2609" s="1"/>
  <c r="I15" i="2609"/>
  <c r="H15" i="2609" s="1"/>
  <c r="K13" i="2609"/>
  <c r="L13" i="2609" s="1"/>
  <c r="M13" i="2609" s="1"/>
  <c r="I13" i="2609"/>
  <c r="H13" i="2609"/>
  <c r="K9" i="2609"/>
  <c r="L9" i="2609" s="1"/>
  <c r="M9" i="2609" s="1"/>
  <c r="I9" i="2609"/>
  <c r="H9" i="2609"/>
  <c r="K7" i="2609"/>
  <c r="L7" i="2609" s="1"/>
  <c r="M7" i="2609" s="1"/>
  <c r="I7" i="2609"/>
  <c r="H7" i="2609" s="1"/>
  <c r="K5" i="2609"/>
  <c r="L5" i="2609" s="1"/>
  <c r="M5" i="2609" s="1"/>
  <c r="I5" i="2609"/>
  <c r="H5" i="2609"/>
  <c r="K3" i="2609"/>
  <c r="L3" i="2609" s="1"/>
  <c r="M3" i="2609" s="1"/>
  <c r="I3" i="2609"/>
  <c r="H3" i="2609"/>
  <c r="L23" i="2607"/>
  <c r="M23" i="2607" s="1"/>
  <c r="K23" i="2607"/>
  <c r="H23" i="2607"/>
  <c r="I23" i="2607"/>
  <c r="K19" i="2607"/>
  <c r="L19" i="2607" s="1"/>
  <c r="M19" i="2607" s="1"/>
  <c r="I19" i="2607"/>
  <c r="H19" i="2607" s="1"/>
  <c r="H31" i="2607"/>
  <c r="K27" i="2608"/>
  <c r="L27" i="2608" s="1"/>
  <c r="M27" i="2608" s="1"/>
  <c r="I27" i="2608"/>
  <c r="H27" i="2608" s="1"/>
  <c r="K25" i="2608"/>
  <c r="L25" i="2608" s="1"/>
  <c r="M25" i="2608" s="1"/>
  <c r="I25" i="2608"/>
  <c r="H25" i="2608"/>
  <c r="K23" i="2608"/>
  <c r="L23" i="2608" s="1"/>
  <c r="M23" i="2608" s="1"/>
  <c r="I23" i="2608"/>
  <c r="H23" i="2608" s="1"/>
  <c r="K19" i="2608"/>
  <c r="L19" i="2608" s="1"/>
  <c r="M19" i="2608" s="1"/>
  <c r="I19" i="2608"/>
  <c r="H19" i="2608" s="1"/>
  <c r="K17" i="2608"/>
  <c r="L17" i="2608" s="1"/>
  <c r="M17" i="2608" s="1"/>
  <c r="I17" i="2608"/>
  <c r="H17" i="2608"/>
  <c r="K15" i="2608"/>
  <c r="L15" i="2608" s="1"/>
  <c r="M15" i="2608" s="1"/>
  <c r="I15" i="2608"/>
  <c r="H15" i="2608" s="1"/>
  <c r="K13" i="2608"/>
  <c r="L13" i="2608" s="1"/>
  <c r="M13" i="2608" s="1"/>
  <c r="I13" i="2608"/>
  <c r="H13" i="2608" s="1"/>
  <c r="K11" i="2608"/>
  <c r="L11" i="2608" s="1"/>
  <c r="M11" i="2608" s="1"/>
  <c r="I11" i="2608"/>
  <c r="H11" i="2608"/>
  <c r="K9" i="2608"/>
  <c r="L9" i="2608" s="1"/>
  <c r="M9" i="2608" s="1"/>
  <c r="I9" i="2608"/>
  <c r="H9" i="2608"/>
  <c r="K7" i="2608"/>
  <c r="L7" i="2608" s="1"/>
  <c r="M7" i="2608" s="1"/>
  <c r="I7" i="2608"/>
  <c r="H7" i="2608"/>
  <c r="K5" i="2608"/>
  <c r="L5" i="2608" s="1"/>
  <c r="M5" i="2608" s="1"/>
  <c r="I5" i="2608"/>
  <c r="H5" i="2608"/>
  <c r="K3" i="2608"/>
  <c r="L3" i="2608" s="1"/>
  <c r="M3" i="2608" s="1"/>
  <c r="I3" i="2608"/>
  <c r="H3" i="2608"/>
  <c r="K31" i="2607"/>
  <c r="L31" i="2607" s="1"/>
  <c r="M31" i="2607" s="1"/>
  <c r="I31" i="2607"/>
  <c r="K33" i="2607"/>
  <c r="L33" i="2607" s="1"/>
  <c r="M33" i="2607" s="1"/>
  <c r="I33" i="2607"/>
  <c r="H33" i="2607" s="1"/>
  <c r="K29" i="2607" l="1"/>
  <c r="L29" i="2607" s="1"/>
  <c r="M29" i="2607" s="1"/>
  <c r="I29" i="2607"/>
  <c r="H29" i="2607" s="1"/>
  <c r="I27" i="2607"/>
  <c r="H27" i="2607" s="1"/>
  <c r="K25" i="2607"/>
  <c r="L25" i="2607" s="1"/>
  <c r="M25" i="2607" s="1"/>
  <c r="I25" i="2607"/>
  <c r="H25" i="2607" s="1"/>
  <c r="K11" i="2607"/>
  <c r="L11" i="2607" s="1"/>
  <c r="M11" i="2607" s="1"/>
  <c r="I11" i="2607"/>
  <c r="H11" i="2607" s="1"/>
  <c r="I9" i="2607"/>
  <c r="H9" i="2607" s="1"/>
  <c r="K9" i="2607"/>
  <c r="L9" i="2607" s="1"/>
  <c r="M9" i="2607" s="1"/>
  <c r="K5" i="2607"/>
  <c r="L5" i="2607" s="1"/>
  <c r="M5" i="2607" s="1"/>
  <c r="I5" i="2607"/>
  <c r="H5" i="2607" s="1"/>
  <c r="K3" i="2607"/>
  <c r="L3" i="2607" s="1"/>
  <c r="M3" i="2607" s="1"/>
  <c r="I3" i="2607"/>
  <c r="H3" i="2607" s="1"/>
  <c r="K27" i="2607"/>
  <c r="L27" i="2607" s="1"/>
  <c r="M27" i="2607" s="1"/>
  <c r="K17" i="2607"/>
  <c r="L17" i="2607" s="1"/>
  <c r="M17" i="2607" s="1"/>
  <c r="I17" i="2607"/>
  <c r="H17" i="2607" s="1"/>
  <c r="K15" i="2607"/>
  <c r="L15" i="2607" s="1"/>
  <c r="M15" i="2607" s="1"/>
  <c r="I15" i="2607"/>
  <c r="H15" i="2607" s="1"/>
  <c r="K13" i="2607"/>
  <c r="L13" i="2607" s="1"/>
  <c r="M13" i="2607" s="1"/>
  <c r="I13" i="2607"/>
  <c r="H13" i="2607" s="1"/>
  <c r="K7" i="2607"/>
  <c r="L7" i="2607" s="1"/>
  <c r="M7" i="2607" s="1"/>
  <c r="I7" i="2607"/>
  <c r="H7" i="2607" s="1"/>
  <c r="K23" i="2606" l="1"/>
  <c r="L23" i="2606" s="1"/>
  <c r="M23" i="2606" s="1"/>
  <c r="N23" i="2606" s="1"/>
  <c r="I23" i="2606"/>
  <c r="H23" i="2606"/>
  <c r="K45" i="2606"/>
  <c r="L45" i="2606" s="1"/>
  <c r="M45" i="2606" s="1"/>
  <c r="N45" i="2606" s="1"/>
  <c r="I45" i="2606"/>
  <c r="H45" i="2606"/>
  <c r="I41" i="2606"/>
  <c r="H41" i="2606" s="1"/>
  <c r="K43" i="2606"/>
  <c r="L43" i="2606" s="1"/>
  <c r="M43" i="2606" s="1"/>
  <c r="N43" i="2606" s="1"/>
  <c r="I43" i="2606"/>
  <c r="H43" i="2606" s="1"/>
  <c r="K41" i="2606"/>
  <c r="L41" i="2606" s="1"/>
  <c r="M41" i="2606" s="1"/>
  <c r="N41" i="2606" s="1"/>
  <c r="K25" i="2606" l="1"/>
  <c r="L25" i="2606" s="1"/>
  <c r="M25" i="2606" s="1"/>
  <c r="N25" i="2606" s="1"/>
  <c r="I25" i="2606"/>
  <c r="H25" i="2606" s="1"/>
  <c r="K37" i="2606"/>
  <c r="L37" i="2606" s="1"/>
  <c r="M37" i="2606" s="1"/>
  <c r="N37" i="2606" s="1"/>
  <c r="I37" i="2606"/>
  <c r="H37" i="2606" s="1"/>
  <c r="K35" i="2606"/>
  <c r="L35" i="2606" s="1"/>
  <c r="M35" i="2606" s="1"/>
  <c r="N35" i="2606" s="1"/>
  <c r="I35" i="2606"/>
  <c r="H35" i="2606" s="1"/>
  <c r="K31" i="2606"/>
  <c r="L31" i="2606" s="1"/>
  <c r="M31" i="2606" s="1"/>
  <c r="N31" i="2606" s="1"/>
  <c r="I31" i="2606"/>
  <c r="H31" i="2606" s="1"/>
  <c r="I33" i="2606"/>
  <c r="K33" i="2606"/>
  <c r="L33" i="2606" s="1"/>
  <c r="M33" i="2606" s="1"/>
  <c r="N33" i="2606" s="1"/>
  <c r="H33" i="2606"/>
  <c r="K21" i="2606"/>
  <c r="L21" i="2606" s="1"/>
  <c r="M21" i="2606" s="1"/>
  <c r="N21" i="2606" s="1"/>
  <c r="I21" i="2606"/>
  <c r="H21" i="2606" s="1"/>
  <c r="K13" i="2606"/>
  <c r="L13" i="2606" s="1"/>
  <c r="M13" i="2606" s="1"/>
  <c r="N13" i="2606" s="1"/>
  <c r="I13" i="2606"/>
  <c r="H13" i="2606" s="1"/>
  <c r="K11" i="2606"/>
  <c r="L11" i="2606" s="1"/>
  <c r="M11" i="2606" s="1"/>
  <c r="N11" i="2606" s="1"/>
  <c r="I11" i="2606"/>
  <c r="H11" i="2606" s="1"/>
  <c r="K39" i="2606"/>
  <c r="L39" i="2606" s="1"/>
  <c r="M39" i="2606" s="1"/>
  <c r="N39" i="2606" s="1"/>
  <c r="I39" i="2606"/>
  <c r="H39" i="2606"/>
  <c r="K29" i="2606"/>
  <c r="L29" i="2606" s="1"/>
  <c r="M29" i="2606" s="1"/>
  <c r="N29" i="2606" s="1"/>
  <c r="I29" i="2606"/>
  <c r="H29" i="2606" s="1"/>
  <c r="K27" i="2606"/>
  <c r="L27" i="2606" s="1"/>
  <c r="M27" i="2606" s="1"/>
  <c r="N27" i="2606" s="1"/>
  <c r="I27" i="2606"/>
  <c r="H27" i="2606" s="1"/>
  <c r="K15" i="2606"/>
  <c r="L15" i="2606" s="1"/>
  <c r="M15" i="2606" s="1"/>
  <c r="N15" i="2606" s="1"/>
  <c r="I15" i="2606"/>
  <c r="H15" i="2606"/>
  <c r="K9" i="2606"/>
  <c r="L9" i="2606" s="1"/>
  <c r="M9" i="2606" s="1"/>
  <c r="N9" i="2606" s="1"/>
  <c r="I9" i="2606"/>
  <c r="H9" i="2606"/>
  <c r="K3" i="2606"/>
  <c r="L3" i="2606" s="1"/>
  <c r="M3" i="2606" s="1"/>
  <c r="N3" i="2606" s="1"/>
  <c r="I3" i="2606"/>
  <c r="H3" i="2606"/>
  <c r="K41" i="2605"/>
  <c r="L41" i="2605" s="1"/>
  <c r="M41" i="2605" s="1"/>
  <c r="I41" i="2605"/>
  <c r="H41" i="2605"/>
  <c r="K39" i="2605"/>
  <c r="L39" i="2605" s="1"/>
  <c r="M39" i="2605" s="1"/>
  <c r="I39" i="2605"/>
  <c r="H39" i="2605"/>
  <c r="I37" i="2605"/>
  <c r="H37" i="2605" s="1"/>
  <c r="K37" i="2605"/>
  <c r="L37" i="2605" s="1"/>
  <c r="M37" i="2605" s="1"/>
  <c r="K31" i="2605"/>
  <c r="L31" i="2605" s="1"/>
  <c r="M31" i="2605" s="1"/>
  <c r="I31" i="2605"/>
  <c r="H31" i="2605" s="1"/>
  <c r="K23" i="2605"/>
  <c r="L23" i="2605" s="1"/>
  <c r="M23" i="2605" s="1"/>
  <c r="H23" i="2605"/>
  <c r="I23" i="2605"/>
  <c r="K21" i="2605"/>
  <c r="L21" i="2605" s="1"/>
  <c r="M21" i="2605" s="1"/>
  <c r="I21" i="2605"/>
  <c r="H21" i="2605" s="1"/>
  <c r="K35" i="2605"/>
  <c r="L35" i="2605" s="1"/>
  <c r="M35" i="2605" s="1"/>
  <c r="I35" i="2605"/>
  <c r="H35" i="2605" s="1"/>
  <c r="K33" i="2605"/>
  <c r="L33" i="2605" s="1"/>
  <c r="M33" i="2605" s="1"/>
  <c r="I33" i="2605"/>
  <c r="H33" i="2605" s="1"/>
  <c r="K27" i="2605"/>
  <c r="L27" i="2605" s="1"/>
  <c r="M27" i="2605" s="1"/>
  <c r="I27" i="2605"/>
  <c r="H27" i="2605" s="1"/>
  <c r="K25" i="2605"/>
  <c r="L25" i="2605" s="1"/>
  <c r="M25" i="2605" s="1"/>
  <c r="I25" i="2605"/>
  <c r="H25" i="2605" s="1"/>
  <c r="K15" i="2605"/>
  <c r="L15" i="2605" s="1"/>
  <c r="M15" i="2605" s="1"/>
  <c r="I15" i="2605"/>
  <c r="H15" i="2605" s="1"/>
  <c r="K13" i="2605"/>
  <c r="L13" i="2605" s="1"/>
  <c r="M13" i="2605" s="1"/>
  <c r="I13" i="2605"/>
  <c r="H13" i="2605" s="1"/>
  <c r="K11" i="2605"/>
  <c r="L11" i="2605" s="1"/>
  <c r="M11" i="2605" s="1"/>
  <c r="I11" i="2605"/>
  <c r="H11" i="2605" s="1"/>
  <c r="K9" i="2605"/>
  <c r="L9" i="2605" s="1"/>
  <c r="M9" i="2605" s="1"/>
  <c r="I9" i="2605"/>
  <c r="H9" i="2605"/>
  <c r="K3" i="2605"/>
  <c r="L3" i="2605" s="1"/>
  <c r="M3" i="2605" s="1"/>
  <c r="I3" i="2605"/>
  <c r="H3" i="2605" s="1"/>
  <c r="K29" i="2604"/>
  <c r="L29" i="2604" s="1"/>
  <c r="M29" i="2604" s="1"/>
  <c r="I29" i="2604"/>
  <c r="H29" i="2604"/>
  <c r="K27" i="2604"/>
  <c r="L27" i="2604" s="1"/>
  <c r="M27" i="2604" s="1"/>
  <c r="I27" i="2604"/>
  <c r="H27" i="2604"/>
  <c r="K25" i="2604"/>
  <c r="L25" i="2604" s="1"/>
  <c r="I25" i="2604"/>
  <c r="H25" i="2604"/>
  <c r="L23" i="2604"/>
  <c r="M23" i="2604" s="1"/>
  <c r="K23" i="2604"/>
  <c r="I23" i="2604"/>
  <c r="H23" i="2604" s="1"/>
  <c r="P19" i="2604" s="1"/>
  <c r="P20" i="2604" s="1"/>
  <c r="K19" i="2604"/>
  <c r="L19" i="2604" s="1"/>
  <c r="M19" i="2604" s="1"/>
  <c r="I19" i="2604"/>
  <c r="H19" i="2604"/>
  <c r="K17" i="2604"/>
  <c r="L17" i="2604" s="1"/>
  <c r="M17" i="2604" s="1"/>
  <c r="I17" i="2604"/>
  <c r="H17" i="2604"/>
  <c r="M15" i="2604"/>
  <c r="L15" i="2604"/>
  <c r="K15" i="2604"/>
  <c r="I15" i="2604"/>
  <c r="H15" i="2604"/>
  <c r="K13" i="2604"/>
  <c r="L13" i="2604" s="1"/>
  <c r="M13" i="2604" s="1"/>
  <c r="I13" i="2604"/>
  <c r="H13" i="2604"/>
  <c r="K11" i="2604"/>
  <c r="L11" i="2604" s="1"/>
  <c r="M11" i="2604" s="1"/>
  <c r="I11" i="2604"/>
  <c r="H11" i="2604"/>
  <c r="L9" i="2604"/>
  <c r="M9" i="2604" s="1"/>
  <c r="K9" i="2604"/>
  <c r="I9" i="2604"/>
  <c r="H9" i="2604" s="1"/>
  <c r="K7" i="2604"/>
  <c r="L7" i="2604" s="1"/>
  <c r="M7" i="2604" s="1"/>
  <c r="I7" i="2604"/>
  <c r="H7" i="2604"/>
  <c r="K5" i="2604"/>
  <c r="L5" i="2604" s="1"/>
  <c r="M5" i="2604" s="1"/>
  <c r="I5" i="2604"/>
  <c r="H5" i="2604"/>
  <c r="K3" i="2604"/>
  <c r="L3" i="2604" s="1"/>
  <c r="M3" i="2604" s="1"/>
  <c r="I3" i="2604"/>
  <c r="H3" i="2604" s="1"/>
  <c r="N23" i="2603"/>
  <c r="M23" i="2603"/>
  <c r="L23" i="2603"/>
  <c r="K23" i="2603"/>
  <c r="H23" i="2603"/>
  <c r="I23" i="2603"/>
  <c r="K41" i="2603"/>
  <c r="L41" i="2603" s="1"/>
  <c r="M41" i="2603" s="1"/>
  <c r="N41" i="2603" s="1"/>
  <c r="I41" i="2603"/>
  <c r="H41" i="2603" s="1"/>
  <c r="K45" i="2603"/>
  <c r="L45" i="2603" s="1"/>
  <c r="M45" i="2603" s="1"/>
  <c r="N45" i="2603" s="1"/>
  <c r="I45" i="2603"/>
  <c r="H45" i="2603" s="1"/>
  <c r="K43" i="2603"/>
  <c r="L43" i="2603" s="1"/>
  <c r="M43" i="2603" s="1"/>
  <c r="N43" i="2603" s="1"/>
  <c r="I43" i="2603"/>
  <c r="H43" i="2603" s="1"/>
  <c r="K39" i="2603"/>
  <c r="L39" i="2603" s="1"/>
  <c r="M39" i="2603" s="1"/>
  <c r="N39" i="2603" s="1"/>
  <c r="I39" i="2603"/>
  <c r="H39" i="2603" s="1"/>
  <c r="I37" i="2603"/>
  <c r="H37" i="2603" s="1"/>
  <c r="K37" i="2603"/>
  <c r="L37" i="2603" s="1"/>
  <c r="M37" i="2603" s="1"/>
  <c r="N37" i="2603" s="1"/>
  <c r="K21" i="2603"/>
  <c r="L21" i="2603" s="1"/>
  <c r="M21" i="2603" s="1"/>
  <c r="N21" i="2603" s="1"/>
  <c r="I21" i="2603"/>
  <c r="H21" i="2603" s="1"/>
  <c r="K9" i="2603"/>
  <c r="L9" i="2603" s="1"/>
  <c r="M9" i="2603" s="1"/>
  <c r="N9" i="2603" s="1"/>
  <c r="I9" i="2603"/>
  <c r="H9" i="2603"/>
  <c r="K27" i="2603"/>
  <c r="L27" i="2603" s="1"/>
  <c r="M27" i="2603" s="1"/>
  <c r="N27" i="2603" s="1"/>
  <c r="I27" i="2603"/>
  <c r="H27" i="2603" s="1"/>
  <c r="K25" i="2603"/>
  <c r="L25" i="2603" s="1"/>
  <c r="M25" i="2603" s="1"/>
  <c r="N25" i="2603" s="1"/>
  <c r="I25" i="2603"/>
  <c r="H25" i="2603" s="1"/>
  <c r="K15" i="2603"/>
  <c r="L15" i="2603" s="1"/>
  <c r="M15" i="2603" s="1"/>
  <c r="N15" i="2603" s="1"/>
  <c r="I15" i="2603"/>
  <c r="H15" i="2603" s="1"/>
  <c r="K13" i="2603"/>
  <c r="L13" i="2603" s="1"/>
  <c r="M13" i="2603" s="1"/>
  <c r="N13" i="2603" s="1"/>
  <c r="I13" i="2603"/>
  <c r="H13" i="2603" s="1"/>
  <c r="K11" i="2603"/>
  <c r="L11" i="2603" s="1"/>
  <c r="M11" i="2603" s="1"/>
  <c r="N11" i="2603" s="1"/>
  <c r="I11" i="2603"/>
  <c r="H11" i="2603"/>
  <c r="K3" i="2603"/>
  <c r="L3" i="2603" s="1"/>
  <c r="M3" i="2603" s="1"/>
  <c r="N3" i="2603" s="1"/>
  <c r="I3" i="2603"/>
  <c r="H3" i="2603" s="1"/>
  <c r="K41" i="2602"/>
  <c r="L41" i="2602" s="1"/>
  <c r="M41" i="2602" s="1"/>
  <c r="I41" i="2602"/>
  <c r="H41" i="2602" s="1"/>
  <c r="K39" i="2602"/>
  <c r="L39" i="2602" s="1"/>
  <c r="M39" i="2602" s="1"/>
  <c r="H39" i="2602"/>
  <c r="I39" i="2602"/>
  <c r="K37" i="2602"/>
  <c r="L37" i="2602" s="1"/>
  <c r="M37" i="2602" s="1"/>
  <c r="I37" i="2602"/>
  <c r="H37" i="2602" s="1"/>
  <c r="K23" i="2602"/>
  <c r="L23" i="2602" s="1"/>
  <c r="M23" i="2602" s="1"/>
  <c r="I23" i="2602"/>
  <c r="H23" i="2602" s="1"/>
  <c r="K21" i="2602"/>
  <c r="L21" i="2602" s="1"/>
  <c r="M21" i="2602" s="1"/>
  <c r="I21" i="2602"/>
  <c r="H21" i="2602" s="1"/>
  <c r="K43" i="2602"/>
  <c r="L43" i="2602" s="1"/>
  <c r="M43" i="2602" s="1"/>
  <c r="I43" i="2602"/>
  <c r="H43" i="2602" s="1"/>
  <c r="K27" i="2602"/>
  <c r="L27" i="2602" s="1"/>
  <c r="M27" i="2602" s="1"/>
  <c r="I27" i="2602"/>
  <c r="H27" i="2602" s="1"/>
  <c r="K25" i="2602"/>
  <c r="L25" i="2602" s="1"/>
  <c r="M25" i="2602" s="1"/>
  <c r="I25" i="2602"/>
  <c r="H25" i="2602"/>
  <c r="K15" i="2602"/>
  <c r="L15" i="2602" s="1"/>
  <c r="M15" i="2602" s="1"/>
  <c r="I15" i="2602"/>
  <c r="H15" i="2602" s="1"/>
  <c r="K13" i="2602"/>
  <c r="L13" i="2602" s="1"/>
  <c r="M13" i="2602" s="1"/>
  <c r="I13" i="2602"/>
  <c r="H13" i="2602"/>
  <c r="K11" i="2602"/>
  <c r="L11" i="2602" s="1"/>
  <c r="M11" i="2602" s="1"/>
  <c r="I11" i="2602"/>
  <c r="H11" i="2602"/>
  <c r="K9" i="2602"/>
  <c r="L9" i="2602" s="1"/>
  <c r="M9" i="2602" s="1"/>
  <c r="I9" i="2602"/>
  <c r="H9" i="2602" s="1"/>
  <c r="K3" i="2602"/>
  <c r="L3" i="2602" s="1"/>
  <c r="M3" i="2602" s="1"/>
  <c r="I3" i="2602"/>
  <c r="H3" i="2602" s="1"/>
  <c r="N3" i="2581"/>
  <c r="N5" i="2581"/>
  <c r="N7" i="2581"/>
  <c r="N9" i="2581"/>
  <c r="N13" i="2581"/>
  <c r="N15" i="2581"/>
  <c r="N17" i="2581"/>
  <c r="N19" i="2581"/>
  <c r="N23" i="2581"/>
  <c r="N25" i="2581"/>
  <c r="N27" i="2581"/>
  <c r="N29" i="2581"/>
  <c r="L7" i="2601"/>
  <c r="M27" i="2601"/>
  <c r="L27" i="2601"/>
  <c r="K27" i="2601"/>
  <c r="H27" i="2601"/>
  <c r="I27" i="2601"/>
  <c r="M25" i="2601"/>
  <c r="L25" i="2601"/>
  <c r="K25" i="2601"/>
  <c r="H25" i="2601"/>
  <c r="I25" i="2601"/>
  <c r="M29" i="2601"/>
  <c r="L29" i="2601"/>
  <c r="K29" i="2601"/>
  <c r="H29" i="2601"/>
  <c r="I29" i="2601"/>
  <c r="L23" i="2601"/>
  <c r="M23" i="2601" s="1"/>
  <c r="K23" i="2601"/>
  <c r="I23" i="2601"/>
  <c r="H23" i="2601" s="1"/>
  <c r="K15" i="2601"/>
  <c r="L15" i="2601" s="1"/>
  <c r="M15" i="2601" s="1"/>
  <c r="I15" i="2601"/>
  <c r="H15" i="2601" s="1"/>
  <c r="K13" i="2601"/>
  <c r="L13" i="2601" s="1"/>
  <c r="M13" i="2601" s="1"/>
  <c r="I13" i="2601"/>
  <c r="H13" i="2601" s="1"/>
  <c r="K11" i="2601"/>
  <c r="L11" i="2601" s="1"/>
  <c r="M11" i="2601" s="1"/>
  <c r="I11" i="2601"/>
  <c r="H11" i="2601" s="1"/>
  <c r="K7" i="2601"/>
  <c r="I7" i="2601"/>
  <c r="H7" i="2601" s="1"/>
  <c r="K5" i="2601"/>
  <c r="L5" i="2601" s="1"/>
  <c r="M5" i="2601" s="1"/>
  <c r="K3" i="2601"/>
  <c r="L3" i="2601" s="1"/>
  <c r="M3" i="2601" s="1"/>
  <c r="I5" i="2601"/>
  <c r="H5" i="2601" s="1"/>
  <c r="I3" i="2601"/>
  <c r="H3" i="2601" s="1"/>
  <c r="K9" i="2601"/>
  <c r="L9" i="2601" s="1"/>
  <c r="M9" i="2601" s="1"/>
  <c r="I9" i="2601"/>
  <c r="H9" i="2601"/>
  <c r="K3" i="2600"/>
  <c r="L3" i="2600" s="1"/>
  <c r="I3" i="2600"/>
  <c r="H3" i="2600" s="1"/>
  <c r="K25" i="2600"/>
  <c r="L25" i="2600" s="1"/>
  <c r="I25" i="2600"/>
  <c r="H25" i="2600" s="1"/>
  <c r="K23" i="2600"/>
  <c r="L23" i="2600" s="1"/>
  <c r="I23" i="2600"/>
  <c r="H23" i="2600" s="1"/>
  <c r="K21" i="2600"/>
  <c r="L21" i="2600" s="1"/>
  <c r="I21" i="2600"/>
  <c r="H21" i="2600" s="1"/>
  <c r="K19" i="2600"/>
  <c r="L19" i="2600" s="1"/>
  <c r="I19" i="2600"/>
  <c r="H19" i="2600" s="1"/>
  <c r="K17" i="2600"/>
  <c r="L17" i="2600" s="1"/>
  <c r="I17" i="2600"/>
  <c r="H17" i="2600" s="1"/>
  <c r="K15" i="2600"/>
  <c r="L15" i="2600" s="1"/>
  <c r="I15" i="2600"/>
  <c r="H15" i="2600" s="1"/>
  <c r="K7" i="2600"/>
  <c r="L7" i="2600" s="1"/>
  <c r="I7" i="2600"/>
  <c r="H7" i="2600" s="1"/>
  <c r="K5" i="2600"/>
  <c r="L5" i="2600" s="1"/>
  <c r="I5" i="2600"/>
  <c r="H5" i="2600" s="1"/>
  <c r="Q62" i="2594"/>
  <c r="Q63" i="2594" s="1"/>
  <c r="K37" i="2599"/>
  <c r="L37" i="2599" s="1"/>
  <c r="M37" i="2599" s="1"/>
  <c r="N37" i="2599" s="1"/>
  <c r="I37" i="2599"/>
  <c r="H37" i="2599"/>
  <c r="K35" i="2599"/>
  <c r="L35" i="2599" s="1"/>
  <c r="M35" i="2599" s="1"/>
  <c r="N35" i="2599" s="1"/>
  <c r="I35" i="2599"/>
  <c r="H35" i="2599"/>
  <c r="K33" i="2599"/>
  <c r="L33" i="2599" s="1"/>
  <c r="M33" i="2599" s="1"/>
  <c r="N33" i="2599" s="1"/>
  <c r="I33" i="2599"/>
  <c r="H33" i="2599" s="1"/>
  <c r="K31" i="2599"/>
  <c r="L31" i="2599" s="1"/>
  <c r="M31" i="2599" s="1"/>
  <c r="N31" i="2599" s="1"/>
  <c r="I31" i="2599"/>
  <c r="H31" i="2599"/>
  <c r="K29" i="2599"/>
  <c r="L29" i="2599" s="1"/>
  <c r="M29" i="2599" s="1"/>
  <c r="N29" i="2599" s="1"/>
  <c r="I29" i="2599"/>
  <c r="H29" i="2599"/>
  <c r="M27" i="2599"/>
  <c r="N27" i="2599" s="1"/>
  <c r="L27" i="2599"/>
  <c r="K27" i="2599"/>
  <c r="I27" i="2599"/>
  <c r="H27" i="2599" s="1"/>
  <c r="K25" i="2599"/>
  <c r="L25" i="2599" s="1"/>
  <c r="M25" i="2599" s="1"/>
  <c r="N25" i="2599" s="1"/>
  <c r="I25" i="2599"/>
  <c r="H25" i="2599"/>
  <c r="K23" i="2599"/>
  <c r="L23" i="2599" s="1"/>
  <c r="M23" i="2599" s="1"/>
  <c r="N23" i="2599" s="1"/>
  <c r="I23" i="2599"/>
  <c r="H23" i="2599"/>
  <c r="K21" i="2599"/>
  <c r="L21" i="2599" s="1"/>
  <c r="M21" i="2599" s="1"/>
  <c r="N21" i="2599" s="1"/>
  <c r="I21" i="2599"/>
  <c r="H21" i="2599"/>
  <c r="K15" i="2599"/>
  <c r="L15" i="2599" s="1"/>
  <c r="M15" i="2599" s="1"/>
  <c r="N15" i="2599" s="1"/>
  <c r="I15" i="2599"/>
  <c r="H15" i="2599"/>
  <c r="K13" i="2599"/>
  <c r="L13" i="2599" s="1"/>
  <c r="M13" i="2599" s="1"/>
  <c r="N13" i="2599" s="1"/>
  <c r="I13" i="2599"/>
  <c r="H13" i="2599" s="1"/>
  <c r="K11" i="2599"/>
  <c r="L11" i="2599" s="1"/>
  <c r="M11" i="2599" s="1"/>
  <c r="N11" i="2599" s="1"/>
  <c r="I11" i="2599"/>
  <c r="H11" i="2599"/>
  <c r="K9" i="2599"/>
  <c r="L9" i="2599" s="1"/>
  <c r="M9" i="2599" s="1"/>
  <c r="N9" i="2599" s="1"/>
  <c r="I9" i="2599"/>
  <c r="H9" i="2599"/>
  <c r="M3" i="2599"/>
  <c r="N3" i="2599" s="1"/>
  <c r="L3" i="2599"/>
  <c r="K3" i="2599"/>
  <c r="I3" i="2599"/>
  <c r="H3" i="2599"/>
  <c r="L43" i="2598"/>
  <c r="M43" i="2598" s="1"/>
  <c r="J43" i="2598"/>
  <c r="I43" i="2598" s="1"/>
  <c r="H43" i="2598" s="1"/>
  <c r="L41" i="2598"/>
  <c r="M41" i="2598" s="1"/>
  <c r="J41" i="2598"/>
  <c r="I41" i="2598" s="1"/>
  <c r="H41" i="2598" s="1"/>
  <c r="L39" i="2598"/>
  <c r="M39" i="2598" s="1"/>
  <c r="J39" i="2598"/>
  <c r="I39" i="2598"/>
  <c r="H39" i="2598" s="1"/>
  <c r="L37" i="2598"/>
  <c r="M37" i="2598" s="1"/>
  <c r="J37" i="2598"/>
  <c r="I37" i="2598"/>
  <c r="H37" i="2598" s="1"/>
  <c r="L35" i="2598"/>
  <c r="M35" i="2598" s="1"/>
  <c r="J35" i="2598"/>
  <c r="I35" i="2598" s="1"/>
  <c r="H35" i="2598" s="1"/>
  <c r="L33" i="2598"/>
  <c r="M33" i="2598" s="1"/>
  <c r="J33" i="2598"/>
  <c r="I33" i="2598"/>
  <c r="H33" i="2598" s="1"/>
  <c r="L31" i="2598"/>
  <c r="M31" i="2598" s="1"/>
  <c r="J31" i="2598"/>
  <c r="I31" i="2598"/>
  <c r="H31" i="2598" s="1"/>
  <c r="L29" i="2598"/>
  <c r="M29" i="2598" s="1"/>
  <c r="J29" i="2598"/>
  <c r="I29" i="2598"/>
  <c r="H29" i="2598" s="1"/>
  <c r="L27" i="2598"/>
  <c r="M27" i="2598" s="1"/>
  <c r="J27" i="2598"/>
  <c r="I27" i="2598" s="1"/>
  <c r="H27" i="2598" s="1"/>
  <c r="L25" i="2598"/>
  <c r="M25" i="2598" s="1"/>
  <c r="J25" i="2598"/>
  <c r="I25" i="2598"/>
  <c r="H25" i="2598" s="1"/>
  <c r="L23" i="2598"/>
  <c r="M23" i="2598" s="1"/>
  <c r="J23" i="2598"/>
  <c r="I23" i="2598"/>
  <c r="H23" i="2598" s="1"/>
  <c r="L21" i="2598"/>
  <c r="M21" i="2598" s="1"/>
  <c r="J21" i="2598"/>
  <c r="I21" i="2598"/>
  <c r="H21" i="2598" s="1"/>
  <c r="M15" i="2598"/>
  <c r="L15" i="2598"/>
  <c r="J15" i="2598"/>
  <c r="I15" i="2598" s="1"/>
  <c r="H15" i="2598" s="1"/>
  <c r="L13" i="2598"/>
  <c r="M13" i="2598" s="1"/>
  <c r="J13" i="2598"/>
  <c r="I13" i="2598"/>
  <c r="H13" i="2598" s="1"/>
  <c r="L11" i="2598"/>
  <c r="M11" i="2598" s="1"/>
  <c r="J11" i="2598"/>
  <c r="I11" i="2598"/>
  <c r="H11" i="2598" s="1"/>
  <c r="L9" i="2598"/>
  <c r="M9" i="2598" s="1"/>
  <c r="J9" i="2598"/>
  <c r="I9" i="2598"/>
  <c r="H9" i="2598" s="1"/>
  <c r="L3" i="2598"/>
  <c r="M3" i="2598" s="1"/>
  <c r="J3" i="2598"/>
  <c r="I3" i="2598" s="1"/>
  <c r="L35" i="2597"/>
  <c r="M35" i="2597" s="1"/>
  <c r="N35" i="2597" s="1"/>
  <c r="K35" i="2597"/>
  <c r="I35" i="2597"/>
  <c r="H35" i="2597"/>
  <c r="K33" i="2597"/>
  <c r="L33" i="2597" s="1"/>
  <c r="M33" i="2597" s="1"/>
  <c r="N33" i="2597" s="1"/>
  <c r="I33" i="2597"/>
  <c r="H33" i="2597"/>
  <c r="K31" i="2597"/>
  <c r="L31" i="2597" s="1"/>
  <c r="M31" i="2597" s="1"/>
  <c r="N31" i="2597" s="1"/>
  <c r="I31" i="2597"/>
  <c r="H31" i="2597" s="1"/>
  <c r="K29" i="2597"/>
  <c r="L29" i="2597" s="1"/>
  <c r="M29" i="2597" s="1"/>
  <c r="N29" i="2597" s="1"/>
  <c r="I29" i="2597"/>
  <c r="H29" i="2597"/>
  <c r="K27" i="2597"/>
  <c r="L27" i="2597" s="1"/>
  <c r="M27" i="2597" s="1"/>
  <c r="N27" i="2597" s="1"/>
  <c r="I27" i="2597"/>
  <c r="H27" i="2597"/>
  <c r="M25" i="2597"/>
  <c r="N25" i="2597" s="1"/>
  <c r="L25" i="2597"/>
  <c r="K25" i="2597"/>
  <c r="I25" i="2597"/>
  <c r="H25" i="2597" s="1"/>
  <c r="K23" i="2597"/>
  <c r="L23" i="2597" s="1"/>
  <c r="M23" i="2597" s="1"/>
  <c r="N23" i="2597" s="1"/>
  <c r="I23" i="2597"/>
  <c r="H23" i="2597"/>
  <c r="K21" i="2597"/>
  <c r="L21" i="2597" s="1"/>
  <c r="M21" i="2597" s="1"/>
  <c r="N21" i="2597" s="1"/>
  <c r="I21" i="2597"/>
  <c r="H21" i="2597"/>
  <c r="L15" i="2597"/>
  <c r="M15" i="2597" s="1"/>
  <c r="N15" i="2597" s="1"/>
  <c r="K15" i="2597"/>
  <c r="I15" i="2597"/>
  <c r="H15" i="2597"/>
  <c r="K13" i="2597"/>
  <c r="L13" i="2597" s="1"/>
  <c r="M13" i="2597" s="1"/>
  <c r="N13" i="2597" s="1"/>
  <c r="I13" i="2597"/>
  <c r="H13" i="2597"/>
  <c r="K11" i="2597"/>
  <c r="L11" i="2597" s="1"/>
  <c r="M11" i="2597" s="1"/>
  <c r="N11" i="2597" s="1"/>
  <c r="I11" i="2597"/>
  <c r="H11" i="2597" s="1"/>
  <c r="K9" i="2597"/>
  <c r="L9" i="2597" s="1"/>
  <c r="M9" i="2597" s="1"/>
  <c r="N9" i="2597" s="1"/>
  <c r="I9" i="2597"/>
  <c r="H9" i="2597"/>
  <c r="K3" i="2597"/>
  <c r="L3" i="2597" s="1"/>
  <c r="M3" i="2597" s="1"/>
  <c r="N3" i="2597" s="1"/>
  <c r="I3" i="2597"/>
  <c r="H3" i="2597"/>
  <c r="K37" i="2596"/>
  <c r="L37" i="2596" s="1"/>
  <c r="I37" i="2596"/>
  <c r="H37" i="2596"/>
  <c r="K35" i="2596"/>
  <c r="L35" i="2596" s="1"/>
  <c r="I35" i="2596"/>
  <c r="H35" i="2596"/>
  <c r="K33" i="2596"/>
  <c r="L33" i="2596" s="1"/>
  <c r="I33" i="2596"/>
  <c r="H33" i="2596" s="1"/>
  <c r="K27" i="2596"/>
  <c r="L27" i="2596" s="1"/>
  <c r="I27" i="2596"/>
  <c r="H27" i="2596"/>
  <c r="K25" i="2596"/>
  <c r="L25" i="2596" s="1"/>
  <c r="I25" i="2596"/>
  <c r="H25" i="2596"/>
  <c r="K23" i="2596"/>
  <c r="L23" i="2596" s="1"/>
  <c r="I23" i="2596"/>
  <c r="H23" i="2596"/>
  <c r="K21" i="2596"/>
  <c r="L21" i="2596" s="1"/>
  <c r="I21" i="2596"/>
  <c r="H21" i="2596"/>
  <c r="K15" i="2596"/>
  <c r="L15" i="2596" s="1"/>
  <c r="I15" i="2596"/>
  <c r="H15" i="2596"/>
  <c r="K13" i="2596"/>
  <c r="L13" i="2596" s="1"/>
  <c r="I13" i="2596"/>
  <c r="H13" i="2596"/>
  <c r="K11" i="2596"/>
  <c r="L11" i="2596" s="1"/>
  <c r="I11" i="2596"/>
  <c r="H11" i="2596"/>
  <c r="K9" i="2596"/>
  <c r="L9" i="2596" s="1"/>
  <c r="I9" i="2596"/>
  <c r="H9" i="2596" s="1"/>
  <c r="K3" i="2596"/>
  <c r="L3" i="2596" s="1"/>
  <c r="I3" i="2596"/>
  <c r="H3" i="2596"/>
  <c r="K25" i="2595"/>
  <c r="L25" i="2595" s="1"/>
  <c r="M25" i="2595" s="1"/>
  <c r="I25" i="2595"/>
  <c r="H25" i="2595"/>
  <c r="K23" i="2595"/>
  <c r="L23" i="2595" s="1"/>
  <c r="M23" i="2595" s="1"/>
  <c r="I23" i="2595"/>
  <c r="H23" i="2595"/>
  <c r="K19" i="2595"/>
  <c r="L19" i="2595" s="1"/>
  <c r="M19" i="2595" s="1"/>
  <c r="I19" i="2595"/>
  <c r="H19" i="2595"/>
  <c r="K17" i="2595"/>
  <c r="L17" i="2595" s="1"/>
  <c r="M17" i="2595" s="1"/>
  <c r="I17" i="2595"/>
  <c r="H17" i="2595"/>
  <c r="K15" i="2595"/>
  <c r="L15" i="2595" s="1"/>
  <c r="M15" i="2595" s="1"/>
  <c r="I15" i="2595"/>
  <c r="H15" i="2595"/>
  <c r="K13" i="2595"/>
  <c r="L13" i="2595" s="1"/>
  <c r="M13" i="2595" s="1"/>
  <c r="I13" i="2595"/>
  <c r="H13" i="2595"/>
  <c r="L11" i="2595"/>
  <c r="M11" i="2595" s="1"/>
  <c r="K11" i="2595"/>
  <c r="I11" i="2595"/>
  <c r="H11" i="2595" s="1"/>
  <c r="K9" i="2595"/>
  <c r="L9" i="2595" s="1"/>
  <c r="M9" i="2595" s="1"/>
  <c r="I9" i="2595"/>
  <c r="H9" i="2595"/>
  <c r="K7" i="2595"/>
  <c r="L7" i="2595" s="1"/>
  <c r="M7" i="2595" s="1"/>
  <c r="I7" i="2595"/>
  <c r="H7" i="2595"/>
  <c r="K5" i="2595"/>
  <c r="L5" i="2595" s="1"/>
  <c r="M5" i="2595" s="1"/>
  <c r="I5" i="2595"/>
  <c r="H5" i="2595" s="1"/>
  <c r="K3" i="2595"/>
  <c r="L3" i="2595" s="1"/>
  <c r="M3" i="2595" s="1"/>
  <c r="I3" i="2595"/>
  <c r="H3" i="2595"/>
  <c r="K73" i="2594"/>
  <c r="L73" i="2594" s="1"/>
  <c r="M73" i="2594" s="1"/>
  <c r="N73" i="2594" s="1"/>
  <c r="I73" i="2594"/>
  <c r="H73" i="2594"/>
  <c r="K71" i="2594"/>
  <c r="L71" i="2594" s="1"/>
  <c r="M71" i="2594" s="1"/>
  <c r="N71" i="2594" s="1"/>
  <c r="I71" i="2594"/>
  <c r="H71" i="2594"/>
  <c r="K69" i="2594"/>
  <c r="L69" i="2594" s="1"/>
  <c r="M69" i="2594" s="1"/>
  <c r="N69" i="2594" s="1"/>
  <c r="I69" i="2594"/>
  <c r="H69" i="2594" s="1"/>
  <c r="K67" i="2594"/>
  <c r="L67" i="2594" s="1"/>
  <c r="M67" i="2594" s="1"/>
  <c r="N67" i="2594" s="1"/>
  <c r="I67" i="2594"/>
  <c r="H67" i="2594"/>
  <c r="K65" i="2594"/>
  <c r="L65" i="2594" s="1"/>
  <c r="M65" i="2594" s="1"/>
  <c r="N65" i="2594" s="1"/>
  <c r="I65" i="2594"/>
  <c r="H65" i="2594"/>
  <c r="K55" i="2594"/>
  <c r="L55" i="2594" s="1"/>
  <c r="M55" i="2594" s="1"/>
  <c r="N55" i="2594" s="1"/>
  <c r="I55" i="2594"/>
  <c r="H55" i="2594"/>
  <c r="L53" i="2594"/>
  <c r="M53" i="2594" s="1"/>
  <c r="N53" i="2594" s="1"/>
  <c r="K53" i="2594"/>
  <c r="I53" i="2594"/>
  <c r="H53" i="2594"/>
  <c r="K51" i="2594"/>
  <c r="L51" i="2594" s="1"/>
  <c r="M51" i="2594" s="1"/>
  <c r="N51" i="2594" s="1"/>
  <c r="I51" i="2594"/>
  <c r="H51" i="2594"/>
  <c r="K49" i="2594"/>
  <c r="L49" i="2594" s="1"/>
  <c r="M49" i="2594" s="1"/>
  <c r="N49" i="2594" s="1"/>
  <c r="I49" i="2594"/>
  <c r="H49" i="2594"/>
  <c r="K45" i="2594"/>
  <c r="L45" i="2594" s="1"/>
  <c r="M45" i="2594" s="1"/>
  <c r="N45" i="2594" s="1"/>
  <c r="I45" i="2594"/>
  <c r="H45" i="2594"/>
  <c r="K43" i="2594"/>
  <c r="L43" i="2594" s="1"/>
  <c r="M43" i="2594" s="1"/>
  <c r="N43" i="2594" s="1"/>
  <c r="I43" i="2594"/>
  <c r="H43" i="2594"/>
  <c r="K41" i="2594"/>
  <c r="L41" i="2594" s="1"/>
  <c r="M41" i="2594" s="1"/>
  <c r="N41" i="2594" s="1"/>
  <c r="I41" i="2594"/>
  <c r="H41" i="2594"/>
  <c r="K39" i="2594"/>
  <c r="L39" i="2594" s="1"/>
  <c r="M39" i="2594" s="1"/>
  <c r="N39" i="2594" s="1"/>
  <c r="I39" i="2594"/>
  <c r="H39" i="2594"/>
  <c r="K35" i="2594"/>
  <c r="L35" i="2594" s="1"/>
  <c r="M35" i="2594" s="1"/>
  <c r="N35" i="2594" s="1"/>
  <c r="I35" i="2594"/>
  <c r="H35" i="2594"/>
  <c r="K33" i="2594"/>
  <c r="L33" i="2594" s="1"/>
  <c r="M33" i="2594" s="1"/>
  <c r="N33" i="2594" s="1"/>
  <c r="I33" i="2594"/>
  <c r="H33" i="2594"/>
  <c r="K31" i="2594"/>
  <c r="L31" i="2594" s="1"/>
  <c r="M31" i="2594" s="1"/>
  <c r="N31" i="2594" s="1"/>
  <c r="I31" i="2594"/>
  <c r="H31" i="2594"/>
  <c r="K29" i="2594"/>
  <c r="L29" i="2594" s="1"/>
  <c r="M29" i="2594" s="1"/>
  <c r="N29" i="2594" s="1"/>
  <c r="I29" i="2594"/>
  <c r="H29" i="2594"/>
  <c r="K27" i="2594"/>
  <c r="L27" i="2594" s="1"/>
  <c r="M27" i="2594" s="1"/>
  <c r="N27" i="2594" s="1"/>
  <c r="I27" i="2594"/>
  <c r="H27" i="2594"/>
  <c r="K19" i="2594"/>
  <c r="L19" i="2594" s="1"/>
  <c r="M19" i="2594" s="1"/>
  <c r="N19" i="2594" s="1"/>
  <c r="I19" i="2594"/>
  <c r="H19" i="2594" s="1"/>
  <c r="K17" i="2594"/>
  <c r="L17" i="2594" s="1"/>
  <c r="M17" i="2594" s="1"/>
  <c r="N17" i="2594" s="1"/>
  <c r="I17" i="2594"/>
  <c r="H17" i="2594"/>
  <c r="K15" i="2594"/>
  <c r="L15" i="2594" s="1"/>
  <c r="M15" i="2594" s="1"/>
  <c r="N15" i="2594" s="1"/>
  <c r="I15" i="2594"/>
  <c r="H15" i="2594"/>
  <c r="K13" i="2594"/>
  <c r="L13" i="2594" s="1"/>
  <c r="M13" i="2594" s="1"/>
  <c r="N13" i="2594" s="1"/>
  <c r="I13" i="2594"/>
  <c r="H13" i="2594"/>
  <c r="K11" i="2594"/>
  <c r="L11" i="2594" s="1"/>
  <c r="M11" i="2594" s="1"/>
  <c r="N11" i="2594" s="1"/>
  <c r="I11" i="2594"/>
  <c r="H11" i="2594"/>
  <c r="K9" i="2594"/>
  <c r="L9" i="2594" s="1"/>
  <c r="M9" i="2594" s="1"/>
  <c r="N9" i="2594" s="1"/>
  <c r="I9" i="2594"/>
  <c r="H9" i="2594"/>
  <c r="K7" i="2594"/>
  <c r="L7" i="2594" s="1"/>
  <c r="M7" i="2594" s="1"/>
  <c r="N7" i="2594" s="1"/>
  <c r="I7" i="2594"/>
  <c r="H7" i="2594"/>
  <c r="K5" i="2594"/>
  <c r="L5" i="2594" s="1"/>
  <c r="M5" i="2594" s="1"/>
  <c r="N5" i="2594" s="1"/>
  <c r="I5" i="2594"/>
  <c r="H5" i="2594"/>
  <c r="K3" i="2594"/>
  <c r="L3" i="2594" s="1"/>
  <c r="M3" i="2594" s="1"/>
  <c r="N3" i="2594" s="1"/>
  <c r="I3" i="2594"/>
  <c r="H3" i="2594"/>
  <c r="K19" i="2593"/>
  <c r="L19" i="2593" s="1"/>
  <c r="M19" i="2593" s="1"/>
  <c r="I19" i="2593"/>
  <c r="H19" i="2593" s="1"/>
  <c r="K15" i="2593"/>
  <c r="L15" i="2593" s="1"/>
  <c r="M15" i="2593" s="1"/>
  <c r="I15" i="2593"/>
  <c r="H15" i="2593" s="1"/>
  <c r="K17" i="2593"/>
  <c r="L17" i="2593" s="1"/>
  <c r="M17" i="2593" s="1"/>
  <c r="I17" i="2593"/>
  <c r="H17" i="2593" s="1"/>
  <c r="I29" i="2593"/>
  <c r="H29" i="2593" s="1"/>
  <c r="K29" i="2593"/>
  <c r="L29" i="2593"/>
  <c r="M29" i="2593" s="1"/>
  <c r="K27" i="2593"/>
  <c r="L27" i="2593" s="1"/>
  <c r="M27" i="2593" s="1"/>
  <c r="I27" i="2593"/>
  <c r="H27" i="2593" s="1"/>
  <c r="K25" i="2593"/>
  <c r="L25" i="2593" s="1"/>
  <c r="M25" i="2593" s="1"/>
  <c r="I25" i="2593"/>
  <c r="H25" i="2593" s="1"/>
  <c r="K21" i="2593"/>
  <c r="L21" i="2593" s="1"/>
  <c r="M21" i="2593" s="1"/>
  <c r="I21" i="2593"/>
  <c r="H21" i="2593" s="1"/>
  <c r="K11" i="2593"/>
  <c r="L11" i="2593" s="1"/>
  <c r="M11" i="2593" s="1"/>
  <c r="I11" i="2593"/>
  <c r="H11" i="2593" s="1"/>
  <c r="K9" i="2593"/>
  <c r="L9" i="2593" s="1"/>
  <c r="M9" i="2593" s="1"/>
  <c r="I9" i="2593"/>
  <c r="H9" i="2593" s="1"/>
  <c r="L5" i="2593"/>
  <c r="M5" i="2593" s="1"/>
  <c r="K5" i="2593"/>
  <c r="I5" i="2593"/>
  <c r="H5" i="2593" s="1"/>
  <c r="K3" i="2593"/>
  <c r="L3" i="2593" s="1"/>
  <c r="M3" i="2593" s="1"/>
  <c r="I3" i="2593"/>
  <c r="H3" i="2593" s="1"/>
  <c r="K13" i="2593"/>
  <c r="L13" i="2593" s="1"/>
  <c r="M13" i="2593" s="1"/>
  <c r="I13" i="2593"/>
  <c r="H13" i="2593" s="1"/>
  <c r="K7" i="2593"/>
  <c r="L7" i="2593" s="1"/>
  <c r="M7" i="2593" s="1"/>
  <c r="I7" i="2593"/>
  <c r="H7" i="2593"/>
  <c r="M25" i="2592"/>
  <c r="L25" i="2592"/>
  <c r="K25" i="2592"/>
  <c r="I25" i="2592"/>
  <c r="H25" i="2592" s="1"/>
  <c r="K23" i="2592"/>
  <c r="L23" i="2592" s="1"/>
  <c r="M23" i="2592" s="1"/>
  <c r="I23" i="2592"/>
  <c r="H23" i="2592" s="1"/>
  <c r="M19" i="2592"/>
  <c r="L19" i="2592"/>
  <c r="K19" i="2592"/>
  <c r="H19" i="2592"/>
  <c r="I19" i="2592"/>
  <c r="K5" i="2592"/>
  <c r="L5" i="2592" s="1"/>
  <c r="M5" i="2592" s="1"/>
  <c r="I5" i="2592"/>
  <c r="H5" i="2592" s="1"/>
  <c r="K17" i="2592"/>
  <c r="L17" i="2592" s="1"/>
  <c r="M17" i="2592" s="1"/>
  <c r="I17" i="2592"/>
  <c r="H17" i="2592" s="1"/>
  <c r="K15" i="2592"/>
  <c r="L15" i="2592" s="1"/>
  <c r="M15" i="2592" s="1"/>
  <c r="I15" i="2592"/>
  <c r="H15" i="2592" s="1"/>
  <c r="K13" i="2592"/>
  <c r="L13" i="2592" s="1"/>
  <c r="M13" i="2592" s="1"/>
  <c r="I13" i="2592"/>
  <c r="H13" i="2592" s="1"/>
  <c r="K11" i="2592"/>
  <c r="L11" i="2592" s="1"/>
  <c r="M11" i="2592" s="1"/>
  <c r="I11" i="2592"/>
  <c r="H11" i="2592" s="1"/>
  <c r="K9" i="2592"/>
  <c r="L9" i="2592" s="1"/>
  <c r="M9" i="2592" s="1"/>
  <c r="I9" i="2592"/>
  <c r="H9" i="2592" s="1"/>
  <c r="K7" i="2592"/>
  <c r="L7" i="2592" s="1"/>
  <c r="M7" i="2592" s="1"/>
  <c r="I7" i="2592"/>
  <c r="H7" i="2592" s="1"/>
  <c r="K3" i="2592"/>
  <c r="L3" i="2592" s="1"/>
  <c r="M3" i="2592" s="1"/>
  <c r="I3" i="2592"/>
  <c r="H3" i="2592" s="1"/>
  <c r="M7" i="2601" l="1"/>
  <c r="K25" i="2591"/>
  <c r="L25" i="2591" s="1"/>
  <c r="M25" i="2591" s="1"/>
  <c r="I25" i="2591"/>
  <c r="H25" i="2591" s="1"/>
  <c r="M5" i="2591"/>
  <c r="L5" i="2591"/>
  <c r="K5" i="2591"/>
  <c r="K40" i="2591"/>
  <c r="L40" i="2591" s="1"/>
  <c r="M40" i="2591" s="1"/>
  <c r="I40" i="2591"/>
  <c r="H40" i="2591" s="1"/>
  <c r="K38" i="2591"/>
  <c r="L38" i="2591" s="1"/>
  <c r="M38" i="2591" s="1"/>
  <c r="I38" i="2591"/>
  <c r="H38" i="2591" s="1"/>
  <c r="K36" i="2591"/>
  <c r="L36" i="2591" s="1"/>
  <c r="M36" i="2591" s="1"/>
  <c r="I36" i="2591"/>
  <c r="H36" i="2591" s="1"/>
  <c r="K34" i="2591"/>
  <c r="L34" i="2591" s="1"/>
  <c r="M34" i="2591" s="1"/>
  <c r="I34" i="2591"/>
  <c r="H34" i="2591" s="1"/>
  <c r="I32" i="2591"/>
  <c r="H32" i="2591" s="1"/>
  <c r="K30" i="2591"/>
  <c r="L30" i="2591" s="1"/>
  <c r="M30" i="2591" s="1"/>
  <c r="I30" i="2591"/>
  <c r="H30" i="2591" s="1"/>
  <c r="K32" i="2591"/>
  <c r="L32" i="2591" s="1"/>
  <c r="M32" i="2591" s="1"/>
  <c r="K23" i="2591"/>
  <c r="L23" i="2591" s="1"/>
  <c r="M23" i="2591" s="1"/>
  <c r="I23" i="2591"/>
  <c r="H23" i="2591" s="1"/>
  <c r="K19" i="2591"/>
  <c r="L19" i="2591" s="1"/>
  <c r="M19" i="2591" s="1"/>
  <c r="I19" i="2591"/>
  <c r="H19" i="2591" s="1"/>
  <c r="K15" i="2591"/>
  <c r="L15" i="2591" s="1"/>
  <c r="M15" i="2591" s="1"/>
  <c r="I15" i="2591"/>
  <c r="H15" i="2591" s="1"/>
  <c r="K11" i="2591"/>
  <c r="L11" i="2591" s="1"/>
  <c r="M11" i="2591" s="1"/>
  <c r="I11" i="2591"/>
  <c r="H11" i="2591" s="1"/>
  <c r="I5" i="2591"/>
  <c r="H5" i="2591" s="1"/>
  <c r="K21" i="2591"/>
  <c r="L21" i="2591" s="1"/>
  <c r="M21" i="2591" s="1"/>
  <c r="I21" i="2591"/>
  <c r="H21" i="2591" s="1"/>
  <c r="K13" i="2591"/>
  <c r="L13" i="2591" s="1"/>
  <c r="M13" i="2591" s="1"/>
  <c r="I13" i="2591"/>
  <c r="H13" i="2591" s="1"/>
  <c r="K7" i="2591"/>
  <c r="L7" i="2591" s="1"/>
  <c r="M7" i="2591" s="1"/>
  <c r="I7" i="2591"/>
  <c r="H7" i="2591" s="1"/>
  <c r="K3" i="2591"/>
  <c r="L3" i="2591" s="1"/>
  <c r="M3" i="2591" s="1"/>
  <c r="I3" i="2591"/>
  <c r="H3" i="2591"/>
  <c r="J27" i="2590"/>
  <c r="I27" i="2590" s="1"/>
  <c r="H27" i="2590" s="1"/>
  <c r="L27" i="2590"/>
  <c r="M27" i="2590" s="1"/>
  <c r="N27" i="2590" s="1"/>
  <c r="L25" i="2590"/>
  <c r="M25" i="2590" s="1"/>
  <c r="N25" i="2590" s="1"/>
  <c r="J25" i="2590"/>
  <c r="I25" i="2590" s="1"/>
  <c r="H25" i="2590" s="1"/>
  <c r="L21" i="2590"/>
  <c r="M21" i="2590" s="1"/>
  <c r="N21" i="2590" s="1"/>
  <c r="J21" i="2590"/>
  <c r="I21" i="2590"/>
  <c r="H21" i="2590" s="1"/>
  <c r="L19" i="2590"/>
  <c r="M19" i="2590" s="1"/>
  <c r="N19" i="2590" s="1"/>
  <c r="J19" i="2590"/>
  <c r="I19" i="2590" s="1"/>
  <c r="H19" i="2590" s="1"/>
  <c r="L5" i="2590"/>
  <c r="M5" i="2590" s="1"/>
  <c r="N5" i="2590" s="1"/>
  <c r="J5" i="2590"/>
  <c r="I5" i="2590" s="1"/>
  <c r="H5" i="2590" s="1"/>
  <c r="L3" i="2590"/>
  <c r="M3" i="2590" s="1"/>
  <c r="N3" i="2590" s="1"/>
  <c r="J3" i="2590"/>
  <c r="I3" i="2590"/>
  <c r="H3" i="2590" s="1"/>
  <c r="L17" i="2590"/>
  <c r="M17" i="2590" s="1"/>
  <c r="N17" i="2590" s="1"/>
  <c r="J17" i="2590"/>
  <c r="I17" i="2590" s="1"/>
  <c r="H17" i="2590" s="1"/>
  <c r="L15" i="2590"/>
  <c r="M15" i="2590" s="1"/>
  <c r="N15" i="2590" s="1"/>
  <c r="J15" i="2590"/>
  <c r="I15" i="2590" s="1"/>
  <c r="H15" i="2590" s="1"/>
  <c r="L13" i="2590"/>
  <c r="M13" i="2590" s="1"/>
  <c r="N13" i="2590" s="1"/>
  <c r="J13" i="2590"/>
  <c r="I13" i="2590" s="1"/>
  <c r="H13" i="2590" s="1"/>
  <c r="L11" i="2590"/>
  <c r="M11" i="2590" s="1"/>
  <c r="N11" i="2590" s="1"/>
  <c r="J11" i="2590"/>
  <c r="I11" i="2590" s="1"/>
  <c r="H11" i="2590" s="1"/>
  <c r="L9" i="2590"/>
  <c r="M9" i="2590" s="1"/>
  <c r="N9" i="2590" s="1"/>
  <c r="J9" i="2590"/>
  <c r="I9" i="2590" s="1"/>
  <c r="H9" i="2590" s="1"/>
  <c r="L7" i="2590"/>
  <c r="M7" i="2590" s="1"/>
  <c r="N7" i="2590" s="1"/>
  <c r="J7" i="2590"/>
  <c r="I7" i="2590" s="1"/>
  <c r="H7" i="2590" s="1"/>
  <c r="L31" i="2589"/>
  <c r="M31" i="2589" s="1"/>
  <c r="K31" i="2589"/>
  <c r="I31" i="2589"/>
  <c r="H31" i="2589" s="1"/>
  <c r="M29" i="2589"/>
  <c r="L29" i="2589"/>
  <c r="K29" i="2589"/>
  <c r="H29" i="2589"/>
  <c r="I29" i="2589"/>
  <c r="M27" i="2589"/>
  <c r="L27" i="2589"/>
  <c r="K27" i="2589"/>
  <c r="H27" i="2589"/>
  <c r="I27" i="2589"/>
  <c r="L23" i="2589"/>
  <c r="M23" i="2589" s="1"/>
  <c r="K23" i="2589"/>
  <c r="I23" i="2589"/>
  <c r="H23" i="2589" s="1"/>
  <c r="L21" i="2589"/>
  <c r="M21" i="2589" s="1"/>
  <c r="K21" i="2589"/>
  <c r="I21" i="2589"/>
  <c r="H21" i="2589" s="1"/>
  <c r="M19" i="2589"/>
  <c r="L19" i="2589"/>
  <c r="K19" i="2589"/>
  <c r="H19" i="2589"/>
  <c r="I19" i="2589"/>
  <c r="K17" i="2589"/>
  <c r="L17" i="2589" s="1"/>
  <c r="M17" i="2589" s="1"/>
  <c r="I17" i="2589"/>
  <c r="H17" i="2589" s="1"/>
  <c r="K11" i="2589"/>
  <c r="L11" i="2589" s="1"/>
  <c r="I11" i="2589"/>
  <c r="H11" i="2589" s="1"/>
  <c r="K5" i="2589"/>
  <c r="L5" i="2589" s="1"/>
  <c r="M5" i="2589" s="1"/>
  <c r="I5" i="2589"/>
  <c r="H5" i="2589" s="1"/>
  <c r="K3" i="2589"/>
  <c r="L3" i="2589" s="1"/>
  <c r="M3" i="2589" s="1"/>
  <c r="I3" i="2589"/>
  <c r="H3" i="2589" s="1"/>
  <c r="K15" i="2589"/>
  <c r="L15" i="2589" s="1"/>
  <c r="M15" i="2589" s="1"/>
  <c r="I15" i="2589"/>
  <c r="H15" i="2589" s="1"/>
  <c r="K13" i="2589"/>
  <c r="L13" i="2589" s="1"/>
  <c r="M13" i="2589" s="1"/>
  <c r="I13" i="2589"/>
  <c r="H13" i="2589" s="1"/>
  <c r="K9" i="2589"/>
  <c r="L9" i="2589" s="1"/>
  <c r="M9" i="2589" s="1"/>
  <c r="I9" i="2589"/>
  <c r="H9" i="2589" s="1"/>
  <c r="K7" i="2589"/>
  <c r="L7" i="2589" s="1"/>
  <c r="M7" i="2589" s="1"/>
  <c r="I7" i="2589"/>
  <c r="H7" i="2589" s="1"/>
  <c r="N3" i="2588"/>
  <c r="N5" i="2588"/>
  <c r="N7" i="2588"/>
  <c r="N9" i="2588"/>
  <c r="N23" i="2588"/>
  <c r="N25" i="2588"/>
  <c r="N27" i="2588"/>
  <c r="K25" i="2588"/>
  <c r="L25" i="2588" s="1"/>
  <c r="M25" i="2588" s="1"/>
  <c r="I25" i="2588"/>
  <c r="H25" i="2588" s="1"/>
  <c r="K27" i="2588"/>
  <c r="L27" i="2588" s="1"/>
  <c r="M27" i="2588" s="1"/>
  <c r="I27" i="2588"/>
  <c r="H27" i="2588" s="1"/>
  <c r="K23" i="2588"/>
  <c r="L23" i="2588" s="1"/>
  <c r="M23" i="2588" s="1"/>
  <c r="I23" i="2588"/>
  <c r="H23" i="2588"/>
  <c r="K17" i="2588"/>
  <c r="L17" i="2588" s="1"/>
  <c r="M17" i="2588" s="1"/>
  <c r="N17" i="2588" s="1"/>
  <c r="I17" i="2588"/>
  <c r="H17" i="2588" s="1"/>
  <c r="K15" i="2588"/>
  <c r="L15" i="2588" s="1"/>
  <c r="M15" i="2588" s="1"/>
  <c r="N15" i="2588" s="1"/>
  <c r="I15" i="2588"/>
  <c r="H15" i="2588"/>
  <c r="L13" i="2588"/>
  <c r="M13" i="2588" s="1"/>
  <c r="N13" i="2588" s="1"/>
  <c r="K13" i="2588"/>
  <c r="I13" i="2588"/>
  <c r="H13" i="2588" s="1"/>
  <c r="K9" i="2588"/>
  <c r="L9" i="2588" s="1"/>
  <c r="M9" i="2588" s="1"/>
  <c r="I9" i="2588"/>
  <c r="H9" i="2588"/>
  <c r="K7" i="2588"/>
  <c r="L7" i="2588" s="1"/>
  <c r="M7" i="2588" s="1"/>
  <c r="I7" i="2588"/>
  <c r="H7" i="2588"/>
  <c r="K5" i="2588"/>
  <c r="L5" i="2588" s="1"/>
  <c r="M5" i="2588" s="1"/>
  <c r="I5" i="2588"/>
  <c r="H5" i="2588" s="1"/>
  <c r="K3" i="2588"/>
  <c r="L3" i="2588" s="1"/>
  <c r="M3" i="2588" s="1"/>
  <c r="I3" i="2588"/>
  <c r="H3" i="2588"/>
  <c r="M11" i="2589" l="1"/>
  <c r="K27" i="2586"/>
  <c r="L27" i="2586" s="1"/>
  <c r="M27" i="2586" s="1"/>
  <c r="I27" i="2586"/>
  <c r="H27" i="2586" s="1"/>
  <c r="K25" i="2586"/>
  <c r="L25" i="2586" s="1"/>
  <c r="M25" i="2586" s="1"/>
  <c r="I25" i="2586"/>
  <c r="H25" i="2586" s="1"/>
  <c r="L19" i="2586"/>
  <c r="M19" i="2586" s="1"/>
  <c r="K19" i="2586"/>
  <c r="I19" i="2586"/>
  <c r="H19" i="2586" s="1"/>
  <c r="K17" i="2586"/>
  <c r="L17" i="2586" s="1"/>
  <c r="M17" i="2586" s="1"/>
  <c r="I17" i="2586"/>
  <c r="H17" i="2586" s="1"/>
  <c r="K15" i="2586"/>
  <c r="L15" i="2586" s="1"/>
  <c r="M15" i="2586" s="1"/>
  <c r="I15" i="2586"/>
  <c r="H15" i="2586" s="1"/>
  <c r="K3" i="2586"/>
  <c r="L3" i="2586" s="1"/>
  <c r="M3" i="2586" s="1"/>
  <c r="H3" i="2586"/>
  <c r="I3" i="2586"/>
  <c r="K13" i="2586"/>
  <c r="L13" i="2586" s="1"/>
  <c r="M13" i="2586" s="1"/>
  <c r="I13" i="2586"/>
  <c r="H13" i="2586"/>
  <c r="K11" i="2586"/>
  <c r="L11" i="2586" s="1"/>
  <c r="M11" i="2586" s="1"/>
  <c r="I11" i="2586"/>
  <c r="H11" i="2586" s="1"/>
  <c r="K9" i="2586"/>
  <c r="L9" i="2586" s="1"/>
  <c r="M9" i="2586" s="1"/>
  <c r="I9" i="2586"/>
  <c r="H9" i="2586" s="1"/>
  <c r="K7" i="2586"/>
  <c r="L7" i="2586" s="1"/>
  <c r="M7" i="2586" s="1"/>
  <c r="I7" i="2586"/>
  <c r="H7" i="2586"/>
  <c r="K5" i="2586"/>
  <c r="L5" i="2586" s="1"/>
  <c r="M5" i="2586" s="1"/>
  <c r="I5" i="2586"/>
  <c r="H5" i="2586" s="1"/>
  <c r="K27" i="2585"/>
  <c r="L27" i="2585" s="1"/>
  <c r="M27" i="2585" s="1"/>
  <c r="I27" i="2585"/>
  <c r="H27" i="2585" s="1"/>
  <c r="K29" i="2585"/>
  <c r="L29" i="2585" s="1"/>
  <c r="M29" i="2585" s="1"/>
  <c r="I29" i="2585"/>
  <c r="H29" i="2585" s="1"/>
  <c r="K31" i="2585"/>
  <c r="L31" i="2585" s="1"/>
  <c r="M31" i="2585" s="1"/>
  <c r="I31" i="2585"/>
  <c r="H31" i="2585" s="1"/>
  <c r="K25" i="2585"/>
  <c r="L25" i="2585" s="1"/>
  <c r="M25" i="2585" s="1"/>
  <c r="I25" i="2585"/>
  <c r="H25" i="2585" s="1"/>
  <c r="K23" i="2585"/>
  <c r="L23" i="2585" s="1"/>
  <c r="M23" i="2585" s="1"/>
  <c r="I23" i="2585"/>
  <c r="H23" i="2585"/>
  <c r="K19" i="2585"/>
  <c r="L19" i="2585" s="1"/>
  <c r="M19" i="2585" s="1"/>
  <c r="I19" i="2585"/>
  <c r="H19" i="2585" s="1"/>
  <c r="K17" i="2585"/>
  <c r="L17" i="2585" s="1"/>
  <c r="M17" i="2585" s="1"/>
  <c r="I17" i="2585"/>
  <c r="H17" i="2585" s="1"/>
  <c r="K15" i="2585"/>
  <c r="L15" i="2585" s="1"/>
  <c r="I15" i="2585"/>
  <c r="H15" i="2585" s="1"/>
  <c r="K11" i="2585"/>
  <c r="L11" i="2585" s="1"/>
  <c r="I11" i="2585"/>
  <c r="H11" i="2585" s="1"/>
  <c r="K13" i="2585"/>
  <c r="L13" i="2585" s="1"/>
  <c r="M13" i="2585" s="1"/>
  <c r="I13" i="2585"/>
  <c r="H13" i="2585" s="1"/>
  <c r="K9" i="2585"/>
  <c r="L9" i="2585" s="1"/>
  <c r="M9" i="2585" s="1"/>
  <c r="I9" i="2585"/>
  <c r="H9" i="2585" s="1"/>
  <c r="K7" i="2585"/>
  <c r="L7" i="2585" s="1"/>
  <c r="M7" i="2585" s="1"/>
  <c r="I7" i="2585"/>
  <c r="H7" i="2585"/>
  <c r="K5" i="2585"/>
  <c r="L5" i="2585" s="1"/>
  <c r="M5" i="2585" s="1"/>
  <c r="I5" i="2585"/>
  <c r="H5" i="2585" s="1"/>
  <c r="K3" i="2585"/>
  <c r="L3" i="2585" s="1"/>
  <c r="M3" i="2585" s="1"/>
  <c r="I3" i="2585"/>
  <c r="H3" i="2585" s="1"/>
  <c r="N3" i="2556"/>
  <c r="N9" i="2556"/>
  <c r="N11" i="2556"/>
  <c r="N13" i="2556"/>
  <c r="N15" i="2556"/>
  <c r="N21" i="2556"/>
  <c r="N23" i="2556"/>
  <c r="N25" i="2556"/>
  <c r="N27" i="2556"/>
  <c r="N29" i="2556"/>
  <c r="N31" i="2556"/>
  <c r="N33" i="2556"/>
  <c r="N35" i="2556"/>
  <c r="N37" i="2556"/>
  <c r="K57" i="2584"/>
  <c r="L57" i="2584" s="1"/>
  <c r="M57" i="2584" s="1"/>
  <c r="I57" i="2584"/>
  <c r="H57" i="2584" s="1"/>
  <c r="K63" i="2584"/>
  <c r="L63" i="2584" s="1"/>
  <c r="M63" i="2584" s="1"/>
  <c r="I63" i="2584"/>
  <c r="H63" i="2584" s="1"/>
  <c r="K61" i="2584"/>
  <c r="L61" i="2584" s="1"/>
  <c r="M61" i="2584" s="1"/>
  <c r="I61" i="2584"/>
  <c r="H61" i="2584" s="1"/>
  <c r="K59" i="2584"/>
  <c r="L59" i="2584" s="1"/>
  <c r="M59" i="2584" s="1"/>
  <c r="I59" i="2584"/>
  <c r="H59" i="2584" s="1"/>
  <c r="K43" i="2584"/>
  <c r="L43" i="2584" s="1"/>
  <c r="M43" i="2584" s="1"/>
  <c r="I43" i="2584"/>
  <c r="H43" i="2584" s="1"/>
  <c r="I27" i="2584"/>
  <c r="H27" i="2584" s="1"/>
  <c r="K27" i="2584"/>
  <c r="L27" i="2584" s="1"/>
  <c r="M27" i="2584" s="1"/>
  <c r="K25" i="2584"/>
  <c r="L25" i="2584" s="1"/>
  <c r="M25" i="2584" s="1"/>
  <c r="I25" i="2584"/>
  <c r="H25" i="2584" s="1"/>
  <c r="K19" i="2584"/>
  <c r="L19" i="2584" s="1"/>
  <c r="M19" i="2584" s="1"/>
  <c r="I19" i="2584"/>
  <c r="H19" i="2584" s="1"/>
  <c r="K23" i="2584"/>
  <c r="L23" i="2584" s="1"/>
  <c r="M23" i="2584" s="1"/>
  <c r="I23" i="2584"/>
  <c r="H23" i="2584" s="1"/>
  <c r="K9" i="2584"/>
  <c r="L9" i="2584" s="1"/>
  <c r="M9" i="2584" s="1"/>
  <c r="I9" i="2584"/>
  <c r="H9" i="2584"/>
  <c r="K47" i="2584"/>
  <c r="L47" i="2584" s="1"/>
  <c r="M47" i="2584" s="1"/>
  <c r="I47" i="2584"/>
  <c r="H47" i="2584" s="1"/>
  <c r="K45" i="2584"/>
  <c r="L45" i="2584" s="1"/>
  <c r="M45" i="2584" s="1"/>
  <c r="I45" i="2584"/>
  <c r="H45" i="2584"/>
  <c r="K41" i="2584"/>
  <c r="L41" i="2584" s="1"/>
  <c r="M41" i="2584" s="1"/>
  <c r="I41" i="2584"/>
  <c r="H41" i="2584" s="1"/>
  <c r="K37" i="2584"/>
  <c r="L37" i="2584" s="1"/>
  <c r="M37" i="2584" s="1"/>
  <c r="I37" i="2584"/>
  <c r="H37" i="2584" s="1"/>
  <c r="K35" i="2584"/>
  <c r="L35" i="2584" s="1"/>
  <c r="M35" i="2584" s="1"/>
  <c r="I35" i="2584"/>
  <c r="H35" i="2584" s="1"/>
  <c r="K33" i="2584"/>
  <c r="L33" i="2584" s="1"/>
  <c r="M33" i="2584" s="1"/>
  <c r="I33" i="2584"/>
  <c r="H33" i="2584" s="1"/>
  <c r="K31" i="2584"/>
  <c r="L31" i="2584" s="1"/>
  <c r="M31" i="2584" s="1"/>
  <c r="I31" i="2584"/>
  <c r="H31" i="2584"/>
  <c r="K17" i="2584"/>
  <c r="L17" i="2584" s="1"/>
  <c r="M17" i="2584" s="1"/>
  <c r="I17" i="2584"/>
  <c r="H17" i="2584" s="1"/>
  <c r="K15" i="2584"/>
  <c r="L15" i="2584" s="1"/>
  <c r="M15" i="2584" s="1"/>
  <c r="I15" i="2584"/>
  <c r="H15" i="2584" s="1"/>
  <c r="K13" i="2584"/>
  <c r="L13" i="2584" s="1"/>
  <c r="M13" i="2584" s="1"/>
  <c r="I13" i="2584"/>
  <c r="H13" i="2584" s="1"/>
  <c r="K11" i="2584"/>
  <c r="L11" i="2584" s="1"/>
  <c r="M11" i="2584" s="1"/>
  <c r="I11" i="2584"/>
  <c r="H11" i="2584" s="1"/>
  <c r="K7" i="2584"/>
  <c r="L7" i="2584" s="1"/>
  <c r="M7" i="2584" s="1"/>
  <c r="I7" i="2584"/>
  <c r="H7" i="2584" s="1"/>
  <c r="K5" i="2584"/>
  <c r="L5" i="2584" s="1"/>
  <c r="M5" i="2584" s="1"/>
  <c r="I5" i="2584"/>
  <c r="H5" i="2584" s="1"/>
  <c r="K3" i="2584"/>
  <c r="L3" i="2584" s="1"/>
  <c r="M3" i="2584" s="1"/>
  <c r="I3" i="2584"/>
  <c r="H3" i="2584" s="1"/>
  <c r="Q17" i="2554"/>
  <c r="Q16" i="2554"/>
  <c r="K37" i="2583"/>
  <c r="L37" i="2583" s="1"/>
  <c r="M37" i="2583" s="1"/>
  <c r="N37" i="2583" s="1"/>
  <c r="H37" i="2583"/>
  <c r="I37" i="2583"/>
  <c r="L23" i="2583"/>
  <c r="N21" i="2583"/>
  <c r="M21" i="2583"/>
  <c r="L21" i="2583"/>
  <c r="K21" i="2583"/>
  <c r="H21" i="2583"/>
  <c r="I21" i="2583"/>
  <c r="K15" i="2583"/>
  <c r="K9" i="2583"/>
  <c r="L9" i="2583" s="1"/>
  <c r="M9" i="2583" s="1"/>
  <c r="N9" i="2583" s="1"/>
  <c r="I9" i="2583"/>
  <c r="H9" i="2583" s="1"/>
  <c r="I7" i="2583"/>
  <c r="H7" i="2583" s="1"/>
  <c r="K7" i="2583"/>
  <c r="L7" i="2583" s="1"/>
  <c r="M7" i="2583" s="1"/>
  <c r="N7" i="2583" s="1"/>
  <c r="K5" i="2583"/>
  <c r="L5" i="2583" s="1"/>
  <c r="M5" i="2583" s="1"/>
  <c r="N5" i="2583" s="1"/>
  <c r="I5" i="2583"/>
  <c r="H5" i="2583" s="1"/>
  <c r="K27" i="2583"/>
  <c r="L27" i="2583" s="1"/>
  <c r="M27" i="2583" s="1"/>
  <c r="N27" i="2583" s="1"/>
  <c r="I27" i="2583"/>
  <c r="H27" i="2583"/>
  <c r="K25" i="2583"/>
  <c r="L25" i="2583" s="1"/>
  <c r="M25" i="2583" s="1"/>
  <c r="N25" i="2583" s="1"/>
  <c r="I25" i="2583"/>
  <c r="H25" i="2583" s="1"/>
  <c r="K23" i="2583"/>
  <c r="M23" i="2583" s="1"/>
  <c r="N23" i="2583" s="1"/>
  <c r="I23" i="2583"/>
  <c r="H23" i="2583" s="1"/>
  <c r="L15" i="2583"/>
  <c r="M15" i="2583" s="1"/>
  <c r="N15" i="2583" s="1"/>
  <c r="I15" i="2583"/>
  <c r="H15" i="2583" s="1"/>
  <c r="K13" i="2583"/>
  <c r="L13" i="2583" s="1"/>
  <c r="M13" i="2583" s="1"/>
  <c r="N13" i="2583" s="1"/>
  <c r="I13" i="2583"/>
  <c r="H13" i="2583" s="1"/>
  <c r="K11" i="2583"/>
  <c r="L11" i="2583" s="1"/>
  <c r="M11" i="2583" s="1"/>
  <c r="N11" i="2583" s="1"/>
  <c r="I11" i="2583"/>
  <c r="H11" i="2583"/>
  <c r="K3" i="2583"/>
  <c r="L3" i="2583" s="1"/>
  <c r="M3" i="2583" s="1"/>
  <c r="N3" i="2583" s="1"/>
  <c r="I3" i="2583"/>
  <c r="H3" i="2583" s="1"/>
  <c r="L15" i="2582"/>
  <c r="M15" i="2582" s="1"/>
  <c r="K15" i="2582"/>
  <c r="H15" i="2582"/>
  <c r="I15" i="2582"/>
  <c r="M13" i="2582"/>
  <c r="L13" i="2582"/>
  <c r="K13" i="2582"/>
  <c r="H13" i="2582"/>
  <c r="I13" i="2582"/>
  <c r="K9" i="2582"/>
  <c r="L9" i="2582" s="1"/>
  <c r="M9" i="2582" s="1"/>
  <c r="I9" i="2582"/>
  <c r="H9" i="2582"/>
  <c r="M7" i="2582"/>
  <c r="L7" i="2582"/>
  <c r="K7" i="2582"/>
  <c r="I7" i="2582"/>
  <c r="H7" i="2582" s="1"/>
  <c r="M5" i="2582"/>
  <c r="L5" i="2582"/>
  <c r="K5" i="2582"/>
  <c r="H5" i="2582"/>
  <c r="I5" i="2582"/>
  <c r="K3" i="2582"/>
  <c r="L3" i="2582" s="1"/>
  <c r="M3" i="2582" s="1"/>
  <c r="I3" i="2582"/>
  <c r="H3" i="2582" s="1"/>
  <c r="K29" i="2581"/>
  <c r="L29" i="2581" s="1"/>
  <c r="M29" i="2581" s="1"/>
  <c r="I29" i="2581"/>
  <c r="H29" i="2581"/>
  <c r="K27" i="2581"/>
  <c r="L27" i="2581" s="1"/>
  <c r="M27" i="2581" s="1"/>
  <c r="I27" i="2581"/>
  <c r="H27" i="2581" s="1"/>
  <c r="K19" i="2581"/>
  <c r="L19" i="2581" s="1"/>
  <c r="M19" i="2581" s="1"/>
  <c r="I19" i="2581"/>
  <c r="H19" i="2581"/>
  <c r="K25" i="2581"/>
  <c r="L25" i="2581" s="1"/>
  <c r="M25" i="2581" s="1"/>
  <c r="I25" i="2581"/>
  <c r="H25" i="2581" s="1"/>
  <c r="K23" i="2581"/>
  <c r="L23" i="2581" s="1"/>
  <c r="M23" i="2581" s="1"/>
  <c r="I23" i="2581"/>
  <c r="H23" i="2581" s="1"/>
  <c r="I9" i="2581"/>
  <c r="H9" i="2581" s="1"/>
  <c r="K5" i="2581"/>
  <c r="L5" i="2581" s="1"/>
  <c r="M5" i="2581" s="1"/>
  <c r="I5" i="2581"/>
  <c r="H5" i="2581" s="1"/>
  <c r="K3" i="2581"/>
  <c r="L3" i="2581" s="1"/>
  <c r="M3" i="2581" s="1"/>
  <c r="I3" i="2581"/>
  <c r="H3" i="2581"/>
  <c r="K17" i="2581"/>
  <c r="L17" i="2581" s="1"/>
  <c r="M17" i="2581" s="1"/>
  <c r="I17" i="2581"/>
  <c r="H17" i="2581" s="1"/>
  <c r="K15" i="2581"/>
  <c r="L15" i="2581" s="1"/>
  <c r="M15" i="2581" s="1"/>
  <c r="I15" i="2581"/>
  <c r="H15" i="2581"/>
  <c r="K13" i="2581"/>
  <c r="L13" i="2581" s="1"/>
  <c r="M13" i="2581" s="1"/>
  <c r="I13" i="2581"/>
  <c r="H13" i="2581" s="1"/>
  <c r="K9" i="2581"/>
  <c r="L9" i="2581" s="1"/>
  <c r="M9" i="2581" s="1"/>
  <c r="K7" i="2581"/>
  <c r="L7" i="2581" s="1"/>
  <c r="M7" i="2581" s="1"/>
  <c r="I7" i="2581"/>
  <c r="H7" i="2581" s="1"/>
  <c r="M39" i="2580"/>
  <c r="L39" i="2580"/>
  <c r="K39" i="2580"/>
  <c r="H39" i="2580"/>
  <c r="I39" i="2580"/>
  <c r="M37" i="2580"/>
  <c r="L37" i="2580"/>
  <c r="K37" i="2580"/>
  <c r="H37" i="2580"/>
  <c r="I37" i="2580"/>
  <c r="K29" i="2580"/>
  <c r="L29" i="2580" s="1"/>
  <c r="M29" i="2580" s="1"/>
  <c r="I29" i="2580"/>
  <c r="H29" i="2580" s="1"/>
  <c r="M23" i="2580"/>
  <c r="L23" i="2580"/>
  <c r="K23" i="2580"/>
  <c r="H23" i="2580"/>
  <c r="I23" i="2580"/>
  <c r="K31" i="2580"/>
  <c r="L31" i="2580" s="1"/>
  <c r="M31" i="2580" s="1"/>
  <c r="I31" i="2580"/>
  <c r="H31" i="2580" s="1"/>
  <c r="K27" i="2580"/>
  <c r="L27" i="2580" s="1"/>
  <c r="M27" i="2580" s="1"/>
  <c r="I27" i="2580"/>
  <c r="H27" i="2580" s="1"/>
  <c r="K25" i="2580"/>
  <c r="L25" i="2580" s="1"/>
  <c r="M25" i="2580" s="1"/>
  <c r="I25" i="2580"/>
  <c r="H25" i="2580" s="1"/>
  <c r="K21" i="2580"/>
  <c r="L21" i="2580" s="1"/>
  <c r="M21" i="2580" s="1"/>
  <c r="I21" i="2580"/>
  <c r="H21" i="2580"/>
  <c r="K15" i="2580"/>
  <c r="L15" i="2580" s="1"/>
  <c r="M15" i="2580" s="1"/>
  <c r="I15" i="2580"/>
  <c r="H15" i="2580" s="1"/>
  <c r="K13" i="2580"/>
  <c r="L13" i="2580" s="1"/>
  <c r="M13" i="2580" s="1"/>
  <c r="I13" i="2580"/>
  <c r="H13" i="2580" s="1"/>
  <c r="K11" i="2580"/>
  <c r="L11" i="2580" s="1"/>
  <c r="M11" i="2580" s="1"/>
  <c r="I11" i="2580"/>
  <c r="H11" i="2580"/>
  <c r="L3" i="2580"/>
  <c r="M3" i="2580" s="1"/>
  <c r="K3" i="2580"/>
  <c r="I3" i="2580"/>
  <c r="H3" i="2580"/>
  <c r="K27" i="2579"/>
  <c r="L27" i="2579" s="1"/>
  <c r="M27" i="2579" s="1"/>
  <c r="I27" i="2579"/>
  <c r="H27" i="2579" s="1"/>
  <c r="K29" i="2579"/>
  <c r="L29" i="2579" s="1"/>
  <c r="M29" i="2579" s="1"/>
  <c r="I29" i="2579"/>
  <c r="H29" i="2579"/>
  <c r="K25" i="2579"/>
  <c r="L25" i="2579" s="1"/>
  <c r="M25" i="2579" s="1"/>
  <c r="I25" i="2579"/>
  <c r="H25" i="2579" s="1"/>
  <c r="K23" i="2579"/>
  <c r="L23" i="2579" s="1"/>
  <c r="M23" i="2579" s="1"/>
  <c r="I23" i="2579"/>
  <c r="H23" i="2579" s="1"/>
  <c r="K19" i="2579"/>
  <c r="L19" i="2579" s="1"/>
  <c r="M19" i="2579" s="1"/>
  <c r="I19" i="2579"/>
  <c r="H19" i="2579" s="1"/>
  <c r="K15" i="2579"/>
  <c r="L15" i="2579" s="1"/>
  <c r="M15" i="2579" s="1"/>
  <c r="H15" i="2579"/>
  <c r="I15" i="2579"/>
  <c r="K17" i="2579"/>
  <c r="L17" i="2579" s="1"/>
  <c r="M17" i="2579" s="1"/>
  <c r="I17" i="2579"/>
  <c r="H17" i="2579"/>
  <c r="K11" i="2579"/>
  <c r="L11" i="2579" s="1"/>
  <c r="M11" i="2579" s="1"/>
  <c r="I11" i="2579"/>
  <c r="H11" i="2579" s="1"/>
  <c r="K9" i="2579"/>
  <c r="L9" i="2579" s="1"/>
  <c r="M9" i="2579" s="1"/>
  <c r="I9" i="2579"/>
  <c r="H9" i="2579" s="1"/>
  <c r="K5" i="2579"/>
  <c r="L5" i="2579" s="1"/>
  <c r="M5" i="2579" s="1"/>
  <c r="I5" i="2579"/>
  <c r="H5" i="2579" s="1"/>
  <c r="K13" i="2579"/>
  <c r="L13" i="2579" s="1"/>
  <c r="M13" i="2579" s="1"/>
  <c r="I13" i="2579"/>
  <c r="H13" i="2579" s="1"/>
  <c r="K7" i="2579"/>
  <c r="L7" i="2579" s="1"/>
  <c r="M7" i="2579" s="1"/>
  <c r="I7" i="2579"/>
  <c r="H7" i="2579" s="1"/>
  <c r="K3" i="2579"/>
  <c r="L3" i="2579" s="1"/>
  <c r="M3" i="2579" s="1"/>
  <c r="I3" i="2579"/>
  <c r="H3" i="2579" s="1"/>
  <c r="K19" i="2578"/>
  <c r="L19" i="2578" s="1"/>
  <c r="M19" i="2578" s="1"/>
  <c r="N19" i="2578" s="1"/>
  <c r="I19" i="2578"/>
  <c r="H19" i="2578" s="1"/>
  <c r="K5" i="2578"/>
  <c r="L5" i="2578" s="1"/>
  <c r="M5" i="2578" s="1"/>
  <c r="N5" i="2578" s="1"/>
  <c r="I5" i="2578"/>
  <c r="H5" i="2578" s="1"/>
  <c r="K3" i="2578"/>
  <c r="L3" i="2578" s="1"/>
  <c r="M3" i="2578" s="1"/>
  <c r="N3" i="2578" s="1"/>
  <c r="I3" i="2578"/>
  <c r="H3" i="2578" s="1"/>
  <c r="K25" i="2578"/>
  <c r="L25" i="2578" s="1"/>
  <c r="M25" i="2578" s="1"/>
  <c r="N25" i="2578" s="1"/>
  <c r="I25" i="2578"/>
  <c r="H25" i="2578" s="1"/>
  <c r="K23" i="2578"/>
  <c r="L23" i="2578" s="1"/>
  <c r="M23" i="2578" s="1"/>
  <c r="N23" i="2578" s="1"/>
  <c r="I23" i="2578"/>
  <c r="H23" i="2578"/>
  <c r="K17" i="2578"/>
  <c r="L17" i="2578" s="1"/>
  <c r="M17" i="2578" s="1"/>
  <c r="N17" i="2578" s="1"/>
  <c r="I17" i="2578"/>
  <c r="H17" i="2578" s="1"/>
  <c r="K15" i="2578"/>
  <c r="L15" i="2578" s="1"/>
  <c r="M15" i="2578" s="1"/>
  <c r="N15" i="2578" s="1"/>
  <c r="I15" i="2578"/>
  <c r="H15" i="2578" s="1"/>
  <c r="K13" i="2578"/>
  <c r="L13" i="2578" s="1"/>
  <c r="M13" i="2578" s="1"/>
  <c r="N13" i="2578" s="1"/>
  <c r="I13" i="2578"/>
  <c r="H13" i="2578" s="1"/>
  <c r="K11" i="2578"/>
  <c r="L11" i="2578" s="1"/>
  <c r="M11" i="2578" s="1"/>
  <c r="N11" i="2578" s="1"/>
  <c r="I11" i="2578"/>
  <c r="H11" i="2578" s="1"/>
  <c r="K9" i="2578"/>
  <c r="L9" i="2578" s="1"/>
  <c r="M9" i="2578" s="1"/>
  <c r="N9" i="2578" s="1"/>
  <c r="I9" i="2578"/>
  <c r="H9" i="2578"/>
  <c r="K7" i="2578"/>
  <c r="L7" i="2578" s="1"/>
  <c r="M7" i="2578" s="1"/>
  <c r="N7" i="2578" s="1"/>
  <c r="I7" i="2578"/>
  <c r="H7" i="2578" s="1"/>
  <c r="H25" i="2577"/>
  <c r="L25" i="2577"/>
  <c r="K25" i="2577"/>
  <c r="I25" i="2577"/>
  <c r="K27" i="2577"/>
  <c r="L27" i="2577" s="1"/>
  <c r="I27" i="2577"/>
  <c r="H27" i="2577"/>
  <c r="M15" i="2585" l="1"/>
  <c r="M11" i="2585"/>
  <c r="K19" i="2577"/>
  <c r="L19" i="2577" s="1"/>
  <c r="I19" i="2577"/>
  <c r="H19" i="2577" s="1"/>
  <c r="K23" i="2577"/>
  <c r="L23" i="2577" s="1"/>
  <c r="I23" i="2577"/>
  <c r="H23" i="2577" s="1"/>
  <c r="K17" i="2577"/>
  <c r="L17" i="2577" s="1"/>
  <c r="I17" i="2577"/>
  <c r="H17" i="2577" s="1"/>
  <c r="K15" i="2577"/>
  <c r="L15" i="2577" s="1"/>
  <c r="I15" i="2577"/>
  <c r="H15" i="2577"/>
  <c r="K13" i="2577"/>
  <c r="L13" i="2577" s="1"/>
  <c r="I13" i="2577"/>
  <c r="H13" i="2577" s="1"/>
  <c r="K11" i="2577"/>
  <c r="L11" i="2577" s="1"/>
  <c r="I11" i="2577"/>
  <c r="H11" i="2577" s="1"/>
  <c r="K9" i="2577"/>
  <c r="L9" i="2577" s="1"/>
  <c r="I9" i="2577"/>
  <c r="H9" i="2577" s="1"/>
  <c r="K7" i="2577"/>
  <c r="L7" i="2577" s="1"/>
  <c r="I7" i="2577"/>
  <c r="H7" i="2577" s="1"/>
  <c r="K5" i="2577"/>
  <c r="L5" i="2577" s="1"/>
  <c r="I5" i="2577"/>
  <c r="H5" i="2577" s="1"/>
  <c r="K3" i="2577"/>
  <c r="L3" i="2577" s="1"/>
  <c r="I3" i="2577"/>
  <c r="H3" i="2577" s="1"/>
  <c r="M15" i="2576"/>
  <c r="K15" i="2576"/>
  <c r="L15" i="2576" s="1"/>
  <c r="I15" i="2576"/>
  <c r="H15" i="2576" s="1"/>
  <c r="M11" i="2576"/>
  <c r="I11" i="2576"/>
  <c r="H11" i="2576" s="1"/>
  <c r="K25" i="2576"/>
  <c r="L25" i="2576" s="1"/>
  <c r="M25" i="2576" s="1"/>
  <c r="I25" i="2576"/>
  <c r="H25" i="2576" s="1"/>
  <c r="M23" i="2576"/>
  <c r="L23" i="2576"/>
  <c r="K23" i="2576"/>
  <c r="H23" i="2576"/>
  <c r="I23" i="2576"/>
  <c r="M21" i="2576"/>
  <c r="L21" i="2576"/>
  <c r="K21" i="2576"/>
  <c r="H21" i="2576"/>
  <c r="I21" i="2576"/>
  <c r="M19" i="2576"/>
  <c r="L19" i="2576"/>
  <c r="K19" i="2576"/>
  <c r="H19" i="2576"/>
  <c r="I19" i="2576"/>
  <c r="M17" i="2576"/>
  <c r="L17" i="2576"/>
  <c r="K17" i="2576"/>
  <c r="H17" i="2576"/>
  <c r="I17" i="2576"/>
  <c r="M9" i="2576"/>
  <c r="L9" i="2576"/>
  <c r="K9" i="2576"/>
  <c r="H9" i="2576"/>
  <c r="I9" i="2576"/>
  <c r="K7" i="2576"/>
  <c r="L7" i="2576" s="1"/>
  <c r="M7" i="2576" s="1"/>
  <c r="I7" i="2576"/>
  <c r="H7" i="2576" s="1"/>
  <c r="K5" i="2576"/>
  <c r="L5" i="2576" s="1"/>
  <c r="M5" i="2576" s="1"/>
  <c r="I5" i="2576"/>
  <c r="H5" i="2576" s="1"/>
  <c r="K3" i="2576"/>
  <c r="L3" i="2576" s="1"/>
  <c r="M3" i="2576" s="1"/>
  <c r="I3" i="2576"/>
  <c r="H3" i="2576" s="1"/>
  <c r="K13" i="2576"/>
  <c r="L13" i="2576" s="1"/>
  <c r="M13" i="2576" s="1"/>
  <c r="I13" i="2576"/>
  <c r="H13" i="2576"/>
  <c r="K11" i="2576"/>
  <c r="L11" i="2576" s="1"/>
  <c r="M37" i="2548"/>
  <c r="M39" i="2548"/>
  <c r="M21" i="2548"/>
  <c r="M23" i="2548"/>
  <c r="M25" i="2548"/>
  <c r="M27" i="2548"/>
  <c r="M11" i="2548"/>
  <c r="M13" i="2548"/>
  <c r="M15" i="2548"/>
  <c r="M3" i="2548"/>
  <c r="K27" i="2575"/>
  <c r="L27" i="2575" s="1"/>
  <c r="M27" i="2575" s="1"/>
  <c r="I27" i="2575"/>
  <c r="H27" i="2575" s="1"/>
  <c r="K11" i="2575"/>
  <c r="L11" i="2575" s="1"/>
  <c r="M11" i="2575" s="1"/>
  <c r="I11" i="2575"/>
  <c r="H11" i="2575"/>
  <c r="K9" i="2575"/>
  <c r="L9" i="2575" s="1"/>
  <c r="M9" i="2575" s="1"/>
  <c r="I9" i="2575"/>
  <c r="H9" i="2575" s="1"/>
  <c r="K7" i="2575"/>
  <c r="L7" i="2575" s="1"/>
  <c r="M7" i="2575" s="1"/>
  <c r="I7" i="2575"/>
  <c r="H7" i="2575" s="1"/>
  <c r="K5" i="2575"/>
  <c r="L5" i="2575" s="1"/>
  <c r="M5" i="2575" s="1"/>
  <c r="I5" i="2575"/>
  <c r="H5" i="2575" s="1"/>
  <c r="K3" i="2575"/>
  <c r="L3" i="2575" s="1"/>
  <c r="M3" i="2575" s="1"/>
  <c r="I3" i="2575"/>
  <c r="H3" i="2575" s="1"/>
  <c r="M33" i="2575"/>
  <c r="N47" i="2574"/>
  <c r="M47" i="2574"/>
  <c r="N45" i="2574"/>
  <c r="M45" i="2574"/>
  <c r="L47" i="2574"/>
  <c r="L45" i="2574"/>
  <c r="K45" i="2574"/>
  <c r="K47" i="2574"/>
  <c r="H47" i="2574"/>
  <c r="I47" i="2574"/>
  <c r="H45" i="2574"/>
  <c r="I45" i="2574"/>
  <c r="K39" i="2574"/>
  <c r="L39" i="2574" s="1"/>
  <c r="M39" i="2574" s="1"/>
  <c r="N39" i="2574" s="1"/>
  <c r="I39" i="2574"/>
  <c r="H39" i="2574" s="1"/>
  <c r="I37" i="2574"/>
  <c r="H37" i="2574" s="1"/>
  <c r="L37" i="2574"/>
  <c r="M37" i="2574" s="1"/>
  <c r="N37" i="2574" s="1"/>
  <c r="K37" i="2574"/>
  <c r="K21" i="2574"/>
  <c r="L21" i="2574" s="1"/>
  <c r="M21" i="2574" s="1"/>
  <c r="N21" i="2574" s="1"/>
  <c r="I21" i="2574"/>
  <c r="H21" i="2574" s="1"/>
  <c r="K43" i="2574"/>
  <c r="L43" i="2574" s="1"/>
  <c r="M43" i="2574" s="1"/>
  <c r="N43" i="2574" s="1"/>
  <c r="I43" i="2574"/>
  <c r="H43" i="2574" s="1"/>
  <c r="K41" i="2574"/>
  <c r="L41" i="2574" s="1"/>
  <c r="M41" i="2574" s="1"/>
  <c r="N41" i="2574" s="1"/>
  <c r="I41" i="2574"/>
  <c r="H41" i="2574" s="1"/>
  <c r="K27" i="2574"/>
  <c r="L27" i="2574" s="1"/>
  <c r="M27" i="2574" s="1"/>
  <c r="N27" i="2574" s="1"/>
  <c r="I27" i="2574"/>
  <c r="H27" i="2574"/>
  <c r="K25" i="2574"/>
  <c r="L25" i="2574" s="1"/>
  <c r="M25" i="2574" s="1"/>
  <c r="N25" i="2574" s="1"/>
  <c r="I25" i="2574"/>
  <c r="H25" i="2574" s="1"/>
  <c r="K23" i="2574"/>
  <c r="L23" i="2574" s="1"/>
  <c r="M23" i="2574" s="1"/>
  <c r="N23" i="2574" s="1"/>
  <c r="I23" i="2574"/>
  <c r="H23" i="2574"/>
  <c r="K19" i="2574"/>
  <c r="L19" i="2574" s="1"/>
  <c r="M19" i="2574" s="1"/>
  <c r="N19" i="2574" s="1"/>
  <c r="I19" i="2574"/>
  <c r="H19" i="2574"/>
  <c r="K17" i="2574"/>
  <c r="L17" i="2574" s="1"/>
  <c r="M17" i="2574" s="1"/>
  <c r="N17" i="2574" s="1"/>
  <c r="I17" i="2574"/>
  <c r="H17" i="2574" s="1"/>
  <c r="K15" i="2574"/>
  <c r="L15" i="2574" s="1"/>
  <c r="M15" i="2574" s="1"/>
  <c r="N15" i="2574" s="1"/>
  <c r="I15" i="2574"/>
  <c r="H15" i="2574" s="1"/>
  <c r="K13" i="2574"/>
  <c r="L13" i="2574" s="1"/>
  <c r="M13" i="2574" s="1"/>
  <c r="N13" i="2574" s="1"/>
  <c r="I13" i="2574"/>
  <c r="H13" i="2574" s="1"/>
  <c r="K11" i="2574"/>
  <c r="L11" i="2574" s="1"/>
  <c r="M11" i="2574" s="1"/>
  <c r="N11" i="2574" s="1"/>
  <c r="I11" i="2574"/>
  <c r="H11" i="2574" s="1"/>
  <c r="K9" i="2574"/>
  <c r="L9" i="2574" s="1"/>
  <c r="M9" i="2574" s="1"/>
  <c r="N9" i="2574" s="1"/>
  <c r="I9" i="2574"/>
  <c r="H9" i="2574" s="1"/>
  <c r="K3" i="2574"/>
  <c r="L3" i="2574" s="1"/>
  <c r="M3" i="2574" s="1"/>
  <c r="N3" i="2574" s="1"/>
  <c r="I3" i="2574"/>
  <c r="H3" i="2574"/>
  <c r="K43" i="2573"/>
  <c r="L43" i="2573" s="1"/>
  <c r="M43" i="2573" s="1"/>
  <c r="N43" i="2573" s="1"/>
  <c r="I43" i="2573"/>
  <c r="H43" i="2573" s="1"/>
  <c r="K41" i="2573"/>
  <c r="L41" i="2573" s="1"/>
  <c r="M41" i="2573" s="1"/>
  <c r="N41" i="2573" s="1"/>
  <c r="I41" i="2573"/>
  <c r="H41" i="2573"/>
  <c r="K15" i="2573"/>
  <c r="L15" i="2573" s="1"/>
  <c r="M15" i="2573" s="1"/>
  <c r="N15" i="2573" s="1"/>
  <c r="I15" i="2573"/>
  <c r="H15" i="2573" s="1"/>
  <c r="K19" i="2573"/>
  <c r="L19" i="2573" s="1"/>
  <c r="M19" i="2573" s="1"/>
  <c r="N19" i="2573" s="1"/>
  <c r="I19" i="2573"/>
  <c r="H19" i="2573"/>
  <c r="K17" i="2573"/>
  <c r="L17" i="2573" s="1"/>
  <c r="M17" i="2573" s="1"/>
  <c r="N17" i="2573" s="1"/>
  <c r="I17" i="2573"/>
  <c r="H17" i="2573" s="1"/>
  <c r="N21" i="2573"/>
  <c r="M21" i="2573"/>
  <c r="L21" i="2573"/>
  <c r="K21" i="2573"/>
  <c r="H21" i="2573"/>
  <c r="I21" i="2573"/>
  <c r="K39" i="2573"/>
  <c r="L39" i="2573" s="1"/>
  <c r="M39" i="2573" s="1"/>
  <c r="N39" i="2573" s="1"/>
  <c r="I39" i="2573"/>
  <c r="H39" i="2573"/>
  <c r="K37" i="2573"/>
  <c r="L37" i="2573" s="1"/>
  <c r="M37" i="2573" s="1"/>
  <c r="N37" i="2573" s="1"/>
  <c r="I37" i="2573"/>
  <c r="H37" i="2573"/>
  <c r="K27" i="2573"/>
  <c r="L27" i="2573" s="1"/>
  <c r="M27" i="2573" s="1"/>
  <c r="N27" i="2573" s="1"/>
  <c r="I27" i="2573"/>
  <c r="H27" i="2573" s="1"/>
  <c r="K25" i="2573"/>
  <c r="L25" i="2573" s="1"/>
  <c r="M25" i="2573" s="1"/>
  <c r="N25" i="2573" s="1"/>
  <c r="I25" i="2573"/>
  <c r="H25" i="2573"/>
  <c r="K23" i="2573"/>
  <c r="L23" i="2573" s="1"/>
  <c r="M23" i="2573" s="1"/>
  <c r="N23" i="2573" s="1"/>
  <c r="I23" i="2573"/>
  <c r="H23" i="2573"/>
  <c r="K13" i="2573"/>
  <c r="L13" i="2573" s="1"/>
  <c r="M13" i="2573" s="1"/>
  <c r="N13" i="2573" s="1"/>
  <c r="I13" i="2573"/>
  <c r="H13" i="2573" s="1"/>
  <c r="K11" i="2573"/>
  <c r="L11" i="2573" s="1"/>
  <c r="M11" i="2573" s="1"/>
  <c r="N11" i="2573" s="1"/>
  <c r="I11" i="2573"/>
  <c r="H11" i="2573"/>
  <c r="L9" i="2573"/>
  <c r="M9" i="2573" s="1"/>
  <c r="N9" i="2573" s="1"/>
  <c r="K9" i="2573"/>
  <c r="I9" i="2573"/>
  <c r="H9" i="2573"/>
  <c r="K3" i="2573"/>
  <c r="L3" i="2573" s="1"/>
  <c r="M3" i="2573" s="1"/>
  <c r="N3" i="2573" s="1"/>
  <c r="I3" i="2573"/>
  <c r="H3" i="2573"/>
  <c r="K25" i="2572"/>
  <c r="L25" i="2572" s="1"/>
  <c r="M25" i="2572" s="1"/>
  <c r="I25" i="2572"/>
  <c r="H25" i="2572"/>
  <c r="K23" i="2572"/>
  <c r="L23" i="2572" s="1"/>
  <c r="M23" i="2572" s="1"/>
  <c r="I23" i="2572"/>
  <c r="H23" i="2572"/>
  <c r="K21" i="2572"/>
  <c r="L21" i="2572" s="1"/>
  <c r="M21" i="2572" s="1"/>
  <c r="I21" i="2572"/>
  <c r="H21" i="2572"/>
  <c r="K19" i="2572"/>
  <c r="L19" i="2572" s="1"/>
  <c r="M19" i="2572" s="1"/>
  <c r="I19" i="2572"/>
  <c r="H19" i="2572"/>
  <c r="K17" i="2572"/>
  <c r="L17" i="2572" s="1"/>
  <c r="M17" i="2572" s="1"/>
  <c r="I17" i="2572"/>
  <c r="H17" i="2572" s="1"/>
  <c r="K15" i="2572"/>
  <c r="L15" i="2572" s="1"/>
  <c r="M15" i="2572" s="1"/>
  <c r="I15" i="2572"/>
  <c r="H15" i="2572" s="1"/>
  <c r="K13" i="2572"/>
  <c r="L13" i="2572" s="1"/>
  <c r="M13" i="2572" s="1"/>
  <c r="I13" i="2572"/>
  <c r="H13" i="2572"/>
  <c r="K11" i="2572"/>
  <c r="L11" i="2572" s="1"/>
  <c r="M11" i="2572" s="1"/>
  <c r="I11" i="2572"/>
  <c r="H11" i="2572"/>
  <c r="K9" i="2572"/>
  <c r="L9" i="2572" s="1"/>
  <c r="M9" i="2572" s="1"/>
  <c r="I9" i="2572"/>
  <c r="H9" i="2572"/>
  <c r="K7" i="2572"/>
  <c r="L7" i="2572" s="1"/>
  <c r="M7" i="2572" s="1"/>
  <c r="I7" i="2572"/>
  <c r="H7" i="2572" s="1"/>
  <c r="K5" i="2572"/>
  <c r="L5" i="2572" s="1"/>
  <c r="M5" i="2572" s="1"/>
  <c r="I5" i="2572"/>
  <c r="H5" i="2572" s="1"/>
  <c r="K3" i="2572"/>
  <c r="L3" i="2572" s="1"/>
  <c r="M3" i="2572" s="1"/>
  <c r="I3" i="2572"/>
  <c r="H3" i="2572"/>
  <c r="K25" i="2571"/>
  <c r="L25" i="2571" s="1"/>
  <c r="I25" i="2571"/>
  <c r="H25" i="2571"/>
  <c r="K23" i="2571"/>
  <c r="L23" i="2571" s="1"/>
  <c r="I23" i="2571"/>
  <c r="H23" i="2571"/>
  <c r="K21" i="2571"/>
  <c r="L21" i="2571" s="1"/>
  <c r="I21" i="2571"/>
  <c r="H21" i="2571"/>
  <c r="K19" i="2571"/>
  <c r="L19" i="2571" s="1"/>
  <c r="I19" i="2571"/>
  <c r="H19" i="2571"/>
  <c r="K17" i="2571"/>
  <c r="L17" i="2571" s="1"/>
  <c r="I17" i="2571"/>
  <c r="H17" i="2571"/>
  <c r="K15" i="2571"/>
  <c r="L15" i="2571" s="1"/>
  <c r="I15" i="2571"/>
  <c r="H15" i="2571"/>
  <c r="L13" i="2571"/>
  <c r="K13" i="2571"/>
  <c r="I13" i="2571"/>
  <c r="H13" i="2571"/>
  <c r="K11" i="2571"/>
  <c r="L11" i="2571" s="1"/>
  <c r="I11" i="2571"/>
  <c r="H11" i="2571"/>
  <c r="K9" i="2571"/>
  <c r="L9" i="2571" s="1"/>
  <c r="I9" i="2571"/>
  <c r="H9" i="2571"/>
  <c r="K7" i="2571"/>
  <c r="L7" i="2571" s="1"/>
  <c r="I7" i="2571"/>
  <c r="H7" i="2571"/>
  <c r="K5" i="2571"/>
  <c r="L5" i="2571" s="1"/>
  <c r="I5" i="2571"/>
  <c r="H5" i="2571"/>
  <c r="K3" i="2571"/>
  <c r="L3" i="2571" s="1"/>
  <c r="I3" i="2571"/>
  <c r="H3" i="2571"/>
  <c r="N3" i="2545" l="1"/>
  <c r="N5" i="2545"/>
  <c r="N7" i="2545"/>
  <c r="N9" i="2545"/>
  <c r="N13" i="2545"/>
  <c r="N15" i="2545"/>
  <c r="N17" i="2545"/>
  <c r="N25" i="2545"/>
  <c r="H41" i="2570"/>
  <c r="I41" i="2570"/>
  <c r="M41" i="2570"/>
  <c r="L41" i="2570"/>
  <c r="K41" i="2570"/>
  <c r="N39" i="2570"/>
  <c r="M39" i="2570"/>
  <c r="L39" i="2570"/>
  <c r="K39" i="2570"/>
  <c r="H39" i="2570"/>
  <c r="I39" i="2570"/>
  <c r="L31" i="2570"/>
  <c r="M31" i="2570" s="1"/>
  <c r="N31" i="2570" s="1"/>
  <c r="K31" i="2570"/>
  <c r="I31" i="2570"/>
  <c r="H31" i="2570" s="1"/>
  <c r="K23" i="2570"/>
  <c r="L23" i="2570" s="1"/>
  <c r="M23" i="2570" s="1"/>
  <c r="N23" i="2570" s="1"/>
  <c r="I23" i="2570"/>
  <c r="H23" i="2570" s="1"/>
  <c r="K21" i="2570"/>
  <c r="L21" i="2570" s="1"/>
  <c r="M21" i="2570" s="1"/>
  <c r="N21" i="2570" s="1"/>
  <c r="I21" i="2570"/>
  <c r="H21" i="2570" s="1"/>
  <c r="N5" i="2570"/>
  <c r="M5" i="2570"/>
  <c r="L5" i="2570"/>
  <c r="K5" i="2570"/>
  <c r="H5" i="2570"/>
  <c r="I5" i="2570"/>
  <c r="K9" i="2570"/>
  <c r="L9" i="2570" s="1"/>
  <c r="M9" i="2570" s="1"/>
  <c r="N9" i="2570" s="1"/>
  <c r="I9" i="2570"/>
  <c r="H9" i="2570" s="1"/>
  <c r="N7" i="2570"/>
  <c r="M7" i="2570"/>
  <c r="L7" i="2570"/>
  <c r="K7" i="2570"/>
  <c r="H7" i="2570"/>
  <c r="I7" i="2570"/>
  <c r="N41" i="2570"/>
  <c r="K37" i="2570"/>
  <c r="L37" i="2570" s="1"/>
  <c r="M37" i="2570" s="1"/>
  <c r="N37" i="2570" s="1"/>
  <c r="I37" i="2570"/>
  <c r="H37" i="2570" s="1"/>
  <c r="K27" i="2570"/>
  <c r="L27" i="2570" s="1"/>
  <c r="M27" i="2570" s="1"/>
  <c r="N27" i="2570" s="1"/>
  <c r="I27" i="2570"/>
  <c r="H27" i="2570"/>
  <c r="K25" i="2570"/>
  <c r="L25" i="2570" s="1"/>
  <c r="M25" i="2570" s="1"/>
  <c r="N25" i="2570" s="1"/>
  <c r="I25" i="2570"/>
  <c r="H25" i="2570"/>
  <c r="K17" i="2570"/>
  <c r="L17" i="2570" s="1"/>
  <c r="M17" i="2570" s="1"/>
  <c r="N17" i="2570" s="1"/>
  <c r="I17" i="2570"/>
  <c r="H17" i="2570" s="1"/>
  <c r="K15" i="2570"/>
  <c r="L15" i="2570" s="1"/>
  <c r="M15" i="2570" s="1"/>
  <c r="N15" i="2570" s="1"/>
  <c r="I15" i="2570"/>
  <c r="H15" i="2570" s="1"/>
  <c r="K13" i="2570"/>
  <c r="L13" i="2570" s="1"/>
  <c r="M13" i="2570" s="1"/>
  <c r="N13" i="2570" s="1"/>
  <c r="I13" i="2570"/>
  <c r="H13" i="2570" s="1"/>
  <c r="K11" i="2570"/>
  <c r="L11" i="2570" s="1"/>
  <c r="M11" i="2570" s="1"/>
  <c r="N11" i="2570" s="1"/>
  <c r="I11" i="2570"/>
  <c r="H11" i="2570"/>
  <c r="L3" i="2570"/>
  <c r="M3" i="2570" s="1"/>
  <c r="N3" i="2570" s="1"/>
  <c r="K3" i="2570"/>
  <c r="I3" i="2570"/>
  <c r="H3" i="2570"/>
  <c r="K45" i="2569"/>
  <c r="L45" i="2569" s="1"/>
  <c r="M45" i="2569" s="1"/>
  <c r="N45" i="2569" s="1"/>
  <c r="I45" i="2569"/>
  <c r="H45" i="2569" s="1"/>
  <c r="K39" i="2569"/>
  <c r="L39" i="2569" s="1"/>
  <c r="M39" i="2569" s="1"/>
  <c r="N39" i="2569" s="1"/>
  <c r="I39" i="2569"/>
  <c r="H39" i="2569" s="1"/>
  <c r="K37" i="2569"/>
  <c r="L37" i="2569" s="1"/>
  <c r="M37" i="2569" s="1"/>
  <c r="N37" i="2569" s="1"/>
  <c r="I37" i="2569"/>
  <c r="H37" i="2569" s="1"/>
  <c r="K31" i="2569"/>
  <c r="L31" i="2569" s="1"/>
  <c r="M31" i="2569" s="1"/>
  <c r="N31" i="2569" s="1"/>
  <c r="I31" i="2569"/>
  <c r="H31" i="2569" s="1"/>
  <c r="K23" i="2569"/>
  <c r="L23" i="2569" s="1"/>
  <c r="M23" i="2569" s="1"/>
  <c r="N23" i="2569" s="1"/>
  <c r="I23" i="2569"/>
  <c r="H23" i="2569" s="1"/>
  <c r="K21" i="2569"/>
  <c r="L21" i="2569" s="1"/>
  <c r="M21" i="2569" s="1"/>
  <c r="N21" i="2569" s="1"/>
  <c r="I21" i="2569"/>
  <c r="H21" i="2569" s="1"/>
  <c r="K43" i="2569"/>
  <c r="L43" i="2569" s="1"/>
  <c r="M43" i="2569" s="1"/>
  <c r="N43" i="2569" s="1"/>
  <c r="I43" i="2569"/>
  <c r="H43" i="2569" s="1"/>
  <c r="K41" i="2569"/>
  <c r="L41" i="2569" s="1"/>
  <c r="M41" i="2569" s="1"/>
  <c r="N41" i="2569" s="1"/>
  <c r="I41" i="2569"/>
  <c r="H41" i="2569" s="1"/>
  <c r="K29" i="2569"/>
  <c r="L29" i="2569" s="1"/>
  <c r="M29" i="2569" s="1"/>
  <c r="N29" i="2569" s="1"/>
  <c r="I29" i="2569"/>
  <c r="H29" i="2569" s="1"/>
  <c r="K27" i="2569"/>
  <c r="L27" i="2569" s="1"/>
  <c r="M27" i="2569" s="1"/>
  <c r="N27" i="2569" s="1"/>
  <c r="I27" i="2569"/>
  <c r="H27" i="2569" s="1"/>
  <c r="K25" i="2569"/>
  <c r="L25" i="2569" s="1"/>
  <c r="M25" i="2569" s="1"/>
  <c r="N25" i="2569" s="1"/>
  <c r="I25" i="2569"/>
  <c r="H25" i="2569" s="1"/>
  <c r="K15" i="2569"/>
  <c r="L15" i="2569" s="1"/>
  <c r="M15" i="2569" s="1"/>
  <c r="N15" i="2569" s="1"/>
  <c r="I15" i="2569"/>
  <c r="H15" i="2569" s="1"/>
  <c r="K13" i="2569"/>
  <c r="L13" i="2569" s="1"/>
  <c r="M13" i="2569" s="1"/>
  <c r="N13" i="2569" s="1"/>
  <c r="I13" i="2569"/>
  <c r="H13" i="2569" s="1"/>
  <c r="K11" i="2569"/>
  <c r="L11" i="2569" s="1"/>
  <c r="M11" i="2569" s="1"/>
  <c r="N11" i="2569" s="1"/>
  <c r="I11" i="2569"/>
  <c r="H11" i="2569" s="1"/>
  <c r="K9" i="2569"/>
  <c r="L9" i="2569" s="1"/>
  <c r="M9" i="2569" s="1"/>
  <c r="N9" i="2569" s="1"/>
  <c r="I9" i="2569"/>
  <c r="H9" i="2569" s="1"/>
  <c r="K3" i="2569"/>
  <c r="L3" i="2569" s="1"/>
  <c r="M3" i="2569" s="1"/>
  <c r="N3" i="2569" s="1"/>
  <c r="I3" i="2569"/>
  <c r="H3" i="2569" s="1"/>
  <c r="K29" i="2568"/>
  <c r="L29" i="2568" s="1"/>
  <c r="M29" i="2568" s="1"/>
  <c r="I29" i="2568"/>
  <c r="H29" i="2568" s="1"/>
  <c r="K27" i="2568"/>
  <c r="L27" i="2568" s="1"/>
  <c r="M27" i="2568" s="1"/>
  <c r="I27" i="2568"/>
  <c r="H27" i="2568" s="1"/>
  <c r="I25" i="2568"/>
  <c r="H25" i="2568" s="1"/>
  <c r="K25" i="2568"/>
  <c r="L25" i="2568" s="1"/>
  <c r="M25" i="2568" s="1"/>
  <c r="K19" i="2568"/>
  <c r="L19" i="2568" s="1"/>
  <c r="M19" i="2568" s="1"/>
  <c r="I19" i="2568"/>
  <c r="H19" i="2568" s="1"/>
  <c r="K11" i="2568"/>
  <c r="L11" i="2568" s="1"/>
  <c r="M11" i="2568" s="1"/>
  <c r="K9" i="2568"/>
  <c r="L9" i="2568" s="1"/>
  <c r="M9" i="2568" s="1"/>
  <c r="I9" i="2568"/>
  <c r="H9" i="2568" s="1"/>
  <c r="K7" i="2568"/>
  <c r="L7" i="2568" s="1"/>
  <c r="M7" i="2568" s="1"/>
  <c r="I7" i="2568"/>
  <c r="H7" i="2568" s="1"/>
  <c r="K5" i="2568"/>
  <c r="L5" i="2568" s="1"/>
  <c r="M5" i="2568" s="1"/>
  <c r="I5" i="2568"/>
  <c r="H5" i="2568" s="1"/>
  <c r="K3" i="2568"/>
  <c r="L3" i="2568" s="1"/>
  <c r="M3" i="2568" s="1"/>
  <c r="I3" i="2568"/>
  <c r="H3" i="2568" s="1"/>
  <c r="K23" i="2568"/>
  <c r="L23" i="2568" s="1"/>
  <c r="M23" i="2568" s="1"/>
  <c r="I23" i="2568"/>
  <c r="H23" i="2568"/>
  <c r="K17" i="2568"/>
  <c r="L17" i="2568" s="1"/>
  <c r="M17" i="2568" s="1"/>
  <c r="I17" i="2568"/>
  <c r="H17" i="2568"/>
  <c r="K15" i="2568"/>
  <c r="L15" i="2568" s="1"/>
  <c r="M15" i="2568" s="1"/>
  <c r="I15" i="2568"/>
  <c r="H15" i="2568" s="1"/>
  <c r="K13" i="2568"/>
  <c r="L13" i="2568" s="1"/>
  <c r="M13" i="2568" s="1"/>
  <c r="I13" i="2568"/>
  <c r="H13" i="2568" s="1"/>
  <c r="I11" i="2568"/>
  <c r="H11" i="2568" s="1"/>
  <c r="M5" i="2567"/>
  <c r="K5" i="2567"/>
  <c r="I25" i="2567"/>
  <c r="H25" i="2567" s="1"/>
  <c r="K25" i="2567"/>
  <c r="L25" i="2567" s="1"/>
  <c r="M25" i="2567" s="1"/>
  <c r="K27" i="2567"/>
  <c r="L27" i="2567" s="1"/>
  <c r="M27" i="2567" s="1"/>
  <c r="I27" i="2567"/>
  <c r="H27" i="2567" s="1"/>
  <c r="K9" i="2567"/>
  <c r="L9" i="2567" s="1"/>
  <c r="M9" i="2567" s="1"/>
  <c r="I9" i="2567"/>
  <c r="H9" i="2567" s="1"/>
  <c r="K7" i="2567"/>
  <c r="L7" i="2567" s="1"/>
  <c r="M7" i="2567" s="1"/>
  <c r="I7" i="2567"/>
  <c r="H7" i="2567" s="1"/>
  <c r="L5" i="2567"/>
  <c r="I5" i="2567"/>
  <c r="H5" i="2567" s="1"/>
  <c r="K3" i="2567"/>
  <c r="L3" i="2567" s="1"/>
  <c r="M3" i="2567" s="1"/>
  <c r="I3" i="2567"/>
  <c r="H3" i="2567" s="1"/>
  <c r="K23" i="2567"/>
  <c r="L23" i="2567" s="1"/>
  <c r="M23" i="2567" s="1"/>
  <c r="I23" i="2567"/>
  <c r="H23" i="2567" s="1"/>
  <c r="K17" i="2567"/>
  <c r="L17" i="2567" s="1"/>
  <c r="M17" i="2567" s="1"/>
  <c r="I17" i="2567"/>
  <c r="H17" i="2567"/>
  <c r="K15" i="2567"/>
  <c r="L15" i="2567" s="1"/>
  <c r="M15" i="2567" s="1"/>
  <c r="I15" i="2567"/>
  <c r="H15" i="2567" s="1"/>
  <c r="K13" i="2567"/>
  <c r="L13" i="2567" s="1"/>
  <c r="M13" i="2567" s="1"/>
  <c r="I13" i="2567"/>
  <c r="H13" i="2567"/>
  <c r="K19" i="2566"/>
  <c r="L19" i="2566" s="1"/>
  <c r="M19" i="2566" s="1"/>
  <c r="I19" i="2566"/>
  <c r="H19" i="2566" s="1"/>
  <c r="K5" i="2566"/>
  <c r="L5" i="2566" s="1"/>
  <c r="M5" i="2566" s="1"/>
  <c r="I5" i="2566"/>
  <c r="H5" i="2566" s="1"/>
  <c r="K3" i="2566"/>
  <c r="L3" i="2566" s="1"/>
  <c r="M3" i="2566" s="1"/>
  <c r="I3" i="2566"/>
  <c r="H3" i="2566" s="1"/>
  <c r="K25" i="2566"/>
  <c r="L25" i="2566" s="1"/>
  <c r="M25" i="2566" s="1"/>
  <c r="I25" i="2566"/>
  <c r="H25" i="2566" s="1"/>
  <c r="K23" i="2566"/>
  <c r="L23" i="2566" s="1"/>
  <c r="M23" i="2566" s="1"/>
  <c r="I23" i="2566"/>
  <c r="H23" i="2566" s="1"/>
  <c r="K17" i="2566"/>
  <c r="L17" i="2566" s="1"/>
  <c r="M17" i="2566" s="1"/>
  <c r="I17" i="2566"/>
  <c r="H17" i="2566" s="1"/>
  <c r="K15" i="2566"/>
  <c r="L15" i="2566" s="1"/>
  <c r="M15" i="2566" s="1"/>
  <c r="I15" i="2566"/>
  <c r="H15" i="2566" s="1"/>
  <c r="K13" i="2566"/>
  <c r="L13" i="2566" s="1"/>
  <c r="M13" i="2566" s="1"/>
  <c r="I13" i="2566"/>
  <c r="H13" i="2566" s="1"/>
  <c r="K11" i="2566"/>
  <c r="L11" i="2566" s="1"/>
  <c r="M11" i="2566" s="1"/>
  <c r="I11" i="2566"/>
  <c r="H11" i="2566" s="1"/>
  <c r="K9" i="2566"/>
  <c r="L9" i="2566" s="1"/>
  <c r="M9" i="2566" s="1"/>
  <c r="I9" i="2566"/>
  <c r="H9" i="2566" s="1"/>
  <c r="K7" i="2566"/>
  <c r="L7" i="2566" s="1"/>
  <c r="M7" i="2566" s="1"/>
  <c r="I7" i="2566"/>
  <c r="H7" i="2566" s="1"/>
  <c r="N27" i="2565"/>
  <c r="H11" i="2565"/>
  <c r="K27" i="2565"/>
  <c r="L27" i="2565" s="1"/>
  <c r="M27" i="2565" s="1"/>
  <c r="I27" i="2565"/>
  <c r="H27" i="2565" s="1"/>
  <c r="K25" i="2565"/>
  <c r="L25" i="2565" s="1"/>
  <c r="M25" i="2565" s="1"/>
  <c r="N25" i="2565" s="1"/>
  <c r="I25" i="2565"/>
  <c r="H25" i="2565" s="1"/>
  <c r="K19" i="2565"/>
  <c r="L19" i="2565" s="1"/>
  <c r="M19" i="2565" s="1"/>
  <c r="N19" i="2565" s="1"/>
  <c r="I19" i="2565"/>
  <c r="H19" i="2565" s="1"/>
  <c r="M11" i="2565"/>
  <c r="K11" i="2565"/>
  <c r="L11" i="2565" s="1"/>
  <c r="I11" i="2565"/>
  <c r="K5" i="2565"/>
  <c r="L5" i="2565" s="1"/>
  <c r="M5" i="2565" s="1"/>
  <c r="N5" i="2565" s="1"/>
  <c r="I5" i="2565"/>
  <c r="H5" i="2565" s="1"/>
  <c r="N13" i="2565"/>
  <c r="N15" i="2565"/>
  <c r="N17" i="2565"/>
  <c r="N23" i="2565"/>
  <c r="K23" i="2565"/>
  <c r="L23" i="2565" s="1"/>
  <c r="M23" i="2565" s="1"/>
  <c r="I23" i="2565"/>
  <c r="H23" i="2565" s="1"/>
  <c r="K17" i="2565"/>
  <c r="L17" i="2565" s="1"/>
  <c r="M17" i="2565" s="1"/>
  <c r="I17" i="2565"/>
  <c r="H17" i="2565" s="1"/>
  <c r="K15" i="2565"/>
  <c r="L15" i="2565" s="1"/>
  <c r="M15" i="2565" s="1"/>
  <c r="I15" i="2565"/>
  <c r="H15" i="2565" s="1"/>
  <c r="K13" i="2565"/>
  <c r="L13" i="2565" s="1"/>
  <c r="M13" i="2565" s="1"/>
  <c r="I13" i="2565"/>
  <c r="H13" i="2565" s="1"/>
  <c r="K9" i="2565"/>
  <c r="L9" i="2565" s="1"/>
  <c r="M9" i="2565" s="1"/>
  <c r="N9" i="2565" s="1"/>
  <c r="I9" i="2565"/>
  <c r="H9" i="2565" s="1"/>
  <c r="K7" i="2565"/>
  <c r="L7" i="2565" s="1"/>
  <c r="M7" i="2565" s="1"/>
  <c r="N7" i="2565" s="1"/>
  <c r="I7" i="2565"/>
  <c r="H7" i="2565"/>
  <c r="K3" i="2565"/>
  <c r="L3" i="2565" s="1"/>
  <c r="M3" i="2565" s="1"/>
  <c r="N3" i="2565" s="1"/>
  <c r="I3" i="2565"/>
  <c r="H3" i="2565" s="1"/>
  <c r="K63" i="2563"/>
  <c r="L63" i="2563" s="1"/>
  <c r="M63" i="2563" s="1"/>
  <c r="N63" i="2563" s="1"/>
  <c r="I63" i="2563"/>
  <c r="H63" i="2563" s="1"/>
  <c r="K61" i="2563"/>
  <c r="L61" i="2563" s="1"/>
  <c r="M61" i="2563" s="1"/>
  <c r="N61" i="2563" s="1"/>
  <c r="I61" i="2563"/>
  <c r="H61" i="2563"/>
  <c r="K59" i="2563"/>
  <c r="L59" i="2563" s="1"/>
  <c r="M59" i="2563" s="1"/>
  <c r="N59" i="2563" s="1"/>
  <c r="I59" i="2563"/>
  <c r="H59" i="2563"/>
  <c r="K57" i="2563"/>
  <c r="L57" i="2563" s="1"/>
  <c r="M57" i="2563" s="1"/>
  <c r="N57" i="2563" s="1"/>
  <c r="I57" i="2563"/>
  <c r="H57" i="2563"/>
  <c r="K55" i="2563"/>
  <c r="L55" i="2563" s="1"/>
  <c r="M55" i="2563" s="1"/>
  <c r="N55" i="2563" s="1"/>
  <c r="I55" i="2563"/>
  <c r="H55" i="2563"/>
  <c r="K45" i="2563"/>
  <c r="L45" i="2563" s="1"/>
  <c r="M45" i="2563" s="1"/>
  <c r="N45" i="2563" s="1"/>
  <c r="I45" i="2563"/>
  <c r="H45" i="2563"/>
  <c r="K43" i="2563"/>
  <c r="L43" i="2563" s="1"/>
  <c r="M43" i="2563" s="1"/>
  <c r="N43" i="2563" s="1"/>
  <c r="I43" i="2563"/>
  <c r="H43" i="2563"/>
  <c r="K41" i="2563"/>
  <c r="L41" i="2563" s="1"/>
  <c r="M41" i="2563" s="1"/>
  <c r="N41" i="2563" s="1"/>
  <c r="I41" i="2563"/>
  <c r="H41" i="2563"/>
  <c r="K39" i="2563"/>
  <c r="L39" i="2563" s="1"/>
  <c r="M39" i="2563" s="1"/>
  <c r="N39" i="2563" s="1"/>
  <c r="I39" i="2563"/>
  <c r="H39" i="2563"/>
  <c r="K35" i="2563"/>
  <c r="L35" i="2563" s="1"/>
  <c r="M35" i="2563" s="1"/>
  <c r="N35" i="2563" s="1"/>
  <c r="I35" i="2563"/>
  <c r="H35" i="2563"/>
  <c r="K33" i="2563"/>
  <c r="L33" i="2563" s="1"/>
  <c r="M33" i="2563" s="1"/>
  <c r="N33" i="2563" s="1"/>
  <c r="I33" i="2563"/>
  <c r="H33" i="2563"/>
  <c r="K31" i="2563"/>
  <c r="L31" i="2563" s="1"/>
  <c r="M31" i="2563" s="1"/>
  <c r="N31" i="2563" s="1"/>
  <c r="I31" i="2563"/>
  <c r="H31" i="2563"/>
  <c r="K29" i="2563"/>
  <c r="L29" i="2563" s="1"/>
  <c r="M29" i="2563" s="1"/>
  <c r="N29" i="2563" s="1"/>
  <c r="I29" i="2563"/>
  <c r="H29" i="2563"/>
  <c r="K25" i="2563"/>
  <c r="L25" i="2563" s="1"/>
  <c r="M25" i="2563" s="1"/>
  <c r="N25" i="2563" s="1"/>
  <c r="I25" i="2563"/>
  <c r="H25" i="2563"/>
  <c r="K23" i="2563"/>
  <c r="L23" i="2563" s="1"/>
  <c r="M23" i="2563" s="1"/>
  <c r="N23" i="2563" s="1"/>
  <c r="I23" i="2563"/>
  <c r="H23" i="2563"/>
  <c r="K19" i="2563"/>
  <c r="L19" i="2563" s="1"/>
  <c r="M19" i="2563" s="1"/>
  <c r="N19" i="2563" s="1"/>
  <c r="I19" i="2563"/>
  <c r="H19" i="2563"/>
  <c r="K17" i="2563"/>
  <c r="L17" i="2563" s="1"/>
  <c r="M17" i="2563" s="1"/>
  <c r="N17" i="2563" s="1"/>
  <c r="I17" i="2563"/>
  <c r="H17" i="2563"/>
  <c r="K15" i="2563"/>
  <c r="L15" i="2563" s="1"/>
  <c r="M15" i="2563" s="1"/>
  <c r="N15" i="2563" s="1"/>
  <c r="I15" i="2563"/>
  <c r="H15" i="2563"/>
  <c r="K13" i="2563"/>
  <c r="L13" i="2563" s="1"/>
  <c r="M13" i="2563" s="1"/>
  <c r="N13" i="2563" s="1"/>
  <c r="I13" i="2563"/>
  <c r="H13" i="2563"/>
  <c r="K11" i="2563"/>
  <c r="L11" i="2563" s="1"/>
  <c r="M11" i="2563" s="1"/>
  <c r="N11" i="2563" s="1"/>
  <c r="I11" i="2563"/>
  <c r="H11" i="2563"/>
  <c r="K9" i="2563"/>
  <c r="L9" i="2563" s="1"/>
  <c r="M9" i="2563" s="1"/>
  <c r="N9" i="2563" s="1"/>
  <c r="I9" i="2563"/>
  <c r="H9" i="2563"/>
  <c r="K7" i="2563"/>
  <c r="L7" i="2563" s="1"/>
  <c r="M7" i="2563" s="1"/>
  <c r="N7" i="2563" s="1"/>
  <c r="I7" i="2563"/>
  <c r="H7" i="2563"/>
  <c r="K5" i="2563"/>
  <c r="L5" i="2563" s="1"/>
  <c r="M5" i="2563" s="1"/>
  <c r="N5" i="2563" s="1"/>
  <c r="I5" i="2563"/>
  <c r="H5" i="2563"/>
  <c r="K3" i="2563"/>
  <c r="L3" i="2563" s="1"/>
  <c r="M3" i="2563" s="1"/>
  <c r="N3" i="2563" s="1"/>
  <c r="I3" i="2563"/>
  <c r="H3" i="2563"/>
  <c r="K25" i="2562"/>
  <c r="L25" i="2562" s="1"/>
  <c r="M25" i="2562" s="1"/>
  <c r="I25" i="2562"/>
  <c r="H25" i="2562"/>
  <c r="K23" i="2562"/>
  <c r="L23" i="2562" s="1"/>
  <c r="M23" i="2562" s="1"/>
  <c r="I23" i="2562"/>
  <c r="H23" i="2562"/>
  <c r="K17" i="2562"/>
  <c r="L17" i="2562" s="1"/>
  <c r="M17" i="2562" s="1"/>
  <c r="I17" i="2562"/>
  <c r="H17" i="2562"/>
  <c r="K15" i="2562"/>
  <c r="L15" i="2562" s="1"/>
  <c r="M15" i="2562" s="1"/>
  <c r="I15" i="2562"/>
  <c r="H15" i="2562"/>
  <c r="K13" i="2562"/>
  <c r="L13" i="2562" s="1"/>
  <c r="M13" i="2562" s="1"/>
  <c r="I13" i="2562"/>
  <c r="H13" i="2562"/>
  <c r="K9" i="2562"/>
  <c r="L9" i="2562" s="1"/>
  <c r="M9" i="2562" s="1"/>
  <c r="I9" i="2562"/>
  <c r="H9" i="2562"/>
  <c r="L7" i="2562"/>
  <c r="M7" i="2562" s="1"/>
  <c r="K7" i="2562"/>
  <c r="I7" i="2562"/>
  <c r="H7" i="2562"/>
  <c r="K5" i="2562"/>
  <c r="L5" i="2562" s="1"/>
  <c r="M5" i="2562" s="1"/>
  <c r="I5" i="2562"/>
  <c r="H5" i="2562"/>
  <c r="K3" i="2562"/>
  <c r="L3" i="2562" s="1"/>
  <c r="M3" i="2562" s="1"/>
  <c r="I3" i="2562"/>
  <c r="H3" i="2562"/>
  <c r="K29" i="2554"/>
  <c r="L29" i="2554" s="1"/>
  <c r="M29" i="2554" s="1"/>
  <c r="N29" i="2554" s="1"/>
  <c r="I29" i="2554"/>
  <c r="K27" i="2554"/>
  <c r="L27" i="2554" s="1"/>
  <c r="M27" i="2554" s="1"/>
  <c r="N27" i="2554" s="1"/>
  <c r="I27" i="2554"/>
  <c r="K25" i="2554"/>
  <c r="L25" i="2554" s="1"/>
  <c r="M25" i="2554" s="1"/>
  <c r="N25" i="2554" s="1"/>
  <c r="I25" i="2554"/>
  <c r="K23" i="2554"/>
  <c r="L23" i="2554" s="1"/>
  <c r="M23" i="2554" s="1"/>
  <c r="N23" i="2554" s="1"/>
  <c r="I23" i="2554"/>
  <c r="L19" i="2554"/>
  <c r="M19" i="2554" s="1"/>
  <c r="N19" i="2554" s="1"/>
  <c r="K19" i="2554"/>
  <c r="I19" i="2554"/>
  <c r="K17" i="2554"/>
  <c r="L17" i="2554" s="1"/>
  <c r="M17" i="2554" s="1"/>
  <c r="N17" i="2554" s="1"/>
  <c r="I17" i="2554"/>
  <c r="K11" i="2554"/>
  <c r="L11" i="2554" s="1"/>
  <c r="M11" i="2554" s="1"/>
  <c r="N11" i="2554" s="1"/>
  <c r="I11" i="2554"/>
  <c r="K9" i="2554"/>
  <c r="L9" i="2554" s="1"/>
  <c r="M9" i="2554" s="1"/>
  <c r="N9" i="2554" s="1"/>
  <c r="I9" i="2554"/>
  <c r="L7" i="2554"/>
  <c r="M7" i="2554" s="1"/>
  <c r="N7" i="2554" s="1"/>
  <c r="K7" i="2554"/>
  <c r="I7" i="2554"/>
  <c r="K3" i="2554"/>
  <c r="L3" i="2554" s="1"/>
  <c r="M3" i="2554" s="1"/>
  <c r="N3" i="2554" s="1"/>
  <c r="I3" i="2554"/>
  <c r="N11" i="2565" l="1"/>
  <c r="N21" i="2561"/>
  <c r="M21" i="2561"/>
  <c r="L21" i="2561"/>
  <c r="K21" i="2561"/>
  <c r="H21" i="2561"/>
  <c r="I21" i="2561"/>
  <c r="K23" i="2561"/>
  <c r="L23" i="2561" s="1"/>
  <c r="M23" i="2561" s="1"/>
  <c r="N23" i="2561" s="1"/>
  <c r="I23" i="2561"/>
  <c r="H23" i="2561"/>
  <c r="N19" i="2561"/>
  <c r="M19" i="2561"/>
  <c r="L19" i="2561"/>
  <c r="K19" i="2561"/>
  <c r="I19" i="2561"/>
  <c r="H19" i="2561"/>
  <c r="K17" i="2561"/>
  <c r="L17" i="2561" s="1"/>
  <c r="M17" i="2561" s="1"/>
  <c r="N17" i="2561" s="1"/>
  <c r="I17" i="2561"/>
  <c r="H17" i="2561" s="1"/>
  <c r="N15" i="2561"/>
  <c r="M15" i="2561"/>
  <c r="L15" i="2561"/>
  <c r="K15" i="2561"/>
  <c r="H15" i="2561"/>
  <c r="I15" i="2561"/>
  <c r="K13" i="2561"/>
  <c r="L13" i="2561" s="1"/>
  <c r="M13" i="2561" s="1"/>
  <c r="N13" i="2561" s="1"/>
  <c r="I13" i="2561"/>
  <c r="H13" i="2561" s="1"/>
  <c r="K11" i="2561"/>
  <c r="L11" i="2561" s="1"/>
  <c r="M11" i="2561" s="1"/>
  <c r="N11" i="2561" s="1"/>
  <c r="I11" i="2561"/>
  <c r="H11" i="2561" s="1"/>
  <c r="N9" i="2561"/>
  <c r="K9" i="2561"/>
  <c r="L9" i="2561" s="1"/>
  <c r="M9" i="2561" s="1"/>
  <c r="I9" i="2561"/>
  <c r="H9" i="2561" s="1"/>
  <c r="K7" i="2561"/>
  <c r="L7" i="2561" s="1"/>
  <c r="M7" i="2561" s="1"/>
  <c r="N7" i="2561" s="1"/>
  <c r="I7" i="2561"/>
  <c r="H7" i="2561" s="1"/>
  <c r="K5" i="2561"/>
  <c r="L5" i="2561" s="1"/>
  <c r="M5" i="2561" s="1"/>
  <c r="N5" i="2561" s="1"/>
  <c r="I5" i="2561"/>
  <c r="H5" i="2561"/>
  <c r="K3" i="2561"/>
  <c r="L3" i="2561" s="1"/>
  <c r="M3" i="2561" s="1"/>
  <c r="N3" i="2561" s="1"/>
  <c r="I3" i="2561"/>
  <c r="H3" i="2561" s="1"/>
  <c r="H19" i="2560"/>
  <c r="M3" i="2560"/>
  <c r="L3" i="2560"/>
  <c r="K3" i="2560"/>
  <c r="H3" i="2560"/>
  <c r="I3" i="2560"/>
  <c r="M25" i="2560"/>
  <c r="M21" i="2560"/>
  <c r="M7" i="2560"/>
  <c r="M5" i="2560"/>
  <c r="K25" i="2560"/>
  <c r="L25" i="2560" s="1"/>
  <c r="I25" i="2560"/>
  <c r="H25" i="2560"/>
  <c r="K23" i="2560"/>
  <c r="L23" i="2560" s="1"/>
  <c r="M23" i="2560" s="1"/>
  <c r="I23" i="2560"/>
  <c r="H23" i="2560" s="1"/>
  <c r="K21" i="2560"/>
  <c r="L21" i="2560" s="1"/>
  <c r="I21" i="2560"/>
  <c r="H21" i="2560"/>
  <c r="K19" i="2560"/>
  <c r="L19" i="2560" s="1"/>
  <c r="M19" i="2560" s="1"/>
  <c r="I19" i="2560"/>
  <c r="K17" i="2560"/>
  <c r="L17" i="2560" s="1"/>
  <c r="M17" i="2560" s="1"/>
  <c r="I17" i="2560"/>
  <c r="H17" i="2560"/>
  <c r="K15" i="2560"/>
  <c r="L15" i="2560" s="1"/>
  <c r="M15" i="2560" s="1"/>
  <c r="I15" i="2560"/>
  <c r="H15" i="2560"/>
  <c r="L7" i="2560"/>
  <c r="K7" i="2560"/>
  <c r="I7" i="2560"/>
  <c r="H7" i="2560"/>
  <c r="K5" i="2560"/>
  <c r="L5" i="2560" s="1"/>
  <c r="I5" i="2560"/>
  <c r="H5" i="2560" s="1"/>
  <c r="K25" i="2559"/>
  <c r="L25" i="2559" s="1"/>
  <c r="M25" i="2559" s="1"/>
  <c r="N25" i="2559" s="1"/>
  <c r="I25" i="2559"/>
  <c r="H25" i="2559" s="1"/>
  <c r="N19" i="2559"/>
  <c r="M19" i="2559"/>
  <c r="L19" i="2559"/>
  <c r="K19" i="2559"/>
  <c r="H19" i="2559"/>
  <c r="I19" i="2559"/>
  <c r="K5" i="2559"/>
  <c r="L5" i="2559" s="1"/>
  <c r="M5" i="2559" s="1"/>
  <c r="N5" i="2559" s="1"/>
  <c r="I5" i="2559"/>
  <c r="H5" i="2559" s="1"/>
  <c r="N7" i="2559"/>
  <c r="K23" i="2559"/>
  <c r="L23" i="2559" s="1"/>
  <c r="M23" i="2559" s="1"/>
  <c r="N23" i="2559" s="1"/>
  <c r="I23" i="2559"/>
  <c r="H23" i="2559"/>
  <c r="K17" i="2559"/>
  <c r="L17" i="2559" s="1"/>
  <c r="M17" i="2559" s="1"/>
  <c r="N17" i="2559" s="1"/>
  <c r="I17" i="2559"/>
  <c r="H17" i="2559" s="1"/>
  <c r="K15" i="2559"/>
  <c r="L15" i="2559" s="1"/>
  <c r="M15" i="2559" s="1"/>
  <c r="N15" i="2559" s="1"/>
  <c r="I15" i="2559"/>
  <c r="H15" i="2559" s="1"/>
  <c r="K13" i="2559"/>
  <c r="L13" i="2559" s="1"/>
  <c r="M13" i="2559" s="1"/>
  <c r="N13" i="2559" s="1"/>
  <c r="I13" i="2559"/>
  <c r="H13" i="2559"/>
  <c r="K11" i="2559"/>
  <c r="L11" i="2559" s="1"/>
  <c r="M11" i="2559" s="1"/>
  <c r="N11" i="2559" s="1"/>
  <c r="I11" i="2559"/>
  <c r="H11" i="2559"/>
  <c r="K9" i="2559"/>
  <c r="L9" i="2559" s="1"/>
  <c r="M9" i="2559" s="1"/>
  <c r="N9" i="2559" s="1"/>
  <c r="I9" i="2559"/>
  <c r="H9" i="2559"/>
  <c r="K7" i="2559"/>
  <c r="L7" i="2559" s="1"/>
  <c r="M7" i="2559" s="1"/>
  <c r="I7" i="2559"/>
  <c r="H7" i="2559" s="1"/>
  <c r="K3" i="2559"/>
  <c r="L3" i="2559" s="1"/>
  <c r="M3" i="2559" s="1"/>
  <c r="N3" i="2559" s="1"/>
  <c r="I3" i="2559"/>
  <c r="H3" i="2559" s="1"/>
  <c r="K23" i="2558"/>
  <c r="L23" i="2558" s="1"/>
  <c r="M23" i="2558" s="1"/>
  <c r="I23" i="2558"/>
  <c r="H23" i="2558" s="1"/>
  <c r="H11" i="2558"/>
  <c r="K19" i="2558"/>
  <c r="L19" i="2558" s="1"/>
  <c r="M19" i="2558" s="1"/>
  <c r="I19" i="2558"/>
  <c r="H19" i="2558" s="1"/>
  <c r="K17" i="2558"/>
  <c r="L17" i="2558" s="1"/>
  <c r="M17" i="2558" s="1"/>
  <c r="I17" i="2558"/>
  <c r="H17" i="2558" s="1"/>
  <c r="K15" i="2558"/>
  <c r="L15" i="2558" s="1"/>
  <c r="M15" i="2558" s="1"/>
  <c r="I15" i="2558"/>
  <c r="H15" i="2558" s="1"/>
  <c r="K13" i="2558"/>
  <c r="L13" i="2558" s="1"/>
  <c r="M13" i="2558" s="1"/>
  <c r="I13" i="2558"/>
  <c r="H13" i="2558" s="1"/>
  <c r="K11" i="2558"/>
  <c r="L11" i="2558" s="1"/>
  <c r="M11" i="2558" s="1"/>
  <c r="I11" i="2558"/>
  <c r="K9" i="2558"/>
  <c r="L9" i="2558" s="1"/>
  <c r="M9" i="2558" s="1"/>
  <c r="I9" i="2558"/>
  <c r="H9" i="2558" s="1"/>
  <c r="K7" i="2558"/>
  <c r="L7" i="2558" s="1"/>
  <c r="M7" i="2558" s="1"/>
  <c r="I7" i="2558"/>
  <c r="H7" i="2558" s="1"/>
  <c r="K5" i="2558"/>
  <c r="L5" i="2558" s="1"/>
  <c r="M5" i="2558" s="1"/>
  <c r="I5" i="2558"/>
  <c r="H5" i="2558" s="1"/>
  <c r="K3" i="2558"/>
  <c r="L3" i="2558" s="1"/>
  <c r="M3" i="2558" s="1"/>
  <c r="I3" i="2558"/>
  <c r="H3" i="2558" s="1"/>
  <c r="N25" i="2557"/>
  <c r="M25" i="2557"/>
  <c r="L25" i="2557"/>
  <c r="K25" i="2557"/>
  <c r="I25" i="2557"/>
  <c r="H25" i="2557" s="1"/>
  <c r="K27" i="2557"/>
  <c r="L27" i="2557" s="1"/>
  <c r="M27" i="2557" s="1"/>
  <c r="N27" i="2557" s="1"/>
  <c r="I27" i="2557"/>
  <c r="H27" i="2557"/>
  <c r="K31" i="2557"/>
  <c r="L31" i="2557" s="1"/>
  <c r="M31" i="2557" s="1"/>
  <c r="N31" i="2557" s="1"/>
  <c r="I31" i="2557"/>
  <c r="H31" i="2557" s="1"/>
  <c r="K29" i="2557"/>
  <c r="L29" i="2557" s="1"/>
  <c r="M29" i="2557" s="1"/>
  <c r="N29" i="2557" s="1"/>
  <c r="I29" i="2557"/>
  <c r="H29" i="2557" s="1"/>
  <c r="K11" i="2557"/>
  <c r="L11" i="2557" s="1"/>
  <c r="M11" i="2557" s="1"/>
  <c r="N11" i="2557" s="1"/>
  <c r="I11" i="2557"/>
  <c r="H11" i="2557" s="1"/>
  <c r="K9" i="2557"/>
  <c r="L9" i="2557" s="1"/>
  <c r="M9" i="2557" s="1"/>
  <c r="N9" i="2557" s="1"/>
  <c r="I9" i="2557"/>
  <c r="H9" i="2557" s="1"/>
  <c r="K7" i="2557"/>
  <c r="L7" i="2557" s="1"/>
  <c r="M7" i="2557" s="1"/>
  <c r="N7" i="2557" s="1"/>
  <c r="I7" i="2557"/>
  <c r="H7" i="2557" s="1"/>
  <c r="K5" i="2557"/>
  <c r="L5" i="2557" s="1"/>
  <c r="M5" i="2557" s="1"/>
  <c r="N5" i="2557" s="1"/>
  <c r="I5" i="2557"/>
  <c r="H5" i="2557" s="1"/>
  <c r="K17" i="2557"/>
  <c r="L17" i="2557" s="1"/>
  <c r="M17" i="2557" s="1"/>
  <c r="N17" i="2557" s="1"/>
  <c r="I17" i="2557"/>
  <c r="H17" i="2557" s="1"/>
  <c r="K15" i="2557"/>
  <c r="L15" i="2557" s="1"/>
  <c r="M15" i="2557" s="1"/>
  <c r="N15" i="2557" s="1"/>
  <c r="I15" i="2557"/>
  <c r="H15" i="2557" s="1"/>
  <c r="K13" i="2557"/>
  <c r="L13" i="2557" s="1"/>
  <c r="M13" i="2557" s="1"/>
  <c r="N13" i="2557" s="1"/>
  <c r="I13" i="2557"/>
  <c r="H13" i="2557" s="1"/>
  <c r="K3" i="2557"/>
  <c r="L3" i="2557" s="1"/>
  <c r="M3" i="2557" s="1"/>
  <c r="N3" i="2557" s="1"/>
  <c r="I3" i="2557"/>
  <c r="H3" i="2557" s="1"/>
  <c r="H23" i="2556"/>
  <c r="I23" i="2556"/>
  <c r="K37" i="2556"/>
  <c r="L37" i="2556" s="1"/>
  <c r="M37" i="2556" s="1"/>
  <c r="I37" i="2556"/>
  <c r="H37" i="2556"/>
  <c r="K31" i="2556"/>
  <c r="L31" i="2556" s="1"/>
  <c r="M31" i="2556" s="1"/>
  <c r="I31" i="2556"/>
  <c r="H31" i="2556" s="1"/>
  <c r="K29" i="2556"/>
  <c r="L29" i="2556" s="1"/>
  <c r="M29" i="2556" s="1"/>
  <c r="I29" i="2556"/>
  <c r="H29" i="2556" s="1"/>
  <c r="K21" i="2556"/>
  <c r="L21" i="2556" s="1"/>
  <c r="M21" i="2556" s="1"/>
  <c r="I21" i="2556"/>
  <c r="H21" i="2556" s="1"/>
  <c r="K35" i="2556"/>
  <c r="L35" i="2556" s="1"/>
  <c r="M35" i="2556" s="1"/>
  <c r="I35" i="2556"/>
  <c r="H35" i="2556"/>
  <c r="K33" i="2556"/>
  <c r="L33" i="2556" s="1"/>
  <c r="M33" i="2556" s="1"/>
  <c r="I33" i="2556"/>
  <c r="H33" i="2556"/>
  <c r="K27" i="2556"/>
  <c r="L27" i="2556" s="1"/>
  <c r="M27" i="2556" s="1"/>
  <c r="I27" i="2556"/>
  <c r="H27" i="2556" s="1"/>
  <c r="K25" i="2556"/>
  <c r="L25" i="2556" s="1"/>
  <c r="M25" i="2556" s="1"/>
  <c r="I25" i="2556"/>
  <c r="H25" i="2556"/>
  <c r="K23" i="2556"/>
  <c r="L23" i="2556" s="1"/>
  <c r="M23" i="2556" s="1"/>
  <c r="K15" i="2556"/>
  <c r="L15" i="2556" s="1"/>
  <c r="M15" i="2556" s="1"/>
  <c r="I15" i="2556"/>
  <c r="H15" i="2556" s="1"/>
  <c r="K13" i="2556"/>
  <c r="L13" i="2556" s="1"/>
  <c r="M13" i="2556" s="1"/>
  <c r="I13" i="2556"/>
  <c r="H13" i="2556" s="1"/>
  <c r="K11" i="2556"/>
  <c r="L11" i="2556" s="1"/>
  <c r="M11" i="2556" s="1"/>
  <c r="I11" i="2556"/>
  <c r="H11" i="2556" s="1"/>
  <c r="K9" i="2556"/>
  <c r="L9" i="2556" s="1"/>
  <c r="M9" i="2556" s="1"/>
  <c r="I9" i="2556"/>
  <c r="H9" i="2556" s="1"/>
  <c r="K3" i="2556"/>
  <c r="L3" i="2556" s="1"/>
  <c r="M3" i="2556" s="1"/>
  <c r="I3" i="2556"/>
  <c r="H3" i="2556" s="1"/>
  <c r="K41" i="2555"/>
  <c r="L41" i="2555" s="1"/>
  <c r="M41" i="2555" s="1"/>
  <c r="I41" i="2555"/>
  <c r="H41" i="2555" s="1"/>
  <c r="K45" i="2555"/>
  <c r="L45" i="2555" s="1"/>
  <c r="M45" i="2555" s="1"/>
  <c r="I45" i="2555"/>
  <c r="H45" i="2555" s="1"/>
  <c r="K39" i="2555"/>
  <c r="L39" i="2555" s="1"/>
  <c r="M39" i="2555" s="1"/>
  <c r="I39" i="2555"/>
  <c r="H39" i="2555" s="1"/>
  <c r="K37" i="2555"/>
  <c r="L37" i="2555" s="1"/>
  <c r="M37" i="2555" s="1"/>
  <c r="I37" i="2555"/>
  <c r="H37" i="2555" s="1"/>
  <c r="I31" i="2555"/>
  <c r="H31" i="2555" s="1"/>
  <c r="K31" i="2555"/>
  <c r="L31" i="2555" s="1"/>
  <c r="M31" i="2555" s="1"/>
  <c r="K23" i="2555"/>
  <c r="L23" i="2555" s="1"/>
  <c r="M23" i="2555" s="1"/>
  <c r="I23" i="2555"/>
  <c r="H23" i="2555" s="1"/>
  <c r="K21" i="2555"/>
  <c r="L21" i="2555" s="1"/>
  <c r="M21" i="2555" s="1"/>
  <c r="I21" i="2555"/>
  <c r="H21" i="2555" s="1"/>
  <c r="K13" i="2555"/>
  <c r="L13" i="2555" s="1"/>
  <c r="M13" i="2555" s="1"/>
  <c r="I13" i="2555"/>
  <c r="H13" i="2555" s="1"/>
  <c r="K43" i="2555"/>
  <c r="L43" i="2555" s="1"/>
  <c r="M43" i="2555" s="1"/>
  <c r="I43" i="2555"/>
  <c r="H43" i="2555" s="1"/>
  <c r="K27" i="2555"/>
  <c r="L27" i="2555" s="1"/>
  <c r="M27" i="2555" s="1"/>
  <c r="I27" i="2555"/>
  <c r="H27" i="2555" s="1"/>
  <c r="K25" i="2555"/>
  <c r="L25" i="2555" s="1"/>
  <c r="M25" i="2555" s="1"/>
  <c r="I25" i="2555"/>
  <c r="H25" i="2555"/>
  <c r="K15" i="2555"/>
  <c r="L15" i="2555" s="1"/>
  <c r="M15" i="2555" s="1"/>
  <c r="I15" i="2555"/>
  <c r="H15" i="2555" s="1"/>
  <c r="K11" i="2555"/>
  <c r="L11" i="2555" s="1"/>
  <c r="M11" i="2555" s="1"/>
  <c r="I11" i="2555"/>
  <c r="H11" i="2555" s="1"/>
  <c r="K9" i="2555"/>
  <c r="L9" i="2555" s="1"/>
  <c r="M9" i="2555" s="1"/>
  <c r="I9" i="2555"/>
  <c r="H9" i="2555" s="1"/>
  <c r="K3" i="2555"/>
  <c r="L3" i="2555" s="1"/>
  <c r="M3" i="2555" s="1"/>
  <c r="I3" i="2555"/>
  <c r="H3" i="2555" s="1"/>
  <c r="N23" i="2553"/>
  <c r="M23" i="2553"/>
  <c r="L23" i="2553"/>
  <c r="K23" i="2553"/>
  <c r="H23" i="2553"/>
  <c r="I23" i="2553"/>
  <c r="N21" i="2553"/>
  <c r="M21" i="2553"/>
  <c r="L21" i="2553"/>
  <c r="K21" i="2553"/>
  <c r="I21" i="2553"/>
  <c r="H21" i="2553" s="1"/>
  <c r="K43" i="2553"/>
  <c r="L43" i="2553" s="1"/>
  <c r="M43" i="2553" s="1"/>
  <c r="N43" i="2553" s="1"/>
  <c r="I43" i="2553"/>
  <c r="H43" i="2553"/>
  <c r="K41" i="2553"/>
  <c r="L41" i="2553" s="1"/>
  <c r="M41" i="2553" s="1"/>
  <c r="N41" i="2553" s="1"/>
  <c r="I41" i="2553"/>
  <c r="H41" i="2553" s="1"/>
  <c r="K39" i="2553"/>
  <c r="L39" i="2553" s="1"/>
  <c r="M39" i="2553" s="1"/>
  <c r="N39" i="2553" s="1"/>
  <c r="I39" i="2553"/>
  <c r="H39" i="2553" s="1"/>
  <c r="K37" i="2553"/>
  <c r="L37" i="2553" s="1"/>
  <c r="M37" i="2553" s="1"/>
  <c r="N37" i="2553" s="1"/>
  <c r="I37" i="2553"/>
  <c r="H37" i="2553" s="1"/>
  <c r="K27" i="2553"/>
  <c r="L27" i="2553" s="1"/>
  <c r="M27" i="2553" s="1"/>
  <c r="N27" i="2553" s="1"/>
  <c r="I27" i="2553"/>
  <c r="H27" i="2553"/>
  <c r="M25" i="2553"/>
  <c r="N25" i="2553" s="1"/>
  <c r="L25" i="2553"/>
  <c r="K25" i="2553"/>
  <c r="I25" i="2553"/>
  <c r="H25" i="2553"/>
  <c r="K19" i="2553"/>
  <c r="L19" i="2553" s="1"/>
  <c r="M19" i="2553" s="1"/>
  <c r="N19" i="2553" s="1"/>
  <c r="I19" i="2553"/>
  <c r="H19" i="2553"/>
  <c r="K17" i="2553"/>
  <c r="L17" i="2553" s="1"/>
  <c r="M17" i="2553" s="1"/>
  <c r="N17" i="2553" s="1"/>
  <c r="I17" i="2553"/>
  <c r="H17" i="2553"/>
  <c r="K15" i="2553"/>
  <c r="L15" i="2553" s="1"/>
  <c r="M15" i="2553" s="1"/>
  <c r="N15" i="2553" s="1"/>
  <c r="I15" i="2553"/>
  <c r="H15" i="2553" s="1"/>
  <c r="K13" i="2553"/>
  <c r="L13" i="2553" s="1"/>
  <c r="M13" i="2553" s="1"/>
  <c r="N13" i="2553" s="1"/>
  <c r="I13" i="2553"/>
  <c r="H13" i="2553" s="1"/>
  <c r="K11" i="2553"/>
  <c r="L11" i="2553" s="1"/>
  <c r="M11" i="2553" s="1"/>
  <c r="N11" i="2553" s="1"/>
  <c r="I11" i="2553"/>
  <c r="H11" i="2553"/>
  <c r="K9" i="2553"/>
  <c r="L9" i="2553" s="1"/>
  <c r="M9" i="2553" s="1"/>
  <c r="N9" i="2553" s="1"/>
  <c r="I9" i="2553"/>
  <c r="H9" i="2553"/>
  <c r="L3" i="2553"/>
  <c r="M3" i="2553" s="1"/>
  <c r="N3" i="2553" s="1"/>
  <c r="K3" i="2553"/>
  <c r="I3" i="2553"/>
  <c r="H3" i="2553"/>
  <c r="K43" i="2552"/>
  <c r="L43" i="2552" s="1"/>
  <c r="M43" i="2552" s="1"/>
  <c r="N43" i="2552" s="1"/>
  <c r="I43" i="2552"/>
  <c r="H43" i="2552"/>
  <c r="K41" i="2552"/>
  <c r="L41" i="2552" s="1"/>
  <c r="M41" i="2552" s="1"/>
  <c r="N41" i="2552" s="1"/>
  <c r="I41" i="2552"/>
  <c r="H41" i="2552"/>
  <c r="K19" i="2552" l="1"/>
  <c r="L19" i="2552" s="1"/>
  <c r="M19" i="2552" s="1"/>
  <c r="N19" i="2552" s="1"/>
  <c r="I19" i="2552"/>
  <c r="H19" i="2552"/>
  <c r="K17" i="2552"/>
  <c r="L17" i="2552" s="1"/>
  <c r="M17" i="2552" s="1"/>
  <c r="N17" i="2552" s="1"/>
  <c r="I17" i="2552"/>
  <c r="H17" i="2552"/>
  <c r="K15" i="2552"/>
  <c r="L15" i="2552" s="1"/>
  <c r="M15" i="2552" s="1"/>
  <c r="N15" i="2552" s="1"/>
  <c r="I15" i="2552"/>
  <c r="H15" i="2552"/>
  <c r="K21" i="2552"/>
  <c r="L21" i="2552" s="1"/>
  <c r="M21" i="2552" s="1"/>
  <c r="N21" i="2552" s="1"/>
  <c r="I21" i="2552"/>
  <c r="H21" i="2552" s="1"/>
  <c r="M39" i="2552"/>
  <c r="N39" i="2552" s="1"/>
  <c r="L39" i="2552"/>
  <c r="K39" i="2552"/>
  <c r="I39" i="2552"/>
  <c r="H39" i="2552"/>
  <c r="L37" i="2552"/>
  <c r="M37" i="2552" s="1"/>
  <c r="N37" i="2552" s="1"/>
  <c r="K37" i="2552"/>
  <c r="I37" i="2552"/>
  <c r="H37" i="2552" s="1"/>
  <c r="K27" i="2552"/>
  <c r="L27" i="2552" s="1"/>
  <c r="M27" i="2552" s="1"/>
  <c r="N27" i="2552" s="1"/>
  <c r="I27" i="2552"/>
  <c r="H27" i="2552" s="1"/>
  <c r="K25" i="2552"/>
  <c r="L25" i="2552" s="1"/>
  <c r="M25" i="2552" s="1"/>
  <c r="N25" i="2552" s="1"/>
  <c r="I25" i="2552"/>
  <c r="H25" i="2552" s="1"/>
  <c r="L23" i="2552"/>
  <c r="M23" i="2552" s="1"/>
  <c r="N23" i="2552" s="1"/>
  <c r="K23" i="2552"/>
  <c r="I23" i="2552"/>
  <c r="H23" i="2552"/>
  <c r="K13" i="2552"/>
  <c r="L13" i="2552" s="1"/>
  <c r="M13" i="2552" s="1"/>
  <c r="N13" i="2552" s="1"/>
  <c r="I13" i="2552"/>
  <c r="H13" i="2552" s="1"/>
  <c r="K11" i="2552"/>
  <c r="L11" i="2552" s="1"/>
  <c r="M11" i="2552" s="1"/>
  <c r="N11" i="2552" s="1"/>
  <c r="I11" i="2552"/>
  <c r="H11" i="2552" s="1"/>
  <c r="L9" i="2552"/>
  <c r="M9" i="2552" s="1"/>
  <c r="N9" i="2552" s="1"/>
  <c r="K9" i="2552"/>
  <c r="I9" i="2552"/>
  <c r="H9" i="2552"/>
  <c r="L3" i="2552"/>
  <c r="M3" i="2552" s="1"/>
  <c r="N3" i="2552" s="1"/>
  <c r="K3" i="2552"/>
  <c r="I3" i="2552"/>
  <c r="H3" i="2552" s="1"/>
  <c r="K27" i="2551"/>
  <c r="L27" i="2551" s="1"/>
  <c r="M27" i="2551" s="1"/>
  <c r="I27" i="2551"/>
  <c r="H27" i="2551" s="1"/>
  <c r="M23" i="2551"/>
  <c r="L23" i="2551"/>
  <c r="K23" i="2551"/>
  <c r="H23" i="2551"/>
  <c r="I23" i="2551"/>
  <c r="M25" i="2551"/>
  <c r="L25" i="2551"/>
  <c r="K25" i="2551"/>
  <c r="H25" i="2551"/>
  <c r="I25" i="2551"/>
  <c r="K21" i="2551"/>
  <c r="L21" i="2551" s="1"/>
  <c r="M21" i="2551" s="1"/>
  <c r="I21" i="2551"/>
  <c r="H21" i="2551"/>
  <c r="L11" i="2551"/>
  <c r="M11" i="2551" s="1"/>
  <c r="K11" i="2551"/>
  <c r="I11" i="2551"/>
  <c r="H11" i="2551" s="1"/>
  <c r="K9" i="2551"/>
  <c r="L9" i="2551" s="1"/>
  <c r="M9" i="2551" s="1"/>
  <c r="I9" i="2551"/>
  <c r="H9" i="2551"/>
  <c r="K7" i="2551"/>
  <c r="L7" i="2551" s="1"/>
  <c r="M7" i="2551" s="1"/>
  <c r="I7" i="2551"/>
  <c r="H7" i="2551" s="1"/>
  <c r="K19" i="2551"/>
  <c r="L19" i="2551" s="1"/>
  <c r="M19" i="2551" s="1"/>
  <c r="I19" i="2551"/>
  <c r="H19" i="2551" s="1"/>
  <c r="K17" i="2551"/>
  <c r="L17" i="2551" s="1"/>
  <c r="M17" i="2551" s="1"/>
  <c r="I17" i="2551"/>
  <c r="H17" i="2551" s="1"/>
  <c r="K15" i="2551"/>
  <c r="L15" i="2551" s="1"/>
  <c r="M15" i="2551" s="1"/>
  <c r="I15" i="2551"/>
  <c r="H15" i="2551" s="1"/>
  <c r="K13" i="2551"/>
  <c r="L13" i="2551" s="1"/>
  <c r="M13" i="2551" s="1"/>
  <c r="I13" i="2551"/>
  <c r="H13" i="2551" s="1"/>
  <c r="K5" i="2551"/>
  <c r="L5" i="2551" s="1"/>
  <c r="M5" i="2551" s="1"/>
  <c r="I5" i="2551"/>
  <c r="H5" i="2551" s="1"/>
  <c r="K3" i="2551"/>
  <c r="L3" i="2551" s="1"/>
  <c r="M3" i="2551" s="1"/>
  <c r="I3" i="2551"/>
  <c r="H3" i="2551" s="1"/>
  <c r="K15" i="2550"/>
  <c r="L15" i="2550" s="1"/>
  <c r="H15" i="2550"/>
  <c r="I15" i="2550"/>
  <c r="K13" i="2550"/>
  <c r="L13" i="2550" s="1"/>
  <c r="I13" i="2550"/>
  <c r="H13" i="2550"/>
  <c r="K9" i="2550"/>
  <c r="L9" i="2550" s="1"/>
  <c r="I9" i="2550"/>
  <c r="H9" i="2550" s="1"/>
  <c r="K3" i="2550"/>
  <c r="L3" i="2550" s="1"/>
  <c r="I3" i="2550"/>
  <c r="H3" i="2550" s="1"/>
  <c r="K27" i="2550"/>
  <c r="L27" i="2550" s="1"/>
  <c r="I27" i="2550"/>
  <c r="H27" i="2550" s="1"/>
  <c r="K25" i="2550"/>
  <c r="L25" i="2550" s="1"/>
  <c r="I25" i="2550"/>
  <c r="H25" i="2550" s="1"/>
  <c r="K23" i="2550"/>
  <c r="L23" i="2550" s="1"/>
  <c r="I23" i="2550"/>
  <c r="H23" i="2550" s="1"/>
  <c r="K21" i="2550"/>
  <c r="L21" i="2550" s="1"/>
  <c r="I21" i="2550"/>
  <c r="H21" i="2550"/>
  <c r="K19" i="2550"/>
  <c r="L19" i="2550" s="1"/>
  <c r="I19" i="2550"/>
  <c r="H19" i="2550" s="1"/>
  <c r="K17" i="2550"/>
  <c r="L17" i="2550" s="1"/>
  <c r="I17" i="2550"/>
  <c r="H17" i="2550" s="1"/>
  <c r="K11" i="2550"/>
  <c r="L11" i="2550" s="1"/>
  <c r="I11" i="2550"/>
  <c r="H11" i="2550" s="1"/>
  <c r="K7" i="2550"/>
  <c r="L7" i="2550" s="1"/>
  <c r="I7" i="2550"/>
  <c r="H7" i="2550" s="1"/>
  <c r="K5" i="2550"/>
  <c r="L5" i="2550" s="1"/>
  <c r="I5" i="2550"/>
  <c r="H5" i="2550" s="1"/>
  <c r="L27" i="2549"/>
  <c r="K27" i="2549"/>
  <c r="H27" i="2549"/>
  <c r="I27" i="2549"/>
  <c r="K25" i="2549"/>
  <c r="L25" i="2549" s="1"/>
  <c r="I25" i="2549"/>
  <c r="H25" i="2549" s="1"/>
  <c r="K23" i="2549"/>
  <c r="L23" i="2549" s="1"/>
  <c r="I23" i="2549"/>
  <c r="H23" i="2549" s="1"/>
  <c r="L19" i="2549"/>
  <c r="K19" i="2549"/>
  <c r="H19" i="2549"/>
  <c r="I19" i="2549"/>
  <c r="K9" i="2549"/>
  <c r="L9" i="2549" s="1"/>
  <c r="I9" i="2549"/>
  <c r="H9" i="2549" s="1"/>
  <c r="L11" i="2549"/>
  <c r="K11" i="2549"/>
  <c r="I11" i="2549"/>
  <c r="H11" i="2549" s="1"/>
  <c r="K7" i="2549"/>
  <c r="L7" i="2549" s="1"/>
  <c r="I7" i="2549"/>
  <c r="H7" i="2549" s="1"/>
  <c r="K5" i="2549"/>
  <c r="L5" i="2549" s="1"/>
  <c r="I5" i="2549"/>
  <c r="H5" i="2549" s="1"/>
  <c r="K17" i="2549"/>
  <c r="L17" i="2549" s="1"/>
  <c r="I17" i="2549"/>
  <c r="H17" i="2549" s="1"/>
  <c r="K15" i="2549"/>
  <c r="L15" i="2549" s="1"/>
  <c r="I15" i="2549"/>
  <c r="H15" i="2549" s="1"/>
  <c r="K13" i="2549"/>
  <c r="L13" i="2549" s="1"/>
  <c r="I13" i="2549"/>
  <c r="H13" i="2549" s="1"/>
  <c r="K3" i="2549"/>
  <c r="L3" i="2549" s="1"/>
  <c r="I3" i="2549"/>
  <c r="H3" i="2549"/>
  <c r="N3" i="2542"/>
  <c r="N5" i="2542"/>
  <c r="N7" i="2542"/>
  <c r="N9" i="2542"/>
  <c r="N11" i="2542"/>
  <c r="N13" i="2542"/>
  <c r="N15" i="2542"/>
  <c r="N17" i="2542"/>
  <c r="N19" i="2542"/>
  <c r="N23" i="2542"/>
  <c r="N25" i="2542"/>
  <c r="K25" i="2548"/>
  <c r="L25" i="2548" s="1"/>
  <c r="K23" i="2548"/>
  <c r="L23" i="2548" s="1"/>
  <c r="I23" i="2548"/>
  <c r="H23" i="2548" s="1"/>
  <c r="I21" i="2548"/>
  <c r="H21" i="2548" s="1"/>
  <c r="K21" i="2548"/>
  <c r="L21" i="2548" s="1"/>
  <c r="K39" i="2548"/>
  <c r="L39" i="2548" s="1"/>
  <c r="I39" i="2548"/>
  <c r="H39" i="2548" s="1"/>
  <c r="K37" i="2548"/>
  <c r="L37" i="2548" s="1"/>
  <c r="I37" i="2548"/>
  <c r="H37" i="2548" s="1"/>
  <c r="K27" i="2548"/>
  <c r="L27" i="2548" s="1"/>
  <c r="I27" i="2548"/>
  <c r="H27" i="2548" s="1"/>
  <c r="I25" i="2548"/>
  <c r="H25" i="2548" s="1"/>
  <c r="K15" i="2548"/>
  <c r="L15" i="2548" s="1"/>
  <c r="I15" i="2548"/>
  <c r="H15" i="2548" s="1"/>
  <c r="K13" i="2548"/>
  <c r="L13" i="2548" s="1"/>
  <c r="I13" i="2548"/>
  <c r="H13" i="2548" s="1"/>
  <c r="K11" i="2548"/>
  <c r="L11" i="2548" s="1"/>
  <c r="I11" i="2548"/>
  <c r="H11" i="2548" s="1"/>
  <c r="K9" i="2548"/>
  <c r="L9" i="2548" s="1"/>
  <c r="I9" i="2548"/>
  <c r="H9" i="2548" s="1"/>
  <c r="K3" i="2548"/>
  <c r="L3" i="2548" s="1"/>
  <c r="I3" i="2548"/>
  <c r="H3" i="2548"/>
  <c r="P28" i="2532"/>
  <c r="P27" i="2532"/>
  <c r="M3" i="2532"/>
  <c r="M5" i="2532"/>
  <c r="M9" i="2532"/>
  <c r="M11" i="2532"/>
  <c r="M19" i="2532"/>
  <c r="M23" i="2532"/>
  <c r="M27" i="2532"/>
  <c r="M29" i="2532"/>
  <c r="N3" i="2539"/>
  <c r="N5" i="2539"/>
  <c r="N7" i="2539"/>
  <c r="N9" i="2539"/>
  <c r="N11" i="2539"/>
  <c r="N13" i="2539"/>
  <c r="N15" i="2539"/>
  <c r="N17" i="2539"/>
  <c r="N19" i="2539"/>
  <c r="N23" i="2539"/>
  <c r="N25" i="2539"/>
  <c r="N3" i="2512"/>
  <c r="N5" i="2512"/>
  <c r="N7" i="2512"/>
  <c r="N9" i="2512"/>
  <c r="N11" i="2512"/>
  <c r="N13" i="2512"/>
  <c r="N15" i="2512"/>
  <c r="N17" i="2512"/>
  <c r="N19" i="2512"/>
  <c r="N21" i="2512"/>
  <c r="N23" i="2512"/>
  <c r="K19" i="2547"/>
  <c r="L19" i="2547" s="1"/>
  <c r="M19" i="2547" s="1"/>
  <c r="I19" i="2547"/>
  <c r="H19" i="2547" s="1"/>
  <c r="K9" i="2547"/>
  <c r="L9" i="2547" s="1"/>
  <c r="M9" i="2547" s="1"/>
  <c r="I9" i="2547"/>
  <c r="H9" i="2547"/>
  <c r="K5" i="2547"/>
  <c r="L5" i="2547" s="1"/>
  <c r="M5" i="2547" s="1"/>
  <c r="I5" i="2547"/>
  <c r="H5" i="2547" s="1"/>
  <c r="K25" i="2547"/>
  <c r="L25" i="2547" s="1"/>
  <c r="M25" i="2547" s="1"/>
  <c r="I25" i="2547"/>
  <c r="H25" i="2547"/>
  <c r="K23" i="2547"/>
  <c r="L23" i="2547" s="1"/>
  <c r="M23" i="2547" s="1"/>
  <c r="I23" i="2547"/>
  <c r="H23" i="2547" s="1"/>
  <c r="K17" i="2547"/>
  <c r="L17" i="2547" s="1"/>
  <c r="M17" i="2547" s="1"/>
  <c r="I17" i="2547"/>
  <c r="H17" i="2547" s="1"/>
  <c r="K15" i="2547"/>
  <c r="L15" i="2547" s="1"/>
  <c r="M15" i="2547" s="1"/>
  <c r="I15" i="2547"/>
  <c r="H15" i="2547" s="1"/>
  <c r="K13" i="2547"/>
  <c r="L13" i="2547" s="1"/>
  <c r="M13" i="2547" s="1"/>
  <c r="I13" i="2547"/>
  <c r="H13" i="2547"/>
  <c r="K11" i="2547"/>
  <c r="L11" i="2547" s="1"/>
  <c r="M11" i="2547" s="1"/>
  <c r="I11" i="2547"/>
  <c r="H11" i="2547" s="1"/>
  <c r="K7" i="2547"/>
  <c r="L7" i="2547" s="1"/>
  <c r="M7" i="2547" s="1"/>
  <c r="I7" i="2547"/>
  <c r="H7" i="2547" s="1"/>
  <c r="K3" i="2547"/>
  <c r="L3" i="2547" s="1"/>
  <c r="M3" i="2547" s="1"/>
  <c r="I3" i="2547"/>
  <c r="H3" i="2547" s="1"/>
  <c r="K25" i="2546"/>
  <c r="L25" i="2546" s="1"/>
  <c r="M25" i="2546" s="1"/>
  <c r="I25" i="2546"/>
  <c r="H25" i="2546" s="1"/>
  <c r="K23" i="2546"/>
  <c r="L23" i="2546" s="1"/>
  <c r="M23" i="2546" s="1"/>
  <c r="I23" i="2546"/>
  <c r="H23" i="2546" s="1"/>
  <c r="K19" i="2546"/>
  <c r="L19" i="2546" s="1"/>
  <c r="M19" i="2546" s="1"/>
  <c r="I19" i="2546"/>
  <c r="H19" i="2546" s="1"/>
  <c r="K17" i="2546"/>
  <c r="L17" i="2546" s="1"/>
  <c r="M17" i="2546" s="1"/>
  <c r="I17" i="2546"/>
  <c r="H17" i="2546"/>
  <c r="K15" i="2546"/>
  <c r="L15" i="2546" s="1"/>
  <c r="M15" i="2546" s="1"/>
  <c r="I15" i="2546"/>
  <c r="H15" i="2546" s="1"/>
  <c r="L13" i="2546"/>
  <c r="M13" i="2546" s="1"/>
  <c r="K13" i="2546"/>
  <c r="I13" i="2546"/>
  <c r="H13" i="2546" s="1"/>
  <c r="K11" i="2546"/>
  <c r="L11" i="2546" s="1"/>
  <c r="M11" i="2546" s="1"/>
  <c r="I11" i="2546"/>
  <c r="H11" i="2546"/>
  <c r="K9" i="2546"/>
  <c r="L9" i="2546" s="1"/>
  <c r="M9" i="2546" s="1"/>
  <c r="I9" i="2546"/>
  <c r="H9" i="2546"/>
  <c r="K7" i="2546"/>
  <c r="L7" i="2546" s="1"/>
  <c r="M7" i="2546" s="1"/>
  <c r="I7" i="2546"/>
  <c r="H7" i="2546"/>
  <c r="K5" i="2546"/>
  <c r="L5" i="2546" s="1"/>
  <c r="M5" i="2546" s="1"/>
  <c r="I5" i="2546"/>
  <c r="H5" i="2546" s="1"/>
  <c r="K3" i="2546"/>
  <c r="L3" i="2546" s="1"/>
  <c r="M3" i="2546" s="1"/>
  <c r="I3" i="2546"/>
  <c r="H3" i="2546" s="1"/>
  <c r="M9" i="2545" l="1"/>
  <c r="M7" i="2545"/>
  <c r="L9" i="2545"/>
  <c r="L7" i="2545"/>
  <c r="K9" i="2545"/>
  <c r="I9" i="2545"/>
  <c r="H9" i="2545"/>
  <c r="K25" i="2545"/>
  <c r="L25" i="2545" s="1"/>
  <c r="M25" i="2545" s="1"/>
  <c r="I25" i="2545"/>
  <c r="H25" i="2545" s="1"/>
  <c r="K19" i="2545"/>
  <c r="L19" i="2545" s="1"/>
  <c r="M19" i="2545" s="1"/>
  <c r="N19" i="2545" s="1"/>
  <c r="I19" i="2545"/>
  <c r="H19" i="2545" s="1"/>
  <c r="K17" i="2545"/>
  <c r="L17" i="2545" s="1"/>
  <c r="M17" i="2545" s="1"/>
  <c r="I17" i="2545"/>
  <c r="H17" i="2545" s="1"/>
  <c r="K15" i="2545"/>
  <c r="L15" i="2545" s="1"/>
  <c r="M15" i="2545" s="1"/>
  <c r="I15" i="2545"/>
  <c r="H15" i="2545"/>
  <c r="K13" i="2545"/>
  <c r="L13" i="2545" s="1"/>
  <c r="M13" i="2545" s="1"/>
  <c r="I13" i="2545"/>
  <c r="H13" i="2545"/>
  <c r="K11" i="2545"/>
  <c r="L11" i="2545" s="1"/>
  <c r="M11" i="2545" s="1"/>
  <c r="N11" i="2545" s="1"/>
  <c r="I11" i="2545"/>
  <c r="H11" i="2545" s="1"/>
  <c r="K7" i="2545"/>
  <c r="I7" i="2545"/>
  <c r="H7" i="2545" s="1"/>
  <c r="K5" i="2545"/>
  <c r="L5" i="2545" s="1"/>
  <c r="M5" i="2545" s="1"/>
  <c r="I5" i="2545"/>
  <c r="H5" i="2545" s="1"/>
  <c r="K3" i="2545"/>
  <c r="L3" i="2545" s="1"/>
  <c r="M3" i="2545" s="1"/>
  <c r="I3" i="2545"/>
  <c r="H3" i="2545"/>
  <c r="M3" i="2544"/>
  <c r="L3" i="2544"/>
  <c r="K3" i="2544"/>
  <c r="M27" i="2544"/>
  <c r="L27" i="2544"/>
  <c r="K27" i="2544"/>
  <c r="H27" i="2544"/>
  <c r="I27" i="2544"/>
  <c r="K25" i="2544"/>
  <c r="L25" i="2544" s="1"/>
  <c r="M25" i="2544" s="1"/>
  <c r="I25" i="2544"/>
  <c r="H25" i="2544" s="1"/>
  <c r="K23" i="2544"/>
  <c r="L23" i="2544" s="1"/>
  <c r="M23" i="2544" s="1"/>
  <c r="I23" i="2544"/>
  <c r="H23" i="2544" s="1"/>
  <c r="K19" i="2544"/>
  <c r="L19" i="2544" s="1"/>
  <c r="M19" i="2544" s="1"/>
  <c r="I19" i="2544"/>
  <c r="H19" i="2544" s="1"/>
  <c r="K9" i="2544"/>
  <c r="L9" i="2544" s="1"/>
  <c r="M9" i="2544" s="1"/>
  <c r="I9" i="2544"/>
  <c r="H9" i="2544" s="1"/>
  <c r="M7" i="2544"/>
  <c r="L7" i="2544"/>
  <c r="K7" i="2544"/>
  <c r="H7" i="2544"/>
  <c r="I7" i="2544"/>
  <c r="K5" i="2544"/>
  <c r="L5" i="2544" s="1"/>
  <c r="M5" i="2544" s="1"/>
  <c r="I5" i="2544"/>
  <c r="H5" i="2544" s="1"/>
  <c r="I3" i="2544"/>
  <c r="H3" i="2544" s="1"/>
  <c r="K17" i="2544"/>
  <c r="L17" i="2544" s="1"/>
  <c r="M17" i="2544" s="1"/>
  <c r="I17" i="2544"/>
  <c r="H17" i="2544" s="1"/>
  <c r="K15" i="2544"/>
  <c r="L15" i="2544" s="1"/>
  <c r="M15" i="2544" s="1"/>
  <c r="I15" i="2544"/>
  <c r="H15" i="2544"/>
  <c r="K13" i="2544"/>
  <c r="L13" i="2544" s="1"/>
  <c r="M13" i="2544" s="1"/>
  <c r="I13" i="2544"/>
  <c r="H13" i="2544" s="1"/>
  <c r="K11" i="2544"/>
  <c r="L11" i="2544" s="1"/>
  <c r="M11" i="2544" s="1"/>
  <c r="I11" i="2544"/>
  <c r="H11" i="2544" s="1"/>
  <c r="I49" i="2543"/>
  <c r="H49" i="2543" s="1"/>
  <c r="K49" i="2543"/>
  <c r="L49" i="2543" s="1"/>
  <c r="M49" i="2543" s="1"/>
  <c r="N49" i="2543" s="1"/>
  <c r="K47" i="2543"/>
  <c r="L47" i="2543" s="1"/>
  <c r="M47" i="2543" s="1"/>
  <c r="N47" i="2543" s="1"/>
  <c r="I47" i="2543"/>
  <c r="H47" i="2543" s="1"/>
  <c r="K45" i="2543"/>
  <c r="L45" i="2543" s="1"/>
  <c r="M45" i="2543" s="1"/>
  <c r="N45" i="2543" s="1"/>
  <c r="I45" i="2543"/>
  <c r="H45" i="2543"/>
  <c r="K23" i="2543"/>
  <c r="L23" i="2543" s="1"/>
  <c r="M23" i="2543" s="1"/>
  <c r="N23" i="2543" s="1"/>
  <c r="I23" i="2543"/>
  <c r="H23" i="2543" s="1"/>
  <c r="K43" i="2543"/>
  <c r="L43" i="2543" s="1"/>
  <c r="M43" i="2543" s="1"/>
  <c r="N43" i="2543" s="1"/>
  <c r="I43" i="2543"/>
  <c r="H43" i="2543" s="1"/>
  <c r="K41" i="2543"/>
  <c r="L41" i="2543" s="1"/>
  <c r="M41" i="2543" s="1"/>
  <c r="N41" i="2543" s="1"/>
  <c r="I41" i="2543"/>
  <c r="H41" i="2543" s="1"/>
  <c r="K39" i="2543"/>
  <c r="L39" i="2543" s="1"/>
  <c r="M39" i="2543" s="1"/>
  <c r="N39" i="2543" s="1"/>
  <c r="I39" i="2543"/>
  <c r="H39" i="2543" s="1"/>
  <c r="K37" i="2543"/>
  <c r="L37" i="2543" s="1"/>
  <c r="M37" i="2543" s="1"/>
  <c r="N37" i="2543" s="1"/>
  <c r="I37" i="2543"/>
  <c r="H37" i="2543"/>
  <c r="K35" i="2543"/>
  <c r="L35" i="2543" s="1"/>
  <c r="M35" i="2543" s="1"/>
  <c r="N35" i="2543" s="1"/>
  <c r="I35" i="2543"/>
  <c r="H35" i="2543"/>
  <c r="K33" i="2543"/>
  <c r="L33" i="2543" s="1"/>
  <c r="M33" i="2543" s="1"/>
  <c r="N33" i="2543" s="1"/>
  <c r="I33" i="2543"/>
  <c r="H33" i="2543"/>
  <c r="K31" i="2543"/>
  <c r="L31" i="2543" s="1"/>
  <c r="M31" i="2543" s="1"/>
  <c r="N31" i="2543" s="1"/>
  <c r="I31" i="2543"/>
  <c r="H31" i="2543" s="1"/>
  <c r="K29" i="2543"/>
  <c r="L29" i="2543" s="1"/>
  <c r="M29" i="2543" s="1"/>
  <c r="N29" i="2543" s="1"/>
  <c r="I29" i="2543"/>
  <c r="H29" i="2543"/>
  <c r="K27" i="2543"/>
  <c r="L27" i="2543" s="1"/>
  <c r="M27" i="2543" s="1"/>
  <c r="N27" i="2543" s="1"/>
  <c r="I27" i="2543"/>
  <c r="H27" i="2543"/>
  <c r="K25" i="2543"/>
  <c r="L25" i="2543" s="1"/>
  <c r="M25" i="2543" s="1"/>
  <c r="N25" i="2543" s="1"/>
  <c r="I25" i="2543"/>
  <c r="H25" i="2543" s="1"/>
  <c r="K21" i="2543"/>
  <c r="L21" i="2543" s="1"/>
  <c r="M21" i="2543" s="1"/>
  <c r="N21" i="2543" s="1"/>
  <c r="I21" i="2543"/>
  <c r="H21" i="2543"/>
  <c r="K15" i="2543"/>
  <c r="L15" i="2543" s="1"/>
  <c r="M15" i="2543" s="1"/>
  <c r="N15" i="2543" s="1"/>
  <c r="I15" i="2543"/>
  <c r="H15" i="2543"/>
  <c r="K13" i="2543"/>
  <c r="L13" i="2543" s="1"/>
  <c r="M13" i="2543" s="1"/>
  <c r="N13" i="2543" s="1"/>
  <c r="I13" i="2543"/>
  <c r="H13" i="2543"/>
  <c r="K11" i="2543"/>
  <c r="L11" i="2543" s="1"/>
  <c r="M11" i="2543" s="1"/>
  <c r="N11" i="2543" s="1"/>
  <c r="I11" i="2543"/>
  <c r="H11" i="2543"/>
  <c r="K9" i="2543"/>
  <c r="L9" i="2543" s="1"/>
  <c r="M9" i="2543" s="1"/>
  <c r="N9" i="2543" s="1"/>
  <c r="I9" i="2543"/>
  <c r="H9" i="2543"/>
  <c r="K3" i="2543"/>
  <c r="L3" i="2543" s="1"/>
  <c r="M3" i="2543" s="1"/>
  <c r="N3" i="2543" s="1"/>
  <c r="I3" i="2543"/>
  <c r="H3" i="2543"/>
  <c r="K25" i="2542"/>
  <c r="L25" i="2542" s="1"/>
  <c r="M25" i="2542" s="1"/>
  <c r="I25" i="2542"/>
  <c r="H25" i="2542"/>
  <c r="K23" i="2542"/>
  <c r="L23" i="2542" s="1"/>
  <c r="M23" i="2542" s="1"/>
  <c r="I23" i="2542"/>
  <c r="H23" i="2542"/>
  <c r="K19" i="2542"/>
  <c r="L19" i="2542" s="1"/>
  <c r="M19" i="2542" s="1"/>
  <c r="I19" i="2542"/>
  <c r="H19" i="2542"/>
  <c r="K17" i="2542"/>
  <c r="L17" i="2542" s="1"/>
  <c r="M17" i="2542" s="1"/>
  <c r="I17" i="2542"/>
  <c r="H17" i="2542"/>
  <c r="K15" i="2542"/>
  <c r="L15" i="2542" s="1"/>
  <c r="M15" i="2542" s="1"/>
  <c r="I15" i="2542"/>
  <c r="H15" i="2542" s="1"/>
  <c r="K13" i="2542"/>
  <c r="L13" i="2542" s="1"/>
  <c r="M13" i="2542" s="1"/>
  <c r="I13" i="2542"/>
  <c r="H13" i="2542"/>
  <c r="K11" i="2542"/>
  <c r="L11" i="2542" s="1"/>
  <c r="M11" i="2542" s="1"/>
  <c r="I11" i="2542"/>
  <c r="H11" i="2542" s="1"/>
  <c r="K9" i="2542"/>
  <c r="L9" i="2542" s="1"/>
  <c r="M9" i="2542" s="1"/>
  <c r="I9" i="2542"/>
  <c r="H9" i="2542"/>
  <c r="K7" i="2542"/>
  <c r="L7" i="2542" s="1"/>
  <c r="M7" i="2542" s="1"/>
  <c r="I7" i="2542"/>
  <c r="H7" i="2542"/>
  <c r="K5" i="2542"/>
  <c r="L5" i="2542" s="1"/>
  <c r="M5" i="2542" s="1"/>
  <c r="I5" i="2542"/>
  <c r="H5" i="2542" s="1"/>
  <c r="K3" i="2542"/>
  <c r="L3" i="2542" s="1"/>
  <c r="M3" i="2542" s="1"/>
  <c r="I3" i="2542"/>
  <c r="H3" i="2542" s="1"/>
  <c r="K25" i="2541"/>
  <c r="L25" i="2541" s="1"/>
  <c r="M25" i="2541" s="1"/>
  <c r="I25" i="2541"/>
  <c r="H25" i="2541"/>
  <c r="K23" i="2541"/>
  <c r="L23" i="2541" s="1"/>
  <c r="M23" i="2541" s="1"/>
  <c r="I23" i="2541"/>
  <c r="H23" i="2541"/>
  <c r="K19" i="2541"/>
  <c r="L19" i="2541" s="1"/>
  <c r="M19" i="2541" s="1"/>
  <c r="I19" i="2541"/>
  <c r="H19" i="2541"/>
  <c r="K17" i="2541"/>
  <c r="L17" i="2541" s="1"/>
  <c r="M17" i="2541" s="1"/>
  <c r="I17" i="2541"/>
  <c r="H17" i="2541"/>
  <c r="K15" i="2541"/>
  <c r="L15" i="2541" s="1"/>
  <c r="M15" i="2541" s="1"/>
  <c r="I15" i="2541"/>
  <c r="H15" i="2541"/>
  <c r="K13" i="2541"/>
  <c r="L13" i="2541" s="1"/>
  <c r="M13" i="2541" s="1"/>
  <c r="I13" i="2541"/>
  <c r="H13" i="2541" s="1"/>
  <c r="K11" i="2541"/>
  <c r="L11" i="2541" s="1"/>
  <c r="M11" i="2541" s="1"/>
  <c r="I11" i="2541"/>
  <c r="H11" i="2541" s="1"/>
  <c r="K9" i="2541"/>
  <c r="L9" i="2541" s="1"/>
  <c r="M9" i="2541" s="1"/>
  <c r="I9" i="2541"/>
  <c r="H9" i="2541"/>
  <c r="K7" i="2541"/>
  <c r="L7" i="2541" s="1"/>
  <c r="M7" i="2541" s="1"/>
  <c r="I7" i="2541"/>
  <c r="H7" i="2541"/>
  <c r="K5" i="2541"/>
  <c r="L5" i="2541" s="1"/>
  <c r="M5" i="2541" s="1"/>
  <c r="I5" i="2541"/>
  <c r="H5" i="2541" s="1"/>
  <c r="K3" i="2541"/>
  <c r="L3" i="2541" s="1"/>
  <c r="M3" i="2541" s="1"/>
  <c r="I3" i="2541"/>
  <c r="H3" i="2541"/>
  <c r="K27" i="2540"/>
  <c r="L27" i="2540" s="1"/>
  <c r="M27" i="2540" s="1"/>
  <c r="N27" i="2540" s="1"/>
  <c r="I27" i="2540"/>
  <c r="H27" i="2540"/>
  <c r="K25" i="2540"/>
  <c r="L25" i="2540" s="1"/>
  <c r="M25" i="2540" s="1"/>
  <c r="N25" i="2540" s="1"/>
  <c r="I25" i="2540"/>
  <c r="H25" i="2540"/>
  <c r="K23" i="2540"/>
  <c r="L23" i="2540" s="1"/>
  <c r="M23" i="2540" s="1"/>
  <c r="N23" i="2540" s="1"/>
  <c r="I23" i="2540"/>
  <c r="H23" i="2540" s="1"/>
  <c r="K19" i="2540"/>
  <c r="L19" i="2540" s="1"/>
  <c r="M19" i="2540" s="1"/>
  <c r="N19" i="2540" s="1"/>
  <c r="I19" i="2540"/>
  <c r="H19" i="2540"/>
  <c r="K17" i="2540"/>
  <c r="L17" i="2540" s="1"/>
  <c r="M17" i="2540" s="1"/>
  <c r="N17" i="2540" s="1"/>
  <c r="I17" i="2540"/>
  <c r="H17" i="2540"/>
  <c r="M15" i="2540"/>
  <c r="N15" i="2540" s="1"/>
  <c r="L15" i="2540"/>
  <c r="K15" i="2540"/>
  <c r="I15" i="2540"/>
  <c r="H15" i="2540"/>
  <c r="K13" i="2540"/>
  <c r="L13" i="2540" s="1"/>
  <c r="M13" i="2540" s="1"/>
  <c r="N13" i="2540" s="1"/>
  <c r="I13" i="2540"/>
  <c r="H13" i="2540"/>
  <c r="K11" i="2540"/>
  <c r="L11" i="2540" s="1"/>
  <c r="M11" i="2540" s="1"/>
  <c r="N11" i="2540" s="1"/>
  <c r="I11" i="2540"/>
  <c r="H11" i="2540"/>
  <c r="K9" i="2540"/>
  <c r="L9" i="2540" s="1"/>
  <c r="M9" i="2540" s="1"/>
  <c r="N9" i="2540" s="1"/>
  <c r="I9" i="2540"/>
  <c r="H9" i="2540"/>
  <c r="K7" i="2540"/>
  <c r="L7" i="2540" s="1"/>
  <c r="M7" i="2540" s="1"/>
  <c r="N7" i="2540" s="1"/>
  <c r="I7" i="2540"/>
  <c r="H7" i="2540"/>
  <c r="K5" i="2540"/>
  <c r="L5" i="2540" s="1"/>
  <c r="M5" i="2540" s="1"/>
  <c r="N5" i="2540" s="1"/>
  <c r="I5" i="2540"/>
  <c r="H5" i="2540" s="1"/>
  <c r="K3" i="2540"/>
  <c r="L3" i="2540" s="1"/>
  <c r="M3" i="2540" s="1"/>
  <c r="N3" i="2540" s="1"/>
  <c r="I3" i="2540"/>
  <c r="H3" i="2540" s="1"/>
  <c r="K25" i="2539"/>
  <c r="L25" i="2539" s="1"/>
  <c r="M25" i="2539" s="1"/>
  <c r="I25" i="2539"/>
  <c r="H25" i="2539" s="1"/>
  <c r="M23" i="2539"/>
  <c r="L23" i="2539"/>
  <c r="K23" i="2539"/>
  <c r="I23" i="2539"/>
  <c r="H23" i="2539" s="1"/>
  <c r="L19" i="2539"/>
  <c r="M19" i="2539" s="1"/>
  <c r="K19" i="2539"/>
  <c r="I19" i="2539"/>
  <c r="H19" i="2539" s="1"/>
  <c r="K17" i="2539"/>
  <c r="L17" i="2539" s="1"/>
  <c r="M17" i="2539" s="1"/>
  <c r="I17" i="2539"/>
  <c r="H17" i="2539"/>
  <c r="K15" i="2539"/>
  <c r="L15" i="2539" s="1"/>
  <c r="M15" i="2539" s="1"/>
  <c r="I15" i="2539"/>
  <c r="H15" i="2539"/>
  <c r="K13" i="2539"/>
  <c r="L13" i="2539" s="1"/>
  <c r="M13" i="2539" s="1"/>
  <c r="I13" i="2539"/>
  <c r="H13" i="2539"/>
  <c r="K11" i="2539"/>
  <c r="L11" i="2539" s="1"/>
  <c r="M11" i="2539" s="1"/>
  <c r="I11" i="2539"/>
  <c r="H11" i="2539"/>
  <c r="K9" i="2539"/>
  <c r="L9" i="2539" s="1"/>
  <c r="M9" i="2539" s="1"/>
  <c r="I9" i="2539"/>
  <c r="H9" i="2539"/>
  <c r="L7" i="2539"/>
  <c r="M7" i="2539" s="1"/>
  <c r="K7" i="2539"/>
  <c r="I7" i="2539"/>
  <c r="H7" i="2539"/>
  <c r="K5" i="2539"/>
  <c r="L5" i="2539" s="1"/>
  <c r="M5" i="2539" s="1"/>
  <c r="I5" i="2539"/>
  <c r="H5" i="2539"/>
  <c r="K3" i="2539"/>
  <c r="L3" i="2539" s="1"/>
  <c r="M3" i="2539" s="1"/>
  <c r="I3" i="2539"/>
  <c r="H3" i="2539"/>
  <c r="H43" i="2538"/>
  <c r="I43" i="2538"/>
  <c r="K43" i="2538"/>
  <c r="L43" i="2538" s="1"/>
  <c r="M43" i="2538" s="1"/>
  <c r="K41" i="2538"/>
  <c r="L41" i="2538" s="1"/>
  <c r="M41" i="2538" s="1"/>
  <c r="I41" i="2538"/>
  <c r="H41" i="2538" s="1"/>
  <c r="K31" i="2538"/>
  <c r="L31" i="2538" s="1"/>
  <c r="M31" i="2538" s="1"/>
  <c r="I31" i="2538"/>
  <c r="H31" i="2538" s="1"/>
  <c r="K23" i="2538"/>
  <c r="L23" i="2538" s="1"/>
  <c r="M23" i="2538" s="1"/>
  <c r="I23" i="2538"/>
  <c r="H23" i="2538" s="1"/>
  <c r="K13" i="2538"/>
  <c r="L13" i="2538" s="1"/>
  <c r="M13" i="2538" s="1"/>
  <c r="I13" i="2538"/>
  <c r="H13" i="2538" s="1"/>
  <c r="K39" i="2538"/>
  <c r="L39" i="2538" s="1"/>
  <c r="M39" i="2538" s="1"/>
  <c r="I39" i="2538"/>
  <c r="H39" i="2538"/>
  <c r="K37" i="2538"/>
  <c r="L37" i="2538" s="1"/>
  <c r="M37" i="2538" s="1"/>
  <c r="I37" i="2538"/>
  <c r="H37" i="2538" s="1"/>
  <c r="K35" i="2538"/>
  <c r="L35" i="2538" s="1"/>
  <c r="M35" i="2538" s="1"/>
  <c r="I35" i="2538"/>
  <c r="H35" i="2538"/>
  <c r="K33" i="2538"/>
  <c r="L33" i="2538" s="1"/>
  <c r="M33" i="2538" s="1"/>
  <c r="I33" i="2538"/>
  <c r="H33" i="2538"/>
  <c r="K29" i="2538"/>
  <c r="L29" i="2538" s="1"/>
  <c r="M29" i="2538" s="1"/>
  <c r="I29" i="2538"/>
  <c r="H29" i="2538"/>
  <c r="K27" i="2538"/>
  <c r="L27" i="2538" s="1"/>
  <c r="M27" i="2538" s="1"/>
  <c r="I27" i="2538"/>
  <c r="H27" i="2538" s="1"/>
  <c r="K25" i="2538"/>
  <c r="L25" i="2538" s="1"/>
  <c r="M25" i="2538" s="1"/>
  <c r="I25" i="2538"/>
  <c r="H25" i="2538" s="1"/>
  <c r="K21" i="2538"/>
  <c r="L21" i="2538" s="1"/>
  <c r="M21" i="2538" s="1"/>
  <c r="I21" i="2538"/>
  <c r="H21" i="2538" s="1"/>
  <c r="K15" i="2538"/>
  <c r="L15" i="2538" s="1"/>
  <c r="M15" i="2538" s="1"/>
  <c r="I15" i="2538"/>
  <c r="H15" i="2538" s="1"/>
  <c r="K11" i="2538"/>
  <c r="L11" i="2538" s="1"/>
  <c r="M11" i="2538" s="1"/>
  <c r="I11" i="2538"/>
  <c r="H11" i="2538"/>
  <c r="K9" i="2538"/>
  <c r="L9" i="2538" s="1"/>
  <c r="M9" i="2538" s="1"/>
  <c r="I9" i="2538"/>
  <c r="H9" i="2538"/>
  <c r="K3" i="2538"/>
  <c r="L3" i="2538" s="1"/>
  <c r="M3" i="2538" s="1"/>
  <c r="I3" i="2538"/>
  <c r="H3" i="2538" s="1"/>
  <c r="I23" i="2537"/>
  <c r="H23" i="2537" s="1"/>
  <c r="K23" i="2537"/>
  <c r="L23" i="2537" s="1"/>
  <c r="M23" i="2537" s="1"/>
  <c r="N23" i="2537" s="1"/>
  <c r="K39" i="2537"/>
  <c r="L39" i="2537" s="1"/>
  <c r="M39" i="2537" s="1"/>
  <c r="N39" i="2537" s="1"/>
  <c r="I39" i="2537"/>
  <c r="H39" i="2537" s="1"/>
  <c r="K37" i="2537"/>
  <c r="L37" i="2537" s="1"/>
  <c r="M37" i="2537" s="1"/>
  <c r="N37" i="2537" s="1"/>
  <c r="I37" i="2537"/>
  <c r="H37" i="2537" s="1"/>
  <c r="K27" i="2537"/>
  <c r="L27" i="2537" s="1"/>
  <c r="M27" i="2537" s="1"/>
  <c r="N27" i="2537" s="1"/>
  <c r="I27" i="2537"/>
  <c r="H27" i="2537"/>
  <c r="K25" i="2537"/>
  <c r="L25" i="2537" s="1"/>
  <c r="M25" i="2537" s="1"/>
  <c r="N25" i="2537" s="1"/>
  <c r="I25" i="2537"/>
  <c r="H25" i="2537" s="1"/>
  <c r="K21" i="2537"/>
  <c r="L21" i="2537" s="1"/>
  <c r="M21" i="2537" s="1"/>
  <c r="N21" i="2537" s="1"/>
  <c r="I21" i="2537"/>
  <c r="H21" i="2537"/>
  <c r="K13" i="2537"/>
  <c r="L13" i="2537" s="1"/>
  <c r="M13" i="2537" s="1"/>
  <c r="N13" i="2537" s="1"/>
  <c r="I13" i="2537"/>
  <c r="H13" i="2537" s="1"/>
  <c r="K11" i="2537"/>
  <c r="L11" i="2537" s="1"/>
  <c r="M11" i="2537" s="1"/>
  <c r="N11" i="2537" s="1"/>
  <c r="I11" i="2537"/>
  <c r="H11" i="2537" s="1"/>
  <c r="K9" i="2537"/>
  <c r="L9" i="2537" s="1"/>
  <c r="M9" i="2537" s="1"/>
  <c r="N9" i="2537" s="1"/>
  <c r="I9" i="2537"/>
  <c r="H9" i="2537" s="1"/>
  <c r="K3" i="2537"/>
  <c r="L3" i="2537" s="1"/>
  <c r="M3" i="2537" s="1"/>
  <c r="N3" i="2537" s="1"/>
  <c r="I3" i="2537"/>
  <c r="H3" i="2537"/>
  <c r="N17" i="2536"/>
  <c r="M17" i="2536"/>
  <c r="L17" i="2536"/>
  <c r="K17" i="2536"/>
  <c r="H17" i="2536"/>
  <c r="I17" i="2536"/>
  <c r="H11" i="2536"/>
  <c r="I11" i="2536"/>
  <c r="N11" i="2536"/>
  <c r="I27" i="2536"/>
  <c r="H27" i="2536" s="1"/>
  <c r="K27" i="2536"/>
  <c r="L27" i="2536" s="1"/>
  <c r="I29" i="2536"/>
  <c r="H29" i="2536" s="1"/>
  <c r="K29" i="2536"/>
  <c r="L29" i="2536" s="1"/>
  <c r="M29" i="2536" s="1"/>
  <c r="N29" i="2536" s="1"/>
  <c r="K25" i="2536"/>
  <c r="L25" i="2536" s="1"/>
  <c r="M25" i="2536" s="1"/>
  <c r="N25" i="2536" s="1"/>
  <c r="I25" i="2536"/>
  <c r="H25" i="2536" s="1"/>
  <c r="K21" i="2536"/>
  <c r="L21" i="2536" s="1"/>
  <c r="M21" i="2536" s="1"/>
  <c r="N21" i="2536" s="1"/>
  <c r="I21" i="2536"/>
  <c r="H21" i="2536" s="1"/>
  <c r="K9" i="2536"/>
  <c r="L9" i="2536" s="1"/>
  <c r="M9" i="2536" s="1"/>
  <c r="N9" i="2536" s="1"/>
  <c r="I9" i="2536"/>
  <c r="H9" i="2536" s="1"/>
  <c r="K7" i="2536"/>
  <c r="L7" i="2536" s="1"/>
  <c r="M7" i="2536" s="1"/>
  <c r="N7" i="2536" s="1"/>
  <c r="I7" i="2536"/>
  <c r="H7" i="2536" s="1"/>
  <c r="K19" i="2536"/>
  <c r="L19" i="2536" s="1"/>
  <c r="M19" i="2536" s="1"/>
  <c r="N19" i="2536" s="1"/>
  <c r="I19" i="2536"/>
  <c r="H19" i="2536" s="1"/>
  <c r="K11" i="2536"/>
  <c r="K3" i="2536"/>
  <c r="L3" i="2536" s="1"/>
  <c r="M3" i="2536" s="1"/>
  <c r="N3" i="2536" s="1"/>
  <c r="I3" i="2536"/>
  <c r="H3" i="2536"/>
  <c r="K25" i="2535"/>
  <c r="L25" i="2535" s="1"/>
  <c r="M25" i="2535" s="1"/>
  <c r="N25" i="2535" s="1"/>
  <c r="I25" i="2535"/>
  <c r="H25" i="2535" s="1"/>
  <c r="I23" i="2535"/>
  <c r="H23" i="2535" s="1"/>
  <c r="K23" i="2535"/>
  <c r="L23" i="2535" s="1"/>
  <c r="M23" i="2535" s="1"/>
  <c r="N23" i="2535" s="1"/>
  <c r="K17" i="2535"/>
  <c r="L17" i="2535" s="1"/>
  <c r="M17" i="2535" s="1"/>
  <c r="N17" i="2535" s="1"/>
  <c r="I17" i="2535"/>
  <c r="H17" i="2535" s="1"/>
  <c r="K15" i="2535"/>
  <c r="L15" i="2535" s="1"/>
  <c r="M15" i="2535" s="1"/>
  <c r="N15" i="2535" s="1"/>
  <c r="I15" i="2535"/>
  <c r="H15" i="2535" s="1"/>
  <c r="K13" i="2535"/>
  <c r="L13" i="2535" s="1"/>
  <c r="M13" i="2535" s="1"/>
  <c r="N13" i="2535" s="1"/>
  <c r="I13" i="2535"/>
  <c r="H13" i="2535" s="1"/>
  <c r="K9" i="2535"/>
  <c r="L9" i="2535" s="1"/>
  <c r="M9" i="2535" s="1"/>
  <c r="N9" i="2535" s="1"/>
  <c r="I9" i="2535"/>
  <c r="H9" i="2535" s="1"/>
  <c r="K7" i="2535"/>
  <c r="L7" i="2535" s="1"/>
  <c r="M7" i="2535" s="1"/>
  <c r="N7" i="2535" s="1"/>
  <c r="I7" i="2535"/>
  <c r="H7" i="2535" s="1"/>
  <c r="K5" i="2535"/>
  <c r="L5" i="2535" s="1"/>
  <c r="M5" i="2535" s="1"/>
  <c r="N5" i="2535" s="1"/>
  <c r="I5" i="2535"/>
  <c r="H5" i="2535" s="1"/>
  <c r="K3" i="2535"/>
  <c r="L3" i="2535" s="1"/>
  <c r="M3" i="2535" s="1"/>
  <c r="N3" i="2535" s="1"/>
  <c r="I3" i="2535"/>
  <c r="H3" i="2535" s="1"/>
  <c r="K27" i="2534"/>
  <c r="L27" i="2534" s="1"/>
  <c r="M27" i="2534" s="1"/>
  <c r="I27" i="2534"/>
  <c r="H27" i="2534" s="1"/>
  <c r="K25" i="2534"/>
  <c r="L25" i="2534" s="1"/>
  <c r="M25" i="2534" s="1"/>
  <c r="I25" i="2534"/>
  <c r="H25" i="2534" s="1"/>
  <c r="K9" i="2534"/>
  <c r="L9" i="2534" s="1"/>
  <c r="M9" i="2534" s="1"/>
  <c r="I9" i="2534"/>
  <c r="H9" i="2534"/>
  <c r="K7" i="2534"/>
  <c r="L7" i="2534" s="1"/>
  <c r="M7" i="2534" s="1"/>
  <c r="I7" i="2534"/>
  <c r="H7" i="2534" s="1"/>
  <c r="K23" i="2534"/>
  <c r="L23" i="2534" s="1"/>
  <c r="M23" i="2534" s="1"/>
  <c r="I23" i="2534"/>
  <c r="H23" i="2534"/>
  <c r="K19" i="2534"/>
  <c r="L19" i="2534" s="1"/>
  <c r="M19" i="2534" s="1"/>
  <c r="I19" i="2534"/>
  <c r="H19" i="2534" s="1"/>
  <c r="K17" i="2534"/>
  <c r="L17" i="2534" s="1"/>
  <c r="M17" i="2534" s="1"/>
  <c r="I17" i="2534"/>
  <c r="H17" i="2534"/>
  <c r="K15" i="2534"/>
  <c r="L15" i="2534" s="1"/>
  <c r="M15" i="2534" s="1"/>
  <c r="I15" i="2534"/>
  <c r="H15" i="2534"/>
  <c r="K13" i="2534"/>
  <c r="L13" i="2534" s="1"/>
  <c r="M13" i="2534" s="1"/>
  <c r="I13" i="2534"/>
  <c r="H13" i="2534" s="1"/>
  <c r="K11" i="2534"/>
  <c r="L11" i="2534" s="1"/>
  <c r="M11" i="2534" s="1"/>
  <c r="I11" i="2534"/>
  <c r="H11" i="2534"/>
  <c r="K5" i="2534"/>
  <c r="L5" i="2534" s="1"/>
  <c r="M5" i="2534" s="1"/>
  <c r="I5" i="2534"/>
  <c r="H5" i="2534"/>
  <c r="K3" i="2534"/>
  <c r="L3" i="2534" s="1"/>
  <c r="M3" i="2534" s="1"/>
  <c r="I3" i="2534"/>
  <c r="H3" i="2534" s="1"/>
  <c r="H37" i="2533"/>
  <c r="I37" i="2533"/>
  <c r="N37" i="2533"/>
  <c r="L37" i="2533"/>
  <c r="K37" i="2533"/>
  <c r="M27" i="2536" l="1"/>
  <c r="N27" i="2536" s="1"/>
  <c r="L11" i="2536"/>
  <c r="M11" i="2536" s="1"/>
  <c r="K41" i="2533"/>
  <c r="L41" i="2533" s="1"/>
  <c r="M41" i="2533" s="1"/>
  <c r="N41" i="2533" s="1"/>
  <c r="I41" i="2533"/>
  <c r="H41" i="2533" s="1"/>
  <c r="K39" i="2533"/>
  <c r="L39" i="2533" s="1"/>
  <c r="M39" i="2533" s="1"/>
  <c r="N39" i="2533" s="1"/>
  <c r="I39" i="2533"/>
  <c r="H39" i="2533" s="1"/>
  <c r="M37" i="2533"/>
  <c r="K9" i="2533"/>
  <c r="L9" i="2533" s="1"/>
  <c r="M9" i="2533" s="1"/>
  <c r="N9" i="2533" s="1"/>
  <c r="I9" i="2533"/>
  <c r="H9" i="2533"/>
  <c r="H7" i="2533"/>
  <c r="I7" i="2533"/>
  <c r="N7" i="2533"/>
  <c r="M7" i="2533"/>
  <c r="L7" i="2533"/>
  <c r="K7" i="2533"/>
  <c r="N5" i="2533"/>
  <c r="M5" i="2533"/>
  <c r="L5" i="2533"/>
  <c r="K5" i="2533"/>
  <c r="H5" i="2533"/>
  <c r="I5" i="2533"/>
  <c r="K31" i="2533"/>
  <c r="L31" i="2533" s="1"/>
  <c r="M31" i="2533" s="1"/>
  <c r="N31" i="2533" s="1"/>
  <c r="I31" i="2533"/>
  <c r="H31" i="2533" s="1"/>
  <c r="K23" i="2533"/>
  <c r="L23" i="2533" s="1"/>
  <c r="M23" i="2533" s="1"/>
  <c r="N23" i="2533" s="1"/>
  <c r="I23" i="2533"/>
  <c r="H23" i="2533" s="1"/>
  <c r="K21" i="2533"/>
  <c r="L21" i="2533" s="1"/>
  <c r="M21" i="2533" s="1"/>
  <c r="N21" i="2533" s="1"/>
  <c r="I21" i="2533"/>
  <c r="H21" i="2533" s="1"/>
  <c r="K13" i="2533"/>
  <c r="L13" i="2533" s="1"/>
  <c r="M13" i="2533" s="1"/>
  <c r="N13" i="2533" s="1"/>
  <c r="I13" i="2533"/>
  <c r="H13" i="2533" s="1"/>
  <c r="K11" i="2533"/>
  <c r="L11" i="2533" s="1"/>
  <c r="M11" i="2533" s="1"/>
  <c r="N11" i="2533" s="1"/>
  <c r="I11" i="2533"/>
  <c r="H11" i="2533" s="1"/>
  <c r="K27" i="2533"/>
  <c r="L27" i="2533" s="1"/>
  <c r="M27" i="2533" s="1"/>
  <c r="N27" i="2533" s="1"/>
  <c r="I27" i="2533"/>
  <c r="H27" i="2533"/>
  <c r="K25" i="2533"/>
  <c r="L25" i="2533" s="1"/>
  <c r="M25" i="2533" s="1"/>
  <c r="N25" i="2533" s="1"/>
  <c r="I25" i="2533"/>
  <c r="H25" i="2533" s="1"/>
  <c r="K15" i="2533"/>
  <c r="L15" i="2533" s="1"/>
  <c r="M15" i="2533" s="1"/>
  <c r="N15" i="2533" s="1"/>
  <c r="I15" i="2533"/>
  <c r="H15" i="2533"/>
  <c r="K3" i="2533"/>
  <c r="L3" i="2533" s="1"/>
  <c r="M3" i="2533" s="1"/>
  <c r="N3" i="2533" s="1"/>
  <c r="I3" i="2533"/>
  <c r="H3" i="2533" s="1"/>
  <c r="I23" i="2532"/>
  <c r="H23" i="2532" s="1"/>
  <c r="K23" i="2532"/>
  <c r="L23" i="2532" s="1"/>
  <c r="K19" i="2532"/>
  <c r="I5" i="2532"/>
  <c r="H5" i="2532" s="1"/>
  <c r="K5" i="2532"/>
  <c r="L5" i="2532" s="1"/>
  <c r="K3" i="2532"/>
  <c r="L3" i="2532" s="1"/>
  <c r="I3" i="2532"/>
  <c r="H3" i="2532" s="1"/>
  <c r="K29" i="2532"/>
  <c r="L29" i="2532" s="1"/>
  <c r="I29" i="2532"/>
  <c r="H29" i="2532" s="1"/>
  <c r="K27" i="2532"/>
  <c r="L27" i="2532" s="1"/>
  <c r="I27" i="2532"/>
  <c r="H27" i="2532" s="1"/>
  <c r="L19" i="2532"/>
  <c r="I19" i="2532"/>
  <c r="H19" i="2532"/>
  <c r="K11" i="2532"/>
  <c r="L11" i="2532" s="1"/>
  <c r="I11" i="2532"/>
  <c r="H11" i="2532" s="1"/>
  <c r="K9" i="2532"/>
  <c r="L9" i="2532" s="1"/>
  <c r="I9" i="2532"/>
  <c r="H9" i="2532"/>
  <c r="K39" i="2531"/>
  <c r="L39" i="2531" s="1"/>
  <c r="M39" i="2531" s="1"/>
  <c r="N39" i="2531" s="1"/>
  <c r="I39" i="2531"/>
  <c r="H39" i="2531" s="1"/>
  <c r="K37" i="2531"/>
  <c r="L37" i="2531" s="1"/>
  <c r="M37" i="2531" s="1"/>
  <c r="N37" i="2531" s="1"/>
  <c r="I37" i="2531"/>
  <c r="H37" i="2531" s="1"/>
  <c r="N29" i="2531"/>
  <c r="M29" i="2531"/>
  <c r="L29" i="2531"/>
  <c r="K29" i="2531"/>
  <c r="H29" i="2531"/>
  <c r="I29" i="2531"/>
  <c r="K31" i="2531"/>
  <c r="L31" i="2531" s="1"/>
  <c r="M31" i="2531" s="1"/>
  <c r="N31" i="2531" s="1"/>
  <c r="I31" i="2531"/>
  <c r="H31" i="2531" s="1"/>
  <c r="K23" i="2531"/>
  <c r="L23" i="2531" s="1"/>
  <c r="M23" i="2531" s="1"/>
  <c r="N23" i="2531" s="1"/>
  <c r="I23" i="2531"/>
  <c r="H23" i="2531" s="1"/>
  <c r="N21" i="2531"/>
  <c r="M21" i="2531"/>
  <c r="L21" i="2531"/>
  <c r="K21" i="2531"/>
  <c r="I21" i="2531"/>
  <c r="H21" i="2531" s="1"/>
  <c r="K17" i="2531"/>
  <c r="L17" i="2531" s="1"/>
  <c r="M17" i="2531" s="1"/>
  <c r="N17" i="2531" s="1"/>
  <c r="I17" i="2531"/>
  <c r="H17" i="2531"/>
  <c r="L9" i="2531" l="1"/>
  <c r="M9" i="2531" s="1"/>
  <c r="N9" i="2531" s="1"/>
  <c r="K9" i="2531"/>
  <c r="I9" i="2531"/>
  <c r="H9" i="2531" s="1"/>
  <c r="N13" i="2531"/>
  <c r="N3" i="2531"/>
  <c r="K41" i="2531"/>
  <c r="L41" i="2531" s="1"/>
  <c r="M41" i="2531" s="1"/>
  <c r="N41" i="2531" s="1"/>
  <c r="I41" i="2531"/>
  <c r="H41" i="2531"/>
  <c r="K27" i="2531"/>
  <c r="L27" i="2531" s="1"/>
  <c r="M27" i="2531" s="1"/>
  <c r="N27" i="2531" s="1"/>
  <c r="I27" i="2531"/>
  <c r="H27" i="2531"/>
  <c r="K25" i="2531"/>
  <c r="L25" i="2531" s="1"/>
  <c r="M25" i="2531" s="1"/>
  <c r="N25" i="2531" s="1"/>
  <c r="I25" i="2531"/>
  <c r="H25" i="2531" s="1"/>
  <c r="K15" i="2531"/>
  <c r="L15" i="2531" s="1"/>
  <c r="M15" i="2531" s="1"/>
  <c r="N15" i="2531" s="1"/>
  <c r="I15" i="2531"/>
  <c r="H15" i="2531" s="1"/>
  <c r="K13" i="2531"/>
  <c r="L13" i="2531" s="1"/>
  <c r="M13" i="2531" s="1"/>
  <c r="I13" i="2531"/>
  <c r="H13" i="2531"/>
  <c r="K11" i="2531"/>
  <c r="L11" i="2531" s="1"/>
  <c r="M11" i="2531" s="1"/>
  <c r="N11" i="2531" s="1"/>
  <c r="I11" i="2531"/>
  <c r="H11" i="2531" s="1"/>
  <c r="L3" i="2531"/>
  <c r="M3" i="2531" s="1"/>
  <c r="K3" i="2531"/>
  <c r="I3" i="2531"/>
  <c r="H3" i="2531"/>
  <c r="K27" i="2530"/>
  <c r="L27" i="2530" s="1"/>
  <c r="M27" i="2530" s="1"/>
  <c r="I27" i="2530"/>
  <c r="H27" i="2530" s="1"/>
  <c r="P27" i="2530" s="1"/>
  <c r="P28" i="2530" s="1"/>
  <c r="K21" i="2530" l="1"/>
  <c r="L21" i="2530" s="1"/>
  <c r="M21" i="2530" s="1"/>
  <c r="I21" i="2530"/>
  <c r="H21" i="2530" s="1"/>
  <c r="K15" i="2530"/>
  <c r="L15" i="2530" s="1"/>
  <c r="M15" i="2530" s="1"/>
  <c r="I15" i="2530"/>
  <c r="H15" i="2530" s="1"/>
  <c r="K19" i="2530"/>
  <c r="L19" i="2530" s="1"/>
  <c r="M19" i="2530" s="1"/>
  <c r="I19" i="2530"/>
  <c r="H19" i="2530" s="1"/>
  <c r="K13" i="2530"/>
  <c r="L13" i="2530" s="1"/>
  <c r="M13" i="2530" s="1"/>
  <c r="I13" i="2530"/>
  <c r="H13" i="2530" s="1"/>
  <c r="M11" i="2530"/>
  <c r="K5" i="2530"/>
  <c r="L5" i="2530" s="1"/>
  <c r="M5" i="2530" s="1"/>
  <c r="I5" i="2530"/>
  <c r="H5" i="2530" s="1"/>
  <c r="K25" i="2530"/>
  <c r="L25" i="2530" s="1"/>
  <c r="M25" i="2530" s="1"/>
  <c r="I25" i="2530"/>
  <c r="H25" i="2530" s="1"/>
  <c r="K17" i="2530"/>
  <c r="L17" i="2530" s="1"/>
  <c r="M17" i="2530" s="1"/>
  <c r="I17" i="2530"/>
  <c r="H17" i="2530" s="1"/>
  <c r="I11" i="2530"/>
  <c r="H11" i="2530" s="1"/>
  <c r="K9" i="2530"/>
  <c r="L9" i="2530" s="1"/>
  <c r="M9" i="2530" s="1"/>
  <c r="I9" i="2530"/>
  <c r="H9" i="2530" s="1"/>
  <c r="K7" i="2530"/>
  <c r="L7" i="2530" s="1"/>
  <c r="M7" i="2530" s="1"/>
  <c r="I7" i="2530"/>
  <c r="H7" i="2530" s="1"/>
  <c r="K3" i="2530"/>
  <c r="L3" i="2530" s="1"/>
  <c r="M3" i="2530" s="1"/>
  <c r="I3" i="2530"/>
  <c r="H3" i="2530" s="1"/>
  <c r="K31" i="2529"/>
  <c r="L31" i="2529" s="1"/>
  <c r="M31" i="2529" s="1"/>
  <c r="I31" i="2529"/>
  <c r="H31" i="2529" s="1"/>
  <c r="I29" i="2529"/>
  <c r="H29" i="2529" s="1"/>
  <c r="K29" i="2529"/>
  <c r="L29" i="2529" s="1"/>
  <c r="M29" i="2529" s="1"/>
  <c r="M27" i="2529"/>
  <c r="L27" i="2529"/>
  <c r="K27" i="2529"/>
  <c r="H27" i="2529"/>
  <c r="I27" i="2529"/>
  <c r="K19" i="2529"/>
  <c r="L19" i="2529" s="1"/>
  <c r="M19" i="2529" s="1"/>
  <c r="I19" i="2529"/>
  <c r="H19" i="2529" s="1"/>
  <c r="K17" i="2529"/>
  <c r="L17" i="2529" s="1"/>
  <c r="M17" i="2529" s="1"/>
  <c r="I17" i="2529"/>
  <c r="H17" i="2529"/>
  <c r="K11" i="2529"/>
  <c r="L11" i="2529" s="1"/>
  <c r="I11" i="2529"/>
  <c r="H11" i="2529" s="1"/>
  <c r="K5" i="2529"/>
  <c r="L5" i="2529" s="1"/>
  <c r="M5" i="2529" s="1"/>
  <c r="I5" i="2529"/>
  <c r="H5" i="2529" s="1"/>
  <c r="K15" i="2529"/>
  <c r="L15" i="2529" s="1"/>
  <c r="M15" i="2529" s="1"/>
  <c r="I15" i="2529"/>
  <c r="H15" i="2529" s="1"/>
  <c r="K13" i="2529"/>
  <c r="L13" i="2529" s="1"/>
  <c r="M13" i="2529" s="1"/>
  <c r="I13" i="2529"/>
  <c r="H13" i="2529"/>
  <c r="K9" i="2529"/>
  <c r="L9" i="2529" s="1"/>
  <c r="M9" i="2529" s="1"/>
  <c r="I9" i="2529"/>
  <c r="H9" i="2529" s="1"/>
  <c r="K7" i="2529"/>
  <c r="L7" i="2529" s="1"/>
  <c r="M7" i="2529" s="1"/>
  <c r="I7" i="2529"/>
  <c r="H7" i="2529"/>
  <c r="K3" i="2529"/>
  <c r="L3" i="2529" s="1"/>
  <c r="M3" i="2529" s="1"/>
  <c r="I3" i="2529"/>
  <c r="H3" i="2529"/>
  <c r="K43" i="2528"/>
  <c r="L43" i="2528" s="1"/>
  <c r="M43" i="2528" s="1"/>
  <c r="N43" i="2528" s="1"/>
  <c r="I43" i="2528"/>
  <c r="H43" i="2528" s="1"/>
  <c r="K41" i="2528"/>
  <c r="L41" i="2528" s="1"/>
  <c r="M41" i="2528" s="1"/>
  <c r="N41" i="2528" s="1"/>
  <c r="I41" i="2528"/>
  <c r="H41" i="2528"/>
  <c r="K39" i="2528"/>
  <c r="L39" i="2528" s="1"/>
  <c r="M39" i="2528" s="1"/>
  <c r="N39" i="2528" s="1"/>
  <c r="I39" i="2528"/>
  <c r="H39" i="2528"/>
  <c r="L37" i="2528"/>
  <c r="M37" i="2528" s="1"/>
  <c r="N37" i="2528" s="1"/>
  <c r="K37" i="2528"/>
  <c r="I37" i="2528"/>
  <c r="H37" i="2528" s="1"/>
  <c r="K35" i="2528"/>
  <c r="L35" i="2528" s="1"/>
  <c r="M35" i="2528" s="1"/>
  <c r="N35" i="2528" s="1"/>
  <c r="I35" i="2528"/>
  <c r="H35" i="2528"/>
  <c r="K33" i="2528"/>
  <c r="L33" i="2528" s="1"/>
  <c r="M33" i="2528" s="1"/>
  <c r="N33" i="2528" s="1"/>
  <c r="I33" i="2528"/>
  <c r="H33" i="2528"/>
  <c r="K31" i="2528"/>
  <c r="L31" i="2528" s="1"/>
  <c r="M31" i="2528" s="1"/>
  <c r="N31" i="2528" s="1"/>
  <c r="I31" i="2528"/>
  <c r="H31" i="2528"/>
  <c r="K29" i="2528"/>
  <c r="L29" i="2528" s="1"/>
  <c r="M29" i="2528" s="1"/>
  <c r="N29" i="2528" s="1"/>
  <c r="I29" i="2528"/>
  <c r="H29" i="2528"/>
  <c r="K27" i="2528"/>
  <c r="L27" i="2528" s="1"/>
  <c r="M27" i="2528" s="1"/>
  <c r="N27" i="2528" s="1"/>
  <c r="I27" i="2528"/>
  <c r="H27" i="2528" s="1"/>
  <c r="K25" i="2528"/>
  <c r="L25" i="2528" s="1"/>
  <c r="M25" i="2528" s="1"/>
  <c r="N25" i="2528" s="1"/>
  <c r="I25" i="2528"/>
  <c r="H25" i="2528"/>
  <c r="K23" i="2528"/>
  <c r="L23" i="2528" s="1"/>
  <c r="M23" i="2528" s="1"/>
  <c r="N23" i="2528" s="1"/>
  <c r="I23" i="2528"/>
  <c r="H23" i="2528"/>
  <c r="L21" i="2528"/>
  <c r="M21" i="2528" s="1"/>
  <c r="N21" i="2528" s="1"/>
  <c r="K21" i="2528"/>
  <c r="I21" i="2528"/>
  <c r="H21" i="2528"/>
  <c r="K15" i="2528"/>
  <c r="L15" i="2528" s="1"/>
  <c r="M15" i="2528" s="1"/>
  <c r="N15" i="2528" s="1"/>
  <c r="I15" i="2528"/>
  <c r="H15" i="2528"/>
  <c r="K13" i="2528"/>
  <c r="L13" i="2528" s="1"/>
  <c r="M13" i="2528" s="1"/>
  <c r="N13" i="2528" s="1"/>
  <c r="I13" i="2528"/>
  <c r="H13" i="2528"/>
  <c r="K11" i="2528"/>
  <c r="L11" i="2528" s="1"/>
  <c r="M11" i="2528" s="1"/>
  <c r="N11" i="2528" s="1"/>
  <c r="I11" i="2528"/>
  <c r="H11" i="2528"/>
  <c r="K9" i="2528"/>
  <c r="L9" i="2528" s="1"/>
  <c r="M9" i="2528" s="1"/>
  <c r="N9" i="2528" s="1"/>
  <c r="I9" i="2528"/>
  <c r="H9" i="2528"/>
  <c r="K3" i="2528"/>
  <c r="L3" i="2528" s="1"/>
  <c r="M3" i="2528" s="1"/>
  <c r="N3" i="2528" s="1"/>
  <c r="I3" i="2528"/>
  <c r="H3" i="2528" s="1"/>
  <c r="M11" i="2529" l="1"/>
  <c r="K29" i="2527"/>
  <c r="L29" i="2527" s="1"/>
  <c r="M29" i="2527" s="1"/>
  <c r="N29" i="2527" s="1"/>
  <c r="I29" i="2527"/>
  <c r="H29" i="2527"/>
  <c r="N25" i="2527"/>
  <c r="M25" i="2527"/>
  <c r="L25" i="2527"/>
  <c r="K25" i="2527"/>
  <c r="I25" i="2527"/>
  <c r="H25" i="2527" s="1"/>
  <c r="N25" i="2526"/>
  <c r="M25" i="2526"/>
  <c r="L25" i="2526"/>
  <c r="K25" i="2526"/>
  <c r="H25" i="2526"/>
  <c r="I25" i="2526"/>
  <c r="K31" i="2527"/>
  <c r="L31" i="2527" s="1"/>
  <c r="M31" i="2527" s="1"/>
  <c r="N31" i="2527" s="1"/>
  <c r="I31" i="2527"/>
  <c r="H31" i="2527" s="1"/>
  <c r="K27" i="2527"/>
  <c r="L27" i="2527" s="1"/>
  <c r="M27" i="2527" s="1"/>
  <c r="N27" i="2527" s="1"/>
  <c r="I27" i="2527"/>
  <c r="H27" i="2527"/>
  <c r="L23" i="2527"/>
  <c r="M23" i="2527" s="1"/>
  <c r="N23" i="2527" s="1"/>
  <c r="K23" i="2527"/>
  <c r="I23" i="2527"/>
  <c r="H23" i="2527"/>
  <c r="K19" i="2527"/>
  <c r="L19" i="2527" s="1"/>
  <c r="M19" i="2527" s="1"/>
  <c r="N19" i="2527" s="1"/>
  <c r="I19" i="2527"/>
  <c r="H19" i="2527"/>
  <c r="K17" i="2527"/>
  <c r="L17" i="2527" s="1"/>
  <c r="M17" i="2527" s="1"/>
  <c r="N17" i="2527" s="1"/>
  <c r="I17" i="2527"/>
  <c r="H17" i="2527"/>
  <c r="K15" i="2527"/>
  <c r="L15" i="2527" s="1"/>
  <c r="M15" i="2527" s="1"/>
  <c r="N15" i="2527" s="1"/>
  <c r="I15" i="2527"/>
  <c r="H15" i="2527"/>
  <c r="K13" i="2527"/>
  <c r="L13" i="2527" s="1"/>
  <c r="M13" i="2527" s="1"/>
  <c r="N13" i="2527" s="1"/>
  <c r="I13" i="2527"/>
  <c r="H13" i="2527"/>
  <c r="K9" i="2527"/>
  <c r="L9" i="2527" s="1"/>
  <c r="M9" i="2527" s="1"/>
  <c r="N9" i="2527" s="1"/>
  <c r="I9" i="2527"/>
  <c r="H9" i="2527" s="1"/>
  <c r="K7" i="2527"/>
  <c r="L7" i="2527" s="1"/>
  <c r="M7" i="2527" s="1"/>
  <c r="N7" i="2527" s="1"/>
  <c r="I7" i="2527"/>
  <c r="H7" i="2527"/>
  <c r="K5" i="2527"/>
  <c r="L5" i="2527" s="1"/>
  <c r="M5" i="2527" s="1"/>
  <c r="N5" i="2527" s="1"/>
  <c r="I5" i="2527"/>
  <c r="H5" i="2527" s="1"/>
  <c r="K3" i="2527"/>
  <c r="L3" i="2527" s="1"/>
  <c r="M3" i="2527" s="1"/>
  <c r="N3" i="2527" s="1"/>
  <c r="I3" i="2527"/>
  <c r="H3" i="2527"/>
  <c r="K27" i="2526"/>
  <c r="L27" i="2526" s="1"/>
  <c r="M27" i="2526" s="1"/>
  <c r="N27" i="2526" s="1"/>
  <c r="I27" i="2526"/>
  <c r="H27" i="2526" s="1"/>
  <c r="K31" i="2526"/>
  <c r="L31" i="2526" s="1"/>
  <c r="M31" i="2526" s="1"/>
  <c r="N31" i="2526" s="1"/>
  <c r="I31" i="2526"/>
  <c r="H31" i="2526"/>
  <c r="N15" i="2526"/>
  <c r="M15" i="2526"/>
  <c r="L15" i="2526"/>
  <c r="K15" i="2526"/>
  <c r="H15" i="2526"/>
  <c r="I15" i="2526"/>
  <c r="N23" i="2526"/>
  <c r="M23" i="2526"/>
  <c r="L23" i="2526"/>
  <c r="K23" i="2526"/>
  <c r="H23" i="2526"/>
  <c r="I23" i="2526"/>
  <c r="N17" i="2526" l="1"/>
  <c r="M17" i="2526"/>
  <c r="L17" i="2526"/>
  <c r="K17" i="2526"/>
  <c r="H17" i="2526"/>
  <c r="I17" i="2526"/>
  <c r="K13" i="2526" l="1"/>
  <c r="L13" i="2526" s="1"/>
  <c r="M13" i="2526" s="1"/>
  <c r="N13" i="2526" s="1"/>
  <c r="I13" i="2526"/>
  <c r="H13" i="2526" s="1"/>
  <c r="K5" i="2526"/>
  <c r="L5" i="2526" s="1"/>
  <c r="M5" i="2526" s="1"/>
  <c r="N5" i="2526" s="1"/>
  <c r="I5" i="2526"/>
  <c r="H5" i="2526" s="1"/>
  <c r="I3" i="2526"/>
  <c r="H3" i="2526" s="1"/>
  <c r="K19" i="2526"/>
  <c r="L19" i="2526" s="1"/>
  <c r="M19" i="2526" s="1"/>
  <c r="N19" i="2526" s="1"/>
  <c r="I19" i="2526"/>
  <c r="H19" i="2526" s="1"/>
  <c r="K9" i="2526"/>
  <c r="L9" i="2526" s="1"/>
  <c r="M9" i="2526" s="1"/>
  <c r="N9" i="2526" s="1"/>
  <c r="I9" i="2526"/>
  <c r="H9" i="2526" s="1"/>
  <c r="K7" i="2526"/>
  <c r="L7" i="2526" s="1"/>
  <c r="M7" i="2526" s="1"/>
  <c r="N7" i="2526" s="1"/>
  <c r="I7" i="2526"/>
  <c r="H7" i="2526" s="1"/>
  <c r="K3" i="2526"/>
  <c r="L3" i="2526" s="1"/>
  <c r="M3" i="2526" s="1"/>
  <c r="N3" i="2526" s="1"/>
  <c r="K33" i="2525" l="1"/>
  <c r="L33" i="2525" s="1"/>
  <c r="M33" i="2525" s="1"/>
  <c r="I33" i="2525"/>
  <c r="H33" i="2525" s="1"/>
  <c r="L15" i="2525"/>
  <c r="M15" i="2525" s="1"/>
  <c r="K31" i="2525"/>
  <c r="L31" i="2525" s="1"/>
  <c r="M31" i="2525" s="1"/>
  <c r="I31" i="2525"/>
  <c r="H31" i="2525" s="1"/>
  <c r="K35" i="2525"/>
  <c r="L35" i="2525" s="1"/>
  <c r="M35" i="2525" s="1"/>
  <c r="I35" i="2525"/>
  <c r="H35" i="2525" s="1"/>
  <c r="I15" i="2525"/>
  <c r="H15" i="2525" s="1"/>
  <c r="K15" i="2525"/>
  <c r="K13" i="2525"/>
  <c r="L13" i="2525" s="1"/>
  <c r="M13" i="2525" s="1"/>
  <c r="I13" i="2525"/>
  <c r="H13" i="2525" s="1"/>
  <c r="K11" i="2525"/>
  <c r="L11" i="2525" s="1"/>
  <c r="M11" i="2525" s="1"/>
  <c r="I11" i="2525"/>
  <c r="H11" i="2525"/>
  <c r="K9" i="2525"/>
  <c r="L9" i="2525" s="1"/>
  <c r="M9" i="2525" s="1"/>
  <c r="I9" i="2525"/>
  <c r="H9" i="2525" s="1"/>
  <c r="K5" i="2525"/>
  <c r="L5" i="2525" s="1"/>
  <c r="M5" i="2525" s="1"/>
  <c r="I5" i="2525"/>
  <c r="H5" i="2525" s="1"/>
  <c r="I3" i="2525"/>
  <c r="H3" i="2525" s="1"/>
  <c r="K3" i="2525"/>
  <c r="L3" i="2525" s="1"/>
  <c r="M3" i="2525" s="1"/>
  <c r="M37" i="2525"/>
  <c r="K7" i="2525"/>
  <c r="L7" i="2525" s="1"/>
  <c r="M7" i="2525" s="1"/>
  <c r="I7" i="2525"/>
  <c r="H7" i="2525" s="1"/>
  <c r="I5" i="2524"/>
  <c r="H5" i="2524" s="1"/>
  <c r="L5" i="2524"/>
  <c r="M5" i="2524"/>
  <c r="N5" i="2524" s="1"/>
  <c r="K5" i="2524"/>
  <c r="L19" i="2524"/>
  <c r="M19" i="2524"/>
  <c r="N19" i="2524" s="1"/>
  <c r="K19" i="2524"/>
  <c r="H19" i="2524"/>
  <c r="I19" i="2524"/>
  <c r="H3" i="2524"/>
  <c r="K23" i="2524"/>
  <c r="L23" i="2524" s="1"/>
  <c r="M23" i="2524" s="1"/>
  <c r="N23" i="2524" s="1"/>
  <c r="I23" i="2524"/>
  <c r="H23" i="2524" s="1"/>
  <c r="I11" i="2524"/>
  <c r="H11" i="2524" s="1"/>
  <c r="K11" i="2524"/>
  <c r="L11" i="2524" s="1"/>
  <c r="M11" i="2524" s="1"/>
  <c r="N11" i="2524" s="1"/>
  <c r="N25" i="2524"/>
  <c r="L3" i="2524"/>
  <c r="M3" i="2524" s="1"/>
  <c r="N3" i="2524" s="1"/>
  <c r="K3" i="2524"/>
  <c r="I3" i="2524"/>
  <c r="K25" i="2524"/>
  <c r="L25" i="2524" s="1"/>
  <c r="M25" i="2524" s="1"/>
  <c r="I25" i="2524"/>
  <c r="H25" i="2524" s="1"/>
  <c r="K17" i="2524"/>
  <c r="L17" i="2524" s="1"/>
  <c r="M17" i="2524" s="1"/>
  <c r="N17" i="2524" s="1"/>
  <c r="I17" i="2524"/>
  <c r="H17" i="2524"/>
  <c r="K15" i="2524"/>
  <c r="L15" i="2524" s="1"/>
  <c r="M15" i="2524" s="1"/>
  <c r="N15" i="2524" s="1"/>
  <c r="I15" i="2524"/>
  <c r="H15" i="2524" s="1"/>
  <c r="K13" i="2524"/>
  <c r="L13" i="2524" s="1"/>
  <c r="M13" i="2524" s="1"/>
  <c r="N13" i="2524" s="1"/>
  <c r="I13" i="2524"/>
  <c r="H13" i="2524" s="1"/>
  <c r="K9" i="2524"/>
  <c r="L9" i="2524" s="1"/>
  <c r="M9" i="2524" s="1"/>
  <c r="N9" i="2524" s="1"/>
  <c r="I9" i="2524"/>
  <c r="H9" i="2524" s="1"/>
  <c r="K7" i="2524"/>
  <c r="L7" i="2524" s="1"/>
  <c r="M7" i="2524" s="1"/>
  <c r="N7" i="2524" s="1"/>
  <c r="I7" i="2524"/>
  <c r="H7" i="2524" s="1"/>
  <c r="H23" i="2523"/>
  <c r="K27" i="2523"/>
  <c r="L27" i="2523" s="1"/>
  <c r="M27" i="2523" s="1"/>
  <c r="N27" i="2523" s="1"/>
  <c r="K25" i="2523"/>
  <c r="L25" i="2523" s="1"/>
  <c r="M25" i="2523" s="1"/>
  <c r="N25" i="2523" s="1"/>
  <c r="I27" i="2523"/>
  <c r="H27" i="2523" s="1"/>
  <c r="I25" i="2523"/>
  <c r="H25" i="2523" s="1"/>
  <c r="K23" i="2523"/>
  <c r="L23" i="2523" s="1"/>
  <c r="M23" i="2523" s="1"/>
  <c r="N23" i="2523" s="1"/>
  <c r="I23" i="2523"/>
  <c r="I15" i="2523"/>
  <c r="H15" i="2523" s="1"/>
  <c r="K15" i="2523"/>
  <c r="L15" i="2523" s="1"/>
  <c r="M15" i="2523" s="1"/>
  <c r="N15" i="2523" s="1"/>
  <c r="K17" i="2523"/>
  <c r="L17" i="2523" s="1"/>
  <c r="M17" i="2523" s="1"/>
  <c r="N17" i="2523" s="1"/>
  <c r="I17" i="2523"/>
  <c r="H17" i="2523" s="1"/>
  <c r="K9" i="2523"/>
  <c r="L9" i="2523" s="1"/>
  <c r="M9" i="2523" s="1"/>
  <c r="N9" i="2523" s="1"/>
  <c r="I9" i="2523"/>
  <c r="H9" i="2523" s="1"/>
  <c r="I7" i="2523"/>
  <c r="H7" i="2523" s="1"/>
  <c r="K7" i="2523"/>
  <c r="L7" i="2523" s="1"/>
  <c r="M7" i="2523" s="1"/>
  <c r="N7" i="2523" s="1"/>
  <c r="K5" i="2523"/>
  <c r="L5" i="2523" s="1"/>
  <c r="M5" i="2523" s="1"/>
  <c r="N5" i="2523" s="1"/>
  <c r="I5" i="2523"/>
  <c r="H5" i="2523" s="1"/>
  <c r="K13" i="2523" l="1"/>
  <c r="L13" i="2523" s="1"/>
  <c r="M13" i="2523" s="1"/>
  <c r="N13" i="2523" s="1"/>
  <c r="I13" i="2523"/>
  <c r="H13" i="2523" s="1"/>
  <c r="K3" i="2523"/>
  <c r="L3" i="2523" s="1"/>
  <c r="M3" i="2523" s="1"/>
  <c r="N3" i="2523" s="1"/>
  <c r="I3" i="2523"/>
  <c r="H3" i="2523" s="1"/>
  <c r="N47" i="2522"/>
  <c r="K47" i="2522"/>
  <c r="L47" i="2522" s="1"/>
  <c r="M47" i="2522" s="1"/>
  <c r="I47" i="2522"/>
  <c r="H47" i="2522"/>
  <c r="H45" i="2522"/>
  <c r="L45" i="2522"/>
  <c r="M45" i="2522"/>
  <c r="N45" i="2522"/>
  <c r="I45" i="2522"/>
  <c r="K45" i="2522"/>
  <c r="N3" i="2522"/>
  <c r="N9" i="2522"/>
  <c r="N11" i="2522"/>
  <c r="N13" i="2522"/>
  <c r="N15" i="2522"/>
  <c r="N21" i="2522"/>
  <c r="N23" i="2522"/>
  <c r="N25" i="2522"/>
  <c r="N27" i="2522"/>
  <c r="N31" i="2522"/>
  <c r="N37" i="2522"/>
  <c r="N41" i="2522"/>
  <c r="N43" i="2522"/>
  <c r="K13" i="2522"/>
  <c r="L13" i="2522" s="1"/>
  <c r="M13" i="2522" s="1"/>
  <c r="I13" i="2522"/>
  <c r="H13" i="2522" s="1"/>
  <c r="K11" i="2522"/>
  <c r="L11" i="2522" s="1"/>
  <c r="M11" i="2522" s="1"/>
  <c r="I11" i="2522"/>
  <c r="H11" i="2522" s="1"/>
  <c r="K43" i="2522"/>
  <c r="L43" i="2522" s="1"/>
  <c r="M43" i="2522" s="1"/>
  <c r="I43" i="2522"/>
  <c r="H43" i="2522" s="1"/>
  <c r="K41" i="2522"/>
  <c r="L41" i="2522" s="1"/>
  <c r="M41" i="2522" s="1"/>
  <c r="I41" i="2522"/>
  <c r="H41" i="2522" s="1"/>
  <c r="K39" i="2522"/>
  <c r="L39" i="2522" s="1"/>
  <c r="M39" i="2522" s="1"/>
  <c r="N39" i="2522" s="1"/>
  <c r="I39" i="2522"/>
  <c r="H39" i="2522" s="1"/>
  <c r="K37" i="2522"/>
  <c r="L37" i="2522" s="1"/>
  <c r="M37" i="2522" s="1"/>
  <c r="I37" i="2522"/>
  <c r="H37" i="2522" s="1"/>
  <c r="K31" i="2522"/>
  <c r="L31" i="2522" s="1"/>
  <c r="M31" i="2522" s="1"/>
  <c r="I31" i="2522"/>
  <c r="H31" i="2522" s="1"/>
  <c r="K27" i="2522"/>
  <c r="L27" i="2522" s="1"/>
  <c r="M27" i="2522" s="1"/>
  <c r="I27" i="2522"/>
  <c r="H27" i="2522" s="1"/>
  <c r="K25" i="2522"/>
  <c r="L25" i="2522" s="1"/>
  <c r="M25" i="2522" s="1"/>
  <c r="I25" i="2522"/>
  <c r="H25" i="2522" s="1"/>
  <c r="K23" i="2522"/>
  <c r="L23" i="2522" s="1"/>
  <c r="M23" i="2522" s="1"/>
  <c r="I23" i="2522"/>
  <c r="H23" i="2522" s="1"/>
  <c r="K21" i="2522"/>
  <c r="L21" i="2522" s="1"/>
  <c r="M21" i="2522" s="1"/>
  <c r="I21" i="2522"/>
  <c r="H21" i="2522" s="1"/>
  <c r="K15" i="2522"/>
  <c r="L15" i="2522" s="1"/>
  <c r="M15" i="2522" s="1"/>
  <c r="I15" i="2522"/>
  <c r="H15" i="2522" s="1"/>
  <c r="K9" i="2522"/>
  <c r="L9" i="2522" s="1"/>
  <c r="M9" i="2522" s="1"/>
  <c r="I9" i="2522"/>
  <c r="H9" i="2522"/>
  <c r="K3" i="2522"/>
  <c r="L3" i="2522" s="1"/>
  <c r="M3" i="2522" s="1"/>
  <c r="I3" i="2522"/>
  <c r="H3" i="2522"/>
  <c r="I11" i="2521"/>
  <c r="K3" i="2521"/>
  <c r="L3" i="2521" s="1"/>
  <c r="M3" i="2521" s="1"/>
  <c r="N3" i="2521" s="1"/>
  <c r="I3" i="2521"/>
  <c r="H3" i="2521" s="1"/>
  <c r="K25" i="2521"/>
  <c r="L25" i="2521" s="1"/>
  <c r="M25" i="2521" s="1"/>
  <c r="N25" i="2521" s="1"/>
  <c r="I25" i="2521"/>
  <c r="H25" i="2521" s="1"/>
  <c r="K23" i="2521"/>
  <c r="L23" i="2521" s="1"/>
  <c r="M23" i="2521" s="1"/>
  <c r="N23" i="2521" s="1"/>
  <c r="I23" i="2521"/>
  <c r="H23" i="2521" s="1"/>
  <c r="K19" i="2521"/>
  <c r="L19" i="2521" s="1"/>
  <c r="M19" i="2521" s="1"/>
  <c r="N19" i="2521" s="1"/>
  <c r="I19" i="2521"/>
  <c r="H19" i="2521" s="1"/>
  <c r="K17" i="2521"/>
  <c r="L17" i="2521" s="1"/>
  <c r="M17" i="2521" s="1"/>
  <c r="N17" i="2521" s="1"/>
  <c r="I17" i="2521"/>
  <c r="H17" i="2521" s="1"/>
  <c r="K15" i="2521"/>
  <c r="L15" i="2521" s="1"/>
  <c r="M15" i="2521" s="1"/>
  <c r="N15" i="2521" s="1"/>
  <c r="I15" i="2521"/>
  <c r="H15" i="2521" s="1"/>
  <c r="K13" i="2521"/>
  <c r="L13" i="2521" s="1"/>
  <c r="M13" i="2521" s="1"/>
  <c r="N13" i="2521" s="1"/>
  <c r="I13" i="2521"/>
  <c r="H13" i="2521" s="1"/>
  <c r="K11" i="2521"/>
  <c r="L11" i="2521" s="1"/>
  <c r="H11" i="2521"/>
  <c r="K9" i="2521"/>
  <c r="L9" i="2521" s="1"/>
  <c r="M9" i="2521" s="1"/>
  <c r="N9" i="2521" s="1"/>
  <c r="I9" i="2521"/>
  <c r="H9" i="2521" s="1"/>
  <c r="K7" i="2521"/>
  <c r="L7" i="2521" s="1"/>
  <c r="M7" i="2521" s="1"/>
  <c r="N7" i="2521" s="1"/>
  <c r="I7" i="2521"/>
  <c r="H7" i="2521" s="1"/>
  <c r="K5" i="2521"/>
  <c r="L5" i="2521" s="1"/>
  <c r="M5" i="2521" s="1"/>
  <c r="N5" i="2521" s="1"/>
  <c r="I5" i="2521"/>
  <c r="H5" i="2521" s="1"/>
  <c r="K27" i="2520"/>
  <c r="L27" i="2520" s="1"/>
  <c r="M27" i="2520" s="1"/>
  <c r="I27" i="2520"/>
  <c r="H27" i="2520" s="1"/>
  <c r="I11" i="2520"/>
  <c r="H11" i="2520" s="1"/>
  <c r="K23" i="2520"/>
  <c r="L23" i="2520" s="1"/>
  <c r="M23" i="2520" s="1"/>
  <c r="I23" i="2520"/>
  <c r="H23" i="2520" s="1"/>
  <c r="K25" i="2520"/>
  <c r="L25" i="2520" s="1"/>
  <c r="M25" i="2520" s="1"/>
  <c r="I25" i="2520"/>
  <c r="H25" i="2520" s="1"/>
  <c r="K19" i="2520"/>
  <c r="L19" i="2520" s="1"/>
  <c r="M19" i="2520" s="1"/>
  <c r="I19" i="2520"/>
  <c r="H19" i="2520"/>
  <c r="K17" i="2520"/>
  <c r="L17" i="2520" s="1"/>
  <c r="M17" i="2520" s="1"/>
  <c r="I17" i="2520"/>
  <c r="H17" i="2520" s="1"/>
  <c r="K15" i="2520"/>
  <c r="L15" i="2520" s="1"/>
  <c r="M15" i="2520" s="1"/>
  <c r="I15" i="2520"/>
  <c r="H15" i="2520" s="1"/>
  <c r="K13" i="2520"/>
  <c r="L13" i="2520" s="1"/>
  <c r="M13" i="2520" s="1"/>
  <c r="I13" i="2520"/>
  <c r="H13" i="2520"/>
  <c r="K11" i="2520"/>
  <c r="L11" i="2520" s="1"/>
  <c r="M11" i="2520" s="1"/>
  <c r="K9" i="2520"/>
  <c r="L9" i="2520" s="1"/>
  <c r="M9" i="2520" s="1"/>
  <c r="I9" i="2520"/>
  <c r="H9" i="2520" s="1"/>
  <c r="K7" i="2520"/>
  <c r="L7" i="2520" s="1"/>
  <c r="M7" i="2520" s="1"/>
  <c r="I7" i="2520"/>
  <c r="H7" i="2520" s="1"/>
  <c r="K5" i="2520"/>
  <c r="L5" i="2520" s="1"/>
  <c r="M5" i="2520" s="1"/>
  <c r="I5" i="2520"/>
  <c r="H5" i="2520" s="1"/>
  <c r="K3" i="2520"/>
  <c r="L3" i="2520" s="1"/>
  <c r="M3" i="2520" s="1"/>
  <c r="I3" i="2520"/>
  <c r="H3" i="2520" s="1"/>
  <c r="I3" i="2519"/>
  <c r="H3" i="2519" s="1"/>
  <c r="K3" i="2519"/>
  <c r="L3" i="2519"/>
  <c r="M3" i="2519"/>
  <c r="I5" i="2519"/>
  <c r="H5" i="2519" s="1"/>
  <c r="K5" i="2519"/>
  <c r="L5" i="2519" s="1"/>
  <c r="M5" i="2519" s="1"/>
  <c r="I7" i="2519"/>
  <c r="H7" i="2519" s="1"/>
  <c r="K7" i="2519"/>
  <c r="L7" i="2519" s="1"/>
  <c r="M7" i="2519" s="1"/>
  <c r="I9" i="2519"/>
  <c r="H9" i="2519" s="1"/>
  <c r="K9" i="2519"/>
  <c r="L9" i="2519" s="1"/>
  <c r="M9" i="2519" s="1"/>
  <c r="I11" i="2519"/>
  <c r="H11" i="2519" s="1"/>
  <c r="K11" i="2519"/>
  <c r="L11" i="2519"/>
  <c r="M11" i="2519"/>
  <c r="I13" i="2519"/>
  <c r="H13" i="2519" s="1"/>
  <c r="K13" i="2519"/>
  <c r="L13" i="2519"/>
  <c r="M13" i="2519"/>
  <c r="I17" i="2519"/>
  <c r="H17" i="2519" s="1"/>
  <c r="K17" i="2519"/>
  <c r="L17" i="2519" s="1"/>
  <c r="M17" i="2519" s="1"/>
  <c r="I19" i="2519"/>
  <c r="H19" i="2519" s="1"/>
  <c r="K19" i="2519"/>
  <c r="L19" i="2519"/>
  <c r="M19" i="2519"/>
  <c r="I21" i="2519"/>
  <c r="H21" i="2519" s="1"/>
  <c r="K21" i="2519"/>
  <c r="L21" i="2519"/>
  <c r="M21" i="2519"/>
  <c r="I29" i="2519"/>
  <c r="H29" i="2519" s="1"/>
  <c r="K29" i="2519"/>
  <c r="L29" i="2519"/>
  <c r="M29" i="2519" s="1"/>
  <c r="I31" i="2519"/>
  <c r="H31" i="2519" s="1"/>
  <c r="K31" i="2519"/>
  <c r="L31" i="2519"/>
  <c r="M31" i="2519" s="1"/>
  <c r="K25" i="2518"/>
  <c r="L25" i="2518" s="1"/>
  <c r="M25" i="2518" s="1"/>
  <c r="I25" i="2518"/>
  <c r="H25" i="2518"/>
  <c r="K23" i="2518"/>
  <c r="L23" i="2518" s="1"/>
  <c r="M23" i="2518" s="1"/>
  <c r="I23" i="2518"/>
  <c r="H23" i="2518"/>
  <c r="K17" i="2518"/>
  <c r="L17" i="2518" s="1"/>
  <c r="M17" i="2518" s="1"/>
  <c r="I17" i="2518"/>
  <c r="H17" i="2518"/>
  <c r="K15" i="2518"/>
  <c r="L15" i="2518" s="1"/>
  <c r="M15" i="2518" s="1"/>
  <c r="I15" i="2518"/>
  <c r="H15" i="2518"/>
  <c r="K13" i="2518"/>
  <c r="L13" i="2518" s="1"/>
  <c r="M13" i="2518" s="1"/>
  <c r="I13" i="2518"/>
  <c r="H13" i="2518"/>
  <c r="L9" i="2518"/>
  <c r="M9" i="2518" s="1"/>
  <c r="K9" i="2518"/>
  <c r="I9" i="2518"/>
  <c r="H9" i="2518" s="1"/>
  <c r="K7" i="2518"/>
  <c r="L7" i="2518" s="1"/>
  <c r="M7" i="2518" s="1"/>
  <c r="I7" i="2518"/>
  <c r="H7" i="2518"/>
  <c r="K5" i="2518"/>
  <c r="L5" i="2518" s="1"/>
  <c r="M5" i="2518" s="1"/>
  <c r="I5" i="2518"/>
  <c r="H5" i="2518" s="1"/>
  <c r="K3" i="2518"/>
  <c r="L3" i="2518" s="1"/>
  <c r="M3" i="2518" s="1"/>
  <c r="I3" i="2518"/>
  <c r="H3" i="2518" s="1"/>
  <c r="M11" i="2521" l="1"/>
  <c r="N11" i="2521" s="1"/>
  <c r="M39" i="2517"/>
  <c r="I9" i="2517"/>
  <c r="K53" i="2517"/>
  <c r="L53" i="2517" s="1"/>
  <c r="M53" i="2517" s="1"/>
  <c r="I53" i="2517"/>
  <c r="H53" i="2517" s="1"/>
  <c r="K51" i="2517"/>
  <c r="L51" i="2517" s="1"/>
  <c r="M51" i="2517" s="1"/>
  <c r="I51" i="2517"/>
  <c r="H51" i="2517" s="1"/>
  <c r="K49" i="2517"/>
  <c r="L49" i="2517" s="1"/>
  <c r="M49" i="2517" s="1"/>
  <c r="I49" i="2517"/>
  <c r="H49" i="2517" s="1"/>
  <c r="K47" i="2517"/>
  <c r="L47" i="2517" s="1"/>
  <c r="M47" i="2517" s="1"/>
  <c r="I47" i="2517"/>
  <c r="H47" i="2517" s="1"/>
  <c r="K45" i="2517"/>
  <c r="L45" i="2517" s="1"/>
  <c r="M45" i="2517" s="1"/>
  <c r="I45" i="2517"/>
  <c r="H45" i="2517"/>
  <c r="K43" i="2517"/>
  <c r="L43" i="2517" s="1"/>
  <c r="M43" i="2517" s="1"/>
  <c r="I43" i="2517"/>
  <c r="H43" i="2517" s="1"/>
  <c r="K39" i="2517"/>
  <c r="L39" i="2517" s="1"/>
  <c r="I39" i="2517"/>
  <c r="H39" i="2517" s="1"/>
  <c r="K37" i="2517"/>
  <c r="L37" i="2517" s="1"/>
  <c r="M37" i="2517" s="1"/>
  <c r="I37" i="2517"/>
  <c r="H37" i="2517" s="1"/>
  <c r="K35" i="2517"/>
  <c r="L35" i="2517" s="1"/>
  <c r="M35" i="2517" s="1"/>
  <c r="I35" i="2517"/>
  <c r="H35" i="2517" s="1"/>
  <c r="K19" i="2517"/>
  <c r="L19" i="2517" s="1"/>
  <c r="M19" i="2517" s="1"/>
  <c r="I19" i="2517"/>
  <c r="H19" i="2517" s="1"/>
  <c r="K21" i="2517"/>
  <c r="L21" i="2517" s="1"/>
  <c r="M21" i="2517" s="1"/>
  <c r="I21" i="2517"/>
  <c r="H21" i="2517" s="1"/>
  <c r="K29" i="2517"/>
  <c r="L29" i="2517" s="1"/>
  <c r="M29" i="2517" s="1"/>
  <c r="I29" i="2517"/>
  <c r="H29" i="2517"/>
  <c r="K31" i="2517"/>
  <c r="L31" i="2517" s="1"/>
  <c r="M31" i="2517" s="1"/>
  <c r="I31" i="2517"/>
  <c r="H31" i="2517" s="1"/>
  <c r="K27" i="2517"/>
  <c r="L27" i="2517" s="1"/>
  <c r="M27" i="2517" s="1"/>
  <c r="I27" i="2517"/>
  <c r="H27" i="2517" s="1"/>
  <c r="K25" i="2517"/>
  <c r="L25" i="2517" s="1"/>
  <c r="M25" i="2517" s="1"/>
  <c r="I25" i="2517"/>
  <c r="H25" i="2517" s="1"/>
  <c r="K23" i="2517"/>
  <c r="L23" i="2517" s="1"/>
  <c r="M23" i="2517" s="1"/>
  <c r="I23" i="2517"/>
  <c r="H23" i="2517" s="1"/>
  <c r="K11" i="2517"/>
  <c r="L11" i="2517" s="1"/>
  <c r="M11" i="2517" s="1"/>
  <c r="I11" i="2517"/>
  <c r="H11" i="2517" s="1"/>
  <c r="K9" i="2517"/>
  <c r="L9" i="2517" s="1"/>
  <c r="M9" i="2517" s="1"/>
  <c r="H9" i="2517"/>
  <c r="K7" i="2517"/>
  <c r="L7" i="2517" s="1"/>
  <c r="M7" i="2517" s="1"/>
  <c r="I7" i="2517"/>
  <c r="H7" i="2517" s="1"/>
  <c r="K5" i="2517"/>
  <c r="L5" i="2517" s="1"/>
  <c r="M5" i="2517" s="1"/>
  <c r="I5" i="2517"/>
  <c r="H5" i="2517" s="1"/>
  <c r="K3" i="2517"/>
  <c r="L3" i="2517" s="1"/>
  <c r="M3" i="2517" s="1"/>
  <c r="I3" i="2517"/>
  <c r="H3" i="2517" s="1"/>
  <c r="K33" i="2517"/>
  <c r="L33" i="2517" s="1"/>
  <c r="M33" i="2517" s="1"/>
  <c r="I33" i="2517"/>
  <c r="H33" i="2517" s="1"/>
  <c r="K17" i="2517"/>
  <c r="L17" i="2517" s="1"/>
  <c r="M17" i="2517" s="1"/>
  <c r="I17" i="2517"/>
  <c r="H17" i="2517" s="1"/>
  <c r="K15" i="2517"/>
  <c r="L15" i="2517" s="1"/>
  <c r="M15" i="2517" s="1"/>
  <c r="I15" i="2517"/>
  <c r="H15" i="2517" s="1"/>
  <c r="K13" i="2517"/>
  <c r="L13" i="2517" s="1"/>
  <c r="M13" i="2517" s="1"/>
  <c r="I13" i="2517"/>
  <c r="H13" i="2517" s="1"/>
  <c r="H17" i="2510"/>
  <c r="I17" i="2510"/>
  <c r="L15" i="2510"/>
  <c r="M15" i="2510"/>
  <c r="K15" i="2510"/>
  <c r="L13" i="2510"/>
  <c r="M13" i="2510"/>
  <c r="K13" i="2510"/>
  <c r="H13" i="2510"/>
  <c r="I13" i="2510"/>
  <c r="H19" i="2510"/>
  <c r="I19" i="2510"/>
  <c r="L19" i="2510"/>
  <c r="M19" i="2510"/>
  <c r="K19" i="2510"/>
  <c r="K17" i="2510"/>
  <c r="I15" i="2510"/>
  <c r="I37" i="2510"/>
  <c r="H37" i="2510" s="1"/>
  <c r="K37" i="2510"/>
  <c r="L37" i="2510" s="1"/>
  <c r="M37" i="2510" s="1"/>
  <c r="L7" i="2516"/>
  <c r="M7" i="2516"/>
  <c r="K25" i="2516"/>
  <c r="L25" i="2516" s="1"/>
  <c r="M25" i="2516" s="1"/>
  <c r="I25" i="2516"/>
  <c r="H25" i="2516" s="1"/>
  <c r="I23" i="2516"/>
  <c r="H23" i="2516" s="1"/>
  <c r="K23" i="2516"/>
  <c r="L23" i="2516" s="1"/>
  <c r="M23" i="2516" s="1"/>
  <c r="K19" i="2516"/>
  <c r="L19" i="2516" s="1"/>
  <c r="M19" i="2516" s="1"/>
  <c r="I19" i="2516"/>
  <c r="H19" i="2516" s="1"/>
  <c r="L11" i="2516"/>
  <c r="M11" i="2516"/>
  <c r="K11" i="2516"/>
  <c r="I11" i="2516"/>
  <c r="H11" i="2516" s="1"/>
  <c r="L5" i="2516"/>
  <c r="M5" i="2516"/>
  <c r="K5" i="2516"/>
  <c r="H5" i="2516"/>
  <c r="I5" i="2516"/>
  <c r="K3" i="2516"/>
  <c r="L3" i="2516" s="1"/>
  <c r="M3" i="2516" s="1"/>
  <c r="I3" i="2516"/>
  <c r="H3" i="2516" s="1"/>
  <c r="K17" i="2516"/>
  <c r="L17" i="2516" s="1"/>
  <c r="M17" i="2516" s="1"/>
  <c r="I17" i="2516"/>
  <c r="H17" i="2516" s="1"/>
  <c r="K15" i="2516"/>
  <c r="L15" i="2516" s="1"/>
  <c r="M15" i="2516" s="1"/>
  <c r="I15" i="2516"/>
  <c r="H15" i="2516" s="1"/>
  <c r="K13" i="2516"/>
  <c r="L13" i="2516" s="1"/>
  <c r="M13" i="2516" s="1"/>
  <c r="I13" i="2516"/>
  <c r="H13" i="2516" s="1"/>
  <c r="K9" i="2516"/>
  <c r="L9" i="2516" s="1"/>
  <c r="M9" i="2516" s="1"/>
  <c r="I9" i="2516"/>
  <c r="H9" i="2516" s="1"/>
  <c r="K7" i="2516"/>
  <c r="I7" i="2516"/>
  <c r="H7" i="2516" s="1"/>
  <c r="M9" i="2509"/>
  <c r="M11" i="2509"/>
  <c r="M13" i="2509"/>
  <c r="M15" i="2509"/>
  <c r="M17" i="2509"/>
  <c r="M37" i="2509"/>
  <c r="K29" i="2515"/>
  <c r="L29" i="2515" s="1"/>
  <c r="M29" i="2515" s="1"/>
  <c r="I29" i="2515"/>
  <c r="H29" i="2515" s="1"/>
  <c r="M31" i="2515"/>
  <c r="L31" i="2515"/>
  <c r="K31" i="2515"/>
  <c r="H31" i="2515"/>
  <c r="I31" i="2515"/>
  <c r="K27" i="2515"/>
  <c r="L27" i="2515" s="1"/>
  <c r="M27" i="2515" s="1"/>
  <c r="I27" i="2515"/>
  <c r="H27" i="2515" s="1"/>
  <c r="K25" i="2515"/>
  <c r="L25" i="2515" s="1"/>
  <c r="M25" i="2515" s="1"/>
  <c r="I25" i="2515"/>
  <c r="H25" i="2515" s="1"/>
  <c r="K19" i="2515"/>
  <c r="L19" i="2515" s="1"/>
  <c r="M19" i="2515" s="1"/>
  <c r="H19" i="2515"/>
  <c r="I19" i="2515"/>
  <c r="K17" i="2515"/>
  <c r="L17" i="2515" s="1"/>
  <c r="M17" i="2515" s="1"/>
  <c r="H17" i="2515"/>
  <c r="I17" i="2515"/>
  <c r="K11" i="2515"/>
  <c r="L11" i="2515" s="1"/>
  <c r="M11" i="2515" s="1"/>
  <c r="I11" i="2515"/>
  <c r="H11" i="2515" s="1"/>
  <c r="K9" i="2515"/>
  <c r="L9" i="2515" s="1"/>
  <c r="M9" i="2515" s="1"/>
  <c r="I9" i="2515"/>
  <c r="H9" i="2515" s="1"/>
  <c r="K5" i="2515"/>
  <c r="L5" i="2515" s="1"/>
  <c r="M5" i="2515" s="1"/>
  <c r="I5" i="2515"/>
  <c r="H5" i="2515" s="1"/>
  <c r="K21" i="2515"/>
  <c r="L21" i="2515" s="1"/>
  <c r="M21" i="2515" s="1"/>
  <c r="I21" i="2515"/>
  <c r="H21" i="2515" s="1"/>
  <c r="K15" i="2515"/>
  <c r="L15" i="2515" s="1"/>
  <c r="M15" i="2515" s="1"/>
  <c r="I15" i="2515"/>
  <c r="H15" i="2515" s="1"/>
  <c r="K13" i="2515"/>
  <c r="L13" i="2515" s="1"/>
  <c r="M13" i="2515" s="1"/>
  <c r="I13" i="2515"/>
  <c r="H13" i="2515" s="1"/>
  <c r="K7" i="2515"/>
  <c r="L7" i="2515" s="1"/>
  <c r="M7" i="2515" s="1"/>
  <c r="I7" i="2515"/>
  <c r="H7" i="2515" s="1"/>
  <c r="K3" i="2515"/>
  <c r="L3" i="2515" s="1"/>
  <c r="M3" i="2515" s="1"/>
  <c r="I3" i="2515"/>
  <c r="H3" i="2515" s="1"/>
  <c r="M3" i="2510"/>
  <c r="M5" i="2510"/>
  <c r="M9" i="2510"/>
  <c r="M11" i="2510"/>
  <c r="M33" i="2510"/>
  <c r="M35" i="2510"/>
  <c r="M3" i="2499"/>
  <c r="M5" i="2499"/>
  <c r="M7" i="2499"/>
  <c r="M9" i="2499"/>
  <c r="M11" i="2499"/>
  <c r="M15" i="2499"/>
  <c r="M17" i="2499"/>
  <c r="M19" i="2499"/>
  <c r="M25" i="2499"/>
  <c r="M27" i="2499"/>
  <c r="M29" i="2499"/>
  <c r="M31" i="2499"/>
  <c r="M33" i="2499"/>
  <c r="M35" i="2499"/>
  <c r="M37" i="2499"/>
  <c r="M39" i="2499"/>
  <c r="K55" i="2514"/>
  <c r="L55" i="2514" s="1"/>
  <c r="M55" i="2514" s="1"/>
  <c r="I55" i="2514"/>
  <c r="H55" i="2514"/>
  <c r="M51" i="2514"/>
  <c r="L51" i="2514"/>
  <c r="K51" i="2514"/>
  <c r="H51" i="2514"/>
  <c r="I51" i="2514"/>
  <c r="M49" i="2514"/>
  <c r="L49" i="2514"/>
  <c r="K49" i="2514"/>
  <c r="H49" i="2514"/>
  <c r="I49" i="2514"/>
  <c r="K53" i="2514"/>
  <c r="L53" i="2514" s="1"/>
  <c r="M53" i="2514" s="1"/>
  <c r="I53" i="2514"/>
  <c r="H53" i="2514"/>
  <c r="K35" i="2514"/>
  <c r="L35" i="2514" s="1"/>
  <c r="M35" i="2514" s="1"/>
  <c r="I35" i="2514"/>
  <c r="H35" i="2514" s="1"/>
  <c r="K33" i="2514"/>
  <c r="L33" i="2514" s="1"/>
  <c r="M33" i="2514" s="1"/>
  <c r="I33" i="2514"/>
  <c r="H33" i="2514" s="1"/>
  <c r="K47" i="2514"/>
  <c r="L47" i="2514" s="1"/>
  <c r="M47" i="2514" s="1"/>
  <c r="I47" i="2514"/>
  <c r="H47" i="2514" s="1"/>
  <c r="K45" i="2514"/>
  <c r="L45" i="2514" s="1"/>
  <c r="M45" i="2514" s="1"/>
  <c r="I45" i="2514"/>
  <c r="H45" i="2514" s="1"/>
  <c r="K43" i="2514"/>
  <c r="L43" i="2514" s="1"/>
  <c r="M43" i="2514" s="1"/>
  <c r="I43" i="2514"/>
  <c r="H43" i="2514" s="1"/>
  <c r="K41" i="2514"/>
  <c r="L41" i="2514" s="1"/>
  <c r="M41" i="2514" s="1"/>
  <c r="I41" i="2514"/>
  <c r="H41" i="2514" s="1"/>
  <c r="K5" i="2514"/>
  <c r="L5" i="2514" s="1"/>
  <c r="M5" i="2514" s="1"/>
  <c r="I5" i="2514"/>
  <c r="H5" i="2514" s="1"/>
  <c r="K3" i="2514"/>
  <c r="L3" i="2514" s="1"/>
  <c r="M3" i="2514" s="1"/>
  <c r="I3" i="2514"/>
  <c r="H3" i="2514" s="1"/>
  <c r="K19" i="2514"/>
  <c r="L19" i="2514" s="1"/>
  <c r="M19" i="2514" s="1"/>
  <c r="I19" i="2514"/>
  <c r="H19" i="2514" s="1"/>
  <c r="K17" i="2514"/>
  <c r="L17" i="2514" s="1"/>
  <c r="M17" i="2514" s="1"/>
  <c r="I17" i="2514"/>
  <c r="H17" i="2514"/>
  <c r="K15" i="2514"/>
  <c r="L15" i="2514" s="1"/>
  <c r="M15" i="2514" s="1"/>
  <c r="I15" i="2514"/>
  <c r="H15" i="2514" s="1"/>
  <c r="I13" i="2514"/>
  <c r="H13" i="2514" s="1"/>
  <c r="K13" i="2514"/>
  <c r="L13" i="2514" s="1"/>
  <c r="M13" i="2514" s="1"/>
  <c r="K11" i="2514"/>
  <c r="L11" i="2514" s="1"/>
  <c r="M11" i="2514" s="1"/>
  <c r="I11" i="2514"/>
  <c r="H11" i="2514" s="1"/>
  <c r="K7" i="2514"/>
  <c r="L7" i="2514" s="1"/>
  <c r="M7" i="2514" s="1"/>
  <c r="K39" i="2514"/>
  <c r="L39" i="2514" s="1"/>
  <c r="M39" i="2514" s="1"/>
  <c r="I39" i="2514"/>
  <c r="H39" i="2514" s="1"/>
  <c r="K37" i="2514"/>
  <c r="L37" i="2514" s="1"/>
  <c r="M37" i="2514" s="1"/>
  <c r="I37" i="2514"/>
  <c r="H37" i="2514" s="1"/>
  <c r="K29" i="2514"/>
  <c r="L29" i="2514" s="1"/>
  <c r="M29" i="2514" s="1"/>
  <c r="I29" i="2514"/>
  <c r="H29" i="2514" s="1"/>
  <c r="K27" i="2514"/>
  <c r="L27" i="2514" s="1"/>
  <c r="M27" i="2514" s="1"/>
  <c r="I27" i="2514"/>
  <c r="H27" i="2514" s="1"/>
  <c r="K25" i="2514"/>
  <c r="L25" i="2514" s="1"/>
  <c r="M25" i="2514" s="1"/>
  <c r="I25" i="2514"/>
  <c r="H25" i="2514" s="1"/>
  <c r="K23" i="2514"/>
  <c r="L23" i="2514" s="1"/>
  <c r="M23" i="2514" s="1"/>
  <c r="I23" i="2514"/>
  <c r="H23" i="2514"/>
  <c r="K9" i="2514"/>
  <c r="L9" i="2514" s="1"/>
  <c r="M9" i="2514" s="1"/>
  <c r="I9" i="2514"/>
  <c r="H9" i="2514" s="1"/>
  <c r="I7" i="2514"/>
  <c r="H7" i="2514" s="1"/>
  <c r="K13" i="2513"/>
  <c r="L13" i="2513" s="1"/>
  <c r="M13" i="2513" s="1"/>
  <c r="I13" i="2513"/>
  <c r="H13" i="2513" s="1"/>
  <c r="M11" i="2513"/>
  <c r="L11" i="2513"/>
  <c r="K11" i="2513"/>
  <c r="H11" i="2513"/>
  <c r="I11" i="2513"/>
  <c r="M9" i="2513"/>
  <c r="L9" i="2513"/>
  <c r="K9" i="2513"/>
  <c r="H9" i="2513"/>
  <c r="I9" i="2513"/>
  <c r="M7" i="2513"/>
  <c r="L7" i="2513"/>
  <c r="K7" i="2513"/>
  <c r="H7" i="2513"/>
  <c r="I7" i="2513"/>
  <c r="M3" i="2513"/>
  <c r="K5" i="2513"/>
  <c r="L5" i="2513" s="1"/>
  <c r="M5" i="2513" s="1"/>
  <c r="I5" i="2513"/>
  <c r="H5" i="2513"/>
  <c r="K3" i="2513"/>
  <c r="L3" i="2513" s="1"/>
  <c r="I3" i="2513"/>
  <c r="H3" i="2513"/>
  <c r="K23" i="2512"/>
  <c r="L23" i="2512" s="1"/>
  <c r="M23" i="2512" s="1"/>
  <c r="I23" i="2512"/>
  <c r="H23" i="2512" s="1"/>
  <c r="I21" i="2512"/>
  <c r="H21" i="2512" s="1"/>
  <c r="K19" i="2512"/>
  <c r="L19" i="2512" s="1"/>
  <c r="M19" i="2512" s="1"/>
  <c r="I19" i="2512"/>
  <c r="H19" i="2512" s="1"/>
  <c r="K3" i="2512"/>
  <c r="L3" i="2512" s="1"/>
  <c r="M3" i="2512" s="1"/>
  <c r="I3" i="2512"/>
  <c r="H3" i="2512" s="1"/>
  <c r="L3" i="2491"/>
  <c r="M3" i="2491"/>
  <c r="N3" i="2491" s="1"/>
  <c r="K3" i="2491"/>
  <c r="H3" i="2491"/>
  <c r="I3" i="2491"/>
  <c r="K21" i="2512"/>
  <c r="L21" i="2512" s="1"/>
  <c r="M21" i="2512" s="1"/>
  <c r="K17" i="2512"/>
  <c r="L17" i="2512" s="1"/>
  <c r="M17" i="2512" s="1"/>
  <c r="I17" i="2512"/>
  <c r="H17" i="2512" s="1"/>
  <c r="K15" i="2512"/>
  <c r="L15" i="2512" s="1"/>
  <c r="M15" i="2512" s="1"/>
  <c r="I15" i="2512"/>
  <c r="H15" i="2512" s="1"/>
  <c r="K13" i="2512"/>
  <c r="L13" i="2512" s="1"/>
  <c r="M13" i="2512" s="1"/>
  <c r="I13" i="2512"/>
  <c r="H13" i="2512" s="1"/>
  <c r="K11" i="2512"/>
  <c r="L11" i="2512" s="1"/>
  <c r="M11" i="2512" s="1"/>
  <c r="I11" i="2512"/>
  <c r="H11" i="2512" s="1"/>
  <c r="K9" i="2512"/>
  <c r="L9" i="2512" s="1"/>
  <c r="M9" i="2512" s="1"/>
  <c r="I9" i="2512"/>
  <c r="H9" i="2512" s="1"/>
  <c r="K7" i="2512"/>
  <c r="L7" i="2512" s="1"/>
  <c r="M7" i="2512" s="1"/>
  <c r="I7" i="2512"/>
  <c r="H7" i="2512" s="1"/>
  <c r="K5" i="2512"/>
  <c r="L5" i="2512" s="1"/>
  <c r="M5" i="2512" s="1"/>
  <c r="I5" i="2512"/>
  <c r="H5" i="2512" s="1"/>
  <c r="K25" i="2511"/>
  <c r="L25" i="2511" s="1"/>
  <c r="M25" i="2511" s="1"/>
  <c r="I25" i="2511"/>
  <c r="H25" i="2511" s="1"/>
  <c r="K5" i="2511" l="1"/>
  <c r="L5" i="2511" s="1"/>
  <c r="M5" i="2511" s="1"/>
  <c r="I5" i="2511"/>
  <c r="H5" i="2511" s="1"/>
  <c r="K3" i="2511" l="1"/>
  <c r="L3" i="2511" s="1"/>
  <c r="M3" i="2511" s="1"/>
  <c r="I3" i="2511"/>
  <c r="H3" i="2511" s="1"/>
  <c r="K23" i="2511"/>
  <c r="L23" i="2511" s="1"/>
  <c r="M23" i="2511" s="1"/>
  <c r="I23" i="2511"/>
  <c r="H23" i="2511" s="1"/>
  <c r="K17" i="2511"/>
  <c r="L17" i="2511" s="1"/>
  <c r="M17" i="2511" s="1"/>
  <c r="I17" i="2511"/>
  <c r="H17" i="2511"/>
  <c r="K15" i="2511"/>
  <c r="L15" i="2511" s="1"/>
  <c r="M15" i="2511" s="1"/>
  <c r="I15" i="2511"/>
  <c r="H15" i="2511" s="1"/>
  <c r="K13" i="2511"/>
  <c r="L13" i="2511" s="1"/>
  <c r="M13" i="2511" s="1"/>
  <c r="I13" i="2511"/>
  <c r="H13" i="2511" s="1"/>
  <c r="K9" i="2511"/>
  <c r="L9" i="2511" s="1"/>
  <c r="M9" i="2511" s="1"/>
  <c r="I9" i="2511"/>
  <c r="H9" i="2511" s="1"/>
  <c r="K7" i="2511"/>
  <c r="L7" i="2511" s="1"/>
  <c r="M7" i="2511" s="1"/>
  <c r="I7" i="2511"/>
  <c r="H7" i="2511" s="1"/>
  <c r="K35" i="2510"/>
  <c r="L35" i="2510" s="1"/>
  <c r="I35" i="2510"/>
  <c r="H35" i="2510"/>
  <c r="K33" i="2510"/>
  <c r="L33" i="2510" s="1"/>
  <c r="I33" i="2510"/>
  <c r="H33" i="2510"/>
  <c r="L17" i="2510"/>
  <c r="M17" i="2510" s="1"/>
  <c r="H15" i="2510"/>
  <c r="P14" i="2510"/>
  <c r="P15" i="2510" s="1"/>
  <c r="K11" i="2510"/>
  <c r="L11" i="2510" s="1"/>
  <c r="I11" i="2510"/>
  <c r="H11" i="2510"/>
  <c r="L9" i="2510"/>
  <c r="K9" i="2510"/>
  <c r="I9" i="2510"/>
  <c r="H9" i="2510"/>
  <c r="K5" i="2510"/>
  <c r="L5" i="2510" s="1"/>
  <c r="I5" i="2510"/>
  <c r="H5" i="2510"/>
  <c r="K3" i="2510"/>
  <c r="L3" i="2510" s="1"/>
  <c r="I3" i="2510"/>
  <c r="H3" i="2510"/>
  <c r="K37" i="2509"/>
  <c r="L37" i="2509" s="1"/>
  <c r="I37" i="2509"/>
  <c r="H37" i="2509"/>
  <c r="K35" i="2509"/>
  <c r="L35" i="2509" s="1"/>
  <c r="M35" i="2509" s="1"/>
  <c r="I35" i="2509"/>
  <c r="H35" i="2509"/>
  <c r="K33" i="2509"/>
  <c r="L33" i="2509" s="1"/>
  <c r="M33" i="2509" s="1"/>
  <c r="I33" i="2509"/>
  <c r="H33" i="2509" s="1"/>
  <c r="K31" i="2509"/>
  <c r="L31" i="2509" s="1"/>
  <c r="M31" i="2509" s="1"/>
  <c r="I31" i="2509"/>
  <c r="H31" i="2509" s="1"/>
  <c r="K17" i="2509"/>
  <c r="L17" i="2509" s="1"/>
  <c r="I17" i="2509"/>
  <c r="H17" i="2509"/>
  <c r="K15" i="2509"/>
  <c r="L15" i="2509" s="1"/>
  <c r="I15" i="2509"/>
  <c r="H15" i="2509"/>
  <c r="K13" i="2509"/>
  <c r="L13" i="2509" s="1"/>
  <c r="I13" i="2509"/>
  <c r="H13" i="2509"/>
  <c r="K11" i="2509"/>
  <c r="L11" i="2509" s="1"/>
  <c r="I11" i="2509"/>
  <c r="H11" i="2509" s="1"/>
  <c r="K9" i="2509"/>
  <c r="L9" i="2509" s="1"/>
  <c r="I9" i="2509"/>
  <c r="H9" i="2509"/>
  <c r="K5" i="2509"/>
  <c r="L5" i="2509" s="1"/>
  <c r="M5" i="2509" s="1"/>
  <c r="I5" i="2509"/>
  <c r="H5" i="2509" s="1"/>
  <c r="K3" i="2509"/>
  <c r="L3" i="2509" s="1"/>
  <c r="M3" i="2509" s="1"/>
  <c r="I3" i="2509"/>
  <c r="H3" i="2509" s="1"/>
  <c r="N11" i="2508" l="1"/>
  <c r="H11" i="2481"/>
  <c r="N3" i="2508"/>
  <c r="N5" i="2508"/>
  <c r="N7" i="2508"/>
  <c r="N9" i="2508"/>
  <c r="N13" i="2508"/>
  <c r="N15" i="2508"/>
  <c r="N17" i="2508"/>
  <c r="N19" i="2508"/>
  <c r="N21" i="2508"/>
  <c r="N23" i="2508"/>
  <c r="N27" i="2508"/>
  <c r="N29" i="2508"/>
  <c r="L21" i="2508"/>
  <c r="M21" i="2508"/>
  <c r="K21" i="2508"/>
  <c r="H21" i="2508"/>
  <c r="I21" i="2508"/>
  <c r="L17" i="2508"/>
  <c r="M17" i="2508" s="1"/>
  <c r="H17" i="2508"/>
  <c r="K17" i="2508"/>
  <c r="I17" i="2508"/>
  <c r="K15" i="2508"/>
  <c r="L15" i="2508" s="1"/>
  <c r="M15" i="2508" s="1"/>
  <c r="I15" i="2508"/>
  <c r="H15" i="2508" s="1"/>
  <c r="K19" i="2508"/>
  <c r="L19" i="2508" s="1"/>
  <c r="M19" i="2508" s="1"/>
  <c r="I19" i="2508"/>
  <c r="H19" i="2508" s="1"/>
  <c r="K29" i="2508"/>
  <c r="L29" i="2508" s="1"/>
  <c r="M29" i="2508" s="1"/>
  <c r="I29" i="2508"/>
  <c r="H29" i="2508" s="1"/>
  <c r="K27" i="2508"/>
  <c r="L27" i="2508" s="1"/>
  <c r="M27" i="2508" s="1"/>
  <c r="I27" i="2508"/>
  <c r="H27" i="2508" s="1"/>
  <c r="K23" i="2508"/>
  <c r="L23" i="2508" s="1"/>
  <c r="M23" i="2508" s="1"/>
  <c r="I23" i="2508"/>
  <c r="H23" i="2508" s="1"/>
  <c r="K11" i="2508"/>
  <c r="L11" i="2508" s="1"/>
  <c r="M11" i="2508" s="1"/>
  <c r="I5" i="2508"/>
  <c r="H5" i="2508" s="1"/>
  <c r="K5" i="2508"/>
  <c r="L5" i="2508" s="1"/>
  <c r="M5" i="2508" s="1"/>
  <c r="K3" i="2508"/>
  <c r="L3" i="2508" s="1"/>
  <c r="M3" i="2508" s="1"/>
  <c r="I3" i="2508"/>
  <c r="H3" i="2508" s="1"/>
  <c r="K13" i="2508"/>
  <c r="L13" i="2508" s="1"/>
  <c r="M13" i="2508" s="1"/>
  <c r="I13" i="2508"/>
  <c r="H13" i="2508" s="1"/>
  <c r="I11" i="2508"/>
  <c r="H11" i="2508" s="1"/>
  <c r="K9" i="2508"/>
  <c r="L9" i="2508" s="1"/>
  <c r="M9" i="2508" s="1"/>
  <c r="I9" i="2508"/>
  <c r="H9" i="2508" s="1"/>
  <c r="K7" i="2508"/>
  <c r="L7" i="2508" s="1"/>
  <c r="M7" i="2508" s="1"/>
  <c r="I7" i="2508"/>
  <c r="H7" i="2508" s="1"/>
  <c r="H27" i="2507"/>
  <c r="I27" i="2507"/>
  <c r="K27" i="2507"/>
  <c r="L27" i="2507" s="1"/>
  <c r="M27" i="2507" s="1"/>
  <c r="K25" i="2507"/>
  <c r="L25" i="2507" s="1"/>
  <c r="M25" i="2507" s="1"/>
  <c r="I25" i="2507"/>
  <c r="H25" i="2507" s="1"/>
  <c r="K3" i="2507"/>
  <c r="L3" i="2507" s="1"/>
  <c r="M3" i="2507" s="1"/>
  <c r="K19" i="2507"/>
  <c r="L19" i="2507" s="1"/>
  <c r="M19" i="2507" s="1"/>
  <c r="I19" i="2507"/>
  <c r="H19" i="2507" s="1"/>
  <c r="K17" i="2507"/>
  <c r="L17" i="2507" s="1"/>
  <c r="M17" i="2507" s="1"/>
  <c r="I17" i="2507"/>
  <c r="H17" i="2507" s="1"/>
  <c r="K15" i="2507"/>
  <c r="L15" i="2507" s="1"/>
  <c r="M15" i="2507" s="1"/>
  <c r="K13" i="2507"/>
  <c r="L13" i="2507" s="1"/>
  <c r="M13" i="2507" s="1"/>
  <c r="I13" i="2507"/>
  <c r="H13" i="2507" s="1"/>
  <c r="I13" i="2490"/>
  <c r="I15" i="2507"/>
  <c r="H15" i="2507" s="1"/>
  <c r="K11" i="2507"/>
  <c r="L11" i="2507" s="1"/>
  <c r="M11" i="2507" s="1"/>
  <c r="K9" i="2507"/>
  <c r="L9" i="2507" s="1"/>
  <c r="M9" i="2507" s="1"/>
  <c r="I9" i="2507"/>
  <c r="H9" i="2507" s="1"/>
  <c r="K7" i="2507"/>
  <c r="L7" i="2507" s="1"/>
  <c r="M7" i="2507" s="1"/>
  <c r="I7" i="2507"/>
  <c r="H7" i="2507" s="1"/>
  <c r="K5" i="2507"/>
  <c r="L5" i="2507" s="1"/>
  <c r="M5" i="2507" s="1"/>
  <c r="I5" i="2507"/>
  <c r="H5" i="2507" s="1"/>
  <c r="K23" i="2507"/>
  <c r="L23" i="2507" s="1"/>
  <c r="M23" i="2507" s="1"/>
  <c r="I23" i="2507"/>
  <c r="H23" i="2507" s="1"/>
  <c r="I11" i="2507"/>
  <c r="H11" i="2507" s="1"/>
  <c r="I3" i="2507"/>
  <c r="H3" i="2507" s="1"/>
  <c r="H3" i="2506"/>
  <c r="M3" i="2506"/>
  <c r="L3" i="2506"/>
  <c r="K3" i="2506"/>
  <c r="I3" i="2506"/>
  <c r="M5" i="2506"/>
  <c r="L5" i="2506"/>
  <c r="K5" i="2506"/>
  <c r="H5" i="2506"/>
  <c r="I5" i="2506"/>
  <c r="K35" i="2506"/>
  <c r="L35" i="2506" s="1"/>
  <c r="M35" i="2506" s="1"/>
  <c r="I35" i="2506"/>
  <c r="H35" i="2506" s="1"/>
  <c r="K33" i="2506"/>
  <c r="L33" i="2506" s="1"/>
  <c r="M33" i="2506" s="1"/>
  <c r="I33" i="2506"/>
  <c r="H33" i="2506" s="1"/>
  <c r="K31" i="2506"/>
  <c r="L31" i="2506" s="1"/>
  <c r="M31" i="2506" s="1"/>
  <c r="I31" i="2506"/>
  <c r="H31" i="2506" s="1"/>
  <c r="K15" i="2506"/>
  <c r="L15" i="2506" s="1"/>
  <c r="M15" i="2506" s="1"/>
  <c r="I15" i="2506"/>
  <c r="H15" i="2506" s="1"/>
  <c r="K11" i="2506"/>
  <c r="L11" i="2506" s="1"/>
  <c r="M11" i="2506" s="1"/>
  <c r="I11" i="2506"/>
  <c r="H11" i="2506"/>
  <c r="K9" i="2506"/>
  <c r="L9" i="2506" s="1"/>
  <c r="M9" i="2506" s="1"/>
  <c r="I9" i="2506"/>
  <c r="H9" i="2506" s="1"/>
  <c r="K7" i="2506"/>
  <c r="L7" i="2506" s="1"/>
  <c r="M7" i="2506" s="1"/>
  <c r="I7" i="2506"/>
  <c r="H7" i="2506" s="1"/>
  <c r="K13" i="2506"/>
  <c r="L13" i="2506" s="1"/>
  <c r="M13" i="2506" s="1"/>
  <c r="I13" i="2506"/>
  <c r="H13" i="2506" s="1"/>
  <c r="K31" i="2505" l="1"/>
  <c r="L31" i="2505" s="1"/>
  <c r="M31" i="2505" s="1"/>
  <c r="I31" i="2505"/>
  <c r="H31" i="2505" s="1"/>
  <c r="K29" i="2505"/>
  <c r="L29" i="2505" s="1"/>
  <c r="M29" i="2505" s="1"/>
  <c r="I29" i="2505"/>
  <c r="H29" i="2505" s="1"/>
  <c r="K27" i="2505"/>
  <c r="L27" i="2505" s="1"/>
  <c r="M27" i="2505" s="1"/>
  <c r="I27" i="2505"/>
  <c r="H27" i="2505" s="1"/>
  <c r="H23" i="2505"/>
  <c r="I23" i="2505"/>
  <c r="K23" i="2505"/>
  <c r="L23" i="2505" s="1"/>
  <c r="M23" i="2505" s="1"/>
  <c r="K21" i="2505"/>
  <c r="L21" i="2505" s="1"/>
  <c r="M21" i="2505" s="1"/>
  <c r="I21" i="2505"/>
  <c r="H21" i="2505" s="1"/>
  <c r="K11" i="2505"/>
  <c r="L11" i="2505" s="1"/>
  <c r="M11" i="2505" s="1"/>
  <c r="I11" i="2505"/>
  <c r="H11" i="2505" s="1"/>
  <c r="K9" i="2505"/>
  <c r="L9" i="2505" s="1"/>
  <c r="M9" i="2505" s="1"/>
  <c r="I9" i="2505"/>
  <c r="H9" i="2505" s="1"/>
  <c r="I5" i="2505"/>
  <c r="H5" i="2505" s="1"/>
  <c r="K5" i="2505"/>
  <c r="L5" i="2505" s="1"/>
  <c r="M5" i="2505" s="1"/>
  <c r="K25" i="2505"/>
  <c r="L25" i="2505" s="1"/>
  <c r="M25" i="2505" s="1"/>
  <c r="I25" i="2505"/>
  <c r="H25" i="2505"/>
  <c r="K17" i="2505"/>
  <c r="L17" i="2505" s="1"/>
  <c r="M17" i="2505" s="1"/>
  <c r="I17" i="2505"/>
  <c r="H17" i="2505" s="1"/>
  <c r="K15" i="2505"/>
  <c r="L15" i="2505" s="1"/>
  <c r="M15" i="2505" s="1"/>
  <c r="I15" i="2505"/>
  <c r="H15" i="2505"/>
  <c r="K7" i="2505"/>
  <c r="L7" i="2505" s="1"/>
  <c r="M7" i="2505" s="1"/>
  <c r="I7" i="2505"/>
  <c r="H7" i="2505" s="1"/>
  <c r="K3" i="2505"/>
  <c r="L3" i="2505" s="1"/>
  <c r="M3" i="2505" s="1"/>
  <c r="I3" i="2505"/>
  <c r="H3" i="2505"/>
  <c r="K45" i="2504"/>
  <c r="L45" i="2504" s="1"/>
  <c r="M45" i="2504" s="1"/>
  <c r="N45" i="2504" s="1"/>
  <c r="I45" i="2504"/>
  <c r="H45" i="2504" s="1"/>
  <c r="N39" i="2504"/>
  <c r="M39" i="2504"/>
  <c r="L39" i="2504"/>
  <c r="K39" i="2504"/>
  <c r="I39" i="2504"/>
  <c r="H39" i="2504" s="1"/>
  <c r="H37" i="2504"/>
  <c r="I37" i="2504"/>
  <c r="N37" i="2504"/>
  <c r="M37" i="2504"/>
  <c r="L37" i="2504"/>
  <c r="K37" i="2504"/>
  <c r="N21" i="2504"/>
  <c r="M21" i="2504"/>
  <c r="L21" i="2504"/>
  <c r="K21" i="2504"/>
  <c r="H21" i="2504"/>
  <c r="I21" i="2504"/>
  <c r="K19" i="2504"/>
  <c r="L19" i="2504" s="1"/>
  <c r="M19" i="2504" s="1"/>
  <c r="N19" i="2504" s="1"/>
  <c r="I19" i="2504"/>
  <c r="H19" i="2504"/>
  <c r="K17" i="2504"/>
  <c r="L17" i="2504" s="1"/>
  <c r="M17" i="2504" s="1"/>
  <c r="N17" i="2504" s="1"/>
  <c r="I17" i="2504"/>
  <c r="H17" i="2504"/>
  <c r="N15" i="2504"/>
  <c r="M15" i="2504"/>
  <c r="L15" i="2504"/>
  <c r="K15" i="2504"/>
  <c r="H15" i="2504"/>
  <c r="I15" i="2504"/>
  <c r="L43" i="2504" l="1"/>
  <c r="M43" i="2504" s="1"/>
  <c r="N43" i="2504" s="1"/>
  <c r="K43" i="2504"/>
  <c r="I43" i="2504"/>
  <c r="H43" i="2504"/>
  <c r="K41" i="2504"/>
  <c r="L41" i="2504" s="1"/>
  <c r="M41" i="2504" s="1"/>
  <c r="N41" i="2504" s="1"/>
  <c r="I41" i="2504"/>
  <c r="H41" i="2504" s="1"/>
  <c r="L27" i="2504"/>
  <c r="M27" i="2504" s="1"/>
  <c r="N27" i="2504" s="1"/>
  <c r="K27" i="2504"/>
  <c r="I27" i="2504"/>
  <c r="H27" i="2504" s="1"/>
  <c r="K25" i="2504"/>
  <c r="L25" i="2504" s="1"/>
  <c r="M25" i="2504" s="1"/>
  <c r="N25" i="2504" s="1"/>
  <c r="I25" i="2504"/>
  <c r="H25" i="2504" s="1"/>
  <c r="K23" i="2504"/>
  <c r="L23" i="2504" s="1"/>
  <c r="M23" i="2504" s="1"/>
  <c r="N23" i="2504" s="1"/>
  <c r="I23" i="2504"/>
  <c r="H23" i="2504" s="1"/>
  <c r="K13" i="2504"/>
  <c r="L13" i="2504" s="1"/>
  <c r="M13" i="2504" s="1"/>
  <c r="N13" i="2504" s="1"/>
  <c r="I13" i="2504"/>
  <c r="H13" i="2504" s="1"/>
  <c r="K11" i="2504"/>
  <c r="L11" i="2504" s="1"/>
  <c r="M11" i="2504" s="1"/>
  <c r="N11" i="2504" s="1"/>
  <c r="I11" i="2504"/>
  <c r="H11" i="2504" s="1"/>
  <c r="K3" i="2504"/>
  <c r="L3" i="2504" s="1"/>
  <c r="M3" i="2504" s="1"/>
  <c r="N3" i="2504" s="1"/>
  <c r="I3" i="2504"/>
  <c r="H3" i="2504"/>
  <c r="K37" i="2503"/>
  <c r="L37" i="2503" s="1"/>
  <c r="M37" i="2503" s="1"/>
  <c r="I37" i="2503"/>
  <c r="H37" i="2503" s="1"/>
  <c r="K35" i="2503"/>
  <c r="L35" i="2503" s="1"/>
  <c r="M35" i="2503" s="1"/>
  <c r="I35" i="2503"/>
  <c r="H35" i="2503" s="1"/>
  <c r="K31" i="2503"/>
  <c r="L31" i="2503" s="1"/>
  <c r="M31" i="2503" s="1"/>
  <c r="I31" i="2503"/>
  <c r="H31" i="2503" s="1"/>
  <c r="K33" i="2503"/>
  <c r="L33" i="2503" s="1"/>
  <c r="M33" i="2503" s="1"/>
  <c r="I33" i="2503"/>
  <c r="H33" i="2503" s="1"/>
  <c r="K13" i="2503"/>
  <c r="L13" i="2503" s="1"/>
  <c r="M13" i="2503" s="1"/>
  <c r="I13" i="2503"/>
  <c r="K29" i="2503"/>
  <c r="L29" i="2503" s="1"/>
  <c r="M29" i="2503" s="1"/>
  <c r="I29" i="2503"/>
  <c r="H29" i="2503" s="1"/>
  <c r="K27" i="2503"/>
  <c r="L27" i="2503" s="1"/>
  <c r="M27" i="2503" s="1"/>
  <c r="I27" i="2503"/>
  <c r="H27" i="2503" s="1"/>
  <c r="L11" i="2503" l="1"/>
  <c r="M11" i="2503" s="1"/>
  <c r="I11" i="2503"/>
  <c r="H11" i="2503" s="1"/>
  <c r="K25" i="2503"/>
  <c r="L25" i="2503" s="1"/>
  <c r="M25" i="2503" s="1"/>
  <c r="I25" i="2503"/>
  <c r="H25" i="2503" s="1"/>
  <c r="K21" i="2503"/>
  <c r="L21" i="2503" s="1"/>
  <c r="M21" i="2503" s="1"/>
  <c r="I21" i="2503"/>
  <c r="H21" i="2503" s="1"/>
  <c r="K9" i="2503" l="1"/>
  <c r="L9" i="2503" s="1"/>
  <c r="M9" i="2503" s="1"/>
  <c r="I9" i="2503"/>
  <c r="H9" i="2503" s="1"/>
  <c r="K5" i="2503"/>
  <c r="L5" i="2503" s="1"/>
  <c r="M5" i="2503" s="1"/>
  <c r="I5" i="2503"/>
  <c r="H5" i="2503" s="1"/>
  <c r="K3" i="2503"/>
  <c r="L3" i="2503" s="1"/>
  <c r="M3" i="2503" s="1"/>
  <c r="I3" i="2503"/>
  <c r="H3" i="2503" s="1"/>
  <c r="K19" i="2503"/>
  <c r="L19" i="2503" s="1"/>
  <c r="M19" i="2503" s="1"/>
  <c r="I19" i="2503"/>
  <c r="H19" i="2503" s="1"/>
  <c r="K17" i="2503"/>
  <c r="L17" i="2503" s="1"/>
  <c r="M17" i="2503" s="1"/>
  <c r="I17" i="2503"/>
  <c r="H17" i="2503"/>
  <c r="K15" i="2503"/>
  <c r="L15" i="2503" s="1"/>
  <c r="M15" i="2503" s="1"/>
  <c r="I15" i="2503"/>
  <c r="H15" i="2503" s="1"/>
  <c r="H13" i="2503"/>
  <c r="K7" i="2503"/>
  <c r="L7" i="2503" s="1"/>
  <c r="M7" i="2503" s="1"/>
  <c r="I7" i="2503"/>
  <c r="H7" i="2503" s="1"/>
  <c r="K19" i="2502"/>
  <c r="L19" i="2502" s="1"/>
  <c r="M19" i="2502" s="1"/>
  <c r="I19" i="2502"/>
  <c r="H19" i="2502" s="1"/>
  <c r="K31" i="2502"/>
  <c r="L31" i="2502" s="1"/>
  <c r="M31" i="2502" s="1"/>
  <c r="I31" i="2502"/>
  <c r="H31" i="2502" s="1"/>
  <c r="I35" i="2502"/>
  <c r="H35" i="2502" s="1"/>
  <c r="K35" i="2502"/>
  <c r="L35" i="2502"/>
  <c r="M35" i="2502" s="1"/>
  <c r="K37" i="2502"/>
  <c r="L37" i="2502" s="1"/>
  <c r="M37" i="2502" s="1"/>
  <c r="I37" i="2502"/>
  <c r="H37" i="2502" s="1"/>
  <c r="K29" i="2502"/>
  <c r="L29" i="2502" s="1"/>
  <c r="M29" i="2502" s="1"/>
  <c r="I29" i="2502"/>
  <c r="H29" i="2502" s="1"/>
  <c r="K27" i="2502"/>
  <c r="L27" i="2502" s="1"/>
  <c r="M27" i="2502" s="1"/>
  <c r="I27" i="2502"/>
  <c r="H27" i="2502" s="1"/>
  <c r="K25" i="2502"/>
  <c r="L25" i="2502" s="1"/>
  <c r="M25" i="2502" s="1"/>
  <c r="I25" i="2502"/>
  <c r="H25" i="2502" s="1"/>
  <c r="K23" i="2502"/>
  <c r="L23" i="2502" s="1"/>
  <c r="M23" i="2502" s="1"/>
  <c r="I23" i="2502"/>
  <c r="H23" i="2502" s="1"/>
  <c r="K21" i="2502"/>
  <c r="L21" i="2502" s="1"/>
  <c r="M21" i="2502" s="1"/>
  <c r="I21" i="2502"/>
  <c r="H21" i="2502" s="1"/>
  <c r="K9" i="2502"/>
  <c r="L9" i="2502" s="1"/>
  <c r="M9" i="2502" s="1"/>
  <c r="I9" i="2502"/>
  <c r="H9" i="2502" s="1"/>
  <c r="K5" i="2502"/>
  <c r="L5" i="2502" s="1"/>
  <c r="M5" i="2502" s="1"/>
  <c r="I5" i="2502"/>
  <c r="H5" i="2502" s="1"/>
  <c r="K3" i="2502"/>
  <c r="L3" i="2502" s="1"/>
  <c r="M3" i="2502" s="1"/>
  <c r="I3" i="2502"/>
  <c r="H3" i="2502" s="1"/>
  <c r="K17" i="2502"/>
  <c r="L17" i="2502" s="1"/>
  <c r="M17" i="2502" s="1"/>
  <c r="I17" i="2502"/>
  <c r="H17" i="2502" s="1"/>
  <c r="K15" i="2502"/>
  <c r="L15" i="2502" s="1"/>
  <c r="M15" i="2502" s="1"/>
  <c r="I15" i="2502"/>
  <c r="H15" i="2502" s="1"/>
  <c r="K13" i="2502"/>
  <c r="L13" i="2502" s="1"/>
  <c r="M13" i="2502" s="1"/>
  <c r="I13" i="2502"/>
  <c r="H13" i="2502" s="1"/>
  <c r="K11" i="2502"/>
  <c r="L11" i="2502" s="1"/>
  <c r="M11" i="2502" s="1"/>
  <c r="I11" i="2502"/>
  <c r="H11" i="2502" s="1"/>
  <c r="K7" i="2502"/>
  <c r="L7" i="2502" s="1"/>
  <c r="M7" i="2502" s="1"/>
  <c r="I7" i="2502"/>
  <c r="H7" i="2502" s="1"/>
  <c r="K43" i="2501"/>
  <c r="L43" i="2501" s="1"/>
  <c r="M43" i="2501" s="1"/>
  <c r="I43" i="2501"/>
  <c r="H43" i="2501" s="1"/>
  <c r="K41" i="2501"/>
  <c r="L41" i="2501" s="1"/>
  <c r="M41" i="2501" s="1"/>
  <c r="I41" i="2501"/>
  <c r="H41" i="2501" s="1"/>
  <c r="K39" i="2501"/>
  <c r="L39" i="2501" s="1"/>
  <c r="M39" i="2501" s="1"/>
  <c r="I39" i="2501"/>
  <c r="H39" i="2501"/>
  <c r="K37" i="2501"/>
  <c r="L37" i="2501" s="1"/>
  <c r="M37" i="2501" s="1"/>
  <c r="I37" i="2501"/>
  <c r="H37" i="2501" s="1"/>
  <c r="K23" i="2501"/>
  <c r="L23" i="2501" s="1"/>
  <c r="M23" i="2501" s="1"/>
  <c r="I23" i="2501"/>
  <c r="H23" i="2501" s="1"/>
  <c r="K35" i="2501"/>
  <c r="L35" i="2501" s="1"/>
  <c r="M35" i="2501" s="1"/>
  <c r="I35" i="2501"/>
  <c r="H35" i="2501" s="1"/>
  <c r="K33" i="2501"/>
  <c r="L33" i="2501" s="1"/>
  <c r="M33" i="2501" s="1"/>
  <c r="I33" i="2501"/>
  <c r="H33" i="2501" s="1"/>
  <c r="K31" i="2501"/>
  <c r="L31" i="2501" s="1"/>
  <c r="M31" i="2501" s="1"/>
  <c r="I31" i="2501"/>
  <c r="H31" i="2501"/>
  <c r="K29" i="2501"/>
  <c r="L29" i="2501" s="1"/>
  <c r="M29" i="2501" s="1"/>
  <c r="I29" i="2501"/>
  <c r="H29" i="2501"/>
  <c r="K27" i="2501"/>
  <c r="L27" i="2501" s="1"/>
  <c r="M27" i="2501" s="1"/>
  <c r="I27" i="2501"/>
  <c r="H27" i="2501" s="1"/>
  <c r="K25" i="2501"/>
  <c r="L25" i="2501" s="1"/>
  <c r="M25" i="2501" s="1"/>
  <c r="I25" i="2501"/>
  <c r="H25" i="2501" s="1"/>
  <c r="K21" i="2501"/>
  <c r="L21" i="2501" s="1"/>
  <c r="M21" i="2501" s="1"/>
  <c r="I21" i="2501"/>
  <c r="H21" i="2501" s="1"/>
  <c r="K15" i="2501"/>
  <c r="L15" i="2501" s="1"/>
  <c r="M15" i="2501" s="1"/>
  <c r="I15" i="2501"/>
  <c r="H15" i="2501" s="1"/>
  <c r="K13" i="2501"/>
  <c r="L13" i="2501" s="1"/>
  <c r="M13" i="2501" s="1"/>
  <c r="I13" i="2501"/>
  <c r="H13" i="2501" s="1"/>
  <c r="K11" i="2501"/>
  <c r="L11" i="2501" s="1"/>
  <c r="M11" i="2501" s="1"/>
  <c r="I11" i="2501"/>
  <c r="H11" i="2501" s="1"/>
  <c r="K9" i="2501"/>
  <c r="L9" i="2501" s="1"/>
  <c r="M9" i="2501" s="1"/>
  <c r="I9" i="2501"/>
  <c r="H9" i="2501"/>
  <c r="K3" i="2501"/>
  <c r="L3" i="2501" s="1"/>
  <c r="M3" i="2501" s="1"/>
  <c r="I3" i="2501"/>
  <c r="H3" i="2501"/>
  <c r="K27" i="2500"/>
  <c r="L27" i="2500" s="1"/>
  <c r="M27" i="2500" s="1"/>
  <c r="I27" i="2500"/>
  <c r="H27" i="2500" s="1"/>
  <c r="M25" i="2500"/>
  <c r="L25" i="2500"/>
  <c r="K25" i="2500"/>
  <c r="H25" i="2500"/>
  <c r="I25" i="2500"/>
  <c r="I35" i="2500"/>
  <c r="H35" i="2500" s="1"/>
  <c r="K35" i="2500"/>
  <c r="L35" i="2500" s="1"/>
  <c r="M35" i="2500" s="1"/>
  <c r="K33" i="2500"/>
  <c r="L33" i="2500" s="1"/>
  <c r="M33" i="2500" s="1"/>
  <c r="I33" i="2500"/>
  <c r="H33" i="2500" s="1"/>
  <c r="K31" i="2500"/>
  <c r="L31" i="2500" s="1"/>
  <c r="M31" i="2500" s="1"/>
  <c r="I31" i="2500"/>
  <c r="H31" i="2500" s="1"/>
  <c r="K37" i="2500"/>
  <c r="L37" i="2500" s="1"/>
  <c r="M37" i="2500" s="1"/>
  <c r="I37" i="2500"/>
  <c r="H37" i="2500" s="1"/>
  <c r="K29" i="2500"/>
  <c r="L29" i="2500" s="1"/>
  <c r="M29" i="2500" s="1"/>
  <c r="I29" i="2500"/>
  <c r="H29" i="2500" s="1"/>
  <c r="K21" i="2500"/>
  <c r="L21" i="2500" s="1"/>
  <c r="M21" i="2500" s="1"/>
  <c r="I21" i="2500"/>
  <c r="H21" i="2500" s="1"/>
  <c r="K19" i="2500"/>
  <c r="L19" i="2500" s="1"/>
  <c r="M19" i="2500" s="1"/>
  <c r="I19" i="2500"/>
  <c r="H19" i="2500"/>
  <c r="K17" i="2500"/>
  <c r="L17" i="2500" s="1"/>
  <c r="M17" i="2500" s="1"/>
  <c r="I17" i="2500"/>
  <c r="H17" i="2500" s="1"/>
  <c r="K15" i="2500"/>
  <c r="L15" i="2500" s="1"/>
  <c r="M15" i="2500" s="1"/>
  <c r="I15" i="2500"/>
  <c r="H15" i="2500" s="1"/>
  <c r="K13" i="2500"/>
  <c r="L13" i="2500" s="1"/>
  <c r="M13" i="2500" s="1"/>
  <c r="I13" i="2500"/>
  <c r="H13" i="2500" s="1"/>
  <c r="K11" i="2500"/>
  <c r="L11" i="2500" s="1"/>
  <c r="M11" i="2500" s="1"/>
  <c r="I11" i="2500"/>
  <c r="H11" i="2500" s="1"/>
  <c r="K7" i="2500"/>
  <c r="L7" i="2500" s="1"/>
  <c r="M7" i="2500" s="1"/>
  <c r="I7" i="2500"/>
  <c r="H7" i="2500"/>
  <c r="K5" i="2500"/>
  <c r="L5" i="2500" s="1"/>
  <c r="M5" i="2500" s="1"/>
  <c r="I5" i="2500"/>
  <c r="H5" i="2500" s="1"/>
  <c r="K3" i="2500"/>
  <c r="L3" i="2500" s="1"/>
  <c r="M3" i="2500" s="1"/>
  <c r="I3" i="2500"/>
  <c r="H3" i="2500" s="1"/>
  <c r="L39" i="2499"/>
  <c r="K39" i="2499"/>
  <c r="I39" i="2499"/>
  <c r="H39" i="2499" s="1"/>
  <c r="K37" i="2499"/>
  <c r="L37" i="2499" s="1"/>
  <c r="I37" i="2499"/>
  <c r="H37" i="2499"/>
  <c r="L35" i="2499"/>
  <c r="K35" i="2499"/>
  <c r="I35" i="2499"/>
  <c r="H35" i="2499"/>
  <c r="K33" i="2499"/>
  <c r="L33" i="2499" s="1"/>
  <c r="I33" i="2499"/>
  <c r="H33" i="2499" s="1"/>
  <c r="L29" i="2499"/>
  <c r="K29" i="2499"/>
  <c r="H29" i="2499"/>
  <c r="I29" i="2499"/>
  <c r="L27" i="2499"/>
  <c r="K27" i="2499"/>
  <c r="H27" i="2499"/>
  <c r="I27" i="2499"/>
  <c r="K31" i="2499"/>
  <c r="L31" i="2499" s="1"/>
  <c r="I31" i="2499"/>
  <c r="H31" i="2499" s="1"/>
  <c r="K25" i="2499"/>
  <c r="L25" i="2499" s="1"/>
  <c r="I25" i="2499"/>
  <c r="H25" i="2499" s="1"/>
  <c r="K11" i="2499"/>
  <c r="L11" i="2499" s="1"/>
  <c r="I11" i="2499"/>
  <c r="H11" i="2499" s="1"/>
  <c r="K9" i="2499"/>
  <c r="L9" i="2499" s="1"/>
  <c r="I9" i="2499"/>
  <c r="H9" i="2499" s="1"/>
  <c r="K5" i="2499"/>
  <c r="L5" i="2499" s="1"/>
  <c r="K19" i="2499"/>
  <c r="L19" i="2499" s="1"/>
  <c r="I19" i="2499"/>
  <c r="H19" i="2499" s="1"/>
  <c r="K17" i="2499"/>
  <c r="L17" i="2499" s="1"/>
  <c r="I17" i="2499"/>
  <c r="H17" i="2499" s="1"/>
  <c r="K15" i="2499"/>
  <c r="L15" i="2499" s="1"/>
  <c r="I15" i="2499"/>
  <c r="H15" i="2499" s="1"/>
  <c r="K7" i="2499"/>
  <c r="L7" i="2499" s="1"/>
  <c r="I7" i="2499"/>
  <c r="H7" i="2499" s="1"/>
  <c r="I5" i="2499"/>
  <c r="H5" i="2499" s="1"/>
  <c r="K3" i="2499"/>
  <c r="L3" i="2499" s="1"/>
  <c r="I3" i="2499"/>
  <c r="H3" i="2499" s="1"/>
  <c r="K31" i="2498"/>
  <c r="L31" i="2498" s="1"/>
  <c r="M31" i="2498" s="1"/>
  <c r="I31" i="2498"/>
  <c r="H31" i="2498" s="1"/>
  <c r="K29" i="2498"/>
  <c r="L29" i="2498" s="1"/>
  <c r="M29" i="2498" s="1"/>
  <c r="I29" i="2498"/>
  <c r="H29" i="2498" s="1"/>
  <c r="K27" i="2498"/>
  <c r="L27" i="2498" s="1"/>
  <c r="M27" i="2498" s="1"/>
  <c r="I27" i="2498"/>
  <c r="H27" i="2498" s="1"/>
  <c r="L25" i="2498"/>
  <c r="M25" i="2498"/>
  <c r="K25" i="2498"/>
  <c r="I25" i="2498"/>
  <c r="H25" i="2498" s="1"/>
  <c r="K5" i="2498"/>
  <c r="L5" i="2498" s="1"/>
  <c r="M5" i="2498" s="1"/>
  <c r="I5" i="2498"/>
  <c r="H5" i="2498" s="1"/>
  <c r="K3" i="2498"/>
  <c r="L3" i="2498" s="1"/>
  <c r="M3" i="2498" s="1"/>
  <c r="I3" i="2498"/>
  <c r="H3" i="2498" s="1"/>
  <c r="K17" i="2498"/>
  <c r="L17" i="2498" s="1"/>
  <c r="M17" i="2498" s="1"/>
  <c r="I17" i="2498"/>
  <c r="H17" i="2498" s="1"/>
  <c r="K15" i="2498"/>
  <c r="L15" i="2498" s="1"/>
  <c r="M15" i="2498" s="1"/>
  <c r="I15" i="2498"/>
  <c r="H15" i="2498" s="1"/>
  <c r="K13" i="2498"/>
  <c r="L13" i="2498" s="1"/>
  <c r="M13" i="2498" s="1"/>
  <c r="I13" i="2498"/>
  <c r="H13" i="2498" s="1"/>
  <c r="K11" i="2498"/>
  <c r="L11" i="2498" s="1"/>
  <c r="M11" i="2498" s="1"/>
  <c r="I11" i="2498"/>
  <c r="H11" i="2498" s="1"/>
  <c r="K7" i="2498"/>
  <c r="L7" i="2498" s="1"/>
  <c r="M7" i="2498" s="1"/>
  <c r="I7" i="2498"/>
  <c r="H7" i="2498" s="1"/>
  <c r="K9" i="2497"/>
  <c r="L9" i="2497" s="1"/>
  <c r="M9" i="2497" s="1"/>
  <c r="I9" i="2497"/>
  <c r="H9" i="2497" s="1"/>
  <c r="K25" i="2497"/>
  <c r="L25" i="2497" s="1"/>
  <c r="M25" i="2497" s="1"/>
  <c r="I25" i="2497"/>
  <c r="H25" i="2497" s="1"/>
  <c r="K5" i="2497"/>
  <c r="L5" i="2497" s="1"/>
  <c r="M5" i="2497" s="1"/>
  <c r="I5" i="2497"/>
  <c r="H5" i="2497" s="1"/>
  <c r="K3" i="2497"/>
  <c r="L3" i="2497" s="1"/>
  <c r="M3" i="2497" s="1"/>
  <c r="I3" i="2497"/>
  <c r="H3" i="2497" s="1"/>
  <c r="K17" i="2497"/>
  <c r="L17" i="2497" s="1"/>
  <c r="M17" i="2497" s="1"/>
  <c r="I17" i="2497"/>
  <c r="H17" i="2497" s="1"/>
  <c r="K15" i="2497"/>
  <c r="L15" i="2497" s="1"/>
  <c r="M15" i="2497" s="1"/>
  <c r="I15" i="2497"/>
  <c r="H15" i="2497" s="1"/>
  <c r="K13" i="2497"/>
  <c r="L13" i="2497" s="1"/>
  <c r="M13" i="2497" s="1"/>
  <c r="I13" i="2497"/>
  <c r="H13" i="2497" s="1"/>
  <c r="K11" i="2497"/>
  <c r="L11" i="2497" s="1"/>
  <c r="M11" i="2497" s="1"/>
  <c r="I11" i="2497"/>
  <c r="H11" i="2497" s="1"/>
  <c r="K7" i="2497"/>
  <c r="L7" i="2497" s="1"/>
  <c r="M7" i="2497" s="1"/>
  <c r="I7" i="2497"/>
  <c r="H7" i="2497" s="1"/>
  <c r="K13" i="2496"/>
  <c r="L13" i="2496" s="1"/>
  <c r="M13" i="2496" s="1"/>
  <c r="I13" i="2496"/>
  <c r="H13" i="2496" s="1"/>
  <c r="K7" i="2496"/>
  <c r="L7" i="2496" s="1"/>
  <c r="M7" i="2496" s="1"/>
  <c r="I7" i="2496"/>
  <c r="H7" i="2496" s="1"/>
  <c r="O7" i="2496" s="1"/>
  <c r="O8" i="2496" s="1"/>
  <c r="K11" i="2496"/>
  <c r="L11" i="2496" s="1"/>
  <c r="M11" i="2496" s="1"/>
  <c r="I11" i="2496"/>
  <c r="H11" i="2496" s="1"/>
  <c r="K9" i="2496"/>
  <c r="L9" i="2496" s="1"/>
  <c r="M9" i="2496" s="1"/>
  <c r="I9" i="2496"/>
  <c r="H9" i="2496" s="1"/>
  <c r="K29" i="2496"/>
  <c r="L29" i="2496" s="1"/>
  <c r="M29" i="2496" s="1"/>
  <c r="I29" i="2496"/>
  <c r="H29" i="2496" s="1"/>
  <c r="K25" i="2496"/>
  <c r="L25" i="2496" s="1"/>
  <c r="M25" i="2496" s="1"/>
  <c r="I25" i="2496"/>
  <c r="H25" i="2496" s="1"/>
  <c r="K23" i="2496"/>
  <c r="L23" i="2496" s="1"/>
  <c r="M23" i="2496" s="1"/>
  <c r="I23" i="2496"/>
  <c r="H23" i="2496" s="1"/>
  <c r="K15" i="2496"/>
  <c r="L15" i="2496" s="1"/>
  <c r="M15" i="2496" s="1"/>
  <c r="I15" i="2496"/>
  <c r="H15" i="2496" s="1"/>
  <c r="K5" i="2496"/>
  <c r="L5" i="2496" s="1"/>
  <c r="M5" i="2496" s="1"/>
  <c r="I5" i="2496"/>
  <c r="H5" i="2496" s="1"/>
  <c r="M33" i="2496"/>
  <c r="M31" i="2496"/>
  <c r="K27" i="2496"/>
  <c r="L27" i="2496" s="1"/>
  <c r="M27" i="2496" s="1"/>
  <c r="I27" i="2496"/>
  <c r="H27" i="2496" s="1"/>
  <c r="K21" i="2496"/>
  <c r="L21" i="2496" s="1"/>
  <c r="M21" i="2496" s="1"/>
  <c r="I21" i="2496"/>
  <c r="H21" i="2496" s="1"/>
  <c r="K19" i="2496"/>
  <c r="L19" i="2496" s="1"/>
  <c r="M19" i="2496" s="1"/>
  <c r="I19" i="2496"/>
  <c r="H19" i="2496" s="1"/>
  <c r="K17" i="2496"/>
  <c r="L17" i="2496" s="1"/>
  <c r="M17" i="2496" s="1"/>
  <c r="I17" i="2496"/>
  <c r="H17" i="2496" s="1"/>
  <c r="K3" i="2496"/>
  <c r="L3" i="2496" s="1"/>
  <c r="M3" i="2496" s="1"/>
  <c r="I3" i="2496"/>
  <c r="H3" i="2496" s="1"/>
  <c r="N3" i="2475"/>
  <c r="N5" i="2475"/>
  <c r="N7" i="2475"/>
  <c r="N9" i="2475"/>
  <c r="N11" i="2475"/>
  <c r="N13" i="2475"/>
  <c r="N15" i="2475"/>
  <c r="N17" i="2475"/>
  <c r="N19" i="2475"/>
  <c r="N23" i="2475"/>
  <c r="N25" i="2475"/>
  <c r="N27" i="2475"/>
  <c r="K25" i="2495"/>
  <c r="L25" i="2495" s="1"/>
  <c r="I25" i="2495"/>
  <c r="H25" i="2495" s="1"/>
  <c r="K23" i="2495"/>
  <c r="L23" i="2495" s="1"/>
  <c r="I23" i="2495"/>
  <c r="H23" i="2495" s="1"/>
  <c r="K21" i="2495"/>
  <c r="L21" i="2495" s="1"/>
  <c r="I21" i="2495"/>
  <c r="H21" i="2495"/>
  <c r="K19" i="2495"/>
  <c r="L19" i="2495" s="1"/>
  <c r="I19" i="2495"/>
  <c r="H19" i="2495"/>
  <c r="L17" i="2495"/>
  <c r="K17" i="2495"/>
  <c r="I17" i="2495"/>
  <c r="H17" i="2495"/>
  <c r="K15" i="2495"/>
  <c r="L15" i="2495" s="1"/>
  <c r="I15" i="2495"/>
  <c r="H15" i="2495"/>
  <c r="K13" i="2495"/>
  <c r="L13" i="2495" s="1"/>
  <c r="I13" i="2495"/>
  <c r="H13" i="2495"/>
  <c r="K11" i="2495"/>
  <c r="L11" i="2495" s="1"/>
  <c r="I11" i="2495"/>
  <c r="H11" i="2495"/>
  <c r="L9" i="2495"/>
  <c r="K9" i="2495"/>
  <c r="I9" i="2495"/>
  <c r="H9" i="2495"/>
  <c r="K7" i="2495"/>
  <c r="L7" i="2495" s="1"/>
  <c r="I7" i="2495"/>
  <c r="H7" i="2495"/>
  <c r="K5" i="2495"/>
  <c r="L5" i="2495" s="1"/>
  <c r="I5" i="2495"/>
  <c r="H5" i="2495"/>
  <c r="K3" i="2495"/>
  <c r="L3" i="2495" s="1"/>
  <c r="I3" i="2495"/>
  <c r="H3" i="2495"/>
  <c r="L39" i="2494"/>
  <c r="M39" i="2494" s="1"/>
  <c r="K39" i="2494"/>
  <c r="I39" i="2494"/>
  <c r="H39" i="2494"/>
  <c r="K37" i="2494"/>
  <c r="L37" i="2494" s="1"/>
  <c r="M37" i="2494" s="1"/>
  <c r="I37" i="2494"/>
  <c r="H37" i="2494"/>
  <c r="K35" i="2494"/>
  <c r="L35" i="2494" s="1"/>
  <c r="M35" i="2494" s="1"/>
  <c r="I35" i="2494"/>
  <c r="H35" i="2494"/>
  <c r="K33" i="2494"/>
  <c r="L33" i="2494" s="1"/>
  <c r="M33" i="2494" s="1"/>
  <c r="I33" i="2494"/>
  <c r="H33" i="2494"/>
  <c r="K31" i="2494"/>
  <c r="L31" i="2494" s="1"/>
  <c r="M31" i="2494" s="1"/>
  <c r="I31" i="2494"/>
  <c r="H31" i="2494"/>
  <c r="K29" i="2494"/>
  <c r="L29" i="2494" s="1"/>
  <c r="M29" i="2494" s="1"/>
  <c r="I29" i="2494"/>
  <c r="H29" i="2494"/>
  <c r="L27" i="2494"/>
  <c r="M27" i="2494" s="1"/>
  <c r="K27" i="2494"/>
  <c r="I27" i="2494"/>
  <c r="H27" i="2494" s="1"/>
  <c r="K25" i="2494"/>
  <c r="L25" i="2494" s="1"/>
  <c r="M25" i="2494" s="1"/>
  <c r="I25" i="2494"/>
  <c r="H25" i="2494"/>
  <c r="K23" i="2494"/>
  <c r="L23" i="2494" s="1"/>
  <c r="M23" i="2494" s="1"/>
  <c r="I23" i="2494"/>
  <c r="H23" i="2494"/>
  <c r="K21" i="2494"/>
  <c r="L21" i="2494" s="1"/>
  <c r="M21" i="2494" s="1"/>
  <c r="I21" i="2494"/>
  <c r="H21" i="2494"/>
  <c r="K15" i="2494"/>
  <c r="L15" i="2494" s="1"/>
  <c r="M15" i="2494" s="1"/>
  <c r="I15" i="2494"/>
  <c r="H15" i="2494"/>
  <c r="K13" i="2494"/>
  <c r="L13" i="2494" s="1"/>
  <c r="M13" i="2494" s="1"/>
  <c r="I13" i="2494"/>
  <c r="H13" i="2494"/>
  <c r="K11" i="2494"/>
  <c r="L11" i="2494" s="1"/>
  <c r="M11" i="2494" s="1"/>
  <c r="I11" i="2494"/>
  <c r="H11" i="2494" s="1"/>
  <c r="K9" i="2494"/>
  <c r="L9" i="2494" s="1"/>
  <c r="M9" i="2494" s="1"/>
  <c r="I9" i="2494"/>
  <c r="H9" i="2494"/>
  <c r="K3" i="2494"/>
  <c r="L3" i="2494" s="1"/>
  <c r="M3" i="2494" s="1"/>
  <c r="I3" i="2494"/>
  <c r="H3" i="2494"/>
  <c r="L21" i="2493" l="1"/>
  <c r="K21" i="2493"/>
  <c r="H21" i="2493"/>
  <c r="I21" i="2493"/>
  <c r="K11" i="2493"/>
  <c r="L11" i="2493" s="1"/>
  <c r="I11" i="2493"/>
  <c r="H11" i="2493" s="1"/>
  <c r="K9" i="2493"/>
  <c r="L9" i="2493" s="1"/>
  <c r="I9" i="2493"/>
  <c r="H9" i="2493" s="1"/>
  <c r="K3" i="2493"/>
  <c r="L3" i="2493" s="1"/>
  <c r="I3" i="2493"/>
  <c r="H3" i="2493" s="1"/>
  <c r="K25" i="2493"/>
  <c r="L25" i="2493" s="1"/>
  <c r="I25" i="2493"/>
  <c r="H25" i="2493"/>
  <c r="K23" i="2493"/>
  <c r="L23" i="2493" s="1"/>
  <c r="I23" i="2493"/>
  <c r="H23" i="2493"/>
  <c r="K19" i="2493"/>
  <c r="L19" i="2493" s="1"/>
  <c r="I19" i="2493"/>
  <c r="H19" i="2493" s="1"/>
  <c r="K17" i="2493"/>
  <c r="L17" i="2493" s="1"/>
  <c r="I17" i="2493"/>
  <c r="H17" i="2493"/>
  <c r="K15" i="2493"/>
  <c r="L15" i="2493" s="1"/>
  <c r="I15" i="2493"/>
  <c r="H15" i="2493" s="1"/>
  <c r="K7" i="2493"/>
  <c r="L7" i="2493" s="1"/>
  <c r="I7" i="2493"/>
  <c r="H7" i="2493" s="1"/>
  <c r="K5" i="2493"/>
  <c r="L5" i="2493" s="1"/>
  <c r="I5" i="2493"/>
  <c r="H5" i="2493" s="1"/>
  <c r="K3" i="2492"/>
  <c r="L3" i="2492" s="1"/>
  <c r="M3" i="2492" s="1"/>
  <c r="K39" i="2492"/>
  <c r="L39" i="2492" s="1"/>
  <c r="M39" i="2492" s="1"/>
  <c r="I39" i="2492"/>
  <c r="H39" i="2492" s="1"/>
  <c r="I37" i="2492"/>
  <c r="H37" i="2492" s="1"/>
  <c r="K37" i="2492"/>
  <c r="L37" i="2492" s="1"/>
  <c r="M37" i="2492" s="1"/>
  <c r="K31" i="2492"/>
  <c r="L31" i="2492" s="1"/>
  <c r="M31" i="2492" s="1"/>
  <c r="I31" i="2492"/>
  <c r="H31" i="2492" s="1"/>
  <c r="K21" i="2492"/>
  <c r="L21" i="2492" s="1"/>
  <c r="M21" i="2492" s="1"/>
  <c r="I21" i="2492"/>
  <c r="H21" i="2492" s="1"/>
  <c r="K13" i="2492"/>
  <c r="L13" i="2492" s="1"/>
  <c r="M13" i="2492" s="1"/>
  <c r="I13" i="2492"/>
  <c r="H13" i="2492" s="1"/>
  <c r="K11" i="2492"/>
  <c r="L11" i="2492" s="1"/>
  <c r="M11" i="2492" s="1"/>
  <c r="I11" i="2492"/>
  <c r="H11" i="2492" s="1"/>
  <c r="K43" i="2492"/>
  <c r="L43" i="2492" s="1"/>
  <c r="M43" i="2492" s="1"/>
  <c r="I43" i="2492"/>
  <c r="H43" i="2492" s="1"/>
  <c r="K41" i="2492"/>
  <c r="L41" i="2492" s="1"/>
  <c r="M41" i="2492" s="1"/>
  <c r="I41" i="2492"/>
  <c r="H41" i="2492" s="1"/>
  <c r="K27" i="2492"/>
  <c r="L27" i="2492" s="1"/>
  <c r="M27" i="2492" s="1"/>
  <c r="I27" i="2492"/>
  <c r="H27" i="2492" s="1"/>
  <c r="K25" i="2492"/>
  <c r="L25" i="2492" s="1"/>
  <c r="M25" i="2492" s="1"/>
  <c r="I25" i="2492"/>
  <c r="H25" i="2492" s="1"/>
  <c r="K23" i="2492"/>
  <c r="L23" i="2492" s="1"/>
  <c r="M23" i="2492" s="1"/>
  <c r="I23" i="2492"/>
  <c r="H23" i="2492" s="1"/>
  <c r="K15" i="2492"/>
  <c r="L15" i="2492" s="1"/>
  <c r="M15" i="2492" s="1"/>
  <c r="I15" i="2492"/>
  <c r="H15" i="2492" s="1"/>
  <c r="K9" i="2492"/>
  <c r="L9" i="2492" s="1"/>
  <c r="M9" i="2492" s="1"/>
  <c r="I9" i="2492"/>
  <c r="H9" i="2492"/>
  <c r="I3" i="2492"/>
  <c r="H3" i="2492"/>
  <c r="N31" i="2491"/>
  <c r="K31" i="2491"/>
  <c r="L31" i="2491" s="1"/>
  <c r="M31" i="2491" s="1"/>
  <c r="K35" i="2491"/>
  <c r="L35" i="2491" s="1"/>
  <c r="M35" i="2491" s="1"/>
  <c r="N35" i="2491" s="1"/>
  <c r="I35" i="2491"/>
  <c r="H35" i="2491" s="1"/>
  <c r="K33" i="2491"/>
  <c r="L33" i="2491" s="1"/>
  <c r="M33" i="2491" s="1"/>
  <c r="N33" i="2491" s="1"/>
  <c r="I33" i="2491"/>
  <c r="H33" i="2491" s="1"/>
  <c r="K27" i="2491"/>
  <c r="L27" i="2491" s="1"/>
  <c r="M27" i="2491" s="1"/>
  <c r="N27" i="2491" s="1"/>
  <c r="I27" i="2491"/>
  <c r="H27" i="2491" s="1"/>
  <c r="K25" i="2491"/>
  <c r="L25" i="2491" s="1"/>
  <c r="M25" i="2491" s="1"/>
  <c r="N25" i="2491" s="1"/>
  <c r="I25" i="2491"/>
  <c r="H25" i="2491" s="1"/>
  <c r="I31" i="2491"/>
  <c r="H31" i="2491"/>
  <c r="L9" i="2491" l="1"/>
  <c r="M9" i="2491"/>
  <c r="N9" i="2491" s="1"/>
  <c r="K9" i="2491"/>
  <c r="I9" i="2491"/>
  <c r="H9" i="2491" s="1"/>
  <c r="K23" i="2491"/>
  <c r="L23" i="2491" s="1"/>
  <c r="M23" i="2491" s="1"/>
  <c r="N23" i="2491" s="1"/>
  <c r="I23" i="2491"/>
  <c r="H23" i="2491" s="1"/>
  <c r="K21" i="2491"/>
  <c r="L21" i="2491" s="1"/>
  <c r="M21" i="2491" s="1"/>
  <c r="N21" i="2491" s="1"/>
  <c r="I21" i="2491"/>
  <c r="H21" i="2491" s="1"/>
  <c r="K19" i="2491"/>
  <c r="L19" i="2491" s="1"/>
  <c r="M19" i="2491" s="1"/>
  <c r="N19" i="2491" s="1"/>
  <c r="I19" i="2491"/>
  <c r="H19" i="2491" s="1"/>
  <c r="K11" i="2491"/>
  <c r="L11" i="2491" s="1"/>
  <c r="M11" i="2491" s="1"/>
  <c r="N11" i="2491" s="1"/>
  <c r="I11" i="2491"/>
  <c r="H11" i="2491" s="1"/>
  <c r="K5" i="2491"/>
  <c r="L5" i="2491" s="1"/>
  <c r="M5" i="2491" s="1"/>
  <c r="N5" i="2491" s="1"/>
  <c r="I5" i="2491"/>
  <c r="H5" i="2491" s="1"/>
  <c r="K17" i="2491"/>
  <c r="L17" i="2491" s="1"/>
  <c r="M17" i="2491" s="1"/>
  <c r="N17" i="2491" s="1"/>
  <c r="I17" i="2491"/>
  <c r="H17" i="2491" s="1"/>
  <c r="K15" i="2491"/>
  <c r="L15" i="2491" s="1"/>
  <c r="M15" i="2491" s="1"/>
  <c r="N15" i="2491" s="1"/>
  <c r="I15" i="2491"/>
  <c r="H15" i="2491" s="1"/>
  <c r="K13" i="2491"/>
  <c r="L13" i="2491" s="1"/>
  <c r="M13" i="2491" s="1"/>
  <c r="N13" i="2491" s="1"/>
  <c r="I13" i="2491"/>
  <c r="H13" i="2491" s="1"/>
  <c r="K7" i="2491"/>
  <c r="L7" i="2491" s="1"/>
  <c r="M7" i="2491" s="1"/>
  <c r="N7" i="2491" s="1"/>
  <c r="I7" i="2491"/>
  <c r="H7" i="2491" s="1"/>
  <c r="M25" i="2490"/>
  <c r="K17" i="2490"/>
  <c r="L17" i="2490" s="1"/>
  <c r="M17" i="2490" s="1"/>
  <c r="I17" i="2490"/>
  <c r="H17" i="2490" s="1"/>
  <c r="K15" i="2490"/>
  <c r="L15" i="2490" s="1"/>
  <c r="M15" i="2490" s="1"/>
  <c r="I15" i="2490"/>
  <c r="H15" i="2490" s="1"/>
  <c r="K13" i="2490"/>
  <c r="L13" i="2490" s="1"/>
  <c r="M13" i="2490" s="1"/>
  <c r="H13" i="2490"/>
  <c r="L11" i="2490"/>
  <c r="M11" i="2490" s="1"/>
  <c r="K11" i="2490"/>
  <c r="I11" i="2490"/>
  <c r="H11" i="2490"/>
  <c r="K9" i="2490"/>
  <c r="L9" i="2490" s="1"/>
  <c r="M9" i="2490" s="1"/>
  <c r="I9" i="2490"/>
  <c r="H9" i="2490"/>
  <c r="K7" i="2490"/>
  <c r="L7" i="2490" s="1"/>
  <c r="M7" i="2490" s="1"/>
  <c r="I7" i="2490"/>
  <c r="H7" i="2490"/>
  <c r="K5" i="2490"/>
  <c r="L5" i="2490" s="1"/>
  <c r="M5" i="2490" s="1"/>
  <c r="I5" i="2490"/>
  <c r="H5" i="2490"/>
  <c r="K3" i="2490"/>
  <c r="L3" i="2490" s="1"/>
  <c r="M3" i="2490" s="1"/>
  <c r="I3" i="2490"/>
  <c r="H3" i="2490"/>
  <c r="K33" i="2489" l="1"/>
  <c r="L33" i="2489" s="1"/>
  <c r="M33" i="2489" s="1"/>
  <c r="I33" i="2489"/>
  <c r="H33" i="2489" s="1"/>
  <c r="K31" i="2489"/>
  <c r="L31" i="2489" s="1"/>
  <c r="M31" i="2489" s="1"/>
  <c r="I31" i="2489"/>
  <c r="H31" i="2489" s="1"/>
  <c r="M29" i="2489"/>
  <c r="L29" i="2489"/>
  <c r="K29" i="2489"/>
  <c r="H29" i="2489"/>
  <c r="I29" i="2489"/>
  <c r="M27" i="2489"/>
  <c r="L27" i="2489"/>
  <c r="K27" i="2489"/>
  <c r="H27" i="2489"/>
  <c r="I27" i="2489"/>
  <c r="K25" i="2489"/>
  <c r="L25" i="2489" s="1"/>
  <c r="M25" i="2489" s="1"/>
  <c r="I25" i="2489"/>
  <c r="H25" i="2489" s="1"/>
  <c r="K21" i="2489"/>
  <c r="L21" i="2489" s="1"/>
  <c r="M21" i="2489" s="1"/>
  <c r="I21" i="2489"/>
  <c r="H21" i="2489" s="1"/>
  <c r="K13" i="2489"/>
  <c r="L13" i="2489" s="1"/>
  <c r="M13" i="2489" s="1"/>
  <c r="I13" i="2489"/>
  <c r="H13" i="2489" s="1"/>
  <c r="I9" i="2489"/>
  <c r="H9" i="2489" s="1"/>
  <c r="K9" i="2489"/>
  <c r="L9" i="2489" s="1"/>
  <c r="M9" i="2489" s="1"/>
  <c r="I11" i="2489"/>
  <c r="H11" i="2489" s="1"/>
  <c r="K11" i="2489"/>
  <c r="L11" i="2489" s="1"/>
  <c r="M11" i="2489" s="1"/>
  <c r="K5" i="2489"/>
  <c r="L5" i="2489" s="1"/>
  <c r="M5" i="2489" s="1"/>
  <c r="I5" i="2489"/>
  <c r="H5" i="2489" s="1"/>
  <c r="K19" i="2489"/>
  <c r="L19" i="2489" s="1"/>
  <c r="M19" i="2489" s="1"/>
  <c r="I19" i="2489"/>
  <c r="H19" i="2489"/>
  <c r="K17" i="2489"/>
  <c r="L17" i="2489" s="1"/>
  <c r="M17" i="2489" s="1"/>
  <c r="I17" i="2489"/>
  <c r="H17" i="2489"/>
  <c r="K15" i="2489"/>
  <c r="L15" i="2489" s="1"/>
  <c r="M15" i="2489" s="1"/>
  <c r="I15" i="2489"/>
  <c r="H15" i="2489" s="1"/>
  <c r="K7" i="2489"/>
  <c r="L7" i="2489" s="1"/>
  <c r="M7" i="2489" s="1"/>
  <c r="I7" i="2489"/>
  <c r="H7" i="2489" s="1"/>
  <c r="K3" i="2489"/>
  <c r="L3" i="2489" s="1"/>
  <c r="M3" i="2489" s="1"/>
  <c r="I3" i="2489"/>
  <c r="H3" i="2489"/>
  <c r="K13" i="2487"/>
  <c r="L13" i="2487" s="1"/>
  <c r="M13" i="2487" s="1"/>
  <c r="N13" i="2487" s="1"/>
  <c r="I13" i="2487"/>
  <c r="H13" i="2487" s="1"/>
  <c r="K7" i="2487"/>
  <c r="L7" i="2487" s="1"/>
  <c r="M7" i="2487" s="1"/>
  <c r="N7" i="2487" s="1"/>
  <c r="I7" i="2487"/>
  <c r="H7" i="2487" s="1"/>
  <c r="I11" i="2487"/>
  <c r="H11" i="2487" s="1"/>
  <c r="I9" i="2487"/>
  <c r="H9" i="2487" s="1"/>
  <c r="K11" i="2487"/>
  <c r="L11" i="2487" s="1"/>
  <c r="M11" i="2487" s="1"/>
  <c r="N11" i="2487" s="1"/>
  <c r="K9" i="2487"/>
  <c r="L9" i="2487" s="1"/>
  <c r="M9" i="2487" s="1"/>
  <c r="N9" i="2487" s="1"/>
  <c r="I5" i="2487"/>
  <c r="H5" i="2487" s="1"/>
  <c r="I3" i="2487"/>
  <c r="H3" i="2487" s="1"/>
  <c r="K5" i="2487"/>
  <c r="L5" i="2487" s="1"/>
  <c r="M5" i="2487" s="1"/>
  <c r="N5" i="2487" s="1"/>
  <c r="K3" i="2487"/>
  <c r="L3" i="2487" s="1"/>
  <c r="M3" i="2487" s="1"/>
  <c r="N3" i="2487" s="1"/>
  <c r="K21" i="2486" l="1"/>
  <c r="L21" i="2486" s="1"/>
  <c r="M21" i="2486" s="1"/>
  <c r="N21" i="2486" s="1"/>
  <c r="I21" i="2486"/>
  <c r="H21" i="2486" s="1"/>
  <c r="K19" i="2486"/>
  <c r="L19" i="2486" s="1"/>
  <c r="M19" i="2486" s="1"/>
  <c r="N19" i="2486" s="1"/>
  <c r="I19" i="2486"/>
  <c r="H19" i="2486" s="1"/>
  <c r="K17" i="2486"/>
  <c r="L17" i="2486" s="1"/>
  <c r="M17" i="2486" s="1"/>
  <c r="N17" i="2486" s="1"/>
  <c r="I17" i="2486"/>
  <c r="H17" i="2486" s="1"/>
  <c r="K15" i="2486"/>
  <c r="L15" i="2486" s="1"/>
  <c r="M15" i="2486" s="1"/>
  <c r="N15" i="2486" s="1"/>
  <c r="I15" i="2486"/>
  <c r="H15" i="2486" s="1"/>
  <c r="K13" i="2486"/>
  <c r="L13" i="2486" s="1"/>
  <c r="M13" i="2486" s="1"/>
  <c r="N13" i="2486" s="1"/>
  <c r="I13" i="2486"/>
  <c r="H13" i="2486" s="1"/>
  <c r="K11" i="2486"/>
  <c r="L11" i="2486" s="1"/>
  <c r="M11" i="2486" s="1"/>
  <c r="N11" i="2486" s="1"/>
  <c r="K9" i="2486"/>
  <c r="L9" i="2486" s="1"/>
  <c r="M9" i="2486" s="1"/>
  <c r="N9" i="2486" s="1"/>
  <c r="I9" i="2486"/>
  <c r="H9" i="2486" s="1"/>
  <c r="K7" i="2486"/>
  <c r="L7" i="2486" s="1"/>
  <c r="M7" i="2486" s="1"/>
  <c r="N7" i="2486" s="1"/>
  <c r="I7" i="2486"/>
  <c r="H7" i="2486" s="1"/>
  <c r="K5" i="2486"/>
  <c r="L5" i="2486" s="1"/>
  <c r="M5" i="2486" s="1"/>
  <c r="N5" i="2486" s="1"/>
  <c r="I5" i="2486"/>
  <c r="H5" i="2486" s="1"/>
  <c r="K3" i="2486"/>
  <c r="L3" i="2486" s="1"/>
  <c r="M3" i="2486" s="1"/>
  <c r="N3" i="2486" s="1"/>
  <c r="I3" i="2486"/>
  <c r="H3" i="2486" s="1"/>
  <c r="K23" i="2486"/>
  <c r="L23" i="2486" s="1"/>
  <c r="M23" i="2486" s="1"/>
  <c r="N23" i="2486" s="1"/>
  <c r="I23" i="2486"/>
  <c r="H23" i="2486" s="1"/>
  <c r="I11" i="2486"/>
  <c r="H11" i="2486" s="1"/>
  <c r="K59" i="2482"/>
  <c r="L59" i="2482" s="1"/>
  <c r="M59" i="2482" s="1"/>
  <c r="I59" i="2482"/>
  <c r="H59" i="2482"/>
  <c r="K49" i="2482"/>
  <c r="L49" i="2482" s="1"/>
  <c r="M49" i="2482" s="1"/>
  <c r="I49" i="2482"/>
  <c r="H49" i="2482"/>
  <c r="K47" i="2482"/>
  <c r="L47" i="2482" s="1"/>
  <c r="M47" i="2482" s="1"/>
  <c r="I47" i="2482"/>
  <c r="H47" i="2482"/>
  <c r="K45" i="2482"/>
  <c r="L45" i="2482" s="1"/>
  <c r="M45" i="2482" s="1"/>
  <c r="I45" i="2482"/>
  <c r="H45" i="2482"/>
  <c r="K43" i="2482"/>
  <c r="L43" i="2482" s="1"/>
  <c r="M43" i="2482" s="1"/>
  <c r="I43" i="2482"/>
  <c r="H43" i="2482"/>
  <c r="K39" i="2482"/>
  <c r="L39" i="2482" s="1"/>
  <c r="M39" i="2482" s="1"/>
  <c r="I39" i="2482"/>
  <c r="H39" i="2482"/>
  <c r="L37" i="2482"/>
  <c r="M37" i="2482" s="1"/>
  <c r="K37" i="2482"/>
  <c r="I37" i="2482"/>
  <c r="H37" i="2482"/>
  <c r="K35" i="2482"/>
  <c r="L35" i="2482" s="1"/>
  <c r="M35" i="2482" s="1"/>
  <c r="I35" i="2482"/>
  <c r="H35" i="2482" s="1"/>
  <c r="K33" i="2482"/>
  <c r="L33" i="2482" s="1"/>
  <c r="M33" i="2482" s="1"/>
  <c r="I33" i="2482"/>
  <c r="H33" i="2482"/>
  <c r="K29" i="2482"/>
  <c r="L29" i="2482" s="1"/>
  <c r="M29" i="2482" s="1"/>
  <c r="I29" i="2482"/>
  <c r="H29" i="2482"/>
  <c r="K27" i="2482"/>
  <c r="L27" i="2482" s="1"/>
  <c r="M27" i="2482" s="1"/>
  <c r="I27" i="2482"/>
  <c r="H27" i="2482"/>
  <c r="K25" i="2482"/>
  <c r="L25" i="2482" s="1"/>
  <c r="M25" i="2482" s="1"/>
  <c r="I25" i="2482"/>
  <c r="H25" i="2482"/>
  <c r="K17" i="2482"/>
  <c r="L17" i="2482" s="1"/>
  <c r="M17" i="2482" s="1"/>
  <c r="I17" i="2482"/>
  <c r="H17" i="2482" s="1"/>
  <c r="K15" i="2482"/>
  <c r="L15" i="2482" s="1"/>
  <c r="M15" i="2482" s="1"/>
  <c r="I15" i="2482"/>
  <c r="H15" i="2482"/>
  <c r="K13" i="2482"/>
  <c r="L13" i="2482" s="1"/>
  <c r="M13" i="2482" s="1"/>
  <c r="I13" i="2482"/>
  <c r="H13" i="2482"/>
  <c r="K11" i="2482"/>
  <c r="L11" i="2482" s="1"/>
  <c r="M11" i="2482" s="1"/>
  <c r="I11" i="2482"/>
  <c r="H11" i="2482"/>
  <c r="K9" i="2482"/>
  <c r="L9" i="2482" s="1"/>
  <c r="M9" i="2482" s="1"/>
  <c r="I9" i="2482"/>
  <c r="H9" i="2482"/>
  <c r="K7" i="2482"/>
  <c r="L7" i="2482" s="1"/>
  <c r="M7" i="2482" s="1"/>
  <c r="I7" i="2482"/>
  <c r="H7" i="2482"/>
  <c r="K5" i="2482"/>
  <c r="L5" i="2482" s="1"/>
  <c r="M5" i="2482" s="1"/>
  <c r="I5" i="2482"/>
  <c r="H5" i="2482"/>
  <c r="K3" i="2482"/>
  <c r="L3" i="2482" s="1"/>
  <c r="M3" i="2482" s="1"/>
  <c r="I3" i="2482"/>
  <c r="H3" i="2482"/>
  <c r="K5" i="2481"/>
  <c r="L5" i="2481" s="1"/>
  <c r="M5" i="2481" s="1"/>
  <c r="I5" i="2481"/>
  <c r="H5" i="2481" s="1"/>
  <c r="K25" i="2481"/>
  <c r="L25" i="2481" s="1"/>
  <c r="M25" i="2481" s="1"/>
  <c r="I25" i="2481"/>
  <c r="H25" i="2481" s="1"/>
  <c r="M21" i="2481"/>
  <c r="L21" i="2481"/>
  <c r="K21" i="2481"/>
  <c r="H21" i="2481"/>
  <c r="I21" i="2481"/>
  <c r="K19" i="2481"/>
  <c r="L19" i="2481" s="1"/>
  <c r="M19" i="2481" s="1"/>
  <c r="I19" i="2481"/>
  <c r="H19" i="2481" s="1"/>
  <c r="K11" i="2481"/>
  <c r="L11" i="2481" s="1"/>
  <c r="M11" i="2481" s="1"/>
  <c r="K15" i="2481"/>
  <c r="L15" i="2481" s="1"/>
  <c r="M15" i="2481" s="1"/>
  <c r="I15" i="2481"/>
  <c r="H15" i="2481" s="1"/>
  <c r="K17" i="2481"/>
  <c r="L17" i="2481" s="1"/>
  <c r="M17" i="2481" s="1"/>
  <c r="I17" i="2481"/>
  <c r="H17" i="2481" s="1"/>
  <c r="I11" i="2481"/>
  <c r="K9" i="2481"/>
  <c r="L9" i="2481" s="1"/>
  <c r="M9" i="2481" s="1"/>
  <c r="I9" i="2481"/>
  <c r="H9" i="2481"/>
  <c r="K7" i="2481"/>
  <c r="L7" i="2481" s="1"/>
  <c r="M7" i="2481" s="1"/>
  <c r="I7" i="2481"/>
  <c r="H7" i="2481" s="1"/>
  <c r="K3" i="2481"/>
  <c r="L3" i="2481" s="1"/>
  <c r="M3" i="2481" s="1"/>
  <c r="I3" i="2481"/>
  <c r="H3" i="2481" s="1"/>
  <c r="K25" i="2480"/>
  <c r="L25" i="2480" s="1"/>
  <c r="M25" i="2480" s="1"/>
  <c r="I25" i="2480"/>
  <c r="H25" i="2480"/>
  <c r="K23" i="2480"/>
  <c r="L23" i="2480" s="1"/>
  <c r="M23" i="2480" s="1"/>
  <c r="I23" i="2480"/>
  <c r="H23" i="2480" s="1"/>
  <c r="K19" i="2480"/>
  <c r="L19" i="2480" s="1"/>
  <c r="M19" i="2480" s="1"/>
  <c r="I19" i="2480"/>
  <c r="H19" i="2480" s="1"/>
  <c r="K17" i="2480"/>
  <c r="L17" i="2480" s="1"/>
  <c r="M17" i="2480" s="1"/>
  <c r="I17" i="2480"/>
  <c r="H17" i="2480" s="1"/>
  <c r="K15" i="2480"/>
  <c r="L15" i="2480" s="1"/>
  <c r="M15" i="2480" s="1"/>
  <c r="I15" i="2480"/>
  <c r="H15" i="2480" s="1"/>
  <c r="K13" i="2480"/>
  <c r="L13" i="2480" s="1"/>
  <c r="M13" i="2480" s="1"/>
  <c r="I13" i="2480"/>
  <c r="H13" i="2480" s="1"/>
  <c r="K11" i="2480"/>
  <c r="L11" i="2480" s="1"/>
  <c r="M11" i="2480" s="1"/>
  <c r="I11" i="2480"/>
  <c r="H11" i="2480" s="1"/>
  <c r="K9" i="2480"/>
  <c r="L9" i="2480" s="1"/>
  <c r="M9" i="2480" s="1"/>
  <c r="I9" i="2480"/>
  <c r="H9" i="2480" s="1"/>
  <c r="K7" i="2480"/>
  <c r="L7" i="2480" s="1"/>
  <c r="M7" i="2480" s="1"/>
  <c r="I7" i="2480"/>
  <c r="H7" i="2480"/>
  <c r="K5" i="2480"/>
  <c r="L5" i="2480" s="1"/>
  <c r="M5" i="2480" s="1"/>
  <c r="I5" i="2480"/>
  <c r="H5" i="2480"/>
  <c r="K3" i="2480"/>
  <c r="L3" i="2480" s="1"/>
  <c r="M3" i="2480" s="1"/>
  <c r="I3" i="2480"/>
  <c r="H3" i="2480"/>
  <c r="M25" i="2479"/>
  <c r="L23" i="2479"/>
  <c r="M23" i="2479" s="1"/>
  <c r="K23" i="2479"/>
  <c r="I23" i="2479"/>
  <c r="H23" i="2479"/>
  <c r="K19" i="2479"/>
  <c r="L19" i="2479" s="1"/>
  <c r="M19" i="2479" s="1"/>
  <c r="I19" i="2479"/>
  <c r="H19" i="2479"/>
  <c r="K17" i="2479"/>
  <c r="L17" i="2479" s="1"/>
  <c r="M17" i="2479" s="1"/>
  <c r="I17" i="2479"/>
  <c r="H17" i="2479"/>
  <c r="K15" i="2479"/>
  <c r="L15" i="2479" s="1"/>
  <c r="M15" i="2479" s="1"/>
  <c r="I15" i="2479"/>
  <c r="H15" i="2479" s="1"/>
  <c r="K13" i="2479"/>
  <c r="L13" i="2479" s="1"/>
  <c r="M13" i="2479" s="1"/>
  <c r="I13" i="2479"/>
  <c r="H13" i="2479" s="1"/>
  <c r="K11" i="2479"/>
  <c r="L11" i="2479" s="1"/>
  <c r="M11" i="2479" s="1"/>
  <c r="I11" i="2479"/>
  <c r="H11" i="2479" s="1"/>
  <c r="K9" i="2479"/>
  <c r="L9" i="2479" s="1"/>
  <c r="M9" i="2479" s="1"/>
  <c r="I9" i="2479"/>
  <c r="H9" i="2479"/>
  <c r="K7" i="2479"/>
  <c r="L7" i="2479" s="1"/>
  <c r="M7" i="2479" s="1"/>
  <c r="I7" i="2479"/>
  <c r="H7" i="2479"/>
  <c r="K5" i="2479"/>
  <c r="L5" i="2479" s="1"/>
  <c r="M5" i="2479" s="1"/>
  <c r="I5" i="2479"/>
  <c r="H5" i="2479" s="1"/>
  <c r="K3" i="2479"/>
  <c r="L3" i="2479" s="1"/>
  <c r="M3" i="2479" s="1"/>
  <c r="I3" i="2479"/>
  <c r="H3" i="2479"/>
  <c r="K31" i="2478"/>
  <c r="L31" i="2478" s="1"/>
  <c r="M31" i="2478" s="1"/>
  <c r="N31" i="2478" s="1"/>
  <c r="I31" i="2478"/>
  <c r="H31" i="2478" s="1"/>
  <c r="K29" i="2478"/>
  <c r="L29" i="2478" s="1"/>
  <c r="M29" i="2478" s="1"/>
  <c r="N29" i="2478" s="1"/>
  <c r="I29" i="2478"/>
  <c r="H29" i="2478" s="1"/>
  <c r="H27" i="2478"/>
  <c r="I27" i="2478"/>
  <c r="K27" i="2478"/>
  <c r="L27" i="2478" s="1"/>
  <c r="M27" i="2478" s="1"/>
  <c r="N27" i="2478" s="1"/>
  <c r="K63" i="2478"/>
  <c r="L63" i="2478" s="1"/>
  <c r="M63" i="2478" s="1"/>
  <c r="N63" i="2478" s="1"/>
  <c r="I63" i="2478"/>
  <c r="H63" i="2478" s="1"/>
  <c r="K61" i="2478"/>
  <c r="L61" i="2478" s="1"/>
  <c r="M61" i="2478" s="1"/>
  <c r="N61" i="2478" s="1"/>
  <c r="I61" i="2478"/>
  <c r="H61" i="2478" s="1"/>
  <c r="K59" i="2478"/>
  <c r="L59" i="2478" s="1"/>
  <c r="M59" i="2478" s="1"/>
  <c r="N59" i="2478" s="1"/>
  <c r="I59" i="2478"/>
  <c r="H59" i="2478" s="1"/>
  <c r="N51" i="2478"/>
  <c r="M51" i="2478"/>
  <c r="L51" i="2478"/>
  <c r="K51" i="2478"/>
  <c r="H51" i="2478"/>
  <c r="I51" i="2478"/>
  <c r="K53" i="2478"/>
  <c r="L53" i="2478" s="1"/>
  <c r="M53" i="2478" s="1"/>
  <c r="N53" i="2478" s="1"/>
  <c r="I53" i="2478"/>
  <c r="H53" i="2478" s="1"/>
  <c r="N45" i="2478"/>
  <c r="M45" i="2478"/>
  <c r="L45" i="2478"/>
  <c r="K45" i="2478"/>
  <c r="H45" i="2478"/>
  <c r="I45" i="2478"/>
  <c r="N43" i="2478"/>
  <c r="M43" i="2478"/>
  <c r="L43" i="2478"/>
  <c r="K43" i="2478"/>
  <c r="H43" i="2478"/>
  <c r="I43" i="2478"/>
  <c r="K25" i="2478"/>
  <c r="L25" i="2478" s="1"/>
  <c r="M25" i="2478" s="1"/>
  <c r="N25" i="2478" s="1"/>
  <c r="I25" i="2478"/>
  <c r="H25" i="2478" s="1"/>
  <c r="K23" i="2478"/>
  <c r="L23" i="2478" s="1"/>
  <c r="M23" i="2478" s="1"/>
  <c r="N23" i="2478" s="1"/>
  <c r="I23" i="2478"/>
  <c r="H23" i="2478" s="1"/>
  <c r="K19" i="2478"/>
  <c r="L19" i="2478" s="1"/>
  <c r="M19" i="2478" s="1"/>
  <c r="N19" i="2478" s="1"/>
  <c r="I19" i="2478"/>
  <c r="H19" i="2478" s="1"/>
  <c r="K9" i="2478"/>
  <c r="L9" i="2478" s="1"/>
  <c r="M9" i="2478" s="1"/>
  <c r="N9" i="2478" s="1"/>
  <c r="I9" i="2478"/>
  <c r="H9" i="2478"/>
  <c r="K5" i="2478"/>
  <c r="L5" i="2478" s="1"/>
  <c r="M5" i="2478" s="1"/>
  <c r="N5" i="2478" s="1"/>
  <c r="I5" i="2478"/>
  <c r="H5" i="2478" s="1"/>
  <c r="K3" i="2478"/>
  <c r="L3" i="2478" s="1"/>
  <c r="M3" i="2478" s="1"/>
  <c r="N3" i="2478" s="1"/>
  <c r="I3" i="2478"/>
  <c r="H3" i="2478" s="1"/>
  <c r="K49" i="2478"/>
  <c r="L49" i="2478" s="1"/>
  <c r="M49" i="2478" s="1"/>
  <c r="N49" i="2478" s="1"/>
  <c r="I49" i="2478"/>
  <c r="H49" i="2478" s="1"/>
  <c r="K47" i="2478"/>
  <c r="L47" i="2478" s="1"/>
  <c r="M47" i="2478" s="1"/>
  <c r="N47" i="2478" s="1"/>
  <c r="I47" i="2478"/>
  <c r="H47" i="2478" s="1"/>
  <c r="K39" i="2478"/>
  <c r="L39" i="2478" s="1"/>
  <c r="M39" i="2478" s="1"/>
  <c r="N39" i="2478" s="1"/>
  <c r="I39" i="2478"/>
  <c r="H39" i="2478"/>
  <c r="K37" i="2478"/>
  <c r="L37" i="2478" s="1"/>
  <c r="M37" i="2478" s="1"/>
  <c r="N37" i="2478" s="1"/>
  <c r="I37" i="2478"/>
  <c r="H37" i="2478" s="1"/>
  <c r="K35" i="2478"/>
  <c r="L35" i="2478" s="1"/>
  <c r="M35" i="2478" s="1"/>
  <c r="N35" i="2478" s="1"/>
  <c r="I35" i="2478"/>
  <c r="H35" i="2478" s="1"/>
  <c r="K33" i="2478"/>
  <c r="L33" i="2478" s="1"/>
  <c r="M33" i="2478" s="1"/>
  <c r="N33" i="2478" s="1"/>
  <c r="I33" i="2478"/>
  <c r="H33" i="2478" s="1"/>
  <c r="K17" i="2478"/>
  <c r="L17" i="2478" s="1"/>
  <c r="M17" i="2478" s="1"/>
  <c r="N17" i="2478" s="1"/>
  <c r="I17" i="2478"/>
  <c r="H17" i="2478" s="1"/>
  <c r="K15" i="2478"/>
  <c r="L15" i="2478" s="1"/>
  <c r="M15" i="2478" s="1"/>
  <c r="N15" i="2478" s="1"/>
  <c r="I15" i="2478"/>
  <c r="H15" i="2478" s="1"/>
  <c r="K13" i="2478"/>
  <c r="L13" i="2478" s="1"/>
  <c r="M13" i="2478" s="1"/>
  <c r="N13" i="2478" s="1"/>
  <c r="I13" i="2478"/>
  <c r="H13" i="2478"/>
  <c r="K11" i="2478"/>
  <c r="L11" i="2478" s="1"/>
  <c r="M11" i="2478" s="1"/>
  <c r="N11" i="2478" s="1"/>
  <c r="I11" i="2478"/>
  <c r="H11" i="2478" s="1"/>
  <c r="K7" i="2478"/>
  <c r="L7" i="2478" s="1"/>
  <c r="M7" i="2478" s="1"/>
  <c r="N7" i="2478" s="1"/>
  <c r="I7" i="2478"/>
  <c r="H7" i="2478"/>
  <c r="K3" i="2477"/>
  <c r="L33" i="2477" l="1"/>
  <c r="M33" i="2477" s="1"/>
  <c r="N33" i="2477" s="1"/>
  <c r="K33" i="2477"/>
  <c r="H33" i="2477"/>
  <c r="I33" i="2477"/>
  <c r="M25" i="2477"/>
  <c r="K29" i="2477"/>
  <c r="L29" i="2477" s="1"/>
  <c r="M29" i="2477" s="1"/>
  <c r="N29" i="2477" s="1"/>
  <c r="I29" i="2477"/>
  <c r="H29" i="2477" s="1"/>
  <c r="L13" i="2477"/>
  <c r="M13" i="2477"/>
  <c r="N13" i="2477" s="1"/>
  <c r="K13" i="2477"/>
  <c r="H13" i="2477"/>
  <c r="L11" i="2477"/>
  <c r="M11" i="2477"/>
  <c r="N11" i="2477" s="1"/>
  <c r="K11" i="2477"/>
  <c r="H11" i="2477"/>
  <c r="I11" i="2477"/>
  <c r="I13" i="2477"/>
  <c r="N27" i="2477"/>
  <c r="H25" i="2477"/>
  <c r="K35" i="2477"/>
  <c r="L35" i="2477" s="1"/>
  <c r="M35" i="2477" s="1"/>
  <c r="N35" i="2477" s="1"/>
  <c r="K31" i="2477"/>
  <c r="L31" i="2477" s="1"/>
  <c r="M31" i="2477" s="1"/>
  <c r="N31" i="2477" s="1"/>
  <c r="K23" i="2477"/>
  <c r="L23" i="2477" s="1"/>
  <c r="M23" i="2477" s="1"/>
  <c r="N23" i="2477" s="1"/>
  <c r="I23" i="2477"/>
  <c r="H23" i="2477" s="1"/>
  <c r="L15" i="2477"/>
  <c r="M15" i="2477" s="1"/>
  <c r="N15" i="2477" s="1"/>
  <c r="K15" i="2477"/>
  <c r="H15" i="2477"/>
  <c r="I15" i="2477"/>
  <c r="K37" i="2477"/>
  <c r="L37" i="2477" s="1"/>
  <c r="M37" i="2477" s="1"/>
  <c r="N37" i="2477" s="1"/>
  <c r="I37" i="2477"/>
  <c r="H37" i="2477" s="1"/>
  <c r="I35" i="2477"/>
  <c r="H35" i="2477" s="1"/>
  <c r="I31" i="2477"/>
  <c r="H31" i="2477" s="1"/>
  <c r="K21" i="2477"/>
  <c r="L21" i="2477" s="1"/>
  <c r="M21" i="2477" s="1"/>
  <c r="N21" i="2477" s="1"/>
  <c r="I21" i="2477"/>
  <c r="H21" i="2477" s="1"/>
  <c r="K41" i="2477"/>
  <c r="L41" i="2477" s="1"/>
  <c r="M41" i="2477" s="1"/>
  <c r="N41" i="2477" s="1"/>
  <c r="I41" i="2477"/>
  <c r="H41" i="2477" s="1"/>
  <c r="K39" i="2477"/>
  <c r="L39" i="2477" s="1"/>
  <c r="M39" i="2477" s="1"/>
  <c r="N39" i="2477" s="1"/>
  <c r="I39" i="2477"/>
  <c r="H39" i="2477" s="1"/>
  <c r="K27" i="2477"/>
  <c r="L27" i="2477" s="1"/>
  <c r="M27" i="2477" s="1"/>
  <c r="I27" i="2477"/>
  <c r="H27" i="2477" s="1"/>
  <c r="K25" i="2477"/>
  <c r="L25" i="2477" s="1"/>
  <c r="N25" i="2477" s="1"/>
  <c r="I25" i="2477"/>
  <c r="K9" i="2477"/>
  <c r="L9" i="2477" s="1"/>
  <c r="M9" i="2477" s="1"/>
  <c r="N9" i="2477" s="1"/>
  <c r="I9" i="2477"/>
  <c r="H9" i="2477" s="1"/>
  <c r="L3" i="2477"/>
  <c r="M3" i="2477" s="1"/>
  <c r="N3" i="2477" s="1"/>
  <c r="I3" i="2477"/>
  <c r="H3" i="2477" s="1"/>
  <c r="K25" i="2476"/>
  <c r="L25" i="2476" s="1"/>
  <c r="M25" i="2476" s="1"/>
  <c r="H25" i="2476"/>
  <c r="I25" i="2476"/>
  <c r="H11" i="2476"/>
  <c r="M11" i="2476"/>
  <c r="L11" i="2476"/>
  <c r="K9" i="2476"/>
  <c r="L9" i="2476" s="1"/>
  <c r="M9" i="2476" s="1"/>
  <c r="I9" i="2476"/>
  <c r="H9" i="2476"/>
  <c r="M7" i="2476"/>
  <c r="L7" i="2476"/>
  <c r="K7" i="2476"/>
  <c r="I7" i="2476"/>
  <c r="H7" i="2476" s="1"/>
  <c r="K5" i="2476"/>
  <c r="L5" i="2476" s="1"/>
  <c r="M5" i="2476" s="1"/>
  <c r="I5" i="2476"/>
  <c r="H5" i="2476" s="1"/>
  <c r="K17" i="2476"/>
  <c r="L17" i="2476" s="1"/>
  <c r="M17" i="2476" s="1"/>
  <c r="I17" i="2476"/>
  <c r="H17" i="2476"/>
  <c r="K15" i="2476"/>
  <c r="L15" i="2476" s="1"/>
  <c r="M15" i="2476" s="1"/>
  <c r="I15" i="2476"/>
  <c r="H15" i="2476" s="1"/>
  <c r="K13" i="2476"/>
  <c r="L13" i="2476" s="1"/>
  <c r="M13" i="2476" s="1"/>
  <c r="I13" i="2476"/>
  <c r="H13" i="2476" s="1"/>
  <c r="K11" i="2476"/>
  <c r="I11" i="2476"/>
  <c r="K3" i="2476"/>
  <c r="L3" i="2476" s="1"/>
  <c r="M3" i="2476" s="1"/>
  <c r="I3" i="2476"/>
  <c r="H3" i="2476" s="1"/>
  <c r="M11" i="2475"/>
  <c r="M25" i="2475"/>
  <c r="L25" i="2475"/>
  <c r="K25" i="2475"/>
  <c r="H25" i="2475"/>
  <c r="I25" i="2475"/>
  <c r="K27" i="2475"/>
  <c r="L27" i="2475" s="1"/>
  <c r="M27" i="2475" s="1"/>
  <c r="I27" i="2475"/>
  <c r="H27" i="2475"/>
  <c r="M23" i="2475"/>
  <c r="L23" i="2475"/>
  <c r="K23" i="2475"/>
  <c r="H23" i="2475"/>
  <c r="I23" i="2475"/>
  <c r="K19" i="2475"/>
  <c r="L19" i="2475" s="1"/>
  <c r="M19" i="2475" s="1"/>
  <c r="I19" i="2475"/>
  <c r="H19" i="2475" s="1"/>
  <c r="L9" i="2475"/>
  <c r="M9" i="2475" s="1"/>
  <c r="K9" i="2475"/>
  <c r="I9" i="2475"/>
  <c r="H9" i="2475" s="1"/>
  <c r="K17" i="2475"/>
  <c r="L17" i="2475" s="1"/>
  <c r="M17" i="2475" s="1"/>
  <c r="I17" i="2475"/>
  <c r="H17" i="2475" s="1"/>
  <c r="K15" i="2475"/>
  <c r="L15" i="2475" s="1"/>
  <c r="M15" i="2475" s="1"/>
  <c r="I15" i="2475"/>
  <c r="H15" i="2475"/>
  <c r="K13" i="2475"/>
  <c r="L13" i="2475" s="1"/>
  <c r="M13" i="2475" s="1"/>
  <c r="I13" i="2475"/>
  <c r="H13" i="2475"/>
  <c r="K11" i="2475"/>
  <c r="L11" i="2475" s="1"/>
  <c r="I11" i="2475"/>
  <c r="H11" i="2475"/>
  <c r="K7" i="2475"/>
  <c r="L7" i="2475" s="1"/>
  <c r="M7" i="2475" s="1"/>
  <c r="I7" i="2475"/>
  <c r="H7" i="2475"/>
  <c r="K5" i="2475"/>
  <c r="L5" i="2475" s="1"/>
  <c r="M5" i="2475" s="1"/>
  <c r="I5" i="2475"/>
  <c r="H5" i="2475"/>
  <c r="K3" i="2475"/>
  <c r="L3" i="2475" s="1"/>
  <c r="M3" i="2475" s="1"/>
  <c r="I3" i="2475"/>
  <c r="H3" i="2475" s="1"/>
</calcChain>
</file>

<file path=xl/sharedStrings.xml><?xml version="1.0" encoding="utf-8"?>
<sst xmlns="http://schemas.openxmlformats.org/spreadsheetml/2006/main" count="10109" uniqueCount="839">
  <si>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</si>
  <si>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</si>
  <si>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</si>
  <si>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</si>
  <si>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</si>
  <si>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</si>
  <si>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</si>
  <si>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</si>
  <si>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</si>
  <si>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</si>
  <si>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</si>
  <si>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HIP </t>
  </si>
  <si>
    <t xml:space="preserve">BASED ON ZIPPER FLY OUT LINE ,STRIGHT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</si>
  <si>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</si>
  <si>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</si>
  <si>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</si>
  <si>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</si>
  <si>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</si>
  <si>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</si>
  <si>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</si>
  <si>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</si>
  <si>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</si>
  <si>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</si>
  <si>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</si>
  <si>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</si>
  <si>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</si>
  <si>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</si>
  <si>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</si>
  <si>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</si>
  <si>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</si>
  <si>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</si>
  <si>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</si>
  <si>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총기장(뒷목)</t>
  </si>
  <si>
    <t>목둘레</t>
  </si>
  <si>
    <t>카라폭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</si>
  <si>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</si>
  <si>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</si>
  <si>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</si>
  <si>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</si>
  <si>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</si>
  <si>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</si>
  <si>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</si>
  <si>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</si>
  <si>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</si>
  <si>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</si>
  <si>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</si>
  <si>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</si>
  <si>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</si>
  <si>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</si>
  <si>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</si>
  <si>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</si>
  <si>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</si>
  <si>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</si>
  <si>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</si>
  <si>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</si>
  <si>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</si>
  <si>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</si>
  <si>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</si>
  <si>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목라인(NECK LINE)을 따라 잰 곡선의 둘레길이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</si>
  <si>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</si>
  <si>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</si>
  <si>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</si>
  <si>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</si>
  <si>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</si>
  <si>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</si>
  <si>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</si>
  <si>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</si>
  <si>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</si>
  <si>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</si>
  <si>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</si>
  <si>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</si>
  <si>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</si>
  <si>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</si>
  <si>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</si>
  <si>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</si>
  <si>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COLLAR WIDTH</t>
    <phoneticPr fontId="2" type="noConversion"/>
  </si>
  <si>
    <t>FRONT YOKE LENGTH</t>
    <phoneticPr fontId="2" type="noConversion"/>
  </si>
  <si>
    <t>BACK YOKE LENGTH</t>
    <phoneticPr fontId="2" type="noConversion"/>
  </si>
  <si>
    <t>화장</t>
    <phoneticPr fontId="2" type="noConversion"/>
  </si>
  <si>
    <t>뒷목중심점에서 소매부리(밑단)까지 잰 길이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</si>
  <si>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</si>
  <si>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</si>
  <si>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 xml:space="preserve">CUFFS OPENING </t>
    <phoneticPr fontId="2" type="noConversion"/>
  </si>
  <si>
    <t>FROM FRONT NECK CENTER TO VERTICAL</t>
    <phoneticPr fontId="1" type="noConversion"/>
  </si>
  <si>
    <t>앞목중심에서 수직으로</t>
    <phoneticPr fontId="1" type="noConversion"/>
  </si>
  <si>
    <t>옆목점에서 밑단까지의 직선길이</t>
    <phoneticPr fontId="1" type="noConversion"/>
  </si>
  <si>
    <t>목라인(NECK LINE)을 따라 잰 곡선의 둘레길이</t>
    <phoneticPr fontId="1" type="noConversion"/>
  </si>
  <si>
    <t>허리완성사이즈</t>
    <phoneticPr fontId="1" type="noConversion"/>
  </si>
  <si>
    <t xml:space="preserve">허리에서 수직으로 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</si>
  <si>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</si>
  <si>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</si>
  <si>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</si>
  <si>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</si>
  <si>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</si>
  <si>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</si>
  <si>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</si>
  <si>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</si>
  <si>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</si>
  <si>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</si>
  <si>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</si>
  <si>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</si>
  <si>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>뒷목중심에서 수직으로</t>
    <phoneticPr fontId="1" type="noConversion"/>
  </si>
  <si>
    <t>FROM BACK NECK CENTER TO VERTICAL</t>
    <phoneticPr fontId="1" type="noConversion"/>
  </si>
  <si>
    <t>START ARM HOLE JOINING POINT TO POINT(1/2)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</si>
  <si>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</si>
  <si>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</si>
  <si>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</si>
  <si>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</si>
  <si>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</si>
  <si>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</si>
  <si>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</si>
  <si>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</si>
  <si>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</si>
  <si>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</si>
  <si>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</si>
  <si>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</si>
  <si>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</si>
  <si>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</si>
  <si>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</si>
  <si>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</si>
  <si>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t>와끼선을 기준으로 오비끝에서 밑단 끝까지의 길이</t>
    <phoneticPr fontId="1" type="noConversion"/>
  </si>
  <si>
    <t xml:space="preserve">SKIRT LENGTH </t>
    <phoneticPr fontId="1" type="noConversion"/>
  </si>
  <si>
    <t>몸판허리둘레</t>
    <phoneticPr fontId="1" type="noConversion"/>
  </si>
  <si>
    <t>WAIST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</si>
  <si>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</si>
  <si>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</si>
  <si>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</si>
  <si>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</si>
  <si>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</si>
  <si>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오비포함, 와끼기준</t>
    <phoneticPr fontId="1" type="noConversion"/>
  </si>
  <si>
    <t>허리에서 수직으로 (오비포함)</t>
    <phoneticPr fontId="1" type="noConversion"/>
  </si>
  <si>
    <t>오비포함 와끼 기준</t>
    <phoneticPr fontId="1" type="noConversion"/>
  </si>
  <si>
    <t>나나밴드</t>
    <phoneticPr fontId="1" type="noConversion"/>
  </si>
  <si>
    <t>ADIJUSTABLE BAND</t>
    <phoneticPr fontId="1" type="noConversion"/>
  </si>
  <si>
    <t>POINT A</t>
    <phoneticPr fontId="1" type="noConversion"/>
  </si>
  <si>
    <t>POINT B</t>
    <phoneticPr fontId="1" type="noConversion"/>
  </si>
  <si>
    <t xml:space="preserve">BASED ON ZIPPER FLY OUT LINE ,STRIGHT 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</si>
  <si>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</si>
  <si>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</si>
  <si>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</si>
  <si>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</si>
  <si>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</si>
  <si>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위치 A</t>
    <phoneticPr fontId="1" type="noConversion"/>
  </si>
  <si>
    <t>위치 B</t>
    <phoneticPr fontId="1" type="noConversion"/>
  </si>
  <si>
    <t>3XL</t>
    <phoneticPr fontId="1" type="noConversion"/>
  </si>
  <si>
    <t>2XL</t>
    <phoneticPr fontId="1" type="noConversion"/>
  </si>
  <si>
    <t>XS</t>
    <phoneticPr fontId="1" type="noConversion"/>
  </si>
  <si>
    <t>4XL</t>
    <phoneticPr fontId="1" type="noConversion"/>
  </si>
  <si>
    <t>SLEEVE 4G BAND</t>
    <phoneticPr fontId="2" type="noConversion"/>
  </si>
  <si>
    <t>허리6골고무줄</t>
    <phoneticPr fontId="1" type="noConversion"/>
  </si>
  <si>
    <t>위치 C</t>
    <phoneticPr fontId="1" type="noConversion"/>
  </si>
  <si>
    <t>POINT C</t>
    <phoneticPr fontId="1" type="noConversion"/>
  </si>
  <si>
    <t>YKK</t>
    <phoneticPr fontId="1" type="noConversion"/>
  </si>
  <si>
    <t>앞지퍼길이</t>
    <phoneticPr fontId="1" type="noConversion"/>
  </si>
  <si>
    <t>치마 기장</t>
    <phoneticPr fontId="1" type="noConversion"/>
  </si>
  <si>
    <t>밑단엘라스트링</t>
    <phoneticPr fontId="1" type="noConversion"/>
  </si>
  <si>
    <t>BOTTOM E-STRING</t>
    <phoneticPr fontId="2" type="noConversion"/>
  </si>
  <si>
    <t>밑단에서 수직으로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</si>
  <si>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</si>
  <si>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</si>
  <si>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</si>
  <si>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치마 총기장</t>
    <phoneticPr fontId="1" type="noConversion"/>
  </si>
  <si>
    <t xml:space="preserve">SKIRT TOTAL LENGTH </t>
    <phoneticPr fontId="1" type="noConversion"/>
  </si>
  <si>
    <t>WITHOUT NECK BAND</t>
    <phoneticPr fontId="2" type="noConversion"/>
  </si>
  <si>
    <t>STYLE NO: JYUOP04-K#Y03</t>
    <phoneticPr fontId="1" type="noConversion"/>
  </si>
  <si>
    <t>밑단길이</t>
    <phoneticPr fontId="19" type="noConversion"/>
  </si>
  <si>
    <t>WAIST 6G-BAND</t>
    <phoneticPr fontId="1" type="noConversion"/>
  </si>
  <si>
    <t>STYLE NO: JYUTO02-K#R03</t>
    <phoneticPr fontId="1" type="noConversion"/>
  </si>
  <si>
    <t>A/H 4G BAND</t>
    <phoneticPr fontId="19" type="noConversion"/>
  </si>
  <si>
    <t>암홀4골고무줄</t>
    <phoneticPr fontId="19" type="noConversion"/>
  </si>
  <si>
    <t>STYLE NO: JYUPT02-K#H06</t>
    <phoneticPr fontId="1" type="noConversion"/>
  </si>
  <si>
    <t>STYLE NO: JYUSE02-K#H02</t>
    <phoneticPr fontId="1" type="noConversion"/>
  </si>
  <si>
    <t>FRONT YOKE LENGTH</t>
    <phoneticPr fontId="1" type="noConversion"/>
  </si>
  <si>
    <t>앞요크기장</t>
    <phoneticPr fontId="1" type="noConversion"/>
  </si>
  <si>
    <t>앞중심,보이는부분</t>
    <phoneticPr fontId="19" type="noConversion"/>
  </si>
  <si>
    <t>BACK YOKE LENGTH</t>
    <phoneticPr fontId="1" type="noConversion"/>
  </si>
  <si>
    <t>뒤요크기장</t>
    <phoneticPr fontId="1" type="noConversion"/>
  </si>
  <si>
    <t>뒤중심,보이는부분</t>
    <phoneticPr fontId="19" type="noConversion"/>
  </si>
  <si>
    <t>WAIST STRING LENGTH</t>
    <phoneticPr fontId="19" type="noConversion"/>
  </si>
  <si>
    <t>허리스트링길이</t>
    <phoneticPr fontId="19" type="noConversion"/>
  </si>
  <si>
    <t>노출길이: 16cm</t>
    <phoneticPr fontId="19" type="noConversion"/>
  </si>
  <si>
    <t>STYLE NO: JYUTO01-K#Y04</t>
    <phoneticPr fontId="1" type="noConversion"/>
  </si>
  <si>
    <t>4XL</t>
  </si>
  <si>
    <t>STYLE NO: JYUTO04-K#R05</t>
    <phoneticPr fontId="1" type="noConversion"/>
  </si>
  <si>
    <t>STYLE NO: JYUTO03-K#R04</t>
    <phoneticPr fontId="1" type="noConversion"/>
  </si>
  <si>
    <t>입어서 왼쪽</t>
    <phoneticPr fontId="19" type="noConversion"/>
  </si>
  <si>
    <t>입어서 오른쪽</t>
    <phoneticPr fontId="19" type="noConversion"/>
  </si>
  <si>
    <t>ACROSS STRAP LENGTH</t>
    <phoneticPr fontId="2" type="noConversion"/>
  </si>
  <si>
    <t>어깨끈길이</t>
    <phoneticPr fontId="19" type="noConversion"/>
  </si>
  <si>
    <t>비즈포함 완성길이</t>
    <phoneticPr fontId="19" type="noConversion"/>
  </si>
  <si>
    <t>STYLE NO: JYUSE01-K#H03</t>
    <phoneticPr fontId="1" type="noConversion"/>
  </si>
  <si>
    <t>WAIST SWEEP (1/2)</t>
  </si>
  <si>
    <t>STRIGHT (1/2)</t>
  </si>
  <si>
    <t>허리둘레(반품)</t>
  </si>
  <si>
    <t>와끼선의 밑단 양끝점을 수평으로 잰 길이</t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</si>
  <si>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</si>
  <si>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</si>
  <si>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BOTTOM FRILL LENGTH</t>
    <phoneticPr fontId="19" type="noConversion"/>
  </si>
  <si>
    <t>밑단프릴기장</t>
    <phoneticPr fontId="19" type="noConversion"/>
  </si>
  <si>
    <t>BACK PLACKET LENGTH</t>
    <phoneticPr fontId="2" type="noConversion"/>
  </si>
  <si>
    <t>뒤단작길이</t>
    <phoneticPr fontId="1" type="noConversion"/>
  </si>
  <si>
    <t>뒤중심</t>
    <phoneticPr fontId="19" type="noConversion"/>
  </si>
  <si>
    <t>주머니입구의 세로길이</t>
    <phoneticPr fontId="1" type="noConversion"/>
  </si>
  <si>
    <t>STYLE NO: JYUOU04-K#H12</t>
    <phoneticPr fontId="1" type="noConversion"/>
  </si>
  <si>
    <t>STYLE NO: JYUTO16-K#H13</t>
    <phoneticPr fontId="1" type="noConversion"/>
  </si>
  <si>
    <t>총기장(앞중심)</t>
    <phoneticPr fontId="2" type="noConversion"/>
  </si>
  <si>
    <t>총기장(뒤중심)</t>
    <phoneticPr fontId="2" type="noConversion"/>
  </si>
  <si>
    <t>뒤중심에서 밑단끝까지 직선길이</t>
    <phoneticPr fontId="1" type="noConversion"/>
  </si>
  <si>
    <t>FROM CENTER FRONT TO BOTTOM STRIGHT</t>
    <phoneticPr fontId="2" type="noConversion"/>
  </si>
  <si>
    <t>앞중심에서 밑단끝까지 직선길이</t>
    <phoneticPr fontId="1" type="noConversion"/>
  </si>
  <si>
    <t>SHOULDER STRAP</t>
    <phoneticPr fontId="2" type="noConversion"/>
  </si>
  <si>
    <t>FRONT,BACK UPPER CHEST</t>
    <phoneticPr fontId="2" type="noConversion"/>
  </si>
  <si>
    <t>앞,뒤바대 폭</t>
    <phoneticPr fontId="1" type="noConversion"/>
  </si>
  <si>
    <t>끈에서 끈 직선길이</t>
    <phoneticPr fontId="1" type="noConversion"/>
  </si>
  <si>
    <t>STYLE NO: JYUTO10-K#Y07</t>
    <phoneticPr fontId="1" type="noConversion"/>
  </si>
  <si>
    <t>STYLE NO: JYUOP07-W#R10</t>
    <phoneticPr fontId="1" type="noConversion"/>
  </si>
  <si>
    <t>BACK WAIST 6G BAND</t>
    <phoneticPr fontId="2" type="noConversion"/>
  </si>
  <si>
    <t>뒤허리6골 고무줄</t>
    <phoneticPr fontId="1" type="noConversion"/>
  </si>
  <si>
    <t>FRONT WAIST SWEEP (1/2)</t>
    <phoneticPr fontId="2" type="noConversion"/>
  </si>
  <si>
    <t>앞허리둘레(반품)</t>
    <phoneticPr fontId="19" type="noConversion"/>
  </si>
  <si>
    <t>소매4골고무줄</t>
    <phoneticPr fontId="19" type="noConversion"/>
  </si>
  <si>
    <t xml:space="preserve">1ST SKIRT LENGTH </t>
    <phoneticPr fontId="1" type="noConversion"/>
  </si>
  <si>
    <t>1단치마 기장</t>
    <phoneticPr fontId="1" type="noConversion"/>
  </si>
  <si>
    <t xml:space="preserve">2ND SKIRT LENGTH </t>
    <phoneticPr fontId="1" type="noConversion"/>
  </si>
  <si>
    <t>2단치마 기장</t>
    <phoneticPr fontId="1" type="noConversion"/>
  </si>
  <si>
    <t>리본위치</t>
    <phoneticPr fontId="19" type="noConversion"/>
  </si>
  <si>
    <t>밑단둘레</t>
    <phoneticPr fontId="19" type="noConversion"/>
  </si>
  <si>
    <t xml:space="preserve">BOTTOM SWEEP </t>
    <phoneticPr fontId="2" type="noConversion"/>
  </si>
  <si>
    <t>AT CENTER BACK HIGHT</t>
    <phoneticPr fontId="1" type="noConversion"/>
  </si>
  <si>
    <t>뒷목 중심에서 수직으로 잰 길이</t>
    <phoneticPr fontId="1" type="noConversion"/>
  </si>
  <si>
    <t>FRONT POCKET LENGTH</t>
    <phoneticPr fontId="2" type="noConversion"/>
  </si>
  <si>
    <t>앞주머니입구</t>
    <phoneticPr fontId="1" type="noConversion"/>
  </si>
  <si>
    <t>FRONT ZIPPER LENGTH</t>
    <phoneticPr fontId="1" type="noConversion"/>
  </si>
  <si>
    <t>앞옆목에서 수직으로</t>
    <phoneticPr fontId="1" type="noConversion"/>
  </si>
  <si>
    <t>앞중심에서 수평으로</t>
    <phoneticPr fontId="1" type="noConversion"/>
  </si>
  <si>
    <t>소매부리에서 직선으로 잰길이</t>
    <phoneticPr fontId="1" type="noConversion"/>
  </si>
  <si>
    <t xml:space="preserve">25MM-BAND </t>
    <phoneticPr fontId="1" type="noConversion"/>
  </si>
  <si>
    <t xml:space="preserve">20MM-BAND </t>
    <phoneticPr fontId="1" type="noConversion"/>
  </si>
  <si>
    <t>STYLE NO: JYUPT04-W#Y04</t>
    <phoneticPr fontId="1" type="noConversion"/>
  </si>
  <si>
    <t>오비포함,와끼기준</t>
    <phoneticPr fontId="1" type="noConversion"/>
  </si>
  <si>
    <t>STYLE NO: JYUSK01-W#R08</t>
    <phoneticPr fontId="1" type="noConversion"/>
  </si>
  <si>
    <t>보이는부분,레이스까지</t>
    <phoneticPr fontId="1" type="noConversion"/>
  </si>
  <si>
    <t>STYLE NO: JYUPT03-W#H05</t>
    <phoneticPr fontId="1" type="noConversion"/>
  </si>
  <si>
    <t>STYLE NO: JYUSK02-W#R09</t>
    <phoneticPr fontId="1" type="noConversion"/>
  </si>
  <si>
    <r>
      <rPr>
        <sz val="7.5"/>
        <color rgb="FFFF0000"/>
        <rFont val="맑은 고딕"/>
        <family val="3"/>
        <charset val="129"/>
        <scheme val="major"/>
      </rPr>
      <t>오비제외</t>
    </r>
    <r>
      <rPr>
        <sz val="7.5"/>
        <color theme="1"/>
        <rFont val="맑은 고딕"/>
        <family val="3"/>
        <charset val="129"/>
        <scheme val="major"/>
      </rPr>
      <t>,1단레이스까지</t>
    </r>
    <phoneticPr fontId="1" type="noConversion"/>
  </si>
  <si>
    <t>보이는부분,2단레이스까지</t>
    <phoneticPr fontId="1" type="noConversion"/>
  </si>
  <si>
    <t xml:space="preserve">3RD SKIRT LENGTH </t>
    <phoneticPr fontId="1" type="noConversion"/>
  </si>
  <si>
    <t>3단치마 기장</t>
    <phoneticPr fontId="1" type="noConversion"/>
  </si>
  <si>
    <t>보이는부분,3단레이스까지</t>
    <phoneticPr fontId="1" type="noConversion"/>
  </si>
  <si>
    <t>STYLE NO: JYUOU03-W#H07</t>
    <phoneticPr fontId="1" type="noConversion"/>
  </si>
  <si>
    <t>STYLE NO: JYUOP03-K#Y02</t>
    <phoneticPr fontId="1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</si>
  <si>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</si>
  <si>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</si>
  <si>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목라인(NECK LINE)을 따라 잰 곡선의 둘레길이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</si>
  <si>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YOKE SWEEP (1/2)</t>
    <phoneticPr fontId="2" type="noConversion"/>
  </si>
  <si>
    <t>요크둘레(반품)</t>
    <phoneticPr fontId="19" type="noConversion"/>
  </si>
  <si>
    <t>상단요크</t>
    <phoneticPr fontId="19" type="noConversion"/>
  </si>
  <si>
    <t>YOKE LENGTH</t>
    <phoneticPr fontId="2" type="noConversion"/>
  </si>
  <si>
    <t>요크기장</t>
    <phoneticPr fontId="19" type="noConversion"/>
  </si>
  <si>
    <t>옆목점에서 요크까지의 직선길이</t>
    <phoneticPr fontId="1" type="noConversion"/>
  </si>
  <si>
    <t>요크선에서 밑단프릴까지의 수직 길이</t>
    <phoneticPr fontId="19" type="noConversion"/>
  </si>
  <si>
    <t>어깨끈길이</t>
    <phoneticPr fontId="1" type="noConversion"/>
  </si>
  <si>
    <t>15mm-BAND</t>
    <phoneticPr fontId="1" type="noConversion"/>
  </si>
  <si>
    <t>어깨밴드</t>
    <phoneticPr fontId="19" type="noConversion"/>
  </si>
  <si>
    <t>와끼선의 치마밑단 양끝점을 수평으로 잰 길이</t>
    <phoneticPr fontId="1" type="noConversion"/>
  </si>
  <si>
    <t>STYLE NO: JYUTO30-K#H18</t>
    <phoneticPr fontId="1" type="noConversion"/>
  </si>
  <si>
    <t>허리선에서 밑단까지의 직선길이</t>
    <phoneticPr fontId="19" type="noConversion"/>
  </si>
  <si>
    <t>와끼선의 허리선 양끝점을 수평으로 잰 길이</t>
    <phoneticPr fontId="1" type="noConversion"/>
  </si>
  <si>
    <t>WAIST SWEEP (1/2)</t>
    <phoneticPr fontId="2" type="noConversion"/>
  </si>
  <si>
    <t>허리둘레(반품)</t>
    <phoneticPr fontId="19" type="noConversion"/>
  </si>
  <si>
    <t>STYLE NO: JYUTO11-K#A01</t>
    <phoneticPr fontId="1" type="noConversion"/>
  </si>
  <si>
    <t>리본</t>
    <phoneticPr fontId="19" type="noConversion"/>
  </si>
  <si>
    <t>STYLE NO: JYUOP01-W#H04</t>
    <phoneticPr fontId="1" type="noConversion"/>
  </si>
  <si>
    <t>FRONT YOKE LENGTH</t>
    <phoneticPr fontId="19" type="noConversion"/>
  </si>
  <si>
    <t>앞요크길이</t>
    <phoneticPr fontId="19" type="noConversion"/>
  </si>
  <si>
    <t>앞중심</t>
    <phoneticPr fontId="19" type="noConversion"/>
  </si>
  <si>
    <t>BACK YOKE LENGTH</t>
    <phoneticPr fontId="19" type="noConversion"/>
  </si>
  <si>
    <t>뒤요크길이</t>
    <phoneticPr fontId="19" type="noConversion"/>
  </si>
  <si>
    <t>와끼</t>
    <phoneticPr fontId="19" type="noConversion"/>
  </si>
  <si>
    <t xml:space="preserve">4TH SKIRT LENGTH </t>
    <phoneticPr fontId="1" type="noConversion"/>
  </si>
  <si>
    <t xml:space="preserve">FRONT TOTAL SKIRT LENGTH </t>
    <phoneticPr fontId="1" type="noConversion"/>
  </si>
  <si>
    <t>앞총치마 기장</t>
    <phoneticPr fontId="1" type="noConversion"/>
  </si>
  <si>
    <t xml:space="preserve">BACK TOTAL SKIRT LENGTH </t>
    <phoneticPr fontId="1" type="noConversion"/>
  </si>
  <si>
    <t>뒤총치마 기장</t>
    <phoneticPr fontId="1" type="noConversion"/>
  </si>
  <si>
    <t>BACK SLIT LENGTH</t>
    <phoneticPr fontId="1" type="noConversion"/>
  </si>
  <si>
    <t>뒤트임길이</t>
    <phoneticPr fontId="1" type="noConversion"/>
  </si>
  <si>
    <t>4단치마 기장</t>
    <phoneticPr fontId="1" type="noConversion"/>
  </si>
  <si>
    <t>STYLE NO: JYUOP05-W#Y10</t>
    <phoneticPr fontId="1" type="noConversion"/>
  </si>
  <si>
    <t>OUTSIDE SLEEVE LENGTH</t>
    <phoneticPr fontId="2" type="noConversion"/>
  </si>
  <si>
    <t>겉소매기장</t>
    <phoneticPr fontId="19" type="noConversion"/>
  </si>
  <si>
    <t>INSIDE SLEEVE LENGTH</t>
    <phoneticPr fontId="2" type="noConversion"/>
  </si>
  <si>
    <t>속소매기장</t>
    <phoneticPr fontId="19" type="noConversion"/>
  </si>
  <si>
    <t>중심,보이는분분</t>
    <phoneticPr fontId="19" type="noConversion"/>
  </si>
  <si>
    <t>BACK ZIPPER LENGTH</t>
    <phoneticPr fontId="1" type="noConversion"/>
  </si>
  <si>
    <t>뒤지퍼 길이</t>
    <phoneticPr fontId="1" type="noConversion"/>
  </si>
  <si>
    <t>STYLE NO: JYUPT01-W#R02</t>
    <phoneticPr fontId="1" type="noConversion"/>
  </si>
  <si>
    <t>앞구찌길이</t>
    <phoneticPr fontId="19" type="noConversion"/>
  </si>
  <si>
    <t>FRONT WELT POCKET LENGTH</t>
    <phoneticPr fontId="1" type="noConversion"/>
  </si>
  <si>
    <t>WAIST STRING LENGTH</t>
    <phoneticPr fontId="2" type="noConversion"/>
  </si>
  <si>
    <t>허리스트링길이</t>
    <phoneticPr fontId="1" type="noConversion"/>
  </si>
  <si>
    <t>STYLE NO: JYUOU02-W#R01</t>
    <phoneticPr fontId="1" type="noConversion"/>
  </si>
  <si>
    <t>BOTTOM 25mm BAND</t>
    <phoneticPr fontId="2" type="noConversion"/>
  </si>
  <si>
    <t>밑단25mm고무줄</t>
    <phoneticPr fontId="19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</si>
  <si>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</si>
  <si>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SLEEVE 25mm BAND</t>
    <phoneticPr fontId="2" type="noConversion"/>
  </si>
  <si>
    <t>소매25mm고무줄</t>
    <phoneticPr fontId="19" type="noConversion"/>
  </si>
  <si>
    <t>넓은쪽,지퍼제외</t>
    <phoneticPr fontId="19" type="noConversion"/>
  </si>
  <si>
    <t>FRONT POCKET 6G BAND</t>
    <phoneticPr fontId="1" type="noConversion"/>
  </si>
  <si>
    <t>앞주머니 6골 고무줄</t>
    <phoneticPr fontId="19" type="noConversion"/>
  </si>
  <si>
    <t>STYLE NO: JYUOU01-W#Y01</t>
    <phoneticPr fontId="1" type="noConversion"/>
  </si>
  <si>
    <t>SLEEVE 8G BAND</t>
    <phoneticPr fontId="2" type="noConversion"/>
  </si>
  <si>
    <t>소매8골고무줄</t>
    <phoneticPr fontId="19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</si>
  <si>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</si>
  <si>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</si>
  <si>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</si>
  <si>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</si>
  <si>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</si>
  <si>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</si>
  <si>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</si>
  <si>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</si>
  <si>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t>FRONT POCKET 6G BAND</t>
    <phoneticPr fontId="2" type="noConversion"/>
  </si>
  <si>
    <t>앞주머니6골고무줄</t>
    <phoneticPr fontId="19" type="noConversion"/>
  </si>
  <si>
    <t>FRONT SLDE PANEL 6G BAND</t>
    <phoneticPr fontId="2" type="noConversion"/>
  </si>
  <si>
    <t>앞사이바6골고무줄</t>
    <phoneticPr fontId="19" type="noConversion"/>
  </si>
  <si>
    <t>전체길이</t>
    <phoneticPr fontId="19" type="noConversion"/>
  </si>
  <si>
    <t>앞옆목에서 수직으로(완성)</t>
    <phoneticPr fontId="1" type="noConversion"/>
  </si>
  <si>
    <t>STYLE NO: JYUPT07-D#R14</t>
    <phoneticPr fontId="1" type="noConversion"/>
  </si>
  <si>
    <t>바지기장(프릴제외)</t>
    <phoneticPr fontId="19" type="noConversion"/>
  </si>
  <si>
    <t>앞밑위(프릴제외)</t>
    <phoneticPr fontId="19" type="noConversion"/>
  </si>
  <si>
    <t>뒤밑위(프릴제외)</t>
    <phoneticPr fontId="19" type="noConversion"/>
  </si>
  <si>
    <t>STYLE NO: JYUOP08-K#R11</t>
    <phoneticPr fontId="1" type="noConversion"/>
  </si>
  <si>
    <t>SHOULDER STRAP</t>
    <phoneticPr fontId="19" type="noConversion"/>
  </si>
  <si>
    <t>LONG SLEEVE LENGTH</t>
    <phoneticPr fontId="2" type="noConversion"/>
  </si>
  <si>
    <t>긴소매기장</t>
    <phoneticPr fontId="19" type="noConversion"/>
  </si>
  <si>
    <t>짦은소매기장</t>
    <phoneticPr fontId="19" type="noConversion"/>
  </si>
  <si>
    <t>SHORT SLEEVE LENGTH</t>
    <phoneticPr fontId="2" type="noConversion"/>
  </si>
  <si>
    <t>랍바끝</t>
    <phoneticPr fontId="19" type="noConversion"/>
  </si>
  <si>
    <r>
      <t>옆목점을 수평으로 잰 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</si>
  <si>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STYLE NO: JYUOP09-W#H14</t>
    <phoneticPr fontId="1" type="noConversion"/>
  </si>
  <si>
    <t>FRONT LENGTH</t>
    <phoneticPr fontId="2" type="noConversion"/>
  </si>
  <si>
    <t>BACK LENGTH</t>
    <phoneticPr fontId="2" type="noConversion"/>
  </si>
  <si>
    <t>뒤기장(중심)</t>
    <phoneticPr fontId="2" type="noConversion"/>
  </si>
  <si>
    <t>앞기장(중심)</t>
    <phoneticPr fontId="2" type="noConversion"/>
  </si>
  <si>
    <t>어깨 끈길이</t>
    <phoneticPr fontId="19" type="noConversion"/>
  </si>
  <si>
    <t>FRONT UPPER CHEST</t>
    <phoneticPr fontId="2" type="noConversion"/>
  </si>
  <si>
    <t>앞바대 폭</t>
    <phoneticPr fontId="1" type="noConversion"/>
  </si>
  <si>
    <t>BACK UPPER CHEST</t>
    <phoneticPr fontId="2" type="noConversion"/>
  </si>
  <si>
    <t>뒤바대 폭</t>
    <phoneticPr fontId="1" type="noConversion"/>
  </si>
  <si>
    <t>SKIRT LENGTH</t>
    <phoneticPr fontId="19" type="noConversion"/>
  </si>
  <si>
    <t>치마기장</t>
    <phoneticPr fontId="19" type="noConversion"/>
  </si>
  <si>
    <t>앞목에서 수직으로</t>
    <phoneticPr fontId="1" type="noConversion"/>
  </si>
  <si>
    <t>10mm랍바</t>
    <phoneticPr fontId="19" type="noConversion"/>
  </si>
  <si>
    <t>STYLE NO: JYUTO13-K#A03</t>
    <phoneticPr fontId="1" type="noConversion"/>
  </si>
  <si>
    <t>앞중심에서 수평으로 잰 길이</t>
    <phoneticPr fontId="19" type="noConversion"/>
  </si>
  <si>
    <t>옆목점에서 수직으로 잰 길이</t>
    <phoneticPr fontId="19" type="noConversion"/>
  </si>
  <si>
    <t>STYLE NO: JYUTO07-K#G04</t>
    <phoneticPr fontId="1" type="noConversion"/>
  </si>
  <si>
    <t>뒤중심 끈길이</t>
    <phoneticPr fontId="19" type="noConversion"/>
  </si>
  <si>
    <t xml:space="preserve">BACK NECK DROP </t>
    <phoneticPr fontId="2" type="noConversion"/>
  </si>
  <si>
    <t>뒤목깊이</t>
    <phoneticPr fontId="19" type="noConversion"/>
  </si>
  <si>
    <t>MAKE IMAGE LINE TO CENTER NECK BACK</t>
    <phoneticPr fontId="2" type="noConversion"/>
  </si>
  <si>
    <r>
      <t xml:space="preserve">옆목점에서 뒷목중심의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</si>
  <si>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STYLE NO: JYUOP02-W#H01</t>
    <phoneticPr fontId="1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</si>
  <si>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</si>
  <si>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앞중심에서 밑단까지의 직선길이</t>
    <phoneticPr fontId="1" type="noConversion"/>
  </si>
  <si>
    <r>
      <t xml:space="preserve">CB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</si>
  <si>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뒤중심에서 밑단까지의 직선길이</t>
    <phoneticPr fontId="1" type="noConversion"/>
  </si>
  <si>
    <t>뒤지퍼길이</t>
    <phoneticPr fontId="1" type="noConversion"/>
  </si>
  <si>
    <t>STYLE NO: JYUOP06-W#Y11</t>
    <phoneticPr fontId="1" type="noConversion"/>
  </si>
  <si>
    <t>STYLE NO: JYUTO14-K#A04</t>
    <phoneticPr fontId="1" type="noConversion"/>
  </si>
  <si>
    <t>STYLE NO: JYUOU05-K#Y12</t>
    <phoneticPr fontId="1" type="noConversion"/>
  </si>
  <si>
    <r>
      <t xml:space="preserve">어깨 끝점에서 소매 부리(밑단) 끝까지의 직선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</si>
  <si>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r>
      <t xml:space="preserve">소매 밑단(시보리 밑단)의 둘레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</si>
  <si>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r>
      <t xml:space="preserve">뒷목 중심에서 밑단끝까지 직선길이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</si>
  <si>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</si>
  <si>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</si>
  <si>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r>
      <t xml:space="preserve">목라인(NECK LINE)을 따라 잰 곡선의 둘레길이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</si>
  <si>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t>STYLE NO: JYUSK03-W#Y15</t>
    <phoneticPr fontId="1" type="noConversion"/>
  </si>
  <si>
    <r>
      <t>치마 총기장</t>
    </r>
    <r>
      <rPr>
        <sz val="7.5"/>
        <color rgb="FFFF0000"/>
        <rFont val="맑은 고딕"/>
        <family val="3"/>
        <charset val="129"/>
        <scheme val="minor"/>
      </rPr>
      <t>(오비프릴제외)</t>
    </r>
    <phoneticPr fontId="1" type="noConversion"/>
  </si>
  <si>
    <t>오비제외</t>
    <phoneticPr fontId="19" type="noConversion"/>
  </si>
  <si>
    <t>레이스포함</t>
    <phoneticPr fontId="19" type="noConversion"/>
  </si>
  <si>
    <t>STYLE NO: JYUSE03-W#G06</t>
    <phoneticPr fontId="1" type="noConversion"/>
  </si>
  <si>
    <t>앞기장(앞중심)</t>
    <phoneticPr fontId="2" type="noConversion"/>
  </si>
  <si>
    <t>뒤기장(뒤중심)</t>
    <phoneticPr fontId="2" type="noConversion"/>
  </si>
  <si>
    <t xml:space="preserve"> SHOULDER STRAP 6G BAND</t>
    <phoneticPr fontId="2" type="noConversion"/>
  </si>
  <si>
    <t>어깨끈 6골고무줄</t>
    <phoneticPr fontId="19" type="noConversion"/>
  </si>
  <si>
    <t>BACK 4G BAND</t>
    <phoneticPr fontId="19" type="noConversion"/>
  </si>
  <si>
    <t>뒤4골고무줄</t>
    <phoneticPr fontId="19" type="noConversion"/>
  </si>
  <si>
    <t>뒤스모킹 완성</t>
    <phoneticPr fontId="19" type="noConversion"/>
  </si>
  <si>
    <t xml:space="preserve">BACK SMOKING </t>
    <phoneticPr fontId="19" type="noConversion"/>
  </si>
  <si>
    <t>엉덩이 위치(프릴제외)</t>
    <phoneticPr fontId="1" type="noConversion"/>
  </si>
  <si>
    <t>WAIST 8G BAND</t>
    <phoneticPr fontId="2" type="noConversion"/>
  </si>
  <si>
    <t>허리 8골밴드</t>
    <phoneticPr fontId="19" type="noConversion"/>
  </si>
  <si>
    <t>8G-BAND</t>
    <phoneticPr fontId="19" type="noConversion"/>
  </si>
  <si>
    <t>STYLE NO: JYUOP11-W#R16</t>
    <phoneticPr fontId="1" type="noConversion"/>
  </si>
  <si>
    <t xml:space="preserve">옆목점에서 뒤목중심의 수직 길이 </t>
    <phoneticPr fontId="1" type="noConversion"/>
  </si>
  <si>
    <t>SKIRT LENGTH</t>
    <phoneticPr fontId="1" type="noConversion"/>
  </si>
  <si>
    <t>치마기장</t>
    <phoneticPr fontId="1" type="noConversion"/>
  </si>
  <si>
    <t>하트위치,스테치</t>
    <phoneticPr fontId="1" type="noConversion"/>
  </si>
  <si>
    <t>STYLE NO: JYUTO06-K#G03</t>
    <phoneticPr fontId="1" type="noConversion"/>
  </si>
  <si>
    <t>STYLE NO: JYUSE04-W#R15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</si>
  <si>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(패턴길이)</t>
    </r>
    <phoneticPr fontId="1" type="noConversion"/>
  </si>
  <si>
    <t>BOTTOM 12mm BAND</t>
    <phoneticPr fontId="2" type="noConversion"/>
  </si>
  <si>
    <t>밑단12mm고무줄</t>
    <phoneticPr fontId="19" type="noConversion"/>
  </si>
  <si>
    <t>BOTTOM 4G BAND</t>
    <phoneticPr fontId="19" type="noConversion"/>
  </si>
  <si>
    <t>밑단4골고무줄</t>
    <phoneticPr fontId="19" type="noConversion"/>
  </si>
  <si>
    <t>STYLE NO: JYUTO15-K#A05</t>
    <phoneticPr fontId="1" type="noConversion"/>
  </si>
  <si>
    <t>STYLE NO: JYUTO05-K#G02</t>
    <phoneticPr fontId="1" type="noConversion"/>
  </si>
  <si>
    <t>앞중심에서 수직으로 잰 길이</t>
    <phoneticPr fontId="19" type="noConversion"/>
  </si>
  <si>
    <t>울스트링완성</t>
    <phoneticPr fontId="19" type="noConversion"/>
  </si>
  <si>
    <t>STYLE NO: JYUTO09-K#Y06</t>
    <phoneticPr fontId="1" type="noConversion"/>
  </si>
  <si>
    <r>
      <t xml:space="preserve">옆목점에서 밑단까지의 직선길이 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</si>
  <si>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t>BOTTOM LACE LENGTH</t>
    <phoneticPr fontId="1" type="noConversion"/>
  </si>
  <si>
    <t>밑단 레이스 기장</t>
    <phoneticPr fontId="1" type="noConversion"/>
  </si>
  <si>
    <t>보이는부분</t>
    <phoneticPr fontId="19" type="noConversion"/>
  </si>
  <si>
    <t>STYLE NO: JYUTO32-K#H16</t>
    <phoneticPr fontId="1" type="noConversion"/>
  </si>
  <si>
    <t xml:space="preserve">어깨 끝점에서 소매 부리(립포함) 끝까지의 직선 길이 </t>
    <phoneticPr fontId="1" type="noConversion"/>
  </si>
  <si>
    <t>STYLE NO: JYUPT08-K#H15</t>
    <phoneticPr fontId="1" type="noConversion"/>
  </si>
  <si>
    <t>뒤주머니</t>
    <phoneticPr fontId="19" type="noConversion"/>
  </si>
  <si>
    <t>STYLE NO: JYUTO21-K#G11</t>
    <phoneticPr fontId="1" type="noConversion"/>
  </si>
  <si>
    <t>STYLE NO: JYUTO27-K#H21</t>
    <phoneticPr fontId="1" type="noConversion"/>
  </si>
  <si>
    <t>리본 양끝</t>
    <phoneticPr fontId="19" type="noConversion"/>
  </si>
  <si>
    <t>바데 끝에서 밑단끝</t>
    <phoneticPr fontId="19" type="noConversion"/>
  </si>
  <si>
    <t>총기장(바데)</t>
    <phoneticPr fontId="2" type="noConversion"/>
  </si>
  <si>
    <t>SHOULDER 6G BAND</t>
    <phoneticPr fontId="2" type="noConversion"/>
  </si>
  <si>
    <t>어깨6골고무줄</t>
    <phoneticPr fontId="19" type="noConversion"/>
  </si>
  <si>
    <t>뒤허리6골고무줄</t>
    <phoneticPr fontId="19" type="noConversion"/>
  </si>
  <si>
    <t>BACK SMOKING ACTUAL</t>
    <phoneticPr fontId="1" type="noConversion"/>
  </si>
  <si>
    <t>뒤스모킹 완성</t>
    <phoneticPr fontId="1" type="noConversion"/>
  </si>
  <si>
    <t>BACK SMOKING 6G BAND</t>
    <phoneticPr fontId="1" type="noConversion"/>
  </si>
  <si>
    <t>뒤스모킹 6골고무줄</t>
    <phoneticPr fontId="1" type="noConversion"/>
  </si>
  <si>
    <t>STYLE NO: JYUOU06-S#R22(니트)</t>
    <phoneticPr fontId="1" type="noConversion"/>
  </si>
  <si>
    <r>
      <t xml:space="preserve">어깨 양끝점을 수평으로 잰 길이 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</si>
  <si>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BOTTOM RIB WIDTH</t>
    <phoneticPr fontId="2" type="noConversion"/>
  </si>
  <si>
    <t>밑단립 폭</t>
    <phoneticPr fontId="1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</si>
  <si>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</si>
  <si>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>옆목점을 수평으로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</si>
  <si>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NECK RIB WIDTH</t>
    <phoneticPr fontId="2" type="noConversion"/>
  </si>
  <si>
    <t>에리립 폭</t>
    <phoneticPr fontId="1" type="noConversion"/>
  </si>
  <si>
    <t>FRONT PLACKET WIDTH</t>
    <phoneticPr fontId="2" type="noConversion"/>
  </si>
  <si>
    <t>앞단작폭</t>
    <phoneticPr fontId="1" type="noConversion"/>
  </si>
  <si>
    <t>STYLE NO: JYUOU07-S#R21(니트)</t>
    <phoneticPr fontId="1" type="noConversion"/>
  </si>
  <si>
    <t>SLEEVE RIB WIDTH</t>
    <phoneticPr fontId="2" type="noConversion"/>
  </si>
  <si>
    <t>소매립 폭</t>
    <phoneticPr fontId="1" type="noConversion"/>
  </si>
  <si>
    <t>STYLE NO: JYUPT05-W#Y09</t>
    <phoneticPr fontId="1" type="noConversion"/>
  </si>
  <si>
    <t>1ST SKIRT LENGTH</t>
  </si>
  <si>
    <t>1단 치마기장</t>
  </si>
  <si>
    <t>2ND SKIRT LENGTH</t>
  </si>
  <si>
    <t>2단 치마기장</t>
  </si>
  <si>
    <t>1단밑단부터 보이는부분</t>
    <phoneticPr fontId="19" type="noConversion"/>
  </si>
  <si>
    <t>STYLE NO: JYUOP10-W#A32</t>
    <phoneticPr fontId="1" type="noConversion"/>
  </si>
  <si>
    <t>STYLE NO: JYUTO17-K#A33</t>
    <phoneticPr fontId="1" type="noConversion"/>
  </si>
  <si>
    <t>완성사이즈</t>
  </si>
  <si>
    <t>완성사이즈</t>
    <phoneticPr fontId="19" type="noConversion"/>
  </si>
  <si>
    <t>뒷목깊이</t>
    <phoneticPr fontId="19" type="noConversion"/>
  </si>
  <si>
    <t>WAIST 4G-BAND</t>
    <phoneticPr fontId="19" type="noConversion"/>
  </si>
  <si>
    <t>허리4골고무줄</t>
    <phoneticPr fontId="19" type="noConversion"/>
  </si>
  <si>
    <t>넥끈길이</t>
    <phoneticPr fontId="19" type="noConversion"/>
  </si>
  <si>
    <t>4G-BAND</t>
    <phoneticPr fontId="19" type="noConversion"/>
  </si>
  <si>
    <t>STYLE NO: JYUPT14-W#R28</t>
    <phoneticPr fontId="1" type="noConversion"/>
  </si>
  <si>
    <t>여유분=4cm</t>
    <phoneticPr fontId="19" type="noConversion"/>
  </si>
  <si>
    <t>BACK WELT POCKET LENGTH</t>
    <phoneticPr fontId="2" type="noConversion"/>
  </si>
  <si>
    <t>뒤구찌길이</t>
    <phoneticPr fontId="1" type="noConversion"/>
  </si>
  <si>
    <t>STYLE NO: JYUTO08-K#G05</t>
    <phoneticPr fontId="1" type="noConversion"/>
  </si>
  <si>
    <t>F/B NECK UPPER CHEST</t>
    <phoneticPr fontId="2" type="noConversion"/>
  </si>
  <si>
    <t>앞/뒷목바대폭</t>
    <phoneticPr fontId="19" type="noConversion"/>
  </si>
  <si>
    <t>목중심에서 양끝점을 수평으로 잰 길이</t>
    <phoneticPr fontId="1" type="noConversion"/>
  </si>
  <si>
    <t>SHOULDER 4G-BAND</t>
    <phoneticPr fontId="2" type="noConversion"/>
  </si>
  <si>
    <t>어깨 4골고무줄</t>
    <phoneticPr fontId="19" type="noConversion"/>
  </si>
  <si>
    <t>완성사이즈</t>
    <phoneticPr fontId="1" type="noConversion"/>
  </si>
  <si>
    <t>CUFFS OPENING 4G-BAND</t>
    <phoneticPr fontId="2" type="noConversion"/>
  </si>
  <si>
    <t>소매부리4골고무줄</t>
    <phoneticPr fontId="19" type="noConversion"/>
  </si>
  <si>
    <t>STYLE NO: JYUPT13-W#R27</t>
    <phoneticPr fontId="1" type="noConversion"/>
  </si>
  <si>
    <t>FRONT WRAP LENGTH</t>
    <phoneticPr fontId="1" type="noConversion"/>
  </si>
  <si>
    <t>앞랩기장</t>
    <phoneticPr fontId="19" type="noConversion"/>
  </si>
  <si>
    <t>중심쪽</t>
    <phoneticPr fontId="19" type="noConversion"/>
  </si>
  <si>
    <t>STYLE NO: JYUTO19-K#G09</t>
    <phoneticPr fontId="1" type="noConversion"/>
  </si>
  <si>
    <t>뒤요크기장</t>
    <phoneticPr fontId="19" type="noConversion"/>
  </si>
  <si>
    <t>STYLE NO: JYUTO22-K#Y13</t>
    <phoneticPr fontId="1" type="noConversion"/>
  </si>
  <si>
    <t>STYLE NO: JYUTO12-K#A02</t>
    <phoneticPr fontId="1" type="noConversion"/>
  </si>
  <si>
    <t>짧은소매기장</t>
    <phoneticPr fontId="19" type="noConversion"/>
  </si>
  <si>
    <t>SHOULDER 10mm BAND</t>
    <phoneticPr fontId="1" type="noConversion"/>
  </si>
  <si>
    <t>어깨10mm고무줄</t>
    <phoneticPr fontId="1" type="noConversion"/>
  </si>
  <si>
    <t>STYLE NO: JYUPT11-D#Y18</t>
    <phoneticPr fontId="1" type="noConversion"/>
  </si>
  <si>
    <t xml:space="preserve"> </t>
    <phoneticPr fontId="19" type="noConversion"/>
  </si>
  <si>
    <t>STYLE NO: JYUPT12-W#R36</t>
    <phoneticPr fontId="1" type="noConversion"/>
  </si>
  <si>
    <t>엉덩이둘레(셔링펴서)</t>
    <phoneticPr fontId="19" type="noConversion"/>
  </si>
  <si>
    <t>BACK POCKET LENGTH</t>
    <phoneticPr fontId="2" type="noConversion"/>
  </si>
  <si>
    <t>뒤주머니입구</t>
    <phoneticPr fontId="1" type="noConversion"/>
  </si>
  <si>
    <t>하트 입구</t>
    <phoneticPr fontId="19" type="noConversion"/>
  </si>
  <si>
    <t>하트 세로</t>
    <phoneticPr fontId="19" type="noConversion"/>
  </si>
  <si>
    <t>STYLE NO: JYUOP12-W#R17</t>
    <phoneticPr fontId="1" type="noConversion"/>
  </si>
  <si>
    <t>STYLE NO: JYUTO18-K#G08</t>
    <phoneticPr fontId="1" type="noConversion"/>
  </si>
  <si>
    <t>STYLE NO: JYUTO20-K#G10</t>
    <phoneticPr fontId="1" type="noConversion"/>
  </si>
  <si>
    <t>겉-밑단에서 수직으로</t>
    <phoneticPr fontId="19" type="noConversion"/>
  </si>
  <si>
    <t>겉-와끼에서 수평으로</t>
    <phoneticPr fontId="19" type="noConversion"/>
  </si>
  <si>
    <t>STYLE NO: JYUTO28-K#H20</t>
    <phoneticPr fontId="1" type="noConversion"/>
  </si>
  <si>
    <t>STYLE NO: JYUTO31-K#H17</t>
    <phoneticPr fontId="1" type="noConversion"/>
  </si>
  <si>
    <t>STYLE NO: JYUPT06-K#G07</t>
    <phoneticPr fontId="1" type="noConversion"/>
  </si>
  <si>
    <t>BACK POCKET WIDTH</t>
  </si>
  <si>
    <t>뒤주머니너비</t>
  </si>
  <si>
    <t>BACK POCKET HEIGHT</t>
  </si>
  <si>
    <t>뒤주머니높이</t>
  </si>
  <si>
    <t xml:space="preserve">밑단에서 수직으로 </t>
    <phoneticPr fontId="19" type="noConversion"/>
  </si>
  <si>
    <t>와끼에서 수평으로</t>
    <phoneticPr fontId="19" type="noConversion"/>
  </si>
  <si>
    <t>STYLE NO: JYUTO36-W#H27</t>
    <phoneticPr fontId="1" type="noConversion"/>
  </si>
  <si>
    <t>WAIST 6G BAND</t>
    <phoneticPr fontId="2" type="noConversion"/>
  </si>
  <si>
    <t>허리6골고무줄</t>
    <phoneticPr fontId="19" type="noConversion"/>
  </si>
  <si>
    <t xml:space="preserve">BOTTOM FRILL LENGTH </t>
    <phoneticPr fontId="1" type="noConversion"/>
  </si>
  <si>
    <t>밑단프릴 기장</t>
    <phoneticPr fontId="1" type="noConversion"/>
  </si>
  <si>
    <t>BACK ZIPPER LENGTH</t>
    <phoneticPr fontId="19" type="noConversion"/>
  </si>
  <si>
    <t>뒤지퍼길이</t>
    <phoneticPr fontId="19" type="noConversion"/>
  </si>
  <si>
    <t>STYLE NO: JYUTO29-K#H19</t>
    <phoneticPr fontId="1" type="noConversion"/>
  </si>
  <si>
    <t>STYLE NO: JYUTO26-K#H22</t>
    <phoneticPr fontId="1" type="noConversion"/>
  </si>
  <si>
    <t>STYLE NO: JYUTO23-K#Y14</t>
    <phoneticPr fontId="1" type="noConversion"/>
  </si>
  <si>
    <t>STYLE NO: JYUPT10-W#Y17</t>
    <phoneticPr fontId="1" type="noConversion"/>
  </si>
  <si>
    <t>바지 인심밑단에서 와끼선까지의 직선의 길이(둘레)</t>
    <phoneticPr fontId="2" type="noConversion"/>
  </si>
  <si>
    <t>STYLE NO: JYUTO35-W#R25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</si>
  <si>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(셔링펴서)</t>
    </r>
    <phoneticPr fontId="1" type="noConversion"/>
  </si>
  <si>
    <t>앞요크기장</t>
    <phoneticPr fontId="19" type="noConversion"/>
  </si>
  <si>
    <t>중심</t>
    <phoneticPr fontId="19" type="noConversion"/>
  </si>
  <si>
    <t>STYLE NO: JYUSK05-W#H28</t>
    <phoneticPr fontId="1" type="noConversion"/>
  </si>
  <si>
    <t>BOTTOM FRILL WIDTH</t>
    <phoneticPr fontId="1" type="noConversion"/>
  </si>
  <si>
    <t>밑단프릴 폭</t>
    <phoneticPr fontId="1" type="noConversion"/>
  </si>
  <si>
    <t>STYLE NO: JYUTO34-K#R24</t>
    <phoneticPr fontId="1" type="noConversion"/>
  </si>
  <si>
    <t>MESH SLEEVE LENGTH</t>
    <phoneticPr fontId="2" type="noConversion"/>
  </si>
  <si>
    <t>망사소매기장</t>
    <phoneticPr fontId="19" type="noConversion"/>
  </si>
  <si>
    <t>소매4골 고무줄</t>
    <phoneticPr fontId="19" type="noConversion"/>
  </si>
  <si>
    <t>STYLE NO: JYUPT22-D#G22</t>
    <phoneticPr fontId="1" type="noConversion"/>
  </si>
  <si>
    <t>STYLE NO: JYUPT09-D#G12</t>
    <phoneticPr fontId="1" type="noConversion"/>
  </si>
  <si>
    <t>STYLE NO: JYUTO25-K#R13</t>
    <phoneticPr fontId="1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</si>
  <si>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(입어서우측)</t>
    </r>
    <phoneticPr fontId="1" type="noConversion"/>
  </si>
  <si>
    <t xml:space="preserve">ROUND ,@ NECK SEWING IN LINE </t>
    <phoneticPr fontId="19" type="noConversion"/>
  </si>
  <si>
    <r>
      <t>목라인 안쪽선을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</si>
  <si>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앞넥중심에서 수직으로 잰 길이</t>
    <phoneticPr fontId="19" type="noConversion"/>
  </si>
  <si>
    <t>WAIST 4G-BAND</t>
    <phoneticPr fontId="2" type="noConversion"/>
  </si>
  <si>
    <t>와끼 4골고무줄</t>
    <phoneticPr fontId="19" type="noConversion"/>
  </si>
  <si>
    <t>STYLE NO: JYUPT20-K#Y27</t>
    <phoneticPr fontId="1" type="noConversion"/>
  </si>
  <si>
    <t>FRONT POCKET 4G BAND</t>
    <phoneticPr fontId="1" type="noConversion"/>
  </si>
  <si>
    <t>앞주머니4골고무줄</t>
    <phoneticPr fontId="19" type="noConversion"/>
  </si>
  <si>
    <t>STYLE NO: JYUPT16-K#A15</t>
    <phoneticPr fontId="1" type="noConversion"/>
  </si>
  <si>
    <t>오비제외 앞뎅고 기준,오비프릴제외</t>
    <phoneticPr fontId="1" type="noConversion"/>
  </si>
  <si>
    <t>WAIST LACE LENGTH</t>
    <phoneticPr fontId="19" type="noConversion"/>
  </si>
  <si>
    <t>허리 레이스길이</t>
    <phoneticPr fontId="19" type="noConversion"/>
  </si>
  <si>
    <t>바지기장(오비프릴제외)</t>
    <phoneticPr fontId="19" type="noConversion"/>
  </si>
  <si>
    <t>앞밑위(오비프릴제외)</t>
    <phoneticPr fontId="19" type="noConversion"/>
  </si>
  <si>
    <t>뒤밑위(오비프릴제외)</t>
    <phoneticPr fontId="19" type="noConversion"/>
  </si>
  <si>
    <t>STYLE NO: JYUTO38-K#G16</t>
    <phoneticPr fontId="1" type="noConversion"/>
  </si>
  <si>
    <t>STYLE NO: JYUTO42-K#Y23</t>
    <phoneticPr fontId="1" type="noConversion"/>
  </si>
  <si>
    <t>STYLE NO: JYUTO45-K#H36</t>
    <phoneticPr fontId="1" type="noConversion"/>
  </si>
  <si>
    <t>STYLE NO: JYUSK07-W#H38</t>
    <phoneticPr fontId="1" type="noConversion"/>
  </si>
  <si>
    <t>STYLE NO: JYUTO52-K#R37</t>
    <phoneticPr fontId="1" type="noConversion"/>
  </si>
  <si>
    <t>옆목너비(주원단)</t>
    <phoneticPr fontId="19" type="noConversion"/>
  </si>
  <si>
    <t>앞목깊이(주원단)</t>
    <phoneticPr fontId="19" type="noConversion"/>
  </si>
  <si>
    <t>YOKE WIDTH</t>
    <phoneticPr fontId="19" type="noConversion"/>
  </si>
  <si>
    <t>골지요크 폭</t>
    <phoneticPr fontId="19" type="noConversion"/>
  </si>
  <si>
    <t>직선</t>
    <phoneticPr fontId="19" type="noConversion"/>
  </si>
  <si>
    <t>SIDESEAM 4G BAND</t>
    <phoneticPr fontId="19" type="noConversion"/>
  </si>
  <si>
    <t>와끼4골고무줄</t>
    <phoneticPr fontId="19" type="noConversion"/>
  </si>
  <si>
    <t>4줄</t>
    <phoneticPr fontId="19" type="noConversion"/>
  </si>
  <si>
    <t>옆목점에서 밑단까지의 직선길이(중심)</t>
    <phoneticPr fontId="1" type="noConversion"/>
  </si>
  <si>
    <t>총기장(주원단옆목)</t>
    <phoneticPr fontId="2" type="noConversion"/>
  </si>
  <si>
    <t>NECK BINDING LENGTH</t>
    <phoneticPr fontId="1" type="noConversion"/>
  </si>
  <si>
    <t>에리랍바길이</t>
    <phoneticPr fontId="1" type="noConversion"/>
  </si>
  <si>
    <t>NECK-LINE</t>
    <phoneticPr fontId="2" type="noConversion"/>
  </si>
  <si>
    <t>목입구둘레</t>
    <phoneticPr fontId="19" type="noConversion"/>
  </si>
  <si>
    <t>STYLE NO: JYUTO44-K#H37</t>
    <phoneticPr fontId="1" type="noConversion"/>
  </si>
  <si>
    <t>STYLE NO: JYUSE05-K#A10</t>
    <phoneticPr fontId="1" type="noConversion"/>
  </si>
  <si>
    <t>STYLE NO: JYUTO41-K#Y22</t>
    <phoneticPr fontId="1" type="noConversion"/>
  </si>
  <si>
    <t>옆목에서 수직으로</t>
    <phoneticPr fontId="1" type="noConversion"/>
  </si>
  <si>
    <t>STYLE NO: JYUTO37-K#A14</t>
    <phoneticPr fontId="1" type="noConversion"/>
  </si>
  <si>
    <t>STYLE NO: JYUTO53-K#R38</t>
    <phoneticPr fontId="1" type="noConversion"/>
  </si>
  <si>
    <t>SLEEVE 4G BAND</t>
    <phoneticPr fontId="1" type="noConversion"/>
  </si>
  <si>
    <t>소매4골고무줄</t>
    <phoneticPr fontId="1" type="noConversion"/>
  </si>
  <si>
    <t>STYLE NO: JYUTO54-K#R39</t>
    <phoneticPr fontId="1" type="noConversion"/>
  </si>
  <si>
    <t>BACK 4G BAND</t>
    <phoneticPr fontId="1" type="noConversion"/>
  </si>
  <si>
    <t>뒤4골고무줄</t>
    <phoneticPr fontId="1" type="noConversion"/>
  </si>
  <si>
    <t>뒤트임 길이</t>
    <phoneticPr fontId="1" type="noConversion"/>
  </si>
  <si>
    <t>STYLE NO: JYUPT17-K#R34</t>
    <phoneticPr fontId="1" type="noConversion"/>
  </si>
  <si>
    <t>STYLE NO: JYUPT23-W#R40</t>
    <phoneticPr fontId="1" type="noConversion"/>
  </si>
  <si>
    <t>밴드안들어가는부분</t>
    <phoneticPr fontId="19" type="noConversion"/>
  </si>
  <si>
    <t>엉덩이둘레(주름펴서)</t>
    <phoneticPr fontId="19" type="noConversion"/>
  </si>
  <si>
    <t>FRONT POCKET LENGTH</t>
    <phoneticPr fontId="1" type="noConversion"/>
  </si>
  <si>
    <t>앞주머니입구</t>
    <phoneticPr fontId="19" type="noConversion"/>
  </si>
  <si>
    <t>SIDE POCKET WIDTH</t>
    <phoneticPr fontId="2" type="noConversion"/>
  </si>
  <si>
    <t>옆주머니너비</t>
    <phoneticPr fontId="1" type="noConversion"/>
  </si>
  <si>
    <t>옆주머니높이</t>
    <phoneticPr fontId="1" type="noConversion"/>
  </si>
  <si>
    <t>SIDE POCKET HEIGHT</t>
    <phoneticPr fontId="2" type="noConversion"/>
  </si>
  <si>
    <t>STYLE NO: JYUSK04-W#G14</t>
    <phoneticPr fontId="1" type="noConversion"/>
  </si>
  <si>
    <r>
      <t>오비제외,</t>
    </r>
    <r>
      <rPr>
        <sz val="7.5"/>
        <color rgb="FFFF0000"/>
        <rFont val="맑은 고딕"/>
        <family val="3"/>
        <charset val="129"/>
        <scheme val="major"/>
      </rPr>
      <t>레이스포함</t>
    </r>
    <phoneticPr fontId="1" type="noConversion"/>
  </si>
  <si>
    <r>
      <t>보이는부분,</t>
    </r>
    <r>
      <rPr>
        <sz val="7.5"/>
        <color rgb="FFFF0000"/>
        <rFont val="맑은 고딕"/>
        <family val="3"/>
        <charset val="129"/>
        <scheme val="major"/>
      </rPr>
      <t>레이스포함</t>
    </r>
    <phoneticPr fontId="1" type="noConversion"/>
  </si>
  <si>
    <r>
      <t>보이는부분,</t>
    </r>
    <r>
      <rPr>
        <sz val="7.5"/>
        <color rgb="FFFF0000"/>
        <rFont val="맑은 고딕"/>
        <family val="3"/>
        <charset val="129"/>
        <scheme val="major"/>
      </rPr>
      <t>레이스포함</t>
    </r>
    <phoneticPr fontId="19" type="noConversion"/>
  </si>
  <si>
    <t>STYLE NO: JYUSK06-K#A13</t>
    <phoneticPr fontId="1" type="noConversion"/>
  </si>
  <si>
    <t xml:space="preserve">YOKE LENGTH </t>
    <phoneticPr fontId="1" type="noConversion"/>
  </si>
  <si>
    <t>요크 기장</t>
    <phoneticPr fontId="1" type="noConversion"/>
  </si>
  <si>
    <t>보이는부분</t>
    <phoneticPr fontId="1" type="noConversion"/>
  </si>
  <si>
    <t>STYLE NO: JYUPT28-D#H43</t>
    <phoneticPr fontId="1" type="noConversion"/>
  </si>
  <si>
    <t>STYLE NO: JYUPT27-W#H44</t>
    <phoneticPr fontId="1" type="noConversion"/>
  </si>
  <si>
    <t>STYLE NO: JYUOP15-W#G13</t>
    <phoneticPr fontId="1" type="noConversion"/>
  </si>
  <si>
    <t>SMOKING LENGTH</t>
    <phoneticPr fontId="2" type="noConversion"/>
  </si>
  <si>
    <t>스모킹 기장</t>
    <phoneticPr fontId="19" type="noConversion"/>
  </si>
  <si>
    <t>프릴포함</t>
    <phoneticPr fontId="19" type="noConversion"/>
  </si>
  <si>
    <t>긴쪽</t>
    <phoneticPr fontId="19" type="noConversion"/>
  </si>
  <si>
    <t>스모킹 완성</t>
    <phoneticPr fontId="19" type="noConversion"/>
  </si>
  <si>
    <t>STYLE NO: JYUTO24-W#R12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</si>
  <si>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(스모킹완성)</t>
    </r>
    <phoneticPr fontId="1" type="noConversion"/>
  </si>
  <si>
    <t>NECK 4G BAND</t>
    <phoneticPr fontId="2" type="noConversion"/>
  </si>
  <si>
    <t>목4골고무줄</t>
    <phoneticPr fontId="19" type="noConversion"/>
  </si>
  <si>
    <t>SLEEVE SMOKING ACTUAL</t>
    <phoneticPr fontId="2" type="noConversion"/>
  </si>
  <si>
    <t>소매스모킹 완성길이</t>
    <phoneticPr fontId="19" type="noConversion"/>
  </si>
  <si>
    <t>FRONT,BACK SMOKING</t>
    <phoneticPr fontId="2" type="noConversion"/>
  </si>
  <si>
    <t>앞,뒤 스모킹 완성</t>
    <phoneticPr fontId="19" type="noConversion"/>
  </si>
  <si>
    <t>옆목점에서 앞목중심의 수직 길이 (4G-BAND)</t>
    <phoneticPr fontId="1" type="noConversion"/>
  </si>
  <si>
    <t>앞,뒤</t>
    <phoneticPr fontId="19" type="noConversion"/>
  </si>
  <si>
    <t>STYLE NO: JYUTO43-K#Y24</t>
    <phoneticPr fontId="1" type="noConversion"/>
  </si>
  <si>
    <t>BOTTOM LACE WIDTH</t>
    <phoneticPr fontId="1" type="noConversion"/>
  </si>
  <si>
    <t>밑단레이스 폭</t>
    <phoneticPr fontId="1" type="noConversion"/>
  </si>
  <si>
    <t>FRONT SHOULDER STRAP</t>
    <phoneticPr fontId="2" type="noConversion"/>
  </si>
  <si>
    <t>앞 어깨끈</t>
    <phoneticPr fontId="1" type="noConversion"/>
  </si>
  <si>
    <t>보이는부분 (노출기장)</t>
    <phoneticPr fontId="19" type="noConversion"/>
  </si>
  <si>
    <t>STYLE NO: JYUTO33-K#R23</t>
    <phoneticPr fontId="1" type="noConversion"/>
  </si>
  <si>
    <t>STYLE NO: JYUOP13-W#A09</t>
    <phoneticPr fontId="1" type="noConversion"/>
  </si>
  <si>
    <t>옆목점에서 뒷목중심의 수직 길이</t>
    <phoneticPr fontId="1" type="noConversion"/>
  </si>
  <si>
    <t>FRONT NECK 4G-BAND</t>
    <phoneticPr fontId="1" type="noConversion"/>
  </si>
  <si>
    <t>앞목4골고무줄</t>
    <phoneticPr fontId="1" type="noConversion"/>
  </si>
  <si>
    <t>STYLE NO: JYUPT19-W#Y26</t>
    <phoneticPr fontId="1" type="noConversion"/>
  </si>
  <si>
    <t>STYLE NO: JYUOU08-W#G17</t>
    <phoneticPr fontId="1" type="noConversion"/>
  </si>
  <si>
    <t>SLEEVE 15mm BAND</t>
    <phoneticPr fontId="2" type="noConversion"/>
  </si>
  <si>
    <t>소매15mm고무줄</t>
    <phoneticPr fontId="19" type="noConversion"/>
  </si>
  <si>
    <t>FRONT WELT POCKET</t>
    <phoneticPr fontId="2" type="noConversion"/>
  </si>
  <si>
    <t>FRONT ZIPPER LENGTH</t>
    <phoneticPr fontId="19" type="noConversion"/>
  </si>
  <si>
    <t>앞지퍼길이</t>
    <phoneticPr fontId="19" type="noConversion"/>
  </si>
  <si>
    <t>YKK</t>
    <phoneticPr fontId="19" type="noConversion"/>
  </si>
  <si>
    <t>STYLE NO: JYUOP16-W#R33</t>
    <phoneticPr fontId="1" type="noConversion"/>
  </si>
  <si>
    <t>총기장(바데끝)</t>
    <phoneticPr fontId="2" type="noConversion"/>
  </si>
  <si>
    <t>SHOULDER STRAP 6G BAND</t>
    <phoneticPr fontId="2" type="noConversion"/>
  </si>
  <si>
    <t>어깨끈 6골 고무줄</t>
    <phoneticPr fontId="19" type="noConversion"/>
  </si>
  <si>
    <t>CHEST 25mm BAND</t>
    <phoneticPr fontId="2" type="noConversion"/>
  </si>
  <si>
    <t>가슴25mm 고무줄</t>
    <phoneticPr fontId="1" type="noConversion"/>
  </si>
  <si>
    <t>YOKE LENGTH</t>
    <phoneticPr fontId="1" type="noConversion"/>
  </si>
  <si>
    <t>요크기장</t>
    <phoneticPr fontId="1" type="noConversion"/>
  </si>
  <si>
    <t>STYLE NO: JYUPT25-W#A23</t>
    <phoneticPr fontId="1" type="noConversion"/>
  </si>
  <si>
    <t>FRONT WRAP LENGTH</t>
    <phoneticPr fontId="19" type="noConversion"/>
  </si>
  <si>
    <t>앞랩 기장</t>
    <phoneticPr fontId="19" type="noConversion"/>
  </si>
  <si>
    <t>STYLE NO: JYUSE06-K#Y28</t>
    <phoneticPr fontId="1" type="noConversion"/>
  </si>
  <si>
    <t>주머니입구</t>
    <phoneticPr fontId="19" type="noConversion"/>
  </si>
  <si>
    <t>STYLE NO: JYUTO40-K#R35</t>
    <phoneticPr fontId="1" type="noConversion"/>
  </si>
  <si>
    <t>LAYERED TOP LENGTH</t>
    <phoneticPr fontId="2" type="noConversion"/>
  </si>
  <si>
    <t>레이어드티 기장</t>
    <phoneticPr fontId="19" type="noConversion"/>
  </si>
  <si>
    <t>SHOULDER STRAP LENGTH</t>
    <phoneticPr fontId="2" type="noConversion"/>
  </si>
  <si>
    <t>STYLE NO: JYUOP14-W#A08</t>
    <phoneticPr fontId="1" type="noConversion"/>
  </si>
  <si>
    <t>SLEEVE FRILL LENGTH</t>
    <phoneticPr fontId="2" type="noConversion"/>
  </si>
  <si>
    <t>소매프릴기장</t>
    <phoneticPr fontId="19" type="noConversion"/>
  </si>
  <si>
    <t>STYLE NO: JYUOP19-W#G25</t>
    <phoneticPr fontId="1" type="noConversion"/>
  </si>
  <si>
    <t>허리선에서 치마밑단까지의 수직 길이</t>
    <phoneticPr fontId="19" type="noConversion"/>
  </si>
  <si>
    <t>FRONT WAIST SWEEP</t>
    <phoneticPr fontId="2" type="noConversion"/>
  </si>
  <si>
    <t>앞허리둘레</t>
    <phoneticPr fontId="19" type="noConversion"/>
  </si>
  <si>
    <t>6G-BAND</t>
    <phoneticPr fontId="19" type="noConversion"/>
  </si>
  <si>
    <t>CUFFS OPENING 4G BAND</t>
    <phoneticPr fontId="2" type="noConversion"/>
  </si>
  <si>
    <t>소매부리 4골밴드</t>
    <phoneticPr fontId="19" type="noConversion"/>
  </si>
  <si>
    <t>4G-BAND 완성사이즈</t>
    <phoneticPr fontId="19" type="noConversion"/>
  </si>
  <si>
    <t>STYLE NO: JYUTO51-K#G21</t>
    <phoneticPr fontId="1" type="noConversion"/>
  </si>
  <si>
    <t>STYLE NO: JYUOP22-W#H42</t>
    <phoneticPr fontId="1" type="noConversion"/>
  </si>
  <si>
    <t>STYLE NO: JYUTO55-W#Y29</t>
    <phoneticPr fontId="1" type="noConversion"/>
  </si>
  <si>
    <t>STYLE NO: JYUTO50-W#A20</t>
    <phoneticPr fontId="1" type="noConversion"/>
  </si>
  <si>
    <t>INNER</t>
    <phoneticPr fontId="19" type="noConversion"/>
  </si>
  <si>
    <t>앞기장(옆목)</t>
    <phoneticPr fontId="2" type="noConversion"/>
  </si>
  <si>
    <t>뒤기장(옆목)</t>
    <phoneticPr fontId="2" type="noConversion"/>
  </si>
  <si>
    <t>SHOULDER STRAP LENGTH</t>
    <phoneticPr fontId="19" type="noConversion"/>
  </si>
  <si>
    <t>STYLE NO: JYUTO48-K#H33</t>
    <phoneticPr fontId="1" type="noConversion"/>
  </si>
  <si>
    <t>STYLE NO: JYUTO56-K#Y34</t>
    <phoneticPr fontId="1" type="noConversion"/>
  </si>
  <si>
    <t>허리 6골고무줄</t>
    <phoneticPr fontId="19" type="noConversion"/>
  </si>
  <si>
    <t>NECK THREAD BAND</t>
    <phoneticPr fontId="2" type="noConversion"/>
  </si>
  <si>
    <t>에리 실고무줄길이</t>
    <phoneticPr fontId="19" type="noConversion"/>
  </si>
  <si>
    <t>STYLE NO: JYUSE07-K#A18</t>
    <phoneticPr fontId="1" type="noConversion"/>
  </si>
  <si>
    <t>겉-총기장(앞중심)</t>
    <phoneticPr fontId="2" type="noConversion"/>
  </si>
  <si>
    <t>겉-총기장(뒤중심)</t>
    <phoneticPr fontId="2" type="noConversion"/>
  </si>
  <si>
    <t>INNER-TOTAL LENGTH</t>
    <phoneticPr fontId="2" type="noConversion"/>
  </si>
  <si>
    <t>이너-총기장(옆목)</t>
    <phoneticPr fontId="2" type="noConversion"/>
  </si>
  <si>
    <t>INNER-CHEST (1/2)</t>
    <phoneticPr fontId="2" type="noConversion"/>
  </si>
  <si>
    <t>이너-가슴(상동)</t>
    <phoneticPr fontId="1" type="noConversion"/>
  </si>
  <si>
    <t>INNER-WAIST SWEEP (1/2)</t>
    <phoneticPr fontId="19" type="noConversion"/>
  </si>
  <si>
    <t>이너-허리둘레(반품)</t>
    <phoneticPr fontId="19" type="noConversion"/>
  </si>
  <si>
    <t xml:space="preserve">INNER-ARMHOLE </t>
    <phoneticPr fontId="19" type="noConversion"/>
  </si>
  <si>
    <t>이너-암홀길이(직선)</t>
    <phoneticPr fontId="19" type="noConversion"/>
  </si>
  <si>
    <t>와끼주머니 높이</t>
    <phoneticPr fontId="19" type="noConversion"/>
  </si>
  <si>
    <t>와끼선을 기준으로 주머니끝점에서 끝점까지의 길이</t>
    <phoneticPr fontId="19" type="noConversion"/>
  </si>
  <si>
    <t>4G-BAND SIDE BOTTOM</t>
    <phoneticPr fontId="19" type="noConversion"/>
  </si>
  <si>
    <t>4G밴드 와끼밑단</t>
    <phoneticPr fontId="19" type="noConversion"/>
  </si>
  <si>
    <t>와끼선에서 수평으로</t>
    <phoneticPr fontId="1" type="noConversion"/>
  </si>
  <si>
    <t>STYLE NO: JYUTO47-K#H34</t>
    <phoneticPr fontId="1" type="noConversion"/>
  </si>
  <si>
    <t>STYLE NO: JYUPT15-W#H29</t>
    <phoneticPr fontId="1" type="noConversion"/>
  </si>
  <si>
    <t>바지기장</t>
    <phoneticPr fontId="19" type="noConversion"/>
  </si>
  <si>
    <t>앞밑위</t>
    <phoneticPr fontId="19" type="noConversion"/>
  </si>
  <si>
    <t>뒤밑위</t>
    <phoneticPr fontId="19" type="noConversion"/>
  </si>
  <si>
    <t>보이는부분-주원단</t>
    <phoneticPr fontId="19" type="noConversion"/>
  </si>
  <si>
    <t>1단밑단부터 보이는부분-메쉬</t>
    <phoneticPr fontId="19" type="noConversion"/>
  </si>
  <si>
    <t>STYLE NO: JYUPT21-K#A21</t>
    <phoneticPr fontId="1" type="noConversion"/>
  </si>
  <si>
    <t>STYLE NO: JYUPT24-W#Y30</t>
    <phoneticPr fontId="1" type="noConversion"/>
  </si>
  <si>
    <t>STYLE NO: JYUPT18-W#Y25</t>
    <phoneticPr fontId="1" type="noConversion"/>
  </si>
  <si>
    <t>STYLE NO: JYUSK09-W#Y35</t>
    <phoneticPr fontId="1" type="noConversion"/>
  </si>
  <si>
    <t>STYLE NO: JYUOP20-W#G24</t>
    <phoneticPr fontId="1" type="noConversion"/>
  </si>
  <si>
    <t xml:space="preserve">TOTAL SKIRT LENGTH </t>
    <phoneticPr fontId="1" type="noConversion"/>
  </si>
  <si>
    <t>총치마 기장</t>
    <phoneticPr fontId="1" type="noConversion"/>
  </si>
  <si>
    <t>STYLE NO: JYUPT34-K#R46</t>
    <phoneticPr fontId="1" type="noConversion"/>
  </si>
  <si>
    <t>FRONT POCKET 4G BAND</t>
    <phoneticPr fontId="2" type="noConversion"/>
  </si>
  <si>
    <t>앞주머니 4골고무줄</t>
    <phoneticPr fontId="1" type="noConversion"/>
  </si>
  <si>
    <t>STYLE NO: JYUPT29-D#G31</t>
    <phoneticPr fontId="1" type="noConversion"/>
  </si>
  <si>
    <t>오비포함.앞중심</t>
    <phoneticPr fontId="19" type="noConversion"/>
  </si>
  <si>
    <t>FALT POCKET WIDTH</t>
    <phoneticPr fontId="19" type="noConversion"/>
  </si>
  <si>
    <t>후다 가로</t>
    <phoneticPr fontId="19" type="noConversion"/>
  </si>
  <si>
    <t>FALT POCKET HEIGHT</t>
    <phoneticPr fontId="19" type="noConversion"/>
  </si>
  <si>
    <t>후다 세로</t>
    <phoneticPr fontId="19" type="noConversion"/>
  </si>
  <si>
    <t xml:space="preserve"> POCKET WIDTH</t>
    <phoneticPr fontId="19" type="noConversion"/>
  </si>
  <si>
    <t>주머니 가로</t>
    <phoneticPr fontId="19" type="noConversion"/>
  </si>
  <si>
    <t xml:space="preserve"> POCKET HEIGHT</t>
    <phoneticPr fontId="19" type="noConversion"/>
  </si>
  <si>
    <t>주머니 세로</t>
    <phoneticPr fontId="19" type="noConversion"/>
  </si>
  <si>
    <t>STYLE NO: JYUOP21-W#G23</t>
    <phoneticPr fontId="1" type="noConversion"/>
  </si>
  <si>
    <t>TOP LENGTH</t>
    <phoneticPr fontId="19" type="noConversion"/>
  </si>
  <si>
    <t>상의길이(주원단)</t>
    <phoneticPr fontId="19" type="noConversion"/>
  </si>
  <si>
    <t>앞넥중심에서 절개선까지 수직으로 잰 길이</t>
    <phoneticPr fontId="19" type="noConversion"/>
  </si>
  <si>
    <t>앞중심 절개선에서 밑단까지 수직으로 잰 길이</t>
    <phoneticPr fontId="19" type="noConversion"/>
  </si>
  <si>
    <t>STYLE NO: JYUPT30-K#G30</t>
    <phoneticPr fontId="1" type="noConversion"/>
  </si>
  <si>
    <t>오비포함</t>
    <phoneticPr fontId="19" type="noConversion"/>
  </si>
  <si>
    <t>바지기장(레이스제외)</t>
    <phoneticPr fontId="19" type="noConversion"/>
  </si>
  <si>
    <t>BACK WELT POCKET</t>
    <phoneticPr fontId="1" type="noConversion"/>
  </si>
  <si>
    <t>뒤구찌길이</t>
    <phoneticPr fontId="19" type="noConversion"/>
  </si>
  <si>
    <t>레이스제외</t>
    <phoneticPr fontId="19" type="noConversion"/>
  </si>
  <si>
    <t>STYLE NO: JYUPT35-W#H47</t>
    <phoneticPr fontId="1" type="noConversion"/>
  </si>
  <si>
    <t>와끼선을 기준으로 수평으로 잰 길이</t>
    <phoneticPr fontId="19" type="noConversion"/>
  </si>
  <si>
    <t>요크절개선을 기준으로 수직으로 잰 길이</t>
    <phoneticPr fontId="19" type="noConversion"/>
  </si>
  <si>
    <t>BOTTOM OPENING E/STRING</t>
    <phoneticPr fontId="19" type="noConversion"/>
  </si>
  <si>
    <t>바지부리 엘라스트링</t>
    <phoneticPr fontId="19" type="noConversion"/>
  </si>
  <si>
    <t>STYLE NO: JYUTO49-W#A19</t>
    <phoneticPr fontId="1" type="noConversion"/>
  </si>
  <si>
    <r>
      <t>완성사이즈</t>
    </r>
    <r>
      <rPr>
        <sz val="7.5"/>
        <color rgb="FFFF0000"/>
        <rFont val="맑은 고딕"/>
        <family val="3"/>
        <charset val="129"/>
        <scheme val="minor"/>
      </rPr>
      <t>(와끼선전체)</t>
    </r>
    <phoneticPr fontId="19" type="noConversion"/>
  </si>
  <si>
    <t>HAT CIRCUMFERENCE</t>
    <phoneticPr fontId="1" type="noConversion"/>
  </si>
  <si>
    <t>모자 둘레</t>
    <phoneticPr fontId="1" type="noConversion"/>
  </si>
  <si>
    <t>HAT LENGTH</t>
    <phoneticPr fontId="1" type="noConversion"/>
  </si>
  <si>
    <t>모자 기장</t>
    <phoneticPr fontId="1" type="noConversion"/>
  </si>
  <si>
    <t>STYLE NO: JYUTO58-K#Y28</t>
    <phoneticPr fontId="1" type="noConversion"/>
  </si>
  <si>
    <t>STYLE NO: JYUPT37-W#Y44</t>
    <phoneticPr fontId="1" type="noConversion"/>
  </si>
  <si>
    <t>STYLE NO: JYUOP23-W#H46</t>
    <phoneticPr fontId="1" type="noConversion"/>
  </si>
  <si>
    <t>TOTAL SKIRT LENGTH</t>
    <phoneticPr fontId="1" type="noConversion"/>
  </si>
  <si>
    <t>총치마기장</t>
    <phoneticPr fontId="1" type="noConversion"/>
  </si>
  <si>
    <t>1ST SKIRT LENGTH</t>
    <phoneticPr fontId="1" type="noConversion"/>
  </si>
  <si>
    <t>1단 치마기장</t>
    <phoneticPr fontId="1" type="noConversion"/>
  </si>
  <si>
    <t>2ND SKIRT LENGTH</t>
    <phoneticPr fontId="1" type="noConversion"/>
  </si>
  <si>
    <t>3RD SKIRT LENGTH</t>
    <phoneticPr fontId="1" type="noConversion"/>
  </si>
  <si>
    <t>2단 치마기장</t>
    <phoneticPr fontId="1" type="noConversion"/>
  </si>
  <si>
    <t>3단 치마기장</t>
    <phoneticPr fontId="1" type="noConversion"/>
  </si>
  <si>
    <t>SHOULDER STRAP LENGTH</t>
    <phoneticPr fontId="1" type="noConversion"/>
  </si>
  <si>
    <t>암홀쪽</t>
    <phoneticPr fontId="19" type="noConversion"/>
  </si>
  <si>
    <t>STYLE NO: JYUOP17-W#A22</t>
    <phoneticPr fontId="1" type="noConversion"/>
  </si>
  <si>
    <t>SHOULDER STRAP 15mm BAND</t>
    <phoneticPr fontId="2" type="noConversion"/>
  </si>
  <si>
    <t>어깨끈15mm고무줄</t>
    <phoneticPr fontId="2" type="noConversion"/>
  </si>
  <si>
    <t>4G BAND</t>
    <phoneticPr fontId="19" type="noConversion"/>
  </si>
  <si>
    <t>앞,뒤바대 폭(4골고무줄)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</si>
  <si>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(셔링폈을때)</t>
    </r>
    <phoneticPr fontId="1" type="noConversion"/>
  </si>
  <si>
    <r>
      <t>끈에서 끈 직선길이</t>
    </r>
    <r>
      <rPr>
        <sz val="7.5"/>
        <color rgb="FFFF0000"/>
        <rFont val="맑은 고딕"/>
        <family val="3"/>
        <charset val="129"/>
        <scheme val="minor"/>
      </rPr>
      <t>(4골고무줄완성)</t>
    </r>
    <phoneticPr fontId="1" type="noConversion"/>
  </si>
  <si>
    <t>15mm 고무줄</t>
    <phoneticPr fontId="19" type="noConversion"/>
  </si>
  <si>
    <t>WAIST 4G BAND</t>
    <phoneticPr fontId="2" type="noConversion"/>
  </si>
  <si>
    <t xml:space="preserve">겉감,안감 </t>
    <phoneticPr fontId="19" type="noConversion"/>
  </si>
  <si>
    <t>SLEEVE 4G BAND(DOWN)</t>
    <phoneticPr fontId="19" type="noConversion"/>
  </si>
  <si>
    <t>SLEEVE 4G BAND(TOP)</t>
    <phoneticPr fontId="19" type="noConversion"/>
  </si>
  <si>
    <t xml:space="preserve"> SKIRT LENGTH </t>
    <phoneticPr fontId="1" type="noConversion"/>
  </si>
  <si>
    <t>허리4골밴드아래 중심</t>
    <phoneticPr fontId="19" type="noConversion"/>
  </si>
  <si>
    <t>앞중심,프릴제외</t>
    <phoneticPr fontId="19" type="noConversion"/>
  </si>
  <si>
    <t>뒤중심,프릴제외</t>
    <phoneticPr fontId="19" type="noConversion"/>
  </si>
  <si>
    <t>STYLE NO: JYUPT33-W#A25 (인디고)</t>
    <phoneticPr fontId="1" type="noConversion"/>
  </si>
  <si>
    <t>오비포함</t>
    <phoneticPr fontId="1" type="noConversion"/>
  </si>
  <si>
    <t>프릴제외</t>
    <phoneticPr fontId="19" type="noConversion"/>
  </si>
  <si>
    <t>STYLE NO: JYUPT26-W#H45(완사입)</t>
    <phoneticPr fontId="1" type="noConversion"/>
  </si>
  <si>
    <t>여유분=4cm, 단추에서 단추사이 14cm</t>
    <phoneticPr fontId="19" type="noConversion"/>
  </si>
  <si>
    <t>STYLE NO: JYUPT32-D#A24</t>
    <phoneticPr fontId="1" type="noConversion"/>
  </si>
  <si>
    <t>STYLE NO: JYUSE09-W#Y36</t>
    <phoneticPr fontId="1" type="noConversion"/>
  </si>
  <si>
    <t xml:space="preserve">옆목점에서 뒷목중심의 수직 길이 </t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</si>
  <si>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(겹치는부분)</t>
    </r>
    <phoneticPr fontId="1" type="noConversion"/>
  </si>
  <si>
    <t>와끼선의 밑단 양끝점을 수평으로 잰 길이(주름펴서)</t>
    <phoneticPr fontId="1" type="noConversion"/>
  </si>
  <si>
    <t>암홀 겨드랑이 지점에서 수평으로 잰 길이(주름펴서)</t>
    <phoneticPr fontId="1" type="noConversion"/>
  </si>
  <si>
    <t>STYLE NO: JYUSK10-W#A27</t>
    <phoneticPr fontId="1" type="noConversion"/>
  </si>
  <si>
    <t>치마 총기장(레이스포함)</t>
    <phoneticPr fontId="1" type="noConversion"/>
  </si>
  <si>
    <t>STYLE NO: JYUOU09-W#A26</t>
    <phoneticPr fontId="1" type="noConversion"/>
  </si>
  <si>
    <t>여유분 포함 사용길이(24cm)</t>
    <phoneticPr fontId="1" type="noConversion"/>
  </si>
  <si>
    <t>SLEEVE 20mm BAND</t>
    <phoneticPr fontId="2" type="noConversion"/>
  </si>
  <si>
    <t>소매20mm고무줄</t>
    <phoneticPr fontId="19" type="noConversion"/>
  </si>
  <si>
    <t>WELT POCKET LENGTH</t>
    <phoneticPr fontId="2" type="noConversion"/>
  </si>
  <si>
    <t>앞중심에서 수평으로(지퍼제외)</t>
    <phoneticPr fontId="1" type="noConversion"/>
  </si>
  <si>
    <t>STYLE NO: JYUOP18-K#G26</t>
    <phoneticPr fontId="1" type="noConversion"/>
  </si>
  <si>
    <t>BACK SLIT LENGTH</t>
    <phoneticPr fontId="19" type="noConversion"/>
  </si>
  <si>
    <t>뒤트임길이</t>
    <phoneticPr fontId="19" type="noConversion"/>
  </si>
  <si>
    <t>STYLE NO: JYUSE10-K#R47</t>
    <phoneticPr fontId="1" type="noConversion"/>
  </si>
  <si>
    <t>LEGGINGS (레깅스)</t>
    <phoneticPr fontId="1" type="noConversion"/>
  </si>
  <si>
    <t xml:space="preserve">오비끝에서 밑으로 </t>
    <phoneticPr fontId="1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</si>
  <si>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(프릴포함)</t>
    </r>
    <phoneticPr fontId="1" type="noConversion"/>
  </si>
  <si>
    <t>FRILL LENGTH</t>
    <phoneticPr fontId="2" type="noConversion"/>
  </si>
  <si>
    <t>프릴 기장(중심)</t>
    <phoneticPr fontId="2" type="noConversion"/>
  </si>
  <si>
    <t>프릴인타끝에서 밑단까지의 수직으로 잰 길이</t>
    <phoneticPr fontId="1" type="noConversion"/>
  </si>
  <si>
    <r>
      <t xml:space="preserve">어깨끝점과 겨드랑이 점을 직선으로 잰 길이 </t>
    </r>
    <r>
      <rPr>
        <sz val="7.5"/>
        <color rgb="FFFF0000"/>
        <rFont val="맑은 고딕"/>
        <family val="3"/>
        <charset val="129"/>
        <scheme val="minor"/>
      </rPr>
      <t>(소매단)</t>
    </r>
    <phoneticPr fontId="1" type="noConversion"/>
  </si>
  <si>
    <t>앞옆목에서 수직으로 잰 길이</t>
    <phoneticPr fontId="19" type="noConversion"/>
  </si>
  <si>
    <t>STYLE NO: JYUTO39-K#R36</t>
    <phoneticPr fontId="1" type="noConversion"/>
  </si>
  <si>
    <t>LEGGINGS(레깅스)</t>
    <phoneticPr fontId="19" type="noConversion"/>
  </si>
  <si>
    <t>STYLE NO: JYUSK08-W#G28</t>
    <phoneticPr fontId="1" type="noConversion"/>
  </si>
  <si>
    <t>셔링완성사이즈</t>
    <phoneticPr fontId="19" type="noConversion"/>
  </si>
  <si>
    <r>
      <t>요크절개선에서 수직으로</t>
    </r>
    <r>
      <rPr>
        <sz val="7.5"/>
        <color rgb="FFFF0000"/>
        <rFont val="맑은 고딕"/>
        <family val="3"/>
        <charset val="129"/>
        <scheme val="minor"/>
      </rPr>
      <t>(라벨중심)</t>
    </r>
    <phoneticPr fontId="19" type="noConversion"/>
  </si>
  <si>
    <r>
      <t>와끼에서 수평으로</t>
    </r>
    <r>
      <rPr>
        <sz val="7.5"/>
        <color rgb="FFFF0000"/>
        <rFont val="맑은 고딕"/>
        <family val="3"/>
        <charset val="129"/>
        <scheme val="minor"/>
      </rPr>
      <t>(라벨중심)</t>
    </r>
    <phoneticPr fontId="19" type="noConversion"/>
  </si>
  <si>
    <t>STYLE NO: JYUTO46-K#H35</t>
    <phoneticPr fontId="1" type="noConversion"/>
  </si>
  <si>
    <t>STYLE NO: JYUPT31-W#G29</t>
    <phoneticPr fontId="1" type="noConversion"/>
  </si>
  <si>
    <r>
      <t xml:space="preserve">바텍에서 바텍까지의 직선길이 </t>
    </r>
    <r>
      <rPr>
        <sz val="7.5"/>
        <color rgb="FFFF0000"/>
        <rFont val="맑은 고딕"/>
        <family val="3"/>
        <charset val="129"/>
        <scheme val="minor"/>
      </rPr>
      <t>(주머니입구)</t>
    </r>
    <phoneticPr fontId="19" type="noConversion"/>
  </si>
  <si>
    <t>하트중심</t>
    <phoneticPr fontId="19" type="noConversion"/>
  </si>
  <si>
    <t>와끼선에서 장식중점까지 수평으로 잰 길이</t>
    <phoneticPr fontId="19" type="noConversion"/>
  </si>
  <si>
    <t>밑단에서 장식중점까지 수직으로 잰 길이</t>
    <phoneticPr fontId="19" type="noConversion"/>
  </si>
  <si>
    <t xml:space="preserve">뒤주머니 </t>
    <phoneticPr fontId="19" type="noConversion"/>
  </si>
  <si>
    <t>STYLE NO: JYUPT36-W#A36</t>
    <phoneticPr fontId="1" type="noConversion"/>
  </si>
  <si>
    <t xml:space="preserve">INSIDE YOKE </t>
    <phoneticPr fontId="19" type="noConversion"/>
  </si>
  <si>
    <t>속요크둘레</t>
    <phoneticPr fontId="19" type="noConversion"/>
  </si>
  <si>
    <t>OUTSIDE SKIRT LENGTH</t>
    <phoneticPr fontId="19" type="noConversion"/>
  </si>
  <si>
    <t>겉 치마기장</t>
    <phoneticPr fontId="19" type="noConversion"/>
  </si>
  <si>
    <t>요크절개선</t>
    <phoneticPr fontId="19" type="noConversion"/>
  </si>
  <si>
    <t>STYLE NO: JYUTO57-K#A35</t>
    <phoneticPr fontId="1" type="noConversion"/>
  </si>
  <si>
    <t xml:space="preserve">SHOULDER STRAP </t>
    <phoneticPr fontId="19" type="noConversion"/>
  </si>
  <si>
    <t>SMOKING LENGTH</t>
    <phoneticPr fontId="19" type="noConversion"/>
  </si>
  <si>
    <t>스모킹 완성(반품)</t>
    <phoneticPr fontId="19" type="noConversion"/>
  </si>
  <si>
    <t>SMOKING ACTUAL(1/2)</t>
    <phoneticPr fontId="19" type="noConversion"/>
  </si>
  <si>
    <t>4G BAND LENGTH</t>
    <phoneticPr fontId="19" type="noConversion"/>
  </si>
  <si>
    <t>4골고무줄 길이</t>
    <phoneticPr fontId="19" type="noConversion"/>
  </si>
  <si>
    <t>6G 완성사이즈</t>
    <phoneticPr fontId="19" type="noConversion"/>
  </si>
  <si>
    <t>BACK YOKE 2G BAND</t>
    <phoneticPr fontId="2" type="noConversion"/>
  </si>
  <si>
    <t>뒤요크 2골고무줄</t>
    <phoneticPr fontId="19" type="noConversion"/>
  </si>
  <si>
    <t>2G 완성사이즈</t>
    <phoneticPr fontId="19" type="noConversion"/>
  </si>
  <si>
    <t>BACK E-BAND</t>
    <phoneticPr fontId="1" type="noConversion"/>
  </si>
  <si>
    <t>2G-BAND</t>
    <phoneticPr fontId="19" type="noConversion"/>
  </si>
  <si>
    <t>뒤 고무줄 완성</t>
    <phoneticPr fontId="1" type="noConversion"/>
  </si>
  <si>
    <t>20mm-BAND</t>
    <phoneticPr fontId="19" type="noConversion"/>
  </si>
  <si>
    <t>20MM-BAND</t>
    <phoneticPr fontId="19" type="noConversion"/>
  </si>
  <si>
    <r>
      <t>완성사이즈</t>
    </r>
    <r>
      <rPr>
        <sz val="7.5"/>
        <color rgb="FFFF0000"/>
        <rFont val="맑은 고딕"/>
        <family val="3"/>
        <charset val="129"/>
        <scheme val="minor"/>
      </rPr>
      <t>(여유분24CM 제외)</t>
    </r>
    <phoneticPr fontId="1" type="noConversion"/>
  </si>
  <si>
    <t>소매4골고무줄(상단)</t>
    <phoneticPr fontId="19" type="noConversion"/>
  </si>
  <si>
    <t>소매4골고무줄(하단)</t>
    <phoneticPr fontId="19" type="noConversion"/>
  </si>
  <si>
    <t>15MM</t>
    <phoneticPr fontId="19" type="noConversion"/>
  </si>
  <si>
    <t>4G</t>
    <phoneticPr fontId="19" type="noConversion"/>
  </si>
  <si>
    <t>STYLE NO: JYUSE08-K#G27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</si>
</sst>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7.5"/>
      <color theme="0" tint="-4.9989318521683403E-2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  <font>
      <sz val="7.5"/>
      <color theme="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291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7" xfId="0" applyFont="1" applyBorder="1">
      <alignment vertical="center"/>
    </xf>
    <xf numFmtId="0" fontId="6" fillId="0" borderId="64" xfId="0" applyFont="1" applyBorder="1">
      <alignment vertical="center"/>
    </xf>
    <xf numFmtId="0" fontId="6" fillId="0" borderId="65" xfId="0" applyFont="1" applyBorder="1">
      <alignment vertical="center"/>
    </xf>
    <xf numFmtId="0" fontId="6" fillId="0" borderId="66" xfId="0" applyFont="1" applyBorder="1">
      <alignment vertical="center"/>
    </xf>
    <xf numFmtId="0" fontId="11" fillId="0" borderId="0" xfId="0" applyFont="1">
      <alignment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>
      <alignment vertical="center"/>
    </xf>
    <xf numFmtId="0" fontId="11" fillId="0" borderId="79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23" fillId="0" borderId="75" xfId="0" applyFon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0" fontId="23" fillId="0" borderId="7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24" fillId="0" borderId="50" xfId="0" applyFont="1" applyBorder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6" fillId="0" borderId="4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6" fillId="0" borderId="3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45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40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5" fillId="0" borderId="81" xfId="0" applyFont="1" applyBorder="1" applyAlignment="1">
      <alignment horizontal="left" vertical="center"/>
    </xf>
    <xf numFmtId="0" fontId="6" fillId="0" borderId="82" xfId="0" applyFont="1" applyBorder="1" applyAlignment="1">
      <alignment horizontal="left" vertical="center"/>
    </xf>
    <xf numFmtId="0" fontId="6" fillId="0" borderId="83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3" xfId="0" applyFont="1" applyBorder="1" applyAlignment="1">
      <alignment horizontal="left" vertical="center"/>
    </xf>
    <xf numFmtId="0" fontId="12" fillId="0" borderId="55" xfId="0" applyFont="1" applyBorder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0" fontId="6" fillId="0" borderId="62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0" xfId="0" applyFont="1" applyBorder="1" applyAlignment="1">
      <alignment horizontal="left" vertical="center"/>
    </xf>
    <xf numFmtId="0" fontId="12" fillId="0" borderId="72" xfId="0" applyFont="1" applyBorder="1" applyAlignment="1">
      <alignment horizontal="left" vertical="center"/>
    </xf>
    <xf numFmtId="0" fontId="12" fillId="0" borderId="71" xfId="0" applyFont="1" applyBorder="1" applyAlignment="1">
      <alignment horizontal="left" vertical="center"/>
    </xf>
    <xf numFmtId="0" fontId="12" fillId="0" borderId="73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6" fillId="0" borderId="58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12" fillId="0" borderId="73" xfId="0" applyFont="1" applyBorder="1" applyAlignment="1">
      <alignment horizontal="left" vertical="center"/>
    </xf>
    <xf numFmtId="0" fontId="6" fillId="0" borderId="85" xfId="0" applyFont="1" applyBorder="1" applyAlignment="1">
      <alignment horizontal="center" vertical="center"/>
    </xf>
    <xf numFmtId="0" fontId="24" fillId="0" borderId="25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24" fillId="0" borderId="47" xfId="0" applyFont="1" applyBorder="1" applyAlignment="1">
      <alignment horizontal="left" vertical="center"/>
    </xf>
    <xf numFmtId="0" fontId="6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15" fillId="0" borderId="54" xfId="0" applyFont="1" applyBorder="1" applyAlignment="1">
      <alignment horizontal="left" vertical="center"/>
    </xf>
    <xf numFmtId="0" fontId="6" fillId="2" borderId="51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3" fillId="0" borderId="52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2" borderId="36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3" fillId="0" borderId="19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81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12" fillId="0" borderId="51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DF21-C22C-4C79-8171-18BD4616543A}">
  <sheetPr codeName="Sheet1">
    <tabColor rgb="FFFF0000"/>
    <pageSetUpPr fitToPage="1"/>
  </sheetPr>
  <dimension ref="A1:M49"/>
  <sheetViews>
    <sheetView tabSelected="1" zoomScale="110" zoomScaleNormal="110" workbookViewId="0">
      <selection activeCell="P24" sqref="P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272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39">
        <f>SUM(I3)-5</f>
        <v>54.5</v>
      </c>
      <c r="I3" s="39">
        <f>SUM(J3)-5</f>
        <v>59.5</v>
      </c>
      <c r="J3" s="41">
        <v>64.5</v>
      </c>
      <c r="K3" s="39">
        <f>SUM(J3)+5</f>
        <v>69.5</v>
      </c>
      <c r="L3" s="39">
        <f>SUM(K3)+5</f>
        <v>74.5</v>
      </c>
      <c r="M3" s="43">
        <f>SUM(L3)+5</f>
        <v>79.5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SUM(I5)-1.6</f>
        <v>26.9</v>
      </c>
      <c r="I5" s="54">
        <f>SUM(J5)-1.6</f>
        <v>28.5</v>
      </c>
      <c r="J5" s="55">
        <v>30.1</v>
      </c>
      <c r="K5" s="54">
        <f>SUM(J5)+1.5</f>
        <v>31.6</v>
      </c>
      <c r="L5" s="54">
        <f>SUM(K5)+1.5</f>
        <v>33.1</v>
      </c>
      <c r="M5" s="56">
        <f>SUM(L5)+1.5</f>
        <v>34.6</v>
      </c>
    </row>
    <row r="6" spans="1:13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54">
        <f>SUM(K7)+2</f>
        <v>44</v>
      </c>
      <c r="M7" s="56">
        <f>SUM(L7)+2</f>
        <v>46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273</v>
      </c>
      <c r="C9" s="60"/>
      <c r="D9" s="61"/>
      <c r="E9" s="61"/>
      <c r="F9" s="61"/>
      <c r="G9" s="61"/>
      <c r="H9" s="54">
        <f>SUM(I9)-0.6</f>
        <v>9.4</v>
      </c>
      <c r="I9" s="54">
        <f>SUM(J9)-0.6</f>
        <v>10</v>
      </c>
      <c r="J9" s="55">
        <v>10.6</v>
      </c>
      <c r="K9" s="54">
        <f>SUM(J9)+0.6</f>
        <v>11.2</v>
      </c>
      <c r="L9" s="54">
        <f>SUM(K9)+0.6</f>
        <v>11.799999999999999</v>
      </c>
      <c r="M9" s="56">
        <f>SUM(L9)+0.6</f>
        <v>12.399999999999999</v>
      </c>
    </row>
    <row r="10" spans="1:13" s="1" customFormat="1" ht="14.1" customHeight="1" x14ac:dyDescent="0.3">
      <c r="A10" s="48"/>
      <c r="B10" s="45" t="s">
        <v>274</v>
      </c>
      <c r="C10" s="45"/>
      <c r="D10" s="46" t="s">
        <v>275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276</v>
      </c>
      <c r="C11" s="66"/>
      <c r="D11" s="62"/>
      <c r="E11" s="63"/>
      <c r="F11" s="63"/>
      <c r="G11" s="64"/>
      <c r="H11" s="54">
        <f>SUM(I11)-1</f>
        <v>16.7</v>
      </c>
      <c r="I11" s="54">
        <f>SUM(J11)-1</f>
        <v>17.7</v>
      </c>
      <c r="J11" s="55">
        <v>18.7</v>
      </c>
      <c r="K11" s="54">
        <f>SUM(J11)+1</f>
        <v>19.7</v>
      </c>
      <c r="L11" s="54">
        <f>SUM(K11)+1</f>
        <v>20.7</v>
      </c>
      <c r="M11" s="56">
        <f>SUM(L11)+1</f>
        <v>21.7</v>
      </c>
    </row>
    <row r="12" spans="1:13" s="1" customFormat="1" ht="14.1" customHeight="1" x14ac:dyDescent="0.3">
      <c r="A12" s="35"/>
      <c r="B12" s="57" t="s">
        <v>277</v>
      </c>
      <c r="C12" s="58"/>
      <c r="D12" s="46" t="s">
        <v>201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54"/>
      <c r="I13" s="54"/>
      <c r="J13" s="67"/>
      <c r="K13" s="68"/>
      <c r="L13" s="68"/>
      <c r="M13" s="69"/>
    </row>
    <row r="14" spans="1:13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12.8</v>
      </c>
      <c r="I15" s="54">
        <f>SUM(J15)-0.6</f>
        <v>13.4</v>
      </c>
      <c r="J15" s="67">
        <v>14</v>
      </c>
      <c r="K15" s="68">
        <f>SUM(J15)+0.6</f>
        <v>14.6</v>
      </c>
      <c r="L15" s="68">
        <f>SUM(K15)+0.6</f>
        <v>15.2</v>
      </c>
      <c r="M15" s="69">
        <f>SUM(L15)+0.6</f>
        <v>15.799999999999999</v>
      </c>
    </row>
    <row r="16" spans="1:13" s="1" customFormat="1" ht="14.1" customHeight="1" x14ac:dyDescent="0.3">
      <c r="A16" s="48"/>
      <c r="B16" s="45" t="s">
        <v>27</v>
      </c>
      <c r="C16" s="45"/>
      <c r="D16" s="46" t="s">
        <v>46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5.9</v>
      </c>
      <c r="I17" s="54">
        <f>SUM(J17)-0.3</f>
        <v>6.2</v>
      </c>
      <c r="J17" s="67">
        <v>6.5</v>
      </c>
      <c r="K17" s="68">
        <f>SUM(J17)+0.3</f>
        <v>6.8</v>
      </c>
      <c r="L17" s="68">
        <f>SUM(K17)+0.3</f>
        <v>7.1</v>
      </c>
      <c r="M17" s="69">
        <f>SUM(L17)+0.3</f>
        <v>7.3999999999999995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196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SUM(I19)-1.6</f>
        <v>33.299999999999997</v>
      </c>
      <c r="I19" s="54">
        <f>SUM(J19)-1.6</f>
        <v>34.9</v>
      </c>
      <c r="J19" s="67">
        <v>36.5</v>
      </c>
      <c r="K19" s="68">
        <f>SUM(J19)+1.6</f>
        <v>38.1</v>
      </c>
      <c r="L19" s="68">
        <f>SUM(K19)+1.6</f>
        <v>39.700000000000003</v>
      </c>
      <c r="M19" s="69">
        <f>SUM(L19)+1.6</f>
        <v>41.300000000000004</v>
      </c>
    </row>
    <row r="20" spans="1:13" s="1" customFormat="1" ht="14.1" customHeight="1" x14ac:dyDescent="0.3">
      <c r="A20" s="48"/>
      <c r="B20" s="45" t="s">
        <v>33</v>
      </c>
      <c r="C20" s="45"/>
      <c r="D20" s="46" t="s">
        <v>86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SUM(I25)-1.4</f>
        <v>22.200000000000003</v>
      </c>
      <c r="I25" s="54">
        <f>SUM(J25)-1.4</f>
        <v>23.6</v>
      </c>
      <c r="J25" s="67">
        <v>25</v>
      </c>
      <c r="K25" s="68">
        <f>SUM(J25)+1.4</f>
        <v>26.4</v>
      </c>
      <c r="L25" s="68">
        <f>SUM(K25)+1.4</f>
        <v>27.799999999999997</v>
      </c>
      <c r="M25" s="69">
        <f>SUM(L25)+1.4</f>
        <v>29.199999999999996</v>
      </c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 t="s">
        <v>280</v>
      </c>
      <c r="C27" s="66"/>
      <c r="D27" s="75"/>
      <c r="E27" s="76"/>
      <c r="F27" s="76"/>
      <c r="G27" s="77"/>
      <c r="H27" s="54">
        <f>SUM(I27)-4.1</f>
        <v>39.299999999999997</v>
      </c>
      <c r="I27" s="54">
        <f>SUM(J27)-4.1</f>
        <v>43.4</v>
      </c>
      <c r="J27" s="55">
        <v>47.5</v>
      </c>
      <c r="K27" s="54">
        <f>SUM(J27)+4.1</f>
        <v>51.6</v>
      </c>
      <c r="L27" s="54">
        <f>SUM(K27)+4.1</f>
        <v>55.7</v>
      </c>
      <c r="M27" s="56">
        <f>SUM(L27)+4.1</f>
        <v>59.800000000000004</v>
      </c>
    </row>
    <row r="28" spans="1:13" s="1" customFormat="1" ht="14.1" customHeight="1" x14ac:dyDescent="0.3">
      <c r="A28" s="48"/>
      <c r="B28" s="70" t="s">
        <v>281</v>
      </c>
      <c r="C28" s="71"/>
      <c r="D28" s="72" t="s">
        <v>275</v>
      </c>
      <c r="E28" s="73"/>
      <c r="F28" s="73"/>
      <c r="G28" s="74"/>
      <c r="H28" s="40"/>
      <c r="I28" s="40"/>
      <c r="J28" s="42"/>
      <c r="K28" s="40"/>
      <c r="L28" s="40"/>
      <c r="M28" s="44"/>
    </row>
    <row r="29" spans="1:13" ht="14.1" customHeight="1" x14ac:dyDescent="0.3">
      <c r="A29" s="48">
        <v>14</v>
      </c>
      <c r="B29" s="65" t="s">
        <v>282</v>
      </c>
      <c r="C29" s="66"/>
      <c r="D29" s="75"/>
      <c r="E29" s="76"/>
      <c r="F29" s="76"/>
      <c r="G29" s="77"/>
      <c r="H29" s="54">
        <f>SUM(I29)-3.9</f>
        <v>36</v>
      </c>
      <c r="I29" s="54">
        <f>SUM(J29)-3.9</f>
        <v>39.9</v>
      </c>
      <c r="J29" s="55">
        <v>43.8</v>
      </c>
      <c r="K29" s="54">
        <f>SUM(J29)+3.9</f>
        <v>47.699999999999996</v>
      </c>
      <c r="L29" s="54">
        <f>SUM(K29)+3.9</f>
        <v>51.599999999999994</v>
      </c>
      <c r="M29" s="56">
        <f>SUM(L29)+3.9</f>
        <v>55.499999999999993</v>
      </c>
    </row>
    <row r="30" spans="1:13" ht="14.1" customHeight="1" x14ac:dyDescent="0.3">
      <c r="A30" s="48"/>
      <c r="B30" s="70" t="s">
        <v>283</v>
      </c>
      <c r="C30" s="71"/>
      <c r="D30" s="72" t="s">
        <v>201</v>
      </c>
      <c r="E30" s="73"/>
      <c r="F30" s="73"/>
      <c r="G30" s="74"/>
      <c r="H30" s="40"/>
      <c r="I30" s="40"/>
      <c r="J30" s="42"/>
      <c r="K30" s="40"/>
      <c r="L30" s="40"/>
      <c r="M30" s="44"/>
    </row>
    <row r="31" spans="1:13" ht="14.1" customHeight="1" x14ac:dyDescent="0.3">
      <c r="A31" s="48">
        <v>15</v>
      </c>
      <c r="B31" s="65" t="s">
        <v>221</v>
      </c>
      <c r="C31" s="66"/>
      <c r="D31" s="75"/>
      <c r="E31" s="76"/>
      <c r="F31" s="76"/>
      <c r="G31" s="77"/>
      <c r="H31" s="54">
        <f>SUM(I31)-0.9</f>
        <v>8.7999999999999989</v>
      </c>
      <c r="I31" s="54">
        <f>SUM(J31)-0.9</f>
        <v>9.6999999999999993</v>
      </c>
      <c r="J31" s="55">
        <v>10.6</v>
      </c>
      <c r="K31" s="54">
        <f>SUM(J31)+0.9</f>
        <v>11.5</v>
      </c>
      <c r="L31" s="54">
        <f>SUM(K31)+0.9</f>
        <v>12.4</v>
      </c>
      <c r="M31" s="56">
        <f>SUM(L31)+0.9</f>
        <v>13.3</v>
      </c>
    </row>
    <row r="32" spans="1:13" ht="14.1" customHeight="1" x14ac:dyDescent="0.3">
      <c r="A32" s="48"/>
      <c r="B32" s="70" t="s">
        <v>222</v>
      </c>
      <c r="C32" s="71"/>
      <c r="D32" s="72" t="s">
        <v>278</v>
      </c>
      <c r="E32" s="73"/>
      <c r="F32" s="73"/>
      <c r="G32" s="74"/>
      <c r="H32" s="40"/>
      <c r="I32" s="40"/>
      <c r="J32" s="42"/>
      <c r="K32" s="40"/>
      <c r="L32" s="40"/>
      <c r="M32" s="44"/>
    </row>
    <row r="33" spans="1:13" ht="14.1" customHeight="1" x14ac:dyDescent="0.3">
      <c r="A33" s="48">
        <v>16</v>
      </c>
      <c r="B33" s="65" t="s">
        <v>223</v>
      </c>
      <c r="C33" s="66"/>
      <c r="D33" s="75"/>
      <c r="E33" s="76"/>
      <c r="F33" s="76"/>
      <c r="G33" s="77"/>
      <c r="H33" s="54">
        <f>SUM(I33)-1</f>
        <v>8.6</v>
      </c>
      <c r="I33" s="54">
        <f>SUM(J33)-1</f>
        <v>9.6</v>
      </c>
      <c r="J33" s="55">
        <v>10.6</v>
      </c>
      <c r="K33" s="54">
        <f>SUM(J33)+1</f>
        <v>11.6</v>
      </c>
      <c r="L33" s="54">
        <f>SUM(K33)+1</f>
        <v>12.6</v>
      </c>
      <c r="M33" s="56">
        <f>SUM(L33)+1</f>
        <v>13.6</v>
      </c>
    </row>
    <row r="34" spans="1:13" ht="14.1" customHeight="1" x14ac:dyDescent="0.3">
      <c r="A34" s="48"/>
      <c r="B34" s="70" t="s">
        <v>224</v>
      </c>
      <c r="C34" s="71"/>
      <c r="D34" s="72" t="s">
        <v>278</v>
      </c>
      <c r="E34" s="73"/>
      <c r="F34" s="73"/>
      <c r="G34" s="74"/>
      <c r="H34" s="40"/>
      <c r="I34" s="40"/>
      <c r="J34" s="42"/>
      <c r="K34" s="40"/>
      <c r="L34" s="40"/>
      <c r="M34" s="44"/>
    </row>
    <row r="35" spans="1:13" ht="14.1" customHeight="1" x14ac:dyDescent="0.3">
      <c r="A35" s="48">
        <v>17</v>
      </c>
      <c r="B35" s="65" t="s">
        <v>246</v>
      </c>
      <c r="C35" s="66"/>
      <c r="D35" s="75"/>
      <c r="E35" s="76"/>
      <c r="F35" s="76"/>
      <c r="G35" s="77"/>
      <c r="H35" s="54">
        <f>SUM(I35)-1</f>
        <v>8.6</v>
      </c>
      <c r="I35" s="54">
        <f>SUM(J35)-1</f>
        <v>9.6</v>
      </c>
      <c r="J35" s="55">
        <v>10.6</v>
      </c>
      <c r="K35" s="54">
        <f>SUM(J35)+1</f>
        <v>11.6</v>
      </c>
      <c r="L35" s="54">
        <f>SUM(K35)+1</f>
        <v>12.6</v>
      </c>
      <c r="M35" s="56">
        <f>SUM(L35)+1</f>
        <v>13.6</v>
      </c>
    </row>
    <row r="36" spans="1:13" ht="14.1" customHeight="1" x14ac:dyDescent="0.3">
      <c r="A36" s="48"/>
      <c r="B36" s="70" t="s">
        <v>247</v>
      </c>
      <c r="C36" s="71"/>
      <c r="D36" s="72" t="s">
        <v>278</v>
      </c>
      <c r="E36" s="73"/>
      <c r="F36" s="73"/>
      <c r="G36" s="74"/>
      <c r="H36" s="40"/>
      <c r="I36" s="40"/>
      <c r="J36" s="42"/>
      <c r="K36" s="40"/>
      <c r="L36" s="40"/>
      <c r="M36" s="44"/>
    </row>
    <row r="37" spans="1:13" ht="14.1" customHeight="1" x14ac:dyDescent="0.3">
      <c r="A37" s="48">
        <v>18</v>
      </c>
      <c r="B37" s="65" t="s">
        <v>279</v>
      </c>
      <c r="C37" s="66"/>
      <c r="D37" s="75"/>
      <c r="E37" s="76"/>
      <c r="F37" s="76"/>
      <c r="G37" s="77"/>
      <c r="H37" s="54">
        <f>SUM(I37)-1</f>
        <v>8.6</v>
      </c>
      <c r="I37" s="54">
        <f>SUM(J37)-1</f>
        <v>9.6</v>
      </c>
      <c r="J37" s="55">
        <v>10.6</v>
      </c>
      <c r="K37" s="54">
        <f>SUM(J37)+1</f>
        <v>11.6</v>
      </c>
      <c r="L37" s="54">
        <f>SUM(K37)+1</f>
        <v>12.6</v>
      </c>
      <c r="M37" s="56">
        <f>SUM(L37)+1</f>
        <v>13.6</v>
      </c>
    </row>
    <row r="38" spans="1:13" ht="14.1" customHeight="1" x14ac:dyDescent="0.3">
      <c r="A38" s="48"/>
      <c r="B38" s="70" t="s">
        <v>286</v>
      </c>
      <c r="C38" s="71"/>
      <c r="D38" s="72" t="s">
        <v>278</v>
      </c>
      <c r="E38" s="73"/>
      <c r="F38" s="73"/>
      <c r="G38" s="74"/>
      <c r="H38" s="40"/>
      <c r="I38" s="40"/>
      <c r="J38" s="42"/>
      <c r="K38" s="40"/>
      <c r="L38" s="40"/>
      <c r="M38" s="44"/>
    </row>
    <row r="39" spans="1:13" ht="14.1" customHeight="1" x14ac:dyDescent="0.3">
      <c r="A39" s="48">
        <v>19</v>
      </c>
      <c r="B39" s="79" t="s">
        <v>284</v>
      </c>
      <c r="C39" s="80"/>
      <c r="D39" s="75"/>
      <c r="E39" s="76"/>
      <c r="F39" s="76"/>
      <c r="G39" s="77"/>
      <c r="H39" s="54">
        <f>SUM(I39)</f>
        <v>11</v>
      </c>
      <c r="I39" s="54">
        <f>SUM(J39)</f>
        <v>11</v>
      </c>
      <c r="J39" s="55">
        <v>11</v>
      </c>
      <c r="K39" s="54">
        <f>SUM(J39)+0.2</f>
        <v>11.2</v>
      </c>
      <c r="L39" s="54">
        <f>SUM(K39)+0.2</f>
        <v>11.399999999999999</v>
      </c>
      <c r="M39" s="56">
        <f>SUM(L39)+0.2</f>
        <v>11.599999999999998</v>
      </c>
    </row>
    <row r="40" spans="1:13" ht="14.1" customHeight="1" x14ac:dyDescent="0.3">
      <c r="A40" s="78"/>
      <c r="B40" s="79" t="s">
        <v>285</v>
      </c>
      <c r="C40" s="80"/>
      <c r="D40" s="84"/>
      <c r="E40" s="85"/>
      <c r="F40" s="85"/>
      <c r="G40" s="86"/>
      <c r="H40" s="81"/>
      <c r="I40" s="81"/>
      <c r="J40" s="82"/>
      <c r="K40" s="81"/>
      <c r="L40" s="81"/>
      <c r="M40" s="83"/>
    </row>
    <row r="41" spans="1:13" ht="14.1" customHeight="1" x14ac:dyDescent="0.3">
      <c r="A41" s="48">
        <v>20</v>
      </c>
      <c r="B41" s="65"/>
      <c r="C41" s="66"/>
      <c r="D41" s="75"/>
      <c r="E41" s="76"/>
      <c r="F41" s="76"/>
      <c r="G41" s="77"/>
      <c r="H41" s="54"/>
      <c r="I41" s="54"/>
      <c r="J41" s="55"/>
      <c r="K41" s="54"/>
      <c r="L41" s="54"/>
      <c r="M41" s="101"/>
    </row>
    <row r="42" spans="1:13" ht="14.1" customHeight="1" x14ac:dyDescent="0.3">
      <c r="A42" s="48"/>
      <c r="B42" s="57"/>
      <c r="C42" s="58"/>
      <c r="D42" s="72"/>
      <c r="E42" s="73"/>
      <c r="F42" s="73"/>
      <c r="G42" s="74"/>
      <c r="H42" s="40"/>
      <c r="I42" s="40"/>
      <c r="J42" s="42"/>
      <c r="K42" s="40"/>
      <c r="L42" s="40"/>
      <c r="M42" s="102"/>
    </row>
    <row r="43" spans="1:13" ht="14.1" customHeight="1" x14ac:dyDescent="0.3">
      <c r="A43" s="48">
        <v>21</v>
      </c>
      <c r="B43" s="65"/>
      <c r="C43" s="66"/>
      <c r="D43" s="88"/>
      <c r="E43" s="89"/>
      <c r="F43" s="89"/>
      <c r="G43" s="90"/>
      <c r="H43" s="54"/>
      <c r="I43" s="54"/>
      <c r="J43" s="67"/>
      <c r="K43" s="68"/>
      <c r="L43" s="68"/>
      <c r="M43" s="94"/>
    </row>
    <row r="44" spans="1:13" ht="14.1" customHeight="1" thickBot="1" x14ac:dyDescent="0.35">
      <c r="A44" s="87"/>
      <c r="B44" s="96"/>
      <c r="C44" s="97"/>
      <c r="D44" s="98"/>
      <c r="E44" s="99"/>
      <c r="F44" s="99"/>
      <c r="G44" s="100"/>
      <c r="H44" s="91"/>
      <c r="I44" s="91"/>
      <c r="J44" s="92"/>
      <c r="K44" s="93"/>
      <c r="L44" s="93"/>
      <c r="M44" s="9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34">
    <mergeCell ref="L35:L36"/>
    <mergeCell ref="M35:M36"/>
    <mergeCell ref="B36:C36"/>
    <mergeCell ref="D36:G36"/>
    <mergeCell ref="I29:I30"/>
    <mergeCell ref="J29:J30"/>
    <mergeCell ref="K29:K30"/>
    <mergeCell ref="L29:L30"/>
    <mergeCell ref="M29:M30"/>
    <mergeCell ref="B30:C30"/>
    <mergeCell ref="D30:G30"/>
    <mergeCell ref="J31:J32"/>
    <mergeCell ref="K31:K32"/>
    <mergeCell ref="L31:L32"/>
    <mergeCell ref="M31:M32"/>
    <mergeCell ref="B32:C32"/>
    <mergeCell ref="D32:G32"/>
    <mergeCell ref="A11:A12"/>
    <mergeCell ref="A35:A36"/>
    <mergeCell ref="B35:C35"/>
    <mergeCell ref="D35:G35"/>
    <mergeCell ref="H35:H36"/>
    <mergeCell ref="I35:I36"/>
    <mergeCell ref="A29:A30"/>
    <mergeCell ref="B29:C29"/>
    <mergeCell ref="D29:G29"/>
    <mergeCell ref="H29:H30"/>
    <mergeCell ref="A27:A28"/>
    <mergeCell ref="A25:A26"/>
    <mergeCell ref="A23:A24"/>
    <mergeCell ref="A21:A22"/>
    <mergeCell ref="A19:A20"/>
    <mergeCell ref="A17:A18"/>
    <mergeCell ref="A15:A16"/>
    <mergeCell ref="A13:A14"/>
    <mergeCell ref="A31:A32"/>
    <mergeCell ref="B31:C31"/>
    <mergeCell ref="D31:G31"/>
    <mergeCell ref="H31:H32"/>
    <mergeCell ref="I31:I3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B37:C37"/>
    <mergeCell ref="D37:G37"/>
    <mergeCell ref="H37:H38"/>
    <mergeCell ref="I37:I38"/>
    <mergeCell ref="J37:J38"/>
    <mergeCell ref="J35:J36"/>
    <mergeCell ref="K35:K36"/>
    <mergeCell ref="A39:A40"/>
    <mergeCell ref="B39:C39"/>
    <mergeCell ref="D39:G39"/>
    <mergeCell ref="H39:H40"/>
    <mergeCell ref="I39:I40"/>
    <mergeCell ref="A33:A34"/>
    <mergeCell ref="B33:C33"/>
    <mergeCell ref="D33:G33"/>
    <mergeCell ref="H33:H34"/>
    <mergeCell ref="I33:I34"/>
    <mergeCell ref="A37:A38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B27:C27"/>
    <mergeCell ref="D27:G27"/>
    <mergeCell ref="H27:H28"/>
    <mergeCell ref="I27:I28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B23:C23"/>
    <mergeCell ref="D23:G23"/>
    <mergeCell ref="H23:H24"/>
    <mergeCell ref="I23:I24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B19:C19"/>
    <mergeCell ref="D19:G19"/>
    <mergeCell ref="H19:H20"/>
    <mergeCell ref="I19:I20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B15:C15"/>
    <mergeCell ref="D15:G15"/>
    <mergeCell ref="H15:H16"/>
    <mergeCell ref="I15:I16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I11:I12"/>
    <mergeCell ref="H11:H12"/>
    <mergeCell ref="D11:G11"/>
    <mergeCell ref="B11:C11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D57F-089A-4CD5-A363-F3F1BF7EDAB9}">
  <sheetPr codeName="Sheet2">
    <tabColor rgb="FFFF0000"/>
    <pageSetUpPr fitToPage="1"/>
  </sheetPr>
  <dimension ref="A1:M49"/>
  <sheetViews>
    <sheetView zoomScale="110" zoomScaleNormal="110" workbookViewId="0">
      <selection activeCell="O16" sqref="O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361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362</v>
      </c>
      <c r="E3" s="37"/>
      <c r="F3" s="37"/>
      <c r="G3" s="38"/>
      <c r="H3" s="39">
        <f>SUM(I3)-5.3</f>
        <v>59.400000000000006</v>
      </c>
      <c r="I3" s="39">
        <f>SUM(J3)-5.3</f>
        <v>64.7</v>
      </c>
      <c r="J3" s="41">
        <v>70</v>
      </c>
      <c r="K3" s="39">
        <f>SUM(J3)+5.3</f>
        <v>75.3</v>
      </c>
      <c r="L3" s="39">
        <f>SUM(K3)+5.3</f>
        <v>80.599999999999994</v>
      </c>
      <c r="M3" s="43">
        <f>SUM(L3)+5.3</f>
        <v>85.899999999999991</v>
      </c>
    </row>
    <row r="4" spans="1:13" s="1" customFormat="1" ht="14.1" customHeight="1" x14ac:dyDescent="0.3">
      <c r="A4" s="35"/>
      <c r="B4" s="45" t="s">
        <v>205</v>
      </c>
      <c r="C4" s="45"/>
      <c r="D4" s="46" t="s">
        <v>363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103">
        <v>2</v>
      </c>
      <c r="B5" s="105" t="s">
        <v>39</v>
      </c>
      <c r="C5" s="105"/>
      <c r="D5" s="106" t="s">
        <v>364</v>
      </c>
      <c r="E5" s="106"/>
      <c r="F5" s="106"/>
      <c r="G5" s="51"/>
      <c r="H5" s="81">
        <f>SUM(I5)-5</f>
        <v>56</v>
      </c>
      <c r="I5" s="81">
        <f>SUM(J5)-5</f>
        <v>61</v>
      </c>
      <c r="J5" s="82">
        <v>66</v>
      </c>
      <c r="K5" s="81">
        <f>SUM(J5)+5</f>
        <v>71</v>
      </c>
      <c r="L5" s="81">
        <f>SUM(K5)+5</f>
        <v>76</v>
      </c>
      <c r="M5" s="83">
        <f>SUM(L5)+5</f>
        <v>81</v>
      </c>
    </row>
    <row r="6" spans="1:13" s="1" customFormat="1" ht="14.1" customHeight="1" x14ac:dyDescent="0.3">
      <c r="A6" s="35"/>
      <c r="B6" s="45" t="s">
        <v>206</v>
      </c>
      <c r="C6" s="45"/>
      <c r="D6" s="46" t="s">
        <v>365</v>
      </c>
      <c r="E6" s="47"/>
      <c r="F6" s="47"/>
      <c r="G6" s="47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03">
        <v>3</v>
      </c>
      <c r="B7" s="60" t="s">
        <v>37</v>
      </c>
      <c r="C7" s="60"/>
      <c r="D7" s="61" t="s">
        <v>38</v>
      </c>
      <c r="E7" s="61"/>
      <c r="F7" s="61"/>
      <c r="G7" s="61"/>
      <c r="H7" s="54"/>
      <c r="I7" s="54"/>
      <c r="J7" s="55"/>
      <c r="K7" s="54"/>
      <c r="L7" s="54"/>
      <c r="M7" s="56"/>
    </row>
    <row r="8" spans="1:13" s="1" customFormat="1" ht="14.1" customHeight="1" x14ac:dyDescent="0.3">
      <c r="A8" s="35"/>
      <c r="B8" s="45" t="s">
        <v>24</v>
      </c>
      <c r="C8" s="45"/>
      <c r="D8" s="46" t="s">
        <v>42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03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SUM(I9)-2.25</f>
        <v>29</v>
      </c>
      <c r="I9" s="54">
        <f>SUM(J9)-2.25</f>
        <v>31.25</v>
      </c>
      <c r="J9" s="55">
        <v>33.5</v>
      </c>
      <c r="K9" s="54">
        <f>SUM(J9)+2</f>
        <v>35.5</v>
      </c>
      <c r="L9" s="54">
        <f>SUM(K9)+2</f>
        <v>37.5</v>
      </c>
      <c r="M9" s="56">
        <f>SUM(L9)+2</f>
        <v>39.5</v>
      </c>
    </row>
    <row r="10" spans="1:13" s="1" customFormat="1" ht="14.1" customHeight="1" x14ac:dyDescent="0.3">
      <c r="A10" s="35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103">
        <v>5</v>
      </c>
      <c r="B11" s="60" t="s">
        <v>268</v>
      </c>
      <c r="C11" s="60"/>
      <c r="D11" s="61" t="s">
        <v>8</v>
      </c>
      <c r="E11" s="61"/>
      <c r="F11" s="61"/>
      <c r="G11" s="61"/>
      <c r="H11" s="54">
        <f>SUM(I11)-2.2</f>
        <v>28.1</v>
      </c>
      <c r="I11" s="54">
        <f>SUM(J11)-2.2</f>
        <v>30.3</v>
      </c>
      <c r="J11" s="55">
        <v>32.5</v>
      </c>
      <c r="K11" s="54">
        <f>SUM(J11)+2</f>
        <v>34.5</v>
      </c>
      <c r="L11" s="54">
        <f t="shared" ref="L11:M11" si="0">SUM(K11)+2</f>
        <v>36.5</v>
      </c>
      <c r="M11" s="56">
        <f t="shared" si="0"/>
        <v>38.5</v>
      </c>
    </row>
    <row r="12" spans="1:13" s="1" customFormat="1" ht="14.1" customHeight="1" x14ac:dyDescent="0.3">
      <c r="A12" s="35"/>
      <c r="B12" s="45" t="s">
        <v>269</v>
      </c>
      <c r="C12" s="45"/>
      <c r="D12" s="46" t="s">
        <v>44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03">
        <v>6</v>
      </c>
      <c r="B13" s="65" t="s">
        <v>344</v>
      </c>
      <c r="C13" s="66"/>
      <c r="D13" s="62"/>
      <c r="E13" s="63"/>
      <c r="F13" s="63"/>
      <c r="G13" s="64"/>
      <c r="H13" s="54">
        <f>SUM(I13)-1.2</f>
        <v>14.600000000000001</v>
      </c>
      <c r="I13" s="54">
        <f>SUM(J13)-1.2</f>
        <v>15.8</v>
      </c>
      <c r="J13" s="55">
        <v>17</v>
      </c>
      <c r="K13" s="54">
        <f>SUM(J13)+1</f>
        <v>18</v>
      </c>
      <c r="L13" s="54">
        <f>SUM(K13)+1</f>
        <v>19</v>
      </c>
      <c r="M13" s="56">
        <f>SUM(L13)+1</f>
        <v>20</v>
      </c>
    </row>
    <row r="14" spans="1:13" s="1" customFormat="1" ht="14.1" customHeight="1" x14ac:dyDescent="0.3">
      <c r="A14" s="35"/>
      <c r="B14" s="45" t="s">
        <v>345</v>
      </c>
      <c r="C14" s="45"/>
      <c r="D14" s="46" t="s">
        <v>213</v>
      </c>
      <c r="E14" s="47"/>
      <c r="F14" s="47"/>
      <c r="G14" s="59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03">
        <v>7</v>
      </c>
      <c r="B15" s="65" t="s">
        <v>346</v>
      </c>
      <c r="C15" s="66"/>
      <c r="D15" s="62"/>
      <c r="E15" s="63"/>
      <c r="F15" s="63"/>
      <c r="G15" s="64"/>
      <c r="H15" s="54">
        <f>SUM(I15)-1.2</f>
        <v>13.200000000000001</v>
      </c>
      <c r="I15" s="54">
        <f>SUM(J15)-1.2</f>
        <v>14.4</v>
      </c>
      <c r="J15" s="55">
        <v>15.6</v>
      </c>
      <c r="K15" s="54">
        <f>SUM(J15)+1</f>
        <v>16.600000000000001</v>
      </c>
      <c r="L15" s="54">
        <f>SUM(K15)+1</f>
        <v>17.600000000000001</v>
      </c>
      <c r="M15" s="56">
        <f>SUM(L15)+1</f>
        <v>18.600000000000001</v>
      </c>
    </row>
    <row r="16" spans="1:13" s="1" customFormat="1" ht="14.1" customHeight="1" x14ac:dyDescent="0.3">
      <c r="A16" s="35"/>
      <c r="B16" s="45" t="s">
        <v>347</v>
      </c>
      <c r="C16" s="45"/>
      <c r="D16" s="46" t="s">
        <v>213</v>
      </c>
      <c r="E16" s="47"/>
      <c r="F16" s="47"/>
      <c r="G16" s="59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03">
        <v>8</v>
      </c>
      <c r="B17" s="60" t="s">
        <v>210</v>
      </c>
      <c r="C17" s="60"/>
      <c r="D17" s="62"/>
      <c r="E17" s="63"/>
      <c r="F17" s="63"/>
      <c r="G17" s="64"/>
      <c r="H17" s="54">
        <f>SUM(I17)-1.6</f>
        <v>17.799999999999997</v>
      </c>
      <c r="I17" s="54">
        <f>SUM(J17)-1.6</f>
        <v>19.399999999999999</v>
      </c>
      <c r="J17" s="67">
        <v>21</v>
      </c>
      <c r="K17" s="54">
        <f>SUM(J17)+1.7</f>
        <v>22.7</v>
      </c>
      <c r="L17" s="54">
        <f>SUM(K17)+1.6</f>
        <v>24.3</v>
      </c>
      <c r="M17" s="56">
        <f>SUM(L17)+1.6</f>
        <v>25.900000000000002</v>
      </c>
    </row>
    <row r="18" spans="1:13" s="1" customFormat="1" ht="14.1" customHeight="1" x14ac:dyDescent="0.3">
      <c r="A18" s="35"/>
      <c r="B18" s="45" t="s">
        <v>188</v>
      </c>
      <c r="C18" s="45"/>
      <c r="D18" s="46"/>
      <c r="E18" s="47"/>
      <c r="F18" s="47"/>
      <c r="G18" s="59"/>
      <c r="H18" s="40"/>
      <c r="I18" s="40"/>
      <c r="J18" s="67"/>
      <c r="K18" s="40"/>
      <c r="L18" s="40"/>
      <c r="M18" s="44"/>
    </row>
    <row r="19" spans="1:13" s="1" customFormat="1" ht="14.1" customHeight="1" x14ac:dyDescent="0.3">
      <c r="A19" s="103">
        <v>9</v>
      </c>
      <c r="B19" s="60" t="s">
        <v>1</v>
      </c>
      <c r="C19" s="60"/>
      <c r="D19" s="61" t="s">
        <v>163</v>
      </c>
      <c r="E19" s="61"/>
      <c r="F19" s="61"/>
      <c r="G19" s="61"/>
      <c r="H19" s="54"/>
      <c r="I19" s="54"/>
      <c r="J19" s="67"/>
      <c r="K19" s="68"/>
      <c r="L19" s="68"/>
      <c r="M19" s="69"/>
    </row>
    <row r="20" spans="1:13" s="1" customFormat="1" ht="14.1" customHeight="1" x14ac:dyDescent="0.3">
      <c r="A20" s="35"/>
      <c r="B20" s="45" t="s">
        <v>27</v>
      </c>
      <c r="C20" s="45"/>
      <c r="D20" s="46" t="s">
        <v>46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103">
        <v>10</v>
      </c>
      <c r="B21" s="60" t="s">
        <v>2</v>
      </c>
      <c r="C21" s="60"/>
      <c r="D21" s="61" t="s">
        <v>3</v>
      </c>
      <c r="E21" s="61"/>
      <c r="F21" s="61"/>
      <c r="G21" s="61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35"/>
      <c r="B22" s="45" t="s">
        <v>28</v>
      </c>
      <c r="C22" s="45"/>
      <c r="D22" s="46" t="s">
        <v>196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103">
        <v>11</v>
      </c>
      <c r="B23" s="65" t="s">
        <v>73</v>
      </c>
      <c r="C23" s="66"/>
      <c r="D23" s="62" t="s">
        <v>74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35"/>
      <c r="B24" s="45" t="s">
        <v>33</v>
      </c>
      <c r="C24" s="45"/>
      <c r="D24" s="46" t="s">
        <v>86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103">
        <v>12</v>
      </c>
      <c r="B25" s="60" t="s">
        <v>4</v>
      </c>
      <c r="C25" s="60"/>
      <c r="D25" s="61" t="s">
        <v>5</v>
      </c>
      <c r="E25" s="61"/>
      <c r="F25" s="61"/>
      <c r="G25" s="61"/>
      <c r="H25" s="54"/>
      <c r="I25" s="54"/>
      <c r="J25" s="67"/>
      <c r="K25" s="68"/>
      <c r="L25" s="68"/>
      <c r="M25" s="69"/>
    </row>
    <row r="26" spans="1:13" s="1" customFormat="1" ht="14.1" customHeight="1" x14ac:dyDescent="0.3">
      <c r="A26" s="35"/>
      <c r="B26" s="45" t="s">
        <v>29</v>
      </c>
      <c r="C26" s="45"/>
      <c r="D26" s="46" t="s">
        <v>48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103">
        <v>13</v>
      </c>
      <c r="B27" s="60" t="s">
        <v>6</v>
      </c>
      <c r="C27" s="60"/>
      <c r="D27" s="62" t="s">
        <v>7</v>
      </c>
      <c r="E27" s="63"/>
      <c r="F27" s="63"/>
      <c r="G27" s="64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35"/>
      <c r="B28" s="45" t="s">
        <v>30</v>
      </c>
      <c r="C28" s="45"/>
      <c r="D28" s="46" t="s">
        <v>67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ht="14.1" customHeight="1" x14ac:dyDescent="0.3">
      <c r="A29" s="103">
        <v>14</v>
      </c>
      <c r="B29" s="65" t="s">
        <v>82</v>
      </c>
      <c r="C29" s="66"/>
      <c r="D29" s="61" t="s">
        <v>68</v>
      </c>
      <c r="E29" s="61"/>
      <c r="F29" s="61"/>
      <c r="G29" s="61"/>
      <c r="H29" s="54"/>
      <c r="I29" s="54"/>
      <c r="J29" s="67"/>
      <c r="K29" s="68"/>
      <c r="L29" s="68"/>
      <c r="M29" s="69"/>
    </row>
    <row r="30" spans="1:13" ht="14.1" customHeight="1" x14ac:dyDescent="0.3">
      <c r="A30" s="35"/>
      <c r="B30" s="45" t="s">
        <v>31</v>
      </c>
      <c r="C30" s="45"/>
      <c r="D30" s="46" t="s">
        <v>69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103">
        <v>15</v>
      </c>
      <c r="B31" s="65" t="s">
        <v>221</v>
      </c>
      <c r="C31" s="66"/>
      <c r="D31" s="75"/>
      <c r="E31" s="76"/>
      <c r="F31" s="76"/>
      <c r="G31" s="77"/>
      <c r="H31" s="54">
        <f>SUM(I31)-1.5</f>
        <v>16.5</v>
      </c>
      <c r="I31" s="54">
        <f>SUM(J31)-1.5</f>
        <v>18</v>
      </c>
      <c r="J31" s="55">
        <v>19.5</v>
      </c>
      <c r="K31" s="54">
        <f>SUM(J31)+1.5</f>
        <v>21</v>
      </c>
      <c r="L31" s="54">
        <f>SUM(K31)+1.5</f>
        <v>22.5</v>
      </c>
      <c r="M31" s="56">
        <f>SUM(L31)+1.5</f>
        <v>24</v>
      </c>
    </row>
    <row r="32" spans="1:13" ht="14.1" customHeight="1" x14ac:dyDescent="0.3">
      <c r="A32" s="35"/>
      <c r="B32" s="70" t="s">
        <v>222</v>
      </c>
      <c r="C32" s="71"/>
      <c r="D32" s="72"/>
      <c r="E32" s="73"/>
      <c r="F32" s="73"/>
      <c r="G32" s="74"/>
      <c r="H32" s="40"/>
      <c r="I32" s="40"/>
      <c r="J32" s="42"/>
      <c r="K32" s="40"/>
      <c r="L32" s="40"/>
      <c r="M32" s="44"/>
    </row>
    <row r="33" spans="1:13" ht="14.1" customHeight="1" x14ac:dyDescent="0.3">
      <c r="A33" s="103">
        <v>16</v>
      </c>
      <c r="B33" s="65" t="s">
        <v>223</v>
      </c>
      <c r="C33" s="66"/>
      <c r="D33" s="75"/>
      <c r="E33" s="76"/>
      <c r="F33" s="76"/>
      <c r="G33" s="77"/>
      <c r="H33" s="54">
        <f t="shared" ref="H33:I33" si="1">SUM(I33)-1.5</f>
        <v>16.5</v>
      </c>
      <c r="I33" s="54">
        <f t="shared" si="1"/>
        <v>18</v>
      </c>
      <c r="J33" s="55">
        <v>19.5</v>
      </c>
      <c r="K33" s="54">
        <f t="shared" ref="K33:M33" si="2">SUM(J33)+1.5</f>
        <v>21</v>
      </c>
      <c r="L33" s="54">
        <f t="shared" si="2"/>
        <v>22.5</v>
      </c>
      <c r="M33" s="56">
        <f t="shared" si="2"/>
        <v>24</v>
      </c>
    </row>
    <row r="34" spans="1:13" ht="14.1" customHeight="1" x14ac:dyDescent="0.3">
      <c r="A34" s="35"/>
      <c r="B34" s="70" t="s">
        <v>224</v>
      </c>
      <c r="C34" s="71"/>
      <c r="D34" s="72"/>
      <c r="E34" s="73"/>
      <c r="F34" s="73"/>
      <c r="G34" s="74"/>
      <c r="H34" s="40"/>
      <c r="I34" s="40"/>
      <c r="J34" s="42"/>
      <c r="K34" s="40"/>
      <c r="L34" s="40"/>
      <c r="M34" s="44"/>
    </row>
    <row r="35" spans="1:13" ht="14.1" customHeight="1" x14ac:dyDescent="0.3">
      <c r="A35" s="103">
        <v>17</v>
      </c>
      <c r="B35" s="65" t="s">
        <v>246</v>
      </c>
      <c r="C35" s="66"/>
      <c r="D35" s="75"/>
      <c r="E35" s="76"/>
      <c r="F35" s="76"/>
      <c r="G35" s="77"/>
      <c r="H35" s="54">
        <f t="shared" ref="H35:I35" si="3">SUM(I35)-1.5</f>
        <v>17</v>
      </c>
      <c r="I35" s="54">
        <f t="shared" si="3"/>
        <v>18.5</v>
      </c>
      <c r="J35" s="55">
        <v>20</v>
      </c>
      <c r="K35" s="54">
        <f t="shared" ref="K35:M35" si="4">SUM(J35)+1.5</f>
        <v>21.5</v>
      </c>
      <c r="L35" s="54">
        <f t="shared" si="4"/>
        <v>23</v>
      </c>
      <c r="M35" s="56">
        <f t="shared" si="4"/>
        <v>24.5</v>
      </c>
    </row>
    <row r="36" spans="1:13" ht="14.1" customHeight="1" x14ac:dyDescent="0.3">
      <c r="A36" s="35"/>
      <c r="B36" s="70" t="s">
        <v>247</v>
      </c>
      <c r="C36" s="71"/>
      <c r="D36" s="84"/>
      <c r="E36" s="85"/>
      <c r="F36" s="85"/>
      <c r="G36" s="86"/>
      <c r="H36" s="40"/>
      <c r="I36" s="40"/>
      <c r="J36" s="82"/>
      <c r="K36" s="40"/>
      <c r="L36" s="40"/>
      <c r="M36" s="44"/>
    </row>
    <row r="37" spans="1:13" ht="14.1" customHeight="1" x14ac:dyDescent="0.3">
      <c r="A37" s="103">
        <v>18</v>
      </c>
      <c r="B37" s="65" t="s">
        <v>293</v>
      </c>
      <c r="C37" s="66"/>
      <c r="D37" s="75"/>
      <c r="E37" s="76"/>
      <c r="F37" s="76"/>
      <c r="G37" s="77"/>
      <c r="H37" s="54">
        <f>SUM(I37)-1.8</f>
        <v>22.4</v>
      </c>
      <c r="I37" s="54">
        <f>SUM(J37)-1.8</f>
        <v>24.2</v>
      </c>
      <c r="J37" s="55">
        <v>26</v>
      </c>
      <c r="K37" s="54">
        <f>SUM(J37)+1.8</f>
        <v>27.8</v>
      </c>
      <c r="L37" s="54">
        <f>SUM(K37)+1.8</f>
        <v>29.6</v>
      </c>
      <c r="M37" s="56">
        <f>SUM(L37)+1.8</f>
        <v>31.400000000000002</v>
      </c>
    </row>
    <row r="38" spans="1:13" ht="14.1" customHeight="1" x14ac:dyDescent="0.3">
      <c r="A38" s="35"/>
      <c r="B38" s="57" t="s">
        <v>366</v>
      </c>
      <c r="C38" s="58"/>
      <c r="D38" s="72"/>
      <c r="E38" s="73"/>
      <c r="F38" s="73"/>
      <c r="G38" s="74"/>
      <c r="H38" s="40"/>
      <c r="I38" s="40"/>
      <c r="J38" s="42"/>
      <c r="K38" s="40"/>
      <c r="L38" s="40"/>
      <c r="M38" s="44"/>
    </row>
    <row r="39" spans="1:13" ht="14.1" customHeight="1" x14ac:dyDescent="0.3">
      <c r="A39" s="103">
        <v>19</v>
      </c>
      <c r="B39" s="65"/>
      <c r="C39" s="66"/>
      <c r="D39" s="88"/>
      <c r="E39" s="89"/>
      <c r="F39" s="89"/>
      <c r="G39" s="90"/>
      <c r="H39" s="54"/>
      <c r="I39" s="54"/>
      <c r="J39" s="67"/>
      <c r="K39" s="68"/>
      <c r="L39" s="68"/>
      <c r="M39" s="94"/>
    </row>
    <row r="40" spans="1:13" ht="14.1" customHeight="1" thickBot="1" x14ac:dyDescent="0.35">
      <c r="A40" s="104"/>
      <c r="B40" s="96"/>
      <c r="C40" s="97"/>
      <c r="D40" s="98"/>
      <c r="E40" s="99"/>
      <c r="F40" s="99"/>
      <c r="G40" s="100"/>
      <c r="H40" s="91"/>
      <c r="I40" s="91"/>
      <c r="J40" s="92"/>
      <c r="K40" s="93"/>
      <c r="L40" s="93"/>
      <c r="M40" s="95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EEF2-9F2E-42F9-B9AE-C7C4ED9CBB85}">
  <sheetPr codeName="Sheet3">
    <tabColor rgb="FFFF0000"/>
    <pageSetUpPr fitToPage="1"/>
  </sheetPr>
  <dimension ref="A1:O49"/>
  <sheetViews>
    <sheetView zoomScale="110" zoomScaleNormal="110" workbookViewId="0">
      <selection activeCell="D24" sqref="D24:G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9.625" customWidth="1"/>
    <col min="8" max="13" width="5.5" customWidth="1"/>
  </cols>
  <sheetData>
    <row r="1" spans="1:15" ht="16.5" customHeight="1" thickBot="1" x14ac:dyDescent="0.35">
      <c r="A1" s="30" t="s">
        <v>250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5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5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39">
        <f>SUM(I3)-5</f>
        <v>52</v>
      </c>
      <c r="I3" s="39">
        <f>SUM(J3)-5</f>
        <v>57</v>
      </c>
      <c r="J3" s="41">
        <v>62</v>
      </c>
      <c r="K3" s="39">
        <f>SUM(J3)+5</f>
        <v>67</v>
      </c>
      <c r="L3" s="39">
        <f>SUM(K3)+5</f>
        <v>72</v>
      </c>
      <c r="M3" s="43">
        <f>SUM(L3)+5</f>
        <v>77</v>
      </c>
    </row>
    <row r="4" spans="1:15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5" s="1" customFormat="1" ht="14.1" customHeight="1" thickBot="1" x14ac:dyDescent="0.35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24.4</v>
      </c>
      <c r="I5" s="54">
        <f>SUM(J5)-1.8</f>
        <v>26.2</v>
      </c>
      <c r="J5" s="55">
        <v>28</v>
      </c>
      <c r="K5" s="54">
        <f>SUM(J5)+1.6</f>
        <v>29.6</v>
      </c>
      <c r="L5" s="54">
        <f t="shared" ref="L5:M5" si="0">SUM(K5)+1.6</f>
        <v>31.200000000000003</v>
      </c>
      <c r="M5" s="56">
        <f t="shared" si="0"/>
        <v>32.800000000000004</v>
      </c>
    </row>
    <row r="6" spans="1:15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  <c r="O6" s="12" t="s">
        <v>263</v>
      </c>
    </row>
    <row r="7" spans="1:15" s="1" customFormat="1" ht="14.1" customHeight="1" x14ac:dyDescent="0.3">
      <c r="A7" s="48">
        <v>3</v>
      </c>
      <c r="B7" s="60" t="s">
        <v>210</v>
      </c>
      <c r="C7" s="60"/>
      <c r="D7" s="61"/>
      <c r="E7" s="61"/>
      <c r="F7" s="61"/>
      <c r="G7" s="61"/>
      <c r="H7" s="54">
        <f>SUM(I7)-1.2</f>
        <v>22.6</v>
      </c>
      <c r="I7" s="54">
        <f>SUM(J7)-1.2</f>
        <v>23.8</v>
      </c>
      <c r="J7" s="55">
        <v>25</v>
      </c>
      <c r="K7" s="54">
        <f>SUM(J7)+1.2</f>
        <v>26.2</v>
      </c>
      <c r="L7" s="54">
        <f t="shared" ref="L7:M7" si="1">SUM(K7)+1.2</f>
        <v>27.4</v>
      </c>
      <c r="M7" s="56">
        <f t="shared" si="1"/>
        <v>28.599999999999998</v>
      </c>
      <c r="O7" s="13">
        <f>SUM(H7+H7+I7+I7+J7+J7+K7+K7+L7+L7+M7+M7)</f>
        <v>307.20000000000005</v>
      </c>
    </row>
    <row r="8" spans="1:15" s="1" customFormat="1" ht="14.1" customHeight="1" thickBot="1" x14ac:dyDescent="0.35">
      <c r="A8" s="48"/>
      <c r="B8" s="45" t="s">
        <v>261</v>
      </c>
      <c r="C8" s="45"/>
      <c r="D8" s="46" t="s">
        <v>262</v>
      </c>
      <c r="E8" s="47"/>
      <c r="F8" s="47"/>
      <c r="G8" s="59"/>
      <c r="H8" s="40"/>
      <c r="I8" s="40"/>
      <c r="J8" s="42"/>
      <c r="K8" s="40"/>
      <c r="L8" s="40"/>
      <c r="M8" s="44"/>
      <c r="O8" s="14">
        <f>SUM(O7/6/91.44*1.08)</f>
        <v>0.60472440944881911</v>
      </c>
    </row>
    <row r="9" spans="1:15" s="1" customFormat="1" ht="14.1" customHeight="1" x14ac:dyDescent="0.3">
      <c r="A9" s="48">
        <v>4</v>
      </c>
      <c r="B9" s="60" t="s">
        <v>254</v>
      </c>
      <c r="C9" s="60"/>
      <c r="D9" s="61" t="s">
        <v>8</v>
      </c>
      <c r="E9" s="61"/>
      <c r="F9" s="61"/>
      <c r="G9" s="61"/>
      <c r="H9" s="54">
        <f>SUM(I9)-1.7</f>
        <v>22.1</v>
      </c>
      <c r="I9" s="54">
        <f>SUM(J9)-1.7</f>
        <v>23.8</v>
      </c>
      <c r="J9" s="55">
        <v>25.5</v>
      </c>
      <c r="K9" s="54">
        <f>SUM(J9)+1.5</f>
        <v>27</v>
      </c>
      <c r="L9" s="54">
        <f t="shared" ref="L9:M9" si="2">SUM(K9)+1.5</f>
        <v>28.5</v>
      </c>
      <c r="M9" s="56">
        <f t="shared" si="2"/>
        <v>30</v>
      </c>
    </row>
    <row r="10" spans="1:15" s="1" customFormat="1" ht="14.1" customHeight="1" x14ac:dyDescent="0.3">
      <c r="A10" s="48"/>
      <c r="B10" s="45" t="s">
        <v>255</v>
      </c>
      <c r="C10" s="45"/>
      <c r="D10" s="46" t="s">
        <v>256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5" s="1" customFormat="1" ht="14.1" customHeight="1" x14ac:dyDescent="0.3">
      <c r="A11" s="48">
        <v>5</v>
      </c>
      <c r="B11" s="60" t="s">
        <v>257</v>
      </c>
      <c r="C11" s="60"/>
      <c r="D11" s="106" t="s">
        <v>66</v>
      </c>
      <c r="E11" s="106"/>
      <c r="F11" s="106"/>
      <c r="G11" s="51"/>
      <c r="H11" s="54">
        <f>SUM(I11)-0.7</f>
        <v>11.600000000000001</v>
      </c>
      <c r="I11" s="54">
        <f>SUM(J11)-0.7</f>
        <v>12.3</v>
      </c>
      <c r="J11" s="55">
        <v>13</v>
      </c>
      <c r="K11" s="54">
        <f>SUM(J11)+0.7</f>
        <v>13.7</v>
      </c>
      <c r="L11" s="54">
        <f t="shared" ref="L11:M11" si="3">SUM(K11)+0.7</f>
        <v>14.399999999999999</v>
      </c>
      <c r="M11" s="56">
        <f t="shared" si="3"/>
        <v>15.099999999999998</v>
      </c>
    </row>
    <row r="12" spans="1:15" s="1" customFormat="1" ht="14.1" customHeight="1" x14ac:dyDescent="0.3">
      <c r="A12" s="48"/>
      <c r="B12" s="45" t="s">
        <v>258</v>
      </c>
      <c r="C12" s="45"/>
      <c r="D12" s="46" t="s">
        <v>259</v>
      </c>
      <c r="E12" s="47"/>
      <c r="F12" s="47"/>
      <c r="G12" s="47"/>
      <c r="H12" s="40"/>
      <c r="I12" s="40"/>
      <c r="J12" s="42"/>
      <c r="K12" s="40"/>
      <c r="L12" s="40"/>
      <c r="M12" s="44"/>
    </row>
    <row r="13" spans="1:15" s="1" customFormat="1" ht="14.1" customHeight="1" x14ac:dyDescent="0.3">
      <c r="A13" s="48">
        <v>6</v>
      </c>
      <c r="B13" s="60" t="s">
        <v>41</v>
      </c>
      <c r="C13" s="60"/>
      <c r="D13" s="61" t="s">
        <v>8</v>
      </c>
      <c r="E13" s="61"/>
      <c r="F13" s="61"/>
      <c r="G13" s="61"/>
      <c r="H13" s="54">
        <f>SUM(I13)-4.1</f>
        <v>55.8</v>
      </c>
      <c r="I13" s="54">
        <f>SUM(J13)-4.1</f>
        <v>59.9</v>
      </c>
      <c r="J13" s="55">
        <v>64</v>
      </c>
      <c r="K13" s="54">
        <f>SUM(J13)+3.9</f>
        <v>67.900000000000006</v>
      </c>
      <c r="L13" s="54">
        <f t="shared" ref="L13" si="4">SUM(K13)+3.9</f>
        <v>71.800000000000011</v>
      </c>
      <c r="M13" s="56">
        <f>SUM(L13)+3.8</f>
        <v>75.600000000000009</v>
      </c>
    </row>
    <row r="14" spans="1:15" s="1" customFormat="1" ht="14.1" customHeight="1" x14ac:dyDescent="0.3">
      <c r="A14" s="48"/>
      <c r="B14" s="45" t="s">
        <v>25</v>
      </c>
      <c r="C14" s="45"/>
      <c r="D14" s="46" t="s">
        <v>264</v>
      </c>
      <c r="E14" s="47"/>
      <c r="F14" s="47"/>
      <c r="G14" s="59"/>
      <c r="H14" s="40"/>
      <c r="I14" s="40"/>
      <c r="J14" s="42"/>
      <c r="K14" s="40"/>
      <c r="L14" s="40"/>
      <c r="M14" s="44"/>
    </row>
    <row r="15" spans="1:15" s="1" customFormat="1" ht="14.1" customHeight="1" x14ac:dyDescent="0.3">
      <c r="A15" s="48">
        <v>7</v>
      </c>
      <c r="B15" s="60" t="s">
        <v>10</v>
      </c>
      <c r="C15" s="60"/>
      <c r="D15" s="61" t="s">
        <v>0</v>
      </c>
      <c r="E15" s="61"/>
      <c r="F15" s="61"/>
      <c r="G15" s="61"/>
      <c r="H15" s="54">
        <f>SUM(I15)-0.8</f>
        <v>13.999999999999998</v>
      </c>
      <c r="I15" s="54">
        <f>SUM(J15)-0.8</f>
        <v>14.799999999999999</v>
      </c>
      <c r="J15" s="67">
        <v>15.6</v>
      </c>
      <c r="K15" s="68">
        <f>SUM(J15)+0.8</f>
        <v>16.399999999999999</v>
      </c>
      <c r="L15" s="68">
        <f t="shared" ref="L15:M15" si="5">SUM(K15)+0.8</f>
        <v>17.2</v>
      </c>
      <c r="M15" s="69">
        <f t="shared" si="5"/>
        <v>18</v>
      </c>
    </row>
    <row r="16" spans="1:15" s="1" customFormat="1" ht="14.1" customHeight="1" x14ac:dyDescent="0.3">
      <c r="A16" s="48"/>
      <c r="B16" s="45" t="s">
        <v>26</v>
      </c>
      <c r="C16" s="45"/>
      <c r="D16" s="46" t="s">
        <v>45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0" t="s">
        <v>1</v>
      </c>
      <c r="C17" s="60"/>
      <c r="D17" s="61" t="s">
        <v>163</v>
      </c>
      <c r="E17" s="61"/>
      <c r="F17" s="61"/>
      <c r="G17" s="61"/>
      <c r="H17" s="54">
        <f>SUM(I17)-0.6</f>
        <v>14.8</v>
      </c>
      <c r="I17" s="54">
        <f>SUM(J17)-0.6</f>
        <v>15.4</v>
      </c>
      <c r="J17" s="67">
        <v>16</v>
      </c>
      <c r="K17" s="68">
        <f>SUM(J17)+0.6</f>
        <v>16.600000000000001</v>
      </c>
      <c r="L17" s="68">
        <f>SUM(K17)+0.6</f>
        <v>17.200000000000003</v>
      </c>
      <c r="M17" s="69">
        <f>SUM(L17)+0.6</f>
        <v>17.800000000000004</v>
      </c>
    </row>
    <row r="18" spans="1:14" s="1" customFormat="1" ht="14.1" customHeight="1" x14ac:dyDescent="0.3">
      <c r="A18" s="48"/>
      <c r="B18" s="45" t="s">
        <v>27</v>
      </c>
      <c r="C18" s="45"/>
      <c r="D18" s="46" t="s">
        <v>251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2</v>
      </c>
      <c r="C19" s="60"/>
      <c r="D19" s="61" t="s">
        <v>3</v>
      </c>
      <c r="E19" s="61"/>
      <c r="F19" s="61"/>
      <c r="G19" s="61"/>
      <c r="H19" s="54">
        <f>SUM(I19)-0.3</f>
        <v>5.7</v>
      </c>
      <c r="I19" s="54">
        <f>SUM(J19)-0.3</f>
        <v>6</v>
      </c>
      <c r="J19" s="67">
        <v>6.3</v>
      </c>
      <c r="K19" s="68">
        <f>SUM(J19)+0.3</f>
        <v>6.6</v>
      </c>
      <c r="L19" s="68">
        <f>SUM(K19)+0.3</f>
        <v>6.8999999999999995</v>
      </c>
      <c r="M19" s="69">
        <f>SUM(L19)+0.3</f>
        <v>7.1999999999999993</v>
      </c>
    </row>
    <row r="20" spans="1:14" s="1" customFormat="1" ht="14.1" customHeight="1" x14ac:dyDescent="0.3">
      <c r="A20" s="48"/>
      <c r="B20" s="45" t="s">
        <v>28</v>
      </c>
      <c r="C20" s="45"/>
      <c r="D20" s="46" t="s">
        <v>252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4" s="1" customFormat="1" ht="14.1" customHeight="1" x14ac:dyDescent="0.3">
      <c r="A21" s="48">
        <v>10</v>
      </c>
      <c r="B21" s="65" t="s">
        <v>73</v>
      </c>
      <c r="C21" s="66"/>
      <c r="D21" s="62" t="s">
        <v>74</v>
      </c>
      <c r="E21" s="63"/>
      <c r="F21" s="63"/>
      <c r="G21" s="64"/>
      <c r="H21" s="54">
        <f>SUM(I21)-1.6</f>
        <v>39.799999999999997</v>
      </c>
      <c r="I21" s="54">
        <f>SUM(J21)-1.6</f>
        <v>41.4</v>
      </c>
      <c r="J21" s="67">
        <v>43</v>
      </c>
      <c r="K21" s="68">
        <f>SUM(J21)+1.6</f>
        <v>44.6</v>
      </c>
      <c r="L21" s="68">
        <f>SUM(K21)+1.6</f>
        <v>46.2</v>
      </c>
      <c r="M21" s="69">
        <f>SUM(L21)+1.6</f>
        <v>47.800000000000004</v>
      </c>
    </row>
    <row r="22" spans="1:14" s="1" customFormat="1" ht="14.1" customHeight="1" x14ac:dyDescent="0.3">
      <c r="A22" s="48"/>
      <c r="B22" s="45" t="s">
        <v>33</v>
      </c>
      <c r="C22" s="45"/>
      <c r="D22" s="46" t="s">
        <v>253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SUM(I23)-1.1</f>
        <v>11.3</v>
      </c>
      <c r="I23" s="54">
        <f>SUM(J23)-1.1</f>
        <v>12.4</v>
      </c>
      <c r="J23" s="67">
        <v>13.5</v>
      </c>
      <c r="K23" s="68">
        <f>SUM(J23)+1.2</f>
        <v>14.7</v>
      </c>
      <c r="L23" s="68">
        <f t="shared" ref="L23:M23" si="6">SUM(K23)+1.2</f>
        <v>15.899999999999999</v>
      </c>
      <c r="M23" s="69">
        <f t="shared" si="6"/>
        <v>17.099999999999998</v>
      </c>
    </row>
    <row r="24" spans="1:14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>
        <f>SUM(I25)-1.4</f>
        <v>25.200000000000003</v>
      </c>
      <c r="I25" s="54">
        <f>SUM(J25)-1.4</f>
        <v>26.6</v>
      </c>
      <c r="J25" s="67">
        <v>28</v>
      </c>
      <c r="K25" s="68">
        <f>SUM(J25)+1.4</f>
        <v>29.4</v>
      </c>
      <c r="L25" s="68">
        <f t="shared" ref="L25:M25" si="7">SUM(K25)+1.4</f>
        <v>30.799999999999997</v>
      </c>
      <c r="M25" s="69">
        <f t="shared" si="7"/>
        <v>32.199999999999996</v>
      </c>
    </row>
    <row r="26" spans="1:14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65" t="s">
        <v>82</v>
      </c>
      <c r="C27" s="66"/>
      <c r="D27" s="61" t="s">
        <v>68</v>
      </c>
      <c r="E27" s="61"/>
      <c r="F27" s="61"/>
      <c r="G27" s="61"/>
      <c r="H27" s="54">
        <f>SUM(I27)-1.2</f>
        <v>23.6</v>
      </c>
      <c r="I27" s="54">
        <f>SUM(J27)-1.2</f>
        <v>24.8</v>
      </c>
      <c r="J27" s="67">
        <v>26</v>
      </c>
      <c r="K27" s="68">
        <f>SUM(J27)+1.2</f>
        <v>27.2</v>
      </c>
      <c r="L27" s="68">
        <f>SUM(K27)+1.2</f>
        <v>28.4</v>
      </c>
      <c r="M27" s="69">
        <f>SUM(L27)+1.2</f>
        <v>29.599999999999998</v>
      </c>
    </row>
    <row r="28" spans="1:14" s="1" customFormat="1" ht="14.1" customHeight="1" x14ac:dyDescent="0.3">
      <c r="A28" s="48"/>
      <c r="B28" s="45" t="s">
        <v>31</v>
      </c>
      <c r="C28" s="45"/>
      <c r="D28" s="46" t="s">
        <v>69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4" ht="14.1" customHeight="1" x14ac:dyDescent="0.3">
      <c r="A29" s="48">
        <v>14</v>
      </c>
      <c r="B29" s="65" t="s">
        <v>121</v>
      </c>
      <c r="C29" s="66"/>
      <c r="D29" s="75"/>
      <c r="E29" s="76"/>
      <c r="F29" s="76"/>
      <c r="G29" s="77"/>
      <c r="H29" s="54">
        <f>SUM(I29)-4.3</f>
        <v>40.400000000000006</v>
      </c>
      <c r="I29" s="54">
        <f>SUM(J29)-4.3</f>
        <v>44.7</v>
      </c>
      <c r="J29" s="55">
        <v>49</v>
      </c>
      <c r="K29" s="54">
        <f>SUM(J29)+4.3</f>
        <v>53.3</v>
      </c>
      <c r="L29" s="54">
        <f t="shared" ref="L29:M29" si="8">SUM(K29)+4.3</f>
        <v>57.599999999999994</v>
      </c>
      <c r="M29" s="56">
        <f t="shared" si="8"/>
        <v>61.899999999999991</v>
      </c>
      <c r="N29" s="1"/>
    </row>
    <row r="30" spans="1:14" ht="14.1" customHeight="1" x14ac:dyDescent="0.3">
      <c r="A30" s="48"/>
      <c r="B30" s="70" t="s">
        <v>154</v>
      </c>
      <c r="C30" s="71"/>
      <c r="D30" s="72" t="s">
        <v>260</v>
      </c>
      <c r="E30" s="73"/>
      <c r="F30" s="73"/>
      <c r="G30" s="74"/>
      <c r="H30" s="40"/>
      <c r="I30" s="40"/>
      <c r="J30" s="42"/>
      <c r="K30" s="40"/>
      <c r="L30" s="40"/>
      <c r="M30" s="44"/>
      <c r="N30" s="1"/>
    </row>
    <row r="31" spans="1:14" ht="14.1" customHeight="1" x14ac:dyDescent="0.3">
      <c r="A31" s="48">
        <v>15</v>
      </c>
      <c r="B31" s="65"/>
      <c r="C31" s="66"/>
      <c r="D31" s="75"/>
      <c r="E31" s="76"/>
      <c r="F31" s="76"/>
      <c r="G31" s="77"/>
      <c r="H31" s="54"/>
      <c r="I31" s="54"/>
      <c r="J31" s="55"/>
      <c r="K31" s="54"/>
      <c r="L31" s="54"/>
      <c r="M31" s="101">
        <f>SUM(L31)+2.2</f>
        <v>2.2000000000000002</v>
      </c>
    </row>
    <row r="32" spans="1:14" ht="14.1" customHeight="1" x14ac:dyDescent="0.3">
      <c r="A32" s="48"/>
      <c r="B32" s="70"/>
      <c r="C32" s="71"/>
      <c r="D32" s="72"/>
      <c r="E32" s="73"/>
      <c r="F32" s="73"/>
      <c r="G32" s="74"/>
      <c r="H32" s="40"/>
      <c r="I32" s="40"/>
      <c r="J32" s="42"/>
      <c r="K32" s="40"/>
      <c r="L32" s="40"/>
      <c r="M32" s="102"/>
    </row>
    <row r="33" spans="1:13" ht="14.1" customHeight="1" x14ac:dyDescent="0.3">
      <c r="A33" s="48">
        <v>16</v>
      </c>
      <c r="B33" s="79"/>
      <c r="C33" s="80"/>
      <c r="D33" s="75"/>
      <c r="E33" s="76"/>
      <c r="F33" s="76"/>
      <c r="G33" s="77"/>
      <c r="H33" s="54"/>
      <c r="I33" s="54"/>
      <c r="J33" s="55"/>
      <c r="K33" s="54"/>
      <c r="L33" s="54"/>
      <c r="M33" s="101">
        <f>SUM(L33)+0.7</f>
        <v>0.7</v>
      </c>
    </row>
    <row r="34" spans="1:13" ht="14.1" customHeight="1" thickBot="1" x14ac:dyDescent="0.35">
      <c r="A34" s="87"/>
      <c r="B34" s="96"/>
      <c r="C34" s="97"/>
      <c r="D34" s="109"/>
      <c r="E34" s="110"/>
      <c r="F34" s="110"/>
      <c r="G34" s="111"/>
      <c r="H34" s="91"/>
      <c r="I34" s="91"/>
      <c r="J34" s="107"/>
      <c r="K34" s="91"/>
      <c r="L34" s="91"/>
      <c r="M34" s="108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5B93-F104-4003-9C9E-8B5E923C4B79}">
  <sheetPr codeName="Sheet4">
    <tabColor rgb="FFFF0000"/>
    <pageSetUpPr fitToPage="1"/>
  </sheetPr>
  <dimension ref="A1:N51"/>
  <sheetViews>
    <sheetView zoomScale="110" zoomScaleNormal="110" workbookViewId="0">
      <selection activeCell="D13" sqref="D13:G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164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SUM(I3)-5</f>
        <v>56</v>
      </c>
      <c r="I3" s="54">
        <f>SUM(J3)-5</f>
        <v>61</v>
      </c>
      <c r="J3" s="55">
        <v>66</v>
      </c>
      <c r="K3" s="54">
        <f>SUM(J3)+5</f>
        <v>71</v>
      </c>
      <c r="L3" s="54">
        <f>SUM(K3)+5</f>
        <v>76</v>
      </c>
      <c r="M3" s="54">
        <f>SUM(L3)+5</f>
        <v>81</v>
      </c>
      <c r="N3" s="115">
        <f>SUM(M3)+5</f>
        <v>86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24.2</v>
      </c>
      <c r="I5" s="54">
        <f>SUM(J5)-1.8</f>
        <v>26</v>
      </c>
      <c r="J5" s="55">
        <v>27.8</v>
      </c>
      <c r="K5" s="54">
        <f>SUM(J5)+1.6</f>
        <v>29.400000000000002</v>
      </c>
      <c r="L5" s="54">
        <f>SUM(K5)+1.6</f>
        <v>31.000000000000004</v>
      </c>
      <c r="M5" s="54">
        <f>SUM(L5)+1.6</f>
        <v>32.6</v>
      </c>
      <c r="N5" s="115">
        <f>SUM(M5)+1.6</f>
        <v>34.200000000000003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54">
        <f>SUM(L7)+2</f>
        <v>40</v>
      </c>
      <c r="N7" s="115">
        <f>SUM(M7)+2</f>
        <v>42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SUM(I9)-2.6</f>
        <v>34.799999999999997</v>
      </c>
      <c r="I9" s="54">
        <f>SUM(J9)-2.6</f>
        <v>37.4</v>
      </c>
      <c r="J9" s="55">
        <v>40</v>
      </c>
      <c r="K9" s="54">
        <f>SUM(J9)+2.4</f>
        <v>42.4</v>
      </c>
      <c r="L9" s="54">
        <f>SUM(K9)+2.4</f>
        <v>44.8</v>
      </c>
      <c r="M9" s="54">
        <f>SUM(L9)+2.4</f>
        <v>47.199999999999996</v>
      </c>
      <c r="N9" s="115">
        <f>SUM(M9)+2.4</f>
        <v>49.599999999999994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165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13.799999999999999</v>
      </c>
      <c r="I11" s="54">
        <f>SUM(J11)-0.8</f>
        <v>14.6</v>
      </c>
      <c r="J11" s="67">
        <v>15.4</v>
      </c>
      <c r="K11" s="68">
        <f>SUM(J11)+0.8</f>
        <v>16.2</v>
      </c>
      <c r="L11" s="68">
        <f>SUM(K11)+0.8</f>
        <v>17</v>
      </c>
      <c r="M11" s="68">
        <f>SUM(L11)+0.9</f>
        <v>17.899999999999999</v>
      </c>
      <c r="N11" s="117">
        <f>SUM(M11)+0.9</f>
        <v>18.799999999999997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68"/>
      <c r="N12" s="117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13.4</v>
      </c>
      <c r="I13" s="54">
        <f>SUM(J13)-0.6</f>
        <v>14</v>
      </c>
      <c r="J13" s="67">
        <v>14.6</v>
      </c>
      <c r="K13" s="68">
        <f>SUM(J13)+0.6</f>
        <v>15.2</v>
      </c>
      <c r="L13" s="68">
        <f>SUM(K13)+0.6</f>
        <v>15.799999999999999</v>
      </c>
      <c r="M13" s="68">
        <f>SUM(L13)+0.6</f>
        <v>16.399999999999999</v>
      </c>
      <c r="N13" s="117">
        <f>SUM(M13)+0.6</f>
        <v>17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5.2</v>
      </c>
      <c r="I15" s="54">
        <f>SUM(J15)-0.3</f>
        <v>5.5</v>
      </c>
      <c r="J15" s="67">
        <v>5.8</v>
      </c>
      <c r="K15" s="68">
        <f>SUM(J15)+0.3</f>
        <v>6.1</v>
      </c>
      <c r="L15" s="68">
        <f>SUM(K15)+0.3</f>
        <v>6.3999999999999995</v>
      </c>
      <c r="M15" s="68">
        <f>SUM(L15)+0.3</f>
        <v>6.6999999999999993</v>
      </c>
      <c r="N15" s="117">
        <f>SUM(M15)+0.3</f>
        <v>6.9999999999999991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35.799999999999997</v>
      </c>
      <c r="I17" s="54">
        <f>SUM(J17)-1.6</f>
        <v>37.4</v>
      </c>
      <c r="J17" s="67">
        <v>39</v>
      </c>
      <c r="K17" s="68">
        <f>SUM(J17)+1.6</f>
        <v>40.6</v>
      </c>
      <c r="L17" s="68">
        <f>SUM(K17)+1.6</f>
        <v>42.2</v>
      </c>
      <c r="M17" s="68">
        <f>SUM(L17)+1.6</f>
        <v>43.800000000000004</v>
      </c>
      <c r="N17" s="117">
        <f>SUM(M17)+1.6</f>
        <v>45.400000000000006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9.8000000000000007</v>
      </c>
      <c r="I19" s="54">
        <f>SUM(J19)-1.1</f>
        <v>10.9</v>
      </c>
      <c r="J19" s="55">
        <v>12</v>
      </c>
      <c r="K19" s="54">
        <f>SUM(J19)+1.2</f>
        <v>13.2</v>
      </c>
      <c r="L19" s="54">
        <f>SUM(K19)+1.2</f>
        <v>14.399999999999999</v>
      </c>
      <c r="M19" s="54">
        <f>SUM(L19)+1.2</f>
        <v>15.599999999999998</v>
      </c>
      <c r="N19" s="115">
        <f>SUM(M19)+1.2</f>
        <v>16.799999999999997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22.4</v>
      </c>
      <c r="I23" s="54">
        <f>SUM(J23)-1.3</f>
        <v>23.7</v>
      </c>
      <c r="J23" s="67">
        <v>25</v>
      </c>
      <c r="K23" s="68">
        <f>SUM(J23)+1.3</f>
        <v>26.3</v>
      </c>
      <c r="L23" s="68">
        <f>SUM(K23)+1.3</f>
        <v>27.6</v>
      </c>
      <c r="M23" s="68">
        <f>SUM(L23)+1.3</f>
        <v>28.900000000000002</v>
      </c>
      <c r="N23" s="117">
        <f>SUM(M23)+1.3</f>
        <v>30.200000000000003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166</v>
      </c>
      <c r="C25" s="66"/>
      <c r="D25" s="88"/>
      <c r="E25" s="89"/>
      <c r="F25" s="89"/>
      <c r="G25" s="90"/>
      <c r="H25" s="54">
        <f>SUM(I25)-0.6</f>
        <v>5.8000000000000007</v>
      </c>
      <c r="I25" s="54">
        <f>SUM(J25)-0.6</f>
        <v>6.4</v>
      </c>
      <c r="J25" s="67">
        <v>7</v>
      </c>
      <c r="K25" s="68">
        <f>SUM(J25)+0.6</f>
        <v>7.6</v>
      </c>
      <c r="L25" s="68">
        <f>SUM(K25)+0.6</f>
        <v>8.1999999999999993</v>
      </c>
      <c r="M25" s="68">
        <f>SUM(L25)+0.6</f>
        <v>8.7999999999999989</v>
      </c>
      <c r="N25" s="117">
        <f>SUM(M25)+0.6</f>
        <v>9.3999999999999986</v>
      </c>
    </row>
    <row r="26" spans="1:14" s="1" customFormat="1" ht="14.1" customHeight="1" x14ac:dyDescent="0.3">
      <c r="A26" s="78"/>
      <c r="B26" s="79" t="s">
        <v>149</v>
      </c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54"/>
      <c r="N26" s="115"/>
    </row>
    <row r="27" spans="1:14" ht="14.1" customHeight="1" x14ac:dyDescent="0.3">
      <c r="A27" s="48">
        <v>13</v>
      </c>
      <c r="B27" s="65" t="s">
        <v>134</v>
      </c>
      <c r="C27" s="66"/>
      <c r="D27" s="88" t="s">
        <v>83</v>
      </c>
      <c r="E27" s="89"/>
      <c r="F27" s="89"/>
      <c r="G27" s="90"/>
      <c r="H27" s="54">
        <f>SUM(I27)-0.3</f>
        <v>4.7</v>
      </c>
      <c r="I27" s="54">
        <f>SUM(J27)-0.3</f>
        <v>5</v>
      </c>
      <c r="J27" s="67">
        <v>5.3</v>
      </c>
      <c r="K27" s="68">
        <f>SUM(J27)+0.3</f>
        <v>5.6</v>
      </c>
      <c r="L27" s="68">
        <f>SUM(K27)+0.3</f>
        <v>5.8999999999999995</v>
      </c>
      <c r="M27" s="68">
        <f>SUM(L27)+0.3</f>
        <v>6.1999999999999993</v>
      </c>
      <c r="N27" s="117">
        <f>SUM(M27)+0.3</f>
        <v>6.4999999999999991</v>
      </c>
    </row>
    <row r="28" spans="1:14" ht="14.1" customHeight="1" x14ac:dyDescent="0.3">
      <c r="A28" s="78"/>
      <c r="B28" s="79" t="s">
        <v>142</v>
      </c>
      <c r="C28" s="80"/>
      <c r="D28" s="51" t="s">
        <v>84</v>
      </c>
      <c r="E28" s="52"/>
      <c r="F28" s="52"/>
      <c r="G28" s="53"/>
      <c r="H28" s="81"/>
      <c r="I28" s="81"/>
      <c r="J28" s="55"/>
      <c r="K28" s="54"/>
      <c r="L28" s="54"/>
      <c r="M28" s="54"/>
      <c r="N28" s="115"/>
    </row>
    <row r="29" spans="1:14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8"/>
      <c r="N29" s="117"/>
    </row>
    <row r="30" spans="1:14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3"/>
      <c r="N30" s="118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N23:N24"/>
    <mergeCell ref="N25:N26"/>
    <mergeCell ref="N27:N28"/>
    <mergeCell ref="N29:N30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1C54-1A9E-4232-9A8E-9C3F81B5DE9A}">
  <sheetPr codeName="Sheet5">
    <tabColor rgb="FFFF0000"/>
    <pageSetUpPr fitToPage="1"/>
  </sheetPr>
  <dimension ref="A1:M51"/>
  <sheetViews>
    <sheetView zoomScale="110" zoomScaleNormal="110" workbookViewId="0">
      <selection activeCell="P15" sqref="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287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SUM(I3)-5</f>
        <v>58.5</v>
      </c>
      <c r="I3" s="54">
        <f>SUM(J3)-5</f>
        <v>63.5</v>
      </c>
      <c r="J3" s="55">
        <v>68.5</v>
      </c>
      <c r="K3" s="54">
        <f>SUM(J3)+5</f>
        <v>73.5</v>
      </c>
      <c r="L3" s="54">
        <f>SUM(K3)+5</f>
        <v>78.5</v>
      </c>
      <c r="M3" s="101">
        <f>SUM(L3)+5</f>
        <v>83.5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</v>
      </c>
      <c r="I5" s="54">
        <f>SUM(J5)-1.8</f>
        <v>23.8</v>
      </c>
      <c r="J5" s="55">
        <v>25.6</v>
      </c>
      <c r="K5" s="54">
        <f>SUM(J5)+1.6</f>
        <v>27.200000000000003</v>
      </c>
      <c r="L5" s="54">
        <f>SUM(K5)+1.6</f>
        <v>28.800000000000004</v>
      </c>
      <c r="M5" s="101">
        <f>SUM(L5)+1.6</f>
        <v>30.400000000000006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101">
        <f>SUM(L7)+2</f>
        <v>40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/>
      <c r="I9" s="54"/>
      <c r="J9" s="55"/>
      <c r="K9" s="54"/>
      <c r="L9" s="54"/>
      <c r="M9" s="101"/>
    </row>
    <row r="10" spans="1:13" s="1" customFormat="1" ht="14.1" customHeight="1" x14ac:dyDescent="0.3">
      <c r="A10" s="48"/>
      <c r="B10" s="45" t="s">
        <v>25</v>
      </c>
      <c r="C10" s="45"/>
      <c r="D10" s="46" t="s">
        <v>165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15.399999999999999</v>
      </c>
      <c r="I11" s="54">
        <f>SUM(J11)-0.8</f>
        <v>16.2</v>
      </c>
      <c r="J11" s="67">
        <v>17</v>
      </c>
      <c r="K11" s="68">
        <f>SUM(J11)+0.8</f>
        <v>17.8</v>
      </c>
      <c r="L11" s="68">
        <f>SUM(K11)+0.8</f>
        <v>18.600000000000001</v>
      </c>
      <c r="M11" s="94">
        <f>SUM(L11)+0.9</f>
        <v>19.5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13.8</v>
      </c>
      <c r="I13" s="54">
        <f>SUM(J13)-0.6</f>
        <v>14.4</v>
      </c>
      <c r="J13" s="67">
        <v>15</v>
      </c>
      <c r="K13" s="68">
        <f>SUM(J13)+0.6</f>
        <v>15.6</v>
      </c>
      <c r="L13" s="68">
        <f>SUM(K13)+0.6</f>
        <v>16.2</v>
      </c>
      <c r="M13" s="94">
        <f>SUM(L13)+0.6</f>
        <v>16.8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6.3000000000000007</v>
      </c>
      <c r="I15" s="54">
        <f>SUM(J15)-0.3</f>
        <v>6.6000000000000005</v>
      </c>
      <c r="J15" s="67">
        <v>6.9</v>
      </c>
      <c r="K15" s="68">
        <f>SUM(J15)+0.3</f>
        <v>7.2</v>
      </c>
      <c r="L15" s="68">
        <f>SUM(K15)+0.3</f>
        <v>7.5</v>
      </c>
      <c r="M15" s="94">
        <f>SUM(L15)+0.3</f>
        <v>7.8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35.799999999999997</v>
      </c>
      <c r="I17" s="54">
        <f>SUM(J17)-1.6</f>
        <v>37.4</v>
      </c>
      <c r="J17" s="67">
        <v>39</v>
      </c>
      <c r="K17" s="68">
        <f>SUM(J17)+1.6</f>
        <v>40.6</v>
      </c>
      <c r="L17" s="68">
        <f>SUM(K17)+1.6</f>
        <v>42.2</v>
      </c>
      <c r="M17" s="94">
        <f>SUM(L17)+1.6</f>
        <v>43.800000000000004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 t="s">
        <v>288</v>
      </c>
      <c r="C19" s="60"/>
      <c r="D19" s="61" t="s">
        <v>5</v>
      </c>
      <c r="E19" s="61"/>
      <c r="F19" s="61"/>
      <c r="G19" s="61"/>
      <c r="H19" s="54">
        <f>SUM(I19)-0.5</f>
        <v>5.7</v>
      </c>
      <c r="I19" s="54">
        <f>SUM(J19)-0.5</f>
        <v>6.2</v>
      </c>
      <c r="J19" s="55">
        <v>6.7</v>
      </c>
      <c r="K19" s="54">
        <f>SUM(J19)+0.5</f>
        <v>7.2</v>
      </c>
      <c r="L19" s="54">
        <f>SUM(K19)+0.5</f>
        <v>7.7</v>
      </c>
      <c r="M19" s="101">
        <f>SUM(L19)+0.5</f>
        <v>8.1999999999999993</v>
      </c>
    </row>
    <row r="20" spans="1:13" s="1" customFormat="1" ht="14.1" customHeight="1" x14ac:dyDescent="0.3">
      <c r="A20" s="48"/>
      <c r="B20" s="45" t="s">
        <v>289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 t="s">
        <v>290</v>
      </c>
      <c r="C21" s="60"/>
      <c r="D21" s="61" t="s">
        <v>5</v>
      </c>
      <c r="E21" s="61"/>
      <c r="F21" s="61"/>
      <c r="G21" s="61"/>
      <c r="H21" s="54">
        <f>SUM(I21)-0.5</f>
        <v>6</v>
      </c>
      <c r="I21" s="54">
        <f>SUM(J21)-0.5</f>
        <v>6.5</v>
      </c>
      <c r="J21" s="55">
        <v>7</v>
      </c>
      <c r="K21" s="54">
        <f>SUM(J21)+0.5</f>
        <v>7.5</v>
      </c>
      <c r="L21" s="54">
        <f>SUM(K21)+0.5</f>
        <v>8</v>
      </c>
      <c r="M21" s="101">
        <f>SUM(L21)+0.5</f>
        <v>8.5</v>
      </c>
    </row>
    <row r="22" spans="1:13" s="1" customFormat="1" ht="14.1" customHeight="1" x14ac:dyDescent="0.3">
      <c r="A22" s="48"/>
      <c r="B22" s="45" t="s">
        <v>291</v>
      </c>
      <c r="C22" s="45"/>
      <c r="D22" s="46" t="s">
        <v>48</v>
      </c>
      <c r="E22" s="47"/>
      <c r="F22" s="47"/>
      <c r="G22" s="59"/>
      <c r="H22" s="40"/>
      <c r="I22" s="40"/>
      <c r="J22" s="42"/>
      <c r="K22" s="40"/>
      <c r="L22" s="40"/>
      <c r="M22" s="102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273</v>
      </c>
      <c r="C25" s="66"/>
      <c r="D25" s="88"/>
      <c r="E25" s="89"/>
      <c r="F25" s="89"/>
      <c r="G25" s="90"/>
      <c r="H25" s="54">
        <f>SUM(I25)-0.3</f>
        <v>3.6000000000000005</v>
      </c>
      <c r="I25" s="54">
        <f>SUM(J25)-0.3</f>
        <v>3.9000000000000004</v>
      </c>
      <c r="J25" s="67">
        <v>4.2</v>
      </c>
      <c r="K25" s="68">
        <f>SUM(J25)+0.3</f>
        <v>4.5</v>
      </c>
      <c r="L25" s="68">
        <f>SUM(K25)+0.3</f>
        <v>4.8</v>
      </c>
      <c r="M25" s="94">
        <f>SUM(L25)+0.3</f>
        <v>5.0999999999999996</v>
      </c>
    </row>
    <row r="26" spans="1:13" s="1" customFormat="1" ht="14.1" customHeight="1" x14ac:dyDescent="0.3">
      <c r="A26" s="78"/>
      <c r="B26" s="70" t="s">
        <v>274</v>
      </c>
      <c r="C26" s="71"/>
      <c r="D26" s="51" t="s">
        <v>275</v>
      </c>
      <c r="E26" s="52"/>
      <c r="F26" s="52"/>
      <c r="G26" s="53"/>
      <c r="H26" s="81"/>
      <c r="I26" s="81"/>
      <c r="J26" s="55"/>
      <c r="K26" s="54"/>
      <c r="L26" s="54"/>
      <c r="M26" s="101"/>
    </row>
    <row r="27" spans="1:13" ht="14.1" customHeight="1" x14ac:dyDescent="0.3">
      <c r="A27" s="48">
        <v>13</v>
      </c>
      <c r="B27" s="65" t="s">
        <v>276</v>
      </c>
      <c r="C27" s="66"/>
      <c r="D27" s="88"/>
      <c r="E27" s="89"/>
      <c r="F27" s="89"/>
      <c r="G27" s="90"/>
      <c r="H27" s="54">
        <f>SUM(I27)-0.5</f>
        <v>7.6</v>
      </c>
      <c r="I27" s="54">
        <f>SUM(J27)-0.5</f>
        <v>8.1</v>
      </c>
      <c r="J27" s="67">
        <v>8.6</v>
      </c>
      <c r="K27" s="68">
        <f>SUM(J27)+0.5</f>
        <v>9.1</v>
      </c>
      <c r="L27" s="68">
        <f>SUM(K27)+0.5</f>
        <v>9.6</v>
      </c>
      <c r="M27" s="94">
        <f>SUM(L27)+0.5</f>
        <v>10.1</v>
      </c>
    </row>
    <row r="28" spans="1:13" ht="14.1" customHeight="1" x14ac:dyDescent="0.3">
      <c r="A28" s="78"/>
      <c r="B28" s="70" t="s">
        <v>277</v>
      </c>
      <c r="C28" s="71"/>
      <c r="D28" s="51" t="s">
        <v>201</v>
      </c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 t="s">
        <v>221</v>
      </c>
      <c r="C29" s="66"/>
      <c r="D29" s="88"/>
      <c r="E29" s="89"/>
      <c r="F29" s="89"/>
      <c r="G29" s="90"/>
      <c r="H29" s="54">
        <f>SUM(I29)-0.8</f>
        <v>8.7999999999999989</v>
      </c>
      <c r="I29" s="54">
        <f>SUM(J29)-0.8</f>
        <v>9.6</v>
      </c>
      <c r="J29" s="67">
        <v>10.4</v>
      </c>
      <c r="K29" s="68">
        <f>SUM(J29)+0.8</f>
        <v>11.200000000000001</v>
      </c>
      <c r="L29" s="68">
        <f>SUM(K29)+0.8</f>
        <v>12.000000000000002</v>
      </c>
      <c r="M29" s="94">
        <f>SUM(L29)+0.8</f>
        <v>12.800000000000002</v>
      </c>
    </row>
    <row r="30" spans="1:13" ht="14.1" customHeight="1" x14ac:dyDescent="0.3">
      <c r="A30" s="78"/>
      <c r="B30" s="70" t="s">
        <v>222</v>
      </c>
      <c r="C30" s="71"/>
      <c r="D30" s="51" t="s">
        <v>292</v>
      </c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 t="s">
        <v>223</v>
      </c>
      <c r="C31" s="66"/>
      <c r="D31" s="88"/>
      <c r="E31" s="89"/>
      <c r="F31" s="89"/>
      <c r="G31" s="90"/>
      <c r="H31" s="54">
        <f>SUM(I31)-0.9</f>
        <v>10.199999999999999</v>
      </c>
      <c r="I31" s="54">
        <f>SUM(J31)-0.9</f>
        <v>11.1</v>
      </c>
      <c r="J31" s="67">
        <v>12</v>
      </c>
      <c r="K31" s="68">
        <f>SUM(J31)+0.9</f>
        <v>12.9</v>
      </c>
      <c r="L31" s="68">
        <f>SUM(K31)+0.9</f>
        <v>13.8</v>
      </c>
      <c r="M31" s="94">
        <f>SUM(L31)+0.9</f>
        <v>14.700000000000001</v>
      </c>
    </row>
    <row r="32" spans="1:13" ht="14.1" customHeight="1" x14ac:dyDescent="0.3">
      <c r="A32" s="78"/>
      <c r="B32" s="70" t="s">
        <v>224</v>
      </c>
      <c r="C32" s="71"/>
      <c r="D32" s="51" t="s">
        <v>292</v>
      </c>
      <c r="E32" s="52"/>
      <c r="F32" s="52"/>
      <c r="G32" s="53"/>
      <c r="H32" s="81"/>
      <c r="I32" s="81"/>
      <c r="J32" s="55"/>
      <c r="K32" s="54"/>
      <c r="L32" s="54"/>
      <c r="M32" s="101"/>
    </row>
    <row r="33" spans="1:13" ht="14.1" customHeight="1" x14ac:dyDescent="0.3">
      <c r="A33" s="48">
        <v>16</v>
      </c>
      <c r="B33" s="65" t="s">
        <v>246</v>
      </c>
      <c r="C33" s="66"/>
      <c r="D33" s="88"/>
      <c r="E33" s="89"/>
      <c r="F33" s="89"/>
      <c r="G33" s="90"/>
      <c r="H33" s="54">
        <f>SUM(I33)-1.3</f>
        <v>13.899999999999999</v>
      </c>
      <c r="I33" s="54">
        <f>SUM(J33)-1.3</f>
        <v>15.2</v>
      </c>
      <c r="J33" s="67">
        <v>16.5</v>
      </c>
      <c r="K33" s="68">
        <f>SUM(J33)+1.3</f>
        <v>17.8</v>
      </c>
      <c r="L33" s="68">
        <f>SUM(K33)+1.3</f>
        <v>19.100000000000001</v>
      </c>
      <c r="M33" s="94">
        <f>SUM(L33)+1.3</f>
        <v>20.400000000000002</v>
      </c>
    </row>
    <row r="34" spans="1:13" ht="14.1" customHeight="1" x14ac:dyDescent="0.3">
      <c r="A34" s="78"/>
      <c r="B34" s="70" t="s">
        <v>247</v>
      </c>
      <c r="C34" s="71"/>
      <c r="D34" s="51" t="s">
        <v>292</v>
      </c>
      <c r="E34" s="52"/>
      <c r="F34" s="52"/>
      <c r="G34" s="53"/>
      <c r="H34" s="81"/>
      <c r="I34" s="81"/>
      <c r="J34" s="55"/>
      <c r="K34" s="54"/>
      <c r="L34" s="54"/>
      <c r="M34" s="101"/>
    </row>
    <row r="35" spans="1:13" ht="14.1" customHeight="1" x14ac:dyDescent="0.3">
      <c r="A35" s="48">
        <v>17</v>
      </c>
      <c r="B35" s="65" t="s">
        <v>279</v>
      </c>
      <c r="C35" s="66"/>
      <c r="D35" s="88"/>
      <c r="E35" s="89"/>
      <c r="F35" s="89"/>
      <c r="G35" s="90"/>
      <c r="H35" s="54">
        <f>SUM(I35)-1.4</f>
        <v>15.700000000000001</v>
      </c>
      <c r="I35" s="54">
        <f>SUM(J35)-1.4</f>
        <v>17.100000000000001</v>
      </c>
      <c r="J35" s="67">
        <v>18.5</v>
      </c>
      <c r="K35" s="68">
        <f>SUM(J35)+1.4</f>
        <v>19.899999999999999</v>
      </c>
      <c r="L35" s="68">
        <f>SUM(K35)+1.4</f>
        <v>21.299999999999997</v>
      </c>
      <c r="M35" s="94">
        <f>SUM(L35)+1.4</f>
        <v>22.699999999999996</v>
      </c>
    </row>
    <row r="36" spans="1:13" ht="14.1" customHeight="1" x14ac:dyDescent="0.3">
      <c r="A36" s="78"/>
      <c r="B36" s="70" t="s">
        <v>286</v>
      </c>
      <c r="C36" s="71"/>
      <c r="D36" s="51" t="s">
        <v>292</v>
      </c>
      <c r="E36" s="52"/>
      <c r="F36" s="52"/>
      <c r="G36" s="53"/>
      <c r="H36" s="81"/>
      <c r="I36" s="81"/>
      <c r="J36" s="55"/>
      <c r="K36" s="54"/>
      <c r="L36" s="54"/>
      <c r="M36" s="101"/>
    </row>
    <row r="37" spans="1:13" ht="14.1" customHeight="1" x14ac:dyDescent="0.3">
      <c r="A37" s="48">
        <v>18</v>
      </c>
      <c r="B37" s="65" t="s">
        <v>293</v>
      </c>
      <c r="C37" s="66"/>
      <c r="D37" s="88"/>
      <c r="E37" s="89"/>
      <c r="F37" s="89"/>
      <c r="G37" s="90"/>
      <c r="H37" s="54">
        <f>SUM(I37)-2.4</f>
        <v>27.200000000000003</v>
      </c>
      <c r="I37" s="54">
        <f>SUM(J37)-2.4</f>
        <v>29.6</v>
      </c>
      <c r="J37" s="67">
        <v>32</v>
      </c>
      <c r="K37" s="68">
        <f>SUM(J37)+2.4</f>
        <v>34.4</v>
      </c>
      <c r="L37" s="68">
        <f>SUM(K37)+2.4</f>
        <v>36.799999999999997</v>
      </c>
      <c r="M37" s="94">
        <f>SUM(L37)+2.4</f>
        <v>39.199999999999996</v>
      </c>
    </row>
    <row r="38" spans="1:13" ht="14.1" customHeight="1" x14ac:dyDescent="0.3">
      <c r="A38" s="78"/>
      <c r="B38" s="79" t="s">
        <v>294</v>
      </c>
      <c r="C38" s="80"/>
      <c r="D38" s="51"/>
      <c r="E38" s="52"/>
      <c r="F38" s="52"/>
      <c r="G38" s="53"/>
      <c r="H38" s="81"/>
      <c r="I38" s="81"/>
      <c r="J38" s="55"/>
      <c r="K38" s="54"/>
      <c r="L38" s="54"/>
      <c r="M38" s="101"/>
    </row>
    <row r="39" spans="1:13" ht="14.1" customHeight="1" x14ac:dyDescent="0.3">
      <c r="A39" s="48">
        <v>19</v>
      </c>
      <c r="B39" s="65"/>
      <c r="C39" s="66"/>
      <c r="D39" s="88"/>
      <c r="E39" s="89"/>
      <c r="F39" s="89"/>
      <c r="G39" s="90"/>
      <c r="H39" s="54"/>
      <c r="I39" s="54"/>
      <c r="J39" s="67"/>
      <c r="K39" s="68"/>
      <c r="L39" s="68"/>
      <c r="M39" s="94"/>
    </row>
    <row r="40" spans="1:13" ht="14.1" customHeight="1" thickBot="1" x14ac:dyDescent="0.35">
      <c r="A40" s="87"/>
      <c r="B40" s="96"/>
      <c r="C40" s="97"/>
      <c r="D40" s="98"/>
      <c r="E40" s="99"/>
      <c r="F40" s="99"/>
      <c r="G40" s="100"/>
      <c r="H40" s="91"/>
      <c r="I40" s="91"/>
      <c r="J40" s="92"/>
      <c r="K40" s="93"/>
      <c r="L40" s="93"/>
      <c r="M40" s="95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J27:J28"/>
    <mergeCell ref="J25:J26"/>
    <mergeCell ref="K25:K26"/>
    <mergeCell ref="L25:L26"/>
    <mergeCell ref="M25:M26"/>
    <mergeCell ref="B26:C26"/>
    <mergeCell ref="D26:G26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27:K28"/>
    <mergeCell ref="L27:L28"/>
    <mergeCell ref="M27:M28"/>
    <mergeCell ref="B28:C28"/>
    <mergeCell ref="D28:G28"/>
    <mergeCell ref="B27:C27"/>
    <mergeCell ref="D27:G27"/>
    <mergeCell ref="H27:H28"/>
    <mergeCell ref="A25:A26"/>
    <mergeCell ref="B25:C25"/>
    <mergeCell ref="D25:G25"/>
    <mergeCell ref="H25:H26"/>
    <mergeCell ref="I25:I26"/>
    <mergeCell ref="A35:A36"/>
    <mergeCell ref="B35:C35"/>
    <mergeCell ref="D35:G35"/>
    <mergeCell ref="H35:H36"/>
    <mergeCell ref="I35:I36"/>
    <mergeCell ref="I33:I34"/>
    <mergeCell ref="B34:C34"/>
    <mergeCell ref="D34:G34"/>
    <mergeCell ref="B32:C32"/>
    <mergeCell ref="D32:G32"/>
    <mergeCell ref="A33:A34"/>
    <mergeCell ref="B33:C33"/>
    <mergeCell ref="D33:G33"/>
    <mergeCell ref="H33:H34"/>
    <mergeCell ref="A27:A28"/>
    <mergeCell ref="I27:I28"/>
    <mergeCell ref="A1:M1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3:K24"/>
    <mergeCell ref="L23:L24"/>
    <mergeCell ref="M23:M24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65E9-9BF1-4DC9-9683-06DD28FDE6C9}">
  <sheetPr codeName="Sheet6">
    <tabColor rgb="FFFF0000"/>
    <pageSetUpPr fitToPage="1"/>
  </sheetPr>
  <dimension ref="A1:P49"/>
  <sheetViews>
    <sheetView topLeftCell="A4" zoomScale="110" zoomScaleNormal="110" workbookViewId="0">
      <selection activeCell="B15" sqref="B15:M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30" t="s">
        <v>367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6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6" s="1" customFormat="1" ht="14.1" customHeight="1" x14ac:dyDescent="0.3">
      <c r="A3" s="34">
        <v>1</v>
      </c>
      <c r="B3" s="36" t="s">
        <v>39</v>
      </c>
      <c r="C3" s="36"/>
      <c r="D3" s="37" t="s">
        <v>362</v>
      </c>
      <c r="E3" s="37"/>
      <c r="F3" s="37"/>
      <c r="G3" s="38"/>
      <c r="H3" s="39">
        <f>SUM(I3)-4.3</f>
        <v>45.400000000000006</v>
      </c>
      <c r="I3" s="39">
        <f>SUM(J3)-4.3</f>
        <v>49.7</v>
      </c>
      <c r="J3" s="41">
        <v>54</v>
      </c>
      <c r="K3" s="39">
        <f>SUM(J3)+4.3</f>
        <v>58.3</v>
      </c>
      <c r="L3" s="39">
        <f t="shared" ref="L3:M3" si="0">SUM(K3)+4.3</f>
        <v>62.599999999999994</v>
      </c>
      <c r="M3" s="43">
        <f t="shared" si="0"/>
        <v>66.899999999999991</v>
      </c>
    </row>
    <row r="4" spans="1:16" s="1" customFormat="1" ht="14.1" customHeight="1" x14ac:dyDescent="0.3">
      <c r="A4" s="35"/>
      <c r="B4" s="45" t="s">
        <v>205</v>
      </c>
      <c r="C4" s="45"/>
      <c r="D4" s="46" t="s">
        <v>363</v>
      </c>
      <c r="E4" s="47"/>
      <c r="F4" s="47"/>
      <c r="G4" s="47"/>
      <c r="H4" s="40"/>
      <c r="I4" s="40"/>
      <c r="J4" s="42"/>
      <c r="K4" s="40"/>
      <c r="L4" s="40"/>
      <c r="M4" s="44"/>
    </row>
    <row r="5" spans="1:16" s="1" customFormat="1" ht="14.1" customHeight="1" x14ac:dyDescent="0.3">
      <c r="A5" s="103">
        <v>2</v>
      </c>
      <c r="B5" s="105" t="s">
        <v>39</v>
      </c>
      <c r="C5" s="105"/>
      <c r="D5" s="106" t="s">
        <v>364</v>
      </c>
      <c r="E5" s="106"/>
      <c r="F5" s="106"/>
      <c r="G5" s="51"/>
      <c r="H5" s="81">
        <f>SUM(I5)-4.4</f>
        <v>46.2</v>
      </c>
      <c r="I5" s="81">
        <f>SUM(J5)-4.4</f>
        <v>50.6</v>
      </c>
      <c r="J5" s="82">
        <v>55</v>
      </c>
      <c r="K5" s="81">
        <f>SUM(J5)+4.4</f>
        <v>59.4</v>
      </c>
      <c r="L5" s="81">
        <f t="shared" ref="L5:M5" si="1">SUM(K5)+4.4</f>
        <v>63.8</v>
      </c>
      <c r="M5" s="83">
        <f t="shared" si="1"/>
        <v>68.2</v>
      </c>
    </row>
    <row r="6" spans="1:16" s="1" customFormat="1" ht="14.1" customHeight="1" x14ac:dyDescent="0.3">
      <c r="A6" s="35"/>
      <c r="B6" s="45" t="s">
        <v>206</v>
      </c>
      <c r="C6" s="45"/>
      <c r="D6" s="46" t="s">
        <v>365</v>
      </c>
      <c r="E6" s="47"/>
      <c r="F6" s="47"/>
      <c r="G6" s="47"/>
      <c r="H6" s="40"/>
      <c r="I6" s="40"/>
      <c r="J6" s="42"/>
      <c r="K6" s="40"/>
      <c r="L6" s="40"/>
      <c r="M6" s="44"/>
    </row>
    <row r="7" spans="1:16" s="1" customFormat="1" ht="14.1" customHeight="1" x14ac:dyDescent="0.3">
      <c r="A7" s="103">
        <v>3</v>
      </c>
      <c r="B7" s="60" t="s">
        <v>37</v>
      </c>
      <c r="C7" s="60"/>
      <c r="D7" s="61" t="s">
        <v>38</v>
      </c>
      <c r="E7" s="61"/>
      <c r="F7" s="61"/>
      <c r="G7" s="61"/>
      <c r="H7" s="54"/>
      <c r="I7" s="54"/>
      <c r="J7" s="55"/>
      <c r="K7" s="54"/>
      <c r="L7" s="54"/>
      <c r="M7" s="56"/>
    </row>
    <row r="8" spans="1:16" s="1" customFormat="1" ht="14.1" customHeight="1" x14ac:dyDescent="0.3">
      <c r="A8" s="35"/>
      <c r="B8" s="45" t="s">
        <v>24</v>
      </c>
      <c r="C8" s="45"/>
      <c r="D8" s="46" t="s">
        <v>42</v>
      </c>
      <c r="E8" s="47"/>
      <c r="F8" s="47"/>
      <c r="G8" s="59"/>
      <c r="H8" s="40"/>
      <c r="I8" s="40"/>
      <c r="J8" s="42"/>
      <c r="K8" s="40"/>
      <c r="L8" s="40"/>
      <c r="M8" s="44"/>
    </row>
    <row r="9" spans="1:16" s="1" customFormat="1" ht="14.1" customHeight="1" x14ac:dyDescent="0.3">
      <c r="A9" s="103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SUM(I9)-2.25</f>
        <v>28.5</v>
      </c>
      <c r="I9" s="54">
        <f>SUM(J9)-2.25</f>
        <v>30.75</v>
      </c>
      <c r="J9" s="55">
        <v>33</v>
      </c>
      <c r="K9" s="54">
        <f>SUM(J9)+2</f>
        <v>35</v>
      </c>
      <c r="L9" s="54">
        <f>SUM(K9)+2</f>
        <v>37</v>
      </c>
      <c r="M9" s="56">
        <f>SUM(L9)+2</f>
        <v>39</v>
      </c>
    </row>
    <row r="10" spans="1:16" s="1" customFormat="1" ht="14.1" customHeight="1" x14ac:dyDescent="0.3">
      <c r="A10" s="35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6" s="1" customFormat="1" ht="14.1" customHeight="1" x14ac:dyDescent="0.3">
      <c r="A11" s="103">
        <v>5</v>
      </c>
      <c r="B11" s="60" t="s">
        <v>268</v>
      </c>
      <c r="C11" s="60"/>
      <c r="D11" s="61" t="s">
        <v>8</v>
      </c>
      <c r="E11" s="61"/>
      <c r="F11" s="61"/>
      <c r="G11" s="61"/>
      <c r="H11" s="54">
        <f>SUM(I11)-2.25</f>
        <v>28.5</v>
      </c>
      <c r="I11" s="54">
        <f>SUM(J11)-2.25</f>
        <v>30.75</v>
      </c>
      <c r="J11" s="55">
        <v>33</v>
      </c>
      <c r="K11" s="54">
        <f>SUM(J11)+2</f>
        <v>35</v>
      </c>
      <c r="L11" s="54">
        <f t="shared" ref="L11:M11" si="2">SUM(K11)+2</f>
        <v>37</v>
      </c>
      <c r="M11" s="56">
        <f t="shared" si="2"/>
        <v>39</v>
      </c>
    </row>
    <row r="12" spans="1:16" s="1" customFormat="1" ht="14.1" customHeight="1" thickBot="1" x14ac:dyDescent="0.35">
      <c r="A12" s="35"/>
      <c r="B12" s="45" t="s">
        <v>269</v>
      </c>
      <c r="C12" s="45"/>
      <c r="D12" s="46" t="s">
        <v>44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6" s="1" customFormat="1" ht="14.1" customHeight="1" thickTop="1" x14ac:dyDescent="0.3">
      <c r="A13" s="103">
        <v>6</v>
      </c>
      <c r="B13" s="60" t="s">
        <v>390</v>
      </c>
      <c r="C13" s="60"/>
      <c r="D13" s="61"/>
      <c r="E13" s="61"/>
      <c r="F13" s="61"/>
      <c r="G13" s="61"/>
      <c r="H13" s="54">
        <f>SUM(I13)-1</f>
        <v>12</v>
      </c>
      <c r="I13" s="54">
        <f>SUM(J13)-1</f>
        <v>13</v>
      </c>
      <c r="J13" s="55">
        <v>14</v>
      </c>
      <c r="K13" s="54">
        <f>SUM(J13)+0.9</f>
        <v>14.9</v>
      </c>
      <c r="L13" s="54">
        <f t="shared" ref="L13:M13" si="3">SUM(K13)+0.9</f>
        <v>15.8</v>
      </c>
      <c r="M13" s="56">
        <f t="shared" si="3"/>
        <v>16.7</v>
      </c>
      <c r="P13" s="16" t="s">
        <v>392</v>
      </c>
    </row>
    <row r="14" spans="1:16" s="1" customFormat="1" ht="14.1" customHeight="1" x14ac:dyDescent="0.3">
      <c r="A14" s="35"/>
      <c r="B14" s="45" t="s">
        <v>391</v>
      </c>
      <c r="C14" s="45"/>
      <c r="D14" s="46"/>
      <c r="E14" s="47"/>
      <c r="F14" s="47"/>
      <c r="G14" s="59"/>
      <c r="H14" s="40"/>
      <c r="I14" s="40"/>
      <c r="J14" s="42"/>
      <c r="K14" s="40"/>
      <c r="L14" s="40"/>
      <c r="M14" s="44"/>
      <c r="P14" s="17">
        <f>SUM(H13+H13+I13+I13+J13+J13+K13+K13+L13+L13+M13+M13)</f>
        <v>172.79999999999998</v>
      </c>
    </row>
    <row r="15" spans="1:16" s="1" customFormat="1" ht="14.1" customHeight="1" thickBot="1" x14ac:dyDescent="0.35">
      <c r="A15" s="103">
        <v>7</v>
      </c>
      <c r="B15" s="65" t="s">
        <v>344</v>
      </c>
      <c r="C15" s="66"/>
      <c r="D15" s="62"/>
      <c r="E15" s="63"/>
      <c r="F15" s="63"/>
      <c r="G15" s="64"/>
      <c r="H15" s="54">
        <f>SUM(I15)-1</f>
        <v>12</v>
      </c>
      <c r="I15" s="54">
        <f>SUM(J15)-1</f>
        <v>13</v>
      </c>
      <c r="J15" s="55">
        <v>14</v>
      </c>
      <c r="K15" s="54">
        <f>SUM(J15)+1</f>
        <v>15</v>
      </c>
      <c r="L15" s="54">
        <f t="shared" ref="L15:M15" si="4">SUM(K15)+1</f>
        <v>16</v>
      </c>
      <c r="M15" s="56">
        <f t="shared" si="4"/>
        <v>17</v>
      </c>
      <c r="P15" s="18">
        <f>SUM(P14/91.44/6*1.08)</f>
        <v>0.34015748031496057</v>
      </c>
    </row>
    <row r="16" spans="1:16" s="1" customFormat="1" ht="14.1" customHeight="1" thickTop="1" x14ac:dyDescent="0.3">
      <c r="A16" s="35"/>
      <c r="B16" s="45" t="s">
        <v>345</v>
      </c>
      <c r="C16" s="45"/>
      <c r="D16" s="46" t="s">
        <v>213</v>
      </c>
      <c r="E16" s="47"/>
      <c r="F16" s="47"/>
      <c r="G16" s="59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03">
        <v>8</v>
      </c>
      <c r="B17" s="65" t="s">
        <v>346</v>
      </c>
      <c r="C17" s="66"/>
      <c r="D17" s="62"/>
      <c r="E17" s="63"/>
      <c r="F17" s="63"/>
      <c r="G17" s="64"/>
      <c r="H17" s="54">
        <f>SUM(I17)-0.8</f>
        <v>10.899999999999999</v>
      </c>
      <c r="I17" s="54">
        <f>SUM(J17)-0.8</f>
        <v>11.7</v>
      </c>
      <c r="J17" s="55">
        <v>12.5</v>
      </c>
      <c r="K17" s="54">
        <f>SUM(J17)+0.8</f>
        <v>13.3</v>
      </c>
      <c r="L17" s="54">
        <f t="shared" ref="L17:M17" si="5">SUM(K17)+0.8</f>
        <v>14.100000000000001</v>
      </c>
      <c r="M17" s="56">
        <f t="shared" si="5"/>
        <v>14.900000000000002</v>
      </c>
    </row>
    <row r="18" spans="1:13" s="1" customFormat="1" ht="14.1" customHeight="1" x14ac:dyDescent="0.3">
      <c r="A18" s="35"/>
      <c r="B18" s="45" t="s">
        <v>347</v>
      </c>
      <c r="C18" s="45"/>
      <c r="D18" s="46" t="s">
        <v>213</v>
      </c>
      <c r="E18" s="47"/>
      <c r="F18" s="47"/>
      <c r="G18" s="59"/>
      <c r="H18" s="40"/>
      <c r="I18" s="40"/>
      <c r="J18" s="42"/>
      <c r="K18" s="40"/>
      <c r="L18" s="40"/>
      <c r="M18" s="44"/>
    </row>
    <row r="19" spans="1:13" s="1" customFormat="1" ht="14.1" customHeight="1" x14ac:dyDescent="0.3">
      <c r="A19" s="103">
        <v>9</v>
      </c>
      <c r="B19" s="60" t="s">
        <v>210</v>
      </c>
      <c r="C19" s="60"/>
      <c r="D19" s="62"/>
      <c r="E19" s="63"/>
      <c r="F19" s="63"/>
      <c r="G19" s="64"/>
      <c r="H19" s="54">
        <f>SUM(I19)-1.1</f>
        <v>15.799999999999999</v>
      </c>
      <c r="I19" s="54">
        <f>SUM(J19)-1.1</f>
        <v>16.899999999999999</v>
      </c>
      <c r="J19" s="67">
        <v>18</v>
      </c>
      <c r="K19" s="54">
        <f>SUM(J19)+1.1</f>
        <v>19.100000000000001</v>
      </c>
      <c r="L19" s="54">
        <f t="shared" ref="L19:M19" si="6">SUM(K19)+1.1</f>
        <v>20.200000000000003</v>
      </c>
      <c r="M19" s="56">
        <f t="shared" si="6"/>
        <v>21.300000000000004</v>
      </c>
    </row>
    <row r="20" spans="1:13" s="1" customFormat="1" ht="14.1" customHeight="1" x14ac:dyDescent="0.3">
      <c r="A20" s="35"/>
      <c r="B20" s="45" t="s">
        <v>188</v>
      </c>
      <c r="C20" s="45"/>
      <c r="D20" s="46"/>
      <c r="E20" s="47"/>
      <c r="F20" s="47"/>
      <c r="G20" s="59"/>
      <c r="H20" s="40"/>
      <c r="I20" s="40"/>
      <c r="J20" s="67"/>
      <c r="K20" s="40"/>
      <c r="L20" s="40"/>
      <c r="M20" s="44"/>
    </row>
    <row r="21" spans="1:13" s="1" customFormat="1" ht="14.1" customHeight="1" x14ac:dyDescent="0.3">
      <c r="A21" s="103">
        <v>10</v>
      </c>
      <c r="B21" s="60" t="s">
        <v>1</v>
      </c>
      <c r="C21" s="60"/>
      <c r="D21" s="61" t="s">
        <v>163</v>
      </c>
      <c r="E21" s="61"/>
      <c r="F21" s="61"/>
      <c r="G21" s="61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35"/>
      <c r="B22" s="45" t="s">
        <v>27</v>
      </c>
      <c r="C22" s="45"/>
      <c r="D22" s="46" t="s">
        <v>46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103">
        <v>11</v>
      </c>
      <c r="B23" s="60" t="s">
        <v>2</v>
      </c>
      <c r="C23" s="60"/>
      <c r="D23" s="61" t="s">
        <v>3</v>
      </c>
      <c r="E23" s="61"/>
      <c r="F23" s="61"/>
      <c r="G23" s="61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35"/>
      <c r="B24" s="45" t="s">
        <v>28</v>
      </c>
      <c r="C24" s="45"/>
      <c r="D24" s="46" t="s">
        <v>196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103">
        <v>12</v>
      </c>
      <c r="B25" s="65" t="s">
        <v>73</v>
      </c>
      <c r="C25" s="66"/>
      <c r="D25" s="62" t="s">
        <v>74</v>
      </c>
      <c r="E25" s="63"/>
      <c r="F25" s="63"/>
      <c r="G25" s="64"/>
      <c r="H25" s="54"/>
      <c r="I25" s="54"/>
      <c r="J25" s="67"/>
      <c r="K25" s="68"/>
      <c r="L25" s="68"/>
      <c r="M25" s="69"/>
    </row>
    <row r="26" spans="1:13" s="1" customFormat="1" ht="14.1" customHeight="1" x14ac:dyDescent="0.3">
      <c r="A26" s="35"/>
      <c r="B26" s="45" t="s">
        <v>33</v>
      </c>
      <c r="C26" s="45"/>
      <c r="D26" s="46" t="s">
        <v>86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103">
        <v>13</v>
      </c>
      <c r="B27" s="60" t="s">
        <v>4</v>
      </c>
      <c r="C27" s="60"/>
      <c r="D27" s="61" t="s">
        <v>5</v>
      </c>
      <c r="E27" s="61"/>
      <c r="F27" s="61"/>
      <c r="G27" s="61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35"/>
      <c r="B28" s="45" t="s">
        <v>29</v>
      </c>
      <c r="C28" s="45"/>
      <c r="D28" s="46" t="s">
        <v>48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ht="14.1" customHeight="1" x14ac:dyDescent="0.3">
      <c r="A29" s="103">
        <v>14</v>
      </c>
      <c r="B29" s="60" t="s">
        <v>6</v>
      </c>
      <c r="C29" s="60"/>
      <c r="D29" s="62" t="s">
        <v>7</v>
      </c>
      <c r="E29" s="63"/>
      <c r="F29" s="63"/>
      <c r="G29" s="64"/>
      <c r="H29" s="54"/>
      <c r="I29" s="54"/>
      <c r="J29" s="67"/>
      <c r="K29" s="68"/>
      <c r="L29" s="68"/>
      <c r="M29" s="69"/>
    </row>
    <row r="30" spans="1:13" ht="14.1" customHeight="1" x14ac:dyDescent="0.3">
      <c r="A30" s="35"/>
      <c r="B30" s="45" t="s">
        <v>30</v>
      </c>
      <c r="C30" s="45"/>
      <c r="D30" s="46" t="s">
        <v>67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103">
        <v>15</v>
      </c>
      <c r="B31" s="65" t="s">
        <v>82</v>
      </c>
      <c r="C31" s="66"/>
      <c r="D31" s="61" t="s">
        <v>68</v>
      </c>
      <c r="E31" s="61"/>
      <c r="F31" s="61"/>
      <c r="G31" s="61"/>
      <c r="H31" s="54"/>
      <c r="I31" s="54"/>
      <c r="J31" s="67"/>
      <c r="K31" s="68"/>
      <c r="L31" s="68"/>
      <c r="M31" s="69"/>
    </row>
    <row r="32" spans="1:13" ht="14.1" customHeight="1" x14ac:dyDescent="0.3">
      <c r="A32" s="35"/>
      <c r="B32" s="45" t="s">
        <v>31</v>
      </c>
      <c r="C32" s="45"/>
      <c r="D32" s="46" t="s">
        <v>69</v>
      </c>
      <c r="E32" s="47"/>
      <c r="F32" s="47"/>
      <c r="G32" s="59"/>
      <c r="H32" s="40"/>
      <c r="I32" s="40"/>
      <c r="J32" s="67"/>
      <c r="K32" s="68"/>
      <c r="L32" s="68"/>
      <c r="M32" s="69"/>
    </row>
    <row r="33" spans="1:13" ht="14.1" customHeight="1" x14ac:dyDescent="0.3">
      <c r="A33" s="103">
        <v>16</v>
      </c>
      <c r="B33" s="65" t="s">
        <v>221</v>
      </c>
      <c r="C33" s="66"/>
      <c r="D33" s="75"/>
      <c r="E33" s="76"/>
      <c r="F33" s="76"/>
      <c r="G33" s="77"/>
      <c r="H33" s="54">
        <f>SUM(I33)-1.1</f>
        <v>12.3</v>
      </c>
      <c r="I33" s="54">
        <f>SUM(J33)-1.1</f>
        <v>13.4</v>
      </c>
      <c r="J33" s="55">
        <v>14.5</v>
      </c>
      <c r="K33" s="54">
        <f>SUM(J33)+1.1</f>
        <v>15.6</v>
      </c>
      <c r="L33" s="54">
        <f t="shared" ref="L33:M33" si="7">SUM(K33)+1.1</f>
        <v>16.7</v>
      </c>
      <c r="M33" s="56">
        <f t="shared" si="7"/>
        <v>17.8</v>
      </c>
    </row>
    <row r="34" spans="1:13" ht="14.1" customHeight="1" x14ac:dyDescent="0.3">
      <c r="A34" s="35"/>
      <c r="B34" s="70" t="s">
        <v>222</v>
      </c>
      <c r="C34" s="71"/>
      <c r="D34" s="72"/>
      <c r="E34" s="73"/>
      <c r="F34" s="73"/>
      <c r="G34" s="74"/>
      <c r="H34" s="40"/>
      <c r="I34" s="40"/>
      <c r="J34" s="42"/>
      <c r="K34" s="40"/>
      <c r="L34" s="40"/>
      <c r="M34" s="44"/>
    </row>
    <row r="35" spans="1:13" ht="14.1" customHeight="1" x14ac:dyDescent="0.3">
      <c r="A35" s="103">
        <v>17</v>
      </c>
      <c r="B35" s="65" t="s">
        <v>223</v>
      </c>
      <c r="C35" s="66"/>
      <c r="D35" s="75"/>
      <c r="E35" s="76"/>
      <c r="F35" s="76"/>
      <c r="G35" s="77"/>
      <c r="H35" s="54">
        <f>SUM(I35)-1.6</f>
        <v>16.299999999999997</v>
      </c>
      <c r="I35" s="54">
        <f>SUM(J35)-1.6</f>
        <v>17.899999999999999</v>
      </c>
      <c r="J35" s="55">
        <v>19.5</v>
      </c>
      <c r="K35" s="54">
        <f>SUM(J35)+1.6</f>
        <v>21.1</v>
      </c>
      <c r="L35" s="54">
        <f t="shared" ref="L35:M35" si="8">SUM(K35)+1.6</f>
        <v>22.700000000000003</v>
      </c>
      <c r="M35" s="56">
        <f t="shared" si="8"/>
        <v>24.300000000000004</v>
      </c>
    </row>
    <row r="36" spans="1:13" ht="14.1" customHeight="1" x14ac:dyDescent="0.3">
      <c r="A36" s="35"/>
      <c r="B36" s="70" t="s">
        <v>224</v>
      </c>
      <c r="C36" s="71"/>
      <c r="D36" s="72"/>
      <c r="E36" s="73"/>
      <c r="F36" s="73"/>
      <c r="G36" s="74"/>
      <c r="H36" s="40"/>
      <c r="I36" s="40"/>
      <c r="J36" s="42"/>
      <c r="K36" s="40"/>
      <c r="L36" s="40"/>
      <c r="M36" s="44"/>
    </row>
    <row r="37" spans="1:13" ht="14.1" customHeight="1" x14ac:dyDescent="0.3">
      <c r="A37" s="103">
        <v>18</v>
      </c>
      <c r="B37" s="65" t="s">
        <v>293</v>
      </c>
      <c r="C37" s="66"/>
      <c r="D37" s="75"/>
      <c r="E37" s="76"/>
      <c r="F37" s="76"/>
      <c r="G37" s="77"/>
      <c r="H37" s="54">
        <f>SUM(I37)-1.9</f>
        <v>28.1</v>
      </c>
      <c r="I37" s="54">
        <f>SUM(J37)-1.9</f>
        <v>30</v>
      </c>
      <c r="J37" s="55">
        <v>31.9</v>
      </c>
      <c r="K37" s="54">
        <f>SUM(J37)+1.9</f>
        <v>33.799999999999997</v>
      </c>
      <c r="L37" s="54">
        <f t="shared" ref="L37:M37" si="9">SUM(K37)+1.9</f>
        <v>35.699999999999996</v>
      </c>
      <c r="M37" s="56">
        <f t="shared" si="9"/>
        <v>37.599999999999994</v>
      </c>
    </row>
    <row r="38" spans="1:13" ht="14.1" customHeight="1" x14ac:dyDescent="0.3">
      <c r="A38" s="35"/>
      <c r="B38" s="57" t="s">
        <v>366</v>
      </c>
      <c r="C38" s="58"/>
      <c r="D38" s="72"/>
      <c r="E38" s="73"/>
      <c r="F38" s="73"/>
      <c r="G38" s="74"/>
      <c r="H38" s="40"/>
      <c r="I38" s="40"/>
      <c r="J38" s="42"/>
      <c r="K38" s="40"/>
      <c r="L38" s="40"/>
      <c r="M38" s="44"/>
    </row>
    <row r="39" spans="1:13" ht="14.1" customHeight="1" x14ac:dyDescent="0.3">
      <c r="A39" s="103">
        <v>19</v>
      </c>
      <c r="B39" s="65"/>
      <c r="C39" s="66"/>
      <c r="D39" s="88"/>
      <c r="E39" s="89"/>
      <c r="F39" s="89"/>
      <c r="G39" s="90"/>
      <c r="H39" s="54"/>
      <c r="I39" s="54"/>
      <c r="J39" s="67"/>
      <c r="K39" s="68"/>
      <c r="L39" s="68"/>
      <c r="M39" s="94"/>
    </row>
    <row r="40" spans="1:13" ht="14.1" customHeight="1" thickBot="1" x14ac:dyDescent="0.35">
      <c r="A40" s="104"/>
      <c r="B40" s="96"/>
      <c r="C40" s="97"/>
      <c r="D40" s="98"/>
      <c r="E40" s="99"/>
      <c r="F40" s="99"/>
      <c r="G40" s="100"/>
      <c r="H40" s="91"/>
      <c r="I40" s="91"/>
      <c r="J40" s="92"/>
      <c r="K40" s="93"/>
      <c r="L40" s="93"/>
      <c r="M40" s="95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904B-6D80-4B67-B38D-CCFFB0544D1D}">
  <sheetPr codeName="Sheet7">
    <tabColor rgb="FFFF0000"/>
    <pageSetUpPr fitToPage="1"/>
  </sheetPr>
  <dimension ref="A1:M49"/>
  <sheetViews>
    <sheetView zoomScale="110" zoomScaleNormal="110" workbookViewId="0">
      <selection activeCell="I11" sqref="I11:I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215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39">
        <f>SUM(I3)-5</f>
        <v>53</v>
      </c>
      <c r="I3" s="39">
        <f>SUM(J3)-5</f>
        <v>58</v>
      </c>
      <c r="J3" s="41">
        <v>63</v>
      </c>
      <c r="K3" s="39">
        <f>SUM(J3)+5</f>
        <v>68</v>
      </c>
      <c r="L3" s="39">
        <f>SUM(K3)+5</f>
        <v>73</v>
      </c>
      <c r="M3" s="120">
        <f>SUM(L3)+5</f>
        <v>78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21.799999999999997</v>
      </c>
      <c r="I5" s="54">
        <f>SUM(J5)-1.6</f>
        <v>23.4</v>
      </c>
      <c r="J5" s="55">
        <v>25</v>
      </c>
      <c r="K5" s="54">
        <f>SUM(J5)+1.4</f>
        <v>26.4</v>
      </c>
      <c r="L5" s="54">
        <f>SUM(K5)+1.4</f>
        <v>27.799999999999997</v>
      </c>
      <c r="M5" s="101">
        <f>SUM(L5)+1.4</f>
        <v>29.199999999999996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>SUM(K7)+2</f>
        <v>39</v>
      </c>
      <c r="M7" s="101">
        <f>SUM(L7)+2</f>
        <v>41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218</v>
      </c>
      <c r="C9" s="60"/>
      <c r="D9" s="61" t="s">
        <v>8</v>
      </c>
      <c r="E9" s="61"/>
      <c r="F9" s="61"/>
      <c r="G9" s="61"/>
      <c r="H9" s="54">
        <f>SUM(I9)-2.3</f>
        <v>31.400000000000002</v>
      </c>
      <c r="I9" s="54">
        <f>SUM(J9)-2.3</f>
        <v>33.700000000000003</v>
      </c>
      <c r="J9" s="55">
        <v>36</v>
      </c>
      <c r="K9" s="54">
        <f>SUM(J9)+2.1</f>
        <v>38.1</v>
      </c>
      <c r="L9" s="54">
        <f>SUM(K9)+2.1</f>
        <v>40.200000000000003</v>
      </c>
      <c r="M9" s="101">
        <f>SUM(L9)+2.1</f>
        <v>42.300000000000004</v>
      </c>
    </row>
    <row r="10" spans="1:13" s="1" customFormat="1" ht="14.1" customHeight="1" x14ac:dyDescent="0.3">
      <c r="A10" s="48"/>
      <c r="B10" s="45" t="s">
        <v>219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216</v>
      </c>
      <c r="C11" s="60"/>
      <c r="D11" s="61"/>
      <c r="E11" s="61"/>
      <c r="F11" s="61"/>
      <c r="G11" s="61"/>
      <c r="H11" s="54">
        <f>SUM(I11)-1.8</f>
        <v>24.4</v>
      </c>
      <c r="I11" s="54">
        <f>SUM(J11)-1.8</f>
        <v>26.2</v>
      </c>
      <c r="J11" s="55">
        <v>28</v>
      </c>
      <c r="K11" s="54">
        <f>SUM(J11)+1.6</f>
        <v>29.6</v>
      </c>
      <c r="L11" s="54">
        <f>SUM(K11)+1.6</f>
        <v>31.200000000000003</v>
      </c>
      <c r="M11" s="101">
        <f>SUM(L11)+1.6</f>
        <v>32.800000000000004</v>
      </c>
    </row>
    <row r="12" spans="1:13" s="1" customFormat="1" ht="14.1" customHeight="1" x14ac:dyDescent="0.3">
      <c r="A12" s="48"/>
      <c r="B12" s="45" t="s">
        <v>217</v>
      </c>
      <c r="C12" s="45"/>
      <c r="D12" s="46"/>
      <c r="E12" s="47"/>
      <c r="F12" s="47"/>
      <c r="G12" s="59"/>
      <c r="H12" s="40"/>
      <c r="I12" s="40"/>
      <c r="J12" s="42"/>
      <c r="K12" s="40"/>
      <c r="L12" s="40"/>
      <c r="M12" s="102"/>
    </row>
    <row r="13" spans="1:13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54">
        <f>SUM(I13)-0.9</f>
        <v>14.2</v>
      </c>
      <c r="I13" s="54">
        <f>SUM(J13)-0.9</f>
        <v>15.1</v>
      </c>
      <c r="J13" s="67">
        <v>16</v>
      </c>
      <c r="K13" s="68">
        <f>SUM(J13)+0.9</f>
        <v>16.899999999999999</v>
      </c>
      <c r="L13" s="68">
        <f>SUM(K13)+0.9</f>
        <v>17.799999999999997</v>
      </c>
      <c r="M13" s="94">
        <f>SUM(L13)+0.9</f>
        <v>18.699999999999996</v>
      </c>
    </row>
    <row r="14" spans="1:13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12.4</v>
      </c>
      <c r="I15" s="54">
        <f>SUM(J15)-0.6</f>
        <v>13</v>
      </c>
      <c r="J15" s="67">
        <v>13.6</v>
      </c>
      <c r="K15" s="68">
        <f>SUM(J15)+0.6</f>
        <v>14.2</v>
      </c>
      <c r="L15" s="68">
        <f>SUM(K15)+0.6</f>
        <v>14.799999999999999</v>
      </c>
      <c r="M15" s="94">
        <f>SUM(L15)+0.6</f>
        <v>15.399999999999999</v>
      </c>
    </row>
    <row r="16" spans="1:13" s="1" customFormat="1" ht="14.1" customHeight="1" x14ac:dyDescent="0.3">
      <c r="A16" s="48"/>
      <c r="B16" s="45" t="s">
        <v>27</v>
      </c>
      <c r="C16" s="45"/>
      <c r="D16" s="46" t="s">
        <v>46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5.9</v>
      </c>
      <c r="I17" s="54">
        <f>SUM(J17)-0.3</f>
        <v>6.2</v>
      </c>
      <c r="J17" s="67">
        <v>6.5</v>
      </c>
      <c r="K17" s="68">
        <f>SUM(J17)+0.3</f>
        <v>6.8</v>
      </c>
      <c r="L17" s="68">
        <f>SUM(K17)+0.3</f>
        <v>7.1</v>
      </c>
      <c r="M17" s="94">
        <f>SUM(L17)+0.3</f>
        <v>7.3999999999999995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196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SUM(I19)-1.6</f>
        <v>32.799999999999997</v>
      </c>
      <c r="I19" s="54">
        <f>SUM(J19)-1.6</f>
        <v>34.4</v>
      </c>
      <c r="J19" s="67">
        <v>36</v>
      </c>
      <c r="K19" s="68">
        <f>SUM(J19)+1.6</f>
        <v>37.6</v>
      </c>
      <c r="L19" s="68">
        <f>SUM(K19)+1.6</f>
        <v>39.200000000000003</v>
      </c>
      <c r="M19" s="94">
        <f>SUM(L19)+1.6</f>
        <v>40.800000000000004</v>
      </c>
    </row>
    <row r="20" spans="1:13" s="1" customFormat="1" ht="14.1" customHeight="1" x14ac:dyDescent="0.3">
      <c r="A20" s="48"/>
      <c r="B20" s="45" t="s">
        <v>33</v>
      </c>
      <c r="C20" s="45"/>
      <c r="D20" s="46" t="s">
        <v>86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SUM(I21)-1.2</f>
        <v>13.600000000000001</v>
      </c>
      <c r="I21" s="54">
        <f>SUM(J21)-1.2</f>
        <v>14.8</v>
      </c>
      <c r="J21" s="67">
        <v>16</v>
      </c>
      <c r="K21" s="68">
        <f>SUM(J21)+1.3</f>
        <v>17.3</v>
      </c>
      <c r="L21" s="68">
        <f>SUM(K21)+1.3</f>
        <v>18.600000000000001</v>
      </c>
      <c r="M21" s="94">
        <f>SUM(L21)+1.3</f>
        <v>19.900000000000002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148</v>
      </c>
      <c r="C25" s="66"/>
      <c r="D25" s="61" t="s">
        <v>68</v>
      </c>
      <c r="E25" s="61"/>
      <c r="F25" s="61"/>
      <c r="G25" s="61"/>
      <c r="H25" s="54">
        <f>SUM(I25)-1.2</f>
        <v>19.600000000000001</v>
      </c>
      <c r="I25" s="54">
        <f>SUM(J25)-1.2</f>
        <v>20.8</v>
      </c>
      <c r="J25" s="67">
        <v>22</v>
      </c>
      <c r="K25" s="68">
        <f>SUM(J25)+1.2</f>
        <v>23.2</v>
      </c>
      <c r="L25" s="68">
        <f>SUM(K25)+1.2</f>
        <v>24.4</v>
      </c>
      <c r="M25" s="94">
        <f>SUM(L25)+1.2</f>
        <v>25.599999999999998</v>
      </c>
    </row>
    <row r="26" spans="1:13" s="1" customFormat="1" ht="14.1" customHeight="1" x14ac:dyDescent="0.3">
      <c r="A26" s="48"/>
      <c r="B26" s="45" t="s">
        <v>220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3" s="1" customFormat="1" ht="14.1" customHeight="1" x14ac:dyDescent="0.3">
      <c r="A27" s="48">
        <v>13</v>
      </c>
      <c r="B27" s="65" t="s">
        <v>221</v>
      </c>
      <c r="C27" s="66"/>
      <c r="D27" s="75"/>
      <c r="E27" s="76"/>
      <c r="F27" s="76"/>
      <c r="G27" s="77"/>
      <c r="H27" s="54">
        <f>SUM(I27)-0.9</f>
        <v>9.1999999999999993</v>
      </c>
      <c r="I27" s="54">
        <f>SUM(J27)-0.9</f>
        <v>10.1</v>
      </c>
      <c r="J27" s="55">
        <v>11</v>
      </c>
      <c r="K27" s="54">
        <f>SUM(J27)+0.9</f>
        <v>11.9</v>
      </c>
      <c r="L27" s="54">
        <f>SUM(K27)+0.9</f>
        <v>12.8</v>
      </c>
      <c r="M27" s="101">
        <f>SUM(L27)+0.9</f>
        <v>13.700000000000001</v>
      </c>
    </row>
    <row r="28" spans="1:13" s="1" customFormat="1" ht="14.1" customHeight="1" x14ac:dyDescent="0.3">
      <c r="A28" s="48"/>
      <c r="B28" s="70" t="s">
        <v>222</v>
      </c>
      <c r="C28" s="71"/>
      <c r="D28" s="72"/>
      <c r="E28" s="73"/>
      <c r="F28" s="73"/>
      <c r="G28" s="74"/>
      <c r="H28" s="40"/>
      <c r="I28" s="40"/>
      <c r="J28" s="42"/>
      <c r="K28" s="40"/>
      <c r="L28" s="40"/>
      <c r="M28" s="102"/>
    </row>
    <row r="29" spans="1:13" ht="14.1" customHeight="1" x14ac:dyDescent="0.3">
      <c r="A29" s="48">
        <v>14</v>
      </c>
      <c r="B29" s="65" t="s">
        <v>223</v>
      </c>
      <c r="C29" s="66"/>
      <c r="D29" s="75"/>
      <c r="E29" s="76"/>
      <c r="F29" s="76"/>
      <c r="G29" s="77"/>
      <c r="H29" s="54">
        <f>SUM(I29)-2.2</f>
        <v>23.6</v>
      </c>
      <c r="I29" s="54">
        <f>SUM(J29)-2.2</f>
        <v>25.8</v>
      </c>
      <c r="J29" s="55">
        <v>28</v>
      </c>
      <c r="K29" s="54">
        <f>SUM(J29)+2.2</f>
        <v>30.2</v>
      </c>
      <c r="L29" s="54">
        <f>SUM(K29)+2.2</f>
        <v>32.4</v>
      </c>
      <c r="M29" s="101">
        <f>SUM(L29)+2.2</f>
        <v>34.6</v>
      </c>
    </row>
    <row r="30" spans="1:13" ht="14.1" customHeight="1" x14ac:dyDescent="0.3">
      <c r="A30" s="48"/>
      <c r="B30" s="70" t="s">
        <v>224</v>
      </c>
      <c r="C30" s="71"/>
      <c r="D30" s="72"/>
      <c r="E30" s="73"/>
      <c r="F30" s="73"/>
      <c r="G30" s="74"/>
      <c r="H30" s="40"/>
      <c r="I30" s="40"/>
      <c r="J30" s="42"/>
      <c r="K30" s="40"/>
      <c r="L30" s="40"/>
      <c r="M30" s="102"/>
    </row>
    <row r="31" spans="1:13" ht="14.1" customHeight="1" x14ac:dyDescent="0.3">
      <c r="A31" s="48">
        <v>15</v>
      </c>
      <c r="B31" s="79" t="s">
        <v>134</v>
      </c>
      <c r="C31" s="80"/>
      <c r="D31" s="75"/>
      <c r="E31" s="76"/>
      <c r="F31" s="76"/>
      <c r="G31" s="77"/>
      <c r="H31" s="54">
        <f>SUM(I31)-0.7</f>
        <v>9.6000000000000014</v>
      </c>
      <c r="I31" s="54">
        <f>SUM(J31)-0.7</f>
        <v>10.3</v>
      </c>
      <c r="J31" s="55">
        <v>11</v>
      </c>
      <c r="K31" s="54">
        <f>SUM(J31)+0.7</f>
        <v>11.7</v>
      </c>
      <c r="L31" s="54">
        <f>SUM(K31)+0.7</f>
        <v>12.399999999999999</v>
      </c>
      <c r="M31" s="101">
        <f>SUM(L31)+0.7</f>
        <v>13.099999999999998</v>
      </c>
    </row>
    <row r="32" spans="1:13" ht="14.1" customHeight="1" x14ac:dyDescent="0.3">
      <c r="A32" s="78"/>
      <c r="B32" s="79" t="s">
        <v>142</v>
      </c>
      <c r="C32" s="80"/>
      <c r="D32" s="84" t="s">
        <v>225</v>
      </c>
      <c r="E32" s="85"/>
      <c r="F32" s="85"/>
      <c r="G32" s="86"/>
      <c r="H32" s="81"/>
      <c r="I32" s="81"/>
      <c r="J32" s="82"/>
      <c r="K32" s="81"/>
      <c r="L32" s="81"/>
      <c r="M32" s="119"/>
    </row>
    <row r="33" spans="1:13" ht="14.1" customHeight="1" x14ac:dyDescent="0.3">
      <c r="A33" s="48">
        <v>16</v>
      </c>
      <c r="B33" s="65" t="s">
        <v>135</v>
      </c>
      <c r="C33" s="66"/>
      <c r="D33" s="75"/>
      <c r="E33" s="76"/>
      <c r="F33" s="76"/>
      <c r="G33" s="77"/>
      <c r="H33" s="54">
        <f>SUM(I33)-0.4</f>
        <v>5.1999999999999993</v>
      </c>
      <c r="I33" s="54">
        <f>SUM(J33)-0.4</f>
        <v>5.6</v>
      </c>
      <c r="J33" s="55">
        <v>6</v>
      </c>
      <c r="K33" s="54">
        <f>SUM(J33)+0.4</f>
        <v>6.4</v>
      </c>
      <c r="L33" s="54">
        <f>SUM(K33)+0.4</f>
        <v>6.8000000000000007</v>
      </c>
      <c r="M33" s="101">
        <f>SUM(L33)+0.4</f>
        <v>7.2000000000000011</v>
      </c>
    </row>
    <row r="34" spans="1:13" ht="14.1" customHeight="1" x14ac:dyDescent="0.3">
      <c r="A34" s="48"/>
      <c r="B34" s="57" t="s">
        <v>143</v>
      </c>
      <c r="C34" s="58"/>
      <c r="D34" s="72"/>
      <c r="E34" s="73"/>
      <c r="F34" s="73"/>
      <c r="G34" s="74"/>
      <c r="H34" s="40"/>
      <c r="I34" s="40"/>
      <c r="J34" s="42"/>
      <c r="K34" s="40"/>
      <c r="L34" s="40"/>
      <c r="M34" s="102"/>
    </row>
    <row r="35" spans="1:13" ht="14.1" customHeight="1" x14ac:dyDescent="0.3">
      <c r="A35" s="48">
        <v>17</v>
      </c>
      <c r="B35" s="65"/>
      <c r="C35" s="66"/>
      <c r="D35" s="88"/>
      <c r="E35" s="89"/>
      <c r="F35" s="89"/>
      <c r="G35" s="90"/>
      <c r="H35" s="54"/>
      <c r="I35" s="54"/>
      <c r="J35" s="67"/>
      <c r="K35" s="68"/>
      <c r="L35" s="68"/>
      <c r="M35" s="94"/>
    </row>
    <row r="36" spans="1:13" ht="14.1" customHeight="1" thickBot="1" x14ac:dyDescent="0.35">
      <c r="A36" s="87"/>
      <c r="B36" s="96"/>
      <c r="C36" s="97"/>
      <c r="D36" s="98"/>
      <c r="E36" s="99"/>
      <c r="F36" s="99"/>
      <c r="G36" s="100"/>
      <c r="H36" s="91"/>
      <c r="I36" s="91"/>
      <c r="J36" s="92"/>
      <c r="K36" s="93"/>
      <c r="L36" s="93"/>
      <c r="M36" s="95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9:J20"/>
    <mergeCell ref="A35:A36"/>
    <mergeCell ref="B35:C35"/>
    <mergeCell ref="D35:G35"/>
    <mergeCell ref="H35:H36"/>
    <mergeCell ref="I35:I36"/>
    <mergeCell ref="A27:A28"/>
    <mergeCell ref="B27:C27"/>
    <mergeCell ref="D27:G27"/>
    <mergeCell ref="H27:H28"/>
    <mergeCell ref="I27:I28"/>
    <mergeCell ref="A29:A30"/>
    <mergeCell ref="A33:A34"/>
    <mergeCell ref="H33:H34"/>
    <mergeCell ref="I33:I34"/>
    <mergeCell ref="A31:A32"/>
    <mergeCell ref="B31:C31"/>
    <mergeCell ref="D31:G31"/>
    <mergeCell ref="H31:H32"/>
    <mergeCell ref="I31:I32"/>
    <mergeCell ref="J35:J36"/>
    <mergeCell ref="K35:K36"/>
    <mergeCell ref="L35:L36"/>
    <mergeCell ref="M35:M36"/>
    <mergeCell ref="B36:C36"/>
    <mergeCell ref="D36:G36"/>
    <mergeCell ref="K27:K28"/>
    <mergeCell ref="L27:L28"/>
    <mergeCell ref="M27:M28"/>
    <mergeCell ref="B28:C28"/>
    <mergeCell ref="D28:G28"/>
    <mergeCell ref="J27:J28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B33:C33"/>
    <mergeCell ref="D33:G33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K9:K10"/>
    <mergeCell ref="L9:L10"/>
    <mergeCell ref="M9:M10"/>
    <mergeCell ref="B10:C10"/>
    <mergeCell ref="D10:G10"/>
    <mergeCell ref="J9:J10"/>
    <mergeCell ref="J25:J26"/>
    <mergeCell ref="K25:K26"/>
    <mergeCell ref="L25:L26"/>
    <mergeCell ref="M25:M26"/>
    <mergeCell ref="K23:K24"/>
    <mergeCell ref="L23:L24"/>
    <mergeCell ref="M23:M24"/>
    <mergeCell ref="J23:J24"/>
    <mergeCell ref="J21:J22"/>
    <mergeCell ref="K21:K22"/>
    <mergeCell ref="L21:L22"/>
    <mergeCell ref="M21:M22"/>
    <mergeCell ref="B26:C26"/>
    <mergeCell ref="D26:G26"/>
    <mergeCell ref="B24:C24"/>
    <mergeCell ref="D24:G24"/>
    <mergeCell ref="B22:C22"/>
    <mergeCell ref="D22:G2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ED43-863B-445D-AD5C-11025EEC4C6E}">
  <sheetPr codeName="Sheet8">
    <tabColor rgb="FFFF0000"/>
    <pageSetUpPr fitToPage="1"/>
  </sheetPr>
  <dimension ref="A1:M49"/>
  <sheetViews>
    <sheetView zoomScale="110" zoomScaleNormal="110" workbookViewId="0">
      <selection activeCell="O23" sqref="O2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330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39">
        <f>SUM(I3)-5</f>
        <v>54</v>
      </c>
      <c r="I3" s="39">
        <f>SUM(J3)-5</f>
        <v>59</v>
      </c>
      <c r="J3" s="41">
        <v>64</v>
      </c>
      <c r="K3" s="39">
        <f>SUM(J3)+5</f>
        <v>69</v>
      </c>
      <c r="L3" s="39">
        <f>SUM(K3)+5</f>
        <v>74</v>
      </c>
      <c r="M3" s="43">
        <f>SUM(L3)+5</f>
        <v>79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19.2</v>
      </c>
      <c r="I5" s="54">
        <f>SUM(J5)-2</f>
        <v>21.2</v>
      </c>
      <c r="J5" s="55">
        <v>23.2</v>
      </c>
      <c r="K5" s="54">
        <f>SUM(J5)+2</f>
        <v>25.2</v>
      </c>
      <c r="L5" s="54">
        <f>SUM(K5)+2</f>
        <v>27.2</v>
      </c>
      <c r="M5" s="56">
        <f>SUM(L5)+2</f>
        <v>29.2</v>
      </c>
    </row>
    <row r="6" spans="1:13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28.5</v>
      </c>
      <c r="I7" s="54">
        <f>SUM(J7)-2.25</f>
        <v>30.75</v>
      </c>
      <c r="J7" s="55">
        <v>33</v>
      </c>
      <c r="K7" s="54">
        <f>SUM(J7)+2</f>
        <v>35</v>
      </c>
      <c r="L7" s="54">
        <f>SUM(K7)+2</f>
        <v>37</v>
      </c>
      <c r="M7" s="56">
        <f>SUM(L7)+2</f>
        <v>39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SUM(I9)-4.5</f>
        <v>55.599999999999994</v>
      </c>
      <c r="I9" s="54">
        <f>SUM(J9)-4.5</f>
        <v>60.099999999999994</v>
      </c>
      <c r="J9" s="55">
        <v>64.599999999999994</v>
      </c>
      <c r="K9" s="54">
        <f>SUM(J9)+3.9</f>
        <v>68.5</v>
      </c>
      <c r="L9" s="54">
        <f>SUM(K9)+3.9</f>
        <v>72.400000000000006</v>
      </c>
      <c r="M9" s="56">
        <f>SUM(L9)+3.9</f>
        <v>76.300000000000011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165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331</v>
      </c>
      <c r="C11" s="66"/>
      <c r="D11" s="62"/>
      <c r="E11" s="63"/>
      <c r="F11" s="63"/>
      <c r="G11" s="64"/>
      <c r="H11" s="54">
        <f>SUM(I11)-0.7</f>
        <v>16</v>
      </c>
      <c r="I11" s="54">
        <f>SUM(J11)-0.7</f>
        <v>16.7</v>
      </c>
      <c r="J11" s="55">
        <v>17.399999999999999</v>
      </c>
      <c r="K11" s="54">
        <f>SUM(J11)+0.7</f>
        <v>18.099999999999998</v>
      </c>
      <c r="L11" s="54">
        <f>SUM(K11)+0.7</f>
        <v>18.799999999999997</v>
      </c>
      <c r="M11" s="56">
        <f>SUM(L11)+0.7</f>
        <v>19.499999999999996</v>
      </c>
    </row>
    <row r="12" spans="1:13" s="1" customFormat="1" ht="14.1" customHeight="1" x14ac:dyDescent="0.3">
      <c r="A12" s="35"/>
      <c r="B12" s="57" t="s">
        <v>188</v>
      </c>
      <c r="C12" s="58"/>
      <c r="D12" s="46" t="s">
        <v>336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54"/>
      <c r="I13" s="54"/>
      <c r="J13" s="67"/>
      <c r="K13" s="68"/>
      <c r="L13" s="68"/>
      <c r="M13" s="69"/>
    </row>
    <row r="14" spans="1:13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13.4</v>
      </c>
      <c r="I15" s="54">
        <f>SUM(J15)-0.6</f>
        <v>14</v>
      </c>
      <c r="J15" s="67">
        <v>14.6</v>
      </c>
      <c r="K15" s="68">
        <f>SUM(J15)+0.6</f>
        <v>15.2</v>
      </c>
      <c r="L15" s="68">
        <f>SUM(K15)+0.6</f>
        <v>15.799999999999999</v>
      </c>
      <c r="M15" s="69">
        <f>SUM(L15)+0.6</f>
        <v>16.399999999999999</v>
      </c>
    </row>
    <row r="16" spans="1:13" s="1" customFormat="1" ht="14.1" customHeight="1" x14ac:dyDescent="0.3">
      <c r="A16" s="48"/>
      <c r="B16" s="45" t="s">
        <v>27</v>
      </c>
      <c r="C16" s="45"/>
      <c r="D16" s="46" t="s">
        <v>337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6.9</v>
      </c>
      <c r="I17" s="54">
        <f>SUM(J17)-0.3</f>
        <v>7.2</v>
      </c>
      <c r="J17" s="67">
        <v>7.5</v>
      </c>
      <c r="K17" s="68">
        <f>SUM(J17)+0.3</f>
        <v>7.8</v>
      </c>
      <c r="L17" s="68">
        <f>SUM(K17)+0.3</f>
        <v>8.1</v>
      </c>
      <c r="M17" s="69">
        <f>SUM(L17)+0.3</f>
        <v>8.4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252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/>
      <c r="I19" s="54"/>
      <c r="J19" s="67"/>
      <c r="K19" s="68"/>
      <c r="L19" s="68"/>
      <c r="M19" s="69"/>
    </row>
    <row r="20" spans="1:13" s="1" customFormat="1" ht="14.1" customHeight="1" x14ac:dyDescent="0.3">
      <c r="A20" s="48"/>
      <c r="B20" s="45" t="s">
        <v>33</v>
      </c>
      <c r="C20" s="45"/>
      <c r="D20" s="46" t="s">
        <v>86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332</v>
      </c>
      <c r="C21" s="60"/>
      <c r="D21" s="61" t="s">
        <v>5</v>
      </c>
      <c r="E21" s="61"/>
      <c r="F21" s="61"/>
      <c r="G21" s="61"/>
      <c r="H21" s="54">
        <f>SUM(I21)-1.7</f>
        <v>12.600000000000001</v>
      </c>
      <c r="I21" s="54">
        <f>SUM(J21)-1.7</f>
        <v>14.3</v>
      </c>
      <c r="J21" s="67">
        <v>16</v>
      </c>
      <c r="K21" s="68">
        <f>SUM(J21)+1.7</f>
        <v>17.7</v>
      </c>
      <c r="L21" s="68">
        <f>SUM(K21)+1.7</f>
        <v>19.399999999999999</v>
      </c>
      <c r="M21" s="69">
        <f>SUM(L21)+1.7</f>
        <v>21.099999999999998</v>
      </c>
    </row>
    <row r="22" spans="1:13" s="1" customFormat="1" ht="14.1" customHeight="1" x14ac:dyDescent="0.3">
      <c r="A22" s="48"/>
      <c r="B22" s="45" t="s">
        <v>333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335</v>
      </c>
      <c r="C23" s="60"/>
      <c r="D23" s="61" t="s">
        <v>5</v>
      </c>
      <c r="E23" s="61"/>
      <c r="F23" s="61"/>
      <c r="G23" s="61"/>
      <c r="H23" s="54">
        <f>SUM(I23)-1.1</f>
        <v>6.6000000000000014</v>
      </c>
      <c r="I23" s="54">
        <f>SUM(J23)-1.1</f>
        <v>7.7000000000000011</v>
      </c>
      <c r="J23" s="67">
        <v>8.8000000000000007</v>
      </c>
      <c r="K23" s="68">
        <f>SUM(J23)+1.2</f>
        <v>10</v>
      </c>
      <c r="L23" s="68">
        <f>SUM(K23)+1.2</f>
        <v>11.2</v>
      </c>
      <c r="M23" s="69">
        <f>SUM(L23)+1.2</f>
        <v>12.399999999999999</v>
      </c>
    </row>
    <row r="24" spans="1:13" s="1" customFormat="1" ht="14.1" customHeight="1" x14ac:dyDescent="0.3">
      <c r="A24" s="48"/>
      <c r="B24" s="45" t="s">
        <v>334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SUM(I25)-1.4</f>
        <v>22.200000000000003</v>
      </c>
      <c r="I25" s="54">
        <f>SUM(J25)-1.4</f>
        <v>23.6</v>
      </c>
      <c r="J25" s="67">
        <v>25</v>
      </c>
      <c r="K25" s="68">
        <f>SUM(J25)+1.4</f>
        <v>26.4</v>
      </c>
      <c r="L25" s="68">
        <f>SUM(K25)+1.4</f>
        <v>27.799999999999997</v>
      </c>
      <c r="M25" s="69">
        <f>SUM(L25)+1.4</f>
        <v>29.199999999999996</v>
      </c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79" t="s">
        <v>134</v>
      </c>
      <c r="C27" s="80"/>
      <c r="D27" s="75"/>
      <c r="E27" s="76"/>
      <c r="F27" s="76"/>
      <c r="G27" s="77"/>
      <c r="H27" s="54">
        <f>SUM(I27)-0.4</f>
        <v>2.2000000000000002</v>
      </c>
      <c r="I27" s="54">
        <f>SUM(J27)-0.4</f>
        <v>2.6</v>
      </c>
      <c r="J27" s="67">
        <v>3</v>
      </c>
      <c r="K27" s="68">
        <f>SUM(J27)+0.4</f>
        <v>3.4</v>
      </c>
      <c r="L27" s="68">
        <f>SUM(K27)+0.4</f>
        <v>3.8</v>
      </c>
      <c r="M27" s="69">
        <f>SUM(L27)+0.4</f>
        <v>4.2</v>
      </c>
    </row>
    <row r="28" spans="1:13" s="1" customFormat="1" ht="14.1" customHeight="1" x14ac:dyDescent="0.3">
      <c r="A28" s="48"/>
      <c r="B28" s="79" t="s">
        <v>142</v>
      </c>
      <c r="C28" s="80"/>
      <c r="D28" s="72"/>
      <c r="E28" s="73"/>
      <c r="F28" s="73"/>
      <c r="G28" s="74"/>
      <c r="H28" s="40"/>
      <c r="I28" s="40"/>
      <c r="J28" s="67"/>
      <c r="K28" s="68"/>
      <c r="L28" s="68"/>
      <c r="M28" s="69"/>
    </row>
    <row r="29" spans="1:13" ht="14.1" customHeight="1" x14ac:dyDescent="0.3">
      <c r="A29" s="48">
        <v>14</v>
      </c>
      <c r="B29" s="65" t="s">
        <v>135</v>
      </c>
      <c r="C29" s="66"/>
      <c r="D29" s="75"/>
      <c r="E29" s="76"/>
      <c r="F29" s="76"/>
      <c r="G29" s="77"/>
      <c r="H29" s="54">
        <f>SUM(I29)-0.4</f>
        <v>2.2000000000000002</v>
      </c>
      <c r="I29" s="54">
        <f>SUM(J29)-0.4</f>
        <v>2.6</v>
      </c>
      <c r="J29" s="67">
        <v>3</v>
      </c>
      <c r="K29" s="68">
        <f>SUM(J29)+0.4</f>
        <v>3.4</v>
      </c>
      <c r="L29" s="68">
        <f>SUM(K29)+0.4</f>
        <v>3.8</v>
      </c>
      <c r="M29" s="69">
        <f>SUM(L29)+0.4</f>
        <v>4.2</v>
      </c>
    </row>
    <row r="30" spans="1:13" ht="14.1" customHeight="1" x14ac:dyDescent="0.3">
      <c r="A30" s="48"/>
      <c r="B30" s="57" t="s">
        <v>143</v>
      </c>
      <c r="C30" s="58"/>
      <c r="D30" s="72"/>
      <c r="E30" s="73"/>
      <c r="F30" s="73"/>
      <c r="G30" s="74"/>
      <c r="H30" s="40"/>
      <c r="I30" s="40"/>
      <c r="J30" s="67"/>
      <c r="K30" s="68"/>
      <c r="L30" s="68"/>
      <c r="M30" s="69"/>
    </row>
    <row r="31" spans="1:13" ht="14.1" customHeight="1" x14ac:dyDescent="0.3">
      <c r="A31" s="48">
        <v>15</v>
      </c>
      <c r="B31" s="65" t="s">
        <v>151</v>
      </c>
      <c r="C31" s="66"/>
      <c r="D31" s="75"/>
      <c r="E31" s="76"/>
      <c r="F31" s="76"/>
      <c r="G31" s="77"/>
      <c r="H31" s="54">
        <f>SUM(I31)-0.4</f>
        <v>3.2</v>
      </c>
      <c r="I31" s="54">
        <f>SUM(J31)-0.4</f>
        <v>3.6</v>
      </c>
      <c r="J31" s="67">
        <v>4</v>
      </c>
      <c r="K31" s="68">
        <f>SUM(J31)+0.4</f>
        <v>4.4000000000000004</v>
      </c>
      <c r="L31" s="68">
        <f>SUM(K31)+0.4</f>
        <v>4.8000000000000007</v>
      </c>
      <c r="M31" s="69">
        <f>SUM(L31)+0.4</f>
        <v>5.2000000000000011</v>
      </c>
    </row>
    <row r="32" spans="1:13" ht="14.1" customHeight="1" x14ac:dyDescent="0.3">
      <c r="A32" s="48"/>
      <c r="B32" s="57" t="s">
        <v>150</v>
      </c>
      <c r="C32" s="58"/>
      <c r="D32" s="72"/>
      <c r="E32" s="73"/>
      <c r="F32" s="73"/>
      <c r="G32" s="74"/>
      <c r="H32" s="40"/>
      <c r="I32" s="40"/>
      <c r="J32" s="67"/>
      <c r="K32" s="68"/>
      <c r="L32" s="68"/>
      <c r="M32" s="69"/>
    </row>
    <row r="33" spans="1:13" ht="14.1" customHeight="1" x14ac:dyDescent="0.3">
      <c r="A33" s="48">
        <v>16</v>
      </c>
      <c r="B33" s="65"/>
      <c r="C33" s="66"/>
      <c r="D33" s="75"/>
      <c r="E33" s="76"/>
      <c r="F33" s="76"/>
      <c r="G33" s="77"/>
      <c r="H33" s="54"/>
      <c r="I33" s="54"/>
      <c r="J33" s="55"/>
      <c r="K33" s="54"/>
      <c r="L33" s="54"/>
      <c r="M33" s="56"/>
    </row>
    <row r="34" spans="1:13" ht="14.1" customHeight="1" x14ac:dyDescent="0.3">
      <c r="A34" s="48"/>
      <c r="B34" s="70"/>
      <c r="C34" s="71"/>
      <c r="D34" s="72"/>
      <c r="E34" s="73"/>
      <c r="F34" s="73"/>
      <c r="G34" s="74"/>
      <c r="H34" s="40"/>
      <c r="I34" s="40"/>
      <c r="J34" s="42"/>
      <c r="K34" s="40"/>
      <c r="L34" s="40"/>
      <c r="M34" s="44"/>
    </row>
    <row r="35" spans="1:13" ht="14.1" customHeight="1" x14ac:dyDescent="0.3">
      <c r="A35" s="48">
        <v>17</v>
      </c>
      <c r="B35" s="65"/>
      <c r="C35" s="66"/>
      <c r="D35" s="88"/>
      <c r="E35" s="89"/>
      <c r="F35" s="89"/>
      <c r="G35" s="90"/>
      <c r="H35" s="54"/>
      <c r="I35" s="54"/>
      <c r="J35" s="67"/>
      <c r="K35" s="68"/>
      <c r="L35" s="68"/>
      <c r="M35" s="69"/>
    </row>
    <row r="36" spans="1:13" ht="14.1" customHeight="1" thickBot="1" x14ac:dyDescent="0.35">
      <c r="A36" s="87"/>
      <c r="B36" s="96"/>
      <c r="C36" s="97"/>
      <c r="D36" s="98"/>
      <c r="E36" s="99"/>
      <c r="F36" s="99"/>
      <c r="G36" s="100"/>
      <c r="H36" s="91"/>
      <c r="I36" s="91"/>
      <c r="J36" s="92"/>
      <c r="K36" s="93"/>
      <c r="L36" s="93"/>
      <c r="M36" s="121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190">
    <mergeCell ref="J35:J36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0CD5-22E8-4C9F-A62E-1173F3365652}">
  <sheetPr codeName="Sheet9">
    <tabColor rgb="FFFF0000"/>
    <pageSetUpPr fitToPage="1"/>
  </sheetPr>
  <dimension ref="A1:M51"/>
  <sheetViews>
    <sheetView zoomScale="110" zoomScaleNormal="110" workbookViewId="0">
      <selection activeCell="A35" sqref="A35:M36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339</v>
      </c>
      <c r="C3" s="36"/>
      <c r="D3" s="37"/>
      <c r="E3" s="37"/>
      <c r="F3" s="37"/>
      <c r="G3" s="38"/>
      <c r="H3" s="54">
        <f>SUM(I3)-4.3</f>
        <v>47.000000000000007</v>
      </c>
      <c r="I3" s="54">
        <f>SUM(J3)-4.4</f>
        <v>51.300000000000004</v>
      </c>
      <c r="J3" s="55">
        <v>55.7</v>
      </c>
      <c r="K3" s="54">
        <f>SUM(J3)+4.4</f>
        <v>60.1</v>
      </c>
      <c r="L3" s="54">
        <f>SUM(K3)+4.4</f>
        <v>64.5</v>
      </c>
      <c r="M3" s="56">
        <f>SUM(L3)+4.3</f>
        <v>68.8</v>
      </c>
    </row>
    <row r="4" spans="1:13" s="1" customFormat="1" ht="14.1" customHeight="1" x14ac:dyDescent="0.3">
      <c r="A4" s="103"/>
      <c r="B4" s="105" t="s">
        <v>342</v>
      </c>
      <c r="C4" s="105"/>
      <c r="D4" s="51" t="s">
        <v>275</v>
      </c>
      <c r="E4" s="52"/>
      <c r="F4" s="52"/>
      <c r="G4" s="52"/>
      <c r="H4" s="81"/>
      <c r="I4" s="81"/>
      <c r="J4" s="82"/>
      <c r="K4" s="81"/>
      <c r="L4" s="81"/>
      <c r="M4" s="83"/>
    </row>
    <row r="5" spans="1:13" s="1" customFormat="1" ht="14.1" customHeight="1" x14ac:dyDescent="0.3">
      <c r="A5" s="78">
        <v>2</v>
      </c>
      <c r="B5" s="60" t="s">
        <v>340</v>
      </c>
      <c r="C5" s="60"/>
      <c r="D5" s="61"/>
      <c r="E5" s="61"/>
      <c r="F5" s="61"/>
      <c r="G5" s="62"/>
      <c r="H5" s="54">
        <f>SUM(I5)-4.4</f>
        <v>47.400000000000006</v>
      </c>
      <c r="I5" s="54">
        <f>SUM(J5)-4.4</f>
        <v>51.800000000000004</v>
      </c>
      <c r="J5" s="55">
        <v>56.2</v>
      </c>
      <c r="K5" s="54">
        <f>SUM(J5)+4.4</f>
        <v>60.6</v>
      </c>
      <c r="L5" s="54">
        <f>SUM(K5)+4.4</f>
        <v>65</v>
      </c>
      <c r="M5" s="56">
        <f>SUM(L5)+4.4</f>
        <v>69.400000000000006</v>
      </c>
    </row>
    <row r="6" spans="1:13" s="1" customFormat="1" ht="14.1" customHeight="1" x14ac:dyDescent="0.3">
      <c r="A6" s="35"/>
      <c r="B6" s="45" t="s">
        <v>341</v>
      </c>
      <c r="C6" s="45"/>
      <c r="D6" s="46" t="s">
        <v>201</v>
      </c>
      <c r="E6" s="47"/>
      <c r="F6" s="47"/>
      <c r="G6" s="47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210</v>
      </c>
      <c r="C7" s="60"/>
      <c r="D7" s="61"/>
      <c r="E7" s="61"/>
      <c r="F7" s="61"/>
      <c r="G7" s="61"/>
      <c r="H7" s="54">
        <f>SUM(I7)-1.1</f>
        <v>14.3</v>
      </c>
      <c r="I7" s="54">
        <f>SUM(J7)-1.1</f>
        <v>15.4</v>
      </c>
      <c r="J7" s="55">
        <v>16.5</v>
      </c>
      <c r="K7" s="54">
        <f>SUM(J7)+1.1</f>
        <v>17.600000000000001</v>
      </c>
      <c r="L7" s="54">
        <f>SUM(K7)+1.1</f>
        <v>18.700000000000003</v>
      </c>
      <c r="M7" s="56">
        <f>SUM(L7)+1.1</f>
        <v>19.800000000000004</v>
      </c>
    </row>
    <row r="8" spans="1:13" s="1" customFormat="1" ht="14.1" customHeight="1" x14ac:dyDescent="0.3">
      <c r="A8" s="48"/>
      <c r="B8" s="45" t="s">
        <v>343</v>
      </c>
      <c r="C8" s="45"/>
      <c r="D8" s="46" t="s">
        <v>351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78">
        <v>4</v>
      </c>
      <c r="B9" s="65" t="s">
        <v>344</v>
      </c>
      <c r="C9" s="66"/>
      <c r="D9" s="62"/>
      <c r="E9" s="63"/>
      <c r="F9" s="63"/>
      <c r="G9" s="64"/>
      <c r="H9" s="54">
        <f>SUM(I9)-1</f>
        <v>14</v>
      </c>
      <c r="I9" s="54">
        <f>SUM(J9)-1</f>
        <v>15</v>
      </c>
      <c r="J9" s="67">
        <v>16</v>
      </c>
      <c r="K9" s="54">
        <f>SUM(J9)+1</f>
        <v>17</v>
      </c>
      <c r="L9" s="54">
        <f t="shared" ref="L9:M9" si="0">SUM(K9)+1</f>
        <v>18</v>
      </c>
      <c r="M9" s="56">
        <f t="shared" si="0"/>
        <v>19</v>
      </c>
    </row>
    <row r="10" spans="1:13" s="1" customFormat="1" ht="14.1" customHeight="1" x14ac:dyDescent="0.3">
      <c r="A10" s="35"/>
      <c r="B10" s="45" t="s">
        <v>345</v>
      </c>
      <c r="C10" s="45"/>
      <c r="D10" s="46" t="s">
        <v>213</v>
      </c>
      <c r="E10" s="47"/>
      <c r="F10" s="47"/>
      <c r="G10" s="59"/>
      <c r="H10" s="40"/>
      <c r="I10" s="40"/>
      <c r="J10" s="67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346</v>
      </c>
      <c r="C11" s="66"/>
      <c r="D11" s="62"/>
      <c r="E11" s="63"/>
      <c r="F11" s="63"/>
      <c r="G11" s="64"/>
      <c r="H11" s="54">
        <f>SUM(I11)-1</f>
        <v>13</v>
      </c>
      <c r="I11" s="54">
        <f>SUM(J11)-1</f>
        <v>14</v>
      </c>
      <c r="J11" s="67">
        <v>15</v>
      </c>
      <c r="K11" s="54">
        <f>SUM(J11)+1</f>
        <v>16</v>
      </c>
      <c r="L11" s="54">
        <f t="shared" ref="L11" si="1">SUM(K11)+1</f>
        <v>17</v>
      </c>
      <c r="M11" s="56">
        <f t="shared" ref="M11" si="2">SUM(L11)+1</f>
        <v>18</v>
      </c>
    </row>
    <row r="12" spans="1:13" s="1" customFormat="1" ht="14.1" customHeight="1" x14ac:dyDescent="0.3">
      <c r="A12" s="35"/>
      <c r="B12" s="45" t="s">
        <v>347</v>
      </c>
      <c r="C12" s="45"/>
      <c r="D12" s="46" t="s">
        <v>213</v>
      </c>
      <c r="E12" s="47"/>
      <c r="F12" s="47"/>
      <c r="G12" s="59"/>
      <c r="H12" s="40"/>
      <c r="I12" s="40"/>
      <c r="J12" s="67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35</v>
      </c>
      <c r="C13" s="60"/>
      <c r="D13" s="61" t="s">
        <v>72</v>
      </c>
      <c r="E13" s="61"/>
      <c r="F13" s="61"/>
      <c r="G13" s="61"/>
      <c r="H13" s="54">
        <f>SUM(I13)-2.25</f>
        <v>28.5</v>
      </c>
      <c r="I13" s="54">
        <f>SUM(J13)-2.25</f>
        <v>30.75</v>
      </c>
      <c r="J13" s="55">
        <v>33</v>
      </c>
      <c r="K13" s="54">
        <f>SUM(J13)+2</f>
        <v>35</v>
      </c>
      <c r="L13" s="54">
        <f>SUM(K13)+2</f>
        <v>37</v>
      </c>
      <c r="M13" s="56">
        <f>SUM(L13)+2</f>
        <v>39</v>
      </c>
    </row>
    <row r="14" spans="1:13" s="1" customFormat="1" ht="14.1" customHeight="1" x14ac:dyDescent="0.3">
      <c r="A14" s="48"/>
      <c r="B14" s="45" t="s">
        <v>40</v>
      </c>
      <c r="C14" s="45"/>
      <c r="D14" s="46" t="s">
        <v>43</v>
      </c>
      <c r="E14" s="47"/>
      <c r="F14" s="47"/>
      <c r="G14" s="59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48">
        <v>7</v>
      </c>
      <c r="B15" s="60" t="s">
        <v>268</v>
      </c>
      <c r="C15" s="60"/>
      <c r="D15" s="61"/>
      <c r="E15" s="61"/>
      <c r="F15" s="61"/>
      <c r="G15" s="61"/>
      <c r="H15" s="54">
        <f>SUM(I15)-2.1</f>
        <v>26.799999999999997</v>
      </c>
      <c r="I15" s="54">
        <f>SUM(J15)-2.1</f>
        <v>28.9</v>
      </c>
      <c r="J15" s="55">
        <v>31</v>
      </c>
      <c r="K15" s="54">
        <f>SUM(J15)+1.9</f>
        <v>32.9</v>
      </c>
      <c r="L15" s="54">
        <f>SUM(K15)+1.9</f>
        <v>34.799999999999997</v>
      </c>
      <c r="M15" s="56">
        <f>SUM(L15)+1.9</f>
        <v>36.699999999999996</v>
      </c>
    </row>
    <row r="16" spans="1:13" s="1" customFormat="1" ht="14.1" customHeight="1" x14ac:dyDescent="0.3">
      <c r="A16" s="48"/>
      <c r="B16" s="45" t="s">
        <v>269</v>
      </c>
      <c r="C16" s="45"/>
      <c r="D16" s="46"/>
      <c r="E16" s="47"/>
      <c r="F16" s="47"/>
      <c r="G16" s="59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48">
        <v>8</v>
      </c>
      <c r="B17" s="60" t="s">
        <v>10</v>
      </c>
      <c r="C17" s="60"/>
      <c r="D17" s="61" t="s">
        <v>0</v>
      </c>
      <c r="E17" s="61"/>
      <c r="F17" s="61"/>
      <c r="G17" s="61"/>
      <c r="H17" s="54"/>
      <c r="I17" s="54"/>
      <c r="J17" s="67"/>
      <c r="K17" s="68"/>
      <c r="L17" s="68"/>
      <c r="M17" s="69"/>
    </row>
    <row r="18" spans="1:13" s="1" customFormat="1" ht="14.1" customHeight="1" x14ac:dyDescent="0.3">
      <c r="A18" s="48"/>
      <c r="B18" s="45" t="s">
        <v>26</v>
      </c>
      <c r="C18" s="45"/>
      <c r="D18" s="46" t="s">
        <v>45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1</v>
      </c>
      <c r="C19" s="60"/>
      <c r="D19" s="61" t="s">
        <v>163</v>
      </c>
      <c r="E19" s="61"/>
      <c r="F19" s="61"/>
      <c r="G19" s="61"/>
      <c r="H19" s="54"/>
      <c r="I19" s="54"/>
      <c r="J19" s="67"/>
      <c r="K19" s="68"/>
      <c r="L19" s="68"/>
      <c r="M19" s="69"/>
    </row>
    <row r="20" spans="1:13" s="1" customFormat="1" ht="14.1" customHeight="1" x14ac:dyDescent="0.3">
      <c r="A20" s="48"/>
      <c r="B20" s="45" t="s">
        <v>27</v>
      </c>
      <c r="C20" s="45"/>
      <c r="D20" s="46" t="s">
        <v>195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2</v>
      </c>
      <c r="C21" s="60"/>
      <c r="D21" s="61" t="s">
        <v>3</v>
      </c>
      <c r="E21" s="61"/>
      <c r="F21" s="61"/>
      <c r="G21" s="61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28</v>
      </c>
      <c r="C22" s="45"/>
      <c r="D22" s="46" t="s">
        <v>196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73</v>
      </c>
      <c r="C23" s="66"/>
      <c r="D23" s="62" t="s">
        <v>74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33</v>
      </c>
      <c r="C24" s="45"/>
      <c r="D24" s="46" t="s">
        <v>86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0" t="s">
        <v>4</v>
      </c>
      <c r="C25" s="60"/>
      <c r="D25" s="61" t="s">
        <v>5</v>
      </c>
      <c r="E25" s="61"/>
      <c r="F25" s="61"/>
      <c r="G25" s="61"/>
      <c r="H25" s="54"/>
      <c r="I25" s="54"/>
      <c r="J25" s="55"/>
      <c r="K25" s="54"/>
      <c r="L25" s="54"/>
      <c r="M25" s="56"/>
    </row>
    <row r="26" spans="1:13" s="1" customFormat="1" ht="14.1" customHeight="1" x14ac:dyDescent="0.3">
      <c r="A26" s="48"/>
      <c r="B26" s="45" t="s">
        <v>29</v>
      </c>
      <c r="C26" s="45"/>
      <c r="D26" s="46" t="s">
        <v>48</v>
      </c>
      <c r="E26" s="47"/>
      <c r="F26" s="47"/>
      <c r="G26" s="59"/>
      <c r="H26" s="40"/>
      <c r="I26" s="40"/>
      <c r="J26" s="42"/>
      <c r="K26" s="40"/>
      <c r="L26" s="40"/>
      <c r="M26" s="44"/>
    </row>
    <row r="27" spans="1:13" ht="14.1" customHeight="1" x14ac:dyDescent="0.3">
      <c r="A27" s="48">
        <v>13</v>
      </c>
      <c r="B27" s="60" t="s">
        <v>6</v>
      </c>
      <c r="C27" s="60"/>
      <c r="D27" s="62" t="s">
        <v>7</v>
      </c>
      <c r="E27" s="63"/>
      <c r="F27" s="63"/>
      <c r="G27" s="64"/>
      <c r="H27" s="54"/>
      <c r="I27" s="54"/>
      <c r="J27" s="55"/>
      <c r="K27" s="54"/>
      <c r="L27" s="54"/>
      <c r="M27" s="56"/>
    </row>
    <row r="28" spans="1:13" ht="14.1" customHeight="1" x14ac:dyDescent="0.3">
      <c r="A28" s="48"/>
      <c r="B28" s="45" t="s">
        <v>30</v>
      </c>
      <c r="C28" s="45"/>
      <c r="D28" s="46" t="s">
        <v>67</v>
      </c>
      <c r="E28" s="47"/>
      <c r="F28" s="47"/>
      <c r="G28" s="59"/>
      <c r="H28" s="40"/>
      <c r="I28" s="40"/>
      <c r="J28" s="42"/>
      <c r="K28" s="40"/>
      <c r="L28" s="40"/>
      <c r="M28" s="44"/>
    </row>
    <row r="29" spans="1:13" ht="14.1" customHeight="1" x14ac:dyDescent="0.3">
      <c r="A29" s="48">
        <v>14</v>
      </c>
      <c r="B29" s="65" t="s">
        <v>82</v>
      </c>
      <c r="C29" s="66"/>
      <c r="D29" s="61" t="s">
        <v>68</v>
      </c>
      <c r="E29" s="61"/>
      <c r="F29" s="61"/>
      <c r="G29" s="61"/>
      <c r="H29" s="54"/>
      <c r="I29" s="54"/>
      <c r="J29" s="67"/>
      <c r="K29" s="68"/>
      <c r="L29" s="68"/>
      <c r="M29" s="69"/>
    </row>
    <row r="30" spans="1:13" ht="14.1" customHeight="1" x14ac:dyDescent="0.3">
      <c r="A30" s="48"/>
      <c r="B30" s="45" t="s">
        <v>31</v>
      </c>
      <c r="C30" s="45"/>
      <c r="D30" s="46" t="s">
        <v>69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48">
        <v>15</v>
      </c>
      <c r="B31" s="65" t="s">
        <v>348</v>
      </c>
      <c r="C31" s="66"/>
      <c r="D31" s="88"/>
      <c r="E31" s="89"/>
      <c r="F31" s="89"/>
      <c r="G31" s="90"/>
      <c r="H31" s="54">
        <f>SUM(I31)-3</f>
        <v>34.5</v>
      </c>
      <c r="I31" s="54">
        <f>SUM(J31)-3</f>
        <v>37.5</v>
      </c>
      <c r="J31" s="67">
        <v>40.5</v>
      </c>
      <c r="K31" s="68">
        <f>SUM(J31)+3</f>
        <v>43.5</v>
      </c>
      <c r="L31" s="68">
        <f>SUM(K31)+3</f>
        <v>46.5</v>
      </c>
      <c r="M31" s="69">
        <f>SUM(L31)+3</f>
        <v>49.5</v>
      </c>
    </row>
    <row r="32" spans="1:13" ht="14.1" customHeight="1" x14ac:dyDescent="0.3">
      <c r="A32" s="78"/>
      <c r="B32" s="70" t="s">
        <v>349</v>
      </c>
      <c r="C32" s="71"/>
      <c r="D32" s="51"/>
      <c r="E32" s="52"/>
      <c r="F32" s="52"/>
      <c r="G32" s="53"/>
      <c r="H32" s="81"/>
      <c r="I32" s="81"/>
      <c r="J32" s="55"/>
      <c r="K32" s="54"/>
      <c r="L32" s="54"/>
      <c r="M32" s="56"/>
    </row>
    <row r="33" spans="1:13" ht="14.1" customHeight="1" x14ac:dyDescent="0.3">
      <c r="A33" s="48">
        <v>16</v>
      </c>
      <c r="B33" s="65" t="s">
        <v>293</v>
      </c>
      <c r="C33" s="66"/>
      <c r="D33" s="88"/>
      <c r="E33" s="89"/>
      <c r="F33" s="89"/>
      <c r="G33" s="90"/>
      <c r="H33" s="54">
        <f>SUM(I33)-1.9</f>
        <v>22.200000000000003</v>
      </c>
      <c r="I33" s="54">
        <f>SUM(J33)-1.9</f>
        <v>24.1</v>
      </c>
      <c r="J33" s="67">
        <v>26</v>
      </c>
      <c r="K33" s="68">
        <f>SUM(J33)+1.9</f>
        <v>27.9</v>
      </c>
      <c r="L33" s="68">
        <f>SUM(K33)+1.9</f>
        <v>29.799999999999997</v>
      </c>
      <c r="M33" s="69">
        <f>SUM(L33)+1.9</f>
        <v>31.699999999999996</v>
      </c>
    </row>
    <row r="34" spans="1:13" ht="14.1" customHeight="1" x14ac:dyDescent="0.3">
      <c r="A34" s="78"/>
      <c r="B34" s="79" t="s">
        <v>294</v>
      </c>
      <c r="C34" s="80"/>
      <c r="D34" s="51"/>
      <c r="E34" s="52"/>
      <c r="F34" s="52"/>
      <c r="G34" s="53"/>
      <c r="H34" s="81"/>
      <c r="I34" s="81"/>
      <c r="J34" s="55"/>
      <c r="K34" s="54"/>
      <c r="L34" s="54"/>
      <c r="M34" s="56"/>
    </row>
    <row r="35" spans="1:13" ht="14.1" customHeight="1" x14ac:dyDescent="0.3">
      <c r="A35" s="48">
        <v>17</v>
      </c>
      <c r="B35" s="65" t="s">
        <v>134</v>
      </c>
      <c r="C35" s="66"/>
      <c r="D35" s="88"/>
      <c r="E35" s="89"/>
      <c r="F35" s="89"/>
      <c r="G35" s="90"/>
      <c r="H35" s="54">
        <f>SUM(I35)-0.2</f>
        <v>2.5999999999999996</v>
      </c>
      <c r="I35" s="54">
        <f>SUM(J35)-0.2</f>
        <v>2.8</v>
      </c>
      <c r="J35" s="67">
        <v>3</v>
      </c>
      <c r="K35" s="68">
        <f>SUM(J35)+0.2</f>
        <v>3.2</v>
      </c>
      <c r="L35" s="68">
        <f>SUM(K35)+0.2</f>
        <v>3.4000000000000004</v>
      </c>
      <c r="M35" s="69">
        <f>SUM(L35)+0.2</f>
        <v>3.6000000000000005</v>
      </c>
    </row>
    <row r="36" spans="1:13" ht="14.1" customHeight="1" x14ac:dyDescent="0.3">
      <c r="A36" s="78"/>
      <c r="B36" s="57" t="s">
        <v>142</v>
      </c>
      <c r="C36" s="58"/>
      <c r="D36" s="46" t="s">
        <v>350</v>
      </c>
      <c r="E36" s="47"/>
      <c r="F36" s="47"/>
      <c r="G36" s="59"/>
      <c r="H36" s="40"/>
      <c r="I36" s="40"/>
      <c r="J36" s="55"/>
      <c r="K36" s="68"/>
      <c r="L36" s="68"/>
      <c r="M36" s="69"/>
    </row>
    <row r="37" spans="1:13" ht="14.1" customHeight="1" x14ac:dyDescent="0.3">
      <c r="A37" s="48">
        <v>18</v>
      </c>
      <c r="B37" s="65"/>
      <c r="C37" s="66"/>
      <c r="D37" s="88"/>
      <c r="E37" s="89"/>
      <c r="F37" s="89"/>
      <c r="G37" s="90"/>
      <c r="H37" s="54"/>
      <c r="I37" s="54"/>
      <c r="J37" s="67"/>
      <c r="K37" s="68"/>
      <c r="L37" s="68"/>
      <c r="M37" s="69"/>
    </row>
    <row r="38" spans="1:13" ht="14.1" customHeight="1" x14ac:dyDescent="0.3">
      <c r="A38" s="78"/>
      <c r="B38" s="70"/>
      <c r="C38" s="71"/>
      <c r="D38" s="51"/>
      <c r="E38" s="52"/>
      <c r="F38" s="52"/>
      <c r="G38" s="53"/>
      <c r="H38" s="81"/>
      <c r="I38" s="81"/>
      <c r="J38" s="55"/>
      <c r="K38" s="54"/>
      <c r="L38" s="54"/>
      <c r="M38" s="56"/>
    </row>
    <row r="39" spans="1:13" ht="14.1" customHeight="1" x14ac:dyDescent="0.3">
      <c r="A39" s="48">
        <v>19</v>
      </c>
      <c r="B39" s="65"/>
      <c r="C39" s="66"/>
      <c r="D39" s="88"/>
      <c r="E39" s="89"/>
      <c r="F39" s="89"/>
      <c r="G39" s="90"/>
      <c r="H39" s="54"/>
      <c r="I39" s="54"/>
      <c r="J39" s="67"/>
      <c r="K39" s="68"/>
      <c r="L39" s="68"/>
      <c r="M39" s="69"/>
    </row>
    <row r="40" spans="1:13" ht="14.1" customHeight="1" thickBot="1" x14ac:dyDescent="0.35">
      <c r="A40" s="87"/>
      <c r="B40" s="96"/>
      <c r="C40" s="97"/>
      <c r="D40" s="98"/>
      <c r="E40" s="99"/>
      <c r="F40" s="99"/>
      <c r="G40" s="100"/>
      <c r="H40" s="91"/>
      <c r="I40" s="91"/>
      <c r="J40" s="92"/>
      <c r="K40" s="93"/>
      <c r="L40" s="93"/>
      <c r="M40" s="121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A5:A6"/>
    <mergeCell ref="B5:C5"/>
    <mergeCell ref="D5:G5"/>
    <mergeCell ref="H5:H6"/>
    <mergeCell ref="I5:I6"/>
    <mergeCell ref="J9:J10"/>
    <mergeCell ref="K9:K10"/>
    <mergeCell ref="L9:L10"/>
    <mergeCell ref="M9:M10"/>
    <mergeCell ref="B10:C10"/>
    <mergeCell ref="D10:G10"/>
    <mergeCell ref="K5:K6"/>
    <mergeCell ref="L5:L6"/>
    <mergeCell ref="M5:M6"/>
    <mergeCell ref="B6:C6"/>
    <mergeCell ref="D6:G6"/>
    <mergeCell ref="J5:J6"/>
    <mergeCell ref="B8:C8"/>
    <mergeCell ref="D8:G8"/>
    <mergeCell ref="A9:A10"/>
    <mergeCell ref="B9:C9"/>
    <mergeCell ref="D9:G9"/>
    <mergeCell ref="H9:H10"/>
    <mergeCell ref="I9:I10"/>
    <mergeCell ref="J39:J40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L3:L4"/>
    <mergeCell ref="M3:M4"/>
    <mergeCell ref="B4:C4"/>
    <mergeCell ref="D4:G4"/>
    <mergeCell ref="A7:A8"/>
    <mergeCell ref="B7:C7"/>
    <mergeCell ref="D7:G7"/>
    <mergeCell ref="H7:H8"/>
    <mergeCell ref="I7:I8"/>
    <mergeCell ref="J7:J8"/>
    <mergeCell ref="J13:J14"/>
    <mergeCell ref="K13:K14"/>
    <mergeCell ref="L13:L14"/>
    <mergeCell ref="M13:M14"/>
    <mergeCell ref="B14:C14"/>
    <mergeCell ref="D14:G14"/>
    <mergeCell ref="K7:K8"/>
    <mergeCell ref="L7:L8"/>
    <mergeCell ref="M7:M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B7D7-1EFE-4678-A8C7-46334D324552}">
  <sheetPr codeName="Sheet10">
    <tabColor rgb="FFFF0000"/>
    <pageSetUpPr fitToPage="1"/>
  </sheetPr>
  <dimension ref="A1:M51"/>
  <sheetViews>
    <sheetView zoomScale="110" zoomScaleNormal="110" workbookViewId="0">
      <selection activeCell="O19" sqref="O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SUM(I3)-5</f>
        <v>54.5</v>
      </c>
      <c r="I3" s="54">
        <f>SUM(J3)-5</f>
        <v>59.5</v>
      </c>
      <c r="J3" s="55">
        <v>64.5</v>
      </c>
      <c r="K3" s="54">
        <f>SUM(J3)+5</f>
        <v>69.5</v>
      </c>
      <c r="L3" s="54">
        <f>SUM(K3)+5</f>
        <v>74.5</v>
      </c>
      <c r="M3" s="101">
        <f>SUM(L3)+5</f>
        <v>79.5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22.4</v>
      </c>
      <c r="I5" s="54">
        <f>SUM(J5)-1.8</f>
        <v>24.2</v>
      </c>
      <c r="J5" s="55">
        <v>26</v>
      </c>
      <c r="K5" s="54">
        <f>SUM(J5)+1.6</f>
        <v>27.6</v>
      </c>
      <c r="L5" s="54">
        <f>SUM(K5)+1.6</f>
        <v>29.200000000000003</v>
      </c>
      <c r="M5" s="101">
        <f>SUM(L5)+1.6</f>
        <v>30.800000000000004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</v>
      </c>
      <c r="I7" s="54">
        <f>SUM(J7)-2.25</f>
        <v>32.25</v>
      </c>
      <c r="J7" s="55">
        <v>34.5</v>
      </c>
      <c r="K7" s="54">
        <f>SUM(J7)+2</f>
        <v>36.5</v>
      </c>
      <c r="L7" s="54">
        <f>SUM(K7)+2</f>
        <v>38.5</v>
      </c>
      <c r="M7" s="101">
        <f>SUM(L7)+2</f>
        <v>40.5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/>
      <c r="E9" s="61"/>
      <c r="F9" s="61"/>
      <c r="G9" s="61"/>
      <c r="H9" s="54">
        <f>SUM(I9)-2.1</f>
        <v>28.299999999999997</v>
      </c>
      <c r="I9" s="54">
        <f>SUM(J9)-2.1</f>
        <v>30.4</v>
      </c>
      <c r="J9" s="55">
        <v>32.5</v>
      </c>
      <c r="K9" s="54">
        <f>SUM(J9)+1.9</f>
        <v>34.4</v>
      </c>
      <c r="L9" s="54">
        <f>SUM(K9)+1.9</f>
        <v>36.299999999999997</v>
      </c>
      <c r="M9" s="101">
        <f>SUM(L9)+1.9</f>
        <v>38.199999999999996</v>
      </c>
    </row>
    <row r="10" spans="1:13" s="1" customFormat="1" ht="14.1" customHeight="1" x14ac:dyDescent="0.3">
      <c r="A10" s="48"/>
      <c r="B10" s="45" t="s">
        <v>269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13.7</v>
      </c>
      <c r="I11" s="54">
        <f>SUM(J11)-0.8</f>
        <v>14.5</v>
      </c>
      <c r="J11" s="67">
        <v>15.3</v>
      </c>
      <c r="K11" s="68">
        <f>SUM(J11)+0.8</f>
        <v>16.100000000000001</v>
      </c>
      <c r="L11" s="68">
        <f>SUM(K11)+0.8</f>
        <v>16.900000000000002</v>
      </c>
      <c r="M11" s="94">
        <f>SUM(L11)+0.9</f>
        <v>17.8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</v>
      </c>
      <c r="I13" s="54">
        <f>SUM(J13)-0.6</f>
        <v>15.6</v>
      </c>
      <c r="J13" s="67">
        <v>16.2</v>
      </c>
      <c r="K13" s="68">
        <f>SUM(J13)+0.6</f>
        <v>16.8</v>
      </c>
      <c r="L13" s="68">
        <f>SUM(K13)+0.6</f>
        <v>17.400000000000002</v>
      </c>
      <c r="M13" s="94">
        <f>SUM(L13)+0.6</f>
        <v>18.000000000000004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46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7.4</v>
      </c>
      <c r="I15" s="54">
        <f>SUM(J15)-0.3</f>
        <v>7.7</v>
      </c>
      <c r="J15" s="67">
        <v>8</v>
      </c>
      <c r="K15" s="68">
        <f>SUM(J15)+0.3</f>
        <v>8.3000000000000007</v>
      </c>
      <c r="L15" s="68">
        <f>SUM(K15)+0.3</f>
        <v>8.6000000000000014</v>
      </c>
      <c r="M15" s="94">
        <f>SUM(L15)+0.3</f>
        <v>8.9000000000000021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0" t="s">
        <v>357</v>
      </c>
      <c r="C17" s="60"/>
      <c r="D17" s="61" t="s">
        <v>359</v>
      </c>
      <c r="E17" s="61"/>
      <c r="F17" s="61"/>
      <c r="G17" s="61"/>
      <c r="H17" s="54">
        <f>SUM(I17)-0.3</f>
        <v>6.4</v>
      </c>
      <c r="I17" s="54">
        <f>SUM(J17)-0.3</f>
        <v>6.7</v>
      </c>
      <c r="J17" s="67">
        <v>7</v>
      </c>
      <c r="K17" s="68">
        <f>SUM(J17)+0.3</f>
        <v>7.3</v>
      </c>
      <c r="L17" s="68">
        <f>SUM(K17)+0.3</f>
        <v>7.6</v>
      </c>
      <c r="M17" s="94">
        <f>SUM(L17)+0.3</f>
        <v>7.8999999999999995</v>
      </c>
    </row>
    <row r="18" spans="1:13" s="1" customFormat="1" ht="14.1" customHeight="1" x14ac:dyDescent="0.3">
      <c r="A18" s="48"/>
      <c r="B18" s="45" t="s">
        <v>358</v>
      </c>
      <c r="C18" s="45"/>
      <c r="D18" s="46" t="s">
        <v>394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SUM(I19)-1.9</f>
        <v>44.6</v>
      </c>
      <c r="I19" s="54">
        <f>SUM(J19)-1.9</f>
        <v>46.5</v>
      </c>
      <c r="J19" s="67">
        <v>48.4</v>
      </c>
      <c r="K19" s="68">
        <f>SUM(J19)+1.9</f>
        <v>50.3</v>
      </c>
      <c r="L19" s="68">
        <f>SUM(K19)+1.9</f>
        <v>52.199999999999996</v>
      </c>
      <c r="M19" s="94">
        <f>SUM(L19)+1.9</f>
        <v>54.099999999999994</v>
      </c>
    </row>
    <row r="20" spans="1:13" s="1" customFormat="1" ht="14.1" customHeight="1" x14ac:dyDescent="0.3">
      <c r="A20" s="48"/>
      <c r="B20" s="45" t="s">
        <v>33</v>
      </c>
      <c r="C20" s="45"/>
      <c r="D20" s="46" t="s">
        <v>86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/>
      <c r="I21" s="54"/>
      <c r="J21" s="55"/>
      <c r="K21" s="54"/>
      <c r="L21" s="54"/>
      <c r="M21" s="101"/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40"/>
      <c r="L22" s="40"/>
      <c r="M22" s="102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/>
      <c r="I25" s="54"/>
      <c r="J25" s="67"/>
      <c r="K25" s="68"/>
      <c r="L25" s="68"/>
      <c r="M25" s="94"/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3" ht="14.1" customHeight="1" x14ac:dyDescent="0.3">
      <c r="A27" s="48">
        <v>13</v>
      </c>
      <c r="B27" s="65" t="s">
        <v>395</v>
      </c>
      <c r="C27" s="66"/>
      <c r="D27" s="88"/>
      <c r="E27" s="89"/>
      <c r="F27" s="89"/>
      <c r="G27" s="90"/>
      <c r="H27" s="54">
        <f>SUM(I27)-3.1</f>
        <v>33.799999999999997</v>
      </c>
      <c r="I27" s="54">
        <f>SUM(J27)-3.1</f>
        <v>36.9</v>
      </c>
      <c r="J27" s="67">
        <v>40</v>
      </c>
      <c r="K27" s="68">
        <f>SUM(J27)+3.1</f>
        <v>43.1</v>
      </c>
      <c r="L27" s="68">
        <f>SUM(K27)+3.1</f>
        <v>46.2</v>
      </c>
      <c r="M27" s="94">
        <f>SUM(L27)+3.1</f>
        <v>49.300000000000004</v>
      </c>
    </row>
    <row r="28" spans="1:13" ht="14.1" customHeight="1" x14ac:dyDescent="0.3">
      <c r="A28" s="78"/>
      <c r="B28" s="79" t="s">
        <v>396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 t="s">
        <v>293</v>
      </c>
      <c r="C29" s="66"/>
      <c r="D29" s="88"/>
      <c r="E29" s="89"/>
      <c r="F29" s="89"/>
      <c r="G29" s="90"/>
      <c r="H29" s="54">
        <f>SUM(I29)-2.2</f>
        <v>22.1</v>
      </c>
      <c r="I29" s="54">
        <f>SUM(J29)-2.2</f>
        <v>24.3</v>
      </c>
      <c r="J29" s="67">
        <v>26.5</v>
      </c>
      <c r="K29" s="68">
        <f>SUM(J29)+2.2</f>
        <v>28.7</v>
      </c>
      <c r="L29" s="68">
        <f>SUM(K29)+2.2</f>
        <v>30.9</v>
      </c>
      <c r="M29" s="94">
        <f>SUM(L29)+2.2</f>
        <v>33.1</v>
      </c>
    </row>
    <row r="30" spans="1:13" ht="14.1" customHeight="1" x14ac:dyDescent="0.3">
      <c r="A30" s="78"/>
      <c r="B30" s="79" t="s">
        <v>366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 t="s">
        <v>134</v>
      </c>
      <c r="C31" s="66"/>
      <c r="D31" s="88"/>
      <c r="E31" s="89"/>
      <c r="F31" s="89"/>
      <c r="G31" s="90"/>
      <c r="H31" s="54">
        <f>SUM(I31)-0.3</f>
        <v>2.9000000000000004</v>
      </c>
      <c r="I31" s="54">
        <f>SUM(J31)-0.3</f>
        <v>3.2</v>
      </c>
      <c r="J31" s="67">
        <v>3.5</v>
      </c>
      <c r="K31" s="68">
        <f>SUM(J31)+0.3</f>
        <v>3.8</v>
      </c>
      <c r="L31" s="68">
        <f>SUM(K31)+0.3</f>
        <v>4.0999999999999996</v>
      </c>
      <c r="M31" s="94">
        <f>SUM(L31)+0.3</f>
        <v>4.3999999999999995</v>
      </c>
    </row>
    <row r="32" spans="1:13" ht="14.1" customHeight="1" x14ac:dyDescent="0.3">
      <c r="A32" s="78"/>
      <c r="B32" s="57" t="s">
        <v>142</v>
      </c>
      <c r="C32" s="58"/>
      <c r="D32" s="46"/>
      <c r="E32" s="47"/>
      <c r="F32" s="47"/>
      <c r="G32" s="59"/>
      <c r="H32" s="40"/>
      <c r="I32" s="40"/>
      <c r="J32" s="55"/>
      <c r="K32" s="68"/>
      <c r="L32" s="68"/>
      <c r="M32" s="94"/>
    </row>
    <row r="33" spans="1:13" ht="14.1" customHeight="1" x14ac:dyDescent="0.3">
      <c r="A33" s="48">
        <v>16</v>
      </c>
      <c r="B33" s="65"/>
      <c r="C33" s="66"/>
      <c r="D33" s="88"/>
      <c r="E33" s="89"/>
      <c r="F33" s="89"/>
      <c r="G33" s="90"/>
      <c r="H33" s="54"/>
      <c r="I33" s="54"/>
      <c r="J33" s="67"/>
      <c r="K33" s="68"/>
      <c r="L33" s="68"/>
      <c r="M33" s="94"/>
    </row>
    <row r="34" spans="1:13" ht="14.1" customHeight="1" thickBot="1" x14ac:dyDescent="0.35">
      <c r="A34" s="87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95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ABF5-2CE2-4A5E-AC3A-6FB298AD072A}">
  <sheetPr codeName="Sheet11">
    <tabColor rgb="FFFF0000"/>
    <pageSetUpPr fitToPage="1"/>
  </sheetPr>
  <dimension ref="A1:M51"/>
  <sheetViews>
    <sheetView zoomScale="110" zoomScaleNormal="110" workbookViewId="0">
      <selection activeCell="P22" sqref="P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393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SUM(I3)-5</f>
        <v>55</v>
      </c>
      <c r="I3" s="54">
        <f>SUM(J3)-5</f>
        <v>60</v>
      </c>
      <c r="J3" s="55">
        <v>65</v>
      </c>
      <c r="K3" s="54">
        <f>SUM(J3)+5</f>
        <v>70</v>
      </c>
      <c r="L3" s="54">
        <f>SUM(K3)+5</f>
        <v>75</v>
      </c>
      <c r="M3" s="101">
        <f>SUM(L3)+5</f>
        <v>80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21.799999999999997</v>
      </c>
      <c r="I5" s="54">
        <f>SUM(J5)-1.6</f>
        <v>23.4</v>
      </c>
      <c r="J5" s="55">
        <v>25</v>
      </c>
      <c r="K5" s="54">
        <f>SUM(J5)+1.4</f>
        <v>26.4</v>
      </c>
      <c r="L5" s="54">
        <f>SUM(K5)+1.4</f>
        <v>27.799999999999997</v>
      </c>
      <c r="M5" s="101">
        <f>SUM(L5)+1.4</f>
        <v>29.199999999999996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</v>
      </c>
      <c r="I7" s="54">
        <f>SUM(J7)-2.25</f>
        <v>31.25</v>
      </c>
      <c r="J7" s="55">
        <v>33.5</v>
      </c>
      <c r="K7" s="54">
        <f>SUM(J7)+2</f>
        <v>35.5</v>
      </c>
      <c r="L7" s="54">
        <f>SUM(K7)+2</f>
        <v>37.5</v>
      </c>
      <c r="M7" s="101">
        <f>SUM(L7)+2</f>
        <v>39.5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/>
      <c r="E9" s="61"/>
      <c r="F9" s="61"/>
      <c r="G9" s="61"/>
      <c r="H9" s="54">
        <f>SUM(I9)-2.1</f>
        <v>27.299999999999997</v>
      </c>
      <c r="I9" s="54">
        <f>SUM(J9)-2.1</f>
        <v>29.4</v>
      </c>
      <c r="J9" s="55">
        <v>31.5</v>
      </c>
      <c r="K9" s="54">
        <f>SUM(J9)+1.9</f>
        <v>33.4</v>
      </c>
      <c r="L9" s="54">
        <f>SUM(K9)+1.9</f>
        <v>35.299999999999997</v>
      </c>
      <c r="M9" s="101">
        <f>SUM(L9)+1.9</f>
        <v>37.199999999999996</v>
      </c>
    </row>
    <row r="10" spans="1:13" s="1" customFormat="1" ht="14.1" customHeight="1" x14ac:dyDescent="0.3">
      <c r="A10" s="48"/>
      <c r="B10" s="45" t="s">
        <v>269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13.7</v>
      </c>
      <c r="I11" s="54">
        <f>SUM(J11)-0.9</f>
        <v>14.6</v>
      </c>
      <c r="J11" s="67">
        <v>15.5</v>
      </c>
      <c r="K11" s="68">
        <f>SUM(J11)+0.9</f>
        <v>16.399999999999999</v>
      </c>
      <c r="L11" s="68">
        <f>SUM(K11)+0.9</f>
        <v>17.299999999999997</v>
      </c>
      <c r="M11" s="94">
        <f>SUM(L11)+0.9</f>
        <v>18.199999999999996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12.3</v>
      </c>
      <c r="I13" s="54">
        <f>SUM(J13)-0.6</f>
        <v>12.9</v>
      </c>
      <c r="J13" s="67">
        <v>13.5</v>
      </c>
      <c r="K13" s="68">
        <f>SUM(J13)+0.6</f>
        <v>14.1</v>
      </c>
      <c r="L13" s="68">
        <f>SUM(K13)+0.6</f>
        <v>14.7</v>
      </c>
      <c r="M13" s="94">
        <f>SUM(L13)+0.6</f>
        <v>15.299999999999999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46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94">
        <f>SUM(L15)+0.3</f>
        <v>7.3999999999999995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0" t="s">
        <v>357</v>
      </c>
      <c r="C17" s="60"/>
      <c r="D17" s="61" t="s">
        <v>359</v>
      </c>
      <c r="E17" s="61"/>
      <c r="F17" s="61"/>
      <c r="G17" s="61"/>
      <c r="H17" s="54">
        <f>SUM(I17)-0.4</f>
        <v>8.1999999999999993</v>
      </c>
      <c r="I17" s="54">
        <f>SUM(J17)-0.4</f>
        <v>8.6</v>
      </c>
      <c r="J17" s="67">
        <v>9</v>
      </c>
      <c r="K17" s="68">
        <f>SUM(J17)+0.4</f>
        <v>9.4</v>
      </c>
      <c r="L17" s="68">
        <f>SUM(K17)+0.4</f>
        <v>9.8000000000000007</v>
      </c>
      <c r="M17" s="94">
        <f>SUM(L17)+0.4</f>
        <v>10.200000000000001</v>
      </c>
    </row>
    <row r="18" spans="1:13" s="1" customFormat="1" ht="14.1" customHeight="1" x14ac:dyDescent="0.3">
      <c r="A18" s="48"/>
      <c r="B18" s="45" t="s">
        <v>358</v>
      </c>
      <c r="C18" s="45"/>
      <c r="D18" s="46" t="s">
        <v>394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SUM(I19)-2</f>
        <v>41.2</v>
      </c>
      <c r="I19" s="54">
        <f>SUM(J19)-2</f>
        <v>43.2</v>
      </c>
      <c r="J19" s="67">
        <v>45.2</v>
      </c>
      <c r="K19" s="68">
        <f>SUM(J19)+2</f>
        <v>47.2</v>
      </c>
      <c r="L19" s="68">
        <f>SUM(K19)+2</f>
        <v>49.2</v>
      </c>
      <c r="M19" s="94">
        <f>SUM(L19)+2</f>
        <v>51.2</v>
      </c>
    </row>
    <row r="20" spans="1:13" s="1" customFormat="1" ht="14.1" customHeight="1" x14ac:dyDescent="0.3">
      <c r="A20" s="48"/>
      <c r="B20" s="45" t="s">
        <v>33</v>
      </c>
      <c r="C20" s="45"/>
      <c r="D20" s="46" t="s">
        <v>86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SUM(I21)-1.1</f>
        <v>11.8</v>
      </c>
      <c r="I21" s="54">
        <f>SUM(J21)-1.1</f>
        <v>12.9</v>
      </c>
      <c r="J21" s="55">
        <v>14</v>
      </c>
      <c r="K21" s="54">
        <f>SUM(J21)+1.2</f>
        <v>15.2</v>
      </c>
      <c r="L21" s="54">
        <f>SUM(K21)+1.2</f>
        <v>16.399999999999999</v>
      </c>
      <c r="M21" s="101">
        <f>SUM(L21)+1.2</f>
        <v>17.599999999999998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40"/>
      <c r="L22" s="40"/>
      <c r="M22" s="102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SUM(I25)-1.2</f>
        <v>22.6</v>
      </c>
      <c r="I25" s="54">
        <f>SUM(J25)-1.2</f>
        <v>23.8</v>
      </c>
      <c r="J25" s="67">
        <v>25</v>
      </c>
      <c r="K25" s="68">
        <f>SUM(J25)+1.2</f>
        <v>26.2</v>
      </c>
      <c r="L25" s="68">
        <f>SUM(K25)+1.2</f>
        <v>27.4</v>
      </c>
      <c r="M25" s="94">
        <f>SUM(L25)+1.2</f>
        <v>28.599999999999998</v>
      </c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3" ht="14.1" customHeight="1" x14ac:dyDescent="0.3">
      <c r="A27" s="48">
        <v>13</v>
      </c>
      <c r="B27" s="65" t="s">
        <v>395</v>
      </c>
      <c r="C27" s="66"/>
      <c r="D27" s="88"/>
      <c r="E27" s="89"/>
      <c r="F27" s="89"/>
      <c r="G27" s="90"/>
      <c r="H27" s="54">
        <f>SUM(I27)-3</f>
        <v>34</v>
      </c>
      <c r="I27" s="54">
        <f>SUM(J27)-3</f>
        <v>37</v>
      </c>
      <c r="J27" s="67">
        <v>40</v>
      </c>
      <c r="K27" s="68">
        <f>SUM(J27)+3</f>
        <v>43</v>
      </c>
      <c r="L27" s="68">
        <f>SUM(K27)+3</f>
        <v>46</v>
      </c>
      <c r="M27" s="94">
        <f>SUM(L27)+3</f>
        <v>49</v>
      </c>
    </row>
    <row r="28" spans="1:13" ht="14.1" customHeight="1" x14ac:dyDescent="0.3">
      <c r="A28" s="78"/>
      <c r="B28" s="79" t="s">
        <v>396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 t="s">
        <v>293</v>
      </c>
      <c r="C29" s="66"/>
      <c r="D29" s="88"/>
      <c r="E29" s="89"/>
      <c r="F29" s="89"/>
      <c r="G29" s="90"/>
      <c r="H29" s="54">
        <f>SUM(I29)-2.1</f>
        <v>20.799999999999997</v>
      </c>
      <c r="I29" s="54">
        <f>SUM(J29)-2.1</f>
        <v>22.9</v>
      </c>
      <c r="J29" s="67">
        <v>25</v>
      </c>
      <c r="K29" s="68">
        <f>SUM(J29)+2.1</f>
        <v>27.1</v>
      </c>
      <c r="L29" s="68">
        <f>SUM(K29)+2.1</f>
        <v>29.200000000000003</v>
      </c>
      <c r="M29" s="94">
        <f>SUM(L29)+2.1</f>
        <v>31.300000000000004</v>
      </c>
    </row>
    <row r="30" spans="1:13" ht="14.1" customHeight="1" x14ac:dyDescent="0.3">
      <c r="A30" s="78"/>
      <c r="B30" s="79" t="s">
        <v>366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 t="s">
        <v>134</v>
      </c>
      <c r="C31" s="66"/>
      <c r="D31" s="88"/>
      <c r="E31" s="89"/>
      <c r="F31" s="89"/>
      <c r="G31" s="90"/>
      <c r="H31" s="54">
        <f>SUM(I31)-0.6</f>
        <v>6.4</v>
      </c>
      <c r="I31" s="54">
        <f>SUM(J31)-0.6</f>
        <v>7</v>
      </c>
      <c r="J31" s="67">
        <v>7.6</v>
      </c>
      <c r="K31" s="68">
        <f>SUM(J31)+0.6</f>
        <v>8.1999999999999993</v>
      </c>
      <c r="L31" s="68">
        <f>SUM(K31)+0.6</f>
        <v>8.7999999999999989</v>
      </c>
      <c r="M31" s="94">
        <f>SUM(L31)+0.6</f>
        <v>9.3999999999999986</v>
      </c>
    </row>
    <row r="32" spans="1:13" ht="14.1" customHeight="1" x14ac:dyDescent="0.3">
      <c r="A32" s="78"/>
      <c r="B32" s="57" t="s">
        <v>142</v>
      </c>
      <c r="C32" s="58"/>
      <c r="D32" s="46" t="s">
        <v>397</v>
      </c>
      <c r="E32" s="47"/>
      <c r="F32" s="47"/>
      <c r="G32" s="59"/>
      <c r="H32" s="40"/>
      <c r="I32" s="40"/>
      <c r="J32" s="55"/>
      <c r="K32" s="68"/>
      <c r="L32" s="68"/>
      <c r="M32" s="94"/>
    </row>
    <row r="33" spans="1:13" ht="14.1" customHeight="1" x14ac:dyDescent="0.3">
      <c r="A33" s="48">
        <v>16</v>
      </c>
      <c r="B33" s="65"/>
      <c r="C33" s="66"/>
      <c r="D33" s="88"/>
      <c r="E33" s="89"/>
      <c r="F33" s="89"/>
      <c r="G33" s="90"/>
      <c r="H33" s="54"/>
      <c r="I33" s="54"/>
      <c r="J33" s="67"/>
      <c r="K33" s="68"/>
      <c r="L33" s="68"/>
      <c r="M33" s="94"/>
    </row>
    <row r="34" spans="1:13" ht="14.1" customHeight="1" thickBot="1" x14ac:dyDescent="0.35">
      <c r="A34" s="87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95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D20:G20"/>
    <mergeCell ref="A19:A20"/>
    <mergeCell ref="B19:C19"/>
    <mergeCell ref="D19:G19"/>
    <mergeCell ref="H19:H20"/>
    <mergeCell ref="I19:I20"/>
    <mergeCell ref="J19:J20"/>
    <mergeCell ref="K15:K16"/>
    <mergeCell ref="L15:L16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A31:A32"/>
    <mergeCell ref="B31:C31"/>
    <mergeCell ref="D31:G31"/>
    <mergeCell ref="H31:H32"/>
    <mergeCell ref="A1:M1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I31:I32"/>
    <mergeCell ref="J31:J32"/>
    <mergeCell ref="K31:K32"/>
    <mergeCell ref="L31:L32"/>
    <mergeCell ref="M31:M32"/>
    <mergeCell ref="B32:C32"/>
    <mergeCell ref="D32:G32"/>
    <mergeCell ref="B18:C18"/>
    <mergeCell ref="D18:G18"/>
    <mergeCell ref="J29:J30"/>
    <mergeCell ref="K27:K28"/>
    <mergeCell ref="L27:L28"/>
    <mergeCell ref="M27:M28"/>
    <mergeCell ref="B28:C28"/>
    <mergeCell ref="D28:G28"/>
    <mergeCell ref="K23:K24"/>
    <mergeCell ref="L23:L24"/>
    <mergeCell ref="M23:M24"/>
    <mergeCell ref="B24:C24"/>
    <mergeCell ref="D24:G24"/>
    <mergeCell ref="K19:K20"/>
    <mergeCell ref="L19:L20"/>
    <mergeCell ref="M19:M20"/>
    <mergeCell ref="B20:C2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FE64-B300-47D3-8683-78811A6A57E0}">
  <sheetPr codeName="Sheet12">
    <tabColor rgb="FFFF0000"/>
    <pageSetUpPr fitToPage="1"/>
  </sheetPr>
  <dimension ref="A1:O49"/>
  <sheetViews>
    <sheetView zoomScale="110" zoomScaleNormal="110" workbookViewId="0">
      <selection activeCell="I15" sqref="I15:I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9.625" customWidth="1"/>
    <col min="8" max="13" width="5.5" customWidth="1"/>
  </cols>
  <sheetData>
    <row r="1" spans="1:15" ht="16.5" customHeight="1" thickBot="1" x14ac:dyDescent="0.35">
      <c r="A1" s="30" t="s">
        <v>490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5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5" s="1" customFormat="1" ht="14.1" customHeight="1" x14ac:dyDescent="0.3">
      <c r="A3" s="34">
        <v>1</v>
      </c>
      <c r="B3" s="36" t="s">
        <v>39</v>
      </c>
      <c r="C3" s="36"/>
      <c r="D3" s="37"/>
      <c r="E3" s="37"/>
      <c r="F3" s="37"/>
      <c r="G3" s="38"/>
      <c r="H3" s="39">
        <f>SUM(I3)-4.4</f>
        <v>45.7</v>
      </c>
      <c r="I3" s="39">
        <f>SUM(J3)-4.4</f>
        <v>50.1</v>
      </c>
      <c r="J3" s="41">
        <v>54.5</v>
      </c>
      <c r="K3" s="39">
        <f>SUM(J3)+4.4</f>
        <v>58.9</v>
      </c>
      <c r="L3" s="39">
        <f>SUM(K3)+4.4</f>
        <v>63.3</v>
      </c>
      <c r="M3" s="120">
        <f>SUM(L3)+4.4</f>
        <v>67.7</v>
      </c>
    </row>
    <row r="4" spans="1:15" s="1" customFormat="1" ht="14.1" customHeight="1" x14ac:dyDescent="0.3">
      <c r="A4" s="35"/>
      <c r="B4" s="45" t="s">
        <v>422</v>
      </c>
      <c r="C4" s="45"/>
      <c r="D4" s="46" t="s">
        <v>421</v>
      </c>
      <c r="E4" s="47"/>
      <c r="F4" s="47"/>
      <c r="G4" s="47"/>
      <c r="H4" s="40"/>
      <c r="I4" s="40"/>
      <c r="J4" s="42"/>
      <c r="K4" s="40"/>
      <c r="L4" s="40"/>
      <c r="M4" s="102"/>
    </row>
    <row r="5" spans="1:15" s="1" customFormat="1" ht="14.1" customHeight="1" thickBot="1" x14ac:dyDescent="0.35">
      <c r="A5" s="48">
        <v>2</v>
      </c>
      <c r="B5" s="60" t="s">
        <v>37</v>
      </c>
      <c r="C5" s="60"/>
      <c r="D5" s="61"/>
      <c r="E5" s="61"/>
      <c r="F5" s="61"/>
      <c r="G5" s="61"/>
      <c r="H5" s="54">
        <f>SUM(I5)-2.8</f>
        <v>36.400000000000006</v>
      </c>
      <c r="I5" s="54">
        <f>SUM(J5)-2.8</f>
        <v>39.200000000000003</v>
      </c>
      <c r="J5" s="55">
        <v>42</v>
      </c>
      <c r="K5" s="54">
        <f>SUM(J5)+2.6</f>
        <v>44.6</v>
      </c>
      <c r="L5" s="54">
        <f>SUM(K5)+2.6</f>
        <v>47.2</v>
      </c>
      <c r="M5" s="101">
        <f>SUM(L5)+2.6</f>
        <v>49.800000000000004</v>
      </c>
    </row>
    <row r="6" spans="1:15" s="1" customFormat="1" ht="14.1" customHeight="1" x14ac:dyDescent="0.3">
      <c r="A6" s="48"/>
      <c r="B6" s="45" t="s">
        <v>24</v>
      </c>
      <c r="C6" s="45"/>
      <c r="D6" s="46" t="s">
        <v>420</v>
      </c>
      <c r="E6" s="47"/>
      <c r="F6" s="47"/>
      <c r="G6" s="59"/>
      <c r="H6" s="40"/>
      <c r="I6" s="40"/>
      <c r="J6" s="42"/>
      <c r="K6" s="40"/>
      <c r="L6" s="40"/>
      <c r="M6" s="102"/>
      <c r="O6" s="12"/>
    </row>
    <row r="7" spans="1:15" s="1" customFormat="1" ht="14.1" customHeight="1" x14ac:dyDescent="0.3">
      <c r="A7" s="48">
        <v>3</v>
      </c>
      <c r="B7" s="60" t="s">
        <v>210</v>
      </c>
      <c r="C7" s="60"/>
      <c r="D7" s="61"/>
      <c r="E7" s="61"/>
      <c r="F7" s="61"/>
      <c r="G7" s="61"/>
      <c r="H7" s="54">
        <f>SUM(I7)-1.2</f>
        <v>17.600000000000001</v>
      </c>
      <c r="I7" s="54">
        <f>SUM(J7)-1.2</f>
        <v>18.8</v>
      </c>
      <c r="J7" s="55">
        <v>20</v>
      </c>
      <c r="K7" s="54">
        <f>SUM(J7)+1.2</f>
        <v>21.2</v>
      </c>
      <c r="L7" s="54">
        <f t="shared" ref="L7:M7" si="0">SUM(K7)+1.2</f>
        <v>22.4</v>
      </c>
      <c r="M7" s="101">
        <f t="shared" si="0"/>
        <v>23.599999999999998</v>
      </c>
      <c r="O7" s="13"/>
    </row>
    <row r="8" spans="1:15" s="1" customFormat="1" ht="14.1" customHeight="1" thickBot="1" x14ac:dyDescent="0.35">
      <c r="A8" s="48"/>
      <c r="B8" s="45" t="s">
        <v>261</v>
      </c>
      <c r="C8" s="45"/>
      <c r="D8" s="46" t="s">
        <v>262</v>
      </c>
      <c r="E8" s="47"/>
      <c r="F8" s="47"/>
      <c r="G8" s="59"/>
      <c r="H8" s="40"/>
      <c r="I8" s="40"/>
      <c r="J8" s="42"/>
      <c r="K8" s="40"/>
      <c r="L8" s="40"/>
      <c r="M8" s="102"/>
      <c r="O8" s="14"/>
    </row>
    <row r="9" spans="1:15" s="1" customFormat="1" ht="14.1" customHeight="1" x14ac:dyDescent="0.3">
      <c r="A9" s="48">
        <v>4</v>
      </c>
      <c r="B9" s="60" t="s">
        <v>423</v>
      </c>
      <c r="C9" s="60"/>
      <c r="D9" s="61"/>
      <c r="E9" s="61"/>
      <c r="F9" s="61"/>
      <c r="G9" s="61"/>
      <c r="H9" s="54">
        <f>SUM(I9)-0.3</f>
        <v>4.4000000000000004</v>
      </c>
      <c r="I9" s="54">
        <f>SUM(J9)-0.3</f>
        <v>4.7</v>
      </c>
      <c r="J9" s="55">
        <v>5</v>
      </c>
      <c r="K9" s="54">
        <f>SUM(J9)+0.3</f>
        <v>5.3</v>
      </c>
      <c r="L9" s="54">
        <f>SUM(K9)+0.3</f>
        <v>5.6</v>
      </c>
      <c r="M9" s="101">
        <f>SUM(L9)+0.3</f>
        <v>5.8999999999999995</v>
      </c>
    </row>
    <row r="10" spans="1:15" s="1" customFormat="1" ht="14.1" customHeight="1" x14ac:dyDescent="0.3">
      <c r="A10" s="48"/>
      <c r="B10" s="45" t="s">
        <v>424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102"/>
    </row>
    <row r="11" spans="1:15" s="1" customFormat="1" ht="14.1" customHeight="1" x14ac:dyDescent="0.3">
      <c r="A11" s="48">
        <v>5</v>
      </c>
      <c r="B11" s="60" t="s">
        <v>35</v>
      </c>
      <c r="C11" s="60"/>
      <c r="D11" s="61" t="s">
        <v>72</v>
      </c>
      <c r="E11" s="61"/>
      <c r="F11" s="61"/>
      <c r="G11" s="61"/>
      <c r="H11" s="54">
        <f>SUM(I11)-2.25</f>
        <v>29</v>
      </c>
      <c r="I11" s="54">
        <f>SUM(J11)-2.25</f>
        <v>31.25</v>
      </c>
      <c r="J11" s="55">
        <v>33.5</v>
      </c>
      <c r="K11" s="54">
        <f>SUM(J11)+2</f>
        <v>35.5</v>
      </c>
      <c r="L11" s="54">
        <f>SUM(K11)+2</f>
        <v>37.5</v>
      </c>
      <c r="M11" s="101">
        <f>SUM(L11)+2</f>
        <v>39.5</v>
      </c>
    </row>
    <row r="12" spans="1:15" s="1" customFormat="1" ht="14.1" customHeight="1" x14ac:dyDescent="0.3">
      <c r="A12" s="48"/>
      <c r="B12" s="45" t="s">
        <v>40</v>
      </c>
      <c r="C12" s="45"/>
      <c r="D12" s="46" t="s">
        <v>43</v>
      </c>
      <c r="E12" s="47"/>
      <c r="F12" s="47"/>
      <c r="G12" s="59"/>
      <c r="H12" s="40"/>
      <c r="I12" s="40"/>
      <c r="J12" s="42"/>
      <c r="K12" s="40"/>
      <c r="L12" s="40"/>
      <c r="M12" s="102"/>
    </row>
    <row r="13" spans="1:15" s="1" customFormat="1" ht="14.1" customHeight="1" x14ac:dyDescent="0.3">
      <c r="A13" s="48">
        <v>6</v>
      </c>
      <c r="B13" s="60" t="s">
        <v>268</v>
      </c>
      <c r="C13" s="60"/>
      <c r="D13" s="61"/>
      <c r="E13" s="61"/>
      <c r="F13" s="61"/>
      <c r="G13" s="61"/>
      <c r="H13" s="54">
        <f>SUM(I13)-2.1</f>
        <v>26.799999999999997</v>
      </c>
      <c r="I13" s="54">
        <f>SUM(J13)-2.1</f>
        <v>28.9</v>
      </c>
      <c r="J13" s="55">
        <v>31</v>
      </c>
      <c r="K13" s="54">
        <f>SUM(J13)+1.9</f>
        <v>32.9</v>
      </c>
      <c r="L13" s="54">
        <f>SUM(K13)+1.9</f>
        <v>34.799999999999997</v>
      </c>
      <c r="M13" s="101">
        <f>SUM(L13)+1.9</f>
        <v>36.699999999999996</v>
      </c>
    </row>
    <row r="14" spans="1:15" s="1" customFormat="1" ht="14.1" customHeight="1" x14ac:dyDescent="0.3">
      <c r="A14" s="48"/>
      <c r="B14" s="45" t="s">
        <v>269</v>
      </c>
      <c r="C14" s="45"/>
      <c r="D14" s="46"/>
      <c r="E14" s="47"/>
      <c r="F14" s="47"/>
      <c r="G14" s="59"/>
      <c r="H14" s="40"/>
      <c r="I14" s="40"/>
      <c r="J14" s="42"/>
      <c r="K14" s="40"/>
      <c r="L14" s="40"/>
      <c r="M14" s="102"/>
    </row>
    <row r="15" spans="1:15" s="1" customFormat="1" ht="14.1" customHeight="1" x14ac:dyDescent="0.3">
      <c r="A15" s="48">
        <v>7</v>
      </c>
      <c r="B15" s="60" t="s">
        <v>216</v>
      </c>
      <c r="C15" s="60"/>
      <c r="D15" s="61"/>
      <c r="E15" s="61"/>
      <c r="F15" s="61"/>
      <c r="G15" s="61"/>
      <c r="H15" s="54">
        <f>SUM(I15)-1.9</f>
        <v>25.200000000000003</v>
      </c>
      <c r="I15" s="54">
        <f>SUM(J15)-1.9</f>
        <v>27.1</v>
      </c>
      <c r="J15" s="55">
        <v>29</v>
      </c>
      <c r="K15" s="54">
        <f>SUM(J15)+1.8</f>
        <v>30.8</v>
      </c>
      <c r="L15" s="54">
        <f>SUM(K15)+1.8</f>
        <v>32.6</v>
      </c>
      <c r="M15" s="101">
        <f>SUM(L15)+1.8</f>
        <v>34.4</v>
      </c>
    </row>
    <row r="16" spans="1:15" s="1" customFormat="1" ht="14.1" customHeight="1" x14ac:dyDescent="0.3">
      <c r="A16" s="48"/>
      <c r="B16" s="45" t="s">
        <v>425</v>
      </c>
      <c r="C16" s="45"/>
      <c r="D16" s="46"/>
      <c r="E16" s="47"/>
      <c r="F16" s="47"/>
      <c r="G16" s="59"/>
      <c r="H16" s="40"/>
      <c r="I16" s="40"/>
      <c r="J16" s="42"/>
      <c r="K16" s="40"/>
      <c r="L16" s="40"/>
      <c r="M16" s="102"/>
    </row>
    <row r="17" spans="1:14" s="1" customFormat="1" ht="14.1" customHeight="1" x14ac:dyDescent="0.3">
      <c r="A17" s="48">
        <v>8</v>
      </c>
      <c r="B17" s="60" t="s">
        <v>10</v>
      </c>
      <c r="C17" s="60"/>
      <c r="D17" s="61" t="s">
        <v>0</v>
      </c>
      <c r="E17" s="61"/>
      <c r="F17" s="61"/>
      <c r="G17" s="61"/>
      <c r="H17" s="54"/>
      <c r="I17" s="54"/>
      <c r="J17" s="67"/>
      <c r="K17" s="68"/>
      <c r="L17" s="68"/>
      <c r="M17" s="94"/>
    </row>
    <row r="18" spans="1:14" s="1" customFormat="1" ht="14.1" customHeight="1" x14ac:dyDescent="0.3">
      <c r="A18" s="48"/>
      <c r="B18" s="45" t="s">
        <v>26</v>
      </c>
      <c r="C18" s="45"/>
      <c r="D18" s="46" t="s">
        <v>45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4" s="1" customFormat="1" ht="14.1" customHeight="1" x14ac:dyDescent="0.3">
      <c r="A19" s="48">
        <v>9</v>
      </c>
      <c r="B19" s="60" t="s">
        <v>1</v>
      </c>
      <c r="C19" s="60"/>
      <c r="D19" s="61" t="s">
        <v>163</v>
      </c>
      <c r="E19" s="61"/>
      <c r="F19" s="61"/>
      <c r="G19" s="61"/>
      <c r="H19" s="54"/>
      <c r="I19" s="54"/>
      <c r="J19" s="67"/>
      <c r="K19" s="68"/>
      <c r="L19" s="68"/>
      <c r="M19" s="94"/>
    </row>
    <row r="20" spans="1:14" s="1" customFormat="1" ht="14.1" customHeight="1" x14ac:dyDescent="0.3">
      <c r="A20" s="48"/>
      <c r="B20" s="45" t="s">
        <v>27</v>
      </c>
      <c r="C20" s="45"/>
      <c r="D20" s="46" t="s">
        <v>195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4" s="1" customFormat="1" ht="14.1" customHeight="1" x14ac:dyDescent="0.3">
      <c r="A21" s="48">
        <v>10</v>
      </c>
      <c r="B21" s="60" t="s">
        <v>2</v>
      </c>
      <c r="C21" s="60"/>
      <c r="D21" s="61" t="s">
        <v>3</v>
      </c>
      <c r="E21" s="61"/>
      <c r="F21" s="61"/>
      <c r="G21" s="61"/>
      <c r="H21" s="54"/>
      <c r="I21" s="54"/>
      <c r="J21" s="67"/>
      <c r="K21" s="68"/>
      <c r="L21" s="68"/>
      <c r="M21" s="94"/>
    </row>
    <row r="22" spans="1:14" s="1" customFormat="1" ht="14.1" customHeight="1" x14ac:dyDescent="0.3">
      <c r="A22" s="48"/>
      <c r="B22" s="45" t="s">
        <v>28</v>
      </c>
      <c r="C22" s="45"/>
      <c r="D22" s="46" t="s">
        <v>196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4" s="1" customFormat="1" ht="14.1" customHeight="1" x14ac:dyDescent="0.3">
      <c r="A23" s="48">
        <v>11</v>
      </c>
      <c r="B23" s="65" t="s">
        <v>73</v>
      </c>
      <c r="C23" s="66"/>
      <c r="D23" s="62" t="s">
        <v>74</v>
      </c>
      <c r="E23" s="63"/>
      <c r="F23" s="63"/>
      <c r="G23" s="64"/>
      <c r="H23" s="54"/>
      <c r="I23" s="54"/>
      <c r="J23" s="67"/>
      <c r="K23" s="68"/>
      <c r="L23" s="68"/>
      <c r="M23" s="94"/>
    </row>
    <row r="24" spans="1:14" s="1" customFormat="1" ht="14.1" customHeight="1" x14ac:dyDescent="0.3">
      <c r="A24" s="48"/>
      <c r="B24" s="45" t="s">
        <v>33</v>
      </c>
      <c r="C24" s="45"/>
      <c r="D24" s="46" t="s">
        <v>86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4" s="1" customFormat="1" ht="14.1" customHeight="1" x14ac:dyDescent="0.3">
      <c r="A25" s="48">
        <v>12</v>
      </c>
      <c r="B25" s="60" t="s">
        <v>4</v>
      </c>
      <c r="C25" s="60"/>
      <c r="D25" s="61" t="s">
        <v>5</v>
      </c>
      <c r="E25" s="61"/>
      <c r="F25" s="61"/>
      <c r="G25" s="61"/>
      <c r="H25" s="54"/>
      <c r="I25" s="54"/>
      <c r="J25" s="67"/>
      <c r="K25" s="68"/>
      <c r="L25" s="68"/>
      <c r="M25" s="94"/>
    </row>
    <row r="26" spans="1:14" s="1" customFormat="1" ht="14.1" customHeight="1" x14ac:dyDescent="0.3">
      <c r="A26" s="48"/>
      <c r="B26" s="45" t="s">
        <v>29</v>
      </c>
      <c r="C26" s="45"/>
      <c r="D26" s="46" t="s">
        <v>48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4" s="1" customFormat="1" ht="14.1" customHeight="1" x14ac:dyDescent="0.3">
      <c r="A27" s="48">
        <v>13</v>
      </c>
      <c r="B27" s="60" t="s">
        <v>6</v>
      </c>
      <c r="C27" s="60"/>
      <c r="D27" s="62" t="s">
        <v>7</v>
      </c>
      <c r="E27" s="63"/>
      <c r="F27" s="63"/>
      <c r="G27" s="64"/>
      <c r="H27" s="54"/>
      <c r="I27" s="54"/>
      <c r="J27" s="67"/>
      <c r="K27" s="68"/>
      <c r="L27" s="68"/>
      <c r="M27" s="94"/>
    </row>
    <row r="28" spans="1:14" s="1" customFormat="1" ht="14.1" customHeight="1" x14ac:dyDescent="0.3">
      <c r="A28" s="48"/>
      <c r="B28" s="45" t="s">
        <v>30</v>
      </c>
      <c r="C28" s="45"/>
      <c r="D28" s="46" t="s">
        <v>67</v>
      </c>
      <c r="E28" s="47"/>
      <c r="F28" s="47"/>
      <c r="G28" s="59"/>
      <c r="H28" s="40"/>
      <c r="I28" s="40"/>
      <c r="J28" s="67"/>
      <c r="K28" s="68"/>
      <c r="L28" s="68"/>
      <c r="M28" s="94"/>
    </row>
    <row r="29" spans="1:14" ht="14.1" customHeight="1" x14ac:dyDescent="0.3">
      <c r="A29" s="48">
        <v>14</v>
      </c>
      <c r="B29" s="65" t="s">
        <v>82</v>
      </c>
      <c r="C29" s="66"/>
      <c r="D29" s="61" t="s">
        <v>68</v>
      </c>
      <c r="E29" s="61"/>
      <c r="F29" s="61"/>
      <c r="G29" s="61"/>
      <c r="H29" s="54"/>
      <c r="I29" s="54"/>
      <c r="J29" s="67"/>
      <c r="K29" s="68"/>
      <c r="L29" s="68"/>
      <c r="M29" s="94"/>
      <c r="N29" s="1"/>
    </row>
    <row r="30" spans="1:14" ht="14.1" customHeight="1" x14ac:dyDescent="0.3">
      <c r="A30" s="48"/>
      <c r="B30" s="45" t="s">
        <v>31</v>
      </c>
      <c r="C30" s="45"/>
      <c r="D30" s="46" t="s">
        <v>69</v>
      </c>
      <c r="E30" s="47"/>
      <c r="F30" s="47"/>
      <c r="G30" s="59"/>
      <c r="H30" s="40"/>
      <c r="I30" s="40"/>
      <c r="J30" s="67"/>
      <c r="K30" s="68"/>
      <c r="L30" s="68"/>
      <c r="M30" s="94"/>
      <c r="N30" s="1"/>
    </row>
    <row r="31" spans="1:14" ht="14.1" customHeight="1" x14ac:dyDescent="0.3">
      <c r="A31" s="48">
        <v>15</v>
      </c>
      <c r="B31" s="65" t="s">
        <v>426</v>
      </c>
      <c r="C31" s="66"/>
      <c r="D31" s="75"/>
      <c r="E31" s="76"/>
      <c r="F31" s="76"/>
      <c r="G31" s="77"/>
      <c r="H31" s="54">
        <f>SUM(I31)-0.6</f>
        <v>8.8000000000000007</v>
      </c>
      <c r="I31" s="54">
        <f>SUM(J31)-0.6</f>
        <v>9.4</v>
      </c>
      <c r="J31" s="55">
        <v>10</v>
      </c>
      <c r="K31" s="54">
        <f>SUM(J31)+0.6</f>
        <v>10.6</v>
      </c>
      <c r="L31" s="54">
        <f>SUM(K31)+0.6</f>
        <v>11.2</v>
      </c>
      <c r="M31" s="101">
        <f>SUM(L31)+0.6</f>
        <v>11.799999999999999</v>
      </c>
    </row>
    <row r="32" spans="1:14" ht="14.1" customHeight="1" x14ac:dyDescent="0.3">
      <c r="A32" s="48"/>
      <c r="B32" s="70" t="s">
        <v>427</v>
      </c>
      <c r="C32" s="71"/>
      <c r="D32" s="72"/>
      <c r="E32" s="73"/>
      <c r="F32" s="73"/>
      <c r="G32" s="74"/>
      <c r="H32" s="40"/>
      <c r="I32" s="40"/>
      <c r="J32" s="42"/>
      <c r="K32" s="40"/>
      <c r="L32" s="40"/>
      <c r="M32" s="102"/>
    </row>
    <row r="33" spans="1:13" ht="14.1" customHeight="1" x14ac:dyDescent="0.3">
      <c r="A33" s="48">
        <v>16</v>
      </c>
      <c r="B33" s="65" t="s">
        <v>428</v>
      </c>
      <c r="C33" s="66"/>
      <c r="D33" s="75"/>
      <c r="E33" s="76"/>
      <c r="F33" s="76"/>
      <c r="G33" s="77"/>
      <c r="H33" s="54">
        <f>SUM(I33)-0.6</f>
        <v>8.8000000000000007</v>
      </c>
      <c r="I33" s="54">
        <f>SUM(J33)-0.6</f>
        <v>9.4</v>
      </c>
      <c r="J33" s="55">
        <v>10</v>
      </c>
      <c r="K33" s="54">
        <f>SUM(J33)+0.6</f>
        <v>10.6</v>
      </c>
      <c r="L33" s="54">
        <f>SUM(K33)+0.6</f>
        <v>11.2</v>
      </c>
      <c r="M33" s="101">
        <f>SUM(L33)+0.6</f>
        <v>11.799999999999999</v>
      </c>
    </row>
    <row r="34" spans="1:13" ht="14.1" customHeight="1" x14ac:dyDescent="0.3">
      <c r="A34" s="48"/>
      <c r="B34" s="70" t="s">
        <v>429</v>
      </c>
      <c r="C34" s="71"/>
      <c r="D34" s="72"/>
      <c r="E34" s="73"/>
      <c r="F34" s="73"/>
      <c r="G34" s="74"/>
      <c r="H34" s="40"/>
      <c r="I34" s="40"/>
      <c r="J34" s="42"/>
      <c r="K34" s="40"/>
      <c r="L34" s="40"/>
      <c r="M34" s="102"/>
    </row>
    <row r="35" spans="1:13" ht="14.1" customHeight="1" x14ac:dyDescent="0.3">
      <c r="A35" s="48">
        <v>17</v>
      </c>
      <c r="B35" s="65" t="s">
        <v>121</v>
      </c>
      <c r="C35" s="66"/>
      <c r="D35" s="75"/>
      <c r="E35" s="76"/>
      <c r="F35" s="76"/>
      <c r="G35" s="77"/>
      <c r="H35" s="54">
        <f>SUM(I35)-3</f>
        <v>33.5</v>
      </c>
      <c r="I35" s="54">
        <f>SUM(J35)-3</f>
        <v>36.5</v>
      </c>
      <c r="J35" s="55">
        <v>39.5</v>
      </c>
      <c r="K35" s="54">
        <f>SUM(J35)+3</f>
        <v>42.5</v>
      </c>
      <c r="L35" s="54">
        <f>SUM(K35)+3</f>
        <v>45.5</v>
      </c>
      <c r="M35" s="101">
        <f>SUM(L35)+3</f>
        <v>48.5</v>
      </c>
    </row>
    <row r="36" spans="1:13" ht="14.1" customHeight="1" x14ac:dyDescent="0.3">
      <c r="A36" s="48"/>
      <c r="B36" s="70" t="s">
        <v>154</v>
      </c>
      <c r="C36" s="71"/>
      <c r="D36" s="72"/>
      <c r="E36" s="73"/>
      <c r="F36" s="73"/>
      <c r="G36" s="74"/>
      <c r="H36" s="40"/>
      <c r="I36" s="40"/>
      <c r="J36" s="42"/>
      <c r="K36" s="40"/>
      <c r="L36" s="40"/>
      <c r="M36" s="102"/>
    </row>
    <row r="37" spans="1:13" ht="14.1" customHeight="1" x14ac:dyDescent="0.3">
      <c r="A37" s="48">
        <v>18</v>
      </c>
      <c r="B37" s="79"/>
      <c r="C37" s="80"/>
      <c r="D37" s="75"/>
      <c r="E37" s="76"/>
      <c r="F37" s="76"/>
      <c r="G37" s="77"/>
      <c r="H37" s="54"/>
      <c r="I37" s="54"/>
      <c r="J37" s="55"/>
      <c r="K37" s="54"/>
      <c r="L37" s="54"/>
      <c r="M37" s="101">
        <f>SUM(L37)+0.7</f>
        <v>0.7</v>
      </c>
    </row>
    <row r="38" spans="1:13" ht="14.1" customHeight="1" thickBot="1" x14ac:dyDescent="0.35">
      <c r="A38" s="87"/>
      <c r="B38" s="96"/>
      <c r="C38" s="97"/>
      <c r="D38" s="109"/>
      <c r="E38" s="110"/>
      <c r="F38" s="110"/>
      <c r="G38" s="111"/>
      <c r="H38" s="91"/>
      <c r="I38" s="91"/>
      <c r="J38" s="107"/>
      <c r="K38" s="91"/>
      <c r="L38" s="91"/>
      <c r="M38" s="108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3:A14"/>
    <mergeCell ref="B13:C13"/>
    <mergeCell ref="D13:G13"/>
    <mergeCell ref="H13:H14"/>
    <mergeCell ref="I13:I14"/>
    <mergeCell ref="A15:A16"/>
    <mergeCell ref="J17:J18"/>
    <mergeCell ref="K17:K18"/>
    <mergeCell ref="L17:L18"/>
    <mergeCell ref="M17:M18"/>
    <mergeCell ref="B18:C18"/>
    <mergeCell ref="D18:G18"/>
    <mergeCell ref="K13:K14"/>
    <mergeCell ref="L13:L14"/>
    <mergeCell ref="M13:M14"/>
    <mergeCell ref="B14:C14"/>
    <mergeCell ref="D14:G14"/>
    <mergeCell ref="J13:J14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A37:A38"/>
    <mergeCell ref="B37:C37"/>
    <mergeCell ref="D37:G37"/>
    <mergeCell ref="H37:H38"/>
    <mergeCell ref="I37:I38"/>
    <mergeCell ref="B36:C36"/>
    <mergeCell ref="D36:G36"/>
    <mergeCell ref="B32:C32"/>
    <mergeCell ref="D32:G32"/>
    <mergeCell ref="A35:A36"/>
    <mergeCell ref="B35:C35"/>
    <mergeCell ref="D35:G35"/>
    <mergeCell ref="H35:H36"/>
    <mergeCell ref="I35:I36"/>
    <mergeCell ref="A31:A32"/>
    <mergeCell ref="B31:C31"/>
    <mergeCell ref="D31:G31"/>
    <mergeCell ref="H31:H32"/>
    <mergeCell ref="I31:I32"/>
    <mergeCell ref="B34:C34"/>
    <mergeCell ref="D34:G34"/>
    <mergeCell ref="A33:A34"/>
    <mergeCell ref="B33:C33"/>
    <mergeCell ref="D33:G33"/>
    <mergeCell ref="K37:K38"/>
    <mergeCell ref="L37:L38"/>
    <mergeCell ref="M37:M38"/>
    <mergeCell ref="B38:C38"/>
    <mergeCell ref="D38:G38"/>
    <mergeCell ref="J37:J38"/>
    <mergeCell ref="J35:J36"/>
    <mergeCell ref="K35:K36"/>
    <mergeCell ref="L35:L36"/>
    <mergeCell ref="M35:M36"/>
    <mergeCell ref="H33:H34"/>
    <mergeCell ref="I33:I34"/>
    <mergeCell ref="J33:J34"/>
    <mergeCell ref="K31:K32"/>
    <mergeCell ref="L31:L32"/>
    <mergeCell ref="M31:M32"/>
    <mergeCell ref="J31:J32"/>
    <mergeCell ref="J29:J30"/>
    <mergeCell ref="K29:K30"/>
    <mergeCell ref="L29:L30"/>
    <mergeCell ref="M29:M30"/>
    <mergeCell ref="K33:K34"/>
    <mergeCell ref="L33:L34"/>
    <mergeCell ref="M33:M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A99A-B1E8-4784-807E-05D5CC9C8A02}">
  <sheetPr>
    <tabColor rgb="FFFF0000"/>
    <pageSetUpPr fitToPage="1"/>
  </sheetPr>
  <dimension ref="A1:M51"/>
  <sheetViews>
    <sheetView zoomScale="110" zoomScaleNormal="110" workbookViewId="0">
      <selection activeCell="H3" sqref="H3:H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SUM(I3)-5</f>
        <v>54.5</v>
      </c>
      <c r="I3" s="54">
        <f>SUM(J3)-5</f>
        <v>59.5</v>
      </c>
      <c r="J3" s="55">
        <v>64.5</v>
      </c>
      <c r="K3" s="54">
        <f>SUM(J3)+5</f>
        <v>69.5</v>
      </c>
      <c r="L3" s="54">
        <f>SUM(K3)+5</f>
        <v>74.5</v>
      </c>
      <c r="M3" s="101">
        <f>SUM(L3)+5</f>
        <v>79.5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21.799999999999997</v>
      </c>
      <c r="I5" s="54">
        <f>SUM(J5)-1.6</f>
        <v>23.4</v>
      </c>
      <c r="J5" s="55">
        <v>25</v>
      </c>
      <c r="K5" s="54">
        <f>SUM(J5)+1.4</f>
        <v>26.4</v>
      </c>
      <c r="L5" s="54">
        <f>SUM(K5)+1.4</f>
        <v>27.799999999999997</v>
      </c>
      <c r="M5" s="101">
        <f>SUM(L5)+1.4</f>
        <v>29.199999999999996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101">
        <f>SUM(L7)+2</f>
        <v>40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SUM(I9)-2.1</f>
        <v>27.299999999999997</v>
      </c>
      <c r="I9" s="54">
        <f>SUM(J9)-2.1</f>
        <v>29.4</v>
      </c>
      <c r="J9" s="55">
        <v>31.5</v>
      </c>
      <c r="K9" s="54">
        <f>SUM(J9)+1.9</f>
        <v>33.4</v>
      </c>
      <c r="L9" s="54">
        <f>SUM(K9)+1.9</f>
        <v>35.299999999999997</v>
      </c>
      <c r="M9" s="101">
        <f>SUM(L9)+1.9</f>
        <v>37.199999999999996</v>
      </c>
    </row>
    <row r="10" spans="1:13" s="1" customFormat="1" ht="14.1" customHeight="1" x14ac:dyDescent="0.3">
      <c r="A10" s="48"/>
      <c r="B10" s="45" t="s">
        <v>269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15</v>
      </c>
      <c r="I11" s="54">
        <f>SUM(J11)-0.9</f>
        <v>15.9</v>
      </c>
      <c r="J11" s="67">
        <v>16.8</v>
      </c>
      <c r="K11" s="68">
        <f>SUM(J11)+0.9</f>
        <v>17.7</v>
      </c>
      <c r="L11" s="68">
        <f>SUM(K11)+0.9</f>
        <v>18.599999999999998</v>
      </c>
      <c r="M11" s="94">
        <f>SUM(L11)+0.9</f>
        <v>19.499999999999996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</v>
      </c>
      <c r="I13" s="54">
        <f>SUM(J13)-0.6</f>
        <v>15.6</v>
      </c>
      <c r="J13" s="67">
        <v>16.2</v>
      </c>
      <c r="K13" s="68">
        <f>SUM(J13)+0.6</f>
        <v>16.8</v>
      </c>
      <c r="L13" s="68">
        <f>SUM(K13)+0.6</f>
        <v>17.400000000000002</v>
      </c>
      <c r="M13" s="94">
        <f>SUM(L13)+0.6</f>
        <v>18.000000000000004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357</v>
      </c>
      <c r="C15" s="60"/>
      <c r="D15" s="61" t="s">
        <v>359</v>
      </c>
      <c r="E15" s="61"/>
      <c r="F15" s="61"/>
      <c r="G15" s="61"/>
      <c r="H15" s="54">
        <f>SUM(I15)-0.6</f>
        <v>15.3</v>
      </c>
      <c r="I15" s="54">
        <f>SUM(J15)-0.6</f>
        <v>15.9</v>
      </c>
      <c r="J15" s="67">
        <v>16.5</v>
      </c>
      <c r="K15" s="68">
        <f>SUM(J15)+0.6</f>
        <v>17.100000000000001</v>
      </c>
      <c r="L15" s="68">
        <f>SUM(K15)+0.6</f>
        <v>17.700000000000003</v>
      </c>
      <c r="M15" s="94">
        <f>SUM(L15)+0.6</f>
        <v>18.300000000000004</v>
      </c>
    </row>
    <row r="16" spans="1:13" s="1" customFormat="1" ht="14.1" customHeight="1" x14ac:dyDescent="0.3">
      <c r="A16" s="48"/>
      <c r="B16" s="45" t="s">
        <v>358</v>
      </c>
      <c r="C16" s="45"/>
      <c r="D16" s="46" t="s">
        <v>621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5</v>
      </c>
      <c r="I17" s="54">
        <f>SUM(J17)-0.3</f>
        <v>5.3</v>
      </c>
      <c r="J17" s="67">
        <v>5.6</v>
      </c>
      <c r="K17" s="68">
        <f>SUM(J17)+0.3</f>
        <v>5.8999999999999995</v>
      </c>
      <c r="L17" s="68">
        <f>SUM(K17)+0.3</f>
        <v>6.1999999999999993</v>
      </c>
      <c r="M17" s="94">
        <f>SUM(L17)+0.3</f>
        <v>6.4999999999999991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47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11.600000000000001</v>
      </c>
      <c r="I19" s="54">
        <f>SUM(J19)-1.2</f>
        <v>12.8</v>
      </c>
      <c r="J19" s="55">
        <v>14</v>
      </c>
      <c r="K19" s="54">
        <f>SUM(J19)+1.3</f>
        <v>15.3</v>
      </c>
      <c r="L19" s="54">
        <f>SUM(K19)+1.3</f>
        <v>16.600000000000001</v>
      </c>
      <c r="M19" s="101">
        <f>SUM(L19)+1.3</f>
        <v>17.900000000000002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5" t="s">
        <v>148</v>
      </c>
      <c r="C23" s="66"/>
      <c r="D23" s="61" t="s">
        <v>68</v>
      </c>
      <c r="E23" s="61"/>
      <c r="F23" s="61"/>
      <c r="G23" s="61"/>
      <c r="H23" s="54">
        <f>SUM(I23)-1.2</f>
        <v>21.6</v>
      </c>
      <c r="I23" s="54">
        <f>SUM(J23)-1.2</f>
        <v>22.8</v>
      </c>
      <c r="J23" s="67">
        <v>24</v>
      </c>
      <c r="K23" s="68">
        <f>SUM(J23)+1.2</f>
        <v>25.2</v>
      </c>
      <c r="L23" s="68">
        <f>SUM(K23)+1.2</f>
        <v>26.4</v>
      </c>
      <c r="M23" s="94">
        <f>SUM(L23)+1.2</f>
        <v>27.599999999999998</v>
      </c>
    </row>
    <row r="24" spans="1:13" s="1" customFormat="1" ht="14.1" customHeight="1" x14ac:dyDescent="0.3">
      <c r="A24" s="48"/>
      <c r="B24" s="45" t="s">
        <v>220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622</v>
      </c>
      <c r="C25" s="66"/>
      <c r="D25" s="88"/>
      <c r="E25" s="89"/>
      <c r="F25" s="89"/>
      <c r="G25" s="90"/>
      <c r="H25" s="54">
        <f>SUM(I25)-0.2</f>
        <v>3.0999999999999996</v>
      </c>
      <c r="I25" s="54">
        <f>SUM(J25)-0.2</f>
        <v>3.3</v>
      </c>
      <c r="J25" s="67">
        <v>3.5</v>
      </c>
      <c r="K25" s="68">
        <f>SUM(J25)+0.2</f>
        <v>3.7</v>
      </c>
      <c r="L25" s="68">
        <f>SUM(K25)+0.2</f>
        <v>3.9000000000000004</v>
      </c>
      <c r="M25" s="94">
        <f>SUM(L25)+0.2</f>
        <v>4.1000000000000005</v>
      </c>
    </row>
    <row r="26" spans="1:13" s="1" customFormat="1" ht="14.1" customHeight="1" x14ac:dyDescent="0.3">
      <c r="A26" s="78"/>
      <c r="B26" s="79" t="s">
        <v>623</v>
      </c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101"/>
    </row>
    <row r="27" spans="1:13" ht="14.1" customHeight="1" x14ac:dyDescent="0.3">
      <c r="A27" s="48">
        <v>13</v>
      </c>
      <c r="B27" s="65" t="s">
        <v>395</v>
      </c>
      <c r="C27" s="66"/>
      <c r="D27" s="88"/>
      <c r="E27" s="89"/>
      <c r="F27" s="89"/>
      <c r="G27" s="90"/>
      <c r="H27" s="54">
        <f>SUM(I27)-3</f>
        <v>34</v>
      </c>
      <c r="I27" s="54">
        <f>SUM(J27)-3</f>
        <v>37</v>
      </c>
      <c r="J27" s="67">
        <v>40</v>
      </c>
      <c r="K27" s="68">
        <f>SUM(J27)+3</f>
        <v>43</v>
      </c>
      <c r="L27" s="68">
        <f>SUM(K27)+3</f>
        <v>46</v>
      </c>
      <c r="M27" s="94">
        <f>SUM(L27)+3</f>
        <v>49</v>
      </c>
    </row>
    <row r="28" spans="1:13" ht="14.1" customHeight="1" x14ac:dyDescent="0.3">
      <c r="A28" s="78"/>
      <c r="B28" s="79" t="s">
        <v>396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 t="s">
        <v>293</v>
      </c>
      <c r="C29" s="66"/>
      <c r="D29" s="88"/>
      <c r="E29" s="89"/>
      <c r="F29" s="89"/>
      <c r="G29" s="90"/>
      <c r="H29" s="54">
        <f>SUM(I29)-1.9</f>
        <v>13.2</v>
      </c>
      <c r="I29" s="54">
        <f>SUM(J29)-1.9</f>
        <v>15.1</v>
      </c>
      <c r="J29" s="67">
        <v>17</v>
      </c>
      <c r="K29" s="68">
        <f>SUM(J29)+1.9</f>
        <v>18.899999999999999</v>
      </c>
      <c r="L29" s="68">
        <f>SUM(K29)+1.9</f>
        <v>20.799999999999997</v>
      </c>
      <c r="M29" s="94">
        <f>SUM(L29)+1.9</f>
        <v>22.699999999999996</v>
      </c>
    </row>
    <row r="30" spans="1:13" ht="14.1" customHeight="1" x14ac:dyDescent="0.3">
      <c r="A30" s="78"/>
      <c r="B30" s="79" t="s">
        <v>366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94"/>
    </row>
    <row r="32" spans="1:13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95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B30:C30"/>
    <mergeCell ref="D30:G30"/>
    <mergeCell ref="A1:M1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672C-BE1E-4445-97DD-B0EF564A4E30}">
  <sheetPr>
    <tabColor rgb="FFFF0000"/>
    <pageSetUpPr fitToPage="1"/>
  </sheetPr>
  <dimension ref="A1:M51"/>
  <sheetViews>
    <sheetView zoomScale="110" zoomScaleNormal="110" workbookViewId="0">
      <selection activeCell="P22" sqref="P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SUM(I3)-4.9</f>
        <v>51.800000000000004</v>
      </c>
      <c r="I3" s="54">
        <f>SUM(J3)-4.9</f>
        <v>56.7</v>
      </c>
      <c r="J3" s="55">
        <v>61.6</v>
      </c>
      <c r="K3" s="54">
        <f>SUM(J3)+4.9</f>
        <v>66.5</v>
      </c>
      <c r="L3" s="54">
        <f>SUM(K3)+4.9</f>
        <v>71.400000000000006</v>
      </c>
      <c r="M3" s="101">
        <f>SUM(L3)+4.9</f>
        <v>76.300000000000011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20.599999999999998</v>
      </c>
      <c r="I5" s="54">
        <f>SUM(J5)-1.6</f>
        <v>22.2</v>
      </c>
      <c r="J5" s="55">
        <v>23.8</v>
      </c>
      <c r="K5" s="54">
        <f>SUM(J5)+1.4</f>
        <v>25.2</v>
      </c>
      <c r="L5" s="54">
        <f>SUM(K5)+1.4</f>
        <v>26.599999999999998</v>
      </c>
      <c r="M5" s="101">
        <f>SUM(L5)+1.4</f>
        <v>27.999999999999996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</v>
      </c>
      <c r="I7" s="54">
        <f>SUM(J7)-2.25</f>
        <v>32.25</v>
      </c>
      <c r="J7" s="55">
        <v>34.5</v>
      </c>
      <c r="K7" s="54">
        <f>SUM(J7)+2</f>
        <v>36.5</v>
      </c>
      <c r="L7" s="54">
        <f>SUM(K7)+2</f>
        <v>38.5</v>
      </c>
      <c r="M7" s="101">
        <f>SUM(L7)+2</f>
        <v>40.5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SUM(I9)-2.1</f>
        <v>27.799999999999997</v>
      </c>
      <c r="I9" s="54">
        <f>SUM(J9)-2.1</f>
        <v>29.9</v>
      </c>
      <c r="J9" s="55">
        <v>32</v>
      </c>
      <c r="K9" s="54">
        <f>SUM(J9)+1.9</f>
        <v>33.9</v>
      </c>
      <c r="L9" s="54">
        <f>SUM(K9)+1.9</f>
        <v>35.799999999999997</v>
      </c>
      <c r="M9" s="101">
        <f>SUM(L9)+1.9</f>
        <v>37.699999999999996</v>
      </c>
    </row>
    <row r="10" spans="1:13" s="1" customFormat="1" ht="14.1" customHeight="1" x14ac:dyDescent="0.3">
      <c r="A10" s="48"/>
      <c r="B10" s="45" t="s">
        <v>269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14.399999999999999</v>
      </c>
      <c r="I11" s="54">
        <f>SUM(J11)-0.9</f>
        <v>15.299999999999999</v>
      </c>
      <c r="J11" s="67">
        <v>16.2</v>
      </c>
      <c r="K11" s="68">
        <f>SUM(J11)+0.9</f>
        <v>17.099999999999998</v>
      </c>
      <c r="L11" s="68">
        <f>SUM(K11)+0.9</f>
        <v>17.999999999999996</v>
      </c>
      <c r="M11" s="94">
        <f>SUM(L11)+0.9</f>
        <v>18.899999999999995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12.8</v>
      </c>
      <c r="I13" s="54">
        <f>SUM(J13)-0.6</f>
        <v>13.4</v>
      </c>
      <c r="J13" s="67">
        <v>14</v>
      </c>
      <c r="K13" s="68">
        <f>SUM(J13)+0.6</f>
        <v>14.6</v>
      </c>
      <c r="L13" s="68">
        <f>SUM(K13)+0.6</f>
        <v>15.2</v>
      </c>
      <c r="M13" s="94">
        <f>SUM(L13)+0.6</f>
        <v>15.799999999999999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</v>
      </c>
      <c r="I15" s="54">
        <f>SUM(J15)-0.3</f>
        <v>6.3</v>
      </c>
      <c r="J15" s="67">
        <v>6.6</v>
      </c>
      <c r="K15" s="68">
        <f>SUM(J15)+0.3</f>
        <v>6.8999999999999995</v>
      </c>
      <c r="L15" s="68">
        <f>SUM(K15)+0.3</f>
        <v>7.1999999999999993</v>
      </c>
      <c r="M15" s="94">
        <f>SUM(L15)+0.3</f>
        <v>7.4999999999999991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47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34</v>
      </c>
      <c r="I17" s="54">
        <f>SUM(J17)-1.6</f>
        <v>35.6</v>
      </c>
      <c r="J17" s="67">
        <v>37.200000000000003</v>
      </c>
      <c r="K17" s="68">
        <f>SUM(J17)+1.6</f>
        <v>38.800000000000004</v>
      </c>
      <c r="L17" s="68">
        <f>SUM(K17)+1.6</f>
        <v>40.400000000000006</v>
      </c>
      <c r="M17" s="94">
        <f>SUM(L17)+1.6</f>
        <v>42.000000000000007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 t="s">
        <v>650</v>
      </c>
      <c r="C19" s="60"/>
      <c r="D19" s="61"/>
      <c r="E19" s="61"/>
      <c r="F19" s="61"/>
      <c r="G19" s="61"/>
      <c r="H19" s="54">
        <f>SUM(I19)-0.4</f>
        <v>5.1999999999999993</v>
      </c>
      <c r="I19" s="54">
        <f>SUM(J19)-0.4</f>
        <v>5.6</v>
      </c>
      <c r="J19" s="55">
        <v>6</v>
      </c>
      <c r="K19" s="54">
        <f>SUM(J19)+0.4</f>
        <v>6.4</v>
      </c>
      <c r="L19" s="54">
        <f>SUM(K19)+0.4</f>
        <v>6.8000000000000007</v>
      </c>
      <c r="M19" s="101">
        <f>SUM(L19)+0.4</f>
        <v>7.2000000000000011</v>
      </c>
    </row>
    <row r="20" spans="1:13" s="1" customFormat="1" ht="14.1" customHeight="1" x14ac:dyDescent="0.3">
      <c r="A20" s="48"/>
      <c r="B20" s="45" t="s">
        <v>651</v>
      </c>
      <c r="C20" s="45"/>
      <c r="D20" s="46" t="s">
        <v>379</v>
      </c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395</v>
      </c>
      <c r="C25" s="66"/>
      <c r="D25" s="88"/>
      <c r="E25" s="89"/>
      <c r="F25" s="89"/>
      <c r="G25" s="90"/>
      <c r="H25" s="54">
        <f>SUM(I25)-3</f>
        <v>33</v>
      </c>
      <c r="I25" s="54">
        <f>SUM(J25)-3</f>
        <v>36</v>
      </c>
      <c r="J25" s="67">
        <v>39</v>
      </c>
      <c r="K25" s="68">
        <f>SUM(J25)+3</f>
        <v>42</v>
      </c>
      <c r="L25" s="68">
        <f>SUM(K25)+3</f>
        <v>45</v>
      </c>
      <c r="M25" s="94">
        <f>SUM(L25)+3</f>
        <v>48</v>
      </c>
    </row>
    <row r="26" spans="1:13" s="1" customFormat="1" ht="14.1" customHeight="1" x14ac:dyDescent="0.3">
      <c r="A26" s="78"/>
      <c r="B26" s="79" t="s">
        <v>396</v>
      </c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101"/>
    </row>
    <row r="27" spans="1:13" ht="14.1" customHeight="1" x14ac:dyDescent="0.3">
      <c r="A27" s="48">
        <v>13</v>
      </c>
      <c r="B27" s="65" t="s">
        <v>293</v>
      </c>
      <c r="C27" s="66"/>
      <c r="D27" s="88"/>
      <c r="E27" s="89"/>
      <c r="F27" s="89"/>
      <c r="G27" s="90"/>
      <c r="H27" s="54">
        <f>SUM(I27)-2.4</f>
        <v>27.200000000000003</v>
      </c>
      <c r="I27" s="54">
        <f>SUM(J27)-2.4</f>
        <v>29.6</v>
      </c>
      <c r="J27" s="67">
        <v>32</v>
      </c>
      <c r="K27" s="68">
        <f>SUM(J27)+2.4</f>
        <v>34.4</v>
      </c>
      <c r="L27" s="68">
        <f>SUM(K27)+2.4</f>
        <v>36.799999999999997</v>
      </c>
      <c r="M27" s="94">
        <f>SUM(L27)+2.4</f>
        <v>39.199999999999996</v>
      </c>
    </row>
    <row r="28" spans="1:13" ht="14.1" customHeight="1" x14ac:dyDescent="0.3">
      <c r="A28" s="78"/>
      <c r="B28" s="79" t="s">
        <v>366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94"/>
    </row>
    <row r="30" spans="1:13" ht="14.1" customHeight="1" x14ac:dyDescent="0.3">
      <c r="A30" s="78"/>
      <c r="B30" s="79"/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94"/>
    </row>
    <row r="32" spans="1:13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95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A773-220F-4B76-9F2D-F44A4F873451}">
  <sheetPr>
    <tabColor rgb="FFFF0000"/>
    <pageSetUpPr fitToPage="1"/>
  </sheetPr>
  <dimension ref="A1:N49"/>
  <sheetViews>
    <sheetView zoomScale="110" zoomScaleNormal="110" workbookViewId="0">
      <selection activeCell="P21" sqref="P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9.625" customWidth="1"/>
    <col min="8" max="13" width="5.5" customWidth="1"/>
  </cols>
  <sheetData>
    <row r="1" spans="1:13" ht="16.5" customHeight="1" thickBot="1" x14ac:dyDescent="0.35">
      <c r="A1" s="30" t="s">
        <v>597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/>
      <c r="E3" s="37"/>
      <c r="F3" s="37"/>
      <c r="G3" s="38"/>
      <c r="H3" s="39">
        <f>SUM(I3)-4</f>
        <v>46</v>
      </c>
      <c r="I3" s="39">
        <f>SUM(J3)-4</f>
        <v>50</v>
      </c>
      <c r="J3" s="41">
        <v>54</v>
      </c>
      <c r="K3" s="39">
        <f>SUM(J3)+4</f>
        <v>58</v>
      </c>
      <c r="L3" s="39">
        <f>SUM(K3)+4</f>
        <v>62</v>
      </c>
      <c r="M3" s="120">
        <f>SUM(L3)+4</f>
        <v>66</v>
      </c>
    </row>
    <row r="4" spans="1:13" s="1" customFormat="1" ht="14.1" customHeight="1" x14ac:dyDescent="0.3">
      <c r="A4" s="35"/>
      <c r="B4" s="45" t="s">
        <v>422</v>
      </c>
      <c r="C4" s="45"/>
      <c r="D4" s="46" t="s">
        <v>421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598</v>
      </c>
      <c r="C5" s="60"/>
      <c r="D5" s="61"/>
      <c r="E5" s="61"/>
      <c r="F5" s="61"/>
      <c r="G5" s="61"/>
      <c r="H5" s="54">
        <f>SUM(I5)-0.8</f>
        <v>9.3999999999999986</v>
      </c>
      <c r="I5" s="54">
        <f>SUM(J5)-0.8</f>
        <v>10.199999999999999</v>
      </c>
      <c r="J5" s="55">
        <v>11</v>
      </c>
      <c r="K5" s="54">
        <f>SUM(J5)+0.8</f>
        <v>11.8</v>
      </c>
      <c r="L5" s="54">
        <f>SUM(K5)+0.8</f>
        <v>12.600000000000001</v>
      </c>
      <c r="M5" s="101">
        <f>SUM(L5)+0.8</f>
        <v>13.400000000000002</v>
      </c>
    </row>
    <row r="6" spans="1:13" s="1" customFormat="1" ht="14.1" customHeight="1" x14ac:dyDescent="0.3">
      <c r="A6" s="48"/>
      <c r="B6" s="45" t="s">
        <v>599</v>
      </c>
      <c r="C6" s="45"/>
      <c r="D6" s="46" t="s">
        <v>600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210</v>
      </c>
      <c r="C7" s="60"/>
      <c r="D7" s="61"/>
      <c r="E7" s="61"/>
      <c r="F7" s="61"/>
      <c r="G7" s="61"/>
      <c r="H7" s="54">
        <f>SUM(I7)-2</f>
        <v>24</v>
      </c>
      <c r="I7" s="54">
        <f>SUM(J7)-2</f>
        <v>26</v>
      </c>
      <c r="J7" s="55">
        <v>28</v>
      </c>
      <c r="K7" s="54">
        <f>SUM(J7)+2</f>
        <v>30</v>
      </c>
      <c r="L7" s="54">
        <f>SUM(K7)+2</f>
        <v>32</v>
      </c>
      <c r="M7" s="101">
        <f>SUM(L7)+2</f>
        <v>34</v>
      </c>
    </row>
    <row r="8" spans="1:13" s="1" customFormat="1" ht="14.1" customHeight="1" x14ac:dyDescent="0.3">
      <c r="A8" s="48"/>
      <c r="B8" s="45" t="s">
        <v>261</v>
      </c>
      <c r="C8" s="45"/>
      <c r="D8" s="46" t="s">
        <v>601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35</v>
      </c>
      <c r="C9" s="60"/>
      <c r="D9" s="61"/>
      <c r="E9" s="61"/>
      <c r="F9" s="61"/>
      <c r="G9" s="61"/>
      <c r="H9" s="54">
        <f>SUM(I9)-2.25</f>
        <v>25.5</v>
      </c>
      <c r="I9" s="54">
        <f>SUM(J9)-2.25</f>
        <v>27.75</v>
      </c>
      <c r="J9" s="55">
        <v>30</v>
      </c>
      <c r="K9" s="54">
        <f>SUM(J9)+2</f>
        <v>32</v>
      </c>
      <c r="L9" s="54">
        <f>SUM(K9)+2</f>
        <v>34</v>
      </c>
      <c r="M9" s="101">
        <f>SUM(L9)+2</f>
        <v>36</v>
      </c>
    </row>
    <row r="10" spans="1:13" s="1" customFormat="1" ht="14.1" customHeight="1" x14ac:dyDescent="0.3">
      <c r="A10" s="48"/>
      <c r="B10" s="45" t="s">
        <v>40</v>
      </c>
      <c r="C10" s="45"/>
      <c r="D10" s="46" t="s">
        <v>602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268</v>
      </c>
      <c r="C11" s="60"/>
      <c r="D11" s="61"/>
      <c r="E11" s="61"/>
      <c r="F11" s="61"/>
      <c r="G11" s="61"/>
      <c r="H11" s="54">
        <f>SUM(I11)-2.25</f>
        <v>25.5</v>
      </c>
      <c r="I11" s="54">
        <f>SUM(J11)-2.25</f>
        <v>27.75</v>
      </c>
      <c r="J11" s="55">
        <v>30</v>
      </c>
      <c r="K11" s="54">
        <f>SUM(J11)+2</f>
        <v>32</v>
      </c>
      <c r="L11" s="54">
        <f>SUM(K11)+2</f>
        <v>34</v>
      </c>
      <c r="M11" s="101">
        <f>SUM(L11)+2</f>
        <v>36</v>
      </c>
    </row>
    <row r="12" spans="1:13" s="1" customFormat="1" ht="14.1" customHeight="1" x14ac:dyDescent="0.3">
      <c r="A12" s="48"/>
      <c r="B12" s="45" t="s">
        <v>269</v>
      </c>
      <c r="C12" s="45"/>
      <c r="D12" s="46" t="s">
        <v>602</v>
      </c>
      <c r="E12" s="47"/>
      <c r="F12" s="47"/>
      <c r="G12" s="59"/>
      <c r="H12" s="40"/>
      <c r="I12" s="40"/>
      <c r="J12" s="42"/>
      <c r="K12" s="40"/>
      <c r="L12" s="40"/>
      <c r="M12" s="102"/>
    </row>
    <row r="13" spans="1:13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54"/>
      <c r="I13" s="54"/>
      <c r="J13" s="67"/>
      <c r="K13" s="68"/>
      <c r="L13" s="68"/>
      <c r="M13" s="94"/>
    </row>
    <row r="14" spans="1:13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/>
      <c r="I15" s="54"/>
      <c r="J15" s="67"/>
      <c r="K15" s="68"/>
      <c r="L15" s="68"/>
      <c r="M15" s="94"/>
    </row>
    <row r="16" spans="1:13" s="1" customFormat="1" ht="14.1" customHeight="1" x14ac:dyDescent="0.3">
      <c r="A16" s="48"/>
      <c r="B16" s="45" t="s">
        <v>27</v>
      </c>
      <c r="C16" s="45"/>
      <c r="D16" s="46" t="s">
        <v>195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4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/>
      <c r="I17" s="54"/>
      <c r="J17" s="67"/>
      <c r="K17" s="68"/>
      <c r="L17" s="68"/>
      <c r="M17" s="94"/>
    </row>
    <row r="18" spans="1:14" s="1" customFormat="1" ht="14.1" customHeight="1" x14ac:dyDescent="0.3">
      <c r="A18" s="48"/>
      <c r="B18" s="45" t="s">
        <v>28</v>
      </c>
      <c r="C18" s="45"/>
      <c r="D18" s="46" t="s">
        <v>196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4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/>
      <c r="I19" s="54"/>
      <c r="J19" s="67"/>
      <c r="K19" s="68"/>
      <c r="L19" s="68"/>
      <c r="M19" s="94"/>
    </row>
    <row r="20" spans="1:14" s="1" customFormat="1" ht="14.1" customHeight="1" x14ac:dyDescent="0.3">
      <c r="A20" s="48"/>
      <c r="B20" s="45" t="s">
        <v>33</v>
      </c>
      <c r="C20" s="45"/>
      <c r="D20" s="46" t="s">
        <v>86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4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/>
      <c r="I21" s="54"/>
      <c r="J21" s="67"/>
      <c r="K21" s="68"/>
      <c r="L21" s="68"/>
      <c r="M21" s="94"/>
    </row>
    <row r="22" spans="1:14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4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94"/>
    </row>
    <row r="24" spans="1:14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4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/>
      <c r="I25" s="54"/>
      <c r="J25" s="67"/>
      <c r="K25" s="68"/>
      <c r="L25" s="68"/>
      <c r="M25" s="94"/>
    </row>
    <row r="26" spans="1:14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4" s="1" customFormat="1" ht="14.1" customHeight="1" x14ac:dyDescent="0.3">
      <c r="A27" s="48">
        <v>13</v>
      </c>
      <c r="B27" s="65" t="s">
        <v>121</v>
      </c>
      <c r="C27" s="66"/>
      <c r="D27" s="75"/>
      <c r="E27" s="76"/>
      <c r="F27" s="76"/>
      <c r="G27" s="77"/>
      <c r="H27" s="54">
        <f>SUM(I27)-3.2</f>
        <v>36.599999999999994</v>
      </c>
      <c r="I27" s="54">
        <f>SUM(J27)-3.2</f>
        <v>39.799999999999997</v>
      </c>
      <c r="J27" s="55">
        <v>43</v>
      </c>
      <c r="K27" s="54">
        <f>SUM(J27)+3.2</f>
        <v>46.2</v>
      </c>
      <c r="L27" s="54">
        <f>SUM(K27)+3.2</f>
        <v>49.400000000000006</v>
      </c>
      <c r="M27" s="101">
        <f>SUM(L27)+3.2</f>
        <v>52.600000000000009</v>
      </c>
    </row>
    <row r="28" spans="1:14" s="1" customFormat="1" ht="14.1" customHeight="1" x14ac:dyDescent="0.3">
      <c r="A28" s="48"/>
      <c r="B28" s="70" t="s">
        <v>154</v>
      </c>
      <c r="C28" s="71"/>
      <c r="D28" s="72"/>
      <c r="E28" s="73"/>
      <c r="F28" s="73"/>
      <c r="G28" s="74"/>
      <c r="H28" s="40"/>
      <c r="I28" s="40"/>
      <c r="J28" s="42"/>
      <c r="K28" s="40"/>
      <c r="L28" s="40"/>
      <c r="M28" s="102"/>
    </row>
    <row r="29" spans="1:14" ht="14.1" customHeight="1" x14ac:dyDescent="0.3">
      <c r="A29" s="48">
        <v>14</v>
      </c>
      <c r="B29" s="65"/>
      <c r="C29" s="66"/>
      <c r="D29" s="75"/>
      <c r="E29" s="76"/>
      <c r="F29" s="76"/>
      <c r="G29" s="77"/>
      <c r="H29" s="54"/>
      <c r="I29" s="54"/>
      <c r="J29" s="55"/>
      <c r="K29" s="54"/>
      <c r="L29" s="54"/>
      <c r="M29" s="101"/>
      <c r="N29" s="1"/>
    </row>
    <row r="30" spans="1:14" ht="14.1" customHeight="1" x14ac:dyDescent="0.3">
      <c r="A30" s="48"/>
      <c r="B30" s="70"/>
      <c r="C30" s="71"/>
      <c r="D30" s="72"/>
      <c r="E30" s="73"/>
      <c r="F30" s="73"/>
      <c r="G30" s="74"/>
      <c r="H30" s="40"/>
      <c r="I30" s="40"/>
      <c r="J30" s="42"/>
      <c r="K30" s="40"/>
      <c r="L30" s="40"/>
      <c r="M30" s="102"/>
      <c r="N30" s="1"/>
    </row>
    <row r="31" spans="1:14" ht="14.1" customHeight="1" x14ac:dyDescent="0.3">
      <c r="A31" s="48">
        <v>15</v>
      </c>
      <c r="B31" s="65"/>
      <c r="C31" s="66"/>
      <c r="D31" s="75"/>
      <c r="E31" s="76"/>
      <c r="F31" s="76"/>
      <c r="G31" s="77"/>
      <c r="H31" s="54"/>
      <c r="I31" s="54"/>
      <c r="J31" s="55"/>
      <c r="K31" s="54"/>
      <c r="L31" s="54"/>
      <c r="M31" s="101"/>
    </row>
    <row r="32" spans="1:14" ht="14.1" customHeight="1" x14ac:dyDescent="0.3">
      <c r="A32" s="48"/>
      <c r="B32" s="70"/>
      <c r="C32" s="71"/>
      <c r="D32" s="72"/>
      <c r="E32" s="73"/>
      <c r="F32" s="73"/>
      <c r="G32" s="74"/>
      <c r="H32" s="40"/>
      <c r="I32" s="40"/>
      <c r="J32" s="42"/>
      <c r="K32" s="40"/>
      <c r="L32" s="40"/>
      <c r="M32" s="102"/>
    </row>
    <row r="33" spans="1:13" ht="14.1" customHeight="1" x14ac:dyDescent="0.3">
      <c r="A33" s="48">
        <v>16</v>
      </c>
      <c r="B33" s="79"/>
      <c r="C33" s="80"/>
      <c r="D33" s="75"/>
      <c r="E33" s="76"/>
      <c r="F33" s="76"/>
      <c r="G33" s="77"/>
      <c r="H33" s="54"/>
      <c r="I33" s="54"/>
      <c r="J33" s="55"/>
      <c r="K33" s="54"/>
      <c r="L33" s="54"/>
      <c r="M33" s="101">
        <f>SUM(L33)+0.7</f>
        <v>0.7</v>
      </c>
    </row>
    <row r="34" spans="1:13" ht="14.1" customHeight="1" thickBot="1" x14ac:dyDescent="0.35">
      <c r="A34" s="87"/>
      <c r="B34" s="96"/>
      <c r="C34" s="97"/>
      <c r="D34" s="109"/>
      <c r="E34" s="110"/>
      <c r="F34" s="110"/>
      <c r="G34" s="111"/>
      <c r="H34" s="91"/>
      <c r="I34" s="91"/>
      <c r="J34" s="107"/>
      <c r="K34" s="91"/>
      <c r="L34" s="91"/>
      <c r="M34" s="108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6272-13E0-49D4-B267-A469E651A200}">
  <sheetPr>
    <tabColor rgb="FFFF0000"/>
    <pageSetUpPr fitToPage="1"/>
  </sheetPr>
  <dimension ref="A1:M51"/>
  <sheetViews>
    <sheetView zoomScale="110" zoomScaleNormal="110" workbookViewId="0">
      <selection activeCell="O11" sqref="O11:P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/>
      <c r="E3" s="37"/>
      <c r="F3" s="37"/>
      <c r="G3" s="38"/>
      <c r="H3" s="54">
        <f>SUM(I3)-4</f>
        <v>45.5</v>
      </c>
      <c r="I3" s="54">
        <f>SUM(J3)-4</f>
        <v>49.5</v>
      </c>
      <c r="J3" s="55">
        <v>53.5</v>
      </c>
      <c r="K3" s="54">
        <f>SUM(J3)+4</f>
        <v>57.5</v>
      </c>
      <c r="L3" s="54">
        <f>SUM(K3)+4</f>
        <v>61.5</v>
      </c>
      <c r="M3" s="101">
        <f>SUM(L3)+4</f>
        <v>65.5</v>
      </c>
    </row>
    <row r="4" spans="1:13" s="1" customFormat="1" ht="14.1" customHeight="1" x14ac:dyDescent="0.3">
      <c r="A4" s="35"/>
      <c r="B4" s="45" t="s">
        <v>633</v>
      </c>
      <c r="C4" s="45"/>
      <c r="D4" s="46"/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634</v>
      </c>
      <c r="C5" s="60"/>
      <c r="D5" s="61"/>
      <c r="E5" s="61"/>
      <c r="F5" s="61"/>
      <c r="G5" s="61"/>
      <c r="H5" s="54">
        <f>SUM(I5)-2</f>
        <v>21</v>
      </c>
      <c r="I5" s="54">
        <f>SUM(J5)-2</f>
        <v>23</v>
      </c>
      <c r="J5" s="55">
        <v>25</v>
      </c>
      <c r="K5" s="54">
        <f>SUM(J5)+2</f>
        <v>27</v>
      </c>
      <c r="L5" s="54">
        <f>SUM(K5)+2</f>
        <v>29</v>
      </c>
      <c r="M5" s="101">
        <f>SUM(L5)+2</f>
        <v>31</v>
      </c>
    </row>
    <row r="6" spans="1:13" s="1" customFormat="1" ht="14.1" customHeight="1" x14ac:dyDescent="0.3">
      <c r="A6" s="48"/>
      <c r="B6" s="45" t="s">
        <v>635</v>
      </c>
      <c r="C6" s="45"/>
      <c r="D6" s="46"/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636</v>
      </c>
      <c r="C7" s="60"/>
      <c r="D7" s="61" t="s">
        <v>72</v>
      </c>
      <c r="E7" s="61"/>
      <c r="F7" s="61"/>
      <c r="G7" s="61"/>
      <c r="H7" s="54">
        <f>SUM(I7)-4.5</f>
        <v>49</v>
      </c>
      <c r="I7" s="54">
        <f>SUM(J7)-4.5</f>
        <v>53.5</v>
      </c>
      <c r="J7" s="55">
        <v>58</v>
      </c>
      <c r="K7" s="54">
        <f>SUM(J7)+4</f>
        <v>62</v>
      </c>
      <c r="L7" s="54">
        <f>SUM(K7)+4</f>
        <v>66</v>
      </c>
      <c r="M7" s="101">
        <f>SUM(L7)+4</f>
        <v>70</v>
      </c>
    </row>
    <row r="8" spans="1:13" s="1" customFormat="1" ht="14.1" customHeight="1" x14ac:dyDescent="0.3">
      <c r="A8" s="48"/>
      <c r="B8" s="45" t="s">
        <v>637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SUM(I9)-4.5</f>
        <v>49</v>
      </c>
      <c r="I9" s="54">
        <f>SUM(J9)-4.5</f>
        <v>53.5</v>
      </c>
      <c r="J9" s="55">
        <v>58</v>
      </c>
      <c r="K9" s="54">
        <f>SUM(J9)+4</f>
        <v>62</v>
      </c>
      <c r="L9" s="54">
        <f>SUM(K9)+4</f>
        <v>66</v>
      </c>
      <c r="M9" s="101">
        <f>SUM(L9)+4</f>
        <v>70</v>
      </c>
    </row>
    <row r="10" spans="1:13" s="1" customFormat="1" ht="14.1" customHeight="1" x14ac:dyDescent="0.3">
      <c r="A10" s="48"/>
      <c r="B10" s="45" t="s">
        <v>269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/>
      <c r="I11" s="54"/>
      <c r="J11" s="67"/>
      <c r="K11" s="68"/>
      <c r="L11" s="68"/>
      <c r="M11" s="94"/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5" t="s">
        <v>638</v>
      </c>
      <c r="C13" s="66"/>
      <c r="D13" s="61"/>
      <c r="E13" s="61"/>
      <c r="F13" s="61"/>
      <c r="G13" s="61"/>
      <c r="H13" s="54">
        <f>SUM(I13)-1</f>
        <v>11.5</v>
      </c>
      <c r="I13" s="54">
        <f>SUM(J13)-1</f>
        <v>12.5</v>
      </c>
      <c r="J13" s="55">
        <v>13.5</v>
      </c>
      <c r="K13" s="54">
        <f>SUM(J13)+1</f>
        <v>14.5</v>
      </c>
      <c r="L13" s="54">
        <f>SUM(K13)+1</f>
        <v>15.5</v>
      </c>
      <c r="M13" s="101">
        <f>SUM(L13)+1</f>
        <v>16.5</v>
      </c>
    </row>
    <row r="14" spans="1:13" s="1" customFormat="1" ht="14.1" customHeight="1" x14ac:dyDescent="0.3">
      <c r="A14" s="48"/>
      <c r="B14" s="79" t="s">
        <v>639</v>
      </c>
      <c r="C14" s="80"/>
      <c r="D14" s="46"/>
      <c r="E14" s="47"/>
      <c r="F14" s="47"/>
      <c r="G14" s="59"/>
      <c r="H14" s="40"/>
      <c r="I14" s="40"/>
      <c r="J14" s="42"/>
      <c r="K14" s="40"/>
      <c r="L14" s="40"/>
      <c r="M14" s="102"/>
    </row>
    <row r="15" spans="1:13" s="1" customFormat="1" ht="14.1" customHeight="1" x14ac:dyDescent="0.3">
      <c r="A15" s="48">
        <v>7</v>
      </c>
      <c r="B15" s="65" t="s">
        <v>395</v>
      </c>
      <c r="C15" s="66"/>
      <c r="D15" s="61"/>
      <c r="E15" s="61"/>
      <c r="F15" s="61"/>
      <c r="G15" s="61"/>
      <c r="H15" s="54">
        <f>SUM(I15)-3</f>
        <v>34</v>
      </c>
      <c r="I15" s="54">
        <f>SUM(J15)-3</f>
        <v>37</v>
      </c>
      <c r="J15" s="55">
        <v>40</v>
      </c>
      <c r="K15" s="54">
        <f>SUM(J15)+3</f>
        <v>43</v>
      </c>
      <c r="L15" s="54">
        <f>SUM(K15)+3</f>
        <v>46</v>
      </c>
      <c r="M15" s="101">
        <f>SUM(L15)+3</f>
        <v>49</v>
      </c>
    </row>
    <row r="16" spans="1:13" s="1" customFormat="1" ht="14.1" customHeight="1" x14ac:dyDescent="0.3">
      <c r="A16" s="48"/>
      <c r="B16" s="79" t="s">
        <v>396</v>
      </c>
      <c r="C16" s="80"/>
      <c r="D16" s="46"/>
      <c r="E16" s="47"/>
      <c r="F16" s="47"/>
      <c r="G16" s="59"/>
      <c r="H16" s="40"/>
      <c r="I16" s="40"/>
      <c r="J16" s="42"/>
      <c r="K16" s="40"/>
      <c r="L16" s="40"/>
      <c r="M16" s="102"/>
    </row>
    <row r="17" spans="1:13" s="1" customFormat="1" ht="14.1" customHeight="1" x14ac:dyDescent="0.3">
      <c r="A17" s="48">
        <v>8</v>
      </c>
      <c r="B17" s="60"/>
      <c r="C17" s="60"/>
      <c r="D17" s="61"/>
      <c r="E17" s="61"/>
      <c r="F17" s="61"/>
      <c r="G17" s="61"/>
      <c r="H17" s="54"/>
      <c r="I17" s="54"/>
      <c r="J17" s="67"/>
      <c r="K17" s="68"/>
      <c r="L17" s="68"/>
      <c r="M17" s="94"/>
    </row>
    <row r="18" spans="1:13" s="1" customFormat="1" ht="14.1" customHeight="1" x14ac:dyDescent="0.3">
      <c r="A18" s="48"/>
      <c r="B18" s="45"/>
      <c r="C18" s="45"/>
      <c r="D18" s="46"/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/>
      <c r="C19" s="60"/>
      <c r="D19" s="61"/>
      <c r="E19" s="61"/>
      <c r="F19" s="61"/>
      <c r="G19" s="61"/>
      <c r="H19" s="54"/>
      <c r="I19" s="54"/>
      <c r="J19" s="55"/>
      <c r="K19" s="54"/>
      <c r="L19" s="54"/>
      <c r="M19" s="101"/>
    </row>
    <row r="20" spans="1:13" s="1" customFormat="1" ht="14.1" customHeight="1" x14ac:dyDescent="0.3">
      <c r="A20" s="48"/>
      <c r="B20" s="45"/>
      <c r="C20" s="45"/>
      <c r="D20" s="46"/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/>
      <c r="C21" s="60"/>
      <c r="D21" s="62"/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48"/>
      <c r="B22" s="45"/>
      <c r="C22" s="45"/>
      <c r="D22" s="46"/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5"/>
      <c r="C23" s="66"/>
      <c r="D23" s="61"/>
      <c r="E23" s="61"/>
      <c r="F23" s="61"/>
      <c r="G23" s="61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/>
      <c r="C24" s="45"/>
      <c r="D24" s="46"/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/>
      <c r="C25" s="66"/>
      <c r="D25" s="88"/>
      <c r="E25" s="89"/>
      <c r="F25" s="89"/>
      <c r="G25" s="90"/>
      <c r="H25" s="54"/>
      <c r="I25" s="54"/>
      <c r="J25" s="67"/>
      <c r="K25" s="68"/>
      <c r="L25" s="68"/>
      <c r="M25" s="94"/>
    </row>
    <row r="26" spans="1:13" s="1" customFormat="1" ht="14.1" customHeight="1" x14ac:dyDescent="0.3">
      <c r="A26" s="78"/>
      <c r="B26" s="79"/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101"/>
    </row>
    <row r="27" spans="1:13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94"/>
    </row>
    <row r="28" spans="1:13" ht="14.1" customHeight="1" x14ac:dyDescent="0.3">
      <c r="A28" s="78"/>
      <c r="B28" s="79"/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94"/>
    </row>
    <row r="30" spans="1:13" ht="14.1" customHeight="1" x14ac:dyDescent="0.3">
      <c r="A30" s="78"/>
      <c r="B30" s="79"/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94"/>
    </row>
    <row r="32" spans="1:13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95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AEEB-1F9B-4714-8535-A8A516CA11C9}">
  <sheetPr>
    <tabColor rgb="FFFF0000"/>
    <pageSetUpPr fitToPage="1"/>
  </sheetPr>
  <dimension ref="A1:P49"/>
  <sheetViews>
    <sheetView zoomScale="110" zoomScaleNormal="110" workbookViewId="0">
      <selection sqref="A1:M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30" t="s">
        <v>751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6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6" s="1" customFormat="1" ht="14.1" customHeight="1" x14ac:dyDescent="0.3">
      <c r="A3" s="34">
        <v>1</v>
      </c>
      <c r="B3" s="36" t="s">
        <v>39</v>
      </c>
      <c r="C3" s="36"/>
      <c r="D3" s="37" t="s">
        <v>362</v>
      </c>
      <c r="E3" s="37"/>
      <c r="F3" s="37"/>
      <c r="G3" s="38"/>
      <c r="H3" s="39">
        <f>SUM(I3)-4.4</f>
        <v>46.2</v>
      </c>
      <c r="I3" s="39">
        <f>SUM(J3)-4.4</f>
        <v>50.6</v>
      </c>
      <c r="J3" s="41">
        <v>55</v>
      </c>
      <c r="K3" s="39">
        <f>SUM(J3)+4.4</f>
        <v>59.4</v>
      </c>
      <c r="L3" s="39">
        <f>SUM(K3)+4.4</f>
        <v>63.8</v>
      </c>
      <c r="M3" s="43">
        <f>SUM(L3)+4.4</f>
        <v>68.2</v>
      </c>
    </row>
    <row r="4" spans="1:16" s="1" customFormat="1" ht="14.1" customHeight="1" thickBot="1" x14ac:dyDescent="0.35">
      <c r="A4" s="35"/>
      <c r="B4" s="45" t="s">
        <v>633</v>
      </c>
      <c r="C4" s="45"/>
      <c r="D4" s="46" t="s">
        <v>363</v>
      </c>
      <c r="E4" s="47"/>
      <c r="F4" s="47"/>
      <c r="G4" s="47"/>
      <c r="H4" s="40"/>
      <c r="I4" s="40"/>
      <c r="J4" s="42"/>
      <c r="K4" s="40"/>
      <c r="L4" s="40"/>
      <c r="M4" s="44"/>
    </row>
    <row r="5" spans="1:16" s="1" customFormat="1" ht="14.1" customHeight="1" thickTop="1" x14ac:dyDescent="0.3">
      <c r="A5" s="103">
        <v>2</v>
      </c>
      <c r="B5" s="126" t="s">
        <v>752</v>
      </c>
      <c r="C5" s="126"/>
      <c r="D5" s="106"/>
      <c r="E5" s="106"/>
      <c r="F5" s="106"/>
      <c r="G5" s="51"/>
      <c r="H5" s="81">
        <f>SUM(I5)-1.2</f>
        <v>13.600000000000001</v>
      </c>
      <c r="I5" s="81">
        <f>SUM(J5)-1.2</f>
        <v>14.8</v>
      </c>
      <c r="J5" s="82">
        <v>16</v>
      </c>
      <c r="K5" s="81">
        <f>SUM(J5)+1.2</f>
        <v>17.2</v>
      </c>
      <c r="L5" s="81">
        <f>SUM(K5)+1.2</f>
        <v>18.399999999999999</v>
      </c>
      <c r="M5" s="83">
        <f>SUM(L5)+1.2</f>
        <v>19.599999999999998</v>
      </c>
      <c r="P5" s="16" t="s">
        <v>836</v>
      </c>
    </row>
    <row r="6" spans="1:16" s="1" customFormat="1" ht="14.1" customHeight="1" x14ac:dyDescent="0.3">
      <c r="A6" s="35"/>
      <c r="B6" s="45" t="s">
        <v>753</v>
      </c>
      <c r="C6" s="45"/>
      <c r="D6" s="46" t="s">
        <v>758</v>
      </c>
      <c r="E6" s="47"/>
      <c r="F6" s="47"/>
      <c r="G6" s="47"/>
      <c r="H6" s="40"/>
      <c r="I6" s="40"/>
      <c r="J6" s="42"/>
      <c r="K6" s="40"/>
      <c r="L6" s="40"/>
      <c r="M6" s="44"/>
      <c r="P6" s="17">
        <f>SUM(H5+H5+I5+I5+J5+J5+K5+K5+L5+L5+M5+M5)</f>
        <v>199.2</v>
      </c>
    </row>
    <row r="7" spans="1:16" s="1" customFormat="1" ht="14.1" customHeight="1" thickBot="1" x14ac:dyDescent="0.35">
      <c r="A7" s="103">
        <v>3</v>
      </c>
      <c r="B7" s="65" t="s">
        <v>211</v>
      </c>
      <c r="C7" s="66"/>
      <c r="D7" s="62" t="s">
        <v>754</v>
      </c>
      <c r="E7" s="63"/>
      <c r="F7" s="63"/>
      <c r="G7" s="64"/>
      <c r="H7" s="127">
        <f>SUM(I7)-0.9</f>
        <v>14.2</v>
      </c>
      <c r="I7" s="127">
        <f>SUM(J7)-0.9</f>
        <v>15.1</v>
      </c>
      <c r="J7" s="82">
        <v>16</v>
      </c>
      <c r="K7" s="127">
        <f>SUM(J7)+0.9</f>
        <v>16.899999999999999</v>
      </c>
      <c r="L7" s="127">
        <f>SUM(K7)+0.9</f>
        <v>17.799999999999997</v>
      </c>
      <c r="M7" s="128">
        <f>SUM(L7)+0.9</f>
        <v>18.699999999999996</v>
      </c>
      <c r="P7" s="18">
        <f>SUM(P6/91.44/6*1.08)</f>
        <v>0.39212598425196854</v>
      </c>
    </row>
    <row r="8" spans="1:16" s="1" customFormat="1" ht="14.1" customHeight="1" thickTop="1" x14ac:dyDescent="0.3">
      <c r="A8" s="35"/>
      <c r="B8" s="45" t="s">
        <v>755</v>
      </c>
      <c r="C8" s="45"/>
      <c r="D8" s="46" t="s">
        <v>757</v>
      </c>
      <c r="E8" s="47"/>
      <c r="F8" s="47"/>
      <c r="G8" s="59"/>
      <c r="H8" s="123"/>
      <c r="I8" s="123"/>
      <c r="J8" s="42"/>
      <c r="K8" s="123"/>
      <c r="L8" s="123"/>
      <c r="M8" s="125"/>
      <c r="P8" s="16" t="s">
        <v>837</v>
      </c>
    </row>
    <row r="9" spans="1:16" s="1" customFormat="1" ht="14.1" customHeight="1" x14ac:dyDescent="0.3">
      <c r="A9" s="103">
        <v>4</v>
      </c>
      <c r="B9" s="60" t="s">
        <v>35</v>
      </c>
      <c r="C9" s="60"/>
      <c r="D9" s="61" t="s">
        <v>72</v>
      </c>
      <c r="E9" s="61"/>
      <c r="F9" s="61"/>
      <c r="G9" s="61"/>
      <c r="H9" s="122">
        <f>SUM(I9)-2.8</f>
        <v>41.000000000000007</v>
      </c>
      <c r="I9" s="122">
        <f>SUM(J9)-2.8</f>
        <v>43.800000000000004</v>
      </c>
      <c r="J9" s="55">
        <v>46.6</v>
      </c>
      <c r="K9" s="122">
        <f>SUM(J9)+2.5</f>
        <v>49.1</v>
      </c>
      <c r="L9" s="122">
        <f>SUM(K9)+2.5</f>
        <v>51.6</v>
      </c>
      <c r="M9" s="124">
        <f>SUM(L9)+2.5</f>
        <v>54.1</v>
      </c>
      <c r="P9" s="17">
        <f>SUM(H7+H7+I7+I7+J7+J7+K7+K7+L7+L7+M7+M7+H11+H11+I11+I11+J11+J11+K11+K11+L11+L11+M11+M11+H15+H15+I15+I15+J15+J15+K15+K15+L15+L15+M15+M15+H17+H17+I17+I17+J17+J17+K17+K17+L17+L17+M17+M17)</f>
        <v>1404.6000000000004</v>
      </c>
    </row>
    <row r="10" spans="1:16" s="1" customFormat="1" ht="14.1" customHeight="1" thickBot="1" x14ac:dyDescent="0.35">
      <c r="A10" s="35"/>
      <c r="B10" s="45" t="s">
        <v>40</v>
      </c>
      <c r="C10" s="45"/>
      <c r="D10" s="46" t="s">
        <v>756</v>
      </c>
      <c r="E10" s="47"/>
      <c r="F10" s="47"/>
      <c r="G10" s="59"/>
      <c r="H10" s="123"/>
      <c r="I10" s="123"/>
      <c r="J10" s="42"/>
      <c r="K10" s="123"/>
      <c r="L10" s="123"/>
      <c r="M10" s="125"/>
      <c r="P10" s="18">
        <f>SUM(P9/91.44/6*1.08)</f>
        <v>2.7649606299212612</v>
      </c>
    </row>
    <row r="11" spans="1:16" s="1" customFormat="1" ht="14.1" customHeight="1" thickTop="1" x14ac:dyDescent="0.3">
      <c r="A11" s="103">
        <v>5</v>
      </c>
      <c r="B11" s="60" t="s">
        <v>759</v>
      </c>
      <c r="C11" s="60"/>
      <c r="D11" s="61"/>
      <c r="E11" s="61"/>
      <c r="F11" s="61"/>
      <c r="G11" s="61"/>
      <c r="H11" s="122">
        <f>SUM(I11)-3</f>
        <v>52</v>
      </c>
      <c r="I11" s="122">
        <f>SUM(J11)-3</f>
        <v>55</v>
      </c>
      <c r="J11" s="55">
        <v>58</v>
      </c>
      <c r="K11" s="122">
        <f>SUM(J11)+3</f>
        <v>61</v>
      </c>
      <c r="L11" s="122">
        <f>SUM(K11)+3</f>
        <v>64</v>
      </c>
      <c r="M11" s="124">
        <f>SUM(L11)+3</f>
        <v>67</v>
      </c>
    </row>
    <row r="12" spans="1:16" s="1" customFormat="1" ht="14.1" customHeight="1" x14ac:dyDescent="0.3">
      <c r="A12" s="35"/>
      <c r="B12" s="45" t="s">
        <v>455</v>
      </c>
      <c r="C12" s="45"/>
      <c r="D12" s="46" t="s">
        <v>760</v>
      </c>
      <c r="E12" s="47"/>
      <c r="F12" s="47"/>
      <c r="G12" s="59"/>
      <c r="H12" s="123"/>
      <c r="I12" s="123"/>
      <c r="J12" s="42"/>
      <c r="K12" s="123"/>
      <c r="L12" s="123"/>
      <c r="M12" s="125"/>
    </row>
    <row r="13" spans="1:16" s="1" customFormat="1" ht="14.1" customHeight="1" x14ac:dyDescent="0.3">
      <c r="A13" s="103">
        <v>6</v>
      </c>
      <c r="B13" s="60" t="s">
        <v>4</v>
      </c>
      <c r="C13" s="60"/>
      <c r="D13" s="61" t="s">
        <v>5</v>
      </c>
      <c r="E13" s="61"/>
      <c r="F13" s="61"/>
      <c r="G13" s="61"/>
      <c r="H13" s="122">
        <f>SUM(I13)-0.5</f>
        <v>8</v>
      </c>
      <c r="I13" s="122">
        <f>SUM(J13)-0.5</f>
        <v>8.5</v>
      </c>
      <c r="J13" s="55">
        <v>9</v>
      </c>
      <c r="K13" s="122">
        <f>SUM(J13)+0.5</f>
        <v>9.5</v>
      </c>
      <c r="L13" s="122">
        <f>SUM(K13)+0.5</f>
        <v>10</v>
      </c>
      <c r="M13" s="124">
        <f>SUM(L13)+0.5</f>
        <v>10.5</v>
      </c>
    </row>
    <row r="14" spans="1:16" s="1" customFormat="1" ht="14.1" customHeight="1" x14ac:dyDescent="0.3">
      <c r="A14" s="35"/>
      <c r="B14" s="45" t="s">
        <v>29</v>
      </c>
      <c r="C14" s="45"/>
      <c r="D14" s="46" t="s">
        <v>48</v>
      </c>
      <c r="E14" s="47"/>
      <c r="F14" s="47"/>
      <c r="G14" s="59"/>
      <c r="H14" s="123"/>
      <c r="I14" s="123"/>
      <c r="J14" s="42"/>
      <c r="K14" s="123"/>
      <c r="L14" s="123"/>
      <c r="M14" s="125"/>
    </row>
    <row r="15" spans="1:16" s="1" customFormat="1" ht="14.1" customHeight="1" x14ac:dyDescent="0.3">
      <c r="A15" s="103">
        <v>7</v>
      </c>
      <c r="B15" s="65" t="s">
        <v>762</v>
      </c>
      <c r="C15" s="66"/>
      <c r="D15" s="62"/>
      <c r="E15" s="63"/>
      <c r="F15" s="63"/>
      <c r="G15" s="64"/>
      <c r="H15" s="122">
        <f>SUM(I15)-1.3</f>
        <v>15.399999999999999</v>
      </c>
      <c r="I15" s="122">
        <f>SUM(J15)-1.3</f>
        <v>16.7</v>
      </c>
      <c r="J15" s="55">
        <v>18</v>
      </c>
      <c r="K15" s="122">
        <f>SUM(J15)+1.2</f>
        <v>19.2</v>
      </c>
      <c r="L15" s="122">
        <f>SUM(K15)+1.2</f>
        <v>20.399999999999999</v>
      </c>
      <c r="M15" s="124">
        <f>SUM(L15)+1.2</f>
        <v>21.599999999999998</v>
      </c>
    </row>
    <row r="16" spans="1:16" s="1" customFormat="1" ht="14.1" customHeight="1" x14ac:dyDescent="0.3">
      <c r="A16" s="35"/>
      <c r="B16" s="45" t="s">
        <v>834</v>
      </c>
      <c r="C16" s="45"/>
      <c r="D16" s="46"/>
      <c r="E16" s="47"/>
      <c r="F16" s="47"/>
      <c r="G16" s="59"/>
      <c r="H16" s="123"/>
      <c r="I16" s="123"/>
      <c r="J16" s="42"/>
      <c r="K16" s="123"/>
      <c r="L16" s="123"/>
      <c r="M16" s="125"/>
    </row>
    <row r="17" spans="1:13" s="1" customFormat="1" ht="14.1" customHeight="1" x14ac:dyDescent="0.3">
      <c r="A17" s="103">
        <v>8</v>
      </c>
      <c r="B17" s="65" t="s">
        <v>761</v>
      </c>
      <c r="C17" s="66"/>
      <c r="D17" s="62"/>
      <c r="E17" s="63"/>
      <c r="F17" s="63"/>
      <c r="G17" s="64"/>
      <c r="H17" s="122">
        <f>SUM(I17)-1.3</f>
        <v>19.399999999999999</v>
      </c>
      <c r="I17" s="122">
        <f>SUM(J17)-1.3</f>
        <v>20.7</v>
      </c>
      <c r="J17" s="55">
        <v>22</v>
      </c>
      <c r="K17" s="122">
        <f>SUM(J17)+1.2</f>
        <v>23.2</v>
      </c>
      <c r="L17" s="122">
        <f>SUM(K17)+1.2</f>
        <v>24.4</v>
      </c>
      <c r="M17" s="124">
        <f>SUM(L17)+1.2</f>
        <v>25.599999999999998</v>
      </c>
    </row>
    <row r="18" spans="1:13" s="1" customFormat="1" ht="14.1" customHeight="1" x14ac:dyDescent="0.3">
      <c r="A18" s="35"/>
      <c r="B18" s="45" t="s">
        <v>835</v>
      </c>
      <c r="C18" s="45"/>
      <c r="D18" s="46"/>
      <c r="E18" s="47"/>
      <c r="F18" s="47"/>
      <c r="G18" s="59"/>
      <c r="H18" s="123"/>
      <c r="I18" s="123"/>
      <c r="J18" s="42"/>
      <c r="K18" s="123"/>
      <c r="L18" s="123"/>
      <c r="M18" s="125"/>
    </row>
    <row r="19" spans="1:13" s="1" customFormat="1" ht="14.1" customHeight="1" x14ac:dyDescent="0.3">
      <c r="A19" s="103">
        <v>9</v>
      </c>
      <c r="B19" s="65" t="s">
        <v>763</v>
      </c>
      <c r="C19" s="66"/>
      <c r="D19" s="75"/>
      <c r="E19" s="76"/>
      <c r="F19" s="76"/>
      <c r="G19" s="77"/>
      <c r="H19" s="122">
        <f>SUM(I19)-3</f>
        <v>32</v>
      </c>
      <c r="I19" s="122">
        <f>SUM(J19)-3</f>
        <v>35</v>
      </c>
      <c r="J19" s="55">
        <v>38</v>
      </c>
      <c r="K19" s="122">
        <f>SUM(J19)+3</f>
        <v>41</v>
      </c>
      <c r="L19" s="122">
        <f>SUM(K19)+3</f>
        <v>44</v>
      </c>
      <c r="M19" s="124">
        <f>SUM(L19)+3</f>
        <v>47</v>
      </c>
    </row>
    <row r="20" spans="1:13" s="1" customFormat="1" ht="14.1" customHeight="1" x14ac:dyDescent="0.3">
      <c r="A20" s="35"/>
      <c r="B20" s="70" t="s">
        <v>154</v>
      </c>
      <c r="C20" s="71"/>
      <c r="D20" s="72" t="s">
        <v>764</v>
      </c>
      <c r="E20" s="73"/>
      <c r="F20" s="73"/>
      <c r="G20" s="74"/>
      <c r="H20" s="123"/>
      <c r="I20" s="123"/>
      <c r="J20" s="42"/>
      <c r="K20" s="123"/>
      <c r="L20" s="123"/>
      <c r="M20" s="125"/>
    </row>
    <row r="21" spans="1:13" s="1" customFormat="1" ht="14.1" customHeight="1" x14ac:dyDescent="0.3">
      <c r="A21" s="103">
        <v>10</v>
      </c>
      <c r="B21" s="60"/>
      <c r="C21" s="60"/>
      <c r="D21" s="61"/>
      <c r="E21" s="61"/>
      <c r="F21" s="61"/>
      <c r="G21" s="61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35"/>
      <c r="B22" s="45"/>
      <c r="C22" s="45"/>
      <c r="D22" s="46"/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103">
        <v>11</v>
      </c>
      <c r="B23" s="65"/>
      <c r="C23" s="66"/>
      <c r="D23" s="62"/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35"/>
      <c r="B24" s="45"/>
      <c r="C24" s="45"/>
      <c r="D24" s="46"/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103">
        <v>12</v>
      </c>
      <c r="B25" s="65"/>
      <c r="C25" s="66"/>
      <c r="D25" s="88"/>
      <c r="E25" s="89"/>
      <c r="F25" s="89"/>
      <c r="G25" s="90"/>
      <c r="H25" s="54"/>
      <c r="I25" s="54"/>
      <c r="J25" s="67"/>
      <c r="K25" s="68"/>
      <c r="L25" s="68"/>
      <c r="M25" s="69"/>
    </row>
    <row r="26" spans="1:13" s="1" customFormat="1" ht="14.1" customHeight="1" thickBot="1" x14ac:dyDescent="0.35">
      <c r="A26" s="104"/>
      <c r="B26" s="96"/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121"/>
    </row>
    <row r="27" spans="1:13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</sheetData>
  <mergeCells count="13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J25:J26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B27A-5E49-4FFF-B6ED-9951CA9058A1}">
  <sheetPr>
    <tabColor rgb="FFFF0000"/>
    <pageSetUpPr fitToPage="1"/>
  </sheetPr>
  <dimension ref="A1:M51"/>
  <sheetViews>
    <sheetView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39">
        <f>SUM(I3)-5</f>
        <v>53</v>
      </c>
      <c r="I3" s="39">
        <f>SUM(J3)-5</f>
        <v>58</v>
      </c>
      <c r="J3" s="41">
        <v>63</v>
      </c>
      <c r="K3" s="39">
        <f>SUM(J3)+5</f>
        <v>68</v>
      </c>
      <c r="L3" s="39">
        <f>SUM(K3)+5</f>
        <v>73</v>
      </c>
      <c r="M3" s="120">
        <f>SUM(L3)+5</f>
        <v>78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21.199999999999996</v>
      </c>
      <c r="I5" s="54">
        <f>SUM(J5)-1.6</f>
        <v>22.799999999999997</v>
      </c>
      <c r="J5" s="55">
        <v>24.4</v>
      </c>
      <c r="K5" s="54">
        <f>SUM(J5)+1.4</f>
        <v>25.799999999999997</v>
      </c>
      <c r="L5" s="54">
        <f>SUM(K5)+1.4</f>
        <v>27.199999999999996</v>
      </c>
      <c r="M5" s="101">
        <f>SUM(L5)+1.4</f>
        <v>28.599999999999994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27</v>
      </c>
      <c r="I7" s="54">
        <f>SUM(J7)-2</f>
        <v>29</v>
      </c>
      <c r="J7" s="55">
        <v>31</v>
      </c>
      <c r="K7" s="54">
        <f>SUM(J7)+1.8</f>
        <v>32.799999999999997</v>
      </c>
      <c r="L7" s="54">
        <f>SUM(K7)+1.8</f>
        <v>34.599999999999994</v>
      </c>
      <c r="M7" s="101">
        <f>SUM(L7)+1.8</f>
        <v>36.399999999999991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505</v>
      </c>
      <c r="C9" s="60"/>
      <c r="D9" s="61"/>
      <c r="E9" s="61"/>
      <c r="F9" s="61"/>
      <c r="G9" s="61"/>
      <c r="H9" s="54">
        <f>SUM(I9)-3</f>
        <v>52</v>
      </c>
      <c r="I9" s="54">
        <f>SUM(J9)-3</f>
        <v>55</v>
      </c>
      <c r="J9" s="55">
        <v>58</v>
      </c>
      <c r="K9" s="54">
        <f>SUM(J9)+3</f>
        <v>61</v>
      </c>
      <c r="L9" s="54">
        <f>SUM(K9)+3</f>
        <v>64</v>
      </c>
      <c r="M9" s="101">
        <f>SUM(L9)+3</f>
        <v>67</v>
      </c>
    </row>
    <row r="10" spans="1:13" s="1" customFormat="1" ht="14.1" customHeight="1" x14ac:dyDescent="0.3">
      <c r="A10" s="48"/>
      <c r="B10" s="45" t="s">
        <v>506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11.999999999999998</v>
      </c>
      <c r="I11" s="54">
        <f>SUM(J11)-0.8</f>
        <v>12.799999999999999</v>
      </c>
      <c r="J11" s="67">
        <v>13.6</v>
      </c>
      <c r="K11" s="68">
        <f>SUM(J11)+0.9</f>
        <v>14.5</v>
      </c>
      <c r="L11" s="68">
        <f>SUM(K11)+0.9</f>
        <v>15.4</v>
      </c>
      <c r="M11" s="94">
        <f>SUM(L11)+0.9</f>
        <v>16.3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12.8</v>
      </c>
      <c r="I13" s="54">
        <f>SUM(J13)-0.6</f>
        <v>13.4</v>
      </c>
      <c r="J13" s="67">
        <v>14</v>
      </c>
      <c r="K13" s="68">
        <f>SUM(J13)+0.6</f>
        <v>14.6</v>
      </c>
      <c r="L13" s="68">
        <f>SUM(K13)+0.6</f>
        <v>15.2</v>
      </c>
      <c r="M13" s="94">
        <f>SUM(L13)+0.6</f>
        <v>15.799999999999999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94">
        <f>SUM(L15)+0.3</f>
        <v>7.3999999999999995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33.799999999999997</v>
      </c>
      <c r="I17" s="54">
        <f>SUM(J17)-1.6</f>
        <v>35.4</v>
      </c>
      <c r="J17" s="67">
        <v>37</v>
      </c>
      <c r="K17" s="68">
        <f>SUM(J17)+1.6</f>
        <v>38.6</v>
      </c>
      <c r="L17" s="68">
        <f>SUM(K17)+1.6</f>
        <v>40.200000000000003</v>
      </c>
      <c r="M17" s="94">
        <f>SUM(L17)+1.6</f>
        <v>41.800000000000004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5" t="s">
        <v>787</v>
      </c>
      <c r="C19" s="66"/>
      <c r="D19" s="62"/>
      <c r="E19" s="63"/>
      <c r="F19" s="63"/>
      <c r="G19" s="64"/>
      <c r="H19" s="54">
        <f>SUM(I19)</f>
        <v>6</v>
      </c>
      <c r="I19" s="54">
        <f>SUM(J19)</f>
        <v>6</v>
      </c>
      <c r="J19" s="67">
        <v>6</v>
      </c>
      <c r="K19" s="68">
        <f>SUM(J19)+0.2</f>
        <v>6.2</v>
      </c>
      <c r="L19" s="68">
        <f>SUM(K19)+0.2</f>
        <v>6.4</v>
      </c>
      <c r="M19" s="94">
        <f>SUM(L19)+0.2</f>
        <v>6.6000000000000005</v>
      </c>
    </row>
    <row r="20" spans="1:13" s="1" customFormat="1" ht="14.1" customHeight="1" x14ac:dyDescent="0.3">
      <c r="A20" s="48"/>
      <c r="B20" s="45" t="s">
        <v>788</v>
      </c>
      <c r="C20" s="45"/>
      <c r="D20" s="46"/>
      <c r="E20" s="47"/>
      <c r="F20" s="47"/>
      <c r="G20" s="59"/>
      <c r="H20" s="40"/>
      <c r="I20" s="40"/>
      <c r="J20" s="67"/>
      <c r="K20" s="68"/>
      <c r="L20" s="68"/>
      <c r="M20" s="94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SUM(I21)-0.9</f>
        <v>9.1999999999999993</v>
      </c>
      <c r="I21" s="54">
        <f>SUM(J21)-0.9</f>
        <v>10.1</v>
      </c>
      <c r="J21" s="67">
        <v>11</v>
      </c>
      <c r="K21" s="68">
        <f>SUM(J21)+1</f>
        <v>12</v>
      </c>
      <c r="L21" s="68">
        <f>SUM(K21)+1</f>
        <v>13</v>
      </c>
      <c r="M21" s="94">
        <f>SUM(L21)+1</f>
        <v>14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SUM(I25)-1.3</f>
        <v>18.399999999999999</v>
      </c>
      <c r="I25" s="54">
        <f>SUM(J25)-1.3</f>
        <v>19.7</v>
      </c>
      <c r="J25" s="67">
        <v>21</v>
      </c>
      <c r="K25" s="68">
        <f>SUM(J25)+1.3</f>
        <v>22.3</v>
      </c>
      <c r="L25" s="68">
        <f>SUM(K25)+1.3</f>
        <v>23.6</v>
      </c>
      <c r="M25" s="94">
        <f>SUM(L25)+1.3</f>
        <v>24.900000000000002</v>
      </c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3" ht="14.1" customHeight="1" x14ac:dyDescent="0.3">
      <c r="A27" s="48">
        <v>13</v>
      </c>
      <c r="B27" s="65" t="s">
        <v>741</v>
      </c>
      <c r="C27" s="66"/>
      <c r="D27" s="88"/>
      <c r="E27" s="89"/>
      <c r="F27" s="89"/>
      <c r="G27" s="90"/>
      <c r="H27" s="54">
        <f>SUM(I27)-3</f>
        <v>30.5</v>
      </c>
      <c r="I27" s="54">
        <f>SUM(J27)-3</f>
        <v>33.5</v>
      </c>
      <c r="J27" s="67">
        <v>36.5</v>
      </c>
      <c r="K27" s="68">
        <f>SUM(J27)+3</f>
        <v>39.5</v>
      </c>
      <c r="L27" s="68">
        <f>SUM(K27)+3</f>
        <v>42.5</v>
      </c>
      <c r="M27" s="94">
        <f>SUM(L27)+3</f>
        <v>45.5</v>
      </c>
    </row>
    <row r="28" spans="1:13" ht="14.1" customHeight="1" x14ac:dyDescent="0.3">
      <c r="A28" s="48"/>
      <c r="B28" s="79" t="s">
        <v>742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ht="14.1" customHeight="1" x14ac:dyDescent="0.3">
      <c r="A29" s="48">
        <v>14</v>
      </c>
      <c r="B29" s="65" t="s">
        <v>743</v>
      </c>
      <c r="C29" s="66"/>
      <c r="D29" s="88"/>
      <c r="E29" s="89"/>
      <c r="F29" s="89"/>
      <c r="G29" s="90"/>
      <c r="H29" s="54">
        <f>SUM(I29)-0.8</f>
        <v>10.199999999999999</v>
      </c>
      <c r="I29" s="54">
        <f>SUM(J29)-0.8</f>
        <v>11</v>
      </c>
      <c r="J29" s="67">
        <v>11.8</v>
      </c>
      <c r="K29" s="68">
        <f>SUM(J29)+0.8</f>
        <v>12.600000000000001</v>
      </c>
      <c r="L29" s="68">
        <f>SUM(K29)+0.8</f>
        <v>13.400000000000002</v>
      </c>
      <c r="M29" s="94">
        <f>SUM(L29)+0.8</f>
        <v>14.200000000000003</v>
      </c>
    </row>
    <row r="30" spans="1:13" ht="14.1" customHeight="1" x14ac:dyDescent="0.3">
      <c r="A30" s="78"/>
      <c r="B30" s="79" t="s">
        <v>744</v>
      </c>
      <c r="C30" s="80"/>
      <c r="D30" s="51" t="s">
        <v>413</v>
      </c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 t="s">
        <v>745</v>
      </c>
      <c r="C31" s="66"/>
      <c r="D31" s="88"/>
      <c r="E31" s="89"/>
      <c r="F31" s="89"/>
      <c r="G31" s="90"/>
      <c r="H31" s="54">
        <f>SUM(I31)-1</f>
        <v>9.6999999999999993</v>
      </c>
      <c r="I31" s="54">
        <f>SUM(J31)-1</f>
        <v>10.7</v>
      </c>
      <c r="J31" s="67">
        <v>11.7</v>
      </c>
      <c r="K31" s="68">
        <f>SUM(J31)+1</f>
        <v>12.7</v>
      </c>
      <c r="L31" s="68">
        <f>SUM(K31)+1</f>
        <v>13.7</v>
      </c>
      <c r="M31" s="94">
        <f>SUM(L31)+1</f>
        <v>14.7</v>
      </c>
    </row>
    <row r="32" spans="1:13" ht="14.1" customHeight="1" x14ac:dyDescent="0.3">
      <c r="A32" s="78"/>
      <c r="B32" s="79" t="s">
        <v>747</v>
      </c>
      <c r="C32" s="80"/>
      <c r="D32" s="51" t="s">
        <v>413</v>
      </c>
      <c r="E32" s="52"/>
      <c r="F32" s="52"/>
      <c r="G32" s="53"/>
      <c r="H32" s="81"/>
      <c r="I32" s="81"/>
      <c r="J32" s="55"/>
      <c r="K32" s="54"/>
      <c r="L32" s="54"/>
      <c r="M32" s="101"/>
    </row>
    <row r="33" spans="1:13" ht="14.1" customHeight="1" x14ac:dyDescent="0.3">
      <c r="A33" s="48">
        <v>16</v>
      </c>
      <c r="B33" s="65" t="s">
        <v>746</v>
      </c>
      <c r="C33" s="66"/>
      <c r="D33" s="88"/>
      <c r="E33" s="89"/>
      <c r="F33" s="89"/>
      <c r="G33" s="90"/>
      <c r="H33" s="54">
        <f>SUM(I33)-1.2</f>
        <v>10.600000000000001</v>
      </c>
      <c r="I33" s="54">
        <f>SUM(J33)-1.2</f>
        <v>11.8</v>
      </c>
      <c r="J33" s="67">
        <v>13</v>
      </c>
      <c r="K33" s="68">
        <f>SUM(J33)+1.2</f>
        <v>14.2</v>
      </c>
      <c r="L33" s="68">
        <f>SUM(K33)+1.2</f>
        <v>15.399999999999999</v>
      </c>
      <c r="M33" s="94">
        <f>SUM(L33)+1.2</f>
        <v>16.599999999999998</v>
      </c>
    </row>
    <row r="34" spans="1:13" ht="14.1" customHeight="1" x14ac:dyDescent="0.3">
      <c r="A34" s="78"/>
      <c r="B34" s="79" t="s">
        <v>748</v>
      </c>
      <c r="C34" s="80"/>
      <c r="D34" s="51" t="s">
        <v>413</v>
      </c>
      <c r="E34" s="52"/>
      <c r="F34" s="52"/>
      <c r="G34" s="53"/>
      <c r="H34" s="81"/>
      <c r="I34" s="81"/>
      <c r="J34" s="55"/>
      <c r="K34" s="54"/>
      <c r="L34" s="54"/>
      <c r="M34" s="101"/>
    </row>
    <row r="35" spans="1:13" ht="14.1" customHeight="1" x14ac:dyDescent="0.3">
      <c r="A35" s="48">
        <v>17</v>
      </c>
      <c r="B35" s="65"/>
      <c r="C35" s="66"/>
      <c r="D35" s="88"/>
      <c r="E35" s="89"/>
      <c r="F35" s="89"/>
      <c r="G35" s="90"/>
      <c r="H35" s="54"/>
      <c r="I35" s="54"/>
      <c r="J35" s="67"/>
      <c r="K35" s="68"/>
      <c r="L35" s="68"/>
      <c r="M35" s="94"/>
    </row>
    <row r="36" spans="1:13" ht="14.1" customHeight="1" x14ac:dyDescent="0.3">
      <c r="A36" s="78"/>
      <c r="B36" s="79"/>
      <c r="C36" s="80"/>
      <c r="D36" s="51"/>
      <c r="E36" s="52"/>
      <c r="F36" s="52"/>
      <c r="G36" s="53"/>
      <c r="H36" s="81"/>
      <c r="I36" s="81"/>
      <c r="J36" s="55"/>
      <c r="K36" s="54"/>
      <c r="L36" s="54"/>
      <c r="M36" s="101"/>
    </row>
    <row r="37" spans="1:13" ht="14.1" customHeight="1" x14ac:dyDescent="0.3">
      <c r="A37" s="48">
        <v>18</v>
      </c>
      <c r="B37" s="65"/>
      <c r="C37" s="66"/>
      <c r="D37" s="88"/>
      <c r="E37" s="89"/>
      <c r="F37" s="89"/>
      <c r="G37" s="90"/>
      <c r="H37" s="54"/>
      <c r="I37" s="54"/>
      <c r="J37" s="67"/>
      <c r="K37" s="68"/>
      <c r="L37" s="68"/>
      <c r="M37" s="94"/>
    </row>
    <row r="38" spans="1:13" ht="14.1" customHeight="1" x14ac:dyDescent="0.3">
      <c r="A38" s="78"/>
      <c r="B38" s="79"/>
      <c r="C38" s="80"/>
      <c r="D38" s="51"/>
      <c r="E38" s="52"/>
      <c r="F38" s="52"/>
      <c r="G38" s="53"/>
      <c r="H38" s="81"/>
      <c r="I38" s="81"/>
      <c r="J38" s="55"/>
      <c r="K38" s="54"/>
      <c r="L38" s="54"/>
      <c r="M38" s="101"/>
    </row>
    <row r="39" spans="1:13" ht="14.1" customHeight="1" x14ac:dyDescent="0.3">
      <c r="A39" s="48">
        <v>19</v>
      </c>
      <c r="B39" s="65"/>
      <c r="C39" s="66"/>
      <c r="D39" s="88"/>
      <c r="E39" s="89"/>
      <c r="F39" s="89"/>
      <c r="G39" s="90"/>
      <c r="H39" s="54"/>
      <c r="I39" s="54"/>
      <c r="J39" s="67"/>
      <c r="K39" s="68"/>
      <c r="L39" s="68"/>
      <c r="M39" s="94"/>
    </row>
    <row r="40" spans="1:13" ht="14.1" customHeight="1" x14ac:dyDescent="0.3">
      <c r="A40" s="78"/>
      <c r="B40" s="57"/>
      <c r="C40" s="58"/>
      <c r="D40" s="46"/>
      <c r="E40" s="47"/>
      <c r="F40" s="47"/>
      <c r="G40" s="59"/>
      <c r="H40" s="40"/>
      <c r="I40" s="40"/>
      <c r="J40" s="55"/>
      <c r="K40" s="68"/>
      <c r="L40" s="68"/>
      <c r="M40" s="94"/>
    </row>
    <row r="41" spans="1:13" ht="14.1" customHeight="1" x14ac:dyDescent="0.3">
      <c r="A41" s="48">
        <v>20</v>
      </c>
      <c r="B41" s="65"/>
      <c r="C41" s="66"/>
      <c r="D41" s="88"/>
      <c r="E41" s="89"/>
      <c r="F41" s="89"/>
      <c r="G41" s="90"/>
      <c r="H41" s="54"/>
      <c r="I41" s="54"/>
      <c r="J41" s="67"/>
      <c r="K41" s="68"/>
      <c r="L41" s="68"/>
      <c r="M41" s="94"/>
    </row>
    <row r="42" spans="1:13" ht="14.1" customHeight="1" x14ac:dyDescent="0.3">
      <c r="A42" s="78"/>
      <c r="B42" s="57"/>
      <c r="C42" s="58"/>
      <c r="D42" s="46"/>
      <c r="E42" s="47"/>
      <c r="F42" s="47"/>
      <c r="G42" s="59"/>
      <c r="H42" s="40"/>
      <c r="I42" s="40"/>
      <c r="J42" s="55"/>
      <c r="K42" s="68"/>
      <c r="L42" s="68"/>
      <c r="M42" s="94"/>
    </row>
    <row r="43" spans="1:13" ht="14.1" customHeight="1" x14ac:dyDescent="0.3">
      <c r="A43" s="48">
        <v>21</v>
      </c>
      <c r="B43" s="65"/>
      <c r="C43" s="66"/>
      <c r="D43" s="88"/>
      <c r="E43" s="89"/>
      <c r="F43" s="89"/>
      <c r="G43" s="90"/>
      <c r="H43" s="54"/>
      <c r="I43" s="54"/>
      <c r="J43" s="67"/>
      <c r="K43" s="68"/>
      <c r="L43" s="68"/>
      <c r="M43" s="94"/>
    </row>
    <row r="44" spans="1:13" ht="14.1" customHeight="1" thickBot="1" x14ac:dyDescent="0.35">
      <c r="A44" s="87"/>
      <c r="B44" s="96"/>
      <c r="C44" s="97"/>
      <c r="D44" s="98"/>
      <c r="E44" s="99"/>
      <c r="F44" s="99"/>
      <c r="G44" s="100"/>
      <c r="H44" s="91"/>
      <c r="I44" s="91"/>
      <c r="J44" s="92"/>
      <c r="K44" s="93"/>
      <c r="L44" s="93"/>
      <c r="M44" s="95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89CB-EDD5-4A91-90C2-54C064F595F0}">
  <sheetPr>
    <tabColor rgb="FFFF0000"/>
    <pageSetUpPr fitToPage="1"/>
  </sheetPr>
  <dimension ref="A1:P49"/>
  <sheetViews>
    <sheetView zoomScale="110" zoomScaleNormal="110" workbookViewId="0">
      <selection activeCell="H35" sqref="H35:H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9.625" customWidth="1"/>
    <col min="8" max="13" width="5.5" customWidth="1"/>
  </cols>
  <sheetData>
    <row r="1" spans="1:16" ht="16.5" customHeight="1" thickBot="1" x14ac:dyDescent="0.35">
      <c r="A1" s="30" t="s">
        <v>652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6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6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39">
        <f>SUM(I3)-5</f>
        <v>55.400000000000006</v>
      </c>
      <c r="I3" s="39">
        <f>SUM(J3)-5</f>
        <v>60.400000000000006</v>
      </c>
      <c r="J3" s="41">
        <v>65.400000000000006</v>
      </c>
      <c r="K3" s="39">
        <f>SUM(J3)+5</f>
        <v>70.400000000000006</v>
      </c>
      <c r="L3" s="39">
        <f>SUM(K3)+5</f>
        <v>75.400000000000006</v>
      </c>
      <c r="M3" s="43"/>
    </row>
    <row r="4" spans="1:16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6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21.799999999999997</v>
      </c>
      <c r="I5" s="54">
        <f>SUM(J5)-1.6</f>
        <v>23.4</v>
      </c>
      <c r="J5" s="55">
        <v>25</v>
      </c>
      <c r="K5" s="54">
        <f>SUM(J5)+1.4</f>
        <v>26.4</v>
      </c>
      <c r="L5" s="54">
        <f t="shared" ref="L5" si="0">SUM(K5)+1.4</f>
        <v>27.799999999999997</v>
      </c>
      <c r="M5" s="56"/>
    </row>
    <row r="6" spans="1:16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6" s="1" customFormat="1" ht="14.1" customHeight="1" x14ac:dyDescent="0.3">
      <c r="A7" s="48">
        <v>5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>SUM(K7)+2</f>
        <v>39</v>
      </c>
      <c r="M7" s="56"/>
    </row>
    <row r="8" spans="1:16" s="1" customFormat="1" ht="14.1" customHeight="1" thickBot="1" x14ac:dyDescent="0.35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6" s="1" customFormat="1" ht="14.1" customHeight="1" thickTop="1" x14ac:dyDescent="0.3">
      <c r="A9" s="48">
        <v>6</v>
      </c>
      <c r="B9" s="60" t="s">
        <v>654</v>
      </c>
      <c r="C9" s="60"/>
      <c r="D9" s="61"/>
      <c r="E9" s="61"/>
      <c r="F9" s="61"/>
      <c r="G9" s="61"/>
      <c r="H9" s="54">
        <f>SUM(I9)-2.2</f>
        <v>29.6</v>
      </c>
      <c r="I9" s="54">
        <f>SUM(J9)-2.2</f>
        <v>31.8</v>
      </c>
      <c r="J9" s="55">
        <v>34</v>
      </c>
      <c r="K9" s="54">
        <f>SUM(J9)+2</f>
        <v>36</v>
      </c>
      <c r="L9" s="54">
        <f t="shared" ref="L9" si="1">SUM(K9)+2</f>
        <v>38</v>
      </c>
      <c r="M9" s="56"/>
      <c r="P9" s="16" t="s">
        <v>656</v>
      </c>
    </row>
    <row r="10" spans="1:16" s="1" customFormat="1" ht="14.1" customHeight="1" x14ac:dyDescent="0.3">
      <c r="A10" s="48"/>
      <c r="B10" s="45" t="s">
        <v>655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44"/>
      <c r="P10" s="17">
        <f>SUM(H11+I11+J11+K11+L11)</f>
        <v>119.39999999999999</v>
      </c>
    </row>
    <row r="11" spans="1:16" s="1" customFormat="1" ht="14.1" customHeight="1" thickBot="1" x14ac:dyDescent="0.35">
      <c r="A11" s="48">
        <v>7</v>
      </c>
      <c r="B11" s="60" t="s">
        <v>216</v>
      </c>
      <c r="C11" s="60"/>
      <c r="D11" s="61"/>
      <c r="E11" s="61"/>
      <c r="F11" s="61"/>
      <c r="G11" s="61"/>
      <c r="H11" s="54">
        <f>SUM(I11)-1.6</f>
        <v>20.799999999999997</v>
      </c>
      <c r="I11" s="54">
        <f>SUM(J11)-1.6</f>
        <v>22.4</v>
      </c>
      <c r="J11" s="55">
        <v>24</v>
      </c>
      <c r="K11" s="54">
        <f>SUM(J11)+1.4</f>
        <v>25.4</v>
      </c>
      <c r="L11" s="54">
        <f>SUM(K11)+1.4</f>
        <v>26.799999999999997</v>
      </c>
      <c r="M11" s="56"/>
      <c r="P11" s="18">
        <f>SUM(P10/91.44/5*1.08)</f>
        <v>0.28204724409448823</v>
      </c>
    </row>
    <row r="12" spans="1:16" s="1" customFormat="1" ht="14.1" customHeight="1" thickTop="1" x14ac:dyDescent="0.3">
      <c r="A12" s="48"/>
      <c r="B12" s="45" t="s">
        <v>425</v>
      </c>
      <c r="C12" s="45"/>
      <c r="D12" s="46" t="s">
        <v>824</v>
      </c>
      <c r="E12" s="47"/>
      <c r="F12" s="47"/>
      <c r="G12" s="59"/>
      <c r="H12" s="40"/>
      <c r="I12" s="40"/>
      <c r="J12" s="42"/>
      <c r="K12" s="40"/>
      <c r="L12" s="40"/>
      <c r="M12" s="44"/>
      <c r="P12" s="16" t="s">
        <v>457</v>
      </c>
    </row>
    <row r="13" spans="1:16" s="1" customFormat="1" ht="14.1" customHeight="1" x14ac:dyDescent="0.3">
      <c r="A13" s="48">
        <v>8</v>
      </c>
      <c r="B13" s="60" t="s">
        <v>825</v>
      </c>
      <c r="C13" s="60"/>
      <c r="D13" s="61"/>
      <c r="E13" s="61"/>
      <c r="F13" s="61"/>
      <c r="G13" s="61"/>
      <c r="H13" s="54">
        <f>SUM(I13)-0.6</f>
        <v>8.8000000000000007</v>
      </c>
      <c r="I13" s="54">
        <f>SUM(J13)-0.6</f>
        <v>9.4</v>
      </c>
      <c r="J13" s="55">
        <v>10</v>
      </c>
      <c r="K13" s="54">
        <f>SUM(J13)+0.6</f>
        <v>10.6</v>
      </c>
      <c r="L13" s="54">
        <f>SUM(K13)+0.6</f>
        <v>11.2</v>
      </c>
      <c r="M13" s="56"/>
      <c r="P13" s="17">
        <f>SUM(H29+H29+I29+I29+J29+J29+K29+K29+L29+L29)</f>
        <v>230</v>
      </c>
    </row>
    <row r="14" spans="1:16" s="1" customFormat="1" ht="14.1" customHeight="1" thickBot="1" x14ac:dyDescent="0.35">
      <c r="A14" s="48"/>
      <c r="B14" s="45" t="s">
        <v>826</v>
      </c>
      <c r="C14" s="45"/>
      <c r="D14" s="46" t="s">
        <v>827</v>
      </c>
      <c r="E14" s="47"/>
      <c r="F14" s="47"/>
      <c r="G14" s="59"/>
      <c r="H14" s="40"/>
      <c r="I14" s="40"/>
      <c r="J14" s="42"/>
      <c r="K14" s="40"/>
      <c r="L14" s="40"/>
      <c r="M14" s="44"/>
      <c r="P14" s="18">
        <f>SUM(P13/5/91.44*1.08)</f>
        <v>0.54330708661417326</v>
      </c>
    </row>
    <row r="15" spans="1:16" s="1" customFormat="1" ht="14.1" customHeight="1" thickTop="1" x14ac:dyDescent="0.3">
      <c r="A15" s="48">
        <v>9</v>
      </c>
      <c r="B15" s="79" t="s">
        <v>828</v>
      </c>
      <c r="C15" s="80"/>
      <c r="D15" s="61"/>
      <c r="E15" s="61"/>
      <c r="F15" s="61"/>
      <c r="G15" s="61"/>
      <c r="H15" s="54">
        <f>SUM(I15)-0.7</f>
        <v>13.100000000000001</v>
      </c>
      <c r="I15" s="54">
        <f>SUM(J15)-0.7</f>
        <v>13.8</v>
      </c>
      <c r="J15" s="67">
        <v>14.5</v>
      </c>
      <c r="K15" s="68">
        <f>SUM(J15)+0.7</f>
        <v>15.2</v>
      </c>
      <c r="L15" s="68">
        <f>SUM(K15)+0.7</f>
        <v>15.899999999999999</v>
      </c>
      <c r="M15" s="69"/>
      <c r="P15" s="16" t="s">
        <v>829</v>
      </c>
    </row>
    <row r="16" spans="1:16" s="1" customFormat="1" ht="14.1" customHeight="1" x14ac:dyDescent="0.3">
      <c r="A16" s="48"/>
      <c r="B16" s="70" t="s">
        <v>830</v>
      </c>
      <c r="C16" s="71"/>
      <c r="D16" s="46" t="s">
        <v>831</v>
      </c>
      <c r="E16" s="47"/>
      <c r="F16" s="47"/>
      <c r="G16" s="59"/>
      <c r="H16" s="40"/>
      <c r="I16" s="40"/>
      <c r="J16" s="67"/>
      <c r="K16" s="68"/>
      <c r="L16" s="68"/>
      <c r="M16" s="69"/>
      <c r="P16" s="17">
        <f>SUM(H13+I13+J13+K13+L13)*6</f>
        <v>300</v>
      </c>
    </row>
    <row r="17" spans="1:16" s="1" customFormat="1" ht="14.1" customHeight="1" thickBot="1" x14ac:dyDescent="0.35">
      <c r="A17" s="48">
        <v>10</v>
      </c>
      <c r="B17" s="60" t="s">
        <v>10</v>
      </c>
      <c r="C17" s="60"/>
      <c r="D17" s="61" t="s">
        <v>0</v>
      </c>
      <c r="E17" s="61"/>
      <c r="F17" s="61"/>
      <c r="G17" s="61"/>
      <c r="H17" s="54">
        <f>SUM(I17)-0.9</f>
        <v>14.1</v>
      </c>
      <c r="I17" s="54">
        <f>SUM(J17)-0.9</f>
        <v>15</v>
      </c>
      <c r="J17" s="67">
        <v>15.9</v>
      </c>
      <c r="K17" s="68">
        <f>SUM(J17)+0.9</f>
        <v>16.8</v>
      </c>
      <c r="L17" s="68">
        <f t="shared" ref="L17" si="2">SUM(K17)+0.9</f>
        <v>17.7</v>
      </c>
      <c r="M17" s="69"/>
      <c r="P17" s="18">
        <f>SUM(P16/5/91.44*1.08)</f>
        <v>0.70866141732283472</v>
      </c>
    </row>
    <row r="18" spans="1:16" s="1" customFormat="1" ht="14.1" customHeight="1" thickTop="1" x14ac:dyDescent="0.3">
      <c r="A18" s="48"/>
      <c r="B18" s="45" t="s">
        <v>26</v>
      </c>
      <c r="C18" s="45"/>
      <c r="D18" s="46" t="s">
        <v>45</v>
      </c>
      <c r="E18" s="47"/>
      <c r="F18" s="47"/>
      <c r="G18" s="59"/>
      <c r="H18" s="40"/>
      <c r="I18" s="40"/>
      <c r="J18" s="67"/>
      <c r="K18" s="68"/>
      <c r="L18" s="68"/>
      <c r="M18" s="69"/>
      <c r="P18" s="16" t="s">
        <v>832</v>
      </c>
    </row>
    <row r="19" spans="1:16" s="1" customFormat="1" ht="14.1" customHeight="1" x14ac:dyDescent="0.3">
      <c r="A19" s="48">
        <v>11</v>
      </c>
      <c r="B19" s="60" t="s">
        <v>1</v>
      </c>
      <c r="C19" s="60"/>
      <c r="D19" s="61" t="s">
        <v>163</v>
      </c>
      <c r="E19" s="61"/>
      <c r="F19" s="61"/>
      <c r="G19" s="61"/>
      <c r="H19" s="54">
        <f>SUM(I19)-0.6</f>
        <v>14.8</v>
      </c>
      <c r="I19" s="54">
        <f>SUM(J19)-0.6</f>
        <v>15.4</v>
      </c>
      <c r="J19" s="67">
        <v>16</v>
      </c>
      <c r="K19" s="68">
        <f>SUM(J19)+0.6</f>
        <v>16.600000000000001</v>
      </c>
      <c r="L19" s="68">
        <f>SUM(K19)+0.6</f>
        <v>17.200000000000003</v>
      </c>
      <c r="M19" s="69"/>
      <c r="P19" s="17">
        <f>SUM(H15+H15+I15+I15+J15+J15+K15+K15+L15+L15)</f>
        <v>145</v>
      </c>
    </row>
    <row r="20" spans="1:16" s="1" customFormat="1" ht="14.1" customHeight="1" thickBot="1" x14ac:dyDescent="0.35">
      <c r="A20" s="48"/>
      <c r="B20" s="45" t="s">
        <v>27</v>
      </c>
      <c r="C20" s="45"/>
      <c r="D20" s="46" t="s">
        <v>46</v>
      </c>
      <c r="E20" s="47"/>
      <c r="F20" s="47"/>
      <c r="G20" s="59"/>
      <c r="H20" s="40"/>
      <c r="I20" s="40"/>
      <c r="J20" s="67"/>
      <c r="K20" s="68"/>
      <c r="L20" s="68"/>
      <c r="M20" s="69"/>
      <c r="P20" s="18">
        <f>SUM(P19/5/91.44*1.08)</f>
        <v>0.34251968503937008</v>
      </c>
    </row>
    <row r="21" spans="1:16" s="1" customFormat="1" ht="14.1" customHeight="1" thickTop="1" x14ac:dyDescent="0.3">
      <c r="A21" s="48">
        <v>12</v>
      </c>
      <c r="B21" s="60" t="s">
        <v>2</v>
      </c>
      <c r="C21" s="60"/>
      <c r="D21" s="61" t="s">
        <v>3</v>
      </c>
      <c r="E21" s="61"/>
      <c r="F21" s="61"/>
      <c r="G21" s="61"/>
      <c r="H21" s="54">
        <f>SUM(I21)-0.3</f>
        <v>5.1000000000000005</v>
      </c>
      <c r="I21" s="54">
        <f>SUM(J21)-0.3</f>
        <v>5.4</v>
      </c>
      <c r="J21" s="67">
        <v>5.7</v>
      </c>
      <c r="K21" s="68">
        <f>SUM(J21)+0.3</f>
        <v>6</v>
      </c>
      <c r="L21" s="68">
        <f>SUM(K21)+0.3</f>
        <v>6.3</v>
      </c>
      <c r="M21" s="69"/>
    </row>
    <row r="22" spans="1:16" s="1" customFormat="1" ht="14.1" customHeight="1" x14ac:dyDescent="0.3">
      <c r="A22" s="48"/>
      <c r="B22" s="45" t="s">
        <v>28</v>
      </c>
      <c r="C22" s="45"/>
      <c r="D22" s="46" t="s">
        <v>47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6" s="1" customFormat="1" ht="14.1" customHeight="1" x14ac:dyDescent="0.3">
      <c r="A23" s="48">
        <v>13</v>
      </c>
      <c r="B23" s="65" t="s">
        <v>73</v>
      </c>
      <c r="C23" s="66"/>
      <c r="D23" s="62" t="s">
        <v>74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6" s="1" customFormat="1" ht="14.1" customHeight="1" x14ac:dyDescent="0.3">
      <c r="A24" s="48"/>
      <c r="B24" s="45" t="s">
        <v>33</v>
      </c>
      <c r="C24" s="45"/>
      <c r="D24" s="46" t="s">
        <v>86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6" s="1" customFormat="1" ht="14.1" customHeight="1" x14ac:dyDescent="0.3">
      <c r="A25" s="48">
        <v>14</v>
      </c>
      <c r="B25" s="60" t="s">
        <v>4</v>
      </c>
      <c r="C25" s="60"/>
      <c r="D25" s="61" t="s">
        <v>5</v>
      </c>
      <c r="E25" s="61"/>
      <c r="F25" s="61"/>
      <c r="G25" s="61"/>
      <c r="H25" s="54">
        <f>SUM(I25)-1.2</f>
        <v>10.500000000000002</v>
      </c>
      <c r="I25" s="54">
        <f>SUM(J25)-1.2</f>
        <v>11.700000000000001</v>
      </c>
      <c r="J25" s="67">
        <v>12.9</v>
      </c>
      <c r="K25" s="68">
        <f>SUM(J25)+1.3</f>
        <v>14.200000000000001</v>
      </c>
      <c r="L25" s="68">
        <f t="shared" ref="L25" si="3">SUM(K25)+1.3</f>
        <v>15.500000000000002</v>
      </c>
      <c r="M25" s="69"/>
    </row>
    <row r="26" spans="1:16" s="1" customFormat="1" ht="14.1" customHeight="1" x14ac:dyDescent="0.3">
      <c r="A26" s="48"/>
      <c r="B26" s="45" t="s">
        <v>29</v>
      </c>
      <c r="C26" s="45"/>
      <c r="D26" s="46" t="s">
        <v>48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6" s="1" customFormat="1" ht="14.1" customHeight="1" x14ac:dyDescent="0.3">
      <c r="A27" s="48">
        <v>15</v>
      </c>
      <c r="B27" s="60" t="s">
        <v>6</v>
      </c>
      <c r="C27" s="60"/>
      <c r="D27" s="62" t="s">
        <v>7</v>
      </c>
      <c r="E27" s="63"/>
      <c r="F27" s="63"/>
      <c r="G27" s="64"/>
      <c r="H27" s="54"/>
      <c r="I27" s="54"/>
      <c r="J27" s="67"/>
      <c r="K27" s="68"/>
      <c r="L27" s="68"/>
      <c r="M27" s="69"/>
    </row>
    <row r="28" spans="1:16" s="1" customFormat="1" ht="14.1" customHeight="1" x14ac:dyDescent="0.3">
      <c r="A28" s="48"/>
      <c r="B28" s="45" t="s">
        <v>30</v>
      </c>
      <c r="C28" s="45"/>
      <c r="D28" s="46" t="s">
        <v>67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6" ht="14.1" customHeight="1" x14ac:dyDescent="0.3">
      <c r="A29" s="48">
        <v>16</v>
      </c>
      <c r="B29" s="65" t="s">
        <v>657</v>
      </c>
      <c r="C29" s="66"/>
      <c r="D29" s="61"/>
      <c r="E29" s="61"/>
      <c r="F29" s="61"/>
      <c r="G29" s="61"/>
      <c r="H29" s="54">
        <f>SUM(I29)-1.2</f>
        <v>20.6</v>
      </c>
      <c r="I29" s="54">
        <f>SUM(J29)-1.2</f>
        <v>21.8</v>
      </c>
      <c r="J29" s="67">
        <v>23</v>
      </c>
      <c r="K29" s="68">
        <f>SUM(J29)+1.2</f>
        <v>24.2</v>
      </c>
      <c r="L29" s="68">
        <f>SUM(K29)+1.2</f>
        <v>25.4</v>
      </c>
      <c r="M29" s="69"/>
      <c r="N29" s="1"/>
    </row>
    <row r="30" spans="1:16" ht="14.1" customHeight="1" x14ac:dyDescent="0.3">
      <c r="A30" s="48"/>
      <c r="B30" s="45" t="s">
        <v>658</v>
      </c>
      <c r="C30" s="45"/>
      <c r="D30" s="46" t="s">
        <v>659</v>
      </c>
      <c r="E30" s="47"/>
      <c r="F30" s="47"/>
      <c r="G30" s="59"/>
      <c r="H30" s="40"/>
      <c r="I30" s="40"/>
      <c r="J30" s="67"/>
      <c r="K30" s="68"/>
      <c r="L30" s="68"/>
      <c r="M30" s="69"/>
      <c r="N30" s="1"/>
    </row>
    <row r="31" spans="1:16" ht="14.1" customHeight="1" x14ac:dyDescent="0.3">
      <c r="A31" s="48">
        <v>17</v>
      </c>
      <c r="B31" s="65" t="s">
        <v>121</v>
      </c>
      <c r="C31" s="66"/>
      <c r="D31" s="75"/>
      <c r="E31" s="76"/>
      <c r="F31" s="76"/>
      <c r="G31" s="77"/>
      <c r="H31" s="54">
        <f>SUM(I31)-3.1</f>
        <v>34.299999999999997</v>
      </c>
      <c r="I31" s="54">
        <f>SUM(J31)-3.1</f>
        <v>37.4</v>
      </c>
      <c r="J31" s="55">
        <v>40.5</v>
      </c>
      <c r="K31" s="54">
        <f>SUM(J31)+3.1</f>
        <v>43.6</v>
      </c>
      <c r="L31" s="54">
        <f t="shared" ref="L31" si="4">SUM(K31)+3.1</f>
        <v>46.7</v>
      </c>
      <c r="M31" s="56"/>
    </row>
    <row r="32" spans="1:16" ht="14.1" customHeight="1" x14ac:dyDescent="0.3">
      <c r="A32" s="48"/>
      <c r="B32" s="70" t="s">
        <v>154</v>
      </c>
      <c r="C32" s="71"/>
      <c r="D32" s="72" t="s">
        <v>653</v>
      </c>
      <c r="E32" s="73"/>
      <c r="F32" s="73"/>
      <c r="G32" s="74"/>
      <c r="H32" s="40"/>
      <c r="I32" s="40"/>
      <c r="J32" s="42"/>
      <c r="K32" s="40"/>
      <c r="L32" s="40"/>
      <c r="M32" s="44"/>
    </row>
    <row r="33" spans="1:13" ht="14.1" customHeight="1" x14ac:dyDescent="0.3">
      <c r="A33" s="48">
        <v>18</v>
      </c>
      <c r="B33" s="65"/>
      <c r="C33" s="66"/>
      <c r="D33" s="75"/>
      <c r="E33" s="76"/>
      <c r="F33" s="76"/>
      <c r="G33" s="77"/>
      <c r="H33" s="54"/>
      <c r="I33" s="54"/>
      <c r="J33" s="55"/>
      <c r="K33" s="54"/>
      <c r="L33" s="54"/>
      <c r="M33" s="101">
        <f>SUM(L33)+2.2</f>
        <v>2.2000000000000002</v>
      </c>
    </row>
    <row r="34" spans="1:13" ht="14.1" customHeight="1" x14ac:dyDescent="0.3">
      <c r="A34" s="48"/>
      <c r="B34" s="70"/>
      <c r="C34" s="71"/>
      <c r="D34" s="72"/>
      <c r="E34" s="73"/>
      <c r="F34" s="73"/>
      <c r="G34" s="74"/>
      <c r="H34" s="40"/>
      <c r="I34" s="40"/>
      <c r="J34" s="42"/>
      <c r="K34" s="40"/>
      <c r="L34" s="40"/>
      <c r="M34" s="102"/>
    </row>
    <row r="35" spans="1:13" ht="14.1" customHeight="1" x14ac:dyDescent="0.3">
      <c r="A35" s="48">
        <v>19</v>
      </c>
      <c r="B35" s="79"/>
      <c r="C35" s="80"/>
      <c r="D35" s="75"/>
      <c r="E35" s="76"/>
      <c r="F35" s="76"/>
      <c r="G35" s="77"/>
      <c r="H35" s="54"/>
      <c r="I35" s="54"/>
      <c r="J35" s="55"/>
      <c r="K35" s="54"/>
      <c r="L35" s="54"/>
      <c r="M35" s="101">
        <f>SUM(L35)+0.7</f>
        <v>0.7</v>
      </c>
    </row>
    <row r="36" spans="1:13" ht="14.1" customHeight="1" thickBot="1" x14ac:dyDescent="0.35">
      <c r="A36" s="87"/>
      <c r="B36" s="96"/>
      <c r="C36" s="97"/>
      <c r="D36" s="109"/>
      <c r="E36" s="110"/>
      <c r="F36" s="110"/>
      <c r="G36" s="111"/>
      <c r="H36" s="91"/>
      <c r="I36" s="91"/>
      <c r="J36" s="107"/>
      <c r="K36" s="91"/>
      <c r="L36" s="91"/>
      <c r="M36" s="108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7F52-1B00-4D81-8DFC-72ADBE2C9924}">
  <sheetPr>
    <tabColor rgb="FFFF0000"/>
    <pageSetUpPr fitToPage="1"/>
  </sheetPr>
  <dimension ref="A1:M49"/>
  <sheetViews>
    <sheetView zoomScale="110" zoomScaleNormal="110" workbookViewId="0">
      <selection activeCell="O15" sqref="O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700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362</v>
      </c>
      <c r="E3" s="37"/>
      <c r="F3" s="37"/>
      <c r="G3" s="38"/>
      <c r="H3" s="39">
        <f>SUM(I3)-4.5</f>
        <v>49</v>
      </c>
      <c r="I3" s="39">
        <f>SUM(J3)-4.5</f>
        <v>53.5</v>
      </c>
      <c r="J3" s="41">
        <v>58</v>
      </c>
      <c r="K3" s="39">
        <f>SUM(J3)+4.5</f>
        <v>62.5</v>
      </c>
      <c r="L3" s="39">
        <f>SUM(K3)+4.5</f>
        <v>67</v>
      </c>
      <c r="M3" s="120">
        <f>SUM(L3)+4.5</f>
        <v>71.5</v>
      </c>
    </row>
    <row r="4" spans="1:13" s="1" customFormat="1" ht="14.1" customHeight="1" x14ac:dyDescent="0.3">
      <c r="A4" s="35"/>
      <c r="B4" s="45" t="s">
        <v>205</v>
      </c>
      <c r="C4" s="45"/>
      <c r="D4" s="46" t="s">
        <v>363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103">
        <v>2</v>
      </c>
      <c r="B5" s="105" t="s">
        <v>39</v>
      </c>
      <c r="C5" s="105"/>
      <c r="D5" s="106" t="s">
        <v>364</v>
      </c>
      <c r="E5" s="106"/>
      <c r="F5" s="106"/>
      <c r="G5" s="51"/>
      <c r="H5" s="81">
        <f>SUM(I5)-4.5</f>
        <v>49</v>
      </c>
      <c r="I5" s="81">
        <f>SUM(J5)-4.5</f>
        <v>53.5</v>
      </c>
      <c r="J5" s="82">
        <v>58</v>
      </c>
      <c r="K5" s="81">
        <f>SUM(J5)+4.5</f>
        <v>62.5</v>
      </c>
      <c r="L5" s="81">
        <f>SUM(K5)+4.5</f>
        <v>67</v>
      </c>
      <c r="M5" s="119">
        <f>SUM(L5)+4.5</f>
        <v>71.5</v>
      </c>
    </row>
    <row r="6" spans="1:13" s="1" customFormat="1" ht="14.1" customHeight="1" x14ac:dyDescent="0.3">
      <c r="A6" s="35"/>
      <c r="B6" s="45" t="s">
        <v>206</v>
      </c>
      <c r="C6" s="45"/>
      <c r="D6" s="46" t="s">
        <v>365</v>
      </c>
      <c r="E6" s="47"/>
      <c r="F6" s="47"/>
      <c r="G6" s="47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103">
        <v>3</v>
      </c>
      <c r="B7" s="60" t="s">
        <v>210</v>
      </c>
      <c r="C7" s="60"/>
      <c r="D7" s="61"/>
      <c r="E7" s="61"/>
      <c r="F7" s="61"/>
      <c r="G7" s="61"/>
      <c r="H7" s="54">
        <f>SUM(I7)-1</f>
        <v>14</v>
      </c>
      <c r="I7" s="54">
        <f>SUM(J7)-1</f>
        <v>15</v>
      </c>
      <c r="J7" s="67">
        <v>16</v>
      </c>
      <c r="K7" s="54">
        <f>SUM(J7)+1</f>
        <v>17</v>
      </c>
      <c r="L7" s="54">
        <f>SUM(K7)+1</f>
        <v>18</v>
      </c>
      <c r="M7" s="101">
        <f>SUM(L7)+1</f>
        <v>19</v>
      </c>
    </row>
    <row r="8" spans="1:13" s="1" customFormat="1" ht="14.1" customHeight="1" x14ac:dyDescent="0.3">
      <c r="A8" s="35"/>
      <c r="B8" s="45" t="s">
        <v>188</v>
      </c>
      <c r="C8" s="45"/>
      <c r="D8" s="46"/>
      <c r="E8" s="47"/>
      <c r="F8" s="47"/>
      <c r="G8" s="59"/>
      <c r="H8" s="40"/>
      <c r="I8" s="40"/>
      <c r="J8" s="67"/>
      <c r="K8" s="40"/>
      <c r="L8" s="40"/>
      <c r="M8" s="102"/>
    </row>
    <row r="9" spans="1:13" s="1" customFormat="1" ht="14.1" customHeight="1" x14ac:dyDescent="0.3">
      <c r="A9" s="103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SUM(I9)-2.25</f>
        <v>29.5</v>
      </c>
      <c r="I9" s="54">
        <f>SUM(J9)-2.25</f>
        <v>31.75</v>
      </c>
      <c r="J9" s="55">
        <v>34</v>
      </c>
      <c r="K9" s="54">
        <f>SUM(J9)+2</f>
        <v>36</v>
      </c>
      <c r="L9" s="54">
        <f>SUM(K9)+2</f>
        <v>38</v>
      </c>
      <c r="M9" s="101">
        <f>SUM(L9)+2</f>
        <v>40</v>
      </c>
    </row>
    <row r="10" spans="1:13" s="1" customFormat="1" ht="14.1" customHeight="1" x14ac:dyDescent="0.3">
      <c r="A10" s="35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103">
        <v>5</v>
      </c>
      <c r="B11" s="60" t="s">
        <v>268</v>
      </c>
      <c r="C11" s="60"/>
      <c r="D11" s="61" t="s">
        <v>8</v>
      </c>
      <c r="E11" s="61"/>
      <c r="F11" s="61"/>
      <c r="G11" s="61"/>
      <c r="H11" s="54">
        <f>SUM(I11)-2.1</f>
        <v>27.799999999999997</v>
      </c>
      <c r="I11" s="54">
        <f>SUM(J11)-2.1</f>
        <v>29.9</v>
      </c>
      <c r="J11" s="55">
        <v>32</v>
      </c>
      <c r="K11" s="54">
        <f>SUM(J11)+1.9</f>
        <v>33.9</v>
      </c>
      <c r="L11" s="54">
        <f>SUM(K11)+1.9</f>
        <v>35.799999999999997</v>
      </c>
      <c r="M11" s="101">
        <f>SUM(L11)+1.9</f>
        <v>37.699999999999996</v>
      </c>
    </row>
    <row r="12" spans="1:13" s="1" customFormat="1" ht="14.1" customHeight="1" x14ac:dyDescent="0.3">
      <c r="A12" s="35"/>
      <c r="B12" s="45" t="s">
        <v>269</v>
      </c>
      <c r="C12" s="45"/>
      <c r="D12" s="46" t="s">
        <v>44</v>
      </c>
      <c r="E12" s="47"/>
      <c r="F12" s="47"/>
      <c r="G12" s="59"/>
      <c r="H12" s="40"/>
      <c r="I12" s="40"/>
      <c r="J12" s="42"/>
      <c r="K12" s="40"/>
      <c r="L12" s="40"/>
      <c r="M12" s="102"/>
    </row>
    <row r="13" spans="1:13" s="1" customFormat="1" ht="14.1" customHeight="1" x14ac:dyDescent="0.3">
      <c r="A13" s="103">
        <v>6</v>
      </c>
      <c r="B13" s="65" t="s">
        <v>344</v>
      </c>
      <c r="C13" s="66"/>
      <c r="D13" s="62"/>
      <c r="E13" s="63"/>
      <c r="F13" s="63"/>
      <c r="G13" s="64"/>
      <c r="H13" s="54">
        <f>SUM(I13)-1</f>
        <v>13.4</v>
      </c>
      <c r="I13" s="54">
        <f>SUM(J13)-1</f>
        <v>14.4</v>
      </c>
      <c r="J13" s="55">
        <v>15.4</v>
      </c>
      <c r="K13" s="54">
        <f>SUM(J13)+0.9</f>
        <v>16.3</v>
      </c>
      <c r="L13" s="54">
        <f>SUM(K13)+0.9</f>
        <v>17.2</v>
      </c>
      <c r="M13" s="101">
        <f>SUM(L13)+0.9</f>
        <v>18.099999999999998</v>
      </c>
    </row>
    <row r="14" spans="1:13" s="1" customFormat="1" ht="14.1" customHeight="1" x14ac:dyDescent="0.3">
      <c r="A14" s="35"/>
      <c r="B14" s="45" t="s">
        <v>345</v>
      </c>
      <c r="C14" s="45"/>
      <c r="D14" s="46" t="s">
        <v>213</v>
      </c>
      <c r="E14" s="47"/>
      <c r="F14" s="47"/>
      <c r="G14" s="59"/>
      <c r="H14" s="40"/>
      <c r="I14" s="40"/>
      <c r="J14" s="42"/>
      <c r="K14" s="40"/>
      <c r="L14" s="40"/>
      <c r="M14" s="102"/>
    </row>
    <row r="15" spans="1:13" s="1" customFormat="1" ht="14.1" customHeight="1" x14ac:dyDescent="0.3">
      <c r="A15" s="103">
        <v>7</v>
      </c>
      <c r="B15" s="65" t="s">
        <v>346</v>
      </c>
      <c r="C15" s="66"/>
      <c r="D15" s="62"/>
      <c r="E15" s="63"/>
      <c r="F15" s="63"/>
      <c r="G15" s="64"/>
      <c r="H15" s="54">
        <f>SUM(I15)-1</f>
        <v>16.5</v>
      </c>
      <c r="I15" s="54">
        <f>SUM(J15)-1</f>
        <v>17.5</v>
      </c>
      <c r="J15" s="55">
        <v>18.5</v>
      </c>
      <c r="K15" s="54">
        <f>SUM(J15)+0.9</f>
        <v>19.399999999999999</v>
      </c>
      <c r="L15" s="54">
        <f>SUM(K15)+0.9</f>
        <v>20.299999999999997</v>
      </c>
      <c r="M15" s="101">
        <f>SUM(L15)+0.9</f>
        <v>21.199999999999996</v>
      </c>
    </row>
    <row r="16" spans="1:13" s="1" customFormat="1" ht="14.1" customHeight="1" x14ac:dyDescent="0.3">
      <c r="A16" s="35"/>
      <c r="B16" s="45" t="s">
        <v>347</v>
      </c>
      <c r="C16" s="45"/>
      <c r="D16" s="46" t="s">
        <v>213</v>
      </c>
      <c r="E16" s="47"/>
      <c r="F16" s="47"/>
      <c r="G16" s="59"/>
      <c r="H16" s="40"/>
      <c r="I16" s="40"/>
      <c r="J16" s="42"/>
      <c r="K16" s="40"/>
      <c r="L16" s="40"/>
      <c r="M16" s="102"/>
    </row>
    <row r="17" spans="1:13" s="1" customFormat="1" ht="14.1" customHeight="1" x14ac:dyDescent="0.3">
      <c r="A17" s="103">
        <v>8</v>
      </c>
      <c r="B17" s="60" t="s">
        <v>1</v>
      </c>
      <c r="C17" s="60"/>
      <c r="D17" s="61" t="s">
        <v>163</v>
      </c>
      <c r="E17" s="61"/>
      <c r="F17" s="61"/>
      <c r="G17" s="61"/>
      <c r="H17" s="54"/>
      <c r="I17" s="54"/>
      <c r="J17" s="67"/>
      <c r="K17" s="54"/>
      <c r="L17" s="54"/>
      <c r="M17" s="101"/>
    </row>
    <row r="18" spans="1:13" s="1" customFormat="1" ht="14.1" customHeight="1" x14ac:dyDescent="0.3">
      <c r="A18" s="35"/>
      <c r="B18" s="45" t="s">
        <v>27</v>
      </c>
      <c r="C18" s="45"/>
      <c r="D18" s="46" t="s">
        <v>46</v>
      </c>
      <c r="E18" s="47"/>
      <c r="F18" s="47"/>
      <c r="G18" s="59"/>
      <c r="H18" s="40"/>
      <c r="I18" s="40"/>
      <c r="J18" s="67"/>
      <c r="K18" s="40"/>
      <c r="L18" s="40"/>
      <c r="M18" s="102"/>
    </row>
    <row r="19" spans="1:13" s="1" customFormat="1" ht="14.1" customHeight="1" x14ac:dyDescent="0.3">
      <c r="A19" s="103">
        <v>9</v>
      </c>
      <c r="B19" s="60" t="s">
        <v>2</v>
      </c>
      <c r="C19" s="60"/>
      <c r="D19" s="61" t="s">
        <v>3</v>
      </c>
      <c r="E19" s="61"/>
      <c r="F19" s="61"/>
      <c r="G19" s="61"/>
      <c r="H19" s="54"/>
      <c r="I19" s="54"/>
      <c r="J19" s="67"/>
      <c r="K19" s="68"/>
      <c r="L19" s="68"/>
      <c r="M19" s="94"/>
    </row>
    <row r="20" spans="1:13" s="1" customFormat="1" ht="14.1" customHeight="1" x14ac:dyDescent="0.3">
      <c r="A20" s="35"/>
      <c r="B20" s="45" t="s">
        <v>28</v>
      </c>
      <c r="C20" s="45"/>
      <c r="D20" s="46" t="s">
        <v>196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3" s="1" customFormat="1" ht="14.1" customHeight="1" x14ac:dyDescent="0.3">
      <c r="A21" s="103">
        <v>10</v>
      </c>
      <c r="B21" s="65" t="s">
        <v>73</v>
      </c>
      <c r="C21" s="66"/>
      <c r="D21" s="62" t="s">
        <v>74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35"/>
      <c r="B22" s="45" t="s">
        <v>33</v>
      </c>
      <c r="C22" s="45"/>
      <c r="D22" s="46" t="s">
        <v>86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103">
        <v>11</v>
      </c>
      <c r="B23" s="65" t="s">
        <v>701</v>
      </c>
      <c r="C23" s="66"/>
      <c r="D23" s="75"/>
      <c r="E23" s="76"/>
      <c r="F23" s="76"/>
      <c r="G23" s="77"/>
      <c r="H23" s="54">
        <f>SUM(I23)-3</f>
        <v>34</v>
      </c>
      <c r="I23" s="54">
        <f>SUM(J23)-3</f>
        <v>37</v>
      </c>
      <c r="J23" s="55">
        <v>40</v>
      </c>
      <c r="K23" s="54">
        <f>SUM(J23)+3</f>
        <v>43</v>
      </c>
      <c r="L23" s="54">
        <f>SUM(K23)+3</f>
        <v>46</v>
      </c>
      <c r="M23" s="101">
        <f>SUM(L23)+3</f>
        <v>49</v>
      </c>
    </row>
    <row r="24" spans="1:13" s="1" customFormat="1" ht="14.1" customHeight="1" x14ac:dyDescent="0.3">
      <c r="A24" s="35"/>
      <c r="B24" s="70" t="s">
        <v>702</v>
      </c>
      <c r="C24" s="71"/>
      <c r="D24" s="72"/>
      <c r="E24" s="73"/>
      <c r="F24" s="73"/>
      <c r="G24" s="74"/>
      <c r="H24" s="40"/>
      <c r="I24" s="40"/>
      <c r="J24" s="42"/>
      <c r="K24" s="40"/>
      <c r="L24" s="40"/>
      <c r="M24" s="102"/>
    </row>
    <row r="25" spans="1:13" s="1" customFormat="1" ht="14.1" customHeight="1" x14ac:dyDescent="0.3">
      <c r="A25" s="103">
        <v>12</v>
      </c>
      <c r="B25" s="65" t="s">
        <v>221</v>
      </c>
      <c r="C25" s="66"/>
      <c r="D25" s="75"/>
      <c r="E25" s="76"/>
      <c r="F25" s="76"/>
      <c r="G25" s="77"/>
      <c r="H25" s="54">
        <f>SUM(I25)-1.3</f>
        <v>14.399999999999999</v>
      </c>
      <c r="I25" s="54">
        <f>SUM(J25)-1.3</f>
        <v>15.7</v>
      </c>
      <c r="J25" s="55">
        <v>17</v>
      </c>
      <c r="K25" s="54">
        <f>SUM(J25)+1.3</f>
        <v>18.3</v>
      </c>
      <c r="L25" s="54">
        <f>SUM(K25)+1.3</f>
        <v>19.600000000000001</v>
      </c>
      <c r="M25" s="101">
        <f>SUM(L25)+1.3</f>
        <v>20.900000000000002</v>
      </c>
    </row>
    <row r="26" spans="1:13" s="1" customFormat="1" ht="14.1" customHeight="1" x14ac:dyDescent="0.3">
      <c r="A26" s="35"/>
      <c r="B26" s="70" t="s">
        <v>222</v>
      </c>
      <c r="C26" s="71"/>
      <c r="D26" s="72"/>
      <c r="E26" s="73"/>
      <c r="F26" s="73"/>
      <c r="G26" s="74"/>
      <c r="H26" s="40"/>
      <c r="I26" s="40"/>
      <c r="J26" s="42"/>
      <c r="K26" s="40"/>
      <c r="L26" s="40"/>
      <c r="M26" s="102"/>
    </row>
    <row r="27" spans="1:13" s="1" customFormat="1" ht="14.1" customHeight="1" x14ac:dyDescent="0.3">
      <c r="A27" s="103">
        <v>13</v>
      </c>
      <c r="B27" s="65" t="s">
        <v>223</v>
      </c>
      <c r="C27" s="66"/>
      <c r="D27" s="75"/>
      <c r="E27" s="76"/>
      <c r="F27" s="76"/>
      <c r="G27" s="77"/>
      <c r="H27" s="54">
        <f>SUM(I27)-1.7</f>
        <v>19.600000000000001</v>
      </c>
      <c r="I27" s="54">
        <f>SUM(J27)-1.7</f>
        <v>21.3</v>
      </c>
      <c r="J27" s="55">
        <v>23</v>
      </c>
      <c r="K27" s="54">
        <f>SUM(J27)+1.7</f>
        <v>24.7</v>
      </c>
      <c r="L27" s="54">
        <f>SUM(K27)+1.7</f>
        <v>26.4</v>
      </c>
      <c r="M27" s="101">
        <f>SUM(L27)+1.7</f>
        <v>28.099999999999998</v>
      </c>
    </row>
    <row r="28" spans="1:13" s="1" customFormat="1" ht="14.1" customHeight="1" x14ac:dyDescent="0.3">
      <c r="A28" s="35"/>
      <c r="B28" s="70" t="s">
        <v>224</v>
      </c>
      <c r="C28" s="71"/>
      <c r="D28" s="84"/>
      <c r="E28" s="85"/>
      <c r="F28" s="85"/>
      <c r="G28" s="86"/>
      <c r="H28" s="40"/>
      <c r="I28" s="40"/>
      <c r="J28" s="82"/>
      <c r="K28" s="40"/>
      <c r="L28" s="40"/>
      <c r="M28" s="102"/>
    </row>
    <row r="29" spans="1:13" ht="14.1" customHeight="1" x14ac:dyDescent="0.3">
      <c r="A29" s="103">
        <v>14</v>
      </c>
      <c r="B29" s="65" t="s">
        <v>293</v>
      </c>
      <c r="C29" s="66"/>
      <c r="D29" s="75"/>
      <c r="E29" s="76"/>
      <c r="F29" s="76"/>
      <c r="G29" s="77"/>
      <c r="H29" s="54">
        <f>SUM(I29)-2</f>
        <v>22</v>
      </c>
      <c r="I29" s="54">
        <f>SUM(J29)-2</f>
        <v>24</v>
      </c>
      <c r="J29" s="55">
        <v>26</v>
      </c>
      <c r="K29" s="54">
        <f>SUM(J29)+2</f>
        <v>28</v>
      </c>
      <c r="L29" s="54">
        <f>SUM(K29)+2</f>
        <v>30</v>
      </c>
      <c r="M29" s="101">
        <f>SUM(L29)+2</f>
        <v>32</v>
      </c>
    </row>
    <row r="30" spans="1:13" ht="14.1" customHeight="1" x14ac:dyDescent="0.3">
      <c r="A30" s="35"/>
      <c r="B30" s="57" t="s">
        <v>366</v>
      </c>
      <c r="C30" s="58"/>
      <c r="D30" s="72"/>
      <c r="E30" s="73"/>
      <c r="F30" s="73"/>
      <c r="G30" s="74"/>
      <c r="H30" s="40"/>
      <c r="I30" s="40"/>
      <c r="J30" s="42"/>
      <c r="K30" s="40"/>
      <c r="L30" s="40"/>
      <c r="M30" s="102"/>
    </row>
    <row r="31" spans="1:13" ht="14.1" customHeight="1" x14ac:dyDescent="0.3">
      <c r="A31" s="103">
        <v>15</v>
      </c>
      <c r="B31" s="65"/>
      <c r="C31" s="66"/>
      <c r="D31" s="75"/>
      <c r="E31" s="76"/>
      <c r="F31" s="76"/>
      <c r="G31" s="77"/>
      <c r="H31" s="54"/>
      <c r="I31" s="54"/>
      <c r="J31" s="55"/>
      <c r="K31" s="54"/>
      <c r="L31" s="54"/>
      <c r="M31" s="101"/>
    </row>
    <row r="32" spans="1:13" ht="14.1" customHeight="1" x14ac:dyDescent="0.3">
      <c r="A32" s="35"/>
      <c r="B32" s="70"/>
      <c r="C32" s="71"/>
      <c r="D32" s="84"/>
      <c r="E32" s="85"/>
      <c r="F32" s="85"/>
      <c r="G32" s="86"/>
      <c r="H32" s="40"/>
      <c r="I32" s="40"/>
      <c r="J32" s="82"/>
      <c r="K32" s="40"/>
      <c r="L32" s="40"/>
      <c r="M32" s="102"/>
    </row>
    <row r="33" spans="1:13" ht="14.1" customHeight="1" x14ac:dyDescent="0.3">
      <c r="A33" s="103">
        <v>16</v>
      </c>
      <c r="B33" s="65"/>
      <c r="C33" s="66"/>
      <c r="D33" s="75"/>
      <c r="E33" s="76"/>
      <c r="F33" s="76"/>
      <c r="G33" s="77"/>
      <c r="H33" s="54"/>
      <c r="I33" s="54"/>
      <c r="J33" s="55"/>
      <c r="K33" s="54"/>
      <c r="L33" s="54"/>
      <c r="M33" s="101"/>
    </row>
    <row r="34" spans="1:13" ht="14.1" customHeight="1" x14ac:dyDescent="0.3">
      <c r="A34" s="35"/>
      <c r="B34" s="57"/>
      <c r="C34" s="58"/>
      <c r="D34" s="72"/>
      <c r="E34" s="73"/>
      <c r="F34" s="73"/>
      <c r="G34" s="74"/>
      <c r="H34" s="40"/>
      <c r="I34" s="40"/>
      <c r="J34" s="42"/>
      <c r="K34" s="40"/>
      <c r="L34" s="40"/>
      <c r="M34" s="102"/>
    </row>
    <row r="35" spans="1:13" ht="14.1" customHeight="1" x14ac:dyDescent="0.3">
      <c r="A35" s="103">
        <v>17</v>
      </c>
      <c r="B35" s="65"/>
      <c r="C35" s="66"/>
      <c r="D35" s="88"/>
      <c r="E35" s="89"/>
      <c r="F35" s="89"/>
      <c r="G35" s="90"/>
      <c r="H35" s="54"/>
      <c r="I35" s="54"/>
      <c r="J35" s="67"/>
      <c r="K35" s="68"/>
      <c r="L35" s="68"/>
      <c r="M35" s="94"/>
    </row>
    <row r="36" spans="1:13" ht="14.1" customHeight="1" thickBot="1" x14ac:dyDescent="0.35">
      <c r="A36" s="104"/>
      <c r="B36" s="96"/>
      <c r="C36" s="97"/>
      <c r="D36" s="98"/>
      <c r="E36" s="99"/>
      <c r="F36" s="99"/>
      <c r="G36" s="100"/>
      <c r="H36" s="91"/>
      <c r="I36" s="91"/>
      <c r="J36" s="92"/>
      <c r="K36" s="93"/>
      <c r="L36" s="93"/>
      <c r="M36" s="95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190">
    <mergeCell ref="K29:K30"/>
    <mergeCell ref="L29:L30"/>
    <mergeCell ref="M29:M30"/>
    <mergeCell ref="B30:C30"/>
    <mergeCell ref="D30:G30"/>
    <mergeCell ref="J29:J30"/>
    <mergeCell ref="B33:C33"/>
    <mergeCell ref="D33:G33"/>
    <mergeCell ref="H33:H34"/>
    <mergeCell ref="I33:I34"/>
    <mergeCell ref="B31:C31"/>
    <mergeCell ref="D31:G31"/>
    <mergeCell ref="H31:H32"/>
    <mergeCell ref="I31:I32"/>
    <mergeCell ref="J33:J34"/>
    <mergeCell ref="K33:K34"/>
    <mergeCell ref="L33:L34"/>
    <mergeCell ref="M33:M34"/>
    <mergeCell ref="K31:K32"/>
    <mergeCell ref="L31:L32"/>
    <mergeCell ref="M31:M32"/>
    <mergeCell ref="B32:C32"/>
    <mergeCell ref="D32:G32"/>
    <mergeCell ref="J31:J32"/>
    <mergeCell ref="A35:A36"/>
    <mergeCell ref="B35:C35"/>
    <mergeCell ref="D35:G35"/>
    <mergeCell ref="H35:H36"/>
    <mergeCell ref="I35:I36"/>
    <mergeCell ref="J35:J36"/>
    <mergeCell ref="K35:K36"/>
    <mergeCell ref="L35:L36"/>
    <mergeCell ref="M35:M36"/>
    <mergeCell ref="B36:C36"/>
    <mergeCell ref="D36:G36"/>
    <mergeCell ref="A29:A30"/>
    <mergeCell ref="B29:C29"/>
    <mergeCell ref="D29:G29"/>
    <mergeCell ref="H29:H30"/>
    <mergeCell ref="I29:I30"/>
    <mergeCell ref="A33:A34"/>
    <mergeCell ref="A31:A32"/>
    <mergeCell ref="B34:C34"/>
    <mergeCell ref="D34:G34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DD44-31D6-4EC8-A233-B2ED81145C93}">
  <sheetPr>
    <tabColor rgb="FFFF0000"/>
    <pageSetUpPr fitToPage="1"/>
  </sheetPr>
  <dimension ref="A1:P51"/>
  <sheetViews>
    <sheetView zoomScale="110" zoomScaleNormal="110" workbookViewId="0">
      <selection activeCell="O24" sqref="O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105" t="s">
        <v>39</v>
      </c>
      <c r="C3" s="105"/>
      <c r="D3" s="106" t="s">
        <v>364</v>
      </c>
      <c r="E3" s="106"/>
      <c r="F3" s="106"/>
      <c r="G3" s="51"/>
      <c r="H3" s="54">
        <f>SUM(I3)-4.9</f>
        <v>53.800000000000004</v>
      </c>
      <c r="I3" s="54">
        <f>SUM(J3)-4.9</f>
        <v>58.7</v>
      </c>
      <c r="J3" s="55">
        <v>63.6</v>
      </c>
      <c r="K3" s="54">
        <f>SUM(J3)+4.9</f>
        <v>68.5</v>
      </c>
      <c r="L3" s="54">
        <f>SUM(K3)+4.9</f>
        <v>73.400000000000006</v>
      </c>
      <c r="M3" s="101">
        <f>SUM(L3)+5</f>
        <v>78.400000000000006</v>
      </c>
    </row>
    <row r="4" spans="1:13" s="1" customFormat="1" ht="14.1" customHeight="1" x14ac:dyDescent="0.3">
      <c r="A4" s="35"/>
      <c r="B4" s="45" t="s">
        <v>206</v>
      </c>
      <c r="C4" s="45"/>
      <c r="D4" s="46" t="s">
        <v>365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22.799999999999997</v>
      </c>
      <c r="I5" s="54">
        <f>SUM(J5)-1.6</f>
        <v>24.4</v>
      </c>
      <c r="J5" s="55">
        <v>26</v>
      </c>
      <c r="K5" s="54">
        <f>SUM(J5)+1.4</f>
        <v>27.4</v>
      </c>
      <c r="L5" s="54">
        <f>SUM(K5)+1.4</f>
        <v>28.799999999999997</v>
      </c>
      <c r="M5" s="101">
        <f>SUM(L5)+1.4</f>
        <v>30.199999999999996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>SUM(K7)+2</f>
        <v>39</v>
      </c>
      <c r="M7" s="101">
        <f>SUM(L7)+2</f>
        <v>41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SUM(I9)-2.1</f>
        <v>28.799999999999997</v>
      </c>
      <c r="I9" s="54">
        <f>SUM(J9)-2.1</f>
        <v>30.9</v>
      </c>
      <c r="J9" s="55">
        <v>33</v>
      </c>
      <c r="K9" s="54">
        <f>SUM(J9)+1.9</f>
        <v>34.9</v>
      </c>
      <c r="L9" s="54">
        <f>SUM(K9)+1.9</f>
        <v>36.799999999999997</v>
      </c>
      <c r="M9" s="101">
        <f>SUM(L9)+1.9</f>
        <v>38.699999999999996</v>
      </c>
    </row>
    <row r="10" spans="1:13" s="1" customFormat="1" ht="14.1" customHeight="1" x14ac:dyDescent="0.3">
      <c r="A10" s="48"/>
      <c r="B10" s="45" t="s">
        <v>269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14.499999999999998</v>
      </c>
      <c r="I11" s="54">
        <f>SUM(J11)-0.8</f>
        <v>15.399999999999999</v>
      </c>
      <c r="J11" s="67">
        <v>16.2</v>
      </c>
      <c r="K11" s="68">
        <f>SUM(J11)+0.8</f>
        <v>17</v>
      </c>
      <c r="L11" s="68">
        <f>SUM(K11)+0.9</f>
        <v>17.899999999999999</v>
      </c>
      <c r="M11" s="94">
        <f>SUM(L11)+0.9</f>
        <v>18.799999999999997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13.4</v>
      </c>
      <c r="I13" s="54">
        <f>SUM(J13)-0.6</f>
        <v>14</v>
      </c>
      <c r="J13" s="67">
        <v>14.6</v>
      </c>
      <c r="K13" s="68">
        <f>SUM(J13)+0.6</f>
        <v>15.2</v>
      </c>
      <c r="L13" s="68">
        <f>SUM(K13)+0.6</f>
        <v>15.799999999999999</v>
      </c>
      <c r="M13" s="94">
        <f>SUM(L13)+0.6</f>
        <v>16.399999999999999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94">
        <f>SUM(L15)+0.6</f>
        <v>7.9999999999999991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6" s="1" customFormat="1" ht="14.1" customHeight="1" thickBot="1" x14ac:dyDescent="0.35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34.599999999999994</v>
      </c>
      <c r="I17" s="54">
        <f>SUM(J17)-1.6</f>
        <v>36.199999999999996</v>
      </c>
      <c r="J17" s="67">
        <v>37.799999999999997</v>
      </c>
      <c r="K17" s="68">
        <f>SUM(J17)+1.6</f>
        <v>39.4</v>
      </c>
      <c r="L17" s="68">
        <f>SUM(K17)+1.6</f>
        <v>41</v>
      </c>
      <c r="M17" s="94">
        <f>SUM(L17)+0.3</f>
        <v>41.3</v>
      </c>
    </row>
    <row r="18" spans="1:16" s="1" customFormat="1" ht="14.1" customHeight="1" thickTop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94"/>
      <c r="P18" s="16" t="s">
        <v>457</v>
      </c>
    </row>
    <row r="19" spans="1:16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11.700000000000001</v>
      </c>
      <c r="I19" s="54">
        <f>SUM(J19)-1.2</f>
        <v>12.9</v>
      </c>
      <c r="J19" s="55">
        <v>14.1</v>
      </c>
      <c r="K19" s="54">
        <f>SUM(J19)+1.3</f>
        <v>15.4</v>
      </c>
      <c r="L19" s="54">
        <f>SUM(K19)+1.3</f>
        <v>16.7</v>
      </c>
      <c r="M19" s="101">
        <f>SUM(L19)+1.3</f>
        <v>18</v>
      </c>
      <c r="P19" s="17">
        <f>SUM(H23+H23+I23+I23+J23+J23+K23+K23+L23+L23)</f>
        <v>220</v>
      </c>
    </row>
    <row r="20" spans="1:16" s="1" customFormat="1" ht="14.1" customHeight="1" thickBot="1" x14ac:dyDescent="0.35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102"/>
      <c r="P20" s="18">
        <f>SUM(P19/91.44/5*1.08)</f>
        <v>0.51968503937007882</v>
      </c>
    </row>
    <row r="21" spans="1:16" s="1" customFormat="1" ht="14.1" customHeight="1" thickTop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6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6" s="1" customFormat="1" ht="14.1" customHeight="1" x14ac:dyDescent="0.3">
      <c r="A23" s="48">
        <v>11</v>
      </c>
      <c r="B23" s="65" t="s">
        <v>148</v>
      </c>
      <c r="C23" s="66"/>
      <c r="D23" s="61" t="s">
        <v>68</v>
      </c>
      <c r="E23" s="61"/>
      <c r="F23" s="61"/>
      <c r="G23" s="61"/>
      <c r="H23" s="54">
        <f>SUM(I23)-1.2</f>
        <v>19.600000000000001</v>
      </c>
      <c r="I23" s="54">
        <f>SUM(J23)-1.2</f>
        <v>20.8</v>
      </c>
      <c r="J23" s="67">
        <v>22</v>
      </c>
      <c r="K23" s="68">
        <f>SUM(J23)+1.2</f>
        <v>23.2</v>
      </c>
      <c r="L23" s="68">
        <f>SUM(K23)+1.2</f>
        <v>24.4</v>
      </c>
      <c r="M23" s="94">
        <f>SUM(L23)+1.2</f>
        <v>25.599999999999998</v>
      </c>
    </row>
    <row r="24" spans="1:16" s="1" customFormat="1" ht="14.1" customHeight="1" x14ac:dyDescent="0.3">
      <c r="A24" s="48"/>
      <c r="B24" s="45" t="s">
        <v>220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6" s="1" customFormat="1" ht="14.1" customHeight="1" x14ac:dyDescent="0.3">
      <c r="A25" s="48">
        <v>12</v>
      </c>
      <c r="B25" s="65" t="s">
        <v>717</v>
      </c>
      <c r="C25" s="66"/>
      <c r="D25" s="65"/>
      <c r="E25" s="129"/>
      <c r="F25" s="129"/>
      <c r="G25" s="66"/>
      <c r="H25" s="54">
        <f>SUM(I25)-1.9</f>
        <v>18.100000000000001</v>
      </c>
      <c r="I25" s="54">
        <f>SUM(J25)-1.9</f>
        <v>20</v>
      </c>
      <c r="J25" s="67">
        <v>21.9</v>
      </c>
      <c r="K25" s="68">
        <f>SUM(J25)+1.9</f>
        <v>23.799999999999997</v>
      </c>
      <c r="L25" s="68">
        <f>SUM(K25)+1.9</f>
        <v>25.699999999999996</v>
      </c>
      <c r="M25" s="94"/>
    </row>
    <row r="26" spans="1:16" s="1" customFormat="1" ht="14.1" customHeight="1" x14ac:dyDescent="0.3">
      <c r="A26" s="48"/>
      <c r="B26" s="57" t="s">
        <v>718</v>
      </c>
      <c r="C26" s="58"/>
      <c r="D26" s="46" t="s">
        <v>719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6" ht="14.1" customHeight="1" x14ac:dyDescent="0.3">
      <c r="A27" s="48">
        <v>13</v>
      </c>
      <c r="B27" s="65" t="s">
        <v>395</v>
      </c>
      <c r="C27" s="66"/>
      <c r="D27" s="88"/>
      <c r="E27" s="89"/>
      <c r="F27" s="89"/>
      <c r="G27" s="90"/>
      <c r="H27" s="54">
        <f>SUM(I27)-2.8</f>
        <v>31.400000000000002</v>
      </c>
      <c r="I27" s="54">
        <f>SUM(J27)-2.8</f>
        <v>34.200000000000003</v>
      </c>
      <c r="J27" s="67">
        <v>37</v>
      </c>
      <c r="K27" s="68">
        <f>SUM(J27)+2.8</f>
        <v>39.799999999999997</v>
      </c>
      <c r="L27" s="68">
        <f>SUM(K27)+2.8</f>
        <v>42.599999999999994</v>
      </c>
      <c r="M27" s="94">
        <f>SUM(L27)+3</f>
        <v>45.599999999999994</v>
      </c>
    </row>
    <row r="28" spans="1:16" ht="14.1" customHeight="1" x14ac:dyDescent="0.3">
      <c r="A28" s="48"/>
      <c r="B28" s="79" t="s">
        <v>396</v>
      </c>
      <c r="C28" s="80"/>
      <c r="D28" s="51" t="s">
        <v>720</v>
      </c>
      <c r="E28" s="52"/>
      <c r="F28" s="52"/>
      <c r="G28" s="53"/>
      <c r="H28" s="81"/>
      <c r="I28" s="81"/>
      <c r="J28" s="55"/>
      <c r="K28" s="54"/>
      <c r="L28" s="54"/>
      <c r="M28" s="101"/>
    </row>
    <row r="29" spans="1:16" ht="14.1" customHeight="1" x14ac:dyDescent="0.3">
      <c r="A29" s="48">
        <v>14</v>
      </c>
      <c r="B29" s="65" t="s">
        <v>293</v>
      </c>
      <c r="C29" s="66"/>
      <c r="D29" s="88"/>
      <c r="E29" s="89"/>
      <c r="F29" s="89"/>
      <c r="G29" s="90"/>
      <c r="H29" s="54">
        <f>SUM(I29)-2.4</f>
        <v>29.900000000000006</v>
      </c>
      <c r="I29" s="54">
        <f>SUM(J29)-2.4</f>
        <v>32.300000000000004</v>
      </c>
      <c r="J29" s="67">
        <v>34.700000000000003</v>
      </c>
      <c r="K29" s="68">
        <f>SUM(J29)+2.4</f>
        <v>37.1</v>
      </c>
      <c r="L29" s="68">
        <f>SUM(K29)+2.4</f>
        <v>39.5</v>
      </c>
      <c r="M29" s="94">
        <f>SUM(L29)+1.9</f>
        <v>41.4</v>
      </c>
    </row>
    <row r="30" spans="1:16" ht="14.1" customHeight="1" x14ac:dyDescent="0.3">
      <c r="A30" s="48"/>
      <c r="B30" s="79" t="s">
        <v>366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6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94"/>
    </row>
    <row r="32" spans="1:16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95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1876-17AC-42BF-B79C-7901EA9CD535}">
  <sheetPr>
    <tabColor rgb="FFFF0000"/>
    <pageSetUpPr fitToPage="1"/>
  </sheetPr>
  <dimension ref="A1:M51"/>
  <sheetViews>
    <sheetView zoomScale="110" zoomScaleNormal="110" workbookViewId="0">
      <selection activeCell="K23" sqref="K23:K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SUM(I3)-4.9</f>
        <v>56.100000000000009</v>
      </c>
      <c r="I3" s="54">
        <f>SUM(J3)-4.9</f>
        <v>61.000000000000007</v>
      </c>
      <c r="J3" s="55">
        <v>65.900000000000006</v>
      </c>
      <c r="K3" s="54">
        <f>SUM(J3)+4.9</f>
        <v>70.800000000000011</v>
      </c>
      <c r="L3" s="54">
        <f>SUM(K3)+4.9</f>
        <v>75.700000000000017</v>
      </c>
      <c r="M3" s="101">
        <f>SUM(L3)+4.9</f>
        <v>80.600000000000023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21.999999999999996</v>
      </c>
      <c r="I5" s="54">
        <f>SUM(J5)-1.6</f>
        <v>23.599999999999998</v>
      </c>
      <c r="J5" s="55">
        <v>25.2</v>
      </c>
      <c r="K5" s="54">
        <f>SUM(J5)+1.4</f>
        <v>26.599999999999998</v>
      </c>
      <c r="L5" s="54">
        <f>SUM(K5)+1.4</f>
        <v>27.999999999999996</v>
      </c>
      <c r="M5" s="101">
        <f>SUM(L5)+1.4</f>
        <v>29.399999999999995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101">
        <f>SUM(L7)+2</f>
        <v>40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268</v>
      </c>
      <c r="C9" s="60"/>
      <c r="D9" s="61"/>
      <c r="E9" s="61"/>
      <c r="F9" s="61"/>
      <c r="G9" s="61"/>
      <c r="H9" s="54">
        <f>SUM(I9)-2.1</f>
        <v>27.799999999999997</v>
      </c>
      <c r="I9" s="54">
        <f>SUM(J9)-2.1</f>
        <v>29.9</v>
      </c>
      <c r="J9" s="55">
        <v>32</v>
      </c>
      <c r="K9" s="54">
        <f>SUM(J9)+1.9</f>
        <v>33.9</v>
      </c>
      <c r="L9" s="54">
        <f>SUM(K9)+1.9</f>
        <v>35.799999999999997</v>
      </c>
      <c r="M9" s="101">
        <f>SUM(L9)+1.9</f>
        <v>37.699999999999996</v>
      </c>
    </row>
    <row r="10" spans="1:13" s="1" customFormat="1" ht="14.1" customHeight="1" x14ac:dyDescent="0.3">
      <c r="A10" s="48"/>
      <c r="B10" s="45" t="s">
        <v>269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14.2</v>
      </c>
      <c r="I11" s="54">
        <f>SUM(J11)-0.9</f>
        <v>15.1</v>
      </c>
      <c r="J11" s="67">
        <v>16</v>
      </c>
      <c r="K11" s="68">
        <f>SUM(J11)+0.9</f>
        <v>16.899999999999999</v>
      </c>
      <c r="L11" s="68">
        <f>SUM(K11)+0.9</f>
        <v>17.799999999999997</v>
      </c>
      <c r="M11" s="94">
        <f>SUM(L11)+0.9</f>
        <v>18.699999999999996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12.3</v>
      </c>
      <c r="I13" s="54">
        <f>SUM(J13)-0.6</f>
        <v>12.9</v>
      </c>
      <c r="J13" s="67">
        <v>13.5</v>
      </c>
      <c r="K13" s="68">
        <f>SUM(J13)+0.6</f>
        <v>14.1</v>
      </c>
      <c r="L13" s="68">
        <f>SUM(K13)+0.6</f>
        <v>14.7</v>
      </c>
      <c r="M13" s="94">
        <f>SUM(L13)+0.6</f>
        <v>15.299999999999999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46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94">
        <f>SUM(L15)+0.3</f>
        <v>7.3999999999999995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32</v>
      </c>
      <c r="I17" s="54">
        <f>SUM(J17)-1.6</f>
        <v>33.6</v>
      </c>
      <c r="J17" s="67">
        <v>35.200000000000003</v>
      </c>
      <c r="K17" s="68">
        <f>SUM(J17)+1.6</f>
        <v>36.800000000000004</v>
      </c>
      <c r="L17" s="68">
        <f>SUM(K17)+1.6</f>
        <v>38.400000000000006</v>
      </c>
      <c r="M17" s="94">
        <f>SUM(L17)+1.6</f>
        <v>40.000000000000007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5" t="s">
        <v>76</v>
      </c>
      <c r="C19" s="66"/>
      <c r="D19" s="62"/>
      <c r="E19" s="63"/>
      <c r="F19" s="63"/>
      <c r="G19" s="64"/>
      <c r="H19" s="54">
        <f>SUM(I19)-0.4</f>
        <v>5.6999999999999993</v>
      </c>
      <c r="I19" s="54">
        <f>SUM(J19)-0.4</f>
        <v>6.1</v>
      </c>
      <c r="J19" s="67">
        <v>6.5</v>
      </c>
      <c r="K19" s="68">
        <f>SUM(J19)+0.4</f>
        <v>6.9</v>
      </c>
      <c r="L19" s="68">
        <f>SUM(K19)+0.4</f>
        <v>7.3000000000000007</v>
      </c>
      <c r="M19" s="94">
        <f>SUM(L19)+0.4</f>
        <v>7.7000000000000011</v>
      </c>
    </row>
    <row r="20" spans="1:13" s="1" customFormat="1" ht="14.1" customHeight="1" x14ac:dyDescent="0.3">
      <c r="A20" s="48"/>
      <c r="B20" s="45" t="s">
        <v>274</v>
      </c>
      <c r="C20" s="45"/>
      <c r="D20" s="46" t="s">
        <v>275</v>
      </c>
      <c r="E20" s="47"/>
      <c r="F20" s="47"/>
      <c r="G20" s="59"/>
      <c r="H20" s="40"/>
      <c r="I20" s="40"/>
      <c r="J20" s="67"/>
      <c r="K20" s="68"/>
      <c r="L20" s="68"/>
      <c r="M20" s="94"/>
    </row>
    <row r="21" spans="1:13" s="1" customFormat="1" ht="14.1" customHeight="1" x14ac:dyDescent="0.3">
      <c r="A21" s="48">
        <v>10</v>
      </c>
      <c r="B21" s="65" t="s">
        <v>77</v>
      </c>
      <c r="C21" s="66"/>
      <c r="D21" s="62"/>
      <c r="E21" s="63"/>
      <c r="F21" s="63"/>
      <c r="G21" s="64"/>
      <c r="H21" s="54">
        <f>SUM(I21)-0.3</f>
        <v>5.2</v>
      </c>
      <c r="I21" s="54">
        <f>SUM(J21)-0.3</f>
        <v>5.5</v>
      </c>
      <c r="J21" s="67">
        <v>5.8</v>
      </c>
      <c r="K21" s="68">
        <f>SUM(J21)+0.3</f>
        <v>6.1</v>
      </c>
      <c r="L21" s="68">
        <f>SUM(K21)+0.3</f>
        <v>6.3999999999999995</v>
      </c>
      <c r="M21" s="94">
        <f>SUM(L21)+0.3</f>
        <v>6.6999999999999993</v>
      </c>
    </row>
    <row r="22" spans="1:13" s="1" customFormat="1" ht="14.1" customHeight="1" x14ac:dyDescent="0.3">
      <c r="A22" s="48"/>
      <c r="B22" s="45" t="s">
        <v>277</v>
      </c>
      <c r="C22" s="45"/>
      <c r="D22" s="46" t="s">
        <v>201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SUM(I23)-1.2</f>
        <v>11.600000000000001</v>
      </c>
      <c r="I23" s="54">
        <f>SUM(J23)-1.2</f>
        <v>12.8</v>
      </c>
      <c r="J23" s="67">
        <v>14</v>
      </c>
      <c r="K23" s="68">
        <f>SUM(J23)+1.3</f>
        <v>15.3</v>
      </c>
      <c r="L23" s="68">
        <f>SUM(K23)+1.3</f>
        <v>16.600000000000001</v>
      </c>
      <c r="M23" s="94">
        <f>SUM(L23)+1.3</f>
        <v>17.900000000000002</v>
      </c>
    </row>
    <row r="24" spans="1:13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/>
      <c r="I25" s="54"/>
      <c r="J25" s="67"/>
      <c r="K25" s="68"/>
      <c r="L25" s="68"/>
      <c r="M25" s="94"/>
    </row>
    <row r="26" spans="1:13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94"/>
    </row>
    <row r="27" spans="1:13" ht="14.1" customHeight="1" x14ac:dyDescent="0.3">
      <c r="A27" s="48">
        <v>13</v>
      </c>
      <c r="B27" s="65" t="s">
        <v>148</v>
      </c>
      <c r="C27" s="66"/>
      <c r="D27" s="61"/>
      <c r="E27" s="61"/>
      <c r="F27" s="61"/>
      <c r="G27" s="61"/>
      <c r="H27" s="54">
        <f>SUM(I27)-1.2</f>
        <v>22.6</v>
      </c>
      <c r="I27" s="54">
        <f>SUM(J27)-1.2</f>
        <v>23.8</v>
      </c>
      <c r="J27" s="67">
        <v>25</v>
      </c>
      <c r="K27" s="68">
        <f>SUM(J27)+1.2</f>
        <v>26.2</v>
      </c>
      <c r="L27" s="68">
        <f>SUM(K27)+1.2</f>
        <v>27.4</v>
      </c>
      <c r="M27" s="94">
        <f>SUM(L27)+1.2</f>
        <v>28.599999999999998</v>
      </c>
    </row>
    <row r="28" spans="1:13" ht="14.1" customHeight="1" x14ac:dyDescent="0.3">
      <c r="A28" s="48"/>
      <c r="B28" s="45" t="s">
        <v>220</v>
      </c>
      <c r="C28" s="45"/>
      <c r="D28" s="46"/>
      <c r="E28" s="47"/>
      <c r="F28" s="47"/>
      <c r="G28" s="59"/>
      <c r="H28" s="40"/>
      <c r="I28" s="40"/>
      <c r="J28" s="67"/>
      <c r="K28" s="68"/>
      <c r="L28" s="68"/>
      <c r="M28" s="94"/>
    </row>
    <row r="29" spans="1:13" ht="14.1" customHeight="1" x14ac:dyDescent="0.3">
      <c r="A29" s="48">
        <v>14</v>
      </c>
      <c r="B29" s="65" t="s">
        <v>395</v>
      </c>
      <c r="C29" s="66"/>
      <c r="D29" s="88"/>
      <c r="E29" s="89"/>
      <c r="F29" s="89"/>
      <c r="G29" s="90"/>
      <c r="H29" s="54">
        <f>SUM(I29)-3</f>
        <v>37</v>
      </c>
      <c r="I29" s="54">
        <f>SUM(J29)-3</f>
        <v>40</v>
      </c>
      <c r="J29" s="67">
        <v>43</v>
      </c>
      <c r="K29" s="68">
        <f>SUM(J29)+3</f>
        <v>46</v>
      </c>
      <c r="L29" s="68">
        <f>SUM(K29)+3</f>
        <v>49</v>
      </c>
      <c r="M29" s="94">
        <f>SUM(L29)+3</f>
        <v>52</v>
      </c>
    </row>
    <row r="30" spans="1:13" ht="14.1" customHeight="1" x14ac:dyDescent="0.3">
      <c r="A30" s="78"/>
      <c r="B30" s="79" t="s">
        <v>396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ht="14.1" customHeight="1" x14ac:dyDescent="0.3">
      <c r="A31" s="48">
        <v>15</v>
      </c>
      <c r="B31" s="65" t="s">
        <v>293</v>
      </c>
      <c r="C31" s="66"/>
      <c r="D31" s="88"/>
      <c r="E31" s="89"/>
      <c r="F31" s="89"/>
      <c r="G31" s="90"/>
      <c r="H31" s="54">
        <f>SUM(I31)-2.4</f>
        <v>27.200000000000003</v>
      </c>
      <c r="I31" s="54">
        <f>SUM(J31)-2.4</f>
        <v>29.6</v>
      </c>
      <c r="J31" s="67">
        <v>32</v>
      </c>
      <c r="K31" s="68">
        <f>SUM(J31)+2.4</f>
        <v>34.4</v>
      </c>
      <c r="L31" s="68">
        <f>SUM(K31)+2.4</f>
        <v>36.799999999999997</v>
      </c>
      <c r="M31" s="94">
        <f>SUM(L31)+2.4</f>
        <v>39.199999999999996</v>
      </c>
    </row>
    <row r="32" spans="1:13" ht="14.1" customHeight="1" x14ac:dyDescent="0.3">
      <c r="A32" s="78"/>
      <c r="B32" s="79" t="s">
        <v>366</v>
      </c>
      <c r="C32" s="80"/>
      <c r="D32" s="51"/>
      <c r="E32" s="52"/>
      <c r="F32" s="52"/>
      <c r="G32" s="53"/>
      <c r="H32" s="81"/>
      <c r="I32" s="81"/>
      <c r="J32" s="55"/>
      <c r="K32" s="54"/>
      <c r="L32" s="54"/>
      <c r="M32" s="101"/>
    </row>
    <row r="33" spans="1:13" ht="14.1" customHeight="1" x14ac:dyDescent="0.3">
      <c r="A33" s="48">
        <v>16</v>
      </c>
      <c r="B33" s="65"/>
      <c r="C33" s="66"/>
      <c r="D33" s="88"/>
      <c r="E33" s="89"/>
      <c r="F33" s="89"/>
      <c r="G33" s="90"/>
      <c r="H33" s="54"/>
      <c r="I33" s="54"/>
      <c r="J33" s="67"/>
      <c r="K33" s="68"/>
      <c r="L33" s="68"/>
      <c r="M33" s="94"/>
    </row>
    <row r="34" spans="1:13" ht="14.1" customHeight="1" x14ac:dyDescent="0.3">
      <c r="A34" s="78"/>
      <c r="B34" s="57"/>
      <c r="C34" s="58"/>
      <c r="D34" s="46"/>
      <c r="E34" s="47"/>
      <c r="F34" s="47"/>
      <c r="G34" s="59"/>
      <c r="H34" s="40"/>
      <c r="I34" s="40"/>
      <c r="J34" s="55"/>
      <c r="K34" s="68"/>
      <c r="L34" s="68"/>
      <c r="M34" s="94"/>
    </row>
    <row r="35" spans="1:13" ht="14.1" customHeight="1" x14ac:dyDescent="0.3">
      <c r="A35" s="48">
        <v>17</v>
      </c>
      <c r="B35" s="65"/>
      <c r="C35" s="66"/>
      <c r="D35" s="88"/>
      <c r="E35" s="89"/>
      <c r="F35" s="89"/>
      <c r="G35" s="90"/>
      <c r="H35" s="54"/>
      <c r="I35" s="54"/>
      <c r="J35" s="67"/>
      <c r="K35" s="68"/>
      <c r="L35" s="68"/>
      <c r="M35" s="94"/>
    </row>
    <row r="36" spans="1:13" ht="14.1" customHeight="1" thickBot="1" x14ac:dyDescent="0.35">
      <c r="A36" s="87"/>
      <c r="B36" s="96"/>
      <c r="C36" s="97"/>
      <c r="D36" s="98"/>
      <c r="E36" s="99"/>
      <c r="F36" s="99"/>
      <c r="G36" s="100"/>
      <c r="H36" s="91"/>
      <c r="I36" s="91"/>
      <c r="J36" s="92"/>
      <c r="K36" s="93"/>
      <c r="L36" s="93"/>
      <c r="M36" s="95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A21:A22"/>
    <mergeCell ref="B21:C21"/>
    <mergeCell ref="D21:G21"/>
    <mergeCell ref="H21:H22"/>
    <mergeCell ref="I21:I22"/>
    <mergeCell ref="A35:A36"/>
    <mergeCell ref="B35:C35"/>
    <mergeCell ref="D35:G35"/>
    <mergeCell ref="H35:H36"/>
    <mergeCell ref="I35:I36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1:J22"/>
    <mergeCell ref="K21:K22"/>
    <mergeCell ref="L21:L22"/>
    <mergeCell ref="M21:M22"/>
    <mergeCell ref="B22:C22"/>
    <mergeCell ref="D22:G22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31:K32"/>
    <mergeCell ref="L31:L32"/>
    <mergeCell ref="M31:M32"/>
    <mergeCell ref="J31:J32"/>
    <mergeCell ref="J29:J30"/>
    <mergeCell ref="K29:K30"/>
    <mergeCell ref="L29:L30"/>
    <mergeCell ref="M29:M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53D3-645B-49E6-9FD9-787898081A03}">
  <sheetPr>
    <tabColor rgb="FFFF0000"/>
    <pageSetUpPr fitToPage="1"/>
  </sheetPr>
  <dimension ref="A1:M51"/>
  <sheetViews>
    <sheetView zoomScale="110" zoomScaleNormal="110" workbookViewId="0">
      <selection activeCell="O25" sqref="O2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SUM(I3)-4.9</f>
        <v>52.2</v>
      </c>
      <c r="I3" s="54">
        <f>SUM(J3)-4.9</f>
        <v>57.1</v>
      </c>
      <c r="J3" s="55">
        <v>62</v>
      </c>
      <c r="K3" s="54">
        <f>SUM(J3)+4.9</f>
        <v>66.900000000000006</v>
      </c>
      <c r="L3" s="54">
        <f>SUM(K3)+4.9</f>
        <v>71.800000000000011</v>
      </c>
      <c r="M3" s="56">
        <f>SUM(L3)+4.9</f>
        <v>76.700000000000017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25.4</v>
      </c>
      <c r="I5" s="54">
        <f>SUM(J5)-1.8</f>
        <v>27.2</v>
      </c>
      <c r="J5" s="55">
        <v>29</v>
      </c>
      <c r="K5" s="54">
        <f>SUM(J5)+1.6</f>
        <v>30.6</v>
      </c>
      <c r="L5" s="54">
        <f>SUM(K5)+1.6</f>
        <v>32.200000000000003</v>
      </c>
      <c r="M5" s="56">
        <f>SUM(L5)+1.6</f>
        <v>33.800000000000004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</v>
      </c>
      <c r="I7" s="54">
        <f>SUM(J7)-2.25</f>
        <v>32.25</v>
      </c>
      <c r="J7" s="55">
        <v>34.5</v>
      </c>
      <c r="K7" s="54">
        <f>SUM(J7)+2</f>
        <v>36.5</v>
      </c>
      <c r="L7" s="54">
        <f>SUM(K7)+2</f>
        <v>38.5</v>
      </c>
      <c r="M7" s="56">
        <f>SUM(L7)+2</f>
        <v>40.5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505</v>
      </c>
      <c r="C9" s="60"/>
      <c r="D9" s="61"/>
      <c r="E9" s="61"/>
      <c r="F9" s="61"/>
      <c r="G9" s="61"/>
      <c r="H9" s="54">
        <f>SUM(I9)-3</f>
        <v>52</v>
      </c>
      <c r="I9" s="54">
        <f>SUM(J9)-3</f>
        <v>55</v>
      </c>
      <c r="J9" s="55">
        <v>58</v>
      </c>
      <c r="K9" s="54">
        <f>SUM(J9)+3</f>
        <v>61</v>
      </c>
      <c r="L9" s="54">
        <f>SUM(K9)+3</f>
        <v>64</v>
      </c>
      <c r="M9" s="56">
        <f>SUM(L9)+3</f>
        <v>67</v>
      </c>
    </row>
    <row r="10" spans="1:13" s="1" customFormat="1" ht="14.1" customHeight="1" x14ac:dyDescent="0.3">
      <c r="A10" s="48"/>
      <c r="B10" s="45" t="s">
        <v>506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13.799999999999999</v>
      </c>
      <c r="I11" s="54">
        <f>SUM(J11)-0.8</f>
        <v>14.6</v>
      </c>
      <c r="J11" s="67">
        <v>15.4</v>
      </c>
      <c r="K11" s="68">
        <f>SUM(J11)+0.8</f>
        <v>16.2</v>
      </c>
      <c r="L11" s="68">
        <f>SUM(K11)+0.8</f>
        <v>17</v>
      </c>
      <c r="M11" s="69">
        <f>SUM(L11)+0.8</f>
        <v>17.8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67"/>
      <c r="K12" s="68"/>
      <c r="L12" s="68"/>
      <c r="M12" s="69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14.600000000000001</v>
      </c>
      <c r="I13" s="54">
        <f>SUM(J13)-0.6</f>
        <v>15.200000000000001</v>
      </c>
      <c r="J13" s="67">
        <v>15.8</v>
      </c>
      <c r="K13" s="68">
        <f>SUM(J13)+0.6</f>
        <v>16.400000000000002</v>
      </c>
      <c r="L13" s="68">
        <f>SUM(K13)+0.6</f>
        <v>17.000000000000004</v>
      </c>
      <c r="M13" s="69">
        <f>SUM(L13)+0.6</f>
        <v>17.600000000000005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5.1000000000000005</v>
      </c>
      <c r="I15" s="54">
        <f>SUM(J15)-0.3</f>
        <v>5.4</v>
      </c>
      <c r="J15" s="67">
        <v>5.7</v>
      </c>
      <c r="K15" s="68">
        <f>SUM(J15)+0.3</f>
        <v>6</v>
      </c>
      <c r="L15" s="68">
        <f>SUM(K15)+0.3</f>
        <v>6.3</v>
      </c>
      <c r="M15" s="69">
        <f>SUM(L15)+0.3</f>
        <v>6.6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SUM(I17)-1.9</f>
        <v>34.200000000000003</v>
      </c>
      <c r="I17" s="54">
        <f>SUM(J17)-1.9</f>
        <v>36.1</v>
      </c>
      <c r="J17" s="67">
        <v>38</v>
      </c>
      <c r="K17" s="68">
        <f>SUM(J17)+1.9</f>
        <v>39.9</v>
      </c>
      <c r="L17" s="68">
        <f>SUM(K17)+1.9</f>
        <v>41.8</v>
      </c>
      <c r="M17" s="69">
        <f>SUM(L17)+1.9</f>
        <v>43.699999999999996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5" t="s">
        <v>76</v>
      </c>
      <c r="C19" s="66"/>
      <c r="D19" s="62"/>
      <c r="E19" s="63"/>
      <c r="F19" s="63"/>
      <c r="G19" s="64"/>
      <c r="H19" s="54">
        <f>SUM(I19)-0.4</f>
        <v>5.2999999999999989</v>
      </c>
      <c r="I19" s="54">
        <f>SUM(J19)-0.4</f>
        <v>5.6999999999999993</v>
      </c>
      <c r="J19" s="67">
        <v>6.1</v>
      </c>
      <c r="K19" s="68">
        <f>SUM(J19)+0.4</f>
        <v>6.5</v>
      </c>
      <c r="L19" s="68">
        <f>SUM(K19)+0.4</f>
        <v>6.9</v>
      </c>
      <c r="M19" s="69">
        <f>SUM(L19)+0.4</f>
        <v>7.3000000000000007</v>
      </c>
    </row>
    <row r="20" spans="1:13" s="1" customFormat="1" ht="14.1" customHeight="1" x14ac:dyDescent="0.3">
      <c r="A20" s="48"/>
      <c r="B20" s="45" t="s">
        <v>274</v>
      </c>
      <c r="C20" s="45"/>
      <c r="D20" s="46" t="s">
        <v>765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5" t="s">
        <v>77</v>
      </c>
      <c r="C21" s="66"/>
      <c r="D21" s="62"/>
      <c r="E21" s="63"/>
      <c r="F21" s="63"/>
      <c r="G21" s="64"/>
      <c r="H21" s="54">
        <f>SUM(I21)-0.9</f>
        <v>14.599999999999998</v>
      </c>
      <c r="I21" s="54">
        <f>SUM(J21)-0.9</f>
        <v>15.499999999999998</v>
      </c>
      <c r="J21" s="67">
        <v>16.399999999999999</v>
      </c>
      <c r="K21" s="68">
        <f>SUM(J21)+0.9</f>
        <v>17.299999999999997</v>
      </c>
      <c r="L21" s="68">
        <f>SUM(K21)+0.9</f>
        <v>18.199999999999996</v>
      </c>
      <c r="M21" s="69">
        <f>SUM(L21)+0.9</f>
        <v>19.099999999999994</v>
      </c>
    </row>
    <row r="22" spans="1:13" s="1" customFormat="1" ht="14.1" customHeight="1" x14ac:dyDescent="0.3">
      <c r="A22" s="48"/>
      <c r="B22" s="45" t="s">
        <v>277</v>
      </c>
      <c r="C22" s="45"/>
      <c r="D22" s="46" t="s">
        <v>766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SUM(I23)-0.9</f>
        <v>8.5</v>
      </c>
      <c r="I23" s="54">
        <f>SUM(J23)-0.9</f>
        <v>9.4</v>
      </c>
      <c r="J23" s="67">
        <v>10.3</v>
      </c>
      <c r="K23" s="68">
        <f>SUM(J23)+1</f>
        <v>11.3</v>
      </c>
      <c r="L23" s="68">
        <f>SUM(K23)+1</f>
        <v>12.3</v>
      </c>
      <c r="M23" s="69">
        <f>SUM(L23)+1</f>
        <v>13.3</v>
      </c>
    </row>
    <row r="24" spans="1:13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/>
      <c r="I25" s="54"/>
      <c r="J25" s="67"/>
      <c r="K25" s="68"/>
      <c r="L25" s="68"/>
      <c r="M25" s="69"/>
    </row>
    <row r="26" spans="1:13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ht="14.1" customHeight="1" x14ac:dyDescent="0.3">
      <c r="A27" s="48">
        <v>13</v>
      </c>
      <c r="B27" s="65" t="s">
        <v>82</v>
      </c>
      <c r="C27" s="66"/>
      <c r="D27" s="61" t="s">
        <v>68</v>
      </c>
      <c r="E27" s="61"/>
      <c r="F27" s="61"/>
      <c r="G27" s="61"/>
      <c r="H27" s="54">
        <f>SUM(I27)-1.3</f>
        <v>24.4</v>
      </c>
      <c r="I27" s="54">
        <f>SUM(J27)-1.3</f>
        <v>25.7</v>
      </c>
      <c r="J27" s="67">
        <v>27</v>
      </c>
      <c r="K27" s="68">
        <f>SUM(J27)+1.3</f>
        <v>28.3</v>
      </c>
      <c r="L27" s="68">
        <f>SUM(K27)+1.3</f>
        <v>29.6</v>
      </c>
      <c r="M27" s="69">
        <f>SUM(L27)+1.3</f>
        <v>30.900000000000002</v>
      </c>
    </row>
    <row r="28" spans="1:13" ht="14.1" customHeight="1" x14ac:dyDescent="0.3">
      <c r="A28" s="48"/>
      <c r="B28" s="45" t="s">
        <v>31</v>
      </c>
      <c r="C28" s="45"/>
      <c r="D28" s="46" t="s">
        <v>69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ht="14.1" customHeight="1" x14ac:dyDescent="0.3">
      <c r="A29" s="48">
        <v>14</v>
      </c>
      <c r="B29" s="65" t="s">
        <v>741</v>
      </c>
      <c r="C29" s="66"/>
      <c r="D29" s="88"/>
      <c r="E29" s="89"/>
      <c r="F29" s="89"/>
      <c r="G29" s="90"/>
      <c r="H29" s="54">
        <f>SUM(I29)-3</f>
        <v>32.700000000000003</v>
      </c>
      <c r="I29" s="54">
        <f>SUM(J29)-3</f>
        <v>35.700000000000003</v>
      </c>
      <c r="J29" s="67">
        <v>38.700000000000003</v>
      </c>
      <c r="K29" s="68">
        <f>SUM(J29)+3</f>
        <v>41.7</v>
      </c>
      <c r="L29" s="68">
        <f>SUM(K29)+3</f>
        <v>44.7</v>
      </c>
      <c r="M29" s="69">
        <f>SUM(L29)+3</f>
        <v>47.7</v>
      </c>
    </row>
    <row r="30" spans="1:13" ht="14.1" customHeight="1" x14ac:dyDescent="0.3">
      <c r="A30" s="78"/>
      <c r="B30" s="79" t="s">
        <v>742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56"/>
    </row>
    <row r="31" spans="1:13" ht="14.1" customHeight="1" x14ac:dyDescent="0.3">
      <c r="A31" s="48">
        <v>15</v>
      </c>
      <c r="B31" s="65" t="s">
        <v>743</v>
      </c>
      <c r="C31" s="66"/>
      <c r="D31" s="88"/>
      <c r="E31" s="89"/>
      <c r="F31" s="89"/>
      <c r="G31" s="90"/>
      <c r="H31" s="54">
        <f>SUM(I31)-0.8</f>
        <v>9.3999999999999986</v>
      </c>
      <c r="I31" s="54">
        <f>SUM(J31)-0.8</f>
        <v>10.199999999999999</v>
      </c>
      <c r="J31" s="67">
        <v>11</v>
      </c>
      <c r="K31" s="68">
        <f>SUM(J31)+0.8</f>
        <v>11.8</v>
      </c>
      <c r="L31" s="68">
        <f>SUM(K31)+0.8</f>
        <v>12.600000000000001</v>
      </c>
      <c r="M31" s="69">
        <f>SUM(L31)+0.8</f>
        <v>13.400000000000002</v>
      </c>
    </row>
    <row r="32" spans="1:13" ht="14.1" customHeight="1" x14ac:dyDescent="0.3">
      <c r="A32" s="78"/>
      <c r="B32" s="79" t="s">
        <v>744</v>
      </c>
      <c r="C32" s="80"/>
      <c r="D32" s="51"/>
      <c r="E32" s="52"/>
      <c r="F32" s="52"/>
      <c r="G32" s="53"/>
      <c r="H32" s="81"/>
      <c r="I32" s="81"/>
      <c r="J32" s="55"/>
      <c r="K32" s="54"/>
      <c r="L32" s="54"/>
      <c r="M32" s="56"/>
    </row>
    <row r="33" spans="1:13" ht="14.1" customHeight="1" x14ac:dyDescent="0.3">
      <c r="A33" s="48">
        <v>16</v>
      </c>
      <c r="B33" s="65" t="s">
        <v>745</v>
      </c>
      <c r="C33" s="66"/>
      <c r="D33" s="88"/>
      <c r="E33" s="89"/>
      <c r="F33" s="89"/>
      <c r="G33" s="90"/>
      <c r="H33" s="54">
        <f>SUM(I33)-1</f>
        <v>10.5</v>
      </c>
      <c r="I33" s="54">
        <f>SUM(J33)-1</f>
        <v>11.5</v>
      </c>
      <c r="J33" s="67">
        <v>12.5</v>
      </c>
      <c r="K33" s="68">
        <f>SUM(J33)+1</f>
        <v>13.5</v>
      </c>
      <c r="L33" s="68">
        <f>SUM(K33)+1</f>
        <v>14.5</v>
      </c>
      <c r="M33" s="69">
        <f>SUM(L33)+1</f>
        <v>15.5</v>
      </c>
    </row>
    <row r="34" spans="1:13" ht="14.1" customHeight="1" x14ac:dyDescent="0.3">
      <c r="A34" s="78"/>
      <c r="B34" s="79" t="s">
        <v>747</v>
      </c>
      <c r="C34" s="80"/>
      <c r="D34" s="51"/>
      <c r="E34" s="52"/>
      <c r="F34" s="52"/>
      <c r="G34" s="53"/>
      <c r="H34" s="81"/>
      <c r="I34" s="81"/>
      <c r="J34" s="55"/>
      <c r="K34" s="54"/>
      <c r="L34" s="54"/>
      <c r="M34" s="56"/>
    </row>
    <row r="35" spans="1:13" ht="14.1" customHeight="1" x14ac:dyDescent="0.3">
      <c r="A35" s="48">
        <v>17</v>
      </c>
      <c r="B35" s="65" t="s">
        <v>746</v>
      </c>
      <c r="C35" s="66"/>
      <c r="D35" s="88"/>
      <c r="E35" s="89"/>
      <c r="F35" s="89"/>
      <c r="G35" s="90"/>
      <c r="H35" s="54">
        <f>SUM(I35)-1.2</f>
        <v>12.8</v>
      </c>
      <c r="I35" s="54">
        <f>SUM(J35)-1.2</f>
        <v>14</v>
      </c>
      <c r="J35" s="67">
        <v>15.2</v>
      </c>
      <c r="K35" s="68">
        <f>SUM(J35)+1.2</f>
        <v>16.399999999999999</v>
      </c>
      <c r="L35" s="68">
        <f>SUM(K35)+1.2</f>
        <v>17.599999999999998</v>
      </c>
      <c r="M35" s="69">
        <f>SUM(L35)+1.2</f>
        <v>18.799999999999997</v>
      </c>
    </row>
    <row r="36" spans="1:13" ht="14.1" customHeight="1" x14ac:dyDescent="0.3">
      <c r="A36" s="78"/>
      <c r="B36" s="79" t="s">
        <v>748</v>
      </c>
      <c r="C36" s="80"/>
      <c r="D36" s="51"/>
      <c r="E36" s="52"/>
      <c r="F36" s="52"/>
      <c r="G36" s="53"/>
      <c r="H36" s="81"/>
      <c r="I36" s="81"/>
      <c r="J36" s="55"/>
      <c r="K36" s="54"/>
      <c r="L36" s="54"/>
      <c r="M36" s="56"/>
    </row>
    <row r="37" spans="1:13" ht="14.1" customHeight="1" x14ac:dyDescent="0.3">
      <c r="A37" s="48">
        <v>18</v>
      </c>
      <c r="B37" s="65" t="s">
        <v>293</v>
      </c>
      <c r="C37" s="66"/>
      <c r="D37" s="88"/>
      <c r="E37" s="89"/>
      <c r="F37" s="89"/>
      <c r="G37" s="90"/>
      <c r="H37" s="54">
        <f>SUM(I37)-2.4</f>
        <v>28</v>
      </c>
      <c r="I37" s="54">
        <f>SUM(J37)-2.4</f>
        <v>30.4</v>
      </c>
      <c r="J37" s="67">
        <v>32.799999999999997</v>
      </c>
      <c r="K37" s="68">
        <f>SUM(J37)+2.4</f>
        <v>35.199999999999996</v>
      </c>
      <c r="L37" s="68">
        <f>SUM(K37)+2.4</f>
        <v>37.599999999999994</v>
      </c>
      <c r="M37" s="69">
        <f>SUM(L37)+2.4</f>
        <v>39.999999999999993</v>
      </c>
    </row>
    <row r="38" spans="1:13" ht="14.1" customHeight="1" x14ac:dyDescent="0.3">
      <c r="A38" s="78"/>
      <c r="B38" s="79" t="s">
        <v>366</v>
      </c>
      <c r="C38" s="80"/>
      <c r="D38" s="51"/>
      <c r="E38" s="52"/>
      <c r="F38" s="52"/>
      <c r="G38" s="53"/>
      <c r="H38" s="81"/>
      <c r="I38" s="81"/>
      <c r="J38" s="55"/>
      <c r="K38" s="54"/>
      <c r="L38" s="54"/>
      <c r="M38" s="56"/>
    </row>
    <row r="39" spans="1:13" ht="14.1" customHeight="1" x14ac:dyDescent="0.3">
      <c r="A39" s="48">
        <v>19</v>
      </c>
      <c r="B39" s="65" t="s">
        <v>749</v>
      </c>
      <c r="C39" s="66"/>
      <c r="D39" s="88"/>
      <c r="E39" s="89"/>
      <c r="F39" s="89"/>
      <c r="G39" s="90"/>
      <c r="H39" s="54">
        <f>SUM(I39)-1.5</f>
        <v>27.5</v>
      </c>
      <c r="I39" s="54">
        <f>SUM(J39)-1.5</f>
        <v>29</v>
      </c>
      <c r="J39" s="67">
        <v>30.5</v>
      </c>
      <c r="K39" s="68">
        <f>SUM(J39)+1.5</f>
        <v>32</v>
      </c>
      <c r="L39" s="68">
        <f>SUM(K39)+1.5</f>
        <v>33.5</v>
      </c>
      <c r="M39" s="69">
        <f>SUM(L39)+1.5</f>
        <v>35</v>
      </c>
    </row>
    <row r="40" spans="1:13" ht="14.1" customHeight="1" x14ac:dyDescent="0.3">
      <c r="A40" s="78"/>
      <c r="B40" s="57" t="s">
        <v>261</v>
      </c>
      <c r="C40" s="58"/>
      <c r="D40" s="46" t="s">
        <v>474</v>
      </c>
      <c r="E40" s="47"/>
      <c r="F40" s="47"/>
      <c r="G40" s="59"/>
      <c r="H40" s="40"/>
      <c r="I40" s="40"/>
      <c r="J40" s="55"/>
      <c r="K40" s="68"/>
      <c r="L40" s="68"/>
      <c r="M40" s="69"/>
    </row>
    <row r="41" spans="1:13" ht="14.1" customHeight="1" x14ac:dyDescent="0.3">
      <c r="A41" s="48">
        <v>20</v>
      </c>
      <c r="B41" s="65" t="s">
        <v>749</v>
      </c>
      <c r="C41" s="66"/>
      <c r="D41" s="88"/>
      <c r="E41" s="89"/>
      <c r="F41" s="89"/>
      <c r="G41" s="90"/>
      <c r="H41" s="54">
        <f>SUM(I41)-1.5</f>
        <v>26.5</v>
      </c>
      <c r="I41" s="54">
        <f>SUM(J41)-1.5</f>
        <v>28</v>
      </c>
      <c r="J41" s="67">
        <v>29.5</v>
      </c>
      <c r="K41" s="68">
        <f>SUM(J41)+1.5</f>
        <v>31</v>
      </c>
      <c r="L41" s="68">
        <f>SUM(K41)+1.5</f>
        <v>32.5</v>
      </c>
      <c r="M41" s="69">
        <f>SUM(L41)+1.5</f>
        <v>34</v>
      </c>
    </row>
    <row r="42" spans="1:13" ht="14.1" customHeight="1" x14ac:dyDescent="0.3">
      <c r="A42" s="78"/>
      <c r="B42" s="57" t="s">
        <v>261</v>
      </c>
      <c r="C42" s="58"/>
      <c r="D42" s="46" t="s">
        <v>750</v>
      </c>
      <c r="E42" s="47"/>
      <c r="F42" s="47"/>
      <c r="G42" s="59"/>
      <c r="H42" s="40"/>
      <c r="I42" s="40"/>
      <c r="J42" s="55"/>
      <c r="K42" s="68"/>
      <c r="L42" s="68"/>
      <c r="M42" s="69"/>
    </row>
    <row r="43" spans="1:13" ht="14.1" customHeight="1" x14ac:dyDescent="0.3">
      <c r="A43" s="48">
        <v>21</v>
      </c>
      <c r="B43" s="65"/>
      <c r="C43" s="66"/>
      <c r="D43" s="88"/>
      <c r="E43" s="89"/>
      <c r="F43" s="89"/>
      <c r="G43" s="90"/>
      <c r="H43" s="54"/>
      <c r="I43" s="54"/>
      <c r="J43" s="67"/>
      <c r="K43" s="68"/>
      <c r="L43" s="68"/>
      <c r="M43" s="69"/>
    </row>
    <row r="44" spans="1:13" ht="14.1" customHeight="1" thickBot="1" x14ac:dyDescent="0.35">
      <c r="A44" s="87"/>
      <c r="B44" s="96"/>
      <c r="C44" s="97"/>
      <c r="D44" s="98"/>
      <c r="E44" s="99"/>
      <c r="F44" s="99"/>
      <c r="G44" s="100"/>
      <c r="H44" s="91"/>
      <c r="I44" s="91"/>
      <c r="J44" s="92"/>
      <c r="K44" s="93"/>
      <c r="L44" s="93"/>
      <c r="M44" s="121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J17:J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A19:A20"/>
    <mergeCell ref="B19:C19"/>
    <mergeCell ref="D19:G19"/>
    <mergeCell ref="H19:H20"/>
    <mergeCell ref="I19:I20"/>
    <mergeCell ref="A43:A44"/>
    <mergeCell ref="B43:C43"/>
    <mergeCell ref="D43:G43"/>
    <mergeCell ref="H43:H44"/>
    <mergeCell ref="I43:I44"/>
    <mergeCell ref="B40:C40"/>
    <mergeCell ref="D40:G40"/>
    <mergeCell ref="B38:C38"/>
    <mergeCell ref="D38:G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19:J20"/>
    <mergeCell ref="K19:K20"/>
    <mergeCell ref="L19:L20"/>
    <mergeCell ref="M19:M20"/>
    <mergeCell ref="B20:C20"/>
    <mergeCell ref="D20:G20"/>
    <mergeCell ref="K43:K44"/>
    <mergeCell ref="L43:L44"/>
    <mergeCell ref="M43:M44"/>
    <mergeCell ref="B44:C44"/>
    <mergeCell ref="D44:G44"/>
    <mergeCell ref="J43:J44"/>
    <mergeCell ref="J39:J40"/>
    <mergeCell ref="K39:K40"/>
    <mergeCell ref="L39:L40"/>
    <mergeCell ref="M39:M40"/>
    <mergeCell ref="K37:K38"/>
    <mergeCell ref="L37:L38"/>
    <mergeCell ref="M37:M38"/>
    <mergeCell ref="J37:J38"/>
    <mergeCell ref="J29:J30"/>
    <mergeCell ref="K29:K30"/>
    <mergeCell ref="L29:L30"/>
    <mergeCell ref="M29:M30"/>
    <mergeCell ref="A31:A32"/>
    <mergeCell ref="B31:C31"/>
    <mergeCell ref="D31:G31"/>
    <mergeCell ref="H31:H32"/>
    <mergeCell ref="I31:I32"/>
    <mergeCell ref="A21:A22"/>
    <mergeCell ref="B21:C21"/>
    <mergeCell ref="D21:G21"/>
    <mergeCell ref="H21:H22"/>
    <mergeCell ref="I21:I22"/>
    <mergeCell ref="B30:C30"/>
    <mergeCell ref="D30:G30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31:J32"/>
    <mergeCell ref="K31:K32"/>
    <mergeCell ref="L31:L32"/>
    <mergeCell ref="M31:M32"/>
    <mergeCell ref="B32:C32"/>
    <mergeCell ref="D32:G32"/>
    <mergeCell ref="K21:K22"/>
    <mergeCell ref="L21:L22"/>
    <mergeCell ref="M21:M22"/>
    <mergeCell ref="B22:C22"/>
    <mergeCell ref="D22:G22"/>
    <mergeCell ref="J21:J22"/>
    <mergeCell ref="K27:K28"/>
    <mergeCell ref="L27:L28"/>
    <mergeCell ref="M27:M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DC40-245B-41DE-9D33-63E633E9B83B}">
  <sheetPr codeName="Sheet13">
    <tabColor rgb="FFFF0000"/>
    <pageSetUpPr fitToPage="1"/>
  </sheetPr>
  <dimension ref="A1:M51"/>
  <sheetViews>
    <sheetView zoomScale="110" zoomScaleNormal="110" workbookViewId="0">
      <selection sqref="A1:M4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SUM(I3)-2.9</f>
        <v>33.200000000000003</v>
      </c>
      <c r="I3" s="54">
        <f>SUM(J3)-2.9</f>
        <v>36.1</v>
      </c>
      <c r="J3" s="55">
        <v>39</v>
      </c>
      <c r="K3" s="54">
        <f>SUM(J3)+2.4</f>
        <v>41.4</v>
      </c>
      <c r="L3" s="54">
        <f>SUM(K3)+2.4</f>
        <v>43.8</v>
      </c>
      <c r="M3" s="56">
        <f>SUM(L3)+2.4</f>
        <v>46.199999999999996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28.799999999999997</v>
      </c>
      <c r="I5" s="54">
        <f>SUM(J5)-1.6</f>
        <v>30.4</v>
      </c>
      <c r="J5" s="55">
        <v>32</v>
      </c>
      <c r="K5" s="54">
        <f>SUM(J5)+1.4</f>
        <v>33.4</v>
      </c>
      <c r="L5" s="54">
        <f>SUM(K5)+1.4</f>
        <v>34.799999999999997</v>
      </c>
      <c r="M5" s="56">
        <f>SUM(L5)+1.4</f>
        <v>36.199999999999996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39.5</v>
      </c>
      <c r="I7" s="54">
        <f>SUM(J7)-2.25</f>
        <v>41.75</v>
      </c>
      <c r="J7" s="55">
        <v>44</v>
      </c>
      <c r="K7" s="54">
        <f>SUM(J7)+2</f>
        <v>46</v>
      </c>
      <c r="L7" s="54">
        <f t="shared" ref="L7:M7" si="0">SUM(K7)+2</f>
        <v>48</v>
      </c>
      <c r="M7" s="56">
        <f t="shared" si="0"/>
        <v>50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SUM(I9)-2.5</f>
        <v>43.5</v>
      </c>
      <c r="I9" s="54">
        <f>SUM(J9)-2.5</f>
        <v>46</v>
      </c>
      <c r="J9" s="55">
        <v>48.5</v>
      </c>
      <c r="K9" s="54">
        <f>SUM(J9)+2.2</f>
        <v>50.7</v>
      </c>
      <c r="L9" s="54">
        <f>SUM(K9)+2.2</f>
        <v>52.900000000000006</v>
      </c>
      <c r="M9" s="56">
        <f>SUM(L9)+2.2</f>
        <v>55.100000000000009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156</v>
      </c>
      <c r="C11" s="60"/>
      <c r="D11" s="61"/>
      <c r="E11" s="61"/>
      <c r="F11" s="61"/>
      <c r="G11" s="61"/>
      <c r="H11" s="54">
        <f>SUM(I11)-5</f>
        <v>73.599999999999994</v>
      </c>
      <c r="I11" s="54">
        <f>SUM(J11)-5</f>
        <v>78.599999999999994</v>
      </c>
      <c r="J11" s="55">
        <v>83.6</v>
      </c>
      <c r="K11" s="54">
        <f>SUM(J11)+4.4</f>
        <v>88</v>
      </c>
      <c r="L11" s="54">
        <f>SUM(K11)+4.4</f>
        <v>92.4</v>
      </c>
      <c r="M11" s="56">
        <f>SUM(L11)+4.4</f>
        <v>96.800000000000011</v>
      </c>
    </row>
    <row r="12" spans="1:13" s="1" customFormat="1" ht="14.1" customHeight="1" x14ac:dyDescent="0.3">
      <c r="A12" s="48"/>
      <c r="B12" s="45" t="s">
        <v>155</v>
      </c>
      <c r="C12" s="45"/>
      <c r="D12" s="46" t="s">
        <v>833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60">
        <f>SUM(I13)-0.9</f>
        <v>16.700000000000003</v>
      </c>
      <c r="I13" s="60">
        <f>SUM(J13)-0.9</f>
        <v>17.600000000000001</v>
      </c>
      <c r="J13" s="132">
        <v>18.5</v>
      </c>
      <c r="K13" s="130">
        <f>SUM(J13)+0.9</f>
        <v>19.399999999999999</v>
      </c>
      <c r="L13" s="130">
        <f>SUM(K13)+0.9</f>
        <v>20.299999999999997</v>
      </c>
      <c r="M13" s="131">
        <f>SUM(L13)+0.9</f>
        <v>21.199999999999996</v>
      </c>
    </row>
    <row r="14" spans="1:13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5"/>
      <c r="I14" s="45"/>
      <c r="J14" s="132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60">
        <f>SUM(I15)-0.6</f>
        <v>12.700000000000001</v>
      </c>
      <c r="I15" s="60">
        <f>SUM(J15)-0.6</f>
        <v>13.3</v>
      </c>
      <c r="J15" s="67">
        <v>13.9</v>
      </c>
      <c r="K15" s="130">
        <f>SUM(J15)+0.6</f>
        <v>14.5</v>
      </c>
      <c r="L15" s="130">
        <f t="shared" ref="L15:M15" si="1">SUM(K15)+0.6</f>
        <v>15.1</v>
      </c>
      <c r="M15" s="131">
        <f t="shared" si="1"/>
        <v>15.7</v>
      </c>
    </row>
    <row r="16" spans="1:13" s="1" customFormat="1" ht="14.1" customHeight="1" x14ac:dyDescent="0.3">
      <c r="A16" s="48"/>
      <c r="B16" s="45" t="s">
        <v>27</v>
      </c>
      <c r="C16" s="45"/>
      <c r="D16" s="46" t="s">
        <v>46</v>
      </c>
      <c r="E16" s="47"/>
      <c r="F16" s="47"/>
      <c r="G16" s="59"/>
      <c r="H16" s="45"/>
      <c r="I16" s="45"/>
      <c r="J16" s="67"/>
      <c r="K16" s="130"/>
      <c r="L16" s="130"/>
      <c r="M16" s="131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6.9</v>
      </c>
      <c r="I17" s="54">
        <f>SUM(J17)-0.3</f>
        <v>7.2</v>
      </c>
      <c r="J17" s="67">
        <v>7.5</v>
      </c>
      <c r="K17" s="68">
        <f>SUM(J17)+0.3</f>
        <v>7.8</v>
      </c>
      <c r="L17" s="68">
        <f t="shared" ref="L17:M17" si="2">SUM(K17)+0.3</f>
        <v>8.1</v>
      </c>
      <c r="M17" s="69">
        <f t="shared" si="2"/>
        <v>8.4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196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SUM(I19)-1.6</f>
        <v>34.199999999999996</v>
      </c>
      <c r="I19" s="54">
        <f>SUM(J19)-1.6</f>
        <v>35.799999999999997</v>
      </c>
      <c r="J19" s="67">
        <v>37.4</v>
      </c>
      <c r="K19" s="68">
        <f>SUM(J19)+1.6</f>
        <v>39</v>
      </c>
      <c r="L19" s="68">
        <f t="shared" ref="L19:M19" si="3">SUM(K19)+1.6</f>
        <v>40.6</v>
      </c>
      <c r="M19" s="69">
        <f t="shared" si="3"/>
        <v>42.2</v>
      </c>
    </row>
    <row r="20" spans="1:13" s="1" customFormat="1" ht="14.1" customHeight="1" x14ac:dyDescent="0.3">
      <c r="A20" s="48"/>
      <c r="B20" s="45" t="s">
        <v>33</v>
      </c>
      <c r="C20" s="45"/>
      <c r="D20" s="46" t="s">
        <v>303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SUM(I21)-3.7</f>
        <v>33.099999999999994</v>
      </c>
      <c r="I21" s="54">
        <f>SUM(J21)-3.7</f>
        <v>36.799999999999997</v>
      </c>
      <c r="J21" s="67">
        <v>40.5</v>
      </c>
      <c r="K21" s="68">
        <f>SUM(J21)+3.8</f>
        <v>44.3</v>
      </c>
      <c r="L21" s="68">
        <f>SUM(K21)+3.8</f>
        <v>48.099999999999994</v>
      </c>
      <c r="M21" s="69">
        <f>SUM(L21)+3.8</f>
        <v>51.899999999999991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310</v>
      </c>
      <c r="C25" s="66"/>
      <c r="D25" s="61" t="s">
        <v>68</v>
      </c>
      <c r="E25" s="61"/>
      <c r="F25" s="61"/>
      <c r="G25" s="61"/>
      <c r="H25" s="54">
        <f>SUM(I25)-0.6</f>
        <v>16.799999999999997</v>
      </c>
      <c r="I25" s="54">
        <f>SUM(J25)-0.6</f>
        <v>17.399999999999999</v>
      </c>
      <c r="J25" s="67">
        <v>18</v>
      </c>
      <c r="K25" s="68">
        <f>SUM(J25)+0.6</f>
        <v>18.600000000000001</v>
      </c>
      <c r="L25" s="68">
        <f>SUM(K25)+0.6</f>
        <v>19.200000000000003</v>
      </c>
      <c r="M25" s="69">
        <f>SUM(L25)+0.6</f>
        <v>19.800000000000004</v>
      </c>
    </row>
    <row r="26" spans="1:13" s="1" customFormat="1" ht="14.1" customHeight="1" x14ac:dyDescent="0.3">
      <c r="A26" s="48"/>
      <c r="B26" s="45" t="s">
        <v>311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0" t="s">
        <v>312</v>
      </c>
      <c r="C27" s="60"/>
      <c r="D27" s="62" t="s">
        <v>313</v>
      </c>
      <c r="E27" s="63"/>
      <c r="F27" s="63"/>
      <c r="G27" s="64"/>
      <c r="H27" s="54">
        <f>SUM(I27)-1</f>
        <v>29.3</v>
      </c>
      <c r="I27" s="54">
        <f>SUM(J27)-1</f>
        <v>30.3</v>
      </c>
      <c r="J27" s="67">
        <v>31.3</v>
      </c>
      <c r="K27" s="68">
        <f>SUM(J27)+1</f>
        <v>32.299999999999997</v>
      </c>
      <c r="L27" s="68">
        <f>SUM(K27)+1</f>
        <v>33.299999999999997</v>
      </c>
      <c r="M27" s="69">
        <f>SUM(L27)+1</f>
        <v>34.299999999999997</v>
      </c>
    </row>
    <row r="28" spans="1:13" s="1" customFormat="1" ht="14.1" customHeight="1" x14ac:dyDescent="0.3">
      <c r="A28" s="48"/>
      <c r="B28" s="45" t="s">
        <v>314</v>
      </c>
      <c r="C28" s="45"/>
      <c r="D28" s="46" t="s">
        <v>315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0" t="s">
        <v>316</v>
      </c>
      <c r="C29" s="60"/>
      <c r="D29" s="62" t="s">
        <v>317</v>
      </c>
      <c r="E29" s="63"/>
      <c r="F29" s="63"/>
      <c r="G29" s="64"/>
      <c r="H29" s="60">
        <f>SUM(I29)-0.8</f>
        <v>21</v>
      </c>
      <c r="I29" s="60">
        <f>SUM(J29)-0.8</f>
        <v>21.8</v>
      </c>
      <c r="J29" s="132">
        <v>22.6</v>
      </c>
      <c r="K29" s="130">
        <f>SUM(J29)+0.8</f>
        <v>23.400000000000002</v>
      </c>
      <c r="L29" s="130">
        <f t="shared" ref="L29" si="4">SUM(K29)+0.8</f>
        <v>24.200000000000003</v>
      </c>
      <c r="M29" s="131">
        <f t="shared" ref="M29" si="5">SUM(L29)+0.8</f>
        <v>25.000000000000004</v>
      </c>
    </row>
    <row r="30" spans="1:13" s="1" customFormat="1" ht="14.1" customHeight="1" x14ac:dyDescent="0.3">
      <c r="A30" s="48"/>
      <c r="B30" s="45" t="s">
        <v>318</v>
      </c>
      <c r="C30" s="45"/>
      <c r="D30" s="46" t="s">
        <v>319</v>
      </c>
      <c r="E30" s="47"/>
      <c r="F30" s="47"/>
      <c r="G30" s="59"/>
      <c r="H30" s="45"/>
      <c r="I30" s="45"/>
      <c r="J30" s="132"/>
      <c r="K30" s="130"/>
      <c r="L30" s="130"/>
      <c r="M30" s="131"/>
    </row>
    <row r="31" spans="1:13" ht="14.1" customHeight="1" x14ac:dyDescent="0.3">
      <c r="A31" s="48">
        <v>15</v>
      </c>
      <c r="B31" s="60" t="s">
        <v>320</v>
      </c>
      <c r="C31" s="60"/>
      <c r="D31" s="62"/>
      <c r="E31" s="63"/>
      <c r="F31" s="63"/>
      <c r="G31" s="64"/>
      <c r="H31" s="54">
        <f>SUM(I31)-0.5</f>
        <v>10</v>
      </c>
      <c r="I31" s="54">
        <f>SUM(J31)-0.5</f>
        <v>10.5</v>
      </c>
      <c r="J31" s="67">
        <v>11</v>
      </c>
      <c r="K31" s="68">
        <f>SUM(J31)+0.5</f>
        <v>11.5</v>
      </c>
      <c r="L31" s="68">
        <f>SUM(K31)+0.5</f>
        <v>12</v>
      </c>
      <c r="M31" s="69">
        <f>SUM(L31)+0.5</f>
        <v>12.5</v>
      </c>
    </row>
    <row r="32" spans="1:13" ht="14.1" customHeight="1" x14ac:dyDescent="0.3">
      <c r="A32" s="48"/>
      <c r="B32" s="45" t="s">
        <v>321</v>
      </c>
      <c r="C32" s="45"/>
      <c r="D32" s="46"/>
      <c r="E32" s="47"/>
      <c r="F32" s="47"/>
      <c r="G32" s="59"/>
      <c r="H32" s="40"/>
      <c r="I32" s="40"/>
      <c r="J32" s="67"/>
      <c r="K32" s="68"/>
      <c r="L32" s="68"/>
      <c r="M32" s="69"/>
    </row>
    <row r="33" spans="1:13" ht="14.1" customHeight="1" x14ac:dyDescent="0.3">
      <c r="A33" s="48">
        <v>16</v>
      </c>
      <c r="B33" s="60" t="s">
        <v>322</v>
      </c>
      <c r="C33" s="60"/>
      <c r="D33" s="62"/>
      <c r="E33" s="63"/>
      <c r="F33" s="63"/>
      <c r="G33" s="64"/>
      <c r="H33" s="60">
        <f>SUM(I33)-2.6</f>
        <v>33.5</v>
      </c>
      <c r="I33" s="60">
        <f>SUM(J33)-2.6</f>
        <v>36.1</v>
      </c>
      <c r="J33" s="132">
        <v>38.700000000000003</v>
      </c>
      <c r="K33" s="130">
        <f>SUM(J33)+2.4</f>
        <v>41.1</v>
      </c>
      <c r="L33" s="130">
        <f>SUM(K33)+2.4</f>
        <v>43.5</v>
      </c>
      <c r="M33" s="131">
        <f>SUM(L33)+2.4</f>
        <v>45.9</v>
      </c>
    </row>
    <row r="34" spans="1:13" ht="14.1" customHeight="1" x14ac:dyDescent="0.3">
      <c r="A34" s="48"/>
      <c r="B34" s="45" t="s">
        <v>323</v>
      </c>
      <c r="C34" s="45"/>
      <c r="D34" s="46" t="s">
        <v>324</v>
      </c>
      <c r="E34" s="47"/>
      <c r="F34" s="47"/>
      <c r="G34" s="59"/>
      <c r="H34" s="45"/>
      <c r="I34" s="45"/>
      <c r="J34" s="132"/>
      <c r="K34" s="130"/>
      <c r="L34" s="130"/>
      <c r="M34" s="131"/>
    </row>
    <row r="35" spans="1:13" ht="14.1" customHeight="1" x14ac:dyDescent="0.3">
      <c r="A35" s="48">
        <v>17</v>
      </c>
      <c r="B35" s="65" t="s">
        <v>134</v>
      </c>
      <c r="C35" s="66"/>
      <c r="D35" s="88"/>
      <c r="E35" s="89"/>
      <c r="F35" s="89"/>
      <c r="G35" s="90"/>
      <c r="H35" s="54">
        <f>SUM(I35)-0.7</f>
        <v>11.600000000000001</v>
      </c>
      <c r="I35" s="54">
        <f>SUM(J35)-0.7</f>
        <v>12.3</v>
      </c>
      <c r="J35" s="67">
        <v>13</v>
      </c>
      <c r="K35" s="68">
        <f>SUM(J35)+0.7</f>
        <v>13.7</v>
      </c>
      <c r="L35" s="68">
        <f>SUM(K35)+0.7</f>
        <v>14.399999999999999</v>
      </c>
      <c r="M35" s="69">
        <f>SUM(L35)+0.7</f>
        <v>15.099999999999998</v>
      </c>
    </row>
    <row r="36" spans="1:13" ht="14.1" customHeight="1" x14ac:dyDescent="0.3">
      <c r="A36" s="78"/>
      <c r="B36" s="57" t="s">
        <v>142</v>
      </c>
      <c r="C36" s="58"/>
      <c r="D36" s="46" t="s">
        <v>325</v>
      </c>
      <c r="E36" s="47"/>
      <c r="F36" s="47"/>
      <c r="G36" s="59"/>
      <c r="H36" s="40"/>
      <c r="I36" s="40"/>
      <c r="J36" s="55"/>
      <c r="K36" s="68"/>
      <c r="L36" s="68"/>
      <c r="M36" s="69"/>
    </row>
    <row r="37" spans="1:13" ht="14.1" customHeight="1" x14ac:dyDescent="0.3">
      <c r="A37" s="48">
        <v>18</v>
      </c>
      <c r="B37" s="79" t="s">
        <v>135</v>
      </c>
      <c r="C37" s="80"/>
      <c r="D37" s="133"/>
      <c r="E37" s="134"/>
      <c r="F37" s="134"/>
      <c r="G37" s="135"/>
      <c r="H37" s="54">
        <f>SUM(I37)-0.4</f>
        <v>5.4999999999999991</v>
      </c>
      <c r="I37" s="54">
        <f>SUM(J37)-0.4</f>
        <v>5.8999999999999995</v>
      </c>
      <c r="J37" s="67">
        <v>6.3</v>
      </c>
      <c r="K37" s="68">
        <f>SUM(J37)+0.4</f>
        <v>6.7</v>
      </c>
      <c r="L37" s="68">
        <f>SUM(K37)+0.4</f>
        <v>7.1000000000000005</v>
      </c>
      <c r="M37" s="69">
        <f>SUM(L37)+0.4</f>
        <v>7.5000000000000009</v>
      </c>
    </row>
    <row r="38" spans="1:13" ht="14.1" customHeight="1" x14ac:dyDescent="0.3">
      <c r="A38" s="78"/>
      <c r="B38" s="57" t="s">
        <v>143</v>
      </c>
      <c r="C38" s="58"/>
      <c r="D38" s="46" t="s">
        <v>234</v>
      </c>
      <c r="E38" s="47"/>
      <c r="F38" s="47"/>
      <c r="G38" s="59"/>
      <c r="H38" s="40"/>
      <c r="I38" s="40"/>
      <c r="J38" s="67"/>
      <c r="K38" s="68"/>
      <c r="L38" s="68"/>
      <c r="M38" s="69"/>
    </row>
    <row r="39" spans="1:13" ht="14.1" customHeight="1" x14ac:dyDescent="0.3">
      <c r="A39" s="48">
        <v>19</v>
      </c>
      <c r="B39" s="65" t="s">
        <v>232</v>
      </c>
      <c r="C39" s="66"/>
      <c r="D39" s="61"/>
      <c r="E39" s="61"/>
      <c r="F39" s="61"/>
      <c r="G39" s="61"/>
      <c r="H39" s="54">
        <v>27.5</v>
      </c>
      <c r="I39" s="54">
        <v>30</v>
      </c>
      <c r="J39" s="67">
        <v>33</v>
      </c>
      <c r="K39" s="68">
        <v>35</v>
      </c>
      <c r="L39" s="68">
        <v>37</v>
      </c>
      <c r="M39" s="69">
        <v>39.5</v>
      </c>
    </row>
    <row r="40" spans="1:13" ht="14.1" customHeight="1" x14ac:dyDescent="0.3">
      <c r="A40" s="48"/>
      <c r="B40" s="57" t="s">
        <v>153</v>
      </c>
      <c r="C40" s="58"/>
      <c r="D40" s="46" t="s">
        <v>152</v>
      </c>
      <c r="E40" s="47"/>
      <c r="F40" s="47"/>
      <c r="G40" s="59"/>
      <c r="H40" s="40"/>
      <c r="I40" s="40"/>
      <c r="J40" s="67"/>
      <c r="K40" s="68"/>
      <c r="L40" s="68"/>
      <c r="M40" s="69"/>
    </row>
    <row r="41" spans="1:13" ht="14.1" customHeight="1" x14ac:dyDescent="0.3">
      <c r="A41" s="48">
        <v>20</v>
      </c>
      <c r="B41" s="79"/>
      <c r="C41" s="80"/>
      <c r="D41" s="133"/>
      <c r="E41" s="134"/>
      <c r="F41" s="134"/>
      <c r="G41" s="135"/>
      <c r="H41" s="81"/>
      <c r="I41" s="81"/>
      <c r="J41" s="42"/>
      <c r="K41" s="40"/>
      <c r="L41" s="40"/>
      <c r="M41" s="44"/>
    </row>
    <row r="42" spans="1:13" ht="14.1" customHeight="1" thickBot="1" x14ac:dyDescent="0.35">
      <c r="A42" s="87"/>
      <c r="B42" s="96"/>
      <c r="C42" s="97"/>
      <c r="D42" s="98"/>
      <c r="E42" s="99"/>
      <c r="F42" s="99"/>
      <c r="G42" s="100"/>
      <c r="H42" s="91"/>
      <c r="I42" s="91"/>
      <c r="J42" s="92"/>
      <c r="K42" s="93"/>
      <c r="L42" s="93"/>
      <c r="M42" s="121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I31:I32"/>
    <mergeCell ref="J31:J32"/>
    <mergeCell ref="K31:K32"/>
    <mergeCell ref="L31:L32"/>
    <mergeCell ref="M31:M32"/>
    <mergeCell ref="B32:C32"/>
    <mergeCell ref="D32:G32"/>
    <mergeCell ref="B12:C12"/>
    <mergeCell ref="D12:G12"/>
    <mergeCell ref="J29:J30"/>
    <mergeCell ref="K27:K28"/>
    <mergeCell ref="L27:L28"/>
    <mergeCell ref="M27:M28"/>
    <mergeCell ref="B28:C28"/>
    <mergeCell ref="D28:G28"/>
    <mergeCell ref="K23:K24"/>
    <mergeCell ref="L23:L24"/>
    <mergeCell ref="M23:M24"/>
    <mergeCell ref="B24:C24"/>
    <mergeCell ref="D24:G24"/>
    <mergeCell ref="K19:K20"/>
    <mergeCell ref="L19:L20"/>
    <mergeCell ref="M19:M20"/>
    <mergeCell ref="B20:C20"/>
    <mergeCell ref="A31:A32"/>
    <mergeCell ref="B31:C31"/>
    <mergeCell ref="D31:G31"/>
    <mergeCell ref="H31:H32"/>
    <mergeCell ref="A1:M1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79B4-AE93-4348-B509-7A9447F97763}">
  <sheetPr codeName="Sheet14">
    <tabColor rgb="FFFF0000"/>
    <pageSetUpPr fitToPage="1"/>
  </sheetPr>
  <dimension ref="A1:M51"/>
  <sheetViews>
    <sheetView zoomScale="110" zoomScaleNormal="110" workbookViewId="0">
      <selection activeCell="B19" sqref="B19:G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SUM(I3)-3.4</f>
        <v>33.200000000000003</v>
      </c>
      <c r="I3" s="54">
        <f>SUM(J3)-3.4</f>
        <v>36.6</v>
      </c>
      <c r="J3" s="55">
        <v>40</v>
      </c>
      <c r="K3" s="54">
        <f>SUM(J3)+2.9</f>
        <v>42.9</v>
      </c>
      <c r="L3" s="54">
        <f>SUM(K3)+2.9</f>
        <v>45.8</v>
      </c>
      <c r="M3" s="56">
        <f>SUM(L3)+2.9</f>
        <v>48.699999999999996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40.599999999999994</v>
      </c>
      <c r="I5" s="54">
        <f>SUM(J5)-2.2</f>
        <v>42.8</v>
      </c>
      <c r="J5" s="55">
        <v>45</v>
      </c>
      <c r="K5" s="54">
        <f>SUM(J5)+2</f>
        <v>47</v>
      </c>
      <c r="L5" s="54">
        <f>SUM(K5)+2</f>
        <v>49</v>
      </c>
      <c r="M5" s="56">
        <f>SUM(L5)+2</f>
        <v>51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40.5</v>
      </c>
      <c r="I7" s="54">
        <f>SUM(J7)-2.25</f>
        <v>42.75</v>
      </c>
      <c r="J7" s="55">
        <v>45</v>
      </c>
      <c r="K7" s="54">
        <f>SUM(J7)+2</f>
        <v>47</v>
      </c>
      <c r="L7" s="54">
        <f t="shared" ref="L7:M7" si="0">SUM(K7)+2</f>
        <v>49</v>
      </c>
      <c r="M7" s="56">
        <f t="shared" si="0"/>
        <v>51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301</v>
      </c>
      <c r="C9" s="60"/>
      <c r="D9" s="61"/>
      <c r="E9" s="61"/>
      <c r="F9" s="61"/>
      <c r="G9" s="61"/>
      <c r="H9" s="54">
        <f>SUM(I9)-3.5</f>
        <v>65</v>
      </c>
      <c r="I9" s="54">
        <f>SUM(J9)-3.5</f>
        <v>68.5</v>
      </c>
      <c r="J9" s="55">
        <v>72</v>
      </c>
      <c r="K9" s="54">
        <f>SUM(J9)+3.5</f>
        <v>75.5</v>
      </c>
      <c r="L9" s="54">
        <f>SUM(K9)+3.5</f>
        <v>79</v>
      </c>
      <c r="M9" s="56">
        <f>SUM(L9)+3.5</f>
        <v>82.5</v>
      </c>
    </row>
    <row r="10" spans="1:13" s="1" customFormat="1" ht="14.1" customHeight="1" x14ac:dyDescent="0.3">
      <c r="A10" s="48"/>
      <c r="B10" s="45" t="s">
        <v>302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16.3</v>
      </c>
      <c r="I11" s="60">
        <f>SUM(J11)-0.8</f>
        <v>17.2</v>
      </c>
      <c r="J11" s="132">
        <v>18</v>
      </c>
      <c r="K11" s="130">
        <f>SUM(J11)+0.8</f>
        <v>18.8</v>
      </c>
      <c r="L11" s="130">
        <f t="shared" ref="L11:M11" si="1">SUM(K11)+0.8</f>
        <v>19.600000000000001</v>
      </c>
      <c r="M11" s="131">
        <f t="shared" si="1"/>
        <v>20.400000000000002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13</v>
      </c>
      <c r="I13" s="60">
        <f>SUM(J13)-0.6</f>
        <v>13.6</v>
      </c>
      <c r="J13" s="67">
        <v>14.2</v>
      </c>
      <c r="K13" s="130">
        <f>SUM(J13)+0.6</f>
        <v>14.799999999999999</v>
      </c>
      <c r="L13" s="130">
        <f t="shared" ref="L13:M13" si="2">SUM(K13)+0.6</f>
        <v>15.399999999999999</v>
      </c>
      <c r="M13" s="131">
        <f t="shared" si="2"/>
        <v>15.999999999999998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5"/>
      <c r="I14" s="45"/>
      <c r="J14" s="67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6.5</v>
      </c>
      <c r="I15" s="54">
        <f>SUM(J15)-0.3</f>
        <v>6.8</v>
      </c>
      <c r="J15" s="67">
        <v>7.1</v>
      </c>
      <c r="K15" s="68">
        <f>SUM(J15)+0.3</f>
        <v>7.3999999999999995</v>
      </c>
      <c r="L15" s="68">
        <f t="shared" ref="L15:M15" si="3">SUM(K15)+0.3</f>
        <v>7.6999999999999993</v>
      </c>
      <c r="M15" s="69">
        <f t="shared" si="3"/>
        <v>7.9999999999999991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34</v>
      </c>
      <c r="I17" s="54">
        <f>SUM(J17)-1.6</f>
        <v>35.6</v>
      </c>
      <c r="J17" s="67">
        <v>37.200000000000003</v>
      </c>
      <c r="K17" s="68">
        <f>SUM(J17)+1.6</f>
        <v>38.800000000000004</v>
      </c>
      <c r="L17" s="68">
        <f t="shared" ref="L17:M17" si="4">SUM(K17)+1.6</f>
        <v>40.400000000000006</v>
      </c>
      <c r="M17" s="69">
        <f t="shared" si="4"/>
        <v>42.000000000000007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303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79" t="s">
        <v>75</v>
      </c>
      <c r="C19" s="80"/>
      <c r="D19" s="52" t="s">
        <v>228</v>
      </c>
      <c r="E19" s="52"/>
      <c r="F19" s="52"/>
      <c r="G19" s="52"/>
      <c r="H19" s="54">
        <f>SUM(I19)-0.2</f>
        <v>3.0999999999999996</v>
      </c>
      <c r="I19" s="54">
        <f>SUM(J19)-0.2</f>
        <v>3.3</v>
      </c>
      <c r="J19" s="67">
        <v>3.5</v>
      </c>
      <c r="K19" s="68">
        <f>SUM(J19)+0.2</f>
        <v>3.7</v>
      </c>
      <c r="L19" s="68">
        <f>SUM(K19)+0.2</f>
        <v>3.9000000000000004</v>
      </c>
      <c r="M19" s="69">
        <f>SUM(L19)+0.2</f>
        <v>4.1000000000000005</v>
      </c>
    </row>
    <row r="20" spans="1:13" s="1" customFormat="1" ht="14.1" customHeight="1" x14ac:dyDescent="0.3">
      <c r="A20" s="48"/>
      <c r="B20" s="105" t="s">
        <v>34</v>
      </c>
      <c r="C20" s="105"/>
      <c r="D20" s="51" t="s">
        <v>229</v>
      </c>
      <c r="E20" s="52"/>
      <c r="F20" s="52"/>
      <c r="G20" s="53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SUM(I21)-3.4</f>
        <v>26.200000000000003</v>
      </c>
      <c r="I21" s="54">
        <f>SUM(J21)-3.4</f>
        <v>29.6</v>
      </c>
      <c r="J21" s="67">
        <v>33</v>
      </c>
      <c r="K21" s="68">
        <f>SUM(J21)+3.5</f>
        <v>36.5</v>
      </c>
      <c r="L21" s="68">
        <f>SUM(K21)+3.5</f>
        <v>40</v>
      </c>
      <c r="M21" s="69">
        <f>SUM(L21)+3.5</f>
        <v>43.5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>
        <f>SUM(I23)-1.6</f>
        <v>32.799999999999997</v>
      </c>
      <c r="I23" s="54">
        <f>SUM(J23)-1.6</f>
        <v>34.4</v>
      </c>
      <c r="J23" s="67">
        <v>36</v>
      </c>
      <c r="K23" s="68">
        <f>SUM(J23)+1.6</f>
        <v>37.6</v>
      </c>
      <c r="L23" s="68">
        <f>SUM(K23)+1.6</f>
        <v>39.200000000000003</v>
      </c>
      <c r="M23" s="69">
        <f>SUM(L23)+1.6</f>
        <v>40.800000000000004</v>
      </c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304</v>
      </c>
      <c r="C25" s="66"/>
      <c r="D25" s="61" t="s">
        <v>68</v>
      </c>
      <c r="E25" s="61"/>
      <c r="F25" s="61"/>
      <c r="G25" s="61"/>
      <c r="H25" s="54">
        <f>SUM(I25)-0.6</f>
        <v>16.799999999999997</v>
      </c>
      <c r="I25" s="54">
        <f>SUM(J25)-0.6</f>
        <v>17.399999999999999</v>
      </c>
      <c r="J25" s="67">
        <v>18</v>
      </c>
      <c r="K25" s="68">
        <f>SUM(J25)+0.6</f>
        <v>18.600000000000001</v>
      </c>
      <c r="L25" s="68">
        <f>SUM(K25)+0.6</f>
        <v>19.200000000000003</v>
      </c>
      <c r="M25" s="69">
        <f>SUM(L25)+0.6</f>
        <v>19.800000000000004</v>
      </c>
    </row>
    <row r="26" spans="1:13" s="1" customFormat="1" ht="14.1" customHeight="1" x14ac:dyDescent="0.3">
      <c r="A26" s="48"/>
      <c r="B26" s="45" t="s">
        <v>305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 t="s">
        <v>112</v>
      </c>
      <c r="C27" s="66"/>
      <c r="D27" s="88"/>
      <c r="E27" s="89"/>
      <c r="F27" s="89"/>
      <c r="G27" s="90"/>
      <c r="H27" s="54">
        <f>SUM(I27)-1</f>
        <v>13</v>
      </c>
      <c r="I27" s="54">
        <f>SUM(J27)-1</f>
        <v>14</v>
      </c>
      <c r="J27" s="67">
        <v>15</v>
      </c>
      <c r="K27" s="68">
        <f>SUM(J27)+1</f>
        <v>16</v>
      </c>
      <c r="L27" s="68">
        <f>SUM(K27)+1</f>
        <v>17</v>
      </c>
      <c r="M27" s="69">
        <f>SUM(L27)+1</f>
        <v>18</v>
      </c>
    </row>
    <row r="28" spans="1:13" s="1" customFormat="1" ht="14.1" customHeight="1" x14ac:dyDescent="0.3">
      <c r="A28" s="48"/>
      <c r="B28" s="70" t="s">
        <v>52</v>
      </c>
      <c r="C28" s="71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5" t="s">
        <v>114</v>
      </c>
      <c r="C29" s="66"/>
      <c r="D29" s="88"/>
      <c r="E29" s="89"/>
      <c r="F29" s="89"/>
      <c r="G29" s="90"/>
      <c r="H29" s="54">
        <f>SUM(I29)-0.8</f>
        <v>12.399999999999999</v>
      </c>
      <c r="I29" s="54">
        <f>SUM(J29)-0.8</f>
        <v>13.2</v>
      </c>
      <c r="J29" s="67">
        <v>14</v>
      </c>
      <c r="K29" s="68">
        <f>SUM(J29)+0.8</f>
        <v>14.8</v>
      </c>
      <c r="L29" s="68">
        <f>SUM(K29)+0.8</f>
        <v>15.600000000000001</v>
      </c>
      <c r="M29" s="69">
        <f>SUM(L29)+0.8</f>
        <v>16.400000000000002</v>
      </c>
    </row>
    <row r="30" spans="1:13" s="1" customFormat="1" ht="14.1" customHeight="1" x14ac:dyDescent="0.3">
      <c r="A30" s="48"/>
      <c r="B30" s="70" t="s">
        <v>53</v>
      </c>
      <c r="C30" s="71"/>
      <c r="D30" s="46" t="s">
        <v>306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48">
        <v>15</v>
      </c>
      <c r="B31" s="65" t="s">
        <v>307</v>
      </c>
      <c r="C31" s="66"/>
      <c r="D31" s="88"/>
      <c r="E31" s="89"/>
      <c r="F31" s="89"/>
      <c r="G31" s="90"/>
      <c r="H31" s="54">
        <f>SUM(I31)-0.6</f>
        <v>10.3</v>
      </c>
      <c r="I31" s="54">
        <f>SUM(J31)-0.6</f>
        <v>10.9</v>
      </c>
      <c r="J31" s="67">
        <v>11.5</v>
      </c>
      <c r="K31" s="68">
        <f>SUM(J31)+0.6</f>
        <v>12.1</v>
      </c>
      <c r="L31" s="68">
        <f>SUM(K31)+0.6</f>
        <v>12.7</v>
      </c>
      <c r="M31" s="69">
        <f>SUM(L31)+0.6</f>
        <v>13.299999999999999</v>
      </c>
    </row>
    <row r="32" spans="1:13" ht="14.1" customHeight="1" x14ac:dyDescent="0.3">
      <c r="A32" s="48"/>
      <c r="B32" s="70" t="s">
        <v>308</v>
      </c>
      <c r="C32" s="71"/>
      <c r="D32" s="46"/>
      <c r="E32" s="47"/>
      <c r="F32" s="47"/>
      <c r="G32" s="59"/>
      <c r="H32" s="40"/>
      <c r="I32" s="40"/>
      <c r="J32" s="67"/>
      <c r="K32" s="68"/>
      <c r="L32" s="68"/>
      <c r="M32" s="69"/>
    </row>
    <row r="33" spans="1:13" ht="14.1" customHeight="1" x14ac:dyDescent="0.3">
      <c r="A33" s="48">
        <v>16</v>
      </c>
      <c r="B33" s="65" t="s">
        <v>232</v>
      </c>
      <c r="C33" s="66"/>
      <c r="D33" s="61"/>
      <c r="E33" s="61"/>
      <c r="F33" s="61"/>
      <c r="G33" s="61"/>
      <c r="H33" s="54">
        <v>31</v>
      </c>
      <c r="I33" s="54">
        <v>34.5</v>
      </c>
      <c r="J33" s="67">
        <v>37.5</v>
      </c>
      <c r="K33" s="68">
        <v>40.5</v>
      </c>
      <c r="L33" s="68">
        <v>43.5</v>
      </c>
      <c r="M33" s="69">
        <v>46.5</v>
      </c>
    </row>
    <row r="34" spans="1:13" ht="14.1" customHeight="1" x14ac:dyDescent="0.3">
      <c r="A34" s="48"/>
      <c r="B34" s="57" t="s">
        <v>153</v>
      </c>
      <c r="C34" s="58"/>
      <c r="D34" s="46" t="s">
        <v>152</v>
      </c>
      <c r="E34" s="47"/>
      <c r="F34" s="47"/>
      <c r="G34" s="59"/>
      <c r="H34" s="40"/>
      <c r="I34" s="40"/>
      <c r="J34" s="67"/>
      <c r="K34" s="68"/>
      <c r="L34" s="68"/>
      <c r="M34" s="69"/>
    </row>
    <row r="35" spans="1:13" ht="14.1" customHeight="1" x14ac:dyDescent="0.3">
      <c r="A35" s="78">
        <v>17</v>
      </c>
      <c r="B35" s="65" t="s">
        <v>134</v>
      </c>
      <c r="C35" s="66"/>
      <c r="D35" s="88"/>
      <c r="E35" s="89"/>
      <c r="F35" s="89"/>
      <c r="G35" s="90"/>
      <c r="H35" s="54">
        <f t="shared" ref="H35:I35" si="5">SUM(I35)-0.6</f>
        <v>10.9</v>
      </c>
      <c r="I35" s="54">
        <f t="shared" si="5"/>
        <v>11.5</v>
      </c>
      <c r="J35" s="55">
        <v>12.1</v>
      </c>
      <c r="K35" s="54">
        <f>SUM(J35)+0.6</f>
        <v>12.7</v>
      </c>
      <c r="L35" s="54">
        <f t="shared" ref="L35:M35" si="6">SUM(K35)+0.6</f>
        <v>13.299999999999999</v>
      </c>
      <c r="M35" s="56">
        <f t="shared" si="6"/>
        <v>13.899999999999999</v>
      </c>
    </row>
    <row r="36" spans="1:13" ht="14.1" customHeight="1" x14ac:dyDescent="0.3">
      <c r="A36" s="35"/>
      <c r="B36" s="57" t="s">
        <v>142</v>
      </c>
      <c r="C36" s="58"/>
      <c r="D36" s="46" t="s">
        <v>233</v>
      </c>
      <c r="E36" s="47"/>
      <c r="F36" s="47"/>
      <c r="G36" s="59"/>
      <c r="H36" s="40"/>
      <c r="I36" s="40"/>
      <c r="J36" s="42"/>
      <c r="K36" s="40"/>
      <c r="L36" s="40"/>
      <c r="M36" s="44"/>
    </row>
    <row r="37" spans="1:13" ht="14.1" customHeight="1" x14ac:dyDescent="0.3">
      <c r="A37" s="48">
        <v>18</v>
      </c>
      <c r="B37" s="79" t="s">
        <v>135</v>
      </c>
      <c r="C37" s="80"/>
      <c r="D37" s="133"/>
      <c r="E37" s="134"/>
      <c r="F37" s="134"/>
      <c r="G37" s="135"/>
      <c r="H37" s="54">
        <f>SUM(I37)-0.4</f>
        <v>7.3999999999999986</v>
      </c>
      <c r="I37" s="54">
        <f>SUM(J37)-0.4</f>
        <v>7.7999999999999989</v>
      </c>
      <c r="J37" s="67">
        <v>8.1999999999999993</v>
      </c>
      <c r="K37" s="68">
        <f>SUM(J37)+0.4</f>
        <v>8.6</v>
      </c>
      <c r="L37" s="68">
        <f>SUM(K37)+0.4</f>
        <v>9</v>
      </c>
      <c r="M37" s="69">
        <f>SUM(L37)+0.4</f>
        <v>9.4</v>
      </c>
    </row>
    <row r="38" spans="1:13" ht="14.1" customHeight="1" x14ac:dyDescent="0.3">
      <c r="A38" s="48"/>
      <c r="B38" s="57" t="s">
        <v>143</v>
      </c>
      <c r="C38" s="58"/>
      <c r="D38" s="46" t="s">
        <v>234</v>
      </c>
      <c r="E38" s="47"/>
      <c r="F38" s="47"/>
      <c r="G38" s="59"/>
      <c r="H38" s="40"/>
      <c r="I38" s="40"/>
      <c r="J38" s="67"/>
      <c r="K38" s="68"/>
      <c r="L38" s="68"/>
      <c r="M38" s="69"/>
    </row>
    <row r="39" spans="1:13" ht="14.1" customHeight="1" x14ac:dyDescent="0.3">
      <c r="A39" s="35">
        <v>19</v>
      </c>
      <c r="B39" s="79"/>
      <c r="C39" s="80"/>
      <c r="D39" s="133"/>
      <c r="E39" s="134"/>
      <c r="F39" s="134"/>
      <c r="G39" s="135"/>
      <c r="H39" s="81"/>
      <c r="I39" s="81"/>
      <c r="J39" s="42"/>
      <c r="K39" s="40"/>
      <c r="L39" s="40"/>
      <c r="M39" s="44"/>
    </row>
    <row r="40" spans="1:13" ht="14.1" customHeight="1" thickBot="1" x14ac:dyDescent="0.35">
      <c r="A40" s="87"/>
      <c r="B40" s="96"/>
      <c r="C40" s="97"/>
      <c r="D40" s="98"/>
      <c r="E40" s="99"/>
      <c r="F40" s="99"/>
      <c r="G40" s="100"/>
      <c r="H40" s="91"/>
      <c r="I40" s="91"/>
      <c r="J40" s="92"/>
      <c r="K40" s="93"/>
      <c r="L40" s="93"/>
      <c r="M40" s="121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D34:G34"/>
    <mergeCell ref="K19:K20"/>
    <mergeCell ref="L19:L20"/>
    <mergeCell ref="M19:M20"/>
    <mergeCell ref="B20:C20"/>
    <mergeCell ref="D20:G20"/>
    <mergeCell ref="J19:J20"/>
    <mergeCell ref="J31:J32"/>
    <mergeCell ref="K31:K32"/>
    <mergeCell ref="L31:L32"/>
    <mergeCell ref="M31:M32"/>
    <mergeCell ref="J29:J30"/>
    <mergeCell ref="K27:K28"/>
    <mergeCell ref="L27:L28"/>
    <mergeCell ref="M27:M28"/>
    <mergeCell ref="J27:J28"/>
    <mergeCell ref="K25:K26"/>
    <mergeCell ref="L25:L26"/>
    <mergeCell ref="M25:M26"/>
    <mergeCell ref="J25:J26"/>
    <mergeCell ref="K23:K24"/>
    <mergeCell ref="L23:L24"/>
    <mergeCell ref="M23:M24"/>
    <mergeCell ref="D24:G24"/>
    <mergeCell ref="A19:A20"/>
    <mergeCell ref="B19:C19"/>
    <mergeCell ref="D19:G19"/>
    <mergeCell ref="H19:H20"/>
    <mergeCell ref="I19:I20"/>
    <mergeCell ref="H31:H32"/>
    <mergeCell ref="I31:I32"/>
    <mergeCell ref="H29:H30"/>
    <mergeCell ref="I29:I30"/>
    <mergeCell ref="B28:C28"/>
    <mergeCell ref="D28:G28"/>
    <mergeCell ref="A27:A28"/>
    <mergeCell ref="B27:C27"/>
    <mergeCell ref="D27:G27"/>
    <mergeCell ref="H27:H28"/>
    <mergeCell ref="I27:I28"/>
    <mergeCell ref="B26:C26"/>
    <mergeCell ref="D26:G26"/>
    <mergeCell ref="A25:A26"/>
    <mergeCell ref="B25:C25"/>
    <mergeCell ref="D25:G25"/>
    <mergeCell ref="H25:H26"/>
    <mergeCell ref="I25:I26"/>
    <mergeCell ref="B24:C24"/>
    <mergeCell ref="D35:G35"/>
    <mergeCell ref="B35:C35"/>
    <mergeCell ref="A35:A36"/>
    <mergeCell ref="A31:A32"/>
    <mergeCell ref="B31:C31"/>
    <mergeCell ref="D31:G31"/>
    <mergeCell ref="B32:C32"/>
    <mergeCell ref="D32:G32"/>
    <mergeCell ref="M35:M36"/>
    <mergeCell ref="L35:L36"/>
    <mergeCell ref="K35:K36"/>
    <mergeCell ref="J35:J36"/>
    <mergeCell ref="I35:I36"/>
    <mergeCell ref="H35:H36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I37:I38"/>
    <mergeCell ref="J37:J38"/>
    <mergeCell ref="K37:K38"/>
    <mergeCell ref="L37:L38"/>
    <mergeCell ref="M37:M38"/>
    <mergeCell ref="B38:C38"/>
    <mergeCell ref="D38:G38"/>
    <mergeCell ref="B36:C36"/>
    <mergeCell ref="D36:G36"/>
    <mergeCell ref="A37:A38"/>
    <mergeCell ref="B37:C37"/>
    <mergeCell ref="D37:G37"/>
    <mergeCell ref="H37:H38"/>
    <mergeCell ref="A1:M1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29:K30"/>
    <mergeCell ref="L29:L30"/>
    <mergeCell ref="M29:M30"/>
    <mergeCell ref="B30:C30"/>
    <mergeCell ref="D30:G30"/>
    <mergeCell ref="A29:A30"/>
    <mergeCell ref="B29:C29"/>
    <mergeCell ref="D29:G29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A444-9E03-4EAA-BAC2-8B09ABA35768}">
  <sheetPr codeName="Sheet15">
    <tabColor rgb="FFFF0000"/>
    <pageSetUpPr fitToPage="1"/>
  </sheetPr>
  <dimension ref="A1:N51"/>
  <sheetViews>
    <sheetView zoomScale="110" zoomScaleNormal="110" workbookViewId="0">
      <selection activeCell="B23" sqref="B23:C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249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SUM(I3)-3.4</f>
        <v>37.5</v>
      </c>
      <c r="I3" s="54">
        <f>SUM(J3)-3.4</f>
        <v>40.9</v>
      </c>
      <c r="J3" s="55">
        <v>44.3</v>
      </c>
      <c r="K3" s="54">
        <f>SUM(J3)+2.9</f>
        <v>47.199999999999996</v>
      </c>
      <c r="L3" s="54">
        <f t="shared" ref="L3:N3" si="0">SUM(K3)+2.9</f>
        <v>50.099999999999994</v>
      </c>
      <c r="M3" s="54">
        <f t="shared" si="0"/>
        <v>52.999999999999993</v>
      </c>
      <c r="N3" s="56">
        <f t="shared" si="0"/>
        <v>55.899999999999991</v>
      </c>
    </row>
    <row r="4" spans="1:14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SUM(I5)-1.2</f>
        <v>20</v>
      </c>
      <c r="I5" s="54">
        <f>SUM(J5)-1.2</f>
        <v>21.2</v>
      </c>
      <c r="J5" s="55">
        <v>22.4</v>
      </c>
      <c r="K5" s="54">
        <f>SUM(J5)+1</f>
        <v>23.4</v>
      </c>
      <c r="L5" s="54">
        <f t="shared" ref="L5:N5" si="1">SUM(K5)+1</f>
        <v>24.4</v>
      </c>
      <c r="M5" s="54">
        <f t="shared" si="1"/>
        <v>25.4</v>
      </c>
      <c r="N5" s="56">
        <f t="shared" si="1"/>
        <v>26.4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42.5</v>
      </c>
      <c r="I7" s="54">
        <f>SUM(J7)-2.25</f>
        <v>44.75</v>
      </c>
      <c r="J7" s="55">
        <v>47</v>
      </c>
      <c r="K7" s="54">
        <f>SUM(J7)+2</f>
        <v>49</v>
      </c>
      <c r="L7" s="54">
        <f t="shared" ref="L7:N7" si="2">SUM(K7)+2</f>
        <v>51</v>
      </c>
      <c r="M7" s="54">
        <f t="shared" si="2"/>
        <v>53</v>
      </c>
      <c r="N7" s="56">
        <f t="shared" si="2"/>
        <v>55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227</v>
      </c>
      <c r="C9" s="60"/>
      <c r="D9" s="61"/>
      <c r="E9" s="61"/>
      <c r="F9" s="61"/>
      <c r="G9" s="61"/>
      <c r="H9" s="54">
        <f>SUM(I9)-3.5</f>
        <v>65</v>
      </c>
      <c r="I9" s="54">
        <f>SUM(J9)-3.5</f>
        <v>68.5</v>
      </c>
      <c r="J9" s="55">
        <v>72</v>
      </c>
      <c r="K9" s="54">
        <f>SUM(J9)+3</f>
        <v>75</v>
      </c>
      <c r="L9" s="54">
        <f t="shared" ref="L9:N9" si="3">SUM(K9)+3</f>
        <v>78</v>
      </c>
      <c r="M9" s="54">
        <f t="shared" si="3"/>
        <v>81</v>
      </c>
      <c r="N9" s="56">
        <f t="shared" si="3"/>
        <v>84</v>
      </c>
    </row>
    <row r="10" spans="1:14" s="1" customFormat="1" ht="14.1" customHeight="1" x14ac:dyDescent="0.3">
      <c r="A10" s="48"/>
      <c r="B10" s="45" t="s">
        <v>226</v>
      </c>
      <c r="C10" s="45"/>
      <c r="D10" s="46" t="s">
        <v>236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SUM(I11)-1</f>
        <v>21.2</v>
      </c>
      <c r="I11" s="60">
        <f>SUM(J11)-1</f>
        <v>22.2</v>
      </c>
      <c r="J11" s="132">
        <v>23.2</v>
      </c>
      <c r="K11" s="130">
        <f>SUM(J11)+1</f>
        <v>24.2</v>
      </c>
      <c r="L11" s="130">
        <f t="shared" ref="L11:N11" si="4">SUM(K11)+1</f>
        <v>25.2</v>
      </c>
      <c r="M11" s="130">
        <f t="shared" si="4"/>
        <v>26.2</v>
      </c>
      <c r="N11" s="131">
        <f t="shared" si="4"/>
        <v>27.2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14.200000000000001</v>
      </c>
      <c r="I13" s="60">
        <f>SUM(J13)-0.6</f>
        <v>14.8</v>
      </c>
      <c r="J13" s="67">
        <v>15.4</v>
      </c>
      <c r="K13" s="130">
        <f>SUM(J13)+0.6</f>
        <v>16</v>
      </c>
      <c r="L13" s="130">
        <f t="shared" ref="L13:N13" si="5">SUM(K13)+0.6</f>
        <v>16.600000000000001</v>
      </c>
      <c r="M13" s="130">
        <f t="shared" si="5"/>
        <v>17.200000000000003</v>
      </c>
      <c r="N13" s="131">
        <f t="shared" si="5"/>
        <v>17.800000000000004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5"/>
      <c r="I14" s="45"/>
      <c r="J14" s="67"/>
      <c r="K14" s="130"/>
      <c r="L14" s="130"/>
      <c r="M14" s="130"/>
      <c r="N14" s="131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6.4</v>
      </c>
      <c r="I15" s="54">
        <f>SUM(J15)-0.3</f>
        <v>6.7</v>
      </c>
      <c r="J15" s="67">
        <v>7</v>
      </c>
      <c r="K15" s="68">
        <f>SUM(J15)+0.3</f>
        <v>7.3</v>
      </c>
      <c r="L15" s="68">
        <f t="shared" ref="L15:N15" si="6">SUM(K15)+0.3</f>
        <v>7.6</v>
      </c>
      <c r="M15" s="68">
        <f t="shared" si="6"/>
        <v>7.8999999999999995</v>
      </c>
      <c r="N15" s="69">
        <f t="shared" si="6"/>
        <v>8.1999999999999993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37.099999999999994</v>
      </c>
      <c r="I17" s="54">
        <f>SUM(J17)-1.6</f>
        <v>38.699999999999996</v>
      </c>
      <c r="J17" s="67">
        <v>40.299999999999997</v>
      </c>
      <c r="K17" s="68">
        <f>SUM(J17)+1.6</f>
        <v>41.9</v>
      </c>
      <c r="L17" s="68">
        <f t="shared" ref="L17:N17" si="7">SUM(K17)+1.6</f>
        <v>43.5</v>
      </c>
      <c r="M17" s="68">
        <f t="shared" si="7"/>
        <v>45.1</v>
      </c>
      <c r="N17" s="69">
        <f t="shared" si="7"/>
        <v>46.7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SUM(I19)-3.9</f>
        <v>36.900000000000006</v>
      </c>
      <c r="I19" s="54">
        <f>SUM(J19)-3.9</f>
        <v>40.800000000000004</v>
      </c>
      <c r="J19" s="67">
        <v>44.7</v>
      </c>
      <c r="K19" s="68">
        <f>SUM(J19)+4</f>
        <v>48.7</v>
      </c>
      <c r="L19" s="68">
        <f t="shared" ref="L19:N19" si="8">SUM(K19)+4</f>
        <v>52.7</v>
      </c>
      <c r="M19" s="68">
        <f t="shared" si="8"/>
        <v>56.7</v>
      </c>
      <c r="N19" s="69">
        <f t="shared" si="8"/>
        <v>60.7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>
        <f>SUM(I21)-1.7</f>
        <v>36.199999999999996</v>
      </c>
      <c r="I21" s="54">
        <f>SUM(J21)-1.7</f>
        <v>37.9</v>
      </c>
      <c r="J21" s="67">
        <v>39.6</v>
      </c>
      <c r="K21" s="68">
        <f>SUM(J21)+1.7</f>
        <v>41.300000000000004</v>
      </c>
      <c r="L21" s="68">
        <f t="shared" ref="L21:N21" si="9">SUM(K21)+1.7</f>
        <v>43.000000000000007</v>
      </c>
      <c r="M21" s="68">
        <f t="shared" si="9"/>
        <v>44.70000000000001</v>
      </c>
      <c r="N21" s="69">
        <f t="shared" si="9"/>
        <v>46.400000000000013</v>
      </c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/>
      <c r="E23" s="61"/>
      <c r="F23" s="61"/>
      <c r="G23" s="61"/>
      <c r="H23" s="54">
        <f>SUM(I23)-0.6</f>
        <v>15.799999999999999</v>
      </c>
      <c r="I23" s="54">
        <f>SUM(J23)-0.6</f>
        <v>16.399999999999999</v>
      </c>
      <c r="J23" s="67">
        <v>17</v>
      </c>
      <c r="K23" s="68">
        <f>SUM(J23)+0.6</f>
        <v>17.600000000000001</v>
      </c>
      <c r="L23" s="68">
        <f t="shared" ref="L23:N23" si="10">SUM(K23)+0.6</f>
        <v>18.200000000000003</v>
      </c>
      <c r="M23" s="68">
        <f t="shared" si="10"/>
        <v>18.800000000000004</v>
      </c>
      <c r="N23" s="69">
        <f t="shared" si="10"/>
        <v>19.400000000000006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237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79" t="s">
        <v>75</v>
      </c>
      <c r="C25" s="80"/>
      <c r="D25" s="52" t="s">
        <v>228</v>
      </c>
      <c r="E25" s="52"/>
      <c r="F25" s="52"/>
      <c r="G25" s="52"/>
      <c r="H25" s="54">
        <f>SUM(I25)-0.2</f>
        <v>2.8</v>
      </c>
      <c r="I25" s="54">
        <f>SUM(J25)-0.2</f>
        <v>3</v>
      </c>
      <c r="J25" s="67">
        <v>3.2</v>
      </c>
      <c r="K25" s="68">
        <f>SUM(J25)+0.2</f>
        <v>3.4000000000000004</v>
      </c>
      <c r="L25" s="68">
        <f t="shared" ref="L25:N25" si="11">SUM(K25)+0.2</f>
        <v>3.6000000000000005</v>
      </c>
      <c r="M25" s="68">
        <f t="shared" si="11"/>
        <v>3.8000000000000007</v>
      </c>
      <c r="N25" s="69">
        <f t="shared" si="11"/>
        <v>4.0000000000000009</v>
      </c>
    </row>
    <row r="26" spans="1:14" s="1" customFormat="1" ht="14.1" customHeight="1" x14ac:dyDescent="0.3">
      <c r="A26" s="48"/>
      <c r="B26" s="105" t="s">
        <v>34</v>
      </c>
      <c r="C26" s="105"/>
      <c r="D26" s="51" t="s">
        <v>229</v>
      </c>
      <c r="E26" s="52"/>
      <c r="F26" s="52"/>
      <c r="G26" s="53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65" t="s">
        <v>230</v>
      </c>
      <c r="C27" s="66"/>
      <c r="D27" s="88"/>
      <c r="E27" s="89"/>
      <c r="F27" s="89"/>
      <c r="G27" s="90"/>
      <c r="H27" s="54">
        <f>SUM(I27)-0.5</f>
        <v>11</v>
      </c>
      <c r="I27" s="54">
        <f>SUM(J27)-0.5</f>
        <v>11.5</v>
      </c>
      <c r="J27" s="67">
        <v>12</v>
      </c>
      <c r="K27" s="68">
        <f>SUM(J27)+0.5</f>
        <v>12.5</v>
      </c>
      <c r="L27" s="68">
        <f t="shared" ref="L27:N27" si="12">SUM(K27)+0.5</f>
        <v>13</v>
      </c>
      <c r="M27" s="68">
        <f t="shared" si="12"/>
        <v>13.5</v>
      </c>
      <c r="N27" s="69">
        <f t="shared" si="12"/>
        <v>14</v>
      </c>
    </row>
    <row r="28" spans="1:14" s="1" customFormat="1" ht="14.1" customHeight="1" x14ac:dyDescent="0.3">
      <c r="A28" s="48"/>
      <c r="B28" s="57" t="s">
        <v>231</v>
      </c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69"/>
    </row>
    <row r="29" spans="1:14" s="1" customFormat="1" ht="14.1" customHeight="1" x14ac:dyDescent="0.3">
      <c r="A29" s="48">
        <v>14</v>
      </c>
      <c r="B29" s="65" t="s">
        <v>232</v>
      </c>
      <c r="C29" s="66"/>
      <c r="D29" s="61"/>
      <c r="E29" s="61"/>
      <c r="F29" s="61"/>
      <c r="G29" s="61"/>
      <c r="H29" s="54">
        <v>35</v>
      </c>
      <c r="I29" s="54">
        <v>38.5</v>
      </c>
      <c r="J29" s="42">
        <v>42</v>
      </c>
      <c r="K29" s="68">
        <v>44.5</v>
      </c>
      <c r="L29" s="68">
        <v>47.5</v>
      </c>
      <c r="M29" s="68">
        <v>50.5</v>
      </c>
      <c r="N29" s="69">
        <v>53.5</v>
      </c>
    </row>
    <row r="30" spans="1:14" s="1" customFormat="1" ht="14.1" customHeight="1" x14ac:dyDescent="0.3">
      <c r="A30" s="78"/>
      <c r="B30" s="57" t="s">
        <v>153</v>
      </c>
      <c r="C30" s="58"/>
      <c r="D30" s="46" t="s">
        <v>152</v>
      </c>
      <c r="E30" s="47"/>
      <c r="F30" s="47"/>
      <c r="G30" s="59"/>
      <c r="H30" s="40"/>
      <c r="I30" s="40"/>
      <c r="J30" s="55"/>
      <c r="K30" s="68"/>
      <c r="L30" s="68"/>
      <c r="M30" s="68"/>
      <c r="N30" s="69"/>
    </row>
    <row r="31" spans="1:14" ht="14.1" customHeight="1" x14ac:dyDescent="0.3">
      <c r="A31" s="48">
        <v>15</v>
      </c>
      <c r="B31" s="65" t="s">
        <v>134</v>
      </c>
      <c r="C31" s="66"/>
      <c r="D31" s="88"/>
      <c r="E31" s="89"/>
      <c r="F31" s="89"/>
      <c r="G31" s="90"/>
      <c r="H31" s="54">
        <f t="shared" ref="H31" si="13">SUM(I31)-0.6</f>
        <v>10.3</v>
      </c>
      <c r="I31" s="54">
        <f t="shared" ref="I31" si="14">SUM(J31)-0.6</f>
        <v>10.9</v>
      </c>
      <c r="J31" s="67">
        <v>11.5</v>
      </c>
      <c r="K31" s="68">
        <f>SUM(J31)+0.6</f>
        <v>12.1</v>
      </c>
      <c r="L31" s="68">
        <f t="shared" ref="L31:M31" si="15">SUM(K31)+0.6</f>
        <v>12.7</v>
      </c>
      <c r="M31" s="68">
        <f t="shared" si="15"/>
        <v>13.299999999999999</v>
      </c>
      <c r="N31" s="69">
        <f>SUM(M31)+0.6</f>
        <v>13.899999999999999</v>
      </c>
    </row>
    <row r="32" spans="1:14" ht="14.1" customHeight="1" x14ac:dyDescent="0.3">
      <c r="A32" s="78"/>
      <c r="B32" s="57" t="s">
        <v>142</v>
      </c>
      <c r="C32" s="58"/>
      <c r="D32" s="46" t="s">
        <v>233</v>
      </c>
      <c r="E32" s="47"/>
      <c r="F32" s="47"/>
      <c r="G32" s="59"/>
      <c r="H32" s="40"/>
      <c r="I32" s="40"/>
      <c r="J32" s="55"/>
      <c r="K32" s="68"/>
      <c r="L32" s="68"/>
      <c r="M32" s="68"/>
      <c r="N32" s="69"/>
    </row>
    <row r="33" spans="1:14" ht="14.1" customHeight="1" x14ac:dyDescent="0.3">
      <c r="A33" s="48">
        <v>16</v>
      </c>
      <c r="B33" s="79" t="s">
        <v>135</v>
      </c>
      <c r="C33" s="80"/>
      <c r="D33" s="133"/>
      <c r="E33" s="134"/>
      <c r="F33" s="134"/>
      <c r="G33" s="135"/>
      <c r="H33" s="54">
        <f>SUM(I33)-0.3</f>
        <v>3.1000000000000005</v>
      </c>
      <c r="I33" s="54">
        <f>SUM(J33)-0.3</f>
        <v>3.4000000000000004</v>
      </c>
      <c r="J33" s="67">
        <v>3.7</v>
      </c>
      <c r="K33" s="68">
        <f>SUM(J33)+0.3</f>
        <v>4</v>
      </c>
      <c r="L33" s="68">
        <f t="shared" ref="L33:N33" si="16">SUM(K33)+0.3</f>
        <v>4.3</v>
      </c>
      <c r="M33" s="68">
        <f t="shared" si="16"/>
        <v>4.5999999999999996</v>
      </c>
      <c r="N33" s="69">
        <f t="shared" si="16"/>
        <v>4.8999999999999995</v>
      </c>
    </row>
    <row r="34" spans="1:14" ht="14.1" customHeight="1" x14ac:dyDescent="0.3">
      <c r="A34" s="78"/>
      <c r="B34" s="57" t="s">
        <v>143</v>
      </c>
      <c r="C34" s="58"/>
      <c r="D34" s="46" t="s">
        <v>234</v>
      </c>
      <c r="E34" s="47"/>
      <c r="F34" s="47"/>
      <c r="G34" s="59"/>
      <c r="H34" s="40"/>
      <c r="I34" s="40"/>
      <c r="J34" s="55"/>
      <c r="K34" s="68"/>
      <c r="L34" s="68"/>
      <c r="M34" s="68"/>
      <c r="N34" s="69"/>
    </row>
    <row r="35" spans="1:14" ht="14.1" customHeight="1" x14ac:dyDescent="0.3">
      <c r="A35" s="48">
        <v>17</v>
      </c>
      <c r="B35" s="79" t="s">
        <v>151</v>
      </c>
      <c r="C35" s="80"/>
      <c r="D35" s="52"/>
      <c r="E35" s="52"/>
      <c r="F35" s="52"/>
      <c r="G35" s="52"/>
      <c r="H35" s="54">
        <f>SUM(I35)-0.4</f>
        <v>7.6999999999999993</v>
      </c>
      <c r="I35" s="54">
        <f>SUM(J35)-0.4</f>
        <v>8.1</v>
      </c>
      <c r="J35" s="67">
        <v>8.5</v>
      </c>
      <c r="K35" s="68">
        <f>SUM(J35)+0.4</f>
        <v>8.9</v>
      </c>
      <c r="L35" s="68">
        <f t="shared" ref="L35:N35" si="17">SUM(K35)+0.4</f>
        <v>9.3000000000000007</v>
      </c>
      <c r="M35" s="68">
        <f t="shared" si="17"/>
        <v>9.7000000000000011</v>
      </c>
      <c r="N35" s="69">
        <f t="shared" si="17"/>
        <v>10.100000000000001</v>
      </c>
    </row>
    <row r="36" spans="1:14" ht="14.1" customHeight="1" thickBot="1" x14ac:dyDescent="0.35">
      <c r="A36" s="87"/>
      <c r="B36" s="96" t="s">
        <v>150</v>
      </c>
      <c r="C36" s="97"/>
      <c r="D36" s="98" t="s">
        <v>235</v>
      </c>
      <c r="E36" s="99"/>
      <c r="F36" s="99"/>
      <c r="G36" s="100"/>
      <c r="H36" s="91"/>
      <c r="I36" s="91"/>
      <c r="J36" s="92"/>
      <c r="K36" s="93"/>
      <c r="L36" s="93"/>
      <c r="M36" s="93"/>
      <c r="N36" s="121"/>
    </row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7">
    <mergeCell ref="M31:M32"/>
    <mergeCell ref="M33:M34"/>
    <mergeCell ref="M35:M36"/>
    <mergeCell ref="N31:N32"/>
    <mergeCell ref="N33:N34"/>
    <mergeCell ref="N35:N36"/>
    <mergeCell ref="K31:K32"/>
    <mergeCell ref="K33:K34"/>
    <mergeCell ref="K35:K36"/>
    <mergeCell ref="L31:L32"/>
    <mergeCell ref="L33:L34"/>
    <mergeCell ref="L35:L36"/>
    <mergeCell ref="I31:I32"/>
    <mergeCell ref="I33:I34"/>
    <mergeCell ref="I35:I36"/>
    <mergeCell ref="J31:J32"/>
    <mergeCell ref="J33:J34"/>
    <mergeCell ref="J35:J36"/>
    <mergeCell ref="A31:A32"/>
    <mergeCell ref="A33:A34"/>
    <mergeCell ref="A35:A36"/>
    <mergeCell ref="H31:H32"/>
    <mergeCell ref="H33:H34"/>
    <mergeCell ref="H35:H36"/>
    <mergeCell ref="B34:C34"/>
    <mergeCell ref="D34:G34"/>
    <mergeCell ref="B35:C35"/>
    <mergeCell ref="D35:G35"/>
    <mergeCell ref="B36:C36"/>
    <mergeCell ref="D36:G36"/>
    <mergeCell ref="B31:C31"/>
    <mergeCell ref="D31:G31"/>
    <mergeCell ref="B32:C32"/>
    <mergeCell ref="D32:G32"/>
    <mergeCell ref="B33:C33"/>
    <mergeCell ref="D33:G33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D1D0-31D4-48F6-8FF6-8C6481E95965}">
  <sheetPr codeName="Sheet16">
    <tabColor rgb="FFFF0000"/>
    <pageSetUpPr fitToPage="1"/>
  </sheetPr>
  <dimension ref="A1:N51"/>
  <sheetViews>
    <sheetView zoomScale="110" zoomScaleNormal="110" workbookViewId="0">
      <selection activeCell="D32" sqref="D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203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32</v>
      </c>
      <c r="I3" s="54">
        <f>SUM(J3)-3</f>
        <v>35</v>
      </c>
      <c r="J3" s="55">
        <v>38</v>
      </c>
      <c r="K3" s="54">
        <f>SUM(J3)+2.5</f>
        <v>40.5</v>
      </c>
      <c r="L3" s="54">
        <f t="shared" ref="L3:M3" si="0">SUM(K3)+2.5</f>
        <v>43</v>
      </c>
      <c r="M3" s="54">
        <f t="shared" si="0"/>
        <v>45.5</v>
      </c>
      <c r="N3" s="56">
        <f t="shared" ref="N3" si="1">SUM(M3)+2.5</f>
        <v>48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24.599999999999998</v>
      </c>
      <c r="I5" s="54">
        <f>SUM(J5)-1.8</f>
        <v>26.4</v>
      </c>
      <c r="J5" s="55">
        <v>28.2</v>
      </c>
      <c r="K5" s="54">
        <f>SUM(J5)+1.6</f>
        <v>29.8</v>
      </c>
      <c r="L5" s="54">
        <f t="shared" ref="L5:N5" si="2">SUM(K5)+1.6</f>
        <v>31.400000000000002</v>
      </c>
      <c r="M5" s="54">
        <f t="shared" si="2"/>
        <v>33</v>
      </c>
      <c r="N5" s="56">
        <f t="shared" si="2"/>
        <v>34.6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31.5</v>
      </c>
      <c r="I7" s="54">
        <f>SUM(J7)-2.25</f>
        <v>33.75</v>
      </c>
      <c r="J7" s="55">
        <v>36</v>
      </c>
      <c r="K7" s="54">
        <f>SUM(J7)+2</f>
        <v>38</v>
      </c>
      <c r="L7" s="54">
        <f t="shared" ref="L7:N7" si="3">SUM(K7)+2</f>
        <v>40</v>
      </c>
      <c r="M7" s="54">
        <f t="shared" si="3"/>
        <v>42</v>
      </c>
      <c r="N7" s="56">
        <f t="shared" si="3"/>
        <v>44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31.5</v>
      </c>
      <c r="I9" s="54">
        <f>SUM(J9)-2.25</f>
        <v>33.75</v>
      </c>
      <c r="J9" s="55">
        <v>36</v>
      </c>
      <c r="K9" s="54">
        <f>SUM(J9)+2</f>
        <v>38</v>
      </c>
      <c r="L9" s="54">
        <f t="shared" ref="L9:N9" si="4">SUM(K9)+2</f>
        <v>40</v>
      </c>
      <c r="M9" s="54">
        <f t="shared" si="4"/>
        <v>42</v>
      </c>
      <c r="N9" s="56">
        <f t="shared" si="4"/>
        <v>44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13.299999999999999</v>
      </c>
      <c r="I11" s="60">
        <f>SUM(J11)-0.8</f>
        <v>14.2</v>
      </c>
      <c r="J11" s="132">
        <v>15</v>
      </c>
      <c r="K11" s="130">
        <f>SUM(J11)+0.8</f>
        <v>15.8</v>
      </c>
      <c r="L11" s="130">
        <f t="shared" ref="L11:N11" si="5">SUM(K11)+0.8</f>
        <v>16.600000000000001</v>
      </c>
      <c r="M11" s="130">
        <f t="shared" si="5"/>
        <v>17.400000000000002</v>
      </c>
      <c r="N11" s="131">
        <f t="shared" si="5"/>
        <v>18.200000000000003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12.3</v>
      </c>
      <c r="I13" s="60">
        <f>SUM(J13)-0.6</f>
        <v>12.9</v>
      </c>
      <c r="J13" s="67">
        <v>13.5</v>
      </c>
      <c r="K13" s="130">
        <f>SUM(J13)+0.6</f>
        <v>14.1</v>
      </c>
      <c r="L13" s="130">
        <f t="shared" ref="L13:N13" si="6">SUM(K13)+0.6</f>
        <v>14.7</v>
      </c>
      <c r="M13" s="130">
        <f t="shared" si="6"/>
        <v>15.299999999999999</v>
      </c>
      <c r="N13" s="131">
        <f t="shared" si="6"/>
        <v>15.899999999999999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0"/>
      <c r="N14" s="131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6.4</v>
      </c>
      <c r="I15" s="54">
        <f>SUM(J15)-0.3</f>
        <v>6.7</v>
      </c>
      <c r="J15" s="67">
        <v>7</v>
      </c>
      <c r="K15" s="68">
        <f>SUM(J15)+0.3</f>
        <v>7.3</v>
      </c>
      <c r="L15" s="68">
        <f t="shared" ref="L15:N15" si="7">SUM(K15)+0.3</f>
        <v>7.6</v>
      </c>
      <c r="M15" s="68">
        <f t="shared" si="7"/>
        <v>7.8999999999999995</v>
      </c>
      <c r="N15" s="69">
        <f t="shared" si="7"/>
        <v>8.1999999999999993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 t="shared" ref="L17:N17" si="8">SUM(K17)+1.6</f>
        <v>44.2</v>
      </c>
      <c r="M17" s="68">
        <f t="shared" si="8"/>
        <v>45.800000000000004</v>
      </c>
      <c r="N17" s="69">
        <f t="shared" si="8"/>
        <v>47.400000000000006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10.8</v>
      </c>
      <c r="I19" s="54">
        <f>SUM(J19)-1.1</f>
        <v>11.9</v>
      </c>
      <c r="J19" s="67">
        <v>13</v>
      </c>
      <c r="K19" s="68">
        <f>SUM(J19)+1.2</f>
        <v>14.2</v>
      </c>
      <c r="L19" s="68">
        <f t="shared" ref="L19:N19" si="9">SUM(K19)+1.2</f>
        <v>15.399999999999999</v>
      </c>
      <c r="M19" s="68">
        <f t="shared" si="9"/>
        <v>16.599999999999998</v>
      </c>
      <c r="N19" s="69">
        <f t="shared" si="9"/>
        <v>17.799999999999997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>
        <f>SUM(I21)-1.4</f>
        <v>21.800000000000004</v>
      </c>
      <c r="I21" s="54">
        <f>SUM(J21)-1.4</f>
        <v>23.200000000000003</v>
      </c>
      <c r="J21" s="67">
        <v>24.6</v>
      </c>
      <c r="K21" s="68">
        <f>SUM(J21)+1.4</f>
        <v>26</v>
      </c>
      <c r="L21" s="68">
        <f t="shared" ref="L21:N21" si="10">SUM(K21)+1.4</f>
        <v>27.4</v>
      </c>
      <c r="M21" s="68">
        <f t="shared" si="10"/>
        <v>28.799999999999997</v>
      </c>
      <c r="N21" s="69">
        <f t="shared" si="10"/>
        <v>30.199999999999996</v>
      </c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21.6</v>
      </c>
      <c r="I23" s="54">
        <f>SUM(J23)-1.2</f>
        <v>22.8</v>
      </c>
      <c r="J23" s="67">
        <v>24</v>
      </c>
      <c r="K23" s="68">
        <f>SUM(J23)+1.2</f>
        <v>25.2</v>
      </c>
      <c r="L23" s="68">
        <f>SUM(K23)+1.2</f>
        <v>26.4</v>
      </c>
      <c r="M23" s="68">
        <f>SUM(L23)+1.2</f>
        <v>27.599999999999998</v>
      </c>
      <c r="N23" s="117">
        <f>SUM(M23)+1.2</f>
        <v>28.799999999999997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79"/>
      <c r="C25" s="80"/>
      <c r="D25" s="88"/>
      <c r="E25" s="89"/>
      <c r="F25" s="89"/>
      <c r="G25" s="90"/>
      <c r="H25" s="54"/>
      <c r="I25" s="54"/>
      <c r="J25" s="67"/>
      <c r="K25" s="68"/>
      <c r="L25" s="68"/>
      <c r="M25" s="68"/>
      <c r="N25" s="117"/>
    </row>
    <row r="26" spans="1:14" s="1" customFormat="1" ht="14.1" customHeight="1" x14ac:dyDescent="0.3">
      <c r="A26" s="48"/>
      <c r="B26" s="79"/>
      <c r="C26" s="80"/>
      <c r="D26" s="46"/>
      <c r="E26" s="47"/>
      <c r="F26" s="47"/>
      <c r="G26" s="59"/>
      <c r="H26" s="40"/>
      <c r="I26" s="40"/>
      <c r="J26" s="67"/>
      <c r="K26" s="68"/>
      <c r="L26" s="68"/>
      <c r="M26" s="68"/>
      <c r="N26" s="117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8"/>
      <c r="N27" s="117"/>
    </row>
    <row r="28" spans="1:14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48">
        <v>15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0"/>
      <c r="N29" s="116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3"/>
      <c r="N30" s="118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N23:N24"/>
    <mergeCell ref="N25:N26"/>
    <mergeCell ref="N27:N28"/>
    <mergeCell ref="N29:N30"/>
    <mergeCell ref="N13:N14"/>
    <mergeCell ref="N15:N16"/>
    <mergeCell ref="N17:N18"/>
    <mergeCell ref="N19:N20"/>
    <mergeCell ref="N21:N22"/>
    <mergeCell ref="A1:N1"/>
    <mergeCell ref="N3:N4"/>
    <mergeCell ref="N5:N6"/>
    <mergeCell ref="N7:N8"/>
    <mergeCell ref="N9:N10"/>
    <mergeCell ref="N11:N1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J21:J22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8CFD-97BB-48E6-9CB2-7EDBD24DC49F}">
  <sheetPr codeName="Sheet17">
    <tabColor rgb="FFFF0000"/>
    <pageSetUpPr fitToPage="1"/>
  </sheetPr>
  <dimension ref="A1:N51"/>
  <sheetViews>
    <sheetView zoomScale="110" zoomScaleNormal="110" workbookViewId="0">
      <selection activeCell="H3" sqref="H3:H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12" customWidth="1"/>
    <col min="8" max="14" width="5.5" customWidth="1"/>
  </cols>
  <sheetData>
    <row r="1" spans="1:14" ht="16.5" customHeight="1" thickBot="1" x14ac:dyDescent="0.35">
      <c r="A1" s="30" t="s">
        <v>369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SUM(I3)-2.9</f>
        <v>29.800000000000004</v>
      </c>
      <c r="I3" s="54">
        <f>SUM(J3)-2.9</f>
        <v>32.700000000000003</v>
      </c>
      <c r="J3" s="55">
        <v>35.6</v>
      </c>
      <c r="K3" s="54">
        <f>SUM(J3)+2.4</f>
        <v>38</v>
      </c>
      <c r="L3" s="54">
        <f t="shared" ref="L3:N3" si="0">SUM(K3)+2.4</f>
        <v>40.4</v>
      </c>
      <c r="M3" s="54">
        <f t="shared" si="0"/>
        <v>42.8</v>
      </c>
      <c r="N3" s="115">
        <f t="shared" si="0"/>
        <v>45.199999999999996</v>
      </c>
    </row>
    <row r="4" spans="1:14" s="1" customFormat="1" ht="14.1" customHeight="1" x14ac:dyDescent="0.3">
      <c r="A4" s="35"/>
      <c r="B4" s="45" t="s">
        <v>32</v>
      </c>
      <c r="C4" s="45"/>
      <c r="D4" s="46" t="s">
        <v>372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24.299999999999997</v>
      </c>
      <c r="I5" s="54">
        <f>SUM(J5)-1.8</f>
        <v>26.099999999999998</v>
      </c>
      <c r="J5" s="55">
        <v>27.9</v>
      </c>
      <c r="K5" s="54">
        <f>SUM(J5)+1.6</f>
        <v>29.5</v>
      </c>
      <c r="L5" s="54">
        <f t="shared" ref="L5:N5" si="1">SUM(K5)+1.6</f>
        <v>31.1</v>
      </c>
      <c r="M5" s="54">
        <f t="shared" si="1"/>
        <v>32.700000000000003</v>
      </c>
      <c r="N5" s="115">
        <f t="shared" si="1"/>
        <v>34.300000000000004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 t="shared" ref="L7:N7" si="2">SUM(K7)+2</f>
        <v>39</v>
      </c>
      <c r="M7" s="54">
        <f t="shared" si="2"/>
        <v>41</v>
      </c>
      <c r="N7" s="115">
        <f t="shared" si="2"/>
        <v>43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30.5</v>
      </c>
      <c r="I9" s="54">
        <f>SUM(J9)-2.25</f>
        <v>32.75</v>
      </c>
      <c r="J9" s="55">
        <v>35</v>
      </c>
      <c r="K9" s="54">
        <f>SUM(J9)+2</f>
        <v>37</v>
      </c>
      <c r="L9" s="54">
        <f t="shared" ref="L9:N9" si="3">SUM(K9)+2</f>
        <v>39</v>
      </c>
      <c r="M9" s="54">
        <f t="shared" si="3"/>
        <v>41</v>
      </c>
      <c r="N9" s="115">
        <f t="shared" si="3"/>
        <v>43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13.2</v>
      </c>
      <c r="I11" s="60">
        <f>SUM(J11)-0.8</f>
        <v>14.1</v>
      </c>
      <c r="J11" s="132">
        <v>14.9</v>
      </c>
      <c r="K11" s="130">
        <f>SUM(J11)+0.8</f>
        <v>15.700000000000001</v>
      </c>
      <c r="L11" s="130">
        <f t="shared" ref="L11:N11" si="4">SUM(K11)+0.8</f>
        <v>16.5</v>
      </c>
      <c r="M11" s="130">
        <f t="shared" si="4"/>
        <v>17.3</v>
      </c>
      <c r="N11" s="136">
        <f t="shared" si="4"/>
        <v>18.100000000000001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13.600000000000001</v>
      </c>
      <c r="I13" s="60">
        <f>SUM(J13)-0.6</f>
        <v>14.200000000000001</v>
      </c>
      <c r="J13" s="67">
        <v>14.8</v>
      </c>
      <c r="K13" s="130">
        <f>SUM(J13)+0.6</f>
        <v>15.4</v>
      </c>
      <c r="L13" s="130">
        <f t="shared" ref="L13:N13" si="5">SUM(K13)+0.6</f>
        <v>16</v>
      </c>
      <c r="M13" s="130">
        <f t="shared" si="5"/>
        <v>16.600000000000001</v>
      </c>
      <c r="N13" s="136">
        <f t="shared" si="5"/>
        <v>17.200000000000003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373</v>
      </c>
      <c r="E14" s="47"/>
      <c r="F14" s="47"/>
      <c r="G14" s="59"/>
      <c r="H14" s="45"/>
      <c r="I14" s="45"/>
      <c r="J14" s="67"/>
      <c r="K14" s="130"/>
      <c r="L14" s="130"/>
      <c r="M14" s="130"/>
      <c r="N14" s="136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6.5</v>
      </c>
      <c r="I15" s="54">
        <f>SUM(J15)-0.3</f>
        <v>6.8</v>
      </c>
      <c r="J15" s="67">
        <v>7.1</v>
      </c>
      <c r="K15" s="68">
        <f>SUM(J15)+0.3</f>
        <v>7.3999999999999995</v>
      </c>
      <c r="L15" s="68">
        <f t="shared" ref="L15:N15" si="6">SUM(K15)+0.3</f>
        <v>7.6999999999999993</v>
      </c>
      <c r="M15" s="68">
        <f t="shared" si="6"/>
        <v>7.9999999999999991</v>
      </c>
      <c r="N15" s="117">
        <f t="shared" si="6"/>
        <v>8.2999999999999989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374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35.699999999999996</v>
      </c>
      <c r="I17" s="54">
        <f>SUM(J17)-1.6</f>
        <v>37.299999999999997</v>
      </c>
      <c r="J17" s="67">
        <v>38.9</v>
      </c>
      <c r="K17" s="68">
        <f>SUM(J17)+1.6</f>
        <v>40.5</v>
      </c>
      <c r="L17" s="68">
        <f t="shared" ref="L17:N17" si="7">SUM(K17)+1.6</f>
        <v>42.1</v>
      </c>
      <c r="M17" s="68">
        <f t="shared" si="7"/>
        <v>43.7</v>
      </c>
      <c r="N17" s="117">
        <f t="shared" si="7"/>
        <v>45.300000000000004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375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SUM(I19)-3.6</f>
        <v>32.799999999999997</v>
      </c>
      <c r="I19" s="54">
        <f>SUM(J19)-3.6</f>
        <v>36.4</v>
      </c>
      <c r="J19" s="67">
        <v>40</v>
      </c>
      <c r="K19" s="68">
        <f>SUM(J19)+3.7</f>
        <v>43.7</v>
      </c>
      <c r="L19" s="68">
        <f t="shared" ref="L19:N19" si="8">SUM(K19)+3.7</f>
        <v>47.400000000000006</v>
      </c>
      <c r="M19" s="68">
        <f t="shared" si="8"/>
        <v>51.100000000000009</v>
      </c>
      <c r="N19" s="117">
        <f t="shared" si="8"/>
        <v>54.800000000000011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370</v>
      </c>
      <c r="E20" s="47"/>
      <c r="F20" s="47"/>
      <c r="G20" s="59"/>
      <c r="H20" s="40"/>
      <c r="I20" s="40"/>
      <c r="J20" s="67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>
        <f>SUM(I21)-1.3</f>
        <v>21.599999999999998</v>
      </c>
      <c r="I21" s="54">
        <f>SUM(J21)-1.3</f>
        <v>22.9</v>
      </c>
      <c r="J21" s="67">
        <v>24.2</v>
      </c>
      <c r="K21" s="68">
        <f>SUM(J21)+1.4</f>
        <v>25.599999999999998</v>
      </c>
      <c r="L21" s="68">
        <f t="shared" ref="L21:N21" si="9">SUM(K21)+1.4</f>
        <v>26.999999999999996</v>
      </c>
      <c r="M21" s="68">
        <f t="shared" si="9"/>
        <v>28.399999999999995</v>
      </c>
      <c r="N21" s="117">
        <f t="shared" si="9"/>
        <v>29.799999999999994</v>
      </c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SUM(I23)-0.7</f>
        <v>16.600000000000001</v>
      </c>
      <c r="I23" s="54">
        <f>SUM(J23)-0.7</f>
        <v>17.3</v>
      </c>
      <c r="J23" s="67">
        <v>18</v>
      </c>
      <c r="K23" s="68">
        <f>SUM(J23)+0.7</f>
        <v>18.7</v>
      </c>
      <c r="L23" s="68">
        <f t="shared" ref="L23:N23" si="10">SUM(K23)+0.7</f>
        <v>19.399999999999999</v>
      </c>
      <c r="M23" s="68">
        <f t="shared" si="10"/>
        <v>20.099999999999998</v>
      </c>
      <c r="N23" s="117">
        <f t="shared" si="10"/>
        <v>20.799999999999997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371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79"/>
      <c r="C25" s="80"/>
      <c r="D25" s="88"/>
      <c r="E25" s="89"/>
      <c r="F25" s="89"/>
      <c r="G25" s="90"/>
      <c r="H25" s="54"/>
      <c r="I25" s="54"/>
      <c r="J25" s="67"/>
      <c r="K25" s="68"/>
      <c r="L25" s="68"/>
      <c r="M25" s="68"/>
      <c r="N25" s="117"/>
    </row>
    <row r="26" spans="1:14" s="1" customFormat="1" ht="14.1" customHeight="1" x14ac:dyDescent="0.3">
      <c r="A26" s="48"/>
      <c r="B26" s="79"/>
      <c r="C26" s="80"/>
      <c r="D26" s="46"/>
      <c r="E26" s="47"/>
      <c r="F26" s="47"/>
      <c r="G26" s="59"/>
      <c r="H26" s="40"/>
      <c r="I26" s="40"/>
      <c r="J26" s="67"/>
      <c r="K26" s="68"/>
      <c r="L26" s="68"/>
      <c r="M26" s="68"/>
      <c r="N26" s="117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8"/>
      <c r="N27" s="117"/>
    </row>
    <row r="28" spans="1:14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48">
        <v>15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0"/>
      <c r="N29" s="116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3"/>
      <c r="N30" s="118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N21:N22"/>
    <mergeCell ref="N23:N24"/>
    <mergeCell ref="N25:N26"/>
    <mergeCell ref="N27:N28"/>
    <mergeCell ref="N29:N30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BD98-A484-49ED-955B-46BCAF55F5A5}">
  <sheetPr codeName="Sheet18">
    <tabColor rgb="FFFF0000"/>
    <pageSetUpPr fitToPage="1"/>
  </sheetPr>
  <dimension ref="A1:N51"/>
  <sheetViews>
    <sheetView zoomScale="110" zoomScaleNormal="110" workbookViewId="0">
      <selection activeCell="Q22" sqref="Q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12" customWidth="1"/>
    <col min="8" max="14" width="5.5" customWidth="1"/>
  </cols>
  <sheetData>
    <row r="1" spans="1:14" ht="16.5" customHeight="1" thickBot="1" x14ac:dyDescent="0.35">
      <c r="A1" s="30" t="s">
        <v>430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35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137">
        <v>40</v>
      </c>
      <c r="K3" s="39">
        <f>SUM(J3)+2.5</f>
        <v>42.5</v>
      </c>
      <c r="L3" s="39">
        <f>SUM(K3)+2.5</f>
        <v>45</v>
      </c>
      <c r="M3" s="39">
        <f>SUM(L3)+2.5</f>
        <v>47.5</v>
      </c>
      <c r="N3" s="138">
        <f>SUM(M3)+2.5</f>
        <v>50</v>
      </c>
    </row>
    <row r="4" spans="1:14" s="1" customFormat="1" ht="14.1" customHeight="1" x14ac:dyDescent="0.3">
      <c r="A4" s="48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55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25.4</v>
      </c>
      <c r="I5" s="54">
        <f>SUM(J5)-1.8</f>
        <v>27.2</v>
      </c>
      <c r="J5" s="55">
        <v>29</v>
      </c>
      <c r="K5" s="54">
        <f>SUM(J5)+1.8</f>
        <v>30.8</v>
      </c>
      <c r="L5" s="54">
        <f>SUM(K5)+1.8</f>
        <v>32.6</v>
      </c>
      <c r="M5" s="54">
        <f>SUM(L5)+1.8</f>
        <v>34.4</v>
      </c>
      <c r="N5" s="115">
        <f>SUM(M5)+1.8</f>
        <v>36.199999999999996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431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103</v>
      </c>
      <c r="E7" s="61"/>
      <c r="F7" s="61"/>
      <c r="G7" s="61"/>
      <c r="H7" s="54">
        <f>SUM(I7)-2</f>
        <v>29</v>
      </c>
      <c r="I7" s="54">
        <f>SUM(J7)-2</f>
        <v>31</v>
      </c>
      <c r="J7" s="55">
        <v>33</v>
      </c>
      <c r="K7" s="54">
        <f>SUM(J7)+2</f>
        <v>35</v>
      </c>
      <c r="L7" s="54">
        <f>SUM(K7)+2</f>
        <v>37</v>
      </c>
      <c r="M7" s="54">
        <f>SUM(L7)+2</f>
        <v>39</v>
      </c>
      <c r="N7" s="115">
        <f>SUM(M7)+2</f>
        <v>41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29</v>
      </c>
      <c r="I9" s="54">
        <f>SUM(J9)-2</f>
        <v>31</v>
      </c>
      <c r="J9" s="55">
        <v>33</v>
      </c>
      <c r="K9" s="54">
        <f>SUM(J9)+2</f>
        <v>35</v>
      </c>
      <c r="L9" s="54">
        <f>SUM(K9)+2</f>
        <v>37</v>
      </c>
      <c r="M9" s="54">
        <f>SUM(L9)+2</f>
        <v>39</v>
      </c>
      <c r="N9" s="115">
        <f>SUM(M9)+2</f>
        <v>41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432</v>
      </c>
      <c r="C11" s="60"/>
      <c r="D11" s="61"/>
      <c r="E11" s="61"/>
      <c r="F11" s="61"/>
      <c r="G11" s="61"/>
      <c r="H11" s="54"/>
      <c r="I11" s="54"/>
      <c r="J11" s="55"/>
      <c r="K11" s="54"/>
      <c r="L11" s="54"/>
      <c r="M11" s="54"/>
      <c r="N11" s="115"/>
    </row>
    <row r="12" spans="1:14" s="1" customFormat="1" ht="14.1" customHeight="1" x14ac:dyDescent="0.3">
      <c r="A12" s="48"/>
      <c r="B12" s="45" t="s">
        <v>433</v>
      </c>
      <c r="C12" s="45"/>
      <c r="D12" s="46"/>
      <c r="E12" s="47"/>
      <c r="F12" s="47"/>
      <c r="G12" s="59"/>
      <c r="H12" s="40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54">
        <f>SUM(I13)-0.8</f>
        <v>13.899999999999999</v>
      </c>
      <c r="I13" s="54">
        <f>SUM(J13)-0.8</f>
        <v>14.7</v>
      </c>
      <c r="J13" s="67">
        <v>15.5</v>
      </c>
      <c r="K13" s="54">
        <f>SUM(J13)+0.8</f>
        <v>16.3</v>
      </c>
      <c r="L13" s="54">
        <f>SUM(K13)+0.8</f>
        <v>17.100000000000001</v>
      </c>
      <c r="M13" s="54">
        <f>SUM(L13)+0.8</f>
        <v>17.900000000000002</v>
      </c>
      <c r="N13" s="115">
        <f>SUM(M13)+0.8</f>
        <v>18.700000000000003</v>
      </c>
    </row>
    <row r="14" spans="1:14" s="1" customFormat="1" ht="14.1" customHeight="1" x14ac:dyDescent="0.3">
      <c r="A14" s="48"/>
      <c r="B14" s="45" t="s">
        <v>26</v>
      </c>
      <c r="C14" s="45"/>
      <c r="D14" s="46" t="s">
        <v>434</v>
      </c>
      <c r="E14" s="47"/>
      <c r="F14" s="47"/>
      <c r="G14" s="59"/>
      <c r="H14" s="40"/>
      <c r="I14" s="40"/>
      <c r="J14" s="67"/>
      <c r="K14" s="40"/>
      <c r="L14" s="40"/>
      <c r="M14" s="40"/>
      <c r="N14" s="116"/>
    </row>
    <row r="15" spans="1:14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13.8</v>
      </c>
      <c r="I15" s="54">
        <f>SUM(J15)-0.6</f>
        <v>14.4</v>
      </c>
      <c r="J15" s="67">
        <v>15</v>
      </c>
      <c r="K15" s="54">
        <f>SUM(J15)+0.6</f>
        <v>15.6</v>
      </c>
      <c r="L15" s="54">
        <f>SUM(K15)+0.6</f>
        <v>16.2</v>
      </c>
      <c r="M15" s="54">
        <f>SUM(L15)+0.6</f>
        <v>16.8</v>
      </c>
      <c r="N15" s="115">
        <f>SUM(M15)+0.6</f>
        <v>17.400000000000002</v>
      </c>
    </row>
    <row r="16" spans="1:14" s="1" customFormat="1" ht="14.1" customHeight="1" x14ac:dyDescent="0.3">
      <c r="A16" s="48"/>
      <c r="B16" s="45" t="s">
        <v>27</v>
      </c>
      <c r="C16" s="45"/>
      <c r="D16" s="46" t="s">
        <v>435</v>
      </c>
      <c r="E16" s="47"/>
      <c r="F16" s="47"/>
      <c r="G16" s="59"/>
      <c r="H16" s="40"/>
      <c r="I16" s="40"/>
      <c r="J16" s="67"/>
      <c r="K16" s="40"/>
      <c r="L16" s="40"/>
      <c r="M16" s="40"/>
      <c r="N16" s="116"/>
    </row>
    <row r="17" spans="1:14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4.6000000000000005</v>
      </c>
      <c r="I17" s="54">
        <f>SUM(J17)-0.3</f>
        <v>4.9000000000000004</v>
      </c>
      <c r="J17" s="67">
        <v>5.2</v>
      </c>
      <c r="K17" s="54">
        <f>SUM(J17)+0.3</f>
        <v>5.5</v>
      </c>
      <c r="L17" s="54">
        <f>SUM(K17)+0.3</f>
        <v>5.8</v>
      </c>
      <c r="M17" s="54">
        <f>SUM(L17)+0.3</f>
        <v>6.1</v>
      </c>
      <c r="N17" s="115">
        <f>SUM(M17)+0.3</f>
        <v>6.3999999999999995</v>
      </c>
    </row>
    <row r="18" spans="1:14" s="1" customFormat="1" ht="14.1" customHeight="1" x14ac:dyDescent="0.3">
      <c r="A18" s="48"/>
      <c r="B18" s="45" t="s">
        <v>28</v>
      </c>
      <c r="C18" s="45"/>
      <c r="D18" s="46" t="s">
        <v>47</v>
      </c>
      <c r="E18" s="47"/>
      <c r="F18" s="47"/>
      <c r="G18" s="59"/>
      <c r="H18" s="40"/>
      <c r="I18" s="40"/>
      <c r="J18" s="67"/>
      <c r="K18" s="40"/>
      <c r="L18" s="40"/>
      <c r="M18" s="40"/>
      <c r="N18" s="116"/>
    </row>
    <row r="19" spans="1:14" s="1" customFormat="1" ht="14.1" customHeight="1" x14ac:dyDescent="0.3">
      <c r="A19" s="48">
        <v>9</v>
      </c>
      <c r="B19" s="65" t="s">
        <v>436</v>
      </c>
      <c r="C19" s="66"/>
      <c r="D19" s="62"/>
      <c r="E19" s="63"/>
      <c r="F19" s="63"/>
      <c r="G19" s="64"/>
      <c r="H19" s="54">
        <f>SUM(I19)</f>
        <v>1.5</v>
      </c>
      <c r="I19" s="54">
        <f>SUM(J19)</f>
        <v>1.5</v>
      </c>
      <c r="J19" s="55">
        <v>1.5</v>
      </c>
      <c r="K19" s="54">
        <f>SUM(J19)</f>
        <v>1.5</v>
      </c>
      <c r="L19" s="54">
        <f>SUM(K19)</f>
        <v>1.5</v>
      </c>
      <c r="M19" s="54">
        <f>SUM(L19)</f>
        <v>1.5</v>
      </c>
      <c r="N19" s="115">
        <f>SUM(M19)</f>
        <v>1.5</v>
      </c>
    </row>
    <row r="20" spans="1:14" s="1" customFormat="1" ht="14.1" customHeight="1" x14ac:dyDescent="0.3">
      <c r="A20" s="48"/>
      <c r="B20" s="45" t="s">
        <v>437</v>
      </c>
      <c r="C20" s="45"/>
      <c r="D20" s="46"/>
      <c r="E20" s="47"/>
      <c r="F20" s="47"/>
      <c r="G20" s="59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48">
        <v>10</v>
      </c>
      <c r="B21" s="65" t="s">
        <v>73</v>
      </c>
      <c r="C21" s="66"/>
      <c r="D21" s="62" t="s">
        <v>74</v>
      </c>
      <c r="E21" s="63"/>
      <c r="F21" s="63"/>
      <c r="G21" s="64"/>
      <c r="H21" s="81"/>
      <c r="I21" s="81"/>
      <c r="J21" s="42"/>
      <c r="K21" s="81"/>
      <c r="L21" s="81"/>
      <c r="M21" s="81"/>
      <c r="N21" s="139"/>
    </row>
    <row r="22" spans="1:14" s="1" customFormat="1" ht="14.1" customHeight="1" x14ac:dyDescent="0.3">
      <c r="A22" s="48"/>
      <c r="B22" s="45" t="s">
        <v>33</v>
      </c>
      <c r="C22" s="45"/>
      <c r="D22" s="46" t="s">
        <v>58</v>
      </c>
      <c r="E22" s="47"/>
      <c r="F22" s="47"/>
      <c r="G22" s="59"/>
      <c r="H22" s="40"/>
      <c r="I22" s="40"/>
      <c r="J22" s="67"/>
      <c r="K22" s="40"/>
      <c r="L22" s="40"/>
      <c r="M22" s="40"/>
      <c r="N22" s="116"/>
    </row>
    <row r="23" spans="1:14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SUM(I23)-3.1</f>
        <v>32.299999999999997</v>
      </c>
      <c r="I23" s="54">
        <f>SUM(J23)-3.1</f>
        <v>35.4</v>
      </c>
      <c r="J23" s="67">
        <v>38.5</v>
      </c>
      <c r="K23" s="54">
        <f>SUM(J23)+3.1</f>
        <v>41.6</v>
      </c>
      <c r="L23" s="54">
        <f>SUM(K23)+3.1</f>
        <v>44.7</v>
      </c>
      <c r="M23" s="54">
        <f>SUM(L23)+3.1</f>
        <v>47.800000000000004</v>
      </c>
      <c r="N23" s="115">
        <f>SUM(M23)+3.1</f>
        <v>50.900000000000006</v>
      </c>
    </row>
    <row r="24" spans="1:14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40"/>
      <c r="L24" s="40"/>
      <c r="M24" s="40"/>
      <c r="N24" s="116"/>
    </row>
    <row r="25" spans="1:14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>
        <f>SUM(I25)-1.3</f>
        <v>22.4</v>
      </c>
      <c r="I25" s="54">
        <f>SUM(J25)-1.3</f>
        <v>23.7</v>
      </c>
      <c r="J25" s="67">
        <v>25</v>
      </c>
      <c r="K25" s="54">
        <f>SUM(J25)+1.3</f>
        <v>26.3</v>
      </c>
      <c r="L25" s="54">
        <f>SUM(K25)+1.3</f>
        <v>27.6</v>
      </c>
      <c r="M25" s="54">
        <f>SUM(L25)+1.3</f>
        <v>28.900000000000002</v>
      </c>
      <c r="N25" s="115">
        <f>SUM(M25)+1.3</f>
        <v>30.200000000000003</v>
      </c>
    </row>
    <row r="26" spans="1:14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40"/>
      <c r="L26" s="40"/>
      <c r="M26" s="40"/>
      <c r="N26" s="116"/>
    </row>
    <row r="27" spans="1:14" s="1" customFormat="1" ht="14.1" customHeight="1" x14ac:dyDescent="0.3">
      <c r="A27" s="48">
        <v>13</v>
      </c>
      <c r="B27" s="65" t="s">
        <v>82</v>
      </c>
      <c r="C27" s="66"/>
      <c r="D27" s="61" t="s">
        <v>68</v>
      </c>
      <c r="E27" s="61"/>
      <c r="F27" s="61"/>
      <c r="G27" s="61"/>
      <c r="H27" s="54">
        <f>SUM(I27)-0.6</f>
        <v>14</v>
      </c>
      <c r="I27" s="54">
        <f>SUM(J27)-0.6</f>
        <v>14.6</v>
      </c>
      <c r="J27" s="67">
        <v>15.2</v>
      </c>
      <c r="K27" s="54">
        <f>SUM(J27)+0.6</f>
        <v>15.799999999999999</v>
      </c>
      <c r="L27" s="54">
        <f>SUM(K27)+0.6</f>
        <v>16.399999999999999</v>
      </c>
      <c r="M27" s="54">
        <f>SUM(L27)+0.6</f>
        <v>17</v>
      </c>
      <c r="N27" s="115">
        <f>SUM(M27)+0.6</f>
        <v>17.600000000000001</v>
      </c>
    </row>
    <row r="28" spans="1:14" s="1" customFormat="1" ht="14.1" customHeight="1" x14ac:dyDescent="0.3">
      <c r="A28" s="78"/>
      <c r="B28" s="105" t="s">
        <v>31</v>
      </c>
      <c r="C28" s="105"/>
      <c r="D28" s="51" t="s">
        <v>69</v>
      </c>
      <c r="E28" s="52"/>
      <c r="F28" s="52"/>
      <c r="G28" s="53"/>
      <c r="H28" s="40"/>
      <c r="I28" s="40"/>
      <c r="J28" s="67"/>
      <c r="K28" s="40"/>
      <c r="L28" s="40"/>
      <c r="M28" s="40"/>
      <c r="N28" s="116"/>
    </row>
    <row r="29" spans="1:14" s="1" customFormat="1" ht="14.1" customHeight="1" x14ac:dyDescent="0.3">
      <c r="A29" s="48">
        <v>14</v>
      </c>
      <c r="B29" s="60" t="s">
        <v>441</v>
      </c>
      <c r="C29" s="60"/>
      <c r="D29" s="61"/>
      <c r="E29" s="61"/>
      <c r="F29" s="61"/>
      <c r="G29" s="61"/>
      <c r="H29" s="54"/>
      <c r="I29" s="54"/>
      <c r="J29" s="55"/>
      <c r="K29" s="54"/>
      <c r="L29" s="54"/>
      <c r="M29" s="54"/>
      <c r="N29" s="115"/>
    </row>
    <row r="30" spans="1:14" s="1" customFormat="1" ht="14.1" customHeight="1" x14ac:dyDescent="0.3">
      <c r="A30" s="78"/>
      <c r="B30" s="105" t="s">
        <v>442</v>
      </c>
      <c r="C30" s="105"/>
      <c r="D30" s="51"/>
      <c r="E30" s="52"/>
      <c r="F30" s="52"/>
      <c r="G30" s="53"/>
      <c r="H30" s="40"/>
      <c r="I30" s="40"/>
      <c r="J30" s="42"/>
      <c r="K30" s="40"/>
      <c r="L30" s="40"/>
      <c r="M30" s="40"/>
      <c r="N30" s="116"/>
    </row>
    <row r="31" spans="1:14" ht="14.1" customHeight="1" x14ac:dyDescent="0.3">
      <c r="A31" s="48">
        <v>15</v>
      </c>
      <c r="B31" s="65" t="s">
        <v>438</v>
      </c>
      <c r="C31" s="66"/>
      <c r="D31" s="61"/>
      <c r="E31" s="61"/>
      <c r="F31" s="61"/>
      <c r="G31" s="61"/>
      <c r="H31" s="54">
        <f>SUM(I31)</f>
        <v>1.5</v>
      </c>
      <c r="I31" s="54">
        <f>SUM(J31)</f>
        <v>1.5</v>
      </c>
      <c r="J31" s="55">
        <v>1.5</v>
      </c>
      <c r="K31" s="54">
        <f>SUM(J31)</f>
        <v>1.5</v>
      </c>
      <c r="L31" s="54">
        <f>SUM(K31)</f>
        <v>1.5</v>
      </c>
      <c r="M31" s="54">
        <f>SUM(L31)</f>
        <v>1.5</v>
      </c>
      <c r="N31" s="115">
        <f>SUM(M31)</f>
        <v>1.5</v>
      </c>
    </row>
    <row r="32" spans="1:14" ht="14.1" customHeight="1" x14ac:dyDescent="0.3">
      <c r="A32" s="48"/>
      <c r="B32" s="57" t="s">
        <v>439</v>
      </c>
      <c r="C32" s="58"/>
      <c r="D32" s="46"/>
      <c r="E32" s="47"/>
      <c r="F32" s="47"/>
      <c r="G32" s="59"/>
      <c r="H32" s="40"/>
      <c r="I32" s="40"/>
      <c r="J32" s="42"/>
      <c r="K32" s="40"/>
      <c r="L32" s="40"/>
      <c r="M32" s="40"/>
      <c r="N32" s="116"/>
    </row>
    <row r="33" spans="1:14" ht="14.1" customHeight="1" x14ac:dyDescent="0.3">
      <c r="A33" s="35">
        <v>16</v>
      </c>
      <c r="B33" s="105"/>
      <c r="C33" s="105"/>
      <c r="D33" s="106"/>
      <c r="E33" s="106"/>
      <c r="F33" s="106"/>
      <c r="G33" s="106"/>
      <c r="H33" s="81"/>
      <c r="I33" s="81"/>
      <c r="J33" s="82"/>
      <c r="K33" s="81"/>
      <c r="L33" s="81"/>
      <c r="M33" s="81"/>
      <c r="N33" s="139"/>
    </row>
    <row r="34" spans="1:14" ht="14.1" customHeight="1" thickBot="1" x14ac:dyDescent="0.35">
      <c r="A34" s="87"/>
      <c r="B34" s="141"/>
      <c r="C34" s="141"/>
      <c r="D34" s="98"/>
      <c r="E34" s="99"/>
      <c r="F34" s="99"/>
      <c r="G34" s="100"/>
      <c r="H34" s="91"/>
      <c r="I34" s="91"/>
      <c r="J34" s="107"/>
      <c r="K34" s="91"/>
      <c r="L34" s="91"/>
      <c r="M34" s="91"/>
      <c r="N34" s="140"/>
    </row>
    <row r="35" spans="1:14" ht="14.1" customHeight="1" x14ac:dyDescent="0.3"/>
    <row r="36" spans="1:14" ht="14.1" customHeight="1" x14ac:dyDescent="0.3"/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5">
    <mergeCell ref="A1:N1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N31:N32"/>
    <mergeCell ref="B32:C32"/>
    <mergeCell ref="D32:G32"/>
    <mergeCell ref="L29:L30"/>
    <mergeCell ref="M29:M30"/>
    <mergeCell ref="N29:N30"/>
    <mergeCell ref="B30:C30"/>
    <mergeCell ref="D30:G30"/>
    <mergeCell ref="A31:A32"/>
    <mergeCell ref="B31:C31"/>
    <mergeCell ref="D31:G31"/>
    <mergeCell ref="H31:H32"/>
    <mergeCell ref="I31:I32"/>
    <mergeCell ref="N23:N24"/>
    <mergeCell ref="N25:N26"/>
    <mergeCell ref="N27:N28"/>
    <mergeCell ref="A29:A30"/>
    <mergeCell ref="B29:C29"/>
    <mergeCell ref="D29:G29"/>
    <mergeCell ref="H29:H30"/>
    <mergeCell ref="I29:I30"/>
    <mergeCell ref="J29:J30"/>
    <mergeCell ref="K29:K30"/>
    <mergeCell ref="A23:A24"/>
    <mergeCell ref="N13:N14"/>
    <mergeCell ref="N15:N16"/>
    <mergeCell ref="N17:N18"/>
    <mergeCell ref="N19:N20"/>
    <mergeCell ref="N21:N22"/>
    <mergeCell ref="K27:K28"/>
    <mergeCell ref="L27:L28"/>
    <mergeCell ref="M27:M28"/>
    <mergeCell ref="B28:C28"/>
    <mergeCell ref="D28:G28"/>
    <mergeCell ref="D25:G25"/>
    <mergeCell ref="H25:H26"/>
    <mergeCell ref="I25:I26"/>
    <mergeCell ref="B23:C23"/>
    <mergeCell ref="D23:G23"/>
    <mergeCell ref="H23:H24"/>
    <mergeCell ref="I23:I24"/>
    <mergeCell ref="J23:J24"/>
    <mergeCell ref="J21:J22"/>
    <mergeCell ref="K21:K22"/>
    <mergeCell ref="L21:L22"/>
    <mergeCell ref="M21:M22"/>
    <mergeCell ref="B22:C22"/>
    <mergeCell ref="D22:G22"/>
    <mergeCell ref="N3:N4"/>
    <mergeCell ref="N5:N6"/>
    <mergeCell ref="N7:N8"/>
    <mergeCell ref="N9:N10"/>
    <mergeCell ref="N11:N12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9:J20"/>
    <mergeCell ref="J17:J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B917-F9BA-49F7-87CE-62B06E3998E6}">
  <sheetPr codeName="Sheet19">
    <tabColor rgb="FFFF0000"/>
    <pageSetUpPr fitToPage="1"/>
  </sheetPr>
  <dimension ref="A1:N51"/>
  <sheetViews>
    <sheetView zoomScale="110" zoomScaleNormal="110" workbookViewId="0">
      <selection activeCell="Q9" sqref="Q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12" customWidth="1"/>
    <col min="8" max="14" width="5.5" customWidth="1"/>
  </cols>
  <sheetData>
    <row r="1" spans="1:14" ht="16.5" customHeight="1" thickBot="1" x14ac:dyDescent="0.35">
      <c r="A1" s="30" t="s">
        <v>440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35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32</v>
      </c>
      <c r="I3" s="54">
        <f>SUM(J3)-3</f>
        <v>35</v>
      </c>
      <c r="J3" s="137">
        <v>38</v>
      </c>
      <c r="K3" s="39">
        <f>SUM(J3)+2.5</f>
        <v>40.5</v>
      </c>
      <c r="L3" s="39">
        <f>SUM(K3)+2.5</f>
        <v>43</v>
      </c>
      <c r="M3" s="39">
        <f>SUM(L3)+2.5</f>
        <v>45.5</v>
      </c>
      <c r="N3" s="144">
        <f>SUM(M3)+2.5</f>
        <v>48</v>
      </c>
    </row>
    <row r="4" spans="1:14" s="1" customFormat="1" ht="14.1" customHeight="1" x14ac:dyDescent="0.3">
      <c r="A4" s="48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55"/>
      <c r="K4" s="40"/>
      <c r="L4" s="40"/>
      <c r="M4" s="40"/>
      <c r="N4" s="143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25.4</v>
      </c>
      <c r="I5" s="54">
        <f>SUM(J5)-1.8</f>
        <v>27.2</v>
      </c>
      <c r="J5" s="55">
        <v>29</v>
      </c>
      <c r="K5" s="54">
        <f>SUM(J5)+1.8</f>
        <v>30.8</v>
      </c>
      <c r="L5" s="54">
        <f>SUM(K5)+1.8</f>
        <v>32.6</v>
      </c>
      <c r="M5" s="54">
        <f>SUM(L5)+1.8</f>
        <v>34.4</v>
      </c>
      <c r="N5" s="142">
        <f>SUM(M5)+1.8</f>
        <v>36.199999999999996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431</v>
      </c>
      <c r="E6" s="47"/>
      <c r="F6" s="47"/>
      <c r="G6" s="59"/>
      <c r="H6" s="40"/>
      <c r="I6" s="40"/>
      <c r="J6" s="42"/>
      <c r="K6" s="40"/>
      <c r="L6" s="40"/>
      <c r="M6" s="40"/>
      <c r="N6" s="143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103</v>
      </c>
      <c r="E7" s="61"/>
      <c r="F7" s="61"/>
      <c r="G7" s="61"/>
      <c r="H7" s="54">
        <f>SUM(I7)-2</f>
        <v>29</v>
      </c>
      <c r="I7" s="54">
        <f>SUM(J7)-2</f>
        <v>31</v>
      </c>
      <c r="J7" s="55">
        <v>33</v>
      </c>
      <c r="K7" s="54">
        <f>SUM(J7)+2</f>
        <v>35</v>
      </c>
      <c r="L7" s="54">
        <f>SUM(K7)+2</f>
        <v>37</v>
      </c>
      <c r="M7" s="54">
        <f>SUM(L7)+2</f>
        <v>39</v>
      </c>
      <c r="N7" s="142">
        <f>SUM(M7)+2</f>
        <v>41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43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29</v>
      </c>
      <c r="I9" s="54">
        <f>SUM(J9)-2</f>
        <v>31</v>
      </c>
      <c r="J9" s="55">
        <v>33</v>
      </c>
      <c r="K9" s="54">
        <f>SUM(J9)+2</f>
        <v>35</v>
      </c>
      <c r="L9" s="54">
        <f>SUM(K9)+2</f>
        <v>37</v>
      </c>
      <c r="M9" s="54">
        <f>SUM(L9)+2</f>
        <v>39</v>
      </c>
      <c r="N9" s="142">
        <f>SUM(M9)+2</f>
        <v>41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43"/>
    </row>
    <row r="11" spans="1:14" s="1" customFormat="1" ht="14.1" customHeight="1" x14ac:dyDescent="0.3">
      <c r="A11" s="48">
        <v>5</v>
      </c>
      <c r="B11" s="60" t="s">
        <v>432</v>
      </c>
      <c r="C11" s="60"/>
      <c r="D11" s="61"/>
      <c r="E11" s="61"/>
      <c r="F11" s="61"/>
      <c r="G11" s="61"/>
      <c r="H11" s="54"/>
      <c r="I11" s="54"/>
      <c r="J11" s="55"/>
      <c r="K11" s="54"/>
      <c r="L11" s="54"/>
      <c r="M11" s="54"/>
      <c r="N11" s="142"/>
    </row>
    <row r="12" spans="1:14" s="1" customFormat="1" ht="14.1" customHeight="1" x14ac:dyDescent="0.3">
      <c r="A12" s="48"/>
      <c r="B12" s="45" t="s">
        <v>433</v>
      </c>
      <c r="C12" s="45"/>
      <c r="D12" s="46"/>
      <c r="E12" s="47"/>
      <c r="F12" s="47"/>
      <c r="G12" s="59"/>
      <c r="H12" s="40"/>
      <c r="I12" s="40"/>
      <c r="J12" s="42"/>
      <c r="K12" s="40"/>
      <c r="L12" s="40"/>
      <c r="M12" s="40"/>
      <c r="N12" s="143"/>
    </row>
    <row r="13" spans="1:14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54">
        <f>SUM(I13)-0.8</f>
        <v>13.899999999999999</v>
      </c>
      <c r="I13" s="54">
        <f>SUM(J13)-0.8</f>
        <v>14.7</v>
      </c>
      <c r="J13" s="67">
        <v>15.5</v>
      </c>
      <c r="K13" s="54">
        <f>SUM(J13)+0.8</f>
        <v>16.3</v>
      </c>
      <c r="L13" s="54">
        <f>SUM(K13)+0.8</f>
        <v>17.100000000000001</v>
      </c>
      <c r="M13" s="54">
        <f>SUM(L13)+0.8</f>
        <v>17.900000000000002</v>
      </c>
      <c r="N13" s="142">
        <f>SUM(M13)+0.8</f>
        <v>18.700000000000003</v>
      </c>
    </row>
    <row r="14" spans="1:14" s="1" customFormat="1" ht="14.1" customHeight="1" x14ac:dyDescent="0.3">
      <c r="A14" s="48"/>
      <c r="B14" s="45" t="s">
        <v>26</v>
      </c>
      <c r="C14" s="45"/>
      <c r="D14" s="46" t="s">
        <v>434</v>
      </c>
      <c r="E14" s="47"/>
      <c r="F14" s="47"/>
      <c r="G14" s="59"/>
      <c r="H14" s="40"/>
      <c r="I14" s="40"/>
      <c r="J14" s="67"/>
      <c r="K14" s="40"/>
      <c r="L14" s="40"/>
      <c r="M14" s="40"/>
      <c r="N14" s="143"/>
    </row>
    <row r="15" spans="1:14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14.3</v>
      </c>
      <c r="I15" s="54">
        <f>SUM(J15)-0.6</f>
        <v>14.9</v>
      </c>
      <c r="J15" s="67">
        <v>15.5</v>
      </c>
      <c r="K15" s="54">
        <f>SUM(J15)+0.6</f>
        <v>16.100000000000001</v>
      </c>
      <c r="L15" s="54">
        <f>SUM(K15)+0.6</f>
        <v>16.700000000000003</v>
      </c>
      <c r="M15" s="54">
        <f>SUM(L15)+0.6</f>
        <v>17.300000000000004</v>
      </c>
      <c r="N15" s="142">
        <f>SUM(M15)+0.6</f>
        <v>17.900000000000006</v>
      </c>
    </row>
    <row r="16" spans="1:14" s="1" customFormat="1" ht="14.1" customHeight="1" x14ac:dyDescent="0.3">
      <c r="A16" s="48"/>
      <c r="B16" s="45" t="s">
        <v>27</v>
      </c>
      <c r="C16" s="45"/>
      <c r="D16" s="46" t="s">
        <v>435</v>
      </c>
      <c r="E16" s="47"/>
      <c r="F16" s="47"/>
      <c r="G16" s="59"/>
      <c r="H16" s="40"/>
      <c r="I16" s="40"/>
      <c r="J16" s="67"/>
      <c r="K16" s="40"/>
      <c r="L16" s="40"/>
      <c r="M16" s="40"/>
      <c r="N16" s="143"/>
    </row>
    <row r="17" spans="1:14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4.9000000000000004</v>
      </c>
      <c r="I17" s="54">
        <f>SUM(J17)-0.3</f>
        <v>5.2</v>
      </c>
      <c r="J17" s="67">
        <v>5.5</v>
      </c>
      <c r="K17" s="54">
        <f>SUM(J17)+0.3</f>
        <v>5.8</v>
      </c>
      <c r="L17" s="54">
        <f>SUM(K17)+0.3</f>
        <v>6.1</v>
      </c>
      <c r="M17" s="54">
        <f>SUM(L17)+0.3</f>
        <v>6.3999999999999995</v>
      </c>
      <c r="N17" s="142">
        <f>SUM(M17)+0.3</f>
        <v>6.6999999999999993</v>
      </c>
    </row>
    <row r="18" spans="1:14" s="1" customFormat="1" ht="14.1" customHeight="1" x14ac:dyDescent="0.3">
      <c r="A18" s="48"/>
      <c r="B18" s="45" t="s">
        <v>28</v>
      </c>
      <c r="C18" s="45"/>
      <c r="D18" s="46" t="s">
        <v>47</v>
      </c>
      <c r="E18" s="47"/>
      <c r="F18" s="47"/>
      <c r="G18" s="59"/>
      <c r="H18" s="40"/>
      <c r="I18" s="40"/>
      <c r="J18" s="67"/>
      <c r="K18" s="40"/>
      <c r="L18" s="40"/>
      <c r="M18" s="40"/>
      <c r="N18" s="143"/>
    </row>
    <row r="19" spans="1:14" s="1" customFormat="1" ht="14.1" customHeight="1" x14ac:dyDescent="0.3">
      <c r="A19" s="48">
        <v>9</v>
      </c>
      <c r="B19" s="65" t="s">
        <v>436</v>
      </c>
      <c r="C19" s="66"/>
      <c r="D19" s="62"/>
      <c r="E19" s="63"/>
      <c r="F19" s="63"/>
      <c r="G19" s="64"/>
      <c r="H19" s="54">
        <f>SUM(I19)</f>
        <v>1.5</v>
      </c>
      <c r="I19" s="54">
        <f>SUM(J19)</f>
        <v>1.5</v>
      </c>
      <c r="J19" s="55">
        <v>1.5</v>
      </c>
      <c r="K19" s="54">
        <f>SUM(J19)</f>
        <v>1.5</v>
      </c>
      <c r="L19" s="54">
        <f>SUM(K19)</f>
        <v>1.5</v>
      </c>
      <c r="M19" s="54">
        <f>SUM(L19)</f>
        <v>1.5</v>
      </c>
      <c r="N19" s="142">
        <f>SUM(M19)</f>
        <v>1.5</v>
      </c>
    </row>
    <row r="20" spans="1:14" s="1" customFormat="1" ht="14.1" customHeight="1" x14ac:dyDescent="0.3">
      <c r="A20" s="48"/>
      <c r="B20" s="45" t="s">
        <v>437</v>
      </c>
      <c r="C20" s="45"/>
      <c r="D20" s="46"/>
      <c r="E20" s="47"/>
      <c r="F20" s="47"/>
      <c r="G20" s="59"/>
      <c r="H20" s="40"/>
      <c r="I20" s="40"/>
      <c r="J20" s="42"/>
      <c r="K20" s="40"/>
      <c r="L20" s="40"/>
      <c r="M20" s="40"/>
      <c r="N20" s="143"/>
    </row>
    <row r="21" spans="1:14" s="1" customFormat="1" ht="14.1" customHeight="1" x14ac:dyDescent="0.3">
      <c r="A21" s="48">
        <v>10</v>
      </c>
      <c r="B21" s="65" t="s">
        <v>73</v>
      </c>
      <c r="C21" s="66"/>
      <c r="D21" s="62" t="s">
        <v>74</v>
      </c>
      <c r="E21" s="63"/>
      <c r="F21" s="63"/>
      <c r="G21" s="64"/>
      <c r="H21" s="81"/>
      <c r="I21" s="81"/>
      <c r="J21" s="42"/>
      <c r="K21" s="81"/>
      <c r="L21" s="81"/>
      <c r="M21" s="81"/>
      <c r="N21" s="145"/>
    </row>
    <row r="22" spans="1:14" s="1" customFormat="1" ht="14.1" customHeight="1" x14ac:dyDescent="0.3">
      <c r="A22" s="48"/>
      <c r="B22" s="45" t="s">
        <v>33</v>
      </c>
      <c r="C22" s="45"/>
      <c r="D22" s="46" t="s">
        <v>58</v>
      </c>
      <c r="E22" s="47"/>
      <c r="F22" s="47"/>
      <c r="G22" s="59"/>
      <c r="H22" s="40"/>
      <c r="I22" s="40"/>
      <c r="J22" s="67"/>
      <c r="K22" s="40"/>
      <c r="L22" s="40"/>
      <c r="M22" s="40"/>
      <c r="N22" s="143"/>
    </row>
    <row r="23" spans="1:14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SUM(I23)-3.1</f>
        <v>32.299999999999997</v>
      </c>
      <c r="I23" s="54">
        <f>SUM(J23)-3.1</f>
        <v>35.4</v>
      </c>
      <c r="J23" s="67">
        <v>38.5</v>
      </c>
      <c r="K23" s="54">
        <f>SUM(J23)+3.1</f>
        <v>41.6</v>
      </c>
      <c r="L23" s="54">
        <f>SUM(K23)+3.1</f>
        <v>44.7</v>
      </c>
      <c r="M23" s="54">
        <f>SUM(L23)+3.1</f>
        <v>47.800000000000004</v>
      </c>
      <c r="N23" s="142">
        <f>SUM(M23)+3.1</f>
        <v>50.900000000000006</v>
      </c>
    </row>
    <row r="24" spans="1:14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40"/>
      <c r="L24" s="40"/>
      <c r="M24" s="40"/>
      <c r="N24" s="143"/>
    </row>
    <row r="25" spans="1:14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>
        <f>SUM(I25)-1.3</f>
        <v>22.4</v>
      </c>
      <c r="I25" s="54">
        <f>SUM(J25)-1.3</f>
        <v>23.7</v>
      </c>
      <c r="J25" s="67">
        <v>25</v>
      </c>
      <c r="K25" s="54">
        <f>SUM(J25)+1.3</f>
        <v>26.3</v>
      </c>
      <c r="L25" s="54">
        <f>SUM(K25)+1.3</f>
        <v>27.6</v>
      </c>
      <c r="M25" s="54">
        <f>SUM(L25)+1.3</f>
        <v>28.900000000000002</v>
      </c>
      <c r="N25" s="142">
        <f>SUM(M25)+1.3</f>
        <v>30.200000000000003</v>
      </c>
    </row>
    <row r="26" spans="1:14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40"/>
      <c r="L26" s="40"/>
      <c r="M26" s="40"/>
      <c r="N26" s="143"/>
    </row>
    <row r="27" spans="1:14" s="1" customFormat="1" ht="14.1" customHeight="1" x14ac:dyDescent="0.3">
      <c r="A27" s="48">
        <v>13</v>
      </c>
      <c r="B27" s="65" t="s">
        <v>82</v>
      </c>
      <c r="C27" s="66"/>
      <c r="D27" s="61" t="s">
        <v>68</v>
      </c>
      <c r="E27" s="61"/>
      <c r="F27" s="61"/>
      <c r="G27" s="61"/>
      <c r="H27" s="54">
        <f>SUM(I27)-0.6</f>
        <v>14</v>
      </c>
      <c r="I27" s="54">
        <f>SUM(J27)-0.6</f>
        <v>14.6</v>
      </c>
      <c r="J27" s="67">
        <v>15.2</v>
      </c>
      <c r="K27" s="54">
        <f>SUM(J27)+0.6</f>
        <v>15.799999999999999</v>
      </c>
      <c r="L27" s="54">
        <f>SUM(K27)+0.6</f>
        <v>16.399999999999999</v>
      </c>
      <c r="M27" s="54">
        <f>SUM(L27)+0.6</f>
        <v>17</v>
      </c>
      <c r="N27" s="142">
        <f>SUM(M27)+0.6</f>
        <v>17.600000000000001</v>
      </c>
    </row>
    <row r="28" spans="1:14" s="1" customFormat="1" ht="14.1" customHeight="1" x14ac:dyDescent="0.3">
      <c r="A28" s="78"/>
      <c r="B28" s="105" t="s">
        <v>31</v>
      </c>
      <c r="C28" s="105"/>
      <c r="D28" s="51" t="s">
        <v>69</v>
      </c>
      <c r="E28" s="52"/>
      <c r="F28" s="52"/>
      <c r="G28" s="53"/>
      <c r="H28" s="40"/>
      <c r="I28" s="40"/>
      <c r="J28" s="67"/>
      <c r="K28" s="40"/>
      <c r="L28" s="40"/>
      <c r="M28" s="40"/>
      <c r="N28" s="143"/>
    </row>
    <row r="29" spans="1:14" s="1" customFormat="1" ht="14.1" customHeight="1" x14ac:dyDescent="0.3">
      <c r="A29" s="48">
        <v>14</v>
      </c>
      <c r="B29" s="60" t="s">
        <v>441</v>
      </c>
      <c r="C29" s="60"/>
      <c r="D29" s="61"/>
      <c r="E29" s="61"/>
      <c r="F29" s="61"/>
      <c r="G29" s="61"/>
      <c r="H29" s="54">
        <f>SUM(I29)</f>
        <v>1.5</v>
      </c>
      <c r="I29" s="54">
        <f>SUM(J29)</f>
        <v>1.5</v>
      </c>
      <c r="J29" s="55">
        <v>1.5</v>
      </c>
      <c r="K29" s="54">
        <f>SUM(J29)</f>
        <v>1.5</v>
      </c>
      <c r="L29" s="54">
        <f>SUM(K29)</f>
        <v>1.5</v>
      </c>
      <c r="M29" s="54">
        <f>SUM(L29)</f>
        <v>1.5</v>
      </c>
      <c r="N29" s="142">
        <f>SUM(M29)</f>
        <v>1.5</v>
      </c>
    </row>
    <row r="30" spans="1:14" s="1" customFormat="1" ht="14.1" customHeight="1" x14ac:dyDescent="0.3">
      <c r="A30" s="78"/>
      <c r="B30" s="105" t="s">
        <v>442</v>
      </c>
      <c r="C30" s="105"/>
      <c r="D30" s="51"/>
      <c r="E30" s="52"/>
      <c r="F30" s="52"/>
      <c r="G30" s="53"/>
      <c r="H30" s="40"/>
      <c r="I30" s="40"/>
      <c r="J30" s="42"/>
      <c r="K30" s="40"/>
      <c r="L30" s="40"/>
      <c r="M30" s="40"/>
      <c r="N30" s="143"/>
    </row>
    <row r="31" spans="1:14" ht="14.1" customHeight="1" x14ac:dyDescent="0.3">
      <c r="A31" s="48">
        <v>15</v>
      </c>
      <c r="B31" s="65" t="s">
        <v>438</v>
      </c>
      <c r="C31" s="66"/>
      <c r="D31" s="61"/>
      <c r="E31" s="61"/>
      <c r="F31" s="61"/>
      <c r="G31" s="61"/>
      <c r="H31" s="54">
        <f>SUM(I31)</f>
        <v>1.5</v>
      </c>
      <c r="I31" s="54">
        <f>SUM(J31)</f>
        <v>1.5</v>
      </c>
      <c r="J31" s="55">
        <v>1.5</v>
      </c>
      <c r="K31" s="54">
        <f>SUM(J31)</f>
        <v>1.5</v>
      </c>
      <c r="L31" s="54">
        <f>SUM(K31)</f>
        <v>1.5</v>
      </c>
      <c r="M31" s="54">
        <f>SUM(L31)</f>
        <v>1.5</v>
      </c>
      <c r="N31" s="142">
        <f>SUM(M31)</f>
        <v>1.5</v>
      </c>
    </row>
    <row r="32" spans="1:14" ht="14.1" customHeight="1" x14ac:dyDescent="0.3">
      <c r="A32" s="48"/>
      <c r="B32" s="57" t="s">
        <v>439</v>
      </c>
      <c r="C32" s="58"/>
      <c r="D32" s="46"/>
      <c r="E32" s="47"/>
      <c r="F32" s="47"/>
      <c r="G32" s="59"/>
      <c r="H32" s="40"/>
      <c r="I32" s="40"/>
      <c r="J32" s="42"/>
      <c r="K32" s="40"/>
      <c r="L32" s="40"/>
      <c r="M32" s="40"/>
      <c r="N32" s="143"/>
    </row>
    <row r="33" spans="1:14" ht="14.1" customHeight="1" x14ac:dyDescent="0.3">
      <c r="A33" s="35">
        <v>16</v>
      </c>
      <c r="B33" s="105"/>
      <c r="C33" s="105"/>
      <c r="D33" s="106"/>
      <c r="E33" s="106"/>
      <c r="F33" s="106"/>
      <c r="G33" s="106"/>
      <c r="H33" s="81"/>
      <c r="I33" s="81"/>
      <c r="J33" s="82"/>
      <c r="K33" s="81"/>
      <c r="L33" s="81"/>
      <c r="M33" s="81"/>
      <c r="N33" s="145"/>
    </row>
    <row r="34" spans="1:14" ht="14.1" customHeight="1" thickBot="1" x14ac:dyDescent="0.35">
      <c r="A34" s="87"/>
      <c r="B34" s="141"/>
      <c r="C34" s="141"/>
      <c r="D34" s="98"/>
      <c r="E34" s="99"/>
      <c r="F34" s="99"/>
      <c r="G34" s="100"/>
      <c r="H34" s="91"/>
      <c r="I34" s="91"/>
      <c r="J34" s="107"/>
      <c r="K34" s="91"/>
      <c r="L34" s="91"/>
      <c r="M34" s="91"/>
      <c r="N34" s="146"/>
    </row>
    <row r="35" spans="1:14" ht="14.1" customHeight="1" x14ac:dyDescent="0.3"/>
    <row r="36" spans="1:14" ht="14.1" customHeight="1" x14ac:dyDescent="0.3"/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5"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3856-AB7E-40AB-BAFA-99D8ED6BFE6B}">
  <sheetPr>
    <tabColor rgb="FFFF0000"/>
    <pageSetUpPr fitToPage="1"/>
  </sheetPr>
  <dimension ref="A1:N51"/>
  <sheetViews>
    <sheetView zoomScale="110" zoomScaleNormal="110" workbookViewId="0">
      <selection activeCell="B19" sqref="B19:G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625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SUM(I3)-3.4</f>
        <v>33.200000000000003</v>
      </c>
      <c r="I3" s="54">
        <f>SUM(J3)-3.4</f>
        <v>36.6</v>
      </c>
      <c r="J3" s="55">
        <v>40</v>
      </c>
      <c r="K3" s="54">
        <f>SUM(J3)+2.9</f>
        <v>42.9</v>
      </c>
      <c r="L3" s="54">
        <f>SUM(K3)+2.9</f>
        <v>45.8</v>
      </c>
      <c r="M3" s="39">
        <f>SUM(L3)+2.9</f>
        <v>48.699999999999996</v>
      </c>
      <c r="N3" s="115">
        <f>SUM(M3)+2.9</f>
        <v>51.599999999999994</v>
      </c>
    </row>
    <row r="4" spans="1:14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SUM(I5)-4.5</f>
        <v>46.5</v>
      </c>
      <c r="I5" s="54">
        <f>SUM(J5)-4.5</f>
        <v>51</v>
      </c>
      <c r="J5" s="55">
        <v>55.5</v>
      </c>
      <c r="K5" s="54">
        <f>SUM(J5)+4.5</f>
        <v>60</v>
      </c>
      <c r="L5" s="54">
        <f>SUM(K5)+4.5</f>
        <v>64.5</v>
      </c>
      <c r="M5" s="54">
        <f>SUM(L5)+4.5</f>
        <v>69</v>
      </c>
      <c r="N5" s="115">
        <f>SUM(M5)+4.5</f>
        <v>73.5</v>
      </c>
    </row>
    <row r="6" spans="1:14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39.5</v>
      </c>
      <c r="I7" s="54">
        <f>SUM(J7)-2.25</f>
        <v>41.75</v>
      </c>
      <c r="J7" s="55">
        <v>44</v>
      </c>
      <c r="K7" s="54">
        <f>SUM(J7)+2</f>
        <v>46</v>
      </c>
      <c r="L7" s="54">
        <f t="shared" ref="L7:N7" si="0">SUM(K7)+2</f>
        <v>48</v>
      </c>
      <c r="M7" s="54">
        <f t="shared" si="0"/>
        <v>50</v>
      </c>
      <c r="N7" s="115">
        <f t="shared" si="0"/>
        <v>52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</f>
        <v>38.599999999999994</v>
      </c>
      <c r="I9" s="54">
        <f>SUM(J9)-2.2</f>
        <v>40.799999999999997</v>
      </c>
      <c r="J9" s="55">
        <v>43</v>
      </c>
      <c r="K9" s="54">
        <f>SUM(J9)+2</f>
        <v>45</v>
      </c>
      <c r="L9" s="54">
        <f t="shared" ref="L9:N9" si="1">SUM(K9)+2</f>
        <v>47</v>
      </c>
      <c r="M9" s="54">
        <f t="shared" si="1"/>
        <v>49</v>
      </c>
      <c r="N9" s="115">
        <f t="shared" si="1"/>
        <v>51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0"/>
      <c r="N11" s="136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13</v>
      </c>
      <c r="I13" s="60">
        <f>SUM(J13)-0.6</f>
        <v>13.6</v>
      </c>
      <c r="J13" s="67">
        <v>14.2</v>
      </c>
      <c r="K13" s="130">
        <f>SUM(J13)+0.6</f>
        <v>14.799999999999999</v>
      </c>
      <c r="L13" s="130">
        <f t="shared" ref="L13:N13" si="2">SUM(K13)+0.6</f>
        <v>15.399999999999999</v>
      </c>
      <c r="M13" s="130">
        <f t="shared" si="2"/>
        <v>15.999999999999998</v>
      </c>
      <c r="N13" s="136">
        <f t="shared" si="2"/>
        <v>16.599999999999998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5"/>
      <c r="I14" s="45"/>
      <c r="J14" s="67"/>
      <c r="K14" s="130"/>
      <c r="L14" s="130"/>
      <c r="M14" s="130"/>
      <c r="N14" s="136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6.5</v>
      </c>
      <c r="I15" s="54">
        <f>SUM(J15)-0.3</f>
        <v>6.8</v>
      </c>
      <c r="J15" s="67">
        <v>7.1</v>
      </c>
      <c r="K15" s="68">
        <f>SUM(J15)+0.3</f>
        <v>7.3999999999999995</v>
      </c>
      <c r="L15" s="68">
        <f t="shared" ref="L15:N15" si="3">SUM(K15)+0.3</f>
        <v>7.6999999999999993</v>
      </c>
      <c r="M15" s="68">
        <f t="shared" si="3"/>
        <v>7.9999999999999991</v>
      </c>
      <c r="N15" s="117">
        <f t="shared" si="3"/>
        <v>8.2999999999999989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34</v>
      </c>
      <c r="I17" s="54">
        <f>SUM(J17)-1.6</f>
        <v>35.6</v>
      </c>
      <c r="J17" s="67">
        <v>37.200000000000003</v>
      </c>
      <c r="K17" s="68">
        <f>SUM(J17)+1.6</f>
        <v>38.800000000000004</v>
      </c>
      <c r="L17" s="68">
        <f t="shared" ref="L17:N17" si="4">SUM(K17)+1.6</f>
        <v>40.400000000000006</v>
      </c>
      <c r="M17" s="68">
        <f t="shared" si="4"/>
        <v>42.000000000000007</v>
      </c>
      <c r="N17" s="117">
        <f t="shared" si="4"/>
        <v>43.600000000000009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303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79" t="s">
        <v>75</v>
      </c>
      <c r="C19" s="80"/>
      <c r="D19" s="52" t="s">
        <v>228</v>
      </c>
      <c r="E19" s="52"/>
      <c r="F19" s="52"/>
      <c r="G19" s="52"/>
      <c r="H19" s="54">
        <f>SUM(I19)-0.2</f>
        <v>3.0999999999999996</v>
      </c>
      <c r="I19" s="54">
        <f>SUM(J19)-0.2</f>
        <v>3.3</v>
      </c>
      <c r="J19" s="67">
        <v>3.5</v>
      </c>
      <c r="K19" s="68">
        <f>SUM(J19)+0.2</f>
        <v>3.7</v>
      </c>
      <c r="L19" s="68">
        <f>SUM(K19)+0.2</f>
        <v>3.9000000000000004</v>
      </c>
      <c r="M19" s="68">
        <f>SUM(L19)+0.2</f>
        <v>4.1000000000000005</v>
      </c>
      <c r="N19" s="117">
        <f>SUM(M19)+0.2</f>
        <v>4.3000000000000007</v>
      </c>
    </row>
    <row r="20" spans="1:14" s="1" customFormat="1" ht="14.1" customHeight="1" x14ac:dyDescent="0.3">
      <c r="A20" s="48"/>
      <c r="B20" s="105" t="s">
        <v>34</v>
      </c>
      <c r="C20" s="105"/>
      <c r="D20" s="51" t="s">
        <v>229</v>
      </c>
      <c r="E20" s="52"/>
      <c r="F20" s="52"/>
      <c r="G20" s="53"/>
      <c r="H20" s="40"/>
      <c r="I20" s="40"/>
      <c r="J20" s="67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>
        <f>SUM(I23)-1.7</f>
        <v>32.299999999999997</v>
      </c>
      <c r="I23" s="54">
        <f>SUM(J23)-1.7</f>
        <v>34</v>
      </c>
      <c r="J23" s="67">
        <v>35.700000000000003</v>
      </c>
      <c r="K23" s="68">
        <f>SUM(J23)+1.7</f>
        <v>37.400000000000006</v>
      </c>
      <c r="L23" s="68">
        <f>SUM(K23)+1.7</f>
        <v>39.100000000000009</v>
      </c>
      <c r="M23" s="68">
        <f>SUM(L23)+1.7</f>
        <v>40.800000000000011</v>
      </c>
      <c r="N23" s="117">
        <f>SUM(M23)+1.7</f>
        <v>42.500000000000014</v>
      </c>
    </row>
    <row r="24" spans="1:14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626</v>
      </c>
      <c r="C25" s="66"/>
      <c r="D25" s="61" t="s">
        <v>68</v>
      </c>
      <c r="E25" s="61"/>
      <c r="F25" s="61"/>
      <c r="G25" s="61"/>
      <c r="H25" s="54">
        <f>SUM(I25)-0.6</f>
        <v>16.799999999999997</v>
      </c>
      <c r="I25" s="54">
        <f>SUM(J25)-0.6</f>
        <v>17.399999999999999</v>
      </c>
      <c r="J25" s="67">
        <v>18</v>
      </c>
      <c r="K25" s="68">
        <f>SUM(J25)+0.6</f>
        <v>18.600000000000001</v>
      </c>
      <c r="L25" s="68">
        <f>SUM(K25)+0.6</f>
        <v>19.200000000000003</v>
      </c>
      <c r="M25" s="68">
        <f>SUM(L25)+0.6</f>
        <v>19.800000000000004</v>
      </c>
      <c r="N25" s="117">
        <f>SUM(M25)+0.6</f>
        <v>20.400000000000006</v>
      </c>
    </row>
    <row r="26" spans="1:14" s="1" customFormat="1" ht="14.1" customHeight="1" x14ac:dyDescent="0.3">
      <c r="A26" s="48"/>
      <c r="B26" s="45" t="s">
        <v>627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8"/>
      <c r="N26" s="117"/>
    </row>
    <row r="27" spans="1:14" s="1" customFormat="1" ht="14.1" customHeight="1" x14ac:dyDescent="0.3">
      <c r="A27" s="48">
        <v>13</v>
      </c>
      <c r="B27" s="79" t="s">
        <v>197</v>
      </c>
      <c r="C27" s="80"/>
      <c r="D27" s="88"/>
      <c r="E27" s="89"/>
      <c r="F27" s="89"/>
      <c r="G27" s="90"/>
      <c r="H27" s="54">
        <f>SUM(I27)-0.5</f>
        <v>4</v>
      </c>
      <c r="I27" s="54">
        <f>SUM(J27)-0.5</f>
        <v>4.5</v>
      </c>
      <c r="J27" s="67">
        <v>5</v>
      </c>
      <c r="K27" s="68">
        <f>SUM(J27)+0.5</f>
        <v>5.5</v>
      </c>
      <c r="L27" s="68">
        <f>SUM(K27)+0.5</f>
        <v>6</v>
      </c>
      <c r="M27" s="68">
        <f>SUM(L27)+0.5</f>
        <v>6.5</v>
      </c>
      <c r="N27" s="117">
        <f>SUM(M27)+0.5</f>
        <v>7</v>
      </c>
    </row>
    <row r="28" spans="1:14" s="1" customFormat="1" ht="14.1" customHeight="1" x14ac:dyDescent="0.3">
      <c r="A28" s="48"/>
      <c r="B28" s="79" t="s">
        <v>198</v>
      </c>
      <c r="C28" s="80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48">
        <v>14</v>
      </c>
      <c r="B29" s="65" t="s">
        <v>628</v>
      </c>
      <c r="C29" s="66"/>
      <c r="D29" s="61"/>
      <c r="E29" s="61"/>
      <c r="F29" s="61"/>
      <c r="G29" s="61"/>
      <c r="H29" s="54">
        <f>SUM(I29)-0.6</f>
        <v>10.8</v>
      </c>
      <c r="I29" s="54">
        <f>SUM(J29)-0.6</f>
        <v>11.4</v>
      </c>
      <c r="J29" s="67">
        <v>12</v>
      </c>
      <c r="K29" s="68">
        <f>SUM(J29)+0.6</f>
        <v>12.6</v>
      </c>
      <c r="L29" s="68">
        <f>SUM(K29)+0.6</f>
        <v>13.2</v>
      </c>
      <c r="M29" s="68">
        <f>SUM(L29)+0.6</f>
        <v>13.799999999999999</v>
      </c>
      <c r="N29" s="117">
        <f>SUM(M29)+0.6</f>
        <v>14.399999999999999</v>
      </c>
    </row>
    <row r="30" spans="1:14" s="1" customFormat="1" ht="14.1" customHeight="1" x14ac:dyDescent="0.3">
      <c r="A30" s="48"/>
      <c r="B30" s="45" t="s">
        <v>296</v>
      </c>
      <c r="C30" s="45"/>
      <c r="D30" s="46"/>
      <c r="E30" s="47"/>
      <c r="F30" s="47"/>
      <c r="G30" s="59"/>
      <c r="H30" s="40"/>
      <c r="I30" s="40"/>
      <c r="J30" s="67"/>
      <c r="K30" s="68"/>
      <c r="L30" s="68"/>
      <c r="M30" s="68"/>
      <c r="N30" s="117"/>
    </row>
    <row r="31" spans="1:14" ht="14.1" customHeight="1" x14ac:dyDescent="0.3">
      <c r="A31" s="48">
        <v>15</v>
      </c>
      <c r="B31" s="79" t="s">
        <v>629</v>
      </c>
      <c r="C31" s="80"/>
      <c r="D31" s="88"/>
      <c r="E31" s="89"/>
      <c r="F31" s="89"/>
      <c r="G31" s="90"/>
      <c r="H31" s="54">
        <v>31</v>
      </c>
      <c r="I31" s="54">
        <v>34.5</v>
      </c>
      <c r="J31" s="67">
        <v>37.5</v>
      </c>
      <c r="K31" s="68">
        <v>40.5</v>
      </c>
      <c r="L31" s="68">
        <v>43.5</v>
      </c>
      <c r="M31" s="68">
        <v>46.5</v>
      </c>
      <c r="N31" s="117">
        <v>49.5</v>
      </c>
    </row>
    <row r="32" spans="1:14" ht="14.1" customHeight="1" x14ac:dyDescent="0.3">
      <c r="A32" s="48"/>
      <c r="B32" s="79" t="s">
        <v>630</v>
      </c>
      <c r="C32" s="80"/>
      <c r="D32" s="46" t="s">
        <v>631</v>
      </c>
      <c r="E32" s="47"/>
      <c r="F32" s="47"/>
      <c r="G32" s="59"/>
      <c r="H32" s="40"/>
      <c r="I32" s="40"/>
      <c r="J32" s="67"/>
      <c r="K32" s="68"/>
      <c r="L32" s="68"/>
      <c r="M32" s="68"/>
      <c r="N32" s="117"/>
    </row>
    <row r="33" spans="1:14" ht="14.1" customHeight="1" x14ac:dyDescent="0.3">
      <c r="A33" s="48">
        <v>16</v>
      </c>
      <c r="B33" s="65"/>
      <c r="C33" s="66"/>
      <c r="D33" s="88"/>
      <c r="E33" s="89"/>
      <c r="F33" s="89"/>
      <c r="G33" s="90"/>
      <c r="H33" s="54"/>
      <c r="I33" s="54"/>
      <c r="J33" s="67"/>
      <c r="K33" s="68"/>
      <c r="L33" s="68"/>
      <c r="M33" s="68"/>
      <c r="N33" s="117"/>
    </row>
    <row r="34" spans="1:14" ht="14.1" customHeight="1" x14ac:dyDescent="0.3">
      <c r="A34" s="48"/>
      <c r="B34" s="57"/>
      <c r="C34" s="58"/>
      <c r="D34" s="46"/>
      <c r="E34" s="47"/>
      <c r="F34" s="47"/>
      <c r="G34" s="59"/>
      <c r="H34" s="40"/>
      <c r="I34" s="40"/>
      <c r="J34" s="67"/>
      <c r="K34" s="68"/>
      <c r="L34" s="68"/>
      <c r="M34" s="68"/>
      <c r="N34" s="117"/>
    </row>
    <row r="35" spans="1:14" ht="14.1" customHeight="1" x14ac:dyDescent="0.3">
      <c r="A35" s="48">
        <v>17</v>
      </c>
      <c r="B35" s="79"/>
      <c r="C35" s="80"/>
      <c r="D35" s="133"/>
      <c r="E35" s="134"/>
      <c r="F35" s="134"/>
      <c r="G35" s="135"/>
      <c r="H35" s="81"/>
      <c r="I35" s="81"/>
      <c r="J35" s="42"/>
      <c r="K35" s="40"/>
      <c r="L35" s="40"/>
      <c r="M35" s="40"/>
      <c r="N35" s="116"/>
    </row>
    <row r="36" spans="1:14" ht="14.1" customHeight="1" thickBot="1" x14ac:dyDescent="0.35">
      <c r="A36" s="87"/>
      <c r="B36" s="96"/>
      <c r="C36" s="97"/>
      <c r="D36" s="98"/>
      <c r="E36" s="99"/>
      <c r="F36" s="99"/>
      <c r="G36" s="100"/>
      <c r="H36" s="91"/>
      <c r="I36" s="91"/>
      <c r="J36" s="92"/>
      <c r="K36" s="93"/>
      <c r="L36" s="93"/>
      <c r="M36" s="93"/>
      <c r="N36" s="118"/>
    </row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7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J21:J22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A29:A30"/>
    <mergeCell ref="B29:C29"/>
    <mergeCell ref="D29:G29"/>
    <mergeCell ref="H29:H30"/>
    <mergeCell ref="A19:A20"/>
    <mergeCell ref="B19:C19"/>
    <mergeCell ref="D19:G19"/>
    <mergeCell ref="H19:H20"/>
    <mergeCell ref="I19:I20"/>
    <mergeCell ref="A25:A26"/>
    <mergeCell ref="B25:C25"/>
    <mergeCell ref="D25:G25"/>
    <mergeCell ref="H25:H26"/>
    <mergeCell ref="I25:I26"/>
    <mergeCell ref="A21:A22"/>
    <mergeCell ref="B21:C21"/>
    <mergeCell ref="D21:G21"/>
    <mergeCell ref="H21:H22"/>
    <mergeCell ref="I21:I22"/>
    <mergeCell ref="I29:I30"/>
    <mergeCell ref="J29:J30"/>
    <mergeCell ref="K29:K30"/>
    <mergeCell ref="L29:L30"/>
    <mergeCell ref="M29:M30"/>
    <mergeCell ref="B30:C30"/>
    <mergeCell ref="D30:G30"/>
    <mergeCell ref="B20:C20"/>
    <mergeCell ref="D20:G20"/>
    <mergeCell ref="J27:J28"/>
    <mergeCell ref="K25:K26"/>
    <mergeCell ref="L25:L26"/>
    <mergeCell ref="M25:M26"/>
    <mergeCell ref="B26:C26"/>
    <mergeCell ref="D26:G26"/>
    <mergeCell ref="K21:K22"/>
    <mergeCell ref="L21:L22"/>
    <mergeCell ref="M21:M22"/>
    <mergeCell ref="B22:C22"/>
    <mergeCell ref="D22:G22"/>
    <mergeCell ref="J19:J20"/>
    <mergeCell ref="K19:K20"/>
    <mergeCell ref="L19:L20"/>
    <mergeCell ref="M19:M20"/>
    <mergeCell ref="K27:K28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5271-4EF3-4942-97E0-DED4C51E16DA}">
  <sheetPr>
    <tabColor rgb="FFFF0000"/>
    <pageSetUpPr fitToPage="1"/>
  </sheetPr>
  <dimension ref="A1:M51"/>
  <sheetViews>
    <sheetView topLeftCell="A19" zoomScale="110" zoomScaleNormal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780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SUM(I3)-3.4</f>
        <v>33.700000000000003</v>
      </c>
      <c r="I3" s="54">
        <f>SUM(J3)-3.4</f>
        <v>37.1</v>
      </c>
      <c r="J3" s="55">
        <v>40.5</v>
      </c>
      <c r="K3" s="54">
        <f>SUM(J3)+2.9</f>
        <v>43.4</v>
      </c>
      <c r="L3" s="54">
        <f>SUM(K3)+2.9</f>
        <v>46.3</v>
      </c>
      <c r="M3" s="56">
        <f>SUM(L3)+2.9</f>
        <v>49.199999999999996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35</v>
      </c>
      <c r="I5" s="54">
        <f>SUM(J5)-2</f>
        <v>37</v>
      </c>
      <c r="J5" s="55">
        <v>39</v>
      </c>
      <c r="K5" s="54">
        <f>SUM(J5)+1.8</f>
        <v>40.799999999999997</v>
      </c>
      <c r="L5" s="54">
        <f>SUM(K5)+1.8</f>
        <v>42.599999999999994</v>
      </c>
      <c r="M5" s="56">
        <f>SUM(L5)+1.8</f>
        <v>44.399999999999991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39.5</v>
      </c>
      <c r="I7" s="54">
        <f>SUM(J7)-2.25</f>
        <v>41.75</v>
      </c>
      <c r="J7" s="55">
        <v>44</v>
      </c>
      <c r="K7" s="54">
        <f>SUM(J7)+2</f>
        <v>46</v>
      </c>
      <c r="L7" s="54">
        <f t="shared" ref="L7:M7" si="0">SUM(K7)+2</f>
        <v>48</v>
      </c>
      <c r="M7" s="56">
        <f t="shared" si="0"/>
        <v>50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40.5</v>
      </c>
      <c r="I9" s="54">
        <f>SUM(J9)-2.25</f>
        <v>42.75</v>
      </c>
      <c r="J9" s="55">
        <v>45</v>
      </c>
      <c r="K9" s="54">
        <f>SUM(J9)+2</f>
        <v>47</v>
      </c>
      <c r="L9" s="54">
        <f t="shared" ref="L9" si="1">SUM(K9)+2</f>
        <v>49</v>
      </c>
      <c r="M9" s="56">
        <f t="shared" ref="M9" si="2">SUM(L9)+2</f>
        <v>51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156</v>
      </c>
      <c r="C11" s="60"/>
      <c r="D11" s="61"/>
      <c r="E11" s="61"/>
      <c r="F11" s="61"/>
      <c r="G11" s="61"/>
      <c r="H11" s="54">
        <f>SUM(I11)-4.5</f>
        <v>105</v>
      </c>
      <c r="I11" s="54">
        <f>SUM(J11)-4.5</f>
        <v>109.5</v>
      </c>
      <c r="J11" s="55">
        <v>114</v>
      </c>
      <c r="K11" s="54">
        <f>SUM(J11)+4</f>
        <v>118</v>
      </c>
      <c r="L11" s="54">
        <f>SUM(K11)+4</f>
        <v>122</v>
      </c>
      <c r="M11" s="56">
        <f>SUM(L11)+4</f>
        <v>126</v>
      </c>
    </row>
    <row r="12" spans="1:13" s="1" customFormat="1" ht="14.1" customHeight="1" x14ac:dyDescent="0.3">
      <c r="A12" s="48"/>
      <c r="B12" s="45" t="s">
        <v>155</v>
      </c>
      <c r="C12" s="45"/>
      <c r="D12" s="46" t="s">
        <v>781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60">
        <f>SUM(I13)-0.8</f>
        <v>16.399999999999999</v>
      </c>
      <c r="I13" s="60">
        <f>SUM(J13)-0.8</f>
        <v>17.2</v>
      </c>
      <c r="J13" s="132">
        <v>18</v>
      </c>
      <c r="K13" s="130">
        <f>SUM(J13)+0.8</f>
        <v>18.8</v>
      </c>
      <c r="L13" s="130">
        <f>SUM(K13)+0.8</f>
        <v>19.600000000000001</v>
      </c>
      <c r="M13" s="131">
        <f>SUM(L13)+0.8</f>
        <v>20.400000000000002</v>
      </c>
    </row>
    <row r="14" spans="1:13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5"/>
      <c r="I14" s="45"/>
      <c r="J14" s="132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60">
        <f>SUM(I15)-0.6</f>
        <v>14.3</v>
      </c>
      <c r="I15" s="60">
        <f>SUM(J15)-0.6</f>
        <v>14.9</v>
      </c>
      <c r="J15" s="67">
        <v>15.5</v>
      </c>
      <c r="K15" s="130">
        <f>SUM(J15)+0.6</f>
        <v>16.100000000000001</v>
      </c>
      <c r="L15" s="130">
        <f t="shared" ref="L15:M15" si="3">SUM(K15)+0.6</f>
        <v>16.700000000000003</v>
      </c>
      <c r="M15" s="131">
        <f t="shared" si="3"/>
        <v>17.300000000000004</v>
      </c>
    </row>
    <row r="16" spans="1:13" s="1" customFormat="1" ht="14.1" customHeight="1" x14ac:dyDescent="0.3">
      <c r="A16" s="48"/>
      <c r="B16" s="45" t="s">
        <v>27</v>
      </c>
      <c r="C16" s="45"/>
      <c r="D16" s="46" t="s">
        <v>46</v>
      </c>
      <c r="E16" s="47"/>
      <c r="F16" s="47"/>
      <c r="G16" s="59"/>
      <c r="H16" s="45"/>
      <c r="I16" s="45"/>
      <c r="J16" s="67"/>
      <c r="K16" s="130"/>
      <c r="L16" s="130"/>
      <c r="M16" s="131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6.5</v>
      </c>
      <c r="I17" s="54">
        <f>SUM(J17)-0.3</f>
        <v>6.8</v>
      </c>
      <c r="J17" s="67">
        <v>7.1</v>
      </c>
      <c r="K17" s="68">
        <f>SUM(J17)+0.3</f>
        <v>7.3999999999999995</v>
      </c>
      <c r="L17" s="68">
        <f t="shared" ref="L17:M17" si="4">SUM(K17)+0.3</f>
        <v>7.6999999999999993</v>
      </c>
      <c r="M17" s="69">
        <f t="shared" si="4"/>
        <v>7.9999999999999991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196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SUM(I19)-1.6</f>
        <v>36.299999999999997</v>
      </c>
      <c r="I19" s="54">
        <f>SUM(J19)-1.6</f>
        <v>37.9</v>
      </c>
      <c r="J19" s="67">
        <v>39.5</v>
      </c>
      <c r="K19" s="68">
        <f>SUM(J19)+1.6</f>
        <v>41.1</v>
      </c>
      <c r="L19" s="68">
        <f t="shared" ref="L19" si="5">SUM(K19)+1.6</f>
        <v>42.7</v>
      </c>
      <c r="M19" s="69">
        <f>SUM(L19)+1.6</f>
        <v>44.300000000000004</v>
      </c>
    </row>
    <row r="20" spans="1:13" s="1" customFormat="1" ht="14.1" customHeight="1" x14ac:dyDescent="0.3">
      <c r="A20" s="48"/>
      <c r="B20" s="45" t="s">
        <v>33</v>
      </c>
      <c r="C20" s="45"/>
      <c r="D20" s="46" t="s">
        <v>303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79" t="s">
        <v>75</v>
      </c>
      <c r="C21" s="80"/>
      <c r="D21" s="52" t="s">
        <v>228</v>
      </c>
      <c r="E21" s="52"/>
      <c r="F21" s="52"/>
      <c r="G21" s="52"/>
      <c r="H21" s="54">
        <f>SUM(I21)-0.1</f>
        <v>2.2999999999999998</v>
      </c>
      <c r="I21" s="54">
        <f>SUM(J21)-0.1</f>
        <v>2.4</v>
      </c>
      <c r="J21" s="67">
        <v>2.5</v>
      </c>
      <c r="K21" s="68">
        <f>SUM(J21)+0.1</f>
        <v>2.6</v>
      </c>
      <c r="L21" s="68">
        <f>SUM(K21)+0.1</f>
        <v>2.7</v>
      </c>
      <c r="M21" s="69">
        <f>SUM(L21)+0.1</f>
        <v>2.8000000000000003</v>
      </c>
    </row>
    <row r="22" spans="1:13" s="1" customFormat="1" ht="14.1" customHeight="1" x14ac:dyDescent="0.3">
      <c r="A22" s="48"/>
      <c r="B22" s="105" t="s">
        <v>34</v>
      </c>
      <c r="C22" s="105"/>
      <c r="D22" s="51" t="s">
        <v>229</v>
      </c>
      <c r="E22" s="52"/>
      <c r="F22" s="52"/>
      <c r="G22" s="53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SUM(I23)-3.5</f>
        <v>29</v>
      </c>
      <c r="I23" s="54">
        <f>SUM(J23)-3.5</f>
        <v>32.5</v>
      </c>
      <c r="J23" s="67">
        <v>36</v>
      </c>
      <c r="K23" s="68">
        <f>SUM(J23)+3.6</f>
        <v>39.6</v>
      </c>
      <c r="L23" s="68">
        <f>SUM(K23)+3.6</f>
        <v>43.2</v>
      </c>
      <c r="M23" s="69">
        <f>SUM(L23)+3.6</f>
        <v>46.800000000000004</v>
      </c>
    </row>
    <row r="24" spans="1:13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>
        <f>SUM(I25)-1.5</f>
        <v>31</v>
      </c>
      <c r="I25" s="54">
        <f>SUM(J25)-1.5</f>
        <v>32.5</v>
      </c>
      <c r="J25" s="67">
        <v>34</v>
      </c>
      <c r="K25" s="68">
        <f>SUM(J25)+1.5</f>
        <v>35.5</v>
      </c>
      <c r="L25" s="68">
        <f>SUM(K25)+1.5</f>
        <v>37</v>
      </c>
      <c r="M25" s="69">
        <f>SUM(L25)+1.5</f>
        <v>38.5</v>
      </c>
    </row>
    <row r="26" spans="1:13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 t="s">
        <v>782</v>
      </c>
      <c r="C27" s="66"/>
      <c r="D27" s="61" t="s">
        <v>68</v>
      </c>
      <c r="E27" s="61"/>
      <c r="F27" s="61"/>
      <c r="G27" s="61"/>
      <c r="H27" s="54">
        <f>SUM(I27)-0.6</f>
        <v>16.799999999999997</v>
      </c>
      <c r="I27" s="54">
        <f>SUM(J27)-0.6</f>
        <v>17.399999999999999</v>
      </c>
      <c r="J27" s="67">
        <v>18</v>
      </c>
      <c r="K27" s="68">
        <f>SUM(J27)+0.6</f>
        <v>18.600000000000001</v>
      </c>
      <c r="L27" s="68">
        <f>SUM(K27)+0.6</f>
        <v>19.200000000000003</v>
      </c>
      <c r="M27" s="69">
        <f>SUM(L27)+0.6</f>
        <v>19.800000000000004</v>
      </c>
    </row>
    <row r="28" spans="1:13" s="1" customFormat="1" ht="14.1" customHeight="1" x14ac:dyDescent="0.3">
      <c r="A28" s="48"/>
      <c r="B28" s="45" t="s">
        <v>783</v>
      </c>
      <c r="C28" s="45"/>
      <c r="D28" s="46" t="s">
        <v>69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0" t="s">
        <v>784</v>
      </c>
      <c r="C29" s="60"/>
      <c r="D29" s="62"/>
      <c r="E29" s="63"/>
      <c r="F29" s="63"/>
      <c r="G29" s="64"/>
      <c r="H29" s="54">
        <f>SUM(I29)-0.5</f>
        <v>11</v>
      </c>
      <c r="I29" s="54">
        <f>SUM(J29)-0.5</f>
        <v>11.5</v>
      </c>
      <c r="J29" s="67">
        <v>12</v>
      </c>
      <c r="K29" s="68">
        <f>SUM(J29)+0.5</f>
        <v>12.5</v>
      </c>
      <c r="L29" s="68">
        <f>SUM(K29)+0.5</f>
        <v>13</v>
      </c>
      <c r="M29" s="69">
        <f>SUM(L29)+0.5</f>
        <v>13.5</v>
      </c>
    </row>
    <row r="30" spans="1:13" s="1" customFormat="1" ht="14.1" customHeight="1" x14ac:dyDescent="0.3">
      <c r="A30" s="48"/>
      <c r="B30" s="45" t="s">
        <v>296</v>
      </c>
      <c r="C30" s="45"/>
      <c r="D30" s="46"/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48">
        <v>15</v>
      </c>
      <c r="B31" s="65" t="s">
        <v>134</v>
      </c>
      <c r="C31" s="66"/>
      <c r="D31" s="88"/>
      <c r="E31" s="89"/>
      <c r="F31" s="89"/>
      <c r="G31" s="90"/>
      <c r="H31" s="54">
        <f>SUM(I31)-0.6</f>
        <v>10.3</v>
      </c>
      <c r="I31" s="54">
        <f>SUM(J31)-0.6</f>
        <v>10.9</v>
      </c>
      <c r="J31" s="67">
        <v>11.5</v>
      </c>
      <c r="K31" s="68">
        <f>SUM(J31)+0.6</f>
        <v>12.1</v>
      </c>
      <c r="L31" s="68">
        <f>SUM(K31)+0.6</f>
        <v>12.7</v>
      </c>
      <c r="M31" s="69">
        <f>SUM(L31)+0.6</f>
        <v>13.299999999999999</v>
      </c>
    </row>
    <row r="32" spans="1:13" ht="14.1" customHeight="1" x14ac:dyDescent="0.3">
      <c r="A32" s="48"/>
      <c r="B32" s="57" t="s">
        <v>142</v>
      </c>
      <c r="C32" s="58"/>
      <c r="D32" s="46" t="s">
        <v>233</v>
      </c>
      <c r="E32" s="47"/>
      <c r="F32" s="47"/>
      <c r="G32" s="59"/>
      <c r="H32" s="40"/>
      <c r="I32" s="40"/>
      <c r="J32" s="55"/>
      <c r="K32" s="68"/>
      <c r="L32" s="68"/>
      <c r="M32" s="69"/>
    </row>
    <row r="33" spans="1:13" ht="14.1" customHeight="1" x14ac:dyDescent="0.3">
      <c r="A33" s="48">
        <v>16</v>
      </c>
      <c r="B33" s="79" t="s">
        <v>135</v>
      </c>
      <c r="C33" s="80"/>
      <c r="D33" s="133"/>
      <c r="E33" s="134"/>
      <c r="F33" s="134"/>
      <c r="G33" s="135"/>
      <c r="H33" s="54">
        <f>SUM(I33)-0.4</f>
        <v>5.6999999999999993</v>
      </c>
      <c r="I33" s="54">
        <f>SUM(J33)-0.4</f>
        <v>6.1</v>
      </c>
      <c r="J33" s="67">
        <v>6.5</v>
      </c>
      <c r="K33" s="68">
        <f>SUM(J33)+0.4</f>
        <v>6.9</v>
      </c>
      <c r="L33" s="68">
        <f>SUM(K33)+0.4</f>
        <v>7.3000000000000007</v>
      </c>
      <c r="M33" s="69">
        <f>SUM(L33)+0.4</f>
        <v>7.7000000000000011</v>
      </c>
    </row>
    <row r="34" spans="1:13" ht="14.1" customHeight="1" x14ac:dyDescent="0.3">
      <c r="A34" s="48"/>
      <c r="B34" s="57" t="s">
        <v>143</v>
      </c>
      <c r="C34" s="58"/>
      <c r="D34" s="46" t="s">
        <v>785</v>
      </c>
      <c r="E34" s="47"/>
      <c r="F34" s="47"/>
      <c r="G34" s="59"/>
      <c r="H34" s="40"/>
      <c r="I34" s="40"/>
      <c r="J34" s="67"/>
      <c r="K34" s="68"/>
      <c r="L34" s="68"/>
      <c r="M34" s="69"/>
    </row>
    <row r="35" spans="1:13" ht="14.1" customHeight="1" x14ac:dyDescent="0.3">
      <c r="A35" s="48">
        <v>17</v>
      </c>
      <c r="B35" s="65" t="s">
        <v>232</v>
      </c>
      <c r="C35" s="66"/>
      <c r="D35" s="61"/>
      <c r="E35" s="61"/>
      <c r="F35" s="61"/>
      <c r="G35" s="61"/>
      <c r="H35" s="54">
        <v>30.5</v>
      </c>
      <c r="I35" s="54">
        <v>34</v>
      </c>
      <c r="J35" s="67">
        <v>37</v>
      </c>
      <c r="K35" s="68">
        <v>40</v>
      </c>
      <c r="L35" s="68">
        <v>43</v>
      </c>
      <c r="M35" s="69">
        <v>45.5</v>
      </c>
    </row>
    <row r="36" spans="1:13" ht="14.1" customHeight="1" x14ac:dyDescent="0.3">
      <c r="A36" s="78"/>
      <c r="B36" s="57" t="s">
        <v>153</v>
      </c>
      <c r="C36" s="58"/>
      <c r="D36" s="46" t="s">
        <v>152</v>
      </c>
      <c r="E36" s="47"/>
      <c r="F36" s="47"/>
      <c r="G36" s="59"/>
      <c r="H36" s="40"/>
      <c r="I36" s="40"/>
      <c r="J36" s="55"/>
      <c r="K36" s="68"/>
      <c r="L36" s="68"/>
      <c r="M36" s="69"/>
    </row>
    <row r="37" spans="1:13" ht="14.1" customHeight="1" x14ac:dyDescent="0.3">
      <c r="A37" s="48">
        <v>18</v>
      </c>
      <c r="B37" s="79"/>
      <c r="C37" s="80"/>
      <c r="D37" s="133"/>
      <c r="E37" s="134"/>
      <c r="F37" s="134"/>
      <c r="G37" s="135"/>
      <c r="H37" s="54"/>
      <c r="I37" s="54"/>
      <c r="J37" s="67"/>
      <c r="K37" s="68"/>
      <c r="L37" s="68"/>
      <c r="M37" s="69"/>
    </row>
    <row r="38" spans="1:13" ht="14.1" customHeight="1" x14ac:dyDescent="0.3">
      <c r="A38" s="78"/>
      <c r="B38" s="57"/>
      <c r="C38" s="58"/>
      <c r="D38" s="46"/>
      <c r="E38" s="47"/>
      <c r="F38" s="47"/>
      <c r="G38" s="59"/>
      <c r="H38" s="40"/>
      <c r="I38" s="40"/>
      <c r="J38" s="67"/>
      <c r="K38" s="68"/>
      <c r="L38" s="68"/>
      <c r="M38" s="69"/>
    </row>
    <row r="39" spans="1:13" ht="14.1" customHeight="1" x14ac:dyDescent="0.3">
      <c r="A39" s="48">
        <v>19</v>
      </c>
      <c r="B39" s="65"/>
      <c r="C39" s="66"/>
      <c r="D39" s="61"/>
      <c r="E39" s="61"/>
      <c r="F39" s="61"/>
      <c r="G39" s="61"/>
      <c r="H39" s="54"/>
      <c r="I39" s="54"/>
      <c r="J39" s="67"/>
      <c r="K39" s="68"/>
      <c r="L39" s="68"/>
      <c r="M39" s="69"/>
    </row>
    <row r="40" spans="1:13" ht="14.1" customHeight="1" x14ac:dyDescent="0.3">
      <c r="A40" s="48"/>
      <c r="B40" s="57"/>
      <c r="C40" s="58"/>
      <c r="D40" s="46"/>
      <c r="E40" s="47"/>
      <c r="F40" s="47"/>
      <c r="G40" s="59"/>
      <c r="H40" s="40"/>
      <c r="I40" s="40"/>
      <c r="J40" s="67"/>
      <c r="K40" s="68"/>
      <c r="L40" s="68"/>
      <c r="M40" s="69"/>
    </row>
    <row r="41" spans="1:13" ht="14.1" customHeight="1" x14ac:dyDescent="0.3">
      <c r="A41" s="48">
        <v>20</v>
      </c>
      <c r="B41" s="79"/>
      <c r="C41" s="80"/>
      <c r="D41" s="133"/>
      <c r="E41" s="134"/>
      <c r="F41" s="134"/>
      <c r="G41" s="135"/>
      <c r="H41" s="81"/>
      <c r="I41" s="81"/>
      <c r="J41" s="42"/>
      <c r="K41" s="40"/>
      <c r="L41" s="40"/>
      <c r="M41" s="44"/>
    </row>
    <row r="42" spans="1:13" ht="14.1" customHeight="1" thickBot="1" x14ac:dyDescent="0.35">
      <c r="A42" s="87"/>
      <c r="B42" s="96"/>
      <c r="C42" s="97"/>
      <c r="D42" s="98"/>
      <c r="E42" s="99"/>
      <c r="F42" s="99"/>
      <c r="G42" s="100"/>
      <c r="H42" s="91"/>
      <c r="I42" s="91"/>
      <c r="J42" s="92"/>
      <c r="K42" s="93"/>
      <c r="L42" s="93"/>
      <c r="M42" s="121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9229-8DD1-49A4-AA69-740490C90330}">
  <sheetPr codeName="Sheet20">
    <tabColor rgb="FFFF0000"/>
    <pageSetUpPr fitToPage="1"/>
  </sheetPr>
  <dimension ref="A1:N51"/>
  <sheetViews>
    <sheetView topLeftCell="A4" zoomScale="110" zoomScaleNormal="110" workbookViewId="0">
      <selection activeCell="J11" sqref="J11:J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295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67</v>
      </c>
      <c r="I11" s="54">
        <f>SUM(J11)-4.5</f>
        <v>71.5</v>
      </c>
      <c r="J11" s="82">
        <v>76</v>
      </c>
      <c r="K11" s="54">
        <f>SUM(J11)+4.5</f>
        <v>80.5</v>
      </c>
      <c r="L11" s="54">
        <f t="shared" ref="L11:M11" si="0">SUM(K11)+4.5</f>
        <v>85</v>
      </c>
      <c r="M11" s="56">
        <f t="shared" si="0"/>
        <v>89.5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70</v>
      </c>
      <c r="I13" s="54">
        <f>SUM(J13)-5</f>
        <v>75</v>
      </c>
      <c r="J13" s="55">
        <v>80</v>
      </c>
      <c r="K13" s="54">
        <f>SUM(J13)+5</f>
        <v>85</v>
      </c>
      <c r="L13" s="54">
        <f t="shared" ref="L13:M13" si="1">SUM(K13)+5</f>
        <v>90</v>
      </c>
      <c r="M13" s="56">
        <f t="shared" si="1"/>
        <v>95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12.600000000000001</v>
      </c>
      <c r="I15" s="54">
        <f>SUM(J15)-0.7</f>
        <v>13.3</v>
      </c>
      <c r="J15" s="55">
        <v>14</v>
      </c>
      <c r="K15" s="54">
        <f>SUM(J15)+1.2</f>
        <v>15.2</v>
      </c>
      <c r="L15" s="54">
        <f>SUM(K15)+0.7</f>
        <v>15.899999999999999</v>
      </c>
      <c r="M15" s="56">
        <f t="shared" ref="M15" si="2">SUM(L15)+0.7</f>
        <v>16.599999999999998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</v>
      </c>
      <c r="I21" s="54">
        <f>SUM(J21)-2.5</f>
        <v>28.5</v>
      </c>
      <c r="J21" s="55">
        <v>31</v>
      </c>
      <c r="K21" s="54">
        <f>SUM(J21)+2</f>
        <v>33</v>
      </c>
      <c r="L21" s="54">
        <f t="shared" ref="L21:M21" si="3">SUM(K21)+2</f>
        <v>35</v>
      </c>
      <c r="M21" s="56">
        <f t="shared" si="3"/>
        <v>37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SUM(I23)-2.3</f>
        <v>41.400000000000006</v>
      </c>
      <c r="I23" s="54">
        <f>SUM(J23)-2.3</f>
        <v>43.7</v>
      </c>
      <c r="J23" s="55">
        <v>46</v>
      </c>
      <c r="K23" s="54">
        <f>SUM(J23)+2.3</f>
        <v>48.3</v>
      </c>
      <c r="L23" s="54">
        <f>SUM(K23)+2.3</f>
        <v>50.599999999999994</v>
      </c>
      <c r="M23" s="56">
        <f>SUM(L23)+2.3</f>
        <v>52.899999999999991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160">
        <f>SUM(L25)+1.1</f>
        <v>26.800000000000004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27.9</v>
      </c>
      <c r="I27" s="54">
        <f>SUM(J27)-1.3</f>
        <v>29.2</v>
      </c>
      <c r="J27" s="55">
        <v>30.5</v>
      </c>
      <c r="K27" s="54">
        <f>SUM(J27)+1.8</f>
        <v>32.299999999999997</v>
      </c>
      <c r="L27" s="54">
        <f>SUM(K27)+1.3</f>
        <v>33.599999999999994</v>
      </c>
      <c r="M27" s="160">
        <f>SUM(L27)+1.3</f>
        <v>34.899999999999991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M29" si="4">SUM(K29)+2.6</f>
        <v>5.2</v>
      </c>
      <c r="M29" s="158">
        <f t="shared" si="4"/>
        <v>7.8000000000000007</v>
      </c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9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-10</v>
      </c>
      <c r="I31" s="156">
        <f>SUM(J31)-5</f>
        <v>-5</v>
      </c>
      <c r="J31" s="154"/>
      <c r="K31" s="156">
        <f>SUM(J31)+5.5</f>
        <v>5.5</v>
      </c>
      <c r="L31" s="156">
        <f t="shared" ref="L31:M31" si="5">SUM(K31)+6</f>
        <v>11.5</v>
      </c>
      <c r="M31" s="158">
        <f t="shared" si="5"/>
        <v>17.5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5"/>
      <c r="K32" s="157"/>
      <c r="L32" s="157"/>
      <c r="M32" s="159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8">
        <f t="shared" ref="M33" si="6">SUM(L33)+2.2</f>
        <v>6.7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8">
        <f t="shared" ref="M35" si="7">SUM(L35)+3.2</f>
        <v>10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9"/>
    </row>
    <row r="37" spans="1:14" s="1" customFormat="1" ht="14.1" customHeight="1" x14ac:dyDescent="0.3">
      <c r="A37" s="148">
        <v>18</v>
      </c>
      <c r="B37" s="65" t="s">
        <v>297</v>
      </c>
      <c r="C37" s="66"/>
      <c r="D37" s="62"/>
      <c r="E37" s="63"/>
      <c r="F37" s="63"/>
      <c r="G37" s="64"/>
      <c r="H37" s="54">
        <f>SUM(I37)-0.5</f>
        <v>10</v>
      </c>
      <c r="I37" s="54">
        <f>SUM(J37)-0.5</f>
        <v>10.5</v>
      </c>
      <c r="J37" s="55">
        <v>11</v>
      </c>
      <c r="K37" s="54">
        <f>SUM(J37)+0.5</f>
        <v>11.5</v>
      </c>
      <c r="L37" s="54">
        <f>SUM(K37)+0.5</f>
        <v>12</v>
      </c>
      <c r="M37" s="56">
        <f>SUM(L37)+0.5</f>
        <v>12.5</v>
      </c>
    </row>
    <row r="38" spans="1:14" s="1" customFormat="1" ht="14.1" customHeight="1" x14ac:dyDescent="0.3">
      <c r="A38" s="150"/>
      <c r="B38" s="70" t="s">
        <v>296</v>
      </c>
      <c r="C38" s="71"/>
      <c r="D38" s="151"/>
      <c r="E38" s="152"/>
      <c r="F38" s="152"/>
      <c r="G38" s="153"/>
      <c r="H38" s="40"/>
      <c r="I38" s="40"/>
      <c r="J38" s="42"/>
      <c r="K38" s="40"/>
      <c r="L38" s="40"/>
      <c r="M38" s="44"/>
    </row>
    <row r="39" spans="1:14" s="1" customFormat="1" ht="14.1" customHeight="1" x14ac:dyDescent="0.3">
      <c r="A39" s="148">
        <v>19</v>
      </c>
      <c r="B39" s="65" t="s">
        <v>110</v>
      </c>
      <c r="C39" s="66"/>
      <c r="D39" s="62"/>
      <c r="E39" s="63"/>
      <c r="F39" s="63"/>
      <c r="G39" s="64"/>
      <c r="H39" s="54">
        <f>SUM(I39)-0.5</f>
        <v>10.5</v>
      </c>
      <c r="I39" s="54">
        <f>SUM(J39)-0.5</f>
        <v>11</v>
      </c>
      <c r="J39" s="55">
        <v>11.5</v>
      </c>
      <c r="K39" s="54">
        <f>SUM(J39)+0.5</f>
        <v>12</v>
      </c>
      <c r="L39" s="54">
        <f>SUM(K39)+0.5</f>
        <v>12.5</v>
      </c>
      <c r="M39" s="56">
        <f>SUM(L39)+0.5</f>
        <v>13</v>
      </c>
    </row>
    <row r="40" spans="1:14" s="1" customFormat="1" ht="14.1" customHeight="1" x14ac:dyDescent="0.3">
      <c r="A40" s="150"/>
      <c r="B40" s="57" t="s">
        <v>109</v>
      </c>
      <c r="C40" s="58"/>
      <c r="D40" s="151"/>
      <c r="E40" s="152"/>
      <c r="F40" s="152"/>
      <c r="G40" s="153"/>
      <c r="H40" s="40"/>
      <c r="I40" s="40"/>
      <c r="J40" s="42"/>
      <c r="K40" s="40"/>
      <c r="L40" s="40"/>
      <c r="M40" s="44"/>
    </row>
    <row r="41" spans="1:14" s="1" customFormat="1" ht="14.1" customHeight="1" x14ac:dyDescent="0.3">
      <c r="A41" s="148">
        <v>20</v>
      </c>
      <c r="B41" s="65" t="s">
        <v>108</v>
      </c>
      <c r="C41" s="66"/>
      <c r="D41" s="61"/>
      <c r="E41" s="61"/>
      <c r="F41" s="61"/>
      <c r="G41" s="61"/>
      <c r="H41" s="54">
        <f>SUM(I41)-0.5</f>
        <v>10</v>
      </c>
      <c r="I41" s="54">
        <f>SUM(J41)-0.5</f>
        <v>10.5</v>
      </c>
      <c r="J41" s="55">
        <v>11</v>
      </c>
      <c r="K41" s="54">
        <f>SUM(J41)+0.5</f>
        <v>11.5</v>
      </c>
      <c r="L41" s="54">
        <f>SUM(K41)+0.5</f>
        <v>12</v>
      </c>
      <c r="M41" s="56">
        <f>SUM(L41)+0.5</f>
        <v>12.5</v>
      </c>
    </row>
    <row r="42" spans="1:14" s="1" customFormat="1" ht="14.1" customHeight="1" x14ac:dyDescent="0.3">
      <c r="A42" s="150"/>
      <c r="B42" s="105" t="s">
        <v>107</v>
      </c>
      <c r="C42" s="105"/>
      <c r="D42" s="51"/>
      <c r="E42" s="52"/>
      <c r="F42" s="52"/>
      <c r="G42" s="53"/>
      <c r="H42" s="40"/>
      <c r="I42" s="40"/>
      <c r="J42" s="42"/>
      <c r="K42" s="40"/>
      <c r="L42" s="40"/>
      <c r="M42" s="44"/>
    </row>
    <row r="43" spans="1:14" s="1" customFormat="1" ht="14.1" customHeight="1" x14ac:dyDescent="0.3">
      <c r="A43" s="148">
        <v>21</v>
      </c>
      <c r="B43" s="65" t="s">
        <v>298</v>
      </c>
      <c r="C43" s="66"/>
      <c r="D43" s="61"/>
      <c r="E43" s="61"/>
      <c r="F43" s="61"/>
      <c r="G43" s="61"/>
      <c r="H43" s="54">
        <f>SUM(I43)-3</f>
        <v>77</v>
      </c>
      <c r="I43" s="54">
        <f>SUM(J43)-3</f>
        <v>80</v>
      </c>
      <c r="J43" s="55">
        <v>83</v>
      </c>
      <c r="K43" s="54">
        <f>SUM(J43)+3</f>
        <v>86</v>
      </c>
      <c r="L43" s="54">
        <f>SUM(K43)+3</f>
        <v>89</v>
      </c>
      <c r="M43" s="56">
        <f>SUM(L43)+3</f>
        <v>92</v>
      </c>
    </row>
    <row r="44" spans="1:14" s="1" customFormat="1" ht="14.1" customHeight="1" x14ac:dyDescent="0.3">
      <c r="A44" s="150"/>
      <c r="B44" s="105" t="s">
        <v>299</v>
      </c>
      <c r="C44" s="105"/>
      <c r="D44" s="51" t="s">
        <v>180</v>
      </c>
      <c r="E44" s="52"/>
      <c r="F44" s="52"/>
      <c r="G44" s="53"/>
      <c r="H44" s="40"/>
      <c r="I44" s="40"/>
      <c r="J44" s="42"/>
      <c r="K44" s="40"/>
      <c r="L44" s="40"/>
      <c r="M44" s="44"/>
    </row>
    <row r="45" spans="1:14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6"/>
      <c r="N45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147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5:A46"/>
    <mergeCell ref="B45:C45"/>
    <mergeCell ref="D45:G45"/>
    <mergeCell ref="H45:H46"/>
    <mergeCell ref="I45:I46"/>
    <mergeCell ref="A41:A42"/>
    <mergeCell ref="B41:C41"/>
    <mergeCell ref="D41:G41"/>
    <mergeCell ref="H41:H42"/>
    <mergeCell ref="I41:I42"/>
    <mergeCell ref="A43:A44"/>
    <mergeCell ref="J45:J46"/>
    <mergeCell ref="K45:K46"/>
    <mergeCell ref="L45:L46"/>
    <mergeCell ref="M45:M46"/>
    <mergeCell ref="B46:C46"/>
    <mergeCell ref="D46:G46"/>
    <mergeCell ref="K41:K42"/>
    <mergeCell ref="L41:L42"/>
    <mergeCell ref="M41:M42"/>
    <mergeCell ref="B42:C42"/>
    <mergeCell ref="D42:G42"/>
    <mergeCell ref="J41:J42"/>
    <mergeCell ref="K43:K44"/>
    <mergeCell ref="L43:L44"/>
    <mergeCell ref="M43:M44"/>
    <mergeCell ref="B44:C44"/>
    <mergeCell ref="D44:G44"/>
    <mergeCell ref="B43:C43"/>
    <mergeCell ref="D43:G43"/>
    <mergeCell ref="H43:H44"/>
    <mergeCell ref="I43:I44"/>
    <mergeCell ref="J43:J4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ED8A-521B-479D-8F5E-656F86617C1E}">
  <sheetPr codeName="Sheet21">
    <tabColor rgb="FFFF0000"/>
    <pageSetUpPr fitToPage="1"/>
  </sheetPr>
  <dimension ref="A1:N51"/>
  <sheetViews>
    <sheetView zoomScale="110" zoomScaleNormal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170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68</v>
      </c>
      <c r="I11" s="54">
        <f>SUM(J11)-3.5</f>
        <v>71.5</v>
      </c>
      <c r="J11" s="82">
        <v>75</v>
      </c>
      <c r="K11" s="54">
        <f>SUM(J11)+3.5</f>
        <v>78.5</v>
      </c>
      <c r="L11" s="54">
        <f t="shared" ref="L11:N11" si="0">SUM(K11)+3.5</f>
        <v>82</v>
      </c>
      <c r="M11" s="54">
        <f t="shared" si="0"/>
        <v>85.5</v>
      </c>
      <c r="N11" s="56">
        <f t="shared" si="0"/>
        <v>89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73.7</v>
      </c>
      <c r="I13" s="54">
        <f>SUM(J13)-4</f>
        <v>77.7</v>
      </c>
      <c r="J13" s="55">
        <v>81.7</v>
      </c>
      <c r="K13" s="54">
        <f>SUM(J13)+4</f>
        <v>85.7</v>
      </c>
      <c r="L13" s="54">
        <f t="shared" ref="L13:N13" si="1">SUM(K13)+4</f>
        <v>89.7</v>
      </c>
      <c r="M13" s="54">
        <f t="shared" si="1"/>
        <v>93.7</v>
      </c>
      <c r="N13" s="56">
        <f t="shared" si="1"/>
        <v>97.7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14.100000000000001</v>
      </c>
      <c r="I15" s="54">
        <f>SUM(J15)-0.7</f>
        <v>14.8</v>
      </c>
      <c r="J15" s="55">
        <v>15.5</v>
      </c>
      <c r="K15" s="54">
        <f>SUM(J15)+1.2</f>
        <v>16.7</v>
      </c>
      <c r="L15" s="54">
        <f>SUM(K15)+0.7</f>
        <v>17.399999999999999</v>
      </c>
      <c r="M15" s="54">
        <f t="shared" ref="M15:N15" si="2">SUM(L15)+0.7</f>
        <v>18.099999999999998</v>
      </c>
      <c r="N15" s="56">
        <f t="shared" si="2"/>
        <v>18.799999999999997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81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80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60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61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SUM(I21)-6</f>
        <v>56.5</v>
      </c>
      <c r="I21" s="54">
        <f>SUM(J21)-6</f>
        <v>62.5</v>
      </c>
      <c r="J21" s="55">
        <v>68.5</v>
      </c>
      <c r="K21" s="54">
        <f>SUM(J21)+7</f>
        <v>75.5</v>
      </c>
      <c r="L21" s="54">
        <f t="shared" ref="L21:N21" si="3">SUM(K21)+7</f>
        <v>82.5</v>
      </c>
      <c r="M21" s="54">
        <f t="shared" si="3"/>
        <v>89.5</v>
      </c>
      <c r="N21" s="56">
        <f t="shared" si="3"/>
        <v>96.5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44.599999999999994</v>
      </c>
      <c r="I23" s="54">
        <f>SUM(J23)-2.2</f>
        <v>46.8</v>
      </c>
      <c r="J23" s="55">
        <v>49</v>
      </c>
      <c r="K23" s="54">
        <f>SUM(J23)+2.2</f>
        <v>51.2</v>
      </c>
      <c r="L23" s="54">
        <f t="shared" ref="L23:N23" si="4">SUM(K23)+2.2</f>
        <v>53.400000000000006</v>
      </c>
      <c r="M23" s="54">
        <f t="shared" si="4"/>
        <v>55.600000000000009</v>
      </c>
      <c r="N23" s="56">
        <f t="shared" si="4"/>
        <v>57.800000000000011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22.4</v>
      </c>
      <c r="I25" s="54">
        <f>SUM(J25)-1.1</f>
        <v>23.5</v>
      </c>
      <c r="J25" s="55">
        <v>24.6</v>
      </c>
      <c r="K25" s="54">
        <f>SUM(J25)+1.6</f>
        <v>26.200000000000003</v>
      </c>
      <c r="L25" s="54">
        <f>SUM(K25)+1.1</f>
        <v>27.300000000000004</v>
      </c>
      <c r="M25" s="60">
        <f>SUM(L25)+1.1</f>
        <v>28.400000000000006</v>
      </c>
      <c r="N25" s="181">
        <f>SUM(M25)+1.1</f>
        <v>29.500000000000007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30.8</v>
      </c>
      <c r="I27" s="54">
        <f>SUM(J27)-1.3</f>
        <v>32.1</v>
      </c>
      <c r="J27" s="55">
        <v>33.4</v>
      </c>
      <c r="K27" s="54">
        <f>SUM(J27)+1.8</f>
        <v>35.199999999999996</v>
      </c>
      <c r="L27" s="54">
        <f>SUM(K27)+1.3</f>
        <v>36.499999999999993</v>
      </c>
      <c r="M27" s="60">
        <f>SUM(L27)+1.3</f>
        <v>37.79999999999999</v>
      </c>
      <c r="N27" s="181">
        <f>SUM(M27)+1.4</f>
        <v>39.199999999999989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>
        <f>SUM(I29)-2.6</f>
        <v>47.8</v>
      </c>
      <c r="I29" s="54">
        <f>SUM(J29)-2.6</f>
        <v>50.4</v>
      </c>
      <c r="J29" s="55">
        <v>53</v>
      </c>
      <c r="K29" s="54">
        <f>SUM(J29)+2.6</f>
        <v>55.6</v>
      </c>
      <c r="L29" s="54">
        <f t="shared" ref="L29:N29" si="5">SUM(K29)+2.6</f>
        <v>58.2</v>
      </c>
      <c r="M29" s="54">
        <f t="shared" si="5"/>
        <v>60.800000000000004</v>
      </c>
      <c r="N29" s="56">
        <f t="shared" si="5"/>
        <v>63.400000000000006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44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SUM(I31)-5</f>
        <v>35.299999999999997</v>
      </c>
      <c r="I31" s="54">
        <f>SUM(J31)-5</f>
        <v>40.299999999999997</v>
      </c>
      <c r="J31" s="55">
        <v>45.3</v>
      </c>
      <c r="K31" s="54">
        <f>SUM(J31)+5.5</f>
        <v>50.8</v>
      </c>
      <c r="L31" s="54">
        <f t="shared" ref="L31:N31" si="6">SUM(K31)+6</f>
        <v>56.8</v>
      </c>
      <c r="M31" s="54">
        <f t="shared" si="6"/>
        <v>62.8</v>
      </c>
      <c r="N31" s="56">
        <f t="shared" si="6"/>
        <v>68.8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44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>
        <f>SUM(I33)-2.2</f>
        <v>45.599999999999994</v>
      </c>
      <c r="I33" s="54">
        <f>SUM(J33)-2.2</f>
        <v>47.8</v>
      </c>
      <c r="J33" s="55">
        <v>50</v>
      </c>
      <c r="K33" s="54">
        <f>SUM(J33)+2.3</f>
        <v>52.3</v>
      </c>
      <c r="L33" s="54">
        <f>SUM(K33)+2.2</f>
        <v>54.5</v>
      </c>
      <c r="M33" s="54">
        <f t="shared" ref="M33:N33" si="7">SUM(L33)+2.2</f>
        <v>56.7</v>
      </c>
      <c r="N33" s="56">
        <f t="shared" si="7"/>
        <v>58.900000000000006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44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>
        <f>SUM(I35)-2.9</f>
        <v>34.400000000000006</v>
      </c>
      <c r="I35" s="54">
        <f>SUM(J35)-2.9</f>
        <v>37.300000000000004</v>
      </c>
      <c r="J35" s="55">
        <v>40.200000000000003</v>
      </c>
      <c r="K35" s="54">
        <f>SUM(J35)+3.6</f>
        <v>43.800000000000004</v>
      </c>
      <c r="L35" s="54">
        <f>SUM(K35)+3.2</f>
        <v>47.000000000000007</v>
      </c>
      <c r="M35" s="54">
        <f t="shared" ref="M35:N35" si="8">SUM(L35)+3.2</f>
        <v>50.20000000000001</v>
      </c>
      <c r="N35" s="56">
        <f t="shared" si="8"/>
        <v>53.400000000000013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44"/>
    </row>
    <row r="37" spans="1:14" s="1" customFormat="1" ht="14.1" customHeight="1" x14ac:dyDescent="0.3">
      <c r="A37" s="148">
        <v>18</v>
      </c>
      <c r="B37" s="65" t="s">
        <v>112</v>
      </c>
      <c r="C37" s="66"/>
      <c r="D37" s="62" t="s">
        <v>23</v>
      </c>
      <c r="E37" s="63"/>
      <c r="F37" s="63"/>
      <c r="G37" s="64"/>
      <c r="H37" s="54">
        <f>SUM(I37)-0.5</f>
        <v>11</v>
      </c>
      <c r="I37" s="54">
        <f>SUM(J37)-0.5</f>
        <v>11.5</v>
      </c>
      <c r="J37" s="55">
        <v>12</v>
      </c>
      <c r="K37" s="54">
        <f>SUM(J37)+0.5</f>
        <v>12.5</v>
      </c>
      <c r="L37" s="54">
        <f t="shared" ref="L37:N37" si="9">SUM(K37)+0.5</f>
        <v>13</v>
      </c>
      <c r="M37" s="54">
        <f t="shared" si="9"/>
        <v>13.5</v>
      </c>
      <c r="N37" s="56">
        <f t="shared" si="9"/>
        <v>14</v>
      </c>
    </row>
    <row r="38" spans="1:14" s="1" customFormat="1" ht="14.1" customHeight="1" x14ac:dyDescent="0.3">
      <c r="A38" s="150"/>
      <c r="B38" s="70" t="s">
        <v>52</v>
      </c>
      <c r="C38" s="71"/>
      <c r="D38" s="151" t="s">
        <v>111</v>
      </c>
      <c r="E38" s="152"/>
      <c r="F38" s="152"/>
      <c r="G38" s="153"/>
      <c r="H38" s="40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148">
        <v>19</v>
      </c>
      <c r="B39" s="65" t="s">
        <v>110</v>
      </c>
      <c r="C39" s="66"/>
      <c r="D39" s="61"/>
      <c r="E39" s="61"/>
      <c r="F39" s="61"/>
      <c r="G39" s="61"/>
      <c r="H39" s="54">
        <f>SUM(I39)-0.5</f>
        <v>11</v>
      </c>
      <c r="I39" s="54">
        <f>SUM(J39)-0.5</f>
        <v>11.5</v>
      </c>
      <c r="J39" s="55">
        <v>12</v>
      </c>
      <c r="K39" s="54">
        <f>SUM(J39)+0.5</f>
        <v>12.5</v>
      </c>
      <c r="L39" s="54">
        <f>SUM(K39)+0.5</f>
        <v>13</v>
      </c>
      <c r="M39" s="54">
        <f>SUM(L39)+0.5</f>
        <v>13.5</v>
      </c>
      <c r="N39" s="181">
        <f>SUM(M39)+0.5</f>
        <v>14</v>
      </c>
    </row>
    <row r="40" spans="1:14" s="1" customFormat="1" ht="14.1" customHeight="1" x14ac:dyDescent="0.3">
      <c r="A40" s="150"/>
      <c r="B40" s="57" t="s">
        <v>109</v>
      </c>
      <c r="C40" s="58"/>
      <c r="D40" s="46"/>
      <c r="E40" s="47"/>
      <c r="F40" s="47"/>
      <c r="G40" s="59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 t="s">
        <v>108</v>
      </c>
      <c r="C41" s="66"/>
      <c r="D41" s="61"/>
      <c r="E41" s="61"/>
      <c r="F41" s="61"/>
      <c r="G41" s="61"/>
      <c r="H41" s="54">
        <f>SUM(I41)-0.5</f>
        <v>11.5</v>
      </c>
      <c r="I41" s="54">
        <f>SUM(J41)-0.5</f>
        <v>12</v>
      </c>
      <c r="J41" s="55">
        <v>12.5</v>
      </c>
      <c r="K41" s="54">
        <f>SUM(J41)+0.5</f>
        <v>13</v>
      </c>
      <c r="L41" s="54">
        <f>SUM(K41)+0.5</f>
        <v>13.5</v>
      </c>
      <c r="M41" s="54">
        <f>SUM(L41)+0.5</f>
        <v>14</v>
      </c>
      <c r="N41" s="181">
        <f>SUM(M41)+0.5</f>
        <v>14.5</v>
      </c>
    </row>
    <row r="42" spans="1:14" s="1" customFormat="1" ht="14.1" customHeight="1" x14ac:dyDescent="0.3">
      <c r="A42" s="150"/>
      <c r="B42" s="105" t="s">
        <v>107</v>
      </c>
      <c r="C42" s="105"/>
      <c r="D42" s="51"/>
      <c r="E42" s="52"/>
      <c r="F42" s="52"/>
      <c r="G42" s="53"/>
      <c r="H42" s="81"/>
      <c r="I42" s="81"/>
      <c r="J42" s="82"/>
      <c r="K42" s="81"/>
      <c r="L42" s="81"/>
      <c r="M42" s="81"/>
      <c r="N42" s="182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81"/>
    </row>
    <row r="44" spans="1:14" s="1" customFormat="1" ht="14.1" customHeight="1" thickBot="1" x14ac:dyDescent="0.35">
      <c r="A44" s="149"/>
      <c r="B44" s="141"/>
      <c r="C44" s="141"/>
      <c r="D44" s="98"/>
      <c r="E44" s="99"/>
      <c r="F44" s="99"/>
      <c r="G44" s="100"/>
      <c r="H44" s="91"/>
      <c r="I44" s="91"/>
      <c r="J44" s="107"/>
      <c r="K44" s="91"/>
      <c r="L44" s="91"/>
      <c r="M44" s="91"/>
      <c r="N44" s="183"/>
    </row>
    <row r="45" spans="1:14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55"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3A82-14BE-4B5F-BA51-CB542716440E}">
  <sheetPr codeName="Sheet22">
    <tabColor rgb="FFFF0000"/>
    <pageSetUpPr fitToPage="1"/>
  </sheetPr>
  <dimension ref="A1:N51"/>
  <sheetViews>
    <sheetView zoomScale="110" zoomScaleNormal="110" workbookViewId="0">
      <selection activeCell="I21" sqref="I21:I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242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64.3</v>
      </c>
      <c r="I11" s="54">
        <f>SUM(J11)-4.5</f>
        <v>68.8</v>
      </c>
      <c r="J11" s="82">
        <v>73.3</v>
      </c>
      <c r="K11" s="54">
        <f>SUM(J11)+4.5</f>
        <v>77.8</v>
      </c>
      <c r="L11" s="54">
        <f t="shared" ref="L11:M11" si="0">SUM(K11)+4.5</f>
        <v>82.3</v>
      </c>
      <c r="M11" s="56">
        <f t="shared" si="0"/>
        <v>86.8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69.599999999999994</v>
      </c>
      <c r="I13" s="54">
        <f>SUM(J13)-5</f>
        <v>74.599999999999994</v>
      </c>
      <c r="J13" s="55">
        <v>79.599999999999994</v>
      </c>
      <c r="K13" s="54">
        <f>SUM(J13)+5</f>
        <v>84.6</v>
      </c>
      <c r="L13" s="54">
        <f t="shared" ref="L13:M13" si="1">SUM(K13)+5</f>
        <v>89.6</v>
      </c>
      <c r="M13" s="56">
        <f t="shared" si="1"/>
        <v>94.6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11.100000000000001</v>
      </c>
      <c r="I15" s="54">
        <f>SUM(J15)-0.7</f>
        <v>11.8</v>
      </c>
      <c r="J15" s="55">
        <v>12.5</v>
      </c>
      <c r="K15" s="54">
        <f>SUM(J15)+1.2</f>
        <v>13.7</v>
      </c>
      <c r="L15" s="54">
        <f>SUM(K15)+0.7</f>
        <v>14.399999999999999</v>
      </c>
      <c r="M15" s="56">
        <f t="shared" ref="M15" si="2">SUM(L15)+0.7</f>
        <v>15.099999999999998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23.5</v>
      </c>
      <c r="I21" s="54">
        <f>SUM(J21)-2.5</f>
        <v>26</v>
      </c>
      <c r="J21" s="55">
        <v>28.5</v>
      </c>
      <c r="K21" s="54">
        <f>SUM(J21)+2</f>
        <v>30.5</v>
      </c>
      <c r="L21" s="54">
        <f t="shared" ref="L21:M21" si="3">SUM(K21)+2</f>
        <v>32.5</v>
      </c>
      <c r="M21" s="56">
        <f t="shared" si="3"/>
        <v>34.5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45.999999999999993</v>
      </c>
      <c r="I23" s="54">
        <f>SUM(J23)-2.2</f>
        <v>48.199999999999996</v>
      </c>
      <c r="J23" s="55">
        <v>50.4</v>
      </c>
      <c r="K23" s="54">
        <f>SUM(J23)+2.2</f>
        <v>52.6</v>
      </c>
      <c r="L23" s="54">
        <f t="shared" ref="L23:M23" si="4">SUM(K23)+2.2</f>
        <v>54.800000000000004</v>
      </c>
      <c r="M23" s="56">
        <f t="shared" si="4"/>
        <v>57.000000000000007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21.199999999999996</v>
      </c>
      <c r="I25" s="54">
        <f>SUM(J25)-1.1</f>
        <v>22.299999999999997</v>
      </c>
      <c r="J25" s="55">
        <v>23.4</v>
      </c>
      <c r="K25" s="54">
        <f>SUM(J25)+1.6</f>
        <v>25</v>
      </c>
      <c r="L25" s="54">
        <f>SUM(K25)+1.1</f>
        <v>26.1</v>
      </c>
      <c r="M25" s="160">
        <f>SUM(L25)+1.1</f>
        <v>27.200000000000003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28.299999999999997</v>
      </c>
      <c r="I27" s="54">
        <f>SUM(J27)-1.3</f>
        <v>29.599999999999998</v>
      </c>
      <c r="J27" s="55">
        <v>30.9</v>
      </c>
      <c r="K27" s="54">
        <f>SUM(J27)+1.8</f>
        <v>32.699999999999996</v>
      </c>
      <c r="L27" s="54">
        <f>SUM(K27)+1.3</f>
        <v>33.999999999999993</v>
      </c>
      <c r="M27" s="160">
        <f>SUM(L27)+1.3</f>
        <v>35.29999999999999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M29" si="5">SUM(K29)+2.6</f>
        <v>5.2</v>
      </c>
      <c r="M29" s="158">
        <f t="shared" si="5"/>
        <v>7.8000000000000007</v>
      </c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9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-10</v>
      </c>
      <c r="I31" s="156">
        <f>SUM(J31)-5</f>
        <v>-5</v>
      </c>
      <c r="J31" s="154"/>
      <c r="K31" s="156">
        <f>SUM(J31)+5.5</f>
        <v>5.5</v>
      </c>
      <c r="L31" s="156">
        <f t="shared" ref="L31:M31" si="6">SUM(K31)+6</f>
        <v>11.5</v>
      </c>
      <c r="M31" s="158">
        <f t="shared" si="6"/>
        <v>17.5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5"/>
      <c r="K32" s="157"/>
      <c r="L32" s="157"/>
      <c r="M32" s="159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8">
        <f t="shared" ref="M33" si="7">SUM(L33)+2.2</f>
        <v>6.7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8">
        <f t="shared" ref="M35" si="8">SUM(L35)+3.2</f>
        <v>10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9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4.5999999999999996</v>
      </c>
      <c r="I37" s="54">
        <f>SUM(J37)-0.2</f>
        <v>4.8</v>
      </c>
      <c r="J37" s="55">
        <v>5</v>
      </c>
      <c r="K37" s="54">
        <f>SUM(J37)+0.2</f>
        <v>5.2</v>
      </c>
      <c r="L37" s="54">
        <f t="shared" ref="L37:M37" si="9">SUM(K37)+0.2</f>
        <v>5.4</v>
      </c>
      <c r="M37" s="56">
        <f t="shared" si="9"/>
        <v>5.6000000000000005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2"/>
      <c r="K38" s="40"/>
      <c r="L38" s="40"/>
      <c r="M38" s="4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</v>
      </c>
      <c r="I39" s="54">
        <f>SUM(J39)-0.6</f>
        <v>9.6</v>
      </c>
      <c r="J39" s="55">
        <v>10.199999999999999</v>
      </c>
      <c r="K39" s="54">
        <f>SUM(J39)+0.6</f>
        <v>10.799999999999999</v>
      </c>
      <c r="L39" s="54">
        <f t="shared" ref="L39:M39" si="10">SUM(K39)+0.6</f>
        <v>11.399999999999999</v>
      </c>
      <c r="M39" s="56">
        <f t="shared" si="10"/>
        <v>11.999999999999998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4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6"/>
    </row>
    <row r="42" spans="1:14" s="1" customFormat="1" ht="14.1" customHeight="1" x14ac:dyDescent="0.3">
      <c r="A42" s="150"/>
      <c r="B42" s="105"/>
      <c r="C42" s="105"/>
      <c r="D42" s="51"/>
      <c r="E42" s="52"/>
      <c r="F42" s="52"/>
      <c r="G42" s="53"/>
      <c r="H42" s="81"/>
      <c r="I42" s="81"/>
      <c r="J42" s="82"/>
      <c r="K42" s="81"/>
      <c r="L42" s="81"/>
      <c r="M42" s="83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6"/>
    </row>
    <row r="44" spans="1:14" s="1" customFormat="1" ht="14.1" customHeight="1" thickBot="1" x14ac:dyDescent="0.35">
      <c r="A44" s="149"/>
      <c r="B44" s="141"/>
      <c r="C44" s="141"/>
      <c r="D44" s="98"/>
      <c r="E44" s="99"/>
      <c r="F44" s="99"/>
      <c r="G44" s="100"/>
      <c r="H44" s="91"/>
      <c r="I44" s="91"/>
      <c r="J44" s="107"/>
      <c r="K44" s="91"/>
      <c r="L44" s="91"/>
      <c r="M44" s="147"/>
    </row>
    <row r="45" spans="1:14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CB12-A9A8-4465-B06E-808C484E6C3B}">
  <sheetPr codeName="Sheet23">
    <tabColor rgb="FFFF0000"/>
    <pageSetUpPr fitToPage="1"/>
  </sheetPr>
  <dimension ref="A1:M51"/>
  <sheetViews>
    <sheetView zoomScale="110" zoomScaleNormal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238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68</v>
      </c>
      <c r="I11" s="54">
        <f>SUM(J11)-4.5</f>
        <v>72.5</v>
      </c>
      <c r="J11" s="82">
        <v>77</v>
      </c>
      <c r="K11" s="54">
        <f>SUM(J11)+4.5</f>
        <v>81.5</v>
      </c>
      <c r="L11" s="54">
        <f>SUM(K11)+4.5</f>
        <v>86</v>
      </c>
      <c r="M11" s="56">
        <f>SUM(L11)+4.5</f>
        <v>90.5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71.099999999999994</v>
      </c>
      <c r="I13" s="54">
        <f>SUM(J13)-5</f>
        <v>76.099999999999994</v>
      </c>
      <c r="J13" s="55">
        <v>81.099999999999994</v>
      </c>
      <c r="K13" s="54">
        <f>SUM(J13)+5</f>
        <v>86.1</v>
      </c>
      <c r="L13" s="54">
        <f>SUM(K13)+5</f>
        <v>91.1</v>
      </c>
      <c r="M13" s="56">
        <f>SUM(L13)+5</f>
        <v>96.1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12.600000000000001</v>
      </c>
      <c r="I15" s="54">
        <f>SUM(J15)-0.7</f>
        <v>13.3</v>
      </c>
      <c r="J15" s="55">
        <v>14</v>
      </c>
      <c r="K15" s="54">
        <f>SUM(J15)+1.2</f>
        <v>15.2</v>
      </c>
      <c r="L15" s="54">
        <f>SUM(K15)+0.7</f>
        <v>15.899999999999999</v>
      </c>
      <c r="M15" s="56">
        <f t="shared" ref="M15" si="0">SUM(L15)+0.7</f>
        <v>16.599999999999998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27</v>
      </c>
      <c r="I21" s="54">
        <f>SUM(J21)-2.5</f>
        <v>29.5</v>
      </c>
      <c r="J21" s="55">
        <v>32</v>
      </c>
      <c r="K21" s="54">
        <f>SUM(J21)+2</f>
        <v>34</v>
      </c>
      <c r="L21" s="54">
        <f>SUM(K21)+2</f>
        <v>36</v>
      </c>
      <c r="M21" s="56">
        <f>SUM(L21)+2</f>
        <v>38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42.099999999999994</v>
      </c>
      <c r="I23" s="54">
        <f>SUM(J23)-2.2</f>
        <v>44.3</v>
      </c>
      <c r="J23" s="55">
        <v>46.5</v>
      </c>
      <c r="K23" s="54">
        <f>SUM(J23)+2.2</f>
        <v>48.7</v>
      </c>
      <c r="L23" s="54">
        <f t="shared" ref="L23:M23" si="1">SUM(K23)+2.2</f>
        <v>50.900000000000006</v>
      </c>
      <c r="M23" s="56">
        <f t="shared" si="1"/>
        <v>53.100000000000009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21.799999999999997</v>
      </c>
      <c r="I25" s="54">
        <f>SUM(J25)-1.1</f>
        <v>22.9</v>
      </c>
      <c r="J25" s="55">
        <v>24</v>
      </c>
      <c r="K25" s="54">
        <f>SUM(J25)+1.6</f>
        <v>25.6</v>
      </c>
      <c r="L25" s="54">
        <f>SUM(K25)+1.1</f>
        <v>26.700000000000003</v>
      </c>
      <c r="M25" s="160">
        <f>SUM(L25)+1.1</f>
        <v>27.800000000000004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29</v>
      </c>
      <c r="I27" s="54">
        <f>SUM(J27)-1.3</f>
        <v>30.3</v>
      </c>
      <c r="J27" s="55">
        <v>31.6</v>
      </c>
      <c r="K27" s="54">
        <f>SUM(J27)+1.8</f>
        <v>33.4</v>
      </c>
      <c r="L27" s="54">
        <f>SUM(K27)+1.3</f>
        <v>34.699999999999996</v>
      </c>
      <c r="M27" s="160">
        <f>SUM(L27)+1.3</f>
        <v>35.999999999999993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6"/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4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SUM(I31)-1.5</f>
        <v>7.1999999999999993</v>
      </c>
      <c r="I31" s="54">
        <f>SUM(J31)-1.5</f>
        <v>8.6999999999999993</v>
      </c>
      <c r="J31" s="55">
        <v>10.199999999999999</v>
      </c>
      <c r="K31" s="54">
        <f>SUM(J31)+0.5</f>
        <v>10.7</v>
      </c>
      <c r="L31" s="54">
        <f>SUM(K31)+1</f>
        <v>11.7</v>
      </c>
      <c r="M31" s="56">
        <f>SUM(L31)+1</f>
        <v>12.7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4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6"/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4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6"/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5.0999999999999996</v>
      </c>
      <c r="I37" s="54">
        <f>SUM(J37)-0.2</f>
        <v>5.3</v>
      </c>
      <c r="J37" s="67">
        <v>5.5</v>
      </c>
      <c r="K37" s="68">
        <f>SUM(J37)+0.2</f>
        <v>5.7</v>
      </c>
      <c r="L37" s="68">
        <f>SUM(K37)+0.2</f>
        <v>5.9</v>
      </c>
      <c r="M37" s="69">
        <f>SUM(L37)+0.2</f>
        <v>6.1000000000000005</v>
      </c>
    </row>
    <row r="38" spans="1:13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9"/>
    </row>
    <row r="39" spans="1:13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9.3000000000000007</v>
      </c>
      <c r="I39" s="54">
        <f>SUM(J39)-0.6</f>
        <v>9.9</v>
      </c>
      <c r="J39" s="55">
        <v>10.5</v>
      </c>
      <c r="K39" s="54">
        <f>SUM(J39)+0.6</f>
        <v>11.1</v>
      </c>
      <c r="L39" s="54">
        <f>SUM(K39)+0.6</f>
        <v>11.7</v>
      </c>
      <c r="M39" s="56">
        <f>SUM(L39)+0.6</f>
        <v>12.299999999999999</v>
      </c>
    </row>
    <row r="40" spans="1:13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3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10</v>
      </c>
      <c r="I41" s="54">
        <f>SUM(J41)-0.5</f>
        <v>10.5</v>
      </c>
      <c r="J41" s="55">
        <v>11</v>
      </c>
      <c r="K41" s="54">
        <f>SUM(J41)+0.5</f>
        <v>11.5</v>
      </c>
      <c r="L41" s="54">
        <f>SUM(K41)+0.5</f>
        <v>12</v>
      </c>
      <c r="M41" s="56">
        <f>SUM(L41)+0.5</f>
        <v>12.5</v>
      </c>
    </row>
    <row r="42" spans="1:13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4"/>
    </row>
    <row r="43" spans="1:13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10.5</v>
      </c>
      <c r="I43" s="54">
        <f>SUM(J43)-0.5</f>
        <v>11</v>
      </c>
      <c r="J43" s="55">
        <v>11.5</v>
      </c>
      <c r="K43" s="54">
        <f>SUM(J43)+0.5</f>
        <v>12</v>
      </c>
      <c r="L43" s="54">
        <f>SUM(K43)+0.5</f>
        <v>12.5</v>
      </c>
      <c r="M43" s="56">
        <f>SUM(L43)+0.5</f>
        <v>13</v>
      </c>
    </row>
    <row r="44" spans="1:13" s="1" customFormat="1" ht="14.1" customHeight="1" x14ac:dyDescent="0.3">
      <c r="A44" s="150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3"/>
    </row>
    <row r="45" spans="1:13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6"/>
    </row>
    <row r="46" spans="1:13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147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B6:C6"/>
    <mergeCell ref="D6:G6"/>
    <mergeCell ref="K9:K10"/>
    <mergeCell ref="L9:L10"/>
    <mergeCell ref="M9:M10"/>
    <mergeCell ref="B4:C4"/>
    <mergeCell ref="D4:G4"/>
    <mergeCell ref="K7:K8"/>
    <mergeCell ref="L7:L8"/>
    <mergeCell ref="M7:M8"/>
    <mergeCell ref="B8:C8"/>
    <mergeCell ref="D8:G8"/>
    <mergeCell ref="J3:J4"/>
    <mergeCell ref="K3:K4"/>
    <mergeCell ref="J5:J6"/>
    <mergeCell ref="K5:K6"/>
    <mergeCell ref="L5:L6"/>
    <mergeCell ref="M5:M6"/>
    <mergeCell ref="L3:L4"/>
    <mergeCell ref="M3:M4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F389-28EC-46FE-B5FD-7A26EBB85601}">
  <sheetPr codeName="Sheet24">
    <tabColor rgb="FFFF0000"/>
    <pageSetUpPr fitToPage="1"/>
  </sheetPr>
  <dimension ref="A1:N51"/>
  <sheetViews>
    <sheetView zoomScale="110" zoomScaleNormal="110" workbookViewId="0">
      <selection activeCell="I21" sqref="I21:I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443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38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39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39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89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90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64.7</v>
      </c>
      <c r="I11" s="54">
        <f>SUM(J11)-4.5</f>
        <v>69.2</v>
      </c>
      <c r="J11" s="82">
        <v>73.7</v>
      </c>
      <c r="K11" s="54">
        <f>SUM(J11)+4.5</f>
        <v>78.2</v>
      </c>
      <c r="L11" s="54">
        <f t="shared" ref="L11:N11" si="0">SUM(K11)+4.5</f>
        <v>82.7</v>
      </c>
      <c r="M11" s="54">
        <f t="shared" si="0"/>
        <v>87.2</v>
      </c>
      <c r="N11" s="115">
        <f t="shared" si="0"/>
        <v>91.7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71.099999999999994</v>
      </c>
      <c r="I13" s="54">
        <f>SUM(J13)-5</f>
        <v>76.099999999999994</v>
      </c>
      <c r="J13" s="55">
        <v>81.099999999999994</v>
      </c>
      <c r="K13" s="54">
        <f>SUM(J13)+5</f>
        <v>86.1</v>
      </c>
      <c r="L13" s="54">
        <f t="shared" ref="L13:N13" si="1">SUM(K13)+5</f>
        <v>91.1</v>
      </c>
      <c r="M13" s="54">
        <f t="shared" si="1"/>
        <v>96.1</v>
      </c>
      <c r="N13" s="115">
        <f t="shared" si="1"/>
        <v>101.1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116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12.600000000000001</v>
      </c>
      <c r="I15" s="54">
        <f>SUM(J15)-0.7</f>
        <v>13.3</v>
      </c>
      <c r="J15" s="55">
        <v>14</v>
      </c>
      <c r="K15" s="54">
        <f>SUM(J15)+1.2</f>
        <v>15.2</v>
      </c>
      <c r="L15" s="54">
        <f>SUM(K15)+0.7</f>
        <v>15.899999999999999</v>
      </c>
      <c r="M15" s="54">
        <f t="shared" ref="M15:N15" si="2">SUM(L15)+0.7</f>
        <v>16.599999999999998</v>
      </c>
      <c r="N15" s="115">
        <f t="shared" si="2"/>
        <v>17.299999999999997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116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81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80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15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SUM(I21)-7</f>
        <v>50</v>
      </c>
      <c r="I21" s="54">
        <f>SUM(J21)-7</f>
        <v>57</v>
      </c>
      <c r="J21" s="55">
        <v>64</v>
      </c>
      <c r="K21" s="54">
        <f>SUM(J21)+6</f>
        <v>70</v>
      </c>
      <c r="L21" s="54">
        <f t="shared" ref="L21:N21" si="3">SUM(K21)+6</f>
        <v>76</v>
      </c>
      <c r="M21" s="54">
        <f t="shared" si="3"/>
        <v>82</v>
      </c>
      <c r="N21" s="115">
        <f t="shared" si="3"/>
        <v>88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16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46.7</v>
      </c>
      <c r="I23" s="54">
        <f>SUM(J23)-2.4</f>
        <v>49.1</v>
      </c>
      <c r="J23" s="55">
        <v>51.5</v>
      </c>
      <c r="K23" s="54">
        <f>SUM(J23)+2.4</f>
        <v>53.9</v>
      </c>
      <c r="L23" s="54">
        <f t="shared" ref="L23:N23" si="4">SUM(K23)+2.4</f>
        <v>56.3</v>
      </c>
      <c r="M23" s="54">
        <f t="shared" si="4"/>
        <v>58.699999999999996</v>
      </c>
      <c r="N23" s="115">
        <f t="shared" si="4"/>
        <v>61.099999999999994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16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21.999999999999996</v>
      </c>
      <c r="I25" s="54">
        <f>SUM(J25)-1.1</f>
        <v>23.099999999999998</v>
      </c>
      <c r="J25" s="55">
        <v>24.2</v>
      </c>
      <c r="K25" s="54">
        <f>SUM(J25)+1.6</f>
        <v>25.8</v>
      </c>
      <c r="L25" s="54">
        <f>SUM(K25)+1.1</f>
        <v>26.900000000000002</v>
      </c>
      <c r="M25" s="60">
        <f>SUM(L25)+1.1</f>
        <v>28.000000000000004</v>
      </c>
      <c r="N25" s="181">
        <f>SUM(M25)+1.1</f>
        <v>29.100000000000005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30.299999999999997</v>
      </c>
      <c r="I27" s="54">
        <f>SUM(J27)-1.3</f>
        <v>31.599999999999998</v>
      </c>
      <c r="J27" s="55">
        <v>32.9</v>
      </c>
      <c r="K27" s="54">
        <f>SUM(J27)+1.8</f>
        <v>34.699999999999996</v>
      </c>
      <c r="L27" s="54">
        <f>SUM(K27)+1.3</f>
        <v>35.999999999999993</v>
      </c>
      <c r="M27" s="60">
        <f>SUM(L27)+1.3</f>
        <v>37.29999999999999</v>
      </c>
      <c r="N27" s="181">
        <f>SUM(M27)+1.3</f>
        <v>38.599999999999987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>
        <f>SUM(I29)-3</f>
        <v>49</v>
      </c>
      <c r="I29" s="54">
        <f>SUM(J29)-3</f>
        <v>52</v>
      </c>
      <c r="J29" s="55">
        <v>55</v>
      </c>
      <c r="K29" s="54">
        <f>SUM(J29)+3</f>
        <v>58</v>
      </c>
      <c r="L29" s="54">
        <f t="shared" ref="L29" si="5">SUM(K29)+3</f>
        <v>61</v>
      </c>
      <c r="M29" s="54">
        <f>SUM(L29)+3.1</f>
        <v>64.099999999999994</v>
      </c>
      <c r="N29" s="56">
        <f>SUM(M29)+3.1</f>
        <v>67.199999999999989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44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SUM(I31)-6</f>
        <v>29.299999999999997</v>
      </c>
      <c r="I31" s="54">
        <f>SUM(J31)-6</f>
        <v>35.299999999999997</v>
      </c>
      <c r="J31" s="55">
        <v>41.3</v>
      </c>
      <c r="K31" s="54">
        <f>SUM(J31)+4.5</f>
        <v>45.8</v>
      </c>
      <c r="L31" s="54">
        <f>SUM(K31)+5</f>
        <v>50.8</v>
      </c>
      <c r="M31" s="54">
        <f>SUM(L31)+5</f>
        <v>55.8</v>
      </c>
      <c r="N31" s="115">
        <f>SUM(M31)+5</f>
        <v>60.8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>
        <f>SUM(I33)-2.5</f>
        <v>47.2</v>
      </c>
      <c r="I33" s="54">
        <f>SUM(J33)-2.5</f>
        <v>49.7</v>
      </c>
      <c r="J33" s="55">
        <v>52.2</v>
      </c>
      <c r="K33" s="54">
        <f>SUM(J33)+2.4</f>
        <v>54.6</v>
      </c>
      <c r="L33" s="54">
        <f t="shared" ref="L33:N33" si="6">SUM(K33)+2.4</f>
        <v>57</v>
      </c>
      <c r="M33" s="54">
        <f t="shared" si="6"/>
        <v>59.4</v>
      </c>
      <c r="N33" s="115">
        <f t="shared" si="6"/>
        <v>61.8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>
        <f>SUM(I35)-3.3</f>
        <v>32.200000000000003</v>
      </c>
      <c r="I35" s="54">
        <f>SUM(J35)-3.3</f>
        <v>35.5</v>
      </c>
      <c r="J35" s="55">
        <v>38.799999999999997</v>
      </c>
      <c r="K35" s="54">
        <f>SUM(J35)+3.2</f>
        <v>42</v>
      </c>
      <c r="L35" s="54">
        <f>SUM(K35)+3</f>
        <v>45</v>
      </c>
      <c r="M35" s="54">
        <f>SUM(L35)+2.9</f>
        <v>47.9</v>
      </c>
      <c r="N35" s="56">
        <f>SUM(M35)+2.9</f>
        <v>50.8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44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4.3</v>
      </c>
      <c r="I37" s="54">
        <f>SUM(J37)-0.2</f>
        <v>4.5</v>
      </c>
      <c r="J37" s="55">
        <v>4.7</v>
      </c>
      <c r="K37" s="54">
        <f>SUM(J37)+0.2</f>
        <v>4.9000000000000004</v>
      </c>
      <c r="L37" s="54">
        <f t="shared" ref="L37:N37" si="7">SUM(K37)+0.2</f>
        <v>5.1000000000000005</v>
      </c>
      <c r="M37" s="54">
        <f t="shared" si="7"/>
        <v>5.3000000000000007</v>
      </c>
      <c r="N37" s="115">
        <f t="shared" si="7"/>
        <v>5.5000000000000009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2"/>
      <c r="K38" s="40"/>
      <c r="L38" s="40"/>
      <c r="M38" s="40"/>
      <c r="N38" s="116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8.4</v>
      </c>
      <c r="I39" s="54">
        <f>SUM(J39)-0.6</f>
        <v>9</v>
      </c>
      <c r="J39" s="55">
        <v>9.6</v>
      </c>
      <c r="K39" s="54">
        <f>SUM(J39)+0.6</f>
        <v>10.199999999999999</v>
      </c>
      <c r="L39" s="54">
        <f t="shared" ref="L39:N39" si="8">SUM(K39)+0.6</f>
        <v>10.799999999999999</v>
      </c>
      <c r="M39" s="54">
        <f t="shared" si="8"/>
        <v>11.399999999999999</v>
      </c>
      <c r="N39" s="115">
        <f t="shared" si="8"/>
        <v>11.999999999999998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16"/>
    </row>
    <row r="41" spans="1:14" s="1" customFormat="1" ht="14.1" customHeight="1" x14ac:dyDescent="0.3">
      <c r="A41" s="148">
        <v>20</v>
      </c>
      <c r="B41" s="65" t="s">
        <v>444</v>
      </c>
      <c r="C41" s="66"/>
      <c r="D41" s="62"/>
      <c r="E41" s="63"/>
      <c r="F41" s="63"/>
      <c r="G41" s="64"/>
      <c r="H41" s="54">
        <f>SUM(I41)-0.3</f>
        <v>4.4000000000000004</v>
      </c>
      <c r="I41" s="54">
        <f>SUM(J41)-0.3</f>
        <v>4.7</v>
      </c>
      <c r="J41" s="67">
        <v>5</v>
      </c>
      <c r="K41" s="68">
        <f>SUM(J41)+0.3</f>
        <v>5.3</v>
      </c>
      <c r="L41" s="68">
        <f t="shared" ref="L41:N41" si="9">SUM(K41)+0.3</f>
        <v>5.6</v>
      </c>
      <c r="M41" s="68">
        <f t="shared" si="9"/>
        <v>5.8999999999999995</v>
      </c>
      <c r="N41" s="117">
        <f t="shared" si="9"/>
        <v>6.1999999999999993</v>
      </c>
    </row>
    <row r="42" spans="1:14" s="1" customFormat="1" ht="14.1" customHeight="1" x14ac:dyDescent="0.3">
      <c r="A42" s="150"/>
      <c r="B42" s="70" t="s">
        <v>445</v>
      </c>
      <c r="C42" s="71"/>
      <c r="D42" s="151" t="s">
        <v>413</v>
      </c>
      <c r="E42" s="152"/>
      <c r="F42" s="152"/>
      <c r="G42" s="153"/>
      <c r="H42" s="40"/>
      <c r="I42" s="40"/>
      <c r="J42" s="67"/>
      <c r="K42" s="68"/>
      <c r="L42" s="68"/>
      <c r="M42" s="68"/>
      <c r="N42" s="117"/>
    </row>
    <row r="43" spans="1:14" s="1" customFormat="1" ht="14.1" customHeight="1" x14ac:dyDescent="0.3">
      <c r="A43" s="148">
        <v>21</v>
      </c>
      <c r="B43" s="65" t="s">
        <v>446</v>
      </c>
      <c r="C43" s="66"/>
      <c r="D43" s="62"/>
      <c r="E43" s="63"/>
      <c r="F43" s="63"/>
      <c r="G43" s="64"/>
      <c r="H43" s="54">
        <f>SUM(I43)-0.2</f>
        <v>3.5999999999999996</v>
      </c>
      <c r="I43" s="54">
        <f>SUM(J43)-0.2</f>
        <v>3.8</v>
      </c>
      <c r="J43" s="67">
        <v>4</v>
      </c>
      <c r="K43" s="68">
        <f>SUM(J43)+0.2</f>
        <v>4.2</v>
      </c>
      <c r="L43" s="68">
        <f t="shared" ref="L43:N43" si="10">SUM(K43)+0.2</f>
        <v>4.4000000000000004</v>
      </c>
      <c r="M43" s="68">
        <f t="shared" si="10"/>
        <v>4.6000000000000005</v>
      </c>
      <c r="N43" s="117">
        <f t="shared" si="10"/>
        <v>4.8000000000000007</v>
      </c>
    </row>
    <row r="44" spans="1:14" s="1" customFormat="1" ht="14.1" customHeight="1" thickBot="1" x14ac:dyDescent="0.35">
      <c r="A44" s="149"/>
      <c r="B44" s="184" t="s">
        <v>447</v>
      </c>
      <c r="C44" s="185"/>
      <c r="D44" s="186" t="s">
        <v>448</v>
      </c>
      <c r="E44" s="187"/>
      <c r="F44" s="187"/>
      <c r="G44" s="188"/>
      <c r="H44" s="91"/>
      <c r="I44" s="91"/>
      <c r="J44" s="92"/>
      <c r="K44" s="93"/>
      <c r="L44" s="93"/>
      <c r="M44" s="93"/>
      <c r="N44" s="118"/>
    </row>
    <row r="45" spans="1:14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5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5D8B-2D1D-49D7-BB03-FA04AB29DC3A}">
  <sheetPr codeName="Sheet25">
    <tabColor rgb="FFFF0000"/>
    <pageSetUpPr fitToPage="1"/>
  </sheetPr>
  <dimension ref="A1:N51"/>
  <sheetViews>
    <sheetView zoomScale="110" zoomScaleNormal="110" workbookViewId="0">
      <selection activeCell="N21" sqref="N21:N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497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43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68</v>
      </c>
      <c r="I11" s="54">
        <f>SUM(J11)-3.5</f>
        <v>71.5</v>
      </c>
      <c r="J11" s="82">
        <v>75</v>
      </c>
      <c r="K11" s="54">
        <f>SUM(J11)+3.5</f>
        <v>78.5</v>
      </c>
      <c r="L11" s="54">
        <f t="shared" ref="L11:N11" si="0">SUM(K11)+3.5</f>
        <v>82</v>
      </c>
      <c r="M11" s="54">
        <f t="shared" si="0"/>
        <v>85.5</v>
      </c>
      <c r="N11" s="56">
        <f t="shared" si="0"/>
        <v>89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71.900000000000006</v>
      </c>
      <c r="I13" s="54">
        <f>SUM(J13)-4</f>
        <v>75.900000000000006</v>
      </c>
      <c r="J13" s="55">
        <v>79.900000000000006</v>
      </c>
      <c r="K13" s="54">
        <f>SUM(J13)+4</f>
        <v>83.9</v>
      </c>
      <c r="L13" s="54">
        <f t="shared" ref="L13:N13" si="1">SUM(K13)+4</f>
        <v>87.9</v>
      </c>
      <c r="M13" s="54">
        <f t="shared" si="1"/>
        <v>91.9</v>
      </c>
      <c r="N13" s="56">
        <f t="shared" si="1"/>
        <v>95.9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13.8</v>
      </c>
      <c r="I15" s="54">
        <f>SUM(J15)-0.7</f>
        <v>14.5</v>
      </c>
      <c r="J15" s="55">
        <v>15.2</v>
      </c>
      <c r="K15" s="54">
        <f>SUM(J15)+1.2</f>
        <v>16.399999999999999</v>
      </c>
      <c r="L15" s="54">
        <f>SUM(K15)+0.7</f>
        <v>17.099999999999998</v>
      </c>
      <c r="M15" s="54">
        <f t="shared" ref="M15:N15" si="2">SUM(L15)+0.7</f>
        <v>17.799999999999997</v>
      </c>
      <c r="N15" s="56">
        <f t="shared" si="2"/>
        <v>18.499999999999996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60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61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28</v>
      </c>
      <c r="I21" s="54">
        <f>SUM(J21)-2.5</f>
        <v>30.5</v>
      </c>
      <c r="J21" s="55">
        <v>33</v>
      </c>
      <c r="K21" s="54">
        <f>SUM(J21)+2</f>
        <v>35</v>
      </c>
      <c r="L21" s="54">
        <f t="shared" ref="L21:N21" si="3">SUM(K21)+2</f>
        <v>37</v>
      </c>
      <c r="M21" s="54">
        <f t="shared" si="3"/>
        <v>39</v>
      </c>
      <c r="N21" s="56">
        <f t="shared" si="3"/>
        <v>41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</f>
        <v>44.4</v>
      </c>
      <c r="I23" s="54">
        <f>SUM(J23)-2</f>
        <v>46.4</v>
      </c>
      <c r="J23" s="55">
        <v>48.4</v>
      </c>
      <c r="K23" s="54">
        <f>SUM(J23)+2</f>
        <v>50.4</v>
      </c>
      <c r="L23" s="54">
        <f t="shared" ref="L23:N23" si="4">SUM(K23)+2</f>
        <v>52.4</v>
      </c>
      <c r="M23" s="54">
        <f t="shared" si="4"/>
        <v>54.4</v>
      </c>
      <c r="N23" s="56">
        <f t="shared" si="4"/>
        <v>56.4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21.599999999999998</v>
      </c>
      <c r="I25" s="54">
        <f>SUM(J25)-1.1</f>
        <v>22.7</v>
      </c>
      <c r="J25" s="55">
        <v>23.8</v>
      </c>
      <c r="K25" s="54">
        <f>SUM(J25)+1.6</f>
        <v>25.400000000000002</v>
      </c>
      <c r="L25" s="54">
        <f>SUM(K25)+1.1</f>
        <v>26.500000000000004</v>
      </c>
      <c r="M25" s="60">
        <f>SUM(L25)+1.1</f>
        <v>27.600000000000005</v>
      </c>
      <c r="N25" s="160">
        <f>SUM(M25)+1.1</f>
        <v>28.700000000000006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61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28.299999999999997</v>
      </c>
      <c r="I27" s="54">
        <f>SUM(J27)-1.3</f>
        <v>29.599999999999998</v>
      </c>
      <c r="J27" s="55">
        <v>30.9</v>
      </c>
      <c r="K27" s="54">
        <f>SUM(J27)+1.8</f>
        <v>32.699999999999996</v>
      </c>
      <c r="L27" s="54">
        <f>SUM(K27)+1.3</f>
        <v>33.999999999999993</v>
      </c>
      <c r="M27" s="60">
        <f>SUM(L27)+1.3</f>
        <v>35.29999999999999</v>
      </c>
      <c r="N27" s="160">
        <f>SUM(M27)+1.3</f>
        <v>36.599999999999987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61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N29" si="5">SUM(K29)+2.6</f>
        <v>5.2</v>
      </c>
      <c r="M29" s="156">
        <f t="shared" si="5"/>
        <v>7.8000000000000007</v>
      </c>
      <c r="N29" s="158">
        <f t="shared" si="5"/>
        <v>10.4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7"/>
      <c r="N30" s="159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-10</v>
      </c>
      <c r="I31" s="156">
        <f>SUM(J31)-5</f>
        <v>-5</v>
      </c>
      <c r="J31" s="154"/>
      <c r="K31" s="156">
        <f>SUM(J31)+5.5</f>
        <v>5.5</v>
      </c>
      <c r="L31" s="156">
        <f t="shared" ref="L31:N31" si="6">SUM(K31)+6</f>
        <v>11.5</v>
      </c>
      <c r="M31" s="156">
        <f t="shared" si="6"/>
        <v>17.5</v>
      </c>
      <c r="N31" s="158">
        <f t="shared" si="6"/>
        <v>23.5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5"/>
      <c r="K32" s="157"/>
      <c r="L32" s="157"/>
      <c r="M32" s="157"/>
      <c r="N32" s="159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6">
        <f t="shared" ref="M33:N33" si="7">SUM(L33)+2.2</f>
        <v>6.7</v>
      </c>
      <c r="N33" s="158">
        <f t="shared" si="7"/>
        <v>8.9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7"/>
      <c r="N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6">
        <f t="shared" ref="M35:N35" si="8">SUM(L35)+3.2</f>
        <v>10</v>
      </c>
      <c r="N35" s="158">
        <f t="shared" si="8"/>
        <v>13.2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7"/>
      <c r="N36" s="159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4.6999999999999993</v>
      </c>
      <c r="I37" s="54">
        <f>SUM(J37)-0.2</f>
        <v>4.8999999999999995</v>
      </c>
      <c r="J37" s="55">
        <v>5.0999999999999996</v>
      </c>
      <c r="K37" s="54">
        <f>SUM(J37)+0.2</f>
        <v>5.3</v>
      </c>
      <c r="L37" s="54">
        <f t="shared" ref="L37:N37" si="9">SUM(K37)+0.2</f>
        <v>5.5</v>
      </c>
      <c r="M37" s="54">
        <f t="shared" si="9"/>
        <v>5.7</v>
      </c>
      <c r="N37" s="56">
        <f t="shared" si="9"/>
        <v>5.9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8.9</v>
      </c>
      <c r="I39" s="54">
        <f>SUM(J39)-0.6</f>
        <v>9.5</v>
      </c>
      <c r="J39" s="55">
        <v>10.1</v>
      </c>
      <c r="K39" s="54">
        <f>SUM(J39)+0.6</f>
        <v>10.7</v>
      </c>
      <c r="L39" s="54">
        <f t="shared" ref="L39:N39" si="10">SUM(K39)+0.6</f>
        <v>11.299999999999999</v>
      </c>
      <c r="M39" s="54">
        <f t="shared" si="10"/>
        <v>11.899999999999999</v>
      </c>
      <c r="N39" s="56">
        <f t="shared" si="10"/>
        <v>12.499999999999998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148">
        <v>20</v>
      </c>
      <c r="B41" s="65" t="s">
        <v>498</v>
      </c>
      <c r="C41" s="66"/>
      <c r="D41" s="61"/>
      <c r="E41" s="61"/>
      <c r="F41" s="61"/>
      <c r="G41" s="61"/>
      <c r="H41" s="54">
        <f>SUM(I41)-0.5</f>
        <v>9.5</v>
      </c>
      <c r="I41" s="54">
        <f>SUM(J41)-0.5</f>
        <v>10</v>
      </c>
      <c r="J41" s="55">
        <v>10.5</v>
      </c>
      <c r="K41" s="54">
        <f>SUM(J41)+0.5</f>
        <v>11</v>
      </c>
      <c r="L41" s="54">
        <f t="shared" ref="L41:N41" si="11">SUM(K41)+0.5</f>
        <v>11.5</v>
      </c>
      <c r="M41" s="54">
        <f t="shared" si="11"/>
        <v>12</v>
      </c>
      <c r="N41" s="56">
        <f t="shared" si="11"/>
        <v>12.5</v>
      </c>
    </row>
    <row r="42" spans="1:14" s="1" customFormat="1" ht="14.1" customHeight="1" x14ac:dyDescent="0.3">
      <c r="A42" s="150"/>
      <c r="B42" s="57" t="s">
        <v>499</v>
      </c>
      <c r="C42" s="58"/>
      <c r="D42" s="51"/>
      <c r="E42" s="52"/>
      <c r="F42" s="52"/>
      <c r="G42" s="53"/>
      <c r="H42" s="81"/>
      <c r="I42" s="81"/>
      <c r="J42" s="82"/>
      <c r="K42" s="81"/>
      <c r="L42" s="81"/>
      <c r="M42" s="81"/>
      <c r="N42" s="83"/>
    </row>
    <row r="43" spans="1:14" s="1" customFormat="1" ht="14.1" customHeight="1" x14ac:dyDescent="0.3">
      <c r="A43" s="191">
        <v>21</v>
      </c>
      <c r="B43" s="65" t="s">
        <v>500</v>
      </c>
      <c r="C43" s="66"/>
      <c r="D43" s="61"/>
      <c r="E43" s="61"/>
      <c r="F43" s="61"/>
      <c r="G43" s="61"/>
      <c r="H43" s="54">
        <f>SUM(I43)-0.5</f>
        <v>9.5</v>
      </c>
      <c r="I43" s="54">
        <f>SUM(J43)-0.5</f>
        <v>10</v>
      </c>
      <c r="J43" s="55">
        <v>10.5</v>
      </c>
      <c r="K43" s="54">
        <f>SUM(J43)+0.5</f>
        <v>11</v>
      </c>
      <c r="L43" s="54">
        <f t="shared" ref="L43:N43" si="12">SUM(K43)+0.5</f>
        <v>11.5</v>
      </c>
      <c r="M43" s="54">
        <f t="shared" si="12"/>
        <v>12</v>
      </c>
      <c r="N43" s="56">
        <f t="shared" si="12"/>
        <v>12.5</v>
      </c>
    </row>
    <row r="44" spans="1:14" s="1" customFormat="1" ht="14.1" customHeight="1" x14ac:dyDescent="0.3">
      <c r="A44" s="150"/>
      <c r="B44" s="57" t="s">
        <v>501</v>
      </c>
      <c r="C44" s="58"/>
      <c r="D44" s="46"/>
      <c r="E44" s="47"/>
      <c r="F44" s="47"/>
      <c r="G44" s="59"/>
      <c r="H44" s="40"/>
      <c r="I44" s="40"/>
      <c r="J44" s="42"/>
      <c r="K44" s="40"/>
      <c r="L44" s="40"/>
      <c r="M44" s="40"/>
      <c r="N44" s="44"/>
    </row>
    <row r="45" spans="1:14" s="1" customFormat="1" ht="13.5" customHeight="1" x14ac:dyDescent="0.3">
      <c r="A45" s="191">
        <v>22</v>
      </c>
      <c r="B45" s="65" t="s">
        <v>298</v>
      </c>
      <c r="C45" s="66"/>
      <c r="D45" s="61"/>
      <c r="E45" s="61"/>
      <c r="F45" s="61"/>
      <c r="G45" s="61"/>
      <c r="H45" s="54">
        <f>SUM(I45)-3</f>
        <v>77</v>
      </c>
      <c r="I45" s="54">
        <f>SUM(J45)-3</f>
        <v>80</v>
      </c>
      <c r="J45" s="55">
        <v>83</v>
      </c>
      <c r="K45" s="54">
        <f>SUM(J45)+3</f>
        <v>86</v>
      </c>
      <c r="L45" s="54">
        <f>SUM(K45)+3</f>
        <v>89</v>
      </c>
      <c r="M45" s="54">
        <f>SUM(L45)+3</f>
        <v>92</v>
      </c>
      <c r="N45" s="56">
        <f>SUM(M45)+3</f>
        <v>95</v>
      </c>
    </row>
    <row r="46" spans="1:14" ht="14.1" customHeight="1" x14ac:dyDescent="0.3">
      <c r="A46" s="150"/>
      <c r="B46" s="45" t="s">
        <v>299</v>
      </c>
      <c r="C46" s="45"/>
      <c r="D46" s="46" t="s">
        <v>180</v>
      </c>
      <c r="E46" s="47"/>
      <c r="F46" s="47"/>
      <c r="G46" s="59"/>
      <c r="H46" s="40"/>
      <c r="I46" s="40"/>
      <c r="J46" s="42"/>
      <c r="K46" s="40"/>
      <c r="L46" s="40"/>
      <c r="M46" s="40"/>
      <c r="N46" s="44"/>
    </row>
    <row r="47" spans="1:14" ht="14.1" customHeight="1" x14ac:dyDescent="0.3">
      <c r="A47" s="191">
        <v>23</v>
      </c>
      <c r="B47" s="65" t="s">
        <v>134</v>
      </c>
      <c r="C47" s="66"/>
      <c r="D47" s="88"/>
      <c r="E47" s="89"/>
      <c r="F47" s="89"/>
      <c r="G47" s="90"/>
      <c r="H47" s="54">
        <f>SUM(I47)</f>
        <v>4.5</v>
      </c>
      <c r="I47" s="54">
        <f>SUM(J47)</f>
        <v>4.5</v>
      </c>
      <c r="J47" s="55">
        <v>4.5</v>
      </c>
      <c r="K47" s="54">
        <f>SUM(J47)</f>
        <v>4.5</v>
      </c>
      <c r="L47" s="54">
        <f t="shared" ref="L47:N47" si="13">SUM(K47)</f>
        <v>4.5</v>
      </c>
      <c r="M47" s="54">
        <f t="shared" si="13"/>
        <v>4.5</v>
      </c>
      <c r="N47" s="56">
        <f t="shared" si="13"/>
        <v>4.5</v>
      </c>
    </row>
    <row r="48" spans="1:14" ht="14.1" customHeight="1" x14ac:dyDescent="0.3">
      <c r="A48" s="150"/>
      <c r="B48" s="57" t="s">
        <v>142</v>
      </c>
      <c r="C48" s="58"/>
      <c r="D48" s="46" t="s">
        <v>502</v>
      </c>
      <c r="E48" s="47"/>
      <c r="F48" s="47"/>
      <c r="G48" s="59"/>
      <c r="H48" s="40"/>
      <c r="I48" s="40"/>
      <c r="J48" s="42"/>
      <c r="K48" s="40"/>
      <c r="L48" s="40"/>
      <c r="M48" s="40"/>
      <c r="N48" s="44"/>
    </row>
    <row r="49" spans="1:14" ht="14.1" customHeight="1" x14ac:dyDescent="0.3">
      <c r="A49" s="191">
        <v>24</v>
      </c>
      <c r="B49" s="65" t="s">
        <v>135</v>
      </c>
      <c r="C49" s="66"/>
      <c r="D49" s="88"/>
      <c r="E49" s="89"/>
      <c r="F49" s="89"/>
      <c r="G49" s="90"/>
      <c r="H49" s="54">
        <f>SUM(I49)</f>
        <v>1</v>
      </c>
      <c r="I49" s="54">
        <f>SUM(J49)</f>
        <v>1</v>
      </c>
      <c r="J49" s="82">
        <v>1</v>
      </c>
      <c r="K49" s="54">
        <f>SUM(J49)</f>
        <v>1</v>
      </c>
      <c r="L49" s="54">
        <f t="shared" ref="L49:N49" si="14">SUM(K49)</f>
        <v>1</v>
      </c>
      <c r="M49" s="54">
        <f t="shared" si="14"/>
        <v>1</v>
      </c>
      <c r="N49" s="56">
        <f t="shared" si="14"/>
        <v>1</v>
      </c>
    </row>
    <row r="50" spans="1:14" ht="14.1" customHeight="1" thickBot="1" x14ac:dyDescent="0.35">
      <c r="A50" s="149"/>
      <c r="B50" s="96" t="s">
        <v>143</v>
      </c>
      <c r="C50" s="97"/>
      <c r="D50" s="98" t="s">
        <v>503</v>
      </c>
      <c r="E50" s="99"/>
      <c r="F50" s="99"/>
      <c r="G50" s="100"/>
      <c r="H50" s="91"/>
      <c r="I50" s="91"/>
      <c r="J50" s="107"/>
      <c r="K50" s="91"/>
      <c r="L50" s="91"/>
      <c r="M50" s="91"/>
      <c r="N50" s="147"/>
    </row>
    <row r="51" spans="1:14" ht="14.1" customHeight="1" x14ac:dyDescent="0.3"/>
  </sheetData>
  <mergeCells count="291">
    <mergeCell ref="N45:N46"/>
    <mergeCell ref="B46:C46"/>
    <mergeCell ref="D46:G46"/>
    <mergeCell ref="A47:A48"/>
    <mergeCell ref="B47:C47"/>
    <mergeCell ref="D47:G47"/>
    <mergeCell ref="H47:H48"/>
    <mergeCell ref="I47:I48"/>
    <mergeCell ref="J47:J48"/>
    <mergeCell ref="K47:K48"/>
    <mergeCell ref="L47:L48"/>
    <mergeCell ref="M47:M48"/>
    <mergeCell ref="N47:N48"/>
    <mergeCell ref="B48:C48"/>
    <mergeCell ref="D48:G48"/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9AF8-AA16-4EA5-B9F7-44870DCFB9EE}">
  <sheetPr codeName="Sheet26">
    <tabColor rgb="FFFF0000"/>
    <pageSetUpPr fitToPage="1"/>
  </sheetPr>
  <dimension ref="A1:N51"/>
  <sheetViews>
    <sheetView zoomScale="110" zoomScaleNormal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326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/>
      <c r="I9" s="54"/>
      <c r="J9" s="82"/>
      <c r="K9" s="81"/>
      <c r="L9" s="81"/>
      <c r="M9" s="81"/>
      <c r="N9" s="178"/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63</v>
      </c>
      <c r="I11" s="54">
        <f>SUM(J11)-4.5</f>
        <v>67.5</v>
      </c>
      <c r="J11" s="82">
        <v>72</v>
      </c>
      <c r="K11" s="54">
        <f>SUM(J11)+4.5</f>
        <v>76.5</v>
      </c>
      <c r="L11" s="54">
        <f>SUM(K11)+4.5</f>
        <v>81</v>
      </c>
      <c r="M11" s="54">
        <f>SUM(L11)+4.5</f>
        <v>85.5</v>
      </c>
      <c r="N11" s="181">
        <f>SUM(M11)+4.5</f>
        <v>90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70</v>
      </c>
      <c r="I13" s="54">
        <f>SUM(J13)-5</f>
        <v>75</v>
      </c>
      <c r="J13" s="55">
        <v>80</v>
      </c>
      <c r="K13" s="54">
        <f>SUM(J13)+5</f>
        <v>85</v>
      </c>
      <c r="L13" s="54">
        <f>SUM(K13)+5</f>
        <v>90</v>
      </c>
      <c r="M13" s="54">
        <f>SUM(L13)+5</f>
        <v>95</v>
      </c>
      <c r="N13" s="181">
        <f>SUM(M13)+5</f>
        <v>100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81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80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81">
        <f>SUM(M17)+0.7</f>
        <v>13.799999999999997</v>
      </c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80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15">
        <f>SUM(M19)+0</f>
        <v>3.3</v>
      </c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SUM(I21)-7</f>
        <v>49</v>
      </c>
      <c r="I21" s="54">
        <f>SUM(J21)-7</f>
        <v>56</v>
      </c>
      <c r="J21" s="55">
        <v>63</v>
      </c>
      <c r="K21" s="54">
        <f>SUM(J21)+6</f>
        <v>69</v>
      </c>
      <c r="L21" s="54">
        <f>SUM(K21)+6</f>
        <v>75</v>
      </c>
      <c r="M21" s="54">
        <f>SUM(L21)+6</f>
        <v>81</v>
      </c>
      <c r="N21" s="160">
        <f>SUM(M21)+6</f>
        <v>87</v>
      </c>
    </row>
    <row r="22" spans="1:14" s="1" customFormat="1" ht="14.1" customHeight="1" x14ac:dyDescent="0.3">
      <c r="A22" s="150"/>
      <c r="B22" s="70" t="s">
        <v>327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44.2</v>
      </c>
      <c r="I23" s="54">
        <f>SUM(J23)-2.4</f>
        <v>46.6</v>
      </c>
      <c r="J23" s="55">
        <v>49</v>
      </c>
      <c r="K23" s="54">
        <f>SUM(J23)+2.4</f>
        <v>51.4</v>
      </c>
      <c r="L23" s="54">
        <f>SUM(K23)+2.4</f>
        <v>53.8</v>
      </c>
      <c r="M23" s="54">
        <f>SUM(L23)+2.4</f>
        <v>56.199999999999996</v>
      </c>
      <c r="N23" s="160">
        <f>SUM(M23)+2.4</f>
        <v>58.599999999999994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4" s="1" customFormat="1" ht="14.1" customHeight="1" x14ac:dyDescent="0.3">
      <c r="A26" s="150"/>
      <c r="B26" s="70" t="s">
        <v>328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81">
        <f>SUM(M27)+1.3</f>
        <v>35.699999999999996</v>
      </c>
    </row>
    <row r="28" spans="1:14" s="1" customFormat="1" ht="14.1" customHeight="1" x14ac:dyDescent="0.3">
      <c r="A28" s="150"/>
      <c r="B28" s="70" t="s">
        <v>329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3.5999999999999996</v>
      </c>
      <c r="I37" s="54">
        <f>SUM(J37)-0.2</f>
        <v>3.8</v>
      </c>
      <c r="J37" s="67">
        <v>4</v>
      </c>
      <c r="K37" s="68">
        <f>SUM(J37)+0.2</f>
        <v>4.2</v>
      </c>
      <c r="L37" s="68">
        <f>SUM(K37)+0.2</f>
        <v>4.4000000000000004</v>
      </c>
      <c r="M37" s="68">
        <f>SUM(L37)+0.2</f>
        <v>4.6000000000000005</v>
      </c>
      <c r="N37" s="131">
        <f>SUM(M37)+0.2</f>
        <v>4.8000000000000007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9.3000000000000007</v>
      </c>
      <c r="I39" s="54">
        <f>SUM(J39)-0.6</f>
        <v>9.9</v>
      </c>
      <c r="J39" s="55">
        <v>10.5</v>
      </c>
      <c r="K39" s="54">
        <f>SUM(J39)+0.6</f>
        <v>11.1</v>
      </c>
      <c r="L39" s="54">
        <f>SUM(K39)+0.6</f>
        <v>11.7</v>
      </c>
      <c r="M39" s="54">
        <f>SUM(L39)+0.6</f>
        <v>12.299999999999999</v>
      </c>
      <c r="N39" s="181">
        <f>SUM(M39)+0.6</f>
        <v>12.899999999999999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10</v>
      </c>
      <c r="I41" s="54">
        <f>SUM(J41)-0.5</f>
        <v>10.5</v>
      </c>
      <c r="J41" s="55">
        <v>11</v>
      </c>
      <c r="K41" s="54">
        <f>SUM(J41)+0.5</f>
        <v>11.5</v>
      </c>
      <c r="L41" s="54">
        <f>SUM(K41)+0.5</f>
        <v>12</v>
      </c>
      <c r="M41" s="54">
        <f>SUM(L41)+0.5</f>
        <v>12.5</v>
      </c>
      <c r="N41" s="181">
        <f>SUM(M41)+0.5</f>
        <v>13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11</v>
      </c>
      <c r="I43" s="54">
        <f>SUM(J43)-0.5</f>
        <v>11.5</v>
      </c>
      <c r="J43" s="55">
        <v>12</v>
      </c>
      <c r="K43" s="54">
        <f>SUM(J43)+0.5</f>
        <v>12.5</v>
      </c>
      <c r="L43" s="54">
        <f>SUM(K43)+0.5</f>
        <v>13</v>
      </c>
      <c r="M43" s="54">
        <f>SUM(L43)+0.5</f>
        <v>13.5</v>
      </c>
      <c r="N43" s="181">
        <f>SUM(M43)+0.5</f>
        <v>14</v>
      </c>
    </row>
    <row r="44" spans="1:14" s="1" customFormat="1" ht="14.1" customHeight="1" x14ac:dyDescent="0.3">
      <c r="A44" s="148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 t="s">
        <v>298</v>
      </c>
      <c r="C45" s="66"/>
      <c r="D45" s="61"/>
      <c r="E45" s="61"/>
      <c r="F45" s="61"/>
      <c r="G45" s="61"/>
      <c r="H45" s="54">
        <f>SUM(I45)-3</f>
        <v>77</v>
      </c>
      <c r="I45" s="54">
        <f>SUM(J45)-3</f>
        <v>80</v>
      </c>
      <c r="J45" s="55">
        <v>83</v>
      </c>
      <c r="K45" s="54">
        <f>SUM(J45)+3</f>
        <v>86</v>
      </c>
      <c r="L45" s="54">
        <f>SUM(K45)+3</f>
        <v>89</v>
      </c>
      <c r="M45" s="54">
        <f>SUM(L45)+3</f>
        <v>92</v>
      </c>
      <c r="N45" s="181">
        <f>SUM(M45)+3</f>
        <v>95</v>
      </c>
    </row>
    <row r="46" spans="1:14" ht="14.1" customHeight="1" thickBot="1" x14ac:dyDescent="0.35">
      <c r="A46" s="149"/>
      <c r="B46" s="141" t="s">
        <v>299</v>
      </c>
      <c r="C46" s="141"/>
      <c r="D46" s="98" t="s">
        <v>180</v>
      </c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A4CC-B319-4EA4-9A43-6D54ED3A5741}">
  <sheetPr codeName="Sheet27">
    <tabColor rgb="FFFF0000"/>
    <pageSetUpPr fitToPage="1"/>
  </sheetPr>
  <dimension ref="A1:N51"/>
  <sheetViews>
    <sheetView topLeftCell="A10" zoomScale="110" zoomScaleNormal="110" workbookViewId="0">
      <selection activeCell="H11" sqref="H11:H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416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38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39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39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89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90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70.099999999999994</v>
      </c>
      <c r="I11" s="54">
        <f>SUM(J11)-3.5</f>
        <v>73.599999999999994</v>
      </c>
      <c r="J11" s="82">
        <v>77.099999999999994</v>
      </c>
      <c r="K11" s="54">
        <f>SUM(J11)+3.5</f>
        <v>80.599999999999994</v>
      </c>
      <c r="L11" s="54">
        <f t="shared" ref="L11:M11" si="0">SUM(K11)+3.5</f>
        <v>84.1</v>
      </c>
      <c r="M11" s="54">
        <f t="shared" si="0"/>
        <v>87.6</v>
      </c>
      <c r="N11" s="115">
        <f t="shared" ref="N11" si="1">SUM(M11)+3.5</f>
        <v>91.1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73.900000000000006</v>
      </c>
      <c r="I13" s="54">
        <f>SUM(J13)-4</f>
        <v>77.900000000000006</v>
      </c>
      <c r="J13" s="55">
        <v>81.900000000000006</v>
      </c>
      <c r="K13" s="54">
        <f>SUM(J13)+4</f>
        <v>85.9</v>
      </c>
      <c r="L13" s="54">
        <f t="shared" ref="L13:M13" si="2">SUM(K13)+4</f>
        <v>89.9</v>
      </c>
      <c r="M13" s="54">
        <f t="shared" si="2"/>
        <v>93.9</v>
      </c>
      <c r="N13" s="115">
        <f t="shared" ref="N13" si="3">SUM(M13)+4</f>
        <v>97.9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116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13.8</v>
      </c>
      <c r="I15" s="54">
        <f>SUM(J15)-0.7</f>
        <v>14.5</v>
      </c>
      <c r="J15" s="55">
        <v>15.2</v>
      </c>
      <c r="K15" s="54">
        <f>SUM(J15)+1.2</f>
        <v>16.399999999999999</v>
      </c>
      <c r="L15" s="54">
        <f>SUM(K15)+0.7</f>
        <v>17.099999999999998</v>
      </c>
      <c r="M15" s="54">
        <f t="shared" ref="M15:N15" si="4">SUM(L15)+0.7</f>
        <v>17.799999999999997</v>
      </c>
      <c r="N15" s="115">
        <f t="shared" si="4"/>
        <v>18.499999999999996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0"/>
      <c r="N16" s="116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81"/>
    </row>
    <row r="18" spans="1:14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45"/>
      <c r="N18" s="180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15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</v>
      </c>
      <c r="I21" s="54">
        <f>SUM(J21)-2.5</f>
        <v>28.5</v>
      </c>
      <c r="J21" s="55">
        <v>31</v>
      </c>
      <c r="K21" s="54">
        <f>SUM(J21)+2</f>
        <v>33</v>
      </c>
      <c r="L21" s="54">
        <f>SUM(K21)+2</f>
        <v>35</v>
      </c>
      <c r="M21" s="54">
        <f>SUM(L21)+2</f>
        <v>37</v>
      </c>
      <c r="N21" s="115">
        <f>SUM(M21)+2</f>
        <v>39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16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43.999999999999993</v>
      </c>
      <c r="I23" s="54">
        <f>SUM(J23)-2.2</f>
        <v>46.199999999999996</v>
      </c>
      <c r="J23" s="55">
        <v>48.4</v>
      </c>
      <c r="K23" s="54">
        <f>SUM(J23)+2.2</f>
        <v>50.6</v>
      </c>
      <c r="L23" s="54">
        <f t="shared" ref="L23:N23" si="5">SUM(K23)+2.2</f>
        <v>52.800000000000004</v>
      </c>
      <c r="M23" s="54">
        <f t="shared" si="5"/>
        <v>55.000000000000007</v>
      </c>
      <c r="N23" s="115">
        <f t="shared" si="5"/>
        <v>57.20000000000001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16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21.599999999999998</v>
      </c>
      <c r="I25" s="54">
        <f>SUM(J25)-1.1</f>
        <v>22.7</v>
      </c>
      <c r="J25" s="55">
        <v>23.8</v>
      </c>
      <c r="K25" s="54">
        <f>SUM(J25)+1.6</f>
        <v>25.400000000000002</v>
      </c>
      <c r="L25" s="54">
        <f>SUM(K25)+1.1</f>
        <v>26.500000000000004</v>
      </c>
      <c r="M25" s="60">
        <f>SUM(L25)+1.1</f>
        <v>27.600000000000005</v>
      </c>
      <c r="N25" s="181">
        <f>SUM(M25)+1.1</f>
        <v>28.700000000000006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29.4</v>
      </c>
      <c r="I27" s="54">
        <f>SUM(J27)-1.3</f>
        <v>30.7</v>
      </c>
      <c r="J27" s="55">
        <v>32</v>
      </c>
      <c r="K27" s="54">
        <f>SUM(J27)+1.8</f>
        <v>33.799999999999997</v>
      </c>
      <c r="L27" s="54">
        <f>SUM(K27)+1.3</f>
        <v>35.099999999999994</v>
      </c>
      <c r="M27" s="60">
        <f>SUM(L27)+1.3</f>
        <v>36.399999999999991</v>
      </c>
      <c r="N27" s="181">
        <f>SUM(M27)+1.3</f>
        <v>37.699999999999989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15"/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16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SUM(I31)-1.5</f>
        <v>6.3000000000000007</v>
      </c>
      <c r="I31" s="54">
        <f>SUM(J31)-1.5</f>
        <v>7.8000000000000007</v>
      </c>
      <c r="J31" s="55">
        <v>9.3000000000000007</v>
      </c>
      <c r="K31" s="54">
        <f>SUM(J31)+0.5</f>
        <v>9.8000000000000007</v>
      </c>
      <c r="L31" s="54">
        <f>SUM(K31)+1</f>
        <v>10.8</v>
      </c>
      <c r="M31" s="54">
        <f>SUM(L31)+1</f>
        <v>11.8</v>
      </c>
      <c r="N31" s="115">
        <f>SUM(M31)+1</f>
        <v>12.8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15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15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16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4.6999999999999993</v>
      </c>
      <c r="I37" s="54">
        <f>SUM(J37)-0.2</f>
        <v>4.8999999999999995</v>
      </c>
      <c r="J37" s="67">
        <v>5.0999999999999996</v>
      </c>
      <c r="K37" s="68">
        <f>SUM(J37)+0.2</f>
        <v>5.3</v>
      </c>
      <c r="L37" s="68">
        <f>SUM(K37)+0.2</f>
        <v>5.5</v>
      </c>
      <c r="M37" s="68">
        <f>SUM(L37)+0.2</f>
        <v>5.7</v>
      </c>
      <c r="N37" s="117">
        <f>SUM(M37)+0.2</f>
        <v>5.9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17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8.9</v>
      </c>
      <c r="I39" s="54">
        <f>SUM(J39)-0.6</f>
        <v>9.5</v>
      </c>
      <c r="J39" s="55">
        <v>10.1</v>
      </c>
      <c r="K39" s="54">
        <f>SUM(J39)+0.6</f>
        <v>10.7</v>
      </c>
      <c r="L39" s="54">
        <f>SUM(K39)+0.6</f>
        <v>11.299999999999999</v>
      </c>
      <c r="M39" s="54">
        <f>SUM(L39)+0.6</f>
        <v>11.899999999999999</v>
      </c>
      <c r="N39" s="115">
        <f>SUM(M39)+0.6</f>
        <v>12.499999999999998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16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9.5</v>
      </c>
      <c r="I41" s="54">
        <f>SUM(J41)-0.5</f>
        <v>10</v>
      </c>
      <c r="J41" s="55">
        <v>10.5</v>
      </c>
      <c r="K41" s="54">
        <f>SUM(J41)+0.5</f>
        <v>11</v>
      </c>
      <c r="L41" s="54">
        <f>SUM(K41)+0.5</f>
        <v>11.5</v>
      </c>
      <c r="M41" s="54">
        <f>SUM(L41)+0.5</f>
        <v>12</v>
      </c>
      <c r="N41" s="115">
        <f>SUM(M41)+0.5</f>
        <v>12.5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16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9.5</v>
      </c>
      <c r="I43" s="54">
        <f>SUM(J43)-0.5</f>
        <v>10</v>
      </c>
      <c r="J43" s="55">
        <v>10.5</v>
      </c>
      <c r="K43" s="54">
        <f>SUM(J43)+0.5</f>
        <v>11</v>
      </c>
      <c r="L43" s="54">
        <f>SUM(K43)+0.5</f>
        <v>11.5</v>
      </c>
      <c r="M43" s="54">
        <f>SUM(L43)+0.5</f>
        <v>12</v>
      </c>
      <c r="N43" s="115">
        <f>SUM(M43)+0.5</f>
        <v>12.5</v>
      </c>
    </row>
    <row r="44" spans="1:14" s="1" customFormat="1" ht="14.1" customHeight="1" x14ac:dyDescent="0.3">
      <c r="A44" s="150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39"/>
    </row>
    <row r="45" spans="1:14" s="1" customFormat="1" ht="14.1" customHeight="1" x14ac:dyDescent="0.3">
      <c r="A45" s="191">
        <v>22</v>
      </c>
      <c r="B45" s="65" t="s">
        <v>134</v>
      </c>
      <c r="C45" s="66"/>
      <c r="D45" s="61"/>
      <c r="E45" s="61"/>
      <c r="F45" s="61"/>
      <c r="G45" s="61"/>
      <c r="H45" s="54">
        <f>SUM(I45)-0.1</f>
        <v>2.2999999999999998</v>
      </c>
      <c r="I45" s="54">
        <f>SUM(J45)-0.1</f>
        <v>2.4</v>
      </c>
      <c r="J45" s="55">
        <v>2.5</v>
      </c>
      <c r="K45" s="54">
        <f>SUM(J45)+0.1</f>
        <v>2.6</v>
      </c>
      <c r="L45" s="54">
        <f t="shared" ref="L45:N45" si="6">SUM(K45)+0.1</f>
        <v>2.7</v>
      </c>
      <c r="M45" s="54">
        <f t="shared" si="6"/>
        <v>2.8000000000000003</v>
      </c>
      <c r="N45" s="56">
        <f t="shared" si="6"/>
        <v>2.9000000000000004</v>
      </c>
    </row>
    <row r="46" spans="1:14" ht="14.1" customHeight="1" x14ac:dyDescent="0.3">
      <c r="A46" s="150"/>
      <c r="B46" s="57" t="s">
        <v>142</v>
      </c>
      <c r="C46" s="58"/>
      <c r="D46" s="46" t="s">
        <v>417</v>
      </c>
      <c r="E46" s="47"/>
      <c r="F46" s="47"/>
      <c r="G46" s="59"/>
      <c r="H46" s="40"/>
      <c r="I46" s="40"/>
      <c r="J46" s="42"/>
      <c r="K46" s="40"/>
      <c r="L46" s="40"/>
      <c r="M46" s="40"/>
      <c r="N46" s="44"/>
    </row>
    <row r="47" spans="1:14" ht="14.1" customHeight="1" x14ac:dyDescent="0.3">
      <c r="A47" s="191">
        <v>23</v>
      </c>
      <c r="B47" s="79" t="s">
        <v>298</v>
      </c>
      <c r="C47" s="80"/>
      <c r="D47" s="106"/>
      <c r="E47" s="106"/>
      <c r="F47" s="106"/>
      <c r="G47" s="106"/>
      <c r="H47" s="81">
        <f>SUM(I47)-3</f>
        <v>77</v>
      </c>
      <c r="I47" s="81">
        <f>SUM(J47)-3</f>
        <v>80</v>
      </c>
      <c r="J47" s="82">
        <v>83</v>
      </c>
      <c r="K47" s="81">
        <f>SUM(J47)+3</f>
        <v>86</v>
      </c>
      <c r="L47" s="81">
        <f>SUM(K47)+3</f>
        <v>89</v>
      </c>
      <c r="M47" s="54">
        <f>SUM(L47)+3</f>
        <v>92</v>
      </c>
      <c r="N47" s="139">
        <f>SUM(M47)+3</f>
        <v>95</v>
      </c>
    </row>
    <row r="48" spans="1:14" ht="14.1" customHeight="1" thickBot="1" x14ac:dyDescent="0.35">
      <c r="A48" s="149"/>
      <c r="B48" s="141" t="s">
        <v>299</v>
      </c>
      <c r="C48" s="141"/>
      <c r="D48" s="98" t="s">
        <v>180</v>
      </c>
      <c r="E48" s="99"/>
      <c r="F48" s="99"/>
      <c r="G48" s="100"/>
      <c r="H48" s="91"/>
      <c r="I48" s="91"/>
      <c r="J48" s="107"/>
      <c r="K48" s="91"/>
      <c r="L48" s="91"/>
      <c r="M48" s="91"/>
      <c r="N48" s="140"/>
    </row>
    <row r="49" ht="14.1" customHeight="1" x14ac:dyDescent="0.3"/>
    <row r="50" ht="14.1" customHeight="1" x14ac:dyDescent="0.3"/>
    <row r="51" ht="14.1" customHeight="1" x14ac:dyDescent="0.3"/>
  </sheetData>
  <mergeCells count="279">
    <mergeCell ref="N11:N12"/>
    <mergeCell ref="N13:N14"/>
    <mergeCell ref="N15:N16"/>
    <mergeCell ref="N17:N18"/>
    <mergeCell ref="N19:N20"/>
    <mergeCell ref="N21:N22"/>
    <mergeCell ref="K45:K46"/>
    <mergeCell ref="L45:L46"/>
    <mergeCell ref="M45:M46"/>
    <mergeCell ref="N35:N36"/>
    <mergeCell ref="N37:N38"/>
    <mergeCell ref="N39:N40"/>
    <mergeCell ref="N41:N42"/>
    <mergeCell ref="N43:N44"/>
    <mergeCell ref="N45:N46"/>
    <mergeCell ref="N23:N24"/>
    <mergeCell ref="N25:N26"/>
    <mergeCell ref="N27:N28"/>
    <mergeCell ref="N29:N30"/>
    <mergeCell ref="N31:N32"/>
    <mergeCell ref="N33:N34"/>
    <mergeCell ref="B46:C46"/>
    <mergeCell ref="D46:G46"/>
    <mergeCell ref="A1:N1"/>
    <mergeCell ref="N3:N4"/>
    <mergeCell ref="N5:N6"/>
    <mergeCell ref="N7:N8"/>
    <mergeCell ref="N9:N10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M47:M48"/>
    <mergeCell ref="B48:C48"/>
    <mergeCell ref="D48:G48"/>
    <mergeCell ref="N47:N48"/>
    <mergeCell ref="A47:A48"/>
    <mergeCell ref="H47:H48"/>
    <mergeCell ref="I47:I48"/>
    <mergeCell ref="J47:J48"/>
    <mergeCell ref="K47:K48"/>
    <mergeCell ref="L47:L48"/>
    <mergeCell ref="B47:C47"/>
    <mergeCell ref="D47:G47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B709-B2F9-47C7-814E-F91CE6A261AA}">
  <sheetPr codeName="Sheet28">
    <tabColor rgb="FFFF0000"/>
    <pageSetUpPr fitToPage="1"/>
  </sheetPr>
  <dimension ref="A1:S51"/>
  <sheetViews>
    <sheetView zoomScale="110" zoomScaleNormal="110" workbookViewId="0">
      <selection activeCell="I23" sqref="I23:I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44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43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19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02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19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02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19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02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59</v>
      </c>
      <c r="I11" s="54">
        <f>SUM(J11)-4.5</f>
        <v>63.5</v>
      </c>
      <c r="J11" s="82">
        <v>68</v>
      </c>
      <c r="K11" s="54">
        <f>SUM(J11)+4.5</f>
        <v>72.5</v>
      </c>
      <c r="L11" s="54">
        <f>SUM(K11)+4.5</f>
        <v>77</v>
      </c>
      <c r="M11" s="54">
        <f>SUM(L11)+4.5</f>
        <v>81.5</v>
      </c>
      <c r="N11" s="142">
        <f>SUM(M11)+4.5</f>
        <v>86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43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62</v>
      </c>
      <c r="I13" s="54">
        <f>SUM(J13)-5</f>
        <v>67</v>
      </c>
      <c r="J13" s="55">
        <v>72</v>
      </c>
      <c r="K13" s="54">
        <f>SUM(J13)+5</f>
        <v>77</v>
      </c>
      <c r="L13" s="54">
        <f>SUM(K13)+5</f>
        <v>82</v>
      </c>
      <c r="M13" s="54">
        <f>SUM(L13)+5</f>
        <v>87</v>
      </c>
      <c r="N13" s="142">
        <f>SUM(M13)+5</f>
        <v>92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43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42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43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42">
        <f>SUM(M17)+0.7</f>
        <v>13.799999999999997</v>
      </c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43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42">
        <f>SUM(M19)+0</f>
        <v>3.3</v>
      </c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43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</v>
      </c>
      <c r="I21" s="54">
        <f>SUM(J21)-2.5</f>
        <v>28.5</v>
      </c>
      <c r="J21" s="55">
        <v>31</v>
      </c>
      <c r="K21" s="54">
        <f>SUM(J21)+2</f>
        <v>33</v>
      </c>
      <c r="L21" s="54">
        <f>SUM(K21)+2</f>
        <v>35</v>
      </c>
      <c r="M21" s="54">
        <f>SUM(L21)+2</f>
        <v>37</v>
      </c>
      <c r="N21" s="101">
        <f>SUM(M21)+2</f>
        <v>39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02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39.599999999999994</v>
      </c>
      <c r="I23" s="54">
        <f>SUM(J23)-2.2</f>
        <v>41.8</v>
      </c>
      <c r="J23" s="55">
        <v>44</v>
      </c>
      <c r="K23" s="54">
        <f>SUM(J23)+2.2</f>
        <v>46.2</v>
      </c>
      <c r="L23" s="54">
        <f>SUM(K23)+2.2</f>
        <v>48.400000000000006</v>
      </c>
      <c r="M23" s="54">
        <f>SUM(L23)+2.2</f>
        <v>50.600000000000009</v>
      </c>
      <c r="N23" s="101">
        <f>SUM(M23)+2.2</f>
        <v>52.800000000000011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02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42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43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42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43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42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43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42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43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42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43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42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43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SUM(I37)-0.5</f>
        <v>7</v>
      </c>
      <c r="I37" s="54">
        <f>SUM(J37)-0.5</f>
        <v>7.5</v>
      </c>
      <c r="J37" s="67">
        <v>8</v>
      </c>
      <c r="K37" s="68">
        <f>SUM(J37)+0.5</f>
        <v>8.5</v>
      </c>
      <c r="L37" s="68">
        <f>SUM(K37)+0.5</f>
        <v>9</v>
      </c>
      <c r="M37" s="68">
        <f>SUM(L37)+0.5</f>
        <v>9.5</v>
      </c>
      <c r="N37" s="94">
        <f>SUM(M37)+0.5</f>
        <v>10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9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SUM(I39)-0.3</f>
        <v>5.4</v>
      </c>
      <c r="I39" s="54">
        <f>SUM(J39)-0.3</f>
        <v>5.7</v>
      </c>
      <c r="J39" s="55">
        <v>6</v>
      </c>
      <c r="K39" s="54">
        <f>SUM(J39)+0.3</f>
        <v>6.3</v>
      </c>
      <c r="L39" s="54">
        <f>SUM(K39)+0.3</f>
        <v>6.6</v>
      </c>
      <c r="M39" s="54">
        <f>SUM(L39)+0.3</f>
        <v>6.8999999999999995</v>
      </c>
      <c r="N39" s="142">
        <f>SUM(M39)+0.3</f>
        <v>7.1999999999999993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43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10</v>
      </c>
      <c r="I41" s="54">
        <f>SUM(J41)-0.5</f>
        <v>10.5</v>
      </c>
      <c r="J41" s="55">
        <v>11</v>
      </c>
      <c r="K41" s="54">
        <f>SUM(J41)+0.5</f>
        <v>11.5</v>
      </c>
      <c r="L41" s="54">
        <f>SUM(K41)+0.5</f>
        <v>12</v>
      </c>
      <c r="M41" s="54">
        <f>SUM(L41)+0.5</f>
        <v>12.5</v>
      </c>
      <c r="N41" s="142">
        <f>SUM(M41)+0.5</f>
        <v>13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43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11.5</v>
      </c>
      <c r="I43" s="54">
        <f>SUM(J43)-0.5</f>
        <v>12</v>
      </c>
      <c r="J43" s="55">
        <v>12.5</v>
      </c>
      <c r="K43" s="54">
        <f>SUM(J43)+0.5</f>
        <v>13</v>
      </c>
      <c r="L43" s="54">
        <f>SUM(K43)+0.5</f>
        <v>13.5</v>
      </c>
      <c r="M43" s="54">
        <f>SUM(L43)+0.5</f>
        <v>14</v>
      </c>
      <c r="N43" s="142">
        <f>SUM(M43)+0.5</f>
        <v>14.5</v>
      </c>
    </row>
    <row r="44" spans="1:14" s="1" customFormat="1" ht="14.1" customHeight="1" x14ac:dyDescent="0.3">
      <c r="A44" s="148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45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42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46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FCD7-D245-48E2-A930-BC5426557800}">
  <sheetPr codeName="Sheet29">
    <tabColor rgb="FFFF0000"/>
    <pageSetUpPr fitToPage="1"/>
  </sheetPr>
  <dimension ref="A1:M51"/>
  <sheetViews>
    <sheetView zoomScale="110" zoomScaleNormal="110" workbookViewId="0">
      <selection activeCell="I11" sqref="I11:I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/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66.400000000000006</v>
      </c>
      <c r="I11" s="54">
        <f>SUM(J11)-4.5</f>
        <v>70.900000000000006</v>
      </c>
      <c r="J11" s="82">
        <v>75.400000000000006</v>
      </c>
      <c r="K11" s="54">
        <f>SUM(J11)+4.5</f>
        <v>79.900000000000006</v>
      </c>
      <c r="L11" s="54">
        <f>SUM(K11)+4.5</f>
        <v>84.4</v>
      </c>
      <c r="M11" s="56">
        <f>SUM(L11)+4.5</f>
        <v>88.9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70.8</v>
      </c>
      <c r="I13" s="54">
        <f>SUM(J13)-5</f>
        <v>75.8</v>
      </c>
      <c r="J13" s="55">
        <v>80.8</v>
      </c>
      <c r="K13" s="54">
        <f>SUM(J13)+5</f>
        <v>85.8</v>
      </c>
      <c r="L13" s="54">
        <f>SUM(K13)+5</f>
        <v>90.8</v>
      </c>
      <c r="M13" s="56">
        <f>SUM(L13)+5</f>
        <v>95.8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13.900000000000002</v>
      </c>
      <c r="I15" s="54">
        <f>SUM(J15)-0.7</f>
        <v>14.600000000000001</v>
      </c>
      <c r="J15" s="55">
        <v>15.3</v>
      </c>
      <c r="K15" s="54">
        <f>SUM(J15)+1.2</f>
        <v>16.5</v>
      </c>
      <c r="L15" s="54">
        <f>SUM(K15)+0.7</f>
        <v>17.2</v>
      </c>
      <c r="M15" s="56">
        <f>SUM(L15)+0.7</f>
        <v>17.899999999999999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SUM(I21)-1.7</f>
        <v>21.6</v>
      </c>
      <c r="I21" s="54">
        <f>SUM(J21)-1.7</f>
        <v>23.3</v>
      </c>
      <c r="J21" s="55">
        <v>25</v>
      </c>
      <c r="K21" s="54">
        <f>SUM(J21)+1</f>
        <v>26</v>
      </c>
      <c r="L21" s="54">
        <f>SUM(K21)+1.4</f>
        <v>27.4</v>
      </c>
      <c r="M21" s="56">
        <f>SUM(L21)+1.4</f>
        <v>28.799999999999997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SUM(I23)-2.8</f>
        <v>45.300000000000004</v>
      </c>
      <c r="I23" s="54">
        <f>SUM(J23)-2.8</f>
        <v>48.1</v>
      </c>
      <c r="J23" s="55">
        <v>50.9</v>
      </c>
      <c r="K23" s="54">
        <f>SUM(J23)+2.8</f>
        <v>53.699999999999996</v>
      </c>
      <c r="L23" s="54">
        <f t="shared" ref="L23:M23" si="0">SUM(K23)+2.8</f>
        <v>56.499999999999993</v>
      </c>
      <c r="M23" s="56">
        <f t="shared" si="0"/>
        <v>59.29999999999999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515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23.299999999999997</v>
      </c>
      <c r="I25" s="54">
        <f>SUM(J25)-1.1</f>
        <v>24.4</v>
      </c>
      <c r="J25" s="55">
        <v>25.5</v>
      </c>
      <c r="K25" s="54">
        <f>SUM(J25)+1.6</f>
        <v>27.1</v>
      </c>
      <c r="L25" s="54">
        <f>SUM(K25)+1.1</f>
        <v>28.200000000000003</v>
      </c>
      <c r="M25" s="56">
        <f>SUM(L25)+1.1</f>
        <v>29.300000000000004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4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28</v>
      </c>
      <c r="I27" s="54">
        <f>SUM(J27)-1.3</f>
        <v>29.3</v>
      </c>
      <c r="J27" s="55">
        <v>30.6</v>
      </c>
      <c r="K27" s="54">
        <f>SUM(J27)+1.8</f>
        <v>32.4</v>
      </c>
      <c r="L27" s="54">
        <f>SUM(K27)+1.3</f>
        <v>33.699999999999996</v>
      </c>
      <c r="M27" s="56">
        <f>SUM(L27)+1.3</f>
        <v>34.999999999999993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4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6"/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4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6"/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4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6"/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4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6"/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148">
        <v>18</v>
      </c>
      <c r="B37" s="65" t="s">
        <v>110</v>
      </c>
      <c r="C37" s="66"/>
      <c r="D37" s="61"/>
      <c r="E37" s="61"/>
      <c r="F37" s="61"/>
      <c r="G37" s="61"/>
      <c r="H37" s="54">
        <f>SUM(I37)-0.5</f>
        <v>10</v>
      </c>
      <c r="I37" s="54">
        <f>SUM(J37)-0.5</f>
        <v>10.5</v>
      </c>
      <c r="J37" s="55">
        <v>11</v>
      </c>
      <c r="K37" s="54">
        <f>SUM(J37)+0.5</f>
        <v>11.5</v>
      </c>
      <c r="L37" s="54">
        <f>SUM(K37)+0.5</f>
        <v>12</v>
      </c>
      <c r="M37" s="56">
        <f>SUM(L37)+0.5</f>
        <v>12.5</v>
      </c>
    </row>
    <row r="38" spans="1:13" s="1" customFormat="1" ht="14.1" customHeight="1" x14ac:dyDescent="0.3">
      <c r="A38" s="150"/>
      <c r="B38" s="57" t="s">
        <v>109</v>
      </c>
      <c r="C38" s="58"/>
      <c r="D38" s="46"/>
      <c r="E38" s="47"/>
      <c r="F38" s="47"/>
      <c r="G38" s="59"/>
      <c r="H38" s="40"/>
      <c r="I38" s="40"/>
      <c r="J38" s="42"/>
      <c r="K38" s="40"/>
      <c r="L38" s="40"/>
      <c r="M38" s="44"/>
    </row>
    <row r="39" spans="1:13" s="1" customFormat="1" ht="14.1" customHeight="1" x14ac:dyDescent="0.3">
      <c r="A39" s="148">
        <v>19</v>
      </c>
      <c r="B39" s="65" t="s">
        <v>108</v>
      </c>
      <c r="C39" s="66"/>
      <c r="D39" s="61"/>
      <c r="E39" s="61"/>
      <c r="F39" s="61"/>
      <c r="G39" s="61"/>
      <c r="H39" s="54">
        <f>SUM(I39)-0.5</f>
        <v>10.5</v>
      </c>
      <c r="I39" s="54">
        <f>SUM(J39)-0.5</f>
        <v>11</v>
      </c>
      <c r="J39" s="55">
        <v>11.5</v>
      </c>
      <c r="K39" s="54">
        <f>SUM(J39)+0.5</f>
        <v>12</v>
      </c>
      <c r="L39" s="54">
        <f>SUM(K39)+0.5</f>
        <v>12.5</v>
      </c>
      <c r="M39" s="56">
        <f>SUM(L39)+0.5</f>
        <v>13</v>
      </c>
    </row>
    <row r="40" spans="1:13" s="1" customFormat="1" ht="14.1" customHeight="1" thickBot="1" x14ac:dyDescent="0.35">
      <c r="A40" s="149"/>
      <c r="B40" s="141" t="s">
        <v>107</v>
      </c>
      <c r="C40" s="141"/>
      <c r="D40" s="98"/>
      <c r="E40" s="99"/>
      <c r="F40" s="99"/>
      <c r="G40" s="100"/>
      <c r="H40" s="91"/>
      <c r="I40" s="91"/>
      <c r="J40" s="107"/>
      <c r="K40" s="91"/>
      <c r="L40" s="91"/>
      <c r="M40" s="147"/>
    </row>
    <row r="41" spans="1:13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3F6A-789A-4EC4-A758-0ECD0C49AE83}">
  <sheetPr codeName="Sheet30">
    <tabColor rgb="FFFF0000"/>
    <pageSetUpPr fitToPage="1"/>
  </sheetPr>
  <dimension ref="A1:S51"/>
  <sheetViews>
    <sheetView zoomScale="110" zoomScaleNormal="110" workbookViewId="0">
      <selection activeCell="D10" sqref="D10:G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482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>SUM(K11)+4.5</f>
        <v>79</v>
      </c>
      <c r="M11" s="54">
        <f>SUM(L11)+4.5</f>
        <v>83.5</v>
      </c>
      <c r="N11" s="181">
        <f>SUM(M11)+4.5</f>
        <v>88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66</v>
      </c>
      <c r="I13" s="54">
        <f>SUM(J13)-5</f>
        <v>71</v>
      </c>
      <c r="J13" s="55">
        <v>76</v>
      </c>
      <c r="K13" s="54">
        <f>SUM(J13)+5</f>
        <v>81</v>
      </c>
      <c r="L13" s="54">
        <f>SUM(K13)+5</f>
        <v>86</v>
      </c>
      <c r="M13" s="54">
        <f>SUM(L13)+5</f>
        <v>91</v>
      </c>
      <c r="N13" s="181">
        <f>SUM(M13)+5</f>
        <v>96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/>
      <c r="I15" s="54"/>
      <c r="J15" s="55"/>
      <c r="K15" s="54"/>
      <c r="L15" s="54"/>
      <c r="M15" s="60"/>
      <c r="N15" s="181"/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5"/>
      <c r="N16" s="180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81"/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80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60"/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61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25</v>
      </c>
      <c r="I21" s="54">
        <f>SUM(J21)-2.5</f>
        <v>27.5</v>
      </c>
      <c r="J21" s="55">
        <v>30</v>
      </c>
      <c r="K21" s="54">
        <f>SUM(J21)+2</f>
        <v>32</v>
      </c>
      <c r="L21" s="54">
        <f>SUM(K21)+2</f>
        <v>34</v>
      </c>
      <c r="M21" s="54">
        <f>SUM(L21)+2</f>
        <v>36</v>
      </c>
      <c r="N21" s="160">
        <f>SUM(M21)+2</f>
        <v>38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44.2</v>
      </c>
      <c r="I23" s="54">
        <f>SUM(J23)-2.4</f>
        <v>46.6</v>
      </c>
      <c r="J23" s="55">
        <v>49</v>
      </c>
      <c r="K23" s="54">
        <f>SUM(J23)+2.4</f>
        <v>51.4</v>
      </c>
      <c r="L23" s="54">
        <f>SUM(K23)+2.4</f>
        <v>53.8</v>
      </c>
      <c r="M23" s="54">
        <f>SUM(L23)+2.4</f>
        <v>56.199999999999996</v>
      </c>
      <c r="N23" s="160">
        <f>SUM(M23)+2.4</f>
        <v>58.599999999999994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81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SUM(I37)-0.5</f>
        <v>7</v>
      </c>
      <c r="I37" s="54">
        <f>SUM(J37)-0.5</f>
        <v>7.5</v>
      </c>
      <c r="J37" s="67">
        <v>8</v>
      </c>
      <c r="K37" s="68">
        <f>SUM(J37)+0.5</f>
        <v>8.5</v>
      </c>
      <c r="L37" s="68">
        <f>SUM(K37)+0.5</f>
        <v>9</v>
      </c>
      <c r="M37" s="68">
        <f>SUM(L37)+0.5</f>
        <v>9.5</v>
      </c>
      <c r="N37" s="131">
        <f>SUM(M37)+0.5</f>
        <v>10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SUM(I39)-0.3</f>
        <v>5.9</v>
      </c>
      <c r="I39" s="54">
        <f>SUM(J39)-0.3</f>
        <v>6.2</v>
      </c>
      <c r="J39" s="55">
        <v>6.5</v>
      </c>
      <c r="K39" s="54">
        <f>SUM(J39)+0.3</f>
        <v>6.8</v>
      </c>
      <c r="L39" s="54">
        <f>SUM(K39)+0.3</f>
        <v>7.1</v>
      </c>
      <c r="M39" s="54">
        <f>SUM(L39)+0.3</f>
        <v>7.3999999999999995</v>
      </c>
      <c r="N39" s="181">
        <f>SUM(M39)+0.3</f>
        <v>7.6999999999999993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4"/>
      <c r="N41" s="181"/>
    </row>
    <row r="42" spans="1:14" s="1" customFormat="1" ht="14.1" customHeight="1" x14ac:dyDescent="0.3">
      <c r="A42" s="150"/>
      <c r="B42" s="57"/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81"/>
    </row>
    <row r="44" spans="1:14" s="1" customFormat="1" ht="14.1" customHeight="1" x14ac:dyDescent="0.3">
      <c r="A44" s="148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81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8464-882A-4A39-8BC4-6AF31D4A039C}">
  <sheetPr codeName="Sheet31">
    <tabColor rgb="FFFF0000"/>
    <pageSetUpPr fitToPage="1"/>
  </sheetPr>
  <dimension ref="A1:N51"/>
  <sheetViews>
    <sheetView topLeftCell="A4" zoomScale="110" zoomScaleNormal="110" workbookViewId="0">
      <selection activeCell="H13" sqref="H13:H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65</v>
      </c>
      <c r="I11" s="54">
        <f>SUM(J11)-4.5</f>
        <v>69.5</v>
      </c>
      <c r="J11" s="82">
        <v>74</v>
      </c>
      <c r="K11" s="54">
        <f>SUM(J11)+4.5</f>
        <v>78.5</v>
      </c>
      <c r="L11" s="54">
        <f t="shared" ref="L11:M11" si="0">SUM(K11)+4.5</f>
        <v>83</v>
      </c>
      <c r="M11" s="56">
        <f t="shared" si="0"/>
        <v>87.5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SUM(I13)-5.4</f>
        <v>74.699999999999989</v>
      </c>
      <c r="I13" s="54">
        <f>SUM(J13)-5.4</f>
        <v>80.099999999999994</v>
      </c>
      <c r="J13" s="55">
        <v>85.5</v>
      </c>
      <c r="K13" s="54">
        <f>SUM(J13)+5.4</f>
        <v>90.9</v>
      </c>
      <c r="L13" s="54">
        <f>SUM(K13)+5.4</f>
        <v>96.300000000000011</v>
      </c>
      <c r="M13" s="56">
        <f>SUM(L13)+5.4</f>
        <v>101.70000000000002</v>
      </c>
    </row>
    <row r="14" spans="1:13" s="1" customFormat="1" ht="14.1" customHeight="1" x14ac:dyDescent="0.3">
      <c r="A14" s="150"/>
      <c r="B14" s="70" t="s">
        <v>485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12.700000000000001</v>
      </c>
      <c r="I15" s="54">
        <f>SUM(J15)-0.7</f>
        <v>13.4</v>
      </c>
      <c r="J15" s="55">
        <v>14.1</v>
      </c>
      <c r="K15" s="54">
        <f>SUM(J15)+1.2</f>
        <v>15.299999999999999</v>
      </c>
      <c r="L15" s="54">
        <f>SUM(K15)+0.7</f>
        <v>15.999999999999998</v>
      </c>
      <c r="M15" s="56">
        <f t="shared" ref="M15" si="1">SUM(L15)+0.7</f>
        <v>16.7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25</v>
      </c>
      <c r="I21" s="54">
        <f>SUM(J21)-2.5</f>
        <v>27.5</v>
      </c>
      <c r="J21" s="55">
        <v>30</v>
      </c>
      <c r="K21" s="54">
        <f>SUM(J21)+2</f>
        <v>32</v>
      </c>
      <c r="L21" s="54">
        <f t="shared" ref="L21:M21" si="2">SUM(K21)+2</f>
        <v>34</v>
      </c>
      <c r="M21" s="56">
        <f t="shared" si="2"/>
        <v>36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SUM(I23)-2.6</f>
        <v>45.8</v>
      </c>
      <c r="I23" s="54">
        <f>SUM(J23)-2.6</f>
        <v>48.4</v>
      </c>
      <c r="J23" s="55">
        <v>51</v>
      </c>
      <c r="K23" s="54">
        <f>SUM(J23)+2.6</f>
        <v>53.6</v>
      </c>
      <c r="L23" s="54">
        <f>SUM(K23)+2.6</f>
        <v>56.2</v>
      </c>
      <c r="M23" s="56">
        <f>SUM(L23)+2.6</f>
        <v>58.800000000000004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160">
        <f>SUM(L25)+1.1</f>
        <v>26.800000000000004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27.7</v>
      </c>
      <c r="I27" s="54">
        <f>SUM(J27)-1.3</f>
        <v>29</v>
      </c>
      <c r="J27" s="55">
        <v>30.3</v>
      </c>
      <c r="K27" s="54">
        <f>SUM(J27)+1.8</f>
        <v>32.1</v>
      </c>
      <c r="L27" s="54">
        <f>SUM(K27)+1.3</f>
        <v>33.4</v>
      </c>
      <c r="M27" s="160">
        <f>SUM(L27)+1.3</f>
        <v>34.699999999999996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M29" si="3">SUM(K29)+2.6</f>
        <v>5.2</v>
      </c>
      <c r="M29" s="158">
        <f t="shared" si="3"/>
        <v>7.8000000000000007</v>
      </c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9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60">
        <f>SUM(I31)-1.5</f>
        <v>5.9</v>
      </c>
      <c r="I31" s="54">
        <f>SUM(J31)-1.5</f>
        <v>7.4</v>
      </c>
      <c r="J31" s="55">
        <v>8.9</v>
      </c>
      <c r="K31" s="54">
        <f>SUM(J31)+0.5</f>
        <v>9.4</v>
      </c>
      <c r="L31" s="54">
        <f>SUM(K31)+1</f>
        <v>10.4</v>
      </c>
      <c r="M31" s="160">
        <f>SUM(L31)+1</f>
        <v>11.4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8">
        <f t="shared" ref="M33" si="4">SUM(L33)+2.2</f>
        <v>6.7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8">
        <f t="shared" ref="M35" si="5">SUM(L35)+3.2</f>
        <v>10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9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4.0999999999999996</v>
      </c>
      <c r="I37" s="54">
        <f>SUM(J37)-0.2</f>
        <v>4.3</v>
      </c>
      <c r="J37" s="55">
        <v>4.5</v>
      </c>
      <c r="K37" s="54">
        <f>SUM(J37)+0.2</f>
        <v>4.7</v>
      </c>
      <c r="L37" s="54">
        <f t="shared" ref="L37:M37" si="6">SUM(K37)+0.2</f>
        <v>4.9000000000000004</v>
      </c>
      <c r="M37" s="56">
        <f t="shared" si="6"/>
        <v>5.1000000000000005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2"/>
      <c r="K38" s="40"/>
      <c r="L38" s="40"/>
      <c r="M38" s="4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8.5</v>
      </c>
      <c r="I39" s="54">
        <f>SUM(J39)-0.6</f>
        <v>9.1</v>
      </c>
      <c r="J39" s="55">
        <v>9.6999999999999993</v>
      </c>
      <c r="K39" s="54">
        <f>SUM(J39)+0.6</f>
        <v>10.299999999999999</v>
      </c>
      <c r="L39" s="54">
        <f t="shared" ref="L39:M39" si="7">SUM(K39)+0.6</f>
        <v>10.899999999999999</v>
      </c>
      <c r="M39" s="56">
        <f t="shared" si="7"/>
        <v>11.499999999999998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4" s="1" customFormat="1" ht="14.1" customHeight="1" x14ac:dyDescent="0.3">
      <c r="A41" s="148">
        <v>20</v>
      </c>
      <c r="B41" s="65" t="s">
        <v>486</v>
      </c>
      <c r="C41" s="66"/>
      <c r="D41" s="62"/>
      <c r="E41" s="63"/>
      <c r="F41" s="63"/>
      <c r="G41" s="64"/>
      <c r="H41" s="54">
        <f>SUM(I41)-0.5</f>
        <v>9</v>
      </c>
      <c r="I41" s="54">
        <f>SUM(J41)-0.5</f>
        <v>9.5</v>
      </c>
      <c r="J41" s="55">
        <v>10</v>
      </c>
      <c r="K41" s="54">
        <f>SUM(J41)+0.5</f>
        <v>10.5</v>
      </c>
      <c r="L41" s="54">
        <f>SUM(K41)+0.5</f>
        <v>11</v>
      </c>
      <c r="M41" s="56">
        <f>SUM(L41)+0.5</f>
        <v>11.5</v>
      </c>
    </row>
    <row r="42" spans="1:14" s="1" customFormat="1" ht="14.1" customHeight="1" x14ac:dyDescent="0.3">
      <c r="A42" s="150"/>
      <c r="B42" s="57" t="s">
        <v>487</v>
      </c>
      <c r="C42" s="58"/>
      <c r="D42" s="151" t="s">
        <v>488</v>
      </c>
      <c r="E42" s="152"/>
      <c r="F42" s="152"/>
      <c r="G42" s="153"/>
      <c r="H42" s="40"/>
      <c r="I42" s="40"/>
      <c r="J42" s="42"/>
      <c r="K42" s="40"/>
      <c r="L42" s="40"/>
      <c r="M42" s="44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2"/>
      <c r="E43" s="63"/>
      <c r="F43" s="63"/>
      <c r="G43" s="64"/>
      <c r="H43" s="54">
        <f>SUM(I43)-0.4</f>
        <v>6.6</v>
      </c>
      <c r="I43" s="54">
        <f>SUM(J43)-0.5</f>
        <v>7</v>
      </c>
      <c r="J43" s="55">
        <v>7.5</v>
      </c>
      <c r="K43" s="54">
        <f>SUM(J43)+0.4</f>
        <v>7.9</v>
      </c>
      <c r="L43" s="54">
        <f>SUM(K43)+0.4</f>
        <v>8.3000000000000007</v>
      </c>
      <c r="M43" s="56">
        <f>SUM(L43)+0.5</f>
        <v>8.8000000000000007</v>
      </c>
    </row>
    <row r="44" spans="1:14" s="1" customFormat="1" ht="14.1" customHeight="1" x14ac:dyDescent="0.3">
      <c r="A44" s="150"/>
      <c r="B44" s="105" t="s">
        <v>107</v>
      </c>
      <c r="C44" s="105"/>
      <c r="D44" s="151" t="s">
        <v>489</v>
      </c>
      <c r="E44" s="152"/>
      <c r="F44" s="152"/>
      <c r="G44" s="153"/>
      <c r="H44" s="40"/>
      <c r="I44" s="40"/>
      <c r="J44" s="42"/>
      <c r="K44" s="40"/>
      <c r="L44" s="40"/>
      <c r="M44" s="44"/>
    </row>
    <row r="45" spans="1:14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6"/>
      <c r="N45"/>
    </row>
    <row r="46" spans="1:14" ht="14.1" customHeight="1" x14ac:dyDescent="0.3">
      <c r="A46" s="150"/>
      <c r="B46" s="105"/>
      <c r="C46" s="105"/>
      <c r="D46" s="51"/>
      <c r="E46" s="52"/>
      <c r="F46" s="52"/>
      <c r="G46" s="53"/>
      <c r="H46" s="81"/>
      <c r="I46" s="81"/>
      <c r="J46" s="82"/>
      <c r="K46" s="81"/>
      <c r="L46" s="81"/>
      <c r="M46" s="83"/>
    </row>
    <row r="47" spans="1:14" ht="14.1" customHeight="1" x14ac:dyDescent="0.3">
      <c r="A47" s="148">
        <v>23</v>
      </c>
      <c r="B47" s="65"/>
      <c r="C47" s="66"/>
      <c r="D47" s="61"/>
      <c r="E47" s="61"/>
      <c r="F47" s="61"/>
      <c r="G47" s="61"/>
      <c r="H47" s="54"/>
      <c r="I47" s="54"/>
      <c r="J47" s="55"/>
      <c r="K47" s="54"/>
      <c r="L47" s="54"/>
      <c r="M47" s="56"/>
    </row>
    <row r="48" spans="1:14" ht="14.1" customHeight="1" thickBot="1" x14ac:dyDescent="0.35">
      <c r="A48" s="149"/>
      <c r="B48" s="141"/>
      <c r="C48" s="141"/>
      <c r="D48" s="98"/>
      <c r="E48" s="99"/>
      <c r="F48" s="99"/>
      <c r="G48" s="100"/>
      <c r="H48" s="91"/>
      <c r="I48" s="91"/>
      <c r="J48" s="107"/>
      <c r="K48" s="91"/>
      <c r="L48" s="91"/>
      <c r="M48" s="147"/>
    </row>
    <row r="49" ht="14.1" customHeight="1" x14ac:dyDescent="0.3"/>
    <row r="50" ht="14.1" customHeight="1" x14ac:dyDescent="0.3"/>
    <row r="51" ht="14.1" customHeight="1" x14ac:dyDescent="0.3"/>
  </sheetData>
  <mergeCells count="256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342E-7CA7-49FC-AC83-8EAA01000245}">
  <sheetPr codeName="Sheet32">
    <tabColor rgb="FFFF0000"/>
    <pageSetUpPr fitToPage="1"/>
  </sheetPr>
  <dimension ref="A1:N51"/>
  <sheetViews>
    <sheetView zoomScale="110" zoomScaleNormal="110" workbookViewId="0">
      <selection activeCell="P38" sqref="P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471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47</v>
      </c>
      <c r="I3" s="54">
        <f>SUM(J3)-3</f>
        <v>50</v>
      </c>
      <c r="J3" s="41">
        <v>53</v>
      </c>
      <c r="K3" s="39">
        <f>SUM(J3)+3</f>
        <v>56</v>
      </c>
      <c r="L3" s="39">
        <f>SUM(K3)+3</f>
        <v>59</v>
      </c>
      <c r="M3" s="39">
        <f>SUM(L3)+3</f>
        <v>62</v>
      </c>
      <c r="N3" s="138">
        <f>SUM(M3)+3</f>
        <v>65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>
        <f>SUM(I5)-1.3</f>
        <v>13.899999999999999</v>
      </c>
      <c r="I5" s="54">
        <f>SUM(J5)-1.3</f>
        <v>15.2</v>
      </c>
      <c r="J5" s="82">
        <v>16.5</v>
      </c>
      <c r="K5" s="54">
        <f>SUM(J5)+1.3</f>
        <v>17.8</v>
      </c>
      <c r="L5" s="54">
        <f>SUM(K5)+1.3</f>
        <v>19.100000000000001</v>
      </c>
      <c r="M5" s="54">
        <f>SUM(L5)+1.3</f>
        <v>20.400000000000002</v>
      </c>
      <c r="N5" s="115">
        <f>SUM(M5)+1.3</f>
        <v>21.700000000000003</v>
      </c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>
        <f>SUM(I7)-1.7</f>
        <v>33.099999999999994</v>
      </c>
      <c r="I7" s="54">
        <f>SUM(J7)-1.7</f>
        <v>34.799999999999997</v>
      </c>
      <c r="J7" s="82">
        <v>36.5</v>
      </c>
      <c r="K7" s="54">
        <f>SUM(J7)+1.7</f>
        <v>38.200000000000003</v>
      </c>
      <c r="L7" s="54">
        <f>SUM(K7)+1.7</f>
        <v>39.900000000000006</v>
      </c>
      <c r="M7" s="54">
        <f>SUM(L7)+1.7</f>
        <v>41.600000000000009</v>
      </c>
      <c r="N7" s="115">
        <f>SUM(M7)+1.7</f>
        <v>43.300000000000011</v>
      </c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SUM(I9)-1.7</f>
        <v>37.099999999999994</v>
      </c>
      <c r="I9" s="54">
        <f>SUM(J9)-1.7</f>
        <v>38.799999999999997</v>
      </c>
      <c r="J9" s="82">
        <v>40.5</v>
      </c>
      <c r="K9" s="54">
        <f>SUM(J9)+1.7</f>
        <v>42.2</v>
      </c>
      <c r="L9" s="54">
        <f>SUM(K9)+1.7</f>
        <v>43.900000000000006</v>
      </c>
      <c r="M9" s="54">
        <f>SUM(L9)+1.7</f>
        <v>45.600000000000009</v>
      </c>
      <c r="N9" s="115">
        <f>SUM(M9)+1.7</f>
        <v>47.300000000000011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459</v>
      </c>
      <c r="E10" s="73"/>
      <c r="F10" s="73"/>
      <c r="G10" s="74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>SUM(K11)+4.5</f>
        <v>79</v>
      </c>
      <c r="M11" s="54">
        <f>SUM(L11)+4.5</f>
        <v>83.5</v>
      </c>
      <c r="N11" s="115">
        <f>SUM(M11)+4.5</f>
        <v>88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68.900000000000006</v>
      </c>
      <c r="I13" s="54">
        <f>SUM(J13)-5</f>
        <v>73.900000000000006</v>
      </c>
      <c r="J13" s="55">
        <v>78.900000000000006</v>
      </c>
      <c r="K13" s="54">
        <f>SUM(J13)+5</f>
        <v>83.9</v>
      </c>
      <c r="L13" s="54">
        <f>SUM(K13)+5</f>
        <v>88.9</v>
      </c>
      <c r="M13" s="54">
        <f>SUM(L13)+5</f>
        <v>93.9</v>
      </c>
      <c r="N13" s="115">
        <f>SUM(M13)+5</f>
        <v>98.9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116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14.100000000000001</v>
      </c>
      <c r="I15" s="54">
        <f>SUM(J15)-0.7</f>
        <v>14.8</v>
      </c>
      <c r="J15" s="55">
        <v>15.5</v>
      </c>
      <c r="K15" s="54">
        <f>SUM(J15)+1.2</f>
        <v>16.7</v>
      </c>
      <c r="L15" s="54">
        <f>SUM(K15)+0.7</f>
        <v>17.399999999999999</v>
      </c>
      <c r="M15" s="54">
        <f t="shared" ref="M15:N15" si="0">SUM(L15)+0.7</f>
        <v>18.099999999999998</v>
      </c>
      <c r="N15" s="115">
        <f t="shared" si="0"/>
        <v>18.799999999999997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0"/>
      <c r="N16" s="116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81"/>
    </row>
    <row r="18" spans="1:14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45"/>
      <c r="N18" s="180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15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</f>
        <v>23.5</v>
      </c>
      <c r="I21" s="54">
        <f>SUM(J21)-2</f>
        <v>25.5</v>
      </c>
      <c r="J21" s="55">
        <v>27.5</v>
      </c>
      <c r="K21" s="54">
        <f>SUM(J21)+1.5</f>
        <v>29</v>
      </c>
      <c r="L21" s="54">
        <f>SUM(K21)+1.5</f>
        <v>30.5</v>
      </c>
      <c r="M21" s="54">
        <f>SUM(L21)+1.5</f>
        <v>32</v>
      </c>
      <c r="N21" s="115">
        <f>SUM(M21)+1.5</f>
        <v>33.5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16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SUM(I23)-2.9</f>
        <v>46.2</v>
      </c>
      <c r="I23" s="54">
        <f>SUM(J23)-2.9</f>
        <v>49.1</v>
      </c>
      <c r="J23" s="55">
        <v>52</v>
      </c>
      <c r="K23" s="54">
        <f>SUM(J23)+2.7</f>
        <v>54.7</v>
      </c>
      <c r="L23" s="54">
        <f>SUM(K23)+2.7</f>
        <v>57.400000000000006</v>
      </c>
      <c r="M23" s="54">
        <f>SUM(L23)+2.7</f>
        <v>60.100000000000009</v>
      </c>
      <c r="N23" s="115">
        <f>SUM(M23)+2.7</f>
        <v>62.800000000000011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16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21.799999999999997</v>
      </c>
      <c r="I25" s="54">
        <f>SUM(J25)-1.1</f>
        <v>22.9</v>
      </c>
      <c r="J25" s="55">
        <v>24</v>
      </c>
      <c r="K25" s="54">
        <f>SUM(J25)+1.6</f>
        <v>25.6</v>
      </c>
      <c r="L25" s="54">
        <f>SUM(K25)+1.1</f>
        <v>26.700000000000003</v>
      </c>
      <c r="M25" s="60">
        <f>SUM(L25)+1.1</f>
        <v>27.800000000000004</v>
      </c>
      <c r="N25" s="181">
        <f>SUM(M25)+1.1</f>
        <v>28.900000000000006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26.599999999999998</v>
      </c>
      <c r="I27" s="54">
        <f>SUM(J27)-1.3</f>
        <v>27.9</v>
      </c>
      <c r="J27" s="55">
        <v>29.2</v>
      </c>
      <c r="K27" s="54">
        <f>SUM(J27)+1.8</f>
        <v>31</v>
      </c>
      <c r="L27" s="54">
        <f>SUM(K27)+1.3</f>
        <v>32.299999999999997</v>
      </c>
      <c r="M27" s="60">
        <f>SUM(L27)+1.3</f>
        <v>33.599999999999994</v>
      </c>
      <c r="N27" s="181">
        <f>SUM(M27)+1.3</f>
        <v>34.899999999999991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15"/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16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SUM(I31)-1</f>
        <v>4.5</v>
      </c>
      <c r="I31" s="54">
        <f>SUM(J31)-1</f>
        <v>5.5</v>
      </c>
      <c r="J31" s="55">
        <v>6.5</v>
      </c>
      <c r="K31" s="54">
        <f>SUM(J31)</f>
        <v>6.5</v>
      </c>
      <c r="L31" s="54">
        <f>SUM(K31)+0.5</f>
        <v>7</v>
      </c>
      <c r="M31" s="54">
        <f>SUM(L31)+0.5</f>
        <v>7.5</v>
      </c>
      <c r="N31" s="115">
        <f>SUM(M31)+0.5</f>
        <v>8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15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15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16"/>
    </row>
    <row r="37" spans="1:14" s="1" customFormat="1" ht="14.1" customHeight="1" x14ac:dyDescent="0.3">
      <c r="A37" s="148">
        <v>18</v>
      </c>
      <c r="B37" s="65" t="s">
        <v>472</v>
      </c>
      <c r="C37" s="66"/>
      <c r="D37" s="62"/>
      <c r="E37" s="63"/>
      <c r="F37" s="63"/>
      <c r="G37" s="64"/>
      <c r="H37" s="54">
        <f>SUM(I37)-2.2</f>
        <v>24.7</v>
      </c>
      <c r="I37" s="54">
        <f>SUM(J37)-2.3</f>
        <v>26.9</v>
      </c>
      <c r="J37" s="67">
        <v>29.2</v>
      </c>
      <c r="K37" s="68">
        <f>SUM(J37)+1.8</f>
        <v>31</v>
      </c>
      <c r="L37" s="68">
        <f>SUM(K37)+1.7</f>
        <v>32.700000000000003</v>
      </c>
      <c r="M37" s="68">
        <f>SUM(L37)+1.8</f>
        <v>34.5</v>
      </c>
      <c r="N37" s="117">
        <f>SUM(M37)+1.7</f>
        <v>36.200000000000003</v>
      </c>
    </row>
    <row r="38" spans="1:14" s="1" customFormat="1" ht="14.1" customHeight="1" x14ac:dyDescent="0.3">
      <c r="A38" s="150"/>
      <c r="B38" s="70" t="s">
        <v>473</v>
      </c>
      <c r="C38" s="71"/>
      <c r="D38" s="151" t="s">
        <v>474</v>
      </c>
      <c r="E38" s="152"/>
      <c r="F38" s="152"/>
      <c r="G38" s="153"/>
      <c r="H38" s="40"/>
      <c r="I38" s="40"/>
      <c r="J38" s="67"/>
      <c r="K38" s="68"/>
      <c r="L38" s="68"/>
      <c r="M38" s="68"/>
      <c r="N38" s="117"/>
    </row>
    <row r="39" spans="1:14" s="1" customFormat="1" ht="14.1" customHeight="1" x14ac:dyDescent="0.3">
      <c r="A39" s="148">
        <v>19</v>
      </c>
      <c r="B39" s="65" t="s">
        <v>110</v>
      </c>
      <c r="C39" s="66"/>
      <c r="D39" s="61"/>
      <c r="E39" s="61"/>
      <c r="F39" s="61"/>
      <c r="G39" s="61"/>
      <c r="H39" s="54">
        <f>SUM(I39)-0.5</f>
        <v>10.5</v>
      </c>
      <c r="I39" s="54">
        <f>SUM(J39)-0.5</f>
        <v>11</v>
      </c>
      <c r="J39" s="55">
        <v>11.5</v>
      </c>
      <c r="K39" s="54">
        <f>SUM(J39)+0.5</f>
        <v>12</v>
      </c>
      <c r="L39" s="54">
        <f>SUM(K39)+0.5</f>
        <v>12.5</v>
      </c>
      <c r="M39" s="54">
        <f>SUM(L39)+0.5</f>
        <v>13</v>
      </c>
      <c r="N39" s="115">
        <f>SUM(M39)+0.5</f>
        <v>13.5</v>
      </c>
    </row>
    <row r="40" spans="1:14" s="1" customFormat="1" ht="14.1" customHeight="1" x14ac:dyDescent="0.3">
      <c r="A40" s="150"/>
      <c r="B40" s="57" t="s">
        <v>109</v>
      </c>
      <c r="C40" s="58"/>
      <c r="D40" s="46"/>
      <c r="E40" s="47"/>
      <c r="F40" s="47"/>
      <c r="G40" s="59"/>
      <c r="H40" s="40"/>
      <c r="I40" s="40"/>
      <c r="J40" s="42"/>
      <c r="K40" s="40"/>
      <c r="L40" s="40"/>
      <c r="M40" s="40"/>
      <c r="N40" s="116"/>
    </row>
    <row r="41" spans="1:14" s="1" customFormat="1" ht="14.1" customHeight="1" x14ac:dyDescent="0.3">
      <c r="A41" s="148">
        <v>20</v>
      </c>
      <c r="B41" s="65" t="s">
        <v>108</v>
      </c>
      <c r="C41" s="66"/>
      <c r="D41" s="61"/>
      <c r="E41" s="61"/>
      <c r="F41" s="61"/>
      <c r="G41" s="61"/>
      <c r="H41" s="54">
        <f>SUM(I41)-0.5</f>
        <v>10.5</v>
      </c>
      <c r="I41" s="54">
        <f>SUM(J41)-0.5</f>
        <v>11</v>
      </c>
      <c r="J41" s="55">
        <v>11.5</v>
      </c>
      <c r="K41" s="54">
        <f>SUM(J41)+0.5</f>
        <v>12</v>
      </c>
      <c r="L41" s="54">
        <f>SUM(K41)+0.5</f>
        <v>12.5</v>
      </c>
      <c r="M41" s="54">
        <f>SUM(L41)+0.5</f>
        <v>13</v>
      </c>
      <c r="N41" s="115">
        <f>SUM(M41)+0.5</f>
        <v>13.5</v>
      </c>
    </row>
    <row r="42" spans="1:14" s="1" customFormat="1" ht="14.1" customHeight="1" x14ac:dyDescent="0.3">
      <c r="A42" s="150"/>
      <c r="B42" s="105" t="s">
        <v>107</v>
      </c>
      <c r="C42" s="105"/>
      <c r="D42" s="51"/>
      <c r="E42" s="52"/>
      <c r="F42" s="52"/>
      <c r="G42" s="53"/>
      <c r="H42" s="81"/>
      <c r="I42" s="81"/>
      <c r="J42" s="82"/>
      <c r="K42" s="81"/>
      <c r="L42" s="81"/>
      <c r="M42" s="81"/>
      <c r="N42" s="139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15"/>
    </row>
    <row r="44" spans="1:14" s="1" customFormat="1" ht="14.1" customHeight="1" x14ac:dyDescent="0.3">
      <c r="A44" s="150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39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56"/>
    </row>
    <row r="46" spans="1:14" ht="14.1" customHeight="1" x14ac:dyDescent="0.3">
      <c r="A46" s="150"/>
      <c r="B46" s="57"/>
      <c r="C46" s="58"/>
      <c r="D46" s="46"/>
      <c r="E46" s="47"/>
      <c r="F46" s="47"/>
      <c r="G46" s="59"/>
      <c r="H46" s="40"/>
      <c r="I46" s="40"/>
      <c r="J46" s="42"/>
      <c r="K46" s="40"/>
      <c r="L46" s="40"/>
      <c r="M46" s="40"/>
      <c r="N46" s="44"/>
    </row>
    <row r="47" spans="1:14" ht="14.1" customHeight="1" x14ac:dyDescent="0.3">
      <c r="A47" s="191">
        <v>23</v>
      </c>
      <c r="B47" s="79"/>
      <c r="C47" s="80"/>
      <c r="D47" s="106"/>
      <c r="E47" s="106"/>
      <c r="F47" s="106"/>
      <c r="G47" s="106"/>
      <c r="H47" s="81"/>
      <c r="I47" s="81"/>
      <c r="J47" s="82"/>
      <c r="K47" s="81"/>
      <c r="L47" s="81"/>
      <c r="M47" s="54"/>
      <c r="N47" s="139"/>
    </row>
    <row r="48" spans="1:14" ht="14.1" customHeight="1" thickBot="1" x14ac:dyDescent="0.35">
      <c r="A48" s="149"/>
      <c r="B48" s="141"/>
      <c r="C48" s="141"/>
      <c r="D48" s="98"/>
      <c r="E48" s="99"/>
      <c r="F48" s="99"/>
      <c r="G48" s="100"/>
      <c r="H48" s="91"/>
      <c r="I48" s="91"/>
      <c r="J48" s="107"/>
      <c r="K48" s="91"/>
      <c r="L48" s="91"/>
      <c r="M48" s="91"/>
      <c r="N48" s="140"/>
    </row>
    <row r="49" ht="14.1" customHeight="1" x14ac:dyDescent="0.3"/>
    <row r="50" ht="14.1" customHeight="1" x14ac:dyDescent="0.3"/>
    <row r="51" ht="14.1" customHeight="1" x14ac:dyDescent="0.3"/>
  </sheetData>
  <mergeCells count="279"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9027-788F-42D5-A864-5F7379E43A08}">
  <sheetPr codeName="Sheet33">
    <tabColor rgb="FFFF0000"/>
    <pageSetUpPr fitToPage="1"/>
  </sheetPr>
  <dimension ref="A1:N51"/>
  <sheetViews>
    <sheetView topLeftCell="A4" zoomScale="110" zoomScaleNormal="110" workbookViewId="0">
      <selection activeCell="I23" sqref="I23:I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38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39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39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37.599999999999994</v>
      </c>
      <c r="I9" s="54">
        <f>SUM(J9)-2.2</f>
        <v>39.799999999999997</v>
      </c>
      <c r="J9" s="82">
        <v>42</v>
      </c>
      <c r="K9" s="54">
        <f>SUM(J9)+2.2</f>
        <v>44.2</v>
      </c>
      <c r="L9" s="54">
        <f>SUM(K9)+2.2</f>
        <v>46.400000000000006</v>
      </c>
      <c r="M9" s="54">
        <f>SUM(L9)+2.2</f>
        <v>48.600000000000009</v>
      </c>
      <c r="N9" s="115">
        <f>SUM(M9)+2.2</f>
        <v>50.800000000000011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459</v>
      </c>
      <c r="E10" s="73"/>
      <c r="F10" s="73"/>
      <c r="G10" s="74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59.2</v>
      </c>
      <c r="I11" s="54">
        <f>SUM(J11)-4.5</f>
        <v>63.7</v>
      </c>
      <c r="J11" s="82">
        <v>68.2</v>
      </c>
      <c r="K11" s="54">
        <f>SUM(J11)+4.5</f>
        <v>72.7</v>
      </c>
      <c r="L11" s="54">
        <f>SUM(K11)+4.5</f>
        <v>77.2</v>
      </c>
      <c r="M11" s="54">
        <f>SUM(L11)+4.5</f>
        <v>81.7</v>
      </c>
      <c r="N11" s="115">
        <f>SUM(M11)+4.5</f>
        <v>86.2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61.400000000000006</v>
      </c>
      <c r="I13" s="54">
        <f>SUM(J13)-5</f>
        <v>66.400000000000006</v>
      </c>
      <c r="J13" s="55">
        <v>71.400000000000006</v>
      </c>
      <c r="K13" s="54">
        <f>SUM(J13)+5</f>
        <v>76.400000000000006</v>
      </c>
      <c r="L13" s="54">
        <f>SUM(K13)+5</f>
        <v>81.400000000000006</v>
      </c>
      <c r="M13" s="54">
        <f>SUM(L13)+5</f>
        <v>86.4</v>
      </c>
      <c r="N13" s="115">
        <f>SUM(M13)+5</f>
        <v>91.4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116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11.700000000000001</v>
      </c>
      <c r="I15" s="54">
        <f>SUM(J15)-0.7</f>
        <v>12.4</v>
      </c>
      <c r="J15" s="55">
        <v>13.1</v>
      </c>
      <c r="K15" s="54">
        <f>SUM(J15)+1.2</f>
        <v>14.299999999999999</v>
      </c>
      <c r="L15" s="54">
        <f>SUM(K15)+0.7</f>
        <v>14.999999999999998</v>
      </c>
      <c r="M15" s="54">
        <f t="shared" ref="M15:N15" si="0">SUM(L15)+0.7</f>
        <v>15.699999999999998</v>
      </c>
      <c r="N15" s="115">
        <f t="shared" si="0"/>
        <v>16.399999999999999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0"/>
      <c r="N16" s="116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54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 t="shared" ref="M17" si="1">SUM(L17)+0.7</f>
        <v>13.099999999999998</v>
      </c>
      <c r="N17" s="115">
        <f t="shared" ref="N17" si="2">SUM(M17)+0.7</f>
        <v>13.799999999999997</v>
      </c>
    </row>
    <row r="18" spans="1:14" s="1" customFormat="1" ht="14.1" customHeight="1" x14ac:dyDescent="0.3">
      <c r="A18" s="150"/>
      <c r="B18" s="70" t="s">
        <v>140</v>
      </c>
      <c r="C18" s="71"/>
      <c r="D18" s="162" t="s">
        <v>378</v>
      </c>
      <c r="E18" s="163"/>
      <c r="F18" s="163"/>
      <c r="G18" s="164"/>
      <c r="H18" s="40"/>
      <c r="I18" s="40"/>
      <c r="J18" s="42"/>
      <c r="K18" s="40"/>
      <c r="L18" s="40"/>
      <c r="M18" s="40"/>
      <c r="N18" s="116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v>2.8</v>
      </c>
      <c r="I19" s="54">
        <v>2.8</v>
      </c>
      <c r="J19" s="55">
        <v>2.8</v>
      </c>
      <c r="K19" s="54">
        <v>3.3</v>
      </c>
      <c r="L19" s="54">
        <v>3.3</v>
      </c>
      <c r="M19" s="54">
        <v>3.3</v>
      </c>
      <c r="N19" s="115">
        <v>3.3</v>
      </c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SUM(I21)-4.5</f>
        <v>39.5</v>
      </c>
      <c r="I21" s="54">
        <f>SUM(J21)-4.5</f>
        <v>44</v>
      </c>
      <c r="J21" s="55">
        <v>48.5</v>
      </c>
      <c r="K21" s="54">
        <f>SUM(J21)+4</f>
        <v>52.5</v>
      </c>
      <c r="L21" s="54">
        <f>SUM(K21)+4</f>
        <v>56.5</v>
      </c>
      <c r="M21" s="54">
        <f>SUM(L21)+4</f>
        <v>60.5</v>
      </c>
      <c r="N21" s="115">
        <f>SUM(M21)+4</f>
        <v>64.5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16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SUM(I23)-1.6</f>
        <v>25.799999999999997</v>
      </c>
      <c r="I23" s="54">
        <f>SUM(J23)-1.6</f>
        <v>27.4</v>
      </c>
      <c r="J23" s="55">
        <v>29</v>
      </c>
      <c r="K23" s="54">
        <f>SUM(J23)+1.6</f>
        <v>30.6</v>
      </c>
      <c r="L23" s="54">
        <f>SUM(K23)+1.6</f>
        <v>32.200000000000003</v>
      </c>
      <c r="M23" s="54">
        <f>SUM(L23)+1.6</f>
        <v>33.800000000000004</v>
      </c>
      <c r="N23" s="115">
        <f>SUM(M23)+1.6</f>
        <v>35.400000000000006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16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18.799999999999997</v>
      </c>
      <c r="I25" s="54">
        <f>SUM(J25)-1.1</f>
        <v>19.899999999999999</v>
      </c>
      <c r="J25" s="55">
        <v>21</v>
      </c>
      <c r="K25" s="54">
        <f>SUM(J25)+1.6</f>
        <v>22.6</v>
      </c>
      <c r="L25" s="54">
        <f>SUM(K25)+1.1</f>
        <v>23.700000000000003</v>
      </c>
      <c r="M25" s="60">
        <f>SUM(L25)+1.1</f>
        <v>24.800000000000004</v>
      </c>
      <c r="N25" s="181">
        <f>SUM(M25)+1.1</f>
        <v>25.900000000000006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24.599999999999998</v>
      </c>
      <c r="I27" s="54">
        <f>SUM(J27)-1.3</f>
        <v>25.9</v>
      </c>
      <c r="J27" s="55">
        <v>27.2</v>
      </c>
      <c r="K27" s="54">
        <f>SUM(J27)+1.8</f>
        <v>29</v>
      </c>
      <c r="L27" s="54">
        <f>SUM(K27)+1.3</f>
        <v>30.3</v>
      </c>
      <c r="M27" s="60">
        <f>SUM(L27)+1.3</f>
        <v>31.6</v>
      </c>
      <c r="N27" s="181">
        <f>SUM(M27)+1.3</f>
        <v>32.9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>
        <f>SUM(I29)-3.2</f>
        <v>34.999999999999993</v>
      </c>
      <c r="I29" s="54">
        <f>SUM(J29)-3.2</f>
        <v>38.199999999999996</v>
      </c>
      <c r="J29" s="55">
        <v>41.4</v>
      </c>
      <c r="K29" s="54">
        <f>SUM(J29)+3.1</f>
        <v>44.5</v>
      </c>
      <c r="L29" s="54">
        <f>SUM(K29)+3.1</f>
        <v>47.6</v>
      </c>
      <c r="M29" s="54">
        <f>SUM(L29)+3.1</f>
        <v>50.7</v>
      </c>
      <c r="N29" s="115">
        <f>SUM(M29)+3.1</f>
        <v>53.800000000000004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16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SUM(I31)-3.5</f>
        <v>21.4</v>
      </c>
      <c r="I31" s="54">
        <f>SUM(J31)-3.5</f>
        <v>24.9</v>
      </c>
      <c r="J31" s="55">
        <v>28.4</v>
      </c>
      <c r="K31" s="54">
        <f>SUM(J31)+2.5</f>
        <v>30.9</v>
      </c>
      <c r="L31" s="54">
        <f>SUM(K31)+3</f>
        <v>33.9</v>
      </c>
      <c r="M31" s="54">
        <f>SUM(L31)+3</f>
        <v>36.9</v>
      </c>
      <c r="N31" s="115">
        <f>SUM(M31)+3</f>
        <v>39.9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15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15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16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SUM(I37)-0.5</f>
        <v>8</v>
      </c>
      <c r="I37" s="54">
        <f>SUM(J37)-0.5</f>
        <v>8.5</v>
      </c>
      <c r="J37" s="67">
        <v>9</v>
      </c>
      <c r="K37" s="68">
        <f>SUM(J37)+0.5</f>
        <v>9.5</v>
      </c>
      <c r="L37" s="68">
        <f>SUM(K37)+0.5</f>
        <v>10</v>
      </c>
      <c r="M37" s="68">
        <f>SUM(L37)+0.5</f>
        <v>10.5</v>
      </c>
      <c r="N37" s="117">
        <f>SUM(M37)+0.5</f>
        <v>11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17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SUM(I39)-0.3</f>
        <v>5.4</v>
      </c>
      <c r="I39" s="54">
        <f>SUM(J39)-0.3</f>
        <v>5.7</v>
      </c>
      <c r="J39" s="55">
        <v>6</v>
      </c>
      <c r="K39" s="54">
        <f>SUM(J39)+0.3</f>
        <v>6.3</v>
      </c>
      <c r="L39" s="54">
        <f>SUM(K39)+0.3</f>
        <v>6.6</v>
      </c>
      <c r="M39" s="54">
        <f>SUM(L39)+0.3</f>
        <v>6.8999999999999995</v>
      </c>
      <c r="N39" s="115">
        <f>SUM(M39)+0.3</f>
        <v>7.1999999999999993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16"/>
    </row>
    <row r="41" spans="1:14" s="1" customFormat="1" ht="14.1" customHeight="1" x14ac:dyDescent="0.3">
      <c r="A41" s="148">
        <v>20</v>
      </c>
      <c r="B41" s="65" t="s">
        <v>460</v>
      </c>
      <c r="C41" s="66"/>
      <c r="D41" s="61"/>
      <c r="E41" s="61"/>
      <c r="F41" s="61"/>
      <c r="G41" s="61"/>
      <c r="H41" s="54">
        <f>SUM(I41)-0.5</f>
        <v>9</v>
      </c>
      <c r="I41" s="54">
        <f>SUM(J41)-0.5</f>
        <v>9.5</v>
      </c>
      <c r="J41" s="55">
        <v>10</v>
      </c>
      <c r="K41" s="54">
        <f>SUM(J41)+0.5</f>
        <v>10.5</v>
      </c>
      <c r="L41" s="54">
        <f>SUM(K41)+0.5</f>
        <v>11</v>
      </c>
      <c r="M41" s="54">
        <f>SUM(L41)+0.5</f>
        <v>11.5</v>
      </c>
      <c r="N41" s="115">
        <f>SUM(M41)+0.5</f>
        <v>12</v>
      </c>
    </row>
    <row r="42" spans="1:14" s="1" customFormat="1" ht="14.1" customHeight="1" x14ac:dyDescent="0.3">
      <c r="A42" s="150"/>
      <c r="B42" s="57" t="s">
        <v>461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16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15"/>
    </row>
    <row r="44" spans="1:14" s="1" customFormat="1" ht="14.1" customHeight="1" x14ac:dyDescent="0.3">
      <c r="A44" s="150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39"/>
    </row>
    <row r="45" spans="1:14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15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40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B39:C39"/>
    <mergeCell ref="D39:G39"/>
    <mergeCell ref="H39:H40"/>
    <mergeCell ref="I39:I40"/>
    <mergeCell ref="H43:H44"/>
    <mergeCell ref="I43:I44"/>
    <mergeCell ref="A41:A42"/>
    <mergeCell ref="B41:C41"/>
    <mergeCell ref="D41:G41"/>
    <mergeCell ref="H41:H42"/>
    <mergeCell ref="I41:I42"/>
    <mergeCell ref="J41:J42"/>
    <mergeCell ref="J39:J40"/>
    <mergeCell ref="A39:A40"/>
    <mergeCell ref="N5:N6"/>
    <mergeCell ref="N7:N8"/>
    <mergeCell ref="N9:N10"/>
    <mergeCell ref="N11:N12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3:A44"/>
    <mergeCell ref="B43:C43"/>
    <mergeCell ref="D43:G43"/>
    <mergeCell ref="N37:N38"/>
    <mergeCell ref="N39:N40"/>
    <mergeCell ref="N41:N42"/>
    <mergeCell ref="N43:N44"/>
    <mergeCell ref="N45:N46"/>
    <mergeCell ref="A1:N1"/>
    <mergeCell ref="N25:N26"/>
    <mergeCell ref="N27:N28"/>
    <mergeCell ref="N29:N30"/>
    <mergeCell ref="N31:N32"/>
    <mergeCell ref="N33:N34"/>
    <mergeCell ref="N35:N36"/>
    <mergeCell ref="N13:N14"/>
    <mergeCell ref="N15:N16"/>
    <mergeCell ref="N17:N18"/>
    <mergeCell ref="N19:N20"/>
    <mergeCell ref="N21:N22"/>
    <mergeCell ref="N23:N24"/>
    <mergeCell ref="K45:K46"/>
    <mergeCell ref="L45:L46"/>
    <mergeCell ref="M45:M46"/>
    <mergeCell ref="B46:C46"/>
    <mergeCell ref="D46:G46"/>
    <mergeCell ref="N3:N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EA90-24BC-48E9-8598-87DE932D8A8C}">
  <sheetPr>
    <tabColor rgb="FFFF0000"/>
    <pageSetUpPr fitToPage="1"/>
  </sheetPr>
  <dimension ref="A1:N61"/>
  <sheetViews>
    <sheetView zoomScale="110" zoomScaleNormal="110" workbookViewId="0">
      <selection sqref="A1:M6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1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/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/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65</v>
      </c>
      <c r="I11" s="54">
        <f>SUM(J11)-4.5</f>
        <v>69.5</v>
      </c>
      <c r="J11" s="82">
        <v>74</v>
      </c>
      <c r="K11" s="54">
        <f>SUM(J11)+4.5</f>
        <v>78.5</v>
      </c>
      <c r="L11" s="54">
        <f t="shared" ref="L11" si="0">SUM(K11)+4.5</f>
        <v>83</v>
      </c>
      <c r="M11" s="56"/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78.5</v>
      </c>
      <c r="I13" s="54">
        <f>SUM(J13)-5</f>
        <v>83.5</v>
      </c>
      <c r="J13" s="55">
        <v>88.5</v>
      </c>
      <c r="K13" s="54">
        <f>SUM(J13)+5</f>
        <v>93.5</v>
      </c>
      <c r="L13" s="54">
        <f t="shared" ref="L13" si="1">SUM(K13)+5</f>
        <v>98.5</v>
      </c>
      <c r="M13" s="56"/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15.600000000000001</v>
      </c>
      <c r="I15" s="54">
        <f>SUM(J15)-0.7</f>
        <v>16.3</v>
      </c>
      <c r="J15" s="55">
        <v>17</v>
      </c>
      <c r="K15" s="54">
        <f>SUM(J15)+1.2</f>
        <v>18.2</v>
      </c>
      <c r="L15" s="54">
        <f>SUM(K15)+0.7</f>
        <v>18.899999999999999</v>
      </c>
      <c r="M15" s="56"/>
    </row>
    <row r="16" spans="1:14" s="1" customFormat="1" ht="14.1" customHeight="1" x14ac:dyDescent="0.3">
      <c r="A16" s="150"/>
      <c r="B16" s="70" t="s">
        <v>115</v>
      </c>
      <c r="C16" s="71"/>
      <c r="D16" s="162" t="s">
        <v>540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26.3</v>
      </c>
      <c r="I21" s="54">
        <f>SUM(J21)-2.5</f>
        <v>28.8</v>
      </c>
      <c r="J21" s="55">
        <v>31.3</v>
      </c>
      <c r="K21" s="54">
        <f>SUM(J21)+2</f>
        <v>33.299999999999997</v>
      </c>
      <c r="L21" s="54">
        <f>SUM(K21)+2</f>
        <v>35.299999999999997</v>
      </c>
      <c r="M21" s="56"/>
    </row>
    <row r="22" spans="1:13" s="1" customFormat="1" ht="14.1" customHeight="1" x14ac:dyDescent="0.3">
      <c r="A22" s="150"/>
      <c r="B22" s="70" t="s">
        <v>691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SUM(I23)-3.3</f>
        <v>56.400000000000006</v>
      </c>
      <c r="I23" s="54">
        <f>SUM(J23)-3.3</f>
        <v>59.7</v>
      </c>
      <c r="J23" s="55">
        <v>63</v>
      </c>
      <c r="K23" s="54">
        <f>SUM(J23)+3.3</f>
        <v>66.3</v>
      </c>
      <c r="L23" s="54">
        <f>SUM(K23)+3.3</f>
        <v>69.599999999999994</v>
      </c>
      <c r="M23" s="56"/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23.9</v>
      </c>
      <c r="I25" s="54">
        <f>SUM(J25)-1.1</f>
        <v>25</v>
      </c>
      <c r="J25" s="55">
        <v>26.1</v>
      </c>
      <c r="K25" s="54">
        <f>SUM(J25)+1.6</f>
        <v>27.700000000000003</v>
      </c>
      <c r="L25" s="54">
        <f>SUM(K25)+1.1</f>
        <v>28.800000000000004</v>
      </c>
      <c r="M25" s="160"/>
    </row>
    <row r="26" spans="1:13" s="1" customFormat="1" ht="14.1" customHeight="1" x14ac:dyDescent="0.3">
      <c r="A26" s="150"/>
      <c r="B26" s="70" t="s">
        <v>692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28.5</v>
      </c>
      <c r="I27" s="54">
        <f>SUM(J27)-1.3</f>
        <v>29.8</v>
      </c>
      <c r="J27" s="55">
        <v>31.1</v>
      </c>
      <c r="K27" s="54">
        <f>SUM(J27)+1.8</f>
        <v>32.9</v>
      </c>
      <c r="L27" s="54">
        <f>SUM(K27)+1.3</f>
        <v>34.199999999999996</v>
      </c>
      <c r="M27" s="160"/>
    </row>
    <row r="28" spans="1:13" s="1" customFormat="1" ht="14.1" customHeight="1" x14ac:dyDescent="0.3">
      <c r="A28" s="150"/>
      <c r="B28" s="70" t="s">
        <v>693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60"/>
      <c r="I29" s="54"/>
      <c r="J29" s="55"/>
      <c r="K29" s="54"/>
      <c r="L29" s="54"/>
      <c r="M29" s="160"/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60"/>
      <c r="I31" s="54"/>
      <c r="J31" s="55"/>
      <c r="K31" s="54"/>
      <c r="L31" s="54"/>
      <c r="M31" s="160"/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8"/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9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8"/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9"/>
    </row>
    <row r="37" spans="1:13" s="1" customFormat="1" ht="14.1" customHeight="1" x14ac:dyDescent="0.3">
      <c r="A37" s="148">
        <v>18</v>
      </c>
      <c r="B37" s="65" t="s">
        <v>444</v>
      </c>
      <c r="C37" s="66"/>
      <c r="D37" s="62"/>
      <c r="E37" s="63"/>
      <c r="F37" s="63"/>
      <c r="G37" s="64"/>
      <c r="H37" s="54">
        <f>SUM(I37)-0.4</f>
        <v>7.1999999999999993</v>
      </c>
      <c r="I37" s="54">
        <f>SUM(J37)-0.4</f>
        <v>7.6</v>
      </c>
      <c r="J37" s="82">
        <v>8</v>
      </c>
      <c r="K37" s="54">
        <f>SUM(J37)+0.4</f>
        <v>8.4</v>
      </c>
      <c r="L37" s="54">
        <f t="shared" ref="L37" si="2">SUM(K37)+0.4</f>
        <v>8.8000000000000007</v>
      </c>
      <c r="M37" s="56"/>
    </row>
    <row r="38" spans="1:13" s="1" customFormat="1" ht="14.1" customHeight="1" x14ac:dyDescent="0.3">
      <c r="A38" s="150"/>
      <c r="B38" s="70" t="s">
        <v>445</v>
      </c>
      <c r="C38" s="71"/>
      <c r="D38" s="151" t="s">
        <v>694</v>
      </c>
      <c r="E38" s="152"/>
      <c r="F38" s="152"/>
      <c r="G38" s="153"/>
      <c r="H38" s="40"/>
      <c r="I38" s="40"/>
      <c r="J38" s="42"/>
      <c r="K38" s="40"/>
      <c r="L38" s="40"/>
      <c r="M38" s="44"/>
    </row>
    <row r="39" spans="1:13" s="1" customFormat="1" ht="14.1" customHeight="1" x14ac:dyDescent="0.3">
      <c r="A39" s="78">
        <v>19</v>
      </c>
      <c r="B39" s="65" t="s">
        <v>446</v>
      </c>
      <c r="C39" s="66"/>
      <c r="D39" s="62"/>
      <c r="E39" s="63"/>
      <c r="F39" s="63"/>
      <c r="G39" s="64"/>
      <c r="H39" s="54">
        <f>SUM(I39)-0.2</f>
        <v>2.0999999999999996</v>
      </c>
      <c r="I39" s="54">
        <f>SUM(J39)-0.2</f>
        <v>2.2999999999999998</v>
      </c>
      <c r="J39" s="55">
        <v>2.5</v>
      </c>
      <c r="K39" s="54">
        <f>SUM(J39)+0.2</f>
        <v>2.7</v>
      </c>
      <c r="L39" s="54">
        <f t="shared" ref="L39" si="3">SUM(K39)+0.2</f>
        <v>2.9000000000000004</v>
      </c>
      <c r="M39" s="56"/>
    </row>
    <row r="40" spans="1:13" s="1" customFormat="1" ht="14.1" customHeight="1" thickBot="1" x14ac:dyDescent="0.35">
      <c r="A40" s="103"/>
      <c r="B40" s="195" t="s">
        <v>447</v>
      </c>
      <c r="C40" s="196"/>
      <c r="D40" s="197" t="s">
        <v>695</v>
      </c>
      <c r="E40" s="198"/>
      <c r="F40" s="198"/>
      <c r="G40" s="199"/>
      <c r="H40" s="81"/>
      <c r="I40" s="81"/>
      <c r="J40" s="82"/>
      <c r="K40" s="81"/>
      <c r="L40" s="81"/>
      <c r="M40" s="83"/>
    </row>
    <row r="41" spans="1:13" s="1" customFormat="1" ht="13.5" customHeight="1" thickTop="1" thickBot="1" x14ac:dyDescent="0.35">
      <c r="A41" s="192" t="s">
        <v>799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4"/>
    </row>
    <row r="42" spans="1:13" s="1" customFormat="1" ht="14.1" customHeight="1" thickTop="1" x14ac:dyDescent="0.3">
      <c r="A42" s="103">
        <v>20</v>
      </c>
      <c r="B42" s="79" t="s">
        <v>11</v>
      </c>
      <c r="C42" s="80"/>
      <c r="D42" s="51" t="s">
        <v>12</v>
      </c>
      <c r="E42" s="52"/>
      <c r="F42" s="52"/>
      <c r="G42" s="53"/>
      <c r="H42" s="105">
        <f>SUM(I42)-3.2</f>
        <v>53.599999999999994</v>
      </c>
      <c r="I42" s="81">
        <f>SUM(J42)-3.2</f>
        <v>56.8</v>
      </c>
      <c r="J42" s="82">
        <v>60</v>
      </c>
      <c r="K42" s="81">
        <f>SUM(J42)+3.2</f>
        <v>63.2</v>
      </c>
      <c r="L42" s="81">
        <f>SUM(K42)+3.2</f>
        <v>66.400000000000006</v>
      </c>
      <c r="M42" s="178"/>
    </row>
    <row r="43" spans="1:13" s="1" customFormat="1" ht="13.5" customHeight="1" x14ac:dyDescent="0.3">
      <c r="A43" s="35"/>
      <c r="B43" s="70" t="s">
        <v>49</v>
      </c>
      <c r="C43" s="71"/>
      <c r="D43" s="151" t="s">
        <v>100</v>
      </c>
      <c r="E43" s="152"/>
      <c r="F43" s="152"/>
      <c r="G43" s="153"/>
      <c r="H43" s="45"/>
      <c r="I43" s="40"/>
      <c r="J43" s="42"/>
      <c r="K43" s="40"/>
      <c r="L43" s="40"/>
      <c r="M43" s="161"/>
    </row>
    <row r="44" spans="1:13" s="1" customFormat="1" ht="14.1" customHeight="1" x14ac:dyDescent="0.3">
      <c r="A44" s="78">
        <v>21</v>
      </c>
      <c r="B44" s="65" t="s">
        <v>116</v>
      </c>
      <c r="C44" s="66"/>
      <c r="D44" s="62"/>
      <c r="E44" s="63"/>
      <c r="F44" s="63"/>
      <c r="G44" s="64"/>
      <c r="H44" s="60">
        <f>SUM(I44)-0.7</f>
        <v>14.100000000000001</v>
      </c>
      <c r="I44" s="54">
        <f>SUM(J44)-0.7</f>
        <v>14.8</v>
      </c>
      <c r="J44" s="55">
        <v>15.5</v>
      </c>
      <c r="K44" s="54">
        <f>SUM(J44)+1.2</f>
        <v>16.7</v>
      </c>
      <c r="L44" s="54">
        <f>SUM(K44)+0.7</f>
        <v>17.399999999999999</v>
      </c>
      <c r="M44" s="160"/>
    </row>
    <row r="45" spans="1:13" s="1" customFormat="1" ht="13.5" customHeight="1" x14ac:dyDescent="0.3">
      <c r="A45" s="35"/>
      <c r="B45" s="70" t="s">
        <v>115</v>
      </c>
      <c r="C45" s="71"/>
      <c r="D45" s="162" t="s">
        <v>129</v>
      </c>
      <c r="E45" s="163"/>
      <c r="F45" s="163"/>
      <c r="G45" s="164"/>
      <c r="H45" s="45"/>
      <c r="I45" s="40"/>
      <c r="J45" s="42"/>
      <c r="K45" s="40"/>
      <c r="L45" s="40"/>
      <c r="M45" s="161"/>
    </row>
    <row r="46" spans="1:13" ht="14.1" customHeight="1" x14ac:dyDescent="0.3">
      <c r="A46" s="78">
        <v>22</v>
      </c>
      <c r="B46" s="65" t="s">
        <v>9</v>
      </c>
      <c r="C46" s="66"/>
      <c r="D46" s="62" t="s">
        <v>72</v>
      </c>
      <c r="E46" s="63"/>
      <c r="F46" s="63"/>
      <c r="G46" s="64"/>
      <c r="H46" s="60">
        <f>SUM(I46)-1.5</f>
        <v>23.5</v>
      </c>
      <c r="I46" s="54">
        <f>SUM(J46)-1.5</f>
        <v>25</v>
      </c>
      <c r="J46" s="55">
        <v>26.5</v>
      </c>
      <c r="K46" s="54">
        <f>SUM(J46)+1.5</f>
        <v>28</v>
      </c>
      <c r="L46" s="54">
        <f>SUM(K46)+1.5</f>
        <v>29.5</v>
      </c>
      <c r="M46" s="160"/>
    </row>
    <row r="47" spans="1:13" ht="14.1" customHeight="1" x14ac:dyDescent="0.3">
      <c r="A47" s="35"/>
      <c r="B47" s="70" t="s">
        <v>50</v>
      </c>
      <c r="C47" s="71"/>
      <c r="D47" s="151" t="s">
        <v>99</v>
      </c>
      <c r="E47" s="152"/>
      <c r="F47" s="152"/>
      <c r="G47" s="153"/>
      <c r="H47" s="45"/>
      <c r="I47" s="40"/>
      <c r="J47" s="42"/>
      <c r="K47" s="40"/>
      <c r="L47" s="40"/>
      <c r="M47" s="161"/>
    </row>
    <row r="48" spans="1:13" ht="14.1" customHeight="1" x14ac:dyDescent="0.3">
      <c r="A48" s="78">
        <v>23</v>
      </c>
      <c r="B48" s="65" t="s">
        <v>14</v>
      </c>
      <c r="C48" s="66"/>
      <c r="D48" s="62" t="s">
        <v>15</v>
      </c>
      <c r="E48" s="63"/>
      <c r="F48" s="63"/>
      <c r="G48" s="64"/>
      <c r="H48" s="60">
        <f>SUM(I48)-1.8</f>
        <v>31.400000000000002</v>
      </c>
      <c r="I48" s="54">
        <f>SUM(J48)-1.8</f>
        <v>33.200000000000003</v>
      </c>
      <c r="J48" s="55">
        <v>35</v>
      </c>
      <c r="K48" s="54">
        <f>SUM(J48)+1.8</f>
        <v>36.799999999999997</v>
      </c>
      <c r="L48" s="54">
        <f>SUM(K48)+1.8</f>
        <v>38.599999999999994</v>
      </c>
      <c r="M48" s="160"/>
    </row>
    <row r="49" spans="1:13" ht="14.1" customHeight="1" x14ac:dyDescent="0.3">
      <c r="A49" s="35"/>
      <c r="B49" s="70" t="s">
        <v>51</v>
      </c>
      <c r="C49" s="71"/>
      <c r="D49" s="46" t="s">
        <v>98</v>
      </c>
      <c r="E49" s="47"/>
      <c r="F49" s="47"/>
      <c r="G49" s="59"/>
      <c r="H49" s="45"/>
      <c r="I49" s="40"/>
      <c r="J49" s="42"/>
      <c r="K49" s="40"/>
      <c r="L49" s="40"/>
      <c r="M49" s="161"/>
    </row>
    <row r="50" spans="1:13" ht="14.1" customHeight="1" x14ac:dyDescent="0.3">
      <c r="A50" s="78">
        <v>24</v>
      </c>
      <c r="B50" s="65" t="s">
        <v>16</v>
      </c>
      <c r="C50" s="66"/>
      <c r="D50" s="62" t="s">
        <v>13</v>
      </c>
      <c r="E50" s="63"/>
      <c r="F50" s="63"/>
      <c r="G50" s="64"/>
      <c r="H50" s="60">
        <f>SUM(I50)-1</f>
        <v>21.9</v>
      </c>
      <c r="I50" s="54">
        <f>SUM(J50)-1</f>
        <v>22.9</v>
      </c>
      <c r="J50" s="55">
        <v>23.9</v>
      </c>
      <c r="K50" s="54">
        <f>SUM(J50)+1.5</f>
        <v>25.4</v>
      </c>
      <c r="L50" s="54">
        <f>SUM(K50)+1</f>
        <v>26.4</v>
      </c>
      <c r="M50" s="160"/>
    </row>
    <row r="51" spans="1:13" ht="14.1" customHeight="1" x14ac:dyDescent="0.3">
      <c r="A51" s="35"/>
      <c r="B51" s="70" t="s">
        <v>57</v>
      </c>
      <c r="C51" s="71"/>
      <c r="D51" s="151" t="s">
        <v>97</v>
      </c>
      <c r="E51" s="152"/>
      <c r="F51" s="152"/>
      <c r="G51" s="153"/>
      <c r="H51" s="45"/>
      <c r="I51" s="40"/>
      <c r="J51" s="42"/>
      <c r="K51" s="40"/>
      <c r="L51" s="40"/>
      <c r="M51" s="161"/>
    </row>
    <row r="52" spans="1:13" ht="13.5" customHeight="1" x14ac:dyDescent="0.3">
      <c r="A52" s="78">
        <v>25</v>
      </c>
      <c r="B52" s="65" t="s">
        <v>17</v>
      </c>
      <c r="C52" s="66"/>
      <c r="D52" s="62" t="s">
        <v>13</v>
      </c>
      <c r="E52" s="63"/>
      <c r="F52" s="63"/>
      <c r="G52" s="64"/>
      <c r="H52" s="60">
        <f>SUM(I52)-1.2</f>
        <v>24.200000000000003</v>
      </c>
      <c r="I52" s="54">
        <f>SUM(J52)-1.2</f>
        <v>25.400000000000002</v>
      </c>
      <c r="J52" s="55">
        <v>26.6</v>
      </c>
      <c r="K52" s="54">
        <f>SUM(J52)+1.7</f>
        <v>28.3</v>
      </c>
      <c r="L52" s="54">
        <f>SUM(K52)+1.2</f>
        <v>29.5</v>
      </c>
      <c r="M52" s="160"/>
    </row>
    <row r="53" spans="1:13" ht="13.5" customHeight="1" x14ac:dyDescent="0.3">
      <c r="A53" s="35"/>
      <c r="B53" s="70" t="s">
        <v>56</v>
      </c>
      <c r="C53" s="71"/>
      <c r="D53" s="151" t="s">
        <v>97</v>
      </c>
      <c r="E53" s="152"/>
      <c r="F53" s="152"/>
      <c r="G53" s="153"/>
      <c r="H53" s="45"/>
      <c r="I53" s="40"/>
      <c r="J53" s="42"/>
      <c r="K53" s="40"/>
      <c r="L53" s="40"/>
      <c r="M53" s="161"/>
    </row>
    <row r="54" spans="1:13" ht="13.5" customHeight="1" x14ac:dyDescent="0.3">
      <c r="A54" s="78">
        <v>26</v>
      </c>
      <c r="B54" s="65" t="s">
        <v>18</v>
      </c>
      <c r="C54" s="66"/>
      <c r="D54" s="62" t="s">
        <v>19</v>
      </c>
      <c r="E54" s="63"/>
      <c r="F54" s="63"/>
      <c r="G54" s="64"/>
      <c r="H54" s="60"/>
      <c r="I54" s="54"/>
      <c r="J54" s="55"/>
      <c r="K54" s="54"/>
      <c r="L54" s="54"/>
      <c r="M54" s="160"/>
    </row>
    <row r="55" spans="1:13" ht="13.5" customHeight="1" x14ac:dyDescent="0.3">
      <c r="A55" s="35"/>
      <c r="B55" s="70" t="s">
        <v>55</v>
      </c>
      <c r="C55" s="71"/>
      <c r="D55" s="151" t="s">
        <v>96</v>
      </c>
      <c r="E55" s="152"/>
      <c r="F55" s="152"/>
      <c r="G55" s="153"/>
      <c r="H55" s="45"/>
      <c r="I55" s="40"/>
      <c r="J55" s="42"/>
      <c r="K55" s="40"/>
      <c r="L55" s="40"/>
      <c r="M55" s="161"/>
    </row>
    <row r="56" spans="1:13" ht="13.5" customHeight="1" x14ac:dyDescent="0.3">
      <c r="A56" s="78">
        <v>27</v>
      </c>
      <c r="B56" s="65" t="s">
        <v>20</v>
      </c>
      <c r="C56" s="66"/>
      <c r="D56" s="62" t="s">
        <v>21</v>
      </c>
      <c r="E56" s="63"/>
      <c r="F56" s="63"/>
      <c r="G56" s="64"/>
      <c r="H56" s="60"/>
      <c r="I56" s="54"/>
      <c r="J56" s="55"/>
      <c r="K56" s="54"/>
      <c r="L56" s="54"/>
      <c r="M56" s="160"/>
    </row>
    <row r="57" spans="1:13" ht="13.5" customHeight="1" x14ac:dyDescent="0.3">
      <c r="A57" s="35"/>
      <c r="B57" s="70" t="s">
        <v>54</v>
      </c>
      <c r="C57" s="71"/>
      <c r="D57" s="151" t="s">
        <v>95</v>
      </c>
      <c r="E57" s="152"/>
      <c r="F57" s="152"/>
      <c r="G57" s="153"/>
      <c r="H57" s="45"/>
      <c r="I57" s="40"/>
      <c r="J57" s="42"/>
      <c r="K57" s="40"/>
      <c r="L57" s="40"/>
      <c r="M57" s="161"/>
    </row>
    <row r="58" spans="1:13" ht="13.5" customHeight="1" x14ac:dyDescent="0.3">
      <c r="A58" s="78">
        <v>28</v>
      </c>
      <c r="B58" s="65" t="s">
        <v>94</v>
      </c>
      <c r="C58" s="66"/>
      <c r="D58" s="62" t="s">
        <v>92</v>
      </c>
      <c r="E58" s="63"/>
      <c r="F58" s="63"/>
      <c r="G58" s="64"/>
      <c r="H58" s="60"/>
      <c r="I58" s="54"/>
      <c r="J58" s="55"/>
      <c r="K58" s="54"/>
      <c r="L58" s="54"/>
      <c r="M58" s="160"/>
    </row>
    <row r="59" spans="1:13" ht="13.5" customHeight="1" x14ac:dyDescent="0.3">
      <c r="A59" s="35"/>
      <c r="B59" s="70" t="s">
        <v>93</v>
      </c>
      <c r="C59" s="71"/>
      <c r="D59" s="151" t="s">
        <v>92</v>
      </c>
      <c r="E59" s="152"/>
      <c r="F59" s="152"/>
      <c r="G59" s="153"/>
      <c r="H59" s="45"/>
      <c r="I59" s="40"/>
      <c r="J59" s="42"/>
      <c r="K59" s="40"/>
      <c r="L59" s="40"/>
      <c r="M59" s="161"/>
    </row>
    <row r="60" spans="1:13" ht="13.5" customHeight="1" x14ac:dyDescent="0.3">
      <c r="A60" s="78">
        <v>29</v>
      </c>
      <c r="B60" s="65" t="s">
        <v>91</v>
      </c>
      <c r="C60" s="66"/>
      <c r="D60" s="62" t="s">
        <v>90</v>
      </c>
      <c r="E60" s="63"/>
      <c r="F60" s="63"/>
      <c r="G60" s="64"/>
      <c r="H60" s="60"/>
      <c r="I60" s="54"/>
      <c r="J60" s="55"/>
      <c r="K60" s="54"/>
      <c r="L60" s="54"/>
      <c r="M60" s="160"/>
    </row>
    <row r="61" spans="1:13" ht="13.5" customHeight="1" thickBot="1" x14ac:dyDescent="0.35">
      <c r="A61" s="104"/>
      <c r="B61" s="184" t="s">
        <v>89</v>
      </c>
      <c r="C61" s="185"/>
      <c r="D61" s="186" t="s">
        <v>88</v>
      </c>
      <c r="E61" s="187"/>
      <c r="F61" s="187"/>
      <c r="G61" s="188"/>
      <c r="H61" s="141"/>
      <c r="I61" s="91"/>
      <c r="J61" s="107"/>
      <c r="K61" s="91"/>
      <c r="L61" s="91"/>
      <c r="M61" s="200"/>
    </row>
  </sheetData>
  <mergeCells count="323">
    <mergeCell ref="A60:A61"/>
    <mergeCell ref="B60:C60"/>
    <mergeCell ref="D60:G60"/>
    <mergeCell ref="H60:H61"/>
    <mergeCell ref="I60:I61"/>
    <mergeCell ref="J60:J61"/>
    <mergeCell ref="K60:K61"/>
    <mergeCell ref="L60:L61"/>
    <mergeCell ref="M60:M61"/>
    <mergeCell ref="B61:C61"/>
    <mergeCell ref="D61:G61"/>
    <mergeCell ref="A58:A59"/>
    <mergeCell ref="B58:C58"/>
    <mergeCell ref="D58:G58"/>
    <mergeCell ref="H58:H59"/>
    <mergeCell ref="I58:I59"/>
    <mergeCell ref="J58:J59"/>
    <mergeCell ref="K58:K59"/>
    <mergeCell ref="L58:L59"/>
    <mergeCell ref="M58:M59"/>
    <mergeCell ref="B59:C59"/>
    <mergeCell ref="D59:G59"/>
    <mergeCell ref="A56:A57"/>
    <mergeCell ref="B56:C56"/>
    <mergeCell ref="D56:G56"/>
    <mergeCell ref="H56:H57"/>
    <mergeCell ref="I56:I57"/>
    <mergeCell ref="J56:J57"/>
    <mergeCell ref="K56:K57"/>
    <mergeCell ref="L56:L57"/>
    <mergeCell ref="M56:M57"/>
    <mergeCell ref="B57:C57"/>
    <mergeCell ref="D57:G57"/>
    <mergeCell ref="A54:A55"/>
    <mergeCell ref="B54:C54"/>
    <mergeCell ref="D54:G54"/>
    <mergeCell ref="H54:H55"/>
    <mergeCell ref="I54:I55"/>
    <mergeCell ref="J54:J55"/>
    <mergeCell ref="K54:K55"/>
    <mergeCell ref="L54:L55"/>
    <mergeCell ref="M54:M55"/>
    <mergeCell ref="B55:C55"/>
    <mergeCell ref="D55:G55"/>
    <mergeCell ref="A52:A53"/>
    <mergeCell ref="B52:C52"/>
    <mergeCell ref="D52:G52"/>
    <mergeCell ref="H52:H53"/>
    <mergeCell ref="I52:I53"/>
    <mergeCell ref="J52:J53"/>
    <mergeCell ref="K52:K53"/>
    <mergeCell ref="L52:L53"/>
    <mergeCell ref="M52:M53"/>
    <mergeCell ref="B53:C53"/>
    <mergeCell ref="D53:G53"/>
    <mergeCell ref="A50:A51"/>
    <mergeCell ref="B50:C50"/>
    <mergeCell ref="D50:G50"/>
    <mergeCell ref="H50:H51"/>
    <mergeCell ref="I50:I51"/>
    <mergeCell ref="J50:J51"/>
    <mergeCell ref="K50:K51"/>
    <mergeCell ref="L50:L51"/>
    <mergeCell ref="M50:M51"/>
    <mergeCell ref="B51:C51"/>
    <mergeCell ref="D51:G51"/>
    <mergeCell ref="A48:A49"/>
    <mergeCell ref="B48:C48"/>
    <mergeCell ref="D48:G48"/>
    <mergeCell ref="H48:H49"/>
    <mergeCell ref="I48:I49"/>
    <mergeCell ref="J48:J49"/>
    <mergeCell ref="K48:K49"/>
    <mergeCell ref="L48:L49"/>
    <mergeCell ref="M48:M49"/>
    <mergeCell ref="B49:C49"/>
    <mergeCell ref="D49:G49"/>
    <mergeCell ref="A46:A47"/>
    <mergeCell ref="B46:C46"/>
    <mergeCell ref="D46:G46"/>
    <mergeCell ref="H46:H47"/>
    <mergeCell ref="I46:I47"/>
    <mergeCell ref="J46:J47"/>
    <mergeCell ref="K46:K47"/>
    <mergeCell ref="L46:L47"/>
    <mergeCell ref="M46:M47"/>
    <mergeCell ref="B47:C47"/>
    <mergeCell ref="D47:G47"/>
    <mergeCell ref="A44:A45"/>
    <mergeCell ref="B44:C44"/>
    <mergeCell ref="D44:G44"/>
    <mergeCell ref="H44:H45"/>
    <mergeCell ref="I44:I45"/>
    <mergeCell ref="J44:J45"/>
    <mergeCell ref="K44:K45"/>
    <mergeCell ref="L44:L45"/>
    <mergeCell ref="M44:M45"/>
    <mergeCell ref="B45:C45"/>
    <mergeCell ref="D45:G45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41:M41"/>
    <mergeCell ref="K37:K38"/>
    <mergeCell ref="L37:L38"/>
    <mergeCell ref="M37:M38"/>
    <mergeCell ref="B38:C38"/>
    <mergeCell ref="D38:G38"/>
    <mergeCell ref="J37:J38"/>
    <mergeCell ref="J39:J40"/>
    <mergeCell ref="K39:K40"/>
    <mergeCell ref="L39:L40"/>
    <mergeCell ref="M39:M40"/>
    <mergeCell ref="A37:A38"/>
    <mergeCell ref="B37:C37"/>
    <mergeCell ref="D37:G37"/>
    <mergeCell ref="H37:H38"/>
    <mergeCell ref="I37:I38"/>
    <mergeCell ref="A39:A40"/>
    <mergeCell ref="B39:C39"/>
    <mergeCell ref="D39:G39"/>
    <mergeCell ref="H39:H40"/>
    <mergeCell ref="I39:I40"/>
    <mergeCell ref="B40:C40"/>
    <mergeCell ref="D40:G40"/>
    <mergeCell ref="K42:K43"/>
    <mergeCell ref="L42:L43"/>
    <mergeCell ref="M42:M43"/>
    <mergeCell ref="B43:C43"/>
    <mergeCell ref="D43:G43"/>
    <mergeCell ref="A42:A43"/>
    <mergeCell ref="B42:C42"/>
    <mergeCell ref="D42:G42"/>
    <mergeCell ref="H42:H43"/>
    <mergeCell ref="I42:I43"/>
    <mergeCell ref="J42:J43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2EF9-A591-4613-9D0D-D62CC70DA72C}">
  <sheetPr codeName="Sheet34">
    <tabColor rgb="FFFF0000"/>
    <pageSetUpPr fitToPage="1"/>
  </sheetPr>
  <dimension ref="A1:N51"/>
  <sheetViews>
    <sheetView topLeftCell="A13" zoomScale="110" zoomScaleNormal="110" workbookViewId="0">
      <selection activeCell="K11" sqref="K11:K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539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43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63</v>
      </c>
      <c r="I11" s="54">
        <f>SUM(J11)-3.5</f>
        <v>66.5</v>
      </c>
      <c r="J11" s="82">
        <v>70</v>
      </c>
      <c r="K11" s="54">
        <f>SUM(J11)+3.5</f>
        <v>73.5</v>
      </c>
      <c r="L11" s="54">
        <f t="shared" ref="L11:N11" si="0">SUM(K11)+3.5</f>
        <v>77</v>
      </c>
      <c r="M11" s="54">
        <f t="shared" si="0"/>
        <v>80.5</v>
      </c>
      <c r="N11" s="56">
        <f t="shared" si="0"/>
        <v>84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66</v>
      </c>
      <c r="I13" s="54">
        <f>SUM(J13)-4</f>
        <v>70</v>
      </c>
      <c r="J13" s="55">
        <v>74</v>
      </c>
      <c r="K13" s="54">
        <f>SUM(J13)+4</f>
        <v>78</v>
      </c>
      <c r="L13" s="54">
        <f t="shared" ref="L13:N13" si="1">SUM(K13)+4</f>
        <v>82</v>
      </c>
      <c r="M13" s="54">
        <f t="shared" si="1"/>
        <v>86</v>
      </c>
      <c r="N13" s="56">
        <f t="shared" si="1"/>
        <v>90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12.000000000000002</v>
      </c>
      <c r="I15" s="54">
        <f>SUM(J15)-0.7</f>
        <v>12.700000000000001</v>
      </c>
      <c r="J15" s="55">
        <v>13.4</v>
      </c>
      <c r="K15" s="54">
        <f>SUM(J15)+1.2</f>
        <v>14.6</v>
      </c>
      <c r="L15" s="54">
        <f>SUM(K15)+0.7</f>
        <v>15.299999999999999</v>
      </c>
      <c r="M15" s="54">
        <f t="shared" ref="M15:N15" si="2">SUM(L15)+0.7</f>
        <v>15.999999999999998</v>
      </c>
      <c r="N15" s="56">
        <f t="shared" si="2"/>
        <v>16.7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540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60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61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SUM(I21)-7</f>
        <v>48.5</v>
      </c>
      <c r="I21" s="54">
        <f>SUM(J21)-7</f>
        <v>55.5</v>
      </c>
      <c r="J21" s="55">
        <v>62.5</v>
      </c>
      <c r="K21" s="54">
        <f>SUM(J21)+6</f>
        <v>68.5</v>
      </c>
      <c r="L21" s="54">
        <f>SUM(K21)+6</f>
        <v>74.5</v>
      </c>
      <c r="M21" s="54">
        <f>SUM(L21)+6</f>
        <v>80.5</v>
      </c>
      <c r="N21" s="56">
        <f>SUM(M21)+6</f>
        <v>86.5</v>
      </c>
    </row>
    <row r="22" spans="1:14" s="1" customFormat="1" ht="14.1" customHeight="1" x14ac:dyDescent="0.3">
      <c r="A22" s="150"/>
      <c r="B22" s="70" t="s">
        <v>543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43.599999999999994</v>
      </c>
      <c r="I23" s="54">
        <f>SUM(J23)-2.2</f>
        <v>45.8</v>
      </c>
      <c r="J23" s="55">
        <v>48</v>
      </c>
      <c r="K23" s="54">
        <f>SUM(J23)+2</f>
        <v>50</v>
      </c>
      <c r="L23" s="54">
        <f t="shared" ref="L23:N23" si="3">SUM(K23)+2</f>
        <v>52</v>
      </c>
      <c r="M23" s="54">
        <f t="shared" si="3"/>
        <v>54</v>
      </c>
      <c r="N23" s="56">
        <f t="shared" si="3"/>
        <v>56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20.699999999999996</v>
      </c>
      <c r="I25" s="54">
        <f>SUM(J25)-1.1</f>
        <v>21.799999999999997</v>
      </c>
      <c r="J25" s="55">
        <v>22.9</v>
      </c>
      <c r="K25" s="54">
        <f>SUM(J25)+1.6</f>
        <v>24.5</v>
      </c>
      <c r="L25" s="54">
        <f>SUM(K25)+1.1</f>
        <v>25.6</v>
      </c>
      <c r="M25" s="60">
        <f>SUM(L25)+1.1</f>
        <v>26.700000000000003</v>
      </c>
      <c r="N25" s="160">
        <f>SUM(M25)+1.1</f>
        <v>27.800000000000004</v>
      </c>
    </row>
    <row r="26" spans="1:14" s="1" customFormat="1" ht="14.1" customHeight="1" x14ac:dyDescent="0.3">
      <c r="A26" s="150"/>
      <c r="B26" s="70" t="s">
        <v>544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61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27.099999999999998</v>
      </c>
      <c r="I27" s="54">
        <f>SUM(J27)-1.3</f>
        <v>28.4</v>
      </c>
      <c r="J27" s="55">
        <v>29.7</v>
      </c>
      <c r="K27" s="54">
        <f>SUM(J27)+1.8</f>
        <v>31.5</v>
      </c>
      <c r="L27" s="54">
        <f>SUM(K27)+1.3</f>
        <v>32.799999999999997</v>
      </c>
      <c r="M27" s="60">
        <f>SUM(L27)+1.3</f>
        <v>34.099999999999994</v>
      </c>
      <c r="N27" s="160">
        <f>SUM(M27)+1.3</f>
        <v>35.399999999999991</v>
      </c>
    </row>
    <row r="28" spans="1:14" s="1" customFormat="1" ht="14.1" customHeight="1" x14ac:dyDescent="0.3">
      <c r="A28" s="150"/>
      <c r="B28" s="70" t="s">
        <v>545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61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60">
        <f>SUM(I29)-2.5</f>
        <v>44.4</v>
      </c>
      <c r="I29" s="54">
        <f>SUM(J29)-2.5</f>
        <v>46.9</v>
      </c>
      <c r="J29" s="55">
        <v>49.4</v>
      </c>
      <c r="K29" s="54">
        <f>SUM(J29)+2.5</f>
        <v>51.9</v>
      </c>
      <c r="L29" s="54">
        <f>SUM(K29)+2.5</f>
        <v>54.4</v>
      </c>
      <c r="M29" s="60">
        <f>SUM(L29)+2.5</f>
        <v>56.9</v>
      </c>
      <c r="N29" s="160">
        <f>SUM(M29)+2.5</f>
        <v>59.4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5"/>
      <c r="I30" s="40"/>
      <c r="J30" s="42"/>
      <c r="K30" s="40"/>
      <c r="L30" s="40"/>
      <c r="M30" s="45"/>
      <c r="N30" s="161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60">
        <f>SUM(I31)-6</f>
        <v>28.9</v>
      </c>
      <c r="I31" s="54">
        <f>SUM(J31)-6</f>
        <v>34.9</v>
      </c>
      <c r="J31" s="55">
        <v>40.9</v>
      </c>
      <c r="K31" s="54">
        <f>SUM(J31)+4.5</f>
        <v>45.4</v>
      </c>
      <c r="L31" s="54">
        <f>SUM(K31)+5</f>
        <v>50.4</v>
      </c>
      <c r="M31" s="60">
        <f>SUM(L31)+5</f>
        <v>55.4</v>
      </c>
      <c r="N31" s="160">
        <f>SUM(M31)+5</f>
        <v>60.4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5"/>
      <c r="I32" s="40"/>
      <c r="J32" s="42"/>
      <c r="K32" s="40"/>
      <c r="L32" s="40"/>
      <c r="M32" s="45"/>
      <c r="N32" s="161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6">
        <f t="shared" ref="M33:N33" si="4">SUM(L33)+2.2</f>
        <v>6.7</v>
      </c>
      <c r="N33" s="158">
        <f t="shared" si="4"/>
        <v>8.9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7"/>
      <c r="N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6">
        <f t="shared" ref="M35:N35" si="5">SUM(L35)+3.2</f>
        <v>10</v>
      </c>
      <c r="N35" s="158">
        <f t="shared" si="5"/>
        <v>13.2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7"/>
      <c r="N36" s="159"/>
    </row>
    <row r="37" spans="1:14" s="1" customFormat="1" ht="14.1" customHeight="1" x14ac:dyDescent="0.3">
      <c r="A37" s="148">
        <v>18</v>
      </c>
      <c r="B37" s="65" t="s">
        <v>541</v>
      </c>
      <c r="C37" s="66"/>
      <c r="D37" s="62"/>
      <c r="E37" s="63"/>
      <c r="F37" s="63"/>
      <c r="G37" s="64"/>
      <c r="H37" s="54">
        <f>SUM(I37)-3.5</f>
        <v>67</v>
      </c>
      <c r="I37" s="54">
        <f>SUM(J37)-3.5</f>
        <v>70.5</v>
      </c>
      <c r="J37" s="82">
        <v>74</v>
      </c>
      <c r="K37" s="54">
        <f>SUM(J37)+3.5</f>
        <v>77.5</v>
      </c>
      <c r="L37" s="54">
        <f t="shared" ref="L37" si="6">SUM(K37)+3.5</f>
        <v>81</v>
      </c>
      <c r="M37" s="54">
        <f t="shared" ref="M37:N37" si="7">SUM(L37)+3.5</f>
        <v>84.5</v>
      </c>
      <c r="N37" s="56">
        <f t="shared" si="7"/>
        <v>88</v>
      </c>
    </row>
    <row r="38" spans="1:14" s="1" customFormat="1" ht="14.1" customHeight="1" x14ac:dyDescent="0.3">
      <c r="A38" s="150"/>
      <c r="B38" s="70" t="s">
        <v>542</v>
      </c>
      <c r="C38" s="71"/>
      <c r="D38" s="151"/>
      <c r="E38" s="152"/>
      <c r="F38" s="152"/>
      <c r="G38" s="153"/>
      <c r="H38" s="40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191">
        <v>19</v>
      </c>
      <c r="B39" s="65"/>
      <c r="C39" s="66"/>
      <c r="D39" s="88"/>
      <c r="E39" s="89"/>
      <c r="F39" s="89"/>
      <c r="G39" s="90"/>
      <c r="H39" s="54"/>
      <c r="I39" s="54"/>
      <c r="J39" s="55"/>
      <c r="K39" s="54"/>
      <c r="L39" s="54"/>
      <c r="M39" s="54"/>
      <c r="N39" s="56"/>
    </row>
    <row r="40" spans="1:14" s="1" customFormat="1" ht="14.1" customHeight="1" x14ac:dyDescent="0.3">
      <c r="A40" s="150"/>
      <c r="B40" s="57"/>
      <c r="C40" s="58"/>
      <c r="D40" s="46"/>
      <c r="E40" s="47"/>
      <c r="F40" s="47"/>
      <c r="G40" s="59"/>
      <c r="H40" s="40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148">
        <v>20</v>
      </c>
      <c r="B41" s="79"/>
      <c r="C41" s="80"/>
      <c r="D41" s="133"/>
      <c r="E41" s="134"/>
      <c r="F41" s="134"/>
      <c r="G41" s="135"/>
      <c r="H41" s="81"/>
      <c r="I41" s="81"/>
      <c r="J41" s="82"/>
      <c r="K41" s="81"/>
      <c r="L41" s="81"/>
      <c r="M41" s="81"/>
      <c r="N41" s="83"/>
    </row>
    <row r="42" spans="1:14" s="1" customFormat="1" ht="14.1" customHeight="1" thickBot="1" x14ac:dyDescent="0.35">
      <c r="A42" s="149"/>
      <c r="B42" s="96"/>
      <c r="C42" s="97"/>
      <c r="D42" s="98"/>
      <c r="E42" s="99"/>
      <c r="F42" s="99"/>
      <c r="G42" s="100"/>
      <c r="H42" s="91"/>
      <c r="I42" s="91"/>
      <c r="J42" s="107"/>
      <c r="K42" s="91"/>
      <c r="L42" s="91"/>
      <c r="M42" s="91"/>
      <c r="N42" s="147"/>
    </row>
    <row r="43" spans="1:14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4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4" s="1" customFormat="1" ht="13.5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3">
    <mergeCell ref="N37:N38"/>
    <mergeCell ref="N39:N40"/>
    <mergeCell ref="N41:N42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5:K36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0520-C928-4B69-9FAF-FC802F3B6212}">
  <sheetPr>
    <tabColor rgb="FFFF0000"/>
    <pageSetUpPr fitToPage="1"/>
  </sheetPr>
  <dimension ref="A1:N51"/>
  <sheetViews>
    <sheetView topLeftCell="A22" zoomScale="110" zoomScaleNormal="110" workbookViewId="0">
      <selection activeCell="A45" sqref="A45:N4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64.599999999999994</v>
      </c>
      <c r="I11" s="54">
        <f>SUM(J11)-3.5</f>
        <v>68.099999999999994</v>
      </c>
      <c r="J11" s="82">
        <v>71.599999999999994</v>
      </c>
      <c r="K11" s="54">
        <f>SUM(J11)+3.5</f>
        <v>75.099999999999994</v>
      </c>
      <c r="L11" s="54">
        <f t="shared" ref="L11:N11" si="0">SUM(K11)+3.5</f>
        <v>78.599999999999994</v>
      </c>
      <c r="M11" s="54">
        <f t="shared" si="0"/>
        <v>82.1</v>
      </c>
      <c r="N11" s="56">
        <f t="shared" si="0"/>
        <v>85.6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72.900000000000006</v>
      </c>
      <c r="I13" s="54">
        <f>SUM(J13)-4</f>
        <v>76.900000000000006</v>
      </c>
      <c r="J13" s="55">
        <v>80.900000000000006</v>
      </c>
      <c r="K13" s="54">
        <f>SUM(J13)+4</f>
        <v>84.9</v>
      </c>
      <c r="L13" s="54">
        <f t="shared" ref="L13:N13" si="1">SUM(K13)+4</f>
        <v>88.9</v>
      </c>
      <c r="M13" s="54">
        <f t="shared" si="1"/>
        <v>92.9</v>
      </c>
      <c r="N13" s="56">
        <f t="shared" si="1"/>
        <v>96.9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13.8</v>
      </c>
      <c r="I15" s="54">
        <f>SUM(J15)-0.7</f>
        <v>14.5</v>
      </c>
      <c r="J15" s="55">
        <v>15.2</v>
      </c>
      <c r="K15" s="54">
        <f>SUM(J15)+1.2</f>
        <v>16.399999999999999</v>
      </c>
      <c r="L15" s="54">
        <f>SUM(K15)+0.7</f>
        <v>17.099999999999998</v>
      </c>
      <c r="M15" s="54">
        <f t="shared" ref="M15:N15" si="2">SUM(L15)+0.7</f>
        <v>17.799999999999997</v>
      </c>
      <c r="N15" s="56">
        <f t="shared" si="2"/>
        <v>18.499999999999996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81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80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60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61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SUM(I21)-3.5</f>
        <v>33</v>
      </c>
      <c r="I21" s="54">
        <f>SUM(J21)-3.5</f>
        <v>36.5</v>
      </c>
      <c r="J21" s="55">
        <v>40</v>
      </c>
      <c r="K21" s="54">
        <f>SUM(J21)+3</f>
        <v>43</v>
      </c>
      <c r="L21" s="54">
        <f>SUM(K21)+3</f>
        <v>46</v>
      </c>
      <c r="M21" s="54">
        <f>SUM(L21)+3</f>
        <v>49</v>
      </c>
      <c r="N21" s="56">
        <f>SUM(M21)+3</f>
        <v>52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</f>
        <v>47.6</v>
      </c>
      <c r="I23" s="54">
        <f>SUM(J23)-2</f>
        <v>49.6</v>
      </c>
      <c r="J23" s="55">
        <v>51.6</v>
      </c>
      <c r="K23" s="54">
        <f>SUM(J23)+2</f>
        <v>53.6</v>
      </c>
      <c r="L23" s="54">
        <f>SUM(K23)+2</f>
        <v>55.6</v>
      </c>
      <c r="M23" s="54">
        <f>SUM(L23)+2</f>
        <v>57.6</v>
      </c>
      <c r="N23" s="56">
        <f>SUM(M23)+2</f>
        <v>59.6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21.4</v>
      </c>
      <c r="I25" s="54">
        <f>SUM(J25)-1.1</f>
        <v>22.5</v>
      </c>
      <c r="J25" s="55">
        <v>23.6</v>
      </c>
      <c r="K25" s="54">
        <f>SUM(J25)+1.6</f>
        <v>25.200000000000003</v>
      </c>
      <c r="L25" s="54">
        <f>SUM(K25)+1.1</f>
        <v>26.300000000000004</v>
      </c>
      <c r="M25" s="60">
        <f>SUM(L25)+1.1</f>
        <v>27.400000000000006</v>
      </c>
      <c r="N25" s="181">
        <f>SUM(M25)+1.1</f>
        <v>28.500000000000007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28.599999999999998</v>
      </c>
      <c r="I27" s="54">
        <f>SUM(J27)-1.3</f>
        <v>29.9</v>
      </c>
      <c r="J27" s="55">
        <v>31.2</v>
      </c>
      <c r="K27" s="54">
        <f>SUM(J27)+1.8</f>
        <v>33</v>
      </c>
      <c r="L27" s="54">
        <f>SUM(K27)+1.3</f>
        <v>34.299999999999997</v>
      </c>
      <c r="M27" s="60">
        <f>SUM(L27)+1.3</f>
        <v>35.599999999999994</v>
      </c>
      <c r="N27" s="181">
        <f>SUM(M27)+1.4</f>
        <v>36.999999999999993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>
        <f>SUM(I29)-2.6</f>
        <v>49</v>
      </c>
      <c r="I29" s="54">
        <f>SUM(J29)-2.6</f>
        <v>51.6</v>
      </c>
      <c r="J29" s="55">
        <v>54.2</v>
      </c>
      <c r="K29" s="54">
        <f>SUM(J29)+2.6</f>
        <v>56.800000000000004</v>
      </c>
      <c r="L29" s="54">
        <f t="shared" ref="L29:N29" si="3">SUM(K29)+2.6</f>
        <v>59.400000000000006</v>
      </c>
      <c r="M29" s="54">
        <f t="shared" si="3"/>
        <v>62.000000000000007</v>
      </c>
      <c r="N29" s="56">
        <f t="shared" si="3"/>
        <v>64.600000000000009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44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SUM(I31)-2.5</f>
        <v>13.399999999999999</v>
      </c>
      <c r="I31" s="54">
        <f>SUM(J31)-2.5</f>
        <v>15.899999999999999</v>
      </c>
      <c r="J31" s="55">
        <v>18.399999999999999</v>
      </c>
      <c r="K31" s="54">
        <f>SUM(J31)+1.5</f>
        <v>19.899999999999999</v>
      </c>
      <c r="L31" s="54">
        <f>SUM(K31)+2</f>
        <v>21.9</v>
      </c>
      <c r="M31" s="54">
        <f>SUM(L31)+2</f>
        <v>23.9</v>
      </c>
      <c r="N31" s="56">
        <f>SUM(M31)+2</f>
        <v>25.9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44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56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44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56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44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4.6999999999999993</v>
      </c>
      <c r="I37" s="54">
        <f>SUM(J37)-0.2</f>
        <v>4.8999999999999995</v>
      </c>
      <c r="J37" s="67">
        <v>5.0999999999999996</v>
      </c>
      <c r="K37" s="68">
        <f>SUM(J37)+0.2</f>
        <v>5.3</v>
      </c>
      <c r="L37" s="68">
        <f>SUM(K37)+0.2</f>
        <v>5.5</v>
      </c>
      <c r="M37" s="68">
        <f>SUM(L37)+0.2</f>
        <v>5.7</v>
      </c>
      <c r="N37" s="117">
        <f>SUM(M37)+0.2</f>
        <v>5.9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17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9.1000000000000014</v>
      </c>
      <c r="I39" s="54">
        <f>SUM(J39)-0.6</f>
        <v>9.7000000000000011</v>
      </c>
      <c r="J39" s="55">
        <v>10.3</v>
      </c>
      <c r="K39" s="54">
        <f>SUM(J39)+0.6</f>
        <v>10.9</v>
      </c>
      <c r="L39" s="54">
        <f>SUM(K39)+0.6</f>
        <v>11.5</v>
      </c>
      <c r="M39" s="54">
        <f>SUM(L39)+0.6</f>
        <v>12.1</v>
      </c>
      <c r="N39" s="56">
        <f>SUM(M39)+0.6</f>
        <v>12.7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11</v>
      </c>
      <c r="I41" s="54">
        <f>SUM(J41)-0.5</f>
        <v>11.5</v>
      </c>
      <c r="J41" s="55">
        <v>12</v>
      </c>
      <c r="K41" s="54">
        <f>SUM(J41)+0.5</f>
        <v>12.5</v>
      </c>
      <c r="L41" s="54">
        <f>SUM(K41)+0.5</f>
        <v>13</v>
      </c>
      <c r="M41" s="54">
        <f>SUM(L41)+0.5</f>
        <v>13.5</v>
      </c>
      <c r="N41" s="181">
        <f>SUM(M41)+0.5</f>
        <v>14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12.5</v>
      </c>
      <c r="I43" s="54">
        <f>SUM(J43)-0.5</f>
        <v>13</v>
      </c>
      <c r="J43" s="55">
        <v>13.5</v>
      </c>
      <c r="K43" s="54">
        <f>SUM(J43)+0.5</f>
        <v>14</v>
      </c>
      <c r="L43" s="54">
        <f>SUM(K43)+0.5</f>
        <v>14.5</v>
      </c>
      <c r="M43" s="54">
        <f>SUM(L43)+0.5</f>
        <v>15</v>
      </c>
      <c r="N43" s="181">
        <f>SUM(M43)+0.5</f>
        <v>15.5</v>
      </c>
    </row>
    <row r="44" spans="1:14" s="1" customFormat="1" ht="14.1" customHeight="1" x14ac:dyDescent="0.3">
      <c r="A44" s="150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48">
        <v>22</v>
      </c>
      <c r="B45" s="65" t="s">
        <v>298</v>
      </c>
      <c r="C45" s="66"/>
      <c r="D45" s="61"/>
      <c r="E45" s="61"/>
      <c r="F45" s="61"/>
      <c r="G45" s="61"/>
      <c r="H45" s="54">
        <f>SUM(I45)-3</f>
        <v>77</v>
      </c>
      <c r="I45" s="54">
        <f>SUM(J45)-3</f>
        <v>80</v>
      </c>
      <c r="J45" s="55">
        <v>83</v>
      </c>
      <c r="K45" s="54">
        <f>SUM(J45)+3</f>
        <v>86</v>
      </c>
      <c r="L45" s="54">
        <f>SUM(K45)+3</f>
        <v>89</v>
      </c>
      <c r="M45" s="54">
        <f>SUM(L45)+3</f>
        <v>92</v>
      </c>
      <c r="N45" s="181">
        <f>SUM(M45)+3</f>
        <v>95</v>
      </c>
    </row>
    <row r="46" spans="1:14" ht="14.1" customHeight="1" x14ac:dyDescent="0.3">
      <c r="A46" s="150"/>
      <c r="B46" s="105" t="s">
        <v>299</v>
      </c>
      <c r="C46" s="105"/>
      <c r="D46" s="51" t="s">
        <v>180</v>
      </c>
      <c r="E46" s="52"/>
      <c r="F46" s="52"/>
      <c r="G46" s="53"/>
      <c r="H46" s="81"/>
      <c r="I46" s="81"/>
      <c r="J46" s="82"/>
      <c r="K46" s="81"/>
      <c r="L46" s="81"/>
      <c r="M46" s="81"/>
      <c r="N46" s="182"/>
    </row>
    <row r="47" spans="1:14" ht="14.1" customHeight="1" x14ac:dyDescent="0.3">
      <c r="A47" s="148">
        <v>23</v>
      </c>
      <c r="B47" s="65" t="s">
        <v>134</v>
      </c>
      <c r="C47" s="66"/>
      <c r="D47" s="61"/>
      <c r="E47" s="61"/>
      <c r="F47" s="61"/>
      <c r="G47" s="61"/>
      <c r="H47" s="54">
        <v>1</v>
      </c>
      <c r="I47" s="54">
        <v>1</v>
      </c>
      <c r="J47" s="55">
        <v>1</v>
      </c>
      <c r="K47" s="54">
        <v>1</v>
      </c>
      <c r="L47" s="54">
        <v>1</v>
      </c>
      <c r="M47" s="54">
        <v>1</v>
      </c>
      <c r="N47" s="181">
        <v>1</v>
      </c>
    </row>
    <row r="48" spans="1:14" ht="14.1" customHeight="1" x14ac:dyDescent="0.3">
      <c r="A48" s="150"/>
      <c r="B48" s="57" t="s">
        <v>142</v>
      </c>
      <c r="C48" s="58"/>
      <c r="D48" s="51"/>
      <c r="E48" s="52"/>
      <c r="F48" s="52"/>
      <c r="G48" s="53"/>
      <c r="H48" s="81"/>
      <c r="I48" s="81"/>
      <c r="J48" s="82"/>
      <c r="K48" s="81"/>
      <c r="L48" s="81"/>
      <c r="M48" s="81"/>
      <c r="N48" s="182"/>
    </row>
    <row r="49" spans="1:14" ht="14.1" customHeight="1" x14ac:dyDescent="0.3">
      <c r="A49" s="148">
        <v>24</v>
      </c>
      <c r="B49" s="65"/>
      <c r="C49" s="66"/>
      <c r="D49" s="61"/>
      <c r="E49" s="61"/>
      <c r="F49" s="61"/>
      <c r="G49" s="61"/>
      <c r="H49" s="54"/>
      <c r="I49" s="54"/>
      <c r="J49" s="55"/>
      <c r="K49" s="54"/>
      <c r="L49" s="54"/>
      <c r="M49" s="54"/>
      <c r="N49" s="181"/>
    </row>
    <row r="50" spans="1:14" ht="14.1" customHeight="1" thickBot="1" x14ac:dyDescent="0.35">
      <c r="A50" s="149"/>
      <c r="B50" s="141"/>
      <c r="C50" s="141"/>
      <c r="D50" s="98"/>
      <c r="E50" s="99"/>
      <c r="F50" s="99"/>
      <c r="G50" s="100"/>
      <c r="H50" s="91"/>
      <c r="I50" s="91"/>
      <c r="J50" s="107"/>
      <c r="K50" s="91"/>
      <c r="L50" s="91"/>
      <c r="M50" s="91"/>
      <c r="N50" s="183"/>
    </row>
    <row r="51" spans="1:14" ht="14.1" customHeight="1" x14ac:dyDescent="0.3"/>
  </sheetData>
  <mergeCells count="29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6682-699C-482F-94A9-2DE1180C02F1}">
  <sheetPr>
    <tabColor rgb="FFFF0000"/>
    <pageSetUpPr fitToPage="1"/>
  </sheetPr>
  <dimension ref="A1:N51"/>
  <sheetViews>
    <sheetView topLeftCell="A13" zoomScale="110" zoomScaleNormal="110" workbookViewId="0">
      <selection activeCell="B35" sqref="B35:C3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698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43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64</v>
      </c>
      <c r="I11" s="54">
        <f>SUM(J11)-4.5</f>
        <v>68.5</v>
      </c>
      <c r="J11" s="82">
        <v>73</v>
      </c>
      <c r="K11" s="54">
        <f>SUM(J11)+4.5</f>
        <v>77.5</v>
      </c>
      <c r="L11" s="54">
        <f t="shared" ref="L11:N11" si="0">SUM(K11)+4.5</f>
        <v>82</v>
      </c>
      <c r="M11" s="54">
        <f t="shared" si="0"/>
        <v>86.5</v>
      </c>
      <c r="N11" s="56">
        <f t="shared" si="0"/>
        <v>91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89.8</v>
      </c>
      <c r="I13" s="54">
        <f>SUM(J13)-5</f>
        <v>94.8</v>
      </c>
      <c r="J13" s="55">
        <v>99.8</v>
      </c>
      <c r="K13" s="54">
        <f>SUM(J13)+5</f>
        <v>104.8</v>
      </c>
      <c r="L13" s="54">
        <f t="shared" ref="L13:N13" si="1">SUM(K13)+5</f>
        <v>109.8</v>
      </c>
      <c r="M13" s="54">
        <f t="shared" si="1"/>
        <v>114.8</v>
      </c>
      <c r="N13" s="56">
        <f t="shared" si="1"/>
        <v>119.8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13.900000000000002</v>
      </c>
      <c r="I15" s="54">
        <f>SUM(J15)-0.7</f>
        <v>14.600000000000001</v>
      </c>
      <c r="J15" s="55">
        <v>15.3</v>
      </c>
      <c r="K15" s="54">
        <f>SUM(J15)+1.2</f>
        <v>16.5</v>
      </c>
      <c r="L15" s="54">
        <f>SUM(K15)+0.7</f>
        <v>17.2</v>
      </c>
      <c r="M15" s="54">
        <f t="shared" ref="M15:N15" si="2">SUM(L15)+0.7</f>
        <v>17.899999999999999</v>
      </c>
      <c r="N15" s="56">
        <f t="shared" si="2"/>
        <v>18.599999999999998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60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61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25.2</v>
      </c>
      <c r="I21" s="54">
        <f>SUM(J21)-2.5</f>
        <v>27.7</v>
      </c>
      <c r="J21" s="55">
        <v>30.2</v>
      </c>
      <c r="K21" s="54">
        <f>SUM(J21)+2</f>
        <v>32.200000000000003</v>
      </c>
      <c r="L21" s="54">
        <f t="shared" ref="L21:N21" si="3">SUM(K21)+2</f>
        <v>34.200000000000003</v>
      </c>
      <c r="M21" s="54">
        <f t="shared" si="3"/>
        <v>36.200000000000003</v>
      </c>
      <c r="N21" s="56">
        <f t="shared" si="3"/>
        <v>38.200000000000003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44.099999999999994</v>
      </c>
      <c r="I23" s="54">
        <f>SUM(J23)-2.2</f>
        <v>46.3</v>
      </c>
      <c r="J23" s="55">
        <v>48.5</v>
      </c>
      <c r="K23" s="54">
        <f>SUM(J23)+2.2</f>
        <v>50.7</v>
      </c>
      <c r="L23" s="54">
        <f t="shared" ref="L23:N23" si="4">SUM(K23)+2.2</f>
        <v>52.900000000000006</v>
      </c>
      <c r="M23" s="54">
        <f t="shared" si="4"/>
        <v>55.100000000000009</v>
      </c>
      <c r="N23" s="56">
        <f t="shared" si="4"/>
        <v>57.300000000000011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24.099999999999998</v>
      </c>
      <c r="I25" s="54">
        <f>SUM(J25)-1.1</f>
        <v>25.2</v>
      </c>
      <c r="J25" s="55">
        <v>26.3</v>
      </c>
      <c r="K25" s="54">
        <f>SUM(J25)+1.6</f>
        <v>27.900000000000002</v>
      </c>
      <c r="L25" s="54">
        <f>SUM(K25)+1.1</f>
        <v>29.000000000000004</v>
      </c>
      <c r="M25" s="60">
        <f>SUM(L25)+1.1</f>
        <v>30.100000000000005</v>
      </c>
      <c r="N25" s="160">
        <f>SUM(M25)+1.1</f>
        <v>31.200000000000006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61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30</v>
      </c>
      <c r="I27" s="54">
        <f>SUM(J27)-1.3</f>
        <v>31.3</v>
      </c>
      <c r="J27" s="55">
        <v>32.6</v>
      </c>
      <c r="K27" s="54">
        <f>SUM(J27)+1.8</f>
        <v>34.4</v>
      </c>
      <c r="L27" s="54">
        <f>SUM(K27)+1.3</f>
        <v>35.699999999999996</v>
      </c>
      <c r="M27" s="60">
        <f>SUM(L27)+1.3</f>
        <v>36.999999999999993</v>
      </c>
      <c r="N27" s="160">
        <f>SUM(M27)+1.3</f>
        <v>38.29999999999999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61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N29" si="5">SUM(K29)+2.6</f>
        <v>5.2</v>
      </c>
      <c r="M29" s="156">
        <f t="shared" si="5"/>
        <v>7.8000000000000007</v>
      </c>
      <c r="N29" s="158">
        <f t="shared" si="5"/>
        <v>10.4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7"/>
      <c r="N30" s="159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-10</v>
      </c>
      <c r="I31" s="156">
        <f>SUM(J31)-5</f>
        <v>-5</v>
      </c>
      <c r="J31" s="154"/>
      <c r="K31" s="156">
        <f>SUM(J31)+5.5</f>
        <v>5.5</v>
      </c>
      <c r="L31" s="156">
        <f t="shared" ref="L31:N31" si="6">SUM(K31)+6</f>
        <v>11.5</v>
      </c>
      <c r="M31" s="156">
        <f t="shared" si="6"/>
        <v>17.5</v>
      </c>
      <c r="N31" s="158">
        <f t="shared" si="6"/>
        <v>23.5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5"/>
      <c r="K32" s="157"/>
      <c r="L32" s="157"/>
      <c r="M32" s="157"/>
      <c r="N32" s="159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6">
        <f t="shared" ref="M33:N33" si="7">SUM(L33)+2.2</f>
        <v>6.7</v>
      </c>
      <c r="N33" s="158">
        <f t="shared" si="7"/>
        <v>8.9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7"/>
      <c r="N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6">
        <f t="shared" ref="M35:N35" si="8">SUM(L35)+3.2</f>
        <v>10</v>
      </c>
      <c r="N35" s="158">
        <f t="shared" si="8"/>
        <v>13.2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7"/>
      <c r="N36" s="159"/>
    </row>
    <row r="37" spans="1:14" s="1" customFormat="1" ht="14.1" customHeight="1" x14ac:dyDescent="0.3">
      <c r="A37" s="148">
        <v>18</v>
      </c>
      <c r="B37" s="65" t="s">
        <v>112</v>
      </c>
      <c r="C37" s="66"/>
      <c r="D37" s="62" t="s">
        <v>23</v>
      </c>
      <c r="E37" s="63"/>
      <c r="F37" s="63"/>
      <c r="G37" s="64"/>
      <c r="H37" s="54">
        <f>SUM(I37)-0.5</f>
        <v>11</v>
      </c>
      <c r="I37" s="54">
        <f>SUM(J37)-0.5</f>
        <v>11.5</v>
      </c>
      <c r="J37" s="55">
        <v>12</v>
      </c>
      <c r="K37" s="54">
        <f>SUM(J37)+0.5</f>
        <v>12.5</v>
      </c>
      <c r="L37" s="54">
        <f t="shared" ref="L37:N37" si="9">SUM(K37)+0.5</f>
        <v>13</v>
      </c>
      <c r="M37" s="54">
        <f t="shared" si="9"/>
        <v>13.5</v>
      </c>
      <c r="N37" s="56">
        <f t="shared" si="9"/>
        <v>14</v>
      </c>
    </row>
    <row r="38" spans="1:14" s="1" customFormat="1" ht="14.1" customHeight="1" x14ac:dyDescent="0.3">
      <c r="A38" s="150"/>
      <c r="B38" s="70" t="s">
        <v>52</v>
      </c>
      <c r="C38" s="71"/>
      <c r="D38" s="151" t="s">
        <v>111</v>
      </c>
      <c r="E38" s="152"/>
      <c r="F38" s="152"/>
      <c r="G38" s="153"/>
      <c r="H38" s="40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148"/>
      <c r="B39" s="79"/>
      <c r="C39" s="80"/>
      <c r="D39" s="106"/>
      <c r="E39" s="106"/>
      <c r="F39" s="106"/>
      <c r="G39" s="106"/>
      <c r="H39" s="81"/>
      <c r="I39" s="81"/>
      <c r="J39" s="82"/>
      <c r="K39" s="81"/>
      <c r="L39" s="81"/>
      <c r="M39" s="81"/>
      <c r="N39" s="83"/>
    </row>
    <row r="40" spans="1:14" s="1" customFormat="1" ht="14.1" customHeight="1" thickBot="1" x14ac:dyDescent="0.35">
      <c r="A40" s="149"/>
      <c r="B40" s="141"/>
      <c r="C40" s="141"/>
      <c r="D40" s="98"/>
      <c r="E40" s="99"/>
      <c r="F40" s="99"/>
      <c r="G40" s="100"/>
      <c r="H40" s="91"/>
      <c r="I40" s="91"/>
      <c r="J40" s="107"/>
      <c r="K40" s="91"/>
      <c r="L40" s="91"/>
      <c r="M40" s="91"/>
      <c r="N40" s="147"/>
    </row>
    <row r="41" spans="1:14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3BBE-3880-4146-932A-015EC0727BEF}">
  <sheetPr>
    <tabColor rgb="FFFF0000"/>
    <pageSetUpPr fitToPage="1"/>
  </sheetPr>
  <dimension ref="A1:M51"/>
  <sheetViews>
    <sheetView topLeftCell="A13" zoomScale="110" zoomScaleNormal="110" workbookViewId="0">
      <selection activeCell="I23" sqref="I23:I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/>
      <c r="I9" s="54"/>
      <c r="J9" s="82"/>
      <c r="K9" s="54"/>
      <c r="L9" s="54"/>
      <c r="M9" s="56"/>
    </row>
    <row r="10" spans="1:13" s="1" customFormat="1" ht="14.1" customHeight="1" x14ac:dyDescent="0.3">
      <c r="A10" s="150"/>
      <c r="B10" s="70" t="s">
        <v>132</v>
      </c>
      <c r="C10" s="71"/>
      <c r="D10" s="72" t="s">
        <v>459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67</v>
      </c>
      <c r="I11" s="54">
        <f>SUM(J11)-4.5</f>
        <v>71.5</v>
      </c>
      <c r="J11" s="82">
        <v>76</v>
      </c>
      <c r="K11" s="54">
        <f>SUM(J11)+4.5</f>
        <v>80.5</v>
      </c>
      <c r="L11" s="54">
        <f>SUM(K11)+4.5</f>
        <v>85</v>
      </c>
      <c r="M11" s="56">
        <f>SUM(L11)+4.5</f>
        <v>89.5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76</v>
      </c>
      <c r="I13" s="54">
        <f>SUM(J13)-5</f>
        <v>81</v>
      </c>
      <c r="J13" s="55">
        <v>86</v>
      </c>
      <c r="K13" s="54">
        <f>SUM(J13)+5</f>
        <v>91</v>
      </c>
      <c r="L13" s="54">
        <f>SUM(K13)+5</f>
        <v>96</v>
      </c>
      <c r="M13" s="56">
        <f>SUM(L13)+5</f>
        <v>101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13.600000000000001</v>
      </c>
      <c r="I15" s="54">
        <f>SUM(J15)-0.7</f>
        <v>14.3</v>
      </c>
      <c r="J15" s="55">
        <v>15</v>
      </c>
      <c r="K15" s="54">
        <f>SUM(J15)+1.2</f>
        <v>16.2</v>
      </c>
      <c r="L15" s="54">
        <f>SUM(K15)+0.7</f>
        <v>16.899999999999999</v>
      </c>
      <c r="M15" s="56">
        <f t="shared" ref="M15" si="0">SUM(L15)+0.7</f>
        <v>17.599999999999998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54"/>
      <c r="I17" s="54"/>
      <c r="J17" s="55"/>
      <c r="K17" s="54"/>
      <c r="L17" s="54"/>
      <c r="M17" s="56"/>
    </row>
    <row r="18" spans="1:13" s="1" customFormat="1" ht="14.1" customHeight="1" x14ac:dyDescent="0.3">
      <c r="A18" s="150"/>
      <c r="B18" s="70" t="s">
        <v>140</v>
      </c>
      <c r="C18" s="71"/>
      <c r="D18" s="162" t="s">
        <v>378</v>
      </c>
      <c r="E18" s="163"/>
      <c r="F18" s="163"/>
      <c r="G18" s="164"/>
      <c r="H18" s="40"/>
      <c r="I18" s="40"/>
      <c r="J18" s="42"/>
      <c r="K18" s="40"/>
      <c r="L18" s="40"/>
      <c r="M18" s="44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SUM(I21)-4.5</f>
        <v>38.5</v>
      </c>
      <c r="I21" s="54">
        <f>SUM(J21)-4.5</f>
        <v>43</v>
      </c>
      <c r="J21" s="55">
        <v>47.5</v>
      </c>
      <c r="K21" s="54">
        <f>SUM(J21)+4</f>
        <v>51.5</v>
      </c>
      <c r="L21" s="54">
        <f>SUM(K21)+4</f>
        <v>55.5</v>
      </c>
      <c r="M21" s="56">
        <f>SUM(L21)+4</f>
        <v>59.5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SUM(I23)-3.1</f>
        <v>53.8</v>
      </c>
      <c r="I23" s="54">
        <f>SUM(J23)-3.1</f>
        <v>56.9</v>
      </c>
      <c r="J23" s="55">
        <v>60</v>
      </c>
      <c r="K23" s="54">
        <f>SUM(J23)+2.4</f>
        <v>62.4</v>
      </c>
      <c r="L23" s="54">
        <f>SUM(K23)+2.4</f>
        <v>64.8</v>
      </c>
      <c r="M23" s="56">
        <f>SUM(L23)+2.4</f>
        <v>67.2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22.999999999999996</v>
      </c>
      <c r="I25" s="54">
        <f>SUM(J25)-1.1</f>
        <v>24.099999999999998</v>
      </c>
      <c r="J25" s="55">
        <v>25.2</v>
      </c>
      <c r="K25" s="54">
        <f>SUM(J25)+1.6</f>
        <v>26.8</v>
      </c>
      <c r="L25" s="54">
        <f>SUM(K25)+1.1</f>
        <v>27.900000000000002</v>
      </c>
      <c r="M25" s="160">
        <f>SUM(L25)+1.1</f>
        <v>29.000000000000004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29.6</v>
      </c>
      <c r="I27" s="54">
        <f>SUM(J27)-1.3</f>
        <v>30.900000000000002</v>
      </c>
      <c r="J27" s="55">
        <v>32.200000000000003</v>
      </c>
      <c r="K27" s="54">
        <f>SUM(J27)+1.8</f>
        <v>34</v>
      </c>
      <c r="L27" s="54">
        <f>SUM(K27)+1.3</f>
        <v>35.299999999999997</v>
      </c>
      <c r="M27" s="160">
        <f>SUM(L27)+1.3</f>
        <v>36.599999999999994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>
        <f>SUM(I29)-3</f>
        <v>53</v>
      </c>
      <c r="I29" s="54">
        <f>SUM(J29)-3</f>
        <v>56</v>
      </c>
      <c r="J29" s="55">
        <v>59</v>
      </c>
      <c r="K29" s="54">
        <f>SUM(J29)+3</f>
        <v>62</v>
      </c>
      <c r="L29" s="54">
        <f>SUM(K29)+3</f>
        <v>65</v>
      </c>
      <c r="M29" s="56">
        <f>SUM(L29)+3</f>
        <v>68</v>
      </c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4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SUM(I31)-3.5</f>
        <v>17.3</v>
      </c>
      <c r="I31" s="54">
        <f>SUM(J31)-3.5</f>
        <v>20.8</v>
      </c>
      <c r="J31" s="55">
        <v>24.3</v>
      </c>
      <c r="K31" s="54">
        <f>SUM(J31)+2.5</f>
        <v>26.8</v>
      </c>
      <c r="L31" s="54">
        <f>SUM(K31)+3</f>
        <v>29.8</v>
      </c>
      <c r="M31" s="56">
        <f>SUM(L31)+3</f>
        <v>32.799999999999997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4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6"/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4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6"/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4.8999999999999995</v>
      </c>
      <c r="I37" s="54">
        <f>SUM(J37)-0.2</f>
        <v>5.0999999999999996</v>
      </c>
      <c r="J37" s="67">
        <v>5.3</v>
      </c>
      <c r="K37" s="68">
        <f>SUM(J37)+0.2</f>
        <v>5.5</v>
      </c>
      <c r="L37" s="68">
        <f>SUM(K37)+0.2</f>
        <v>5.7</v>
      </c>
      <c r="M37" s="69">
        <f>SUM(L37)+0.2</f>
        <v>5.9</v>
      </c>
    </row>
    <row r="38" spans="1:13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9"/>
    </row>
    <row r="39" spans="1:13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9.1000000000000014</v>
      </c>
      <c r="I39" s="54">
        <f>SUM(J39)-0.6</f>
        <v>9.7000000000000011</v>
      </c>
      <c r="J39" s="55">
        <v>10.3</v>
      </c>
      <c r="K39" s="54">
        <f>SUM(J39)+0.6</f>
        <v>10.9</v>
      </c>
      <c r="L39" s="54">
        <f>SUM(K39)+0.6</f>
        <v>11.5</v>
      </c>
      <c r="M39" s="56">
        <f>SUM(L39)+0.6</f>
        <v>12.1</v>
      </c>
    </row>
    <row r="40" spans="1:13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3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6"/>
    </row>
    <row r="42" spans="1:13" s="1" customFormat="1" ht="14.1" customHeight="1" x14ac:dyDescent="0.3">
      <c r="A42" s="150"/>
      <c r="B42" s="57"/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4"/>
    </row>
    <row r="43" spans="1:13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6"/>
    </row>
    <row r="44" spans="1:13" s="1" customFormat="1" ht="14.1" customHeight="1" x14ac:dyDescent="0.3">
      <c r="A44" s="150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3"/>
    </row>
    <row r="45" spans="1:13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6"/>
    </row>
    <row r="46" spans="1:13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147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A1:M1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5C2C-EF04-4B28-95B4-FDF616DC101B}">
  <sheetPr codeName="Sheet35">
    <tabColor rgb="FFFF0000"/>
    <pageSetUpPr fitToPage="1"/>
  </sheetPr>
  <dimension ref="A1:N51"/>
  <sheetViews>
    <sheetView topLeftCell="A7" zoomScale="110" zoomScaleNormal="110" workbookViewId="0">
      <selection activeCell="I11" sqref="I11:I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72</v>
      </c>
      <c r="I11" s="54">
        <f>SUM(J11)-3.5</f>
        <v>75.5</v>
      </c>
      <c r="J11" s="82">
        <v>79</v>
      </c>
      <c r="K11" s="54">
        <f>SUM(J11)+3.5</f>
        <v>82.5</v>
      </c>
      <c r="L11" s="54">
        <f t="shared" ref="L11:M11" si="0">SUM(K11)+3.5</f>
        <v>86</v>
      </c>
      <c r="M11" s="56">
        <f t="shared" si="0"/>
        <v>89.5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SUM(I13)-4.6</f>
        <v>84.000000000000014</v>
      </c>
      <c r="I13" s="54">
        <f>SUM(J13)-4.6</f>
        <v>88.600000000000009</v>
      </c>
      <c r="J13" s="55">
        <v>93.2</v>
      </c>
      <c r="K13" s="54">
        <f>SUM(J13)+4.6</f>
        <v>97.8</v>
      </c>
      <c r="L13" s="54">
        <f>SUM(K13)+4.6</f>
        <v>102.39999999999999</v>
      </c>
      <c r="M13" s="56">
        <f>SUM(L13)+4.6</f>
        <v>106.99999999999999</v>
      </c>
    </row>
    <row r="14" spans="1:13" s="1" customFormat="1" ht="14.1" customHeight="1" x14ac:dyDescent="0.3">
      <c r="A14" s="150"/>
      <c r="B14" s="70" t="s">
        <v>485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12.700000000000001</v>
      </c>
      <c r="I15" s="54">
        <f>SUM(J15)-0.7</f>
        <v>13.4</v>
      </c>
      <c r="J15" s="55">
        <v>14.1</v>
      </c>
      <c r="K15" s="54">
        <f>SUM(J15)+1.2</f>
        <v>15.299999999999999</v>
      </c>
      <c r="L15" s="54">
        <f>SUM(K15)+0.7</f>
        <v>15.999999999999998</v>
      </c>
      <c r="M15" s="56">
        <f t="shared" ref="M15" si="1">SUM(L15)+0.7</f>
        <v>16.7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</v>
      </c>
      <c r="I21" s="54">
        <f>SUM(J21)-2.5</f>
        <v>28.5</v>
      </c>
      <c r="J21" s="55">
        <v>31</v>
      </c>
      <c r="K21" s="54">
        <f>SUM(J21)+2</f>
        <v>33</v>
      </c>
      <c r="L21" s="54">
        <f>SUM(K21)+2</f>
        <v>35</v>
      </c>
      <c r="M21" s="56">
        <f>SUM(L21)+2</f>
        <v>37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SUM(I23)-1.8</f>
        <v>41.400000000000006</v>
      </c>
      <c r="I23" s="54">
        <f>SUM(J23)-1.8</f>
        <v>43.2</v>
      </c>
      <c r="J23" s="55">
        <v>45</v>
      </c>
      <c r="K23" s="54">
        <f>SUM(J23)+1.8</f>
        <v>46.8</v>
      </c>
      <c r="L23" s="54">
        <f>SUM(K23)+1.8</f>
        <v>48.599999999999994</v>
      </c>
      <c r="M23" s="56">
        <f>SUM(L23)+1.8</f>
        <v>50.399999999999991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160">
        <f>SUM(L25)+1.1</f>
        <v>26.800000000000004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27.2</v>
      </c>
      <c r="I27" s="54">
        <f>SUM(J27)-1.3</f>
        <v>28.5</v>
      </c>
      <c r="J27" s="55">
        <v>29.8</v>
      </c>
      <c r="K27" s="54">
        <f>SUM(J27)+1.8</f>
        <v>31.6</v>
      </c>
      <c r="L27" s="54">
        <f>SUM(K27)+1.3</f>
        <v>32.9</v>
      </c>
      <c r="M27" s="160">
        <f>SUM(L27)+1.3</f>
        <v>34.199999999999996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6"/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4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SUM(I31)-1.5</f>
        <v>7.3000000000000007</v>
      </c>
      <c r="I31" s="54">
        <f>SUM(J31)-1.5</f>
        <v>8.8000000000000007</v>
      </c>
      <c r="J31" s="55">
        <v>10.3</v>
      </c>
      <c r="K31" s="54">
        <f>SUM(J31)+0.5</f>
        <v>10.8</v>
      </c>
      <c r="L31" s="54">
        <f>SUM(K31)+1</f>
        <v>11.8</v>
      </c>
      <c r="M31" s="56">
        <f>SUM(L31)+1</f>
        <v>12.8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4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6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4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6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4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5.6</v>
      </c>
      <c r="I37" s="54">
        <f>SUM(J37)-0.2</f>
        <v>5.8</v>
      </c>
      <c r="J37" s="55">
        <v>6</v>
      </c>
      <c r="K37" s="54">
        <f>SUM(J37)+0.2</f>
        <v>6.2</v>
      </c>
      <c r="L37" s="54">
        <f>SUM(K37)+0.2</f>
        <v>6.4</v>
      </c>
      <c r="M37" s="56">
        <f>SUM(L37)+0.2</f>
        <v>6.6000000000000005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2"/>
      <c r="K38" s="40"/>
      <c r="L38" s="40"/>
      <c r="M38" s="4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9.3000000000000007</v>
      </c>
      <c r="I39" s="54">
        <f>SUM(J39)-0.6</f>
        <v>9.9</v>
      </c>
      <c r="J39" s="55">
        <v>10.5</v>
      </c>
      <c r="K39" s="54">
        <f>SUM(J39)+0.6</f>
        <v>11.1</v>
      </c>
      <c r="L39" s="54">
        <f>SUM(K39)+0.6</f>
        <v>11.7</v>
      </c>
      <c r="M39" s="56">
        <f>SUM(L39)+0.6</f>
        <v>12.299999999999999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4" s="1" customFormat="1" ht="14.1" customHeight="1" x14ac:dyDescent="0.3">
      <c r="A41" s="148">
        <v>20</v>
      </c>
      <c r="B41" s="65" t="s">
        <v>537</v>
      </c>
      <c r="C41" s="66"/>
      <c r="D41" s="62"/>
      <c r="E41" s="63"/>
      <c r="F41" s="63"/>
      <c r="G41" s="64"/>
      <c r="H41" s="54">
        <f>SUM(I41)-0.6</f>
        <v>11.100000000000001</v>
      </c>
      <c r="I41" s="54">
        <f>SUM(J41)-0.6</f>
        <v>11.700000000000001</v>
      </c>
      <c r="J41" s="55">
        <v>12.3</v>
      </c>
      <c r="K41" s="54">
        <f>SUM(J41)+0.6</f>
        <v>12.9</v>
      </c>
      <c r="L41" s="54">
        <f>SUM(K41)+0.6</f>
        <v>13.5</v>
      </c>
      <c r="M41" s="56">
        <f>SUM(L41)+0.6</f>
        <v>14.1</v>
      </c>
    </row>
    <row r="42" spans="1:14" s="1" customFormat="1" ht="14.1" customHeight="1" x14ac:dyDescent="0.3">
      <c r="A42" s="150"/>
      <c r="B42" s="70" t="s">
        <v>538</v>
      </c>
      <c r="C42" s="71"/>
      <c r="D42" s="151"/>
      <c r="E42" s="152"/>
      <c r="F42" s="152"/>
      <c r="G42" s="153"/>
      <c r="H42" s="40"/>
      <c r="I42" s="40"/>
      <c r="J42" s="42"/>
      <c r="K42" s="40"/>
      <c r="L42" s="40"/>
      <c r="M42" s="44"/>
    </row>
    <row r="43" spans="1:14" s="1" customFormat="1" ht="14.1" customHeight="1" x14ac:dyDescent="0.3">
      <c r="A43" s="148">
        <v>21</v>
      </c>
      <c r="B43" s="65" t="s">
        <v>110</v>
      </c>
      <c r="C43" s="66"/>
      <c r="D43" s="61"/>
      <c r="E43" s="61"/>
      <c r="F43" s="61"/>
      <c r="G43" s="61"/>
      <c r="H43" s="54">
        <f>SUM(I43)-0.5</f>
        <v>10</v>
      </c>
      <c r="I43" s="54">
        <f>SUM(J43)-0.5</f>
        <v>10.5</v>
      </c>
      <c r="J43" s="55">
        <v>11</v>
      </c>
      <c r="K43" s="54">
        <f>SUM(J43)+0.5</f>
        <v>11.5</v>
      </c>
      <c r="L43" s="54">
        <f>SUM(K43)+0.5</f>
        <v>12</v>
      </c>
      <c r="M43" s="56">
        <f>SUM(L43)+0.5</f>
        <v>12.5</v>
      </c>
    </row>
    <row r="44" spans="1:14" s="1" customFormat="1" ht="14.1" customHeight="1" x14ac:dyDescent="0.3">
      <c r="A44" s="150"/>
      <c r="B44" s="57" t="s">
        <v>109</v>
      </c>
      <c r="C44" s="58"/>
      <c r="D44" s="51"/>
      <c r="E44" s="52"/>
      <c r="F44" s="52"/>
      <c r="G44" s="53"/>
      <c r="H44" s="81"/>
      <c r="I44" s="81"/>
      <c r="J44" s="82"/>
      <c r="K44" s="81"/>
      <c r="L44" s="81"/>
      <c r="M44" s="83"/>
    </row>
    <row r="45" spans="1:14" s="1" customFormat="1" ht="14.1" customHeight="1" x14ac:dyDescent="0.3">
      <c r="A45" s="148">
        <v>22</v>
      </c>
      <c r="B45" s="65" t="s">
        <v>108</v>
      </c>
      <c r="C45" s="66"/>
      <c r="D45" s="61"/>
      <c r="E45" s="61"/>
      <c r="F45" s="61"/>
      <c r="G45" s="61"/>
      <c r="H45" s="54">
        <f>SUM(I45)-0.5</f>
        <v>10.5</v>
      </c>
      <c r="I45" s="54">
        <f>SUM(J45)-0.5</f>
        <v>11</v>
      </c>
      <c r="J45" s="55">
        <v>11.5</v>
      </c>
      <c r="K45" s="54">
        <f>SUM(J45)+0.5</f>
        <v>12</v>
      </c>
      <c r="L45" s="54">
        <f>SUM(K45)+0.5</f>
        <v>12.5</v>
      </c>
      <c r="M45" s="56">
        <f>SUM(L45)+0.5</f>
        <v>13</v>
      </c>
      <c r="N45"/>
    </row>
    <row r="46" spans="1:14" ht="14.1" customHeight="1" x14ac:dyDescent="0.3">
      <c r="A46" s="150"/>
      <c r="B46" s="105" t="s">
        <v>107</v>
      </c>
      <c r="C46" s="105"/>
      <c r="D46" s="51"/>
      <c r="E46" s="52"/>
      <c r="F46" s="52"/>
      <c r="G46" s="53"/>
      <c r="H46" s="81"/>
      <c r="I46" s="81"/>
      <c r="J46" s="82"/>
      <c r="K46" s="81"/>
      <c r="L46" s="81"/>
      <c r="M46" s="83"/>
    </row>
    <row r="47" spans="1:14" ht="14.1" customHeight="1" x14ac:dyDescent="0.3">
      <c r="A47" s="148">
        <v>23</v>
      </c>
      <c r="B47" s="65"/>
      <c r="C47" s="66"/>
      <c r="D47" s="61"/>
      <c r="E47" s="61"/>
      <c r="F47" s="61"/>
      <c r="G47" s="61"/>
      <c r="H47" s="54"/>
      <c r="I47" s="54"/>
      <c r="J47" s="55"/>
      <c r="K47" s="54"/>
      <c r="L47" s="54"/>
      <c r="M47" s="56"/>
    </row>
    <row r="48" spans="1:14" ht="14.1" customHeight="1" thickBot="1" x14ac:dyDescent="0.35">
      <c r="A48" s="149"/>
      <c r="B48" s="141"/>
      <c r="C48" s="141"/>
      <c r="D48" s="98"/>
      <c r="E48" s="99"/>
      <c r="F48" s="99"/>
      <c r="G48" s="100"/>
      <c r="H48" s="91"/>
      <c r="I48" s="91"/>
      <c r="J48" s="107"/>
      <c r="K48" s="91"/>
      <c r="L48" s="91"/>
      <c r="M48" s="147"/>
    </row>
    <row r="49" ht="14.1" customHeight="1" x14ac:dyDescent="0.3"/>
    <row r="50" ht="14.1" customHeight="1" x14ac:dyDescent="0.3"/>
    <row r="51" ht="14.1" customHeight="1" x14ac:dyDescent="0.3"/>
  </sheetData>
  <mergeCells count="256">
    <mergeCell ref="I41:I42"/>
    <mergeCell ref="J41:J42"/>
    <mergeCell ref="K41:K42"/>
    <mergeCell ref="L41:L42"/>
    <mergeCell ref="M41:M42"/>
    <mergeCell ref="B42:C42"/>
    <mergeCell ref="D42:G42"/>
    <mergeCell ref="B46:C46"/>
    <mergeCell ref="D46:G46"/>
    <mergeCell ref="J43:J44"/>
    <mergeCell ref="A41:A42"/>
    <mergeCell ref="B41:C41"/>
    <mergeCell ref="D41:G41"/>
    <mergeCell ref="H41:H42"/>
    <mergeCell ref="A1:M1"/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00CC-70D9-4AC7-8808-0BD4DE0295E4}">
  <sheetPr>
    <tabColor rgb="FFFF0000"/>
    <pageSetUpPr fitToPage="1"/>
  </sheetPr>
  <dimension ref="A1:N51"/>
  <sheetViews>
    <sheetView topLeftCell="A4" zoomScale="110" zoomScaleNormal="110" workbookViewId="0">
      <selection activeCell="P23" sqref="P2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696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43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64.5</v>
      </c>
      <c r="I11" s="54">
        <f>SUM(J11)-3.5</f>
        <v>68</v>
      </c>
      <c r="J11" s="82">
        <v>71.5</v>
      </c>
      <c r="K11" s="54">
        <f>SUM(J11)+3.5</f>
        <v>75</v>
      </c>
      <c r="L11" s="54">
        <f t="shared" ref="L11:N11" si="0">SUM(K11)+3.5</f>
        <v>78.5</v>
      </c>
      <c r="M11" s="54">
        <f t="shared" si="0"/>
        <v>82</v>
      </c>
      <c r="N11" s="56">
        <f t="shared" si="0"/>
        <v>85.5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70</v>
      </c>
      <c r="I13" s="54">
        <f>SUM(J13)-4</f>
        <v>74</v>
      </c>
      <c r="J13" s="55">
        <v>78</v>
      </c>
      <c r="K13" s="54">
        <f>SUM(J13)+4</f>
        <v>82</v>
      </c>
      <c r="L13" s="54">
        <f t="shared" ref="L13:N13" si="1">SUM(K13)+4</f>
        <v>86</v>
      </c>
      <c r="M13" s="54">
        <f t="shared" si="1"/>
        <v>90</v>
      </c>
      <c r="N13" s="56">
        <f t="shared" si="1"/>
        <v>94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12.700000000000001</v>
      </c>
      <c r="I15" s="54">
        <f>SUM(J15)-0.7</f>
        <v>13.4</v>
      </c>
      <c r="J15" s="55">
        <v>14.1</v>
      </c>
      <c r="K15" s="54">
        <f>SUM(J15)+1.2</f>
        <v>15.299999999999999</v>
      </c>
      <c r="L15" s="54">
        <f>SUM(K15)+0.7</f>
        <v>15.999999999999998</v>
      </c>
      <c r="M15" s="54">
        <f t="shared" ref="M15:N15" si="2">SUM(L15)+0.7</f>
        <v>16.7</v>
      </c>
      <c r="N15" s="56">
        <f t="shared" si="2"/>
        <v>17.399999999999999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60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5"/>
      <c r="N18" s="161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SUM(I21)-3.5</f>
        <v>32</v>
      </c>
      <c r="I21" s="54">
        <f>SUM(J21)-3.5</f>
        <v>35.5</v>
      </c>
      <c r="J21" s="55">
        <v>39</v>
      </c>
      <c r="K21" s="54">
        <f>SUM(J21)+3</f>
        <v>42</v>
      </c>
      <c r="L21" s="54">
        <f t="shared" ref="L21:N21" si="3">SUM(K21)+3</f>
        <v>45</v>
      </c>
      <c r="M21" s="54">
        <f t="shared" si="3"/>
        <v>48</v>
      </c>
      <c r="N21" s="56">
        <f t="shared" si="3"/>
        <v>51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46.2</v>
      </c>
      <c r="I23" s="54">
        <f>SUM(J23)-2.4</f>
        <v>48.6</v>
      </c>
      <c r="J23" s="55">
        <v>51</v>
      </c>
      <c r="K23" s="54">
        <f>SUM(J23)+2.4</f>
        <v>53.4</v>
      </c>
      <c r="L23" s="54">
        <f t="shared" ref="L23:N23" si="4">SUM(K23)+2.4</f>
        <v>55.8</v>
      </c>
      <c r="M23" s="54">
        <f t="shared" si="4"/>
        <v>58.199999999999996</v>
      </c>
      <c r="N23" s="56">
        <f t="shared" si="4"/>
        <v>60.599999999999994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21.299999999999997</v>
      </c>
      <c r="I25" s="54">
        <f>SUM(J25)-1.1</f>
        <v>22.4</v>
      </c>
      <c r="J25" s="55">
        <v>23.5</v>
      </c>
      <c r="K25" s="54">
        <f>SUM(J25)+1.6</f>
        <v>25.1</v>
      </c>
      <c r="L25" s="54">
        <f>SUM(K25)+1.1</f>
        <v>26.200000000000003</v>
      </c>
      <c r="M25" s="60">
        <f>SUM(L25)+1.1</f>
        <v>27.300000000000004</v>
      </c>
      <c r="N25" s="160">
        <f>SUM(M25)+1.1</f>
        <v>28.400000000000006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61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27.799999999999997</v>
      </c>
      <c r="I27" s="54">
        <f>SUM(J27)-1.3</f>
        <v>29.099999999999998</v>
      </c>
      <c r="J27" s="55">
        <v>30.4</v>
      </c>
      <c r="K27" s="54">
        <f>SUM(J27)+1.8</f>
        <v>32.199999999999996</v>
      </c>
      <c r="L27" s="54">
        <f>SUM(K27)+1.3</f>
        <v>33.499999999999993</v>
      </c>
      <c r="M27" s="60">
        <f>SUM(L27)+1.3</f>
        <v>34.79999999999999</v>
      </c>
      <c r="N27" s="160">
        <f>SUM(M27)+1.3</f>
        <v>36.099999999999987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61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N29" si="5">SUM(K29)+2.6</f>
        <v>5.2</v>
      </c>
      <c r="M29" s="156">
        <f t="shared" si="5"/>
        <v>7.8000000000000007</v>
      </c>
      <c r="N29" s="158">
        <f t="shared" si="5"/>
        <v>10.4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7"/>
      <c r="N30" s="159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-10</v>
      </c>
      <c r="I31" s="156">
        <f>SUM(J31)-5</f>
        <v>-5</v>
      </c>
      <c r="J31" s="154"/>
      <c r="K31" s="156">
        <f>SUM(J31)+5.5</f>
        <v>5.5</v>
      </c>
      <c r="L31" s="156">
        <f t="shared" ref="L31:N31" si="6">SUM(K31)+6</f>
        <v>11.5</v>
      </c>
      <c r="M31" s="156">
        <f t="shared" si="6"/>
        <v>17.5</v>
      </c>
      <c r="N31" s="158">
        <f t="shared" si="6"/>
        <v>23.5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5"/>
      <c r="K32" s="157"/>
      <c r="L32" s="157"/>
      <c r="M32" s="157"/>
      <c r="N32" s="159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6">
        <f t="shared" ref="M33:N33" si="7">SUM(L33)+2.2</f>
        <v>6.7</v>
      </c>
      <c r="N33" s="158">
        <f t="shared" si="7"/>
        <v>8.9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7"/>
      <c r="N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6">
        <f t="shared" ref="M35:N35" si="8">SUM(L35)+3.2</f>
        <v>10</v>
      </c>
      <c r="N35" s="158">
        <f t="shared" si="8"/>
        <v>13.2</v>
      </c>
    </row>
    <row r="36" spans="1:14" s="1" customFormat="1" ht="14.1" customHeight="1" thickBot="1" x14ac:dyDescent="0.35">
      <c r="A36" s="149"/>
      <c r="B36" s="184" t="s">
        <v>89</v>
      </c>
      <c r="C36" s="185"/>
      <c r="D36" s="186" t="s">
        <v>130</v>
      </c>
      <c r="E36" s="187"/>
      <c r="F36" s="187"/>
      <c r="G36" s="188"/>
      <c r="H36" s="201"/>
      <c r="I36" s="201"/>
      <c r="J36" s="203"/>
      <c r="K36" s="201"/>
      <c r="L36" s="201"/>
      <c r="M36" s="201"/>
      <c r="N36" s="202"/>
    </row>
    <row r="37" spans="1:14" s="1" customFormat="1" ht="14.1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s="1" customFormat="1" ht="14.1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1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FC65-4270-4662-B1E8-C54E2E60C44D}">
  <sheetPr codeName="Sheet36">
    <tabColor rgb="FFFF0000"/>
    <pageSetUpPr fitToPage="1"/>
  </sheetPr>
  <dimension ref="A1:S51"/>
  <sheetViews>
    <sheetView zoomScale="110" zoomScaleNormal="110" workbookViewId="0">
      <selection activeCell="D10" sqref="D10:G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>SUM(K11)+4.5</f>
        <v>79</v>
      </c>
      <c r="M11" s="54">
        <f>SUM(L11)+4.5</f>
        <v>83.5</v>
      </c>
      <c r="N11" s="181">
        <f>SUM(M11)+4.5</f>
        <v>88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66</v>
      </c>
      <c r="I13" s="54">
        <f>SUM(J13)-5</f>
        <v>71</v>
      </c>
      <c r="J13" s="55">
        <v>76</v>
      </c>
      <c r="K13" s="54">
        <f>SUM(J13)+5</f>
        <v>81</v>
      </c>
      <c r="L13" s="54">
        <f>SUM(K13)+5</f>
        <v>86</v>
      </c>
      <c r="M13" s="54">
        <f>SUM(L13)+5</f>
        <v>91</v>
      </c>
      <c r="N13" s="181">
        <f>SUM(M13)+5</f>
        <v>96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81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80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81">
        <f>SUM(M17)+0.7</f>
        <v>13.799999999999997</v>
      </c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80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15">
        <f>SUM(M19)+0</f>
        <v>3.3</v>
      </c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SUM(I21)-4</f>
        <v>35.5</v>
      </c>
      <c r="I21" s="54">
        <f>SUM(J21)-4</f>
        <v>39.5</v>
      </c>
      <c r="J21" s="55">
        <v>43.5</v>
      </c>
      <c r="K21" s="54">
        <f>SUM(J21)+3.5</f>
        <v>47</v>
      </c>
      <c r="L21" s="54">
        <f>SUM(K21)+3.5</f>
        <v>50.5</v>
      </c>
      <c r="M21" s="54">
        <f>SUM(L21)+3.5</f>
        <v>54</v>
      </c>
      <c r="N21" s="160">
        <f>SUM(M21)+3.5</f>
        <v>57.5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45.2</v>
      </c>
      <c r="I23" s="54">
        <f>SUM(J23)-2.4</f>
        <v>47.6</v>
      </c>
      <c r="J23" s="55">
        <v>50</v>
      </c>
      <c r="K23" s="54">
        <f>SUM(J23)+2.4</f>
        <v>52.4</v>
      </c>
      <c r="L23" s="54">
        <f>SUM(K23)+2.4</f>
        <v>54.8</v>
      </c>
      <c r="M23" s="54">
        <f>SUM(L23)+2.4</f>
        <v>57.199999999999996</v>
      </c>
      <c r="N23" s="160">
        <f>SUM(M23)+2.4</f>
        <v>59.599999999999994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81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SUM(I37)-0.5</f>
        <v>7</v>
      </c>
      <c r="I37" s="54">
        <f>SUM(J37)-0.5</f>
        <v>7.5</v>
      </c>
      <c r="J37" s="67">
        <v>8</v>
      </c>
      <c r="K37" s="68">
        <f>SUM(J37)+0.5</f>
        <v>8.5</v>
      </c>
      <c r="L37" s="68">
        <f>SUM(K37)+0.5</f>
        <v>9</v>
      </c>
      <c r="M37" s="68">
        <f>SUM(L37)+0.5</f>
        <v>9.5</v>
      </c>
      <c r="N37" s="131">
        <f>SUM(M37)+0.5</f>
        <v>10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SUM(I39)-0.3</f>
        <v>5.9</v>
      </c>
      <c r="I39" s="54">
        <f>SUM(J39)-0.3</f>
        <v>6.2</v>
      </c>
      <c r="J39" s="55">
        <v>6.5</v>
      </c>
      <c r="K39" s="54">
        <f>SUM(J39)+0.3</f>
        <v>6.8</v>
      </c>
      <c r="L39" s="54">
        <f>SUM(K39)+0.3</f>
        <v>7.1</v>
      </c>
      <c r="M39" s="54">
        <f>SUM(L39)+0.3</f>
        <v>7.3999999999999995</v>
      </c>
      <c r="N39" s="181">
        <f>SUM(M39)+0.3</f>
        <v>7.6999999999999993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11</v>
      </c>
      <c r="I41" s="54">
        <f>SUM(J41)-0.5</f>
        <v>11.5</v>
      </c>
      <c r="J41" s="55">
        <v>12</v>
      </c>
      <c r="K41" s="54">
        <f>SUM(J41)+0.5</f>
        <v>12.5</v>
      </c>
      <c r="L41" s="54">
        <f>SUM(K41)+0.5</f>
        <v>13</v>
      </c>
      <c r="M41" s="54">
        <f>SUM(L41)+0.5</f>
        <v>13.5</v>
      </c>
      <c r="N41" s="181">
        <f>SUM(M41)+0.5</f>
        <v>14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12</v>
      </c>
      <c r="I43" s="54">
        <f>SUM(J43)-0.5</f>
        <v>12.5</v>
      </c>
      <c r="J43" s="55">
        <v>13</v>
      </c>
      <c r="K43" s="54">
        <f>SUM(J43)+0.5</f>
        <v>13.5</v>
      </c>
      <c r="L43" s="54">
        <f>SUM(K43)+0.5</f>
        <v>14</v>
      </c>
      <c r="M43" s="54">
        <f>SUM(L43)+0.5</f>
        <v>14.5</v>
      </c>
      <c r="N43" s="181">
        <f>SUM(M43)+0.5</f>
        <v>15</v>
      </c>
    </row>
    <row r="44" spans="1:14" s="1" customFormat="1" ht="14.1" customHeight="1" x14ac:dyDescent="0.3">
      <c r="A44" s="148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81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5312-C3E1-4E12-8813-646D210567B4}">
  <sheetPr>
    <tabColor rgb="FFFF0000"/>
    <pageSetUpPr fitToPage="1"/>
  </sheetPr>
  <dimension ref="A1:N51"/>
  <sheetViews>
    <sheetView topLeftCell="A10" zoomScale="110" zoomScaleNormal="110" workbookViewId="0">
      <selection activeCell="N23" sqref="N23:N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578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38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>
        <f>SUM(I5)-1.2</f>
        <v>13.600000000000001</v>
      </c>
      <c r="I5" s="54">
        <f>SUM(J5)-1.2</f>
        <v>14.8</v>
      </c>
      <c r="J5" s="82">
        <v>16</v>
      </c>
      <c r="K5" s="54">
        <f>SUM(J5)+1.2</f>
        <v>17.2</v>
      </c>
      <c r="L5" s="54">
        <f>SUM(K5)+1.2</f>
        <v>18.399999999999999</v>
      </c>
      <c r="M5" s="54">
        <f>SUM(L5)+1.2</f>
        <v>19.599999999999998</v>
      </c>
      <c r="N5" s="115">
        <f>SUM(M5)+1.2</f>
        <v>20.799999999999997</v>
      </c>
    </row>
    <row r="6" spans="1:14" s="1" customFormat="1" ht="14.1" customHeight="1" x14ac:dyDescent="0.3">
      <c r="A6" s="150"/>
      <c r="B6" s="70" t="s">
        <v>137</v>
      </c>
      <c r="C6" s="71"/>
      <c r="D6" s="151" t="s">
        <v>579</v>
      </c>
      <c r="E6" s="152"/>
      <c r="F6" s="152"/>
      <c r="G6" s="153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>
        <f>SUM(I7)-1.8</f>
        <v>31.400000000000002</v>
      </c>
      <c r="I7" s="54">
        <f>SUM(J7)-1.8</f>
        <v>33.200000000000003</v>
      </c>
      <c r="J7" s="82">
        <v>35</v>
      </c>
      <c r="K7" s="54">
        <f>SUM(J7)+1.8</f>
        <v>36.799999999999997</v>
      </c>
      <c r="L7" s="54">
        <f>SUM(K7)+1.8</f>
        <v>38.599999999999994</v>
      </c>
      <c r="M7" s="54">
        <f>SUM(L7)+1.8</f>
        <v>40.399999999999991</v>
      </c>
      <c r="N7" s="115">
        <f>SUM(M7)+1.8</f>
        <v>42.199999999999989</v>
      </c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SUM(I9)-1.8</f>
        <v>35.400000000000006</v>
      </c>
      <c r="I9" s="54">
        <f>SUM(J9)-1.8</f>
        <v>37.200000000000003</v>
      </c>
      <c r="J9" s="82">
        <v>39</v>
      </c>
      <c r="K9" s="54">
        <f>SUM(J9)+1.8</f>
        <v>40.799999999999997</v>
      </c>
      <c r="L9" s="54">
        <f>SUM(K9)+1.8</f>
        <v>42.599999999999994</v>
      </c>
      <c r="M9" s="54">
        <f>SUM(L9)+1.8</f>
        <v>44.399999999999991</v>
      </c>
      <c r="N9" s="115">
        <f>SUM(M9)+1.8</f>
        <v>46.199999999999989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459</v>
      </c>
      <c r="E10" s="73"/>
      <c r="F10" s="73"/>
      <c r="G10" s="74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64.5</v>
      </c>
      <c r="I11" s="54">
        <f>SUM(J11)-4.5</f>
        <v>69</v>
      </c>
      <c r="J11" s="82">
        <v>73.5</v>
      </c>
      <c r="K11" s="54">
        <f>SUM(J11)+4.5</f>
        <v>78</v>
      </c>
      <c r="L11" s="54">
        <f>SUM(K11)+4.5</f>
        <v>82.5</v>
      </c>
      <c r="M11" s="54">
        <f>SUM(L11)+4.5</f>
        <v>87</v>
      </c>
      <c r="N11" s="115">
        <f>SUM(M11)+4.5</f>
        <v>91.5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74.2</v>
      </c>
      <c r="I13" s="54">
        <f>SUM(J13)-5</f>
        <v>79.2</v>
      </c>
      <c r="J13" s="55">
        <v>84.2</v>
      </c>
      <c r="K13" s="54">
        <f>SUM(J13)+5</f>
        <v>89.2</v>
      </c>
      <c r="L13" s="54">
        <f>SUM(K13)+5</f>
        <v>94.2</v>
      </c>
      <c r="M13" s="54">
        <f>SUM(L13)+5</f>
        <v>99.2</v>
      </c>
      <c r="N13" s="115">
        <f>SUM(M13)+5</f>
        <v>104.2</v>
      </c>
    </row>
    <row r="14" spans="1:14" s="1" customFormat="1" ht="14.1" customHeight="1" x14ac:dyDescent="0.3">
      <c r="A14" s="150"/>
      <c r="B14" s="70" t="s">
        <v>580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116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13.400000000000002</v>
      </c>
      <c r="I15" s="54">
        <f>SUM(J15)-0.7</f>
        <v>14.100000000000001</v>
      </c>
      <c r="J15" s="55">
        <v>14.8</v>
      </c>
      <c r="K15" s="54">
        <f>SUM(J15)+1.2</f>
        <v>16</v>
      </c>
      <c r="L15" s="54">
        <f>SUM(K15)+0.7</f>
        <v>16.7</v>
      </c>
      <c r="M15" s="54">
        <f t="shared" ref="M15:N15" si="0">SUM(L15)+0.7</f>
        <v>17.399999999999999</v>
      </c>
      <c r="N15" s="115">
        <f t="shared" si="0"/>
        <v>18.099999999999998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0"/>
      <c r="N16" s="116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54">
        <f>SUM(I17)-0.7</f>
        <v>10.600000000000001</v>
      </c>
      <c r="I17" s="54">
        <f>SUM(J17)-0.7</f>
        <v>11.3</v>
      </c>
      <c r="J17" s="55">
        <v>12</v>
      </c>
      <c r="K17" s="54">
        <f>SUM(J17)+0.7</f>
        <v>12.7</v>
      </c>
      <c r="L17" s="54">
        <f>SUM(K17)+0.7</f>
        <v>13.399999999999999</v>
      </c>
      <c r="M17" s="54">
        <f t="shared" ref="M17:N17" si="1">SUM(L17)+0.7</f>
        <v>14.099999999999998</v>
      </c>
      <c r="N17" s="115">
        <f t="shared" si="1"/>
        <v>14.799999999999997</v>
      </c>
    </row>
    <row r="18" spans="1:14" s="1" customFormat="1" ht="14.1" customHeight="1" x14ac:dyDescent="0.3">
      <c r="A18" s="150"/>
      <c r="B18" s="70" t="s">
        <v>140</v>
      </c>
      <c r="C18" s="71"/>
      <c r="D18" s="162" t="s">
        <v>378</v>
      </c>
      <c r="E18" s="163"/>
      <c r="F18" s="163"/>
      <c r="G18" s="164"/>
      <c r="H18" s="40"/>
      <c r="I18" s="40"/>
      <c r="J18" s="42"/>
      <c r="K18" s="40"/>
      <c r="L18" s="40"/>
      <c r="M18" s="40"/>
      <c r="N18" s="116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v>2.8</v>
      </c>
      <c r="I19" s="54">
        <v>2.8</v>
      </c>
      <c r="J19" s="55">
        <v>2.8</v>
      </c>
      <c r="K19" s="54">
        <v>3.3</v>
      </c>
      <c r="L19" s="54">
        <v>3.3</v>
      </c>
      <c r="M19" s="54">
        <v>3.3</v>
      </c>
      <c r="N19" s="115">
        <v>3.3</v>
      </c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28</v>
      </c>
      <c r="I21" s="54">
        <f>SUM(J21)-2.5</f>
        <v>30.5</v>
      </c>
      <c r="J21" s="55">
        <v>33</v>
      </c>
      <c r="K21" s="54">
        <f>SUM(J21)+2</f>
        <v>35</v>
      </c>
      <c r="L21" s="54">
        <f>SUM(K21)+2</f>
        <v>37</v>
      </c>
      <c r="M21" s="54">
        <f>SUM(L21)+2</f>
        <v>39</v>
      </c>
      <c r="N21" s="115">
        <f>SUM(M21)+2</f>
        <v>41</v>
      </c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16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42.599999999999994</v>
      </c>
      <c r="I23" s="54">
        <f>SUM(J23)-2.2</f>
        <v>44.8</v>
      </c>
      <c r="J23" s="55">
        <v>47</v>
      </c>
      <c r="K23" s="54">
        <f>SUM(J23)+2.2</f>
        <v>49.2</v>
      </c>
      <c r="L23" s="54">
        <f>SUM(K23)+2.2</f>
        <v>51.400000000000006</v>
      </c>
      <c r="M23" s="54">
        <f>SUM(L23)+2.2</f>
        <v>53.600000000000009</v>
      </c>
      <c r="N23" s="115">
        <f>SUM(M23)+2.2</f>
        <v>55.800000000000011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16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21.299999999999997</v>
      </c>
      <c r="I25" s="54">
        <f>SUM(J25)-1.1</f>
        <v>22.4</v>
      </c>
      <c r="J25" s="55">
        <v>23.5</v>
      </c>
      <c r="K25" s="54">
        <f>SUM(J25)+1.6</f>
        <v>25.1</v>
      </c>
      <c r="L25" s="54">
        <f>SUM(K25)+1.1</f>
        <v>26.200000000000003</v>
      </c>
      <c r="M25" s="60">
        <f>SUM(L25)+1.1</f>
        <v>27.300000000000004</v>
      </c>
      <c r="N25" s="181">
        <f>SUM(M25)+1.1</f>
        <v>28.400000000000006</v>
      </c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28.099999999999998</v>
      </c>
      <c r="I27" s="54">
        <f>SUM(J27)-1.3</f>
        <v>29.4</v>
      </c>
      <c r="J27" s="55">
        <v>30.7</v>
      </c>
      <c r="K27" s="54">
        <f>SUM(J27)+1.8</f>
        <v>32.5</v>
      </c>
      <c r="L27" s="54">
        <f>SUM(K27)+1.3</f>
        <v>33.799999999999997</v>
      </c>
      <c r="M27" s="60">
        <f>SUM(L27)+1.3</f>
        <v>35.099999999999994</v>
      </c>
      <c r="N27" s="181">
        <f>SUM(M27)+1.3</f>
        <v>36.399999999999991</v>
      </c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15"/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16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SUM(I31)-1.5</f>
        <v>8.6</v>
      </c>
      <c r="I31" s="54">
        <f>SUM(J31)-1.5</f>
        <v>10.1</v>
      </c>
      <c r="J31" s="55">
        <v>11.6</v>
      </c>
      <c r="K31" s="54">
        <f>SUM(J31)+0.5</f>
        <v>12.1</v>
      </c>
      <c r="L31" s="54">
        <f>SUM(K31)+1</f>
        <v>13.1</v>
      </c>
      <c r="M31" s="54">
        <f>SUM(L31)+1</f>
        <v>14.1</v>
      </c>
      <c r="N31" s="115">
        <f>SUM(M31)+1</f>
        <v>15.1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15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15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16"/>
    </row>
    <row r="37" spans="1:14" s="1" customFormat="1" ht="14.1" customHeight="1" x14ac:dyDescent="0.3">
      <c r="A37" s="148">
        <v>18</v>
      </c>
      <c r="B37" s="65" t="s">
        <v>581</v>
      </c>
      <c r="C37" s="66"/>
      <c r="D37" s="62"/>
      <c r="E37" s="63"/>
      <c r="F37" s="63"/>
      <c r="G37" s="64"/>
      <c r="H37" s="54">
        <f>SUM(I37)-0.5</f>
        <v>11</v>
      </c>
      <c r="I37" s="54">
        <f>SUM(J37)-0.5</f>
        <v>11.5</v>
      </c>
      <c r="J37" s="67">
        <v>12</v>
      </c>
      <c r="K37" s="68">
        <f>SUM(J37)+0.5</f>
        <v>12.5</v>
      </c>
      <c r="L37" s="68">
        <f>SUM(K37)+0.5</f>
        <v>13</v>
      </c>
      <c r="M37" s="68">
        <f>SUM(L37)+0.5</f>
        <v>13.5</v>
      </c>
      <c r="N37" s="117">
        <f>SUM(M37)+0.5</f>
        <v>14</v>
      </c>
    </row>
    <row r="38" spans="1:14" s="1" customFormat="1" ht="14.1" customHeight="1" x14ac:dyDescent="0.3">
      <c r="A38" s="150"/>
      <c r="B38" s="70" t="s">
        <v>582</v>
      </c>
      <c r="C38" s="71"/>
      <c r="D38" s="151"/>
      <c r="E38" s="152"/>
      <c r="F38" s="152"/>
      <c r="G38" s="153"/>
      <c r="H38" s="40"/>
      <c r="I38" s="40"/>
      <c r="J38" s="67"/>
      <c r="K38" s="68"/>
      <c r="L38" s="68"/>
      <c r="M38" s="68"/>
      <c r="N38" s="117"/>
    </row>
    <row r="39" spans="1:14" s="1" customFormat="1" ht="14.1" customHeight="1" x14ac:dyDescent="0.3">
      <c r="A39" s="148">
        <v>19</v>
      </c>
      <c r="B39" s="65" t="s">
        <v>583</v>
      </c>
      <c r="C39" s="66"/>
      <c r="D39" s="62"/>
      <c r="E39" s="63"/>
      <c r="F39" s="63"/>
      <c r="G39" s="64"/>
      <c r="H39" s="54">
        <f>SUM(I39)-0.6</f>
        <v>10.8</v>
      </c>
      <c r="I39" s="54">
        <f>SUM(J39)-0.6</f>
        <v>11.4</v>
      </c>
      <c r="J39" s="55">
        <v>12</v>
      </c>
      <c r="K39" s="54">
        <f>SUM(J39)+0.6</f>
        <v>12.6</v>
      </c>
      <c r="L39" s="54">
        <f>SUM(K39)+0.6</f>
        <v>13.2</v>
      </c>
      <c r="M39" s="54">
        <f>SUM(L39)+0.6</f>
        <v>13.799999999999999</v>
      </c>
      <c r="N39" s="115">
        <f>SUM(M39)+0.6</f>
        <v>14.399999999999999</v>
      </c>
    </row>
    <row r="40" spans="1:14" s="1" customFormat="1" ht="14.1" customHeight="1" x14ac:dyDescent="0.3">
      <c r="A40" s="150"/>
      <c r="B40" s="57" t="s">
        <v>584</v>
      </c>
      <c r="C40" s="58"/>
      <c r="D40" s="151"/>
      <c r="E40" s="152"/>
      <c r="F40" s="152"/>
      <c r="G40" s="153"/>
      <c r="H40" s="40"/>
      <c r="I40" s="40"/>
      <c r="J40" s="42"/>
      <c r="K40" s="40"/>
      <c r="L40" s="40"/>
      <c r="M40" s="40"/>
      <c r="N40" s="116"/>
    </row>
    <row r="41" spans="1:14" s="1" customFormat="1" ht="14.1" customHeight="1" x14ac:dyDescent="0.3">
      <c r="A41" s="148">
        <v>20</v>
      </c>
      <c r="B41" s="65" t="s">
        <v>586</v>
      </c>
      <c r="C41" s="66"/>
      <c r="D41" s="61"/>
      <c r="E41" s="61"/>
      <c r="F41" s="61"/>
      <c r="G41" s="61"/>
      <c r="H41" s="54">
        <f>SUM(I41)-1.2</f>
        <v>8.6000000000000014</v>
      </c>
      <c r="I41" s="54">
        <f>SUM(J41)-1.2</f>
        <v>9.8000000000000007</v>
      </c>
      <c r="J41" s="55">
        <v>11</v>
      </c>
      <c r="K41" s="54">
        <f>SUM(J41)+0.6</f>
        <v>11.6</v>
      </c>
      <c r="L41" s="54">
        <f>SUM(K41)+0.6</f>
        <v>12.2</v>
      </c>
      <c r="M41" s="54">
        <f>SUM(L41)+0.6</f>
        <v>12.799999999999999</v>
      </c>
      <c r="N41" s="115">
        <f>SUM(M41)+0.6</f>
        <v>13.399999999999999</v>
      </c>
    </row>
    <row r="42" spans="1:14" s="1" customFormat="1" ht="14.1" customHeight="1" x14ac:dyDescent="0.3">
      <c r="A42" s="150"/>
      <c r="B42" s="105" t="s">
        <v>585</v>
      </c>
      <c r="C42" s="105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16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15"/>
    </row>
    <row r="44" spans="1:14" s="1" customFormat="1" ht="14.1" customHeight="1" x14ac:dyDescent="0.3">
      <c r="A44" s="150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39"/>
    </row>
    <row r="45" spans="1:14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15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40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6857-13F5-4919-9363-A29BC90C0203}">
  <sheetPr>
    <tabColor rgb="FFFF0000"/>
    <pageSetUpPr fitToPage="1"/>
  </sheetPr>
  <dimension ref="A1:N51"/>
  <sheetViews>
    <sheetView topLeftCell="A13" zoomScale="110" zoomScaleNormal="110" workbookViewId="0">
      <selection sqref="A1:N4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146</v>
      </c>
      <c r="I2" s="8" t="s">
        <v>62</v>
      </c>
      <c r="J2" s="8" t="s">
        <v>63</v>
      </c>
      <c r="K2" s="6" t="s">
        <v>64</v>
      </c>
      <c r="L2" s="8" t="s">
        <v>65</v>
      </c>
      <c r="M2" s="8" t="s">
        <v>145</v>
      </c>
      <c r="N2" s="8" t="s">
        <v>144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SUM(I3)-2</f>
        <v>43</v>
      </c>
      <c r="I3" s="60">
        <f>SUM(J3)-3</f>
        <v>45</v>
      </c>
      <c r="J3" s="54">
        <f>SUM(K3)-3</f>
        <v>48</v>
      </c>
      <c r="K3" s="41">
        <v>51</v>
      </c>
      <c r="L3" s="39">
        <f>SUM(K3)+3</f>
        <v>54</v>
      </c>
      <c r="M3" s="39">
        <f>SUM(L3)+3</f>
        <v>57</v>
      </c>
      <c r="N3" s="43"/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5"/>
      <c r="J4" s="40"/>
      <c r="K4" s="42"/>
      <c r="L4" s="40"/>
      <c r="M4" s="40"/>
      <c r="N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54"/>
      <c r="K5" s="82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0"/>
      <c r="K6" s="42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54"/>
      <c r="K7" s="82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0"/>
      <c r="K8" s="42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-6.6000000000000005</v>
      </c>
      <c r="I9" s="172">
        <f>SUM(J9)-2.2</f>
        <v>-4.4000000000000004</v>
      </c>
      <c r="J9" s="172">
        <f>SUM(K9)-2.2</f>
        <v>-2.2000000000000002</v>
      </c>
      <c r="K9" s="82"/>
      <c r="L9" s="165">
        <f>SUM(K9)+2.2</f>
        <v>2.2000000000000002</v>
      </c>
      <c r="M9" s="165">
        <f>SUM(L9)+2.2</f>
        <v>4.4000000000000004</v>
      </c>
      <c r="N9" s="167"/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166"/>
      <c r="K10" s="42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64.400000000000006</v>
      </c>
      <c r="I11" s="54">
        <f>SUM(J11)-4.5</f>
        <v>68.900000000000006</v>
      </c>
      <c r="J11" s="54">
        <f>SUM(K11)-4.5</f>
        <v>73.400000000000006</v>
      </c>
      <c r="K11" s="82">
        <v>77.900000000000006</v>
      </c>
      <c r="L11" s="54">
        <f>SUM(K11)+4.5</f>
        <v>82.4</v>
      </c>
      <c r="M11" s="54">
        <f t="shared" ref="M11" si="0">SUM(L11)+4.5</f>
        <v>86.9</v>
      </c>
      <c r="N11" s="56"/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0"/>
      <c r="K12" s="42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68.599999999999994</v>
      </c>
      <c r="I13" s="54">
        <f>SUM(J13)-5</f>
        <v>73.599999999999994</v>
      </c>
      <c r="J13" s="54">
        <f>SUM(K13)-5</f>
        <v>78.599999999999994</v>
      </c>
      <c r="K13" s="55">
        <v>83.6</v>
      </c>
      <c r="L13" s="54">
        <f>SUM(K13)+5</f>
        <v>88.6</v>
      </c>
      <c r="M13" s="54">
        <f t="shared" ref="M13" si="1">SUM(L13)+5</f>
        <v>93.6</v>
      </c>
      <c r="N13" s="56"/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0"/>
      <c r="K14" s="42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13.100000000000001</v>
      </c>
      <c r="I15" s="54">
        <f>SUM(J15)-0.7</f>
        <v>13.8</v>
      </c>
      <c r="J15" s="54">
        <f>SUM(K15)-0.7</f>
        <v>14.5</v>
      </c>
      <c r="K15" s="55">
        <v>15.2</v>
      </c>
      <c r="L15" s="54">
        <f>SUM(K15)+1.2</f>
        <v>16.399999999999999</v>
      </c>
      <c r="M15" s="54">
        <f>SUM(L15)+0.7</f>
        <v>17.099999999999998</v>
      </c>
      <c r="N15" s="56"/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0"/>
      <c r="K16" s="42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60"/>
      <c r="J17" s="54"/>
      <c r="K17" s="55"/>
      <c r="L17" s="54"/>
      <c r="M17" s="54"/>
      <c r="N17" s="160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5"/>
      <c r="J18" s="40"/>
      <c r="K18" s="42"/>
      <c r="L18" s="40"/>
      <c r="M18" s="40"/>
      <c r="N18" s="161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4"/>
      <c r="K19" s="55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0"/>
      <c r="K20" s="42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SUM(I21)-3.5</f>
        <v>28.5</v>
      </c>
      <c r="I21" s="54">
        <f>SUM(J21)-3.5</f>
        <v>32</v>
      </c>
      <c r="J21" s="54">
        <f>SUM(K21)-3.5</f>
        <v>35.5</v>
      </c>
      <c r="K21" s="55">
        <v>39</v>
      </c>
      <c r="L21" s="54">
        <f>SUM(K21)+3</f>
        <v>42</v>
      </c>
      <c r="M21" s="54">
        <f t="shared" ref="M21" si="2">SUM(L21)+3</f>
        <v>45</v>
      </c>
      <c r="N21" s="56"/>
    </row>
    <row r="22" spans="1:14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0"/>
      <c r="K22" s="42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38.800000000000004</v>
      </c>
      <c r="I23" s="54">
        <f>SUM(J23)-2.4</f>
        <v>41.2</v>
      </c>
      <c r="J23" s="54">
        <f>SUM(K23)-2.4</f>
        <v>43.6</v>
      </c>
      <c r="K23" s="55">
        <v>46</v>
      </c>
      <c r="L23" s="54">
        <f>SUM(K23)+2.4</f>
        <v>48.4</v>
      </c>
      <c r="M23" s="54">
        <f t="shared" ref="M23" si="3">SUM(L23)+2.4</f>
        <v>50.8</v>
      </c>
      <c r="N23" s="56"/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0"/>
      <c r="K24" s="42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20.299999999999997</v>
      </c>
      <c r="I25" s="60">
        <f>SUM(J25)-1.1</f>
        <v>21.4</v>
      </c>
      <c r="J25" s="54">
        <f>SUM(K25)-1.1</f>
        <v>22.5</v>
      </c>
      <c r="K25" s="55">
        <v>23.6</v>
      </c>
      <c r="L25" s="54">
        <f>SUM(K25)+1.6</f>
        <v>25.200000000000003</v>
      </c>
      <c r="M25" s="54">
        <f>SUM(L25)+1.1</f>
        <v>26.300000000000004</v>
      </c>
      <c r="N25" s="160"/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5"/>
      <c r="J26" s="40"/>
      <c r="K26" s="42"/>
      <c r="L26" s="40"/>
      <c r="M26" s="40"/>
      <c r="N26" s="161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26.999999999999996</v>
      </c>
      <c r="I27" s="60">
        <f>SUM(J27)-1.3</f>
        <v>28.299999999999997</v>
      </c>
      <c r="J27" s="54">
        <f>SUM(K27)-1.3</f>
        <v>29.599999999999998</v>
      </c>
      <c r="K27" s="55">
        <v>30.9</v>
      </c>
      <c r="L27" s="54">
        <f>SUM(K27)+1.8</f>
        <v>32.699999999999996</v>
      </c>
      <c r="M27" s="54">
        <f>SUM(L27)+1.3</f>
        <v>33.999999999999993</v>
      </c>
      <c r="N27" s="160"/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5"/>
      <c r="J28" s="40"/>
      <c r="K28" s="42"/>
      <c r="L28" s="40"/>
      <c r="M28" s="40"/>
      <c r="N28" s="161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-7.8000000000000007</v>
      </c>
      <c r="I29" s="156">
        <f>SUM(J29)-2.6</f>
        <v>-5.2</v>
      </c>
      <c r="J29" s="156">
        <f>SUM(K29)-2.6</f>
        <v>-2.6</v>
      </c>
      <c r="K29" s="154"/>
      <c r="L29" s="156">
        <f>SUM(K29)+2.6</f>
        <v>2.6</v>
      </c>
      <c r="M29" s="156">
        <f t="shared" ref="M29" si="4">SUM(L29)+2.6</f>
        <v>5.2</v>
      </c>
      <c r="N29" s="158"/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7"/>
      <c r="K30" s="155"/>
      <c r="L30" s="157"/>
      <c r="M30" s="157"/>
      <c r="N30" s="159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-15</v>
      </c>
      <c r="I31" s="156">
        <f>SUM(J31)-5</f>
        <v>-10</v>
      </c>
      <c r="J31" s="156">
        <f>SUM(K31)-5</f>
        <v>-5</v>
      </c>
      <c r="K31" s="154"/>
      <c r="L31" s="156">
        <f>SUM(K31)+5.5</f>
        <v>5.5</v>
      </c>
      <c r="M31" s="156">
        <f t="shared" ref="M31" si="5">SUM(L31)+6</f>
        <v>11.5</v>
      </c>
      <c r="N31" s="158"/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7"/>
      <c r="K32" s="155"/>
      <c r="L32" s="157"/>
      <c r="M32" s="157"/>
      <c r="N32" s="159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-6.6000000000000005</v>
      </c>
      <c r="I33" s="156">
        <f>SUM(J33)-2.2</f>
        <v>-4.4000000000000004</v>
      </c>
      <c r="J33" s="156">
        <f>SUM(K33)-2.2</f>
        <v>-2.2000000000000002</v>
      </c>
      <c r="K33" s="154"/>
      <c r="L33" s="156">
        <f>SUM(K33)+2.3</f>
        <v>2.2999999999999998</v>
      </c>
      <c r="M33" s="156">
        <f>SUM(L33)+2.2</f>
        <v>4.5</v>
      </c>
      <c r="N33" s="158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7"/>
      <c r="K34" s="155"/>
      <c r="L34" s="157"/>
      <c r="M34" s="157"/>
      <c r="N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-8.6999999999999993</v>
      </c>
      <c r="I35" s="156">
        <f>SUM(J35)-2.9</f>
        <v>-5.8</v>
      </c>
      <c r="J35" s="156">
        <f>SUM(K35)-2.9</f>
        <v>-2.9</v>
      </c>
      <c r="K35" s="154"/>
      <c r="L35" s="156">
        <f>SUM(K35)+3.6</f>
        <v>3.6</v>
      </c>
      <c r="M35" s="156">
        <f>SUM(L35)+3.2</f>
        <v>6.8000000000000007</v>
      </c>
      <c r="N35" s="158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7"/>
      <c r="K36" s="155"/>
      <c r="L36" s="157"/>
      <c r="M36" s="157"/>
      <c r="N36" s="159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4.9999999999999991</v>
      </c>
      <c r="I37" s="54">
        <f>SUM(J37)-0.2</f>
        <v>5.1999999999999993</v>
      </c>
      <c r="J37" s="54">
        <f>SUM(K37)-0.2</f>
        <v>5.3999999999999995</v>
      </c>
      <c r="K37" s="55">
        <v>5.6</v>
      </c>
      <c r="L37" s="54">
        <f>SUM(K37)+0.2</f>
        <v>5.8</v>
      </c>
      <c r="M37" s="54">
        <f t="shared" ref="M37" si="6">SUM(L37)+0.2</f>
        <v>6</v>
      </c>
      <c r="N37" s="56"/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0"/>
      <c r="K38" s="42"/>
      <c r="L38" s="40"/>
      <c r="M38" s="40"/>
      <c r="N38" s="4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9.0000000000000018</v>
      </c>
      <c r="I39" s="54">
        <f>SUM(J39)-0.6</f>
        <v>9.6000000000000014</v>
      </c>
      <c r="J39" s="54">
        <f>SUM(K39)-0.6</f>
        <v>10.200000000000001</v>
      </c>
      <c r="K39" s="55">
        <v>10.8</v>
      </c>
      <c r="L39" s="54">
        <f>SUM(K39)+0.6</f>
        <v>11.4</v>
      </c>
      <c r="M39" s="54">
        <f t="shared" ref="M39" si="7">SUM(L39)+0.6</f>
        <v>12</v>
      </c>
      <c r="N39" s="56"/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0"/>
      <c r="K40" s="42"/>
      <c r="L40" s="40"/>
      <c r="M40" s="40"/>
      <c r="N40" s="44"/>
    </row>
    <row r="41" spans="1:14" s="1" customFormat="1" ht="14.1" customHeight="1" x14ac:dyDescent="0.3">
      <c r="A41" s="148">
        <v>20</v>
      </c>
      <c r="B41" s="65" t="s">
        <v>498</v>
      </c>
      <c r="C41" s="66"/>
      <c r="D41" s="61"/>
      <c r="E41" s="61"/>
      <c r="F41" s="61"/>
      <c r="G41" s="61"/>
      <c r="H41" s="54">
        <f>SUM(I41)-0.5</f>
        <v>9.5</v>
      </c>
      <c r="I41" s="54">
        <f>SUM(J41)-0.5</f>
        <v>10</v>
      </c>
      <c r="J41" s="54">
        <f>SUM(K41)-0.5</f>
        <v>10.5</v>
      </c>
      <c r="K41" s="55">
        <v>11</v>
      </c>
      <c r="L41" s="54">
        <f>SUM(K41)+0.5</f>
        <v>11.5</v>
      </c>
      <c r="M41" s="54">
        <f t="shared" ref="M41" si="8">SUM(L41)+0.5</f>
        <v>12</v>
      </c>
      <c r="N41" s="56"/>
    </row>
    <row r="42" spans="1:14" s="1" customFormat="1" ht="14.1" customHeight="1" x14ac:dyDescent="0.3">
      <c r="A42" s="150"/>
      <c r="B42" s="57" t="s">
        <v>499</v>
      </c>
      <c r="C42" s="58"/>
      <c r="D42" s="51"/>
      <c r="E42" s="52"/>
      <c r="F42" s="52"/>
      <c r="G42" s="53"/>
      <c r="H42" s="81"/>
      <c r="I42" s="81"/>
      <c r="J42" s="81"/>
      <c r="K42" s="82"/>
      <c r="L42" s="81"/>
      <c r="M42" s="81"/>
      <c r="N42" s="83"/>
    </row>
    <row r="43" spans="1:14" s="1" customFormat="1" ht="14.1" customHeight="1" x14ac:dyDescent="0.3">
      <c r="A43" s="191">
        <v>21</v>
      </c>
      <c r="B43" s="65" t="s">
        <v>500</v>
      </c>
      <c r="C43" s="66"/>
      <c r="D43" s="61"/>
      <c r="E43" s="61"/>
      <c r="F43" s="61"/>
      <c r="G43" s="61"/>
      <c r="H43" s="54">
        <f>SUM(I43)-0.5</f>
        <v>10.5</v>
      </c>
      <c r="I43" s="54">
        <f>SUM(J43)-0.5</f>
        <v>11</v>
      </c>
      <c r="J43" s="54">
        <f>SUM(K43)-0.5</f>
        <v>11.5</v>
      </c>
      <c r="K43" s="55">
        <v>12</v>
      </c>
      <c r="L43" s="54">
        <f>SUM(K43)+0.5</f>
        <v>12.5</v>
      </c>
      <c r="M43" s="54">
        <f t="shared" ref="M43" si="9">SUM(L43)+0.5</f>
        <v>13</v>
      </c>
      <c r="N43" s="56"/>
    </row>
    <row r="44" spans="1:14" s="1" customFormat="1" ht="14.1" customHeight="1" thickBot="1" x14ac:dyDescent="0.35">
      <c r="A44" s="149"/>
      <c r="B44" s="96" t="s">
        <v>501</v>
      </c>
      <c r="C44" s="97"/>
      <c r="D44" s="98"/>
      <c r="E44" s="99"/>
      <c r="F44" s="99"/>
      <c r="G44" s="100"/>
      <c r="H44" s="91"/>
      <c r="I44" s="91"/>
      <c r="J44" s="91"/>
      <c r="K44" s="107"/>
      <c r="L44" s="91"/>
      <c r="M44" s="91"/>
      <c r="N44" s="147"/>
    </row>
    <row r="45" spans="1:14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55">
    <mergeCell ref="M3:M4"/>
    <mergeCell ref="N3:N4"/>
    <mergeCell ref="B4:C4"/>
    <mergeCell ref="D4:G4"/>
    <mergeCell ref="H3:H4"/>
    <mergeCell ref="A1:N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N23:N24"/>
    <mergeCell ref="B24:C24"/>
    <mergeCell ref="D24:G24"/>
    <mergeCell ref="L21:L22"/>
    <mergeCell ref="M21:M22"/>
    <mergeCell ref="N21:N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N27:N28"/>
    <mergeCell ref="B28:C28"/>
    <mergeCell ref="D28:G28"/>
    <mergeCell ref="L25:L26"/>
    <mergeCell ref="M25:M26"/>
    <mergeCell ref="N25:N26"/>
    <mergeCell ref="B26:C26"/>
    <mergeCell ref="D26:G26"/>
    <mergeCell ref="K25:K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N31:N32"/>
    <mergeCell ref="B32:C32"/>
    <mergeCell ref="D32:G32"/>
    <mergeCell ref="L29:L30"/>
    <mergeCell ref="M29:M30"/>
    <mergeCell ref="N29:N30"/>
    <mergeCell ref="B30:C30"/>
    <mergeCell ref="D30:G30"/>
    <mergeCell ref="K29:K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N35:N36"/>
    <mergeCell ref="B36:C36"/>
    <mergeCell ref="D36:G36"/>
    <mergeCell ref="L33:L34"/>
    <mergeCell ref="M33:M34"/>
    <mergeCell ref="N33:N34"/>
    <mergeCell ref="B34:C34"/>
    <mergeCell ref="D34:G34"/>
    <mergeCell ref="K33:K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N39:N40"/>
    <mergeCell ref="B40:C40"/>
    <mergeCell ref="D40:G40"/>
    <mergeCell ref="L37:L38"/>
    <mergeCell ref="M37:M38"/>
    <mergeCell ref="N37:N38"/>
    <mergeCell ref="B38:C38"/>
    <mergeCell ref="D38:G38"/>
    <mergeCell ref="K37:K38"/>
    <mergeCell ref="H37:H38"/>
    <mergeCell ref="H39:H40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43:K44"/>
    <mergeCell ref="L43:L44"/>
    <mergeCell ref="M43:M44"/>
    <mergeCell ref="N43:N44"/>
    <mergeCell ref="B44:C44"/>
    <mergeCell ref="D44:G44"/>
    <mergeCell ref="L41:L42"/>
    <mergeCell ref="M41:M42"/>
    <mergeCell ref="N41:N42"/>
    <mergeCell ref="B42:C42"/>
    <mergeCell ref="D42:G42"/>
    <mergeCell ref="K41:K42"/>
    <mergeCell ref="H41:H42"/>
    <mergeCell ref="H43:H4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A6E6-438A-4B24-B53D-42852E881071}">
  <sheetPr>
    <tabColor rgb="FFFF0000"/>
    <pageSetUpPr fitToPage="1"/>
  </sheetPr>
  <dimension ref="A1:S51"/>
  <sheetViews>
    <sheetView zoomScale="110" zoomScaleNormal="110" workbookViewId="0">
      <selection activeCell="D10" sqref="D10:G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47</v>
      </c>
      <c r="I3" s="54">
        <f>SUM(J3)-3</f>
        <v>50</v>
      </c>
      <c r="J3" s="41">
        <v>53</v>
      </c>
      <c r="K3" s="39">
        <f>SUM(J3)+3</f>
        <v>56</v>
      </c>
      <c r="L3" s="39">
        <f>SUM(K3)+3</f>
        <v>59</v>
      </c>
      <c r="M3" s="39">
        <f>SUM(L3)+3</f>
        <v>62</v>
      </c>
      <c r="N3" s="144">
        <f>SUM(M3)+3</f>
        <v>65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43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>
        <f>SUM(I5)-1.5</f>
        <v>16</v>
      </c>
      <c r="I5" s="54">
        <f>SUM(J5)-1.5</f>
        <v>17.5</v>
      </c>
      <c r="J5" s="82">
        <v>19</v>
      </c>
      <c r="K5" s="81">
        <f>SUM(J5)+1.5</f>
        <v>20.5</v>
      </c>
      <c r="L5" s="81">
        <f>SUM(K5)+1.5</f>
        <v>22</v>
      </c>
      <c r="M5" s="81">
        <f>SUM(L5)+1.5</f>
        <v>23.5</v>
      </c>
      <c r="N5" s="119">
        <f>SUM(M5)+1.5</f>
        <v>25</v>
      </c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02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>
        <f>SUM(I7)-1.5</f>
        <v>31</v>
      </c>
      <c r="I7" s="54">
        <f>SUM(J7)-1.5</f>
        <v>32.5</v>
      </c>
      <c r="J7" s="82">
        <v>34</v>
      </c>
      <c r="K7" s="81">
        <f>SUM(J7)+1.5</f>
        <v>35.5</v>
      </c>
      <c r="L7" s="81">
        <f>SUM(K7)+1.5</f>
        <v>37</v>
      </c>
      <c r="M7" s="81">
        <f>SUM(L7)+1.5</f>
        <v>38.5</v>
      </c>
      <c r="N7" s="119">
        <f>SUM(M7)+1.5</f>
        <v>40</v>
      </c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02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SUM(I9)-1.5</f>
        <v>35</v>
      </c>
      <c r="I9" s="54">
        <f>SUM(J9)-1.5</f>
        <v>36.5</v>
      </c>
      <c r="J9" s="82">
        <v>38</v>
      </c>
      <c r="K9" s="81">
        <f>SUM(J9)+1.5</f>
        <v>39.5</v>
      </c>
      <c r="L9" s="81">
        <f>SUM(K9)+1.5</f>
        <v>41</v>
      </c>
      <c r="M9" s="81">
        <f>SUM(L9)+1.5</f>
        <v>42.5</v>
      </c>
      <c r="N9" s="119">
        <f>SUM(M9)+1.5</f>
        <v>44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459</v>
      </c>
      <c r="E10" s="73"/>
      <c r="F10" s="73"/>
      <c r="G10" s="74"/>
      <c r="H10" s="40"/>
      <c r="I10" s="40"/>
      <c r="J10" s="42"/>
      <c r="K10" s="40"/>
      <c r="L10" s="40"/>
      <c r="M10" s="40"/>
      <c r="N10" s="102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>SUM(K11)+4.5</f>
        <v>79</v>
      </c>
      <c r="M11" s="54">
        <f>SUM(L11)+4.5</f>
        <v>83.5</v>
      </c>
      <c r="N11" s="142">
        <f>SUM(M11)+4.5</f>
        <v>88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43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66</v>
      </c>
      <c r="I13" s="54">
        <f>SUM(J13)-5</f>
        <v>71</v>
      </c>
      <c r="J13" s="55">
        <v>76</v>
      </c>
      <c r="K13" s="54">
        <f>SUM(J13)+5</f>
        <v>81</v>
      </c>
      <c r="L13" s="54">
        <f>SUM(K13)+5</f>
        <v>86</v>
      </c>
      <c r="M13" s="54">
        <f>SUM(L13)+5</f>
        <v>91</v>
      </c>
      <c r="N13" s="142">
        <f>SUM(M13)+5</f>
        <v>96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43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14.100000000000001</v>
      </c>
      <c r="I15" s="54">
        <f>SUM(J15)-0.7</f>
        <v>14.8</v>
      </c>
      <c r="J15" s="55">
        <v>15.5</v>
      </c>
      <c r="K15" s="54">
        <f>SUM(J15)+1.2</f>
        <v>16.7</v>
      </c>
      <c r="L15" s="54">
        <f>SUM(K15)+0.7</f>
        <v>17.399999999999999</v>
      </c>
      <c r="M15" s="54">
        <f>SUM(L15)+0.7</f>
        <v>18.099999999999998</v>
      </c>
      <c r="N15" s="142">
        <f>SUM(M15)+0.7</f>
        <v>18.799999999999997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5"/>
      <c r="I16" s="40"/>
      <c r="J16" s="42"/>
      <c r="K16" s="40"/>
      <c r="L16" s="40"/>
      <c r="M16" s="40"/>
      <c r="N16" s="143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54"/>
      <c r="N17" s="142"/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43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42"/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43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24</v>
      </c>
      <c r="I21" s="54">
        <f>SUM(J21)-2.5</f>
        <v>26.5</v>
      </c>
      <c r="J21" s="55">
        <v>29</v>
      </c>
      <c r="K21" s="54">
        <f>SUM(J21)+2</f>
        <v>31</v>
      </c>
      <c r="L21" s="54">
        <f>SUM(K21)+2</f>
        <v>33</v>
      </c>
      <c r="M21" s="54">
        <f>SUM(L21)+2</f>
        <v>35</v>
      </c>
      <c r="N21" s="101">
        <f>SUM(M21)+2</f>
        <v>37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02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40.200000000000003</v>
      </c>
      <c r="I23" s="54">
        <f>SUM(J23)-2.4</f>
        <v>42.6</v>
      </c>
      <c r="J23" s="55">
        <v>45</v>
      </c>
      <c r="K23" s="54">
        <f>SUM(J23)+2.4</f>
        <v>47.4</v>
      </c>
      <c r="L23" s="54">
        <f>SUM(K23)+2.4</f>
        <v>49.8</v>
      </c>
      <c r="M23" s="54">
        <f>SUM(L23)+2.4</f>
        <v>52.199999999999996</v>
      </c>
      <c r="N23" s="101">
        <f>SUM(M23)+2.4</f>
        <v>54.599999999999994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02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21.299999999999997</v>
      </c>
      <c r="I25" s="54">
        <f>SUM(J25)-1.1</f>
        <v>22.4</v>
      </c>
      <c r="J25" s="55">
        <v>23.5</v>
      </c>
      <c r="K25" s="54">
        <f>SUM(J25)+1.6</f>
        <v>25.1</v>
      </c>
      <c r="L25" s="54">
        <f>SUM(K25)+1.1</f>
        <v>26.200000000000003</v>
      </c>
      <c r="M25" s="60">
        <f>SUM(L25)+1.1</f>
        <v>27.300000000000004</v>
      </c>
      <c r="N25" s="142">
        <f>SUM(M25)+1.1</f>
        <v>28.400000000000006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43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26.4</v>
      </c>
      <c r="I27" s="54">
        <f>SUM(J27)-1.3</f>
        <v>27.7</v>
      </c>
      <c r="J27" s="55">
        <v>29</v>
      </c>
      <c r="K27" s="54">
        <f>SUM(J27)+1.8</f>
        <v>30.8</v>
      </c>
      <c r="L27" s="54">
        <f>SUM(K27)+1.3</f>
        <v>32.1</v>
      </c>
      <c r="M27" s="60">
        <f>SUM(L27)+1.3</f>
        <v>33.4</v>
      </c>
      <c r="N27" s="142">
        <f>SUM(M27)+1.3</f>
        <v>34.699999999999996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43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42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43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42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43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42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43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42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43"/>
    </row>
    <row r="37" spans="1:14" s="1" customFormat="1" ht="14.1" customHeight="1" x14ac:dyDescent="0.3">
      <c r="A37" s="148">
        <v>18</v>
      </c>
      <c r="B37" s="65" t="s">
        <v>641</v>
      </c>
      <c r="C37" s="66"/>
      <c r="D37" s="62"/>
      <c r="E37" s="63"/>
      <c r="F37" s="63"/>
      <c r="G37" s="64"/>
      <c r="H37" s="60">
        <f>SUM(I37)-2.7</f>
        <v>22.1</v>
      </c>
      <c r="I37" s="54">
        <f>SUM(J37)-2.7</f>
        <v>24.8</v>
      </c>
      <c r="J37" s="55">
        <v>27.5</v>
      </c>
      <c r="K37" s="54">
        <f>SUM(J37)+1.7</f>
        <v>29.2</v>
      </c>
      <c r="L37" s="54">
        <f>SUM(K37)+2.2</f>
        <v>31.4</v>
      </c>
      <c r="M37" s="60">
        <f>SUM(L37)+2.2</f>
        <v>33.6</v>
      </c>
      <c r="N37" s="142">
        <f>SUM(M37)+2.2</f>
        <v>35.800000000000004</v>
      </c>
    </row>
    <row r="38" spans="1:14" s="1" customFormat="1" ht="14.1" customHeight="1" x14ac:dyDescent="0.3">
      <c r="A38" s="150"/>
      <c r="B38" s="70" t="s">
        <v>642</v>
      </c>
      <c r="C38" s="71"/>
      <c r="D38" s="151"/>
      <c r="E38" s="152"/>
      <c r="F38" s="152"/>
      <c r="G38" s="153"/>
      <c r="H38" s="45"/>
      <c r="I38" s="40"/>
      <c r="J38" s="42"/>
      <c r="K38" s="40"/>
      <c r="L38" s="40"/>
      <c r="M38" s="45"/>
      <c r="N38" s="143"/>
    </row>
    <row r="39" spans="1:14" s="1" customFormat="1" ht="14.1" customHeight="1" x14ac:dyDescent="0.3">
      <c r="A39" s="148">
        <v>19</v>
      </c>
      <c r="B39" s="65"/>
      <c r="C39" s="66"/>
      <c r="D39" s="62"/>
      <c r="E39" s="63"/>
      <c r="F39" s="63"/>
      <c r="G39" s="64"/>
      <c r="H39" s="54"/>
      <c r="I39" s="54"/>
      <c r="J39" s="55"/>
      <c r="K39" s="54"/>
      <c r="L39" s="54"/>
      <c r="M39" s="54"/>
      <c r="N39" s="142"/>
    </row>
    <row r="40" spans="1:14" s="1" customFormat="1" ht="14.1" customHeight="1" x14ac:dyDescent="0.3">
      <c r="A40" s="150"/>
      <c r="B40" s="70"/>
      <c r="C40" s="71"/>
      <c r="D40" s="151"/>
      <c r="E40" s="152"/>
      <c r="F40" s="152"/>
      <c r="G40" s="153"/>
      <c r="H40" s="40"/>
      <c r="I40" s="40"/>
      <c r="J40" s="42"/>
      <c r="K40" s="40"/>
      <c r="L40" s="40"/>
      <c r="M40" s="40"/>
      <c r="N40" s="143"/>
    </row>
    <row r="41" spans="1:14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4"/>
      <c r="N41" s="142"/>
    </row>
    <row r="42" spans="1:14" s="1" customFormat="1" ht="14.1" customHeight="1" x14ac:dyDescent="0.3">
      <c r="A42" s="150"/>
      <c r="B42" s="57"/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43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42"/>
    </row>
    <row r="44" spans="1:14" s="1" customFormat="1" ht="14.1" customHeight="1" x14ac:dyDescent="0.3">
      <c r="A44" s="148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45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42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46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4391-A722-4D21-98E8-2F9064B16C08}">
  <sheetPr>
    <tabColor rgb="FFFF0000"/>
    <pageSetUpPr fitToPage="1"/>
  </sheetPr>
  <dimension ref="A1:S51"/>
  <sheetViews>
    <sheetView zoomScale="110" zoomScaleNormal="110" workbookViewId="0">
      <selection activeCell="I23" sqref="I23:I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770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63</v>
      </c>
      <c r="I11" s="54">
        <f>SUM(J11)-4.5</f>
        <v>67.5</v>
      </c>
      <c r="J11" s="82">
        <v>72</v>
      </c>
      <c r="K11" s="54">
        <f>SUM(J11)+4.5</f>
        <v>76.5</v>
      </c>
      <c r="L11" s="54">
        <f>SUM(K11)+4.5</f>
        <v>81</v>
      </c>
      <c r="M11" s="54">
        <f>SUM(L11)+4.5</f>
        <v>85.5</v>
      </c>
      <c r="N11" s="181">
        <f>SUM(M11)+4.5</f>
        <v>90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66</v>
      </c>
      <c r="I13" s="54">
        <f>SUM(J13)-5</f>
        <v>71</v>
      </c>
      <c r="J13" s="55">
        <v>76</v>
      </c>
      <c r="K13" s="54">
        <f>SUM(J13)+5</f>
        <v>81</v>
      </c>
      <c r="L13" s="54">
        <f>SUM(K13)+5</f>
        <v>86</v>
      </c>
      <c r="M13" s="54">
        <f>SUM(L13)+5</f>
        <v>91</v>
      </c>
      <c r="N13" s="181">
        <f>SUM(M13)+5</f>
        <v>96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81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80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81">
        <f>SUM(M17)+0.7</f>
        <v>13.799999999999997</v>
      </c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80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15">
        <f>SUM(M19)+0</f>
        <v>3.3</v>
      </c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SUM(I21)-3.5</f>
        <v>32</v>
      </c>
      <c r="I21" s="54">
        <f>SUM(J21)-3.5</f>
        <v>35.5</v>
      </c>
      <c r="J21" s="55">
        <v>39</v>
      </c>
      <c r="K21" s="54">
        <f>SUM(J21)+3</f>
        <v>42</v>
      </c>
      <c r="L21" s="54">
        <f>SUM(K21)+3</f>
        <v>45</v>
      </c>
      <c r="M21" s="54">
        <f>SUM(L21)+3</f>
        <v>48</v>
      </c>
      <c r="N21" s="160">
        <f>SUM(M21)+3</f>
        <v>51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SUM(I23)-2.2</f>
        <v>37.599999999999994</v>
      </c>
      <c r="I23" s="54">
        <f>SUM(J23)-2.2</f>
        <v>39.799999999999997</v>
      </c>
      <c r="J23" s="55">
        <v>42</v>
      </c>
      <c r="K23" s="54">
        <f>SUM(J23)+2.2</f>
        <v>44.2</v>
      </c>
      <c r="L23" s="54">
        <f>SUM(K23)+2.2</f>
        <v>46.400000000000006</v>
      </c>
      <c r="M23" s="54">
        <f>SUM(L23)+2.2</f>
        <v>48.600000000000009</v>
      </c>
      <c r="N23" s="160">
        <f>SUM(M23)+2.2</f>
        <v>50.800000000000011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81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SUM(I37)-0.6</f>
        <v>7.3000000000000007</v>
      </c>
      <c r="I37" s="54">
        <f>SUM(J37)-0.6</f>
        <v>7.9</v>
      </c>
      <c r="J37" s="67">
        <v>8.5</v>
      </c>
      <c r="K37" s="68">
        <f>SUM(J37)+0.6</f>
        <v>9.1</v>
      </c>
      <c r="L37" s="68">
        <f>SUM(K37)+0.6</f>
        <v>9.6999999999999993</v>
      </c>
      <c r="M37" s="68">
        <f>SUM(L37)+0.6</f>
        <v>10.299999999999999</v>
      </c>
      <c r="N37" s="131">
        <f>SUM(M37)+0.6</f>
        <v>10.899999999999999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SUM(I39)-0.2</f>
        <v>4.5999999999999996</v>
      </c>
      <c r="I39" s="54">
        <f>SUM(J39)-0.2</f>
        <v>4.8</v>
      </c>
      <c r="J39" s="55">
        <v>5</v>
      </c>
      <c r="K39" s="54">
        <f>SUM(J39)+0.2</f>
        <v>5.2</v>
      </c>
      <c r="L39" s="54">
        <f>SUM(K39)+0.2</f>
        <v>5.4</v>
      </c>
      <c r="M39" s="54">
        <f>SUM(L39)+0.2</f>
        <v>5.6000000000000005</v>
      </c>
      <c r="N39" s="181">
        <f>SUM(M39)+0.2</f>
        <v>5.8000000000000007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4"/>
      <c r="N41" s="181"/>
    </row>
    <row r="42" spans="1:14" s="1" customFormat="1" ht="14.1" customHeight="1" x14ac:dyDescent="0.3">
      <c r="A42" s="150"/>
      <c r="B42" s="57"/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81"/>
    </row>
    <row r="44" spans="1:14" s="1" customFormat="1" ht="14.1" customHeight="1" x14ac:dyDescent="0.3">
      <c r="A44" s="148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81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0232-45FB-4570-AD3D-BB02962B0450}">
  <sheetPr>
    <tabColor rgb="FFFF0000"/>
    <pageSetUpPr fitToPage="1"/>
  </sheetPr>
  <dimension ref="A1:S51"/>
  <sheetViews>
    <sheetView topLeftCell="A13" zoomScale="110" zoomScaleNormal="110" workbookViewId="0">
      <selection activeCell="P12" sqref="P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63</v>
      </c>
      <c r="I11" s="54">
        <f>SUM(J11)-4.5</f>
        <v>67.5</v>
      </c>
      <c r="J11" s="82">
        <v>72</v>
      </c>
      <c r="K11" s="54">
        <f>SUM(J11)+4.5</f>
        <v>76.5</v>
      </c>
      <c r="L11" s="54">
        <f>SUM(K11)+4.5</f>
        <v>81</v>
      </c>
      <c r="M11" s="54">
        <f>SUM(L11)+4.5</f>
        <v>85.5</v>
      </c>
      <c r="N11" s="181">
        <f>SUM(M11)+4.5</f>
        <v>90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71</v>
      </c>
      <c r="I13" s="54">
        <f>SUM(J13)-5</f>
        <v>76</v>
      </c>
      <c r="J13" s="55">
        <v>81</v>
      </c>
      <c r="K13" s="54">
        <f>SUM(J13)+5</f>
        <v>86</v>
      </c>
      <c r="L13" s="54">
        <f>SUM(K13)+5</f>
        <v>91</v>
      </c>
      <c r="M13" s="54">
        <f>SUM(L13)+5</f>
        <v>96</v>
      </c>
      <c r="N13" s="181">
        <f>SUM(M13)+5</f>
        <v>101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81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80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81">
        <f>SUM(M17)+0.7</f>
        <v>13.799999999999997</v>
      </c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80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15">
        <f>SUM(M19)+0</f>
        <v>3.3</v>
      </c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SUM(I21)-4.5</f>
        <v>39</v>
      </c>
      <c r="I21" s="54">
        <f>SUM(J21)-4.5</f>
        <v>43.5</v>
      </c>
      <c r="J21" s="55">
        <v>48</v>
      </c>
      <c r="K21" s="54">
        <f>SUM(J21)+4</f>
        <v>52</v>
      </c>
      <c r="L21" s="54">
        <f>SUM(K21)+4</f>
        <v>56</v>
      </c>
      <c r="M21" s="54">
        <f>SUM(L21)+4</f>
        <v>60</v>
      </c>
      <c r="N21" s="160">
        <f>SUM(M21)+4</f>
        <v>64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41.2</v>
      </c>
      <c r="I23" s="54">
        <f>SUM(J23)-2.4</f>
        <v>43.6</v>
      </c>
      <c r="J23" s="55">
        <v>46</v>
      </c>
      <c r="K23" s="54">
        <f>SUM(J23)+2.4</f>
        <v>48.4</v>
      </c>
      <c r="L23" s="54">
        <f>SUM(K23)+2.4</f>
        <v>50.8</v>
      </c>
      <c r="M23" s="54">
        <f>SUM(L23)+2.4</f>
        <v>53.199999999999996</v>
      </c>
      <c r="N23" s="160">
        <f>SUM(M23)+2.4</f>
        <v>55.599999999999994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27.9</v>
      </c>
      <c r="I27" s="54">
        <f>SUM(J27)-1.3</f>
        <v>29.2</v>
      </c>
      <c r="J27" s="55">
        <v>30.5</v>
      </c>
      <c r="K27" s="54">
        <f>SUM(J27)+1.8</f>
        <v>32.299999999999997</v>
      </c>
      <c r="L27" s="54">
        <f>SUM(K27)+1.3</f>
        <v>33.599999999999994</v>
      </c>
      <c r="M27" s="60">
        <f>SUM(L27)+1.3</f>
        <v>34.899999999999991</v>
      </c>
      <c r="N27" s="181">
        <f>SUM(M27)+1.3</f>
        <v>36.199999999999989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SUM(I37)-0.6</f>
        <v>7.3000000000000007</v>
      </c>
      <c r="I37" s="54">
        <f>SUM(J37)-0.6</f>
        <v>7.9</v>
      </c>
      <c r="J37" s="67">
        <v>8.5</v>
      </c>
      <c r="K37" s="68">
        <f>SUM(J37)+0.6</f>
        <v>9.1</v>
      </c>
      <c r="L37" s="68">
        <f>SUM(K37)+0.6</f>
        <v>9.6999999999999993</v>
      </c>
      <c r="M37" s="68">
        <f>SUM(L37)+0.6</f>
        <v>10.299999999999999</v>
      </c>
      <c r="N37" s="131">
        <f>SUM(M37)+0.6</f>
        <v>10.899999999999999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SUM(I39)-0.2</f>
        <v>4.5999999999999996</v>
      </c>
      <c r="I39" s="54">
        <f>SUM(J39)-0.2</f>
        <v>4.8</v>
      </c>
      <c r="J39" s="55">
        <v>5</v>
      </c>
      <c r="K39" s="54">
        <f>SUM(J39)+0.2</f>
        <v>5.2</v>
      </c>
      <c r="L39" s="54">
        <f>SUM(K39)+0.2</f>
        <v>5.4</v>
      </c>
      <c r="M39" s="54">
        <f>SUM(L39)+0.2</f>
        <v>5.6000000000000005</v>
      </c>
      <c r="N39" s="181">
        <f>SUM(M39)+0.2</f>
        <v>5.8000000000000007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11</v>
      </c>
      <c r="I41" s="54">
        <f>SUM(J41)-0.5</f>
        <v>11.5</v>
      </c>
      <c r="J41" s="55">
        <v>12</v>
      </c>
      <c r="K41" s="54">
        <f>SUM(J41)+0.5</f>
        <v>12.5</v>
      </c>
      <c r="L41" s="54">
        <f>SUM(K41)+0.5</f>
        <v>13</v>
      </c>
      <c r="M41" s="54">
        <f>SUM(L41)+0.5</f>
        <v>13.5</v>
      </c>
      <c r="N41" s="181">
        <f>SUM(M41)+0.5</f>
        <v>14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11.5</v>
      </c>
      <c r="I43" s="54">
        <f>SUM(J43)-0.5</f>
        <v>12</v>
      </c>
      <c r="J43" s="55">
        <v>12.5</v>
      </c>
      <c r="K43" s="54">
        <f>SUM(J43)+0.5</f>
        <v>13</v>
      </c>
      <c r="L43" s="54">
        <f>SUM(K43)+0.5</f>
        <v>13.5</v>
      </c>
      <c r="M43" s="54">
        <f>SUM(L43)+0.5</f>
        <v>14</v>
      </c>
      <c r="N43" s="181">
        <f>SUM(M43)+0.5</f>
        <v>14.5</v>
      </c>
    </row>
    <row r="44" spans="1:14" s="1" customFormat="1" ht="14.1" customHeight="1" x14ac:dyDescent="0.3">
      <c r="A44" s="148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 t="s">
        <v>583</v>
      </c>
      <c r="C45" s="66"/>
      <c r="D45" s="61"/>
      <c r="E45" s="61"/>
      <c r="F45" s="61"/>
      <c r="G45" s="61"/>
      <c r="H45" s="54">
        <f>SUM(I45)-0.4</f>
        <v>7.6999999999999993</v>
      </c>
      <c r="I45" s="54">
        <f>SUM(J45)-0.4</f>
        <v>8.1</v>
      </c>
      <c r="J45" s="55">
        <v>8.5</v>
      </c>
      <c r="K45" s="54">
        <f>SUM(J45)+0.4</f>
        <v>8.9</v>
      </c>
      <c r="L45" s="54">
        <f>SUM(K45)+0.4</f>
        <v>9.3000000000000007</v>
      </c>
      <c r="M45" s="54">
        <f>SUM(L45)+0.4</f>
        <v>9.7000000000000011</v>
      </c>
      <c r="N45" s="181">
        <f>SUM(M45)+0.4</f>
        <v>10.100000000000001</v>
      </c>
    </row>
    <row r="46" spans="1:14" ht="14.1" customHeight="1" x14ac:dyDescent="0.3">
      <c r="A46" s="150"/>
      <c r="B46" s="57" t="s">
        <v>584</v>
      </c>
      <c r="C46" s="58"/>
      <c r="D46" s="46"/>
      <c r="E46" s="47"/>
      <c r="F46" s="47"/>
      <c r="G46" s="59"/>
      <c r="H46" s="40"/>
      <c r="I46" s="40"/>
      <c r="J46" s="42"/>
      <c r="K46" s="40"/>
      <c r="L46" s="40"/>
      <c r="M46" s="40"/>
      <c r="N46" s="180"/>
    </row>
    <row r="47" spans="1:14" ht="14.1" customHeight="1" x14ac:dyDescent="0.3">
      <c r="A47" s="148">
        <v>23</v>
      </c>
      <c r="B47" s="65" t="s">
        <v>586</v>
      </c>
      <c r="C47" s="66"/>
      <c r="D47" s="61"/>
      <c r="E47" s="61"/>
      <c r="F47" s="61"/>
      <c r="G47" s="61"/>
      <c r="H47" s="54">
        <f>SUM(I47)-0.4</f>
        <v>8.1999999999999993</v>
      </c>
      <c r="I47" s="54">
        <f>SUM(J47)-0.4</f>
        <v>8.6</v>
      </c>
      <c r="J47" s="55">
        <v>9</v>
      </c>
      <c r="K47" s="54">
        <f>SUM(J47)+0.4</f>
        <v>9.4</v>
      </c>
      <c r="L47" s="54">
        <f>SUM(K47)+0.4</f>
        <v>9.8000000000000007</v>
      </c>
      <c r="M47" s="54">
        <f>SUM(L47)+0.4</f>
        <v>10.200000000000001</v>
      </c>
      <c r="N47" s="181">
        <f>SUM(M47)+0.4</f>
        <v>10.600000000000001</v>
      </c>
    </row>
    <row r="48" spans="1:14" ht="14.1" customHeight="1" x14ac:dyDescent="0.3">
      <c r="A48" s="148"/>
      <c r="B48" s="105" t="s">
        <v>585</v>
      </c>
      <c r="C48" s="105"/>
      <c r="D48" s="51"/>
      <c r="E48" s="52"/>
      <c r="F48" s="52"/>
      <c r="G48" s="53"/>
      <c r="H48" s="81"/>
      <c r="I48" s="81"/>
      <c r="J48" s="82"/>
      <c r="K48" s="81"/>
      <c r="L48" s="81"/>
      <c r="M48" s="81"/>
      <c r="N48" s="182"/>
    </row>
    <row r="49" spans="1:14" ht="14.1" customHeight="1" x14ac:dyDescent="0.3">
      <c r="A49" s="191">
        <v>24</v>
      </c>
      <c r="B49" s="65"/>
      <c r="C49" s="66"/>
      <c r="D49" s="61"/>
      <c r="E49" s="61"/>
      <c r="F49" s="61"/>
      <c r="G49" s="61"/>
      <c r="H49" s="54"/>
      <c r="I49" s="54"/>
      <c r="J49" s="55"/>
      <c r="K49" s="54"/>
      <c r="L49" s="54"/>
      <c r="M49" s="54"/>
      <c r="N49" s="181"/>
    </row>
    <row r="50" spans="1:14" ht="14.1" customHeight="1" thickBot="1" x14ac:dyDescent="0.35">
      <c r="A50" s="149"/>
      <c r="B50" s="141"/>
      <c r="C50" s="141"/>
      <c r="D50" s="98"/>
      <c r="E50" s="99"/>
      <c r="F50" s="99"/>
      <c r="G50" s="100"/>
      <c r="H50" s="91"/>
      <c r="I50" s="91"/>
      <c r="J50" s="107"/>
      <c r="K50" s="91"/>
      <c r="L50" s="91"/>
      <c r="M50" s="91"/>
      <c r="N50" s="183"/>
    </row>
    <row r="51" spans="1:14" ht="14.1" customHeight="1" x14ac:dyDescent="0.3"/>
  </sheetData>
  <mergeCells count="29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556-93BE-40ED-8A99-BC3958D13F8C}">
  <sheetPr>
    <tabColor rgb="FFFF0000"/>
    <pageSetUpPr fitToPage="1"/>
  </sheetPr>
  <dimension ref="A1:S51"/>
  <sheetViews>
    <sheetView zoomScale="110" zoomScaleNormal="110" workbookViewId="0">
      <selection activeCell="I23" sqref="I23:I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>SUM(K11)+4.5</f>
        <v>79</v>
      </c>
      <c r="M11" s="54">
        <f>SUM(L11)+4.5</f>
        <v>83.5</v>
      </c>
      <c r="N11" s="181">
        <f>SUM(M11)+4.5</f>
        <v>88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67</v>
      </c>
      <c r="I13" s="54">
        <f>SUM(J13)-5</f>
        <v>72</v>
      </c>
      <c r="J13" s="55">
        <v>77</v>
      </c>
      <c r="K13" s="54">
        <f>SUM(J13)+5</f>
        <v>82</v>
      </c>
      <c r="L13" s="54">
        <f>SUM(K13)+5</f>
        <v>87</v>
      </c>
      <c r="M13" s="54">
        <f>SUM(L13)+5</f>
        <v>92</v>
      </c>
      <c r="N13" s="181">
        <f>SUM(M13)+5</f>
        <v>97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81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80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81">
        <f>SUM(M17)+0.7</f>
        <v>13.799999999999997</v>
      </c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80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15">
        <f>SUM(M19)+0</f>
        <v>3.3</v>
      </c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</f>
        <v>22.5</v>
      </c>
      <c r="I21" s="54">
        <f>SUM(J21)-2</f>
        <v>24.5</v>
      </c>
      <c r="J21" s="55">
        <v>26.5</v>
      </c>
      <c r="K21" s="54">
        <f>SUM(J21)+1.5</f>
        <v>28</v>
      </c>
      <c r="L21" s="54">
        <f>SUM(K21)+1.5</f>
        <v>29.5</v>
      </c>
      <c r="M21" s="54">
        <f>SUM(L21)+1.5</f>
        <v>31</v>
      </c>
      <c r="N21" s="160">
        <f>SUM(M21)+1.5</f>
        <v>32.5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41.2</v>
      </c>
      <c r="I23" s="54">
        <f>SUM(J23)-2.4</f>
        <v>43.6</v>
      </c>
      <c r="J23" s="55">
        <v>46</v>
      </c>
      <c r="K23" s="54">
        <f>SUM(J23)+2.4</f>
        <v>48.4</v>
      </c>
      <c r="L23" s="54">
        <f>SUM(K23)+2.4</f>
        <v>50.8</v>
      </c>
      <c r="M23" s="54">
        <f>SUM(L23)+2.4</f>
        <v>53.199999999999996</v>
      </c>
      <c r="N23" s="160">
        <f>SUM(M23)+2.4</f>
        <v>55.599999999999994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26.4</v>
      </c>
      <c r="I27" s="54">
        <f>SUM(J27)-1.3</f>
        <v>27.7</v>
      </c>
      <c r="J27" s="55">
        <v>29</v>
      </c>
      <c r="K27" s="54">
        <f>SUM(J27)+1.8</f>
        <v>30.8</v>
      </c>
      <c r="L27" s="54">
        <f>SUM(K27)+1.3</f>
        <v>32.1</v>
      </c>
      <c r="M27" s="60">
        <f>SUM(L27)+1.3</f>
        <v>33.4</v>
      </c>
      <c r="N27" s="181">
        <f>SUM(M27)+1.3</f>
        <v>34.699999999999996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SUM(I37)-0.5</f>
        <v>7</v>
      </c>
      <c r="I37" s="54">
        <f>SUM(J37)-0.5</f>
        <v>7.5</v>
      </c>
      <c r="J37" s="67">
        <v>8</v>
      </c>
      <c r="K37" s="68">
        <f>SUM(J37)+0.5</f>
        <v>8.5</v>
      </c>
      <c r="L37" s="68">
        <f>SUM(K37)+0.5</f>
        <v>9</v>
      </c>
      <c r="M37" s="68">
        <f>SUM(L37)+0.5</f>
        <v>9.5</v>
      </c>
      <c r="N37" s="131">
        <f>SUM(M37)+0.5</f>
        <v>10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SUM(I39)-0.3</f>
        <v>5.4</v>
      </c>
      <c r="I39" s="54">
        <f>SUM(J39)-0.3</f>
        <v>5.7</v>
      </c>
      <c r="J39" s="55">
        <v>6</v>
      </c>
      <c r="K39" s="54">
        <f>SUM(J39)+0.3</f>
        <v>6.3</v>
      </c>
      <c r="L39" s="54">
        <f>SUM(K39)+0.3</f>
        <v>6.6</v>
      </c>
      <c r="M39" s="54">
        <f>SUM(L39)+0.3</f>
        <v>6.8999999999999995</v>
      </c>
      <c r="N39" s="181">
        <f>SUM(M39)+0.3</f>
        <v>7.1999999999999993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10</v>
      </c>
      <c r="I41" s="54">
        <f>SUM(J41)-0.5</f>
        <v>10.5</v>
      </c>
      <c r="J41" s="55">
        <v>11</v>
      </c>
      <c r="K41" s="54">
        <f>SUM(J41)+0.5</f>
        <v>11.5</v>
      </c>
      <c r="L41" s="54">
        <f>SUM(K41)+0.5</f>
        <v>12</v>
      </c>
      <c r="M41" s="54">
        <f>SUM(L41)+0.5</f>
        <v>12.5</v>
      </c>
      <c r="N41" s="181">
        <f>SUM(M41)+0.5</f>
        <v>13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10.5</v>
      </c>
      <c r="I43" s="54">
        <f>SUM(J43)-0.5</f>
        <v>11</v>
      </c>
      <c r="J43" s="55">
        <v>11.5</v>
      </c>
      <c r="K43" s="54">
        <f>SUM(J43)+0.5</f>
        <v>12</v>
      </c>
      <c r="L43" s="54">
        <f>SUM(K43)+0.5</f>
        <v>12.5</v>
      </c>
      <c r="M43" s="54">
        <f>SUM(L43)+0.5</f>
        <v>13</v>
      </c>
      <c r="N43" s="181">
        <f>SUM(M43)+0.5</f>
        <v>13.5</v>
      </c>
    </row>
    <row r="44" spans="1:14" s="1" customFormat="1" ht="14.1" customHeight="1" x14ac:dyDescent="0.3">
      <c r="A44" s="148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81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E904-87A7-41A6-960A-C2B7535583EB}">
  <sheetPr>
    <tabColor rgb="FFFF0000"/>
    <pageSetUpPr fitToPage="1"/>
  </sheetPr>
  <dimension ref="A1:S51"/>
  <sheetViews>
    <sheetView topLeftCell="A7" zoomScale="110" zoomScaleNormal="110" workbookViewId="0">
      <selection activeCell="P9" sqref="P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706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38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>SUM(K11)+4.5</f>
        <v>79</v>
      </c>
      <c r="M11" s="54">
        <f>SUM(L11)+4.5</f>
        <v>83.5</v>
      </c>
      <c r="N11" s="115">
        <f>SUM(M11)+4.5</f>
        <v>88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16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67</v>
      </c>
      <c r="I13" s="54">
        <f>SUM(J13)-5</f>
        <v>72</v>
      </c>
      <c r="J13" s="55">
        <v>77</v>
      </c>
      <c r="K13" s="54">
        <f>SUM(J13)+5</f>
        <v>82</v>
      </c>
      <c r="L13" s="54">
        <f>SUM(K13)+5</f>
        <v>87</v>
      </c>
      <c r="M13" s="54">
        <f>SUM(L13)+5</f>
        <v>92</v>
      </c>
      <c r="N13" s="115">
        <f>SUM(M13)+5</f>
        <v>97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16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13.600000000000001</v>
      </c>
      <c r="I15" s="54">
        <f>SUM(J15)-0.7</f>
        <v>14.3</v>
      </c>
      <c r="J15" s="55">
        <v>15</v>
      </c>
      <c r="K15" s="54">
        <f>SUM(J15)+1.2</f>
        <v>16.2</v>
      </c>
      <c r="L15" s="54">
        <f>SUM(K15)+0.7</f>
        <v>16.899999999999999</v>
      </c>
      <c r="M15" s="54">
        <f>SUM(L15)+0.7</f>
        <v>17.599999999999998</v>
      </c>
      <c r="N15" s="115">
        <f>SUM(M15)+0.7</f>
        <v>18.299999999999997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5"/>
      <c r="I16" s="40"/>
      <c r="J16" s="42"/>
      <c r="K16" s="40"/>
      <c r="L16" s="40"/>
      <c r="M16" s="40"/>
      <c r="N16" s="116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54"/>
      <c r="N17" s="115"/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16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15"/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</f>
        <v>23</v>
      </c>
      <c r="I21" s="54">
        <f>SUM(J21)-2</f>
        <v>25</v>
      </c>
      <c r="J21" s="55">
        <v>27</v>
      </c>
      <c r="K21" s="54">
        <f>SUM(J21)+1.5</f>
        <v>28.5</v>
      </c>
      <c r="L21" s="54">
        <f>SUM(K21)+1.5</f>
        <v>30</v>
      </c>
      <c r="M21" s="54">
        <f>SUM(L21)+1.5</f>
        <v>31.5</v>
      </c>
      <c r="N21" s="56">
        <f>SUM(M21)+1.5</f>
        <v>33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41.2</v>
      </c>
      <c r="I23" s="54">
        <f>SUM(J23)-2.4</f>
        <v>43.6</v>
      </c>
      <c r="J23" s="55">
        <v>46</v>
      </c>
      <c r="K23" s="54">
        <f>SUM(J23)+2.4</f>
        <v>48.4</v>
      </c>
      <c r="L23" s="54">
        <f>SUM(K23)+2.4</f>
        <v>50.8</v>
      </c>
      <c r="M23" s="54">
        <f>SUM(L23)+2.4</f>
        <v>53.199999999999996</v>
      </c>
      <c r="N23" s="56">
        <f>SUM(M23)+2.4</f>
        <v>55.599999999999994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20.299999999999997</v>
      </c>
      <c r="I25" s="54">
        <f>SUM(J25)-1.1</f>
        <v>21.4</v>
      </c>
      <c r="J25" s="55">
        <v>22.5</v>
      </c>
      <c r="K25" s="54">
        <f>SUM(J25)+1.6</f>
        <v>24.1</v>
      </c>
      <c r="L25" s="54">
        <f>SUM(K25)+1.1</f>
        <v>25.200000000000003</v>
      </c>
      <c r="M25" s="60">
        <f>SUM(L25)+1.1</f>
        <v>26.300000000000004</v>
      </c>
      <c r="N25" s="115">
        <f>SUM(M25)+1.1</f>
        <v>27.400000000000006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16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15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16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15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16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15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15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15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16"/>
    </row>
    <row r="37" spans="1:14" s="1" customFormat="1" ht="14.1" customHeight="1" x14ac:dyDescent="0.3">
      <c r="A37" s="148">
        <v>18</v>
      </c>
      <c r="B37" s="65" t="s">
        <v>641</v>
      </c>
      <c r="C37" s="66"/>
      <c r="D37" s="62"/>
      <c r="E37" s="63"/>
      <c r="F37" s="63"/>
      <c r="G37" s="64"/>
      <c r="H37" s="60">
        <f>SUM(I37)-2.1</f>
        <v>24.299999999999997</v>
      </c>
      <c r="I37" s="54">
        <f>SUM(J37)-2.1</f>
        <v>26.4</v>
      </c>
      <c r="J37" s="55">
        <v>28.5</v>
      </c>
      <c r="K37" s="54">
        <f>SUM(J37)+1.6</f>
        <v>30.1</v>
      </c>
      <c r="L37" s="54">
        <f>SUM(K37)+1.6</f>
        <v>31.700000000000003</v>
      </c>
      <c r="M37" s="60">
        <f>SUM(L37)+1.6</f>
        <v>33.300000000000004</v>
      </c>
      <c r="N37" s="115">
        <f>SUM(M37)+1.6</f>
        <v>34.900000000000006</v>
      </c>
    </row>
    <row r="38" spans="1:14" s="1" customFormat="1" ht="14.1" customHeight="1" x14ac:dyDescent="0.3">
      <c r="A38" s="150"/>
      <c r="B38" s="70" t="s">
        <v>642</v>
      </c>
      <c r="C38" s="71"/>
      <c r="D38" s="151" t="s">
        <v>707</v>
      </c>
      <c r="E38" s="152"/>
      <c r="F38" s="152"/>
      <c r="G38" s="153"/>
      <c r="H38" s="45"/>
      <c r="I38" s="40"/>
      <c r="J38" s="42"/>
      <c r="K38" s="40"/>
      <c r="L38" s="40"/>
      <c r="M38" s="45"/>
      <c r="N38" s="116"/>
    </row>
    <row r="39" spans="1:14" s="1" customFormat="1" ht="14.1" customHeight="1" x14ac:dyDescent="0.3">
      <c r="A39" s="148">
        <v>19</v>
      </c>
      <c r="B39" s="65" t="s">
        <v>708</v>
      </c>
      <c r="C39" s="66"/>
      <c r="D39" s="62"/>
      <c r="E39" s="63"/>
      <c r="F39" s="63"/>
      <c r="G39" s="64"/>
      <c r="H39" s="60">
        <f>SUM(I39)-0.5</f>
        <v>9.5</v>
      </c>
      <c r="I39" s="54">
        <f>SUM(J39)-0.5</f>
        <v>10</v>
      </c>
      <c r="J39" s="55">
        <v>10.5</v>
      </c>
      <c r="K39" s="54">
        <f>SUM(J39)+0.5</f>
        <v>11</v>
      </c>
      <c r="L39" s="54">
        <f>SUM(K39)+0.5</f>
        <v>11.5</v>
      </c>
      <c r="M39" s="60">
        <f>SUM(L39)+0.5</f>
        <v>12</v>
      </c>
      <c r="N39" s="115">
        <f>SUM(M39)+0.5</f>
        <v>12.5</v>
      </c>
    </row>
    <row r="40" spans="1:14" s="1" customFormat="1" ht="14.1" customHeight="1" x14ac:dyDescent="0.3">
      <c r="A40" s="150"/>
      <c r="B40" s="70" t="s">
        <v>709</v>
      </c>
      <c r="C40" s="71"/>
      <c r="D40" s="151"/>
      <c r="E40" s="152"/>
      <c r="F40" s="152"/>
      <c r="G40" s="153"/>
      <c r="H40" s="45"/>
      <c r="I40" s="40"/>
      <c r="J40" s="42"/>
      <c r="K40" s="40"/>
      <c r="L40" s="40"/>
      <c r="M40" s="45"/>
      <c r="N40" s="116"/>
    </row>
    <row r="41" spans="1:14" s="1" customFormat="1" ht="14.1" customHeight="1" x14ac:dyDescent="0.3">
      <c r="A41" s="148">
        <v>20</v>
      </c>
      <c r="B41" s="65" t="s">
        <v>710</v>
      </c>
      <c r="C41" s="66"/>
      <c r="D41" s="61"/>
      <c r="E41" s="61"/>
      <c r="F41" s="61"/>
      <c r="G41" s="61"/>
      <c r="H41" s="60">
        <f>SUM(I41)-0.2</f>
        <v>3.5999999999999996</v>
      </c>
      <c r="I41" s="54">
        <f>SUM(J41)-0.2</f>
        <v>3.8</v>
      </c>
      <c r="J41" s="55">
        <v>4</v>
      </c>
      <c r="K41" s="54">
        <f>SUM(J41)+0.2</f>
        <v>4.2</v>
      </c>
      <c r="L41" s="54">
        <f>SUM(K41)+0.2</f>
        <v>4.4000000000000004</v>
      </c>
      <c r="M41" s="60">
        <f>SUM(L41)+0.2</f>
        <v>4.6000000000000005</v>
      </c>
      <c r="N41" s="115">
        <f>SUM(M41)+0.2</f>
        <v>4.8000000000000007</v>
      </c>
    </row>
    <row r="42" spans="1:14" s="1" customFormat="1" ht="14.1" customHeight="1" x14ac:dyDescent="0.3">
      <c r="A42" s="150"/>
      <c r="B42" s="70" t="s">
        <v>711</v>
      </c>
      <c r="C42" s="71"/>
      <c r="D42" s="46"/>
      <c r="E42" s="47"/>
      <c r="F42" s="47"/>
      <c r="G42" s="59"/>
      <c r="H42" s="45"/>
      <c r="I42" s="40"/>
      <c r="J42" s="42"/>
      <c r="K42" s="40"/>
      <c r="L42" s="40"/>
      <c r="M42" s="45"/>
      <c r="N42" s="116"/>
    </row>
    <row r="43" spans="1:14" s="1" customFormat="1" ht="14.1" customHeight="1" x14ac:dyDescent="0.3">
      <c r="A43" s="148">
        <v>21</v>
      </c>
      <c r="B43" s="65" t="s">
        <v>712</v>
      </c>
      <c r="C43" s="66"/>
      <c r="D43" s="62"/>
      <c r="E43" s="63"/>
      <c r="F43" s="63"/>
      <c r="G43" s="64"/>
      <c r="H43" s="60">
        <f>SUM(I43)-0.5</f>
        <v>9</v>
      </c>
      <c r="I43" s="54">
        <f>SUM(J43)-0.5</f>
        <v>9.5</v>
      </c>
      <c r="J43" s="55">
        <v>10</v>
      </c>
      <c r="K43" s="54">
        <f>SUM(J43)+0.5</f>
        <v>10.5</v>
      </c>
      <c r="L43" s="54">
        <f>SUM(K43)+0.5</f>
        <v>11</v>
      </c>
      <c r="M43" s="60">
        <f>SUM(L43)+0.5</f>
        <v>11.5</v>
      </c>
      <c r="N43" s="115">
        <f>SUM(M43)+0.5</f>
        <v>12</v>
      </c>
    </row>
    <row r="44" spans="1:14" s="1" customFormat="1" ht="14.1" customHeight="1" x14ac:dyDescent="0.3">
      <c r="A44" s="150"/>
      <c r="B44" s="70" t="s">
        <v>713</v>
      </c>
      <c r="C44" s="71"/>
      <c r="D44" s="151"/>
      <c r="E44" s="152"/>
      <c r="F44" s="152"/>
      <c r="G44" s="153"/>
      <c r="H44" s="45"/>
      <c r="I44" s="40"/>
      <c r="J44" s="42"/>
      <c r="K44" s="40"/>
      <c r="L44" s="40"/>
      <c r="M44" s="45"/>
      <c r="N44" s="116"/>
    </row>
    <row r="45" spans="1:14" s="1" customFormat="1" ht="14.1" customHeight="1" x14ac:dyDescent="0.3">
      <c r="A45" s="148">
        <v>22</v>
      </c>
      <c r="B45" s="65" t="s">
        <v>714</v>
      </c>
      <c r="C45" s="66"/>
      <c r="D45" s="61"/>
      <c r="E45" s="61"/>
      <c r="F45" s="61"/>
      <c r="G45" s="61"/>
      <c r="H45" s="60">
        <f>SUM(I45)-0.5</f>
        <v>8</v>
      </c>
      <c r="I45" s="54">
        <f>SUM(J45)-0.5</f>
        <v>8.5</v>
      </c>
      <c r="J45" s="55">
        <v>9</v>
      </c>
      <c r="K45" s="54">
        <f>SUM(J45)+0.5</f>
        <v>9.5</v>
      </c>
      <c r="L45" s="54">
        <f>SUM(K45)+0.5</f>
        <v>10</v>
      </c>
      <c r="M45" s="60">
        <f>SUM(L45)+0.5</f>
        <v>10.5</v>
      </c>
      <c r="N45" s="115">
        <f>SUM(M45)+0.5</f>
        <v>11</v>
      </c>
    </row>
    <row r="46" spans="1:14" ht="14.1" customHeight="1" x14ac:dyDescent="0.3">
      <c r="A46" s="150"/>
      <c r="B46" s="70" t="s">
        <v>715</v>
      </c>
      <c r="C46" s="71"/>
      <c r="D46" s="46"/>
      <c r="E46" s="47"/>
      <c r="F46" s="47"/>
      <c r="G46" s="59"/>
      <c r="H46" s="45"/>
      <c r="I46" s="40"/>
      <c r="J46" s="42"/>
      <c r="K46" s="40"/>
      <c r="L46" s="40"/>
      <c r="M46" s="45"/>
      <c r="N46" s="116"/>
    </row>
    <row r="47" spans="1:14" ht="14.1" customHeight="1" x14ac:dyDescent="0.3">
      <c r="A47" s="148">
        <v>23</v>
      </c>
      <c r="B47" s="65"/>
      <c r="C47" s="66"/>
      <c r="D47" s="61"/>
      <c r="E47" s="61"/>
      <c r="F47" s="61"/>
      <c r="G47" s="61"/>
      <c r="H47" s="54"/>
      <c r="I47" s="54"/>
      <c r="J47" s="55"/>
      <c r="K47" s="54"/>
      <c r="L47" s="54"/>
      <c r="M47" s="54"/>
      <c r="N47" s="115"/>
    </row>
    <row r="48" spans="1:14" ht="14.1" customHeight="1" x14ac:dyDescent="0.3">
      <c r="A48" s="148"/>
      <c r="B48" s="105"/>
      <c r="C48" s="105"/>
      <c r="D48" s="51"/>
      <c r="E48" s="52"/>
      <c r="F48" s="52"/>
      <c r="G48" s="53"/>
      <c r="H48" s="81"/>
      <c r="I48" s="81"/>
      <c r="J48" s="82"/>
      <c r="K48" s="81"/>
      <c r="L48" s="81"/>
      <c r="M48" s="81"/>
      <c r="N48" s="139"/>
    </row>
    <row r="49" spans="1:14" ht="14.1" customHeight="1" x14ac:dyDescent="0.3">
      <c r="A49" s="191">
        <v>24</v>
      </c>
      <c r="B49" s="65"/>
      <c r="C49" s="66"/>
      <c r="D49" s="61"/>
      <c r="E49" s="61"/>
      <c r="F49" s="61"/>
      <c r="G49" s="61"/>
      <c r="H49" s="54"/>
      <c r="I49" s="54"/>
      <c r="J49" s="55"/>
      <c r="K49" s="54"/>
      <c r="L49" s="54"/>
      <c r="M49" s="54"/>
      <c r="N49" s="115"/>
    </row>
    <row r="50" spans="1:14" ht="14.1" customHeight="1" thickBot="1" x14ac:dyDescent="0.35">
      <c r="A50" s="149"/>
      <c r="B50" s="141"/>
      <c r="C50" s="141"/>
      <c r="D50" s="98"/>
      <c r="E50" s="99"/>
      <c r="F50" s="99"/>
      <c r="G50" s="100"/>
      <c r="H50" s="91"/>
      <c r="I50" s="91"/>
      <c r="J50" s="107"/>
      <c r="K50" s="91"/>
      <c r="L50" s="91"/>
      <c r="M50" s="91"/>
      <c r="N50" s="140"/>
    </row>
    <row r="51" spans="1:14" ht="14.1" customHeight="1" x14ac:dyDescent="0.3"/>
  </sheetData>
  <mergeCells count="291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D22F-7A53-4287-876B-36C1F338A400}">
  <sheetPr>
    <tabColor rgb="FFFF0000"/>
    <pageSetUpPr fitToPage="1"/>
  </sheetPr>
  <dimension ref="A1:M51"/>
  <sheetViews>
    <sheetView zoomScale="110" zoomScaleNormal="110" workbookViewId="0">
      <selection activeCell="I11" sqref="I11:I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67</v>
      </c>
      <c r="I11" s="54">
        <f>SUM(J11)-3.5</f>
        <v>70.5</v>
      </c>
      <c r="J11" s="82">
        <v>74</v>
      </c>
      <c r="K11" s="54">
        <f>SUM(J11)+3.5</f>
        <v>77.5</v>
      </c>
      <c r="L11" s="54">
        <f t="shared" ref="L11:M11" si="0">SUM(K11)+3.5</f>
        <v>81</v>
      </c>
      <c r="M11" s="56">
        <f t="shared" si="0"/>
        <v>84.5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69</v>
      </c>
      <c r="I13" s="54">
        <f>SUM(J13)-4</f>
        <v>73</v>
      </c>
      <c r="J13" s="55">
        <v>77</v>
      </c>
      <c r="K13" s="54">
        <f>SUM(J13)+4</f>
        <v>81</v>
      </c>
      <c r="L13" s="54">
        <f t="shared" ref="L13:M13" si="1">SUM(K13)+4</f>
        <v>85</v>
      </c>
      <c r="M13" s="56">
        <f t="shared" si="1"/>
        <v>89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11.3</v>
      </c>
      <c r="I15" s="54">
        <f>SUM(J15)-0.7</f>
        <v>12</v>
      </c>
      <c r="J15" s="55">
        <v>12.7</v>
      </c>
      <c r="K15" s="54">
        <f>SUM(J15)+1.2</f>
        <v>13.899999999999999</v>
      </c>
      <c r="L15" s="54">
        <f>SUM(K15)+0.7</f>
        <v>14.599999999999998</v>
      </c>
      <c r="M15" s="56">
        <f t="shared" ref="M15" si="2">SUM(L15)+0.7</f>
        <v>15.299999999999997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722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</v>
      </c>
      <c r="I21" s="54">
        <f>SUM(J21)-2.5</f>
        <v>28.5</v>
      </c>
      <c r="J21" s="55">
        <v>31</v>
      </c>
      <c r="K21" s="54">
        <f>SUM(J21)+2</f>
        <v>33</v>
      </c>
      <c r="L21" s="54">
        <f>SUM(K21)+2</f>
        <v>35</v>
      </c>
      <c r="M21" s="56">
        <f>SUM(L21)+2</f>
        <v>37</v>
      </c>
    </row>
    <row r="22" spans="1:13" s="1" customFormat="1" ht="14.1" customHeight="1" x14ac:dyDescent="0.3">
      <c r="A22" s="150"/>
      <c r="B22" s="70" t="s">
        <v>723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</f>
        <v>41.4</v>
      </c>
      <c r="I23" s="54">
        <f>SUM(J23)-2</f>
        <v>43.4</v>
      </c>
      <c r="J23" s="55">
        <v>45.4</v>
      </c>
      <c r="K23" s="54">
        <f>SUM(J23)+2</f>
        <v>47.4</v>
      </c>
      <c r="L23" s="54">
        <f t="shared" ref="L23:M23" si="3">SUM(K23)+2</f>
        <v>49.4</v>
      </c>
      <c r="M23" s="56">
        <f t="shared" si="3"/>
        <v>51.4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20.399999999999999</v>
      </c>
      <c r="I25" s="54">
        <f>SUM(J25)-1.1</f>
        <v>21.5</v>
      </c>
      <c r="J25" s="55">
        <v>22.6</v>
      </c>
      <c r="K25" s="54">
        <f>SUM(J25)+1.6</f>
        <v>24.200000000000003</v>
      </c>
      <c r="L25" s="54">
        <f>SUM(K25)+1.1</f>
        <v>25.300000000000004</v>
      </c>
      <c r="M25" s="160">
        <f>SUM(L25)+1.1</f>
        <v>26.400000000000006</v>
      </c>
    </row>
    <row r="26" spans="1:13" s="1" customFormat="1" ht="14.1" customHeight="1" x14ac:dyDescent="0.3">
      <c r="A26" s="150"/>
      <c r="B26" s="70" t="s">
        <v>692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27.7</v>
      </c>
      <c r="I27" s="54">
        <f>SUM(J27)-1.3</f>
        <v>29</v>
      </c>
      <c r="J27" s="55">
        <v>30.3</v>
      </c>
      <c r="K27" s="54">
        <f>SUM(J27)+1.8</f>
        <v>32.1</v>
      </c>
      <c r="L27" s="54">
        <f>SUM(K27)+1.3</f>
        <v>33.4</v>
      </c>
      <c r="M27" s="160">
        <f>SUM(L27)+1.3</f>
        <v>34.699999999999996</v>
      </c>
    </row>
    <row r="28" spans="1:13" s="1" customFormat="1" ht="14.1" customHeight="1" x14ac:dyDescent="0.3">
      <c r="A28" s="150"/>
      <c r="B28" s="70" t="s">
        <v>693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60"/>
      <c r="I29" s="54"/>
      <c r="J29" s="55"/>
      <c r="K29" s="54"/>
      <c r="L29" s="54"/>
      <c r="M29" s="160"/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60">
        <f>SUM(I31)-1.5</f>
        <v>7.8000000000000007</v>
      </c>
      <c r="I31" s="54">
        <f>SUM(J31)-1.5</f>
        <v>9.3000000000000007</v>
      </c>
      <c r="J31" s="55">
        <v>10.8</v>
      </c>
      <c r="K31" s="54">
        <f>SUM(J31)+0.5</f>
        <v>11.3</v>
      </c>
      <c r="L31" s="54">
        <f>SUM(K31)+1</f>
        <v>12.3</v>
      </c>
      <c r="M31" s="160">
        <f>SUM(L31)+1</f>
        <v>13.3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8">
        <f t="shared" ref="M33" si="4">SUM(L33)+2.2</f>
        <v>6.7</v>
      </c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9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8">
        <f t="shared" ref="M35" si="5">SUM(L35)+3.2</f>
        <v>10</v>
      </c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9"/>
    </row>
    <row r="37" spans="1:13" s="1" customFormat="1" ht="14.1" customHeight="1" x14ac:dyDescent="0.3">
      <c r="A37" s="148">
        <v>18</v>
      </c>
      <c r="B37" s="65" t="s">
        <v>114</v>
      </c>
      <c r="C37" s="66"/>
      <c r="D37" s="62"/>
      <c r="E37" s="63"/>
      <c r="F37" s="63"/>
      <c r="G37" s="64"/>
      <c r="H37" s="60">
        <f>SUM(I37)-0.5</f>
        <v>9.5</v>
      </c>
      <c r="I37" s="54">
        <f>SUM(J37)-0.5</f>
        <v>10</v>
      </c>
      <c r="J37" s="55">
        <v>10.5</v>
      </c>
      <c r="K37" s="54">
        <f>SUM(J37)+0.5</f>
        <v>11</v>
      </c>
      <c r="L37" s="54">
        <f>SUM(K37)+0.5</f>
        <v>11.5</v>
      </c>
      <c r="M37" s="160">
        <f>SUM(L37)+0.5</f>
        <v>12</v>
      </c>
    </row>
    <row r="38" spans="1:13" s="1" customFormat="1" ht="14.1" customHeight="1" x14ac:dyDescent="0.3">
      <c r="A38" s="150"/>
      <c r="B38" s="70" t="s">
        <v>53</v>
      </c>
      <c r="C38" s="71"/>
      <c r="D38" s="151"/>
      <c r="E38" s="152"/>
      <c r="F38" s="152"/>
      <c r="G38" s="153"/>
      <c r="H38" s="45"/>
      <c r="I38" s="40"/>
      <c r="J38" s="42"/>
      <c r="K38" s="40"/>
      <c r="L38" s="40"/>
      <c r="M38" s="161"/>
    </row>
    <row r="39" spans="1:13" s="1" customFormat="1" ht="14.1" customHeight="1" x14ac:dyDescent="0.3">
      <c r="A39" s="191">
        <v>19</v>
      </c>
      <c r="B39" s="65" t="s">
        <v>112</v>
      </c>
      <c r="C39" s="66"/>
      <c r="D39" s="88"/>
      <c r="E39" s="89"/>
      <c r="F39" s="89"/>
      <c r="G39" s="90"/>
      <c r="H39" s="60">
        <f>SUM(I39)-0.5</f>
        <v>9.5</v>
      </c>
      <c r="I39" s="54">
        <f>SUM(J39)-0.5</f>
        <v>10</v>
      </c>
      <c r="J39" s="55">
        <v>10.5</v>
      </c>
      <c r="K39" s="54">
        <f>SUM(J39)+0.5</f>
        <v>11</v>
      </c>
      <c r="L39" s="54">
        <f>SUM(K39)+0.5</f>
        <v>11.5</v>
      </c>
      <c r="M39" s="160">
        <f>SUM(L39)+0.5</f>
        <v>12</v>
      </c>
    </row>
    <row r="40" spans="1:13" s="1" customFormat="1" ht="14.1" customHeight="1" x14ac:dyDescent="0.3">
      <c r="A40" s="150"/>
      <c r="B40" s="70" t="s">
        <v>52</v>
      </c>
      <c r="C40" s="71"/>
      <c r="D40" s="46" t="s">
        <v>726</v>
      </c>
      <c r="E40" s="47"/>
      <c r="F40" s="47"/>
      <c r="G40" s="59"/>
      <c r="H40" s="45"/>
      <c r="I40" s="40"/>
      <c r="J40" s="42"/>
      <c r="K40" s="40"/>
      <c r="L40" s="40"/>
      <c r="M40" s="161"/>
    </row>
    <row r="41" spans="1:13" s="1" customFormat="1" ht="14.1" customHeight="1" x14ac:dyDescent="0.3">
      <c r="A41" s="191">
        <v>20</v>
      </c>
      <c r="B41" s="65" t="s">
        <v>724</v>
      </c>
      <c r="C41" s="66"/>
      <c r="D41" s="88"/>
      <c r="E41" s="89"/>
      <c r="F41" s="89"/>
      <c r="G41" s="90"/>
      <c r="H41" s="60">
        <f>SUM(I41)-0.5</f>
        <v>9.5</v>
      </c>
      <c r="I41" s="54">
        <f>SUM(J41)-0.5</f>
        <v>10</v>
      </c>
      <c r="J41" s="55">
        <v>10.5</v>
      </c>
      <c r="K41" s="54">
        <f>SUM(J41)+0.5</f>
        <v>11</v>
      </c>
      <c r="L41" s="54">
        <f>SUM(K41)+0.5</f>
        <v>11.5</v>
      </c>
      <c r="M41" s="160">
        <f>SUM(L41)+0.5</f>
        <v>12</v>
      </c>
    </row>
    <row r="42" spans="1:13" s="1" customFormat="1" ht="14.1" customHeight="1" x14ac:dyDescent="0.3">
      <c r="A42" s="150"/>
      <c r="B42" s="70" t="s">
        <v>725</v>
      </c>
      <c r="C42" s="71"/>
      <c r="D42" s="46"/>
      <c r="E42" s="47"/>
      <c r="F42" s="47"/>
      <c r="G42" s="59"/>
      <c r="H42" s="45"/>
      <c r="I42" s="40"/>
      <c r="J42" s="42"/>
      <c r="K42" s="40"/>
      <c r="L42" s="40"/>
      <c r="M42" s="161"/>
    </row>
    <row r="43" spans="1:13" s="1" customFormat="1" ht="14.1" customHeight="1" x14ac:dyDescent="0.3">
      <c r="A43" s="148">
        <v>21</v>
      </c>
      <c r="B43" s="79"/>
      <c r="C43" s="80"/>
      <c r="D43" s="133"/>
      <c r="E43" s="134"/>
      <c r="F43" s="134"/>
      <c r="G43" s="135"/>
      <c r="H43" s="81"/>
      <c r="I43" s="81"/>
      <c r="J43" s="82"/>
      <c r="K43" s="81"/>
      <c r="L43" s="81"/>
      <c r="M43" s="83"/>
    </row>
    <row r="44" spans="1:13" s="1" customFormat="1" ht="14.1" customHeight="1" thickBot="1" x14ac:dyDescent="0.35">
      <c r="A44" s="149"/>
      <c r="B44" s="96"/>
      <c r="C44" s="97"/>
      <c r="D44" s="98"/>
      <c r="E44" s="99"/>
      <c r="F44" s="99"/>
      <c r="G44" s="100"/>
      <c r="H44" s="91"/>
      <c r="I44" s="91"/>
      <c r="J44" s="107"/>
      <c r="K44" s="91"/>
      <c r="L44" s="91"/>
      <c r="M44" s="147"/>
    </row>
    <row r="45" spans="1:13" s="1" customFormat="1" ht="13.5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B42:C42"/>
    <mergeCell ref="D42:G42"/>
    <mergeCell ref="A1:M1"/>
    <mergeCell ref="A41:A42"/>
    <mergeCell ref="B41:C41"/>
    <mergeCell ref="D41:G41"/>
    <mergeCell ref="H41:H42"/>
    <mergeCell ref="I41:I42"/>
    <mergeCell ref="J41:J42"/>
    <mergeCell ref="K41:K42"/>
    <mergeCell ref="L41:L42"/>
    <mergeCell ref="M41:M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1609-534E-4FF4-B928-26A5684A8933}">
  <sheetPr>
    <tabColor rgb="FFFF0000"/>
    <pageSetUpPr fitToPage="1"/>
  </sheetPr>
  <dimension ref="A1:N51"/>
  <sheetViews>
    <sheetView zoomScale="110" zoomScaleNormal="110" workbookViewId="0">
      <selection sqref="A1:M5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805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1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65</v>
      </c>
      <c r="I11" s="54">
        <f>SUM(J11)-4.5</f>
        <v>69.5</v>
      </c>
      <c r="J11" s="82">
        <v>74</v>
      </c>
      <c r="K11" s="54">
        <f>SUM(J11)+4.5</f>
        <v>78.5</v>
      </c>
      <c r="L11" s="54">
        <f t="shared" ref="L11:M11" si="0">SUM(K11)+4.5</f>
        <v>83</v>
      </c>
      <c r="M11" s="56">
        <f t="shared" si="0"/>
        <v>87.5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70</v>
      </c>
      <c r="I13" s="54">
        <f>SUM(J13)-5</f>
        <v>75</v>
      </c>
      <c r="J13" s="55">
        <v>80</v>
      </c>
      <c r="K13" s="54">
        <f>SUM(J13)+5</f>
        <v>85</v>
      </c>
      <c r="L13" s="54">
        <f t="shared" ref="L13:M13" si="1">SUM(K13)+5</f>
        <v>90</v>
      </c>
      <c r="M13" s="56">
        <f t="shared" si="1"/>
        <v>95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12.700000000000001</v>
      </c>
      <c r="I15" s="54">
        <f>SUM(J15)-0.7</f>
        <v>13.4</v>
      </c>
      <c r="J15" s="55">
        <v>14.1</v>
      </c>
      <c r="K15" s="54">
        <f>SUM(J15)+1.2</f>
        <v>15.299999999999999</v>
      </c>
      <c r="L15" s="54">
        <f>SUM(K15)+0.7</f>
        <v>15.999999999999998</v>
      </c>
      <c r="M15" s="56">
        <f t="shared" ref="M15" si="2">SUM(L15)+0.7</f>
        <v>16.7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</f>
        <v>22</v>
      </c>
      <c r="I21" s="54">
        <f>SUM(J21)-2</f>
        <v>24</v>
      </c>
      <c r="J21" s="55">
        <v>26</v>
      </c>
      <c r="K21" s="54">
        <f>SUM(J21)+1.5</f>
        <v>27.5</v>
      </c>
      <c r="L21" s="54">
        <f t="shared" ref="L21:M21" si="3">SUM(K21)+1.5</f>
        <v>29</v>
      </c>
      <c r="M21" s="56">
        <f t="shared" si="3"/>
        <v>30.5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SUM(I23)-2.6</f>
        <v>45</v>
      </c>
      <c r="I23" s="54">
        <f>SUM(J23)-2.6</f>
        <v>47.6</v>
      </c>
      <c r="J23" s="55">
        <v>50.2</v>
      </c>
      <c r="K23" s="54">
        <f>SUM(J23)+2.6</f>
        <v>52.800000000000004</v>
      </c>
      <c r="L23" s="54">
        <f t="shared" ref="L23:M23" si="4">SUM(K23)+2.6</f>
        <v>55.400000000000006</v>
      </c>
      <c r="M23" s="56">
        <f t="shared" si="4"/>
        <v>58.000000000000007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160">
        <f>SUM(L25)+1.1</f>
        <v>26.800000000000004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27.9</v>
      </c>
      <c r="I27" s="54">
        <f>SUM(J27)-1.3</f>
        <v>29.2</v>
      </c>
      <c r="J27" s="55">
        <v>30.5</v>
      </c>
      <c r="K27" s="54">
        <f>SUM(J27)+1.8</f>
        <v>32.299999999999997</v>
      </c>
      <c r="L27" s="54">
        <f>SUM(K27)+1.3</f>
        <v>33.599999999999994</v>
      </c>
      <c r="M27" s="160">
        <f>SUM(L27)+1.3</f>
        <v>34.899999999999991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M29" si="5">SUM(K29)+2.6</f>
        <v>5.2</v>
      </c>
      <c r="M29" s="158">
        <f t="shared" si="5"/>
        <v>7.8000000000000007</v>
      </c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9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156">
        <f>SUM(I31)-5</f>
        <v>-10</v>
      </c>
      <c r="I31" s="156">
        <f>SUM(J31)-5</f>
        <v>-5</v>
      </c>
      <c r="J31" s="154"/>
      <c r="K31" s="156">
        <f>SUM(J31)+5.5</f>
        <v>5.5</v>
      </c>
      <c r="L31" s="156">
        <f t="shared" ref="L31:M31" si="6">SUM(K31)+6</f>
        <v>11.5</v>
      </c>
      <c r="M31" s="158">
        <f t="shared" si="6"/>
        <v>17.5</v>
      </c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157"/>
      <c r="I32" s="157"/>
      <c r="J32" s="155"/>
      <c r="K32" s="157"/>
      <c r="L32" s="157"/>
      <c r="M32" s="159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8">
        <f t="shared" ref="M33" si="7">SUM(L33)+2.2</f>
        <v>6.7</v>
      </c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9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8">
        <f t="shared" ref="M35" si="8">SUM(L35)+3.2</f>
        <v>10</v>
      </c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9"/>
    </row>
    <row r="37" spans="1:13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4.0999999999999996</v>
      </c>
      <c r="I37" s="54">
        <f>SUM(J37)-0.2</f>
        <v>4.3</v>
      </c>
      <c r="J37" s="55">
        <v>4.5</v>
      </c>
      <c r="K37" s="54">
        <f>SUM(J37)+0.2</f>
        <v>4.7</v>
      </c>
      <c r="L37" s="54">
        <f t="shared" ref="L37:M37" si="9">SUM(K37)+0.2</f>
        <v>4.9000000000000004</v>
      </c>
      <c r="M37" s="56">
        <f t="shared" si="9"/>
        <v>5.1000000000000005</v>
      </c>
    </row>
    <row r="38" spans="1:13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42"/>
      <c r="K38" s="40"/>
      <c r="L38" s="40"/>
      <c r="M38" s="44"/>
    </row>
    <row r="39" spans="1:13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10</v>
      </c>
      <c r="I39" s="54">
        <f>SUM(J39)-0.6</f>
        <v>10.6</v>
      </c>
      <c r="J39" s="55">
        <v>11.2</v>
      </c>
      <c r="K39" s="54">
        <f>SUM(J39)+0.6</f>
        <v>11.799999999999999</v>
      </c>
      <c r="L39" s="54">
        <f t="shared" ref="L39:M39" si="10">SUM(K39)+0.6</f>
        <v>12.399999999999999</v>
      </c>
      <c r="M39" s="56">
        <f t="shared" si="10"/>
        <v>12.999999999999998</v>
      </c>
    </row>
    <row r="40" spans="1:13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3" s="1" customFormat="1" ht="14.1" customHeight="1" x14ac:dyDescent="0.3">
      <c r="A41" s="148">
        <v>20</v>
      </c>
      <c r="B41" s="65" t="s">
        <v>498</v>
      </c>
      <c r="C41" s="66"/>
      <c r="D41" s="61"/>
      <c r="E41" s="61"/>
      <c r="F41" s="61"/>
      <c r="G41" s="61"/>
      <c r="H41" s="54">
        <f>SUM(I41)-0.5</f>
        <v>9.5</v>
      </c>
      <c r="I41" s="54">
        <f>SUM(J41)-0.5</f>
        <v>10</v>
      </c>
      <c r="J41" s="55">
        <v>10.5</v>
      </c>
      <c r="K41" s="54">
        <f>SUM(J41)+0.5</f>
        <v>11</v>
      </c>
      <c r="L41" s="54">
        <f t="shared" ref="L41:M41" si="11">SUM(K41)+0.5</f>
        <v>11.5</v>
      </c>
      <c r="M41" s="56">
        <f t="shared" si="11"/>
        <v>12</v>
      </c>
    </row>
    <row r="42" spans="1:13" s="1" customFormat="1" ht="14.1" customHeight="1" x14ac:dyDescent="0.3">
      <c r="A42" s="150"/>
      <c r="B42" s="57" t="s">
        <v>499</v>
      </c>
      <c r="C42" s="58"/>
      <c r="D42" s="51" t="s">
        <v>806</v>
      </c>
      <c r="E42" s="52"/>
      <c r="F42" s="52"/>
      <c r="G42" s="53"/>
      <c r="H42" s="81"/>
      <c r="I42" s="81"/>
      <c r="J42" s="82"/>
      <c r="K42" s="81"/>
      <c r="L42" s="81"/>
      <c r="M42" s="83"/>
    </row>
    <row r="43" spans="1:13" s="1" customFormat="1" ht="14.1" customHeight="1" x14ac:dyDescent="0.3">
      <c r="A43" s="148">
        <v>21</v>
      </c>
      <c r="B43" s="65" t="s">
        <v>500</v>
      </c>
      <c r="C43" s="66"/>
      <c r="D43" s="61"/>
      <c r="E43" s="61"/>
      <c r="F43" s="61"/>
      <c r="G43" s="61"/>
      <c r="H43" s="54">
        <f>SUM(I43)-0.5</f>
        <v>9</v>
      </c>
      <c r="I43" s="54">
        <f>SUM(J43)-0.5</f>
        <v>9.5</v>
      </c>
      <c r="J43" s="55">
        <v>10</v>
      </c>
      <c r="K43" s="54">
        <f>SUM(J43)+0.5</f>
        <v>10.5</v>
      </c>
      <c r="L43" s="54">
        <f t="shared" ref="L43:M43" si="12">SUM(K43)+0.5</f>
        <v>11</v>
      </c>
      <c r="M43" s="56">
        <f t="shared" si="12"/>
        <v>11.5</v>
      </c>
    </row>
    <row r="44" spans="1:13" s="1" customFormat="1" ht="14.1" customHeight="1" x14ac:dyDescent="0.3">
      <c r="A44" s="150"/>
      <c r="B44" s="57" t="s">
        <v>501</v>
      </c>
      <c r="C44" s="58"/>
      <c r="D44" s="162" t="s">
        <v>807</v>
      </c>
      <c r="E44" s="47"/>
      <c r="F44" s="47"/>
      <c r="G44" s="59"/>
      <c r="H44" s="40"/>
      <c r="I44" s="40"/>
      <c r="J44" s="42"/>
      <c r="K44" s="40"/>
      <c r="L44" s="40"/>
      <c r="M44" s="44"/>
    </row>
    <row r="45" spans="1:13" s="1" customFormat="1" ht="14.1" customHeight="1" x14ac:dyDescent="0.3">
      <c r="A45" s="148">
        <v>22</v>
      </c>
      <c r="B45" s="65" t="s">
        <v>134</v>
      </c>
      <c r="C45" s="66"/>
      <c r="D45" s="88"/>
      <c r="E45" s="89"/>
      <c r="F45" s="89"/>
      <c r="G45" s="90"/>
      <c r="H45" s="54">
        <f>SUM(I45)-0.1</f>
        <v>2.0999999999999996</v>
      </c>
      <c r="I45" s="54">
        <f>SUM(J45)-0.1</f>
        <v>2.1999999999999997</v>
      </c>
      <c r="J45" s="55">
        <v>2.2999999999999998</v>
      </c>
      <c r="K45" s="54">
        <f>SUM(J45)+0.1</f>
        <v>2.4</v>
      </c>
      <c r="L45" s="54">
        <f t="shared" ref="L45:M45" si="13">SUM(K45)+0.1</f>
        <v>2.5</v>
      </c>
      <c r="M45" s="56">
        <f t="shared" si="13"/>
        <v>2.6</v>
      </c>
    </row>
    <row r="46" spans="1:13" ht="14.1" customHeight="1" x14ac:dyDescent="0.3">
      <c r="A46" s="150"/>
      <c r="B46" s="57" t="s">
        <v>142</v>
      </c>
      <c r="C46" s="58"/>
      <c r="D46" s="46" t="s">
        <v>808</v>
      </c>
      <c r="E46" s="47"/>
      <c r="F46" s="47"/>
      <c r="G46" s="59"/>
      <c r="H46" s="40"/>
      <c r="I46" s="40"/>
      <c r="J46" s="42"/>
      <c r="K46" s="40"/>
      <c r="L46" s="40"/>
      <c r="M46" s="44"/>
    </row>
    <row r="47" spans="1:13" ht="14.1" customHeight="1" x14ac:dyDescent="0.3">
      <c r="A47" s="148">
        <v>23</v>
      </c>
      <c r="B47" s="65" t="s">
        <v>135</v>
      </c>
      <c r="C47" s="66"/>
      <c r="D47" s="133"/>
      <c r="E47" s="134"/>
      <c r="F47" s="134"/>
      <c r="G47" s="135"/>
      <c r="H47" s="54">
        <f>SUM(I47)</f>
        <v>3</v>
      </c>
      <c r="I47" s="54">
        <f>SUM(J47)</f>
        <v>3</v>
      </c>
      <c r="J47" s="82">
        <v>3</v>
      </c>
      <c r="K47" s="54">
        <f>SUM(J47)</f>
        <v>3</v>
      </c>
      <c r="L47" s="54">
        <f t="shared" ref="L47:M47" si="14">SUM(K47)</f>
        <v>3</v>
      </c>
      <c r="M47" s="56">
        <f t="shared" si="14"/>
        <v>3</v>
      </c>
    </row>
    <row r="48" spans="1:13" ht="14.1" customHeight="1" x14ac:dyDescent="0.3">
      <c r="A48" s="150"/>
      <c r="B48" s="79" t="s">
        <v>143</v>
      </c>
      <c r="C48" s="80"/>
      <c r="D48" s="51" t="s">
        <v>809</v>
      </c>
      <c r="E48" s="52"/>
      <c r="F48" s="52"/>
      <c r="G48" s="53"/>
      <c r="H48" s="81"/>
      <c r="I48" s="81"/>
      <c r="J48" s="82"/>
      <c r="K48" s="81"/>
      <c r="L48" s="81"/>
      <c r="M48" s="83"/>
    </row>
    <row r="49" spans="1:13" ht="14.1" customHeight="1" x14ac:dyDescent="0.3">
      <c r="A49" s="191">
        <v>24</v>
      </c>
      <c r="B49" s="65" t="s">
        <v>151</v>
      </c>
      <c r="C49" s="66"/>
      <c r="D49" s="61"/>
      <c r="E49" s="61"/>
      <c r="F49" s="61"/>
      <c r="G49" s="61"/>
      <c r="H49" s="54">
        <f>SUM(I49)-0.2</f>
        <v>2.5999999999999996</v>
      </c>
      <c r="I49" s="54">
        <f>SUM(J49)-0.2</f>
        <v>2.8</v>
      </c>
      <c r="J49" s="55">
        <v>3</v>
      </c>
      <c r="K49" s="54">
        <f>SUM(J49)+0.2</f>
        <v>3.2</v>
      </c>
      <c r="L49" s="54">
        <f t="shared" ref="L49:M49" si="15">SUM(K49)+0.2</f>
        <v>3.4000000000000004</v>
      </c>
      <c r="M49" s="56">
        <f t="shared" si="15"/>
        <v>3.6000000000000005</v>
      </c>
    </row>
    <row r="50" spans="1:13" ht="14.1" customHeight="1" thickBot="1" x14ac:dyDescent="0.35">
      <c r="A50" s="149"/>
      <c r="B50" s="96" t="s">
        <v>150</v>
      </c>
      <c r="C50" s="97"/>
      <c r="D50" s="98" t="s">
        <v>810</v>
      </c>
      <c r="E50" s="99"/>
      <c r="F50" s="99"/>
      <c r="G50" s="100"/>
      <c r="H50" s="91"/>
      <c r="I50" s="91"/>
      <c r="J50" s="107"/>
      <c r="K50" s="91"/>
      <c r="L50" s="91"/>
      <c r="M50" s="147"/>
    </row>
    <row r="51" spans="1:13" ht="14.1" customHeight="1" x14ac:dyDescent="0.3"/>
  </sheetData>
  <mergeCells count="26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7D20-DB8A-453B-B5AD-8586D1ED1EF1}">
  <sheetPr>
    <tabColor rgb="FFFF0000"/>
    <pageSetUpPr fitToPage="1"/>
  </sheetPr>
  <dimension ref="A1:S51"/>
  <sheetViews>
    <sheetView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772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79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80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78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61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78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61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>
        <f>SUM(I9)-2.2</f>
        <v>36.599999999999994</v>
      </c>
      <c r="I9" s="54">
        <f>SUM(J9)-2.2</f>
        <v>38.799999999999997</v>
      </c>
      <c r="J9" s="82">
        <v>41</v>
      </c>
      <c r="K9" s="81">
        <f>SUM(J9)+2.2</f>
        <v>43.2</v>
      </c>
      <c r="L9" s="81">
        <f>SUM(K9)+2.2</f>
        <v>45.400000000000006</v>
      </c>
      <c r="M9" s="81">
        <f>SUM(L9)+2.2</f>
        <v>47.600000000000009</v>
      </c>
      <c r="N9" s="178">
        <f>SUM(M9)+2.2</f>
        <v>49.800000000000011</v>
      </c>
    </row>
    <row r="10" spans="1:14" s="1" customFormat="1" ht="14.1" customHeight="1" x14ac:dyDescent="0.3">
      <c r="A10" s="150"/>
      <c r="B10" s="70" t="s">
        <v>132</v>
      </c>
      <c r="C10" s="71"/>
      <c r="D10" s="72" t="s">
        <v>771</v>
      </c>
      <c r="E10" s="73"/>
      <c r="F10" s="73"/>
      <c r="G10" s="74"/>
      <c r="H10" s="40"/>
      <c r="I10" s="40"/>
      <c r="J10" s="42"/>
      <c r="K10" s="40"/>
      <c r="L10" s="40"/>
      <c r="M10" s="40"/>
      <c r="N10" s="161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63</v>
      </c>
      <c r="I11" s="54">
        <f>SUM(J11)-4.5</f>
        <v>67.5</v>
      </c>
      <c r="J11" s="82">
        <v>72</v>
      </c>
      <c r="K11" s="54">
        <f>SUM(J11)+4.5</f>
        <v>76.5</v>
      </c>
      <c r="L11" s="54">
        <f>SUM(K11)+4.5</f>
        <v>81</v>
      </c>
      <c r="M11" s="54">
        <f>SUM(L11)+4.5</f>
        <v>85.5</v>
      </c>
      <c r="N11" s="181">
        <f>SUM(M11)+4.5</f>
        <v>90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80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66.5</v>
      </c>
      <c r="I13" s="54">
        <f>SUM(J13)-5</f>
        <v>71.5</v>
      </c>
      <c r="J13" s="55">
        <v>76.5</v>
      </c>
      <c r="K13" s="54">
        <f>SUM(J13)+5</f>
        <v>81.5</v>
      </c>
      <c r="L13" s="54">
        <f>SUM(K13)+5</f>
        <v>86.5</v>
      </c>
      <c r="M13" s="54">
        <f>SUM(L13)+5</f>
        <v>91.5</v>
      </c>
      <c r="N13" s="181">
        <f>SUM(M13)+5</f>
        <v>96.5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80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9.6000000000000014</v>
      </c>
      <c r="I15" s="54">
        <f>SUM(J15)-0.7</f>
        <v>10.3</v>
      </c>
      <c r="J15" s="55">
        <v>11</v>
      </c>
      <c r="K15" s="54">
        <f>SUM(J15)+0.7</f>
        <v>11.7</v>
      </c>
      <c r="L15" s="54">
        <f>SUM(K15)+0.7</f>
        <v>12.399999999999999</v>
      </c>
      <c r="M15" s="54">
        <f>SUM(L15)+0.7</f>
        <v>13.099999999999998</v>
      </c>
      <c r="N15" s="181">
        <f>SUM(M15)+0.7</f>
        <v>13.799999999999997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5"/>
      <c r="I16" s="40"/>
      <c r="J16" s="42"/>
      <c r="K16" s="40"/>
      <c r="L16" s="40"/>
      <c r="M16" s="40"/>
      <c r="N16" s="180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>
        <f>SUM(I17)-0.7</f>
        <v>9.6000000000000014</v>
      </c>
      <c r="I17" s="54">
        <f>SUM(J17)-0.7</f>
        <v>10.3</v>
      </c>
      <c r="J17" s="55">
        <v>11</v>
      </c>
      <c r="K17" s="54">
        <f>SUM(J17)+0.7</f>
        <v>11.7</v>
      </c>
      <c r="L17" s="54">
        <f>SUM(K17)+0.7</f>
        <v>12.399999999999999</v>
      </c>
      <c r="M17" s="54">
        <f>SUM(L17)+0.7</f>
        <v>13.099999999999998</v>
      </c>
      <c r="N17" s="181">
        <f>SUM(M17)+0.7</f>
        <v>13.799999999999997</v>
      </c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80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>
        <f>SUM(I19)-0</f>
        <v>2.8</v>
      </c>
      <c r="I19" s="54">
        <f>SUM(J19)-0</f>
        <v>2.8</v>
      </c>
      <c r="J19" s="55">
        <v>2.8</v>
      </c>
      <c r="K19" s="54">
        <f>SUM(J19)+0.5</f>
        <v>3.3</v>
      </c>
      <c r="L19" s="54">
        <f>SUM(K19)+0</f>
        <v>3.3</v>
      </c>
      <c r="M19" s="54">
        <f>SUM(L19)+0</f>
        <v>3.3</v>
      </c>
      <c r="N19" s="115">
        <f>SUM(M19)+0</f>
        <v>3.3</v>
      </c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16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26</v>
      </c>
      <c r="I21" s="54">
        <f>SUM(J21)-2.5</f>
        <v>28.5</v>
      </c>
      <c r="J21" s="55">
        <v>31</v>
      </c>
      <c r="K21" s="54">
        <f>SUM(J21)+2</f>
        <v>33</v>
      </c>
      <c r="L21" s="54">
        <f>SUM(K21)+2</f>
        <v>35</v>
      </c>
      <c r="M21" s="54">
        <f>SUM(L21)+2</f>
        <v>37</v>
      </c>
      <c r="N21" s="160">
        <f>SUM(M21)+2</f>
        <v>39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61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39.200000000000003</v>
      </c>
      <c r="I23" s="54">
        <f>SUM(J23)-2.4</f>
        <v>41.6</v>
      </c>
      <c r="J23" s="55">
        <v>44</v>
      </c>
      <c r="K23" s="54">
        <f>SUM(J23)+2.4</f>
        <v>46.4</v>
      </c>
      <c r="L23" s="54">
        <f>SUM(K23)+2.4</f>
        <v>48.8</v>
      </c>
      <c r="M23" s="54">
        <f>SUM(L23)+2.4</f>
        <v>51.199999999999996</v>
      </c>
      <c r="N23" s="160">
        <f>SUM(M23)+2.4</f>
        <v>53.599999999999994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61"/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60">
        <f>SUM(L25)+1.1</f>
        <v>26.800000000000004</v>
      </c>
      <c r="N25" s="181">
        <f>SUM(M25)+1.1</f>
        <v>27.900000000000006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80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81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80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81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80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81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80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81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80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81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80"/>
    </row>
    <row r="37" spans="1:14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SUM(I37)-0.2</f>
        <v>4.0999999999999996</v>
      </c>
      <c r="I37" s="54">
        <f>SUM(J37)-0.2</f>
        <v>4.3</v>
      </c>
      <c r="J37" s="67">
        <v>4.5</v>
      </c>
      <c r="K37" s="68">
        <f>SUM(J37)+0.2</f>
        <v>4.7</v>
      </c>
      <c r="L37" s="68">
        <f>SUM(K37)+0.2</f>
        <v>4.9000000000000004</v>
      </c>
      <c r="M37" s="68">
        <f>SUM(L37)+0.2</f>
        <v>5.1000000000000005</v>
      </c>
      <c r="N37" s="131">
        <f>SUM(M37)+0.2</f>
        <v>5.3000000000000007</v>
      </c>
    </row>
    <row r="38" spans="1:14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8"/>
      <c r="N38" s="131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SUM(I39)-0.6</f>
        <v>9.3000000000000007</v>
      </c>
      <c r="I39" s="54">
        <f>SUM(J39)-0.6</f>
        <v>9.9</v>
      </c>
      <c r="J39" s="55">
        <v>10.5</v>
      </c>
      <c r="K39" s="54">
        <f>SUM(J39)+0.6</f>
        <v>11.1</v>
      </c>
      <c r="L39" s="54">
        <f>SUM(K39)+0.6</f>
        <v>11.7</v>
      </c>
      <c r="M39" s="54">
        <f>SUM(L39)+0.6</f>
        <v>12.299999999999999</v>
      </c>
      <c r="N39" s="181">
        <f>SUM(M39)+0.6</f>
        <v>12.899999999999999</v>
      </c>
    </row>
    <row r="40" spans="1:14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0"/>
      <c r="N40" s="180"/>
    </row>
    <row r="41" spans="1:14" s="1" customFormat="1" ht="14.1" customHeight="1" x14ac:dyDescent="0.3">
      <c r="A41" s="148">
        <v>20</v>
      </c>
      <c r="B41" s="65" t="s">
        <v>110</v>
      </c>
      <c r="C41" s="66"/>
      <c r="D41" s="61"/>
      <c r="E41" s="61"/>
      <c r="F41" s="61"/>
      <c r="G41" s="61"/>
      <c r="H41" s="54">
        <f>SUM(I41)-0.5</f>
        <v>10</v>
      </c>
      <c r="I41" s="54">
        <f>SUM(J41)-0.5</f>
        <v>10.5</v>
      </c>
      <c r="J41" s="55">
        <v>11</v>
      </c>
      <c r="K41" s="54">
        <f>SUM(J41)+0.5</f>
        <v>11.5</v>
      </c>
      <c r="L41" s="54">
        <f>SUM(K41)+0.5</f>
        <v>12</v>
      </c>
      <c r="M41" s="54">
        <f>SUM(L41)+0.5</f>
        <v>12.5</v>
      </c>
      <c r="N41" s="181">
        <f>SUM(M41)+0.5</f>
        <v>13</v>
      </c>
    </row>
    <row r="42" spans="1:14" s="1" customFormat="1" ht="14.1" customHeight="1" x14ac:dyDescent="0.3">
      <c r="A42" s="150"/>
      <c r="B42" s="57" t="s">
        <v>109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80"/>
    </row>
    <row r="43" spans="1:14" s="1" customFormat="1" ht="14.1" customHeight="1" x14ac:dyDescent="0.3">
      <c r="A43" s="148">
        <v>21</v>
      </c>
      <c r="B43" s="65" t="s">
        <v>108</v>
      </c>
      <c r="C43" s="66"/>
      <c r="D43" s="61"/>
      <c r="E43" s="61"/>
      <c r="F43" s="61"/>
      <c r="G43" s="61"/>
      <c r="H43" s="54">
        <f>SUM(I43)-0.5</f>
        <v>11.5</v>
      </c>
      <c r="I43" s="54">
        <f>SUM(J43)-0.5</f>
        <v>12</v>
      </c>
      <c r="J43" s="55">
        <v>12.5</v>
      </c>
      <c r="K43" s="54">
        <f>SUM(J43)+0.5</f>
        <v>13</v>
      </c>
      <c r="L43" s="54">
        <f>SUM(K43)+0.5</f>
        <v>13.5</v>
      </c>
      <c r="M43" s="54">
        <f>SUM(L43)+0.5</f>
        <v>14</v>
      </c>
      <c r="N43" s="181">
        <f>SUM(M43)+0.5</f>
        <v>14.5</v>
      </c>
    </row>
    <row r="44" spans="1:14" s="1" customFormat="1" ht="14.1" customHeight="1" x14ac:dyDescent="0.3">
      <c r="A44" s="148"/>
      <c r="B44" s="105" t="s">
        <v>107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82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81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14A1-ED66-4498-8CEB-E7E042BE5B06}">
  <sheetPr>
    <tabColor rgb="FFFF0000"/>
    <pageSetUpPr fitToPage="1"/>
  </sheetPr>
  <dimension ref="A1:S51"/>
  <sheetViews>
    <sheetView zoomScale="110" zoomScaleNormal="110" workbookViewId="0">
      <selection activeCell="J23" sqref="J23:J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767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144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143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119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102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119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102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54"/>
      <c r="I9" s="54"/>
      <c r="J9" s="82"/>
      <c r="K9" s="81"/>
      <c r="L9" s="81"/>
      <c r="M9" s="81"/>
      <c r="N9" s="119"/>
    </row>
    <row r="10" spans="1:14" s="1" customFormat="1" ht="14.1" customHeight="1" x14ac:dyDescent="0.3">
      <c r="A10" s="150"/>
      <c r="B10" s="70" t="s">
        <v>132</v>
      </c>
      <c r="C10" s="71"/>
      <c r="D10" s="72" t="s">
        <v>459</v>
      </c>
      <c r="E10" s="73"/>
      <c r="F10" s="73"/>
      <c r="G10" s="74"/>
      <c r="H10" s="40"/>
      <c r="I10" s="40"/>
      <c r="J10" s="42"/>
      <c r="K10" s="40"/>
      <c r="L10" s="40"/>
      <c r="M10" s="40"/>
      <c r="N10" s="102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60">
        <f>SUM(I11)-4.5</f>
        <v>63</v>
      </c>
      <c r="I11" s="54">
        <f>SUM(J11)-4.5</f>
        <v>67.5</v>
      </c>
      <c r="J11" s="82">
        <v>72</v>
      </c>
      <c r="K11" s="54">
        <f>SUM(J11)+4.5</f>
        <v>76.5</v>
      </c>
      <c r="L11" s="54">
        <f>SUM(K11)+4.5</f>
        <v>81</v>
      </c>
      <c r="M11" s="54">
        <f>SUM(L11)+4.5</f>
        <v>85.5</v>
      </c>
      <c r="N11" s="142">
        <f>SUM(M11)+4.5</f>
        <v>90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5"/>
      <c r="I12" s="40"/>
      <c r="J12" s="42"/>
      <c r="K12" s="40"/>
      <c r="L12" s="40"/>
      <c r="M12" s="40"/>
      <c r="N12" s="143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60">
        <f>SUM(I13)-5</f>
        <v>70</v>
      </c>
      <c r="I13" s="54">
        <f>SUM(J13)-5</f>
        <v>75</v>
      </c>
      <c r="J13" s="55">
        <v>80</v>
      </c>
      <c r="K13" s="54">
        <f>SUM(J13)+5</f>
        <v>85</v>
      </c>
      <c r="L13" s="54">
        <f>SUM(K13)+5</f>
        <v>90</v>
      </c>
      <c r="M13" s="54">
        <f>SUM(L13)+5</f>
        <v>95</v>
      </c>
      <c r="N13" s="142">
        <f>SUM(M13)+5</f>
        <v>100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5"/>
      <c r="I14" s="40"/>
      <c r="J14" s="42"/>
      <c r="K14" s="40"/>
      <c r="L14" s="40"/>
      <c r="M14" s="40"/>
      <c r="N14" s="143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60">
        <f>SUM(I15)-0.7</f>
        <v>12.600000000000001</v>
      </c>
      <c r="I15" s="54">
        <f>SUM(J15)-0.7</f>
        <v>13.3</v>
      </c>
      <c r="J15" s="55">
        <v>14</v>
      </c>
      <c r="K15" s="54">
        <f>SUM(J15)+1.2</f>
        <v>15.2</v>
      </c>
      <c r="L15" s="54">
        <f>SUM(K15)+0.7</f>
        <v>15.899999999999999</v>
      </c>
      <c r="M15" s="54">
        <f>SUM(L15)+0.7</f>
        <v>16.599999999999998</v>
      </c>
      <c r="N15" s="142">
        <f>SUM(M15)+0.7</f>
        <v>17.299999999999997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768</v>
      </c>
      <c r="E16" s="163"/>
      <c r="F16" s="163"/>
      <c r="G16" s="164"/>
      <c r="H16" s="45"/>
      <c r="I16" s="40"/>
      <c r="J16" s="42"/>
      <c r="K16" s="40"/>
      <c r="L16" s="40"/>
      <c r="M16" s="40"/>
      <c r="N16" s="143"/>
    </row>
    <row r="17" spans="1:19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54"/>
      <c r="N17" s="142"/>
    </row>
    <row r="18" spans="1:19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143"/>
    </row>
    <row r="19" spans="1:19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142"/>
    </row>
    <row r="20" spans="1:19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143"/>
    </row>
    <row r="21" spans="1:19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</f>
        <v>23</v>
      </c>
      <c r="I21" s="54">
        <f>SUM(J21)-2</f>
        <v>25</v>
      </c>
      <c r="J21" s="55">
        <v>27</v>
      </c>
      <c r="K21" s="54">
        <f>SUM(J21)+1.5</f>
        <v>28.5</v>
      </c>
      <c r="L21" s="54">
        <f>SUM(K21)+1.5</f>
        <v>30</v>
      </c>
      <c r="M21" s="54">
        <f>SUM(L21)+1.5</f>
        <v>31.5</v>
      </c>
      <c r="N21" s="101">
        <f>SUM(M21)+1.5</f>
        <v>33</v>
      </c>
    </row>
    <row r="22" spans="1:19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102"/>
    </row>
    <row r="23" spans="1:19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42.2</v>
      </c>
      <c r="I23" s="54">
        <f>SUM(J23)-2.4</f>
        <v>44.6</v>
      </c>
      <c r="J23" s="55">
        <v>47</v>
      </c>
      <c r="K23" s="54">
        <f>SUM(J23)+2.4</f>
        <v>49.4</v>
      </c>
      <c r="L23" s="54">
        <f>SUM(K23)+2.4</f>
        <v>51.8</v>
      </c>
      <c r="M23" s="54">
        <f>SUM(L23)+2.4</f>
        <v>54.199999999999996</v>
      </c>
      <c r="N23" s="101">
        <f>SUM(M23)+2.4</f>
        <v>56.599999999999994</v>
      </c>
    </row>
    <row r="24" spans="1:19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102"/>
      <c r="P24" s="1" t="s">
        <v>483</v>
      </c>
    </row>
    <row r="25" spans="1:19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20.299999999999997</v>
      </c>
      <c r="I25" s="54">
        <f>SUM(J25)-1.1</f>
        <v>21.4</v>
      </c>
      <c r="J25" s="55">
        <v>22.5</v>
      </c>
      <c r="K25" s="54">
        <f>SUM(J25)+1.6</f>
        <v>24.1</v>
      </c>
      <c r="L25" s="54">
        <f>SUM(K25)+1.1</f>
        <v>25.200000000000003</v>
      </c>
      <c r="M25" s="60">
        <f>SUM(L25)+1.1</f>
        <v>26.300000000000004</v>
      </c>
      <c r="N25" s="142">
        <f>SUM(M25)+1.1</f>
        <v>27.400000000000006</v>
      </c>
    </row>
    <row r="26" spans="1:19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5"/>
      <c r="N26" s="143"/>
    </row>
    <row r="27" spans="1:19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27.4</v>
      </c>
      <c r="I27" s="54">
        <f>SUM(J27)-1.3</f>
        <v>28.7</v>
      </c>
      <c r="J27" s="55">
        <v>30</v>
      </c>
      <c r="K27" s="54">
        <f>SUM(J27)+1.8</f>
        <v>31.8</v>
      </c>
      <c r="L27" s="54">
        <f>SUM(K27)+1.3</f>
        <v>33.1</v>
      </c>
      <c r="M27" s="60">
        <f>SUM(L27)+1.3</f>
        <v>34.4</v>
      </c>
      <c r="N27" s="142">
        <f>SUM(M27)+1.3</f>
        <v>35.699999999999996</v>
      </c>
      <c r="S27" s="1" t="s">
        <v>483</v>
      </c>
    </row>
    <row r="28" spans="1:19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43"/>
    </row>
    <row r="29" spans="1:19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4"/>
      <c r="N29" s="142"/>
    </row>
    <row r="30" spans="1:19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0"/>
      <c r="N30" s="143"/>
    </row>
    <row r="31" spans="1:19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4"/>
      <c r="N31" s="142"/>
    </row>
    <row r="32" spans="1:19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143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4"/>
      <c r="N33" s="142"/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0"/>
      <c r="N34" s="143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4"/>
      <c r="N35" s="142"/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0"/>
      <c r="N36" s="143"/>
    </row>
    <row r="37" spans="1:14" s="1" customFormat="1" ht="14.1" customHeight="1" x14ac:dyDescent="0.3">
      <c r="A37" s="148">
        <v>18</v>
      </c>
      <c r="B37" s="65" t="s">
        <v>583</v>
      </c>
      <c r="C37" s="66"/>
      <c r="D37" s="61"/>
      <c r="E37" s="61"/>
      <c r="F37" s="61"/>
      <c r="G37" s="61"/>
      <c r="H37" s="54">
        <f>SUM(I37)-0.6</f>
        <v>8.3000000000000007</v>
      </c>
      <c r="I37" s="54">
        <f>SUM(J37)-0.6</f>
        <v>8.9</v>
      </c>
      <c r="J37" s="55">
        <v>9.5</v>
      </c>
      <c r="K37" s="54">
        <f>SUM(J37)+0.5</f>
        <v>10</v>
      </c>
      <c r="L37" s="54">
        <f>SUM(K37)+0.5</f>
        <v>10.5</v>
      </c>
      <c r="M37" s="54">
        <f>SUM(L37)+0.5</f>
        <v>11</v>
      </c>
      <c r="N37" s="142">
        <f>SUM(M37)+0.5</f>
        <v>11.5</v>
      </c>
    </row>
    <row r="38" spans="1:14" s="1" customFormat="1" ht="14.1" customHeight="1" x14ac:dyDescent="0.3">
      <c r="A38" s="150"/>
      <c r="B38" s="57" t="s">
        <v>584</v>
      </c>
      <c r="C38" s="58"/>
      <c r="D38" s="46" t="s">
        <v>769</v>
      </c>
      <c r="E38" s="47"/>
      <c r="F38" s="47"/>
      <c r="G38" s="59"/>
      <c r="H38" s="40"/>
      <c r="I38" s="40"/>
      <c r="J38" s="42"/>
      <c r="K38" s="40"/>
      <c r="L38" s="40"/>
      <c r="M38" s="40"/>
      <c r="N38" s="143"/>
    </row>
    <row r="39" spans="1:14" s="1" customFormat="1" ht="14.1" customHeight="1" x14ac:dyDescent="0.3">
      <c r="A39" s="148">
        <v>19</v>
      </c>
      <c r="B39" s="65" t="s">
        <v>586</v>
      </c>
      <c r="C39" s="66"/>
      <c r="D39" s="61"/>
      <c r="E39" s="61"/>
      <c r="F39" s="61"/>
      <c r="G39" s="61"/>
      <c r="H39" s="54">
        <f>SUM(I39)-0.6</f>
        <v>8.3000000000000007</v>
      </c>
      <c r="I39" s="54">
        <f>SUM(J39)-0.6</f>
        <v>8.9</v>
      </c>
      <c r="J39" s="55">
        <v>9.5</v>
      </c>
      <c r="K39" s="54">
        <f>SUM(J39)+0.5</f>
        <v>10</v>
      </c>
      <c r="L39" s="54">
        <f>SUM(K39)+0.5</f>
        <v>10.5</v>
      </c>
      <c r="M39" s="54">
        <f>SUM(L39)+0.5</f>
        <v>11</v>
      </c>
      <c r="N39" s="142">
        <f>SUM(M39)+0.5</f>
        <v>11.5</v>
      </c>
    </row>
    <row r="40" spans="1:14" s="1" customFormat="1" ht="14.1" customHeight="1" x14ac:dyDescent="0.3">
      <c r="A40" s="150"/>
      <c r="B40" s="105" t="s">
        <v>585</v>
      </c>
      <c r="C40" s="105"/>
      <c r="D40" s="46" t="s">
        <v>769</v>
      </c>
      <c r="E40" s="47"/>
      <c r="F40" s="47"/>
      <c r="G40" s="59"/>
      <c r="H40" s="81"/>
      <c r="I40" s="81"/>
      <c r="J40" s="82"/>
      <c r="K40" s="81"/>
      <c r="L40" s="81"/>
      <c r="M40" s="81"/>
      <c r="N40" s="145"/>
    </row>
    <row r="41" spans="1:14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4"/>
      <c r="N41" s="142"/>
    </row>
    <row r="42" spans="1:14" s="1" customFormat="1" ht="14.1" customHeight="1" x14ac:dyDescent="0.3">
      <c r="A42" s="150"/>
      <c r="B42" s="57"/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0"/>
      <c r="N42" s="143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142"/>
    </row>
    <row r="44" spans="1:14" s="1" customFormat="1" ht="14.1" customHeight="1" x14ac:dyDescent="0.3">
      <c r="A44" s="148"/>
      <c r="B44" s="105"/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1"/>
      <c r="N44" s="145"/>
    </row>
    <row r="45" spans="1:14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142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46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92EE-42BB-42D6-823B-73591A32BCDF}">
  <sheetPr>
    <tabColor rgb="FFFF0000"/>
    <pageSetUpPr fitToPage="1"/>
  </sheetPr>
  <dimension ref="A1:M51"/>
  <sheetViews>
    <sheetView zoomScale="110" zoomScaleNormal="110" workbookViewId="0">
      <selection activeCell="J11" sqref="J11:J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703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3"/>
    </row>
    <row r="6" spans="1:13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3"/>
    </row>
    <row r="8" spans="1:13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7">
        <f>SUM(L9)+2.2</f>
        <v>6.6000000000000005</v>
      </c>
    </row>
    <row r="10" spans="1:13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8"/>
    </row>
    <row r="11" spans="1:13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SUM(I11)-3.5</f>
        <v>63.599999999999994</v>
      </c>
      <c r="I11" s="54">
        <f>SUM(J11)-3.5</f>
        <v>67.099999999999994</v>
      </c>
      <c r="J11" s="82">
        <v>70.599999999999994</v>
      </c>
      <c r="K11" s="54">
        <f>SUM(J11)+3.5</f>
        <v>74.099999999999994</v>
      </c>
      <c r="L11" s="54">
        <f t="shared" ref="L11:M11" si="0">SUM(K11)+3.5</f>
        <v>77.599999999999994</v>
      </c>
      <c r="M11" s="56">
        <f t="shared" si="0"/>
        <v>81.099999999999994</v>
      </c>
    </row>
    <row r="12" spans="1:13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SUM(I13)-4</f>
        <v>68.8</v>
      </c>
      <c r="I13" s="54">
        <f>SUM(J13)-4</f>
        <v>72.8</v>
      </c>
      <c r="J13" s="55">
        <v>76.8</v>
      </c>
      <c r="K13" s="54">
        <f>SUM(J13)+4</f>
        <v>80.8</v>
      </c>
      <c r="L13" s="54">
        <f t="shared" ref="L13:M13" si="1">SUM(K13)+4</f>
        <v>84.8</v>
      </c>
      <c r="M13" s="56">
        <f t="shared" si="1"/>
        <v>88.8</v>
      </c>
    </row>
    <row r="14" spans="1:13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14.000000000000002</v>
      </c>
      <c r="I15" s="54">
        <f>SUM(J15)-0.7</f>
        <v>14.700000000000001</v>
      </c>
      <c r="J15" s="55">
        <v>15.4</v>
      </c>
      <c r="K15" s="54">
        <f>SUM(J15)+1.2</f>
        <v>16.600000000000001</v>
      </c>
      <c r="L15" s="54">
        <f>SUM(K15)+0.7</f>
        <v>17.3</v>
      </c>
      <c r="M15" s="56">
        <f t="shared" ref="M15" si="2">SUM(L15)+0.7</f>
        <v>18</v>
      </c>
    </row>
    <row r="16" spans="1:13" s="1" customFormat="1" ht="14.1" customHeight="1" x14ac:dyDescent="0.3">
      <c r="A16" s="150"/>
      <c r="B16" s="70" t="s">
        <v>115</v>
      </c>
      <c r="C16" s="71"/>
      <c r="D16" s="162" t="s">
        <v>239</v>
      </c>
      <c r="E16" s="163"/>
      <c r="F16" s="163"/>
      <c r="G16" s="164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</f>
        <v>22</v>
      </c>
      <c r="I21" s="54">
        <f>SUM(J21)-2</f>
        <v>24</v>
      </c>
      <c r="J21" s="55">
        <v>26</v>
      </c>
      <c r="K21" s="54">
        <f>SUM(J21)+1.5</f>
        <v>27.5</v>
      </c>
      <c r="L21" s="54">
        <f>SUM(K21)+1.5</f>
        <v>29</v>
      </c>
      <c r="M21" s="56">
        <f>SUM(L21)+1.5</f>
        <v>30.5</v>
      </c>
    </row>
    <row r="22" spans="1:13" s="1" customFormat="1" ht="14.1" customHeight="1" x14ac:dyDescent="0.3">
      <c r="A22" s="150"/>
      <c r="B22" s="70" t="s">
        <v>50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</f>
        <v>43</v>
      </c>
      <c r="I23" s="54">
        <f>SUM(J23)-2</f>
        <v>45</v>
      </c>
      <c r="J23" s="55">
        <v>47</v>
      </c>
      <c r="K23" s="54">
        <f>SUM(J23)+2</f>
        <v>49</v>
      </c>
      <c r="L23" s="54">
        <f>SUM(K23)+2</f>
        <v>51</v>
      </c>
      <c r="M23" s="56">
        <f>SUM(L23)+2</f>
        <v>53</v>
      </c>
    </row>
    <row r="24" spans="1:13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SUM(I25)-1.1</f>
        <v>20.799999999999997</v>
      </c>
      <c r="I25" s="54">
        <f>SUM(J25)-1.1</f>
        <v>21.9</v>
      </c>
      <c r="J25" s="55">
        <v>23</v>
      </c>
      <c r="K25" s="54">
        <f>SUM(J25)+1.6</f>
        <v>24.6</v>
      </c>
      <c r="L25" s="54">
        <f>SUM(K25)+1.1</f>
        <v>25.700000000000003</v>
      </c>
      <c r="M25" s="160">
        <f>SUM(L25)+1.1</f>
        <v>26.800000000000004</v>
      </c>
    </row>
    <row r="26" spans="1:13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SUM(I27)-1.3</f>
        <v>27.2</v>
      </c>
      <c r="I27" s="54">
        <f>SUM(J27)-1.3</f>
        <v>28.5</v>
      </c>
      <c r="J27" s="55">
        <v>29.8</v>
      </c>
      <c r="K27" s="54">
        <f>SUM(J27)+1.8</f>
        <v>31.6</v>
      </c>
      <c r="L27" s="54">
        <f>SUM(K27)+1.3</f>
        <v>32.9</v>
      </c>
      <c r="M27" s="160">
        <f>SUM(L27)+1.3</f>
        <v>34.199999999999996</v>
      </c>
    </row>
    <row r="28" spans="1:13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54"/>
      <c r="I29" s="54"/>
      <c r="J29" s="55"/>
      <c r="K29" s="54"/>
      <c r="L29" s="54"/>
      <c r="M29" s="56"/>
    </row>
    <row r="30" spans="1:13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40"/>
      <c r="I30" s="40"/>
      <c r="J30" s="42"/>
      <c r="K30" s="40"/>
      <c r="L30" s="40"/>
      <c r="M30" s="44"/>
    </row>
    <row r="31" spans="1:13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/>
      <c r="I31" s="54"/>
      <c r="J31" s="55"/>
      <c r="K31" s="54"/>
      <c r="L31" s="54"/>
      <c r="M31" s="56"/>
    </row>
    <row r="32" spans="1:13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4"/>
    </row>
    <row r="33" spans="1:13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54"/>
      <c r="I33" s="54"/>
      <c r="J33" s="55"/>
      <c r="K33" s="54"/>
      <c r="L33" s="54"/>
      <c r="M33" s="56"/>
    </row>
    <row r="34" spans="1:13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40"/>
      <c r="I34" s="40"/>
      <c r="J34" s="42"/>
      <c r="K34" s="40"/>
      <c r="L34" s="40"/>
      <c r="M34" s="44"/>
    </row>
    <row r="35" spans="1:13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54"/>
      <c r="I35" s="54"/>
      <c r="J35" s="55"/>
      <c r="K35" s="54"/>
      <c r="L35" s="54"/>
      <c r="M35" s="56"/>
    </row>
    <row r="36" spans="1:13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148">
        <v>18</v>
      </c>
      <c r="B37" s="65" t="s">
        <v>114</v>
      </c>
      <c r="C37" s="66"/>
      <c r="D37" s="62" t="s">
        <v>22</v>
      </c>
      <c r="E37" s="63"/>
      <c r="F37" s="63"/>
      <c r="G37" s="64"/>
      <c r="H37" s="54">
        <f>SUM(I37)-0.3</f>
        <v>5.6000000000000005</v>
      </c>
      <c r="I37" s="54">
        <f>SUM(J37)-0.3</f>
        <v>5.9</v>
      </c>
      <c r="J37" s="67">
        <v>6.2</v>
      </c>
      <c r="K37" s="68">
        <f>SUM(J37)+0.3</f>
        <v>6.5</v>
      </c>
      <c r="L37" s="68">
        <f>SUM(K37)+0.3</f>
        <v>6.8</v>
      </c>
      <c r="M37" s="69">
        <f>SUM(L37)+0.3</f>
        <v>7.1</v>
      </c>
    </row>
    <row r="38" spans="1:13" s="1" customFormat="1" ht="14.1" customHeight="1" x14ac:dyDescent="0.3">
      <c r="A38" s="150"/>
      <c r="B38" s="70" t="s">
        <v>53</v>
      </c>
      <c r="C38" s="71"/>
      <c r="D38" s="151" t="s">
        <v>113</v>
      </c>
      <c r="E38" s="152"/>
      <c r="F38" s="152"/>
      <c r="G38" s="153"/>
      <c r="H38" s="40"/>
      <c r="I38" s="40"/>
      <c r="J38" s="67"/>
      <c r="K38" s="68"/>
      <c r="L38" s="68"/>
      <c r="M38" s="69"/>
    </row>
    <row r="39" spans="1:13" s="1" customFormat="1" ht="14.1" customHeight="1" x14ac:dyDescent="0.3">
      <c r="A39" s="148">
        <v>19</v>
      </c>
      <c r="B39" s="65" t="s">
        <v>112</v>
      </c>
      <c r="C39" s="66"/>
      <c r="D39" s="62" t="s">
        <v>23</v>
      </c>
      <c r="E39" s="63"/>
      <c r="F39" s="63"/>
      <c r="G39" s="64"/>
      <c r="H39" s="54">
        <f>SUM(I39)-0.5</f>
        <v>7.6</v>
      </c>
      <c r="I39" s="54">
        <f>SUM(J39)-0.5</f>
        <v>8.1</v>
      </c>
      <c r="J39" s="55">
        <v>8.6</v>
      </c>
      <c r="K39" s="54">
        <f>SUM(J39)+0.5</f>
        <v>9.1</v>
      </c>
      <c r="L39" s="54">
        <f>SUM(K39)+0.5</f>
        <v>9.6</v>
      </c>
      <c r="M39" s="56">
        <f>SUM(L39)+0.5</f>
        <v>10.1</v>
      </c>
    </row>
    <row r="40" spans="1:13" s="1" customFormat="1" ht="14.1" customHeight="1" x14ac:dyDescent="0.3">
      <c r="A40" s="150"/>
      <c r="B40" s="70" t="s">
        <v>52</v>
      </c>
      <c r="C40" s="71"/>
      <c r="D40" s="151" t="s">
        <v>111</v>
      </c>
      <c r="E40" s="152"/>
      <c r="F40" s="152"/>
      <c r="G40" s="153"/>
      <c r="H40" s="40"/>
      <c r="I40" s="40"/>
      <c r="J40" s="42"/>
      <c r="K40" s="40"/>
      <c r="L40" s="40"/>
      <c r="M40" s="44"/>
    </row>
    <row r="41" spans="1:13" s="1" customFormat="1" ht="14.1" customHeight="1" x14ac:dyDescent="0.3">
      <c r="A41" s="148">
        <v>20</v>
      </c>
      <c r="B41" s="65" t="s">
        <v>704</v>
      </c>
      <c r="C41" s="66"/>
      <c r="D41" s="61"/>
      <c r="E41" s="61"/>
      <c r="F41" s="61"/>
      <c r="G41" s="61"/>
      <c r="H41" s="54">
        <f>SUM(I41)-0.6</f>
        <v>9.8000000000000007</v>
      </c>
      <c r="I41" s="54">
        <f>SUM(J41)-0.6</f>
        <v>10.4</v>
      </c>
      <c r="J41" s="55">
        <v>11</v>
      </c>
      <c r="K41" s="54">
        <f>SUM(J41)+0.6</f>
        <v>11.6</v>
      </c>
      <c r="L41" s="54">
        <f>SUM(K41)+0.6</f>
        <v>12.2</v>
      </c>
      <c r="M41" s="56">
        <f>SUM(L41)+0.6</f>
        <v>12.799999999999999</v>
      </c>
    </row>
    <row r="42" spans="1:13" s="1" customFormat="1" ht="14.1" customHeight="1" x14ac:dyDescent="0.3">
      <c r="A42" s="150"/>
      <c r="B42" s="57" t="s">
        <v>705</v>
      </c>
      <c r="C42" s="58"/>
      <c r="D42" s="46"/>
      <c r="E42" s="47"/>
      <c r="F42" s="47"/>
      <c r="G42" s="59"/>
      <c r="H42" s="40"/>
      <c r="I42" s="40"/>
      <c r="J42" s="42"/>
      <c r="K42" s="40"/>
      <c r="L42" s="40"/>
      <c r="M42" s="44"/>
    </row>
    <row r="43" spans="1:13" s="1" customFormat="1" ht="14.1" customHeight="1" x14ac:dyDescent="0.3">
      <c r="A43" s="148">
        <v>21</v>
      </c>
      <c r="B43" s="65" t="s">
        <v>460</v>
      </c>
      <c r="C43" s="66"/>
      <c r="D43" s="61"/>
      <c r="E43" s="61"/>
      <c r="F43" s="61"/>
      <c r="G43" s="61"/>
      <c r="H43" s="54">
        <f>SUM(I43)-0.5</f>
        <v>9.5</v>
      </c>
      <c r="I43" s="54">
        <f>SUM(J43)-0.5</f>
        <v>10</v>
      </c>
      <c r="J43" s="55">
        <v>10.5</v>
      </c>
      <c r="K43" s="54">
        <f>SUM(J43)+0.5</f>
        <v>11</v>
      </c>
      <c r="L43" s="54">
        <f>SUM(K43)+0.5</f>
        <v>11.5</v>
      </c>
      <c r="M43" s="56">
        <f>SUM(L43)+0.5</f>
        <v>12</v>
      </c>
    </row>
    <row r="44" spans="1:13" s="1" customFormat="1" ht="14.1" customHeight="1" x14ac:dyDescent="0.3">
      <c r="A44" s="148"/>
      <c r="B44" s="105" t="s">
        <v>461</v>
      </c>
      <c r="C44" s="105"/>
      <c r="D44" s="51"/>
      <c r="E44" s="52"/>
      <c r="F44" s="52"/>
      <c r="G44" s="53"/>
      <c r="H44" s="81"/>
      <c r="I44" s="81"/>
      <c r="J44" s="82"/>
      <c r="K44" s="81"/>
      <c r="L44" s="81"/>
      <c r="M44" s="83"/>
    </row>
    <row r="45" spans="1:13" s="1" customFormat="1" ht="14.1" customHeight="1" x14ac:dyDescent="0.3">
      <c r="A45" s="191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6"/>
    </row>
    <row r="46" spans="1:13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147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1:M1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C75D-0B8F-4FC4-8EC0-8E9C3186142C}">
  <sheetPr>
    <tabColor rgb="FFFF0000"/>
    <pageSetUpPr fitToPage="1"/>
  </sheetPr>
  <dimension ref="A1:N51"/>
  <sheetViews>
    <sheetView topLeftCell="A4" zoomScale="110" zoomScaleNormal="110" workbookViewId="0">
      <selection activeCell="K11" sqref="K11:K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727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43">
        <f>SUM(M3)+3</f>
        <v>63</v>
      </c>
    </row>
    <row r="4" spans="1:14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4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4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4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4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67</v>
      </c>
      <c r="I11" s="54">
        <f>SUM(J11)-4.5</f>
        <v>71.5</v>
      </c>
      <c r="J11" s="82">
        <v>76</v>
      </c>
      <c r="K11" s="54">
        <f>SUM(J11)+4.5</f>
        <v>80.5</v>
      </c>
      <c r="L11" s="54">
        <f t="shared" ref="L11:M11" si="0">SUM(K11)+4.5</f>
        <v>85</v>
      </c>
      <c r="M11" s="54">
        <f t="shared" si="0"/>
        <v>89.5</v>
      </c>
      <c r="N11" s="56">
        <f t="shared" ref="N11" si="1">SUM(M11)+4.5</f>
        <v>94</v>
      </c>
    </row>
    <row r="12" spans="1:14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48">
        <v>6</v>
      </c>
      <c r="B13" s="65" t="s">
        <v>11</v>
      </c>
      <c r="C13" s="66"/>
      <c r="D13" s="62" t="s">
        <v>136</v>
      </c>
      <c r="E13" s="63"/>
      <c r="F13" s="63"/>
      <c r="G13" s="64"/>
      <c r="H13" s="54">
        <f>SUM(I13)-5</f>
        <v>70</v>
      </c>
      <c r="I13" s="54">
        <f>SUM(J13)-5</f>
        <v>75</v>
      </c>
      <c r="J13" s="55">
        <v>80</v>
      </c>
      <c r="K13" s="54">
        <f>SUM(J13)+5</f>
        <v>85</v>
      </c>
      <c r="L13" s="54">
        <f t="shared" ref="L13:M13" si="2">SUM(K13)+5</f>
        <v>90</v>
      </c>
      <c r="M13" s="54">
        <f t="shared" si="2"/>
        <v>95</v>
      </c>
      <c r="N13" s="56">
        <f t="shared" ref="N13" si="3">SUM(M13)+5</f>
        <v>100</v>
      </c>
    </row>
    <row r="14" spans="1:14" s="1" customFormat="1" ht="14.1" customHeight="1" x14ac:dyDescent="0.3">
      <c r="A14" s="150"/>
      <c r="B14" s="70" t="s">
        <v>49</v>
      </c>
      <c r="C14" s="71"/>
      <c r="D14" s="151" t="s">
        <v>100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4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>
        <f>SUM(I15)-0.7</f>
        <v>15.400000000000002</v>
      </c>
      <c r="I15" s="54">
        <f>SUM(J15)-0.7</f>
        <v>16.100000000000001</v>
      </c>
      <c r="J15" s="55">
        <v>16.8</v>
      </c>
      <c r="K15" s="54">
        <f>SUM(J15)+1.2</f>
        <v>18</v>
      </c>
      <c r="L15" s="54">
        <f>SUM(K15)+0.7</f>
        <v>18.7</v>
      </c>
      <c r="M15" s="54">
        <f t="shared" ref="M15:N15" si="4">SUM(L15)+0.7</f>
        <v>19.399999999999999</v>
      </c>
      <c r="N15" s="56">
        <f t="shared" si="4"/>
        <v>20.099999999999998</v>
      </c>
    </row>
    <row r="16" spans="1:14" s="1" customFormat="1" ht="14.1" customHeight="1" x14ac:dyDescent="0.3">
      <c r="A16" s="150"/>
      <c r="B16" s="70" t="s">
        <v>115</v>
      </c>
      <c r="C16" s="71"/>
      <c r="D16" s="162" t="s">
        <v>722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60"/>
      <c r="N17" s="160"/>
    </row>
    <row r="18" spans="1:14" s="1" customFormat="1" ht="14.1" customHeight="1" x14ac:dyDescent="0.3">
      <c r="A18" s="150"/>
      <c r="B18" s="70" t="s">
        <v>140</v>
      </c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45"/>
      <c r="N18" s="161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SUM(I21)-7</f>
        <v>55.7</v>
      </c>
      <c r="I21" s="54">
        <f>SUM(J21)-7</f>
        <v>62.7</v>
      </c>
      <c r="J21" s="55">
        <v>69.7</v>
      </c>
      <c r="K21" s="54">
        <f>SUM(J21)+6</f>
        <v>75.7</v>
      </c>
      <c r="L21" s="54">
        <f t="shared" ref="L21:M21" si="5">SUM(K21)+6</f>
        <v>81.7</v>
      </c>
      <c r="M21" s="54">
        <f t="shared" si="5"/>
        <v>87.7</v>
      </c>
      <c r="N21" s="56">
        <f t="shared" ref="N21" si="6">SUM(M21)+6</f>
        <v>93.7</v>
      </c>
    </row>
    <row r="22" spans="1:14" s="1" customFormat="1" ht="14.1" customHeight="1" x14ac:dyDescent="0.3">
      <c r="A22" s="150"/>
      <c r="B22" s="70" t="s">
        <v>691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SUM(I23)-2.4</f>
        <v>37.200000000000003</v>
      </c>
      <c r="I23" s="54">
        <f>SUM(J23)-2.4</f>
        <v>39.6</v>
      </c>
      <c r="J23" s="55">
        <v>42</v>
      </c>
      <c r="K23" s="54">
        <f>SUM(J23)+2.4</f>
        <v>44.4</v>
      </c>
      <c r="L23" s="54">
        <f t="shared" ref="L23" si="7">SUM(K23)+2.4</f>
        <v>46.8</v>
      </c>
      <c r="M23" s="54">
        <f t="shared" ref="M23" si="8">SUM(L23)+2.4</f>
        <v>49.199999999999996</v>
      </c>
      <c r="N23" s="56">
        <f t="shared" ref="N23" si="9">SUM(M23)+2.4</f>
        <v>51.599999999999994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730</v>
      </c>
      <c r="C25" s="66"/>
      <c r="D25" s="62"/>
      <c r="E25" s="63"/>
      <c r="F25" s="63"/>
      <c r="G25" s="64"/>
      <c r="H25" s="54">
        <f>SUM(I25)-2.4</f>
        <v>49.2</v>
      </c>
      <c r="I25" s="54">
        <f>SUM(J25)-2.4</f>
        <v>51.6</v>
      </c>
      <c r="J25" s="55">
        <v>54</v>
      </c>
      <c r="K25" s="54">
        <f>SUM(J25)+2.4</f>
        <v>56.4</v>
      </c>
      <c r="L25" s="54">
        <f t="shared" ref="L25:M25" si="10">SUM(K25)+2.4</f>
        <v>58.8</v>
      </c>
      <c r="M25" s="54">
        <f t="shared" si="10"/>
        <v>61.199999999999996</v>
      </c>
      <c r="N25" s="56">
        <f t="shared" ref="N25" si="11">SUM(M25)+2.4</f>
        <v>63.599999999999994</v>
      </c>
    </row>
    <row r="26" spans="1:14" s="1" customFormat="1" ht="14.1" customHeight="1" x14ac:dyDescent="0.3">
      <c r="A26" s="150"/>
      <c r="B26" s="70" t="s">
        <v>731</v>
      </c>
      <c r="C26" s="71"/>
      <c r="D26" s="46" t="s">
        <v>452</v>
      </c>
      <c r="E26" s="47"/>
      <c r="F26" s="47"/>
      <c r="G26" s="59"/>
      <c r="H26" s="40"/>
      <c r="I26" s="40"/>
      <c r="J26" s="42"/>
      <c r="K26" s="40"/>
      <c r="L26" s="40"/>
      <c r="M26" s="40"/>
      <c r="N26" s="44"/>
    </row>
    <row r="27" spans="1:14" s="1" customFormat="1" ht="14.1" customHeight="1" x14ac:dyDescent="0.3">
      <c r="A27" s="148">
        <v>13</v>
      </c>
      <c r="B27" s="65" t="s">
        <v>16</v>
      </c>
      <c r="C27" s="66"/>
      <c r="D27" s="62" t="s">
        <v>13</v>
      </c>
      <c r="E27" s="63"/>
      <c r="F27" s="63"/>
      <c r="G27" s="64"/>
      <c r="H27" s="60">
        <f>SUM(I27)-1.1</f>
        <v>23.099999999999998</v>
      </c>
      <c r="I27" s="54">
        <f>SUM(J27)-1.1</f>
        <v>24.2</v>
      </c>
      <c r="J27" s="55">
        <v>25.3</v>
      </c>
      <c r="K27" s="54">
        <f>SUM(J27)+1.6</f>
        <v>26.900000000000002</v>
      </c>
      <c r="L27" s="54">
        <f>SUM(K27)+1.1</f>
        <v>28.000000000000004</v>
      </c>
      <c r="M27" s="60">
        <f>SUM(L27)+1.1</f>
        <v>29.100000000000005</v>
      </c>
      <c r="N27" s="160">
        <f>SUM(M27)+1.1</f>
        <v>30.200000000000006</v>
      </c>
    </row>
    <row r="28" spans="1:14" s="1" customFormat="1" ht="14.1" customHeight="1" x14ac:dyDescent="0.3">
      <c r="A28" s="150"/>
      <c r="B28" s="70" t="s">
        <v>692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5"/>
      <c r="N28" s="161"/>
    </row>
    <row r="29" spans="1:14" s="1" customFormat="1" ht="14.1" customHeight="1" x14ac:dyDescent="0.3">
      <c r="A29" s="148">
        <v>14</v>
      </c>
      <c r="B29" s="65" t="s">
        <v>17</v>
      </c>
      <c r="C29" s="66"/>
      <c r="D29" s="62" t="s">
        <v>13</v>
      </c>
      <c r="E29" s="63"/>
      <c r="F29" s="63"/>
      <c r="G29" s="64"/>
      <c r="H29" s="60">
        <f>SUM(I29)-1.3</f>
        <v>31.3</v>
      </c>
      <c r="I29" s="54">
        <f>SUM(J29)-1.3</f>
        <v>32.6</v>
      </c>
      <c r="J29" s="55">
        <v>33.9</v>
      </c>
      <c r="K29" s="54">
        <f>SUM(J29)+1.8</f>
        <v>35.699999999999996</v>
      </c>
      <c r="L29" s="54">
        <f>SUM(K29)+1.3</f>
        <v>36.999999999999993</v>
      </c>
      <c r="M29" s="60">
        <f>SUM(L29)+1.3</f>
        <v>38.29999999999999</v>
      </c>
      <c r="N29" s="160">
        <f>SUM(M29)+1.3</f>
        <v>39.599999999999987</v>
      </c>
    </row>
    <row r="30" spans="1:14" s="1" customFormat="1" ht="14.1" customHeight="1" x14ac:dyDescent="0.3">
      <c r="A30" s="150"/>
      <c r="B30" s="70" t="s">
        <v>693</v>
      </c>
      <c r="C30" s="71"/>
      <c r="D30" s="151" t="s">
        <v>97</v>
      </c>
      <c r="E30" s="152"/>
      <c r="F30" s="152"/>
      <c r="G30" s="153"/>
      <c r="H30" s="45"/>
      <c r="I30" s="40"/>
      <c r="J30" s="42"/>
      <c r="K30" s="40"/>
      <c r="L30" s="40"/>
      <c r="M30" s="45"/>
      <c r="N30" s="161"/>
    </row>
    <row r="31" spans="1:14" s="1" customFormat="1" ht="14.1" customHeight="1" x14ac:dyDescent="0.3">
      <c r="A31" s="148">
        <v>15</v>
      </c>
      <c r="B31" s="65" t="s">
        <v>18</v>
      </c>
      <c r="C31" s="66"/>
      <c r="D31" s="62" t="s">
        <v>19</v>
      </c>
      <c r="E31" s="63"/>
      <c r="F31" s="63"/>
      <c r="G31" s="64"/>
      <c r="H31" s="54">
        <f>SUM(I31)-3.3</f>
        <v>43.900000000000006</v>
      </c>
      <c r="I31" s="54">
        <f>SUM(J31)-3.3</f>
        <v>47.2</v>
      </c>
      <c r="J31" s="55">
        <v>50.5</v>
      </c>
      <c r="K31" s="54">
        <f>SUM(J31)+3.1</f>
        <v>53.6</v>
      </c>
      <c r="L31" s="54">
        <f t="shared" ref="L31:M31" si="12">SUM(K31)+3.1</f>
        <v>56.7</v>
      </c>
      <c r="M31" s="54">
        <f t="shared" si="12"/>
        <v>59.800000000000004</v>
      </c>
      <c r="N31" s="56">
        <f t="shared" ref="N31" si="13">SUM(M31)+3.1</f>
        <v>62.900000000000006</v>
      </c>
    </row>
    <row r="32" spans="1:14" s="1" customFormat="1" ht="14.1" customHeight="1" x14ac:dyDescent="0.3">
      <c r="A32" s="150"/>
      <c r="B32" s="70" t="s">
        <v>55</v>
      </c>
      <c r="C32" s="71"/>
      <c r="D32" s="151" t="s">
        <v>96</v>
      </c>
      <c r="E32" s="152"/>
      <c r="F32" s="152"/>
      <c r="G32" s="153"/>
      <c r="H32" s="40"/>
      <c r="I32" s="40"/>
      <c r="J32" s="42"/>
      <c r="K32" s="40"/>
      <c r="L32" s="40"/>
      <c r="M32" s="40"/>
      <c r="N32" s="44"/>
    </row>
    <row r="33" spans="1:14" s="1" customFormat="1" ht="14.1" customHeight="1" x14ac:dyDescent="0.3">
      <c r="A33" s="148">
        <v>16</v>
      </c>
      <c r="B33" s="65" t="s">
        <v>20</v>
      </c>
      <c r="C33" s="66"/>
      <c r="D33" s="62" t="s">
        <v>21</v>
      </c>
      <c r="E33" s="63"/>
      <c r="F33" s="63"/>
      <c r="G33" s="64"/>
      <c r="H33" s="54">
        <f>SUM(I33)-6</f>
        <v>33.299999999999997</v>
      </c>
      <c r="I33" s="54">
        <f>SUM(J33)-6</f>
        <v>39.299999999999997</v>
      </c>
      <c r="J33" s="55">
        <v>45.3</v>
      </c>
      <c r="K33" s="54">
        <f>SUM(J33)+4.5</f>
        <v>49.8</v>
      </c>
      <c r="L33" s="54">
        <f>SUM(K33)+5</f>
        <v>54.8</v>
      </c>
      <c r="M33" s="54">
        <f>SUM(L33)+5</f>
        <v>59.8</v>
      </c>
      <c r="N33" s="56">
        <f>SUM(M33)+5</f>
        <v>64.8</v>
      </c>
    </row>
    <row r="34" spans="1:14" s="1" customFormat="1" ht="14.1" customHeight="1" x14ac:dyDescent="0.3">
      <c r="A34" s="150"/>
      <c r="B34" s="70" t="s">
        <v>54</v>
      </c>
      <c r="C34" s="71"/>
      <c r="D34" s="151" t="s">
        <v>95</v>
      </c>
      <c r="E34" s="152"/>
      <c r="F34" s="152"/>
      <c r="G34" s="153"/>
      <c r="H34" s="40"/>
      <c r="I34" s="40"/>
      <c r="J34" s="42"/>
      <c r="K34" s="40"/>
      <c r="L34" s="40"/>
      <c r="M34" s="40"/>
      <c r="N34" s="44"/>
    </row>
    <row r="35" spans="1:14" s="1" customFormat="1" ht="14.1" customHeight="1" x14ac:dyDescent="0.3">
      <c r="A35" s="148">
        <v>17</v>
      </c>
      <c r="B35" s="65" t="s">
        <v>94</v>
      </c>
      <c r="C35" s="66"/>
      <c r="D35" s="62" t="s">
        <v>92</v>
      </c>
      <c r="E35" s="63"/>
      <c r="F35" s="63"/>
      <c r="G35" s="64"/>
      <c r="H35" s="54">
        <f>SUM(I35)-2.5</f>
        <v>40.4</v>
      </c>
      <c r="I35" s="54">
        <f>SUM(J35)-2.5</f>
        <v>42.9</v>
      </c>
      <c r="J35" s="55">
        <v>45.4</v>
      </c>
      <c r="K35" s="54">
        <f>SUM(J35)+2.5</f>
        <v>47.9</v>
      </c>
      <c r="L35" s="54">
        <f t="shared" ref="L35:M35" si="14">SUM(K35)+2.5</f>
        <v>50.4</v>
      </c>
      <c r="M35" s="54">
        <f t="shared" si="14"/>
        <v>52.9</v>
      </c>
      <c r="N35" s="56">
        <f t="shared" ref="N35" si="15">SUM(M35)+2.5</f>
        <v>55.4</v>
      </c>
    </row>
    <row r="36" spans="1:14" s="1" customFormat="1" ht="14.1" customHeight="1" x14ac:dyDescent="0.3">
      <c r="A36" s="150"/>
      <c r="B36" s="70" t="s">
        <v>93</v>
      </c>
      <c r="C36" s="71"/>
      <c r="D36" s="151" t="s">
        <v>92</v>
      </c>
      <c r="E36" s="152"/>
      <c r="F36" s="152"/>
      <c r="G36" s="153"/>
      <c r="H36" s="40"/>
      <c r="I36" s="40"/>
      <c r="J36" s="42"/>
      <c r="K36" s="40"/>
      <c r="L36" s="40"/>
      <c r="M36" s="40"/>
      <c r="N36" s="44"/>
    </row>
    <row r="37" spans="1:14" s="1" customFormat="1" ht="14.1" customHeight="1" x14ac:dyDescent="0.3">
      <c r="A37" s="148">
        <v>18</v>
      </c>
      <c r="B37" s="65" t="s">
        <v>91</v>
      </c>
      <c r="C37" s="66"/>
      <c r="D37" s="62" t="s">
        <v>90</v>
      </c>
      <c r="E37" s="63"/>
      <c r="F37" s="63"/>
      <c r="G37" s="64"/>
      <c r="H37" s="54">
        <f>SUM(I37)-4</f>
        <v>33.4</v>
      </c>
      <c r="I37" s="54">
        <f>SUM(J37)-4</f>
        <v>37.4</v>
      </c>
      <c r="J37" s="55">
        <v>41.4</v>
      </c>
      <c r="K37" s="54">
        <f>SUM(J37)+3.6</f>
        <v>45</v>
      </c>
      <c r="L37" s="54">
        <f>SUM(K37)+3.4</f>
        <v>48.4</v>
      </c>
      <c r="M37" s="54">
        <f>SUM(L37)+3.4</f>
        <v>51.8</v>
      </c>
      <c r="N37" s="56">
        <f>SUM(M37)+3.4</f>
        <v>55.199999999999996</v>
      </c>
    </row>
    <row r="38" spans="1:14" s="1" customFormat="1" ht="14.1" customHeight="1" x14ac:dyDescent="0.3">
      <c r="A38" s="150"/>
      <c r="B38" s="70" t="s">
        <v>89</v>
      </c>
      <c r="C38" s="71"/>
      <c r="D38" s="151" t="s">
        <v>130</v>
      </c>
      <c r="E38" s="152"/>
      <c r="F38" s="152"/>
      <c r="G38" s="153"/>
      <c r="H38" s="40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148">
        <v>19</v>
      </c>
      <c r="B39" s="65" t="s">
        <v>112</v>
      </c>
      <c r="C39" s="66"/>
      <c r="D39" s="62"/>
      <c r="E39" s="63"/>
      <c r="F39" s="63"/>
      <c r="G39" s="64"/>
      <c r="H39" s="60">
        <f>SUM(I39)-0.5</f>
        <v>12</v>
      </c>
      <c r="I39" s="54">
        <f>SUM(J39)-0.5</f>
        <v>12.5</v>
      </c>
      <c r="J39" s="55">
        <v>13</v>
      </c>
      <c r="K39" s="54">
        <f>SUM(J39)+0.5</f>
        <v>13.5</v>
      </c>
      <c r="L39" s="54">
        <f>SUM(K39)+0.5</f>
        <v>14</v>
      </c>
      <c r="M39" s="60">
        <f>SUM(L39)+0.5</f>
        <v>14.5</v>
      </c>
      <c r="N39" s="160">
        <f>SUM(M39)+0.5</f>
        <v>15</v>
      </c>
    </row>
    <row r="40" spans="1:14" s="1" customFormat="1" ht="14.1" customHeight="1" x14ac:dyDescent="0.3">
      <c r="A40" s="150"/>
      <c r="B40" s="70" t="s">
        <v>52</v>
      </c>
      <c r="C40" s="71"/>
      <c r="D40" s="151"/>
      <c r="E40" s="152"/>
      <c r="F40" s="152"/>
      <c r="G40" s="153"/>
      <c r="H40" s="45"/>
      <c r="I40" s="40"/>
      <c r="J40" s="42"/>
      <c r="K40" s="40"/>
      <c r="L40" s="40"/>
      <c r="M40" s="45"/>
      <c r="N40" s="161"/>
    </row>
    <row r="41" spans="1:14" s="1" customFormat="1" ht="14.1" customHeight="1" x14ac:dyDescent="0.3">
      <c r="A41" s="148">
        <v>20</v>
      </c>
      <c r="B41" s="65" t="s">
        <v>134</v>
      </c>
      <c r="C41" s="66"/>
      <c r="D41" s="88"/>
      <c r="E41" s="89"/>
      <c r="F41" s="89"/>
      <c r="G41" s="90"/>
      <c r="H41" s="54">
        <f>SUM(I41)-0.2</f>
        <v>0.70000000000000018</v>
      </c>
      <c r="I41" s="54">
        <f>SUM(J41)-0.2</f>
        <v>0.90000000000000013</v>
      </c>
      <c r="J41" s="55">
        <v>1.1000000000000001</v>
      </c>
      <c r="K41" s="54">
        <f>SUM(J41)+0.3</f>
        <v>1.4000000000000001</v>
      </c>
      <c r="L41" s="54">
        <f t="shared" ref="L41:M41" si="16">SUM(K41)+0.3</f>
        <v>1.7000000000000002</v>
      </c>
      <c r="M41" s="54">
        <f t="shared" si="16"/>
        <v>2</v>
      </c>
      <c r="N41" s="56">
        <f t="shared" ref="N41" si="17">SUM(M41)+0.3</f>
        <v>2.2999999999999998</v>
      </c>
    </row>
    <row r="42" spans="1:14" s="1" customFormat="1" ht="14.1" customHeight="1" x14ac:dyDescent="0.3">
      <c r="A42" s="150"/>
      <c r="B42" s="57" t="s">
        <v>142</v>
      </c>
      <c r="C42" s="58"/>
      <c r="D42" s="46" t="s">
        <v>728</v>
      </c>
      <c r="E42" s="47"/>
      <c r="F42" s="47"/>
      <c r="G42" s="59"/>
      <c r="H42" s="40"/>
      <c r="I42" s="40"/>
      <c r="J42" s="42"/>
      <c r="K42" s="40"/>
      <c r="L42" s="40"/>
      <c r="M42" s="40"/>
      <c r="N42" s="44"/>
    </row>
    <row r="43" spans="1:14" s="1" customFormat="1" ht="14.1" customHeight="1" x14ac:dyDescent="0.3">
      <c r="A43" s="148">
        <v>21</v>
      </c>
      <c r="B43" s="65" t="s">
        <v>135</v>
      </c>
      <c r="C43" s="66"/>
      <c r="D43" s="133"/>
      <c r="E43" s="134"/>
      <c r="F43" s="134"/>
      <c r="G43" s="135"/>
      <c r="H43" s="54">
        <f>SUM(I43)</f>
        <v>1</v>
      </c>
      <c r="I43" s="54">
        <f>SUM(J43)</f>
        <v>1</v>
      </c>
      <c r="J43" s="82">
        <v>1</v>
      </c>
      <c r="K43" s="54">
        <f>SUM(J43)</f>
        <v>1</v>
      </c>
      <c r="L43" s="54">
        <f t="shared" ref="L43:M43" si="18">SUM(K43)</f>
        <v>1</v>
      </c>
      <c r="M43" s="54">
        <f t="shared" si="18"/>
        <v>1</v>
      </c>
      <c r="N43" s="56">
        <f t="shared" ref="N43" si="19">SUM(M43)</f>
        <v>1</v>
      </c>
    </row>
    <row r="44" spans="1:14" s="1" customFormat="1" ht="14.1" customHeight="1" x14ac:dyDescent="0.3">
      <c r="A44" s="150"/>
      <c r="B44" s="79" t="s">
        <v>143</v>
      </c>
      <c r="C44" s="80"/>
      <c r="D44" s="51" t="s">
        <v>729</v>
      </c>
      <c r="E44" s="52"/>
      <c r="F44" s="52"/>
      <c r="G44" s="53"/>
      <c r="H44" s="81"/>
      <c r="I44" s="81"/>
      <c r="J44" s="82"/>
      <c r="K44" s="81"/>
      <c r="L44" s="81"/>
      <c r="M44" s="81"/>
      <c r="N44" s="83"/>
    </row>
    <row r="45" spans="1:14" s="1" customFormat="1" ht="13.5" customHeight="1" x14ac:dyDescent="0.3">
      <c r="A45" s="148">
        <v>22</v>
      </c>
      <c r="B45" s="65" t="s">
        <v>298</v>
      </c>
      <c r="C45" s="66"/>
      <c r="D45" s="61"/>
      <c r="E45" s="61"/>
      <c r="F45" s="61"/>
      <c r="G45" s="61"/>
      <c r="H45" s="54">
        <f>SUM(I45)-3</f>
        <v>77</v>
      </c>
      <c r="I45" s="54">
        <f>SUM(J45)-3</f>
        <v>80</v>
      </c>
      <c r="J45" s="55">
        <v>83</v>
      </c>
      <c r="K45" s="54">
        <f>SUM(J45)+3</f>
        <v>86</v>
      </c>
      <c r="L45" s="54">
        <f>SUM(K45)+3</f>
        <v>89</v>
      </c>
      <c r="M45" s="54">
        <f>SUM(L45)+3</f>
        <v>92</v>
      </c>
      <c r="N45" s="181">
        <f>SUM(M45)+3</f>
        <v>95</v>
      </c>
    </row>
    <row r="46" spans="1:14" ht="14.1" customHeight="1" thickBot="1" x14ac:dyDescent="0.35">
      <c r="A46" s="149"/>
      <c r="B46" s="141" t="s">
        <v>299</v>
      </c>
      <c r="C46" s="141"/>
      <c r="D46" s="98" t="s">
        <v>180</v>
      </c>
      <c r="E46" s="99"/>
      <c r="F46" s="99"/>
      <c r="G46" s="100"/>
      <c r="H46" s="91"/>
      <c r="I46" s="91"/>
      <c r="J46" s="107"/>
      <c r="K46" s="91"/>
      <c r="L46" s="91"/>
      <c r="M46" s="91"/>
      <c r="N46" s="183"/>
    </row>
    <row r="47" spans="1:14" ht="14.1" customHeight="1" x14ac:dyDescent="0.3">
      <c r="N47" s="1"/>
    </row>
    <row r="48" spans="1:14" ht="14.1" customHeight="1" x14ac:dyDescent="0.3">
      <c r="N48" s="1"/>
    </row>
    <row r="49" spans="14:14" ht="14.1" customHeight="1" x14ac:dyDescent="0.3">
      <c r="N49" s="1"/>
    </row>
    <row r="50" spans="14:14" ht="14.1" customHeight="1" x14ac:dyDescent="0.3"/>
    <row r="51" spans="14:14" ht="14.1" customHeight="1" x14ac:dyDescent="0.3"/>
  </sheetData>
  <mergeCells count="267"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D21:G21"/>
    <mergeCell ref="H21:H22"/>
    <mergeCell ref="I21:I22"/>
    <mergeCell ref="A23:A24"/>
    <mergeCell ref="B23:C23"/>
    <mergeCell ref="D23:G23"/>
    <mergeCell ref="H23:H24"/>
    <mergeCell ref="I23:I24"/>
    <mergeCell ref="J21:J22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1:N1"/>
    <mergeCell ref="N3:N4"/>
    <mergeCell ref="N5:N6"/>
    <mergeCell ref="N7:N8"/>
    <mergeCell ref="N9:N10"/>
    <mergeCell ref="N11:N12"/>
    <mergeCell ref="J25:J26"/>
    <mergeCell ref="K25:K26"/>
    <mergeCell ref="L25:L26"/>
    <mergeCell ref="M25:M26"/>
    <mergeCell ref="B26:C26"/>
    <mergeCell ref="D26:G26"/>
    <mergeCell ref="K21:K22"/>
    <mergeCell ref="L21:L22"/>
    <mergeCell ref="M21:M22"/>
    <mergeCell ref="B22:C22"/>
    <mergeCell ref="D22:G22"/>
    <mergeCell ref="A25:A26"/>
    <mergeCell ref="B25:C25"/>
    <mergeCell ref="D25:G25"/>
    <mergeCell ref="H25:H26"/>
    <mergeCell ref="I25:I26"/>
    <mergeCell ref="A21:A22"/>
    <mergeCell ref="B21:C21"/>
    <mergeCell ref="N43:N44"/>
    <mergeCell ref="N27:N28"/>
    <mergeCell ref="N29:N30"/>
    <mergeCell ref="N31:N32"/>
    <mergeCell ref="N33:N34"/>
    <mergeCell ref="N35:N36"/>
    <mergeCell ref="N37:N38"/>
    <mergeCell ref="N13:N14"/>
    <mergeCell ref="N15:N16"/>
    <mergeCell ref="N17:N18"/>
    <mergeCell ref="N19:N20"/>
    <mergeCell ref="N21:N22"/>
    <mergeCell ref="N25:N26"/>
    <mergeCell ref="K23:K24"/>
    <mergeCell ref="L23:L24"/>
    <mergeCell ref="M23:M24"/>
    <mergeCell ref="N23:N24"/>
    <mergeCell ref="B24:C24"/>
    <mergeCell ref="D24:G24"/>
    <mergeCell ref="N39:N40"/>
    <mergeCell ref="N41:N42"/>
    <mergeCell ref="J39:J40"/>
    <mergeCell ref="K39:K40"/>
    <mergeCell ref="L39:L40"/>
    <mergeCell ref="M39:M40"/>
    <mergeCell ref="B40:C40"/>
    <mergeCell ref="D40:G40"/>
    <mergeCell ref="K35:K36"/>
    <mergeCell ref="L35:L36"/>
    <mergeCell ref="M35:M36"/>
    <mergeCell ref="B36:C36"/>
    <mergeCell ref="D36:G36"/>
    <mergeCell ref="J35:J36"/>
    <mergeCell ref="K31:K32"/>
    <mergeCell ref="L31:L32"/>
    <mergeCell ref="M31:M32"/>
    <mergeCell ref="B32:C3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D21F-5C1D-4787-8C55-A755522FC5C2}">
  <sheetPr>
    <tabColor rgb="FFFF0000"/>
    <pageSetUpPr fitToPage="1"/>
  </sheetPr>
  <dimension ref="A1:O51"/>
  <sheetViews>
    <sheetView zoomScale="110" zoomScaleNormal="110" workbookViewId="0">
      <selection sqref="A1:N4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5" ht="16.5" customHeight="1" thickBot="1" x14ac:dyDescent="0.35">
      <c r="A1" s="30" t="s">
        <v>811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15"/>
    </row>
    <row r="2" spans="1:15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5" s="1" customFormat="1" ht="14.1" customHeight="1" x14ac:dyDescent="0.3">
      <c r="A3" s="173">
        <v>1</v>
      </c>
      <c r="B3" s="174" t="s">
        <v>119</v>
      </c>
      <c r="C3" s="175"/>
      <c r="D3" s="38" t="s">
        <v>70</v>
      </c>
      <c r="E3" s="176"/>
      <c r="F3" s="176"/>
      <c r="G3" s="177"/>
      <c r="H3" s="60">
        <f>SUM(I3)-3</f>
        <v>45</v>
      </c>
      <c r="I3" s="54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39">
        <f>SUM(L3)+3</f>
        <v>60</v>
      </c>
      <c r="N3" s="43">
        <f>SUM(M3)+3</f>
        <v>63</v>
      </c>
    </row>
    <row r="4" spans="1:15" s="1" customFormat="1" ht="14.1" customHeight="1" x14ac:dyDescent="0.3">
      <c r="A4" s="150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0"/>
      <c r="N4" s="44"/>
    </row>
    <row r="5" spans="1:15" s="1" customFormat="1" ht="14.1" customHeight="1" x14ac:dyDescent="0.3">
      <c r="A5" s="148">
        <v>2</v>
      </c>
      <c r="B5" s="79" t="s">
        <v>138</v>
      </c>
      <c r="C5" s="80"/>
      <c r="D5" s="51"/>
      <c r="E5" s="52"/>
      <c r="F5" s="52"/>
      <c r="G5" s="53"/>
      <c r="H5" s="54"/>
      <c r="I5" s="54"/>
      <c r="J5" s="82"/>
      <c r="K5" s="81"/>
      <c r="L5" s="81"/>
      <c r="M5" s="81"/>
      <c r="N5" s="83"/>
    </row>
    <row r="6" spans="1:15" s="1" customFormat="1" ht="14.1" customHeight="1" x14ac:dyDescent="0.3">
      <c r="A6" s="150"/>
      <c r="B6" s="70" t="s">
        <v>137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0"/>
      <c r="N6" s="44"/>
    </row>
    <row r="7" spans="1:15" s="1" customFormat="1" ht="14.1" customHeight="1" x14ac:dyDescent="0.3">
      <c r="A7" s="148">
        <v>3</v>
      </c>
      <c r="B7" s="79" t="s">
        <v>118</v>
      </c>
      <c r="C7" s="80"/>
      <c r="D7" s="51"/>
      <c r="E7" s="52"/>
      <c r="F7" s="52"/>
      <c r="G7" s="53"/>
      <c r="H7" s="54"/>
      <c r="I7" s="54"/>
      <c r="J7" s="82"/>
      <c r="K7" s="81"/>
      <c r="L7" s="81"/>
      <c r="M7" s="81"/>
      <c r="N7" s="83"/>
    </row>
    <row r="8" spans="1:15" s="1" customFormat="1" ht="14.1" customHeight="1" x14ac:dyDescent="0.3">
      <c r="A8" s="150"/>
      <c r="B8" s="70" t="s">
        <v>117</v>
      </c>
      <c r="C8" s="71"/>
      <c r="D8" s="151"/>
      <c r="E8" s="152"/>
      <c r="F8" s="152"/>
      <c r="G8" s="153"/>
      <c r="H8" s="40"/>
      <c r="I8" s="40"/>
      <c r="J8" s="42"/>
      <c r="K8" s="40"/>
      <c r="L8" s="40"/>
      <c r="M8" s="40"/>
      <c r="N8" s="44"/>
    </row>
    <row r="9" spans="1:15" s="1" customFormat="1" ht="14.1" customHeight="1" x14ac:dyDescent="0.3">
      <c r="A9" s="148">
        <v>4</v>
      </c>
      <c r="B9" s="65" t="s">
        <v>133</v>
      </c>
      <c r="C9" s="66"/>
      <c r="D9" s="169"/>
      <c r="E9" s="170"/>
      <c r="F9" s="170"/>
      <c r="G9" s="171"/>
      <c r="H9" s="172">
        <f>SUM(I9)-2.2</f>
        <v>-4.4000000000000004</v>
      </c>
      <c r="I9" s="172">
        <f>SUM(J9)-2.2</f>
        <v>-2.2000000000000002</v>
      </c>
      <c r="J9" s="82"/>
      <c r="K9" s="165">
        <f>SUM(J9)+2.2</f>
        <v>2.2000000000000002</v>
      </c>
      <c r="L9" s="165">
        <f>SUM(K9)+2.2</f>
        <v>4.4000000000000004</v>
      </c>
      <c r="M9" s="165">
        <f>SUM(L9)+2.2</f>
        <v>6.6000000000000005</v>
      </c>
      <c r="N9" s="167">
        <f>SUM(M9)+2.2</f>
        <v>8.8000000000000007</v>
      </c>
    </row>
    <row r="10" spans="1:15" s="1" customFormat="1" ht="14.1" customHeight="1" x14ac:dyDescent="0.3">
      <c r="A10" s="150"/>
      <c r="B10" s="70" t="s">
        <v>132</v>
      </c>
      <c r="C10" s="71"/>
      <c r="D10" s="72"/>
      <c r="E10" s="73"/>
      <c r="F10" s="73"/>
      <c r="G10" s="74"/>
      <c r="H10" s="166"/>
      <c r="I10" s="166"/>
      <c r="J10" s="42"/>
      <c r="K10" s="166"/>
      <c r="L10" s="166"/>
      <c r="M10" s="166"/>
      <c r="N10" s="168"/>
    </row>
    <row r="11" spans="1:15" s="1" customFormat="1" ht="14.1" customHeight="1" x14ac:dyDescent="0.3">
      <c r="A11" s="148">
        <v>5</v>
      </c>
      <c r="B11" s="65" t="s">
        <v>127</v>
      </c>
      <c r="C11" s="66"/>
      <c r="D11" s="51"/>
      <c r="E11" s="52"/>
      <c r="F11" s="52"/>
      <c r="G11" s="53"/>
      <c r="H11" s="54">
        <f>SUM(I11)-4.5</f>
        <v>61</v>
      </c>
      <c r="I11" s="54">
        <f>SUM(J11)-4.5</f>
        <v>65.5</v>
      </c>
      <c r="J11" s="82">
        <v>70</v>
      </c>
      <c r="K11" s="54">
        <f>SUM(J11)+4.5</f>
        <v>74.5</v>
      </c>
      <c r="L11" s="54">
        <f t="shared" ref="L11:N11" si="0">SUM(K11)+4.5</f>
        <v>79</v>
      </c>
      <c r="M11" s="54">
        <f t="shared" si="0"/>
        <v>83.5</v>
      </c>
      <c r="N11" s="56">
        <f t="shared" si="0"/>
        <v>88</v>
      </c>
    </row>
    <row r="12" spans="1:15" s="1" customFormat="1" ht="14.1" customHeight="1" x14ac:dyDescent="0.3">
      <c r="A12" s="150"/>
      <c r="B12" s="70" t="s">
        <v>128</v>
      </c>
      <c r="C12" s="71"/>
      <c r="D12" s="151"/>
      <c r="E12" s="152"/>
      <c r="F12" s="152"/>
      <c r="G12" s="153"/>
      <c r="H12" s="40"/>
      <c r="I12" s="40"/>
      <c r="J12" s="42"/>
      <c r="K12" s="40"/>
      <c r="L12" s="40"/>
      <c r="M12" s="40"/>
      <c r="N12" s="44"/>
    </row>
    <row r="13" spans="1:15" s="1" customFormat="1" ht="14.1" customHeight="1" x14ac:dyDescent="0.3">
      <c r="A13" s="148">
        <v>6</v>
      </c>
      <c r="B13" s="65" t="s">
        <v>812</v>
      </c>
      <c r="C13" s="66"/>
      <c r="D13" s="62"/>
      <c r="E13" s="63"/>
      <c r="F13" s="63"/>
      <c r="G13" s="64"/>
      <c r="H13" s="54">
        <f>SUM(I13)-6.6</f>
        <v>77.600000000000009</v>
      </c>
      <c r="I13" s="54">
        <f>SUM(J13)-6.6</f>
        <v>84.2</v>
      </c>
      <c r="J13" s="55">
        <v>90.8</v>
      </c>
      <c r="K13" s="54">
        <f>SUM(J13)+6.2</f>
        <v>97</v>
      </c>
      <c r="L13" s="54">
        <f>SUM(K13)+6.2</f>
        <v>103.2</v>
      </c>
      <c r="M13" s="54">
        <f>SUM(L13)+6.2</f>
        <v>109.4</v>
      </c>
      <c r="N13" s="56">
        <f>SUM(M13)+6.2</f>
        <v>115.60000000000001</v>
      </c>
    </row>
    <row r="14" spans="1:15" s="1" customFormat="1" ht="14.1" customHeight="1" x14ac:dyDescent="0.3">
      <c r="A14" s="150"/>
      <c r="B14" s="70" t="s">
        <v>813</v>
      </c>
      <c r="C14" s="71"/>
      <c r="D14" s="151" t="s">
        <v>816</v>
      </c>
      <c r="E14" s="152"/>
      <c r="F14" s="152"/>
      <c r="G14" s="153"/>
      <c r="H14" s="40"/>
      <c r="I14" s="40"/>
      <c r="J14" s="42"/>
      <c r="K14" s="40"/>
      <c r="L14" s="40"/>
      <c r="M14" s="40"/>
      <c r="N14" s="44"/>
    </row>
    <row r="15" spans="1:15" s="1" customFormat="1" ht="14.1" customHeight="1" x14ac:dyDescent="0.3">
      <c r="A15" s="148">
        <v>7</v>
      </c>
      <c r="B15" s="65" t="s">
        <v>116</v>
      </c>
      <c r="C15" s="66"/>
      <c r="D15" s="62"/>
      <c r="E15" s="63"/>
      <c r="F15" s="63"/>
      <c r="G15" s="64"/>
      <c r="H15" s="54"/>
      <c r="I15" s="54"/>
      <c r="J15" s="55"/>
      <c r="K15" s="54"/>
      <c r="L15" s="54"/>
      <c r="M15" s="54"/>
      <c r="N15" s="56"/>
    </row>
    <row r="16" spans="1:15" s="1" customFormat="1" ht="14.1" customHeight="1" x14ac:dyDescent="0.3">
      <c r="A16" s="150"/>
      <c r="B16" s="70" t="s">
        <v>115</v>
      </c>
      <c r="C16" s="71"/>
      <c r="D16" s="162" t="s">
        <v>160</v>
      </c>
      <c r="E16" s="163"/>
      <c r="F16" s="163"/>
      <c r="G16" s="164"/>
      <c r="H16" s="40"/>
      <c r="I16" s="40"/>
      <c r="J16" s="42"/>
      <c r="K16" s="40"/>
      <c r="L16" s="40"/>
      <c r="M16" s="40"/>
      <c r="N16" s="44"/>
    </row>
    <row r="17" spans="1:14" s="1" customFormat="1" ht="14.1" customHeight="1" x14ac:dyDescent="0.3">
      <c r="A17" s="148">
        <v>8</v>
      </c>
      <c r="B17" s="65" t="s">
        <v>139</v>
      </c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54"/>
      <c r="N17" s="56"/>
    </row>
    <row r="18" spans="1:14" s="1" customFormat="1" ht="14.1" customHeight="1" x14ac:dyDescent="0.3">
      <c r="A18" s="150"/>
      <c r="B18" s="70" t="s">
        <v>140</v>
      </c>
      <c r="C18" s="71"/>
      <c r="D18" s="162" t="s">
        <v>141</v>
      </c>
      <c r="E18" s="163"/>
      <c r="F18" s="163"/>
      <c r="G18" s="164"/>
      <c r="H18" s="45"/>
      <c r="I18" s="40"/>
      <c r="J18" s="42"/>
      <c r="K18" s="40"/>
      <c r="L18" s="40"/>
      <c r="M18" s="40"/>
      <c r="N18" s="44"/>
    </row>
    <row r="19" spans="1:14" s="1" customFormat="1" ht="14.1" customHeight="1" x14ac:dyDescent="0.3">
      <c r="A19" s="148">
        <v>9</v>
      </c>
      <c r="B19" s="65" t="s">
        <v>159</v>
      </c>
      <c r="C19" s="66"/>
      <c r="D19" s="62"/>
      <c r="E19" s="63"/>
      <c r="F19" s="63"/>
      <c r="G19" s="64"/>
      <c r="H19" s="54"/>
      <c r="I19" s="54"/>
      <c r="J19" s="55"/>
      <c r="K19" s="54"/>
      <c r="L19" s="54"/>
      <c r="M19" s="54"/>
      <c r="N19" s="56"/>
    </row>
    <row r="20" spans="1:14" s="1" customFormat="1" ht="14.1" customHeight="1" x14ac:dyDescent="0.3">
      <c r="A20" s="150"/>
      <c r="B20" s="70" t="s">
        <v>158</v>
      </c>
      <c r="C20" s="71"/>
      <c r="D20" s="162"/>
      <c r="E20" s="163"/>
      <c r="F20" s="163"/>
      <c r="G20" s="164"/>
      <c r="H20" s="40"/>
      <c r="I20" s="40"/>
      <c r="J20" s="42"/>
      <c r="K20" s="40"/>
      <c r="L20" s="40"/>
      <c r="M20" s="40"/>
      <c r="N20" s="44"/>
    </row>
    <row r="21" spans="1:14" s="1" customFormat="1" ht="14.1" customHeight="1" x14ac:dyDescent="0.3">
      <c r="A21" s="148">
        <v>10</v>
      </c>
      <c r="B21" s="65" t="s">
        <v>9</v>
      </c>
      <c r="C21" s="66"/>
      <c r="D21" s="62" t="s">
        <v>72</v>
      </c>
      <c r="E21" s="63"/>
      <c r="F21" s="63"/>
      <c r="G21" s="64"/>
      <c r="H21" s="54">
        <f>SUM(I21)-2.5</f>
        <v>25.5</v>
      </c>
      <c r="I21" s="54">
        <f>SUM(J21)-2.5</f>
        <v>28</v>
      </c>
      <c r="J21" s="55">
        <v>30.5</v>
      </c>
      <c r="K21" s="54">
        <f>SUM(J21)+2</f>
        <v>32.5</v>
      </c>
      <c r="L21" s="54">
        <f t="shared" ref="L21:N21" si="1">SUM(K21)+2</f>
        <v>34.5</v>
      </c>
      <c r="M21" s="54">
        <f t="shared" si="1"/>
        <v>36.5</v>
      </c>
      <c r="N21" s="56">
        <f t="shared" si="1"/>
        <v>38.5</v>
      </c>
    </row>
    <row r="22" spans="1:14" s="1" customFormat="1" ht="14.1" customHeight="1" x14ac:dyDescent="0.3">
      <c r="A22" s="150"/>
      <c r="B22" s="70" t="s">
        <v>543</v>
      </c>
      <c r="C22" s="71"/>
      <c r="D22" s="151" t="s">
        <v>99</v>
      </c>
      <c r="E22" s="152"/>
      <c r="F22" s="152"/>
      <c r="G22" s="153"/>
      <c r="H22" s="40"/>
      <c r="I22" s="40"/>
      <c r="J22" s="42"/>
      <c r="K22" s="40"/>
      <c r="L22" s="40"/>
      <c r="M22" s="40"/>
      <c r="N22" s="44"/>
    </row>
    <row r="23" spans="1:14" s="1" customFormat="1" ht="14.1" customHeight="1" x14ac:dyDescent="0.3">
      <c r="A23" s="148">
        <v>11</v>
      </c>
      <c r="B23" s="65" t="s">
        <v>14</v>
      </c>
      <c r="C23" s="66"/>
      <c r="D23" s="62" t="s">
        <v>15</v>
      </c>
      <c r="E23" s="63"/>
      <c r="F23" s="63"/>
      <c r="G23" s="64"/>
      <c r="H23" s="54">
        <f>SUM(I23)-4.6</f>
        <v>83.800000000000011</v>
      </c>
      <c r="I23" s="54">
        <f>SUM(J23)-4.6</f>
        <v>88.4</v>
      </c>
      <c r="J23" s="55">
        <v>93</v>
      </c>
      <c r="K23" s="54">
        <f>SUM(J23)+4.2</f>
        <v>97.2</v>
      </c>
      <c r="L23" s="54">
        <f>SUM(K23)+4.2</f>
        <v>101.4</v>
      </c>
      <c r="M23" s="54">
        <f>SUM(L23)+4.2</f>
        <v>105.60000000000001</v>
      </c>
      <c r="N23" s="56">
        <f>SUM(M23)+4.2</f>
        <v>109.80000000000001</v>
      </c>
    </row>
    <row r="24" spans="1:14" s="1" customFormat="1" ht="14.1" customHeight="1" x14ac:dyDescent="0.3">
      <c r="A24" s="150"/>
      <c r="B24" s="70" t="s">
        <v>51</v>
      </c>
      <c r="C24" s="71"/>
      <c r="D24" s="46" t="s">
        <v>98</v>
      </c>
      <c r="E24" s="47"/>
      <c r="F24" s="47"/>
      <c r="G24" s="59"/>
      <c r="H24" s="40"/>
      <c r="I24" s="40"/>
      <c r="J24" s="42"/>
      <c r="K24" s="40"/>
      <c r="L24" s="40"/>
      <c r="M24" s="40"/>
      <c r="N24" s="44"/>
    </row>
    <row r="25" spans="1:14" s="1" customFormat="1" ht="14.1" customHeight="1" x14ac:dyDescent="0.3">
      <c r="A25" s="14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/>
      <c r="I25" s="54"/>
      <c r="J25" s="55"/>
      <c r="K25" s="54"/>
      <c r="L25" s="54"/>
      <c r="M25" s="54"/>
      <c r="N25" s="56"/>
    </row>
    <row r="26" spans="1:14" s="1" customFormat="1" ht="14.1" customHeight="1" x14ac:dyDescent="0.3">
      <c r="A26" s="150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0"/>
      <c r="N26" s="44"/>
    </row>
    <row r="27" spans="1:14" s="1" customFormat="1" ht="14.1" customHeight="1" x14ac:dyDescent="0.3">
      <c r="A27" s="14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/>
      <c r="I27" s="54"/>
      <c r="J27" s="55"/>
      <c r="K27" s="54"/>
      <c r="L27" s="54"/>
      <c r="M27" s="54"/>
      <c r="N27" s="56"/>
    </row>
    <row r="28" spans="1:14" s="1" customFormat="1" ht="14.1" customHeight="1" x14ac:dyDescent="0.3">
      <c r="A28" s="150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40"/>
      <c r="N28" s="44"/>
    </row>
    <row r="29" spans="1:14" s="1" customFormat="1" ht="14.1" customHeight="1" x14ac:dyDescent="0.3">
      <c r="A29" s="148">
        <v>14</v>
      </c>
      <c r="B29" s="65" t="s">
        <v>18</v>
      </c>
      <c r="C29" s="66"/>
      <c r="D29" s="62" t="s">
        <v>19</v>
      </c>
      <c r="E29" s="63"/>
      <c r="F29" s="63"/>
      <c r="G29" s="64"/>
      <c r="H29" s="156">
        <f>SUM(I29)-2.6</f>
        <v>-5.2</v>
      </c>
      <c r="I29" s="156">
        <f>SUM(J29)-2.6</f>
        <v>-2.6</v>
      </c>
      <c r="J29" s="154"/>
      <c r="K29" s="156">
        <f>SUM(J29)+2.6</f>
        <v>2.6</v>
      </c>
      <c r="L29" s="156">
        <f t="shared" ref="L29:N29" si="2">SUM(K29)+2.6</f>
        <v>5.2</v>
      </c>
      <c r="M29" s="156">
        <f t="shared" si="2"/>
        <v>7.8000000000000007</v>
      </c>
      <c r="N29" s="158">
        <f t="shared" si="2"/>
        <v>10.4</v>
      </c>
    </row>
    <row r="30" spans="1:14" s="1" customFormat="1" ht="14.1" customHeight="1" x14ac:dyDescent="0.3">
      <c r="A30" s="150"/>
      <c r="B30" s="70" t="s">
        <v>55</v>
      </c>
      <c r="C30" s="71"/>
      <c r="D30" s="151" t="s">
        <v>96</v>
      </c>
      <c r="E30" s="152"/>
      <c r="F30" s="152"/>
      <c r="G30" s="153"/>
      <c r="H30" s="157"/>
      <c r="I30" s="157"/>
      <c r="J30" s="155"/>
      <c r="K30" s="157"/>
      <c r="L30" s="157"/>
      <c r="M30" s="157"/>
      <c r="N30" s="159"/>
    </row>
    <row r="31" spans="1:14" s="1" customFormat="1" ht="14.1" customHeight="1" x14ac:dyDescent="0.3">
      <c r="A31" s="148">
        <v>15</v>
      </c>
      <c r="B31" s="65" t="s">
        <v>20</v>
      </c>
      <c r="C31" s="66"/>
      <c r="D31" s="62" t="s">
        <v>21</v>
      </c>
      <c r="E31" s="63"/>
      <c r="F31" s="63"/>
      <c r="G31" s="64"/>
      <c r="H31" s="54">
        <f>SUM(I31)-1.4</f>
        <v>6.6999999999999993</v>
      </c>
      <c r="I31" s="54">
        <f>SUM(J31)-1.4</f>
        <v>8.1</v>
      </c>
      <c r="J31" s="55">
        <v>9.5</v>
      </c>
      <c r="K31" s="54">
        <f>SUM(J31)+0.3</f>
        <v>9.8000000000000007</v>
      </c>
      <c r="L31" s="54">
        <f>SUM(K31)+0.8</f>
        <v>10.600000000000001</v>
      </c>
      <c r="M31" s="54">
        <f>SUM(L31)+0.8</f>
        <v>11.400000000000002</v>
      </c>
      <c r="N31" s="56">
        <f>SUM(M31)+0.8</f>
        <v>12.200000000000003</v>
      </c>
    </row>
    <row r="32" spans="1:14" s="1" customFormat="1" ht="14.1" customHeight="1" x14ac:dyDescent="0.3">
      <c r="A32" s="150"/>
      <c r="B32" s="70" t="s">
        <v>54</v>
      </c>
      <c r="C32" s="71"/>
      <c r="D32" s="151" t="s">
        <v>95</v>
      </c>
      <c r="E32" s="152"/>
      <c r="F32" s="152"/>
      <c r="G32" s="153"/>
      <c r="H32" s="40"/>
      <c r="I32" s="40"/>
      <c r="J32" s="42"/>
      <c r="K32" s="40"/>
      <c r="L32" s="40"/>
      <c r="M32" s="40"/>
      <c r="N32" s="44"/>
    </row>
    <row r="33" spans="1:14" s="1" customFormat="1" ht="14.1" customHeight="1" x14ac:dyDescent="0.3">
      <c r="A33" s="148">
        <v>16</v>
      </c>
      <c r="B33" s="65" t="s">
        <v>94</v>
      </c>
      <c r="C33" s="66"/>
      <c r="D33" s="62" t="s">
        <v>92</v>
      </c>
      <c r="E33" s="63"/>
      <c r="F33" s="63"/>
      <c r="G33" s="64"/>
      <c r="H33" s="156">
        <f>SUM(I33)-2.2</f>
        <v>-4.4000000000000004</v>
      </c>
      <c r="I33" s="156">
        <f>SUM(J33)-2.2</f>
        <v>-2.2000000000000002</v>
      </c>
      <c r="J33" s="154"/>
      <c r="K33" s="156">
        <f>SUM(J33)+2.3</f>
        <v>2.2999999999999998</v>
      </c>
      <c r="L33" s="156">
        <f>SUM(K33)+2.2</f>
        <v>4.5</v>
      </c>
      <c r="M33" s="156">
        <f>SUM(L33)+2.2</f>
        <v>6.7</v>
      </c>
      <c r="N33" s="158">
        <f>SUM(M33)+2.2</f>
        <v>8.9</v>
      </c>
    </row>
    <row r="34" spans="1:14" s="1" customFormat="1" ht="14.1" customHeight="1" x14ac:dyDescent="0.3">
      <c r="A34" s="150"/>
      <c r="B34" s="70" t="s">
        <v>93</v>
      </c>
      <c r="C34" s="71"/>
      <c r="D34" s="151" t="s">
        <v>92</v>
      </c>
      <c r="E34" s="152"/>
      <c r="F34" s="152"/>
      <c r="G34" s="153"/>
      <c r="H34" s="157"/>
      <c r="I34" s="157"/>
      <c r="J34" s="155"/>
      <c r="K34" s="157"/>
      <c r="L34" s="157"/>
      <c r="M34" s="157"/>
      <c r="N34" s="159"/>
    </row>
    <row r="35" spans="1:14" s="1" customFormat="1" ht="14.1" customHeight="1" x14ac:dyDescent="0.3">
      <c r="A35" s="148">
        <v>17</v>
      </c>
      <c r="B35" s="65" t="s">
        <v>91</v>
      </c>
      <c r="C35" s="66"/>
      <c r="D35" s="62" t="s">
        <v>90</v>
      </c>
      <c r="E35" s="63"/>
      <c r="F35" s="63"/>
      <c r="G35" s="64"/>
      <c r="H35" s="156">
        <f>SUM(I35)-2.9</f>
        <v>-5.8</v>
      </c>
      <c r="I35" s="156">
        <f>SUM(J35)-2.9</f>
        <v>-2.9</v>
      </c>
      <c r="J35" s="154"/>
      <c r="K35" s="156">
        <f>SUM(J35)+3.6</f>
        <v>3.6</v>
      </c>
      <c r="L35" s="156">
        <f>SUM(K35)+3.2</f>
        <v>6.8000000000000007</v>
      </c>
      <c r="M35" s="156">
        <f>SUM(L35)+3.2</f>
        <v>10</v>
      </c>
      <c r="N35" s="158">
        <f>SUM(M35)+3.2</f>
        <v>13.2</v>
      </c>
    </row>
    <row r="36" spans="1:14" s="1" customFormat="1" ht="14.1" customHeight="1" x14ac:dyDescent="0.3">
      <c r="A36" s="150"/>
      <c r="B36" s="70" t="s">
        <v>89</v>
      </c>
      <c r="C36" s="71"/>
      <c r="D36" s="151" t="s">
        <v>130</v>
      </c>
      <c r="E36" s="152"/>
      <c r="F36" s="152"/>
      <c r="G36" s="153"/>
      <c r="H36" s="157"/>
      <c r="I36" s="157"/>
      <c r="J36" s="155"/>
      <c r="K36" s="157"/>
      <c r="L36" s="157"/>
      <c r="M36" s="157"/>
      <c r="N36" s="159"/>
    </row>
    <row r="37" spans="1:14" s="1" customFormat="1" ht="14.1" customHeight="1" x14ac:dyDescent="0.3">
      <c r="A37" s="148">
        <v>18</v>
      </c>
      <c r="B37" s="65" t="s">
        <v>814</v>
      </c>
      <c r="C37" s="66"/>
      <c r="D37" s="62"/>
      <c r="E37" s="63"/>
      <c r="F37" s="63"/>
      <c r="G37" s="64"/>
      <c r="H37" s="54">
        <f>SUM(I37)-1.1</f>
        <v>12.8</v>
      </c>
      <c r="I37" s="54">
        <f>SUM(J37)-1.1</f>
        <v>13.9</v>
      </c>
      <c r="J37" s="55">
        <v>15</v>
      </c>
      <c r="K37" s="54">
        <f>SUM(J37)+0.9</f>
        <v>15.9</v>
      </c>
      <c r="L37" s="54">
        <f>SUM(K37)+0.9</f>
        <v>16.8</v>
      </c>
      <c r="M37" s="54">
        <f>SUM(L37)+0.9</f>
        <v>17.7</v>
      </c>
      <c r="N37" s="56">
        <f>SUM(M37)+0.9</f>
        <v>18.599999999999998</v>
      </c>
    </row>
    <row r="38" spans="1:14" s="1" customFormat="1" ht="14.1" customHeight="1" x14ac:dyDescent="0.3">
      <c r="A38" s="150"/>
      <c r="B38" s="70" t="s">
        <v>815</v>
      </c>
      <c r="C38" s="71"/>
      <c r="D38" s="151"/>
      <c r="E38" s="152"/>
      <c r="F38" s="152"/>
      <c r="G38" s="153"/>
      <c r="H38" s="40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148">
        <v>19</v>
      </c>
      <c r="B39" s="65"/>
      <c r="C39" s="66"/>
      <c r="D39" s="62"/>
      <c r="E39" s="63"/>
      <c r="F39" s="63"/>
      <c r="G39" s="64"/>
      <c r="H39" s="54"/>
      <c r="I39" s="54"/>
      <c r="J39" s="55"/>
      <c r="K39" s="54"/>
      <c r="L39" s="54"/>
      <c r="M39" s="54"/>
      <c r="N39" s="56"/>
    </row>
    <row r="40" spans="1:14" s="1" customFormat="1" ht="14.1" customHeight="1" x14ac:dyDescent="0.3">
      <c r="A40" s="150"/>
      <c r="B40" s="57"/>
      <c r="C40" s="58"/>
      <c r="D40" s="151"/>
      <c r="E40" s="152"/>
      <c r="F40" s="152"/>
      <c r="G40" s="153"/>
      <c r="H40" s="40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148">
        <v>20</v>
      </c>
      <c r="B41" s="65"/>
      <c r="C41" s="66"/>
      <c r="D41" s="61"/>
      <c r="E41" s="61"/>
      <c r="F41" s="61"/>
      <c r="G41" s="61"/>
      <c r="H41" s="54"/>
      <c r="I41" s="54"/>
      <c r="J41" s="55"/>
      <c r="K41" s="54"/>
      <c r="L41" s="54"/>
      <c r="M41" s="54"/>
      <c r="N41" s="56"/>
    </row>
    <row r="42" spans="1:14" s="1" customFormat="1" ht="14.1" customHeight="1" x14ac:dyDescent="0.3">
      <c r="A42" s="150"/>
      <c r="B42" s="105"/>
      <c r="C42" s="105"/>
      <c r="D42" s="51"/>
      <c r="E42" s="52"/>
      <c r="F42" s="52"/>
      <c r="G42" s="53"/>
      <c r="H42" s="40"/>
      <c r="I42" s="40"/>
      <c r="J42" s="42"/>
      <c r="K42" s="40"/>
      <c r="L42" s="40"/>
      <c r="M42" s="40"/>
      <c r="N42" s="44"/>
    </row>
    <row r="43" spans="1:14" s="1" customFormat="1" ht="14.1" customHeight="1" x14ac:dyDescent="0.3">
      <c r="A43" s="148">
        <v>21</v>
      </c>
      <c r="B43" s="65"/>
      <c r="C43" s="66"/>
      <c r="D43" s="61"/>
      <c r="E43" s="61"/>
      <c r="F43" s="61"/>
      <c r="G43" s="61"/>
      <c r="H43" s="54"/>
      <c r="I43" s="54"/>
      <c r="J43" s="55"/>
      <c r="K43" s="54"/>
      <c r="L43" s="54"/>
      <c r="M43" s="54"/>
      <c r="N43" s="56"/>
    </row>
    <row r="44" spans="1:14" s="1" customFormat="1" ht="14.1" customHeight="1" x14ac:dyDescent="0.3">
      <c r="A44" s="150"/>
      <c r="B44" s="105"/>
      <c r="C44" s="105"/>
      <c r="D44" s="51"/>
      <c r="E44" s="52"/>
      <c r="F44" s="52"/>
      <c r="G44" s="53"/>
      <c r="H44" s="40"/>
      <c r="I44" s="40"/>
      <c r="J44" s="42"/>
      <c r="K44" s="40"/>
      <c r="L44" s="40"/>
      <c r="M44" s="40"/>
      <c r="N44" s="44"/>
    </row>
    <row r="45" spans="1:14" s="1" customFormat="1" ht="14.1" customHeight="1" x14ac:dyDescent="0.3">
      <c r="A45" s="148">
        <v>22</v>
      </c>
      <c r="B45" s="65"/>
      <c r="C45" s="66"/>
      <c r="D45" s="61"/>
      <c r="E45" s="61"/>
      <c r="F45" s="61"/>
      <c r="G45" s="61"/>
      <c r="H45" s="54"/>
      <c r="I45" s="54"/>
      <c r="J45" s="55"/>
      <c r="K45" s="54"/>
      <c r="L45" s="54"/>
      <c r="M45" s="54"/>
      <c r="N45" s="56"/>
    </row>
    <row r="46" spans="1:14" ht="14.1" customHeight="1" thickBot="1" x14ac:dyDescent="0.35">
      <c r="A46" s="149"/>
      <c r="B46" s="141"/>
      <c r="C46" s="141"/>
      <c r="D46" s="98"/>
      <c r="E46" s="99"/>
      <c r="F46" s="99"/>
      <c r="G46" s="100"/>
      <c r="H46" s="91"/>
      <c r="I46" s="91"/>
      <c r="J46" s="107"/>
      <c r="K46" s="91"/>
      <c r="L46" s="91"/>
      <c r="M46" s="91"/>
      <c r="N46" s="147"/>
    </row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67">
    <mergeCell ref="N41:N42"/>
    <mergeCell ref="N43:N44"/>
    <mergeCell ref="N45:N46"/>
    <mergeCell ref="A1:N1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3F18-503C-4B21-B0E1-94AF3B55D4F7}">
  <sheetPr>
    <tabColor rgb="FFFF0000"/>
    <pageSetUpPr fitToPage="1"/>
  </sheetPr>
  <dimension ref="A1:M66"/>
  <sheetViews>
    <sheetView topLeftCell="A7" zoomScale="110" zoomScaleNormal="110" workbookViewId="0">
      <selection activeCell="I13" sqref="I13:I14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6" t="s">
        <v>59</v>
      </c>
      <c r="B2" s="204" t="s">
        <v>60</v>
      </c>
      <c r="C2" s="204"/>
      <c r="D2" s="204" t="s">
        <v>61</v>
      </c>
      <c r="E2" s="204"/>
      <c r="F2" s="204"/>
      <c r="G2" s="204"/>
      <c r="H2" s="27" t="s">
        <v>62</v>
      </c>
      <c r="I2" s="27" t="s">
        <v>63</v>
      </c>
      <c r="J2" s="28" t="s">
        <v>64</v>
      </c>
      <c r="K2" s="27" t="s">
        <v>65</v>
      </c>
      <c r="L2" s="27" t="s">
        <v>145</v>
      </c>
      <c r="M2" s="27" t="s">
        <v>144</v>
      </c>
    </row>
    <row r="3" spans="1:13" s="1" customFormat="1" ht="14.1" customHeight="1" x14ac:dyDescent="0.3">
      <c r="A3" s="205">
        <v>1</v>
      </c>
      <c r="B3" s="174" t="s">
        <v>119</v>
      </c>
      <c r="C3" s="175"/>
      <c r="D3" s="38" t="s">
        <v>70</v>
      </c>
      <c r="E3" s="176"/>
      <c r="F3" s="176"/>
      <c r="G3" s="177"/>
      <c r="H3" s="36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48"/>
      <c r="B4" s="70" t="s">
        <v>87</v>
      </c>
      <c r="C4" s="71"/>
      <c r="D4" s="151" t="s">
        <v>71</v>
      </c>
      <c r="E4" s="152"/>
      <c r="F4" s="152"/>
      <c r="G4" s="153"/>
      <c r="H4" s="45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5" t="s">
        <v>127</v>
      </c>
      <c r="C5" s="66"/>
      <c r="D5" s="51"/>
      <c r="E5" s="52"/>
      <c r="F5" s="52"/>
      <c r="G5" s="53"/>
      <c r="H5" s="54">
        <f>SUM(I5)-4.5</f>
        <v>67</v>
      </c>
      <c r="I5" s="54">
        <f>SUM(J5)-4.5</f>
        <v>71.5</v>
      </c>
      <c r="J5" s="82">
        <v>76</v>
      </c>
      <c r="K5" s="81">
        <f>SUM(J5)+4.5</f>
        <v>80.5</v>
      </c>
      <c r="L5" s="81">
        <f t="shared" ref="L5:M5" si="0">SUM(K5)+4.5</f>
        <v>85</v>
      </c>
      <c r="M5" s="83">
        <f t="shared" si="0"/>
        <v>89.5</v>
      </c>
    </row>
    <row r="6" spans="1:13" s="1" customFormat="1" ht="14.1" customHeight="1" x14ac:dyDescent="0.3">
      <c r="A6" s="48"/>
      <c r="B6" s="70" t="s">
        <v>128</v>
      </c>
      <c r="C6" s="71"/>
      <c r="D6" s="151"/>
      <c r="E6" s="152"/>
      <c r="F6" s="152"/>
      <c r="G6" s="153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5" t="s">
        <v>11</v>
      </c>
      <c r="C7" s="66"/>
      <c r="D7" s="62" t="s">
        <v>136</v>
      </c>
      <c r="E7" s="63"/>
      <c r="F7" s="63"/>
      <c r="G7" s="64"/>
      <c r="H7" s="54">
        <f>SUM(I7)-5</f>
        <v>71.7</v>
      </c>
      <c r="I7" s="54">
        <f>SUM(J7)-5</f>
        <v>76.7</v>
      </c>
      <c r="J7" s="55">
        <v>81.7</v>
      </c>
      <c r="K7" s="54">
        <f>SUM(J7)+5</f>
        <v>86.7</v>
      </c>
      <c r="L7" s="54">
        <f t="shared" ref="L7:M7" si="1">SUM(K7)+5</f>
        <v>91.7</v>
      </c>
      <c r="M7" s="56">
        <f t="shared" si="1"/>
        <v>96.7</v>
      </c>
    </row>
    <row r="8" spans="1:13" s="1" customFormat="1" ht="14.1" customHeight="1" x14ac:dyDescent="0.3">
      <c r="A8" s="48"/>
      <c r="B8" s="70" t="s">
        <v>49</v>
      </c>
      <c r="C8" s="71"/>
      <c r="D8" s="151" t="s">
        <v>100</v>
      </c>
      <c r="E8" s="152"/>
      <c r="F8" s="152"/>
      <c r="G8" s="153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5" t="s">
        <v>116</v>
      </c>
      <c r="C9" s="66"/>
      <c r="D9" s="62"/>
      <c r="E9" s="63"/>
      <c r="F9" s="63"/>
      <c r="G9" s="64"/>
      <c r="H9" s="60">
        <f>SUM(I9)-0.7</f>
        <v>13.8</v>
      </c>
      <c r="I9" s="54">
        <f>SUM(J9)-0.7</f>
        <v>14.5</v>
      </c>
      <c r="J9" s="55">
        <v>15.2</v>
      </c>
      <c r="K9" s="54">
        <f>SUM(J9)+1.2</f>
        <v>16.399999999999999</v>
      </c>
      <c r="L9" s="54">
        <f>SUM(K9)+0.7</f>
        <v>17.099999999999998</v>
      </c>
      <c r="M9" s="56">
        <f>SUM(L9)+0.7</f>
        <v>17.799999999999997</v>
      </c>
    </row>
    <row r="10" spans="1:13" s="1" customFormat="1" ht="14.1" customHeight="1" x14ac:dyDescent="0.3">
      <c r="A10" s="48"/>
      <c r="B10" s="70" t="s">
        <v>115</v>
      </c>
      <c r="C10" s="71"/>
      <c r="D10" s="162" t="s">
        <v>131</v>
      </c>
      <c r="E10" s="163"/>
      <c r="F10" s="163"/>
      <c r="G10" s="164"/>
      <c r="H10" s="45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5" t="s">
        <v>139</v>
      </c>
      <c r="C11" s="66"/>
      <c r="D11" s="62"/>
      <c r="E11" s="63"/>
      <c r="F11" s="63"/>
      <c r="G11" s="64"/>
      <c r="H11" s="60"/>
      <c r="I11" s="54"/>
      <c r="J11" s="55"/>
      <c r="K11" s="54"/>
      <c r="L11" s="54"/>
      <c r="M11" s="56"/>
    </row>
    <row r="12" spans="1:13" s="1" customFormat="1" ht="14.1" customHeight="1" x14ac:dyDescent="0.3">
      <c r="A12" s="48"/>
      <c r="B12" s="70" t="s">
        <v>140</v>
      </c>
      <c r="C12" s="71"/>
      <c r="D12" s="162" t="s">
        <v>141</v>
      </c>
      <c r="E12" s="163"/>
      <c r="F12" s="163"/>
      <c r="G12" s="164"/>
      <c r="H12" s="45"/>
      <c r="I12" s="40"/>
      <c r="J12" s="42"/>
      <c r="K12" s="40"/>
      <c r="L12" s="40"/>
      <c r="M12" s="44"/>
    </row>
    <row r="13" spans="1:13" s="1" customFormat="1" ht="14.1" customHeight="1" x14ac:dyDescent="0.3">
      <c r="A13" s="48">
        <v>6</v>
      </c>
      <c r="B13" s="65" t="s">
        <v>9</v>
      </c>
      <c r="C13" s="66"/>
      <c r="D13" s="62" t="s">
        <v>72</v>
      </c>
      <c r="E13" s="63"/>
      <c r="F13" s="63"/>
      <c r="G13" s="64"/>
      <c r="H13" s="54">
        <f>SUM(I13)-2.5</f>
        <v>26</v>
      </c>
      <c r="I13" s="54">
        <f>SUM(J13)-2.5</f>
        <v>28.5</v>
      </c>
      <c r="J13" s="55">
        <v>31</v>
      </c>
      <c r="K13" s="54">
        <f>SUM(J13)+2</f>
        <v>33</v>
      </c>
      <c r="L13" s="54">
        <f t="shared" ref="L13:M13" si="2">SUM(K13)+2</f>
        <v>35</v>
      </c>
      <c r="M13" s="56">
        <f t="shared" si="2"/>
        <v>37</v>
      </c>
    </row>
    <row r="14" spans="1:13" s="1" customFormat="1" ht="14.1" customHeight="1" x14ac:dyDescent="0.3">
      <c r="A14" s="48"/>
      <c r="B14" s="70" t="s">
        <v>50</v>
      </c>
      <c r="C14" s="71"/>
      <c r="D14" s="151" t="s">
        <v>99</v>
      </c>
      <c r="E14" s="152"/>
      <c r="F14" s="152"/>
      <c r="G14" s="153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48">
        <v>7</v>
      </c>
      <c r="B15" s="65" t="s">
        <v>14</v>
      </c>
      <c r="C15" s="66"/>
      <c r="D15" s="62" t="s">
        <v>15</v>
      </c>
      <c r="E15" s="63"/>
      <c r="F15" s="63"/>
      <c r="G15" s="64"/>
      <c r="H15" s="54">
        <f>SUM(I15)-2.6</f>
        <v>45.8</v>
      </c>
      <c r="I15" s="54">
        <f>SUM(J15)-2.6</f>
        <v>48.4</v>
      </c>
      <c r="J15" s="55">
        <v>51</v>
      </c>
      <c r="K15" s="54">
        <f>SUM(J15)+2.4</f>
        <v>53.4</v>
      </c>
      <c r="L15" s="54">
        <f>SUM(K15)+2.4</f>
        <v>55.8</v>
      </c>
      <c r="M15" s="56">
        <f>SUM(L15)+2.4</f>
        <v>58.199999999999996</v>
      </c>
    </row>
    <row r="16" spans="1:13" s="1" customFormat="1" ht="14.1" customHeight="1" x14ac:dyDescent="0.3">
      <c r="A16" s="48"/>
      <c r="B16" s="70" t="s">
        <v>51</v>
      </c>
      <c r="C16" s="71"/>
      <c r="D16" s="46" t="s">
        <v>98</v>
      </c>
      <c r="E16" s="47"/>
      <c r="F16" s="47"/>
      <c r="G16" s="59"/>
      <c r="H16" s="40"/>
      <c r="I16" s="40"/>
      <c r="J16" s="42"/>
      <c r="K16" s="40"/>
      <c r="L16" s="40"/>
      <c r="M16" s="44"/>
    </row>
    <row r="17" spans="1:13" s="1" customFormat="1" ht="14.1" customHeight="1" x14ac:dyDescent="0.3">
      <c r="A17" s="48">
        <v>8</v>
      </c>
      <c r="B17" s="65" t="s">
        <v>16</v>
      </c>
      <c r="C17" s="66"/>
      <c r="D17" s="62" t="s">
        <v>13</v>
      </c>
      <c r="E17" s="63"/>
      <c r="F17" s="63"/>
      <c r="G17" s="64"/>
      <c r="H17" s="60">
        <f>SUM(I17)-1.1</f>
        <v>21.599999999999998</v>
      </c>
      <c r="I17" s="54">
        <f>SUM(J17)-1.1</f>
        <v>22.7</v>
      </c>
      <c r="J17" s="55">
        <v>23.8</v>
      </c>
      <c r="K17" s="54">
        <f>SUM(J17)+1.6</f>
        <v>25.400000000000002</v>
      </c>
      <c r="L17" s="54">
        <f>SUM(K17)+1.1</f>
        <v>26.500000000000004</v>
      </c>
      <c r="M17" s="56">
        <f>SUM(L17)+1.1</f>
        <v>27.600000000000005</v>
      </c>
    </row>
    <row r="18" spans="1:13" s="1" customFormat="1" ht="14.1" customHeight="1" x14ac:dyDescent="0.3">
      <c r="A18" s="48"/>
      <c r="B18" s="70" t="s">
        <v>57</v>
      </c>
      <c r="C18" s="71"/>
      <c r="D18" s="151" t="s">
        <v>97</v>
      </c>
      <c r="E18" s="152"/>
      <c r="F18" s="152"/>
      <c r="G18" s="153"/>
      <c r="H18" s="45"/>
      <c r="I18" s="40"/>
      <c r="J18" s="42"/>
      <c r="K18" s="40"/>
      <c r="L18" s="40"/>
      <c r="M18" s="44"/>
    </row>
    <row r="19" spans="1:13" s="1" customFormat="1" ht="14.1" customHeight="1" x14ac:dyDescent="0.3">
      <c r="A19" s="48">
        <v>9</v>
      </c>
      <c r="B19" s="65" t="s">
        <v>17</v>
      </c>
      <c r="C19" s="66"/>
      <c r="D19" s="62" t="s">
        <v>13</v>
      </c>
      <c r="E19" s="63"/>
      <c r="F19" s="63"/>
      <c r="G19" s="64"/>
      <c r="H19" s="60">
        <f>SUM(I19)-1.3</f>
        <v>28.4</v>
      </c>
      <c r="I19" s="54">
        <f>SUM(J19)-1.3</f>
        <v>29.7</v>
      </c>
      <c r="J19" s="55">
        <v>31</v>
      </c>
      <c r="K19" s="54">
        <f>SUM(J19)+1.8</f>
        <v>32.799999999999997</v>
      </c>
      <c r="L19" s="54">
        <f>SUM(K19)+1.3</f>
        <v>34.099999999999994</v>
      </c>
      <c r="M19" s="56">
        <f>SUM(L19)+1.3</f>
        <v>35.399999999999991</v>
      </c>
    </row>
    <row r="20" spans="1:13" s="1" customFormat="1" ht="14.1" customHeight="1" x14ac:dyDescent="0.3">
      <c r="A20" s="48"/>
      <c r="B20" s="70" t="s">
        <v>56</v>
      </c>
      <c r="C20" s="71"/>
      <c r="D20" s="151" t="s">
        <v>97</v>
      </c>
      <c r="E20" s="152"/>
      <c r="F20" s="152"/>
      <c r="G20" s="153"/>
      <c r="H20" s="45"/>
      <c r="I20" s="40"/>
      <c r="J20" s="42"/>
      <c r="K20" s="40"/>
      <c r="L20" s="40"/>
      <c r="M20" s="44"/>
    </row>
    <row r="21" spans="1:13" s="1" customFormat="1" ht="14.1" customHeight="1" x14ac:dyDescent="0.3">
      <c r="A21" s="48">
        <v>10</v>
      </c>
      <c r="B21" s="65" t="s">
        <v>18</v>
      </c>
      <c r="C21" s="66"/>
      <c r="D21" s="62" t="s">
        <v>19</v>
      </c>
      <c r="E21" s="63"/>
      <c r="F21" s="63"/>
      <c r="G21" s="64"/>
      <c r="H21" s="54"/>
      <c r="I21" s="54"/>
      <c r="J21" s="55"/>
      <c r="K21" s="54"/>
      <c r="L21" s="54"/>
      <c r="M21" s="56"/>
    </row>
    <row r="22" spans="1:13" s="1" customFormat="1" ht="14.1" customHeight="1" x14ac:dyDescent="0.3">
      <c r="A22" s="48"/>
      <c r="B22" s="70" t="s">
        <v>55</v>
      </c>
      <c r="C22" s="71"/>
      <c r="D22" s="151" t="s">
        <v>96</v>
      </c>
      <c r="E22" s="152"/>
      <c r="F22" s="152"/>
      <c r="G22" s="153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48">
        <v>11</v>
      </c>
      <c r="B23" s="65" t="s">
        <v>20</v>
      </c>
      <c r="C23" s="66"/>
      <c r="D23" s="62" t="s">
        <v>21</v>
      </c>
      <c r="E23" s="63"/>
      <c r="F23" s="63"/>
      <c r="G23" s="64"/>
      <c r="H23" s="54"/>
      <c r="I23" s="54"/>
      <c r="J23" s="55"/>
      <c r="K23" s="54"/>
      <c r="L23" s="54"/>
      <c r="M23" s="56"/>
    </row>
    <row r="24" spans="1:13" s="1" customFormat="1" ht="14.1" customHeight="1" x14ac:dyDescent="0.3">
      <c r="A24" s="48"/>
      <c r="B24" s="70" t="s">
        <v>54</v>
      </c>
      <c r="C24" s="71"/>
      <c r="D24" s="151" t="s">
        <v>95</v>
      </c>
      <c r="E24" s="152"/>
      <c r="F24" s="152"/>
      <c r="G24" s="153"/>
      <c r="H24" s="40"/>
      <c r="I24" s="40"/>
      <c r="J24" s="42"/>
      <c r="K24" s="40"/>
      <c r="L24" s="40"/>
      <c r="M24" s="44"/>
    </row>
    <row r="25" spans="1:13" s="1" customFormat="1" ht="14.1" customHeight="1" x14ac:dyDescent="0.3">
      <c r="A25" s="48">
        <v>12</v>
      </c>
      <c r="B25" s="65" t="s">
        <v>94</v>
      </c>
      <c r="C25" s="66"/>
      <c r="D25" s="62" t="s">
        <v>92</v>
      </c>
      <c r="E25" s="63"/>
      <c r="F25" s="63"/>
      <c r="G25" s="64"/>
      <c r="H25" s="54"/>
      <c r="I25" s="54"/>
      <c r="J25" s="55"/>
      <c r="K25" s="54"/>
      <c r="L25" s="54"/>
      <c r="M25" s="56"/>
    </row>
    <row r="26" spans="1:13" s="1" customFormat="1" ht="14.1" customHeight="1" x14ac:dyDescent="0.3">
      <c r="A26" s="48"/>
      <c r="B26" s="70" t="s">
        <v>93</v>
      </c>
      <c r="C26" s="71"/>
      <c r="D26" s="151" t="s">
        <v>92</v>
      </c>
      <c r="E26" s="152"/>
      <c r="F26" s="152"/>
      <c r="G26" s="153"/>
      <c r="H26" s="40"/>
      <c r="I26" s="40"/>
      <c r="J26" s="42"/>
      <c r="K26" s="40"/>
      <c r="L26" s="40"/>
      <c r="M26" s="44"/>
    </row>
    <row r="27" spans="1:13" s="1" customFormat="1" ht="14.1" customHeight="1" x14ac:dyDescent="0.3">
      <c r="A27" s="48">
        <v>13</v>
      </c>
      <c r="B27" s="65" t="s">
        <v>91</v>
      </c>
      <c r="C27" s="66"/>
      <c r="D27" s="62" t="s">
        <v>90</v>
      </c>
      <c r="E27" s="63"/>
      <c r="F27" s="63"/>
      <c r="G27" s="64"/>
      <c r="H27" s="54"/>
      <c r="I27" s="54"/>
      <c r="J27" s="55"/>
      <c r="K27" s="54"/>
      <c r="L27" s="54"/>
      <c r="M27" s="56"/>
    </row>
    <row r="28" spans="1:13" s="1" customFormat="1" ht="14.1" customHeight="1" x14ac:dyDescent="0.3">
      <c r="A28" s="48"/>
      <c r="B28" s="70" t="s">
        <v>89</v>
      </c>
      <c r="C28" s="71"/>
      <c r="D28" s="151" t="s">
        <v>130</v>
      </c>
      <c r="E28" s="152"/>
      <c r="F28" s="152"/>
      <c r="G28" s="153"/>
      <c r="H28" s="40"/>
      <c r="I28" s="40"/>
      <c r="J28" s="42"/>
      <c r="K28" s="40"/>
      <c r="L28" s="40"/>
      <c r="M28" s="44"/>
    </row>
    <row r="29" spans="1:13" s="1" customFormat="1" ht="14.1" customHeight="1" x14ac:dyDescent="0.3">
      <c r="A29" s="48">
        <v>14</v>
      </c>
      <c r="B29" s="65" t="s">
        <v>114</v>
      </c>
      <c r="C29" s="66"/>
      <c r="D29" s="62" t="s">
        <v>22</v>
      </c>
      <c r="E29" s="63"/>
      <c r="F29" s="63"/>
      <c r="G29" s="64"/>
      <c r="H29" s="54">
        <f>SUM(I29)-0.3</f>
        <v>5.8000000000000007</v>
      </c>
      <c r="I29" s="54">
        <f>SUM(J29)-0.3</f>
        <v>6.1000000000000005</v>
      </c>
      <c r="J29" s="67">
        <v>6.4</v>
      </c>
      <c r="K29" s="68">
        <f>SUM(J29)+0.3</f>
        <v>6.7</v>
      </c>
      <c r="L29" s="68">
        <f>SUM(K29)+0.3</f>
        <v>7</v>
      </c>
      <c r="M29" s="69">
        <f>SUM(L29)+0.3</f>
        <v>7.3</v>
      </c>
    </row>
    <row r="30" spans="1:13" s="1" customFormat="1" ht="14.1" customHeight="1" x14ac:dyDescent="0.3">
      <c r="A30" s="48"/>
      <c r="B30" s="70" t="s">
        <v>53</v>
      </c>
      <c r="C30" s="71"/>
      <c r="D30" s="151" t="s">
        <v>113</v>
      </c>
      <c r="E30" s="152"/>
      <c r="F30" s="152"/>
      <c r="G30" s="153"/>
      <c r="H30" s="40"/>
      <c r="I30" s="40"/>
      <c r="J30" s="67"/>
      <c r="K30" s="68"/>
      <c r="L30" s="68"/>
      <c r="M30" s="69"/>
    </row>
    <row r="31" spans="1:13" s="1" customFormat="1" ht="14.1" customHeight="1" x14ac:dyDescent="0.3">
      <c r="A31" s="48">
        <v>15</v>
      </c>
      <c r="B31" s="65" t="s">
        <v>112</v>
      </c>
      <c r="C31" s="66"/>
      <c r="D31" s="62" t="s">
        <v>23</v>
      </c>
      <c r="E31" s="63"/>
      <c r="F31" s="63"/>
      <c r="G31" s="64"/>
      <c r="H31" s="54">
        <f>SUM(I31)-0.5</f>
        <v>8.6</v>
      </c>
      <c r="I31" s="54">
        <f>SUM(J31)-0.5</f>
        <v>9.1</v>
      </c>
      <c r="J31" s="67">
        <v>9.6</v>
      </c>
      <c r="K31" s="68">
        <f>SUM(J31)+0.5</f>
        <v>10.1</v>
      </c>
      <c r="L31" s="68">
        <f t="shared" ref="L31:M31" si="3">SUM(K31)+0.5</f>
        <v>10.6</v>
      </c>
      <c r="M31" s="69">
        <f t="shared" si="3"/>
        <v>11.1</v>
      </c>
    </row>
    <row r="32" spans="1:13" s="1" customFormat="1" ht="14.1" customHeight="1" x14ac:dyDescent="0.3">
      <c r="A32" s="48"/>
      <c r="B32" s="70" t="s">
        <v>52</v>
      </c>
      <c r="C32" s="71"/>
      <c r="D32" s="151" t="s">
        <v>111</v>
      </c>
      <c r="E32" s="152"/>
      <c r="F32" s="152"/>
      <c r="G32" s="153"/>
      <c r="H32" s="40"/>
      <c r="I32" s="40"/>
      <c r="J32" s="67"/>
      <c r="K32" s="68"/>
      <c r="L32" s="68"/>
      <c r="M32" s="69"/>
    </row>
    <row r="33" spans="1:13" s="1" customFormat="1" ht="14.1" customHeight="1" x14ac:dyDescent="0.3">
      <c r="A33" s="48">
        <v>16</v>
      </c>
      <c r="B33" s="65" t="s">
        <v>498</v>
      </c>
      <c r="C33" s="66"/>
      <c r="D33" s="61"/>
      <c r="E33" s="61"/>
      <c r="F33" s="61"/>
      <c r="G33" s="61"/>
      <c r="H33" s="54">
        <f>SUM(I33)-0.5</f>
        <v>9</v>
      </c>
      <c r="I33" s="54">
        <f>SUM(J33)-0.5</f>
        <v>9.5</v>
      </c>
      <c r="J33" s="55">
        <v>10</v>
      </c>
      <c r="K33" s="54">
        <f>SUM(J33)+0.5</f>
        <v>10.5</v>
      </c>
      <c r="L33" s="54">
        <f t="shared" ref="L33:M33" si="4">SUM(K33)+0.5</f>
        <v>11</v>
      </c>
      <c r="M33" s="56">
        <f t="shared" si="4"/>
        <v>11.5</v>
      </c>
    </row>
    <row r="34" spans="1:13" s="1" customFormat="1" ht="14.1" customHeight="1" x14ac:dyDescent="0.3">
      <c r="A34" s="48"/>
      <c r="B34" s="57" t="s">
        <v>499</v>
      </c>
      <c r="C34" s="58"/>
      <c r="D34" s="51" t="s">
        <v>644</v>
      </c>
      <c r="E34" s="52"/>
      <c r="F34" s="52"/>
      <c r="G34" s="53"/>
      <c r="H34" s="81"/>
      <c r="I34" s="81"/>
      <c r="J34" s="82"/>
      <c r="K34" s="81"/>
      <c r="L34" s="81"/>
      <c r="M34" s="83"/>
    </row>
    <row r="35" spans="1:13" s="1" customFormat="1" ht="14.1" customHeight="1" x14ac:dyDescent="0.3">
      <c r="A35" s="48">
        <v>17</v>
      </c>
      <c r="B35" s="65" t="s">
        <v>500</v>
      </c>
      <c r="C35" s="66"/>
      <c r="D35" s="61"/>
      <c r="E35" s="61"/>
      <c r="F35" s="61"/>
      <c r="G35" s="61"/>
      <c r="H35" s="54">
        <f>SUM(I35)-0.5</f>
        <v>8.5</v>
      </c>
      <c r="I35" s="54">
        <f>SUM(J35)-0.5</f>
        <v>9</v>
      </c>
      <c r="J35" s="55">
        <v>9.5</v>
      </c>
      <c r="K35" s="54">
        <f>SUM(J35)+0.5</f>
        <v>10</v>
      </c>
      <c r="L35" s="54">
        <f t="shared" ref="L35:M35" si="5">SUM(K35)+0.5</f>
        <v>10.5</v>
      </c>
      <c r="M35" s="56">
        <f t="shared" si="5"/>
        <v>11</v>
      </c>
    </row>
    <row r="36" spans="1:13" s="1" customFormat="1" ht="14.1" customHeight="1" x14ac:dyDescent="0.3">
      <c r="A36" s="48"/>
      <c r="B36" s="57" t="s">
        <v>501</v>
      </c>
      <c r="C36" s="58"/>
      <c r="D36" s="46"/>
      <c r="E36" s="47"/>
      <c r="F36" s="47"/>
      <c r="G36" s="59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48">
        <v>18</v>
      </c>
      <c r="B37" s="65"/>
      <c r="C37" s="66"/>
      <c r="D37" s="61"/>
      <c r="E37" s="61"/>
      <c r="F37" s="61"/>
      <c r="G37" s="61"/>
      <c r="H37" s="54"/>
      <c r="I37" s="54"/>
      <c r="J37" s="67"/>
      <c r="K37" s="68"/>
      <c r="L37" s="68"/>
      <c r="M37" s="69"/>
    </row>
    <row r="38" spans="1:13" s="1" customFormat="1" ht="14.1" customHeight="1" thickBot="1" x14ac:dyDescent="0.35">
      <c r="A38" s="87"/>
      <c r="B38" s="141"/>
      <c r="C38" s="141"/>
      <c r="D38" s="98"/>
      <c r="E38" s="99"/>
      <c r="F38" s="99"/>
      <c r="G38" s="100"/>
      <c r="H38" s="91"/>
      <c r="I38" s="91"/>
      <c r="J38" s="92"/>
      <c r="K38" s="93"/>
      <c r="L38" s="93"/>
      <c r="M38" s="121"/>
    </row>
    <row r="39" spans="1:13" s="1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1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1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s="1" customFormat="1" ht="14.1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s="1" customFormat="1" ht="14.1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s="1" customFormat="1" ht="14.1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s="1" customFormat="1" ht="14.1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1" customFormat="1" ht="14.1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1" customFormat="1" ht="14.1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ht="14.1" customHeight="1" x14ac:dyDescent="0.3"/>
    <row r="66" ht="14.1" customHeight="1" x14ac:dyDescent="0.3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J5:J6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A1:M1"/>
    <mergeCell ref="B2:C2"/>
    <mergeCell ref="D2:G2"/>
    <mergeCell ref="J3:J4"/>
    <mergeCell ref="K3:K4"/>
    <mergeCell ref="L3:L4"/>
    <mergeCell ref="M3:M4"/>
    <mergeCell ref="B4:C4"/>
    <mergeCell ref="D4:G4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E7A7-1C79-4269-8A20-2567D47D3E61}">
  <sheetPr codeName="Sheet37">
    <tabColor rgb="FFFF0000"/>
    <pageSetUpPr fitToPage="1"/>
  </sheetPr>
  <dimension ref="A1:N66"/>
  <sheetViews>
    <sheetView topLeftCell="A7" zoomScale="110" zoomScaleNormal="110" workbookViewId="0">
      <selection activeCell="I33" sqref="I33:I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190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1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120">
        <f>SUM(L3)+2.5</f>
        <v>47.5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22.2</v>
      </c>
      <c r="I5" s="54">
        <f>SUM(J5)-1.8</f>
        <v>24</v>
      </c>
      <c r="J5" s="55">
        <v>25.8</v>
      </c>
      <c r="K5" s="54">
        <f>SUM(J5)+1.6</f>
        <v>27.400000000000002</v>
      </c>
      <c r="L5" s="54">
        <f t="shared" ref="L5:M5" si="0">SUM(K5)+1.6</f>
        <v>29.000000000000004</v>
      </c>
      <c r="M5" s="101">
        <f t="shared" si="0"/>
        <v>30.600000000000005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101">
        <f>SUM(L7)+2</f>
        <v>40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4" s="1" customFormat="1" ht="14.1" customHeight="1" x14ac:dyDescent="0.3">
      <c r="A9" s="48">
        <v>4</v>
      </c>
      <c r="B9" s="65" t="s">
        <v>191</v>
      </c>
      <c r="C9" s="66"/>
      <c r="D9" s="62" t="s">
        <v>192</v>
      </c>
      <c r="E9" s="63"/>
      <c r="F9" s="63"/>
      <c r="G9" s="64"/>
      <c r="H9" s="54">
        <f>SUM(I9)-2.25</f>
        <v>30.5</v>
      </c>
      <c r="I9" s="54">
        <f>SUM(J9)-2.25</f>
        <v>32.75</v>
      </c>
      <c r="J9" s="55">
        <v>35</v>
      </c>
      <c r="K9" s="54">
        <f>SUM(J9)+2</f>
        <v>37</v>
      </c>
      <c r="L9" s="54">
        <f>SUM(K9)+2</f>
        <v>39</v>
      </c>
      <c r="M9" s="101">
        <f>SUM(L9)+2</f>
        <v>41</v>
      </c>
    </row>
    <row r="10" spans="1:14" s="1" customFormat="1" ht="14.1" customHeight="1" x14ac:dyDescent="0.3">
      <c r="A10" s="48"/>
      <c r="B10" s="57" t="s">
        <v>193</v>
      </c>
      <c r="C10" s="58"/>
      <c r="D10" s="46" t="s">
        <v>194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13.799999999999999</v>
      </c>
      <c r="I11" s="60">
        <f>SUM(J11)-0.8</f>
        <v>14.6</v>
      </c>
      <c r="J11" s="132">
        <v>15.4</v>
      </c>
      <c r="K11" s="130">
        <f>SUM(J11)+0.8</f>
        <v>16.2</v>
      </c>
      <c r="L11" s="130">
        <f>SUM(K11)+0.8</f>
        <v>17</v>
      </c>
      <c r="M11" s="94">
        <f>SUM(L11)+0.8</f>
        <v>17.8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94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</v>
      </c>
      <c r="I13" s="54">
        <f>SUM(J13)-0.6</f>
        <v>13.6</v>
      </c>
      <c r="J13" s="67">
        <v>14.2</v>
      </c>
      <c r="K13" s="68">
        <f>SUM(J13)+0.6</f>
        <v>14.799999999999999</v>
      </c>
      <c r="L13" s="68">
        <f>SUM(K13)+0.6</f>
        <v>15.399999999999999</v>
      </c>
      <c r="M13" s="94">
        <f>SUM(L13)+0.6</f>
        <v>15.999999999999998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94">
        <f>SUM(L15)+0.3</f>
        <v>7.3999999999999995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33.699999999999996</v>
      </c>
      <c r="I17" s="54">
        <f>SUM(J17)-1.6</f>
        <v>35.299999999999997</v>
      </c>
      <c r="J17" s="67">
        <v>36.9</v>
      </c>
      <c r="K17" s="68">
        <f>SUM(J17)+1.6</f>
        <v>38.5</v>
      </c>
      <c r="L17" s="68">
        <f>SUM(K17)+1.6</f>
        <v>40.1</v>
      </c>
      <c r="M17" s="94">
        <f>SUM(L17)+1.6</f>
        <v>41.7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101"/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197</v>
      </c>
      <c r="C25" s="66"/>
      <c r="D25" s="88"/>
      <c r="E25" s="89"/>
      <c r="F25" s="89"/>
      <c r="G25" s="90"/>
      <c r="H25" s="54">
        <f>SUM(I25)-1.1</f>
        <v>13.4</v>
      </c>
      <c r="I25" s="54">
        <f>SUM(J25)-1.1</f>
        <v>14.5</v>
      </c>
      <c r="J25" s="67">
        <v>15.6</v>
      </c>
      <c r="K25" s="68">
        <f>SUM(J25)+1</f>
        <v>16.600000000000001</v>
      </c>
      <c r="L25" s="68">
        <f t="shared" ref="L25:M25" si="1">SUM(K25)+1</f>
        <v>17.600000000000001</v>
      </c>
      <c r="M25" s="94">
        <f t="shared" si="1"/>
        <v>18.600000000000001</v>
      </c>
    </row>
    <row r="26" spans="1:13" s="1" customFormat="1" ht="14.1" customHeight="1" x14ac:dyDescent="0.3">
      <c r="A26" s="48"/>
      <c r="B26" s="45" t="s">
        <v>198</v>
      </c>
      <c r="C26" s="45"/>
      <c r="D26" s="46"/>
      <c r="E26" s="47"/>
      <c r="F26" s="47"/>
      <c r="G26" s="59"/>
      <c r="H26" s="81"/>
      <c r="I26" s="81"/>
      <c r="J26" s="55"/>
      <c r="K26" s="54"/>
      <c r="L26" s="54"/>
      <c r="M26" s="101"/>
    </row>
    <row r="27" spans="1:13" s="1" customFormat="1" ht="14.1" customHeight="1" x14ac:dyDescent="0.3">
      <c r="A27" s="48">
        <v>13</v>
      </c>
      <c r="B27" s="65" t="s">
        <v>199</v>
      </c>
      <c r="C27" s="66"/>
      <c r="D27" s="88"/>
      <c r="E27" s="89"/>
      <c r="F27" s="89"/>
      <c r="G27" s="90"/>
      <c r="H27" s="54">
        <f>SUM(I27)</f>
        <v>11</v>
      </c>
      <c r="I27" s="54">
        <f>SUM(J27)</f>
        <v>11</v>
      </c>
      <c r="J27" s="67">
        <v>11</v>
      </c>
      <c r="K27" s="68">
        <f>SUM(J27)+0.2</f>
        <v>11.2</v>
      </c>
      <c r="L27" s="68">
        <f t="shared" ref="L27:M27" si="2">SUM(K27)+0.2</f>
        <v>11.399999999999999</v>
      </c>
      <c r="M27" s="94">
        <f t="shared" si="2"/>
        <v>11.599999999999998</v>
      </c>
    </row>
    <row r="28" spans="1:13" s="1" customFormat="1" ht="14.1" customHeight="1" x14ac:dyDescent="0.3">
      <c r="A28" s="48"/>
      <c r="B28" s="45" t="s">
        <v>200</v>
      </c>
      <c r="C28" s="45"/>
      <c r="D28" s="46" t="s">
        <v>201</v>
      </c>
      <c r="E28" s="47"/>
      <c r="F28" s="47"/>
      <c r="G28" s="59"/>
      <c r="H28" s="40"/>
      <c r="I28" s="40"/>
      <c r="J28" s="67"/>
      <c r="K28" s="68"/>
      <c r="L28" s="68"/>
      <c r="M28" s="94"/>
    </row>
    <row r="29" spans="1:13" s="1" customFormat="1" ht="14.1" customHeight="1" x14ac:dyDescent="0.3">
      <c r="A29" s="48">
        <v>14</v>
      </c>
      <c r="B29" s="79" t="s">
        <v>134</v>
      </c>
      <c r="C29" s="80"/>
      <c r="D29" s="133"/>
      <c r="E29" s="134"/>
      <c r="F29" s="134"/>
      <c r="G29" s="135"/>
      <c r="H29" s="81">
        <f>SUM(I29)-0.4</f>
        <v>2.7</v>
      </c>
      <c r="I29" s="81">
        <f>SUM(J29)-0.4</f>
        <v>3.1</v>
      </c>
      <c r="J29" s="42">
        <v>3.5</v>
      </c>
      <c r="K29" s="40">
        <f>SUM(J29)+0.3</f>
        <v>3.8</v>
      </c>
      <c r="L29" s="40">
        <f t="shared" ref="L29:M29" si="3">SUM(K29)+0.3</f>
        <v>4.0999999999999996</v>
      </c>
      <c r="M29" s="102">
        <f t="shared" si="3"/>
        <v>4.3999999999999995</v>
      </c>
    </row>
    <row r="30" spans="1:13" s="1" customFormat="1" ht="14.1" customHeight="1" x14ac:dyDescent="0.3">
      <c r="A30" s="48"/>
      <c r="B30" s="79" t="s">
        <v>142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101"/>
    </row>
    <row r="31" spans="1:13" s="1" customFormat="1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94"/>
    </row>
    <row r="32" spans="1:13" s="1" customFormat="1" ht="14.1" customHeight="1" thickBot="1" x14ac:dyDescent="0.35">
      <c r="A32" s="48"/>
      <c r="B32" s="210"/>
      <c r="C32" s="211"/>
      <c r="D32" s="212"/>
      <c r="E32" s="213"/>
      <c r="F32" s="213"/>
      <c r="G32" s="214"/>
      <c r="H32" s="206"/>
      <c r="I32" s="206"/>
      <c r="J32" s="207"/>
      <c r="K32" s="208"/>
      <c r="L32" s="208"/>
      <c r="M32" s="209"/>
    </row>
    <row r="33" spans="1:13" s="1" customFormat="1" ht="14.1" customHeight="1" thickTop="1" x14ac:dyDescent="0.3">
      <c r="A33" s="48">
        <v>16</v>
      </c>
      <c r="B33" s="79" t="s">
        <v>119</v>
      </c>
      <c r="C33" s="80"/>
      <c r="D33" s="51" t="s">
        <v>70</v>
      </c>
      <c r="E33" s="52"/>
      <c r="F33" s="52"/>
      <c r="G33" s="53"/>
      <c r="H33" s="105">
        <f>SUM(I33)-3</f>
        <v>45</v>
      </c>
      <c r="I33" s="81">
        <f>SUM(J33)-3</f>
        <v>48</v>
      </c>
      <c r="J33" s="82">
        <v>51</v>
      </c>
      <c r="K33" s="81">
        <f>SUM(J33)+3</f>
        <v>54</v>
      </c>
      <c r="L33" s="81">
        <f>SUM(K33)+3</f>
        <v>57</v>
      </c>
      <c r="M33" s="119">
        <f>SUM(L33)+3</f>
        <v>60</v>
      </c>
    </row>
    <row r="34" spans="1:13" s="1" customFormat="1" ht="14.1" customHeight="1" x14ac:dyDescent="0.3">
      <c r="A34" s="48"/>
      <c r="B34" s="70" t="s">
        <v>87</v>
      </c>
      <c r="C34" s="71"/>
      <c r="D34" s="151" t="s">
        <v>71</v>
      </c>
      <c r="E34" s="152"/>
      <c r="F34" s="152"/>
      <c r="G34" s="153"/>
      <c r="H34" s="45"/>
      <c r="I34" s="40"/>
      <c r="J34" s="42"/>
      <c r="K34" s="40"/>
      <c r="L34" s="40"/>
      <c r="M34" s="102"/>
    </row>
    <row r="35" spans="1:13" s="1" customFormat="1" ht="14.1" customHeight="1" x14ac:dyDescent="0.3">
      <c r="A35" s="48">
        <v>17</v>
      </c>
      <c r="B35" s="65" t="s">
        <v>127</v>
      </c>
      <c r="C35" s="66"/>
      <c r="D35" s="51"/>
      <c r="E35" s="52"/>
      <c r="F35" s="52"/>
      <c r="G35" s="53"/>
      <c r="H35" s="54">
        <f>SUM(I35)-4.5</f>
        <v>65.5</v>
      </c>
      <c r="I35" s="54">
        <f>SUM(J35)-4.5</f>
        <v>70</v>
      </c>
      <c r="J35" s="82">
        <v>74.5</v>
      </c>
      <c r="K35" s="81">
        <f>SUM(J35)+4.5</f>
        <v>79</v>
      </c>
      <c r="L35" s="81">
        <f t="shared" ref="L35:M35" si="4">SUM(K35)+4.5</f>
        <v>83.5</v>
      </c>
      <c r="M35" s="119">
        <f t="shared" si="4"/>
        <v>88</v>
      </c>
    </row>
    <row r="36" spans="1:13" s="1" customFormat="1" ht="14.1" customHeight="1" x14ac:dyDescent="0.3">
      <c r="A36" s="48"/>
      <c r="B36" s="70" t="s">
        <v>128</v>
      </c>
      <c r="C36" s="71"/>
      <c r="D36" s="151"/>
      <c r="E36" s="152"/>
      <c r="F36" s="152"/>
      <c r="G36" s="153"/>
      <c r="H36" s="40"/>
      <c r="I36" s="40"/>
      <c r="J36" s="42"/>
      <c r="K36" s="40"/>
      <c r="L36" s="40"/>
      <c r="M36" s="102"/>
    </row>
    <row r="37" spans="1:13" s="1" customFormat="1" ht="14.1" customHeight="1" x14ac:dyDescent="0.3">
      <c r="A37" s="48">
        <v>18</v>
      </c>
      <c r="B37" s="65" t="s">
        <v>11</v>
      </c>
      <c r="C37" s="66"/>
      <c r="D37" s="62" t="s">
        <v>136</v>
      </c>
      <c r="E37" s="63"/>
      <c r="F37" s="63"/>
      <c r="G37" s="64"/>
      <c r="H37" s="54">
        <f>SUM(I37)-5</f>
        <v>67.2</v>
      </c>
      <c r="I37" s="54">
        <f>SUM(J37)-5</f>
        <v>72.2</v>
      </c>
      <c r="J37" s="55">
        <v>77.2</v>
      </c>
      <c r="K37" s="54">
        <f>SUM(J37)+5</f>
        <v>82.2</v>
      </c>
      <c r="L37" s="54">
        <f t="shared" ref="L37:M37" si="5">SUM(K37)+5</f>
        <v>87.2</v>
      </c>
      <c r="M37" s="101">
        <f t="shared" si="5"/>
        <v>92.2</v>
      </c>
    </row>
    <row r="38" spans="1:13" s="1" customFormat="1" ht="14.1" customHeight="1" x14ac:dyDescent="0.3">
      <c r="A38" s="48"/>
      <c r="B38" s="70" t="s">
        <v>49</v>
      </c>
      <c r="C38" s="71"/>
      <c r="D38" s="151" t="s">
        <v>100</v>
      </c>
      <c r="E38" s="152"/>
      <c r="F38" s="152"/>
      <c r="G38" s="153"/>
      <c r="H38" s="40"/>
      <c r="I38" s="40"/>
      <c r="J38" s="42"/>
      <c r="K38" s="40"/>
      <c r="L38" s="40"/>
      <c r="M38" s="102"/>
    </row>
    <row r="39" spans="1:13" s="1" customFormat="1" ht="14.1" customHeight="1" x14ac:dyDescent="0.3">
      <c r="A39" s="48">
        <v>19</v>
      </c>
      <c r="B39" s="65" t="s">
        <v>116</v>
      </c>
      <c r="C39" s="66"/>
      <c r="D39" s="62"/>
      <c r="E39" s="63"/>
      <c r="F39" s="63"/>
      <c r="G39" s="64"/>
      <c r="H39" s="60">
        <f>SUM(I39)-0.7</f>
        <v>12.100000000000001</v>
      </c>
      <c r="I39" s="54">
        <f>SUM(J39)-0.7</f>
        <v>12.8</v>
      </c>
      <c r="J39" s="55">
        <v>13.5</v>
      </c>
      <c r="K39" s="54">
        <f>SUM(J39)+1.2</f>
        <v>14.7</v>
      </c>
      <c r="L39" s="54">
        <f>SUM(K39)+0.7</f>
        <v>15.399999999999999</v>
      </c>
      <c r="M39" s="101">
        <f>SUM(L39)+0.7</f>
        <v>16.099999999999998</v>
      </c>
    </row>
    <row r="40" spans="1:13" s="1" customFormat="1" ht="14.1" customHeight="1" x14ac:dyDescent="0.3">
      <c r="A40" s="48"/>
      <c r="B40" s="70" t="s">
        <v>115</v>
      </c>
      <c r="C40" s="71"/>
      <c r="D40" s="162" t="s">
        <v>131</v>
      </c>
      <c r="E40" s="163"/>
      <c r="F40" s="163"/>
      <c r="G40" s="164"/>
      <c r="H40" s="45"/>
      <c r="I40" s="40"/>
      <c r="J40" s="42"/>
      <c r="K40" s="40"/>
      <c r="L40" s="40"/>
      <c r="M40" s="102"/>
    </row>
    <row r="41" spans="1:13" s="1" customFormat="1" ht="14.1" customHeight="1" x14ac:dyDescent="0.3">
      <c r="A41" s="48">
        <v>20</v>
      </c>
      <c r="B41" s="65" t="s">
        <v>139</v>
      </c>
      <c r="C41" s="66"/>
      <c r="D41" s="62"/>
      <c r="E41" s="63"/>
      <c r="F41" s="63"/>
      <c r="G41" s="64"/>
      <c r="H41" s="60"/>
      <c r="I41" s="54"/>
      <c r="J41" s="55"/>
      <c r="K41" s="54"/>
      <c r="L41" s="54"/>
      <c r="M41" s="101"/>
    </row>
    <row r="42" spans="1:13" s="1" customFormat="1" ht="14.1" customHeight="1" x14ac:dyDescent="0.3">
      <c r="A42" s="48"/>
      <c r="B42" s="70" t="s">
        <v>140</v>
      </c>
      <c r="C42" s="71"/>
      <c r="D42" s="162" t="s">
        <v>141</v>
      </c>
      <c r="E42" s="163"/>
      <c r="F42" s="163"/>
      <c r="G42" s="164"/>
      <c r="H42" s="45"/>
      <c r="I42" s="40"/>
      <c r="J42" s="42"/>
      <c r="K42" s="40"/>
      <c r="L42" s="40"/>
      <c r="M42" s="102"/>
    </row>
    <row r="43" spans="1:13" s="1" customFormat="1" ht="14.1" customHeight="1" x14ac:dyDescent="0.3">
      <c r="A43" s="48">
        <v>21</v>
      </c>
      <c r="B43" s="65" t="s">
        <v>9</v>
      </c>
      <c r="C43" s="66"/>
      <c r="D43" s="62" t="s">
        <v>72</v>
      </c>
      <c r="E43" s="63"/>
      <c r="F43" s="63"/>
      <c r="G43" s="64"/>
      <c r="H43" s="54">
        <f>SUM(I43)-2.5</f>
        <v>26.4</v>
      </c>
      <c r="I43" s="54">
        <f>SUM(J43)-2.5</f>
        <v>28.9</v>
      </c>
      <c r="J43" s="55">
        <v>31.4</v>
      </c>
      <c r="K43" s="54">
        <f>SUM(J43)+2</f>
        <v>33.4</v>
      </c>
      <c r="L43" s="54">
        <f t="shared" ref="L43:M43" si="6">SUM(K43)+2</f>
        <v>35.4</v>
      </c>
      <c r="M43" s="101">
        <f t="shared" si="6"/>
        <v>37.4</v>
      </c>
    </row>
    <row r="44" spans="1:13" s="1" customFormat="1" ht="14.1" customHeight="1" x14ac:dyDescent="0.3">
      <c r="A44" s="48"/>
      <c r="B44" s="70" t="s">
        <v>50</v>
      </c>
      <c r="C44" s="71"/>
      <c r="D44" s="151" t="s">
        <v>99</v>
      </c>
      <c r="E44" s="152"/>
      <c r="F44" s="152"/>
      <c r="G44" s="153"/>
      <c r="H44" s="40"/>
      <c r="I44" s="40"/>
      <c r="J44" s="42"/>
      <c r="K44" s="40"/>
      <c r="L44" s="40"/>
      <c r="M44" s="102"/>
    </row>
    <row r="45" spans="1:13" s="1" customFormat="1" ht="14.1" customHeight="1" x14ac:dyDescent="0.3">
      <c r="A45" s="48">
        <v>22</v>
      </c>
      <c r="B45" s="65" t="s">
        <v>14</v>
      </c>
      <c r="C45" s="66"/>
      <c r="D45" s="62" t="s">
        <v>15</v>
      </c>
      <c r="E45" s="63"/>
      <c r="F45" s="63"/>
      <c r="G45" s="64"/>
      <c r="H45" s="54">
        <f>SUM(I45)-2.2</f>
        <v>44.599999999999994</v>
      </c>
      <c r="I45" s="54">
        <f>SUM(J45)-2.2</f>
        <v>46.8</v>
      </c>
      <c r="J45" s="55">
        <v>49</v>
      </c>
      <c r="K45" s="54">
        <f>SUM(J45)+2.2</f>
        <v>51.2</v>
      </c>
      <c r="L45" s="54">
        <f t="shared" ref="L45:M45" si="7">SUM(K45)+2.2</f>
        <v>53.400000000000006</v>
      </c>
      <c r="M45" s="101">
        <f t="shared" si="7"/>
        <v>55.600000000000009</v>
      </c>
    </row>
    <row r="46" spans="1:13" s="1" customFormat="1" ht="14.1" customHeight="1" x14ac:dyDescent="0.3">
      <c r="A46" s="48"/>
      <c r="B46" s="70" t="s">
        <v>51</v>
      </c>
      <c r="C46" s="71"/>
      <c r="D46" s="46" t="s">
        <v>98</v>
      </c>
      <c r="E46" s="47"/>
      <c r="F46" s="47"/>
      <c r="G46" s="59"/>
      <c r="H46" s="40"/>
      <c r="I46" s="40"/>
      <c r="J46" s="42"/>
      <c r="K46" s="40"/>
      <c r="L46" s="40"/>
      <c r="M46" s="102"/>
    </row>
    <row r="47" spans="1:13" s="1" customFormat="1" ht="14.1" customHeight="1" x14ac:dyDescent="0.3">
      <c r="A47" s="48">
        <v>23</v>
      </c>
      <c r="B47" s="65" t="s">
        <v>16</v>
      </c>
      <c r="C47" s="66"/>
      <c r="D47" s="62" t="s">
        <v>13</v>
      </c>
      <c r="E47" s="63"/>
      <c r="F47" s="63"/>
      <c r="G47" s="64"/>
      <c r="H47" s="60">
        <f>SUM(I47)-1.1</f>
        <v>21.599999999999998</v>
      </c>
      <c r="I47" s="54">
        <f>SUM(J47)-1.1</f>
        <v>22.7</v>
      </c>
      <c r="J47" s="55">
        <v>23.8</v>
      </c>
      <c r="K47" s="54">
        <f>SUM(J47)+1.6</f>
        <v>25.400000000000002</v>
      </c>
      <c r="L47" s="54">
        <f>SUM(K47)+1.1</f>
        <v>26.500000000000004</v>
      </c>
      <c r="M47" s="101">
        <f>SUM(L47)+1.1</f>
        <v>27.600000000000005</v>
      </c>
    </row>
    <row r="48" spans="1:13" s="1" customFormat="1" ht="14.1" customHeight="1" x14ac:dyDescent="0.3">
      <c r="A48" s="48"/>
      <c r="B48" s="70" t="s">
        <v>57</v>
      </c>
      <c r="C48" s="71"/>
      <c r="D48" s="151" t="s">
        <v>97</v>
      </c>
      <c r="E48" s="152"/>
      <c r="F48" s="152"/>
      <c r="G48" s="153"/>
      <c r="H48" s="45"/>
      <c r="I48" s="40"/>
      <c r="J48" s="42"/>
      <c r="K48" s="40"/>
      <c r="L48" s="40"/>
      <c r="M48" s="102"/>
    </row>
    <row r="49" spans="1:13" s="1" customFormat="1" ht="14.1" customHeight="1" x14ac:dyDescent="0.3">
      <c r="A49" s="48">
        <v>24</v>
      </c>
      <c r="B49" s="65" t="s">
        <v>17</v>
      </c>
      <c r="C49" s="66"/>
      <c r="D49" s="62" t="s">
        <v>13</v>
      </c>
      <c r="E49" s="63"/>
      <c r="F49" s="63"/>
      <c r="G49" s="64"/>
      <c r="H49" s="60">
        <f>SUM(I49)-1.3</f>
        <v>27.799999999999997</v>
      </c>
      <c r="I49" s="54">
        <f>SUM(J49)-1.3</f>
        <v>29.099999999999998</v>
      </c>
      <c r="J49" s="55">
        <v>30.4</v>
      </c>
      <c r="K49" s="54">
        <f>SUM(J49)+1.8</f>
        <v>32.199999999999996</v>
      </c>
      <c r="L49" s="54">
        <f>SUM(K49)+1.3</f>
        <v>33.499999999999993</v>
      </c>
      <c r="M49" s="101">
        <f>SUM(L49)+1.3</f>
        <v>34.79999999999999</v>
      </c>
    </row>
    <row r="50" spans="1:13" s="1" customFormat="1" ht="14.1" customHeight="1" x14ac:dyDescent="0.3">
      <c r="A50" s="48"/>
      <c r="B50" s="70" t="s">
        <v>56</v>
      </c>
      <c r="C50" s="71"/>
      <c r="D50" s="151" t="s">
        <v>97</v>
      </c>
      <c r="E50" s="152"/>
      <c r="F50" s="152"/>
      <c r="G50" s="153"/>
      <c r="H50" s="45"/>
      <c r="I50" s="40"/>
      <c r="J50" s="42"/>
      <c r="K50" s="40"/>
      <c r="L50" s="40"/>
      <c r="M50" s="102"/>
    </row>
    <row r="51" spans="1:13" s="1" customFormat="1" ht="14.1" customHeight="1" x14ac:dyDescent="0.3">
      <c r="A51" s="48">
        <v>25</v>
      </c>
      <c r="B51" s="65" t="s">
        <v>18</v>
      </c>
      <c r="C51" s="66"/>
      <c r="D51" s="62" t="s">
        <v>19</v>
      </c>
      <c r="E51" s="63"/>
      <c r="F51" s="63"/>
      <c r="G51" s="64"/>
      <c r="H51" s="54"/>
      <c r="I51" s="54"/>
      <c r="J51" s="55"/>
      <c r="K51" s="54"/>
      <c r="L51" s="54"/>
      <c r="M51" s="101"/>
    </row>
    <row r="52" spans="1:13" s="1" customFormat="1" ht="14.1" customHeight="1" x14ac:dyDescent="0.3">
      <c r="A52" s="48"/>
      <c r="B52" s="70" t="s">
        <v>55</v>
      </c>
      <c r="C52" s="71"/>
      <c r="D52" s="151" t="s">
        <v>96</v>
      </c>
      <c r="E52" s="152"/>
      <c r="F52" s="152"/>
      <c r="G52" s="153"/>
      <c r="H52" s="40"/>
      <c r="I52" s="40"/>
      <c r="J52" s="42"/>
      <c r="K52" s="40"/>
      <c r="L52" s="40"/>
      <c r="M52" s="102"/>
    </row>
    <row r="53" spans="1:13" s="1" customFormat="1" ht="14.1" customHeight="1" x14ac:dyDescent="0.3">
      <c r="A53" s="48">
        <v>26</v>
      </c>
      <c r="B53" s="65" t="s">
        <v>20</v>
      </c>
      <c r="C53" s="66"/>
      <c r="D53" s="62" t="s">
        <v>21</v>
      </c>
      <c r="E53" s="63"/>
      <c r="F53" s="63"/>
      <c r="G53" s="64"/>
      <c r="H53" s="54"/>
      <c r="I53" s="54"/>
      <c r="J53" s="55"/>
      <c r="K53" s="54"/>
      <c r="L53" s="54"/>
      <c r="M53" s="101"/>
    </row>
    <row r="54" spans="1:13" s="1" customFormat="1" ht="14.1" customHeight="1" x14ac:dyDescent="0.3">
      <c r="A54" s="48"/>
      <c r="B54" s="70" t="s">
        <v>54</v>
      </c>
      <c r="C54" s="71"/>
      <c r="D54" s="151" t="s">
        <v>95</v>
      </c>
      <c r="E54" s="152"/>
      <c r="F54" s="152"/>
      <c r="G54" s="153"/>
      <c r="H54" s="40"/>
      <c r="I54" s="40"/>
      <c r="J54" s="42"/>
      <c r="K54" s="40"/>
      <c r="L54" s="40"/>
      <c r="M54" s="102"/>
    </row>
    <row r="55" spans="1:13" s="1" customFormat="1" ht="14.1" customHeight="1" x14ac:dyDescent="0.3">
      <c r="A55" s="48">
        <v>27</v>
      </c>
      <c r="B55" s="65" t="s">
        <v>94</v>
      </c>
      <c r="C55" s="66"/>
      <c r="D55" s="62" t="s">
        <v>92</v>
      </c>
      <c r="E55" s="63"/>
      <c r="F55" s="63"/>
      <c r="G55" s="64"/>
      <c r="H55" s="54"/>
      <c r="I55" s="54"/>
      <c r="J55" s="55"/>
      <c r="K55" s="54"/>
      <c r="L55" s="54"/>
      <c r="M55" s="101"/>
    </row>
    <row r="56" spans="1:13" s="1" customFormat="1" ht="14.1" customHeight="1" x14ac:dyDescent="0.3">
      <c r="A56" s="48"/>
      <c r="B56" s="70" t="s">
        <v>93</v>
      </c>
      <c r="C56" s="71"/>
      <c r="D56" s="151" t="s">
        <v>92</v>
      </c>
      <c r="E56" s="152"/>
      <c r="F56" s="152"/>
      <c r="G56" s="153"/>
      <c r="H56" s="40"/>
      <c r="I56" s="40"/>
      <c r="J56" s="42"/>
      <c r="K56" s="40"/>
      <c r="L56" s="40"/>
      <c r="M56" s="102"/>
    </row>
    <row r="57" spans="1:13" s="1" customFormat="1" ht="14.1" customHeight="1" x14ac:dyDescent="0.3">
      <c r="A57" s="48">
        <v>28</v>
      </c>
      <c r="B57" s="65" t="s">
        <v>91</v>
      </c>
      <c r="C57" s="66"/>
      <c r="D57" s="62" t="s">
        <v>90</v>
      </c>
      <c r="E57" s="63"/>
      <c r="F57" s="63"/>
      <c r="G57" s="64"/>
      <c r="H57" s="54"/>
      <c r="I57" s="54"/>
      <c r="J57" s="55"/>
      <c r="K57" s="54"/>
      <c r="L57" s="54"/>
      <c r="M57" s="101"/>
    </row>
    <row r="58" spans="1:13" s="1" customFormat="1" ht="14.1" customHeight="1" x14ac:dyDescent="0.3">
      <c r="A58" s="48"/>
      <c r="B58" s="70" t="s">
        <v>89</v>
      </c>
      <c r="C58" s="71"/>
      <c r="D58" s="151" t="s">
        <v>130</v>
      </c>
      <c r="E58" s="152"/>
      <c r="F58" s="152"/>
      <c r="G58" s="153"/>
      <c r="H58" s="40"/>
      <c r="I58" s="40"/>
      <c r="J58" s="42"/>
      <c r="K58" s="40"/>
      <c r="L58" s="40"/>
      <c r="M58" s="102"/>
    </row>
    <row r="59" spans="1:13" s="1" customFormat="1" ht="14.1" customHeight="1" x14ac:dyDescent="0.3">
      <c r="A59" s="48">
        <v>29</v>
      </c>
      <c r="B59" s="65" t="s">
        <v>112</v>
      </c>
      <c r="C59" s="66"/>
      <c r="D59" s="62" t="s">
        <v>23</v>
      </c>
      <c r="E59" s="63"/>
      <c r="F59" s="63"/>
      <c r="G59" s="64"/>
      <c r="H59" s="54">
        <f>SUM(I59)-0.5</f>
        <v>10.5</v>
      </c>
      <c r="I59" s="54">
        <f>SUM(J59)-0.5</f>
        <v>11</v>
      </c>
      <c r="J59" s="67">
        <v>11.5</v>
      </c>
      <c r="K59" s="68">
        <f>SUM(J59)+0.5</f>
        <v>12</v>
      </c>
      <c r="L59" s="68">
        <f t="shared" ref="L59:M59" si="8">SUM(K59)+0.5</f>
        <v>12.5</v>
      </c>
      <c r="M59" s="94">
        <f t="shared" si="8"/>
        <v>13</v>
      </c>
    </row>
    <row r="60" spans="1:13" s="1" customFormat="1" ht="14.1" customHeight="1" x14ac:dyDescent="0.3">
      <c r="A60" s="48"/>
      <c r="B60" s="70" t="s">
        <v>52</v>
      </c>
      <c r="C60" s="71"/>
      <c r="D60" s="151" t="s">
        <v>202</v>
      </c>
      <c r="E60" s="152"/>
      <c r="F60" s="152"/>
      <c r="G60" s="153"/>
      <c r="H60" s="40"/>
      <c r="I60" s="40"/>
      <c r="J60" s="67"/>
      <c r="K60" s="68"/>
      <c r="L60" s="68"/>
      <c r="M60" s="94"/>
    </row>
    <row r="61" spans="1:13" s="1" customFormat="1" ht="14.1" customHeight="1" x14ac:dyDescent="0.3">
      <c r="A61" s="48">
        <v>30</v>
      </c>
      <c r="B61" s="65"/>
      <c r="C61" s="66"/>
      <c r="D61" s="61"/>
      <c r="E61" s="61"/>
      <c r="F61" s="61"/>
      <c r="G61" s="61"/>
      <c r="H61" s="105"/>
      <c r="I61" s="81"/>
      <c r="J61" s="82"/>
      <c r="K61" s="81"/>
      <c r="L61" s="81"/>
      <c r="M61" s="119"/>
    </row>
    <row r="62" spans="1:13" s="1" customFormat="1" ht="14.1" customHeight="1" x14ac:dyDescent="0.3">
      <c r="A62" s="48"/>
      <c r="B62" s="57"/>
      <c r="C62" s="58"/>
      <c r="D62" s="46"/>
      <c r="E62" s="47"/>
      <c r="F62" s="47"/>
      <c r="G62" s="59"/>
      <c r="H62" s="45"/>
      <c r="I62" s="40"/>
      <c r="J62" s="42"/>
      <c r="K62" s="40"/>
      <c r="L62" s="40"/>
      <c r="M62" s="102"/>
    </row>
    <row r="63" spans="1:13" ht="14.1" customHeight="1" x14ac:dyDescent="0.3">
      <c r="A63" s="48">
        <v>31</v>
      </c>
      <c r="B63" s="65"/>
      <c r="C63" s="66"/>
      <c r="D63" s="61"/>
      <c r="E63" s="61"/>
      <c r="F63" s="61"/>
      <c r="G63" s="61"/>
      <c r="H63" s="54"/>
      <c r="I63" s="54"/>
      <c r="J63" s="67"/>
      <c r="K63" s="68"/>
      <c r="L63" s="68"/>
      <c r="M63" s="94"/>
    </row>
    <row r="64" spans="1:13" ht="14.1" customHeight="1" thickBot="1" x14ac:dyDescent="0.35">
      <c r="A64" s="87"/>
      <c r="B64" s="141"/>
      <c r="C64" s="141"/>
      <c r="D64" s="98"/>
      <c r="E64" s="99"/>
      <c r="F64" s="99"/>
      <c r="G64" s="100"/>
      <c r="H64" s="91"/>
      <c r="I64" s="91"/>
      <c r="J64" s="92"/>
      <c r="K64" s="93"/>
      <c r="L64" s="93"/>
      <c r="M64" s="95"/>
    </row>
    <row r="65" ht="14.1" customHeight="1" x14ac:dyDescent="0.3"/>
    <row r="66" ht="14.1" customHeight="1" x14ac:dyDescent="0.3"/>
  </sheetData>
  <mergeCells count="344"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7920-94AA-4A9C-AECD-5B064E24B2D4}">
  <sheetPr codeName="Sheet38">
    <tabColor rgb="FFFF0000"/>
    <pageSetUpPr fitToPage="1"/>
  </sheetPr>
  <dimension ref="A1:N66"/>
  <sheetViews>
    <sheetView zoomScale="110" zoomScaleNormal="110" workbookViewId="0">
      <selection activeCell="H19" sqref="H19:M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171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39">
        <f>SUM(L3)+2.5</f>
        <v>47.5</v>
      </c>
      <c r="N3" s="115">
        <f>SUM(M3)+2.5</f>
        <v>50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24</v>
      </c>
      <c r="I5" s="54">
        <f>SUM(J5)-2</f>
        <v>26</v>
      </c>
      <c r="J5" s="55">
        <v>28</v>
      </c>
      <c r="K5" s="54">
        <f>SUM(J5)+1.8</f>
        <v>29.8</v>
      </c>
      <c r="L5" s="54">
        <f>SUM(K5)+1.8</f>
        <v>31.6</v>
      </c>
      <c r="M5" s="54">
        <f>SUM(L5)+1.8</f>
        <v>33.4</v>
      </c>
      <c r="N5" s="115">
        <f>SUM(M5)+1.8</f>
        <v>35.199999999999996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</v>
      </c>
      <c r="I7" s="54">
        <f>SUM(J7)-2.25</f>
        <v>30.25</v>
      </c>
      <c r="J7" s="55">
        <v>32.5</v>
      </c>
      <c r="K7" s="54">
        <f>SUM(J7)+2</f>
        <v>34.5</v>
      </c>
      <c r="L7" s="54">
        <f>SUM(K7)+2</f>
        <v>36.5</v>
      </c>
      <c r="M7" s="54">
        <f>SUM(L7)+2</f>
        <v>38.5</v>
      </c>
      <c r="N7" s="115">
        <f>SUM(M7)+2</f>
        <v>40.5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28</v>
      </c>
      <c r="I9" s="54">
        <f>SUM(J9)-2.25</f>
        <v>30.25</v>
      </c>
      <c r="J9" s="55">
        <v>32.5</v>
      </c>
      <c r="K9" s="54">
        <f>SUM(J9)+2</f>
        <v>34.5</v>
      </c>
      <c r="L9" s="54">
        <f>SUM(K9)+2</f>
        <v>36.5</v>
      </c>
      <c r="M9" s="54">
        <f>SUM(L9)+2</f>
        <v>38.5</v>
      </c>
      <c r="N9" s="115">
        <f>SUM(M9)+2</f>
        <v>40.5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13.299999999999999</v>
      </c>
      <c r="I11" s="60">
        <f>SUM(J11)-0.8</f>
        <v>14.1</v>
      </c>
      <c r="J11" s="132">
        <v>14.9</v>
      </c>
      <c r="K11" s="130">
        <f>SUM(J11)+0.8</f>
        <v>15.700000000000001</v>
      </c>
      <c r="L11" s="130">
        <f>SUM(K11)+0.8</f>
        <v>16.5</v>
      </c>
      <c r="M11" s="130">
        <f>SUM(L11)+0.8</f>
        <v>17.3</v>
      </c>
      <c r="N11" s="136">
        <f>SUM(M11)+0.8</f>
        <v>18.100000000000001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14.200000000000001</v>
      </c>
      <c r="I13" s="54">
        <f>SUM(J13)-0.6</f>
        <v>14.8</v>
      </c>
      <c r="J13" s="67">
        <v>15.4</v>
      </c>
      <c r="K13" s="68">
        <f>SUM(J13)+0.6</f>
        <v>16</v>
      </c>
      <c r="L13" s="68">
        <f>SUM(K13)+0.6</f>
        <v>16.600000000000001</v>
      </c>
      <c r="M13" s="68">
        <f>SUM(L13)+0.6</f>
        <v>17.200000000000003</v>
      </c>
      <c r="N13" s="117">
        <f>SUM(M13)+0.6</f>
        <v>17.800000000000004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5.7</v>
      </c>
      <c r="I15" s="54">
        <f>SUM(J15)-0.3</f>
        <v>6</v>
      </c>
      <c r="J15" s="67">
        <v>6.3</v>
      </c>
      <c r="K15" s="68">
        <f>SUM(J15)+0.3</f>
        <v>6.6</v>
      </c>
      <c r="L15" s="68">
        <f>SUM(K15)+0.3</f>
        <v>6.8999999999999995</v>
      </c>
      <c r="M15" s="68">
        <f>SUM(L15)+0.3</f>
        <v>7.1999999999999993</v>
      </c>
      <c r="N15" s="117">
        <f>SUM(M15)+0.3</f>
        <v>7.4999999999999991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8">
        <f>SUM(L17)+1.6</f>
        <v>47.800000000000004</v>
      </c>
      <c r="N17" s="117">
        <f>SUM(M17)+1.6</f>
        <v>49.400000000000006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8.5</v>
      </c>
      <c r="I19" s="54">
        <f>SUM(J19)-1</f>
        <v>9.5</v>
      </c>
      <c r="J19" s="55">
        <v>10.5</v>
      </c>
      <c r="K19" s="54">
        <f>SUM(J19)+1.1</f>
        <v>11.6</v>
      </c>
      <c r="L19" s="54">
        <f>SUM(K19)+1.1</f>
        <v>12.7</v>
      </c>
      <c r="M19" s="54">
        <f>SUM(L19)+1.1</f>
        <v>13.799999999999999</v>
      </c>
      <c r="N19" s="115">
        <f>SUM(M19)+1.1</f>
        <v>14.899999999999999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22.4</v>
      </c>
      <c r="I23" s="54">
        <f>SUM(J23)-1.3</f>
        <v>23.7</v>
      </c>
      <c r="J23" s="67">
        <v>25</v>
      </c>
      <c r="K23" s="68">
        <f>SUM(J23)+1.3</f>
        <v>26.3</v>
      </c>
      <c r="L23" s="68">
        <f>SUM(K23)+1.3</f>
        <v>27.6</v>
      </c>
      <c r="M23" s="68">
        <f>SUM(L23)+1.3</f>
        <v>28.900000000000002</v>
      </c>
      <c r="N23" s="117">
        <f>SUM(M23)+1.3</f>
        <v>30.200000000000003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172</v>
      </c>
      <c r="C25" s="66"/>
      <c r="D25" s="88"/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>SUM(K25)+0.3</f>
        <v>4.5999999999999996</v>
      </c>
      <c r="M25" s="68">
        <f>SUM(L25)+0.3</f>
        <v>4.8999999999999995</v>
      </c>
      <c r="N25" s="117">
        <f>SUM(M25)+0.3</f>
        <v>5.1999999999999993</v>
      </c>
    </row>
    <row r="26" spans="1:14" s="1" customFormat="1" ht="14.1" customHeight="1" x14ac:dyDescent="0.3">
      <c r="A26" s="78"/>
      <c r="B26" s="79" t="s">
        <v>173</v>
      </c>
      <c r="C26" s="80"/>
      <c r="D26" s="51" t="s">
        <v>174</v>
      </c>
      <c r="E26" s="52"/>
      <c r="F26" s="52"/>
      <c r="G26" s="53"/>
      <c r="H26" s="81"/>
      <c r="I26" s="81"/>
      <c r="J26" s="55"/>
      <c r="K26" s="54"/>
      <c r="L26" s="54"/>
      <c r="M26" s="54"/>
      <c r="N26" s="115"/>
    </row>
    <row r="27" spans="1:14" s="1" customFormat="1" ht="14.1" customHeight="1" x14ac:dyDescent="0.3">
      <c r="A27" s="48">
        <v>13</v>
      </c>
      <c r="B27" s="65" t="s">
        <v>175</v>
      </c>
      <c r="C27" s="66"/>
      <c r="D27" s="88"/>
      <c r="E27" s="89"/>
      <c r="F27" s="89"/>
      <c r="G27" s="90"/>
      <c r="H27" s="54">
        <f>SUM(I27)-0.4</f>
        <v>4.1999999999999993</v>
      </c>
      <c r="I27" s="54">
        <f>SUM(J27)-0.4</f>
        <v>4.5999999999999996</v>
      </c>
      <c r="J27" s="67">
        <v>5</v>
      </c>
      <c r="K27" s="68">
        <f>SUM(J27)+0.4</f>
        <v>5.4</v>
      </c>
      <c r="L27" s="68">
        <f>SUM(K27)+0.4</f>
        <v>5.8000000000000007</v>
      </c>
      <c r="M27" s="68">
        <f>SUM(L27)+0.4</f>
        <v>6.2000000000000011</v>
      </c>
      <c r="N27" s="117">
        <f>SUM(M27)+0.4</f>
        <v>6.6000000000000014</v>
      </c>
    </row>
    <row r="28" spans="1:14" s="1" customFormat="1" ht="14.1" customHeight="1" x14ac:dyDescent="0.3">
      <c r="A28" s="48"/>
      <c r="B28" s="57" t="s">
        <v>176</v>
      </c>
      <c r="C28" s="58"/>
      <c r="D28" s="46" t="s">
        <v>177</v>
      </c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35">
        <v>14</v>
      </c>
      <c r="B29" s="79" t="s">
        <v>134</v>
      </c>
      <c r="C29" s="80"/>
      <c r="D29" s="133"/>
      <c r="E29" s="134"/>
      <c r="F29" s="134"/>
      <c r="G29" s="135"/>
      <c r="H29" s="81">
        <f>SUM(I29)-0.2</f>
        <v>9.9999999999999978E-2</v>
      </c>
      <c r="I29" s="81">
        <f>SUM(J29)-0.2</f>
        <v>0.3</v>
      </c>
      <c r="J29" s="42">
        <v>0.5</v>
      </c>
      <c r="K29" s="40">
        <f>SUM(J29)+0.2</f>
        <v>0.7</v>
      </c>
      <c r="L29" s="40">
        <f>SUM(K29)+0.2</f>
        <v>0.89999999999999991</v>
      </c>
      <c r="M29" s="40">
        <f>SUM(L29)+0.2</f>
        <v>1.0999999999999999</v>
      </c>
      <c r="N29" s="116">
        <f>SUM(M29)+0.2</f>
        <v>1.2999999999999998</v>
      </c>
    </row>
    <row r="30" spans="1:14" s="1" customFormat="1" ht="14.1" customHeight="1" x14ac:dyDescent="0.3">
      <c r="A30" s="78"/>
      <c r="B30" s="79" t="s">
        <v>142</v>
      </c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54"/>
      <c r="N30" s="115"/>
    </row>
    <row r="31" spans="1:14" s="1" customFormat="1" ht="14.1" customHeight="1" x14ac:dyDescent="0.3">
      <c r="A31" s="48">
        <v>15</v>
      </c>
      <c r="B31" s="65" t="s">
        <v>135</v>
      </c>
      <c r="C31" s="66"/>
      <c r="D31" s="88"/>
      <c r="E31" s="89"/>
      <c r="F31" s="89"/>
      <c r="G31" s="90"/>
      <c r="H31" s="54">
        <f>SUM(I31)-0.5</f>
        <v>2.8</v>
      </c>
      <c r="I31" s="54">
        <f>SUM(J31)-0.5</f>
        <v>3.3</v>
      </c>
      <c r="J31" s="67">
        <v>3.8</v>
      </c>
      <c r="K31" s="68">
        <f>SUM(J31)+0.4</f>
        <v>4.2</v>
      </c>
      <c r="L31" s="68">
        <f>SUM(K31)+0.4</f>
        <v>4.6000000000000005</v>
      </c>
      <c r="M31" s="68">
        <f>SUM(L31)+0.4</f>
        <v>5.0000000000000009</v>
      </c>
      <c r="N31" s="117">
        <f>SUM(M31)+0.4</f>
        <v>5.4000000000000012</v>
      </c>
    </row>
    <row r="32" spans="1:14" s="1" customFormat="1" ht="14.1" customHeight="1" thickBot="1" x14ac:dyDescent="0.35">
      <c r="A32" s="216"/>
      <c r="B32" s="210" t="s">
        <v>143</v>
      </c>
      <c r="C32" s="211"/>
      <c r="D32" s="212"/>
      <c r="E32" s="213"/>
      <c r="F32" s="213"/>
      <c r="G32" s="214"/>
      <c r="H32" s="206"/>
      <c r="I32" s="206"/>
      <c r="J32" s="207"/>
      <c r="K32" s="208"/>
      <c r="L32" s="208"/>
      <c r="M32" s="208"/>
      <c r="N32" s="215"/>
    </row>
    <row r="33" spans="1:14" s="1" customFormat="1" ht="14.1" customHeight="1" thickTop="1" x14ac:dyDescent="0.3">
      <c r="A33" s="35">
        <v>16</v>
      </c>
      <c r="B33" s="79" t="s">
        <v>119</v>
      </c>
      <c r="C33" s="80"/>
      <c r="D33" s="51" t="s">
        <v>70</v>
      </c>
      <c r="E33" s="52"/>
      <c r="F33" s="52"/>
      <c r="G33" s="53"/>
      <c r="H33" s="105">
        <f>SUM(I33)-3</f>
        <v>45</v>
      </c>
      <c r="I33" s="81">
        <f>SUM(J33)-3</f>
        <v>48</v>
      </c>
      <c r="J33" s="82">
        <v>51</v>
      </c>
      <c r="K33" s="81">
        <f>SUM(J33)+3</f>
        <v>54</v>
      </c>
      <c r="L33" s="81">
        <f>SUM(K33)+3</f>
        <v>57</v>
      </c>
      <c r="M33" s="81">
        <f>SUM(L33)+3</f>
        <v>60</v>
      </c>
      <c r="N33" s="139">
        <f>SUM(M33)+3</f>
        <v>63</v>
      </c>
    </row>
    <row r="34" spans="1:14" s="1" customFormat="1" ht="14.1" customHeight="1" x14ac:dyDescent="0.3">
      <c r="A34" s="48"/>
      <c r="B34" s="70" t="s">
        <v>87</v>
      </c>
      <c r="C34" s="71"/>
      <c r="D34" s="151" t="s">
        <v>71</v>
      </c>
      <c r="E34" s="152"/>
      <c r="F34" s="152"/>
      <c r="G34" s="153"/>
      <c r="H34" s="45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48">
        <v>17</v>
      </c>
      <c r="B35" s="65" t="s">
        <v>127</v>
      </c>
      <c r="C35" s="66"/>
      <c r="D35" s="51"/>
      <c r="E35" s="52"/>
      <c r="F35" s="52"/>
      <c r="G35" s="53"/>
      <c r="H35" s="54">
        <f>SUM(I35)-3.5</f>
        <v>70.5</v>
      </c>
      <c r="I35" s="54">
        <f>SUM(J35)-3.5</f>
        <v>74</v>
      </c>
      <c r="J35" s="82">
        <v>77.5</v>
      </c>
      <c r="K35" s="81">
        <f>SUM(J35)+3.5</f>
        <v>81</v>
      </c>
      <c r="L35" s="81">
        <f>SUM(K35)+3.5</f>
        <v>84.5</v>
      </c>
      <c r="M35" s="81">
        <f>SUM(L35)+3.5</f>
        <v>88</v>
      </c>
      <c r="N35" s="139">
        <f>SUM(M35)+3.5</f>
        <v>91.5</v>
      </c>
    </row>
    <row r="36" spans="1:14" s="1" customFormat="1" ht="14.1" customHeight="1" x14ac:dyDescent="0.3">
      <c r="A36" s="48"/>
      <c r="B36" s="70" t="s">
        <v>128</v>
      </c>
      <c r="C36" s="71"/>
      <c r="D36" s="151"/>
      <c r="E36" s="152"/>
      <c r="F36" s="152"/>
      <c r="G36" s="153"/>
      <c r="H36" s="40"/>
      <c r="I36" s="40"/>
      <c r="J36" s="42"/>
      <c r="K36" s="40"/>
      <c r="L36" s="40"/>
      <c r="M36" s="40"/>
      <c r="N36" s="116"/>
    </row>
    <row r="37" spans="1:14" s="1" customFormat="1" ht="14.1" customHeight="1" x14ac:dyDescent="0.3">
      <c r="A37" s="48">
        <v>18</v>
      </c>
      <c r="B37" s="65" t="s">
        <v>11</v>
      </c>
      <c r="C37" s="66"/>
      <c r="D37" s="62" t="s">
        <v>136</v>
      </c>
      <c r="E37" s="63"/>
      <c r="F37" s="63"/>
      <c r="G37" s="64"/>
      <c r="H37" s="54">
        <f>SUM(I37)-4</f>
        <v>75.2</v>
      </c>
      <c r="I37" s="54">
        <f>SUM(J37)-4</f>
        <v>79.2</v>
      </c>
      <c r="J37" s="55">
        <v>83.2</v>
      </c>
      <c r="K37" s="54">
        <f>SUM(J37)+4</f>
        <v>87.2</v>
      </c>
      <c r="L37" s="54">
        <f>SUM(K37)+4</f>
        <v>91.2</v>
      </c>
      <c r="M37" s="54">
        <f>SUM(L37)+4</f>
        <v>95.2</v>
      </c>
      <c r="N37" s="115">
        <f>SUM(M37)+4</f>
        <v>99.2</v>
      </c>
    </row>
    <row r="38" spans="1:14" s="1" customFormat="1" ht="14.1" customHeight="1" x14ac:dyDescent="0.3">
      <c r="A38" s="48"/>
      <c r="B38" s="70" t="s">
        <v>49</v>
      </c>
      <c r="C38" s="71"/>
      <c r="D38" s="151" t="s">
        <v>100</v>
      </c>
      <c r="E38" s="152"/>
      <c r="F38" s="152"/>
      <c r="G38" s="153"/>
      <c r="H38" s="40"/>
      <c r="I38" s="40"/>
      <c r="J38" s="42"/>
      <c r="K38" s="40"/>
      <c r="L38" s="40"/>
      <c r="M38" s="40"/>
      <c r="N38" s="116"/>
    </row>
    <row r="39" spans="1:14" s="1" customFormat="1" ht="14.1" customHeight="1" x14ac:dyDescent="0.3">
      <c r="A39" s="48">
        <v>19</v>
      </c>
      <c r="B39" s="65" t="s">
        <v>116</v>
      </c>
      <c r="C39" s="66"/>
      <c r="D39" s="62"/>
      <c r="E39" s="63"/>
      <c r="F39" s="63"/>
      <c r="G39" s="64"/>
      <c r="H39" s="60">
        <f>SUM(I39)-0.7</f>
        <v>13.8</v>
      </c>
      <c r="I39" s="54">
        <f>SUM(J39)-0.7</f>
        <v>14.5</v>
      </c>
      <c r="J39" s="55">
        <v>15.2</v>
      </c>
      <c r="K39" s="54">
        <f>SUM(J39)+1.2</f>
        <v>16.399999999999999</v>
      </c>
      <c r="L39" s="54">
        <f>SUM(K39)+0.7</f>
        <v>17.099999999999998</v>
      </c>
      <c r="M39" s="60">
        <f>SUM(L39)+0.7</f>
        <v>17.799999999999997</v>
      </c>
      <c r="N39" s="181">
        <f>SUM(M39)+0.7</f>
        <v>18.499999999999996</v>
      </c>
    </row>
    <row r="40" spans="1:14" s="1" customFormat="1" ht="14.1" customHeight="1" x14ac:dyDescent="0.3">
      <c r="A40" s="48"/>
      <c r="B40" s="70" t="s">
        <v>115</v>
      </c>
      <c r="C40" s="71"/>
      <c r="D40" s="162" t="s">
        <v>131</v>
      </c>
      <c r="E40" s="163"/>
      <c r="F40" s="163"/>
      <c r="G40" s="164"/>
      <c r="H40" s="45"/>
      <c r="I40" s="40"/>
      <c r="J40" s="42"/>
      <c r="K40" s="40"/>
      <c r="L40" s="40"/>
      <c r="M40" s="45"/>
      <c r="N40" s="180"/>
    </row>
    <row r="41" spans="1:14" s="1" customFormat="1" ht="14.1" customHeight="1" x14ac:dyDescent="0.3">
      <c r="A41" s="48">
        <v>20</v>
      </c>
      <c r="B41" s="65" t="s">
        <v>139</v>
      </c>
      <c r="C41" s="66"/>
      <c r="D41" s="62"/>
      <c r="E41" s="63"/>
      <c r="F41" s="63"/>
      <c r="G41" s="64"/>
      <c r="H41" s="60"/>
      <c r="I41" s="54"/>
      <c r="J41" s="55"/>
      <c r="K41" s="54"/>
      <c r="L41" s="54"/>
      <c r="M41" s="60"/>
      <c r="N41" s="181"/>
    </row>
    <row r="42" spans="1:14" s="1" customFormat="1" ht="14.1" customHeight="1" x14ac:dyDescent="0.3">
      <c r="A42" s="48"/>
      <c r="B42" s="70" t="s">
        <v>140</v>
      </c>
      <c r="C42" s="71"/>
      <c r="D42" s="162" t="s">
        <v>141</v>
      </c>
      <c r="E42" s="163"/>
      <c r="F42" s="163"/>
      <c r="G42" s="164"/>
      <c r="H42" s="45"/>
      <c r="I42" s="40"/>
      <c r="J42" s="42"/>
      <c r="K42" s="40"/>
      <c r="L42" s="40"/>
      <c r="M42" s="45"/>
      <c r="N42" s="180"/>
    </row>
    <row r="43" spans="1:14" s="1" customFormat="1" ht="14.1" customHeight="1" x14ac:dyDescent="0.3">
      <c r="A43" s="48">
        <v>21</v>
      </c>
      <c r="B43" s="65" t="s">
        <v>9</v>
      </c>
      <c r="C43" s="66"/>
      <c r="D43" s="62" t="s">
        <v>72</v>
      </c>
      <c r="E43" s="63"/>
      <c r="F43" s="63"/>
      <c r="G43" s="64"/>
      <c r="H43" s="54">
        <f>SUM(I43)-4</f>
        <v>36</v>
      </c>
      <c r="I43" s="54">
        <f>SUM(J43)-4</f>
        <v>40</v>
      </c>
      <c r="J43" s="55">
        <v>44</v>
      </c>
      <c r="K43" s="54">
        <f>SUM(J43)+3.5</f>
        <v>47.5</v>
      </c>
      <c r="L43" s="54">
        <f>SUM(K43)+3.5</f>
        <v>51</v>
      </c>
      <c r="M43" s="54">
        <f>SUM(L43)+3.5</f>
        <v>54.5</v>
      </c>
      <c r="N43" s="115">
        <f>SUM(M43)+3.5</f>
        <v>58</v>
      </c>
    </row>
    <row r="44" spans="1:14" s="1" customFormat="1" ht="14.1" customHeight="1" x14ac:dyDescent="0.3">
      <c r="A44" s="48"/>
      <c r="B44" s="70" t="s">
        <v>50</v>
      </c>
      <c r="C44" s="71"/>
      <c r="D44" s="151" t="s">
        <v>99</v>
      </c>
      <c r="E44" s="152"/>
      <c r="F44" s="152"/>
      <c r="G44" s="153"/>
      <c r="H44" s="40"/>
      <c r="I44" s="40"/>
      <c r="J44" s="42"/>
      <c r="K44" s="40"/>
      <c r="L44" s="40"/>
      <c r="M44" s="40"/>
      <c r="N44" s="116"/>
    </row>
    <row r="45" spans="1:14" s="1" customFormat="1" ht="14.1" customHeight="1" x14ac:dyDescent="0.3">
      <c r="A45" s="48">
        <v>22</v>
      </c>
      <c r="B45" s="65" t="s">
        <v>14</v>
      </c>
      <c r="C45" s="66"/>
      <c r="D45" s="62" t="s">
        <v>15</v>
      </c>
      <c r="E45" s="63"/>
      <c r="F45" s="63"/>
      <c r="G45" s="64"/>
      <c r="H45" s="54">
        <f>SUM(I45)-1.8</f>
        <v>42.400000000000006</v>
      </c>
      <c r="I45" s="54">
        <f>SUM(J45)-1.8</f>
        <v>44.2</v>
      </c>
      <c r="J45" s="55">
        <v>46</v>
      </c>
      <c r="K45" s="54">
        <f>SUM(J45)+1.8</f>
        <v>47.8</v>
      </c>
      <c r="L45" s="54">
        <f>SUM(K45)+1.8</f>
        <v>49.599999999999994</v>
      </c>
      <c r="M45" s="54">
        <f>SUM(L45)+1.8</f>
        <v>51.399999999999991</v>
      </c>
      <c r="N45" s="115">
        <f>SUM(M45)+1.8</f>
        <v>53.199999999999989</v>
      </c>
    </row>
    <row r="46" spans="1:14" s="1" customFormat="1" ht="14.1" customHeight="1" x14ac:dyDescent="0.3">
      <c r="A46" s="48"/>
      <c r="B46" s="70" t="s">
        <v>51</v>
      </c>
      <c r="C46" s="71"/>
      <c r="D46" s="46" t="s">
        <v>98</v>
      </c>
      <c r="E46" s="47"/>
      <c r="F46" s="47"/>
      <c r="G46" s="59"/>
      <c r="H46" s="40"/>
      <c r="I46" s="40"/>
      <c r="J46" s="42"/>
      <c r="K46" s="40"/>
      <c r="L46" s="40"/>
      <c r="M46" s="40"/>
      <c r="N46" s="116"/>
    </row>
    <row r="47" spans="1:14" s="1" customFormat="1" ht="14.1" customHeight="1" x14ac:dyDescent="0.3">
      <c r="A47" s="48">
        <v>23</v>
      </c>
      <c r="B47" s="65" t="s">
        <v>16</v>
      </c>
      <c r="C47" s="66"/>
      <c r="D47" s="62" t="s">
        <v>13</v>
      </c>
      <c r="E47" s="63"/>
      <c r="F47" s="63"/>
      <c r="G47" s="64"/>
      <c r="H47" s="60">
        <f>SUM(I47)-1.1</f>
        <v>21.4</v>
      </c>
      <c r="I47" s="54">
        <f>SUM(J47)-1.1</f>
        <v>22.5</v>
      </c>
      <c r="J47" s="55">
        <v>23.6</v>
      </c>
      <c r="K47" s="54">
        <f>SUM(J47)+1.6</f>
        <v>25.200000000000003</v>
      </c>
      <c r="L47" s="54">
        <f>SUM(K47)+1.1</f>
        <v>26.300000000000004</v>
      </c>
      <c r="M47" s="60">
        <f>SUM(L47)+1.1</f>
        <v>27.400000000000006</v>
      </c>
      <c r="N47" s="181">
        <f>SUM(M47)+1.1</f>
        <v>28.500000000000007</v>
      </c>
    </row>
    <row r="48" spans="1:14" s="1" customFormat="1" ht="14.1" customHeight="1" x14ac:dyDescent="0.3">
      <c r="A48" s="48"/>
      <c r="B48" s="70" t="s">
        <v>57</v>
      </c>
      <c r="C48" s="71"/>
      <c r="D48" s="151" t="s">
        <v>97</v>
      </c>
      <c r="E48" s="152"/>
      <c r="F48" s="152"/>
      <c r="G48" s="153"/>
      <c r="H48" s="45"/>
      <c r="I48" s="40"/>
      <c r="J48" s="42"/>
      <c r="K48" s="40"/>
      <c r="L48" s="40"/>
      <c r="M48" s="45"/>
      <c r="N48" s="180"/>
    </row>
    <row r="49" spans="1:14" s="1" customFormat="1" ht="14.1" customHeight="1" x14ac:dyDescent="0.3">
      <c r="A49" s="48">
        <v>24</v>
      </c>
      <c r="B49" s="65" t="s">
        <v>17</v>
      </c>
      <c r="C49" s="66"/>
      <c r="D49" s="62" t="s">
        <v>13</v>
      </c>
      <c r="E49" s="63"/>
      <c r="F49" s="63"/>
      <c r="G49" s="64"/>
      <c r="H49" s="60">
        <f>SUM(I49)-1.3</f>
        <v>28.9</v>
      </c>
      <c r="I49" s="54">
        <f>SUM(J49)-1.3</f>
        <v>30.2</v>
      </c>
      <c r="J49" s="55">
        <v>31.5</v>
      </c>
      <c r="K49" s="54">
        <f>SUM(J49)+1.8</f>
        <v>33.299999999999997</v>
      </c>
      <c r="L49" s="54">
        <f>SUM(K49)+1.3</f>
        <v>34.599999999999994</v>
      </c>
      <c r="M49" s="60">
        <f>SUM(L49)+1.3</f>
        <v>35.899999999999991</v>
      </c>
      <c r="N49" s="181">
        <f>SUM(M49)+1.3</f>
        <v>37.199999999999989</v>
      </c>
    </row>
    <row r="50" spans="1:14" s="1" customFormat="1" ht="14.1" customHeight="1" x14ac:dyDescent="0.3">
      <c r="A50" s="48"/>
      <c r="B50" s="70" t="s">
        <v>56</v>
      </c>
      <c r="C50" s="71"/>
      <c r="D50" s="151" t="s">
        <v>97</v>
      </c>
      <c r="E50" s="152"/>
      <c r="F50" s="152"/>
      <c r="G50" s="153"/>
      <c r="H50" s="45"/>
      <c r="I50" s="40"/>
      <c r="J50" s="42"/>
      <c r="K50" s="40"/>
      <c r="L50" s="40"/>
      <c r="M50" s="45"/>
      <c r="N50" s="180"/>
    </row>
    <row r="51" spans="1:14" s="1" customFormat="1" ht="14.1" customHeight="1" x14ac:dyDescent="0.3">
      <c r="A51" s="48">
        <v>25</v>
      </c>
      <c r="B51" s="65" t="s">
        <v>18</v>
      </c>
      <c r="C51" s="66"/>
      <c r="D51" s="62" t="s">
        <v>19</v>
      </c>
      <c r="E51" s="63"/>
      <c r="F51" s="63"/>
      <c r="G51" s="64"/>
      <c r="H51" s="54">
        <f>SUM(I51)-2.7</f>
        <v>48.599999999999994</v>
      </c>
      <c r="I51" s="54">
        <f>SUM(J51)-2.7</f>
        <v>51.3</v>
      </c>
      <c r="J51" s="55">
        <v>54</v>
      </c>
      <c r="K51" s="54">
        <f>SUM(J51)+2.6</f>
        <v>56.6</v>
      </c>
      <c r="L51" s="54">
        <f>SUM(K51)+2.6</f>
        <v>59.2</v>
      </c>
      <c r="M51" s="54">
        <f>SUM(L51)+2.6</f>
        <v>61.800000000000004</v>
      </c>
      <c r="N51" s="115">
        <f>SUM(M51)+2.6</f>
        <v>64.400000000000006</v>
      </c>
    </row>
    <row r="52" spans="1:14" s="1" customFormat="1" ht="14.1" customHeight="1" x14ac:dyDescent="0.3">
      <c r="A52" s="48"/>
      <c r="B52" s="70" t="s">
        <v>55</v>
      </c>
      <c r="C52" s="71"/>
      <c r="D52" s="151" t="s">
        <v>96</v>
      </c>
      <c r="E52" s="152"/>
      <c r="F52" s="152"/>
      <c r="G52" s="153"/>
      <c r="H52" s="40"/>
      <c r="I52" s="40"/>
      <c r="J52" s="42"/>
      <c r="K52" s="40"/>
      <c r="L52" s="40"/>
      <c r="M52" s="40"/>
      <c r="N52" s="116"/>
    </row>
    <row r="53" spans="1:14" s="1" customFormat="1" ht="14.1" customHeight="1" x14ac:dyDescent="0.3">
      <c r="A53" s="48">
        <v>26</v>
      </c>
      <c r="B53" s="65" t="s">
        <v>20</v>
      </c>
      <c r="C53" s="66"/>
      <c r="D53" s="62" t="s">
        <v>21</v>
      </c>
      <c r="E53" s="63"/>
      <c r="F53" s="63"/>
      <c r="G53" s="64"/>
      <c r="H53" s="54">
        <f>SUM(I53)-3</f>
        <v>16.7</v>
      </c>
      <c r="I53" s="54">
        <f>SUM(J53)-3</f>
        <v>19.7</v>
      </c>
      <c r="J53" s="55">
        <v>22.7</v>
      </c>
      <c r="K53" s="54">
        <f>SUM(J53)+2</f>
        <v>24.7</v>
      </c>
      <c r="L53" s="54">
        <f>SUM(K53)+2.5</f>
        <v>27.2</v>
      </c>
      <c r="M53" s="54">
        <f>SUM(L53)+2.5</f>
        <v>29.7</v>
      </c>
      <c r="N53" s="115">
        <f>SUM(M53)+2.5</f>
        <v>32.200000000000003</v>
      </c>
    </row>
    <row r="54" spans="1:14" s="1" customFormat="1" ht="14.1" customHeight="1" x14ac:dyDescent="0.3">
      <c r="A54" s="48"/>
      <c r="B54" s="70" t="s">
        <v>54</v>
      </c>
      <c r="C54" s="71"/>
      <c r="D54" s="151" t="s">
        <v>95</v>
      </c>
      <c r="E54" s="152"/>
      <c r="F54" s="152"/>
      <c r="G54" s="153"/>
      <c r="H54" s="40"/>
      <c r="I54" s="40"/>
      <c r="J54" s="42"/>
      <c r="K54" s="40"/>
      <c r="L54" s="40"/>
      <c r="M54" s="40"/>
      <c r="N54" s="116"/>
    </row>
    <row r="55" spans="1:14" s="1" customFormat="1" ht="14.1" customHeight="1" x14ac:dyDescent="0.3">
      <c r="A55" s="48">
        <v>27</v>
      </c>
      <c r="B55" s="65" t="s">
        <v>94</v>
      </c>
      <c r="C55" s="66"/>
      <c r="D55" s="62" t="s">
        <v>92</v>
      </c>
      <c r="E55" s="63"/>
      <c r="F55" s="63"/>
      <c r="G55" s="64"/>
      <c r="H55" s="54"/>
      <c r="I55" s="54"/>
      <c r="J55" s="55"/>
      <c r="K55" s="54"/>
      <c r="L55" s="54"/>
      <c r="M55" s="54"/>
      <c r="N55" s="115"/>
    </row>
    <row r="56" spans="1:14" s="1" customFormat="1" ht="14.1" customHeight="1" x14ac:dyDescent="0.3">
      <c r="A56" s="48"/>
      <c r="B56" s="70" t="s">
        <v>93</v>
      </c>
      <c r="C56" s="71"/>
      <c r="D56" s="151" t="s">
        <v>92</v>
      </c>
      <c r="E56" s="152"/>
      <c r="F56" s="152"/>
      <c r="G56" s="153"/>
      <c r="H56" s="40"/>
      <c r="I56" s="40"/>
      <c r="J56" s="42"/>
      <c r="K56" s="40"/>
      <c r="L56" s="40"/>
      <c r="M56" s="40"/>
      <c r="N56" s="116"/>
    </row>
    <row r="57" spans="1:14" s="1" customFormat="1" ht="14.1" customHeight="1" x14ac:dyDescent="0.3">
      <c r="A57" s="48">
        <v>28</v>
      </c>
      <c r="B57" s="65" t="s">
        <v>91</v>
      </c>
      <c r="C57" s="66"/>
      <c r="D57" s="62" t="s">
        <v>90</v>
      </c>
      <c r="E57" s="63"/>
      <c r="F57" s="63"/>
      <c r="G57" s="64"/>
      <c r="H57" s="54"/>
      <c r="I57" s="54"/>
      <c r="J57" s="55"/>
      <c r="K57" s="54"/>
      <c r="L57" s="54"/>
      <c r="M57" s="54"/>
      <c r="N57" s="115"/>
    </row>
    <row r="58" spans="1:14" s="1" customFormat="1" ht="14.1" customHeight="1" x14ac:dyDescent="0.3">
      <c r="A58" s="48"/>
      <c r="B58" s="70" t="s">
        <v>89</v>
      </c>
      <c r="C58" s="71"/>
      <c r="D58" s="151" t="s">
        <v>130</v>
      </c>
      <c r="E58" s="152"/>
      <c r="F58" s="152"/>
      <c r="G58" s="153"/>
      <c r="H58" s="40"/>
      <c r="I58" s="40"/>
      <c r="J58" s="42"/>
      <c r="K58" s="40"/>
      <c r="L58" s="40"/>
      <c r="M58" s="40"/>
      <c r="N58" s="116"/>
    </row>
    <row r="59" spans="1:14" s="1" customFormat="1" ht="14.1" customHeight="1" x14ac:dyDescent="0.3">
      <c r="A59" s="48">
        <v>29</v>
      </c>
      <c r="B59" s="65" t="s">
        <v>114</v>
      </c>
      <c r="C59" s="66"/>
      <c r="D59" s="62" t="s">
        <v>22</v>
      </c>
      <c r="E59" s="63"/>
      <c r="F59" s="63"/>
      <c r="G59" s="64"/>
      <c r="H59" s="54">
        <f>SUM(I59)-0.2</f>
        <v>4.1999999999999993</v>
      </c>
      <c r="I59" s="54">
        <f>SUM(J59)-0.2</f>
        <v>4.3999999999999995</v>
      </c>
      <c r="J59" s="67">
        <v>4.5999999999999996</v>
      </c>
      <c r="K59" s="68">
        <f>SUM(J59)+0.2</f>
        <v>4.8</v>
      </c>
      <c r="L59" s="68">
        <f>SUM(K59)+0.2</f>
        <v>5</v>
      </c>
      <c r="M59" s="68">
        <f>SUM(L59)+0.2</f>
        <v>5.2</v>
      </c>
      <c r="N59" s="117">
        <f>SUM(M59)+0.2</f>
        <v>5.4</v>
      </c>
    </row>
    <row r="60" spans="1:14" s="1" customFormat="1" ht="14.1" customHeight="1" x14ac:dyDescent="0.3">
      <c r="A60" s="48"/>
      <c r="B60" s="70" t="s">
        <v>53</v>
      </c>
      <c r="C60" s="71"/>
      <c r="D60" s="151" t="s">
        <v>113</v>
      </c>
      <c r="E60" s="152"/>
      <c r="F60" s="152"/>
      <c r="G60" s="153"/>
      <c r="H60" s="40"/>
      <c r="I60" s="40"/>
      <c r="J60" s="67"/>
      <c r="K60" s="68"/>
      <c r="L60" s="68"/>
      <c r="M60" s="68"/>
      <c r="N60" s="117"/>
    </row>
    <row r="61" spans="1:14" s="1" customFormat="1" ht="14.1" customHeight="1" x14ac:dyDescent="0.3">
      <c r="A61" s="48">
        <v>30</v>
      </c>
      <c r="B61" s="65" t="s">
        <v>112</v>
      </c>
      <c r="C61" s="66"/>
      <c r="D61" s="62" t="s">
        <v>23</v>
      </c>
      <c r="E61" s="63"/>
      <c r="F61" s="63"/>
      <c r="G61" s="64"/>
      <c r="H61" s="54">
        <f>SUM(I61)-0.6</f>
        <v>9</v>
      </c>
      <c r="I61" s="54">
        <f>SUM(J61)-0.6</f>
        <v>9.6</v>
      </c>
      <c r="J61" s="67">
        <v>10.199999999999999</v>
      </c>
      <c r="K61" s="68">
        <f>SUM(J61)+0.6</f>
        <v>10.799999999999999</v>
      </c>
      <c r="L61" s="68">
        <f>SUM(K61)+0.6</f>
        <v>11.399999999999999</v>
      </c>
      <c r="M61" s="68">
        <f>SUM(L61)+0.6</f>
        <v>11.999999999999998</v>
      </c>
      <c r="N61" s="117">
        <f>SUM(M61)+0.6</f>
        <v>12.599999999999998</v>
      </c>
    </row>
    <row r="62" spans="1:14" s="1" customFormat="1" ht="14.1" customHeight="1" x14ac:dyDescent="0.3">
      <c r="A62" s="48"/>
      <c r="B62" s="70" t="s">
        <v>52</v>
      </c>
      <c r="C62" s="71"/>
      <c r="D62" s="151" t="s">
        <v>111</v>
      </c>
      <c r="E62" s="152"/>
      <c r="F62" s="152"/>
      <c r="G62" s="153"/>
      <c r="H62" s="40"/>
      <c r="I62" s="40"/>
      <c r="J62" s="67"/>
      <c r="K62" s="68"/>
      <c r="L62" s="68"/>
      <c r="M62" s="68"/>
      <c r="N62" s="117"/>
    </row>
    <row r="63" spans="1:14" ht="14.1" customHeight="1" x14ac:dyDescent="0.3">
      <c r="A63" s="48">
        <v>31</v>
      </c>
      <c r="B63" s="65" t="s">
        <v>178</v>
      </c>
      <c r="C63" s="66"/>
      <c r="D63" s="61"/>
      <c r="E63" s="61"/>
      <c r="F63" s="61"/>
      <c r="G63" s="61"/>
      <c r="H63" s="105">
        <f>SUM(I63)-3</f>
        <v>77</v>
      </c>
      <c r="I63" s="81">
        <f>SUM(J63)-3</f>
        <v>80</v>
      </c>
      <c r="J63" s="82">
        <v>83</v>
      </c>
      <c r="K63" s="81">
        <f>SUM(J63)+3</f>
        <v>86</v>
      </c>
      <c r="L63" s="81">
        <f>SUM(K63)+3</f>
        <v>89</v>
      </c>
      <c r="M63" s="81">
        <f>SUM(L63)+3</f>
        <v>92</v>
      </c>
      <c r="N63" s="139">
        <f>SUM(M63)+3</f>
        <v>95</v>
      </c>
    </row>
    <row r="64" spans="1:14" ht="14.1" customHeight="1" x14ac:dyDescent="0.3">
      <c r="A64" s="48"/>
      <c r="B64" s="57" t="s">
        <v>179</v>
      </c>
      <c r="C64" s="58"/>
      <c r="D64" s="46" t="s">
        <v>180</v>
      </c>
      <c r="E64" s="47"/>
      <c r="F64" s="47"/>
      <c r="G64" s="59"/>
      <c r="H64" s="45"/>
      <c r="I64" s="40"/>
      <c r="J64" s="42"/>
      <c r="K64" s="40"/>
      <c r="L64" s="40"/>
      <c r="M64" s="40"/>
      <c r="N64" s="116"/>
    </row>
    <row r="65" spans="1:14" ht="14.1" customHeight="1" x14ac:dyDescent="0.3">
      <c r="A65" s="48">
        <v>32</v>
      </c>
      <c r="B65" s="65"/>
      <c r="C65" s="66"/>
      <c r="D65" s="61"/>
      <c r="E65" s="61"/>
      <c r="F65" s="61"/>
      <c r="G65" s="61"/>
      <c r="H65" s="54"/>
      <c r="I65" s="54"/>
      <c r="J65" s="67"/>
      <c r="K65" s="68"/>
      <c r="L65" s="68"/>
      <c r="M65" s="68"/>
      <c r="N65" s="117"/>
    </row>
    <row r="66" spans="1:14" ht="14.1" customHeight="1" thickBot="1" x14ac:dyDescent="0.35">
      <c r="A66" s="87"/>
      <c r="B66" s="141"/>
      <c r="C66" s="141"/>
      <c r="D66" s="98"/>
      <c r="E66" s="99"/>
      <c r="F66" s="99"/>
      <c r="G66" s="100"/>
      <c r="H66" s="91"/>
      <c r="I66" s="91"/>
      <c r="J66" s="92"/>
      <c r="K66" s="93"/>
      <c r="L66" s="93"/>
      <c r="M66" s="93"/>
      <c r="N66" s="118"/>
    </row>
  </sheetData>
  <mergeCells count="387">
    <mergeCell ref="B26:C26"/>
    <mergeCell ref="D26:G26"/>
    <mergeCell ref="K27:K28"/>
    <mergeCell ref="L27:L28"/>
    <mergeCell ref="M27:M28"/>
    <mergeCell ref="N27:N28"/>
    <mergeCell ref="B28:C28"/>
    <mergeCell ref="D28:G28"/>
    <mergeCell ref="B30:C30"/>
    <mergeCell ref="D30:G30"/>
    <mergeCell ref="N29:N30"/>
    <mergeCell ref="A27:A28"/>
    <mergeCell ref="B27:C27"/>
    <mergeCell ref="D27:G27"/>
    <mergeCell ref="H27:H28"/>
    <mergeCell ref="I27:I28"/>
    <mergeCell ref="J27:J28"/>
    <mergeCell ref="N61:N62"/>
    <mergeCell ref="N63:N64"/>
    <mergeCell ref="N65:N66"/>
    <mergeCell ref="A31:A32"/>
    <mergeCell ref="B31:C31"/>
    <mergeCell ref="D31:G31"/>
    <mergeCell ref="H31:H32"/>
    <mergeCell ref="I31:I32"/>
    <mergeCell ref="J31:J32"/>
    <mergeCell ref="K31:K32"/>
    <mergeCell ref="N49:N50"/>
    <mergeCell ref="N51:N52"/>
    <mergeCell ref="N53:N54"/>
    <mergeCell ref="N55:N56"/>
    <mergeCell ref="N57:N58"/>
    <mergeCell ref="N59:N60"/>
    <mergeCell ref="N37:N38"/>
    <mergeCell ref="N39:N40"/>
    <mergeCell ref="N41:N42"/>
    <mergeCell ref="N43:N44"/>
    <mergeCell ref="B32:C32"/>
    <mergeCell ref="D32:G32"/>
    <mergeCell ref="L31:L32"/>
    <mergeCell ref="M31:M32"/>
    <mergeCell ref="N31:N32"/>
    <mergeCell ref="L59:L60"/>
    <mergeCell ref="M59:M60"/>
    <mergeCell ref="J57:J58"/>
    <mergeCell ref="N45:N46"/>
    <mergeCell ref="N47:N48"/>
    <mergeCell ref="N33:N34"/>
    <mergeCell ref="N35:N36"/>
    <mergeCell ref="L57:L58"/>
    <mergeCell ref="M57:M58"/>
    <mergeCell ref="L55:L56"/>
    <mergeCell ref="M55:M56"/>
    <mergeCell ref="J53:J54"/>
    <mergeCell ref="K53:K54"/>
    <mergeCell ref="L53:L54"/>
    <mergeCell ref="M53:M54"/>
    <mergeCell ref="B58:C58"/>
    <mergeCell ref="D58:G58"/>
    <mergeCell ref="N5:N6"/>
    <mergeCell ref="N7:N8"/>
    <mergeCell ref="N9:N10"/>
    <mergeCell ref="N11:N12"/>
    <mergeCell ref="J29:J30"/>
    <mergeCell ref="K29:K30"/>
    <mergeCell ref="L29:L30"/>
    <mergeCell ref="M29:M30"/>
    <mergeCell ref="M25:M26"/>
    <mergeCell ref="N25:N26"/>
    <mergeCell ref="N13:N14"/>
    <mergeCell ref="N15:N16"/>
    <mergeCell ref="N17:N18"/>
    <mergeCell ref="N19:N20"/>
    <mergeCell ref="N21:N22"/>
    <mergeCell ref="N23:N24"/>
    <mergeCell ref="J21:J22"/>
    <mergeCell ref="K21:K22"/>
    <mergeCell ref="L21:L22"/>
    <mergeCell ref="M21:M22"/>
    <mergeCell ref="L19:L20"/>
    <mergeCell ref="M19:M20"/>
    <mergeCell ref="J17:J18"/>
    <mergeCell ref="K17:K18"/>
    <mergeCell ref="L65:L66"/>
    <mergeCell ref="M65:M66"/>
    <mergeCell ref="L63:L64"/>
    <mergeCell ref="M63:M64"/>
    <mergeCell ref="J61:J62"/>
    <mergeCell ref="K61:K62"/>
    <mergeCell ref="L61:L62"/>
    <mergeCell ref="M61:M62"/>
    <mergeCell ref="B66:C66"/>
    <mergeCell ref="D66:G66"/>
    <mergeCell ref="B62:C62"/>
    <mergeCell ref="D62:G62"/>
    <mergeCell ref="A65:A66"/>
    <mergeCell ref="B65:C65"/>
    <mergeCell ref="D65:G65"/>
    <mergeCell ref="H65:H66"/>
    <mergeCell ref="I65:I66"/>
    <mergeCell ref="J63:J64"/>
    <mergeCell ref="K63:K64"/>
    <mergeCell ref="B64:C64"/>
    <mergeCell ref="D64:G64"/>
    <mergeCell ref="A63:A64"/>
    <mergeCell ref="B63:C63"/>
    <mergeCell ref="D63:G63"/>
    <mergeCell ref="H63:H64"/>
    <mergeCell ref="I63:I64"/>
    <mergeCell ref="J65:J66"/>
    <mergeCell ref="K65:K66"/>
    <mergeCell ref="A61:A62"/>
    <mergeCell ref="B61:C61"/>
    <mergeCell ref="D61:G61"/>
    <mergeCell ref="H61:H62"/>
    <mergeCell ref="I61:I62"/>
    <mergeCell ref="J59:J60"/>
    <mergeCell ref="K59:K60"/>
    <mergeCell ref="B60:C60"/>
    <mergeCell ref="D60:G60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5:J56"/>
    <mergeCell ref="K55:K56"/>
    <mergeCell ref="B56:C56"/>
    <mergeCell ref="D56:G56"/>
    <mergeCell ref="A55:A56"/>
    <mergeCell ref="B55:C55"/>
    <mergeCell ref="D55:G55"/>
    <mergeCell ref="H55:H56"/>
    <mergeCell ref="I55:I56"/>
    <mergeCell ref="K57:K58"/>
    <mergeCell ref="B54:C54"/>
    <mergeCell ref="D54:G54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49:J50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5:J46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A29:A30"/>
    <mergeCell ref="B29:C29"/>
    <mergeCell ref="D29:G29"/>
    <mergeCell ref="H29:H30"/>
    <mergeCell ref="I29:I30"/>
    <mergeCell ref="J23:J24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A25:A26"/>
    <mergeCell ref="B25:C25"/>
    <mergeCell ref="D25:G25"/>
    <mergeCell ref="H25:H26"/>
    <mergeCell ref="I25:I26"/>
    <mergeCell ref="J25:J26"/>
    <mergeCell ref="K25:K26"/>
    <mergeCell ref="L25:L26"/>
    <mergeCell ref="B22:C22"/>
    <mergeCell ref="D22:G22"/>
    <mergeCell ref="A21:A22"/>
    <mergeCell ref="B21:C21"/>
    <mergeCell ref="D21:G21"/>
    <mergeCell ref="H21:H22"/>
    <mergeCell ref="I21:I22"/>
    <mergeCell ref="J19:J20"/>
    <mergeCell ref="K19:K20"/>
    <mergeCell ref="B20:C20"/>
    <mergeCell ref="D20:G20"/>
    <mergeCell ref="A19:A20"/>
    <mergeCell ref="B19:C19"/>
    <mergeCell ref="D19:G19"/>
    <mergeCell ref="H19:H20"/>
    <mergeCell ref="I19:I20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9:J10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J7:J8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N3:N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8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0048-2201-4AB9-87E2-1763CD0B2439}">
  <sheetPr codeName="Sheet39">
    <tabColor rgb="FFFF0000"/>
    <pageSetUpPr fitToPage="1"/>
  </sheetPr>
  <dimension ref="A1:M66"/>
  <sheetViews>
    <sheetView zoomScale="110" zoomScaleNormal="110" workbookViewId="0">
      <selection activeCell="B19" sqref="B19:C20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380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339</v>
      </c>
      <c r="C3" s="36"/>
      <c r="D3" s="37"/>
      <c r="E3" s="37"/>
      <c r="F3" s="37"/>
      <c r="G3" s="38"/>
      <c r="H3" s="39">
        <f>SUM(I3)-2.4</f>
        <v>23.200000000000003</v>
      </c>
      <c r="I3" s="39">
        <f>SUM(J3)-2.4</f>
        <v>25.6</v>
      </c>
      <c r="J3" s="41">
        <v>28</v>
      </c>
      <c r="K3" s="39">
        <f>SUM(J3)+1.9</f>
        <v>29.9</v>
      </c>
      <c r="L3" s="39">
        <f>SUM(K3)+1.9</f>
        <v>31.799999999999997</v>
      </c>
      <c r="M3" s="43">
        <f>SUM(L3)+1.9</f>
        <v>33.699999999999996</v>
      </c>
    </row>
    <row r="4" spans="1:13" s="1" customFormat="1" ht="14.1" customHeight="1" x14ac:dyDescent="0.3">
      <c r="A4" s="35"/>
      <c r="B4" s="45" t="s">
        <v>381</v>
      </c>
      <c r="C4" s="45"/>
      <c r="D4" s="46"/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103">
        <v>2</v>
      </c>
      <c r="B5" s="105" t="s">
        <v>340</v>
      </c>
      <c r="C5" s="105"/>
      <c r="D5" s="106"/>
      <c r="E5" s="106"/>
      <c r="F5" s="106"/>
      <c r="G5" s="51"/>
      <c r="H5" s="81">
        <f>SUM(I5)-2</f>
        <v>18</v>
      </c>
      <c r="I5" s="81">
        <f>SUM(J5)-2</f>
        <v>20</v>
      </c>
      <c r="J5" s="82">
        <v>22</v>
      </c>
      <c r="K5" s="81">
        <f>SUM(J5)+1.5</f>
        <v>23.5</v>
      </c>
      <c r="L5" s="81">
        <f>SUM(K5)+1.5</f>
        <v>25</v>
      </c>
      <c r="M5" s="83">
        <f>SUM(L5)+1.5</f>
        <v>26.5</v>
      </c>
    </row>
    <row r="6" spans="1:13" s="1" customFormat="1" ht="14.1" customHeight="1" x14ac:dyDescent="0.3">
      <c r="A6" s="35"/>
      <c r="B6" s="45" t="s">
        <v>382</v>
      </c>
      <c r="C6" s="45"/>
      <c r="D6" s="46"/>
      <c r="E6" s="47"/>
      <c r="F6" s="47"/>
      <c r="G6" s="47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383</v>
      </c>
      <c r="C7" s="60"/>
      <c r="D7" s="61"/>
      <c r="E7" s="61"/>
      <c r="F7" s="61"/>
      <c r="G7" s="61"/>
      <c r="H7" s="54">
        <f>SUM(I7)-1.8</f>
        <v>26.4</v>
      </c>
      <c r="I7" s="54">
        <f>SUM(J7)-1.8</f>
        <v>28.2</v>
      </c>
      <c r="J7" s="55">
        <v>30</v>
      </c>
      <c r="K7" s="54">
        <f>SUM(J7)+1.8</f>
        <v>31.8</v>
      </c>
      <c r="L7" s="54">
        <f>SUM(K7)+1.8</f>
        <v>33.6</v>
      </c>
      <c r="M7" s="56">
        <f>SUM(L7)+1.8</f>
        <v>35.4</v>
      </c>
    </row>
    <row r="8" spans="1:13" s="1" customFormat="1" ht="14.1" customHeight="1" x14ac:dyDescent="0.3">
      <c r="A8" s="48"/>
      <c r="B8" s="45" t="s">
        <v>384</v>
      </c>
      <c r="C8" s="45"/>
      <c r="D8" s="46"/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SUM(I9)-2.25</f>
        <v>28.5</v>
      </c>
      <c r="I9" s="54">
        <f>SUM(J9)-2.25</f>
        <v>30.75</v>
      </c>
      <c r="J9" s="55">
        <v>33</v>
      </c>
      <c r="K9" s="54">
        <f>SUM(J9)+2</f>
        <v>35</v>
      </c>
      <c r="L9" s="54">
        <f>SUM(K9)+2</f>
        <v>37</v>
      </c>
      <c r="M9" s="56">
        <f>SUM(L9)+2</f>
        <v>39</v>
      </c>
    </row>
    <row r="10" spans="1:13" s="1" customFormat="1" ht="14.1" customHeight="1" x14ac:dyDescent="0.3">
      <c r="A10" s="48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5" t="s">
        <v>191</v>
      </c>
      <c r="C11" s="66"/>
      <c r="D11" s="62" t="s">
        <v>192</v>
      </c>
      <c r="E11" s="63"/>
      <c r="F11" s="63"/>
      <c r="G11" s="64"/>
      <c r="H11" s="54">
        <f>SUM(I11)-2.3</f>
        <v>29.4</v>
      </c>
      <c r="I11" s="54">
        <f>SUM(J11)-2.3</f>
        <v>31.7</v>
      </c>
      <c r="J11" s="55">
        <v>34</v>
      </c>
      <c r="K11" s="54">
        <f>SUM(J11)+2.1</f>
        <v>36.1</v>
      </c>
      <c r="L11" s="54">
        <f>SUM(K11)+2.1</f>
        <v>38.200000000000003</v>
      </c>
      <c r="M11" s="56">
        <f>SUM(L11)+2.1</f>
        <v>40.300000000000004</v>
      </c>
    </row>
    <row r="12" spans="1:13" s="1" customFormat="1" ht="14.1" customHeight="1" x14ac:dyDescent="0.3">
      <c r="A12" s="48"/>
      <c r="B12" s="57" t="s">
        <v>193</v>
      </c>
      <c r="C12" s="58"/>
      <c r="D12" s="46" t="s">
        <v>194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48">
        <v>6</v>
      </c>
      <c r="B13" s="65" t="s">
        <v>344</v>
      </c>
      <c r="C13" s="66"/>
      <c r="D13" s="62"/>
      <c r="E13" s="63"/>
      <c r="F13" s="63"/>
      <c r="G13" s="64"/>
      <c r="H13" s="54">
        <f>SUM(I13)-1</f>
        <v>14</v>
      </c>
      <c r="I13" s="54">
        <f>SUM(J13)-1</f>
        <v>15</v>
      </c>
      <c r="J13" s="67">
        <v>16</v>
      </c>
      <c r="K13" s="68">
        <f>SUM(J13)+1</f>
        <v>17</v>
      </c>
      <c r="L13" s="68">
        <f t="shared" ref="L13" si="0">SUM(K13)+1</f>
        <v>18</v>
      </c>
      <c r="M13" s="69">
        <f t="shared" ref="M13" si="1">SUM(L13)+1</f>
        <v>19</v>
      </c>
    </row>
    <row r="14" spans="1:13" s="1" customFormat="1" ht="14.1" customHeight="1" x14ac:dyDescent="0.3">
      <c r="A14" s="48"/>
      <c r="B14" s="45" t="s">
        <v>345</v>
      </c>
      <c r="C14" s="45"/>
      <c r="D14" s="46" t="s">
        <v>213</v>
      </c>
      <c r="E14" s="47"/>
      <c r="F14" s="47"/>
      <c r="G14" s="59"/>
      <c r="H14" s="81"/>
      <c r="I14" s="81"/>
      <c r="J14" s="55"/>
      <c r="K14" s="54"/>
      <c r="L14" s="54"/>
      <c r="M14" s="56"/>
    </row>
    <row r="15" spans="1:13" s="1" customFormat="1" ht="14.1" customHeight="1" x14ac:dyDescent="0.3">
      <c r="A15" s="48">
        <v>7</v>
      </c>
      <c r="B15" s="60" t="s">
        <v>385</v>
      </c>
      <c r="C15" s="60"/>
      <c r="D15" s="61"/>
      <c r="E15" s="61"/>
      <c r="F15" s="61"/>
      <c r="G15" s="61"/>
      <c r="H15" s="54">
        <f>SUM(I15)-0.6</f>
        <v>7.8000000000000007</v>
      </c>
      <c r="I15" s="54">
        <f>SUM(J15)-0.6</f>
        <v>8.4</v>
      </c>
      <c r="J15" s="67">
        <v>9</v>
      </c>
      <c r="K15" s="68">
        <f>SUM(J15)+0.6</f>
        <v>9.6</v>
      </c>
      <c r="L15" s="68">
        <f>SUM(K15)+0.6</f>
        <v>10.199999999999999</v>
      </c>
      <c r="M15" s="69">
        <f>SUM(L15)+0.6</f>
        <v>10.799999999999999</v>
      </c>
    </row>
    <row r="16" spans="1:13" s="1" customFormat="1" ht="14.1" customHeight="1" x14ac:dyDescent="0.3">
      <c r="A16" s="48"/>
      <c r="B16" s="45" t="s">
        <v>386</v>
      </c>
      <c r="C16" s="45"/>
      <c r="D16" s="46"/>
      <c r="E16" s="47"/>
      <c r="F16" s="47"/>
      <c r="G16" s="59"/>
      <c r="H16" s="81"/>
      <c r="I16" s="81"/>
      <c r="J16" s="55"/>
      <c r="K16" s="54"/>
      <c r="L16" s="54"/>
      <c r="M16" s="56"/>
    </row>
    <row r="17" spans="1:13" s="1" customFormat="1" ht="14.1" customHeight="1" x14ac:dyDescent="0.3">
      <c r="A17" s="48">
        <v>8</v>
      </c>
      <c r="B17" s="60" t="s">
        <v>388</v>
      </c>
      <c r="C17" s="60"/>
      <c r="D17" s="61"/>
      <c r="E17" s="61"/>
      <c r="F17" s="61"/>
      <c r="G17" s="61"/>
      <c r="H17" s="54">
        <f>SUM(I17)-0.6</f>
        <v>7.8000000000000007</v>
      </c>
      <c r="I17" s="54">
        <f>SUM(J17)-0.6</f>
        <v>8.4</v>
      </c>
      <c r="J17" s="67">
        <v>9</v>
      </c>
      <c r="K17" s="68">
        <f>SUM(J17)+0.6</f>
        <v>9.6</v>
      </c>
      <c r="L17" s="68">
        <f>SUM(K17)+0.6</f>
        <v>10.199999999999999</v>
      </c>
      <c r="M17" s="69">
        <f>SUM(L17)+0.6</f>
        <v>10.799999999999999</v>
      </c>
    </row>
    <row r="18" spans="1:13" s="1" customFormat="1" ht="14.1" customHeight="1" x14ac:dyDescent="0.3">
      <c r="A18" s="48"/>
      <c r="B18" s="45" t="s">
        <v>387</v>
      </c>
      <c r="C18" s="45"/>
      <c r="D18" s="46"/>
      <c r="E18" s="47"/>
      <c r="F18" s="47"/>
      <c r="G18" s="59"/>
      <c r="H18" s="81"/>
      <c r="I18" s="81"/>
      <c r="J18" s="55"/>
      <c r="K18" s="54"/>
      <c r="L18" s="54"/>
      <c r="M18" s="56"/>
    </row>
    <row r="19" spans="1:13" s="1" customFormat="1" ht="14.1" customHeight="1" x14ac:dyDescent="0.3">
      <c r="A19" s="48">
        <v>9</v>
      </c>
      <c r="B19" s="65" t="s">
        <v>197</v>
      </c>
      <c r="C19" s="66"/>
      <c r="D19" s="62"/>
      <c r="E19" s="63"/>
      <c r="F19" s="63"/>
      <c r="G19" s="64"/>
      <c r="H19" s="54">
        <f>SUM(I19)-1</f>
        <v>10</v>
      </c>
      <c r="I19" s="54">
        <f>SUM(J19)-1</f>
        <v>11</v>
      </c>
      <c r="J19" s="67">
        <v>12</v>
      </c>
      <c r="K19" s="68">
        <f>SUM(J19)+0.5</f>
        <v>12.5</v>
      </c>
      <c r="L19" s="68">
        <f>SUM(K19)+0.5</f>
        <v>13</v>
      </c>
      <c r="M19" s="69">
        <f>SUM(L19)+0.5</f>
        <v>13.5</v>
      </c>
    </row>
    <row r="20" spans="1:13" s="1" customFormat="1" ht="14.1" customHeight="1" x14ac:dyDescent="0.3">
      <c r="A20" s="48"/>
      <c r="B20" s="45" t="s">
        <v>198</v>
      </c>
      <c r="C20" s="45"/>
      <c r="D20" s="46"/>
      <c r="E20" s="47"/>
      <c r="F20" s="47"/>
      <c r="G20" s="59"/>
      <c r="H20" s="81"/>
      <c r="I20" s="81"/>
      <c r="J20" s="55"/>
      <c r="K20" s="54"/>
      <c r="L20" s="54"/>
      <c r="M20" s="56"/>
    </row>
    <row r="21" spans="1:13" s="1" customFormat="1" ht="14.1" customHeight="1" x14ac:dyDescent="0.3">
      <c r="A21" s="48">
        <v>10</v>
      </c>
      <c r="B21" s="60"/>
      <c r="C21" s="60"/>
      <c r="D21" s="61"/>
      <c r="E21" s="61"/>
      <c r="F21" s="61"/>
      <c r="G21" s="61"/>
      <c r="H21" s="54"/>
      <c r="I21" s="54"/>
      <c r="J21" s="55"/>
      <c r="K21" s="54"/>
      <c r="L21" s="54"/>
      <c r="M21" s="56"/>
    </row>
    <row r="22" spans="1:13" s="1" customFormat="1" ht="14.1" customHeight="1" thickBot="1" x14ac:dyDescent="0.35">
      <c r="A22" s="78"/>
      <c r="B22" s="105"/>
      <c r="C22" s="105"/>
      <c r="D22" s="51"/>
      <c r="E22" s="52"/>
      <c r="F22" s="52"/>
      <c r="G22" s="53"/>
      <c r="H22" s="81"/>
      <c r="I22" s="81"/>
      <c r="J22" s="82"/>
      <c r="K22" s="81"/>
      <c r="L22" s="81"/>
      <c r="M22" s="83"/>
    </row>
    <row r="23" spans="1:13" s="1" customFormat="1" ht="14.1" customHeight="1" thickTop="1" x14ac:dyDescent="0.3">
      <c r="A23" s="217">
        <v>11</v>
      </c>
      <c r="B23" s="218" t="s">
        <v>119</v>
      </c>
      <c r="C23" s="219"/>
      <c r="D23" s="220" t="s">
        <v>70</v>
      </c>
      <c r="E23" s="221"/>
      <c r="F23" s="221"/>
      <c r="G23" s="222"/>
      <c r="H23" s="223">
        <f>SUM(I23)-3</f>
        <v>45</v>
      </c>
      <c r="I23" s="224">
        <f>SUM(J23)-3</f>
        <v>48</v>
      </c>
      <c r="J23" s="226">
        <v>51</v>
      </c>
      <c r="K23" s="224">
        <f>SUM(J23)+3</f>
        <v>54</v>
      </c>
      <c r="L23" s="224">
        <f>SUM(K23)+3</f>
        <v>57</v>
      </c>
      <c r="M23" s="225">
        <f>SUM(L23)+3</f>
        <v>60</v>
      </c>
    </row>
    <row r="24" spans="1:13" s="1" customFormat="1" ht="14.1" customHeight="1" x14ac:dyDescent="0.3">
      <c r="A24" s="48"/>
      <c r="B24" s="70" t="s">
        <v>87</v>
      </c>
      <c r="C24" s="71"/>
      <c r="D24" s="151" t="s">
        <v>71</v>
      </c>
      <c r="E24" s="152"/>
      <c r="F24" s="152"/>
      <c r="G24" s="153"/>
      <c r="H24" s="45"/>
      <c r="I24" s="40"/>
      <c r="J24" s="42"/>
      <c r="K24" s="40"/>
      <c r="L24" s="40"/>
      <c r="M24" s="44"/>
    </row>
    <row r="25" spans="1:13" s="1" customFormat="1" ht="14.1" customHeight="1" x14ac:dyDescent="0.3">
      <c r="A25" s="48">
        <v>12</v>
      </c>
      <c r="B25" s="65" t="s">
        <v>127</v>
      </c>
      <c r="C25" s="66"/>
      <c r="D25" s="51"/>
      <c r="E25" s="52"/>
      <c r="F25" s="52"/>
      <c r="G25" s="53"/>
      <c r="H25" s="54">
        <f>SUM(I25)-4.5</f>
        <v>65</v>
      </c>
      <c r="I25" s="54">
        <f>SUM(J25)-4.5</f>
        <v>69.5</v>
      </c>
      <c r="J25" s="82">
        <v>74</v>
      </c>
      <c r="K25" s="81">
        <f>SUM(J25)+4.5</f>
        <v>78.5</v>
      </c>
      <c r="L25" s="81">
        <f t="shared" ref="L25:M25" si="2">SUM(K25)+4.5</f>
        <v>83</v>
      </c>
      <c r="M25" s="83">
        <f t="shared" si="2"/>
        <v>87.5</v>
      </c>
    </row>
    <row r="26" spans="1:13" s="1" customFormat="1" ht="14.1" customHeight="1" x14ac:dyDescent="0.3">
      <c r="A26" s="48"/>
      <c r="B26" s="70" t="s">
        <v>128</v>
      </c>
      <c r="C26" s="71"/>
      <c r="D26" s="151"/>
      <c r="E26" s="152"/>
      <c r="F26" s="152"/>
      <c r="G26" s="153"/>
      <c r="H26" s="40"/>
      <c r="I26" s="40"/>
      <c r="J26" s="42"/>
      <c r="K26" s="40"/>
      <c r="L26" s="40"/>
      <c r="M26" s="44"/>
    </row>
    <row r="27" spans="1:13" s="1" customFormat="1" ht="14.1" customHeight="1" x14ac:dyDescent="0.3">
      <c r="A27" s="48">
        <v>13</v>
      </c>
      <c r="B27" s="65" t="s">
        <v>11</v>
      </c>
      <c r="C27" s="66"/>
      <c r="D27" s="62" t="s">
        <v>136</v>
      </c>
      <c r="E27" s="63"/>
      <c r="F27" s="63"/>
      <c r="G27" s="64"/>
      <c r="H27" s="54">
        <f>SUM(I27)-5</f>
        <v>68</v>
      </c>
      <c r="I27" s="54">
        <f>SUM(J27)-5</f>
        <v>73</v>
      </c>
      <c r="J27" s="55">
        <v>78</v>
      </c>
      <c r="K27" s="54">
        <f>SUM(J27)+5</f>
        <v>83</v>
      </c>
      <c r="L27" s="54">
        <f t="shared" ref="L27:M27" si="3">SUM(K27)+5</f>
        <v>88</v>
      </c>
      <c r="M27" s="56">
        <f t="shared" si="3"/>
        <v>93</v>
      </c>
    </row>
    <row r="28" spans="1:13" s="1" customFormat="1" ht="14.1" customHeight="1" x14ac:dyDescent="0.3">
      <c r="A28" s="48"/>
      <c r="B28" s="70" t="s">
        <v>49</v>
      </c>
      <c r="C28" s="71"/>
      <c r="D28" s="151" t="s">
        <v>100</v>
      </c>
      <c r="E28" s="152"/>
      <c r="F28" s="152"/>
      <c r="G28" s="153"/>
      <c r="H28" s="40"/>
      <c r="I28" s="40"/>
      <c r="J28" s="42"/>
      <c r="K28" s="40"/>
      <c r="L28" s="40"/>
      <c r="M28" s="44"/>
    </row>
    <row r="29" spans="1:13" s="1" customFormat="1" ht="14.1" customHeight="1" x14ac:dyDescent="0.3">
      <c r="A29" s="48">
        <v>14</v>
      </c>
      <c r="B29" s="65" t="s">
        <v>116</v>
      </c>
      <c r="C29" s="66"/>
      <c r="D29" s="62"/>
      <c r="E29" s="63"/>
      <c r="F29" s="63"/>
      <c r="G29" s="64"/>
      <c r="H29" s="60">
        <f>SUM(I29)-0.7</f>
        <v>13.900000000000002</v>
      </c>
      <c r="I29" s="54">
        <f>SUM(J29)-0.7</f>
        <v>14.600000000000001</v>
      </c>
      <c r="J29" s="55">
        <v>15.3</v>
      </c>
      <c r="K29" s="54">
        <f>SUM(J29)+1.2</f>
        <v>16.5</v>
      </c>
      <c r="L29" s="54">
        <f>SUM(K29)+0.7</f>
        <v>17.2</v>
      </c>
      <c r="M29" s="56">
        <f>SUM(L29)+0.7</f>
        <v>17.899999999999999</v>
      </c>
    </row>
    <row r="30" spans="1:13" s="1" customFormat="1" ht="14.1" customHeight="1" x14ac:dyDescent="0.3">
      <c r="A30" s="48"/>
      <c r="B30" s="70" t="s">
        <v>389</v>
      </c>
      <c r="C30" s="71"/>
      <c r="D30" s="162" t="s">
        <v>131</v>
      </c>
      <c r="E30" s="163"/>
      <c r="F30" s="163"/>
      <c r="G30" s="164"/>
      <c r="H30" s="45"/>
      <c r="I30" s="40"/>
      <c r="J30" s="42"/>
      <c r="K30" s="40"/>
      <c r="L30" s="40"/>
      <c r="M30" s="44"/>
    </row>
    <row r="31" spans="1:13" s="1" customFormat="1" ht="14.1" customHeight="1" x14ac:dyDescent="0.3">
      <c r="A31" s="48">
        <v>15</v>
      </c>
      <c r="B31" s="65" t="s">
        <v>139</v>
      </c>
      <c r="C31" s="66"/>
      <c r="D31" s="62"/>
      <c r="E31" s="63"/>
      <c r="F31" s="63"/>
      <c r="G31" s="64"/>
      <c r="H31" s="60"/>
      <c r="I31" s="54"/>
      <c r="J31" s="55"/>
      <c r="K31" s="54"/>
      <c r="L31" s="54"/>
      <c r="M31" s="56"/>
    </row>
    <row r="32" spans="1:13" s="1" customFormat="1" ht="14.1" customHeight="1" x14ac:dyDescent="0.3">
      <c r="A32" s="48"/>
      <c r="B32" s="70" t="s">
        <v>140</v>
      </c>
      <c r="C32" s="71"/>
      <c r="D32" s="162" t="s">
        <v>141</v>
      </c>
      <c r="E32" s="163"/>
      <c r="F32" s="163"/>
      <c r="G32" s="164"/>
      <c r="H32" s="45"/>
      <c r="I32" s="40"/>
      <c r="J32" s="42"/>
      <c r="K32" s="40"/>
      <c r="L32" s="40"/>
      <c r="M32" s="44"/>
    </row>
    <row r="33" spans="1:13" s="1" customFormat="1" ht="14.1" customHeight="1" x14ac:dyDescent="0.3">
      <c r="A33" s="48">
        <v>16</v>
      </c>
      <c r="B33" s="65" t="s">
        <v>9</v>
      </c>
      <c r="C33" s="66"/>
      <c r="D33" s="62" t="s">
        <v>72</v>
      </c>
      <c r="E33" s="63"/>
      <c r="F33" s="63"/>
      <c r="G33" s="64"/>
      <c r="H33" s="54">
        <f>SUM(I33)-7</f>
        <v>51</v>
      </c>
      <c r="I33" s="54">
        <f>SUM(J33)-7</f>
        <v>58</v>
      </c>
      <c r="J33" s="55">
        <v>65</v>
      </c>
      <c r="K33" s="54">
        <f>SUM(J33)+6</f>
        <v>71</v>
      </c>
      <c r="L33" s="54">
        <f>SUM(K33)+6</f>
        <v>77</v>
      </c>
      <c r="M33" s="56">
        <f>SUM(L33)+6</f>
        <v>83</v>
      </c>
    </row>
    <row r="34" spans="1:13" s="1" customFormat="1" ht="14.1" customHeight="1" x14ac:dyDescent="0.3">
      <c r="A34" s="48"/>
      <c r="B34" s="70" t="s">
        <v>327</v>
      </c>
      <c r="C34" s="71"/>
      <c r="D34" s="151" t="s">
        <v>99</v>
      </c>
      <c r="E34" s="152"/>
      <c r="F34" s="152"/>
      <c r="G34" s="153"/>
      <c r="H34" s="40"/>
      <c r="I34" s="40"/>
      <c r="J34" s="42"/>
      <c r="K34" s="40"/>
      <c r="L34" s="40"/>
      <c r="M34" s="44"/>
    </row>
    <row r="35" spans="1:13" s="1" customFormat="1" ht="14.1" customHeight="1" x14ac:dyDescent="0.3">
      <c r="A35" s="48">
        <v>17</v>
      </c>
      <c r="B35" s="65" t="s">
        <v>14</v>
      </c>
      <c r="C35" s="66"/>
      <c r="D35" s="62" t="s">
        <v>15</v>
      </c>
      <c r="E35" s="63"/>
      <c r="F35" s="63"/>
      <c r="G35" s="64"/>
      <c r="H35" s="54">
        <f>SUM(I35)-2</f>
        <v>35</v>
      </c>
      <c r="I35" s="54">
        <f>SUM(J35)-2</f>
        <v>37</v>
      </c>
      <c r="J35" s="55">
        <v>39</v>
      </c>
      <c r="K35" s="54">
        <f>SUM(J35)+2</f>
        <v>41</v>
      </c>
      <c r="L35" s="54">
        <f>SUM(K35)+2</f>
        <v>43</v>
      </c>
      <c r="M35" s="56">
        <f>SUM(L35)+2</f>
        <v>45</v>
      </c>
    </row>
    <row r="36" spans="1:13" s="1" customFormat="1" ht="14.1" customHeight="1" x14ac:dyDescent="0.3">
      <c r="A36" s="48"/>
      <c r="B36" s="70" t="s">
        <v>51</v>
      </c>
      <c r="C36" s="71"/>
      <c r="D36" s="46" t="s">
        <v>98</v>
      </c>
      <c r="E36" s="47"/>
      <c r="F36" s="47"/>
      <c r="G36" s="59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48">
        <v>18</v>
      </c>
      <c r="B37" s="65" t="s">
        <v>16</v>
      </c>
      <c r="C37" s="66"/>
      <c r="D37" s="62" t="s">
        <v>13</v>
      </c>
      <c r="E37" s="63"/>
      <c r="F37" s="63"/>
      <c r="G37" s="64"/>
      <c r="H37" s="60">
        <f>SUM(I37)-1.1</f>
        <v>21.599999999999998</v>
      </c>
      <c r="I37" s="54">
        <f>SUM(J37)-1.1</f>
        <v>22.7</v>
      </c>
      <c r="J37" s="55">
        <v>23.8</v>
      </c>
      <c r="K37" s="54">
        <f>SUM(J37)+1.6</f>
        <v>25.400000000000002</v>
      </c>
      <c r="L37" s="54">
        <f>SUM(K37)+1.1</f>
        <v>26.500000000000004</v>
      </c>
      <c r="M37" s="56">
        <f>SUM(L37)+1.1</f>
        <v>27.600000000000005</v>
      </c>
    </row>
    <row r="38" spans="1:13" s="1" customFormat="1" ht="14.1" customHeight="1" x14ac:dyDescent="0.3">
      <c r="A38" s="48"/>
      <c r="B38" s="70" t="s">
        <v>328</v>
      </c>
      <c r="C38" s="71"/>
      <c r="D38" s="151" t="s">
        <v>97</v>
      </c>
      <c r="E38" s="152"/>
      <c r="F38" s="152"/>
      <c r="G38" s="153"/>
      <c r="H38" s="45"/>
      <c r="I38" s="40"/>
      <c r="J38" s="42"/>
      <c r="K38" s="40"/>
      <c r="L38" s="40"/>
      <c r="M38" s="44"/>
    </row>
    <row r="39" spans="1:13" s="1" customFormat="1" ht="14.1" customHeight="1" x14ac:dyDescent="0.3">
      <c r="A39" s="48">
        <v>19</v>
      </c>
      <c r="B39" s="65" t="s">
        <v>17</v>
      </c>
      <c r="C39" s="66"/>
      <c r="D39" s="62" t="s">
        <v>13</v>
      </c>
      <c r="E39" s="63"/>
      <c r="F39" s="63"/>
      <c r="G39" s="64"/>
      <c r="H39" s="60">
        <f>SUM(I39)-1.3</f>
        <v>29.4</v>
      </c>
      <c r="I39" s="54">
        <f>SUM(J39)-1.3</f>
        <v>30.7</v>
      </c>
      <c r="J39" s="55">
        <v>32</v>
      </c>
      <c r="K39" s="54">
        <f>SUM(J39)+1.8</f>
        <v>33.799999999999997</v>
      </c>
      <c r="L39" s="54">
        <f>SUM(K39)+1.3</f>
        <v>35.099999999999994</v>
      </c>
      <c r="M39" s="56">
        <f>SUM(L39)+1.3</f>
        <v>36.399999999999991</v>
      </c>
    </row>
    <row r="40" spans="1:13" s="1" customFormat="1" ht="14.1" customHeight="1" x14ac:dyDescent="0.3">
      <c r="A40" s="48"/>
      <c r="B40" s="70" t="s">
        <v>329</v>
      </c>
      <c r="C40" s="71"/>
      <c r="D40" s="151" t="s">
        <v>97</v>
      </c>
      <c r="E40" s="152"/>
      <c r="F40" s="152"/>
      <c r="G40" s="153"/>
      <c r="H40" s="45"/>
      <c r="I40" s="40"/>
      <c r="J40" s="42"/>
      <c r="K40" s="40"/>
      <c r="L40" s="40"/>
      <c r="M40" s="44"/>
    </row>
    <row r="41" spans="1:13" s="1" customFormat="1" ht="14.1" customHeight="1" x14ac:dyDescent="0.3">
      <c r="A41" s="48">
        <v>20</v>
      </c>
      <c r="B41" s="65" t="s">
        <v>18</v>
      </c>
      <c r="C41" s="66"/>
      <c r="D41" s="62" t="s">
        <v>19</v>
      </c>
      <c r="E41" s="63"/>
      <c r="F41" s="63"/>
      <c r="G41" s="64"/>
      <c r="H41" s="60">
        <f>SUM(I41)-3.1</f>
        <v>42.9</v>
      </c>
      <c r="I41" s="54">
        <f>SUM(J41)-3.1</f>
        <v>46</v>
      </c>
      <c r="J41" s="55">
        <v>49.1</v>
      </c>
      <c r="K41" s="54">
        <f>SUM(J41)+3.1</f>
        <v>52.2</v>
      </c>
      <c r="L41" s="54">
        <f>SUM(K41)+3.1</f>
        <v>55.300000000000004</v>
      </c>
      <c r="M41" s="56">
        <f>SUM(L41)+3.1</f>
        <v>58.400000000000006</v>
      </c>
    </row>
    <row r="42" spans="1:13" s="1" customFormat="1" ht="14.1" customHeight="1" x14ac:dyDescent="0.3">
      <c r="A42" s="48"/>
      <c r="B42" s="70" t="s">
        <v>55</v>
      </c>
      <c r="C42" s="71"/>
      <c r="D42" s="151" t="s">
        <v>96</v>
      </c>
      <c r="E42" s="152"/>
      <c r="F42" s="152"/>
      <c r="G42" s="153"/>
      <c r="H42" s="45"/>
      <c r="I42" s="40"/>
      <c r="J42" s="42"/>
      <c r="K42" s="40"/>
      <c r="L42" s="40"/>
      <c r="M42" s="44"/>
    </row>
    <row r="43" spans="1:13" s="1" customFormat="1" ht="14.1" customHeight="1" x14ac:dyDescent="0.3">
      <c r="A43" s="48">
        <v>21</v>
      </c>
      <c r="B43" s="65" t="s">
        <v>20</v>
      </c>
      <c r="C43" s="66"/>
      <c r="D43" s="62" t="s">
        <v>21</v>
      </c>
      <c r="E43" s="63"/>
      <c r="F43" s="63"/>
      <c r="G43" s="64"/>
      <c r="H43" s="60">
        <f>SUM(I43)-6</f>
        <v>30</v>
      </c>
      <c r="I43" s="54">
        <f>SUM(J43)-6</f>
        <v>36</v>
      </c>
      <c r="J43" s="55">
        <v>42</v>
      </c>
      <c r="K43" s="54">
        <f>SUM(J43)+4.5</f>
        <v>46.5</v>
      </c>
      <c r="L43" s="54">
        <f>SUM(K43)+5</f>
        <v>51.5</v>
      </c>
      <c r="M43" s="56">
        <f>SUM(L43)+5</f>
        <v>56.5</v>
      </c>
    </row>
    <row r="44" spans="1:13" s="1" customFormat="1" ht="14.1" customHeight="1" x14ac:dyDescent="0.3">
      <c r="A44" s="48"/>
      <c r="B44" s="70" t="s">
        <v>54</v>
      </c>
      <c r="C44" s="71"/>
      <c r="D44" s="151" t="s">
        <v>95</v>
      </c>
      <c r="E44" s="152"/>
      <c r="F44" s="152"/>
      <c r="G44" s="153"/>
      <c r="H44" s="45"/>
      <c r="I44" s="40"/>
      <c r="J44" s="42"/>
      <c r="K44" s="40"/>
      <c r="L44" s="40"/>
      <c r="M44" s="44"/>
    </row>
    <row r="45" spans="1:13" s="1" customFormat="1" ht="14.1" customHeight="1" x14ac:dyDescent="0.3">
      <c r="A45" s="48">
        <v>22</v>
      </c>
      <c r="B45" s="65" t="s">
        <v>94</v>
      </c>
      <c r="C45" s="66"/>
      <c r="D45" s="62" t="s">
        <v>92</v>
      </c>
      <c r="E45" s="63"/>
      <c r="F45" s="63"/>
      <c r="G45" s="64"/>
      <c r="H45" s="60">
        <f>SUM(I45)-2.2</f>
        <v>38.999999999999993</v>
      </c>
      <c r="I45" s="54">
        <f>SUM(J45)-2.2</f>
        <v>41.199999999999996</v>
      </c>
      <c r="J45" s="55">
        <v>43.4</v>
      </c>
      <c r="K45" s="54">
        <f>SUM(J45)+2.2</f>
        <v>45.6</v>
      </c>
      <c r="L45" s="54">
        <f>SUM(K45)+2.2</f>
        <v>47.800000000000004</v>
      </c>
      <c r="M45" s="56">
        <f>SUM(L45)+2.2</f>
        <v>50.000000000000007</v>
      </c>
    </row>
    <row r="46" spans="1:13" s="1" customFormat="1" ht="14.1" customHeight="1" x14ac:dyDescent="0.3">
      <c r="A46" s="48"/>
      <c r="B46" s="70" t="s">
        <v>93</v>
      </c>
      <c r="C46" s="71"/>
      <c r="D46" s="151" t="s">
        <v>92</v>
      </c>
      <c r="E46" s="152"/>
      <c r="F46" s="152"/>
      <c r="G46" s="153"/>
      <c r="H46" s="45"/>
      <c r="I46" s="40"/>
      <c r="J46" s="42"/>
      <c r="K46" s="40"/>
      <c r="L46" s="40"/>
      <c r="M46" s="44"/>
    </row>
    <row r="47" spans="1:13" s="1" customFormat="1" ht="14.1" customHeight="1" x14ac:dyDescent="0.3">
      <c r="A47" s="48">
        <v>23</v>
      </c>
      <c r="B47" s="65" t="s">
        <v>91</v>
      </c>
      <c r="C47" s="66"/>
      <c r="D47" s="62" t="s">
        <v>90</v>
      </c>
      <c r="E47" s="63"/>
      <c r="F47" s="63"/>
      <c r="G47" s="64"/>
      <c r="H47" s="60">
        <f>SUM(I47)-3.4</f>
        <v>33.300000000000004</v>
      </c>
      <c r="I47" s="54">
        <f>SUM(J47)-3.4</f>
        <v>36.700000000000003</v>
      </c>
      <c r="J47" s="55">
        <v>40.1</v>
      </c>
      <c r="K47" s="54">
        <f>SUM(J47)+3.3</f>
        <v>43.4</v>
      </c>
      <c r="L47" s="54">
        <f>SUM(K47)+3</f>
        <v>46.4</v>
      </c>
      <c r="M47" s="56">
        <f>SUM(L47)+3</f>
        <v>49.4</v>
      </c>
    </row>
    <row r="48" spans="1:13" s="1" customFormat="1" ht="14.1" customHeight="1" x14ac:dyDescent="0.3">
      <c r="A48" s="48"/>
      <c r="B48" s="70" t="s">
        <v>89</v>
      </c>
      <c r="C48" s="71"/>
      <c r="D48" s="151" t="s">
        <v>130</v>
      </c>
      <c r="E48" s="152"/>
      <c r="F48" s="152"/>
      <c r="G48" s="153"/>
      <c r="H48" s="45"/>
      <c r="I48" s="40"/>
      <c r="J48" s="42"/>
      <c r="K48" s="40"/>
      <c r="L48" s="40"/>
      <c r="M48" s="44"/>
    </row>
    <row r="49" spans="1:13" s="1" customFormat="1" ht="14.1" customHeight="1" x14ac:dyDescent="0.3">
      <c r="A49" s="48">
        <v>24</v>
      </c>
      <c r="B49" s="65" t="s">
        <v>114</v>
      </c>
      <c r="C49" s="66"/>
      <c r="D49" s="62" t="s">
        <v>22</v>
      </c>
      <c r="E49" s="63"/>
      <c r="F49" s="63"/>
      <c r="G49" s="64"/>
      <c r="H49" s="54">
        <f>SUM(I49)-0.2</f>
        <v>4.0999999999999996</v>
      </c>
      <c r="I49" s="54">
        <f>SUM(J49)-0.2</f>
        <v>4.3</v>
      </c>
      <c r="J49" s="67">
        <v>4.5</v>
      </c>
      <c r="K49" s="68">
        <f>SUM(J49)+0.2</f>
        <v>4.7</v>
      </c>
      <c r="L49" s="68">
        <f>SUM(K49)+0.2</f>
        <v>4.9000000000000004</v>
      </c>
      <c r="M49" s="69">
        <f>SUM(L49)+0.2</f>
        <v>5.1000000000000005</v>
      </c>
    </row>
    <row r="50" spans="1:13" s="1" customFormat="1" ht="14.1" customHeight="1" x14ac:dyDescent="0.3">
      <c r="A50" s="48"/>
      <c r="B50" s="70" t="s">
        <v>53</v>
      </c>
      <c r="C50" s="71"/>
      <c r="D50" s="151" t="s">
        <v>113</v>
      </c>
      <c r="E50" s="152"/>
      <c r="F50" s="152"/>
      <c r="G50" s="153"/>
      <c r="H50" s="40"/>
      <c r="I50" s="40"/>
      <c r="J50" s="67"/>
      <c r="K50" s="68"/>
      <c r="L50" s="68"/>
      <c r="M50" s="69"/>
    </row>
    <row r="51" spans="1:13" s="1" customFormat="1" ht="14.1" customHeight="1" x14ac:dyDescent="0.3">
      <c r="A51" s="48">
        <v>25</v>
      </c>
      <c r="B51" s="65" t="s">
        <v>112</v>
      </c>
      <c r="C51" s="66"/>
      <c r="D51" s="62" t="s">
        <v>23</v>
      </c>
      <c r="E51" s="63"/>
      <c r="F51" s="63"/>
      <c r="G51" s="64"/>
      <c r="H51" s="54">
        <f>SUM(I51)-0.6</f>
        <v>9.3000000000000007</v>
      </c>
      <c r="I51" s="54">
        <f>SUM(J51)-0.6</f>
        <v>9.9</v>
      </c>
      <c r="J51" s="67">
        <v>10.5</v>
      </c>
      <c r="K51" s="68">
        <f>SUM(J51)+0.6</f>
        <v>11.1</v>
      </c>
      <c r="L51" s="68">
        <f>SUM(K51)+0.6</f>
        <v>11.7</v>
      </c>
      <c r="M51" s="69">
        <f>SUM(L51)+0.6</f>
        <v>12.299999999999999</v>
      </c>
    </row>
    <row r="52" spans="1:13" s="1" customFormat="1" ht="14.1" customHeight="1" x14ac:dyDescent="0.3">
      <c r="A52" s="48"/>
      <c r="B52" s="70" t="s">
        <v>52</v>
      </c>
      <c r="C52" s="71"/>
      <c r="D52" s="151" t="s">
        <v>111</v>
      </c>
      <c r="E52" s="152"/>
      <c r="F52" s="152"/>
      <c r="G52" s="153"/>
      <c r="H52" s="40"/>
      <c r="I52" s="40"/>
      <c r="J52" s="67"/>
      <c r="K52" s="68"/>
      <c r="L52" s="68"/>
      <c r="M52" s="69"/>
    </row>
    <row r="53" spans="1:13" s="1" customFormat="1" ht="14.1" customHeight="1" x14ac:dyDescent="0.3">
      <c r="A53" s="48">
        <v>26</v>
      </c>
      <c r="B53" s="65" t="s">
        <v>110</v>
      </c>
      <c r="C53" s="66"/>
      <c r="D53" s="62"/>
      <c r="E53" s="63"/>
      <c r="F53" s="63"/>
      <c r="G53" s="64"/>
      <c r="H53" s="54">
        <f>SUM(I53)-0.5</f>
        <v>11</v>
      </c>
      <c r="I53" s="54">
        <f>SUM(J53)-0.5</f>
        <v>11.5</v>
      </c>
      <c r="J53" s="67">
        <v>12</v>
      </c>
      <c r="K53" s="68">
        <f>SUM(J53)+0.5</f>
        <v>12.5</v>
      </c>
      <c r="L53" s="68">
        <f t="shared" ref="L53" si="4">SUM(K53)+0.5</f>
        <v>13</v>
      </c>
      <c r="M53" s="69">
        <f t="shared" ref="M53" si="5">SUM(L53)+0.5</f>
        <v>13.5</v>
      </c>
    </row>
    <row r="54" spans="1:13" s="1" customFormat="1" ht="14.1" customHeight="1" x14ac:dyDescent="0.3">
      <c r="A54" s="48"/>
      <c r="B54" s="57" t="s">
        <v>109</v>
      </c>
      <c r="C54" s="58"/>
      <c r="D54" s="151"/>
      <c r="E54" s="152"/>
      <c r="F54" s="152"/>
      <c r="G54" s="153"/>
      <c r="H54" s="40"/>
      <c r="I54" s="40"/>
      <c r="J54" s="67"/>
      <c r="K54" s="68"/>
      <c r="L54" s="68"/>
      <c r="M54" s="69"/>
    </row>
    <row r="55" spans="1:13" s="1" customFormat="1" ht="14.1" customHeight="1" x14ac:dyDescent="0.3">
      <c r="A55" s="48">
        <v>27</v>
      </c>
      <c r="B55" s="65" t="s">
        <v>108</v>
      </c>
      <c r="C55" s="66"/>
      <c r="D55" s="62"/>
      <c r="E55" s="63"/>
      <c r="F55" s="63"/>
      <c r="G55" s="64"/>
      <c r="H55" s="54">
        <f>SUM(I55)-0.5</f>
        <v>10.5</v>
      </c>
      <c r="I55" s="54">
        <f>SUM(J55)-0.5</f>
        <v>11</v>
      </c>
      <c r="J55" s="67">
        <v>11.5</v>
      </c>
      <c r="K55" s="68">
        <f>SUM(J55)+0.5</f>
        <v>12</v>
      </c>
      <c r="L55" s="68">
        <f t="shared" ref="L55" si="6">SUM(K55)+0.5</f>
        <v>12.5</v>
      </c>
      <c r="M55" s="69">
        <f t="shared" ref="M55" si="7">SUM(L55)+0.5</f>
        <v>13</v>
      </c>
    </row>
    <row r="56" spans="1:13" s="1" customFormat="1" ht="14.1" customHeight="1" x14ac:dyDescent="0.3">
      <c r="A56" s="48"/>
      <c r="B56" s="105" t="s">
        <v>107</v>
      </c>
      <c r="C56" s="105"/>
      <c r="D56" s="151"/>
      <c r="E56" s="152"/>
      <c r="F56" s="152"/>
      <c r="G56" s="153"/>
      <c r="H56" s="40"/>
      <c r="I56" s="40"/>
      <c r="J56" s="67"/>
      <c r="K56" s="68"/>
      <c r="L56" s="68"/>
      <c r="M56" s="69"/>
    </row>
    <row r="57" spans="1:13" s="1" customFormat="1" ht="14.1" customHeight="1" x14ac:dyDescent="0.3">
      <c r="A57" s="48">
        <v>28</v>
      </c>
      <c r="B57" s="65"/>
      <c r="C57" s="66"/>
      <c r="D57" s="61"/>
      <c r="E57" s="61"/>
      <c r="F57" s="61"/>
      <c r="G57" s="61"/>
      <c r="H57" s="54"/>
      <c r="I57" s="54"/>
      <c r="J57" s="67"/>
      <c r="K57" s="68"/>
      <c r="L57" s="68"/>
      <c r="M57" s="69"/>
    </row>
    <row r="58" spans="1:13" s="1" customFormat="1" ht="14.1" customHeight="1" thickBot="1" x14ac:dyDescent="0.35">
      <c r="A58" s="87"/>
      <c r="B58" s="141"/>
      <c r="C58" s="141"/>
      <c r="D58" s="98"/>
      <c r="E58" s="99"/>
      <c r="F58" s="99"/>
      <c r="G58" s="100"/>
      <c r="H58" s="91"/>
      <c r="I58" s="91"/>
      <c r="J58" s="92"/>
      <c r="K58" s="93"/>
      <c r="L58" s="93"/>
      <c r="M58" s="121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ht="14.1" customHeight="1" x14ac:dyDescent="0.3"/>
    <row r="66" ht="14.1" customHeight="1" x14ac:dyDescent="0.3"/>
  </sheetData>
  <mergeCells count="311">
    <mergeCell ref="M55:M56"/>
    <mergeCell ref="B56:C56"/>
    <mergeCell ref="D56:G56"/>
    <mergeCell ref="A55:A56"/>
    <mergeCell ref="B55:C55"/>
    <mergeCell ref="D55:G55"/>
    <mergeCell ref="H55:H56"/>
    <mergeCell ref="I55:I56"/>
    <mergeCell ref="J55:J56"/>
    <mergeCell ref="K5:K6"/>
    <mergeCell ref="L5:L6"/>
    <mergeCell ref="M5:M6"/>
    <mergeCell ref="B6:C6"/>
    <mergeCell ref="D6:G6"/>
    <mergeCell ref="J5:J6"/>
    <mergeCell ref="J49:J50"/>
    <mergeCell ref="K49:K50"/>
    <mergeCell ref="L49:L50"/>
    <mergeCell ref="M49:M50"/>
    <mergeCell ref="K47:K48"/>
    <mergeCell ref="L47:L48"/>
    <mergeCell ref="M47:M48"/>
    <mergeCell ref="J47:J48"/>
    <mergeCell ref="J45:J46"/>
    <mergeCell ref="K45:K46"/>
    <mergeCell ref="L45:L46"/>
    <mergeCell ref="M45:M46"/>
    <mergeCell ref="K43:K44"/>
    <mergeCell ref="L43:L44"/>
    <mergeCell ref="M43:M44"/>
    <mergeCell ref="B45:C45"/>
    <mergeCell ref="D45:G45"/>
    <mergeCell ref="H45:H46"/>
    <mergeCell ref="A5:A6"/>
    <mergeCell ref="B5:C5"/>
    <mergeCell ref="D5:G5"/>
    <mergeCell ref="H5:H6"/>
    <mergeCell ref="I5:I6"/>
    <mergeCell ref="B50:C50"/>
    <mergeCell ref="D50:G50"/>
    <mergeCell ref="B48:C48"/>
    <mergeCell ref="D48:G48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B46:C46"/>
    <mergeCell ref="D46:G46"/>
    <mergeCell ref="B44:C44"/>
    <mergeCell ref="D44:G44"/>
    <mergeCell ref="A45:A46"/>
    <mergeCell ref="J57:J58"/>
    <mergeCell ref="K57:K58"/>
    <mergeCell ref="L57:L58"/>
    <mergeCell ref="M57:M58"/>
    <mergeCell ref="B58:C58"/>
    <mergeCell ref="D58:G58"/>
    <mergeCell ref="K51:K52"/>
    <mergeCell ref="L51:L52"/>
    <mergeCell ref="M51:M52"/>
    <mergeCell ref="B52:C52"/>
    <mergeCell ref="D52:G52"/>
    <mergeCell ref="J51:J52"/>
    <mergeCell ref="B53:C53"/>
    <mergeCell ref="D53:G53"/>
    <mergeCell ref="H53:H54"/>
    <mergeCell ref="I53:I54"/>
    <mergeCell ref="J53:J54"/>
    <mergeCell ref="K53:K54"/>
    <mergeCell ref="L53:L54"/>
    <mergeCell ref="M53:M54"/>
    <mergeCell ref="B54:C54"/>
    <mergeCell ref="D54:G54"/>
    <mergeCell ref="K55:K56"/>
    <mergeCell ref="L55:L56"/>
    <mergeCell ref="A57:A58"/>
    <mergeCell ref="B57:C57"/>
    <mergeCell ref="D57:G57"/>
    <mergeCell ref="H57:H58"/>
    <mergeCell ref="I57:I58"/>
    <mergeCell ref="A51:A52"/>
    <mergeCell ref="B51:C51"/>
    <mergeCell ref="D51:G51"/>
    <mergeCell ref="H51:H52"/>
    <mergeCell ref="I51:I52"/>
    <mergeCell ref="A53:A54"/>
    <mergeCell ref="I45:I46"/>
    <mergeCell ref="A43:A44"/>
    <mergeCell ref="B43:C43"/>
    <mergeCell ref="D43:G43"/>
    <mergeCell ref="H43:H44"/>
    <mergeCell ref="I43:I44"/>
    <mergeCell ref="J43:J44"/>
    <mergeCell ref="J41:J42"/>
    <mergeCell ref="K41:K42"/>
    <mergeCell ref="A41:A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7:A8"/>
    <mergeCell ref="B7:C7"/>
    <mergeCell ref="D7:G7"/>
    <mergeCell ref="H7:H8"/>
    <mergeCell ref="I7:I8"/>
    <mergeCell ref="J7:J8"/>
    <mergeCell ref="B8:C8"/>
    <mergeCell ref="D8:G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3:J14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8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CD14-DA4C-469F-BDEC-FDB0D9ACE98A}">
  <sheetPr codeName="Sheet40">
    <tabColor rgb="FFFF0000"/>
    <pageSetUpPr fitToPage="1"/>
  </sheetPr>
  <dimension ref="A1:M66"/>
  <sheetViews>
    <sheetView zoomScale="110" zoomScaleNormal="110" workbookViewId="0">
      <selection activeCell="B3" sqref="B3:G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SUM(I3)-2.9</f>
        <v>33.200000000000003</v>
      </c>
      <c r="I3" s="54">
        <f>SUM(J3)-2.9</f>
        <v>36.1</v>
      </c>
      <c r="J3" s="55">
        <v>39</v>
      </c>
      <c r="K3" s="54">
        <f>SUM(J3)+2.4</f>
        <v>41.4</v>
      </c>
      <c r="L3" s="54">
        <f>SUM(K3)+2.4</f>
        <v>43.8</v>
      </c>
      <c r="M3" s="43">
        <f>SUM(L3)+2.4</f>
        <v>46.199999999999996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22.799999999999997</v>
      </c>
      <c r="I5" s="54">
        <f>SUM(J5)-1.6</f>
        <v>24.4</v>
      </c>
      <c r="J5" s="55">
        <v>26</v>
      </c>
      <c r="K5" s="54">
        <f>SUM(J5)+1.4</f>
        <v>27.4</v>
      </c>
      <c r="L5" s="54">
        <f>SUM(K5)+1.4</f>
        <v>28.799999999999997</v>
      </c>
      <c r="M5" s="56">
        <f>SUM(L5)+1.4</f>
        <v>30.199999999999996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SUM(I7)-2.6</f>
        <v>38.099999999999994</v>
      </c>
      <c r="I7" s="54">
        <f>SUM(J7)-2.6</f>
        <v>40.699999999999996</v>
      </c>
      <c r="J7" s="55">
        <v>43.3</v>
      </c>
      <c r="K7" s="54">
        <f>SUM(J7)+2.3</f>
        <v>45.599999999999994</v>
      </c>
      <c r="L7" s="54">
        <f>SUM(K7)+2.3</f>
        <v>47.899999999999991</v>
      </c>
      <c r="M7" s="56">
        <f>SUM(L7)+2.3</f>
        <v>50.199999999999989</v>
      </c>
    </row>
    <row r="8" spans="1:13" s="1" customFormat="1" ht="14.1" customHeight="1" x14ac:dyDescent="0.3">
      <c r="A8" s="48"/>
      <c r="B8" s="45" t="s">
        <v>40</v>
      </c>
      <c r="C8" s="45"/>
      <c r="D8" s="46" t="s">
        <v>400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401</v>
      </c>
      <c r="C9" s="60"/>
      <c r="D9" s="61"/>
      <c r="E9" s="61"/>
      <c r="F9" s="61"/>
      <c r="G9" s="61"/>
      <c r="H9" s="54">
        <f>SUM(I9)-4</f>
        <v>62</v>
      </c>
      <c r="I9" s="54">
        <f>SUM(J9)-4</f>
        <v>66</v>
      </c>
      <c r="J9" s="55">
        <v>70</v>
      </c>
      <c r="K9" s="54">
        <f>SUM(J9)+3.5</f>
        <v>73.5</v>
      </c>
      <c r="L9" s="54">
        <f>SUM(K9)+3.5</f>
        <v>77</v>
      </c>
      <c r="M9" s="56">
        <f>SUM(L9)+3.5</f>
        <v>80.5</v>
      </c>
    </row>
    <row r="10" spans="1:13" s="1" customFormat="1" ht="14.1" customHeight="1" x14ac:dyDescent="0.3">
      <c r="A10" s="48"/>
      <c r="B10" s="45" t="s">
        <v>402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15.200000000000001</v>
      </c>
      <c r="I11" s="60">
        <f>SUM(J11)-0.9</f>
        <v>16.100000000000001</v>
      </c>
      <c r="J11" s="132">
        <v>17</v>
      </c>
      <c r="K11" s="130">
        <f>SUM(J11)+0.9</f>
        <v>17.899999999999999</v>
      </c>
      <c r="L11" s="130">
        <f>SUM(K11)+0.9</f>
        <v>18.799999999999997</v>
      </c>
      <c r="M11" s="131">
        <f>SUM(L11)+0.9</f>
        <v>19.699999999999996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12.200000000000001</v>
      </c>
      <c r="I13" s="54">
        <f>SUM(J13)-0.6</f>
        <v>12.8</v>
      </c>
      <c r="J13" s="67">
        <v>13.4</v>
      </c>
      <c r="K13" s="68">
        <f>SUM(J13)+0.6</f>
        <v>14</v>
      </c>
      <c r="L13" s="68">
        <f>SUM(K13)+0.6</f>
        <v>14.6</v>
      </c>
      <c r="M13" s="69">
        <f>SUM(L13)+0.6</f>
        <v>15.2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6.5</v>
      </c>
      <c r="I15" s="54">
        <f>SUM(J15)-0.3</f>
        <v>6.8</v>
      </c>
      <c r="J15" s="67">
        <v>7.1</v>
      </c>
      <c r="K15" s="68">
        <f>SUM(J15)+0.3</f>
        <v>7.3999999999999995</v>
      </c>
      <c r="L15" s="68">
        <f>SUM(K15)+0.3</f>
        <v>7.6999999999999993</v>
      </c>
      <c r="M15" s="69">
        <f>SUM(L15)+0.3</f>
        <v>7.9999999999999991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33.199999999999996</v>
      </c>
      <c r="I17" s="54">
        <f>SUM(J17)-1.6</f>
        <v>34.799999999999997</v>
      </c>
      <c r="J17" s="67">
        <v>36.4</v>
      </c>
      <c r="K17" s="68">
        <f>SUM(J17)+1.6</f>
        <v>38</v>
      </c>
      <c r="L17" s="68">
        <f>SUM(K17)+1.6</f>
        <v>39.6</v>
      </c>
      <c r="M17" s="69">
        <f>SUM(L17)+1.6</f>
        <v>41.2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79" t="s">
        <v>75</v>
      </c>
      <c r="C19" s="80"/>
      <c r="D19" s="52" t="s">
        <v>228</v>
      </c>
      <c r="E19" s="52"/>
      <c r="F19" s="52"/>
      <c r="G19" s="52"/>
      <c r="H19" s="54">
        <f>SUM(I19)-0.2</f>
        <v>5.8999999999999995</v>
      </c>
      <c r="I19" s="54">
        <f>SUM(J19)-0.2</f>
        <v>6.1</v>
      </c>
      <c r="J19" s="55">
        <v>6.3</v>
      </c>
      <c r="K19" s="54">
        <f>SUM(J19)+0.2</f>
        <v>6.5</v>
      </c>
      <c r="L19" s="54">
        <f>SUM(K19)+0.2</f>
        <v>6.7</v>
      </c>
      <c r="M19" s="56">
        <f>SUM(L19)+0.2</f>
        <v>6.9</v>
      </c>
    </row>
    <row r="20" spans="1:13" s="1" customFormat="1" ht="14.1" customHeight="1" x14ac:dyDescent="0.3">
      <c r="A20" s="48"/>
      <c r="B20" s="105" t="s">
        <v>34</v>
      </c>
      <c r="C20" s="105"/>
      <c r="D20" s="51" t="s">
        <v>229</v>
      </c>
      <c r="E20" s="52"/>
      <c r="F20" s="52"/>
      <c r="G20" s="53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SUM(I21)-1.2</f>
        <v>13.600000000000001</v>
      </c>
      <c r="I21" s="54">
        <f>SUM(J21)-1.2</f>
        <v>14.8</v>
      </c>
      <c r="J21" s="55">
        <v>16</v>
      </c>
      <c r="K21" s="54">
        <f>SUM(J21)+1.3</f>
        <v>17.3</v>
      </c>
      <c r="L21" s="54">
        <f>SUM(K21)+1.3</f>
        <v>18.600000000000001</v>
      </c>
      <c r="M21" s="56">
        <f>SUM(L21)+1.3</f>
        <v>19.900000000000002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40"/>
      <c r="L22" s="40"/>
      <c r="M22" s="44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25.200000000000003</v>
      </c>
      <c r="I23" s="54">
        <f>SUM(J23)-1.4</f>
        <v>26.6</v>
      </c>
      <c r="J23" s="67">
        <v>28</v>
      </c>
      <c r="K23" s="68">
        <f>SUM(J23)+1.4</f>
        <v>29.4</v>
      </c>
      <c r="L23" s="68">
        <f>SUM(K23)+1.4</f>
        <v>30.799999999999997</v>
      </c>
      <c r="M23" s="69">
        <f>SUM(L23)+1.4</f>
        <v>32.199999999999996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172</v>
      </c>
      <c r="C25" s="66"/>
      <c r="D25" s="88"/>
      <c r="E25" s="89"/>
      <c r="F25" s="89"/>
      <c r="G25" s="90"/>
      <c r="H25" s="54">
        <f>SUM(I25)-0.4</f>
        <v>4.5999999999999996</v>
      </c>
      <c r="I25" s="54">
        <f>SUM(J25)-0.4</f>
        <v>5</v>
      </c>
      <c r="J25" s="67">
        <v>5.4</v>
      </c>
      <c r="K25" s="68">
        <f>SUM(J25)+0.4</f>
        <v>5.8000000000000007</v>
      </c>
      <c r="L25" s="68">
        <f>SUM(K25)+0.4</f>
        <v>6.2000000000000011</v>
      </c>
      <c r="M25" s="69">
        <f>SUM(L25)+0.4</f>
        <v>6.6000000000000014</v>
      </c>
    </row>
    <row r="26" spans="1:13" s="1" customFormat="1" ht="14.1" customHeight="1" x14ac:dyDescent="0.3">
      <c r="A26" s="78"/>
      <c r="B26" s="79" t="s">
        <v>173</v>
      </c>
      <c r="C26" s="80"/>
      <c r="D26" s="51" t="s">
        <v>275</v>
      </c>
      <c r="E26" s="52"/>
      <c r="F26" s="52"/>
      <c r="G26" s="53"/>
      <c r="H26" s="81"/>
      <c r="I26" s="81"/>
      <c r="J26" s="55"/>
      <c r="K26" s="54"/>
      <c r="L26" s="54"/>
      <c r="M26" s="56"/>
    </row>
    <row r="27" spans="1:13" s="1" customFormat="1" ht="14.1" customHeight="1" x14ac:dyDescent="0.3">
      <c r="A27" s="48">
        <v>13</v>
      </c>
      <c r="B27" s="65" t="s">
        <v>175</v>
      </c>
      <c r="C27" s="66"/>
      <c r="D27" s="88"/>
      <c r="E27" s="89"/>
      <c r="F27" s="89"/>
      <c r="G27" s="90"/>
      <c r="H27" s="54">
        <f>SUM(I27)-0.6</f>
        <v>9.3000000000000007</v>
      </c>
      <c r="I27" s="54">
        <f>SUM(J27)-0.6</f>
        <v>9.9</v>
      </c>
      <c r="J27" s="67">
        <v>10.5</v>
      </c>
      <c r="K27" s="68">
        <f>SUM(J27)+0.6</f>
        <v>11.1</v>
      </c>
      <c r="L27" s="68">
        <f>SUM(K27)+0.6</f>
        <v>11.7</v>
      </c>
      <c r="M27" s="69">
        <f>SUM(L27)+0.6</f>
        <v>12.299999999999999</v>
      </c>
    </row>
    <row r="28" spans="1:13" s="1" customFormat="1" ht="14.1" customHeight="1" x14ac:dyDescent="0.3">
      <c r="A28" s="48"/>
      <c r="B28" s="57" t="s">
        <v>176</v>
      </c>
      <c r="C28" s="58"/>
      <c r="D28" s="46" t="s">
        <v>201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35">
        <v>14</v>
      </c>
      <c r="B29" s="65" t="s">
        <v>114</v>
      </c>
      <c r="C29" s="66"/>
      <c r="D29" s="133"/>
      <c r="E29" s="134"/>
      <c r="F29" s="134"/>
      <c r="G29" s="135"/>
      <c r="H29" s="54">
        <f>SUM(I29)-0.5</f>
        <v>9.5</v>
      </c>
      <c r="I29" s="54">
        <f>SUM(J29)-0.5</f>
        <v>10</v>
      </c>
      <c r="J29" s="67">
        <v>10.5</v>
      </c>
      <c r="K29" s="68">
        <f>SUM(J29)+0.5</f>
        <v>11</v>
      </c>
      <c r="L29" s="68">
        <f>SUM(K29)+0.5</f>
        <v>11.5</v>
      </c>
      <c r="M29" s="69">
        <f>SUM(L29)+0.5</f>
        <v>12</v>
      </c>
    </row>
    <row r="30" spans="1:13" s="1" customFormat="1" ht="14.1" customHeight="1" x14ac:dyDescent="0.3">
      <c r="A30" s="78"/>
      <c r="B30" s="70" t="s">
        <v>53</v>
      </c>
      <c r="C30" s="71"/>
      <c r="D30" s="51"/>
      <c r="E30" s="52"/>
      <c r="F30" s="52"/>
      <c r="G30" s="53"/>
      <c r="H30" s="40"/>
      <c r="I30" s="40"/>
      <c r="J30" s="67"/>
      <c r="K30" s="68"/>
      <c r="L30" s="68"/>
      <c r="M30" s="69"/>
    </row>
    <row r="31" spans="1:13" s="1" customFormat="1" ht="14.1" customHeight="1" x14ac:dyDescent="0.3">
      <c r="A31" s="48">
        <v>15</v>
      </c>
      <c r="B31" s="65" t="s">
        <v>112</v>
      </c>
      <c r="C31" s="66"/>
      <c r="D31" s="88"/>
      <c r="E31" s="89"/>
      <c r="F31" s="89"/>
      <c r="G31" s="90"/>
      <c r="H31" s="54">
        <f>SUM(I31)-0.5</f>
        <v>9</v>
      </c>
      <c r="I31" s="54">
        <f>SUM(J31)-0.5</f>
        <v>9.5</v>
      </c>
      <c r="J31" s="67">
        <v>10</v>
      </c>
      <c r="K31" s="68">
        <f>SUM(J31)+0.5</f>
        <v>10.5</v>
      </c>
      <c r="L31" s="68">
        <f>SUM(K31)+0.5</f>
        <v>11</v>
      </c>
      <c r="M31" s="69">
        <f>SUM(L31)+0.5</f>
        <v>11.5</v>
      </c>
    </row>
    <row r="32" spans="1:13" s="1" customFormat="1" ht="14.1" customHeight="1" thickBot="1" x14ac:dyDescent="0.35">
      <c r="A32" s="216"/>
      <c r="B32" s="231" t="s">
        <v>52</v>
      </c>
      <c r="C32" s="232"/>
      <c r="D32" s="212"/>
      <c r="E32" s="213"/>
      <c r="F32" s="213"/>
      <c r="G32" s="214"/>
      <c r="H32" s="206"/>
      <c r="I32" s="206"/>
      <c r="J32" s="207"/>
      <c r="K32" s="208"/>
      <c r="L32" s="208"/>
      <c r="M32" s="230"/>
    </row>
    <row r="33" spans="1:13" s="1" customFormat="1" ht="14.1" customHeight="1" thickTop="1" x14ac:dyDescent="0.3">
      <c r="A33" s="35">
        <v>16</v>
      </c>
      <c r="B33" s="79" t="s">
        <v>119</v>
      </c>
      <c r="C33" s="80"/>
      <c r="D33" s="51" t="s">
        <v>70</v>
      </c>
      <c r="E33" s="52"/>
      <c r="F33" s="52"/>
      <c r="G33" s="53"/>
      <c r="H33" s="105">
        <f>SUM(I33)-3</f>
        <v>45</v>
      </c>
      <c r="I33" s="81">
        <f>SUM(J33)-3</f>
        <v>48</v>
      </c>
      <c r="J33" s="82">
        <v>51</v>
      </c>
      <c r="K33" s="81">
        <f>SUM(J33)+3</f>
        <v>54</v>
      </c>
      <c r="L33" s="81">
        <f>SUM(K33)+3</f>
        <v>57</v>
      </c>
      <c r="M33" s="83">
        <f>SUM(L33)+3</f>
        <v>60</v>
      </c>
    </row>
    <row r="34" spans="1:13" s="1" customFormat="1" ht="14.1" customHeight="1" x14ac:dyDescent="0.3">
      <c r="A34" s="48"/>
      <c r="B34" s="70" t="s">
        <v>87</v>
      </c>
      <c r="C34" s="71"/>
      <c r="D34" s="151" t="s">
        <v>71</v>
      </c>
      <c r="E34" s="152"/>
      <c r="F34" s="152"/>
      <c r="G34" s="153"/>
      <c r="H34" s="45"/>
      <c r="I34" s="40"/>
      <c r="J34" s="42"/>
      <c r="K34" s="40"/>
      <c r="L34" s="40"/>
      <c r="M34" s="44"/>
    </row>
    <row r="35" spans="1:13" s="1" customFormat="1" ht="14.1" customHeight="1" x14ac:dyDescent="0.3">
      <c r="A35" s="48">
        <v>17</v>
      </c>
      <c r="B35" s="65" t="s">
        <v>127</v>
      </c>
      <c r="C35" s="66"/>
      <c r="D35" s="51"/>
      <c r="E35" s="52"/>
      <c r="F35" s="52"/>
      <c r="G35" s="53"/>
      <c r="H35" s="54">
        <f>SUM(I35)-4.5</f>
        <v>63</v>
      </c>
      <c r="I35" s="54">
        <f>SUM(J35)-4.5</f>
        <v>67.5</v>
      </c>
      <c r="J35" s="82">
        <v>72</v>
      </c>
      <c r="K35" s="81">
        <f>SUM(J35)+4.5</f>
        <v>76.5</v>
      </c>
      <c r="L35" s="81">
        <f>SUM(K35)+4.5</f>
        <v>81</v>
      </c>
      <c r="M35" s="83">
        <f>SUM(L35)+4.5</f>
        <v>85.5</v>
      </c>
    </row>
    <row r="36" spans="1:13" s="1" customFormat="1" ht="14.1" customHeight="1" x14ac:dyDescent="0.3">
      <c r="A36" s="48"/>
      <c r="B36" s="70" t="s">
        <v>128</v>
      </c>
      <c r="C36" s="71"/>
      <c r="D36" s="151"/>
      <c r="E36" s="152"/>
      <c r="F36" s="152"/>
      <c r="G36" s="153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48">
        <v>18</v>
      </c>
      <c r="B37" s="65" t="s">
        <v>162</v>
      </c>
      <c r="C37" s="66"/>
      <c r="D37" s="75" t="s">
        <v>72</v>
      </c>
      <c r="E37" s="76"/>
      <c r="F37" s="76"/>
      <c r="G37" s="77"/>
      <c r="H37" s="60">
        <f>SUM(I37)-2.5</f>
        <v>24</v>
      </c>
      <c r="I37" s="54">
        <f>SUM(J37)-2.5</f>
        <v>26.5</v>
      </c>
      <c r="J37" s="55">
        <v>29</v>
      </c>
      <c r="K37" s="54">
        <f>SUM(J37)+2.5</f>
        <v>31.5</v>
      </c>
      <c r="L37" s="54">
        <f>SUM(K37)+2.5</f>
        <v>34</v>
      </c>
      <c r="M37" s="56">
        <f>SUM(L37)+2.5</f>
        <v>36.5</v>
      </c>
    </row>
    <row r="38" spans="1:13" s="1" customFormat="1" ht="14.1" customHeight="1" x14ac:dyDescent="0.3">
      <c r="A38" s="48"/>
      <c r="B38" s="70" t="s">
        <v>161</v>
      </c>
      <c r="C38" s="71"/>
      <c r="D38" s="72" t="s">
        <v>120</v>
      </c>
      <c r="E38" s="73"/>
      <c r="F38" s="73"/>
      <c r="G38" s="74"/>
      <c r="H38" s="45"/>
      <c r="I38" s="40"/>
      <c r="J38" s="42"/>
      <c r="K38" s="40"/>
      <c r="L38" s="40"/>
      <c r="M38" s="44"/>
    </row>
    <row r="39" spans="1:13" s="1" customFormat="1" ht="14.1" customHeight="1" x14ac:dyDescent="0.3">
      <c r="A39" s="48">
        <v>19</v>
      </c>
      <c r="B39" s="65" t="s">
        <v>403</v>
      </c>
      <c r="C39" s="66"/>
      <c r="D39" s="62"/>
      <c r="E39" s="63"/>
      <c r="F39" s="63"/>
      <c r="G39" s="64"/>
      <c r="H39" s="60">
        <f>SUM(I39)-5.8</f>
        <v>68.400000000000006</v>
      </c>
      <c r="I39" s="54">
        <f>SUM(J39)-5.8</f>
        <v>74.2</v>
      </c>
      <c r="J39" s="55">
        <v>80</v>
      </c>
      <c r="K39" s="54">
        <f>SUM(J39)+5.8</f>
        <v>85.8</v>
      </c>
      <c r="L39" s="54">
        <f>SUM(K39)+5.8</f>
        <v>91.6</v>
      </c>
      <c r="M39" s="56">
        <f>SUM(L39)+5.8</f>
        <v>97.399999999999991</v>
      </c>
    </row>
    <row r="40" spans="1:13" s="1" customFormat="1" ht="14.1" customHeight="1" x14ac:dyDescent="0.3">
      <c r="A40" s="48"/>
      <c r="B40" s="70" t="s">
        <v>404</v>
      </c>
      <c r="C40" s="71"/>
      <c r="D40" s="162"/>
      <c r="E40" s="163"/>
      <c r="F40" s="163"/>
      <c r="G40" s="164"/>
      <c r="H40" s="45"/>
      <c r="I40" s="40"/>
      <c r="J40" s="42"/>
      <c r="K40" s="40"/>
      <c r="L40" s="40"/>
      <c r="M40" s="44"/>
    </row>
    <row r="41" spans="1:13" s="1" customFormat="1" ht="14.1" customHeight="1" x14ac:dyDescent="0.3">
      <c r="A41" s="48">
        <v>20</v>
      </c>
      <c r="B41" s="65"/>
      <c r="C41" s="66"/>
      <c r="D41" s="62"/>
      <c r="E41" s="63"/>
      <c r="F41" s="63"/>
      <c r="G41" s="64"/>
      <c r="H41" s="60"/>
      <c r="I41" s="54"/>
      <c r="J41" s="55"/>
      <c r="K41" s="54"/>
      <c r="L41" s="54"/>
      <c r="M41" s="160"/>
    </row>
    <row r="42" spans="1:13" s="1" customFormat="1" ht="14.1" customHeight="1" thickBot="1" x14ac:dyDescent="0.35">
      <c r="A42" s="78"/>
      <c r="B42" s="195"/>
      <c r="C42" s="196"/>
      <c r="D42" s="227"/>
      <c r="E42" s="228"/>
      <c r="F42" s="228"/>
      <c r="G42" s="229"/>
      <c r="H42" s="105"/>
      <c r="I42" s="81"/>
      <c r="J42" s="82"/>
      <c r="K42" s="81"/>
      <c r="L42" s="81"/>
      <c r="M42" s="178"/>
    </row>
    <row r="43" spans="1:13" s="1" customFormat="1" ht="14.1" customHeight="1" thickTop="1" x14ac:dyDescent="0.3">
      <c r="A43" s="217">
        <v>21</v>
      </c>
      <c r="B43" s="218" t="s">
        <v>11</v>
      </c>
      <c r="C43" s="219"/>
      <c r="D43" s="220" t="s">
        <v>12</v>
      </c>
      <c r="E43" s="221"/>
      <c r="F43" s="221"/>
      <c r="G43" s="222"/>
      <c r="H43" s="223">
        <f>SUM(I43)-3.2</f>
        <v>53.599999999999994</v>
      </c>
      <c r="I43" s="224">
        <f>SUM(J43)-3.2</f>
        <v>56.8</v>
      </c>
      <c r="J43" s="226">
        <v>60</v>
      </c>
      <c r="K43" s="224">
        <f>SUM(J43)+3.2</f>
        <v>63.2</v>
      </c>
      <c r="L43" s="224">
        <f>SUM(K43)+3.2</f>
        <v>66.400000000000006</v>
      </c>
      <c r="M43" s="225">
        <f>SUM(L43)+3.2</f>
        <v>69.600000000000009</v>
      </c>
    </row>
    <row r="44" spans="1:13" s="1" customFormat="1" ht="14.1" customHeight="1" x14ac:dyDescent="0.3">
      <c r="A44" s="48"/>
      <c r="B44" s="70" t="s">
        <v>49</v>
      </c>
      <c r="C44" s="71"/>
      <c r="D44" s="151" t="s">
        <v>100</v>
      </c>
      <c r="E44" s="152"/>
      <c r="F44" s="152"/>
      <c r="G44" s="153"/>
      <c r="H44" s="45"/>
      <c r="I44" s="40"/>
      <c r="J44" s="42"/>
      <c r="K44" s="40"/>
      <c r="L44" s="40"/>
      <c r="M44" s="44"/>
    </row>
    <row r="45" spans="1:13" s="1" customFormat="1" ht="14.1" customHeight="1" x14ac:dyDescent="0.3">
      <c r="A45" s="48">
        <v>22</v>
      </c>
      <c r="B45" s="65" t="s">
        <v>116</v>
      </c>
      <c r="C45" s="66"/>
      <c r="D45" s="62"/>
      <c r="E45" s="63"/>
      <c r="F45" s="63"/>
      <c r="G45" s="64"/>
      <c r="H45" s="60">
        <f>SUM(I45)-0.7</f>
        <v>12.600000000000001</v>
      </c>
      <c r="I45" s="54">
        <f>SUM(J45)-0.7</f>
        <v>13.3</v>
      </c>
      <c r="J45" s="55">
        <v>14</v>
      </c>
      <c r="K45" s="54">
        <f>SUM(J45)+1.2</f>
        <v>15.2</v>
      </c>
      <c r="L45" s="54">
        <f>SUM(K45)+0.7</f>
        <v>15.899999999999999</v>
      </c>
      <c r="M45" s="56">
        <f>SUM(L45)+0.7</f>
        <v>16.599999999999998</v>
      </c>
    </row>
    <row r="46" spans="1:13" s="1" customFormat="1" ht="14.1" customHeight="1" x14ac:dyDescent="0.3">
      <c r="A46" s="48"/>
      <c r="B46" s="70" t="s">
        <v>115</v>
      </c>
      <c r="C46" s="71"/>
      <c r="D46" s="162" t="s">
        <v>129</v>
      </c>
      <c r="E46" s="163"/>
      <c r="F46" s="163"/>
      <c r="G46" s="164"/>
      <c r="H46" s="45"/>
      <c r="I46" s="40"/>
      <c r="J46" s="42"/>
      <c r="K46" s="40"/>
      <c r="L46" s="40"/>
      <c r="M46" s="44"/>
    </row>
    <row r="47" spans="1:13" s="1" customFormat="1" ht="14.1" customHeight="1" x14ac:dyDescent="0.3">
      <c r="A47" s="48">
        <v>23</v>
      </c>
      <c r="B47" s="65" t="s">
        <v>9</v>
      </c>
      <c r="C47" s="66"/>
      <c r="D47" s="62" t="s">
        <v>72</v>
      </c>
      <c r="E47" s="63"/>
      <c r="F47" s="63"/>
      <c r="G47" s="64"/>
      <c r="H47" s="60">
        <f>SUM(I47)-1.5</f>
        <v>21.5</v>
      </c>
      <c r="I47" s="54">
        <f>SUM(J47)-1.5</f>
        <v>23</v>
      </c>
      <c r="J47" s="55">
        <v>24.5</v>
      </c>
      <c r="K47" s="54">
        <f>SUM(J47)+1.5</f>
        <v>26</v>
      </c>
      <c r="L47" s="54">
        <f>SUM(K47)+1.5</f>
        <v>27.5</v>
      </c>
      <c r="M47" s="56">
        <f>SUM(L47)+1.5</f>
        <v>29</v>
      </c>
    </row>
    <row r="48" spans="1:13" s="1" customFormat="1" ht="14.1" customHeight="1" x14ac:dyDescent="0.3">
      <c r="A48" s="48"/>
      <c r="B48" s="70" t="s">
        <v>50</v>
      </c>
      <c r="C48" s="71"/>
      <c r="D48" s="151" t="s">
        <v>99</v>
      </c>
      <c r="E48" s="152"/>
      <c r="F48" s="152"/>
      <c r="G48" s="153"/>
      <c r="H48" s="45"/>
      <c r="I48" s="40"/>
      <c r="J48" s="42"/>
      <c r="K48" s="40"/>
      <c r="L48" s="40"/>
      <c r="M48" s="44"/>
    </row>
    <row r="49" spans="1:13" s="1" customFormat="1" ht="14.1" customHeight="1" x14ac:dyDescent="0.3">
      <c r="A49" s="48">
        <v>24</v>
      </c>
      <c r="B49" s="65" t="s">
        <v>14</v>
      </c>
      <c r="C49" s="66"/>
      <c r="D49" s="62" t="s">
        <v>15</v>
      </c>
      <c r="E49" s="63"/>
      <c r="F49" s="63"/>
      <c r="G49" s="64"/>
      <c r="H49" s="60">
        <f>SUM(I49)-1.8</f>
        <v>31.400000000000002</v>
      </c>
      <c r="I49" s="54">
        <f>SUM(J49)-1.8</f>
        <v>33.200000000000003</v>
      </c>
      <c r="J49" s="55">
        <v>35</v>
      </c>
      <c r="K49" s="54">
        <f>SUM(J49)+1.8</f>
        <v>36.799999999999997</v>
      </c>
      <c r="L49" s="54">
        <f>SUM(K49)+1.8</f>
        <v>38.599999999999994</v>
      </c>
      <c r="M49" s="56">
        <f>SUM(L49)+1.8</f>
        <v>40.399999999999991</v>
      </c>
    </row>
    <row r="50" spans="1:13" s="1" customFormat="1" ht="14.1" customHeight="1" x14ac:dyDescent="0.3">
      <c r="A50" s="48"/>
      <c r="B50" s="70" t="s">
        <v>51</v>
      </c>
      <c r="C50" s="71"/>
      <c r="D50" s="46" t="s">
        <v>98</v>
      </c>
      <c r="E50" s="47"/>
      <c r="F50" s="47"/>
      <c r="G50" s="59"/>
      <c r="H50" s="45"/>
      <c r="I50" s="40"/>
      <c r="J50" s="42"/>
      <c r="K50" s="40"/>
      <c r="L50" s="40"/>
      <c r="M50" s="44"/>
    </row>
    <row r="51" spans="1:13" s="1" customFormat="1" ht="14.1" customHeight="1" x14ac:dyDescent="0.3">
      <c r="A51" s="48">
        <v>25</v>
      </c>
      <c r="B51" s="65" t="s">
        <v>16</v>
      </c>
      <c r="C51" s="66"/>
      <c r="D51" s="62" t="s">
        <v>13</v>
      </c>
      <c r="E51" s="63"/>
      <c r="F51" s="63"/>
      <c r="G51" s="64"/>
      <c r="H51" s="60">
        <f>SUM(I51)-1</f>
        <v>20.5</v>
      </c>
      <c r="I51" s="54">
        <f>SUM(J51)-1</f>
        <v>21.5</v>
      </c>
      <c r="J51" s="55">
        <v>22.5</v>
      </c>
      <c r="K51" s="54">
        <f>SUM(J51)+1.5</f>
        <v>24</v>
      </c>
      <c r="L51" s="54">
        <f>SUM(K51)+1</f>
        <v>25</v>
      </c>
      <c r="M51" s="56">
        <f>SUM(L51)+1</f>
        <v>26</v>
      </c>
    </row>
    <row r="52" spans="1:13" s="1" customFormat="1" ht="14.1" customHeight="1" x14ac:dyDescent="0.3">
      <c r="A52" s="48"/>
      <c r="B52" s="70" t="s">
        <v>57</v>
      </c>
      <c r="C52" s="71"/>
      <c r="D52" s="151" t="s">
        <v>97</v>
      </c>
      <c r="E52" s="152"/>
      <c r="F52" s="152"/>
      <c r="G52" s="153"/>
      <c r="H52" s="45"/>
      <c r="I52" s="40"/>
      <c r="J52" s="42"/>
      <c r="K52" s="40"/>
      <c r="L52" s="40"/>
      <c r="M52" s="44"/>
    </row>
    <row r="53" spans="1:13" s="1" customFormat="1" ht="14.1" customHeight="1" x14ac:dyDescent="0.3">
      <c r="A53" s="48">
        <v>26</v>
      </c>
      <c r="B53" s="65" t="s">
        <v>17</v>
      </c>
      <c r="C53" s="66"/>
      <c r="D53" s="62" t="s">
        <v>13</v>
      </c>
      <c r="E53" s="63"/>
      <c r="F53" s="63"/>
      <c r="G53" s="64"/>
      <c r="H53" s="60">
        <f>SUM(I53)-1.2</f>
        <v>22.700000000000003</v>
      </c>
      <c r="I53" s="54">
        <f>SUM(J53)-1.2</f>
        <v>23.900000000000002</v>
      </c>
      <c r="J53" s="55">
        <v>25.1</v>
      </c>
      <c r="K53" s="54">
        <f>SUM(J53)+1.7</f>
        <v>26.8</v>
      </c>
      <c r="L53" s="54">
        <f>SUM(K53)+1.2</f>
        <v>28</v>
      </c>
      <c r="M53" s="56">
        <f>SUM(L53)+1.2</f>
        <v>29.2</v>
      </c>
    </row>
    <row r="54" spans="1:13" s="1" customFormat="1" ht="14.1" customHeight="1" x14ac:dyDescent="0.3">
      <c r="A54" s="48"/>
      <c r="B54" s="70" t="s">
        <v>56</v>
      </c>
      <c r="C54" s="71"/>
      <c r="D54" s="151" t="s">
        <v>97</v>
      </c>
      <c r="E54" s="152"/>
      <c r="F54" s="152"/>
      <c r="G54" s="153"/>
      <c r="H54" s="45"/>
      <c r="I54" s="40"/>
      <c r="J54" s="42"/>
      <c r="K54" s="40"/>
      <c r="L54" s="40"/>
      <c r="M54" s="44"/>
    </row>
    <row r="55" spans="1:13" s="1" customFormat="1" ht="14.1" customHeight="1" x14ac:dyDescent="0.3">
      <c r="A55" s="48">
        <v>27</v>
      </c>
      <c r="B55" s="65"/>
      <c r="C55" s="66"/>
      <c r="D55" s="61"/>
      <c r="E55" s="61"/>
      <c r="F55" s="61"/>
      <c r="G55" s="61"/>
      <c r="H55" s="54"/>
      <c r="I55" s="54"/>
      <c r="J55" s="67"/>
      <c r="K55" s="68"/>
      <c r="L55" s="68"/>
      <c r="M55" s="69"/>
    </row>
    <row r="56" spans="1:13" s="1" customFormat="1" ht="14.1" customHeight="1" thickBot="1" x14ac:dyDescent="0.35">
      <c r="A56" s="87"/>
      <c r="B56" s="141"/>
      <c r="C56" s="141"/>
      <c r="D56" s="98"/>
      <c r="E56" s="99"/>
      <c r="F56" s="99"/>
      <c r="G56" s="100"/>
      <c r="H56" s="91"/>
      <c r="I56" s="91"/>
      <c r="J56" s="92"/>
      <c r="K56" s="93"/>
      <c r="L56" s="93"/>
      <c r="M56" s="121"/>
    </row>
    <row r="57" spans="1:13" s="1" customFormat="1" ht="14.1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1" customFormat="1" ht="14.1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ht="14.1" customHeight="1" x14ac:dyDescent="0.3"/>
    <row r="66" ht="14.1" customHeight="1" x14ac:dyDescent="0.3"/>
  </sheetData>
  <mergeCells count="300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A1:M1"/>
    <mergeCell ref="K55:K56"/>
    <mergeCell ref="L55:L56"/>
    <mergeCell ref="M55:M56"/>
    <mergeCell ref="B56:C56"/>
    <mergeCell ref="D56:G56"/>
    <mergeCell ref="A55:A56"/>
    <mergeCell ref="B55:C55"/>
    <mergeCell ref="D55:G55"/>
    <mergeCell ref="H55:H56"/>
    <mergeCell ref="I55:I56"/>
    <mergeCell ref="J55:J56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  <mergeCell ref="K51:K5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1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0AA-D994-4262-870F-4D8FD9C1F383}">
  <sheetPr codeName="Sheet88">
    <tabColor rgb="FFFF0000"/>
    <pageSetUpPr fitToPage="1"/>
  </sheetPr>
  <dimension ref="A1:N66"/>
  <sheetViews>
    <sheetView zoomScale="110" zoomScaleNormal="110" workbookViewId="0">
      <selection activeCell="A59" sqref="A59:M6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566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54">
        <f t="shared" ref="L3:N3" si="0">SUM(K3)+3</f>
        <v>51</v>
      </c>
      <c r="M3" s="54">
        <f t="shared" si="0"/>
        <v>54</v>
      </c>
      <c r="N3" s="56">
        <f t="shared" si="0"/>
        <v>57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33</v>
      </c>
      <c r="I5" s="54">
        <f>SUM(J5)-2</f>
        <v>35</v>
      </c>
      <c r="J5" s="55">
        <v>37</v>
      </c>
      <c r="K5" s="54">
        <f>SUM(J5)+1.8</f>
        <v>38.799999999999997</v>
      </c>
      <c r="L5" s="54">
        <f t="shared" ref="L5:N5" si="1">SUM(K5)+1.8</f>
        <v>40.599999999999994</v>
      </c>
      <c r="M5" s="54">
        <f t="shared" si="1"/>
        <v>42.399999999999991</v>
      </c>
      <c r="N5" s="56">
        <f t="shared" si="1"/>
        <v>44.199999999999989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54">
        <f>SUM(K7)+2</f>
        <v>44</v>
      </c>
      <c r="M7" s="54">
        <f t="shared" ref="M7:N7" si="2">SUM(L7)+2</f>
        <v>46</v>
      </c>
      <c r="N7" s="56">
        <f t="shared" si="2"/>
        <v>48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5" t="s">
        <v>191</v>
      </c>
      <c r="C9" s="66"/>
      <c r="D9" s="62" t="s">
        <v>192</v>
      </c>
      <c r="E9" s="63"/>
      <c r="F9" s="63"/>
      <c r="G9" s="64"/>
      <c r="H9" s="54">
        <f>SUM(I9)-2.25</f>
        <v>35.5</v>
      </c>
      <c r="I9" s="54">
        <f>SUM(J9)-2.25</f>
        <v>37.75</v>
      </c>
      <c r="J9" s="55">
        <v>40</v>
      </c>
      <c r="K9" s="54">
        <f>SUM(J9)+2</f>
        <v>42</v>
      </c>
      <c r="L9" s="54">
        <f>SUM(K9)+2</f>
        <v>44</v>
      </c>
      <c r="M9" s="54">
        <f t="shared" ref="M9:N9" si="3">SUM(L9)+2</f>
        <v>46</v>
      </c>
      <c r="N9" s="56">
        <f t="shared" si="3"/>
        <v>48</v>
      </c>
    </row>
    <row r="10" spans="1:14" s="1" customFormat="1" ht="14.1" customHeight="1" x14ac:dyDescent="0.3">
      <c r="A10" s="48"/>
      <c r="B10" s="57" t="s">
        <v>193</v>
      </c>
      <c r="C10" s="58"/>
      <c r="D10" s="46" t="s">
        <v>194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13.999999999999998</v>
      </c>
      <c r="I11" s="60">
        <f>SUM(J11)-0.8</f>
        <v>14.799999999999999</v>
      </c>
      <c r="J11" s="132">
        <v>15.6</v>
      </c>
      <c r="K11" s="130">
        <f>SUM(J11)+0.8</f>
        <v>16.399999999999999</v>
      </c>
      <c r="L11" s="130">
        <f>SUM(K11)+0.8</f>
        <v>17.2</v>
      </c>
      <c r="M11" s="130">
        <f t="shared" ref="M11:N11" si="4">SUM(L11)+0.8</f>
        <v>18</v>
      </c>
      <c r="N11" s="131">
        <f t="shared" si="4"/>
        <v>18.8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15.3</v>
      </c>
      <c r="I13" s="54">
        <f>SUM(J13)-0.6</f>
        <v>15.9</v>
      </c>
      <c r="J13" s="67">
        <v>16.5</v>
      </c>
      <c r="K13" s="68">
        <f>SUM(J13)+0.6</f>
        <v>17.100000000000001</v>
      </c>
      <c r="L13" s="68">
        <f>SUM(K13)+0.6</f>
        <v>17.700000000000003</v>
      </c>
      <c r="M13" s="68">
        <f t="shared" ref="M13:N13" si="5">SUM(L13)+0.6</f>
        <v>18.300000000000004</v>
      </c>
      <c r="N13" s="69">
        <f t="shared" si="5"/>
        <v>18.900000000000006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6.9</v>
      </c>
      <c r="I15" s="54">
        <f>SUM(J15)-0.3</f>
        <v>7.2</v>
      </c>
      <c r="J15" s="67">
        <v>7.5</v>
      </c>
      <c r="K15" s="68">
        <f>SUM(J15)+0.3</f>
        <v>7.8</v>
      </c>
      <c r="L15" s="68">
        <f>SUM(K15)+0.3</f>
        <v>8.1</v>
      </c>
      <c r="M15" s="68">
        <f t="shared" ref="M15:N15" si="6">SUM(L15)+0.3</f>
        <v>8.4</v>
      </c>
      <c r="N15" s="69">
        <f t="shared" si="6"/>
        <v>8.7000000000000011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40.799999999999997</v>
      </c>
      <c r="I17" s="54">
        <f>SUM(J17)-1.6</f>
        <v>42.4</v>
      </c>
      <c r="J17" s="67">
        <v>44</v>
      </c>
      <c r="K17" s="68">
        <f>SUM(J17)+1.6</f>
        <v>45.6</v>
      </c>
      <c r="L17" s="68">
        <f>SUM(K17)+1.6</f>
        <v>47.2</v>
      </c>
      <c r="M17" s="68">
        <f t="shared" ref="M17:N17" si="7">SUM(L17)+1.6</f>
        <v>48.800000000000004</v>
      </c>
      <c r="N17" s="69">
        <f t="shared" si="7"/>
        <v>50.400000000000006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8.5</v>
      </c>
      <c r="I19" s="54">
        <f>SUM(J19)-1</f>
        <v>9.5</v>
      </c>
      <c r="J19" s="55">
        <v>10.5</v>
      </c>
      <c r="K19" s="68">
        <f>SUM(J19)+1.1</f>
        <v>11.6</v>
      </c>
      <c r="L19" s="68">
        <f t="shared" ref="L19:N19" si="8">SUM(K19)+1.1</f>
        <v>12.7</v>
      </c>
      <c r="M19" s="68">
        <f t="shared" si="8"/>
        <v>13.799999999999999</v>
      </c>
      <c r="N19" s="69">
        <f t="shared" si="8"/>
        <v>14.899999999999999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22.6</v>
      </c>
      <c r="I23" s="54">
        <f>SUM(J23)-1.2</f>
        <v>23.8</v>
      </c>
      <c r="J23" s="67">
        <v>25</v>
      </c>
      <c r="K23" s="68">
        <f>SUM(J23)+1.2</f>
        <v>26.2</v>
      </c>
      <c r="L23" s="68">
        <f t="shared" ref="L23:N23" si="9">SUM(K23)+1.2</f>
        <v>27.4</v>
      </c>
      <c r="M23" s="68">
        <f t="shared" si="9"/>
        <v>28.599999999999998</v>
      </c>
      <c r="N23" s="69">
        <f t="shared" si="9"/>
        <v>29.799999999999997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79" t="s">
        <v>134</v>
      </c>
      <c r="C25" s="80"/>
      <c r="D25" s="133"/>
      <c r="E25" s="134"/>
      <c r="F25" s="134"/>
      <c r="G25" s="135"/>
      <c r="H25" s="81">
        <f>SUM(I25)-0.3</f>
        <v>4.9000000000000004</v>
      </c>
      <c r="I25" s="81">
        <f>SUM(J25)-0.3</f>
        <v>5.2</v>
      </c>
      <c r="J25" s="42">
        <v>5.5</v>
      </c>
      <c r="K25" s="40">
        <f>SUM(J25)+0.3</f>
        <v>5.8</v>
      </c>
      <c r="L25" s="40">
        <f t="shared" ref="L25:N25" si="10">SUM(K25)+0.3</f>
        <v>6.1</v>
      </c>
      <c r="M25" s="40">
        <f t="shared" si="10"/>
        <v>6.3999999999999995</v>
      </c>
      <c r="N25" s="44">
        <f t="shared" si="10"/>
        <v>6.6999999999999993</v>
      </c>
    </row>
    <row r="26" spans="1:14" s="1" customFormat="1" ht="14.1" customHeight="1" x14ac:dyDescent="0.3">
      <c r="A26" s="48"/>
      <c r="B26" s="79" t="s">
        <v>142</v>
      </c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54"/>
      <c r="N26" s="56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8"/>
      <c r="N27" s="69"/>
    </row>
    <row r="28" spans="1:14" s="1" customFormat="1" ht="14.1" customHeight="1" thickBot="1" x14ac:dyDescent="0.35">
      <c r="A28" s="78"/>
      <c r="B28" s="79"/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54"/>
      <c r="N28" s="56"/>
    </row>
    <row r="29" spans="1:14" s="1" customFormat="1" ht="14.1" customHeight="1" thickTop="1" x14ac:dyDescent="0.3">
      <c r="A29" s="217">
        <v>14</v>
      </c>
      <c r="B29" s="218" t="s">
        <v>119</v>
      </c>
      <c r="C29" s="219"/>
      <c r="D29" s="220" t="s">
        <v>70</v>
      </c>
      <c r="E29" s="221"/>
      <c r="F29" s="221"/>
      <c r="G29" s="222"/>
      <c r="H29" s="223">
        <f>SUM(I29)-3</f>
        <v>45</v>
      </c>
      <c r="I29" s="224">
        <f>SUM(J29)-3</f>
        <v>48</v>
      </c>
      <c r="J29" s="226">
        <v>51</v>
      </c>
      <c r="K29" s="224">
        <f>SUM(J29)+3</f>
        <v>54</v>
      </c>
      <c r="L29" s="224">
        <f>SUM(K29)+3</f>
        <v>57</v>
      </c>
      <c r="M29" s="224">
        <f t="shared" ref="M29:N29" si="11">SUM(L29)+3</f>
        <v>60</v>
      </c>
      <c r="N29" s="225">
        <f t="shared" si="11"/>
        <v>63</v>
      </c>
    </row>
    <row r="30" spans="1:14" s="1" customFormat="1" ht="14.1" customHeight="1" x14ac:dyDescent="0.3">
      <c r="A30" s="48"/>
      <c r="B30" s="70" t="s">
        <v>87</v>
      </c>
      <c r="C30" s="71"/>
      <c r="D30" s="151" t="s">
        <v>71</v>
      </c>
      <c r="E30" s="152"/>
      <c r="F30" s="152"/>
      <c r="G30" s="153"/>
      <c r="H30" s="45"/>
      <c r="I30" s="40"/>
      <c r="J30" s="42"/>
      <c r="K30" s="40"/>
      <c r="L30" s="40"/>
      <c r="M30" s="40"/>
      <c r="N30" s="44"/>
    </row>
    <row r="31" spans="1:14" s="1" customFormat="1" ht="14.1" customHeight="1" x14ac:dyDescent="0.3">
      <c r="A31" s="48">
        <v>15</v>
      </c>
      <c r="B31" s="65" t="s">
        <v>127</v>
      </c>
      <c r="C31" s="66"/>
      <c r="D31" s="51"/>
      <c r="E31" s="52"/>
      <c r="F31" s="52"/>
      <c r="G31" s="53"/>
      <c r="H31" s="54">
        <f>SUM(I31)-3.5</f>
        <v>66</v>
      </c>
      <c r="I31" s="54">
        <f>SUM(J31)-3.5</f>
        <v>69.5</v>
      </c>
      <c r="J31" s="82">
        <v>73</v>
      </c>
      <c r="K31" s="81">
        <f>SUM(J31)+3.5</f>
        <v>76.5</v>
      </c>
      <c r="L31" s="81">
        <f t="shared" ref="L31:N31" si="12">SUM(K31)+3.5</f>
        <v>80</v>
      </c>
      <c r="M31" s="81">
        <f t="shared" si="12"/>
        <v>83.5</v>
      </c>
      <c r="N31" s="83">
        <f t="shared" si="12"/>
        <v>87</v>
      </c>
    </row>
    <row r="32" spans="1:14" s="1" customFormat="1" ht="14.1" customHeight="1" x14ac:dyDescent="0.3">
      <c r="A32" s="48"/>
      <c r="B32" s="70" t="s">
        <v>128</v>
      </c>
      <c r="C32" s="71"/>
      <c r="D32" s="151"/>
      <c r="E32" s="152"/>
      <c r="F32" s="152"/>
      <c r="G32" s="153"/>
      <c r="H32" s="40"/>
      <c r="I32" s="40"/>
      <c r="J32" s="42"/>
      <c r="K32" s="40"/>
      <c r="L32" s="40"/>
      <c r="M32" s="40"/>
      <c r="N32" s="44"/>
    </row>
    <row r="33" spans="1:14" s="1" customFormat="1" ht="14.1" customHeight="1" x14ac:dyDescent="0.3">
      <c r="A33" s="48">
        <v>16</v>
      </c>
      <c r="B33" s="65" t="s">
        <v>11</v>
      </c>
      <c r="C33" s="66"/>
      <c r="D33" s="62" t="s">
        <v>136</v>
      </c>
      <c r="E33" s="63"/>
      <c r="F33" s="63"/>
      <c r="G33" s="64"/>
      <c r="H33" s="54">
        <f>SUM(I33)-4</f>
        <v>72</v>
      </c>
      <c r="I33" s="54">
        <f>SUM(J33)-4</f>
        <v>76</v>
      </c>
      <c r="J33" s="55">
        <v>80</v>
      </c>
      <c r="K33" s="54">
        <f>SUM(J33)+4</f>
        <v>84</v>
      </c>
      <c r="L33" s="54">
        <f t="shared" ref="L33:N33" si="13">SUM(K33)+4</f>
        <v>88</v>
      </c>
      <c r="M33" s="54">
        <f t="shared" si="13"/>
        <v>92</v>
      </c>
      <c r="N33" s="56">
        <f t="shared" si="13"/>
        <v>96</v>
      </c>
    </row>
    <row r="34" spans="1:14" s="1" customFormat="1" ht="14.1" customHeight="1" x14ac:dyDescent="0.3">
      <c r="A34" s="48"/>
      <c r="B34" s="70" t="s">
        <v>49</v>
      </c>
      <c r="C34" s="71"/>
      <c r="D34" s="151" t="s">
        <v>100</v>
      </c>
      <c r="E34" s="152"/>
      <c r="F34" s="152"/>
      <c r="G34" s="153"/>
      <c r="H34" s="40"/>
      <c r="I34" s="40"/>
      <c r="J34" s="42"/>
      <c r="K34" s="40"/>
      <c r="L34" s="40"/>
      <c r="M34" s="40"/>
      <c r="N34" s="44"/>
    </row>
    <row r="35" spans="1:14" s="1" customFormat="1" ht="14.1" customHeight="1" x14ac:dyDescent="0.3">
      <c r="A35" s="48">
        <v>17</v>
      </c>
      <c r="B35" s="65" t="s">
        <v>116</v>
      </c>
      <c r="C35" s="66"/>
      <c r="D35" s="62"/>
      <c r="E35" s="63"/>
      <c r="F35" s="63"/>
      <c r="G35" s="64"/>
      <c r="H35" s="60">
        <f>SUM(I35)-0.7</f>
        <v>13.8</v>
      </c>
      <c r="I35" s="54">
        <f>SUM(J35)-0.7</f>
        <v>14.5</v>
      </c>
      <c r="J35" s="55">
        <v>15.2</v>
      </c>
      <c r="K35" s="54">
        <f>SUM(J35)+1.2</f>
        <v>16.399999999999999</v>
      </c>
      <c r="L35" s="54">
        <f>SUM(K35)+0.7</f>
        <v>17.099999999999998</v>
      </c>
      <c r="M35" s="54">
        <f t="shared" ref="M35:N35" si="14">SUM(L35)+0.7</f>
        <v>17.799999999999997</v>
      </c>
      <c r="N35" s="56">
        <f t="shared" si="14"/>
        <v>18.499999999999996</v>
      </c>
    </row>
    <row r="36" spans="1:14" s="1" customFormat="1" ht="14.1" customHeight="1" x14ac:dyDescent="0.3">
      <c r="A36" s="48"/>
      <c r="B36" s="70" t="s">
        <v>115</v>
      </c>
      <c r="C36" s="71"/>
      <c r="D36" s="162" t="s">
        <v>131</v>
      </c>
      <c r="E36" s="163"/>
      <c r="F36" s="163"/>
      <c r="G36" s="164"/>
      <c r="H36" s="45"/>
      <c r="I36" s="40"/>
      <c r="J36" s="42"/>
      <c r="K36" s="40"/>
      <c r="L36" s="40"/>
      <c r="M36" s="40"/>
      <c r="N36" s="44"/>
    </row>
    <row r="37" spans="1:14" s="1" customFormat="1" ht="14.1" customHeight="1" x14ac:dyDescent="0.3">
      <c r="A37" s="48">
        <v>18</v>
      </c>
      <c r="B37" s="65" t="s">
        <v>139</v>
      </c>
      <c r="C37" s="66"/>
      <c r="D37" s="62"/>
      <c r="E37" s="63"/>
      <c r="F37" s="63"/>
      <c r="G37" s="64"/>
      <c r="H37" s="60"/>
      <c r="I37" s="54"/>
      <c r="J37" s="55"/>
      <c r="K37" s="54"/>
      <c r="L37" s="54"/>
      <c r="M37" s="54"/>
      <c r="N37" s="56"/>
    </row>
    <row r="38" spans="1:14" s="1" customFormat="1" ht="14.1" customHeight="1" x14ac:dyDescent="0.3">
      <c r="A38" s="48"/>
      <c r="B38" s="70" t="s">
        <v>140</v>
      </c>
      <c r="C38" s="71"/>
      <c r="D38" s="162" t="s">
        <v>141</v>
      </c>
      <c r="E38" s="163"/>
      <c r="F38" s="163"/>
      <c r="G38" s="164"/>
      <c r="H38" s="45"/>
      <c r="I38" s="40"/>
      <c r="J38" s="42"/>
      <c r="K38" s="40"/>
      <c r="L38" s="40"/>
      <c r="M38" s="40"/>
      <c r="N38" s="44"/>
    </row>
    <row r="39" spans="1:14" s="1" customFormat="1" ht="14.1" customHeight="1" x14ac:dyDescent="0.3">
      <c r="A39" s="48">
        <v>19</v>
      </c>
      <c r="B39" s="65" t="s">
        <v>9</v>
      </c>
      <c r="C39" s="66"/>
      <c r="D39" s="62" t="s">
        <v>72</v>
      </c>
      <c r="E39" s="63"/>
      <c r="F39" s="63"/>
      <c r="G39" s="64"/>
      <c r="H39" s="54">
        <f>SUM(I39)-3</f>
        <v>29</v>
      </c>
      <c r="I39" s="54">
        <f>SUM(J39)-3</f>
        <v>32</v>
      </c>
      <c r="J39" s="55">
        <v>35</v>
      </c>
      <c r="K39" s="54">
        <f>SUM(J39)+2.5</f>
        <v>37.5</v>
      </c>
      <c r="L39" s="54">
        <f t="shared" ref="L39:M39" si="15">SUM(K39)+2.5</f>
        <v>40</v>
      </c>
      <c r="M39" s="54">
        <f t="shared" si="15"/>
        <v>42.5</v>
      </c>
      <c r="N39" s="56">
        <f>SUM(M39)+2.5</f>
        <v>45</v>
      </c>
    </row>
    <row r="40" spans="1:14" s="1" customFormat="1" ht="14.1" customHeight="1" x14ac:dyDescent="0.3">
      <c r="A40" s="48"/>
      <c r="B40" s="70" t="s">
        <v>50</v>
      </c>
      <c r="C40" s="71"/>
      <c r="D40" s="151" t="s">
        <v>99</v>
      </c>
      <c r="E40" s="152"/>
      <c r="F40" s="152"/>
      <c r="G40" s="153"/>
      <c r="H40" s="40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48">
        <v>20</v>
      </c>
      <c r="B41" s="65" t="s">
        <v>14</v>
      </c>
      <c r="C41" s="66"/>
      <c r="D41" s="62" t="s">
        <v>15</v>
      </c>
      <c r="E41" s="63"/>
      <c r="F41" s="63"/>
      <c r="G41" s="64"/>
      <c r="H41" s="54">
        <f>SUM(I41)-2</f>
        <v>44</v>
      </c>
      <c r="I41" s="54">
        <f>SUM(J41)-2</f>
        <v>46</v>
      </c>
      <c r="J41" s="55">
        <v>48</v>
      </c>
      <c r="K41" s="54">
        <f>SUM(J41)+2</f>
        <v>50</v>
      </c>
      <c r="L41" s="54">
        <f t="shared" ref="L41:N41" si="16">SUM(K41)+2</f>
        <v>52</v>
      </c>
      <c r="M41" s="54">
        <f t="shared" si="16"/>
        <v>54</v>
      </c>
      <c r="N41" s="56">
        <f t="shared" si="16"/>
        <v>56</v>
      </c>
    </row>
    <row r="42" spans="1:14" s="1" customFormat="1" ht="14.1" customHeight="1" x14ac:dyDescent="0.3">
      <c r="A42" s="48"/>
      <c r="B42" s="70" t="s">
        <v>51</v>
      </c>
      <c r="C42" s="71"/>
      <c r="D42" s="46" t="s">
        <v>98</v>
      </c>
      <c r="E42" s="47"/>
      <c r="F42" s="47"/>
      <c r="G42" s="59"/>
      <c r="H42" s="40"/>
      <c r="I42" s="40"/>
      <c r="J42" s="42"/>
      <c r="K42" s="40"/>
      <c r="L42" s="40"/>
      <c r="M42" s="40"/>
      <c r="N42" s="44"/>
    </row>
    <row r="43" spans="1:14" s="1" customFormat="1" ht="14.1" customHeight="1" x14ac:dyDescent="0.3">
      <c r="A43" s="48">
        <v>21</v>
      </c>
      <c r="B43" s="65" t="s">
        <v>16</v>
      </c>
      <c r="C43" s="66"/>
      <c r="D43" s="62" t="s">
        <v>13</v>
      </c>
      <c r="E43" s="63"/>
      <c r="F43" s="63"/>
      <c r="G43" s="64"/>
      <c r="H43" s="60">
        <f>SUM(I43)-1.1</f>
        <v>21.799999999999997</v>
      </c>
      <c r="I43" s="54">
        <f>SUM(J43)-1.1</f>
        <v>22.9</v>
      </c>
      <c r="J43" s="55">
        <v>24</v>
      </c>
      <c r="K43" s="54">
        <f>SUM(J43)+1.6</f>
        <v>25.6</v>
      </c>
      <c r="L43" s="54">
        <f>SUM(K43)+1.1</f>
        <v>26.700000000000003</v>
      </c>
      <c r="M43" s="54">
        <f t="shared" ref="M43:N43" si="17">SUM(L43)+1.1</f>
        <v>27.800000000000004</v>
      </c>
      <c r="N43" s="56">
        <f t="shared" si="17"/>
        <v>28.900000000000006</v>
      </c>
    </row>
    <row r="44" spans="1:14" s="1" customFormat="1" ht="14.1" customHeight="1" x14ac:dyDescent="0.3">
      <c r="A44" s="48"/>
      <c r="B44" s="70" t="s">
        <v>57</v>
      </c>
      <c r="C44" s="71"/>
      <c r="D44" s="151" t="s">
        <v>97</v>
      </c>
      <c r="E44" s="152"/>
      <c r="F44" s="152"/>
      <c r="G44" s="153"/>
      <c r="H44" s="45"/>
      <c r="I44" s="40"/>
      <c r="J44" s="42"/>
      <c r="K44" s="40"/>
      <c r="L44" s="40"/>
      <c r="M44" s="40"/>
      <c r="N44" s="44"/>
    </row>
    <row r="45" spans="1:14" s="1" customFormat="1" ht="14.1" customHeight="1" x14ac:dyDescent="0.3">
      <c r="A45" s="48">
        <v>22</v>
      </c>
      <c r="B45" s="65" t="s">
        <v>17</v>
      </c>
      <c r="C45" s="66"/>
      <c r="D45" s="62" t="s">
        <v>13</v>
      </c>
      <c r="E45" s="63"/>
      <c r="F45" s="63"/>
      <c r="G45" s="64"/>
      <c r="H45" s="60">
        <f>SUM(I45)-1.3</f>
        <v>28.099999999999998</v>
      </c>
      <c r="I45" s="54">
        <f>SUM(J45)-1.3</f>
        <v>29.4</v>
      </c>
      <c r="J45" s="55">
        <v>30.7</v>
      </c>
      <c r="K45" s="54">
        <f>SUM(J45)+1.8</f>
        <v>32.5</v>
      </c>
      <c r="L45" s="54">
        <f>SUM(K45)+1.3</f>
        <v>33.799999999999997</v>
      </c>
      <c r="M45" s="54">
        <f t="shared" ref="M45:N45" si="18">SUM(L45)+1.3</f>
        <v>35.099999999999994</v>
      </c>
      <c r="N45" s="56">
        <f t="shared" si="18"/>
        <v>36.399999999999991</v>
      </c>
    </row>
    <row r="46" spans="1:14" s="1" customFormat="1" ht="14.1" customHeight="1" x14ac:dyDescent="0.3">
      <c r="A46" s="48"/>
      <c r="B46" s="70" t="s">
        <v>56</v>
      </c>
      <c r="C46" s="71"/>
      <c r="D46" s="151" t="s">
        <v>97</v>
      </c>
      <c r="E46" s="152"/>
      <c r="F46" s="152"/>
      <c r="G46" s="153"/>
      <c r="H46" s="45"/>
      <c r="I46" s="40"/>
      <c r="J46" s="42"/>
      <c r="K46" s="40"/>
      <c r="L46" s="40"/>
      <c r="M46" s="40"/>
      <c r="N46" s="44"/>
    </row>
    <row r="47" spans="1:14" s="1" customFormat="1" ht="14.1" customHeight="1" x14ac:dyDescent="0.3">
      <c r="A47" s="48">
        <v>23</v>
      </c>
      <c r="B47" s="65" t="s">
        <v>18</v>
      </c>
      <c r="C47" s="66"/>
      <c r="D47" s="62" t="s">
        <v>19</v>
      </c>
      <c r="E47" s="63"/>
      <c r="F47" s="63"/>
      <c r="G47" s="64"/>
      <c r="H47" s="54"/>
      <c r="I47" s="54"/>
      <c r="J47" s="55"/>
      <c r="K47" s="54"/>
      <c r="L47" s="54"/>
      <c r="M47" s="54"/>
      <c r="N47" s="56"/>
    </row>
    <row r="48" spans="1:14" s="1" customFormat="1" ht="14.1" customHeight="1" x14ac:dyDescent="0.3">
      <c r="A48" s="48"/>
      <c r="B48" s="70" t="s">
        <v>55</v>
      </c>
      <c r="C48" s="71"/>
      <c r="D48" s="151" t="s">
        <v>96</v>
      </c>
      <c r="E48" s="152"/>
      <c r="F48" s="152"/>
      <c r="G48" s="153"/>
      <c r="H48" s="40"/>
      <c r="I48" s="40"/>
      <c r="J48" s="42"/>
      <c r="K48" s="40"/>
      <c r="L48" s="40"/>
      <c r="M48" s="40"/>
      <c r="N48" s="44"/>
    </row>
    <row r="49" spans="1:14" s="1" customFormat="1" ht="14.1" customHeight="1" x14ac:dyDescent="0.3">
      <c r="A49" s="48">
        <v>24</v>
      </c>
      <c r="B49" s="65" t="s">
        <v>20</v>
      </c>
      <c r="C49" s="66"/>
      <c r="D49" s="62" t="s">
        <v>21</v>
      </c>
      <c r="E49" s="63"/>
      <c r="F49" s="63"/>
      <c r="G49" s="64"/>
      <c r="H49" s="54"/>
      <c r="I49" s="54"/>
      <c r="J49" s="55"/>
      <c r="K49" s="54"/>
      <c r="L49" s="54"/>
      <c r="M49" s="54"/>
      <c r="N49" s="56"/>
    </row>
    <row r="50" spans="1:14" s="1" customFormat="1" ht="14.1" customHeight="1" x14ac:dyDescent="0.3">
      <c r="A50" s="48"/>
      <c r="B50" s="70" t="s">
        <v>54</v>
      </c>
      <c r="C50" s="71"/>
      <c r="D50" s="151" t="s">
        <v>95</v>
      </c>
      <c r="E50" s="152"/>
      <c r="F50" s="152"/>
      <c r="G50" s="153"/>
      <c r="H50" s="40"/>
      <c r="I50" s="40"/>
      <c r="J50" s="42"/>
      <c r="K50" s="40"/>
      <c r="L50" s="40"/>
      <c r="M50" s="40"/>
      <c r="N50" s="44"/>
    </row>
    <row r="51" spans="1:14" s="1" customFormat="1" ht="14.1" customHeight="1" x14ac:dyDescent="0.3">
      <c r="A51" s="48">
        <v>25</v>
      </c>
      <c r="B51" s="65" t="s">
        <v>94</v>
      </c>
      <c r="C51" s="66"/>
      <c r="D51" s="62" t="s">
        <v>92</v>
      </c>
      <c r="E51" s="63"/>
      <c r="F51" s="63"/>
      <c r="G51" s="64"/>
      <c r="H51" s="54"/>
      <c r="I51" s="54"/>
      <c r="J51" s="55"/>
      <c r="K51" s="54"/>
      <c r="L51" s="54"/>
      <c r="M51" s="54"/>
      <c r="N51" s="56"/>
    </row>
    <row r="52" spans="1:14" s="1" customFormat="1" ht="14.1" customHeight="1" x14ac:dyDescent="0.3">
      <c r="A52" s="48"/>
      <c r="B52" s="70" t="s">
        <v>93</v>
      </c>
      <c r="C52" s="71"/>
      <c r="D52" s="151" t="s">
        <v>92</v>
      </c>
      <c r="E52" s="152"/>
      <c r="F52" s="152"/>
      <c r="G52" s="153"/>
      <c r="H52" s="40"/>
      <c r="I52" s="40"/>
      <c r="J52" s="42"/>
      <c r="K52" s="40"/>
      <c r="L52" s="40"/>
      <c r="M52" s="40"/>
      <c r="N52" s="44"/>
    </row>
    <row r="53" spans="1:14" s="1" customFormat="1" ht="14.1" customHeight="1" x14ac:dyDescent="0.3">
      <c r="A53" s="48">
        <v>26</v>
      </c>
      <c r="B53" s="65" t="s">
        <v>91</v>
      </c>
      <c r="C53" s="66"/>
      <c r="D53" s="62" t="s">
        <v>90</v>
      </c>
      <c r="E53" s="63"/>
      <c r="F53" s="63"/>
      <c r="G53" s="64"/>
      <c r="H53" s="54"/>
      <c r="I53" s="54"/>
      <c r="J53" s="55"/>
      <c r="K53" s="54"/>
      <c r="L53" s="54"/>
      <c r="M53" s="54"/>
      <c r="N53" s="56"/>
    </row>
    <row r="54" spans="1:14" s="1" customFormat="1" ht="14.1" customHeight="1" x14ac:dyDescent="0.3">
      <c r="A54" s="48"/>
      <c r="B54" s="70" t="s">
        <v>89</v>
      </c>
      <c r="C54" s="71"/>
      <c r="D54" s="151" t="s">
        <v>130</v>
      </c>
      <c r="E54" s="152"/>
      <c r="F54" s="152"/>
      <c r="G54" s="153"/>
      <c r="H54" s="40"/>
      <c r="I54" s="40"/>
      <c r="J54" s="42"/>
      <c r="K54" s="40"/>
      <c r="L54" s="40"/>
      <c r="M54" s="40"/>
      <c r="N54" s="44"/>
    </row>
    <row r="55" spans="1:14" s="1" customFormat="1" ht="14.1" customHeight="1" x14ac:dyDescent="0.3">
      <c r="A55" s="48">
        <v>27</v>
      </c>
      <c r="B55" s="65" t="s">
        <v>114</v>
      </c>
      <c r="C55" s="66"/>
      <c r="D55" s="62" t="s">
        <v>22</v>
      </c>
      <c r="E55" s="63"/>
      <c r="F55" s="63"/>
      <c r="G55" s="64"/>
      <c r="H55" s="54">
        <f>SUM(I55)-0.2</f>
        <v>4.0999999999999996</v>
      </c>
      <c r="I55" s="54">
        <f>SUM(J55)-0.2</f>
        <v>4.3</v>
      </c>
      <c r="J55" s="55">
        <v>4.5</v>
      </c>
      <c r="K55" s="54">
        <f>SUM(J55)+0.2</f>
        <v>4.7</v>
      </c>
      <c r="L55" s="54">
        <f t="shared" ref="L55:N55" si="19">SUM(K55)+0.2</f>
        <v>4.9000000000000004</v>
      </c>
      <c r="M55" s="54">
        <f t="shared" si="19"/>
        <v>5.1000000000000005</v>
      </c>
      <c r="N55" s="56">
        <f t="shared" si="19"/>
        <v>5.3000000000000007</v>
      </c>
    </row>
    <row r="56" spans="1:14" s="1" customFormat="1" ht="14.1" customHeight="1" x14ac:dyDescent="0.3">
      <c r="A56" s="48"/>
      <c r="B56" s="70" t="s">
        <v>53</v>
      </c>
      <c r="C56" s="71"/>
      <c r="D56" s="151" t="s">
        <v>113</v>
      </c>
      <c r="E56" s="152"/>
      <c r="F56" s="152"/>
      <c r="G56" s="153"/>
      <c r="H56" s="40"/>
      <c r="I56" s="40"/>
      <c r="J56" s="42"/>
      <c r="K56" s="40"/>
      <c r="L56" s="40"/>
      <c r="M56" s="40"/>
      <c r="N56" s="44"/>
    </row>
    <row r="57" spans="1:14" s="1" customFormat="1" ht="14.1" customHeight="1" x14ac:dyDescent="0.3">
      <c r="A57" s="48">
        <v>28</v>
      </c>
      <c r="B57" s="65" t="s">
        <v>112</v>
      </c>
      <c r="C57" s="66"/>
      <c r="D57" s="62" t="s">
        <v>23</v>
      </c>
      <c r="E57" s="63"/>
      <c r="F57" s="63"/>
      <c r="G57" s="64"/>
      <c r="H57" s="54">
        <f>SUM(I57)-0.6</f>
        <v>8.8000000000000007</v>
      </c>
      <c r="I57" s="54">
        <f>SUM(J57)-0.6</f>
        <v>9.4</v>
      </c>
      <c r="J57" s="55">
        <v>10</v>
      </c>
      <c r="K57" s="54">
        <f>SUM(J57)+0.6</f>
        <v>10.6</v>
      </c>
      <c r="L57" s="54">
        <f t="shared" ref="L57:N57" si="20">SUM(K57)+0.6</f>
        <v>11.2</v>
      </c>
      <c r="M57" s="54">
        <f t="shared" si="20"/>
        <v>11.799999999999999</v>
      </c>
      <c r="N57" s="56">
        <f t="shared" si="20"/>
        <v>12.399999999999999</v>
      </c>
    </row>
    <row r="58" spans="1:14" s="1" customFormat="1" ht="14.1" customHeight="1" x14ac:dyDescent="0.3">
      <c r="A58" s="48"/>
      <c r="B58" s="70" t="s">
        <v>52</v>
      </c>
      <c r="C58" s="71"/>
      <c r="D58" s="151" t="s">
        <v>111</v>
      </c>
      <c r="E58" s="152"/>
      <c r="F58" s="152"/>
      <c r="G58" s="153"/>
      <c r="H58" s="40"/>
      <c r="I58" s="40"/>
      <c r="J58" s="42"/>
      <c r="K58" s="40"/>
      <c r="L58" s="40"/>
      <c r="M58" s="40"/>
      <c r="N58" s="44"/>
    </row>
    <row r="59" spans="1:14" s="1" customFormat="1" ht="14.1" customHeight="1" x14ac:dyDescent="0.3">
      <c r="A59" s="48">
        <v>29</v>
      </c>
      <c r="B59" s="65" t="s">
        <v>498</v>
      </c>
      <c r="C59" s="66"/>
      <c r="D59" s="61"/>
      <c r="E59" s="61"/>
      <c r="F59" s="61"/>
      <c r="G59" s="61"/>
      <c r="H59" s="54">
        <f>SUM(I59)-0.5</f>
        <v>10.5</v>
      </c>
      <c r="I59" s="54">
        <f>SUM(J59)-0.5</f>
        <v>11</v>
      </c>
      <c r="J59" s="55">
        <v>11.5</v>
      </c>
      <c r="K59" s="54">
        <f>SUM(J59)+0.5</f>
        <v>12</v>
      </c>
      <c r="L59" s="54">
        <f t="shared" ref="L59:N59" si="21">SUM(K59)+0.5</f>
        <v>12.5</v>
      </c>
      <c r="M59" s="54">
        <f t="shared" si="21"/>
        <v>13</v>
      </c>
      <c r="N59" s="56">
        <f t="shared" si="21"/>
        <v>13.5</v>
      </c>
    </row>
    <row r="60" spans="1:14" s="1" customFormat="1" ht="14.1" customHeight="1" x14ac:dyDescent="0.3">
      <c r="A60" s="48"/>
      <c r="B60" s="57" t="s">
        <v>499</v>
      </c>
      <c r="C60" s="58"/>
      <c r="D60" s="51"/>
      <c r="E60" s="52"/>
      <c r="F60" s="52"/>
      <c r="G60" s="53"/>
      <c r="H60" s="81"/>
      <c r="I60" s="81"/>
      <c r="J60" s="82"/>
      <c r="K60" s="81"/>
      <c r="L60" s="81"/>
      <c r="M60" s="81"/>
      <c r="N60" s="83"/>
    </row>
    <row r="61" spans="1:14" s="1" customFormat="1" ht="14.1" customHeight="1" x14ac:dyDescent="0.3">
      <c r="A61" s="48">
        <v>30</v>
      </c>
      <c r="B61" s="65" t="s">
        <v>500</v>
      </c>
      <c r="C61" s="66"/>
      <c r="D61" s="61"/>
      <c r="E61" s="61"/>
      <c r="F61" s="61"/>
      <c r="G61" s="61"/>
      <c r="H61" s="54">
        <f>SUM(I61)-0.5</f>
        <v>11</v>
      </c>
      <c r="I61" s="54">
        <f>SUM(J61)-0.5</f>
        <v>11.5</v>
      </c>
      <c r="J61" s="55">
        <v>12</v>
      </c>
      <c r="K61" s="54">
        <f>SUM(J61)+0.5</f>
        <v>12.5</v>
      </c>
      <c r="L61" s="54">
        <f t="shared" ref="L61:N61" si="22">SUM(K61)+0.5</f>
        <v>13</v>
      </c>
      <c r="M61" s="54">
        <f t="shared" si="22"/>
        <v>13.5</v>
      </c>
      <c r="N61" s="56">
        <f t="shared" si="22"/>
        <v>14</v>
      </c>
    </row>
    <row r="62" spans="1:14" s="1" customFormat="1" ht="14.1" customHeight="1" x14ac:dyDescent="0.3">
      <c r="A62" s="48"/>
      <c r="B62" s="57" t="s">
        <v>501</v>
      </c>
      <c r="C62" s="58"/>
      <c r="D62" s="46"/>
      <c r="E62" s="47"/>
      <c r="F62" s="47"/>
      <c r="G62" s="59"/>
      <c r="H62" s="40"/>
      <c r="I62" s="40"/>
      <c r="J62" s="42"/>
      <c r="K62" s="40"/>
      <c r="L62" s="40"/>
      <c r="M62" s="40"/>
      <c r="N62" s="44"/>
    </row>
    <row r="63" spans="1:14" ht="14.1" customHeight="1" x14ac:dyDescent="0.3">
      <c r="A63" s="48">
        <v>31</v>
      </c>
      <c r="B63" s="79" t="s">
        <v>298</v>
      </c>
      <c r="C63" s="80"/>
      <c r="D63" s="106"/>
      <c r="E63" s="106"/>
      <c r="F63" s="106"/>
      <c r="G63" s="106"/>
      <c r="H63" s="81">
        <f>SUM(I63)-3</f>
        <v>77</v>
      </c>
      <c r="I63" s="81">
        <f>SUM(J63)-3</f>
        <v>80</v>
      </c>
      <c r="J63" s="82">
        <v>83</v>
      </c>
      <c r="K63" s="81">
        <f>SUM(J63)+3</f>
        <v>86</v>
      </c>
      <c r="L63" s="81">
        <f>SUM(K63)+3</f>
        <v>89</v>
      </c>
      <c r="M63" s="81">
        <f>SUM(L63)+3</f>
        <v>92</v>
      </c>
      <c r="N63" s="83">
        <f>SUM(M63)+3</f>
        <v>95</v>
      </c>
    </row>
    <row r="64" spans="1:14" ht="14.1" customHeight="1" thickBot="1" x14ac:dyDescent="0.35">
      <c r="A64" s="87"/>
      <c r="B64" s="141" t="s">
        <v>299</v>
      </c>
      <c r="C64" s="141"/>
      <c r="D64" s="98" t="s">
        <v>180</v>
      </c>
      <c r="E64" s="99"/>
      <c r="F64" s="99"/>
      <c r="G64" s="100"/>
      <c r="H64" s="91"/>
      <c r="I64" s="91"/>
      <c r="J64" s="107"/>
      <c r="K64" s="91"/>
      <c r="L64" s="91"/>
      <c r="M64" s="91"/>
      <c r="N64" s="147"/>
    </row>
    <row r="65" ht="14.1" customHeight="1" x14ac:dyDescent="0.3"/>
    <row r="66" ht="14.1" customHeight="1" x14ac:dyDescent="0.3"/>
  </sheetData>
  <mergeCells count="375">
    <mergeCell ref="K63:K64"/>
    <mergeCell ref="L63:L64"/>
    <mergeCell ref="M63:M64"/>
    <mergeCell ref="N63:N64"/>
    <mergeCell ref="B64:C64"/>
    <mergeCell ref="D64:G64"/>
    <mergeCell ref="A63:A64"/>
    <mergeCell ref="B63:C63"/>
    <mergeCell ref="D63:G63"/>
    <mergeCell ref="H63:H64"/>
    <mergeCell ref="I63:I64"/>
    <mergeCell ref="J63:J64"/>
    <mergeCell ref="K61:K62"/>
    <mergeCell ref="L61:L62"/>
    <mergeCell ref="M61:M62"/>
    <mergeCell ref="N61:N62"/>
    <mergeCell ref="B62:C62"/>
    <mergeCell ref="D62:G62"/>
    <mergeCell ref="A61:A62"/>
    <mergeCell ref="B61:C61"/>
    <mergeCell ref="D61:G61"/>
    <mergeCell ref="H61:H62"/>
    <mergeCell ref="I61:I62"/>
    <mergeCell ref="J61:J62"/>
    <mergeCell ref="K59:K60"/>
    <mergeCell ref="L59:L60"/>
    <mergeCell ref="M59:M60"/>
    <mergeCell ref="N59:N60"/>
    <mergeCell ref="B60:C60"/>
    <mergeCell ref="D60:G60"/>
    <mergeCell ref="A59:A60"/>
    <mergeCell ref="B59:C59"/>
    <mergeCell ref="D59:G59"/>
    <mergeCell ref="H59:H60"/>
    <mergeCell ref="I59:I60"/>
    <mergeCell ref="J59:J60"/>
    <mergeCell ref="K57:K58"/>
    <mergeCell ref="L57:L58"/>
    <mergeCell ref="M57:M58"/>
    <mergeCell ref="N57:N58"/>
    <mergeCell ref="B58:C58"/>
    <mergeCell ref="D58:G58"/>
    <mergeCell ref="A57:A58"/>
    <mergeCell ref="B57:C57"/>
    <mergeCell ref="D57:G57"/>
    <mergeCell ref="H57:H58"/>
    <mergeCell ref="I57:I58"/>
    <mergeCell ref="J57:J58"/>
    <mergeCell ref="K55:K56"/>
    <mergeCell ref="L55:L56"/>
    <mergeCell ref="M55:M56"/>
    <mergeCell ref="N55:N56"/>
    <mergeCell ref="B56:C56"/>
    <mergeCell ref="D56:G56"/>
    <mergeCell ref="A55:A56"/>
    <mergeCell ref="B55:C55"/>
    <mergeCell ref="D55:G55"/>
    <mergeCell ref="H55:H56"/>
    <mergeCell ref="I55:I56"/>
    <mergeCell ref="J55:J56"/>
    <mergeCell ref="K53:K54"/>
    <mergeCell ref="L53:L54"/>
    <mergeCell ref="M53:M54"/>
    <mergeCell ref="N53:N54"/>
    <mergeCell ref="B54:C54"/>
    <mergeCell ref="D54:G54"/>
    <mergeCell ref="A53:A54"/>
    <mergeCell ref="B53:C53"/>
    <mergeCell ref="D53:G53"/>
    <mergeCell ref="H53:H54"/>
    <mergeCell ref="I53:I54"/>
    <mergeCell ref="J53:J54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B538-DD6A-4CE2-AB9F-BB2C820E23B1}">
  <sheetPr>
    <tabColor rgb="FFFF0000"/>
    <pageSetUpPr fitToPage="1"/>
  </sheetPr>
  <dimension ref="A1:M66"/>
  <sheetViews>
    <sheetView zoomScale="110" zoomScaleNormal="110" workbookViewId="0">
      <selection activeCell="I9" sqref="I9:I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643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35</v>
      </c>
      <c r="I3" s="54">
        <f>SUM(J3)-3</f>
        <v>38</v>
      </c>
      <c r="J3" s="55">
        <v>41</v>
      </c>
      <c r="K3" s="54">
        <f>SUM(J3)+2.5</f>
        <v>43.5</v>
      </c>
      <c r="L3" s="54">
        <f>SUM(K3)+2.5</f>
        <v>46</v>
      </c>
      <c r="M3" s="43">
        <f>SUM(L3)+2.5</f>
        <v>48.5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23.4</v>
      </c>
      <c r="I5" s="54">
        <f>SUM(J5)-1.8</f>
        <v>25.2</v>
      </c>
      <c r="J5" s="55">
        <v>27</v>
      </c>
      <c r="K5" s="54">
        <f>SUM(J5)+1.6</f>
        <v>28.6</v>
      </c>
      <c r="L5" s="54">
        <f t="shared" ref="L5:M5" si="0">SUM(K5)+1.6</f>
        <v>30.200000000000003</v>
      </c>
      <c r="M5" s="56">
        <f t="shared" si="0"/>
        <v>31.800000000000004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28.5</v>
      </c>
      <c r="I7" s="54">
        <f>SUM(J7)-2.25</f>
        <v>30.75</v>
      </c>
      <c r="J7" s="55">
        <v>33</v>
      </c>
      <c r="K7" s="54">
        <f>SUM(J7)+2</f>
        <v>35</v>
      </c>
      <c r="L7" s="54">
        <f>SUM(K7)+2</f>
        <v>37</v>
      </c>
      <c r="M7" s="56">
        <f>SUM(L7)+2</f>
        <v>39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28.5</v>
      </c>
      <c r="I9" s="54">
        <f>SUM(J9)-2.25</f>
        <v>30.75</v>
      </c>
      <c r="J9" s="55">
        <v>33</v>
      </c>
      <c r="K9" s="54">
        <f>SUM(J9)+2</f>
        <v>35</v>
      </c>
      <c r="L9" s="54">
        <f>SUM(K9)+2</f>
        <v>37</v>
      </c>
      <c r="M9" s="56">
        <f>SUM(L9)+2</f>
        <v>39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13.399999999999999</v>
      </c>
      <c r="I11" s="60">
        <f>SUM(J11)-0.8</f>
        <v>14.2</v>
      </c>
      <c r="J11" s="132">
        <v>15</v>
      </c>
      <c r="K11" s="130">
        <f>SUM(J11)+0.8</f>
        <v>15.8</v>
      </c>
      <c r="L11" s="130">
        <f>SUM(K11)+0.8</f>
        <v>16.600000000000001</v>
      </c>
      <c r="M11" s="69">
        <f>SUM(L11)+0.8</f>
        <v>17.400000000000002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69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15.3</v>
      </c>
      <c r="I13" s="54">
        <f>SUM(J13)-0.6</f>
        <v>15.9</v>
      </c>
      <c r="J13" s="67">
        <v>16.5</v>
      </c>
      <c r="K13" s="68">
        <f>SUM(J13)+0.6</f>
        <v>17.100000000000001</v>
      </c>
      <c r="L13" s="68">
        <f>SUM(K13)+0.6</f>
        <v>17.700000000000003</v>
      </c>
      <c r="M13" s="69">
        <f>SUM(L13)+0.6</f>
        <v>18.300000000000004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9">
        <f>SUM(L15)+0.3</f>
        <v>7.6999999999999993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9">
        <f>SUM(L17)+1.6</f>
        <v>46.800000000000004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SUM(I19)-0.7</f>
        <v>7.6000000000000005</v>
      </c>
      <c r="I19" s="54">
        <f>SUM(J19)-0.7</f>
        <v>8.3000000000000007</v>
      </c>
      <c r="J19" s="55">
        <v>9</v>
      </c>
      <c r="K19" s="54">
        <f>SUM(J19)+0.8</f>
        <v>9.8000000000000007</v>
      </c>
      <c r="L19" s="54">
        <f>SUM(K19)+0.8</f>
        <v>10.600000000000001</v>
      </c>
      <c r="M19" s="56">
        <f>SUM(L19)+0.8</f>
        <v>11.400000000000002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23.2</v>
      </c>
      <c r="I23" s="54">
        <f>SUM(J23)-1.3</f>
        <v>24.5</v>
      </c>
      <c r="J23" s="67">
        <v>25.8</v>
      </c>
      <c r="K23" s="68">
        <f>SUM(J23)+1.3</f>
        <v>27.1</v>
      </c>
      <c r="L23" s="68">
        <f>SUM(K23)+1.3</f>
        <v>28.400000000000002</v>
      </c>
      <c r="M23" s="69">
        <f>SUM(L23)+1.3</f>
        <v>29.700000000000003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556</v>
      </c>
      <c r="C25" s="66"/>
      <c r="D25" s="88"/>
      <c r="E25" s="89"/>
      <c r="F25" s="89"/>
      <c r="G25" s="90"/>
      <c r="H25" s="54">
        <f>SUM(I25)-0.6</f>
        <v>5.3000000000000007</v>
      </c>
      <c r="I25" s="54">
        <f>SUM(J25)-0.6</f>
        <v>5.9</v>
      </c>
      <c r="J25" s="67">
        <v>6.5</v>
      </c>
      <c r="K25" s="68">
        <f>SUM(J25)+0.4</f>
        <v>6.9</v>
      </c>
      <c r="L25" s="68">
        <f>SUM(K25)+0.4</f>
        <v>7.3000000000000007</v>
      </c>
      <c r="M25" s="69">
        <f>SUM(L25)+0.4</f>
        <v>7.7000000000000011</v>
      </c>
    </row>
    <row r="26" spans="1:13" s="1" customFormat="1" ht="14.1" customHeight="1" x14ac:dyDescent="0.3">
      <c r="A26" s="78"/>
      <c r="B26" s="105" t="s">
        <v>557</v>
      </c>
      <c r="C26" s="105"/>
      <c r="D26" s="51"/>
      <c r="E26" s="52"/>
      <c r="F26" s="52"/>
      <c r="G26" s="53"/>
      <c r="H26" s="81"/>
      <c r="I26" s="81"/>
      <c r="J26" s="55"/>
      <c r="K26" s="54"/>
      <c r="L26" s="54"/>
      <c r="M26" s="56"/>
    </row>
    <row r="27" spans="1:13" s="1" customFormat="1" ht="14.1" customHeight="1" x14ac:dyDescent="0.3">
      <c r="A27" s="48">
        <v>13</v>
      </c>
      <c r="B27" s="65" t="s">
        <v>134</v>
      </c>
      <c r="C27" s="66"/>
      <c r="D27" s="88"/>
      <c r="E27" s="89"/>
      <c r="F27" s="89"/>
      <c r="G27" s="90"/>
      <c r="H27" s="54">
        <f>SUM(I27)-0.3</f>
        <v>3.9000000000000004</v>
      </c>
      <c r="I27" s="54">
        <f>SUM(J27)-0.3</f>
        <v>4.2</v>
      </c>
      <c r="J27" s="67">
        <v>4.5</v>
      </c>
      <c r="K27" s="68">
        <f>SUM(J27)+0.3</f>
        <v>4.8</v>
      </c>
      <c r="L27" s="68">
        <f t="shared" ref="L27" si="1">SUM(K27)+0.3</f>
        <v>5.0999999999999996</v>
      </c>
      <c r="M27" s="69">
        <f t="shared" ref="M27" si="2">SUM(L27)+0.3</f>
        <v>5.3999999999999995</v>
      </c>
    </row>
    <row r="28" spans="1:13" s="1" customFormat="1" ht="14.1" customHeight="1" x14ac:dyDescent="0.3">
      <c r="A28" s="48"/>
      <c r="B28" s="57" t="s">
        <v>142</v>
      </c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9"/>
    </row>
    <row r="30" spans="1:13" s="1" customFormat="1" ht="14.1" customHeight="1" thickBot="1" x14ac:dyDescent="0.35">
      <c r="A30" s="78"/>
      <c r="B30" s="79"/>
      <c r="C30" s="80"/>
      <c r="D30" s="51"/>
      <c r="E30" s="52"/>
      <c r="F30" s="52"/>
      <c r="G30" s="53"/>
      <c r="H30" s="81"/>
      <c r="I30" s="81"/>
      <c r="J30" s="55"/>
      <c r="K30" s="54"/>
      <c r="L30" s="54"/>
      <c r="M30" s="56"/>
    </row>
    <row r="31" spans="1:13" s="1" customFormat="1" ht="14.1" customHeight="1" thickTop="1" x14ac:dyDescent="0.3">
      <c r="A31" s="217">
        <v>15</v>
      </c>
      <c r="B31" s="218" t="s">
        <v>119</v>
      </c>
      <c r="C31" s="219"/>
      <c r="D31" s="220" t="s">
        <v>70</v>
      </c>
      <c r="E31" s="221"/>
      <c r="F31" s="221"/>
      <c r="G31" s="222"/>
      <c r="H31" s="223">
        <f>SUM(I31)-3</f>
        <v>45</v>
      </c>
      <c r="I31" s="224">
        <f>SUM(J31)-3</f>
        <v>48</v>
      </c>
      <c r="J31" s="226">
        <v>51</v>
      </c>
      <c r="K31" s="224">
        <f>SUM(J31)+3</f>
        <v>54</v>
      </c>
      <c r="L31" s="224">
        <f>SUM(K31)+3</f>
        <v>57</v>
      </c>
      <c r="M31" s="225">
        <f>SUM(L31)+3</f>
        <v>60</v>
      </c>
    </row>
    <row r="32" spans="1:13" s="1" customFormat="1" ht="14.1" customHeight="1" x14ac:dyDescent="0.3">
      <c r="A32" s="48"/>
      <c r="B32" s="70" t="s">
        <v>87</v>
      </c>
      <c r="C32" s="71"/>
      <c r="D32" s="151" t="s">
        <v>71</v>
      </c>
      <c r="E32" s="152"/>
      <c r="F32" s="152"/>
      <c r="G32" s="153"/>
      <c r="H32" s="45"/>
      <c r="I32" s="40"/>
      <c r="J32" s="42"/>
      <c r="K32" s="40"/>
      <c r="L32" s="40"/>
      <c r="M32" s="44"/>
    </row>
    <row r="33" spans="1:13" s="1" customFormat="1" ht="14.1" customHeight="1" x14ac:dyDescent="0.3">
      <c r="A33" s="48">
        <v>16</v>
      </c>
      <c r="B33" s="65" t="s">
        <v>127</v>
      </c>
      <c r="C33" s="66"/>
      <c r="D33" s="51"/>
      <c r="E33" s="52"/>
      <c r="F33" s="52"/>
      <c r="G33" s="53"/>
      <c r="H33" s="54">
        <f>SUM(I33)-4.5</f>
        <v>67</v>
      </c>
      <c r="I33" s="54">
        <f>SUM(J33)-4.5</f>
        <v>71.5</v>
      </c>
      <c r="J33" s="82">
        <v>76</v>
      </c>
      <c r="K33" s="81">
        <f>SUM(J33)+4.5</f>
        <v>80.5</v>
      </c>
      <c r="L33" s="81">
        <f t="shared" ref="L33:M33" si="3">SUM(K33)+4.5</f>
        <v>85</v>
      </c>
      <c r="M33" s="83">
        <f t="shared" si="3"/>
        <v>89.5</v>
      </c>
    </row>
    <row r="34" spans="1:13" s="1" customFormat="1" ht="14.1" customHeight="1" x14ac:dyDescent="0.3">
      <c r="A34" s="48"/>
      <c r="B34" s="70" t="s">
        <v>128</v>
      </c>
      <c r="C34" s="71"/>
      <c r="D34" s="151"/>
      <c r="E34" s="152"/>
      <c r="F34" s="152"/>
      <c r="G34" s="153"/>
      <c r="H34" s="40"/>
      <c r="I34" s="40"/>
      <c r="J34" s="42"/>
      <c r="K34" s="40"/>
      <c r="L34" s="40"/>
      <c r="M34" s="44"/>
    </row>
    <row r="35" spans="1:13" s="1" customFormat="1" ht="14.1" customHeight="1" x14ac:dyDescent="0.3">
      <c r="A35" s="48">
        <v>17</v>
      </c>
      <c r="B35" s="65" t="s">
        <v>11</v>
      </c>
      <c r="C35" s="66"/>
      <c r="D35" s="62" t="s">
        <v>136</v>
      </c>
      <c r="E35" s="63"/>
      <c r="F35" s="63"/>
      <c r="G35" s="64"/>
      <c r="H35" s="54">
        <f>SUM(I35)-5</f>
        <v>71.7</v>
      </c>
      <c r="I35" s="54">
        <f>SUM(J35)-5</f>
        <v>76.7</v>
      </c>
      <c r="J35" s="55">
        <v>81.7</v>
      </c>
      <c r="K35" s="54">
        <f>SUM(J35)+5</f>
        <v>86.7</v>
      </c>
      <c r="L35" s="54">
        <f t="shared" ref="L35:M35" si="4">SUM(K35)+5</f>
        <v>91.7</v>
      </c>
      <c r="M35" s="56">
        <f t="shared" si="4"/>
        <v>96.7</v>
      </c>
    </row>
    <row r="36" spans="1:13" s="1" customFormat="1" ht="14.1" customHeight="1" x14ac:dyDescent="0.3">
      <c r="A36" s="48"/>
      <c r="B36" s="70" t="s">
        <v>49</v>
      </c>
      <c r="C36" s="71"/>
      <c r="D36" s="151" t="s">
        <v>100</v>
      </c>
      <c r="E36" s="152"/>
      <c r="F36" s="152"/>
      <c r="G36" s="153"/>
      <c r="H36" s="40"/>
      <c r="I36" s="40"/>
      <c r="J36" s="42"/>
      <c r="K36" s="40"/>
      <c r="L36" s="40"/>
      <c r="M36" s="44"/>
    </row>
    <row r="37" spans="1:13" s="1" customFormat="1" ht="14.1" customHeight="1" x14ac:dyDescent="0.3">
      <c r="A37" s="48">
        <v>18</v>
      </c>
      <c r="B37" s="65" t="s">
        <v>116</v>
      </c>
      <c r="C37" s="66"/>
      <c r="D37" s="62"/>
      <c r="E37" s="63"/>
      <c r="F37" s="63"/>
      <c r="G37" s="64"/>
      <c r="H37" s="60">
        <f>SUM(I37)-0.7</f>
        <v>13.8</v>
      </c>
      <c r="I37" s="54">
        <f>SUM(J37)-0.7</f>
        <v>14.5</v>
      </c>
      <c r="J37" s="55">
        <v>15.2</v>
      </c>
      <c r="K37" s="54">
        <f>SUM(J37)+1.2</f>
        <v>16.399999999999999</v>
      </c>
      <c r="L37" s="54">
        <f>SUM(K37)+0.7</f>
        <v>17.099999999999998</v>
      </c>
      <c r="M37" s="56">
        <f>SUM(L37)+0.7</f>
        <v>17.799999999999997</v>
      </c>
    </row>
    <row r="38" spans="1:13" s="1" customFormat="1" ht="14.1" customHeight="1" x14ac:dyDescent="0.3">
      <c r="A38" s="48"/>
      <c r="B38" s="70" t="s">
        <v>115</v>
      </c>
      <c r="C38" s="71"/>
      <c r="D38" s="162" t="s">
        <v>131</v>
      </c>
      <c r="E38" s="163"/>
      <c r="F38" s="163"/>
      <c r="G38" s="164"/>
      <c r="H38" s="45"/>
      <c r="I38" s="40"/>
      <c r="J38" s="42"/>
      <c r="K38" s="40"/>
      <c r="L38" s="40"/>
      <c r="M38" s="44"/>
    </row>
    <row r="39" spans="1:13" s="1" customFormat="1" ht="14.1" customHeight="1" x14ac:dyDescent="0.3">
      <c r="A39" s="48">
        <v>19</v>
      </c>
      <c r="B39" s="65" t="s">
        <v>139</v>
      </c>
      <c r="C39" s="66"/>
      <c r="D39" s="62"/>
      <c r="E39" s="63"/>
      <c r="F39" s="63"/>
      <c r="G39" s="64"/>
      <c r="H39" s="60"/>
      <c r="I39" s="54"/>
      <c r="J39" s="55"/>
      <c r="K39" s="54"/>
      <c r="L39" s="54"/>
      <c r="M39" s="56"/>
    </row>
    <row r="40" spans="1:13" s="1" customFormat="1" ht="14.1" customHeight="1" x14ac:dyDescent="0.3">
      <c r="A40" s="48"/>
      <c r="B40" s="70" t="s">
        <v>140</v>
      </c>
      <c r="C40" s="71"/>
      <c r="D40" s="162" t="s">
        <v>141</v>
      </c>
      <c r="E40" s="163"/>
      <c r="F40" s="163"/>
      <c r="G40" s="164"/>
      <c r="H40" s="45"/>
      <c r="I40" s="40"/>
      <c r="J40" s="42"/>
      <c r="K40" s="40"/>
      <c r="L40" s="40"/>
      <c r="M40" s="44"/>
    </row>
    <row r="41" spans="1:13" s="1" customFormat="1" ht="14.1" customHeight="1" x14ac:dyDescent="0.3">
      <c r="A41" s="48">
        <v>20</v>
      </c>
      <c r="B41" s="65" t="s">
        <v>9</v>
      </c>
      <c r="C41" s="66"/>
      <c r="D41" s="62" t="s">
        <v>72</v>
      </c>
      <c r="E41" s="63"/>
      <c r="F41" s="63"/>
      <c r="G41" s="64"/>
      <c r="H41" s="54">
        <f>SUM(I41)-2.5</f>
        <v>26</v>
      </c>
      <c r="I41" s="54">
        <f>SUM(J41)-2.5</f>
        <v>28.5</v>
      </c>
      <c r="J41" s="55">
        <v>31</v>
      </c>
      <c r="K41" s="54">
        <f>SUM(J41)+2</f>
        <v>33</v>
      </c>
      <c r="L41" s="54">
        <f t="shared" ref="L41:M41" si="5">SUM(K41)+2</f>
        <v>35</v>
      </c>
      <c r="M41" s="56">
        <f t="shared" si="5"/>
        <v>37</v>
      </c>
    </row>
    <row r="42" spans="1:13" s="1" customFormat="1" ht="14.1" customHeight="1" x14ac:dyDescent="0.3">
      <c r="A42" s="48"/>
      <c r="B42" s="70" t="s">
        <v>50</v>
      </c>
      <c r="C42" s="71"/>
      <c r="D42" s="151" t="s">
        <v>99</v>
      </c>
      <c r="E42" s="152"/>
      <c r="F42" s="152"/>
      <c r="G42" s="153"/>
      <c r="H42" s="40"/>
      <c r="I42" s="40"/>
      <c r="J42" s="42"/>
      <c r="K42" s="40"/>
      <c r="L42" s="40"/>
      <c r="M42" s="44"/>
    </row>
    <row r="43" spans="1:13" s="1" customFormat="1" ht="14.1" customHeight="1" x14ac:dyDescent="0.3">
      <c r="A43" s="48">
        <v>21</v>
      </c>
      <c r="B43" s="65" t="s">
        <v>14</v>
      </c>
      <c r="C43" s="66"/>
      <c r="D43" s="62" t="s">
        <v>15</v>
      </c>
      <c r="E43" s="63"/>
      <c r="F43" s="63"/>
      <c r="G43" s="64"/>
      <c r="H43" s="54">
        <f>SUM(I43)-2.6</f>
        <v>45.8</v>
      </c>
      <c r="I43" s="54">
        <f>SUM(J43)-2.6</f>
        <v>48.4</v>
      </c>
      <c r="J43" s="55">
        <v>51</v>
      </c>
      <c r="K43" s="54">
        <f>SUM(J43)+2.4</f>
        <v>53.4</v>
      </c>
      <c r="L43" s="54">
        <f>SUM(K43)+2.4</f>
        <v>55.8</v>
      </c>
      <c r="M43" s="56">
        <f>SUM(L43)+2.4</f>
        <v>58.199999999999996</v>
      </c>
    </row>
    <row r="44" spans="1:13" s="1" customFormat="1" ht="14.1" customHeight="1" x14ac:dyDescent="0.3">
      <c r="A44" s="48"/>
      <c r="B44" s="70" t="s">
        <v>51</v>
      </c>
      <c r="C44" s="71"/>
      <c r="D44" s="46" t="s">
        <v>98</v>
      </c>
      <c r="E44" s="47"/>
      <c r="F44" s="47"/>
      <c r="G44" s="59"/>
      <c r="H44" s="40"/>
      <c r="I44" s="40"/>
      <c r="J44" s="42"/>
      <c r="K44" s="40"/>
      <c r="L44" s="40"/>
      <c r="M44" s="44"/>
    </row>
    <row r="45" spans="1:13" s="1" customFormat="1" ht="14.1" customHeight="1" x14ac:dyDescent="0.3">
      <c r="A45" s="48">
        <v>22</v>
      </c>
      <c r="B45" s="65" t="s">
        <v>16</v>
      </c>
      <c r="C45" s="66"/>
      <c r="D45" s="62" t="s">
        <v>13</v>
      </c>
      <c r="E45" s="63"/>
      <c r="F45" s="63"/>
      <c r="G45" s="64"/>
      <c r="H45" s="60">
        <f>SUM(I45)-1.1</f>
        <v>21.599999999999998</v>
      </c>
      <c r="I45" s="54">
        <f>SUM(J45)-1.1</f>
        <v>22.7</v>
      </c>
      <c r="J45" s="55">
        <v>23.8</v>
      </c>
      <c r="K45" s="54">
        <f>SUM(J45)+1.6</f>
        <v>25.400000000000002</v>
      </c>
      <c r="L45" s="54">
        <f>SUM(K45)+1.1</f>
        <v>26.500000000000004</v>
      </c>
      <c r="M45" s="56">
        <f>SUM(L45)+1.1</f>
        <v>27.600000000000005</v>
      </c>
    </row>
    <row r="46" spans="1:13" s="1" customFormat="1" ht="14.1" customHeight="1" x14ac:dyDescent="0.3">
      <c r="A46" s="48"/>
      <c r="B46" s="70" t="s">
        <v>57</v>
      </c>
      <c r="C46" s="71"/>
      <c r="D46" s="151" t="s">
        <v>97</v>
      </c>
      <c r="E46" s="152"/>
      <c r="F46" s="152"/>
      <c r="G46" s="153"/>
      <c r="H46" s="45"/>
      <c r="I46" s="40"/>
      <c r="J46" s="42"/>
      <c r="K46" s="40"/>
      <c r="L46" s="40"/>
      <c r="M46" s="44"/>
    </row>
    <row r="47" spans="1:13" s="1" customFormat="1" ht="14.1" customHeight="1" x14ac:dyDescent="0.3">
      <c r="A47" s="48">
        <v>23</v>
      </c>
      <c r="B47" s="65" t="s">
        <v>17</v>
      </c>
      <c r="C47" s="66"/>
      <c r="D47" s="62" t="s">
        <v>13</v>
      </c>
      <c r="E47" s="63"/>
      <c r="F47" s="63"/>
      <c r="G47" s="64"/>
      <c r="H47" s="60">
        <f>SUM(I47)-1.3</f>
        <v>28.4</v>
      </c>
      <c r="I47" s="54">
        <f>SUM(J47)-1.3</f>
        <v>29.7</v>
      </c>
      <c r="J47" s="55">
        <v>31</v>
      </c>
      <c r="K47" s="54">
        <f>SUM(J47)+1.8</f>
        <v>32.799999999999997</v>
      </c>
      <c r="L47" s="54">
        <f>SUM(K47)+1.3</f>
        <v>34.099999999999994</v>
      </c>
      <c r="M47" s="56">
        <f>SUM(L47)+1.3</f>
        <v>35.399999999999991</v>
      </c>
    </row>
    <row r="48" spans="1:13" s="1" customFormat="1" ht="14.1" customHeight="1" x14ac:dyDescent="0.3">
      <c r="A48" s="48"/>
      <c r="B48" s="70" t="s">
        <v>56</v>
      </c>
      <c r="C48" s="71"/>
      <c r="D48" s="151" t="s">
        <v>97</v>
      </c>
      <c r="E48" s="152"/>
      <c r="F48" s="152"/>
      <c r="G48" s="153"/>
      <c r="H48" s="45"/>
      <c r="I48" s="40"/>
      <c r="J48" s="42"/>
      <c r="K48" s="40"/>
      <c r="L48" s="40"/>
      <c r="M48" s="44"/>
    </row>
    <row r="49" spans="1:13" s="1" customFormat="1" ht="14.1" customHeight="1" x14ac:dyDescent="0.3">
      <c r="A49" s="48">
        <v>24</v>
      </c>
      <c r="B49" s="65" t="s">
        <v>18</v>
      </c>
      <c r="C49" s="66"/>
      <c r="D49" s="62" t="s">
        <v>19</v>
      </c>
      <c r="E49" s="63"/>
      <c r="F49" s="63"/>
      <c r="G49" s="64"/>
      <c r="H49" s="54"/>
      <c r="I49" s="54"/>
      <c r="J49" s="55"/>
      <c r="K49" s="54"/>
      <c r="L49" s="54"/>
      <c r="M49" s="56"/>
    </row>
    <row r="50" spans="1:13" s="1" customFormat="1" ht="14.1" customHeight="1" x14ac:dyDescent="0.3">
      <c r="A50" s="48"/>
      <c r="B50" s="70" t="s">
        <v>55</v>
      </c>
      <c r="C50" s="71"/>
      <c r="D50" s="151" t="s">
        <v>96</v>
      </c>
      <c r="E50" s="152"/>
      <c r="F50" s="152"/>
      <c r="G50" s="153"/>
      <c r="H50" s="40"/>
      <c r="I50" s="40"/>
      <c r="J50" s="42"/>
      <c r="K50" s="40"/>
      <c r="L50" s="40"/>
      <c r="M50" s="44"/>
    </row>
    <row r="51" spans="1:13" s="1" customFormat="1" ht="14.1" customHeight="1" x14ac:dyDescent="0.3">
      <c r="A51" s="48">
        <v>25</v>
      </c>
      <c r="B51" s="65" t="s">
        <v>20</v>
      </c>
      <c r="C51" s="66"/>
      <c r="D51" s="62" t="s">
        <v>21</v>
      </c>
      <c r="E51" s="63"/>
      <c r="F51" s="63"/>
      <c r="G51" s="64"/>
      <c r="H51" s="54"/>
      <c r="I51" s="54"/>
      <c r="J51" s="55"/>
      <c r="K51" s="54"/>
      <c r="L51" s="54"/>
      <c r="M51" s="56"/>
    </row>
    <row r="52" spans="1:13" s="1" customFormat="1" ht="14.1" customHeight="1" x14ac:dyDescent="0.3">
      <c r="A52" s="48"/>
      <c r="B52" s="70" t="s">
        <v>54</v>
      </c>
      <c r="C52" s="71"/>
      <c r="D52" s="151" t="s">
        <v>95</v>
      </c>
      <c r="E52" s="152"/>
      <c r="F52" s="152"/>
      <c r="G52" s="153"/>
      <c r="H52" s="40"/>
      <c r="I52" s="40"/>
      <c r="J52" s="42"/>
      <c r="K52" s="40"/>
      <c r="L52" s="40"/>
      <c r="M52" s="44"/>
    </row>
    <row r="53" spans="1:13" s="1" customFormat="1" ht="14.1" customHeight="1" x14ac:dyDescent="0.3">
      <c r="A53" s="48">
        <v>26</v>
      </c>
      <c r="B53" s="65" t="s">
        <v>94</v>
      </c>
      <c r="C53" s="66"/>
      <c r="D53" s="62" t="s">
        <v>92</v>
      </c>
      <c r="E53" s="63"/>
      <c r="F53" s="63"/>
      <c r="G53" s="64"/>
      <c r="H53" s="54"/>
      <c r="I53" s="54"/>
      <c r="J53" s="55"/>
      <c r="K53" s="54"/>
      <c r="L53" s="54"/>
      <c r="M53" s="56"/>
    </row>
    <row r="54" spans="1:13" s="1" customFormat="1" ht="14.1" customHeight="1" x14ac:dyDescent="0.3">
      <c r="A54" s="48"/>
      <c r="B54" s="70" t="s">
        <v>93</v>
      </c>
      <c r="C54" s="71"/>
      <c r="D54" s="151" t="s">
        <v>92</v>
      </c>
      <c r="E54" s="152"/>
      <c r="F54" s="152"/>
      <c r="G54" s="153"/>
      <c r="H54" s="40"/>
      <c r="I54" s="40"/>
      <c r="J54" s="42"/>
      <c r="K54" s="40"/>
      <c r="L54" s="40"/>
      <c r="M54" s="44"/>
    </row>
    <row r="55" spans="1:13" s="1" customFormat="1" ht="14.1" customHeight="1" x14ac:dyDescent="0.3">
      <c r="A55" s="48">
        <v>27</v>
      </c>
      <c r="B55" s="65" t="s">
        <v>91</v>
      </c>
      <c r="C55" s="66"/>
      <c r="D55" s="62" t="s">
        <v>90</v>
      </c>
      <c r="E55" s="63"/>
      <c r="F55" s="63"/>
      <c r="G55" s="64"/>
      <c r="H55" s="54"/>
      <c r="I55" s="54"/>
      <c r="J55" s="55"/>
      <c r="K55" s="54"/>
      <c r="L55" s="54"/>
      <c r="M55" s="56"/>
    </row>
    <row r="56" spans="1:13" s="1" customFormat="1" ht="14.1" customHeight="1" x14ac:dyDescent="0.3">
      <c r="A56" s="48"/>
      <c r="B56" s="70" t="s">
        <v>89</v>
      </c>
      <c r="C56" s="71"/>
      <c r="D56" s="151" t="s">
        <v>130</v>
      </c>
      <c r="E56" s="152"/>
      <c r="F56" s="152"/>
      <c r="G56" s="153"/>
      <c r="H56" s="40"/>
      <c r="I56" s="40"/>
      <c r="J56" s="42"/>
      <c r="K56" s="40"/>
      <c r="L56" s="40"/>
      <c r="M56" s="44"/>
    </row>
    <row r="57" spans="1:13" s="1" customFormat="1" ht="14.1" customHeight="1" x14ac:dyDescent="0.3">
      <c r="A57" s="48">
        <v>28</v>
      </c>
      <c r="B57" s="65" t="s">
        <v>114</v>
      </c>
      <c r="C57" s="66"/>
      <c r="D57" s="62" t="s">
        <v>22</v>
      </c>
      <c r="E57" s="63"/>
      <c r="F57" s="63"/>
      <c r="G57" s="64"/>
      <c r="H57" s="54">
        <f>SUM(I57)-0.3</f>
        <v>5.8000000000000007</v>
      </c>
      <c r="I57" s="54">
        <f>SUM(J57)-0.3</f>
        <v>6.1000000000000005</v>
      </c>
      <c r="J57" s="67">
        <v>6.4</v>
      </c>
      <c r="K57" s="68">
        <f>SUM(J57)+0.3</f>
        <v>6.7</v>
      </c>
      <c r="L57" s="68">
        <f>SUM(K57)+0.3</f>
        <v>7</v>
      </c>
      <c r="M57" s="69">
        <f>SUM(L57)+0.3</f>
        <v>7.3</v>
      </c>
    </row>
    <row r="58" spans="1:13" s="1" customFormat="1" ht="14.1" customHeight="1" x14ac:dyDescent="0.3">
      <c r="A58" s="48"/>
      <c r="B58" s="70" t="s">
        <v>53</v>
      </c>
      <c r="C58" s="71"/>
      <c r="D58" s="151" t="s">
        <v>113</v>
      </c>
      <c r="E58" s="152"/>
      <c r="F58" s="152"/>
      <c r="G58" s="153"/>
      <c r="H58" s="40"/>
      <c r="I58" s="40"/>
      <c r="J58" s="67"/>
      <c r="K58" s="68"/>
      <c r="L58" s="68"/>
      <c r="M58" s="69"/>
    </row>
    <row r="59" spans="1:13" s="1" customFormat="1" ht="14.1" customHeight="1" x14ac:dyDescent="0.3">
      <c r="A59" s="48">
        <v>29</v>
      </c>
      <c r="B59" s="65" t="s">
        <v>112</v>
      </c>
      <c r="C59" s="66"/>
      <c r="D59" s="62" t="s">
        <v>23</v>
      </c>
      <c r="E59" s="63"/>
      <c r="F59" s="63"/>
      <c r="G59" s="64"/>
      <c r="H59" s="54">
        <f>SUM(I59)-0.5</f>
        <v>8.6</v>
      </c>
      <c r="I59" s="54">
        <f>SUM(J59)-0.5</f>
        <v>9.1</v>
      </c>
      <c r="J59" s="67">
        <v>9.6</v>
      </c>
      <c r="K59" s="68">
        <f>SUM(J59)+0.5</f>
        <v>10.1</v>
      </c>
      <c r="L59" s="68">
        <f t="shared" ref="L59" si="6">SUM(K59)+0.5</f>
        <v>10.6</v>
      </c>
      <c r="M59" s="69">
        <f t="shared" ref="M59" si="7">SUM(L59)+0.5</f>
        <v>11.1</v>
      </c>
    </row>
    <row r="60" spans="1:13" s="1" customFormat="1" ht="14.1" customHeight="1" x14ac:dyDescent="0.3">
      <c r="A60" s="48"/>
      <c r="B60" s="70" t="s">
        <v>52</v>
      </c>
      <c r="C60" s="71"/>
      <c r="D60" s="151" t="s">
        <v>111</v>
      </c>
      <c r="E60" s="152"/>
      <c r="F60" s="152"/>
      <c r="G60" s="153"/>
      <c r="H60" s="40"/>
      <c r="I60" s="40"/>
      <c r="J60" s="67"/>
      <c r="K60" s="68"/>
      <c r="L60" s="68"/>
      <c r="M60" s="69"/>
    </row>
    <row r="61" spans="1:13" s="1" customFormat="1" ht="14.1" customHeight="1" x14ac:dyDescent="0.3">
      <c r="A61" s="48">
        <v>30</v>
      </c>
      <c r="B61" s="65" t="s">
        <v>498</v>
      </c>
      <c r="C61" s="66"/>
      <c r="D61" s="61"/>
      <c r="E61" s="61"/>
      <c r="F61" s="61"/>
      <c r="G61" s="61"/>
      <c r="H61" s="54">
        <f>SUM(I61)-0.5</f>
        <v>9</v>
      </c>
      <c r="I61" s="54">
        <f>SUM(J61)-0.5</f>
        <v>9.5</v>
      </c>
      <c r="J61" s="55">
        <v>10</v>
      </c>
      <c r="K61" s="54">
        <f>SUM(J61)+0.5</f>
        <v>10.5</v>
      </c>
      <c r="L61" s="54">
        <f t="shared" ref="L61:M61" si="8">SUM(K61)+0.5</f>
        <v>11</v>
      </c>
      <c r="M61" s="56">
        <f t="shared" si="8"/>
        <v>11.5</v>
      </c>
    </row>
    <row r="62" spans="1:13" s="1" customFormat="1" ht="14.1" customHeight="1" x14ac:dyDescent="0.3">
      <c r="A62" s="48"/>
      <c r="B62" s="57" t="s">
        <v>499</v>
      </c>
      <c r="C62" s="58"/>
      <c r="D62" s="51" t="s">
        <v>644</v>
      </c>
      <c r="E62" s="52"/>
      <c r="F62" s="52"/>
      <c r="G62" s="53"/>
      <c r="H62" s="81"/>
      <c r="I62" s="81"/>
      <c r="J62" s="82"/>
      <c r="K62" s="81"/>
      <c r="L62" s="81"/>
      <c r="M62" s="83"/>
    </row>
    <row r="63" spans="1:13" ht="14.1" customHeight="1" x14ac:dyDescent="0.3">
      <c r="A63" s="48">
        <v>31</v>
      </c>
      <c r="B63" s="65" t="s">
        <v>500</v>
      </c>
      <c r="C63" s="66"/>
      <c r="D63" s="61"/>
      <c r="E63" s="61"/>
      <c r="F63" s="61"/>
      <c r="G63" s="61"/>
      <c r="H63" s="54">
        <f>SUM(I63)-0.5</f>
        <v>8.5</v>
      </c>
      <c r="I63" s="54">
        <f>SUM(J63)-0.5</f>
        <v>9</v>
      </c>
      <c r="J63" s="55">
        <v>9.5</v>
      </c>
      <c r="K63" s="54">
        <f>SUM(J63)+0.5</f>
        <v>10</v>
      </c>
      <c r="L63" s="54">
        <f t="shared" ref="L63:M63" si="9">SUM(K63)+0.5</f>
        <v>10.5</v>
      </c>
      <c r="M63" s="56">
        <f t="shared" si="9"/>
        <v>11</v>
      </c>
    </row>
    <row r="64" spans="1:13" ht="14.1" customHeight="1" x14ac:dyDescent="0.3">
      <c r="A64" s="48"/>
      <c r="B64" s="57" t="s">
        <v>501</v>
      </c>
      <c r="C64" s="58"/>
      <c r="D64" s="46"/>
      <c r="E64" s="47"/>
      <c r="F64" s="47"/>
      <c r="G64" s="59"/>
      <c r="H64" s="40"/>
      <c r="I64" s="40"/>
      <c r="J64" s="42"/>
      <c r="K64" s="40"/>
      <c r="L64" s="40"/>
      <c r="M64" s="44"/>
    </row>
    <row r="65" spans="1:13" ht="14.1" customHeight="1" x14ac:dyDescent="0.3">
      <c r="A65" s="48">
        <v>32</v>
      </c>
      <c r="B65" s="65"/>
      <c r="C65" s="66"/>
      <c r="D65" s="61"/>
      <c r="E65" s="61"/>
      <c r="F65" s="61"/>
      <c r="G65" s="61"/>
      <c r="H65" s="54"/>
      <c r="I65" s="54"/>
      <c r="J65" s="67"/>
      <c r="K65" s="68"/>
      <c r="L65" s="68"/>
      <c r="M65" s="69"/>
    </row>
    <row r="66" spans="1:13" ht="14.1" customHeight="1" thickBot="1" x14ac:dyDescent="0.35">
      <c r="A66" s="87"/>
      <c r="B66" s="141"/>
      <c r="C66" s="141"/>
      <c r="D66" s="98"/>
      <c r="E66" s="99"/>
      <c r="F66" s="99"/>
      <c r="G66" s="100"/>
      <c r="H66" s="91"/>
      <c r="I66" s="91"/>
      <c r="J66" s="92"/>
      <c r="K66" s="93"/>
      <c r="L66" s="93"/>
      <c r="M66" s="121"/>
    </row>
  </sheetData>
  <mergeCells count="35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A53:A54"/>
    <mergeCell ref="B53:C53"/>
    <mergeCell ref="D53:G53"/>
    <mergeCell ref="H53:H54"/>
    <mergeCell ref="I53:I54"/>
    <mergeCell ref="A51:A52"/>
    <mergeCell ref="B51:C51"/>
    <mergeCell ref="D51:G51"/>
    <mergeCell ref="H51:H52"/>
    <mergeCell ref="I51:I52"/>
    <mergeCell ref="J53:J54"/>
    <mergeCell ref="K53:K54"/>
    <mergeCell ref="L53:L54"/>
    <mergeCell ref="M53:M54"/>
    <mergeCell ref="B54:C54"/>
    <mergeCell ref="D54:G54"/>
    <mergeCell ref="K51:K52"/>
    <mergeCell ref="L51:L52"/>
    <mergeCell ref="M51:M52"/>
    <mergeCell ref="B52:C52"/>
    <mergeCell ref="D52:G52"/>
    <mergeCell ref="J51:J52"/>
    <mergeCell ref="A57:A58"/>
    <mergeCell ref="B57:C57"/>
    <mergeCell ref="D57:G57"/>
    <mergeCell ref="H57:H58"/>
    <mergeCell ref="I57:I58"/>
    <mergeCell ref="A55:A56"/>
    <mergeCell ref="B55:C55"/>
    <mergeCell ref="D55:G55"/>
    <mergeCell ref="H55:H56"/>
    <mergeCell ref="I55:I56"/>
    <mergeCell ref="J57:J58"/>
    <mergeCell ref="K57:K58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J55:J56"/>
    <mergeCell ref="A59:A60"/>
    <mergeCell ref="B59:C59"/>
    <mergeCell ref="D59:G59"/>
    <mergeCell ref="H59:H60"/>
    <mergeCell ref="I59:I60"/>
    <mergeCell ref="A63:A64"/>
    <mergeCell ref="A61:A62"/>
    <mergeCell ref="B64:C64"/>
    <mergeCell ref="D64:G64"/>
    <mergeCell ref="A65:A66"/>
    <mergeCell ref="B65:C65"/>
    <mergeCell ref="D65:G65"/>
    <mergeCell ref="H65:H66"/>
    <mergeCell ref="I65:I66"/>
    <mergeCell ref="J65:J66"/>
    <mergeCell ref="K65:K66"/>
    <mergeCell ref="L65:L66"/>
    <mergeCell ref="M65:M66"/>
    <mergeCell ref="B66:C66"/>
    <mergeCell ref="D66:G66"/>
    <mergeCell ref="K59:K60"/>
    <mergeCell ref="L59:L60"/>
    <mergeCell ref="M59:M60"/>
    <mergeCell ref="B60:C60"/>
    <mergeCell ref="D60:G60"/>
    <mergeCell ref="J59:J60"/>
    <mergeCell ref="B63:C63"/>
    <mergeCell ref="D63:G63"/>
    <mergeCell ref="H63:H64"/>
    <mergeCell ref="I63:I64"/>
    <mergeCell ref="B61:C61"/>
    <mergeCell ref="D61:G61"/>
    <mergeCell ref="H61:H62"/>
    <mergeCell ref="I61:I62"/>
    <mergeCell ref="J63:J64"/>
    <mergeCell ref="K63:K64"/>
    <mergeCell ref="L63:L64"/>
    <mergeCell ref="M63:M64"/>
    <mergeCell ref="K61:K62"/>
    <mergeCell ref="L61:L62"/>
    <mergeCell ref="M61:M62"/>
    <mergeCell ref="B62:C62"/>
    <mergeCell ref="D62:G62"/>
    <mergeCell ref="J61:J6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8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508D-B7B0-4570-A539-D70C27D73150}">
  <sheetPr>
    <tabColor rgb="FFFF0000"/>
    <pageSetUpPr fitToPage="1"/>
  </sheetPr>
  <dimension ref="A1:Q74"/>
  <sheetViews>
    <sheetView zoomScale="110" zoomScaleNormal="110" workbookViewId="0">
      <selection activeCell="Q63" sqref="Q6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673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SUM(I3)-2.3</f>
        <v>19.299999999999997</v>
      </c>
      <c r="I3" s="54">
        <f>SUM(J3)-2.3</f>
        <v>21.599999999999998</v>
      </c>
      <c r="J3" s="55">
        <v>23.9</v>
      </c>
      <c r="K3" s="54">
        <f>SUM(J3)+1.9</f>
        <v>25.799999999999997</v>
      </c>
      <c r="L3" s="54">
        <f t="shared" ref="L3:N3" si="0">SUM(K3)+1.9</f>
        <v>27.699999999999996</v>
      </c>
      <c r="M3" s="54">
        <f t="shared" si="0"/>
        <v>29.599999999999994</v>
      </c>
      <c r="N3" s="56">
        <f t="shared" si="0"/>
        <v>31.499999999999993</v>
      </c>
    </row>
    <row r="4" spans="1:14" s="1" customFormat="1" ht="14.1" customHeight="1" x14ac:dyDescent="0.3">
      <c r="A4" s="103"/>
      <c r="B4" s="105" t="s">
        <v>674</v>
      </c>
      <c r="C4" s="105"/>
      <c r="D4" s="51" t="s">
        <v>85</v>
      </c>
      <c r="E4" s="52"/>
      <c r="F4" s="52"/>
      <c r="G4" s="52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78">
        <v>1</v>
      </c>
      <c r="B5" s="60" t="s">
        <v>39</v>
      </c>
      <c r="C5" s="60"/>
      <c r="D5" s="61" t="s">
        <v>66</v>
      </c>
      <c r="E5" s="61"/>
      <c r="F5" s="61"/>
      <c r="G5" s="61"/>
      <c r="H5" s="54">
        <f>SUM(I5)-3</f>
        <v>31.299999999999997</v>
      </c>
      <c r="I5" s="54">
        <f>SUM(J5)-3</f>
        <v>34.299999999999997</v>
      </c>
      <c r="J5" s="55">
        <v>37.299999999999997</v>
      </c>
      <c r="K5" s="54">
        <f>SUM(J5)+2.6</f>
        <v>39.9</v>
      </c>
      <c r="L5" s="54">
        <f t="shared" ref="L5:N5" si="1">SUM(K5)+2.6</f>
        <v>42.5</v>
      </c>
      <c r="M5" s="54">
        <f t="shared" si="1"/>
        <v>45.1</v>
      </c>
      <c r="N5" s="56">
        <f t="shared" si="1"/>
        <v>47.7</v>
      </c>
    </row>
    <row r="6" spans="1:14" s="1" customFormat="1" ht="14.1" customHeight="1" x14ac:dyDescent="0.3">
      <c r="A6" s="35"/>
      <c r="B6" s="45" t="s">
        <v>675</v>
      </c>
      <c r="C6" s="45"/>
      <c r="D6" s="46" t="s">
        <v>85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2</v>
      </c>
      <c r="B7" s="60" t="s">
        <v>37</v>
      </c>
      <c r="C7" s="60"/>
      <c r="D7" s="61" t="s">
        <v>38</v>
      </c>
      <c r="E7" s="61"/>
      <c r="F7" s="61"/>
      <c r="G7" s="61"/>
      <c r="H7" s="54">
        <f>SUM(I7)-2.2</f>
        <v>32.599999999999994</v>
      </c>
      <c r="I7" s="54">
        <f>SUM(J7)-2.2</f>
        <v>34.799999999999997</v>
      </c>
      <c r="J7" s="55">
        <v>37</v>
      </c>
      <c r="K7" s="54">
        <f>SUM(J7)+2</f>
        <v>39</v>
      </c>
      <c r="L7" s="54">
        <f t="shared" ref="L7:N7" si="2">SUM(K7)+2</f>
        <v>41</v>
      </c>
      <c r="M7" s="54">
        <f t="shared" si="2"/>
        <v>43</v>
      </c>
      <c r="N7" s="56">
        <f t="shared" si="2"/>
        <v>45</v>
      </c>
    </row>
    <row r="8" spans="1:14" s="1" customFormat="1" ht="14.1" customHeight="1" x14ac:dyDescent="0.3">
      <c r="A8" s="48"/>
      <c r="B8" s="45" t="s">
        <v>24</v>
      </c>
      <c r="C8" s="45"/>
      <c r="D8" s="46" t="s">
        <v>42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3</v>
      </c>
      <c r="B9" s="60" t="s">
        <v>35</v>
      </c>
      <c r="C9" s="60"/>
      <c r="D9" s="61" t="s">
        <v>72</v>
      </c>
      <c r="E9" s="61"/>
      <c r="F9" s="61"/>
      <c r="G9" s="61"/>
      <c r="H9" s="54">
        <f>SUM(I9)-2.25</f>
        <v>33.5</v>
      </c>
      <c r="I9" s="54">
        <f>SUM(J9)-2.25</f>
        <v>35.75</v>
      </c>
      <c r="J9" s="55">
        <v>38</v>
      </c>
      <c r="K9" s="54">
        <f>SUM(J9)+2</f>
        <v>40</v>
      </c>
      <c r="L9" s="54">
        <f>SUM(K9)+2</f>
        <v>42</v>
      </c>
      <c r="M9" s="54">
        <f t="shared" ref="M9:N9" si="3">SUM(L9)+2</f>
        <v>44</v>
      </c>
      <c r="N9" s="56">
        <f t="shared" si="3"/>
        <v>46</v>
      </c>
    </row>
    <row r="10" spans="1:14" s="1" customFormat="1" ht="14.1" customHeight="1" x14ac:dyDescent="0.3">
      <c r="A10" s="48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4</v>
      </c>
      <c r="B11" s="65" t="s">
        <v>191</v>
      </c>
      <c r="C11" s="66"/>
      <c r="D11" s="62" t="s">
        <v>192</v>
      </c>
      <c r="E11" s="63"/>
      <c r="F11" s="63"/>
      <c r="G11" s="64"/>
      <c r="H11" s="54">
        <f>SUM(I11)-2.25</f>
        <v>33.5</v>
      </c>
      <c r="I11" s="54">
        <f>SUM(J11)-2.25</f>
        <v>35.75</v>
      </c>
      <c r="J11" s="55">
        <v>38</v>
      </c>
      <c r="K11" s="54">
        <f>SUM(J11)+2</f>
        <v>40</v>
      </c>
      <c r="L11" s="54">
        <f>SUM(K11)+2</f>
        <v>42</v>
      </c>
      <c r="M11" s="54">
        <f t="shared" ref="M11:N11" si="4">SUM(L11)+2</f>
        <v>44</v>
      </c>
      <c r="N11" s="56">
        <f t="shared" si="4"/>
        <v>46</v>
      </c>
    </row>
    <row r="12" spans="1:14" s="1" customFormat="1" ht="14.1" customHeight="1" x14ac:dyDescent="0.3">
      <c r="A12" s="48"/>
      <c r="B12" s="57" t="s">
        <v>193</v>
      </c>
      <c r="C12" s="58"/>
      <c r="D12" s="46" t="s">
        <v>194</v>
      </c>
      <c r="E12" s="47"/>
      <c r="F12" s="47"/>
      <c r="G12" s="59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48">
        <v>5</v>
      </c>
      <c r="B13" s="60" t="s">
        <v>10</v>
      </c>
      <c r="C13" s="60"/>
      <c r="D13" s="61" t="s">
        <v>0</v>
      </c>
      <c r="E13" s="61"/>
      <c r="F13" s="61"/>
      <c r="G13" s="61"/>
      <c r="H13" s="60">
        <f>SUM(I13)-0.8</f>
        <v>13.099999999999998</v>
      </c>
      <c r="I13" s="60">
        <f>SUM(J13)-0.8</f>
        <v>13.899999999999999</v>
      </c>
      <c r="J13" s="132">
        <v>14.7</v>
      </c>
      <c r="K13" s="130">
        <f>SUM(J13)+0.8</f>
        <v>15.5</v>
      </c>
      <c r="L13" s="130">
        <f>SUM(K13)+0.8</f>
        <v>16.3</v>
      </c>
      <c r="M13" s="130">
        <f t="shared" ref="M13:N13" si="5">SUM(L13)+0.8</f>
        <v>17.100000000000001</v>
      </c>
      <c r="N13" s="131">
        <f t="shared" si="5"/>
        <v>17.900000000000002</v>
      </c>
    </row>
    <row r="14" spans="1:14" s="1" customFormat="1" ht="14.1" customHeight="1" x14ac:dyDescent="0.3">
      <c r="A14" s="48"/>
      <c r="B14" s="45" t="s">
        <v>26</v>
      </c>
      <c r="C14" s="45"/>
      <c r="D14" s="46" t="s">
        <v>45</v>
      </c>
      <c r="E14" s="47"/>
      <c r="F14" s="47"/>
      <c r="G14" s="59"/>
      <c r="H14" s="45"/>
      <c r="I14" s="45"/>
      <c r="J14" s="132"/>
      <c r="K14" s="130"/>
      <c r="L14" s="130"/>
      <c r="M14" s="130"/>
      <c r="N14" s="131"/>
    </row>
    <row r="15" spans="1:14" s="1" customFormat="1" ht="14.1" customHeight="1" x14ac:dyDescent="0.3">
      <c r="A15" s="48">
        <v>6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15.799999999999999</v>
      </c>
      <c r="I15" s="54">
        <f>SUM(J15)-0.6</f>
        <v>16.399999999999999</v>
      </c>
      <c r="J15" s="67">
        <v>17</v>
      </c>
      <c r="K15" s="68">
        <f>SUM(J15)+0.6</f>
        <v>17.600000000000001</v>
      </c>
      <c r="L15" s="68">
        <f>SUM(K15)+0.6</f>
        <v>18.200000000000003</v>
      </c>
      <c r="M15" s="68">
        <f t="shared" ref="M15:N15" si="6">SUM(L15)+0.6</f>
        <v>18.800000000000004</v>
      </c>
      <c r="N15" s="69">
        <f t="shared" si="6"/>
        <v>19.400000000000006</v>
      </c>
    </row>
    <row r="16" spans="1:14" s="1" customFormat="1" ht="14.1" customHeight="1" x14ac:dyDescent="0.3">
      <c r="A16" s="48"/>
      <c r="B16" s="45" t="s">
        <v>27</v>
      </c>
      <c r="C16" s="45"/>
      <c r="D16" s="46" t="s">
        <v>124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7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6.7</v>
      </c>
      <c r="I17" s="54">
        <f>SUM(J17)-0.3</f>
        <v>7</v>
      </c>
      <c r="J17" s="67">
        <v>7.3</v>
      </c>
      <c r="K17" s="68">
        <f>SUM(J17)+0.3</f>
        <v>7.6</v>
      </c>
      <c r="L17" s="68">
        <f>SUM(K17)+0.3</f>
        <v>7.8999999999999995</v>
      </c>
      <c r="M17" s="68">
        <f t="shared" ref="M17:N17" si="7">SUM(L17)+0.3</f>
        <v>8.1999999999999993</v>
      </c>
      <c r="N17" s="69">
        <f t="shared" si="7"/>
        <v>8.5</v>
      </c>
    </row>
    <row r="18" spans="1:14" s="1" customFormat="1" ht="14.1" customHeight="1" x14ac:dyDescent="0.3">
      <c r="A18" s="48"/>
      <c r="B18" s="45" t="s">
        <v>28</v>
      </c>
      <c r="C18" s="45"/>
      <c r="D18" s="46" t="s">
        <v>125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8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SUM(I19)-1.6</f>
        <v>41.8</v>
      </c>
      <c r="I19" s="54">
        <f>SUM(J19)-1.6</f>
        <v>43.4</v>
      </c>
      <c r="J19" s="67">
        <v>45</v>
      </c>
      <c r="K19" s="68">
        <f>SUM(J19)+1.6</f>
        <v>46.6</v>
      </c>
      <c r="L19" s="68">
        <f>SUM(K19)+1.6</f>
        <v>48.2</v>
      </c>
      <c r="M19" s="68">
        <f t="shared" ref="M19:N19" si="8">SUM(L19)+1.6</f>
        <v>49.800000000000004</v>
      </c>
      <c r="N19" s="69">
        <f t="shared" si="8"/>
        <v>51.400000000000006</v>
      </c>
    </row>
    <row r="20" spans="1:14" s="1" customFormat="1" ht="14.1" customHeight="1" x14ac:dyDescent="0.3">
      <c r="A20" s="48"/>
      <c r="B20" s="45" t="s">
        <v>33</v>
      </c>
      <c r="C20" s="45"/>
      <c r="D20" s="46" t="s">
        <v>126</v>
      </c>
      <c r="E20" s="47"/>
      <c r="F20" s="47"/>
      <c r="G20" s="59"/>
      <c r="H20" s="40"/>
      <c r="I20" s="40"/>
      <c r="J20" s="67"/>
      <c r="K20" s="68"/>
      <c r="L20" s="68"/>
      <c r="M20" s="68"/>
      <c r="N20" s="69"/>
    </row>
    <row r="21" spans="1:14" s="1" customFormat="1" ht="14.1" customHeight="1" x14ac:dyDescent="0.3">
      <c r="A21" s="48">
        <v>9</v>
      </c>
      <c r="B21" s="60" t="s">
        <v>4</v>
      </c>
      <c r="C21" s="60"/>
      <c r="D21" s="61" t="s">
        <v>5</v>
      </c>
      <c r="E21" s="61"/>
      <c r="F21" s="61"/>
      <c r="G21" s="61"/>
      <c r="H21" s="54"/>
      <c r="I21" s="54"/>
      <c r="J21" s="55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68"/>
      <c r="L22" s="68"/>
      <c r="M22" s="68"/>
      <c r="N22" s="69"/>
    </row>
    <row r="23" spans="1:14" s="1" customFormat="1" ht="14.1" customHeight="1" x14ac:dyDescent="0.3">
      <c r="A23" s="48">
        <v>10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8"/>
      <c r="N23" s="69"/>
    </row>
    <row r="24" spans="1:14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11</v>
      </c>
      <c r="B25" s="65" t="s">
        <v>82</v>
      </c>
      <c r="C25" s="66"/>
      <c r="D25" s="61" t="s">
        <v>68</v>
      </c>
      <c r="E25" s="61"/>
      <c r="F25" s="61"/>
      <c r="G25" s="61"/>
      <c r="H25" s="54"/>
      <c r="I25" s="54"/>
      <c r="J25" s="67"/>
      <c r="K25" s="68"/>
      <c r="L25" s="68"/>
      <c r="M25" s="68"/>
      <c r="N25" s="69"/>
    </row>
    <row r="26" spans="1:14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12</v>
      </c>
      <c r="B27" s="79" t="s">
        <v>134</v>
      </c>
      <c r="C27" s="80"/>
      <c r="D27" s="133"/>
      <c r="E27" s="134"/>
      <c r="F27" s="134"/>
      <c r="G27" s="135"/>
      <c r="H27" s="81">
        <f>SUM(I27)-0.4</f>
        <v>4.5999999999999996</v>
      </c>
      <c r="I27" s="81">
        <f>SUM(J27)-0.4</f>
        <v>5</v>
      </c>
      <c r="J27" s="42">
        <v>5.4</v>
      </c>
      <c r="K27" s="40">
        <f>SUM(J27)+0.4</f>
        <v>5.8000000000000007</v>
      </c>
      <c r="L27" s="40">
        <f t="shared" ref="L27:N27" si="9">SUM(K27)+0.4</f>
        <v>6.2000000000000011</v>
      </c>
      <c r="M27" s="40">
        <f t="shared" si="9"/>
        <v>6.6000000000000014</v>
      </c>
      <c r="N27" s="44">
        <f t="shared" si="9"/>
        <v>7.0000000000000018</v>
      </c>
    </row>
    <row r="28" spans="1:14" s="1" customFormat="1" ht="14.1" customHeight="1" thickBot="1" x14ac:dyDescent="0.35">
      <c r="A28" s="78"/>
      <c r="B28" s="79" t="s">
        <v>142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54"/>
      <c r="N28" s="56"/>
    </row>
    <row r="29" spans="1:14" s="1" customFormat="1" ht="14.1" customHeight="1" thickTop="1" x14ac:dyDescent="0.3">
      <c r="A29" s="233">
        <v>13</v>
      </c>
      <c r="B29" s="223" t="s">
        <v>676</v>
      </c>
      <c r="C29" s="223"/>
      <c r="D29" s="234" t="s">
        <v>66</v>
      </c>
      <c r="E29" s="234"/>
      <c r="F29" s="234"/>
      <c r="G29" s="220"/>
      <c r="H29" s="224">
        <f>SUM(I29)-3.5</f>
        <v>36.299999999999997</v>
      </c>
      <c r="I29" s="224">
        <f>SUM(J29)-3.5</f>
        <v>39.799999999999997</v>
      </c>
      <c r="J29" s="226">
        <v>43.3</v>
      </c>
      <c r="K29" s="224">
        <f>SUM(J29)+3</f>
        <v>46.3</v>
      </c>
      <c r="L29" s="224">
        <f t="shared" ref="L29:N29" si="10">SUM(K29)+3</f>
        <v>49.3</v>
      </c>
      <c r="M29" s="224">
        <f t="shared" si="10"/>
        <v>52.3</v>
      </c>
      <c r="N29" s="225">
        <f t="shared" si="10"/>
        <v>55.3</v>
      </c>
    </row>
    <row r="30" spans="1:14" s="1" customFormat="1" ht="14.1" customHeight="1" x14ac:dyDescent="0.3">
      <c r="A30" s="35"/>
      <c r="B30" s="45" t="s">
        <v>677</v>
      </c>
      <c r="C30" s="45"/>
      <c r="D30" s="46" t="s">
        <v>85</v>
      </c>
      <c r="E30" s="47"/>
      <c r="F30" s="47"/>
      <c r="G30" s="47"/>
      <c r="H30" s="40"/>
      <c r="I30" s="40"/>
      <c r="J30" s="42"/>
      <c r="K30" s="40"/>
      <c r="L30" s="40"/>
      <c r="M30" s="40"/>
      <c r="N30" s="44"/>
    </row>
    <row r="31" spans="1:14" s="1" customFormat="1" ht="14.1" customHeight="1" x14ac:dyDescent="0.3">
      <c r="A31" s="48">
        <v>14</v>
      </c>
      <c r="B31" s="60" t="s">
        <v>678</v>
      </c>
      <c r="C31" s="60"/>
      <c r="D31" s="61" t="s">
        <v>72</v>
      </c>
      <c r="E31" s="61"/>
      <c r="F31" s="61"/>
      <c r="G31" s="61"/>
      <c r="H31" s="54">
        <f>SUM(I31)-2.25</f>
        <v>29.5</v>
      </c>
      <c r="I31" s="54">
        <f>SUM(J31)-2.25</f>
        <v>31.75</v>
      </c>
      <c r="J31" s="55">
        <v>34</v>
      </c>
      <c r="K31" s="54">
        <f>SUM(J31)+2</f>
        <v>36</v>
      </c>
      <c r="L31" s="54">
        <f>SUM(K31)+2</f>
        <v>38</v>
      </c>
      <c r="M31" s="54">
        <f t="shared" ref="M31:N31" si="11">SUM(L31)+2</f>
        <v>40</v>
      </c>
      <c r="N31" s="56">
        <f t="shared" si="11"/>
        <v>42</v>
      </c>
    </row>
    <row r="32" spans="1:14" s="1" customFormat="1" ht="14.1" customHeight="1" x14ac:dyDescent="0.3">
      <c r="A32" s="48"/>
      <c r="B32" s="45" t="s">
        <v>679</v>
      </c>
      <c r="C32" s="45"/>
      <c r="D32" s="46" t="s">
        <v>43</v>
      </c>
      <c r="E32" s="47"/>
      <c r="F32" s="47"/>
      <c r="G32" s="59"/>
      <c r="H32" s="40"/>
      <c r="I32" s="40"/>
      <c r="J32" s="42"/>
      <c r="K32" s="40"/>
      <c r="L32" s="40"/>
      <c r="M32" s="40"/>
      <c r="N32" s="44"/>
    </row>
    <row r="33" spans="1:14" s="1" customFormat="1" ht="14.1" customHeight="1" x14ac:dyDescent="0.3">
      <c r="A33" s="48">
        <v>15</v>
      </c>
      <c r="B33" s="65" t="s">
        <v>680</v>
      </c>
      <c r="C33" s="66"/>
      <c r="D33" s="62" t="s">
        <v>192</v>
      </c>
      <c r="E33" s="63"/>
      <c r="F33" s="63"/>
      <c r="G33" s="64"/>
      <c r="H33" s="54">
        <f>SUM(I33)-2.25</f>
        <v>29.5</v>
      </c>
      <c r="I33" s="54">
        <f>SUM(J33)-2.25</f>
        <v>31.75</v>
      </c>
      <c r="J33" s="55">
        <v>34</v>
      </c>
      <c r="K33" s="54">
        <f>SUM(J33)+2</f>
        <v>36</v>
      </c>
      <c r="L33" s="54">
        <f>SUM(K33)+2</f>
        <v>38</v>
      </c>
      <c r="M33" s="54">
        <f t="shared" ref="M33:N33" si="12">SUM(L33)+2</f>
        <v>40</v>
      </c>
      <c r="N33" s="56">
        <f t="shared" si="12"/>
        <v>42</v>
      </c>
    </row>
    <row r="34" spans="1:14" s="1" customFormat="1" ht="14.1" customHeight="1" x14ac:dyDescent="0.3">
      <c r="A34" s="48"/>
      <c r="B34" s="57" t="s">
        <v>681</v>
      </c>
      <c r="C34" s="58"/>
      <c r="D34" s="46" t="s">
        <v>194</v>
      </c>
      <c r="E34" s="47"/>
      <c r="F34" s="47"/>
      <c r="G34" s="59"/>
      <c r="H34" s="40"/>
      <c r="I34" s="40"/>
      <c r="J34" s="42"/>
      <c r="K34" s="40"/>
      <c r="L34" s="40"/>
      <c r="M34" s="40"/>
      <c r="N34" s="44"/>
    </row>
    <row r="35" spans="1:14" s="1" customFormat="1" ht="14.1" customHeight="1" x14ac:dyDescent="0.3">
      <c r="A35" s="48">
        <v>16</v>
      </c>
      <c r="B35" s="60" t="s">
        <v>682</v>
      </c>
      <c r="C35" s="60"/>
      <c r="D35" s="61" t="s">
        <v>0</v>
      </c>
      <c r="E35" s="61"/>
      <c r="F35" s="61"/>
      <c r="G35" s="61"/>
      <c r="H35" s="60">
        <f>SUM(I35)-0.8</f>
        <v>12.999999999999998</v>
      </c>
      <c r="I35" s="60">
        <f>SUM(J35)-0.8</f>
        <v>13.799999999999999</v>
      </c>
      <c r="J35" s="132">
        <v>14.6</v>
      </c>
      <c r="K35" s="130">
        <f>SUM(J35)+0.8</f>
        <v>15.4</v>
      </c>
      <c r="L35" s="130">
        <f>SUM(K35)+0.8</f>
        <v>16.2</v>
      </c>
      <c r="M35" s="130">
        <f>SUM(L35)+0.9</f>
        <v>17.099999999999998</v>
      </c>
      <c r="N35" s="131">
        <f>SUM(M35)+0.9</f>
        <v>17.999999999999996</v>
      </c>
    </row>
    <row r="36" spans="1:14" s="1" customFormat="1" ht="14.1" customHeight="1" x14ac:dyDescent="0.3">
      <c r="A36" s="48"/>
      <c r="B36" s="45" t="s">
        <v>683</v>
      </c>
      <c r="C36" s="45"/>
      <c r="D36" s="46" t="s">
        <v>45</v>
      </c>
      <c r="E36" s="47"/>
      <c r="F36" s="47"/>
      <c r="G36" s="59"/>
      <c r="H36" s="45"/>
      <c r="I36" s="45"/>
      <c r="J36" s="132"/>
      <c r="K36" s="130"/>
      <c r="L36" s="130"/>
      <c r="M36" s="130"/>
      <c r="N36" s="131"/>
    </row>
    <row r="37" spans="1:14" s="1" customFormat="1" ht="14.1" customHeight="1" x14ac:dyDescent="0.3">
      <c r="A37" s="48">
        <v>17</v>
      </c>
      <c r="B37" s="65"/>
      <c r="C37" s="66"/>
      <c r="D37" s="88"/>
      <c r="E37" s="89"/>
      <c r="F37" s="89"/>
      <c r="G37" s="90"/>
      <c r="H37" s="54"/>
      <c r="I37" s="54"/>
      <c r="J37" s="67"/>
      <c r="K37" s="68"/>
      <c r="L37" s="68"/>
      <c r="M37" s="68"/>
      <c r="N37" s="69"/>
    </row>
    <row r="38" spans="1:14" s="1" customFormat="1" ht="14.1" customHeight="1" thickBot="1" x14ac:dyDescent="0.35">
      <c r="A38" s="78"/>
      <c r="B38" s="79"/>
      <c r="C38" s="80"/>
      <c r="D38" s="51"/>
      <c r="E38" s="52"/>
      <c r="F38" s="52"/>
      <c r="G38" s="53"/>
      <c r="H38" s="81"/>
      <c r="I38" s="81"/>
      <c r="J38" s="55"/>
      <c r="K38" s="54"/>
      <c r="L38" s="54"/>
      <c r="M38" s="54"/>
      <c r="N38" s="56"/>
    </row>
    <row r="39" spans="1:14" s="1" customFormat="1" ht="14.1" customHeight="1" thickTop="1" x14ac:dyDescent="0.3">
      <c r="A39" s="217">
        <v>18</v>
      </c>
      <c r="B39" s="218" t="s">
        <v>119</v>
      </c>
      <c r="C39" s="219"/>
      <c r="D39" s="220" t="s">
        <v>70</v>
      </c>
      <c r="E39" s="221"/>
      <c r="F39" s="221"/>
      <c r="G39" s="222"/>
      <c r="H39" s="223">
        <f>SUM(I39)-3</f>
        <v>45</v>
      </c>
      <c r="I39" s="224">
        <f>SUM(J39)-3</f>
        <v>48</v>
      </c>
      <c r="J39" s="226">
        <v>51</v>
      </c>
      <c r="K39" s="224">
        <f>SUM(J39)+3</f>
        <v>54</v>
      </c>
      <c r="L39" s="224">
        <f>SUM(K39)+3</f>
        <v>57</v>
      </c>
      <c r="M39" s="224">
        <f t="shared" ref="M39:N39" si="13">SUM(L39)+3</f>
        <v>60</v>
      </c>
      <c r="N39" s="225">
        <f t="shared" si="13"/>
        <v>63</v>
      </c>
    </row>
    <row r="40" spans="1:14" s="1" customFormat="1" ht="14.1" customHeight="1" x14ac:dyDescent="0.3">
      <c r="A40" s="48"/>
      <c r="B40" s="70" t="s">
        <v>87</v>
      </c>
      <c r="C40" s="71"/>
      <c r="D40" s="151" t="s">
        <v>71</v>
      </c>
      <c r="E40" s="152"/>
      <c r="F40" s="152"/>
      <c r="G40" s="153"/>
      <c r="H40" s="45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48">
        <v>19</v>
      </c>
      <c r="B41" s="65" t="s">
        <v>127</v>
      </c>
      <c r="C41" s="66"/>
      <c r="D41" s="51"/>
      <c r="E41" s="52"/>
      <c r="F41" s="52"/>
      <c r="G41" s="53"/>
      <c r="H41" s="54">
        <f>SUM(I41)-3.5</f>
        <v>66.2</v>
      </c>
      <c r="I41" s="54">
        <f>SUM(J41)-3.5</f>
        <v>69.7</v>
      </c>
      <c r="J41" s="82">
        <v>73.2</v>
      </c>
      <c r="K41" s="81">
        <f>SUM(J41)+3.5</f>
        <v>76.7</v>
      </c>
      <c r="L41" s="81">
        <f t="shared" ref="L41:N41" si="14">SUM(K41)+3.5</f>
        <v>80.2</v>
      </c>
      <c r="M41" s="81">
        <f t="shared" si="14"/>
        <v>83.7</v>
      </c>
      <c r="N41" s="83">
        <f t="shared" si="14"/>
        <v>87.2</v>
      </c>
    </row>
    <row r="42" spans="1:14" s="1" customFormat="1" ht="14.1" customHeight="1" x14ac:dyDescent="0.3">
      <c r="A42" s="48"/>
      <c r="B42" s="70" t="s">
        <v>128</v>
      </c>
      <c r="C42" s="71"/>
      <c r="D42" s="151"/>
      <c r="E42" s="152"/>
      <c r="F42" s="152"/>
      <c r="G42" s="153"/>
      <c r="H42" s="40"/>
      <c r="I42" s="40"/>
      <c r="J42" s="42"/>
      <c r="K42" s="40"/>
      <c r="L42" s="40"/>
      <c r="M42" s="40"/>
      <c r="N42" s="44"/>
    </row>
    <row r="43" spans="1:14" s="1" customFormat="1" ht="14.1" customHeight="1" x14ac:dyDescent="0.3">
      <c r="A43" s="48">
        <v>20</v>
      </c>
      <c r="B43" s="65" t="s">
        <v>11</v>
      </c>
      <c r="C43" s="66"/>
      <c r="D43" s="62" t="s">
        <v>136</v>
      </c>
      <c r="E43" s="63"/>
      <c r="F43" s="63"/>
      <c r="G43" s="64"/>
      <c r="H43" s="54">
        <f>SUM(I43)-4</f>
        <v>72.2</v>
      </c>
      <c r="I43" s="54">
        <f>SUM(J43)-4</f>
        <v>76.2</v>
      </c>
      <c r="J43" s="55">
        <v>80.2</v>
      </c>
      <c r="K43" s="54">
        <f>SUM(J43)+4</f>
        <v>84.2</v>
      </c>
      <c r="L43" s="54">
        <f t="shared" ref="L43:N43" si="15">SUM(K43)+4</f>
        <v>88.2</v>
      </c>
      <c r="M43" s="54">
        <f t="shared" si="15"/>
        <v>92.2</v>
      </c>
      <c r="N43" s="56">
        <f t="shared" si="15"/>
        <v>96.2</v>
      </c>
    </row>
    <row r="44" spans="1:14" s="1" customFormat="1" ht="14.1" customHeight="1" x14ac:dyDescent="0.3">
      <c r="A44" s="48"/>
      <c r="B44" s="70" t="s">
        <v>49</v>
      </c>
      <c r="C44" s="71"/>
      <c r="D44" s="151" t="s">
        <v>100</v>
      </c>
      <c r="E44" s="152"/>
      <c r="F44" s="152"/>
      <c r="G44" s="153"/>
      <c r="H44" s="40"/>
      <c r="I44" s="40"/>
      <c r="J44" s="42"/>
      <c r="K44" s="40"/>
      <c r="L44" s="40"/>
      <c r="M44" s="40"/>
      <c r="N44" s="44"/>
    </row>
    <row r="45" spans="1:14" s="1" customFormat="1" ht="14.1" customHeight="1" x14ac:dyDescent="0.3">
      <c r="A45" s="48">
        <v>21</v>
      </c>
      <c r="B45" s="65" t="s">
        <v>116</v>
      </c>
      <c r="C45" s="66"/>
      <c r="D45" s="62"/>
      <c r="E45" s="63"/>
      <c r="F45" s="63"/>
      <c r="G45" s="64"/>
      <c r="H45" s="60">
        <f>SUM(I45)-0.7</f>
        <v>12.8</v>
      </c>
      <c r="I45" s="54">
        <f>SUM(J45)-0.7</f>
        <v>13.5</v>
      </c>
      <c r="J45" s="55">
        <v>14.2</v>
      </c>
      <c r="K45" s="54">
        <f>SUM(J45)+1.2</f>
        <v>15.399999999999999</v>
      </c>
      <c r="L45" s="54">
        <f>SUM(K45)+0.7</f>
        <v>16.099999999999998</v>
      </c>
      <c r="M45" s="54">
        <f t="shared" ref="M45:N45" si="16">SUM(L45)+0.7</f>
        <v>16.799999999999997</v>
      </c>
      <c r="N45" s="56">
        <f t="shared" si="16"/>
        <v>17.499999999999996</v>
      </c>
    </row>
    <row r="46" spans="1:14" s="1" customFormat="1" ht="14.1" customHeight="1" x14ac:dyDescent="0.3">
      <c r="A46" s="48"/>
      <c r="B46" s="70" t="s">
        <v>115</v>
      </c>
      <c r="C46" s="71"/>
      <c r="D46" s="162" t="s">
        <v>131</v>
      </c>
      <c r="E46" s="163"/>
      <c r="F46" s="163"/>
      <c r="G46" s="164"/>
      <c r="H46" s="45"/>
      <c r="I46" s="40"/>
      <c r="J46" s="42"/>
      <c r="K46" s="40"/>
      <c r="L46" s="40"/>
      <c r="M46" s="40"/>
      <c r="N46" s="44"/>
    </row>
    <row r="47" spans="1:14" s="1" customFormat="1" ht="14.1" customHeight="1" x14ac:dyDescent="0.3">
      <c r="A47" s="48">
        <v>22</v>
      </c>
      <c r="B47" s="65" t="s">
        <v>139</v>
      </c>
      <c r="C47" s="66"/>
      <c r="D47" s="62"/>
      <c r="E47" s="63"/>
      <c r="F47" s="63"/>
      <c r="G47" s="64"/>
      <c r="H47" s="60"/>
      <c r="I47" s="54"/>
      <c r="J47" s="55"/>
      <c r="K47" s="54"/>
      <c r="L47" s="54"/>
      <c r="M47" s="54"/>
      <c r="N47" s="56"/>
    </row>
    <row r="48" spans="1:14" s="1" customFormat="1" ht="14.1" customHeight="1" x14ac:dyDescent="0.3">
      <c r="A48" s="48"/>
      <c r="B48" s="70" t="s">
        <v>140</v>
      </c>
      <c r="C48" s="71"/>
      <c r="D48" s="162" t="s">
        <v>141</v>
      </c>
      <c r="E48" s="163"/>
      <c r="F48" s="163"/>
      <c r="G48" s="164"/>
      <c r="H48" s="45"/>
      <c r="I48" s="40"/>
      <c r="J48" s="42"/>
      <c r="K48" s="40"/>
      <c r="L48" s="40"/>
      <c r="M48" s="40"/>
      <c r="N48" s="44"/>
    </row>
    <row r="49" spans="1:17" s="1" customFormat="1" ht="14.1" customHeight="1" x14ac:dyDescent="0.3">
      <c r="A49" s="48">
        <v>23</v>
      </c>
      <c r="B49" s="65" t="s">
        <v>9</v>
      </c>
      <c r="C49" s="66"/>
      <c r="D49" s="62" t="s">
        <v>72</v>
      </c>
      <c r="E49" s="63"/>
      <c r="F49" s="63"/>
      <c r="G49" s="64"/>
      <c r="H49" s="54">
        <f>SUM(I49)-2.5</f>
        <v>25</v>
      </c>
      <c r="I49" s="54">
        <f>SUM(J49)-2.5</f>
        <v>27.5</v>
      </c>
      <c r="J49" s="55">
        <v>30</v>
      </c>
      <c r="K49" s="54">
        <f>SUM(J49)+2</f>
        <v>32</v>
      </c>
      <c r="L49" s="54">
        <f t="shared" ref="L49:N49" si="17">SUM(K49)+2</f>
        <v>34</v>
      </c>
      <c r="M49" s="54">
        <f t="shared" si="17"/>
        <v>36</v>
      </c>
      <c r="N49" s="56">
        <f t="shared" si="17"/>
        <v>38</v>
      </c>
    </row>
    <row r="50" spans="1:17" s="1" customFormat="1" ht="14.1" customHeight="1" x14ac:dyDescent="0.3">
      <c r="A50" s="48"/>
      <c r="B50" s="70" t="s">
        <v>50</v>
      </c>
      <c r="C50" s="71"/>
      <c r="D50" s="151" t="s">
        <v>99</v>
      </c>
      <c r="E50" s="152"/>
      <c r="F50" s="152"/>
      <c r="G50" s="153"/>
      <c r="H50" s="40"/>
      <c r="I50" s="40"/>
      <c r="J50" s="42"/>
      <c r="K50" s="40"/>
      <c r="L50" s="40"/>
      <c r="M50" s="40"/>
      <c r="N50" s="44"/>
    </row>
    <row r="51" spans="1:17" s="1" customFormat="1" ht="14.1" customHeight="1" x14ac:dyDescent="0.3">
      <c r="A51" s="48">
        <v>24</v>
      </c>
      <c r="B51" s="65" t="s">
        <v>14</v>
      </c>
      <c r="C51" s="66"/>
      <c r="D51" s="62" t="s">
        <v>15</v>
      </c>
      <c r="E51" s="63"/>
      <c r="F51" s="63"/>
      <c r="G51" s="64"/>
      <c r="H51" s="54">
        <f>SUM(I51)-2</f>
        <v>44.8</v>
      </c>
      <c r="I51" s="54">
        <f>SUM(J51)-2</f>
        <v>46.8</v>
      </c>
      <c r="J51" s="55">
        <v>48.8</v>
      </c>
      <c r="K51" s="54">
        <f>SUM(J51)+2</f>
        <v>50.8</v>
      </c>
      <c r="L51" s="54">
        <f t="shared" ref="L51:N51" si="18">SUM(K51)+2</f>
        <v>52.8</v>
      </c>
      <c r="M51" s="54">
        <f t="shared" si="18"/>
        <v>54.8</v>
      </c>
      <c r="N51" s="56">
        <f t="shared" si="18"/>
        <v>56.8</v>
      </c>
    </row>
    <row r="52" spans="1:17" s="1" customFormat="1" ht="14.1" customHeight="1" x14ac:dyDescent="0.3">
      <c r="A52" s="48"/>
      <c r="B52" s="70" t="s">
        <v>51</v>
      </c>
      <c r="C52" s="71"/>
      <c r="D52" s="46" t="s">
        <v>98</v>
      </c>
      <c r="E52" s="47"/>
      <c r="F52" s="47"/>
      <c r="G52" s="59"/>
      <c r="H52" s="40"/>
      <c r="I52" s="40"/>
      <c r="J52" s="42"/>
      <c r="K52" s="40"/>
      <c r="L52" s="40"/>
      <c r="M52" s="40"/>
      <c r="N52" s="44"/>
    </row>
    <row r="53" spans="1:17" s="1" customFormat="1" ht="14.1" customHeight="1" x14ac:dyDescent="0.3">
      <c r="A53" s="48">
        <v>25</v>
      </c>
      <c r="B53" s="65" t="s">
        <v>16</v>
      </c>
      <c r="C53" s="66"/>
      <c r="D53" s="62" t="s">
        <v>13</v>
      </c>
      <c r="E53" s="63"/>
      <c r="F53" s="63"/>
      <c r="G53" s="64"/>
      <c r="H53" s="60">
        <f>SUM(I53)-1.1</f>
        <v>19.999999999999996</v>
      </c>
      <c r="I53" s="54">
        <f>SUM(J53)-1.1</f>
        <v>21.099999999999998</v>
      </c>
      <c r="J53" s="55">
        <v>22.2</v>
      </c>
      <c r="K53" s="54">
        <f>SUM(J53)+1.6</f>
        <v>23.8</v>
      </c>
      <c r="L53" s="54">
        <f>SUM(K53)+1.1</f>
        <v>24.900000000000002</v>
      </c>
      <c r="M53" s="54">
        <f t="shared" ref="M53:N53" si="19">SUM(L53)+1.1</f>
        <v>26.000000000000004</v>
      </c>
      <c r="N53" s="56">
        <f t="shared" si="19"/>
        <v>27.100000000000005</v>
      </c>
    </row>
    <row r="54" spans="1:17" s="1" customFormat="1" ht="14.1" customHeight="1" x14ac:dyDescent="0.3">
      <c r="A54" s="48"/>
      <c r="B54" s="70" t="s">
        <v>57</v>
      </c>
      <c r="C54" s="71"/>
      <c r="D54" s="151" t="s">
        <v>97</v>
      </c>
      <c r="E54" s="152"/>
      <c r="F54" s="152"/>
      <c r="G54" s="153"/>
      <c r="H54" s="45"/>
      <c r="I54" s="40"/>
      <c r="J54" s="42"/>
      <c r="K54" s="40"/>
      <c r="L54" s="40"/>
      <c r="M54" s="40"/>
      <c r="N54" s="44"/>
    </row>
    <row r="55" spans="1:17" s="1" customFormat="1" ht="14.1" customHeight="1" x14ac:dyDescent="0.3">
      <c r="A55" s="48">
        <v>26</v>
      </c>
      <c r="B55" s="65" t="s">
        <v>17</v>
      </c>
      <c r="C55" s="66"/>
      <c r="D55" s="62" t="s">
        <v>13</v>
      </c>
      <c r="E55" s="63"/>
      <c r="F55" s="63"/>
      <c r="G55" s="64"/>
      <c r="H55" s="60">
        <f>SUM(I55)-1.3</f>
        <v>27.299999999999997</v>
      </c>
      <c r="I55" s="54">
        <f>SUM(J55)-1.3</f>
        <v>28.599999999999998</v>
      </c>
      <c r="J55" s="55">
        <v>29.9</v>
      </c>
      <c r="K55" s="54">
        <f>SUM(J55)+1.8</f>
        <v>31.7</v>
      </c>
      <c r="L55" s="54">
        <f>SUM(K55)+1.3</f>
        <v>33</v>
      </c>
      <c r="M55" s="54">
        <f t="shared" ref="M55:N55" si="20">SUM(L55)+1.3</f>
        <v>34.299999999999997</v>
      </c>
      <c r="N55" s="56">
        <f t="shared" si="20"/>
        <v>35.599999999999994</v>
      </c>
    </row>
    <row r="56" spans="1:17" s="1" customFormat="1" ht="14.1" customHeight="1" x14ac:dyDescent="0.3">
      <c r="A56" s="48"/>
      <c r="B56" s="70" t="s">
        <v>56</v>
      </c>
      <c r="C56" s="71"/>
      <c r="D56" s="151" t="s">
        <v>97</v>
      </c>
      <c r="E56" s="152"/>
      <c r="F56" s="152"/>
      <c r="G56" s="153"/>
      <c r="H56" s="45"/>
      <c r="I56" s="40"/>
      <c r="J56" s="42"/>
      <c r="K56" s="40"/>
      <c r="L56" s="40"/>
      <c r="M56" s="40"/>
      <c r="N56" s="44"/>
    </row>
    <row r="57" spans="1:17" s="1" customFormat="1" ht="14.1" customHeight="1" x14ac:dyDescent="0.3">
      <c r="A57" s="48">
        <v>27</v>
      </c>
      <c r="B57" s="65" t="s">
        <v>18</v>
      </c>
      <c r="C57" s="66"/>
      <c r="D57" s="62" t="s">
        <v>19</v>
      </c>
      <c r="E57" s="63"/>
      <c r="F57" s="63"/>
      <c r="G57" s="64"/>
      <c r="H57" s="54"/>
      <c r="I57" s="54"/>
      <c r="J57" s="55"/>
      <c r="K57" s="54"/>
      <c r="L57" s="54"/>
      <c r="M57" s="54"/>
      <c r="N57" s="56"/>
    </row>
    <row r="58" spans="1:17" s="1" customFormat="1" ht="14.1" customHeight="1" x14ac:dyDescent="0.3">
      <c r="A58" s="48"/>
      <c r="B58" s="70" t="s">
        <v>55</v>
      </c>
      <c r="C58" s="71"/>
      <c r="D58" s="151" t="s">
        <v>96</v>
      </c>
      <c r="E58" s="152"/>
      <c r="F58" s="152"/>
      <c r="G58" s="153"/>
      <c r="H58" s="40"/>
      <c r="I58" s="40"/>
      <c r="J58" s="42"/>
      <c r="K58" s="40"/>
      <c r="L58" s="40"/>
      <c r="M58" s="40"/>
      <c r="N58" s="44"/>
    </row>
    <row r="59" spans="1:17" s="1" customFormat="1" ht="14.1" customHeight="1" x14ac:dyDescent="0.3">
      <c r="A59" s="48">
        <v>28</v>
      </c>
      <c r="B59" s="65" t="s">
        <v>20</v>
      </c>
      <c r="C59" s="66"/>
      <c r="D59" s="62" t="s">
        <v>21</v>
      </c>
      <c r="E59" s="63"/>
      <c r="F59" s="63"/>
      <c r="G59" s="64"/>
      <c r="H59" s="54"/>
      <c r="I59" s="54"/>
      <c r="J59" s="55"/>
      <c r="K59" s="54"/>
      <c r="L59" s="54"/>
      <c r="M59" s="54"/>
      <c r="N59" s="56"/>
    </row>
    <row r="60" spans="1:17" s="1" customFormat="1" ht="14.1" customHeight="1" thickBot="1" x14ac:dyDescent="0.35">
      <c r="A60" s="48"/>
      <c r="B60" s="70" t="s">
        <v>54</v>
      </c>
      <c r="C60" s="71"/>
      <c r="D60" s="151" t="s">
        <v>95</v>
      </c>
      <c r="E60" s="152"/>
      <c r="F60" s="152"/>
      <c r="G60" s="153"/>
      <c r="H60" s="40"/>
      <c r="I60" s="40"/>
      <c r="J60" s="42"/>
      <c r="K60" s="40"/>
      <c r="L60" s="40"/>
      <c r="M60" s="40"/>
      <c r="N60" s="44"/>
    </row>
    <row r="61" spans="1:17" s="1" customFormat="1" ht="14.1" customHeight="1" thickTop="1" x14ac:dyDescent="0.3">
      <c r="A61" s="48">
        <v>29</v>
      </c>
      <c r="B61" s="65" t="s">
        <v>94</v>
      </c>
      <c r="C61" s="66"/>
      <c r="D61" s="62" t="s">
        <v>92</v>
      </c>
      <c r="E61" s="63"/>
      <c r="F61" s="63"/>
      <c r="G61" s="64"/>
      <c r="H61" s="54"/>
      <c r="I61" s="54"/>
      <c r="J61" s="55"/>
      <c r="K61" s="54"/>
      <c r="L61" s="54"/>
      <c r="M61" s="54"/>
      <c r="N61" s="56"/>
      <c r="Q61" s="23" t="s">
        <v>457</v>
      </c>
    </row>
    <row r="62" spans="1:17" s="1" customFormat="1" ht="14.1" customHeight="1" x14ac:dyDescent="0.3">
      <c r="A62" s="48"/>
      <c r="B62" s="70" t="s">
        <v>93</v>
      </c>
      <c r="C62" s="71"/>
      <c r="D62" s="151" t="s">
        <v>92</v>
      </c>
      <c r="E62" s="152"/>
      <c r="F62" s="152"/>
      <c r="G62" s="153"/>
      <c r="H62" s="40"/>
      <c r="I62" s="40"/>
      <c r="J62" s="42"/>
      <c r="K62" s="40"/>
      <c r="L62" s="40"/>
      <c r="M62" s="40"/>
      <c r="N62" s="44"/>
      <c r="Q62" s="24">
        <f>SUM(H67+H67+H67+H67+I67+I67+I67+I67+J67+J67+J67+J67+K67+K67+K67+K67+L67+L67+L67+L67+M67+M67+M67+M67+N67+N67+N67+N67)</f>
        <v>147.19999999999996</v>
      </c>
    </row>
    <row r="63" spans="1:17" ht="14.1" customHeight="1" thickBot="1" x14ac:dyDescent="0.35">
      <c r="A63" s="48">
        <v>30</v>
      </c>
      <c r="B63" s="65" t="s">
        <v>91</v>
      </c>
      <c r="C63" s="66"/>
      <c r="D63" s="62"/>
      <c r="E63" s="63"/>
      <c r="F63" s="63"/>
      <c r="G63" s="64"/>
      <c r="H63" s="54"/>
      <c r="I63" s="54"/>
      <c r="J63" s="55"/>
      <c r="K63" s="54"/>
      <c r="L63" s="54"/>
      <c r="M63" s="54"/>
      <c r="N63" s="56"/>
      <c r="Q63" s="25">
        <f>SUM(Q62/91.44/7*1.08)</f>
        <v>0.24836895388076485</v>
      </c>
    </row>
    <row r="64" spans="1:17" ht="14.1" customHeight="1" thickTop="1" x14ac:dyDescent="0.3">
      <c r="A64" s="48"/>
      <c r="B64" s="70" t="s">
        <v>89</v>
      </c>
      <c r="C64" s="71"/>
      <c r="D64" s="151"/>
      <c r="E64" s="152"/>
      <c r="F64" s="152"/>
      <c r="G64" s="153"/>
      <c r="H64" s="40"/>
      <c r="I64" s="40"/>
      <c r="J64" s="42"/>
      <c r="K64" s="40"/>
      <c r="L64" s="40"/>
      <c r="M64" s="40"/>
      <c r="N64" s="44"/>
    </row>
    <row r="65" spans="1:14" ht="14.1" customHeight="1" x14ac:dyDescent="0.3">
      <c r="A65" s="48">
        <v>31</v>
      </c>
      <c r="B65" s="65" t="s">
        <v>586</v>
      </c>
      <c r="C65" s="66"/>
      <c r="D65" s="62"/>
      <c r="E65" s="63"/>
      <c r="F65" s="63"/>
      <c r="G65" s="64"/>
      <c r="H65" s="54">
        <f>SUM(I65)-0.5</f>
        <v>10</v>
      </c>
      <c r="I65" s="54">
        <f>SUM(J65)-0.5</f>
        <v>10.5</v>
      </c>
      <c r="J65" s="55">
        <v>11</v>
      </c>
      <c r="K65" s="54">
        <f>SUM(J65)+0.5</f>
        <v>11.5</v>
      </c>
      <c r="L65" s="54">
        <f t="shared" ref="L65:N65" si="21">SUM(K65)+0.5</f>
        <v>12</v>
      </c>
      <c r="M65" s="54">
        <f t="shared" si="21"/>
        <v>12.5</v>
      </c>
      <c r="N65" s="56">
        <f t="shared" si="21"/>
        <v>13</v>
      </c>
    </row>
    <row r="66" spans="1:14" ht="14.1" customHeight="1" x14ac:dyDescent="0.3">
      <c r="A66" s="48"/>
      <c r="B66" s="57" t="s">
        <v>684</v>
      </c>
      <c r="C66" s="58"/>
      <c r="D66" s="151" t="s">
        <v>685</v>
      </c>
      <c r="E66" s="152"/>
      <c r="F66" s="152"/>
      <c r="G66" s="153"/>
      <c r="H66" s="40"/>
      <c r="I66" s="40"/>
      <c r="J66" s="42"/>
      <c r="K66" s="40"/>
      <c r="L66" s="40"/>
      <c r="M66" s="40"/>
      <c r="N66" s="44"/>
    </row>
    <row r="67" spans="1:14" ht="13.5" customHeight="1" x14ac:dyDescent="0.3">
      <c r="A67" s="48">
        <v>33</v>
      </c>
      <c r="B67" s="65" t="s">
        <v>686</v>
      </c>
      <c r="C67" s="66"/>
      <c r="D67" s="61"/>
      <c r="E67" s="61"/>
      <c r="F67" s="61"/>
      <c r="G67" s="61"/>
      <c r="H67" s="54">
        <f>SUM(I67)-0.4</f>
        <v>4.1999999999999993</v>
      </c>
      <c r="I67" s="54">
        <f>SUM(J67)-0.4</f>
        <v>4.5999999999999996</v>
      </c>
      <c r="J67" s="55">
        <v>5</v>
      </c>
      <c r="K67" s="54">
        <f>SUM(J67)+0.3</f>
        <v>5.3</v>
      </c>
      <c r="L67" s="54">
        <f t="shared" ref="L67:N67" si="22">SUM(K67)+0.3</f>
        <v>5.6</v>
      </c>
      <c r="M67" s="54">
        <f t="shared" si="22"/>
        <v>5.8999999999999995</v>
      </c>
      <c r="N67" s="56">
        <f t="shared" si="22"/>
        <v>6.1999999999999993</v>
      </c>
    </row>
    <row r="68" spans="1:14" ht="13.5" customHeight="1" x14ac:dyDescent="0.3">
      <c r="A68" s="48"/>
      <c r="B68" s="57" t="s">
        <v>687</v>
      </c>
      <c r="C68" s="58"/>
      <c r="D68" s="46" t="s">
        <v>452</v>
      </c>
      <c r="E68" s="47"/>
      <c r="F68" s="47"/>
      <c r="G68" s="59"/>
      <c r="H68" s="40"/>
      <c r="I68" s="40"/>
      <c r="J68" s="42"/>
      <c r="K68" s="40"/>
      <c r="L68" s="40"/>
      <c r="M68" s="40"/>
      <c r="N68" s="44"/>
    </row>
    <row r="69" spans="1:14" ht="13.5" customHeight="1" x14ac:dyDescent="0.3">
      <c r="A69" s="48">
        <v>34</v>
      </c>
      <c r="B69" s="79" t="s">
        <v>298</v>
      </c>
      <c r="C69" s="80"/>
      <c r="D69" s="106"/>
      <c r="E69" s="106"/>
      <c r="F69" s="106"/>
      <c r="G69" s="106"/>
      <c r="H69" s="81">
        <f>SUM(I69)-3</f>
        <v>77</v>
      </c>
      <c r="I69" s="81">
        <f>SUM(J69)-3</f>
        <v>80</v>
      </c>
      <c r="J69" s="82">
        <v>83</v>
      </c>
      <c r="K69" s="81">
        <f>SUM(J69)+3</f>
        <v>86</v>
      </c>
      <c r="L69" s="81">
        <f>SUM(K69)+3</f>
        <v>89</v>
      </c>
      <c r="M69" s="81">
        <f>SUM(L69)+3</f>
        <v>92</v>
      </c>
      <c r="N69" s="83">
        <f>SUM(M69)+3</f>
        <v>95</v>
      </c>
    </row>
    <row r="70" spans="1:14" ht="13.5" customHeight="1" x14ac:dyDescent="0.3">
      <c r="A70" s="78"/>
      <c r="B70" s="105" t="s">
        <v>299</v>
      </c>
      <c r="C70" s="105"/>
      <c r="D70" s="51" t="s">
        <v>180</v>
      </c>
      <c r="E70" s="52"/>
      <c r="F70" s="52"/>
      <c r="G70" s="53"/>
      <c r="H70" s="81"/>
      <c r="I70" s="81"/>
      <c r="J70" s="82"/>
      <c r="K70" s="81"/>
      <c r="L70" s="81"/>
      <c r="M70" s="81"/>
      <c r="N70" s="83"/>
    </row>
    <row r="71" spans="1:14" ht="13.5" customHeight="1" x14ac:dyDescent="0.3">
      <c r="A71" s="48">
        <v>35</v>
      </c>
      <c r="B71" s="65" t="s">
        <v>134</v>
      </c>
      <c r="C71" s="66"/>
      <c r="D71" s="88"/>
      <c r="E71" s="89"/>
      <c r="F71" s="89"/>
      <c r="G71" s="90"/>
      <c r="H71" s="54">
        <f>SUM(I71)-0.2</f>
        <v>1.2000000000000002</v>
      </c>
      <c r="I71" s="54">
        <f>SUM(J71)-0.2</f>
        <v>1.4000000000000001</v>
      </c>
      <c r="J71" s="55">
        <v>1.6</v>
      </c>
      <c r="K71" s="54">
        <f>SUM(J71)+0.2</f>
        <v>1.8</v>
      </c>
      <c r="L71" s="54">
        <f t="shared" ref="L71:N71" si="23">SUM(K71)+0.2</f>
        <v>2</v>
      </c>
      <c r="M71" s="54">
        <f t="shared" si="23"/>
        <v>2.2000000000000002</v>
      </c>
      <c r="N71" s="56">
        <f t="shared" si="23"/>
        <v>2.4000000000000004</v>
      </c>
    </row>
    <row r="72" spans="1:14" ht="13.5" customHeight="1" x14ac:dyDescent="0.3">
      <c r="A72" s="48"/>
      <c r="B72" s="57" t="s">
        <v>142</v>
      </c>
      <c r="C72" s="58"/>
      <c r="D72" s="46" t="s">
        <v>688</v>
      </c>
      <c r="E72" s="47"/>
      <c r="F72" s="47"/>
      <c r="G72" s="59"/>
      <c r="H72" s="40"/>
      <c r="I72" s="40"/>
      <c r="J72" s="42"/>
      <c r="K72" s="40"/>
      <c r="L72" s="40"/>
      <c r="M72" s="40"/>
      <c r="N72" s="44"/>
    </row>
    <row r="73" spans="1:14" ht="13.5" customHeight="1" x14ac:dyDescent="0.3">
      <c r="A73" s="35">
        <v>36</v>
      </c>
      <c r="B73" s="79" t="s">
        <v>135</v>
      </c>
      <c r="C73" s="80"/>
      <c r="D73" s="133"/>
      <c r="E73" s="134"/>
      <c r="F73" s="134"/>
      <c r="G73" s="135"/>
      <c r="H73" s="81">
        <f>SUM(I73)-0.2</f>
        <v>2.0999999999999996</v>
      </c>
      <c r="I73" s="81">
        <f>SUM(J73)-0.2</f>
        <v>2.2999999999999998</v>
      </c>
      <c r="J73" s="82">
        <v>2.5</v>
      </c>
      <c r="K73" s="81">
        <f>SUM(J73)+0.2</f>
        <v>2.7</v>
      </c>
      <c r="L73" s="81">
        <f t="shared" ref="L73:N73" si="24">SUM(K73)+0.2</f>
        <v>2.9000000000000004</v>
      </c>
      <c r="M73" s="81">
        <f t="shared" si="24"/>
        <v>3.1000000000000005</v>
      </c>
      <c r="N73" s="83">
        <f t="shared" si="24"/>
        <v>3.3000000000000007</v>
      </c>
    </row>
    <row r="74" spans="1:14" ht="13.5" customHeight="1" thickBot="1" x14ac:dyDescent="0.35">
      <c r="A74" s="87"/>
      <c r="B74" s="96" t="s">
        <v>143</v>
      </c>
      <c r="C74" s="97"/>
      <c r="D74" s="98" t="s">
        <v>157</v>
      </c>
      <c r="E74" s="99"/>
      <c r="F74" s="99"/>
      <c r="G74" s="100"/>
      <c r="H74" s="91"/>
      <c r="I74" s="91"/>
      <c r="J74" s="107"/>
      <c r="K74" s="91"/>
      <c r="L74" s="91"/>
      <c r="M74" s="91"/>
      <c r="N74" s="147"/>
    </row>
  </sheetData>
  <mergeCells count="43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53:K54"/>
    <mergeCell ref="L53:L54"/>
    <mergeCell ref="M53:M54"/>
    <mergeCell ref="N53:N54"/>
    <mergeCell ref="B54:C54"/>
    <mergeCell ref="D54:G54"/>
    <mergeCell ref="A53:A54"/>
    <mergeCell ref="B53:C53"/>
    <mergeCell ref="D53:G53"/>
    <mergeCell ref="H53:H54"/>
    <mergeCell ref="I53:I54"/>
    <mergeCell ref="J53:J54"/>
    <mergeCell ref="K55:K56"/>
    <mergeCell ref="L55:L56"/>
    <mergeCell ref="M55:M56"/>
    <mergeCell ref="N55:N56"/>
    <mergeCell ref="B56:C56"/>
    <mergeCell ref="D56:G56"/>
    <mergeCell ref="A55:A56"/>
    <mergeCell ref="B55:C55"/>
    <mergeCell ref="D55:G55"/>
    <mergeCell ref="H55:H56"/>
    <mergeCell ref="I55:I56"/>
    <mergeCell ref="J55:J56"/>
    <mergeCell ref="K57:K58"/>
    <mergeCell ref="L57:L58"/>
    <mergeCell ref="M57:M58"/>
    <mergeCell ref="N57:N58"/>
    <mergeCell ref="B58:C58"/>
    <mergeCell ref="D58:G58"/>
    <mergeCell ref="A57:A58"/>
    <mergeCell ref="B57:C57"/>
    <mergeCell ref="D57:G57"/>
    <mergeCell ref="H57:H58"/>
    <mergeCell ref="I57:I58"/>
    <mergeCell ref="J57:J58"/>
    <mergeCell ref="K59:K60"/>
    <mergeCell ref="L59:L60"/>
    <mergeCell ref="M59:M60"/>
    <mergeCell ref="N59:N60"/>
    <mergeCell ref="B60:C60"/>
    <mergeCell ref="D60:G60"/>
    <mergeCell ref="A59:A60"/>
    <mergeCell ref="B59:C59"/>
    <mergeCell ref="D59:G59"/>
    <mergeCell ref="H59:H60"/>
    <mergeCell ref="I59:I60"/>
    <mergeCell ref="J59:J60"/>
    <mergeCell ref="K61:K62"/>
    <mergeCell ref="L61:L62"/>
    <mergeCell ref="M61:M62"/>
    <mergeCell ref="N61:N62"/>
    <mergeCell ref="B62:C62"/>
    <mergeCell ref="D62:G62"/>
    <mergeCell ref="A61:A62"/>
    <mergeCell ref="B61:C61"/>
    <mergeCell ref="D61:G61"/>
    <mergeCell ref="H61:H62"/>
    <mergeCell ref="I61:I62"/>
    <mergeCell ref="J61:J62"/>
    <mergeCell ref="K63:K64"/>
    <mergeCell ref="L63:L64"/>
    <mergeCell ref="M63:M64"/>
    <mergeCell ref="N63:N64"/>
    <mergeCell ref="B64:C64"/>
    <mergeCell ref="D64:G64"/>
    <mergeCell ref="A63:A64"/>
    <mergeCell ref="B63:C63"/>
    <mergeCell ref="D63:G63"/>
    <mergeCell ref="H63:H64"/>
    <mergeCell ref="I63:I64"/>
    <mergeCell ref="J63:J64"/>
    <mergeCell ref="K65:K66"/>
    <mergeCell ref="L65:L66"/>
    <mergeCell ref="M65:M66"/>
    <mergeCell ref="N65:N66"/>
    <mergeCell ref="B66:C66"/>
    <mergeCell ref="D66:G66"/>
    <mergeCell ref="A65:A66"/>
    <mergeCell ref="B65:C65"/>
    <mergeCell ref="D65:G65"/>
    <mergeCell ref="H65:H66"/>
    <mergeCell ref="I65:I66"/>
    <mergeCell ref="J65:J66"/>
    <mergeCell ref="K67:K68"/>
    <mergeCell ref="L67:L68"/>
    <mergeCell ref="M67:M68"/>
    <mergeCell ref="N67:N68"/>
    <mergeCell ref="B68:C68"/>
    <mergeCell ref="D68:G68"/>
    <mergeCell ref="A67:A68"/>
    <mergeCell ref="B67:C67"/>
    <mergeCell ref="D67:G67"/>
    <mergeCell ref="H67:H68"/>
    <mergeCell ref="I67:I68"/>
    <mergeCell ref="J67:J68"/>
    <mergeCell ref="K69:K70"/>
    <mergeCell ref="L69:L70"/>
    <mergeCell ref="M69:M70"/>
    <mergeCell ref="N69:N70"/>
    <mergeCell ref="B70:C70"/>
    <mergeCell ref="D70:G70"/>
    <mergeCell ref="A69:A70"/>
    <mergeCell ref="B69:C69"/>
    <mergeCell ref="D69:G69"/>
    <mergeCell ref="H69:H70"/>
    <mergeCell ref="I69:I70"/>
    <mergeCell ref="J69:J70"/>
    <mergeCell ref="K71:K72"/>
    <mergeCell ref="L71:L72"/>
    <mergeCell ref="M71:M72"/>
    <mergeCell ref="N71:N72"/>
    <mergeCell ref="B72:C72"/>
    <mergeCell ref="D72:G72"/>
    <mergeCell ref="A71:A72"/>
    <mergeCell ref="B71:C71"/>
    <mergeCell ref="D71:G71"/>
    <mergeCell ref="H71:H72"/>
    <mergeCell ref="I71:I72"/>
    <mergeCell ref="J71:J72"/>
    <mergeCell ref="K73:K74"/>
    <mergeCell ref="L73:L74"/>
    <mergeCell ref="M73:M74"/>
    <mergeCell ref="N73:N74"/>
    <mergeCell ref="B74:C74"/>
    <mergeCell ref="D74:G74"/>
    <mergeCell ref="A73:A74"/>
    <mergeCell ref="B73:C73"/>
    <mergeCell ref="D73:G73"/>
    <mergeCell ref="H73:H74"/>
    <mergeCell ref="I73:I74"/>
    <mergeCell ref="J73:J7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6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ED20-4661-450D-8F57-2C1C8901B0E3}">
  <sheetPr>
    <tabColor rgb="FFFF0000"/>
    <pageSetUpPr fitToPage="1"/>
  </sheetPr>
  <dimension ref="A1:N66"/>
  <sheetViews>
    <sheetView zoomScale="110" zoomScaleNormal="110" workbookViewId="0">
      <selection sqref="A1:N6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838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38.9</v>
      </c>
      <c r="I3" s="54">
        <f>SUM(J3)-3.5</f>
        <v>42.4</v>
      </c>
      <c r="J3" s="55">
        <v>45.9</v>
      </c>
      <c r="K3" s="54">
        <f>SUM(J3)+3</f>
        <v>48.9</v>
      </c>
      <c r="L3" s="54">
        <f t="shared" ref="L3:M3" si="0">SUM(K3)+3</f>
        <v>51.9</v>
      </c>
      <c r="M3" s="54">
        <f t="shared" si="0"/>
        <v>54.9</v>
      </c>
      <c r="N3" s="56">
        <f t="shared" ref="N3" si="1">SUM(M3)+3</f>
        <v>57.9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SUM(I5)-2.2</f>
        <v>26.3</v>
      </c>
      <c r="I5" s="54">
        <f>SUM(J5)-2.2</f>
        <v>28.5</v>
      </c>
      <c r="J5" s="55">
        <v>30.7</v>
      </c>
      <c r="K5" s="54">
        <f>SUM(J5)+2.2</f>
        <v>32.9</v>
      </c>
      <c r="L5" s="54">
        <f t="shared" ref="L5:N5" si="2">SUM(K5)+2.2</f>
        <v>35.1</v>
      </c>
      <c r="M5" s="54">
        <f t="shared" si="2"/>
        <v>37.300000000000004</v>
      </c>
      <c r="N5" s="56">
        <f t="shared" si="2"/>
        <v>39.500000000000007</v>
      </c>
    </row>
    <row r="6" spans="1:14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38</v>
      </c>
      <c r="I7" s="54">
        <f>SUM(J7)-2.25</f>
        <v>40.25</v>
      </c>
      <c r="J7" s="55">
        <v>42.5</v>
      </c>
      <c r="K7" s="54">
        <f>SUM(J7)+2</f>
        <v>44.5</v>
      </c>
      <c r="L7" s="54">
        <f>SUM(K7)+2</f>
        <v>46.5</v>
      </c>
      <c r="M7" s="54">
        <f>SUM(L7)+2</f>
        <v>48.5</v>
      </c>
      <c r="N7" s="115">
        <f>SUM(M7)+2</f>
        <v>50.5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38</v>
      </c>
      <c r="I9" s="54">
        <f>SUM(J9)-2.25</f>
        <v>40.25</v>
      </c>
      <c r="J9" s="55">
        <v>42.5</v>
      </c>
      <c r="K9" s="54">
        <f>SUM(J9)+2</f>
        <v>44.5</v>
      </c>
      <c r="L9" s="54">
        <f>SUM(K9)+2</f>
        <v>46.5</v>
      </c>
      <c r="M9" s="54">
        <f>SUM(L9)+2</f>
        <v>48.5</v>
      </c>
      <c r="N9" s="115">
        <f>SUM(M9)+2</f>
        <v>50.5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0"/>
      <c r="N11" s="136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15.799999999999999</v>
      </c>
      <c r="I13" s="54">
        <f>SUM(J13)-0.6</f>
        <v>16.399999999999999</v>
      </c>
      <c r="J13" s="67">
        <v>17</v>
      </c>
      <c r="K13" s="68">
        <f>SUM(J13)+0.6</f>
        <v>17.600000000000001</v>
      </c>
      <c r="L13" s="68">
        <f>SUM(K13)+0.6</f>
        <v>18.200000000000003</v>
      </c>
      <c r="M13" s="68">
        <f>SUM(L13)+0.6</f>
        <v>18.800000000000004</v>
      </c>
      <c r="N13" s="117">
        <f>SUM(M13)+0.6</f>
        <v>19.400000000000006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7.4</v>
      </c>
      <c r="I15" s="54">
        <f>SUM(J15)-0.3</f>
        <v>7.7</v>
      </c>
      <c r="J15" s="67">
        <v>8</v>
      </c>
      <c r="K15" s="68">
        <f>SUM(J15)+0.3</f>
        <v>8.3000000000000007</v>
      </c>
      <c r="L15" s="68">
        <f>SUM(K15)+0.3</f>
        <v>8.6000000000000014</v>
      </c>
      <c r="M15" s="68">
        <f>SUM(L15)+0.3</f>
        <v>8.9000000000000021</v>
      </c>
      <c r="N15" s="117">
        <f>SUM(M15)+0.3</f>
        <v>9.2000000000000028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41.8</v>
      </c>
      <c r="I17" s="54">
        <f>SUM(J17)-1.6</f>
        <v>43.4</v>
      </c>
      <c r="J17" s="67">
        <v>45</v>
      </c>
      <c r="K17" s="68">
        <f>SUM(J17)+1.6</f>
        <v>46.6</v>
      </c>
      <c r="L17" s="68">
        <f>SUM(K17)+1.6</f>
        <v>48.2</v>
      </c>
      <c r="M17" s="68">
        <f>SUM(L17)+1.6</f>
        <v>49.800000000000004</v>
      </c>
      <c r="N17" s="117">
        <f>SUM(M17)+1.6</f>
        <v>51.400000000000006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54"/>
      <c r="N19" s="115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40"/>
      <c r="N20" s="116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26.6</v>
      </c>
      <c r="I23" s="54">
        <f>SUM(J23)-1.2</f>
        <v>27.8</v>
      </c>
      <c r="J23" s="67">
        <v>29</v>
      </c>
      <c r="K23" s="68">
        <f>SUM(J23)+1.2</f>
        <v>30.2</v>
      </c>
      <c r="L23" s="68">
        <f t="shared" ref="L23:N23" si="3">SUM(K23)+1.2</f>
        <v>31.4</v>
      </c>
      <c r="M23" s="68">
        <f t="shared" si="3"/>
        <v>32.6</v>
      </c>
      <c r="N23" s="69">
        <f t="shared" si="3"/>
        <v>33.800000000000004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79" t="s">
        <v>134</v>
      </c>
      <c r="C25" s="80"/>
      <c r="D25" s="133"/>
      <c r="E25" s="134"/>
      <c r="F25" s="134"/>
      <c r="G25" s="135"/>
      <c r="H25" s="81">
        <f>SUM(I25)-0.3</f>
        <v>4.4000000000000004</v>
      </c>
      <c r="I25" s="81">
        <f>SUM(J25)-0.3</f>
        <v>4.7</v>
      </c>
      <c r="J25" s="42">
        <v>5</v>
      </c>
      <c r="K25" s="40">
        <f>SUM(J25)+0.3</f>
        <v>5.3</v>
      </c>
      <c r="L25" s="40">
        <f t="shared" ref="L25:N25" si="4">SUM(K25)+0.3</f>
        <v>5.6</v>
      </c>
      <c r="M25" s="40">
        <f t="shared" si="4"/>
        <v>5.8999999999999995</v>
      </c>
      <c r="N25" s="44">
        <f t="shared" si="4"/>
        <v>6.1999999999999993</v>
      </c>
    </row>
    <row r="26" spans="1:14" s="1" customFormat="1" ht="14.1" customHeight="1" x14ac:dyDescent="0.3">
      <c r="A26" s="48"/>
      <c r="B26" s="79" t="s">
        <v>142</v>
      </c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54"/>
      <c r="N26" s="56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8"/>
      <c r="N27" s="117"/>
    </row>
    <row r="28" spans="1:14" s="1" customFormat="1" ht="14.1" customHeight="1" thickBot="1" x14ac:dyDescent="0.35">
      <c r="A28" s="78"/>
      <c r="B28" s="79"/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54"/>
      <c r="N28" s="115"/>
    </row>
    <row r="29" spans="1:14" s="1" customFormat="1" ht="14.1" customHeight="1" thickTop="1" x14ac:dyDescent="0.3">
      <c r="A29" s="217">
        <v>14</v>
      </c>
      <c r="B29" s="218" t="s">
        <v>119</v>
      </c>
      <c r="C29" s="219"/>
      <c r="D29" s="220" t="s">
        <v>70</v>
      </c>
      <c r="E29" s="221"/>
      <c r="F29" s="221"/>
      <c r="G29" s="222"/>
      <c r="H29" s="223">
        <f>SUM(I29)-3</f>
        <v>45</v>
      </c>
      <c r="I29" s="224">
        <f>SUM(J29)-3</f>
        <v>48</v>
      </c>
      <c r="J29" s="226">
        <v>51</v>
      </c>
      <c r="K29" s="224">
        <f>SUM(J29)+3</f>
        <v>54</v>
      </c>
      <c r="L29" s="224">
        <f>SUM(K29)+3</f>
        <v>57</v>
      </c>
      <c r="M29" s="224">
        <f>SUM(L29)+3</f>
        <v>60</v>
      </c>
      <c r="N29" s="235">
        <f>SUM(M29)+3</f>
        <v>63</v>
      </c>
    </row>
    <row r="30" spans="1:14" s="1" customFormat="1" ht="14.1" customHeight="1" x14ac:dyDescent="0.3">
      <c r="A30" s="48"/>
      <c r="B30" s="70" t="s">
        <v>87</v>
      </c>
      <c r="C30" s="71"/>
      <c r="D30" s="151" t="s">
        <v>71</v>
      </c>
      <c r="E30" s="152"/>
      <c r="F30" s="152"/>
      <c r="G30" s="153"/>
      <c r="H30" s="45"/>
      <c r="I30" s="40"/>
      <c r="J30" s="42"/>
      <c r="K30" s="40"/>
      <c r="L30" s="40"/>
      <c r="M30" s="40"/>
      <c r="N30" s="116"/>
    </row>
    <row r="31" spans="1:14" s="1" customFormat="1" ht="14.1" customHeight="1" x14ac:dyDescent="0.3">
      <c r="A31" s="48">
        <v>15</v>
      </c>
      <c r="B31" s="65" t="s">
        <v>127</v>
      </c>
      <c r="C31" s="66"/>
      <c r="D31" s="51"/>
      <c r="E31" s="52"/>
      <c r="F31" s="52"/>
      <c r="G31" s="53"/>
      <c r="H31" s="54">
        <f>SUM(I31)-3.5</f>
        <v>69</v>
      </c>
      <c r="I31" s="54">
        <f>SUM(J31)-3.5</f>
        <v>72.5</v>
      </c>
      <c r="J31" s="82">
        <v>76</v>
      </c>
      <c r="K31" s="81">
        <f>SUM(J31)+3.5</f>
        <v>79.5</v>
      </c>
      <c r="L31" s="81">
        <f>SUM(K31)+3.5</f>
        <v>83</v>
      </c>
      <c r="M31" s="81">
        <f>SUM(L31)+3.5</f>
        <v>86.5</v>
      </c>
      <c r="N31" s="139">
        <f>SUM(M31)+3.5</f>
        <v>90</v>
      </c>
    </row>
    <row r="32" spans="1:14" s="1" customFormat="1" ht="14.1" customHeight="1" x14ac:dyDescent="0.3">
      <c r="A32" s="48"/>
      <c r="B32" s="70" t="s">
        <v>128</v>
      </c>
      <c r="C32" s="71"/>
      <c r="D32" s="151"/>
      <c r="E32" s="152"/>
      <c r="F32" s="152"/>
      <c r="G32" s="153"/>
      <c r="H32" s="40"/>
      <c r="I32" s="40"/>
      <c r="J32" s="42"/>
      <c r="K32" s="40"/>
      <c r="L32" s="40"/>
      <c r="M32" s="40"/>
      <c r="N32" s="116"/>
    </row>
    <row r="33" spans="1:14" s="1" customFormat="1" ht="14.1" customHeight="1" x14ac:dyDescent="0.3">
      <c r="A33" s="48">
        <v>16</v>
      </c>
      <c r="B33" s="65" t="s">
        <v>11</v>
      </c>
      <c r="C33" s="66"/>
      <c r="D33" s="62" t="s">
        <v>136</v>
      </c>
      <c r="E33" s="63"/>
      <c r="F33" s="63"/>
      <c r="G33" s="64"/>
      <c r="H33" s="54">
        <f>SUM(I33)-4</f>
        <v>73.900000000000006</v>
      </c>
      <c r="I33" s="54">
        <f>SUM(J33)-4</f>
        <v>77.900000000000006</v>
      </c>
      <c r="J33" s="55">
        <v>81.900000000000006</v>
      </c>
      <c r="K33" s="54">
        <f>SUM(J33)+4</f>
        <v>85.9</v>
      </c>
      <c r="L33" s="54">
        <f>SUM(K33)+4</f>
        <v>89.9</v>
      </c>
      <c r="M33" s="54">
        <f>SUM(L33)+4</f>
        <v>93.9</v>
      </c>
      <c r="N33" s="115">
        <f>SUM(M33)+4</f>
        <v>97.9</v>
      </c>
    </row>
    <row r="34" spans="1:14" s="1" customFormat="1" ht="14.1" customHeight="1" x14ac:dyDescent="0.3">
      <c r="A34" s="48"/>
      <c r="B34" s="70" t="s">
        <v>49</v>
      </c>
      <c r="C34" s="71"/>
      <c r="D34" s="151" t="s">
        <v>100</v>
      </c>
      <c r="E34" s="152"/>
      <c r="F34" s="152"/>
      <c r="G34" s="153"/>
      <c r="H34" s="40"/>
      <c r="I34" s="40"/>
      <c r="J34" s="42"/>
      <c r="K34" s="40"/>
      <c r="L34" s="40"/>
      <c r="M34" s="40"/>
      <c r="N34" s="116"/>
    </row>
    <row r="35" spans="1:14" s="1" customFormat="1" ht="14.1" customHeight="1" x14ac:dyDescent="0.3">
      <c r="A35" s="48">
        <v>17</v>
      </c>
      <c r="B35" s="65" t="s">
        <v>116</v>
      </c>
      <c r="C35" s="66"/>
      <c r="D35" s="62"/>
      <c r="E35" s="63"/>
      <c r="F35" s="63"/>
      <c r="G35" s="64"/>
      <c r="H35" s="60">
        <f>SUM(I35)-0.7</f>
        <v>13.8</v>
      </c>
      <c r="I35" s="54">
        <f>SUM(J35)-0.7</f>
        <v>14.5</v>
      </c>
      <c r="J35" s="55">
        <v>15.2</v>
      </c>
      <c r="K35" s="54">
        <f>SUM(J35)+1.2</f>
        <v>16.399999999999999</v>
      </c>
      <c r="L35" s="54">
        <f>SUM(K35)+0.7</f>
        <v>17.099999999999998</v>
      </c>
      <c r="M35" s="60">
        <f>SUM(L35)+0.7</f>
        <v>17.799999999999997</v>
      </c>
      <c r="N35" s="181">
        <f>SUM(M35)+0.7</f>
        <v>18.499999999999996</v>
      </c>
    </row>
    <row r="36" spans="1:14" s="1" customFormat="1" ht="14.1" customHeight="1" x14ac:dyDescent="0.3">
      <c r="A36" s="48"/>
      <c r="B36" s="70" t="s">
        <v>115</v>
      </c>
      <c r="C36" s="71"/>
      <c r="D36" s="162" t="s">
        <v>131</v>
      </c>
      <c r="E36" s="163"/>
      <c r="F36" s="163"/>
      <c r="G36" s="164"/>
      <c r="H36" s="45"/>
      <c r="I36" s="40"/>
      <c r="J36" s="42"/>
      <c r="K36" s="40"/>
      <c r="L36" s="40"/>
      <c r="M36" s="45"/>
      <c r="N36" s="180"/>
    </row>
    <row r="37" spans="1:14" s="1" customFormat="1" ht="14.1" customHeight="1" x14ac:dyDescent="0.3">
      <c r="A37" s="48">
        <v>18</v>
      </c>
      <c r="B37" s="65" t="s">
        <v>139</v>
      </c>
      <c r="C37" s="66"/>
      <c r="D37" s="62"/>
      <c r="E37" s="63"/>
      <c r="F37" s="63"/>
      <c r="G37" s="64"/>
      <c r="H37" s="60"/>
      <c r="I37" s="54"/>
      <c r="J37" s="55"/>
      <c r="K37" s="54"/>
      <c r="L37" s="54"/>
      <c r="M37" s="60"/>
      <c r="N37" s="181"/>
    </row>
    <row r="38" spans="1:14" s="1" customFormat="1" ht="14.1" customHeight="1" x14ac:dyDescent="0.3">
      <c r="A38" s="48"/>
      <c r="B38" s="70" t="s">
        <v>140</v>
      </c>
      <c r="C38" s="71"/>
      <c r="D38" s="162" t="s">
        <v>141</v>
      </c>
      <c r="E38" s="163"/>
      <c r="F38" s="163"/>
      <c r="G38" s="164"/>
      <c r="H38" s="45"/>
      <c r="I38" s="40"/>
      <c r="J38" s="42"/>
      <c r="K38" s="40"/>
      <c r="L38" s="40"/>
      <c r="M38" s="45"/>
      <c r="N38" s="180"/>
    </row>
    <row r="39" spans="1:14" s="1" customFormat="1" ht="14.1" customHeight="1" x14ac:dyDescent="0.3">
      <c r="A39" s="48">
        <v>19</v>
      </c>
      <c r="B39" s="65" t="s">
        <v>9</v>
      </c>
      <c r="C39" s="66"/>
      <c r="D39" s="62" t="s">
        <v>72</v>
      </c>
      <c r="E39" s="63"/>
      <c r="F39" s="63"/>
      <c r="G39" s="64"/>
      <c r="H39" s="54">
        <f>SUM(I39)-3.2</f>
        <v>29.599999999999998</v>
      </c>
      <c r="I39" s="54">
        <f>SUM(J39)-3.2</f>
        <v>32.799999999999997</v>
      </c>
      <c r="J39" s="55">
        <v>36</v>
      </c>
      <c r="K39" s="54">
        <f>SUM(J39)+2.7</f>
        <v>38.700000000000003</v>
      </c>
      <c r="L39" s="54">
        <f t="shared" ref="L39" si="5">SUM(K39)+2.7</f>
        <v>41.400000000000006</v>
      </c>
      <c r="M39" s="54">
        <f t="shared" ref="M39:N39" si="6">SUM(L39)+2.7</f>
        <v>44.100000000000009</v>
      </c>
      <c r="N39" s="56">
        <f t="shared" si="6"/>
        <v>46.800000000000011</v>
      </c>
    </row>
    <row r="40" spans="1:14" s="1" customFormat="1" ht="14.1" customHeight="1" x14ac:dyDescent="0.3">
      <c r="A40" s="48"/>
      <c r="B40" s="70" t="s">
        <v>50</v>
      </c>
      <c r="C40" s="71"/>
      <c r="D40" s="151" t="s">
        <v>99</v>
      </c>
      <c r="E40" s="152"/>
      <c r="F40" s="152"/>
      <c r="G40" s="153"/>
      <c r="H40" s="40"/>
      <c r="I40" s="40"/>
      <c r="J40" s="42"/>
      <c r="K40" s="40"/>
      <c r="L40" s="40"/>
      <c r="M40" s="40"/>
      <c r="N40" s="44"/>
    </row>
    <row r="41" spans="1:14" s="1" customFormat="1" ht="14.1" customHeight="1" x14ac:dyDescent="0.3">
      <c r="A41" s="48">
        <v>20</v>
      </c>
      <c r="B41" s="65" t="s">
        <v>14</v>
      </c>
      <c r="C41" s="66"/>
      <c r="D41" s="62" t="s">
        <v>15</v>
      </c>
      <c r="E41" s="63"/>
      <c r="F41" s="63"/>
      <c r="G41" s="64"/>
      <c r="H41" s="54">
        <f>SUM(I41)-2</f>
        <v>45.7</v>
      </c>
      <c r="I41" s="54">
        <f>SUM(J41)-2</f>
        <v>47.7</v>
      </c>
      <c r="J41" s="55">
        <v>49.7</v>
      </c>
      <c r="K41" s="54">
        <f>SUM(J41)+2</f>
        <v>51.7</v>
      </c>
      <c r="L41" s="54">
        <f t="shared" ref="L41:N41" si="7">SUM(K41)+2</f>
        <v>53.7</v>
      </c>
      <c r="M41" s="54">
        <f t="shared" si="7"/>
        <v>55.7</v>
      </c>
      <c r="N41" s="56">
        <f t="shared" si="7"/>
        <v>57.7</v>
      </c>
    </row>
    <row r="42" spans="1:14" s="1" customFormat="1" ht="14.1" customHeight="1" x14ac:dyDescent="0.3">
      <c r="A42" s="48"/>
      <c r="B42" s="70" t="s">
        <v>51</v>
      </c>
      <c r="C42" s="71"/>
      <c r="D42" s="46" t="s">
        <v>98</v>
      </c>
      <c r="E42" s="47"/>
      <c r="F42" s="47"/>
      <c r="G42" s="59"/>
      <c r="H42" s="40"/>
      <c r="I42" s="40"/>
      <c r="J42" s="42"/>
      <c r="K42" s="40"/>
      <c r="L42" s="40"/>
      <c r="M42" s="40"/>
      <c r="N42" s="44"/>
    </row>
    <row r="43" spans="1:14" s="1" customFormat="1" ht="14.1" customHeight="1" x14ac:dyDescent="0.3">
      <c r="A43" s="48">
        <v>21</v>
      </c>
      <c r="B43" s="65" t="s">
        <v>16</v>
      </c>
      <c r="C43" s="66"/>
      <c r="D43" s="62" t="s">
        <v>13</v>
      </c>
      <c r="E43" s="63"/>
      <c r="F43" s="63"/>
      <c r="G43" s="64"/>
      <c r="H43" s="60">
        <f>SUM(I43)-1.1</f>
        <v>21.599999999999998</v>
      </c>
      <c r="I43" s="54">
        <f>SUM(J43)-1.1</f>
        <v>22.7</v>
      </c>
      <c r="J43" s="55">
        <v>23.8</v>
      </c>
      <c r="K43" s="54">
        <f>SUM(J43)+1.6</f>
        <v>25.400000000000002</v>
      </c>
      <c r="L43" s="54">
        <f>SUM(K43)+1.1</f>
        <v>26.500000000000004</v>
      </c>
      <c r="M43" s="60">
        <f>SUM(L43)+1.1</f>
        <v>27.600000000000005</v>
      </c>
      <c r="N43" s="181">
        <f>SUM(M43)+1.1</f>
        <v>28.700000000000006</v>
      </c>
    </row>
    <row r="44" spans="1:14" s="1" customFormat="1" ht="14.1" customHeight="1" x14ac:dyDescent="0.3">
      <c r="A44" s="48"/>
      <c r="B44" s="70" t="s">
        <v>57</v>
      </c>
      <c r="C44" s="71"/>
      <c r="D44" s="151" t="s">
        <v>97</v>
      </c>
      <c r="E44" s="152"/>
      <c r="F44" s="152"/>
      <c r="G44" s="153"/>
      <c r="H44" s="45"/>
      <c r="I44" s="40"/>
      <c r="J44" s="42"/>
      <c r="K44" s="40"/>
      <c r="L44" s="40"/>
      <c r="M44" s="45"/>
      <c r="N44" s="180"/>
    </row>
    <row r="45" spans="1:14" s="1" customFormat="1" ht="14.1" customHeight="1" x14ac:dyDescent="0.3">
      <c r="A45" s="48">
        <v>22</v>
      </c>
      <c r="B45" s="65" t="s">
        <v>17</v>
      </c>
      <c r="C45" s="66"/>
      <c r="D45" s="62" t="s">
        <v>13</v>
      </c>
      <c r="E45" s="63"/>
      <c r="F45" s="63"/>
      <c r="G45" s="64"/>
      <c r="H45" s="60">
        <f>SUM(I45)-1.3</f>
        <v>28.799999999999997</v>
      </c>
      <c r="I45" s="54">
        <f>SUM(J45)-1.3</f>
        <v>30.099999999999998</v>
      </c>
      <c r="J45" s="55">
        <v>31.4</v>
      </c>
      <c r="K45" s="54">
        <f>SUM(J45)+1.8</f>
        <v>33.199999999999996</v>
      </c>
      <c r="L45" s="54">
        <f>SUM(K45)+1.3</f>
        <v>34.499999999999993</v>
      </c>
      <c r="M45" s="60">
        <f>SUM(L45)+1.3</f>
        <v>35.79999999999999</v>
      </c>
      <c r="N45" s="181">
        <f>SUM(M45)+1.3</f>
        <v>37.099999999999987</v>
      </c>
    </row>
    <row r="46" spans="1:14" s="1" customFormat="1" ht="14.1" customHeight="1" x14ac:dyDescent="0.3">
      <c r="A46" s="48"/>
      <c r="B46" s="70" t="s">
        <v>56</v>
      </c>
      <c r="C46" s="71"/>
      <c r="D46" s="151" t="s">
        <v>97</v>
      </c>
      <c r="E46" s="152"/>
      <c r="F46" s="152"/>
      <c r="G46" s="153"/>
      <c r="H46" s="45"/>
      <c r="I46" s="40"/>
      <c r="J46" s="42"/>
      <c r="K46" s="40"/>
      <c r="L46" s="40"/>
      <c r="M46" s="45"/>
      <c r="N46" s="180"/>
    </row>
    <row r="47" spans="1:14" s="1" customFormat="1" ht="14.1" customHeight="1" x14ac:dyDescent="0.3">
      <c r="A47" s="48">
        <v>23</v>
      </c>
      <c r="B47" s="65" t="s">
        <v>18</v>
      </c>
      <c r="C47" s="66"/>
      <c r="D47" s="62" t="s">
        <v>19</v>
      </c>
      <c r="E47" s="63"/>
      <c r="F47" s="63"/>
      <c r="G47" s="64"/>
      <c r="H47" s="54">
        <f>SUM(I47)-2.7</f>
        <v>48.3</v>
      </c>
      <c r="I47" s="54">
        <f>SUM(J47)-2.7</f>
        <v>51</v>
      </c>
      <c r="J47" s="55">
        <v>53.7</v>
      </c>
      <c r="K47" s="54">
        <f>SUM(J47)+2.6</f>
        <v>56.300000000000004</v>
      </c>
      <c r="L47" s="54">
        <f>SUM(K47)+2.6</f>
        <v>58.900000000000006</v>
      </c>
      <c r="M47" s="54">
        <f>SUM(L47)+2.6</f>
        <v>61.500000000000007</v>
      </c>
      <c r="N47" s="115">
        <f>SUM(M47)+2.6</f>
        <v>64.100000000000009</v>
      </c>
    </row>
    <row r="48" spans="1:14" s="1" customFormat="1" ht="14.1" customHeight="1" x14ac:dyDescent="0.3">
      <c r="A48" s="48"/>
      <c r="B48" s="70" t="s">
        <v>55</v>
      </c>
      <c r="C48" s="71"/>
      <c r="D48" s="151" t="s">
        <v>96</v>
      </c>
      <c r="E48" s="152"/>
      <c r="F48" s="152"/>
      <c r="G48" s="153"/>
      <c r="H48" s="40"/>
      <c r="I48" s="40"/>
      <c r="J48" s="42"/>
      <c r="K48" s="40"/>
      <c r="L48" s="40"/>
      <c r="M48" s="40"/>
      <c r="N48" s="116"/>
    </row>
    <row r="49" spans="1:14" s="1" customFormat="1" ht="14.1" customHeight="1" x14ac:dyDescent="0.3">
      <c r="A49" s="48">
        <v>24</v>
      </c>
      <c r="B49" s="65" t="s">
        <v>20</v>
      </c>
      <c r="C49" s="66"/>
      <c r="D49" s="62" t="s">
        <v>21</v>
      </c>
      <c r="E49" s="63"/>
      <c r="F49" s="63"/>
      <c r="G49" s="64"/>
      <c r="H49" s="54">
        <f>SUM(I49)-2.2</f>
        <v>9.8000000000000007</v>
      </c>
      <c r="I49" s="54">
        <f>SUM(J49)-2.2</f>
        <v>12</v>
      </c>
      <c r="J49" s="55">
        <v>14.2</v>
      </c>
      <c r="K49" s="54">
        <f>SUM(J49)+1.2</f>
        <v>15.399999999999999</v>
      </c>
      <c r="L49" s="54">
        <f t="shared" ref="L49:N49" si="8">SUM(K49)+1.7</f>
        <v>17.099999999999998</v>
      </c>
      <c r="M49" s="54">
        <f t="shared" si="8"/>
        <v>18.799999999999997</v>
      </c>
      <c r="N49" s="56">
        <f t="shared" si="8"/>
        <v>20.499999999999996</v>
      </c>
    </row>
    <row r="50" spans="1:14" s="1" customFormat="1" ht="14.1" customHeight="1" x14ac:dyDescent="0.3">
      <c r="A50" s="48"/>
      <c r="B50" s="70" t="s">
        <v>54</v>
      </c>
      <c r="C50" s="71"/>
      <c r="D50" s="151" t="s">
        <v>95</v>
      </c>
      <c r="E50" s="152"/>
      <c r="F50" s="152"/>
      <c r="G50" s="153"/>
      <c r="H50" s="40"/>
      <c r="I50" s="40"/>
      <c r="J50" s="42"/>
      <c r="K50" s="40"/>
      <c r="L50" s="40"/>
      <c r="M50" s="40"/>
      <c r="N50" s="44"/>
    </row>
    <row r="51" spans="1:14" s="1" customFormat="1" ht="14.1" customHeight="1" x14ac:dyDescent="0.3">
      <c r="A51" s="48">
        <v>25</v>
      </c>
      <c r="B51" s="65" t="s">
        <v>94</v>
      </c>
      <c r="C51" s="66"/>
      <c r="D51" s="62" t="s">
        <v>92</v>
      </c>
      <c r="E51" s="63"/>
      <c r="F51" s="63"/>
      <c r="G51" s="64"/>
      <c r="H51" s="54"/>
      <c r="I51" s="54"/>
      <c r="J51" s="55"/>
      <c r="K51" s="54"/>
      <c r="L51" s="54"/>
      <c r="M51" s="54"/>
      <c r="N51" s="115"/>
    </row>
    <row r="52" spans="1:14" s="1" customFormat="1" ht="14.1" customHeight="1" x14ac:dyDescent="0.3">
      <c r="A52" s="48"/>
      <c r="B52" s="70" t="s">
        <v>93</v>
      </c>
      <c r="C52" s="71"/>
      <c r="D52" s="151" t="s">
        <v>92</v>
      </c>
      <c r="E52" s="152"/>
      <c r="F52" s="152"/>
      <c r="G52" s="153"/>
      <c r="H52" s="40"/>
      <c r="I52" s="40"/>
      <c r="J52" s="42"/>
      <c r="K52" s="40"/>
      <c r="L52" s="40"/>
      <c r="M52" s="40"/>
      <c r="N52" s="116"/>
    </row>
    <row r="53" spans="1:14" s="1" customFormat="1" ht="14.1" customHeight="1" x14ac:dyDescent="0.3">
      <c r="A53" s="48">
        <v>26</v>
      </c>
      <c r="B53" s="65" t="s">
        <v>91</v>
      </c>
      <c r="C53" s="66"/>
      <c r="D53" s="62" t="s">
        <v>90</v>
      </c>
      <c r="E53" s="63"/>
      <c r="F53" s="63"/>
      <c r="G53" s="64"/>
      <c r="H53" s="54"/>
      <c r="I53" s="54"/>
      <c r="J53" s="55"/>
      <c r="K53" s="54"/>
      <c r="L53" s="54"/>
      <c r="M53" s="54"/>
      <c r="N53" s="115"/>
    </row>
    <row r="54" spans="1:14" s="1" customFormat="1" ht="14.1" customHeight="1" x14ac:dyDescent="0.3">
      <c r="A54" s="48"/>
      <c r="B54" s="70" t="s">
        <v>89</v>
      </c>
      <c r="C54" s="71"/>
      <c r="D54" s="151" t="s">
        <v>130</v>
      </c>
      <c r="E54" s="152"/>
      <c r="F54" s="152"/>
      <c r="G54" s="153"/>
      <c r="H54" s="40"/>
      <c r="I54" s="40"/>
      <c r="J54" s="42"/>
      <c r="K54" s="40"/>
      <c r="L54" s="40"/>
      <c r="M54" s="40"/>
      <c r="N54" s="116"/>
    </row>
    <row r="55" spans="1:14" s="1" customFormat="1" ht="14.1" customHeight="1" x14ac:dyDescent="0.3">
      <c r="A55" s="48">
        <v>27</v>
      </c>
      <c r="B55" s="65" t="s">
        <v>114</v>
      </c>
      <c r="C55" s="66"/>
      <c r="D55" s="62" t="s">
        <v>22</v>
      </c>
      <c r="E55" s="63"/>
      <c r="F55" s="63"/>
      <c r="G55" s="64"/>
      <c r="H55" s="54">
        <f>SUM(I55)-0.2</f>
        <v>4.6999999999999993</v>
      </c>
      <c r="I55" s="54">
        <f>SUM(J55)-0.2</f>
        <v>4.8999999999999995</v>
      </c>
      <c r="J55" s="67">
        <v>5.0999999999999996</v>
      </c>
      <c r="K55" s="68">
        <f>SUM(J55)+0.2</f>
        <v>5.3</v>
      </c>
      <c r="L55" s="68">
        <f>SUM(K55)+0.2</f>
        <v>5.5</v>
      </c>
      <c r="M55" s="68">
        <f>SUM(L55)+0.2</f>
        <v>5.7</v>
      </c>
      <c r="N55" s="117">
        <f>SUM(M55)+0.2</f>
        <v>5.9</v>
      </c>
    </row>
    <row r="56" spans="1:14" s="1" customFormat="1" ht="14.1" customHeight="1" x14ac:dyDescent="0.3">
      <c r="A56" s="48"/>
      <c r="B56" s="70" t="s">
        <v>53</v>
      </c>
      <c r="C56" s="71"/>
      <c r="D56" s="151" t="s">
        <v>113</v>
      </c>
      <c r="E56" s="152"/>
      <c r="F56" s="152"/>
      <c r="G56" s="153"/>
      <c r="H56" s="40"/>
      <c r="I56" s="40"/>
      <c r="J56" s="67"/>
      <c r="K56" s="68"/>
      <c r="L56" s="68"/>
      <c r="M56" s="68"/>
      <c r="N56" s="117"/>
    </row>
    <row r="57" spans="1:14" s="1" customFormat="1" ht="14.1" customHeight="1" x14ac:dyDescent="0.3">
      <c r="A57" s="48">
        <v>28</v>
      </c>
      <c r="B57" s="65" t="s">
        <v>112</v>
      </c>
      <c r="C57" s="66"/>
      <c r="D57" s="62" t="s">
        <v>23</v>
      </c>
      <c r="E57" s="63"/>
      <c r="F57" s="63"/>
      <c r="G57" s="64"/>
      <c r="H57" s="54">
        <f>SUM(I57)-0.6</f>
        <v>8.2000000000000011</v>
      </c>
      <c r="I57" s="54">
        <f>SUM(J57)-0.6</f>
        <v>8.8000000000000007</v>
      </c>
      <c r="J57" s="67">
        <v>9.4</v>
      </c>
      <c r="K57" s="68">
        <f>SUM(J57)+0.6</f>
        <v>10</v>
      </c>
      <c r="L57" s="68">
        <f>SUM(K57)+0.6</f>
        <v>10.6</v>
      </c>
      <c r="M57" s="68">
        <f>SUM(L57)+0.6</f>
        <v>11.2</v>
      </c>
      <c r="N57" s="117">
        <f>SUM(M57)+0.6</f>
        <v>11.799999999999999</v>
      </c>
    </row>
    <row r="58" spans="1:14" s="1" customFormat="1" ht="14.1" customHeight="1" x14ac:dyDescent="0.3">
      <c r="A58" s="48"/>
      <c r="B58" s="70" t="s">
        <v>52</v>
      </c>
      <c r="C58" s="71"/>
      <c r="D58" s="151" t="s">
        <v>111</v>
      </c>
      <c r="E58" s="152"/>
      <c r="F58" s="152"/>
      <c r="G58" s="153"/>
      <c r="H58" s="40"/>
      <c r="I58" s="40"/>
      <c r="J58" s="67"/>
      <c r="K58" s="68"/>
      <c r="L58" s="68"/>
      <c r="M58" s="68"/>
      <c r="N58" s="117"/>
    </row>
    <row r="59" spans="1:14" s="1" customFormat="1" ht="14.1" customHeight="1" x14ac:dyDescent="0.3">
      <c r="A59" s="48">
        <v>29</v>
      </c>
      <c r="B59" s="65" t="s">
        <v>178</v>
      </c>
      <c r="C59" s="66"/>
      <c r="D59" s="61"/>
      <c r="E59" s="61"/>
      <c r="F59" s="61"/>
      <c r="G59" s="61"/>
      <c r="H59" s="105">
        <f>SUM(I59)-3</f>
        <v>77</v>
      </c>
      <c r="I59" s="81">
        <f>SUM(J59)-3</f>
        <v>80</v>
      </c>
      <c r="J59" s="82">
        <v>83</v>
      </c>
      <c r="K59" s="81">
        <f>SUM(J59)+3</f>
        <v>86</v>
      </c>
      <c r="L59" s="81">
        <f>SUM(K59)+3</f>
        <v>89</v>
      </c>
      <c r="M59" s="81">
        <f>SUM(L59)+3</f>
        <v>92</v>
      </c>
      <c r="N59" s="139">
        <f>SUM(M59)+3</f>
        <v>95</v>
      </c>
    </row>
    <row r="60" spans="1:14" s="1" customFormat="1" ht="14.1" customHeight="1" x14ac:dyDescent="0.3">
      <c r="A60" s="48"/>
      <c r="B60" s="57" t="s">
        <v>179</v>
      </c>
      <c r="C60" s="58"/>
      <c r="D60" s="46" t="s">
        <v>180</v>
      </c>
      <c r="E60" s="47"/>
      <c r="F60" s="47"/>
      <c r="G60" s="59"/>
      <c r="H60" s="45"/>
      <c r="I60" s="40"/>
      <c r="J60" s="42"/>
      <c r="K60" s="40"/>
      <c r="L60" s="40"/>
      <c r="M60" s="40"/>
      <c r="N60" s="116"/>
    </row>
    <row r="61" spans="1:14" s="1" customFormat="1" ht="14.1" customHeight="1" x14ac:dyDescent="0.3">
      <c r="A61" s="48">
        <v>30</v>
      </c>
      <c r="B61" s="65"/>
      <c r="C61" s="66"/>
      <c r="D61" s="61"/>
      <c r="E61" s="61"/>
      <c r="F61" s="61"/>
      <c r="G61" s="61"/>
      <c r="H61" s="54"/>
      <c r="I61" s="54"/>
      <c r="J61" s="67"/>
      <c r="K61" s="68"/>
      <c r="L61" s="68"/>
      <c r="M61" s="68"/>
      <c r="N61" s="117"/>
    </row>
    <row r="62" spans="1:14" s="1" customFormat="1" ht="14.1" customHeight="1" thickBot="1" x14ac:dyDescent="0.35">
      <c r="A62" s="87"/>
      <c r="B62" s="141"/>
      <c r="C62" s="141"/>
      <c r="D62" s="98"/>
      <c r="E62" s="99"/>
      <c r="F62" s="99"/>
      <c r="G62" s="100"/>
      <c r="H62" s="91"/>
      <c r="I62" s="91"/>
      <c r="J62" s="92"/>
      <c r="K62" s="93"/>
      <c r="L62" s="93"/>
      <c r="M62" s="93"/>
      <c r="N62" s="118"/>
    </row>
    <row r="63" spans="1:14" ht="14.1" customHeight="1" x14ac:dyDescent="0.3"/>
    <row r="64" spans="1:14" ht="14.1" customHeight="1" x14ac:dyDescent="0.3"/>
    <row r="65" ht="14.1" customHeight="1" x14ac:dyDescent="0.3"/>
    <row r="66" ht="14.1" customHeight="1" x14ac:dyDescent="0.3"/>
  </sheetData>
  <mergeCells count="36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53:K54"/>
    <mergeCell ref="L53:L54"/>
    <mergeCell ref="M53:M54"/>
    <mergeCell ref="N53:N54"/>
    <mergeCell ref="B54:C54"/>
    <mergeCell ref="D54:G54"/>
    <mergeCell ref="A53:A54"/>
    <mergeCell ref="B53:C53"/>
    <mergeCell ref="D53:G53"/>
    <mergeCell ref="H53:H54"/>
    <mergeCell ref="I53:I54"/>
    <mergeCell ref="J53:J54"/>
    <mergeCell ref="K55:K56"/>
    <mergeCell ref="L55:L56"/>
    <mergeCell ref="M55:M56"/>
    <mergeCell ref="N55:N56"/>
    <mergeCell ref="B56:C56"/>
    <mergeCell ref="D56:G56"/>
    <mergeCell ref="A55:A56"/>
    <mergeCell ref="B55:C55"/>
    <mergeCell ref="D55:G55"/>
    <mergeCell ref="H55:H56"/>
    <mergeCell ref="I55:I56"/>
    <mergeCell ref="J55:J56"/>
    <mergeCell ref="K57:K58"/>
    <mergeCell ref="L57:L58"/>
    <mergeCell ref="M57:M58"/>
    <mergeCell ref="N57:N58"/>
    <mergeCell ref="B58:C58"/>
    <mergeCell ref="D58:G58"/>
    <mergeCell ref="A57:A58"/>
    <mergeCell ref="B57:C57"/>
    <mergeCell ref="D57:G57"/>
    <mergeCell ref="H57:H58"/>
    <mergeCell ref="I57:I58"/>
    <mergeCell ref="J57:J58"/>
    <mergeCell ref="K59:K60"/>
    <mergeCell ref="L59:L60"/>
    <mergeCell ref="M59:M60"/>
    <mergeCell ref="N59:N60"/>
    <mergeCell ref="B60:C60"/>
    <mergeCell ref="D60:G60"/>
    <mergeCell ref="A59:A60"/>
    <mergeCell ref="B59:C59"/>
    <mergeCell ref="D59:G59"/>
    <mergeCell ref="H59:H60"/>
    <mergeCell ref="I59:I60"/>
    <mergeCell ref="J59:J60"/>
    <mergeCell ref="K61:K62"/>
    <mergeCell ref="L61:L62"/>
    <mergeCell ref="M61:M62"/>
    <mergeCell ref="N61:N62"/>
    <mergeCell ref="B62:C62"/>
    <mergeCell ref="D62:G62"/>
    <mergeCell ref="A61:A62"/>
    <mergeCell ref="B61:C61"/>
    <mergeCell ref="D61:G61"/>
    <mergeCell ref="H61:H62"/>
    <mergeCell ref="I61:I62"/>
    <mergeCell ref="J61:J6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2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12E2-5F8F-427D-905E-AC07B5EB755A}">
  <sheetPr>
    <tabColor rgb="FFFF0000"/>
    <pageSetUpPr fitToPage="1"/>
  </sheetPr>
  <dimension ref="A1:M66"/>
  <sheetViews>
    <sheetView zoomScale="110" zoomScaleNormal="110" workbookViewId="0">
      <selection activeCell="P32" sqref="P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773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SUM(I3)-2.8</f>
        <v>22.4</v>
      </c>
      <c r="I3" s="54">
        <f>SUM(J3)-2.8</f>
        <v>25.2</v>
      </c>
      <c r="J3" s="55">
        <v>28</v>
      </c>
      <c r="K3" s="54">
        <f>SUM(J3)+2.3</f>
        <v>30.3</v>
      </c>
      <c r="L3" s="54">
        <f>SUM(K3)+2.3</f>
        <v>32.6</v>
      </c>
      <c r="M3" s="43">
        <f>SUM(L3)+2.3</f>
        <v>34.9</v>
      </c>
    </row>
    <row r="4" spans="1:13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22.4</v>
      </c>
      <c r="I5" s="54">
        <f>SUM(J5)-1.8</f>
        <v>24.2</v>
      </c>
      <c r="J5" s="55">
        <v>26</v>
      </c>
      <c r="K5" s="54">
        <f>SUM(J5)+1.6</f>
        <v>27.6</v>
      </c>
      <c r="L5" s="54">
        <f t="shared" ref="L5:M5" si="0">SUM(K5)+1.6</f>
        <v>29.200000000000003</v>
      </c>
      <c r="M5" s="56">
        <f t="shared" si="0"/>
        <v>30.800000000000004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31.700000000000003</v>
      </c>
      <c r="I7" s="54">
        <f>SUM(J7)-2.25</f>
        <v>33.950000000000003</v>
      </c>
      <c r="J7" s="55">
        <v>36.200000000000003</v>
      </c>
      <c r="K7" s="54">
        <f>SUM(J7)+2</f>
        <v>38.200000000000003</v>
      </c>
      <c r="L7" s="54">
        <f>SUM(K7)+2</f>
        <v>40.200000000000003</v>
      </c>
      <c r="M7" s="56">
        <f>SUM(L7)+2</f>
        <v>42.2</v>
      </c>
    </row>
    <row r="8" spans="1:13" s="1" customFormat="1" ht="14.1" customHeight="1" x14ac:dyDescent="0.3">
      <c r="A8" s="48"/>
      <c r="B8" s="45" t="s">
        <v>40</v>
      </c>
      <c r="C8" s="45"/>
      <c r="D8" s="46" t="s">
        <v>777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SUM(I9)-2.3</f>
        <v>32.400000000000006</v>
      </c>
      <c r="I9" s="54">
        <f>SUM(J9)-2.3</f>
        <v>34.700000000000003</v>
      </c>
      <c r="J9" s="55">
        <v>37</v>
      </c>
      <c r="K9" s="54">
        <f>SUM(J9)+2.1</f>
        <v>39.1</v>
      </c>
      <c r="L9" s="54">
        <f>SUM(K9)+2.1</f>
        <v>41.2</v>
      </c>
      <c r="M9" s="56">
        <f>SUM(L9)+2.1</f>
        <v>43.300000000000004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776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13.399999999999999</v>
      </c>
      <c r="I11" s="60">
        <f>SUM(J11)-0.8</f>
        <v>14.2</v>
      </c>
      <c r="J11" s="132">
        <v>15</v>
      </c>
      <c r="K11" s="130">
        <f>SUM(J11)+0.8</f>
        <v>15.8</v>
      </c>
      <c r="L11" s="130">
        <f>SUM(K11)+0.8</f>
        <v>16.600000000000001</v>
      </c>
      <c r="M11" s="69">
        <f>SUM(L11)+0.8</f>
        <v>17.400000000000002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69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17.299999999999997</v>
      </c>
      <c r="I13" s="54">
        <f>SUM(J13)-0.6</f>
        <v>17.899999999999999</v>
      </c>
      <c r="J13" s="67">
        <v>18.5</v>
      </c>
      <c r="K13" s="68">
        <f>SUM(J13)+0.6</f>
        <v>19.100000000000001</v>
      </c>
      <c r="L13" s="68">
        <f>SUM(K13)+0.6</f>
        <v>19.700000000000003</v>
      </c>
      <c r="M13" s="69">
        <f>SUM(L13)+0.6</f>
        <v>20.300000000000004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357</v>
      </c>
      <c r="C15" s="60"/>
      <c r="D15" s="61" t="s">
        <v>359</v>
      </c>
      <c r="E15" s="61"/>
      <c r="F15" s="61"/>
      <c r="G15" s="61"/>
      <c r="H15" s="54">
        <f>SUM(I15)-0.2</f>
        <v>5.3</v>
      </c>
      <c r="I15" s="54">
        <f>SUM(J15)-0.2</f>
        <v>5.5</v>
      </c>
      <c r="J15" s="67">
        <v>5.7</v>
      </c>
      <c r="K15" s="68">
        <f>SUM(J15)+0.2</f>
        <v>5.9</v>
      </c>
      <c r="L15" s="68">
        <f>SUM(K15)+0.2</f>
        <v>6.1000000000000005</v>
      </c>
      <c r="M15" s="69">
        <f>SUM(L15)+0.2</f>
        <v>6.3000000000000007</v>
      </c>
    </row>
    <row r="16" spans="1:13" s="1" customFormat="1" ht="14.1" customHeight="1" x14ac:dyDescent="0.3">
      <c r="A16" s="48"/>
      <c r="B16" s="45" t="s">
        <v>453</v>
      </c>
      <c r="C16" s="45"/>
      <c r="D16" s="46" t="s">
        <v>774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7.8</v>
      </c>
      <c r="I17" s="54">
        <f>SUM(J17)-0.3</f>
        <v>8.1</v>
      </c>
      <c r="J17" s="67">
        <v>8.4</v>
      </c>
      <c r="K17" s="68">
        <f>SUM(J17)+0.3</f>
        <v>8.7000000000000011</v>
      </c>
      <c r="L17" s="68">
        <f>SUM(K17)+0.3</f>
        <v>9.0000000000000018</v>
      </c>
      <c r="M17" s="69">
        <f>SUM(L17)+0.3</f>
        <v>9.3000000000000025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775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56"/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/>
      <c r="C25" s="66"/>
      <c r="D25" s="88"/>
      <c r="E25" s="89"/>
      <c r="F25" s="89"/>
      <c r="G25" s="90"/>
      <c r="H25" s="54"/>
      <c r="I25" s="54"/>
      <c r="J25" s="67"/>
      <c r="K25" s="68"/>
      <c r="L25" s="68"/>
      <c r="M25" s="69"/>
    </row>
    <row r="26" spans="1:13" s="1" customFormat="1" ht="14.1" customHeight="1" thickBot="1" x14ac:dyDescent="0.35">
      <c r="A26" s="78"/>
      <c r="B26" s="79"/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56"/>
    </row>
    <row r="27" spans="1:13" s="1" customFormat="1" ht="14.1" customHeight="1" thickTop="1" x14ac:dyDescent="0.3">
      <c r="A27" s="217">
        <v>13</v>
      </c>
      <c r="B27" s="218" t="s">
        <v>119</v>
      </c>
      <c r="C27" s="219"/>
      <c r="D27" s="220" t="s">
        <v>70</v>
      </c>
      <c r="E27" s="221"/>
      <c r="F27" s="221"/>
      <c r="G27" s="222"/>
      <c r="H27" s="223">
        <f>SUM(I27)-3</f>
        <v>45</v>
      </c>
      <c r="I27" s="224">
        <f>SUM(J27)-3</f>
        <v>48</v>
      </c>
      <c r="J27" s="226">
        <v>51</v>
      </c>
      <c r="K27" s="224">
        <f>SUM(J27)+3</f>
        <v>54</v>
      </c>
      <c r="L27" s="224">
        <f>SUM(K27)+3</f>
        <v>57</v>
      </c>
      <c r="M27" s="225">
        <f>SUM(L27)+3</f>
        <v>60</v>
      </c>
    </row>
    <row r="28" spans="1:13" s="1" customFormat="1" ht="14.1" customHeight="1" x14ac:dyDescent="0.3">
      <c r="A28" s="48"/>
      <c r="B28" s="70" t="s">
        <v>87</v>
      </c>
      <c r="C28" s="71"/>
      <c r="D28" s="151" t="s">
        <v>71</v>
      </c>
      <c r="E28" s="152"/>
      <c r="F28" s="152"/>
      <c r="G28" s="153"/>
      <c r="H28" s="45"/>
      <c r="I28" s="40"/>
      <c r="J28" s="42"/>
      <c r="K28" s="40"/>
      <c r="L28" s="40"/>
      <c r="M28" s="44"/>
    </row>
    <row r="29" spans="1:13" s="1" customFormat="1" ht="14.1" customHeight="1" x14ac:dyDescent="0.3">
      <c r="A29" s="48">
        <v>14</v>
      </c>
      <c r="B29" s="65" t="s">
        <v>127</v>
      </c>
      <c r="C29" s="66"/>
      <c r="D29" s="51"/>
      <c r="E29" s="52"/>
      <c r="F29" s="52"/>
      <c r="G29" s="53"/>
      <c r="H29" s="54">
        <f>SUM(I29)-4.5</f>
        <v>63</v>
      </c>
      <c r="I29" s="54">
        <f>SUM(J29)-4.5</f>
        <v>67.5</v>
      </c>
      <c r="J29" s="82">
        <v>72</v>
      </c>
      <c r="K29" s="81">
        <f>SUM(J29)+4.5</f>
        <v>76.5</v>
      </c>
      <c r="L29" s="81">
        <f t="shared" ref="L29:M29" si="1">SUM(K29)+4.5</f>
        <v>81</v>
      </c>
      <c r="M29" s="83">
        <f t="shared" si="1"/>
        <v>85.5</v>
      </c>
    </row>
    <row r="30" spans="1:13" s="1" customFormat="1" ht="14.1" customHeight="1" x14ac:dyDescent="0.3">
      <c r="A30" s="48"/>
      <c r="B30" s="70" t="s">
        <v>128</v>
      </c>
      <c r="C30" s="71"/>
      <c r="D30" s="151"/>
      <c r="E30" s="152"/>
      <c r="F30" s="152"/>
      <c r="G30" s="153"/>
      <c r="H30" s="40"/>
      <c r="I30" s="40"/>
      <c r="J30" s="42"/>
      <c r="K30" s="40"/>
      <c r="L30" s="40"/>
      <c r="M30" s="44"/>
    </row>
    <row r="31" spans="1:13" s="1" customFormat="1" ht="14.1" customHeight="1" x14ac:dyDescent="0.3">
      <c r="A31" s="48">
        <v>15</v>
      </c>
      <c r="B31" s="65" t="s">
        <v>11</v>
      </c>
      <c r="C31" s="66"/>
      <c r="D31" s="62" t="s">
        <v>136</v>
      </c>
      <c r="E31" s="63"/>
      <c r="F31" s="63"/>
      <c r="G31" s="64"/>
      <c r="H31" s="54">
        <f>SUM(I31)-5</f>
        <v>66</v>
      </c>
      <c r="I31" s="54">
        <f>SUM(J31)-5</f>
        <v>71</v>
      </c>
      <c r="J31" s="55">
        <v>76</v>
      </c>
      <c r="K31" s="54">
        <f>SUM(J31)+5</f>
        <v>81</v>
      </c>
      <c r="L31" s="54">
        <f t="shared" ref="L31:M31" si="2">SUM(K31)+5</f>
        <v>86</v>
      </c>
      <c r="M31" s="56">
        <f t="shared" si="2"/>
        <v>91</v>
      </c>
    </row>
    <row r="32" spans="1:13" s="1" customFormat="1" ht="14.1" customHeight="1" x14ac:dyDescent="0.3">
      <c r="A32" s="48"/>
      <c r="B32" s="70" t="s">
        <v>49</v>
      </c>
      <c r="C32" s="71"/>
      <c r="D32" s="151" t="s">
        <v>100</v>
      </c>
      <c r="E32" s="152"/>
      <c r="F32" s="152"/>
      <c r="G32" s="153"/>
      <c r="H32" s="40"/>
      <c r="I32" s="40"/>
      <c r="J32" s="42"/>
      <c r="K32" s="40"/>
      <c r="L32" s="40"/>
      <c r="M32" s="44"/>
    </row>
    <row r="33" spans="1:13" s="1" customFormat="1" ht="14.1" customHeight="1" x14ac:dyDescent="0.3">
      <c r="A33" s="48">
        <v>16</v>
      </c>
      <c r="B33" s="65" t="s">
        <v>116</v>
      </c>
      <c r="C33" s="66"/>
      <c r="D33" s="62"/>
      <c r="E33" s="63"/>
      <c r="F33" s="63"/>
      <c r="G33" s="64"/>
      <c r="H33" s="60">
        <f>SUM(I33)-0.7</f>
        <v>11.400000000000002</v>
      </c>
      <c r="I33" s="54">
        <f>SUM(J33)-0.7</f>
        <v>12.100000000000001</v>
      </c>
      <c r="J33" s="55">
        <v>12.8</v>
      </c>
      <c r="K33" s="54">
        <f>SUM(J33)+1.2</f>
        <v>14</v>
      </c>
      <c r="L33" s="54">
        <f>SUM(K33)+0.7</f>
        <v>14.7</v>
      </c>
      <c r="M33" s="56">
        <f>SUM(L33)+0.7</f>
        <v>15.399999999999999</v>
      </c>
    </row>
    <row r="34" spans="1:13" s="1" customFormat="1" ht="14.1" customHeight="1" x14ac:dyDescent="0.3">
      <c r="A34" s="48"/>
      <c r="B34" s="70" t="s">
        <v>115</v>
      </c>
      <c r="C34" s="71"/>
      <c r="D34" s="162" t="s">
        <v>131</v>
      </c>
      <c r="E34" s="163"/>
      <c r="F34" s="163"/>
      <c r="G34" s="164"/>
      <c r="H34" s="45"/>
      <c r="I34" s="40"/>
      <c r="J34" s="42"/>
      <c r="K34" s="40"/>
      <c r="L34" s="40"/>
      <c r="M34" s="44"/>
    </row>
    <row r="35" spans="1:13" s="1" customFormat="1" ht="14.1" customHeight="1" x14ac:dyDescent="0.3">
      <c r="A35" s="48">
        <v>17</v>
      </c>
      <c r="B35" s="65" t="s">
        <v>139</v>
      </c>
      <c r="C35" s="66"/>
      <c r="D35" s="62"/>
      <c r="E35" s="63"/>
      <c r="F35" s="63"/>
      <c r="G35" s="64"/>
      <c r="H35" s="60"/>
      <c r="I35" s="54"/>
      <c r="J35" s="55"/>
      <c r="K35" s="54"/>
      <c r="L35" s="54"/>
      <c r="M35" s="56"/>
    </row>
    <row r="36" spans="1:13" s="1" customFormat="1" ht="14.1" customHeight="1" x14ac:dyDescent="0.3">
      <c r="A36" s="48"/>
      <c r="B36" s="70" t="s">
        <v>140</v>
      </c>
      <c r="C36" s="71"/>
      <c r="D36" s="162" t="s">
        <v>141</v>
      </c>
      <c r="E36" s="163"/>
      <c r="F36" s="163"/>
      <c r="G36" s="164"/>
      <c r="H36" s="45"/>
      <c r="I36" s="40"/>
      <c r="J36" s="42"/>
      <c r="K36" s="40"/>
      <c r="L36" s="40"/>
      <c r="M36" s="44"/>
    </row>
    <row r="37" spans="1:13" s="1" customFormat="1" ht="14.1" customHeight="1" x14ac:dyDescent="0.3">
      <c r="A37" s="48">
        <v>18</v>
      </c>
      <c r="B37" s="65" t="s">
        <v>9</v>
      </c>
      <c r="C37" s="66"/>
      <c r="D37" s="62" t="s">
        <v>72</v>
      </c>
      <c r="E37" s="63"/>
      <c r="F37" s="63"/>
      <c r="G37" s="64"/>
      <c r="H37" s="54">
        <f>SUM(I37)-6</f>
        <v>48</v>
      </c>
      <c r="I37" s="54">
        <f>SUM(J37)-6</f>
        <v>54</v>
      </c>
      <c r="J37" s="55">
        <v>60</v>
      </c>
      <c r="K37" s="54">
        <f>SUM(J37)+5</f>
        <v>65</v>
      </c>
      <c r="L37" s="54">
        <f>SUM(K37)+5</f>
        <v>70</v>
      </c>
      <c r="M37" s="56">
        <f>SUM(L37)+5</f>
        <v>75</v>
      </c>
    </row>
    <row r="38" spans="1:13" s="1" customFormat="1" ht="14.1" customHeight="1" x14ac:dyDescent="0.3">
      <c r="A38" s="48"/>
      <c r="B38" s="70" t="s">
        <v>50</v>
      </c>
      <c r="C38" s="71"/>
      <c r="D38" s="151" t="s">
        <v>99</v>
      </c>
      <c r="E38" s="152"/>
      <c r="F38" s="152"/>
      <c r="G38" s="153"/>
      <c r="H38" s="40"/>
      <c r="I38" s="40"/>
      <c r="J38" s="42"/>
      <c r="K38" s="40"/>
      <c r="L38" s="40"/>
      <c r="M38" s="44"/>
    </row>
    <row r="39" spans="1:13" s="1" customFormat="1" ht="14.1" customHeight="1" x14ac:dyDescent="0.3">
      <c r="A39" s="48">
        <v>19</v>
      </c>
      <c r="B39" s="65" t="s">
        <v>14</v>
      </c>
      <c r="C39" s="66"/>
      <c r="D39" s="62" t="s">
        <v>15</v>
      </c>
      <c r="E39" s="63"/>
      <c r="F39" s="63"/>
      <c r="G39" s="64"/>
      <c r="H39" s="54">
        <f>SUM(I39)-2.2</f>
        <v>41.599999999999994</v>
      </c>
      <c r="I39" s="54">
        <f>SUM(J39)-2.2</f>
        <v>43.8</v>
      </c>
      <c r="J39" s="55">
        <v>46</v>
      </c>
      <c r="K39" s="54">
        <f>SUM(J39)+2.2</f>
        <v>48.2</v>
      </c>
      <c r="L39" s="54">
        <f>SUM(K39)+2.2</f>
        <v>50.400000000000006</v>
      </c>
      <c r="M39" s="56">
        <f>SUM(L39)+2.2</f>
        <v>52.600000000000009</v>
      </c>
    </row>
    <row r="40" spans="1:13" s="1" customFormat="1" ht="14.1" customHeight="1" x14ac:dyDescent="0.3">
      <c r="A40" s="48"/>
      <c r="B40" s="70" t="s">
        <v>51</v>
      </c>
      <c r="C40" s="71"/>
      <c r="D40" s="46" t="s">
        <v>98</v>
      </c>
      <c r="E40" s="47"/>
      <c r="F40" s="47"/>
      <c r="G40" s="59"/>
      <c r="H40" s="40"/>
      <c r="I40" s="40"/>
      <c r="J40" s="42"/>
      <c r="K40" s="40"/>
      <c r="L40" s="40"/>
      <c r="M40" s="44"/>
    </row>
    <row r="41" spans="1:13" s="1" customFormat="1" ht="14.1" customHeight="1" x14ac:dyDescent="0.3">
      <c r="A41" s="48">
        <v>20</v>
      </c>
      <c r="B41" s="65" t="s">
        <v>16</v>
      </c>
      <c r="C41" s="66"/>
      <c r="D41" s="62" t="s">
        <v>13</v>
      </c>
      <c r="E41" s="63"/>
      <c r="F41" s="63"/>
      <c r="G41" s="64"/>
      <c r="H41" s="60">
        <f>SUM(I41)-1.1</f>
        <v>20.999999999999996</v>
      </c>
      <c r="I41" s="54">
        <f>SUM(J41)-1.1</f>
        <v>22.099999999999998</v>
      </c>
      <c r="J41" s="55">
        <v>23.2</v>
      </c>
      <c r="K41" s="54">
        <f>SUM(J41)+1.6</f>
        <v>24.8</v>
      </c>
      <c r="L41" s="54">
        <f>SUM(K41)+1.1</f>
        <v>25.900000000000002</v>
      </c>
      <c r="M41" s="56">
        <f>SUM(L41)+1.1</f>
        <v>27.000000000000004</v>
      </c>
    </row>
    <row r="42" spans="1:13" s="1" customFormat="1" ht="14.1" customHeight="1" x14ac:dyDescent="0.3">
      <c r="A42" s="48"/>
      <c r="B42" s="70" t="s">
        <v>57</v>
      </c>
      <c r="C42" s="71"/>
      <c r="D42" s="151" t="s">
        <v>97</v>
      </c>
      <c r="E42" s="152"/>
      <c r="F42" s="152"/>
      <c r="G42" s="153"/>
      <c r="H42" s="45"/>
      <c r="I42" s="40"/>
      <c r="J42" s="42"/>
      <c r="K42" s="40"/>
      <c r="L42" s="40"/>
      <c r="M42" s="44"/>
    </row>
    <row r="43" spans="1:13" s="1" customFormat="1" ht="14.1" customHeight="1" x14ac:dyDescent="0.3">
      <c r="A43" s="48">
        <v>21</v>
      </c>
      <c r="B43" s="65" t="s">
        <v>17</v>
      </c>
      <c r="C43" s="66"/>
      <c r="D43" s="62" t="s">
        <v>13</v>
      </c>
      <c r="E43" s="63"/>
      <c r="F43" s="63"/>
      <c r="G43" s="64"/>
      <c r="H43" s="60">
        <f>SUM(I43)-1.3</f>
        <v>27.2</v>
      </c>
      <c r="I43" s="54">
        <f>SUM(J43)-1.3</f>
        <v>28.5</v>
      </c>
      <c r="J43" s="55">
        <v>29.8</v>
      </c>
      <c r="K43" s="54">
        <f>SUM(J43)+1.8</f>
        <v>31.6</v>
      </c>
      <c r="L43" s="54">
        <f>SUM(K43)+1.3</f>
        <v>32.9</v>
      </c>
      <c r="M43" s="56">
        <f>SUM(L43)+1.3</f>
        <v>34.199999999999996</v>
      </c>
    </row>
    <row r="44" spans="1:13" s="1" customFormat="1" ht="14.1" customHeight="1" x14ac:dyDescent="0.3">
      <c r="A44" s="48"/>
      <c r="B44" s="70" t="s">
        <v>56</v>
      </c>
      <c r="C44" s="71"/>
      <c r="D44" s="151" t="s">
        <v>97</v>
      </c>
      <c r="E44" s="152"/>
      <c r="F44" s="152"/>
      <c r="G44" s="153"/>
      <c r="H44" s="45"/>
      <c r="I44" s="40"/>
      <c r="J44" s="42"/>
      <c r="K44" s="40"/>
      <c r="L44" s="40"/>
      <c r="M44" s="44"/>
    </row>
    <row r="45" spans="1:13" s="1" customFormat="1" ht="14.1" customHeight="1" x14ac:dyDescent="0.3">
      <c r="A45" s="48">
        <v>22</v>
      </c>
      <c r="B45" s="65" t="s">
        <v>18</v>
      </c>
      <c r="C45" s="66"/>
      <c r="D45" s="62" t="s">
        <v>19</v>
      </c>
      <c r="E45" s="63"/>
      <c r="F45" s="63"/>
      <c r="G45" s="64"/>
      <c r="H45" s="60">
        <f>SUM(I45)-3</f>
        <v>44.2</v>
      </c>
      <c r="I45" s="54">
        <f>SUM(J45)-3</f>
        <v>47.2</v>
      </c>
      <c r="J45" s="55">
        <v>50.2</v>
      </c>
      <c r="K45" s="54">
        <f>SUM(J45)+3</f>
        <v>53.2</v>
      </c>
      <c r="L45" s="54">
        <f>SUM(K45)+3.1</f>
        <v>56.300000000000004</v>
      </c>
      <c r="M45" s="56">
        <f>SUM(L45)+3.1</f>
        <v>59.400000000000006</v>
      </c>
    </row>
    <row r="46" spans="1:13" s="1" customFormat="1" ht="14.1" customHeight="1" x14ac:dyDescent="0.3">
      <c r="A46" s="48"/>
      <c r="B46" s="70" t="s">
        <v>55</v>
      </c>
      <c r="C46" s="71"/>
      <c r="D46" s="151" t="s">
        <v>96</v>
      </c>
      <c r="E46" s="152"/>
      <c r="F46" s="152"/>
      <c r="G46" s="153"/>
      <c r="H46" s="45"/>
      <c r="I46" s="40"/>
      <c r="J46" s="42"/>
      <c r="K46" s="40"/>
      <c r="L46" s="40"/>
      <c r="M46" s="44"/>
    </row>
    <row r="47" spans="1:13" s="1" customFormat="1" ht="14.1" customHeight="1" x14ac:dyDescent="0.3">
      <c r="A47" s="48">
        <v>23</v>
      </c>
      <c r="B47" s="65" t="s">
        <v>20</v>
      </c>
      <c r="C47" s="66"/>
      <c r="D47" s="62" t="s">
        <v>21</v>
      </c>
      <c r="E47" s="63"/>
      <c r="F47" s="63"/>
      <c r="G47" s="64"/>
      <c r="H47" s="60">
        <f>SUM(I47)-5</f>
        <v>28.200000000000003</v>
      </c>
      <c r="I47" s="54">
        <f>SUM(J47)-5</f>
        <v>33.200000000000003</v>
      </c>
      <c r="J47" s="55">
        <v>38.200000000000003</v>
      </c>
      <c r="K47" s="54">
        <f>SUM(J47)+3.5</f>
        <v>41.7</v>
      </c>
      <c r="L47" s="54">
        <f>SUM(K47)+4</f>
        <v>45.7</v>
      </c>
      <c r="M47" s="56">
        <f>SUM(L47)+4</f>
        <v>49.7</v>
      </c>
    </row>
    <row r="48" spans="1:13" s="1" customFormat="1" ht="14.1" customHeight="1" x14ac:dyDescent="0.3">
      <c r="A48" s="48"/>
      <c r="B48" s="70" t="s">
        <v>54</v>
      </c>
      <c r="C48" s="71"/>
      <c r="D48" s="151" t="s">
        <v>95</v>
      </c>
      <c r="E48" s="152"/>
      <c r="F48" s="152"/>
      <c r="G48" s="153"/>
      <c r="H48" s="45"/>
      <c r="I48" s="40"/>
      <c r="J48" s="42"/>
      <c r="K48" s="40"/>
      <c r="L48" s="40"/>
      <c r="M48" s="44"/>
    </row>
    <row r="49" spans="1:13" s="1" customFormat="1" ht="14.1" customHeight="1" x14ac:dyDescent="0.3">
      <c r="A49" s="48">
        <v>24</v>
      </c>
      <c r="B49" s="65" t="s">
        <v>94</v>
      </c>
      <c r="C49" s="66"/>
      <c r="D49" s="62" t="s">
        <v>92</v>
      </c>
      <c r="E49" s="63"/>
      <c r="F49" s="63"/>
      <c r="G49" s="64"/>
      <c r="H49" s="54"/>
      <c r="I49" s="54"/>
      <c r="J49" s="55"/>
      <c r="K49" s="54"/>
      <c r="L49" s="54"/>
      <c r="M49" s="56"/>
    </row>
    <row r="50" spans="1:13" s="1" customFormat="1" ht="14.1" customHeight="1" x14ac:dyDescent="0.3">
      <c r="A50" s="48"/>
      <c r="B50" s="70" t="s">
        <v>93</v>
      </c>
      <c r="C50" s="71"/>
      <c r="D50" s="151" t="s">
        <v>92</v>
      </c>
      <c r="E50" s="152"/>
      <c r="F50" s="152"/>
      <c r="G50" s="153"/>
      <c r="H50" s="40"/>
      <c r="I50" s="40"/>
      <c r="J50" s="42"/>
      <c r="K50" s="40"/>
      <c r="L50" s="40"/>
      <c r="M50" s="44"/>
    </row>
    <row r="51" spans="1:13" s="1" customFormat="1" ht="14.1" customHeight="1" x14ac:dyDescent="0.3">
      <c r="A51" s="48">
        <v>25</v>
      </c>
      <c r="B51" s="65" t="s">
        <v>91</v>
      </c>
      <c r="C51" s="66"/>
      <c r="D51" s="62" t="s">
        <v>90</v>
      </c>
      <c r="E51" s="63"/>
      <c r="F51" s="63"/>
      <c r="G51" s="64"/>
      <c r="H51" s="54"/>
      <c r="I51" s="54"/>
      <c r="J51" s="55"/>
      <c r="K51" s="54"/>
      <c r="L51" s="54"/>
      <c r="M51" s="56"/>
    </row>
    <row r="52" spans="1:13" s="1" customFormat="1" ht="14.1" customHeight="1" x14ac:dyDescent="0.3">
      <c r="A52" s="48"/>
      <c r="B52" s="70" t="s">
        <v>89</v>
      </c>
      <c r="C52" s="71"/>
      <c r="D52" s="151" t="s">
        <v>130</v>
      </c>
      <c r="E52" s="152"/>
      <c r="F52" s="152"/>
      <c r="G52" s="153"/>
      <c r="H52" s="40"/>
      <c r="I52" s="40"/>
      <c r="J52" s="42"/>
      <c r="K52" s="40"/>
      <c r="L52" s="40"/>
      <c r="M52" s="44"/>
    </row>
    <row r="53" spans="1:13" s="1" customFormat="1" ht="14.1" customHeight="1" x14ac:dyDescent="0.3">
      <c r="A53" s="48">
        <v>26</v>
      </c>
      <c r="B53" s="65" t="s">
        <v>114</v>
      </c>
      <c r="C53" s="66"/>
      <c r="D53" s="62" t="s">
        <v>22</v>
      </c>
      <c r="E53" s="63"/>
      <c r="F53" s="63"/>
      <c r="G53" s="64"/>
      <c r="H53" s="54">
        <f>SUM(I53)-0.2</f>
        <v>4.0999999999999996</v>
      </c>
      <c r="I53" s="54">
        <f>SUM(J53)-0.2</f>
        <v>4.3</v>
      </c>
      <c r="J53" s="67">
        <v>4.5</v>
      </c>
      <c r="K53" s="68">
        <f>SUM(J53)+0.2</f>
        <v>4.7</v>
      </c>
      <c r="L53" s="68">
        <f>SUM(K53)+0.2</f>
        <v>4.9000000000000004</v>
      </c>
      <c r="M53" s="69">
        <f>SUM(L53)+0.2</f>
        <v>5.1000000000000005</v>
      </c>
    </row>
    <row r="54" spans="1:13" s="1" customFormat="1" ht="14.1" customHeight="1" x14ac:dyDescent="0.3">
      <c r="A54" s="48"/>
      <c r="B54" s="70" t="s">
        <v>53</v>
      </c>
      <c r="C54" s="71"/>
      <c r="D54" s="151" t="s">
        <v>113</v>
      </c>
      <c r="E54" s="152"/>
      <c r="F54" s="152"/>
      <c r="G54" s="153"/>
      <c r="H54" s="40"/>
      <c r="I54" s="40"/>
      <c r="J54" s="67"/>
      <c r="K54" s="68"/>
      <c r="L54" s="68"/>
      <c r="M54" s="69"/>
    </row>
    <row r="55" spans="1:13" s="1" customFormat="1" ht="14.1" customHeight="1" x14ac:dyDescent="0.3">
      <c r="A55" s="48">
        <v>27</v>
      </c>
      <c r="B55" s="65" t="s">
        <v>112</v>
      </c>
      <c r="C55" s="66"/>
      <c r="D55" s="62" t="s">
        <v>23</v>
      </c>
      <c r="E55" s="63"/>
      <c r="F55" s="63"/>
      <c r="G55" s="64"/>
      <c r="H55" s="54">
        <f>SUM(I55)-0.6</f>
        <v>9.3000000000000007</v>
      </c>
      <c r="I55" s="54">
        <f>SUM(J55)-0.6</f>
        <v>9.9</v>
      </c>
      <c r="J55" s="67">
        <v>10.5</v>
      </c>
      <c r="K55" s="68">
        <f>SUM(J55)+0.6</f>
        <v>11.1</v>
      </c>
      <c r="L55" s="68">
        <f>SUM(K55)+0.6</f>
        <v>11.7</v>
      </c>
      <c r="M55" s="69">
        <f>SUM(L55)+0.6</f>
        <v>12.299999999999999</v>
      </c>
    </row>
    <row r="56" spans="1:13" s="1" customFormat="1" ht="14.1" customHeight="1" x14ac:dyDescent="0.3">
      <c r="A56" s="48"/>
      <c r="B56" s="70" t="s">
        <v>52</v>
      </c>
      <c r="C56" s="71"/>
      <c r="D56" s="151" t="s">
        <v>111</v>
      </c>
      <c r="E56" s="152"/>
      <c r="F56" s="152"/>
      <c r="G56" s="153"/>
      <c r="H56" s="40"/>
      <c r="I56" s="40"/>
      <c r="J56" s="67"/>
      <c r="K56" s="68"/>
      <c r="L56" s="68"/>
      <c r="M56" s="69"/>
    </row>
    <row r="57" spans="1:13" s="1" customFormat="1" ht="14.1" customHeight="1" x14ac:dyDescent="0.3">
      <c r="A57" s="48">
        <v>28</v>
      </c>
      <c r="B57" s="65"/>
      <c r="C57" s="66"/>
      <c r="D57" s="61"/>
      <c r="E57" s="61"/>
      <c r="F57" s="61"/>
      <c r="G57" s="61"/>
      <c r="H57" s="54"/>
      <c r="I57" s="54"/>
      <c r="J57" s="67"/>
      <c r="K57" s="68"/>
      <c r="L57" s="68"/>
      <c r="M57" s="69"/>
    </row>
    <row r="58" spans="1:13" s="1" customFormat="1" ht="14.1" customHeight="1" thickBot="1" x14ac:dyDescent="0.35">
      <c r="A58" s="87"/>
      <c r="B58" s="141"/>
      <c r="C58" s="141"/>
      <c r="D58" s="98"/>
      <c r="E58" s="99"/>
      <c r="F58" s="99"/>
      <c r="G58" s="100"/>
      <c r="H58" s="91"/>
      <c r="I58" s="91"/>
      <c r="J58" s="92"/>
      <c r="K58" s="93"/>
      <c r="L58" s="93"/>
      <c r="M58" s="121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ht="14.1" customHeight="1" x14ac:dyDescent="0.3"/>
    <row r="66" ht="14.1" customHeight="1" x14ac:dyDescent="0.3"/>
  </sheetData>
  <mergeCells count="31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8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8257-0AA1-4A16-B5CE-795598F720C6}">
  <sheetPr>
    <tabColor rgb="FFFF0000"/>
    <pageSetUpPr fitToPage="1"/>
  </sheetPr>
  <dimension ref="A1:N66"/>
  <sheetViews>
    <sheetView topLeftCell="A7" zoomScale="110" zoomScaleNormal="110" workbookViewId="0">
      <selection sqref="A1:M5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789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1"/>
    </row>
    <row r="2" spans="1:14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40</v>
      </c>
      <c r="I3" s="54">
        <f>SUM(J3)-3.5</f>
        <v>43.5</v>
      </c>
      <c r="J3" s="55">
        <v>47</v>
      </c>
      <c r="K3" s="54">
        <f>SUM(J3)+3</f>
        <v>50</v>
      </c>
      <c r="L3" s="54">
        <f t="shared" ref="L3" si="0">SUM(K3)+3</f>
        <v>53</v>
      </c>
      <c r="M3" s="56">
        <f t="shared" ref="M3" si="1">SUM(L3)+3</f>
        <v>56</v>
      </c>
    </row>
    <row r="4" spans="1:14" s="1" customFormat="1" ht="14.1" customHeight="1" x14ac:dyDescent="0.3">
      <c r="A4" s="103"/>
      <c r="B4" s="105" t="s">
        <v>36</v>
      </c>
      <c r="C4" s="105"/>
      <c r="D4" s="51" t="s">
        <v>792</v>
      </c>
      <c r="E4" s="52"/>
      <c r="F4" s="52"/>
      <c r="G4" s="52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78">
        <v>2</v>
      </c>
      <c r="B5" s="60" t="s">
        <v>793</v>
      </c>
      <c r="C5" s="60"/>
      <c r="D5" s="61"/>
      <c r="E5" s="61"/>
      <c r="F5" s="61"/>
      <c r="G5" s="61"/>
      <c r="H5" s="54">
        <f>SUM(I5)-1.5</f>
        <v>17.100000000000001</v>
      </c>
      <c r="I5" s="54">
        <f>SUM(J5)-1.5</f>
        <v>18.600000000000001</v>
      </c>
      <c r="J5" s="55">
        <v>20.100000000000001</v>
      </c>
      <c r="K5" s="54">
        <f>SUM(J5)+1</f>
        <v>21.1</v>
      </c>
      <c r="L5" s="54">
        <f t="shared" ref="L5:M5" si="2">SUM(K5)+1</f>
        <v>22.1</v>
      </c>
      <c r="M5" s="56">
        <f t="shared" si="2"/>
        <v>23.1</v>
      </c>
    </row>
    <row r="6" spans="1:14" s="1" customFormat="1" ht="14.1" customHeight="1" x14ac:dyDescent="0.3">
      <c r="A6" s="35"/>
      <c r="B6" s="45" t="s">
        <v>794</v>
      </c>
      <c r="C6" s="45"/>
      <c r="D6" s="46" t="s">
        <v>795</v>
      </c>
      <c r="E6" s="47"/>
      <c r="F6" s="47"/>
      <c r="G6" s="59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48">
        <v>3</v>
      </c>
      <c r="B7" s="60" t="s">
        <v>37</v>
      </c>
      <c r="C7" s="60"/>
      <c r="D7" s="61" t="s">
        <v>38</v>
      </c>
      <c r="E7" s="61"/>
      <c r="F7" s="61"/>
      <c r="G7" s="61"/>
      <c r="H7" s="54">
        <f>SUM(I7)-2.2</f>
        <v>35.199999999999996</v>
      </c>
      <c r="I7" s="54">
        <f>SUM(J7)-2.2</f>
        <v>37.4</v>
      </c>
      <c r="J7" s="55">
        <v>39.6</v>
      </c>
      <c r="K7" s="54">
        <f>SUM(J7)+2</f>
        <v>41.6</v>
      </c>
      <c r="L7" s="54">
        <f t="shared" ref="L7:M7" si="3">SUM(K7)+2</f>
        <v>43.6</v>
      </c>
      <c r="M7" s="56">
        <f t="shared" si="3"/>
        <v>45.6</v>
      </c>
    </row>
    <row r="8" spans="1:14" s="1" customFormat="1" ht="14.1" customHeight="1" x14ac:dyDescent="0.3">
      <c r="A8" s="48"/>
      <c r="B8" s="45" t="s">
        <v>24</v>
      </c>
      <c r="C8" s="45"/>
      <c r="D8" s="46" t="s">
        <v>42</v>
      </c>
      <c r="E8" s="47"/>
      <c r="F8" s="47"/>
      <c r="G8" s="59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48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</f>
        <v>32</v>
      </c>
      <c r="I9" s="54">
        <f>SUM(J9)-2</f>
        <v>34</v>
      </c>
      <c r="J9" s="55">
        <v>36</v>
      </c>
      <c r="K9" s="54">
        <f>SUM(J9)+1.8</f>
        <v>37.799999999999997</v>
      </c>
      <c r="L9" s="54">
        <f t="shared" ref="L9:M9" si="4">SUM(K9)+1.8</f>
        <v>39.599999999999994</v>
      </c>
      <c r="M9" s="56">
        <f t="shared" si="4"/>
        <v>41.399999999999991</v>
      </c>
    </row>
    <row r="10" spans="1:14" s="1" customFormat="1" ht="14.1" customHeight="1" x14ac:dyDescent="0.3">
      <c r="A10" s="48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48">
        <v>5</v>
      </c>
      <c r="B11" s="65" t="s">
        <v>191</v>
      </c>
      <c r="C11" s="66"/>
      <c r="D11" s="62" t="s">
        <v>192</v>
      </c>
      <c r="E11" s="63"/>
      <c r="F11" s="63"/>
      <c r="G11" s="64"/>
      <c r="H11" s="54"/>
      <c r="I11" s="54"/>
      <c r="J11" s="55"/>
      <c r="K11" s="54"/>
      <c r="L11" s="54"/>
      <c r="M11" s="56"/>
    </row>
    <row r="12" spans="1:14" s="1" customFormat="1" ht="14.1" customHeight="1" x14ac:dyDescent="0.3">
      <c r="A12" s="48"/>
      <c r="B12" s="57" t="s">
        <v>193</v>
      </c>
      <c r="C12" s="58"/>
      <c r="D12" s="46" t="s">
        <v>194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4" s="1" customFormat="1" ht="14.1" customHeight="1" x14ac:dyDescent="0.3">
      <c r="A13" s="48">
        <v>6</v>
      </c>
      <c r="B13" s="60" t="s">
        <v>10</v>
      </c>
      <c r="C13" s="60"/>
      <c r="D13" s="61" t="s">
        <v>0</v>
      </c>
      <c r="E13" s="61"/>
      <c r="F13" s="61"/>
      <c r="G13" s="61"/>
      <c r="H13" s="60">
        <f>SUM(I13)-0.8</f>
        <v>12.499999999999998</v>
      </c>
      <c r="I13" s="60">
        <f>SUM(J13)-0.8</f>
        <v>13.299999999999999</v>
      </c>
      <c r="J13" s="132">
        <v>14.1</v>
      </c>
      <c r="K13" s="130">
        <f>SUM(J13)+0.8</f>
        <v>14.9</v>
      </c>
      <c r="L13" s="130">
        <f>SUM(K13)+0.8</f>
        <v>15.700000000000001</v>
      </c>
      <c r="M13" s="131">
        <f t="shared" ref="M13" si="5">SUM(L13)+0.8</f>
        <v>16.5</v>
      </c>
    </row>
    <row r="14" spans="1:14" s="1" customFormat="1" ht="14.1" customHeight="1" x14ac:dyDescent="0.3">
      <c r="A14" s="48"/>
      <c r="B14" s="45" t="s">
        <v>26</v>
      </c>
      <c r="C14" s="45"/>
      <c r="D14" s="46" t="s">
        <v>796</v>
      </c>
      <c r="E14" s="47"/>
      <c r="F14" s="47"/>
      <c r="G14" s="59"/>
      <c r="H14" s="45"/>
      <c r="I14" s="45"/>
      <c r="J14" s="132"/>
      <c r="K14" s="130"/>
      <c r="L14" s="130"/>
      <c r="M14" s="131"/>
    </row>
    <row r="15" spans="1:14" s="1" customFormat="1" ht="14.1" customHeight="1" x14ac:dyDescent="0.3">
      <c r="A15" s="48">
        <v>7</v>
      </c>
      <c r="B15" s="60" t="s">
        <v>1</v>
      </c>
      <c r="C15" s="60"/>
      <c r="D15" s="61" t="s">
        <v>163</v>
      </c>
      <c r="E15" s="61"/>
      <c r="F15" s="61"/>
      <c r="G15" s="61"/>
      <c r="H15" s="54">
        <f>SUM(I15)-0.6</f>
        <v>14.3</v>
      </c>
      <c r="I15" s="54">
        <f>SUM(J15)-0.6</f>
        <v>14.9</v>
      </c>
      <c r="J15" s="67">
        <v>15.5</v>
      </c>
      <c r="K15" s="68">
        <f>SUM(J15)+0.6</f>
        <v>16.100000000000001</v>
      </c>
      <c r="L15" s="68">
        <f>SUM(K15)+0.6</f>
        <v>16.700000000000003</v>
      </c>
      <c r="M15" s="69">
        <f t="shared" ref="M15" si="6">SUM(L15)+0.6</f>
        <v>17.300000000000004</v>
      </c>
    </row>
    <row r="16" spans="1:14" s="1" customFormat="1" ht="14.1" customHeight="1" x14ac:dyDescent="0.3">
      <c r="A16" s="48"/>
      <c r="B16" s="45" t="s">
        <v>27</v>
      </c>
      <c r="C16" s="45"/>
      <c r="D16" s="46" t="s">
        <v>124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SUM(I17)-0.3</f>
        <v>6.2</v>
      </c>
      <c r="I17" s="54">
        <f>SUM(J17)-0.3</f>
        <v>6.5</v>
      </c>
      <c r="J17" s="67">
        <v>6.8</v>
      </c>
      <c r="K17" s="68">
        <f>SUM(J17)+0.3</f>
        <v>7.1</v>
      </c>
      <c r="L17" s="68">
        <f>SUM(K17)+0.3</f>
        <v>7.3999999999999995</v>
      </c>
      <c r="M17" s="69">
        <f t="shared" ref="M17" si="7">SUM(L17)+0.3</f>
        <v>7.6999999999999993</v>
      </c>
    </row>
    <row r="18" spans="1:14" s="1" customFormat="1" ht="14.1" customHeight="1" x14ac:dyDescent="0.3">
      <c r="A18" s="48"/>
      <c r="B18" s="45" t="s">
        <v>28</v>
      </c>
      <c r="C18" s="45"/>
      <c r="D18" s="46" t="s">
        <v>125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SUM(I19)-1.6</f>
        <v>37.799999999999997</v>
      </c>
      <c r="I19" s="54">
        <f>SUM(J19)-1.6</f>
        <v>39.4</v>
      </c>
      <c r="J19" s="67">
        <v>41</v>
      </c>
      <c r="K19" s="68">
        <f>SUM(J19)+1.6</f>
        <v>42.6</v>
      </c>
      <c r="L19" s="68">
        <f>SUM(K19)+1.6</f>
        <v>44.2</v>
      </c>
      <c r="M19" s="69">
        <f t="shared" ref="M19" si="8">SUM(L19)+1.6</f>
        <v>45.800000000000004</v>
      </c>
    </row>
    <row r="20" spans="1:14" s="1" customFormat="1" ht="14.1" customHeight="1" x14ac:dyDescent="0.3">
      <c r="A20" s="48"/>
      <c r="B20" s="45" t="s">
        <v>33</v>
      </c>
      <c r="C20" s="45"/>
      <c r="D20" s="46" t="s">
        <v>126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/>
      <c r="I21" s="54"/>
      <c r="J21" s="55"/>
      <c r="K21" s="68"/>
      <c r="L21" s="68"/>
      <c r="M21" s="69"/>
    </row>
    <row r="22" spans="1:14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68"/>
      <c r="L22" s="68"/>
      <c r="M22" s="69"/>
    </row>
    <row r="23" spans="1:14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4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/>
      <c r="I25" s="54"/>
      <c r="J25" s="67"/>
      <c r="K25" s="68"/>
      <c r="L25" s="68"/>
      <c r="M25" s="69"/>
    </row>
    <row r="26" spans="1:14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79" t="s">
        <v>134</v>
      </c>
      <c r="C27" s="80"/>
      <c r="D27" s="88"/>
      <c r="E27" s="89"/>
      <c r="F27" s="89"/>
      <c r="G27" s="90"/>
      <c r="H27" s="81">
        <f>SUM(I27)-0.4</f>
        <v>4.1999999999999993</v>
      </c>
      <c r="I27" s="81">
        <f>SUM(J27)-0.4</f>
        <v>4.5999999999999996</v>
      </c>
      <c r="J27" s="42">
        <v>5</v>
      </c>
      <c r="K27" s="40">
        <f>SUM(J27)+0.3</f>
        <v>5.3</v>
      </c>
      <c r="L27" s="40">
        <f t="shared" ref="L27:M27" si="9">SUM(K27)+0.3</f>
        <v>5.6</v>
      </c>
      <c r="M27" s="44">
        <f t="shared" si="9"/>
        <v>5.8999999999999995</v>
      </c>
    </row>
    <row r="28" spans="1:14" s="1" customFormat="1" ht="14.1" customHeight="1" x14ac:dyDescent="0.3">
      <c r="A28" s="48"/>
      <c r="B28" s="79" t="s">
        <v>142</v>
      </c>
      <c r="C28" s="80"/>
      <c r="D28" s="46" t="s">
        <v>353</v>
      </c>
      <c r="E28" s="47"/>
      <c r="F28" s="47"/>
      <c r="G28" s="59"/>
      <c r="H28" s="81"/>
      <c r="I28" s="81"/>
      <c r="J28" s="55"/>
      <c r="K28" s="54"/>
      <c r="L28" s="54"/>
      <c r="M28" s="56"/>
    </row>
    <row r="29" spans="1:14" s="1" customFormat="1" ht="14.1" customHeight="1" x14ac:dyDescent="0.3">
      <c r="A29" s="48">
        <v>14</v>
      </c>
      <c r="B29" s="65" t="s">
        <v>135</v>
      </c>
      <c r="C29" s="66"/>
      <c r="D29" s="88"/>
      <c r="E29" s="89"/>
      <c r="F29" s="89"/>
      <c r="G29" s="90"/>
      <c r="H29" s="54">
        <f>SUM(I29)-0.6</f>
        <v>8.8000000000000007</v>
      </c>
      <c r="I29" s="54">
        <f>SUM(J29)-0.6</f>
        <v>9.4</v>
      </c>
      <c r="J29" s="67">
        <v>10</v>
      </c>
      <c r="K29" s="68">
        <f>SUM(J29)+0.6</f>
        <v>10.6</v>
      </c>
      <c r="L29" s="68">
        <f t="shared" ref="L29:M29" si="10">SUM(K29)+0.6</f>
        <v>11.2</v>
      </c>
      <c r="M29" s="69">
        <f t="shared" si="10"/>
        <v>11.799999999999999</v>
      </c>
    </row>
    <row r="30" spans="1:14" s="1" customFormat="1" ht="14.1" customHeight="1" thickBot="1" x14ac:dyDescent="0.35">
      <c r="A30" s="87"/>
      <c r="B30" s="96" t="s">
        <v>143</v>
      </c>
      <c r="C30" s="97"/>
      <c r="D30" s="98" t="s">
        <v>797</v>
      </c>
      <c r="E30" s="99"/>
      <c r="F30" s="99"/>
      <c r="G30" s="100"/>
      <c r="H30" s="91"/>
      <c r="I30" s="91"/>
      <c r="J30" s="92"/>
      <c r="K30" s="93"/>
      <c r="L30" s="93"/>
      <c r="M30" s="121"/>
    </row>
    <row r="31" spans="1:14" s="1" customFormat="1" ht="14.1" customHeight="1" thickBot="1" x14ac:dyDescent="0.35">
      <c r="A31" s="236" t="s">
        <v>790</v>
      </c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8"/>
      <c r="N31" s="29"/>
    </row>
    <row r="32" spans="1:14" s="1" customFormat="1" ht="14.1" customHeight="1" x14ac:dyDescent="0.3">
      <c r="A32" s="173">
        <v>15</v>
      </c>
      <c r="B32" s="174" t="s">
        <v>119</v>
      </c>
      <c r="C32" s="175"/>
      <c r="D32" s="38" t="s">
        <v>70</v>
      </c>
      <c r="E32" s="176"/>
      <c r="F32" s="176"/>
      <c r="G32" s="177"/>
      <c r="H32" s="39">
        <f>SUM(I32)-2.5</f>
        <v>44</v>
      </c>
      <c r="I32" s="39">
        <f>SUM(J32)-2.5</f>
        <v>46.5</v>
      </c>
      <c r="J32" s="41">
        <v>49</v>
      </c>
      <c r="K32" s="39">
        <f>SUM(J32)+2.5</f>
        <v>51.5</v>
      </c>
      <c r="L32" s="39">
        <f t="shared" ref="L32:M32" si="11">SUM(K32)+2.5</f>
        <v>54</v>
      </c>
      <c r="M32" s="43">
        <f t="shared" si="11"/>
        <v>56.5</v>
      </c>
    </row>
    <row r="33" spans="1:13" s="1" customFormat="1" ht="14.1" customHeight="1" x14ac:dyDescent="0.3">
      <c r="A33" s="150"/>
      <c r="B33" s="70" t="s">
        <v>87</v>
      </c>
      <c r="C33" s="71"/>
      <c r="D33" s="151" t="s">
        <v>71</v>
      </c>
      <c r="E33" s="152"/>
      <c r="F33" s="152"/>
      <c r="G33" s="153"/>
      <c r="H33" s="40"/>
      <c r="I33" s="40"/>
      <c r="J33" s="42"/>
      <c r="K33" s="40"/>
      <c r="L33" s="40"/>
      <c r="M33" s="44"/>
    </row>
    <row r="34" spans="1:13" s="1" customFormat="1" ht="14.1" customHeight="1" x14ac:dyDescent="0.3">
      <c r="A34" s="148">
        <v>16</v>
      </c>
      <c r="B34" s="79" t="s">
        <v>11</v>
      </c>
      <c r="C34" s="80"/>
      <c r="D34" s="51" t="s">
        <v>12</v>
      </c>
      <c r="E34" s="52"/>
      <c r="F34" s="52"/>
      <c r="G34" s="53"/>
      <c r="H34" s="81">
        <f>SUM(I34)-3.2</f>
        <v>59.599999999999994</v>
      </c>
      <c r="I34" s="81">
        <f>SUM(J34)-3.2</f>
        <v>62.8</v>
      </c>
      <c r="J34" s="42">
        <v>66</v>
      </c>
      <c r="K34" s="40">
        <f>SUM(J34)+3.2</f>
        <v>69.2</v>
      </c>
      <c r="L34" s="40">
        <f t="shared" ref="L34:M34" si="12">SUM(K34)+3.2</f>
        <v>72.400000000000006</v>
      </c>
      <c r="M34" s="44">
        <f t="shared" si="12"/>
        <v>75.600000000000009</v>
      </c>
    </row>
    <row r="35" spans="1:13" s="1" customFormat="1" ht="14.1" customHeight="1" x14ac:dyDescent="0.3">
      <c r="A35" s="150"/>
      <c r="B35" s="70" t="s">
        <v>49</v>
      </c>
      <c r="C35" s="71"/>
      <c r="D35" s="151" t="s">
        <v>100</v>
      </c>
      <c r="E35" s="152"/>
      <c r="F35" s="152"/>
      <c r="G35" s="153"/>
      <c r="H35" s="40"/>
      <c r="I35" s="40"/>
      <c r="J35" s="67"/>
      <c r="K35" s="68"/>
      <c r="L35" s="68"/>
      <c r="M35" s="69"/>
    </row>
    <row r="36" spans="1:13" s="1" customFormat="1" ht="14.1" customHeight="1" x14ac:dyDescent="0.3">
      <c r="A36" s="148">
        <v>17</v>
      </c>
      <c r="B36" s="65" t="s">
        <v>116</v>
      </c>
      <c r="C36" s="66"/>
      <c r="D36" s="62"/>
      <c r="E36" s="63"/>
      <c r="F36" s="63"/>
      <c r="G36" s="64"/>
      <c r="H36" s="54">
        <f>SUM(I36)-0.7</f>
        <v>13.000000000000002</v>
      </c>
      <c r="I36" s="54">
        <f>SUM(J36)-0.7</f>
        <v>13.700000000000001</v>
      </c>
      <c r="J36" s="55">
        <v>14.4</v>
      </c>
      <c r="K36" s="54">
        <f>SUM(J36)+1.2</f>
        <v>15.6</v>
      </c>
      <c r="L36" s="54">
        <f>SUM(K36)+0.7</f>
        <v>16.3</v>
      </c>
      <c r="M36" s="56">
        <f t="shared" ref="M36" si="13">SUM(L36)+0.7</f>
        <v>17</v>
      </c>
    </row>
    <row r="37" spans="1:13" s="1" customFormat="1" ht="14.1" customHeight="1" x14ac:dyDescent="0.3">
      <c r="A37" s="150"/>
      <c r="B37" s="70" t="s">
        <v>115</v>
      </c>
      <c r="C37" s="71"/>
      <c r="D37" s="162" t="s">
        <v>129</v>
      </c>
      <c r="E37" s="163"/>
      <c r="F37" s="163"/>
      <c r="G37" s="164"/>
      <c r="H37" s="40"/>
      <c r="I37" s="40"/>
      <c r="J37" s="42"/>
      <c r="K37" s="40"/>
      <c r="L37" s="40"/>
      <c r="M37" s="44"/>
    </row>
    <row r="38" spans="1:13" s="1" customFormat="1" ht="14.1" customHeight="1" x14ac:dyDescent="0.3">
      <c r="A38" s="148">
        <v>18</v>
      </c>
      <c r="B38" s="65" t="s">
        <v>9</v>
      </c>
      <c r="C38" s="66"/>
      <c r="D38" s="62" t="s">
        <v>72</v>
      </c>
      <c r="E38" s="63"/>
      <c r="F38" s="63"/>
      <c r="G38" s="64"/>
      <c r="H38" s="54">
        <f>SUM(I38)-2.5</f>
        <v>29.5</v>
      </c>
      <c r="I38" s="54">
        <f>SUM(J38)-2.5</f>
        <v>32</v>
      </c>
      <c r="J38" s="67">
        <v>34.5</v>
      </c>
      <c r="K38" s="68">
        <f>SUM(J38)+2</f>
        <v>36.5</v>
      </c>
      <c r="L38" s="68">
        <f t="shared" ref="L38:M38" si="14">SUM(K38)+2</f>
        <v>38.5</v>
      </c>
      <c r="M38" s="69">
        <f t="shared" si="14"/>
        <v>40.5</v>
      </c>
    </row>
    <row r="39" spans="1:13" s="1" customFormat="1" ht="14.1" customHeight="1" x14ac:dyDescent="0.3">
      <c r="A39" s="150"/>
      <c r="B39" s="70" t="s">
        <v>50</v>
      </c>
      <c r="C39" s="71"/>
      <c r="D39" s="151" t="s">
        <v>99</v>
      </c>
      <c r="E39" s="152"/>
      <c r="F39" s="152"/>
      <c r="G39" s="153"/>
      <c r="H39" s="40"/>
      <c r="I39" s="40"/>
      <c r="J39" s="67"/>
      <c r="K39" s="68"/>
      <c r="L39" s="68"/>
      <c r="M39" s="69"/>
    </row>
    <row r="40" spans="1:13" s="1" customFormat="1" ht="14.1" customHeight="1" x14ac:dyDescent="0.3">
      <c r="A40" s="148">
        <v>19</v>
      </c>
      <c r="B40" s="65" t="s">
        <v>14</v>
      </c>
      <c r="C40" s="66"/>
      <c r="D40" s="62" t="s">
        <v>15</v>
      </c>
      <c r="E40" s="63"/>
      <c r="F40" s="63"/>
      <c r="G40" s="64"/>
      <c r="H40" s="54">
        <f>SUM(I40)-1.8</f>
        <v>30.400000000000002</v>
      </c>
      <c r="I40" s="54">
        <f>SUM(J40)-1.8</f>
        <v>32.200000000000003</v>
      </c>
      <c r="J40" s="67">
        <v>34</v>
      </c>
      <c r="K40" s="68">
        <f>SUM(J40)+1.8</f>
        <v>35.799999999999997</v>
      </c>
      <c r="L40" s="68">
        <f t="shared" ref="L40:M40" si="15">SUM(K40)+1.8</f>
        <v>37.599999999999994</v>
      </c>
      <c r="M40" s="69">
        <f t="shared" si="15"/>
        <v>39.399999999999991</v>
      </c>
    </row>
    <row r="41" spans="1:13" s="1" customFormat="1" ht="14.1" customHeight="1" x14ac:dyDescent="0.3">
      <c r="A41" s="150"/>
      <c r="B41" s="70" t="s">
        <v>51</v>
      </c>
      <c r="C41" s="71"/>
      <c r="D41" s="46" t="s">
        <v>98</v>
      </c>
      <c r="E41" s="47"/>
      <c r="F41" s="47"/>
      <c r="G41" s="59"/>
      <c r="H41" s="40"/>
      <c r="I41" s="40"/>
      <c r="J41" s="67"/>
      <c r="K41" s="68"/>
      <c r="L41" s="68"/>
      <c r="M41" s="69"/>
    </row>
    <row r="42" spans="1:13" s="1" customFormat="1" ht="14.1" customHeight="1" x14ac:dyDescent="0.3">
      <c r="A42" s="148">
        <v>20</v>
      </c>
      <c r="B42" s="65" t="s">
        <v>16</v>
      </c>
      <c r="C42" s="66"/>
      <c r="D42" s="62" t="s">
        <v>13</v>
      </c>
      <c r="E42" s="63"/>
      <c r="F42" s="63"/>
      <c r="G42" s="64"/>
      <c r="H42" s="60">
        <f>SUM(I42)-1.1</f>
        <v>20.099999999999998</v>
      </c>
      <c r="I42" s="54">
        <f>SUM(J42)-1.1</f>
        <v>21.2</v>
      </c>
      <c r="J42" s="55">
        <v>22.3</v>
      </c>
      <c r="K42" s="54">
        <f>SUM(J42)+1.6</f>
        <v>23.900000000000002</v>
      </c>
      <c r="L42" s="54">
        <f>SUM(K42)+1.1</f>
        <v>25.000000000000004</v>
      </c>
      <c r="M42" s="56">
        <f t="shared" ref="M42" si="16">SUM(L42)+1.1</f>
        <v>26.100000000000005</v>
      </c>
    </row>
    <row r="43" spans="1:13" s="1" customFormat="1" ht="14.1" customHeight="1" x14ac:dyDescent="0.3">
      <c r="A43" s="150"/>
      <c r="B43" s="70" t="s">
        <v>57</v>
      </c>
      <c r="C43" s="71"/>
      <c r="D43" s="151" t="s">
        <v>97</v>
      </c>
      <c r="E43" s="152"/>
      <c r="F43" s="152"/>
      <c r="G43" s="153"/>
      <c r="H43" s="45"/>
      <c r="I43" s="40"/>
      <c r="J43" s="42"/>
      <c r="K43" s="40"/>
      <c r="L43" s="40"/>
      <c r="M43" s="44"/>
    </row>
    <row r="44" spans="1:13" s="1" customFormat="1" ht="14.1" customHeight="1" x14ac:dyDescent="0.3">
      <c r="A44" s="148">
        <v>21</v>
      </c>
      <c r="B44" s="65" t="s">
        <v>17</v>
      </c>
      <c r="C44" s="66"/>
      <c r="D44" s="62" t="s">
        <v>13</v>
      </c>
      <c r="E44" s="63"/>
      <c r="F44" s="63"/>
      <c r="G44" s="64"/>
      <c r="H44" s="60">
        <f>SUM(I44)-1.3</f>
        <v>22.2</v>
      </c>
      <c r="I44" s="54">
        <f>SUM(J44)-1.3</f>
        <v>23.5</v>
      </c>
      <c r="J44" s="55">
        <v>24.8</v>
      </c>
      <c r="K44" s="54">
        <f>SUM(J44)+1.8</f>
        <v>26.6</v>
      </c>
      <c r="L44" s="54">
        <f>SUM(K44)+1.3</f>
        <v>27.900000000000002</v>
      </c>
      <c r="M44" s="56">
        <f t="shared" ref="M44" si="17">SUM(L44)+1.3</f>
        <v>29.200000000000003</v>
      </c>
    </row>
    <row r="45" spans="1:13" s="1" customFormat="1" ht="14.1" customHeight="1" x14ac:dyDescent="0.3">
      <c r="A45" s="150"/>
      <c r="B45" s="70" t="s">
        <v>56</v>
      </c>
      <c r="C45" s="71"/>
      <c r="D45" s="151" t="s">
        <v>97</v>
      </c>
      <c r="E45" s="152"/>
      <c r="F45" s="152"/>
      <c r="G45" s="153"/>
      <c r="H45" s="45"/>
      <c r="I45" s="40"/>
      <c r="J45" s="42"/>
      <c r="K45" s="40"/>
      <c r="L45" s="40"/>
      <c r="M45" s="44"/>
    </row>
    <row r="46" spans="1:13" s="1" customFormat="1" ht="14.1" customHeight="1" x14ac:dyDescent="0.3">
      <c r="A46" s="148">
        <v>22</v>
      </c>
      <c r="B46" s="65" t="s">
        <v>18</v>
      </c>
      <c r="C46" s="66"/>
      <c r="D46" s="62" t="s">
        <v>19</v>
      </c>
      <c r="E46" s="63"/>
      <c r="F46" s="63"/>
      <c r="G46" s="64"/>
      <c r="H46" s="54"/>
      <c r="I46" s="54"/>
      <c r="J46" s="67"/>
      <c r="K46" s="68"/>
      <c r="L46" s="68"/>
      <c r="M46" s="69"/>
    </row>
    <row r="47" spans="1:13" s="1" customFormat="1" ht="14.1" customHeight="1" x14ac:dyDescent="0.3">
      <c r="A47" s="150"/>
      <c r="B47" s="70" t="s">
        <v>55</v>
      </c>
      <c r="C47" s="71"/>
      <c r="D47" s="151" t="s">
        <v>96</v>
      </c>
      <c r="E47" s="152"/>
      <c r="F47" s="152"/>
      <c r="G47" s="153"/>
      <c r="H47" s="40"/>
      <c r="I47" s="40"/>
      <c r="J47" s="67"/>
      <c r="K47" s="68"/>
      <c r="L47" s="68"/>
      <c r="M47" s="69"/>
    </row>
    <row r="48" spans="1:13" s="1" customFormat="1" ht="14.1" customHeight="1" x14ac:dyDescent="0.3">
      <c r="A48" s="148">
        <v>23</v>
      </c>
      <c r="B48" s="65" t="s">
        <v>20</v>
      </c>
      <c r="C48" s="66"/>
      <c r="D48" s="62" t="s">
        <v>21</v>
      </c>
      <c r="E48" s="63"/>
      <c r="F48" s="63"/>
      <c r="G48" s="64"/>
      <c r="H48" s="54"/>
      <c r="I48" s="54"/>
      <c r="J48" s="67"/>
      <c r="K48" s="68"/>
      <c r="L48" s="68"/>
      <c r="M48" s="69"/>
    </row>
    <row r="49" spans="1:14" s="1" customFormat="1" ht="14.1" customHeight="1" x14ac:dyDescent="0.3">
      <c r="A49" s="150"/>
      <c r="B49" s="70" t="s">
        <v>54</v>
      </c>
      <c r="C49" s="71"/>
      <c r="D49" s="151" t="s">
        <v>95</v>
      </c>
      <c r="E49" s="152"/>
      <c r="F49" s="152"/>
      <c r="G49" s="153"/>
      <c r="H49" s="40"/>
      <c r="I49" s="40"/>
      <c r="J49" s="67"/>
      <c r="K49" s="68"/>
      <c r="L49" s="68"/>
      <c r="M49" s="69"/>
    </row>
    <row r="50" spans="1:14" s="1" customFormat="1" ht="14.1" customHeight="1" x14ac:dyDescent="0.3">
      <c r="A50" s="148">
        <v>24</v>
      </c>
      <c r="B50" s="65" t="s">
        <v>94</v>
      </c>
      <c r="C50" s="66"/>
      <c r="D50" s="62" t="s">
        <v>92</v>
      </c>
      <c r="E50" s="63"/>
      <c r="F50" s="63"/>
      <c r="G50" s="64"/>
      <c r="H50" s="54"/>
      <c r="I50" s="54"/>
      <c r="J50" s="67"/>
      <c r="K50" s="68"/>
      <c r="L50" s="68"/>
      <c r="M50" s="69"/>
    </row>
    <row r="51" spans="1:14" s="1" customFormat="1" ht="14.1" customHeight="1" x14ac:dyDescent="0.3">
      <c r="A51" s="150"/>
      <c r="B51" s="70" t="s">
        <v>93</v>
      </c>
      <c r="C51" s="71"/>
      <c r="D51" s="151" t="s">
        <v>92</v>
      </c>
      <c r="E51" s="152"/>
      <c r="F51" s="152"/>
      <c r="G51" s="153"/>
      <c r="H51" s="40"/>
      <c r="I51" s="40"/>
      <c r="J51" s="67"/>
      <c r="K51" s="68"/>
      <c r="L51" s="68"/>
      <c r="M51" s="69"/>
    </row>
    <row r="52" spans="1:14" s="1" customFormat="1" ht="14.1" customHeight="1" x14ac:dyDescent="0.3">
      <c r="A52" s="148">
        <v>25</v>
      </c>
      <c r="B52" s="65" t="s">
        <v>91</v>
      </c>
      <c r="C52" s="66"/>
      <c r="D52" s="62" t="s">
        <v>90</v>
      </c>
      <c r="E52" s="63"/>
      <c r="F52" s="63"/>
      <c r="G52" s="64"/>
      <c r="H52" s="54"/>
      <c r="I52" s="54"/>
      <c r="J52" s="67"/>
      <c r="K52" s="68"/>
      <c r="L52" s="68"/>
      <c r="M52" s="69"/>
    </row>
    <row r="53" spans="1:14" s="1" customFormat="1" ht="14.1" customHeight="1" thickBot="1" x14ac:dyDescent="0.35">
      <c r="A53" s="149"/>
      <c r="B53" s="184" t="s">
        <v>89</v>
      </c>
      <c r="C53" s="185"/>
      <c r="D53" s="186" t="s">
        <v>791</v>
      </c>
      <c r="E53" s="187"/>
      <c r="F53" s="187"/>
      <c r="G53" s="188"/>
      <c r="H53" s="91"/>
      <c r="I53" s="91"/>
      <c r="J53" s="92"/>
      <c r="K53" s="93"/>
      <c r="L53" s="93"/>
      <c r="M53" s="121"/>
    </row>
    <row r="54" spans="1:14" s="1" customFormat="1" ht="14.1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s="1" customFormat="1" ht="14.1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s="1" customFormat="1" ht="14.1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s="1" customFormat="1" ht="14.1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s="1" customFormat="1" ht="14.1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ht="14.1" customHeight="1" x14ac:dyDescent="0.3"/>
    <row r="64" spans="1:14" ht="14.1" customHeight="1" x14ac:dyDescent="0.3"/>
    <row r="65" ht="14.1" customHeight="1" x14ac:dyDescent="0.3"/>
    <row r="66" ht="14.1" customHeight="1" x14ac:dyDescent="0.3"/>
  </sheetData>
  <mergeCells count="279">
    <mergeCell ref="I32:I33"/>
    <mergeCell ref="J32:J33"/>
    <mergeCell ref="K32:K33"/>
    <mergeCell ref="A50:A51"/>
    <mergeCell ref="H50:H51"/>
    <mergeCell ref="I50:I51"/>
    <mergeCell ref="J50:J51"/>
    <mergeCell ref="K50:K51"/>
    <mergeCell ref="A46:A47"/>
    <mergeCell ref="A48:A49"/>
    <mergeCell ref="B46:C46"/>
    <mergeCell ref="D46:G46"/>
    <mergeCell ref="A40:A41"/>
    <mergeCell ref="B40:C40"/>
    <mergeCell ref="D40:G40"/>
    <mergeCell ref="A1:M1"/>
    <mergeCell ref="A31:M31"/>
    <mergeCell ref="J3:J4"/>
    <mergeCell ref="K3:K4"/>
    <mergeCell ref="L3:L4"/>
    <mergeCell ref="M3:M4"/>
    <mergeCell ref="B4:C4"/>
    <mergeCell ref="D4:G4"/>
    <mergeCell ref="L32:L33"/>
    <mergeCell ref="M32:M33"/>
    <mergeCell ref="B33:C33"/>
    <mergeCell ref="D33:G33"/>
    <mergeCell ref="A3:A4"/>
    <mergeCell ref="B3:C3"/>
    <mergeCell ref="D3:G3"/>
    <mergeCell ref="H3:H4"/>
    <mergeCell ref="D32:G32"/>
    <mergeCell ref="H32:H33"/>
    <mergeCell ref="K27:K28"/>
    <mergeCell ref="L27:L28"/>
    <mergeCell ref="M27:M28"/>
    <mergeCell ref="B28:C28"/>
    <mergeCell ref="D28:G28"/>
    <mergeCell ref="A27:A28"/>
    <mergeCell ref="A52:A53"/>
    <mergeCell ref="B52:C52"/>
    <mergeCell ref="D52:G52"/>
    <mergeCell ref="L36:L37"/>
    <mergeCell ref="M36:M37"/>
    <mergeCell ref="A38:A39"/>
    <mergeCell ref="H38:H39"/>
    <mergeCell ref="I38:I39"/>
    <mergeCell ref="J38:J39"/>
    <mergeCell ref="K38:K39"/>
    <mergeCell ref="L38:L39"/>
    <mergeCell ref="M38:M39"/>
    <mergeCell ref="A36:A37"/>
    <mergeCell ref="L42:L43"/>
    <mergeCell ref="M42:M43"/>
    <mergeCell ref="A44:A45"/>
    <mergeCell ref="H44:H45"/>
    <mergeCell ref="I44:I45"/>
    <mergeCell ref="J44:J45"/>
    <mergeCell ref="K44:K45"/>
    <mergeCell ref="L44:L45"/>
    <mergeCell ref="M44:M45"/>
    <mergeCell ref="A42:A43"/>
    <mergeCell ref="L48:L49"/>
    <mergeCell ref="L52:L53"/>
    <mergeCell ref="M52:M53"/>
    <mergeCell ref="B51:C51"/>
    <mergeCell ref="D51:G51"/>
    <mergeCell ref="B50:C50"/>
    <mergeCell ref="D50:G50"/>
    <mergeCell ref="H48:H49"/>
    <mergeCell ref="I48:I49"/>
    <mergeCell ref="J48:J49"/>
    <mergeCell ref="K48:K49"/>
    <mergeCell ref="B49:C49"/>
    <mergeCell ref="D49:G49"/>
    <mergeCell ref="B48:C48"/>
    <mergeCell ref="D48:G48"/>
    <mergeCell ref="H52:H53"/>
    <mergeCell ref="I52:I53"/>
    <mergeCell ref="J52:J53"/>
    <mergeCell ref="K52:K53"/>
    <mergeCell ref="B53:C53"/>
    <mergeCell ref="D53:G53"/>
    <mergeCell ref="M48:M49"/>
    <mergeCell ref="L50:L51"/>
    <mergeCell ref="M50:M51"/>
    <mergeCell ref="L46:L47"/>
    <mergeCell ref="M46:M47"/>
    <mergeCell ref="B45:C45"/>
    <mergeCell ref="D45:G45"/>
    <mergeCell ref="B44:C44"/>
    <mergeCell ref="D44:G44"/>
    <mergeCell ref="H42:H43"/>
    <mergeCell ref="I42:I43"/>
    <mergeCell ref="J42:J43"/>
    <mergeCell ref="K42:K43"/>
    <mergeCell ref="B43:C43"/>
    <mergeCell ref="D43:G43"/>
    <mergeCell ref="B42:C42"/>
    <mergeCell ref="D42:G42"/>
    <mergeCell ref="H46:H47"/>
    <mergeCell ref="I46:I47"/>
    <mergeCell ref="J46:J47"/>
    <mergeCell ref="K46:K47"/>
    <mergeCell ref="B47:C47"/>
    <mergeCell ref="D47:G47"/>
    <mergeCell ref="L40:L41"/>
    <mergeCell ref="M40:M41"/>
    <mergeCell ref="B39:C39"/>
    <mergeCell ref="D39:G39"/>
    <mergeCell ref="B38:C38"/>
    <mergeCell ref="D38:G38"/>
    <mergeCell ref="H36:H37"/>
    <mergeCell ref="I36:I37"/>
    <mergeCell ref="J36:J37"/>
    <mergeCell ref="K36:K37"/>
    <mergeCell ref="B37:C37"/>
    <mergeCell ref="D37:G37"/>
    <mergeCell ref="B36:C36"/>
    <mergeCell ref="D36:G36"/>
    <mergeCell ref="H40:H41"/>
    <mergeCell ref="I40:I41"/>
    <mergeCell ref="J40:J41"/>
    <mergeCell ref="K40:K41"/>
    <mergeCell ref="B41:C41"/>
    <mergeCell ref="D41:G41"/>
    <mergeCell ref="L34:L35"/>
    <mergeCell ref="M34:M35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H34:H35"/>
    <mergeCell ref="I34:I35"/>
    <mergeCell ref="J34:J35"/>
    <mergeCell ref="K34:K35"/>
    <mergeCell ref="B35:C35"/>
    <mergeCell ref="D35:G35"/>
    <mergeCell ref="A34:A35"/>
    <mergeCell ref="B34:C34"/>
    <mergeCell ref="D34:G34"/>
    <mergeCell ref="A32:A33"/>
    <mergeCell ref="B32:C32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L5:L6"/>
    <mergeCell ref="M5:M6"/>
    <mergeCell ref="B6:C6"/>
    <mergeCell ref="D6:G6"/>
    <mergeCell ref="J5:J6"/>
    <mergeCell ref="K5:K6"/>
    <mergeCell ref="A7:A8"/>
    <mergeCell ref="B7:C7"/>
    <mergeCell ref="D7:G7"/>
    <mergeCell ref="H7:H8"/>
    <mergeCell ref="I7:I8"/>
    <mergeCell ref="B2:C2"/>
    <mergeCell ref="D2:G2"/>
    <mergeCell ref="A5:A6"/>
    <mergeCell ref="B5:C5"/>
    <mergeCell ref="D5:G5"/>
    <mergeCell ref="H5:H6"/>
    <mergeCell ref="I5:I6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6F98-0469-4555-B81E-C42640303279}">
  <sheetPr codeName="Sheet41">
    <tabColor rgb="FFFF0000"/>
    <pageSetUpPr fitToPage="1"/>
  </sheetPr>
  <dimension ref="A1:M57"/>
  <sheetViews>
    <sheetView zoomScale="110" zoomScaleNormal="110" workbookViewId="0">
      <selection activeCell="A15" sqref="A15:M34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240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/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63</v>
      </c>
      <c r="I5" s="54">
        <f>SUM(J5)-4.5</f>
        <v>67.5</v>
      </c>
      <c r="J5" s="55">
        <v>72</v>
      </c>
      <c r="K5" s="54">
        <f>SUM(J5)+4.5</f>
        <v>76.5</v>
      </c>
      <c r="L5" s="54">
        <f>SUM(K5)+4.5</f>
        <v>81</v>
      </c>
      <c r="M5" s="160"/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161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24</v>
      </c>
      <c r="I7" s="54">
        <f>SUM(J7)-2.5</f>
        <v>26.5</v>
      </c>
      <c r="J7" s="55">
        <v>29</v>
      </c>
      <c r="K7" s="54">
        <f>SUM(J7)+2.5</f>
        <v>31.5</v>
      </c>
      <c r="L7" s="54">
        <f>SUM(K7)+2.5</f>
        <v>34</v>
      </c>
      <c r="M7" s="160"/>
    </row>
    <row r="8" spans="1:13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161"/>
    </row>
    <row r="9" spans="1:13" s="1" customFormat="1" ht="14.1" customHeight="1" x14ac:dyDescent="0.3">
      <c r="A9" s="78">
        <v>4</v>
      </c>
      <c r="B9" s="65" t="s">
        <v>221</v>
      </c>
      <c r="C9" s="66"/>
      <c r="D9" s="75"/>
      <c r="E9" s="76"/>
      <c r="F9" s="76"/>
      <c r="G9" s="77"/>
      <c r="H9" s="54">
        <f>SUM(I9)-1.9</f>
        <v>15.700000000000001</v>
      </c>
      <c r="I9" s="54">
        <f>SUM(J9)-1.9</f>
        <v>17.600000000000001</v>
      </c>
      <c r="J9" s="55">
        <v>19.5</v>
      </c>
      <c r="K9" s="54">
        <f>SUM(J9)+1.4</f>
        <v>20.9</v>
      </c>
      <c r="L9" s="54">
        <f>SUM(K9)+1.9</f>
        <v>22.799999999999997</v>
      </c>
      <c r="M9" s="56"/>
    </row>
    <row r="10" spans="1:13" s="1" customFormat="1" ht="14.1" customHeight="1" x14ac:dyDescent="0.3">
      <c r="A10" s="35"/>
      <c r="B10" s="70" t="s">
        <v>222</v>
      </c>
      <c r="C10" s="71"/>
      <c r="D10" s="72" t="s">
        <v>141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223</v>
      </c>
      <c r="C11" s="66"/>
      <c r="D11" s="75"/>
      <c r="E11" s="76"/>
      <c r="F11" s="76"/>
      <c r="G11" s="77"/>
      <c r="H11" s="54">
        <f>SUM(I11)-0.6</f>
        <v>5.5000000000000009</v>
      </c>
      <c r="I11" s="54">
        <f>SUM(J11)-0.6</f>
        <v>6.1000000000000005</v>
      </c>
      <c r="J11" s="55">
        <v>6.7</v>
      </c>
      <c r="K11" s="54">
        <f>SUM(J11)+0.6</f>
        <v>7.3</v>
      </c>
      <c r="L11" s="54">
        <f>SUM(K11)+0.6</f>
        <v>7.8999999999999995</v>
      </c>
      <c r="M11" s="56"/>
    </row>
    <row r="12" spans="1:13" s="1" customFormat="1" ht="14.1" customHeight="1" x14ac:dyDescent="0.3">
      <c r="A12" s="103"/>
      <c r="B12" s="70" t="s">
        <v>224</v>
      </c>
      <c r="C12" s="71"/>
      <c r="D12" s="84" t="s">
        <v>241</v>
      </c>
      <c r="E12" s="85"/>
      <c r="F12" s="85"/>
      <c r="G12" s="86"/>
      <c r="H12" s="81"/>
      <c r="I12" s="81"/>
      <c r="J12" s="82"/>
      <c r="K12" s="81"/>
      <c r="L12" s="81"/>
      <c r="M12" s="83"/>
    </row>
    <row r="13" spans="1:13" s="1" customFormat="1" ht="14.1" customHeight="1" x14ac:dyDescent="0.3">
      <c r="A13" s="78">
        <v>6</v>
      </c>
      <c r="B13" s="65"/>
      <c r="C13" s="66"/>
      <c r="D13" s="75"/>
      <c r="E13" s="76"/>
      <c r="F13" s="76"/>
      <c r="G13" s="77"/>
      <c r="H13" s="54"/>
      <c r="I13" s="54"/>
      <c r="J13" s="55"/>
      <c r="K13" s="54"/>
      <c r="L13" s="54"/>
      <c r="M13" s="56"/>
    </row>
    <row r="14" spans="1:13" s="1" customFormat="1" ht="14.1" customHeight="1" thickBot="1" x14ac:dyDescent="0.35">
      <c r="A14" s="244"/>
      <c r="B14" s="231"/>
      <c r="C14" s="232"/>
      <c r="D14" s="240"/>
      <c r="E14" s="241"/>
      <c r="F14" s="241"/>
      <c r="G14" s="242"/>
      <c r="H14" s="206"/>
      <c r="I14" s="206"/>
      <c r="J14" s="243"/>
      <c r="K14" s="206"/>
      <c r="L14" s="206"/>
      <c r="M14" s="239"/>
    </row>
    <row r="15" spans="1:13" s="1" customFormat="1" ht="14.1" customHeight="1" thickTop="1" x14ac:dyDescent="0.3">
      <c r="A15" s="103">
        <v>7</v>
      </c>
      <c r="B15" s="79" t="s">
        <v>11</v>
      </c>
      <c r="C15" s="80"/>
      <c r="D15" s="51" t="s">
        <v>12</v>
      </c>
      <c r="E15" s="52"/>
      <c r="F15" s="52"/>
      <c r="G15" s="53"/>
      <c r="H15" s="105">
        <f>SUM(I15)-3.2</f>
        <v>53.599999999999994</v>
      </c>
      <c r="I15" s="81">
        <f>SUM(J15)-3.2</f>
        <v>56.8</v>
      </c>
      <c r="J15" s="82">
        <v>60</v>
      </c>
      <c r="K15" s="81">
        <f>SUM(J15)+3.2</f>
        <v>63.2</v>
      </c>
      <c r="L15" s="81">
        <f>SUM(K15)+3.2</f>
        <v>66.400000000000006</v>
      </c>
      <c r="M15" s="178"/>
    </row>
    <row r="16" spans="1:13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161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12.100000000000001</v>
      </c>
      <c r="I17" s="54">
        <f>SUM(J17)-0.7</f>
        <v>12.8</v>
      </c>
      <c r="J17" s="55">
        <v>13.5</v>
      </c>
      <c r="K17" s="54">
        <f>SUM(J17)+1.2</f>
        <v>14.7</v>
      </c>
      <c r="L17" s="54">
        <f>SUM(K17)+0.7</f>
        <v>15.399999999999999</v>
      </c>
      <c r="M17" s="160"/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20.8</v>
      </c>
      <c r="I19" s="54">
        <f>SUM(J19)-1.5</f>
        <v>22.3</v>
      </c>
      <c r="J19" s="55">
        <v>23.8</v>
      </c>
      <c r="K19" s="54">
        <f>SUM(J19)+1.5</f>
        <v>25.3</v>
      </c>
      <c r="L19" s="54">
        <f>SUM(K19)+1.5</f>
        <v>26.8</v>
      </c>
      <c r="M19" s="160"/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161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160"/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161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</f>
        <v>20</v>
      </c>
      <c r="I23" s="54">
        <f>SUM(J23)-1</f>
        <v>21</v>
      </c>
      <c r="J23" s="55">
        <v>22</v>
      </c>
      <c r="K23" s="54">
        <f>SUM(J23)+1.5</f>
        <v>23.5</v>
      </c>
      <c r="L23" s="54">
        <f>SUM(K23)+1</f>
        <v>24.5</v>
      </c>
      <c r="M23" s="160"/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161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22.200000000000003</v>
      </c>
      <c r="I25" s="54">
        <f>SUM(J25)-1.2</f>
        <v>23.400000000000002</v>
      </c>
      <c r="J25" s="55">
        <v>24.6</v>
      </c>
      <c r="K25" s="54">
        <f>SUM(J25)+1.7</f>
        <v>26.3</v>
      </c>
      <c r="L25" s="54">
        <f>SUM(K25)+1.2</f>
        <v>27.5</v>
      </c>
      <c r="M25" s="160"/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160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160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160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ht="14.1" customHeight="1" x14ac:dyDescent="0.3">
      <c r="A33" s="78">
        <v>16</v>
      </c>
      <c r="B33" s="65" t="s">
        <v>91</v>
      </c>
      <c r="C33" s="66"/>
      <c r="D33" s="62" t="s">
        <v>90</v>
      </c>
      <c r="E33" s="63"/>
      <c r="F33" s="63"/>
      <c r="G33" s="64"/>
      <c r="H33" s="60"/>
      <c r="I33" s="54"/>
      <c r="J33" s="55"/>
      <c r="K33" s="54"/>
      <c r="L33" s="54"/>
      <c r="M33" s="160"/>
    </row>
    <row r="34" spans="1:13" ht="14.1" customHeight="1" thickBot="1" x14ac:dyDescent="0.35">
      <c r="A34" s="104"/>
      <c r="B34" s="184" t="s">
        <v>89</v>
      </c>
      <c r="C34" s="185"/>
      <c r="D34" s="186" t="s">
        <v>88</v>
      </c>
      <c r="E34" s="187"/>
      <c r="F34" s="187"/>
      <c r="G34" s="188"/>
      <c r="H34" s="141"/>
      <c r="I34" s="91"/>
      <c r="J34" s="107"/>
      <c r="K34" s="91"/>
      <c r="L34" s="91"/>
      <c r="M34" s="200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13E7-3F8C-41BC-B508-F250228A0361}">
  <sheetPr codeName="Sheet42">
    <tabColor rgb="FFFF0000"/>
    <pageSetUpPr fitToPage="1"/>
  </sheetPr>
  <dimension ref="A1:M57"/>
  <sheetViews>
    <sheetView zoomScale="110" zoomScaleNormal="110" workbookViewId="0">
      <selection activeCell="B15" sqref="B15:M26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243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/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65</v>
      </c>
      <c r="I5" s="54">
        <f>SUM(J5)-4.5</f>
        <v>69.5</v>
      </c>
      <c r="J5" s="55">
        <v>74</v>
      </c>
      <c r="K5" s="54">
        <f>SUM(J5)+4.5</f>
        <v>78.5</v>
      </c>
      <c r="L5" s="54">
        <f>SUM(K5)+4.5</f>
        <v>83</v>
      </c>
      <c r="M5" s="160"/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161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27</v>
      </c>
      <c r="I7" s="54">
        <f>SUM(J7)-2.5</f>
        <v>29.5</v>
      </c>
      <c r="J7" s="55">
        <v>32</v>
      </c>
      <c r="K7" s="54">
        <f>SUM(J7)+2.5</f>
        <v>34.5</v>
      </c>
      <c r="L7" s="54">
        <f>SUM(K7)+2.5</f>
        <v>37</v>
      </c>
      <c r="M7" s="160"/>
    </row>
    <row r="8" spans="1:13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161"/>
    </row>
    <row r="9" spans="1:13" s="1" customFormat="1" ht="14.1" customHeight="1" x14ac:dyDescent="0.3">
      <c r="A9" s="78">
        <v>4</v>
      </c>
      <c r="B9" s="65" t="s">
        <v>221</v>
      </c>
      <c r="C9" s="66"/>
      <c r="D9" s="75"/>
      <c r="E9" s="76"/>
      <c r="F9" s="76"/>
      <c r="G9" s="77"/>
      <c r="H9" s="54">
        <f>SUM(I9)-0.6</f>
        <v>6.8000000000000007</v>
      </c>
      <c r="I9" s="54">
        <f>SUM(J9)-0.6</f>
        <v>7.4</v>
      </c>
      <c r="J9" s="55">
        <v>8</v>
      </c>
      <c r="K9" s="54">
        <f>SUM(J9)+0.1</f>
        <v>8.1</v>
      </c>
      <c r="L9" s="54">
        <f t="shared" ref="L9" si="0">SUM(K9)+0.6</f>
        <v>8.6999999999999993</v>
      </c>
      <c r="M9" s="56"/>
    </row>
    <row r="10" spans="1:13" s="1" customFormat="1" ht="14.1" customHeight="1" x14ac:dyDescent="0.3">
      <c r="A10" s="35"/>
      <c r="B10" s="70" t="s">
        <v>222</v>
      </c>
      <c r="C10" s="71"/>
      <c r="D10" s="72" t="s">
        <v>244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223</v>
      </c>
      <c r="C11" s="66"/>
      <c r="D11" s="75"/>
      <c r="E11" s="76"/>
      <c r="F11" s="76"/>
      <c r="G11" s="77"/>
      <c r="H11" s="54">
        <f>SUM(I11)-0.8</f>
        <v>8.3999999999999986</v>
      </c>
      <c r="I11" s="54">
        <f>SUM(J11)-0.8</f>
        <v>9.1999999999999993</v>
      </c>
      <c r="J11" s="55">
        <v>10</v>
      </c>
      <c r="K11" s="54">
        <f>SUM(J11)+0.8</f>
        <v>10.8</v>
      </c>
      <c r="L11" s="54">
        <f t="shared" ref="L11" si="1">SUM(K11)+0.8</f>
        <v>11.600000000000001</v>
      </c>
      <c r="M11" s="56"/>
    </row>
    <row r="12" spans="1:13" s="1" customFormat="1" ht="14.1" customHeight="1" x14ac:dyDescent="0.3">
      <c r="A12" s="103"/>
      <c r="B12" s="70" t="s">
        <v>224</v>
      </c>
      <c r="C12" s="71"/>
      <c r="D12" s="84" t="s">
        <v>245</v>
      </c>
      <c r="E12" s="85"/>
      <c r="F12" s="85"/>
      <c r="G12" s="86"/>
      <c r="H12" s="81"/>
      <c r="I12" s="81"/>
      <c r="J12" s="82"/>
      <c r="K12" s="81"/>
      <c r="L12" s="81"/>
      <c r="M12" s="83"/>
    </row>
    <row r="13" spans="1:13" s="1" customFormat="1" ht="14.1" customHeight="1" x14ac:dyDescent="0.3">
      <c r="A13" s="78">
        <v>6</v>
      </c>
      <c r="B13" s="65" t="s">
        <v>246</v>
      </c>
      <c r="C13" s="66"/>
      <c r="D13" s="75"/>
      <c r="E13" s="76"/>
      <c r="F13" s="76"/>
      <c r="G13" s="77"/>
      <c r="H13" s="54">
        <f>SUM(I13)-1.1</f>
        <v>9</v>
      </c>
      <c r="I13" s="54">
        <f>SUM(J13)-1.1</f>
        <v>10.1</v>
      </c>
      <c r="J13" s="55">
        <v>11.2</v>
      </c>
      <c r="K13" s="54">
        <f>SUM(J13)+1.1</f>
        <v>12.299999999999999</v>
      </c>
      <c r="L13" s="54">
        <f>SUM(K13)+1.1</f>
        <v>13.399999999999999</v>
      </c>
      <c r="M13" s="56"/>
    </row>
    <row r="14" spans="1:13" s="1" customFormat="1" ht="14.1" customHeight="1" thickBot="1" x14ac:dyDescent="0.35">
      <c r="A14" s="244"/>
      <c r="B14" s="231" t="s">
        <v>247</v>
      </c>
      <c r="C14" s="232"/>
      <c r="D14" s="240" t="s">
        <v>248</v>
      </c>
      <c r="E14" s="241"/>
      <c r="F14" s="241"/>
      <c r="G14" s="242"/>
      <c r="H14" s="206"/>
      <c r="I14" s="206"/>
      <c r="J14" s="243"/>
      <c r="K14" s="206"/>
      <c r="L14" s="206"/>
      <c r="M14" s="239"/>
    </row>
    <row r="15" spans="1:13" s="1" customFormat="1" ht="14.1" customHeight="1" thickTop="1" x14ac:dyDescent="0.3">
      <c r="A15" s="103">
        <v>7</v>
      </c>
      <c r="B15" s="79" t="s">
        <v>11</v>
      </c>
      <c r="C15" s="80"/>
      <c r="D15" s="51" t="s">
        <v>12</v>
      </c>
      <c r="E15" s="52"/>
      <c r="F15" s="52"/>
      <c r="G15" s="53"/>
      <c r="H15" s="105">
        <f>SUM(I15)-3.2</f>
        <v>53.599999999999994</v>
      </c>
      <c r="I15" s="81">
        <f>SUM(J15)-3.2</f>
        <v>56.8</v>
      </c>
      <c r="J15" s="82">
        <v>60</v>
      </c>
      <c r="K15" s="81">
        <f>SUM(J15)+3.2</f>
        <v>63.2</v>
      </c>
      <c r="L15" s="81">
        <f>SUM(K15)+3.2</f>
        <v>66.400000000000006</v>
      </c>
      <c r="M15" s="178"/>
    </row>
    <row r="16" spans="1:13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161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12.100000000000001</v>
      </c>
      <c r="I17" s="54">
        <f>SUM(J17)-0.7</f>
        <v>12.8</v>
      </c>
      <c r="J17" s="55">
        <v>13.5</v>
      </c>
      <c r="K17" s="54">
        <f>SUM(J17)+1.2</f>
        <v>14.7</v>
      </c>
      <c r="L17" s="54">
        <f>SUM(K17)+0.7</f>
        <v>15.399999999999999</v>
      </c>
      <c r="M17" s="160"/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18.7</v>
      </c>
      <c r="I19" s="54">
        <f>SUM(J19)-1.5</f>
        <v>20.2</v>
      </c>
      <c r="J19" s="55">
        <v>21.7</v>
      </c>
      <c r="K19" s="54">
        <f>SUM(J19)+1.5</f>
        <v>23.2</v>
      </c>
      <c r="L19" s="54">
        <f>SUM(K19)+1.5</f>
        <v>24.7</v>
      </c>
      <c r="M19" s="160"/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161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160"/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161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</f>
        <v>19.899999999999999</v>
      </c>
      <c r="I23" s="54">
        <f>SUM(J23)-1</f>
        <v>20.9</v>
      </c>
      <c r="J23" s="55">
        <v>21.9</v>
      </c>
      <c r="K23" s="54">
        <f>SUM(J23)+1.5</f>
        <v>23.4</v>
      </c>
      <c r="L23" s="54">
        <f>SUM(K23)+1</f>
        <v>24.4</v>
      </c>
      <c r="M23" s="160"/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161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22.200000000000003</v>
      </c>
      <c r="I25" s="54">
        <f>SUM(J25)-1.2</f>
        <v>23.400000000000002</v>
      </c>
      <c r="J25" s="55">
        <v>24.6</v>
      </c>
      <c r="K25" s="54">
        <f>SUM(J25)+1.7</f>
        <v>26.3</v>
      </c>
      <c r="L25" s="54">
        <f>SUM(K25)+1.2</f>
        <v>27.5</v>
      </c>
      <c r="M25" s="160"/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160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160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160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ht="14.1" customHeight="1" x14ac:dyDescent="0.3">
      <c r="A33" s="78">
        <v>16</v>
      </c>
      <c r="B33" s="65" t="s">
        <v>91</v>
      </c>
      <c r="C33" s="66"/>
      <c r="D33" s="62" t="s">
        <v>90</v>
      </c>
      <c r="E33" s="63"/>
      <c r="F33" s="63"/>
      <c r="G33" s="64"/>
      <c r="H33" s="60"/>
      <c r="I33" s="54"/>
      <c r="J33" s="55"/>
      <c r="K33" s="54"/>
      <c r="L33" s="54"/>
      <c r="M33" s="160"/>
    </row>
    <row r="34" spans="1:13" ht="14.1" customHeight="1" thickBot="1" x14ac:dyDescent="0.35">
      <c r="A34" s="104"/>
      <c r="B34" s="184" t="s">
        <v>89</v>
      </c>
      <c r="C34" s="185"/>
      <c r="D34" s="186" t="s">
        <v>88</v>
      </c>
      <c r="E34" s="187"/>
      <c r="F34" s="187"/>
      <c r="G34" s="188"/>
      <c r="H34" s="141"/>
      <c r="I34" s="91"/>
      <c r="J34" s="107"/>
      <c r="K34" s="91"/>
      <c r="L34" s="91"/>
      <c r="M34" s="200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7BFB-1800-4419-93EB-3BAE0C360889}">
  <sheetPr codeName="Sheet43">
    <tabColor rgb="FFFF0000"/>
    <pageSetUpPr fitToPage="1"/>
  </sheetPr>
  <dimension ref="A1:M57"/>
  <sheetViews>
    <sheetView zoomScale="110" zoomScaleNormal="110" workbookViewId="0">
      <selection activeCell="O10" sqref="O10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376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63</v>
      </c>
      <c r="I5" s="54">
        <f>SUM(J5)-4.5</f>
        <v>67.5</v>
      </c>
      <c r="J5" s="55">
        <v>72</v>
      </c>
      <c r="K5" s="54">
        <f>SUM(J5)+4.5</f>
        <v>76.5</v>
      </c>
      <c r="L5" s="54">
        <f>SUM(K5)+4.5</f>
        <v>81</v>
      </c>
      <c r="M5" s="56">
        <f>SUM(L5)+4.5</f>
        <v>85.5</v>
      </c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44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SUM(I7)-6</f>
        <v>42</v>
      </c>
      <c r="I7" s="54">
        <f>SUM(J7)-6</f>
        <v>48</v>
      </c>
      <c r="J7" s="55">
        <v>54</v>
      </c>
      <c r="K7" s="54">
        <f>SUM(J7)+5</f>
        <v>59</v>
      </c>
      <c r="L7" s="54">
        <f>SUM(K7)+5</f>
        <v>64</v>
      </c>
      <c r="M7" s="56">
        <f>SUM(L7)+5</f>
        <v>69</v>
      </c>
    </row>
    <row r="8" spans="1:13" s="1" customFormat="1" ht="14.1" customHeight="1" x14ac:dyDescent="0.3">
      <c r="A8" s="35"/>
      <c r="B8" s="70" t="s">
        <v>377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44"/>
    </row>
    <row r="9" spans="1:13" s="1" customFormat="1" ht="14.1" customHeight="1" x14ac:dyDescent="0.3">
      <c r="A9" s="78">
        <v>4</v>
      </c>
      <c r="B9" s="65" t="s">
        <v>221</v>
      </c>
      <c r="C9" s="66"/>
      <c r="D9" s="75"/>
      <c r="E9" s="76"/>
      <c r="F9" s="76"/>
      <c r="G9" s="77"/>
      <c r="H9" s="54">
        <f>SUM(I9)-1.5</f>
        <v>10</v>
      </c>
      <c r="I9" s="54">
        <f>SUM(J9)-1.5</f>
        <v>11.5</v>
      </c>
      <c r="J9" s="55">
        <v>13</v>
      </c>
      <c r="K9" s="54">
        <f>SUM(J9)+1.3</f>
        <v>14.3</v>
      </c>
      <c r="L9" s="54">
        <f>SUM(K9)+1.3</f>
        <v>15.600000000000001</v>
      </c>
      <c r="M9" s="56">
        <f>SUM(L9)+1.3</f>
        <v>16.900000000000002</v>
      </c>
    </row>
    <row r="10" spans="1:13" s="1" customFormat="1" ht="14.1" customHeight="1" x14ac:dyDescent="0.3">
      <c r="A10" s="35"/>
      <c r="B10" s="70" t="s">
        <v>222</v>
      </c>
      <c r="C10" s="71"/>
      <c r="D10" s="72" t="s">
        <v>378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223</v>
      </c>
      <c r="C11" s="66"/>
      <c r="D11" s="75"/>
      <c r="E11" s="76"/>
      <c r="F11" s="76"/>
      <c r="G11" s="77"/>
      <c r="H11" s="54">
        <f>SUM(I11)-2</f>
        <v>13</v>
      </c>
      <c r="I11" s="54">
        <f>SUM(J11)-2</f>
        <v>15</v>
      </c>
      <c r="J11" s="55">
        <v>17</v>
      </c>
      <c r="K11" s="54">
        <f>SUM(J11)+1.6</f>
        <v>18.600000000000001</v>
      </c>
      <c r="L11" s="54">
        <f>SUM(K11)+1.6</f>
        <v>20.200000000000003</v>
      </c>
      <c r="M11" s="56">
        <f>SUM(L11)+1.6</f>
        <v>21.800000000000004</v>
      </c>
    </row>
    <row r="12" spans="1:13" s="1" customFormat="1" ht="14.1" customHeight="1" x14ac:dyDescent="0.3">
      <c r="A12" s="103"/>
      <c r="B12" s="70" t="s">
        <v>224</v>
      </c>
      <c r="C12" s="71"/>
      <c r="D12" s="84"/>
      <c r="E12" s="85"/>
      <c r="F12" s="85"/>
      <c r="G12" s="86"/>
      <c r="H12" s="81"/>
      <c r="I12" s="81"/>
      <c r="J12" s="82"/>
      <c r="K12" s="81"/>
      <c r="L12" s="81"/>
      <c r="M12" s="83"/>
    </row>
    <row r="13" spans="1:13" s="1" customFormat="1" ht="14.1" customHeight="1" x14ac:dyDescent="0.3">
      <c r="A13" s="78">
        <v>6</v>
      </c>
      <c r="B13" s="65" t="s">
        <v>246</v>
      </c>
      <c r="C13" s="66"/>
      <c r="D13" s="75"/>
      <c r="E13" s="76"/>
      <c r="F13" s="76"/>
      <c r="G13" s="77"/>
      <c r="H13" s="54">
        <f>SUM(I13)-2.5</f>
        <v>16.2</v>
      </c>
      <c r="I13" s="54">
        <f>SUM(J13)-2.5</f>
        <v>18.7</v>
      </c>
      <c r="J13" s="55">
        <v>21.2</v>
      </c>
      <c r="K13" s="54">
        <f>SUM(J13)+1.6</f>
        <v>22.8</v>
      </c>
      <c r="L13" s="54">
        <f>SUM(K13)+2.1</f>
        <v>24.900000000000002</v>
      </c>
      <c r="M13" s="56">
        <f>SUM(L13)+2.1</f>
        <v>27.000000000000004</v>
      </c>
    </row>
    <row r="14" spans="1:13" s="1" customFormat="1" ht="14.1" customHeight="1" x14ac:dyDescent="0.3">
      <c r="A14" s="103"/>
      <c r="B14" s="195" t="s">
        <v>247</v>
      </c>
      <c r="C14" s="196"/>
      <c r="D14" s="84" t="s">
        <v>379</v>
      </c>
      <c r="E14" s="85"/>
      <c r="F14" s="85"/>
      <c r="G14" s="86"/>
      <c r="H14" s="81"/>
      <c r="I14" s="81"/>
      <c r="J14" s="82"/>
      <c r="K14" s="81"/>
      <c r="L14" s="81"/>
      <c r="M14" s="83"/>
    </row>
    <row r="15" spans="1:13" s="1" customFormat="1" ht="14.1" customHeight="1" x14ac:dyDescent="0.3">
      <c r="A15" s="78">
        <v>7</v>
      </c>
      <c r="B15" s="65"/>
      <c r="C15" s="66"/>
      <c r="D15" s="62"/>
      <c r="E15" s="63"/>
      <c r="F15" s="63"/>
      <c r="G15" s="64"/>
      <c r="H15" s="60"/>
      <c r="I15" s="54"/>
      <c r="J15" s="55"/>
      <c r="K15" s="54"/>
      <c r="L15" s="54"/>
      <c r="M15" s="160"/>
    </row>
    <row r="16" spans="1:13" s="1" customFormat="1" ht="14.1" customHeight="1" x14ac:dyDescent="0.3">
      <c r="A16" s="35"/>
      <c r="B16" s="70"/>
      <c r="C16" s="71"/>
      <c r="D16" s="151"/>
      <c r="E16" s="152"/>
      <c r="F16" s="152"/>
      <c r="G16" s="153"/>
      <c r="H16" s="45"/>
      <c r="I16" s="40"/>
      <c r="J16" s="42"/>
      <c r="K16" s="40"/>
      <c r="L16" s="40"/>
      <c r="M16" s="161"/>
    </row>
    <row r="17" spans="1:13" s="1" customFormat="1" ht="14.1" customHeight="1" x14ac:dyDescent="0.3">
      <c r="A17" s="78">
        <v>8</v>
      </c>
      <c r="B17" s="65"/>
      <c r="C17" s="66"/>
      <c r="D17" s="62"/>
      <c r="E17" s="63"/>
      <c r="F17" s="63"/>
      <c r="G17" s="64"/>
      <c r="H17" s="60"/>
      <c r="I17" s="54"/>
      <c r="J17" s="55"/>
      <c r="K17" s="54"/>
      <c r="L17" s="54"/>
      <c r="M17" s="160"/>
    </row>
    <row r="18" spans="1:13" s="1" customFormat="1" ht="14.1" customHeight="1" x14ac:dyDescent="0.3">
      <c r="A18" s="35"/>
      <c r="B18" s="70"/>
      <c r="C18" s="71"/>
      <c r="D18" s="162"/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78">
        <v>9</v>
      </c>
      <c r="B19" s="65"/>
      <c r="C19" s="66"/>
      <c r="D19" s="62"/>
      <c r="E19" s="63"/>
      <c r="F19" s="63"/>
      <c r="G19" s="64"/>
      <c r="H19" s="60"/>
      <c r="I19" s="54"/>
      <c r="J19" s="55"/>
      <c r="K19" s="54"/>
      <c r="L19" s="54"/>
      <c r="M19" s="160"/>
    </row>
    <row r="20" spans="1:13" s="1" customFormat="1" ht="14.1" customHeight="1" x14ac:dyDescent="0.3">
      <c r="A20" s="35"/>
      <c r="B20" s="70"/>
      <c r="C20" s="71"/>
      <c r="D20" s="151"/>
      <c r="E20" s="152"/>
      <c r="F20" s="152"/>
      <c r="G20" s="153"/>
      <c r="H20" s="45"/>
      <c r="I20" s="40"/>
      <c r="J20" s="42"/>
      <c r="K20" s="40"/>
      <c r="L20" s="40"/>
      <c r="M20" s="161"/>
    </row>
    <row r="21" spans="1:13" s="1" customFormat="1" ht="14.1" customHeight="1" x14ac:dyDescent="0.3">
      <c r="A21" s="78">
        <v>10</v>
      </c>
      <c r="B21" s="65"/>
      <c r="C21" s="66"/>
      <c r="D21" s="62"/>
      <c r="E21" s="63"/>
      <c r="F21" s="63"/>
      <c r="G21" s="64"/>
      <c r="H21" s="60"/>
      <c r="I21" s="54"/>
      <c r="J21" s="55"/>
      <c r="K21" s="54"/>
      <c r="L21" s="54"/>
      <c r="M21" s="160"/>
    </row>
    <row r="22" spans="1:13" ht="14.1" customHeight="1" x14ac:dyDescent="0.3">
      <c r="A22" s="35"/>
      <c r="B22" s="70"/>
      <c r="C22" s="71"/>
      <c r="D22" s="46"/>
      <c r="E22" s="47"/>
      <c r="F22" s="47"/>
      <c r="G22" s="59"/>
      <c r="H22" s="45"/>
      <c r="I22" s="40"/>
      <c r="J22" s="42"/>
      <c r="K22" s="40"/>
      <c r="L22" s="40"/>
      <c r="M22" s="161"/>
    </row>
    <row r="23" spans="1:13" ht="14.1" customHeight="1" x14ac:dyDescent="0.3">
      <c r="A23" s="78">
        <v>11</v>
      </c>
      <c r="B23" s="65"/>
      <c r="C23" s="66"/>
      <c r="D23" s="62"/>
      <c r="E23" s="63"/>
      <c r="F23" s="63"/>
      <c r="G23" s="64"/>
      <c r="H23" s="60"/>
      <c r="I23" s="54"/>
      <c r="J23" s="55"/>
      <c r="K23" s="54"/>
      <c r="L23" s="54"/>
      <c r="M23" s="160"/>
    </row>
    <row r="24" spans="1:13" ht="14.1" customHeight="1" x14ac:dyDescent="0.3">
      <c r="A24" s="35"/>
      <c r="B24" s="70"/>
      <c r="C24" s="71"/>
      <c r="D24" s="151"/>
      <c r="E24" s="152"/>
      <c r="F24" s="152"/>
      <c r="G24" s="153"/>
      <c r="H24" s="45"/>
      <c r="I24" s="40"/>
      <c r="J24" s="42"/>
      <c r="K24" s="40"/>
      <c r="L24" s="40"/>
      <c r="M24" s="161"/>
    </row>
    <row r="25" spans="1:13" ht="14.1" customHeight="1" x14ac:dyDescent="0.3">
      <c r="A25" s="78">
        <v>12</v>
      </c>
      <c r="B25" s="65"/>
      <c r="C25" s="66"/>
      <c r="D25" s="62"/>
      <c r="E25" s="63"/>
      <c r="F25" s="63"/>
      <c r="G25" s="64"/>
      <c r="H25" s="60"/>
      <c r="I25" s="54"/>
      <c r="J25" s="55"/>
      <c r="K25" s="54"/>
      <c r="L25" s="54"/>
      <c r="M25" s="160"/>
    </row>
    <row r="26" spans="1:13" ht="14.1" customHeight="1" x14ac:dyDescent="0.3">
      <c r="A26" s="35"/>
      <c r="B26" s="70"/>
      <c r="C26" s="71"/>
      <c r="D26" s="151"/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ht="14.1" customHeight="1" x14ac:dyDescent="0.3">
      <c r="A27" s="78">
        <v>13</v>
      </c>
      <c r="B27" s="65"/>
      <c r="C27" s="66"/>
      <c r="D27" s="62"/>
      <c r="E27" s="63"/>
      <c r="F27" s="63"/>
      <c r="G27" s="64"/>
      <c r="H27" s="60"/>
      <c r="I27" s="54"/>
      <c r="J27" s="55"/>
      <c r="K27" s="54"/>
      <c r="L27" s="54"/>
      <c r="M27" s="160"/>
    </row>
    <row r="28" spans="1:13" ht="14.1" customHeight="1" x14ac:dyDescent="0.3">
      <c r="A28" s="35"/>
      <c r="B28" s="70"/>
      <c r="C28" s="71"/>
      <c r="D28" s="151"/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ht="14.1" customHeight="1" x14ac:dyDescent="0.3">
      <c r="A29" s="78">
        <v>14</v>
      </c>
      <c r="B29" s="65"/>
      <c r="C29" s="66"/>
      <c r="D29" s="62"/>
      <c r="E29" s="63"/>
      <c r="F29" s="63"/>
      <c r="G29" s="64"/>
      <c r="H29" s="60"/>
      <c r="I29" s="54"/>
      <c r="J29" s="55"/>
      <c r="K29" s="54"/>
      <c r="L29" s="54"/>
      <c r="M29" s="160"/>
    </row>
    <row r="30" spans="1:13" ht="14.1" customHeight="1" x14ac:dyDescent="0.3">
      <c r="A30" s="35"/>
      <c r="B30" s="70"/>
      <c r="C30" s="71"/>
      <c r="D30" s="151"/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ht="14.1" customHeight="1" x14ac:dyDescent="0.3">
      <c r="A31" s="78">
        <v>15</v>
      </c>
      <c r="B31" s="65"/>
      <c r="C31" s="66"/>
      <c r="D31" s="62"/>
      <c r="E31" s="63"/>
      <c r="F31" s="63"/>
      <c r="G31" s="64"/>
      <c r="H31" s="60"/>
      <c r="I31" s="54"/>
      <c r="J31" s="55"/>
      <c r="K31" s="54"/>
      <c r="L31" s="54"/>
      <c r="M31" s="160"/>
    </row>
    <row r="32" spans="1:13" ht="14.1" customHeight="1" x14ac:dyDescent="0.3">
      <c r="A32" s="35"/>
      <c r="B32" s="70"/>
      <c r="C32" s="71"/>
      <c r="D32" s="151"/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ht="14.1" customHeight="1" x14ac:dyDescent="0.3">
      <c r="A33" s="78">
        <v>16</v>
      </c>
      <c r="B33" s="65"/>
      <c r="C33" s="66"/>
      <c r="D33" s="62"/>
      <c r="E33" s="63"/>
      <c r="F33" s="63"/>
      <c r="G33" s="64"/>
      <c r="H33" s="60"/>
      <c r="I33" s="54"/>
      <c r="J33" s="55"/>
      <c r="K33" s="54"/>
      <c r="L33" s="54"/>
      <c r="M33" s="160"/>
    </row>
    <row r="34" spans="1:13" ht="14.1" customHeight="1" thickBot="1" x14ac:dyDescent="0.35">
      <c r="A34" s="104"/>
      <c r="B34" s="184"/>
      <c r="C34" s="185"/>
      <c r="D34" s="186"/>
      <c r="E34" s="187"/>
      <c r="F34" s="187"/>
      <c r="G34" s="188"/>
      <c r="H34" s="141"/>
      <c r="I34" s="91"/>
      <c r="J34" s="107"/>
      <c r="K34" s="91"/>
      <c r="L34" s="91"/>
      <c r="M34" s="200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2FF7-CD3A-4A83-841C-36F77A32A85D}">
  <sheetPr>
    <tabColor rgb="FFFF0000"/>
    <pageSetUpPr fitToPage="1"/>
  </sheetPr>
  <dimension ref="A1:M57"/>
  <sheetViews>
    <sheetView zoomScale="110" zoomScaleNormal="110" workbookViewId="0">
      <selection sqref="A1:M34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587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2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/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65</v>
      </c>
      <c r="I5" s="54">
        <f>SUM(J5)-4.5</f>
        <v>69.5</v>
      </c>
      <c r="J5" s="55">
        <v>74</v>
      </c>
      <c r="K5" s="54">
        <f>SUM(J5)+4.5</f>
        <v>78.5</v>
      </c>
      <c r="L5" s="54">
        <f>SUM(K5)+4.5</f>
        <v>83</v>
      </c>
      <c r="M5" s="56"/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44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24</v>
      </c>
      <c r="I7" s="54">
        <f>SUM(J7)-2.5</f>
        <v>26.5</v>
      </c>
      <c r="J7" s="55">
        <v>29</v>
      </c>
      <c r="K7" s="54">
        <f>SUM(J7)+2.5</f>
        <v>31.5</v>
      </c>
      <c r="L7" s="54">
        <f>SUM(K7)+2.5</f>
        <v>34</v>
      </c>
      <c r="M7" s="56"/>
    </row>
    <row r="8" spans="1:13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44"/>
    </row>
    <row r="9" spans="1:13" s="1" customFormat="1" ht="14.1" customHeight="1" x14ac:dyDescent="0.3">
      <c r="A9" s="78">
        <v>4</v>
      </c>
      <c r="B9" s="65" t="s">
        <v>221</v>
      </c>
      <c r="C9" s="66"/>
      <c r="D9" s="75"/>
      <c r="E9" s="76"/>
      <c r="F9" s="76"/>
      <c r="G9" s="77"/>
      <c r="H9" s="54">
        <f>SUM(I9)-0.8</f>
        <v>6.9</v>
      </c>
      <c r="I9" s="54">
        <f>SUM(J9)-0.8</f>
        <v>7.7</v>
      </c>
      <c r="J9" s="55">
        <v>8.5</v>
      </c>
      <c r="K9" s="54">
        <f>SUM(J9)+0.6</f>
        <v>9.1</v>
      </c>
      <c r="L9" s="54">
        <f>SUM(K9)+0.8</f>
        <v>9.9</v>
      </c>
      <c r="M9" s="56"/>
    </row>
    <row r="10" spans="1:13" s="1" customFormat="1" ht="14.1" customHeight="1" x14ac:dyDescent="0.3">
      <c r="A10" s="35"/>
      <c r="B10" s="70" t="s">
        <v>222</v>
      </c>
      <c r="C10" s="71"/>
      <c r="D10" s="72" t="s">
        <v>588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223</v>
      </c>
      <c r="C11" s="66"/>
      <c r="D11" s="75"/>
      <c r="E11" s="76"/>
      <c r="F11" s="76"/>
      <c r="G11" s="77"/>
      <c r="H11" s="54">
        <f>SUM(I11)-0.8</f>
        <v>6.9</v>
      </c>
      <c r="I11" s="54">
        <f>SUM(J11)-0.8</f>
        <v>7.7</v>
      </c>
      <c r="J11" s="55">
        <v>8.5</v>
      </c>
      <c r="K11" s="54">
        <f>SUM(J11)+0.6</f>
        <v>9.1</v>
      </c>
      <c r="L11" s="54">
        <f>SUM(K11)+0.8</f>
        <v>9.9</v>
      </c>
      <c r="M11" s="56"/>
    </row>
    <row r="12" spans="1:13" s="1" customFormat="1" ht="14.1" customHeight="1" x14ac:dyDescent="0.3">
      <c r="A12" s="103"/>
      <c r="B12" s="70" t="s">
        <v>224</v>
      </c>
      <c r="C12" s="71"/>
      <c r="D12" s="84" t="s">
        <v>589</v>
      </c>
      <c r="E12" s="85"/>
      <c r="F12" s="85"/>
      <c r="G12" s="86"/>
      <c r="H12" s="81"/>
      <c r="I12" s="81"/>
      <c r="J12" s="82"/>
      <c r="K12" s="81"/>
      <c r="L12" s="40"/>
      <c r="M12" s="44"/>
    </row>
    <row r="13" spans="1:13" s="1" customFormat="1" ht="14.1" customHeight="1" x14ac:dyDescent="0.3">
      <c r="A13" s="78">
        <v>6</v>
      </c>
      <c r="B13" s="65" t="s">
        <v>246</v>
      </c>
      <c r="C13" s="66"/>
      <c r="D13" s="75"/>
      <c r="E13" s="76"/>
      <c r="F13" s="76"/>
      <c r="G13" s="77"/>
      <c r="H13" s="54">
        <f>SUM(I13)-0.9</f>
        <v>6.8999999999999986</v>
      </c>
      <c r="I13" s="54">
        <f>SUM(J13)-0.9</f>
        <v>7.7999999999999989</v>
      </c>
      <c r="J13" s="55">
        <v>8.6999999999999993</v>
      </c>
      <c r="K13" s="54">
        <f>SUM(J13)+0.8</f>
        <v>9.5</v>
      </c>
      <c r="L13" s="54">
        <f>SUM(K13)+0.9</f>
        <v>10.4</v>
      </c>
      <c r="M13" s="56"/>
    </row>
    <row r="14" spans="1:13" s="1" customFormat="1" ht="14.1" customHeight="1" thickBot="1" x14ac:dyDescent="0.35">
      <c r="A14" s="103"/>
      <c r="B14" s="195" t="s">
        <v>247</v>
      </c>
      <c r="C14" s="196"/>
      <c r="D14" s="84" t="s">
        <v>590</v>
      </c>
      <c r="E14" s="85"/>
      <c r="F14" s="85"/>
      <c r="G14" s="86"/>
      <c r="H14" s="81"/>
      <c r="I14" s="81"/>
      <c r="J14" s="82"/>
      <c r="K14" s="81"/>
      <c r="L14" s="81"/>
      <c r="M14" s="83"/>
    </row>
    <row r="15" spans="1:13" s="1" customFormat="1" ht="14.1" customHeight="1" thickTop="1" x14ac:dyDescent="0.3">
      <c r="A15" s="233">
        <v>7</v>
      </c>
      <c r="B15" s="218" t="s">
        <v>11</v>
      </c>
      <c r="C15" s="219"/>
      <c r="D15" s="220" t="s">
        <v>12</v>
      </c>
      <c r="E15" s="221"/>
      <c r="F15" s="221"/>
      <c r="G15" s="222"/>
      <c r="H15" s="223">
        <f>SUM(I15)-3.2</f>
        <v>53.599999999999994</v>
      </c>
      <c r="I15" s="224">
        <f>SUM(J15)-3.2</f>
        <v>56.8</v>
      </c>
      <c r="J15" s="226">
        <v>60</v>
      </c>
      <c r="K15" s="224">
        <f>SUM(J15)+3.2</f>
        <v>63.2</v>
      </c>
      <c r="L15" s="224">
        <f>SUM(K15)+3.2</f>
        <v>66.400000000000006</v>
      </c>
      <c r="M15" s="225"/>
    </row>
    <row r="16" spans="1:13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44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12.600000000000001</v>
      </c>
      <c r="I17" s="54">
        <f>SUM(J17)-0.7</f>
        <v>13.3</v>
      </c>
      <c r="J17" s="55">
        <v>14</v>
      </c>
      <c r="K17" s="54">
        <f>SUM(J17)+1.2</f>
        <v>15.2</v>
      </c>
      <c r="L17" s="54">
        <f>SUM(K17)+0.7</f>
        <v>15.899999999999999</v>
      </c>
      <c r="M17" s="56"/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44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21.3</v>
      </c>
      <c r="I19" s="54">
        <f>SUM(J19)-1.5</f>
        <v>22.8</v>
      </c>
      <c r="J19" s="55">
        <v>24.3</v>
      </c>
      <c r="K19" s="54">
        <f>SUM(J19)+1.5</f>
        <v>25.8</v>
      </c>
      <c r="L19" s="54">
        <f>SUM(K19)+1.5</f>
        <v>27.3</v>
      </c>
      <c r="M19" s="56"/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44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56"/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44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SUM(I23)-1.1</f>
        <v>20.299999999999997</v>
      </c>
      <c r="I23" s="54">
        <f>SUM(J23)-1</f>
        <v>21.4</v>
      </c>
      <c r="J23" s="55">
        <v>22.4</v>
      </c>
      <c r="K23" s="54">
        <f>SUM(J23)+1.5</f>
        <v>23.9</v>
      </c>
      <c r="L23" s="54">
        <f>SUM(K23)+1</f>
        <v>24.9</v>
      </c>
      <c r="M23" s="56"/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44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22.700000000000003</v>
      </c>
      <c r="I25" s="54">
        <f>SUM(J25)-1.2</f>
        <v>23.900000000000002</v>
      </c>
      <c r="J25" s="55">
        <v>25.1</v>
      </c>
      <c r="K25" s="54">
        <f>SUM(J25)+1.7</f>
        <v>26.8</v>
      </c>
      <c r="L25" s="54">
        <f>SUM(K25)+1.2</f>
        <v>28</v>
      </c>
      <c r="M25" s="56"/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4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56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44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56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44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56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44"/>
    </row>
    <row r="33" spans="1:13" ht="14.1" customHeight="1" x14ac:dyDescent="0.3">
      <c r="A33" s="78">
        <v>16</v>
      </c>
      <c r="B33" s="65" t="s">
        <v>91</v>
      </c>
      <c r="C33" s="66"/>
      <c r="D33" s="62"/>
      <c r="E33" s="63"/>
      <c r="F33" s="63"/>
      <c r="G33" s="64"/>
      <c r="H33" s="60"/>
      <c r="I33" s="54"/>
      <c r="J33" s="55"/>
      <c r="K33" s="54"/>
      <c r="L33" s="54"/>
      <c r="M33" s="56"/>
    </row>
    <row r="34" spans="1:13" ht="14.1" customHeight="1" thickBot="1" x14ac:dyDescent="0.35">
      <c r="A34" s="104"/>
      <c r="B34" s="184" t="s">
        <v>89</v>
      </c>
      <c r="C34" s="185"/>
      <c r="D34" s="186"/>
      <c r="E34" s="187"/>
      <c r="F34" s="187"/>
      <c r="G34" s="188"/>
      <c r="H34" s="141"/>
      <c r="I34" s="91"/>
      <c r="J34" s="107"/>
      <c r="K34" s="91"/>
      <c r="L34" s="91"/>
      <c r="M34" s="147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95AE-DDDE-4F25-B3D0-0CAB18E1F506}">
  <sheetPr codeName="Sheet44">
    <tabColor rgb="FFFF0000"/>
    <pageSetUpPr fitToPage="1"/>
  </sheetPr>
  <dimension ref="A1:M57"/>
  <sheetViews>
    <sheetView zoomScale="110" zoomScaleNormal="110" workbookViewId="0">
      <selection activeCell="J3" sqref="J3:J4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520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SUM(I3)-2.5</f>
        <v>44</v>
      </c>
      <c r="I3" s="39">
        <f>SUM(J3)-2.5</f>
        <v>46.5</v>
      </c>
      <c r="J3" s="41">
        <v>49</v>
      </c>
      <c r="K3" s="39">
        <f>SUM(J3)+2.5</f>
        <v>51.5</v>
      </c>
      <c r="L3" s="39">
        <f>SUM(K3)+2.5</f>
        <v>54</v>
      </c>
      <c r="M3" s="43"/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63</v>
      </c>
      <c r="I5" s="54">
        <f>SUM(J5)-4.5</f>
        <v>67.5</v>
      </c>
      <c r="J5" s="55">
        <v>72</v>
      </c>
      <c r="K5" s="54">
        <f>SUM(J5)+4.5</f>
        <v>76.5</v>
      </c>
      <c r="L5" s="54">
        <f>SUM(K5)+4.5</f>
        <v>81</v>
      </c>
      <c r="M5" s="160"/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161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22</v>
      </c>
      <c r="I7" s="54">
        <f>SUM(J7)-2.5</f>
        <v>24.5</v>
      </c>
      <c r="J7" s="55">
        <v>27</v>
      </c>
      <c r="K7" s="54">
        <f>SUM(J7)+2.5</f>
        <v>29.5</v>
      </c>
      <c r="L7" s="54">
        <f>SUM(K7)+2.5</f>
        <v>32</v>
      </c>
      <c r="M7" s="160"/>
    </row>
    <row r="8" spans="1:13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161"/>
    </row>
    <row r="9" spans="1:13" s="1" customFormat="1" ht="14.1" customHeight="1" x14ac:dyDescent="0.3">
      <c r="A9" s="78">
        <v>4</v>
      </c>
      <c r="B9" s="65" t="s">
        <v>221</v>
      </c>
      <c r="C9" s="66"/>
      <c r="D9" s="75"/>
      <c r="E9" s="76"/>
      <c r="F9" s="76"/>
      <c r="G9" s="77"/>
      <c r="H9" s="54">
        <f>SUM(I9)-0.9</f>
        <v>7.1999999999999993</v>
      </c>
      <c r="I9" s="54">
        <f>SUM(J9)-0.9</f>
        <v>8.1</v>
      </c>
      <c r="J9" s="55">
        <v>9</v>
      </c>
      <c r="K9" s="54">
        <f>SUM(J9)+0.9</f>
        <v>9.9</v>
      </c>
      <c r="L9" s="54">
        <f>SUM(K9)+0.9</f>
        <v>10.8</v>
      </c>
      <c r="M9" s="56"/>
    </row>
    <row r="10" spans="1:13" s="1" customFormat="1" ht="14.1" customHeight="1" x14ac:dyDescent="0.3">
      <c r="A10" s="35"/>
      <c r="B10" s="70" t="s">
        <v>222</v>
      </c>
      <c r="C10" s="71"/>
      <c r="D10" s="72" t="s">
        <v>244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 t="s">
        <v>223</v>
      </c>
      <c r="C11" s="66"/>
      <c r="D11" s="75"/>
      <c r="E11" s="76"/>
      <c r="F11" s="76"/>
      <c r="G11" s="77"/>
      <c r="H11" s="54">
        <f>SUM(I11)-0.8</f>
        <v>7.3999999999999995</v>
      </c>
      <c r="I11" s="54">
        <f>SUM(J11)-0.8</f>
        <v>8.1999999999999993</v>
      </c>
      <c r="J11" s="55">
        <v>9</v>
      </c>
      <c r="K11" s="54">
        <f>SUM(J11)+0.8</f>
        <v>9.8000000000000007</v>
      </c>
      <c r="L11" s="54">
        <f>SUM(K11)+0.8</f>
        <v>10.600000000000001</v>
      </c>
      <c r="M11" s="56"/>
    </row>
    <row r="12" spans="1:13" s="1" customFormat="1" ht="14.1" customHeight="1" x14ac:dyDescent="0.3">
      <c r="A12" s="103"/>
      <c r="B12" s="70" t="s">
        <v>224</v>
      </c>
      <c r="C12" s="71"/>
      <c r="D12" s="84" t="s">
        <v>245</v>
      </c>
      <c r="E12" s="85"/>
      <c r="F12" s="85"/>
      <c r="G12" s="86"/>
      <c r="H12" s="81"/>
      <c r="I12" s="81"/>
      <c r="J12" s="82"/>
      <c r="K12" s="81"/>
      <c r="L12" s="81"/>
      <c r="M12" s="83"/>
    </row>
    <row r="13" spans="1:13" s="1" customFormat="1" ht="14.1" customHeight="1" x14ac:dyDescent="0.3">
      <c r="A13" s="78">
        <v>6</v>
      </c>
      <c r="B13" s="65" t="s">
        <v>246</v>
      </c>
      <c r="C13" s="66"/>
      <c r="D13" s="75"/>
      <c r="E13" s="76"/>
      <c r="F13" s="76"/>
      <c r="G13" s="77"/>
      <c r="H13" s="54">
        <f>SUM(I13)-0.8</f>
        <v>7.3999999999999995</v>
      </c>
      <c r="I13" s="54">
        <f>SUM(J13)-0.8</f>
        <v>8.1999999999999993</v>
      </c>
      <c r="J13" s="55">
        <v>9</v>
      </c>
      <c r="K13" s="54">
        <f>SUM(J13)+0.8</f>
        <v>9.8000000000000007</v>
      </c>
      <c r="L13" s="54">
        <f>SUM(K13)+0.8</f>
        <v>10.600000000000001</v>
      </c>
      <c r="M13" s="56"/>
    </row>
    <row r="14" spans="1:13" s="1" customFormat="1" ht="14.1" customHeight="1" x14ac:dyDescent="0.3">
      <c r="A14" s="35"/>
      <c r="B14" s="70" t="s">
        <v>247</v>
      </c>
      <c r="C14" s="71"/>
      <c r="D14" s="72" t="s">
        <v>248</v>
      </c>
      <c r="E14" s="73"/>
      <c r="F14" s="73"/>
      <c r="G14" s="74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103">
        <v>7</v>
      </c>
      <c r="B15" s="79" t="s">
        <v>521</v>
      </c>
      <c r="C15" s="80"/>
      <c r="D15" s="253"/>
      <c r="E15" s="254"/>
      <c r="F15" s="254"/>
      <c r="G15" s="255"/>
      <c r="H15" s="81">
        <f>SUM(I15)</f>
        <v>3</v>
      </c>
      <c r="I15" s="81">
        <f>SUM(J15)</f>
        <v>3</v>
      </c>
      <c r="J15" s="82">
        <v>3</v>
      </c>
      <c r="K15" s="81">
        <f>SUM(J15)</f>
        <v>3</v>
      </c>
      <c r="L15" s="81">
        <f>SUM(K15)</f>
        <v>3</v>
      </c>
      <c r="M15" s="83"/>
    </row>
    <row r="16" spans="1:13" s="1" customFormat="1" ht="14.1" customHeight="1" thickBot="1" x14ac:dyDescent="0.35">
      <c r="A16" s="244"/>
      <c r="B16" s="231" t="s">
        <v>522</v>
      </c>
      <c r="C16" s="232"/>
      <c r="D16" s="240"/>
      <c r="E16" s="241"/>
      <c r="F16" s="241"/>
      <c r="G16" s="242"/>
      <c r="H16" s="206"/>
      <c r="I16" s="206"/>
      <c r="J16" s="243"/>
      <c r="K16" s="206"/>
      <c r="L16" s="206"/>
      <c r="M16" s="239"/>
    </row>
    <row r="17" spans="1:13" s="1" customFormat="1" ht="14.1" customHeight="1" thickTop="1" x14ac:dyDescent="0.3">
      <c r="A17" s="103">
        <v>8</v>
      </c>
      <c r="B17" s="79" t="s">
        <v>11</v>
      </c>
      <c r="C17" s="80"/>
      <c r="D17" s="51" t="s">
        <v>12</v>
      </c>
      <c r="E17" s="52"/>
      <c r="F17" s="52"/>
      <c r="G17" s="53"/>
      <c r="H17" s="105">
        <f>SUM(I17)-3.2</f>
        <v>53.599999999999994</v>
      </c>
      <c r="I17" s="81">
        <f>SUM(J17)-3.2</f>
        <v>56.8</v>
      </c>
      <c r="J17" s="82">
        <v>60</v>
      </c>
      <c r="K17" s="81">
        <f>SUM(J17)+3.2</f>
        <v>63.2</v>
      </c>
      <c r="L17" s="81">
        <f>SUM(K17)+3.2</f>
        <v>66.400000000000006</v>
      </c>
      <c r="M17" s="178"/>
    </row>
    <row r="18" spans="1:13" s="1" customFormat="1" ht="14.1" customHeight="1" x14ac:dyDescent="0.3">
      <c r="A18" s="35"/>
      <c r="B18" s="70" t="s">
        <v>49</v>
      </c>
      <c r="C18" s="71"/>
      <c r="D18" s="151" t="s">
        <v>100</v>
      </c>
      <c r="E18" s="152"/>
      <c r="F18" s="152"/>
      <c r="G18" s="153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78">
        <v>9</v>
      </c>
      <c r="B19" s="65" t="s">
        <v>116</v>
      </c>
      <c r="C19" s="66"/>
      <c r="D19" s="62"/>
      <c r="E19" s="63"/>
      <c r="F19" s="63"/>
      <c r="G19" s="64"/>
      <c r="H19" s="60">
        <f>SUM(I19)-0.7</f>
        <v>12.100000000000001</v>
      </c>
      <c r="I19" s="54">
        <f>SUM(J19)-0.7</f>
        <v>12.8</v>
      </c>
      <c r="J19" s="55">
        <v>13.5</v>
      </c>
      <c r="K19" s="54">
        <f>SUM(J19)+1.2</f>
        <v>14.7</v>
      </c>
      <c r="L19" s="54">
        <f>SUM(K19)+0.7</f>
        <v>15.399999999999999</v>
      </c>
      <c r="M19" s="160"/>
    </row>
    <row r="20" spans="1:13" s="1" customFormat="1" ht="14.1" customHeight="1" x14ac:dyDescent="0.3">
      <c r="A20" s="35"/>
      <c r="B20" s="70" t="s">
        <v>115</v>
      </c>
      <c r="C20" s="71"/>
      <c r="D20" s="162" t="s">
        <v>129</v>
      </c>
      <c r="E20" s="163"/>
      <c r="F20" s="163"/>
      <c r="G20" s="164"/>
      <c r="H20" s="45"/>
      <c r="I20" s="40"/>
      <c r="J20" s="42"/>
      <c r="K20" s="40"/>
      <c r="L20" s="40"/>
      <c r="M20" s="161"/>
    </row>
    <row r="21" spans="1:13" s="1" customFormat="1" ht="14.1" customHeight="1" x14ac:dyDescent="0.3">
      <c r="A21" s="78">
        <v>10</v>
      </c>
      <c r="B21" s="65" t="s">
        <v>9</v>
      </c>
      <c r="C21" s="66"/>
      <c r="D21" s="62" t="s">
        <v>72</v>
      </c>
      <c r="E21" s="63"/>
      <c r="F21" s="63"/>
      <c r="G21" s="64"/>
      <c r="H21" s="60">
        <f>SUM(I21)-1.5</f>
        <v>19</v>
      </c>
      <c r="I21" s="54">
        <f>SUM(J21)-1.5</f>
        <v>20.5</v>
      </c>
      <c r="J21" s="55">
        <v>22</v>
      </c>
      <c r="K21" s="54">
        <f>SUM(J21)+1.5</f>
        <v>23.5</v>
      </c>
      <c r="L21" s="54">
        <f>SUM(K21)+1.5</f>
        <v>25</v>
      </c>
      <c r="M21" s="160"/>
    </row>
    <row r="22" spans="1:13" ht="14.1" customHeight="1" x14ac:dyDescent="0.3">
      <c r="A22" s="35"/>
      <c r="B22" s="70" t="s">
        <v>50</v>
      </c>
      <c r="C22" s="71"/>
      <c r="D22" s="151" t="s">
        <v>99</v>
      </c>
      <c r="E22" s="152"/>
      <c r="F22" s="152"/>
      <c r="G22" s="153"/>
      <c r="H22" s="45"/>
      <c r="I22" s="40"/>
      <c r="J22" s="42"/>
      <c r="K22" s="40"/>
      <c r="L22" s="40"/>
      <c r="M22" s="161"/>
    </row>
    <row r="23" spans="1:13" ht="14.1" customHeight="1" x14ac:dyDescent="0.3">
      <c r="A23" s="78">
        <v>11</v>
      </c>
      <c r="B23" s="65" t="s">
        <v>14</v>
      </c>
      <c r="C23" s="66"/>
      <c r="D23" s="62" t="s">
        <v>15</v>
      </c>
      <c r="E23" s="63"/>
      <c r="F23" s="63"/>
      <c r="G23" s="64"/>
      <c r="H23" s="60">
        <f>SUM(I23)-1.8</f>
        <v>31.400000000000002</v>
      </c>
      <c r="I23" s="54">
        <f>SUM(J23)-1.8</f>
        <v>33.200000000000003</v>
      </c>
      <c r="J23" s="55">
        <v>35</v>
      </c>
      <c r="K23" s="54">
        <f>SUM(J23)+1.8</f>
        <v>36.799999999999997</v>
      </c>
      <c r="L23" s="54">
        <f>SUM(K23)+1.8</f>
        <v>38.599999999999994</v>
      </c>
      <c r="M23" s="160"/>
    </row>
    <row r="24" spans="1:13" ht="14.1" customHeight="1" x14ac:dyDescent="0.3">
      <c r="A24" s="35"/>
      <c r="B24" s="70" t="s">
        <v>51</v>
      </c>
      <c r="C24" s="71"/>
      <c r="D24" s="46" t="s">
        <v>98</v>
      </c>
      <c r="E24" s="47"/>
      <c r="F24" s="47"/>
      <c r="G24" s="59"/>
      <c r="H24" s="45"/>
      <c r="I24" s="40"/>
      <c r="J24" s="42"/>
      <c r="K24" s="40"/>
      <c r="L24" s="40"/>
      <c r="M24" s="161"/>
    </row>
    <row r="25" spans="1:13" ht="14.1" customHeight="1" x14ac:dyDescent="0.3">
      <c r="A25" s="78">
        <v>12</v>
      </c>
      <c r="B25" s="65" t="s">
        <v>16</v>
      </c>
      <c r="C25" s="66"/>
      <c r="D25" s="62" t="s">
        <v>13</v>
      </c>
      <c r="E25" s="63"/>
      <c r="F25" s="63"/>
      <c r="G25" s="64"/>
      <c r="H25" s="60">
        <f>SUM(I25)-1</f>
        <v>17.399999999999999</v>
      </c>
      <c r="I25" s="54">
        <f>SUM(J25)-1</f>
        <v>18.399999999999999</v>
      </c>
      <c r="J25" s="55">
        <v>19.399999999999999</v>
      </c>
      <c r="K25" s="54">
        <f>SUM(J25)+1.5</f>
        <v>20.9</v>
      </c>
      <c r="L25" s="54">
        <f>SUM(K25)+1</f>
        <v>21.9</v>
      </c>
      <c r="M25" s="160"/>
    </row>
    <row r="26" spans="1:13" ht="14.1" customHeight="1" x14ac:dyDescent="0.3">
      <c r="A26" s="35"/>
      <c r="B26" s="70" t="s">
        <v>57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ht="14.1" customHeight="1" x14ac:dyDescent="0.3">
      <c r="A27" s="78">
        <v>13</v>
      </c>
      <c r="B27" s="65" t="s">
        <v>17</v>
      </c>
      <c r="C27" s="66"/>
      <c r="D27" s="62" t="s">
        <v>13</v>
      </c>
      <c r="E27" s="63"/>
      <c r="F27" s="63"/>
      <c r="G27" s="64"/>
      <c r="H27" s="60">
        <f>SUM(I27)-1.2</f>
        <v>19.700000000000003</v>
      </c>
      <c r="I27" s="54">
        <f>SUM(J27)-1.2</f>
        <v>20.900000000000002</v>
      </c>
      <c r="J27" s="55">
        <v>22.1</v>
      </c>
      <c r="K27" s="54">
        <f>SUM(J27)+1.7</f>
        <v>23.8</v>
      </c>
      <c r="L27" s="54">
        <f>SUM(K27)+1.2</f>
        <v>25</v>
      </c>
      <c r="M27" s="160"/>
    </row>
    <row r="28" spans="1:13" ht="14.1" customHeight="1" x14ac:dyDescent="0.3">
      <c r="A28" s="35"/>
      <c r="B28" s="70" t="s">
        <v>56</v>
      </c>
      <c r="C28" s="71"/>
      <c r="D28" s="151" t="s">
        <v>97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ht="14.1" customHeight="1" x14ac:dyDescent="0.3">
      <c r="A29" s="78">
        <v>14</v>
      </c>
      <c r="B29" s="65" t="s">
        <v>18</v>
      </c>
      <c r="C29" s="66"/>
      <c r="D29" s="62" t="s">
        <v>19</v>
      </c>
      <c r="E29" s="63"/>
      <c r="F29" s="63"/>
      <c r="G29" s="64"/>
      <c r="H29" s="60"/>
      <c r="I29" s="54"/>
      <c r="J29" s="55"/>
      <c r="K29" s="54"/>
      <c r="L29" s="54"/>
      <c r="M29" s="160"/>
    </row>
    <row r="30" spans="1:13" ht="14.1" customHeight="1" x14ac:dyDescent="0.3">
      <c r="A30" s="35"/>
      <c r="B30" s="70" t="s">
        <v>55</v>
      </c>
      <c r="C30" s="71"/>
      <c r="D30" s="151" t="s">
        <v>96</v>
      </c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ht="14.1" customHeight="1" x14ac:dyDescent="0.3">
      <c r="A31" s="78">
        <v>15</v>
      </c>
      <c r="B31" s="65" t="s">
        <v>20</v>
      </c>
      <c r="C31" s="66"/>
      <c r="D31" s="62" t="s">
        <v>21</v>
      </c>
      <c r="E31" s="63"/>
      <c r="F31" s="63"/>
      <c r="G31" s="64"/>
      <c r="H31" s="60"/>
      <c r="I31" s="54"/>
      <c r="J31" s="55"/>
      <c r="K31" s="54"/>
      <c r="L31" s="54"/>
      <c r="M31" s="160"/>
    </row>
    <row r="32" spans="1:13" ht="14.1" customHeight="1" x14ac:dyDescent="0.3">
      <c r="A32" s="35"/>
      <c r="B32" s="70" t="s">
        <v>54</v>
      </c>
      <c r="C32" s="71"/>
      <c r="D32" s="151" t="s">
        <v>95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ht="14.1" customHeight="1" x14ac:dyDescent="0.3">
      <c r="A33" s="78">
        <v>16</v>
      </c>
      <c r="B33" s="65" t="s">
        <v>94</v>
      </c>
      <c r="C33" s="66"/>
      <c r="D33" s="62" t="s">
        <v>92</v>
      </c>
      <c r="E33" s="63"/>
      <c r="F33" s="63"/>
      <c r="G33" s="64"/>
      <c r="H33" s="60"/>
      <c r="I33" s="54"/>
      <c r="J33" s="55"/>
      <c r="K33" s="54"/>
      <c r="L33" s="54"/>
      <c r="M33" s="160"/>
    </row>
    <row r="34" spans="1:13" ht="14.1" customHeight="1" x14ac:dyDescent="0.3">
      <c r="A34" s="35"/>
      <c r="B34" s="70" t="s">
        <v>93</v>
      </c>
      <c r="C34" s="71"/>
      <c r="D34" s="151" t="s">
        <v>92</v>
      </c>
      <c r="E34" s="152"/>
      <c r="F34" s="152"/>
      <c r="G34" s="153"/>
      <c r="H34" s="45"/>
      <c r="I34" s="40"/>
      <c r="J34" s="42"/>
      <c r="K34" s="40"/>
      <c r="L34" s="40"/>
      <c r="M34" s="161"/>
    </row>
    <row r="35" spans="1:13" ht="14.1" customHeight="1" x14ac:dyDescent="0.3">
      <c r="A35" s="78">
        <v>17</v>
      </c>
      <c r="B35" s="65" t="s">
        <v>91</v>
      </c>
      <c r="C35" s="66"/>
      <c r="D35" s="62" t="s">
        <v>90</v>
      </c>
      <c r="E35" s="63"/>
      <c r="F35" s="63"/>
      <c r="G35" s="64"/>
      <c r="H35" s="60"/>
      <c r="I35" s="54"/>
      <c r="J35" s="55"/>
      <c r="K35" s="54"/>
      <c r="L35" s="54"/>
      <c r="M35" s="160"/>
    </row>
    <row r="36" spans="1:13" ht="14.1" customHeight="1" thickBot="1" x14ac:dyDescent="0.35">
      <c r="A36" s="104"/>
      <c r="B36" s="184" t="s">
        <v>89</v>
      </c>
      <c r="C36" s="185"/>
      <c r="D36" s="186" t="s">
        <v>88</v>
      </c>
      <c r="E36" s="187"/>
      <c r="F36" s="187"/>
      <c r="G36" s="188"/>
      <c r="H36" s="141"/>
      <c r="I36" s="91"/>
      <c r="J36" s="107"/>
      <c r="K36" s="91"/>
      <c r="L36" s="91"/>
      <c r="M36" s="200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90">
    <mergeCell ref="J13:J14"/>
    <mergeCell ref="K13:K14"/>
    <mergeCell ref="L13:L14"/>
    <mergeCell ref="M13:M14"/>
    <mergeCell ref="B14:C14"/>
    <mergeCell ref="D14:G14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31:K32"/>
    <mergeCell ref="L31:L32"/>
    <mergeCell ref="M31:M32"/>
    <mergeCell ref="J31:J32"/>
    <mergeCell ref="J29:J30"/>
    <mergeCell ref="K29:K30"/>
    <mergeCell ref="L29:L30"/>
    <mergeCell ref="M29:M30"/>
    <mergeCell ref="A13:A14"/>
    <mergeCell ref="B13:C13"/>
    <mergeCell ref="D13:G13"/>
    <mergeCell ref="H13:H14"/>
    <mergeCell ref="I13:I14"/>
    <mergeCell ref="A35:A36"/>
    <mergeCell ref="B35:C35"/>
    <mergeCell ref="D35:G35"/>
    <mergeCell ref="H35:H36"/>
    <mergeCell ref="I35:I36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AFA0-6A63-43A2-A36F-9106E41CD51A}">
  <sheetPr>
    <tabColor rgb="FFFF0000"/>
    <pageSetUpPr fitToPage="1"/>
  </sheetPr>
  <dimension ref="A1:N57"/>
  <sheetViews>
    <sheetView zoomScale="110" zoomScaleNormal="110" workbookViewId="0">
      <selection sqref="A1:M34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20"/>
    </row>
    <row r="2" spans="1:14" ht="16.5" customHeight="1" thickBot="1" x14ac:dyDescent="0.35">
      <c r="A2" s="22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4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>
        <f>SUM(L3)+3</f>
        <v>60</v>
      </c>
    </row>
    <row r="4" spans="1:14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65</v>
      </c>
      <c r="I5" s="54">
        <f>SUM(J5)-4.5</f>
        <v>69.5</v>
      </c>
      <c r="J5" s="55">
        <v>74</v>
      </c>
      <c r="K5" s="54">
        <f>SUM(J5)+4.5</f>
        <v>78.5</v>
      </c>
      <c r="L5" s="54">
        <f>SUM(K5)+4.5</f>
        <v>83</v>
      </c>
      <c r="M5" s="56">
        <f>SUM(L5)+4.5</f>
        <v>87.5</v>
      </c>
    </row>
    <row r="6" spans="1:14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44"/>
    </row>
    <row r="7" spans="1:14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23.5</v>
      </c>
      <c r="I7" s="54">
        <f>SUM(J7)-2.5</f>
        <v>26</v>
      </c>
      <c r="J7" s="55">
        <v>28.5</v>
      </c>
      <c r="K7" s="54">
        <f>SUM(J7)+2.5</f>
        <v>31</v>
      </c>
      <c r="L7" s="54">
        <f>SUM(K7)+2.5</f>
        <v>33.5</v>
      </c>
      <c r="M7" s="56">
        <f>SUM(L7)+2.5</f>
        <v>36</v>
      </c>
    </row>
    <row r="8" spans="1:14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44"/>
    </row>
    <row r="9" spans="1:14" s="1" customFormat="1" ht="14.1" customHeight="1" x14ac:dyDescent="0.3">
      <c r="A9" s="78">
        <v>4</v>
      </c>
      <c r="B9" s="65" t="s">
        <v>592</v>
      </c>
      <c r="C9" s="66"/>
      <c r="D9" s="75"/>
      <c r="E9" s="76"/>
      <c r="F9" s="76"/>
      <c r="G9" s="77"/>
      <c r="H9" s="54">
        <f>SUM(I9)-0.7</f>
        <v>6.9</v>
      </c>
      <c r="I9" s="54">
        <f>SUM(J9)-0.7</f>
        <v>7.6000000000000005</v>
      </c>
      <c r="J9" s="55">
        <v>8.3000000000000007</v>
      </c>
      <c r="K9" s="54">
        <f>SUM(J9)+0.7</f>
        <v>9</v>
      </c>
      <c r="L9" s="54">
        <f t="shared" ref="L9:M9" si="0">SUM(K9)+0.7</f>
        <v>9.6999999999999993</v>
      </c>
      <c r="M9" s="56">
        <f t="shared" si="0"/>
        <v>10.399999999999999</v>
      </c>
    </row>
    <row r="10" spans="1:14" s="1" customFormat="1" ht="14.1" customHeight="1" x14ac:dyDescent="0.3">
      <c r="A10" s="35"/>
      <c r="B10" s="70" t="s">
        <v>593</v>
      </c>
      <c r="C10" s="71"/>
      <c r="D10" s="72" t="s">
        <v>129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78">
        <v>5</v>
      </c>
      <c r="B11" s="65" t="s">
        <v>221</v>
      </c>
      <c r="C11" s="66"/>
      <c r="D11" s="75"/>
      <c r="E11" s="76"/>
      <c r="F11" s="76"/>
      <c r="G11" s="77"/>
      <c r="H11" s="54">
        <f>SUM(I11)-1</f>
        <v>9.5</v>
      </c>
      <c r="I11" s="54">
        <f>SUM(J11)-1</f>
        <v>10.5</v>
      </c>
      <c r="J11" s="55">
        <v>11.5</v>
      </c>
      <c r="K11" s="54">
        <f>SUM(J11)+1</f>
        <v>12.5</v>
      </c>
      <c r="L11" s="54">
        <f t="shared" ref="L11:M11" si="1">SUM(K11)+1</f>
        <v>13.5</v>
      </c>
      <c r="M11" s="56">
        <f t="shared" si="1"/>
        <v>14.5</v>
      </c>
    </row>
    <row r="12" spans="1:14" s="1" customFormat="1" ht="14.1" customHeight="1" x14ac:dyDescent="0.3">
      <c r="A12" s="103"/>
      <c r="B12" s="70" t="s">
        <v>222</v>
      </c>
      <c r="C12" s="71"/>
      <c r="D12" s="84" t="s">
        <v>594</v>
      </c>
      <c r="E12" s="85"/>
      <c r="F12" s="85"/>
      <c r="G12" s="86"/>
      <c r="H12" s="81"/>
      <c r="I12" s="81"/>
      <c r="J12" s="82"/>
      <c r="K12" s="81"/>
      <c r="L12" s="81"/>
      <c r="M12" s="83"/>
    </row>
    <row r="13" spans="1:14" s="1" customFormat="1" ht="14.1" customHeight="1" x14ac:dyDescent="0.3">
      <c r="A13" s="78">
        <v>6</v>
      </c>
      <c r="B13" s="65" t="s">
        <v>223</v>
      </c>
      <c r="C13" s="66"/>
      <c r="D13" s="75"/>
      <c r="E13" s="76"/>
      <c r="F13" s="76"/>
      <c r="G13" s="77"/>
      <c r="H13" s="54">
        <f>SUM(I13)-0.8</f>
        <v>7.1</v>
      </c>
      <c r="I13" s="54">
        <f>SUM(J13)-0.8</f>
        <v>7.8999999999999995</v>
      </c>
      <c r="J13" s="55">
        <v>8.6999999999999993</v>
      </c>
      <c r="K13" s="54">
        <f>SUM(J13)+0.8</f>
        <v>9.5</v>
      </c>
      <c r="L13" s="54">
        <f t="shared" ref="L13:M13" si="2">SUM(K13)+0.8</f>
        <v>10.3</v>
      </c>
      <c r="M13" s="56">
        <f t="shared" si="2"/>
        <v>11.100000000000001</v>
      </c>
    </row>
    <row r="14" spans="1:14" s="1" customFormat="1" ht="14.1" customHeight="1" thickBot="1" x14ac:dyDescent="0.35">
      <c r="A14" s="103"/>
      <c r="B14" s="231" t="s">
        <v>224</v>
      </c>
      <c r="C14" s="232"/>
      <c r="D14" s="84" t="s">
        <v>590</v>
      </c>
      <c r="E14" s="85"/>
      <c r="F14" s="85"/>
      <c r="G14" s="86"/>
      <c r="H14" s="81"/>
      <c r="I14" s="81"/>
      <c r="J14" s="82"/>
      <c r="K14" s="81"/>
      <c r="L14" s="81"/>
      <c r="M14" s="83"/>
    </row>
    <row r="15" spans="1:14" s="1" customFormat="1" ht="14.1" customHeight="1" thickTop="1" x14ac:dyDescent="0.3">
      <c r="A15" s="233">
        <v>7</v>
      </c>
      <c r="B15" s="218" t="s">
        <v>11</v>
      </c>
      <c r="C15" s="219"/>
      <c r="D15" s="220" t="s">
        <v>12</v>
      </c>
      <c r="E15" s="221"/>
      <c r="F15" s="221"/>
      <c r="G15" s="222"/>
      <c r="H15" s="223">
        <f>SUM(I15)-3.2</f>
        <v>53.599999999999994</v>
      </c>
      <c r="I15" s="224">
        <f>SUM(J15)-3.2</f>
        <v>56.8</v>
      </c>
      <c r="J15" s="226">
        <v>60</v>
      </c>
      <c r="K15" s="224">
        <f>SUM(J15)+3.2</f>
        <v>63.2</v>
      </c>
      <c r="L15" s="224">
        <f>SUM(K15)+3.2</f>
        <v>66.400000000000006</v>
      </c>
      <c r="M15" s="225">
        <f>SUM(L15)+3.2</f>
        <v>69.600000000000009</v>
      </c>
    </row>
    <row r="16" spans="1:14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44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12.600000000000001</v>
      </c>
      <c r="I17" s="54">
        <f>SUM(J17)-0.7</f>
        <v>13.3</v>
      </c>
      <c r="J17" s="55">
        <v>14</v>
      </c>
      <c r="K17" s="54">
        <f>SUM(J17)+1.2</f>
        <v>15.2</v>
      </c>
      <c r="L17" s="54">
        <f>SUM(K17)+0.7</f>
        <v>15.899999999999999</v>
      </c>
      <c r="M17" s="56">
        <f>SUM(L17)+0.7</f>
        <v>16.599999999999998</v>
      </c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44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21.3</v>
      </c>
      <c r="I19" s="54">
        <f>SUM(J19)-1.5</f>
        <v>22.8</v>
      </c>
      <c r="J19" s="55">
        <v>24.3</v>
      </c>
      <c r="K19" s="54">
        <f>SUM(J19)+1.5</f>
        <v>25.8</v>
      </c>
      <c r="L19" s="54">
        <f>SUM(K19)+1.5</f>
        <v>27.3</v>
      </c>
      <c r="M19" s="56">
        <f>SUM(L19)+1.5</f>
        <v>28.8</v>
      </c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44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56">
        <f>SUM(L21)+1.8</f>
        <v>40.399999999999991</v>
      </c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44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SUM(I23)-1.1</f>
        <v>20.399999999999999</v>
      </c>
      <c r="I23" s="54">
        <f>SUM(J23)-1</f>
        <v>21.5</v>
      </c>
      <c r="J23" s="55">
        <v>22.5</v>
      </c>
      <c r="K23" s="54">
        <f>SUM(J23)+1.5</f>
        <v>24</v>
      </c>
      <c r="L23" s="54">
        <f>SUM(K23)+1</f>
        <v>25</v>
      </c>
      <c r="M23" s="56">
        <f>SUM(L23)+1.1</f>
        <v>26.1</v>
      </c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44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22.700000000000003</v>
      </c>
      <c r="I25" s="54">
        <f>SUM(J25)-1.2</f>
        <v>23.900000000000002</v>
      </c>
      <c r="J25" s="55">
        <v>25.1</v>
      </c>
      <c r="K25" s="54">
        <f>SUM(J25)+1.7</f>
        <v>26.8</v>
      </c>
      <c r="L25" s="54">
        <f>SUM(K25)+1.2</f>
        <v>28</v>
      </c>
      <c r="M25" s="56">
        <f>SUM(L25)+1.2</f>
        <v>29.2</v>
      </c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4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56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44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56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44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56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44"/>
    </row>
    <row r="33" spans="1:13" ht="14.1" customHeight="1" x14ac:dyDescent="0.3">
      <c r="A33" s="78">
        <v>16</v>
      </c>
      <c r="B33" s="65" t="s">
        <v>91</v>
      </c>
      <c r="C33" s="66"/>
      <c r="D33" s="62"/>
      <c r="E33" s="63"/>
      <c r="F33" s="63"/>
      <c r="G33" s="64"/>
      <c r="H33" s="60"/>
      <c r="I33" s="54"/>
      <c r="J33" s="55"/>
      <c r="K33" s="54"/>
      <c r="L33" s="54"/>
      <c r="M33" s="56"/>
    </row>
    <row r="34" spans="1:13" ht="14.1" customHeight="1" thickBot="1" x14ac:dyDescent="0.35">
      <c r="A34" s="104"/>
      <c r="B34" s="184" t="s">
        <v>89</v>
      </c>
      <c r="C34" s="185"/>
      <c r="D34" s="186"/>
      <c r="E34" s="187"/>
      <c r="F34" s="187"/>
      <c r="G34" s="188"/>
      <c r="H34" s="141"/>
      <c r="I34" s="91"/>
      <c r="J34" s="107"/>
      <c r="K34" s="91"/>
      <c r="L34" s="91"/>
      <c r="M34" s="147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8452-4415-4D05-AF4D-414817C5404E}">
  <sheetPr codeName="Sheet45">
    <tabColor rgb="FFFF0000"/>
    <pageSetUpPr fitToPage="1"/>
  </sheetPr>
  <dimension ref="A1:M57"/>
  <sheetViews>
    <sheetView zoomScale="110" zoomScaleNormal="110" workbookViewId="0">
      <selection activeCell="B9" sqref="B9:C10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549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SUM(I3)-2.5</f>
        <v>44</v>
      </c>
      <c r="I3" s="39">
        <f>SUM(J3)-2.5</f>
        <v>46.5</v>
      </c>
      <c r="J3" s="41">
        <v>49</v>
      </c>
      <c r="K3" s="39">
        <f>SUM(J3)+2.5</f>
        <v>51.5</v>
      </c>
      <c r="L3" s="39">
        <f>SUM(K3)+2.5</f>
        <v>54</v>
      </c>
      <c r="M3" s="43">
        <f>SUM(L3)+2.5</f>
        <v>56.5</v>
      </c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67</v>
      </c>
      <c r="I5" s="54">
        <f>SUM(J5)-4.5</f>
        <v>71.5</v>
      </c>
      <c r="J5" s="55">
        <v>76</v>
      </c>
      <c r="K5" s="54">
        <f>SUM(J5)+4.5</f>
        <v>80.5</v>
      </c>
      <c r="L5" s="54">
        <f>SUM(K5)+4.5</f>
        <v>85</v>
      </c>
      <c r="M5" s="56">
        <f>SUM(L5)+4.5</f>
        <v>89.5</v>
      </c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44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24</v>
      </c>
      <c r="I7" s="54">
        <f>SUM(J7)-2.5</f>
        <v>26.5</v>
      </c>
      <c r="J7" s="55">
        <v>29</v>
      </c>
      <c r="K7" s="54">
        <f>SUM(J7)+2.5</f>
        <v>31.5</v>
      </c>
      <c r="L7" s="54">
        <f>SUM(K7)+2.5</f>
        <v>34</v>
      </c>
      <c r="M7" s="56">
        <f>SUM(L7)+2.5</f>
        <v>36.5</v>
      </c>
    </row>
    <row r="8" spans="1:13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44"/>
    </row>
    <row r="9" spans="1:13" s="1" customFormat="1" ht="14.1" customHeight="1" x14ac:dyDescent="0.3">
      <c r="A9" s="78">
        <v>4</v>
      </c>
      <c r="B9" s="79" t="s">
        <v>134</v>
      </c>
      <c r="C9" s="80"/>
      <c r="D9" s="75"/>
      <c r="E9" s="76"/>
      <c r="F9" s="76"/>
      <c r="G9" s="77"/>
      <c r="H9" s="54">
        <v>5.2</v>
      </c>
      <c r="I9" s="54">
        <v>5.2</v>
      </c>
      <c r="J9" s="55">
        <v>5.2</v>
      </c>
      <c r="K9" s="54">
        <v>5.2</v>
      </c>
      <c r="L9" s="54">
        <v>5.2</v>
      </c>
      <c r="M9" s="56">
        <v>5.2</v>
      </c>
    </row>
    <row r="10" spans="1:13" s="1" customFormat="1" ht="14.1" customHeight="1" x14ac:dyDescent="0.3">
      <c r="A10" s="35"/>
      <c r="B10" s="79" t="s">
        <v>142</v>
      </c>
      <c r="C10" s="80"/>
      <c r="D10" s="72"/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/>
      <c r="C11" s="66"/>
      <c r="D11" s="75"/>
      <c r="E11" s="76"/>
      <c r="F11" s="76"/>
      <c r="G11" s="77"/>
      <c r="H11" s="54"/>
      <c r="I11" s="54"/>
      <c r="J11" s="55"/>
      <c r="K11" s="54"/>
      <c r="L11" s="54"/>
      <c r="M11" s="56"/>
    </row>
    <row r="12" spans="1:13" s="1" customFormat="1" ht="14.1" customHeight="1" x14ac:dyDescent="0.3">
      <c r="A12" s="103"/>
      <c r="B12" s="70"/>
      <c r="C12" s="71"/>
      <c r="D12" s="84"/>
      <c r="E12" s="85"/>
      <c r="F12" s="85"/>
      <c r="G12" s="86"/>
      <c r="H12" s="81"/>
      <c r="I12" s="81"/>
      <c r="J12" s="82"/>
      <c r="K12" s="81"/>
      <c r="L12" s="81"/>
      <c r="M12" s="83"/>
    </row>
    <row r="13" spans="1:13" s="1" customFormat="1" ht="14.1" customHeight="1" x14ac:dyDescent="0.3">
      <c r="A13" s="78">
        <v>6</v>
      </c>
      <c r="B13" s="65"/>
      <c r="C13" s="66"/>
      <c r="D13" s="75"/>
      <c r="E13" s="76"/>
      <c r="F13" s="76"/>
      <c r="G13" s="77"/>
      <c r="H13" s="54"/>
      <c r="I13" s="54"/>
      <c r="J13" s="55"/>
      <c r="K13" s="54"/>
      <c r="L13" s="54"/>
      <c r="M13" s="56"/>
    </row>
    <row r="14" spans="1:13" s="1" customFormat="1" ht="14.1" customHeight="1" thickBot="1" x14ac:dyDescent="0.35">
      <c r="A14" s="244"/>
      <c r="B14" s="231"/>
      <c r="C14" s="232"/>
      <c r="D14" s="240"/>
      <c r="E14" s="241"/>
      <c r="F14" s="241"/>
      <c r="G14" s="242"/>
      <c r="H14" s="206"/>
      <c r="I14" s="206"/>
      <c r="J14" s="243"/>
      <c r="K14" s="206"/>
      <c r="L14" s="206"/>
      <c r="M14" s="239"/>
    </row>
    <row r="15" spans="1:13" s="1" customFormat="1" ht="14.1" customHeight="1" thickTop="1" x14ac:dyDescent="0.3">
      <c r="A15" s="103">
        <v>7</v>
      </c>
      <c r="B15" s="79" t="s">
        <v>11</v>
      </c>
      <c r="C15" s="80"/>
      <c r="D15" s="51" t="s">
        <v>12</v>
      </c>
      <c r="E15" s="52"/>
      <c r="F15" s="52"/>
      <c r="G15" s="53"/>
      <c r="H15" s="105">
        <f>SUM(I15)-3.2</f>
        <v>52.599999999999994</v>
      </c>
      <c r="I15" s="81">
        <f>SUM(J15)-3.2</f>
        <v>55.8</v>
      </c>
      <c r="J15" s="82">
        <v>59</v>
      </c>
      <c r="K15" s="81">
        <f>SUM(J15)+3.2</f>
        <v>62.2</v>
      </c>
      <c r="L15" s="81">
        <f>SUM(K15)+3.2</f>
        <v>65.400000000000006</v>
      </c>
      <c r="M15" s="83">
        <f>SUM(L15)+3.2</f>
        <v>68.600000000000009</v>
      </c>
    </row>
    <row r="16" spans="1:13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44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12.3</v>
      </c>
      <c r="I17" s="54">
        <f>SUM(J17)-0.7</f>
        <v>13</v>
      </c>
      <c r="J17" s="55">
        <v>13.7</v>
      </c>
      <c r="K17" s="54">
        <f>SUM(J17)+1.2</f>
        <v>14.899999999999999</v>
      </c>
      <c r="L17" s="54">
        <f>SUM(K17)+0.7</f>
        <v>15.599999999999998</v>
      </c>
      <c r="M17" s="56">
        <f>SUM(L17)+0.7</f>
        <v>16.299999999999997</v>
      </c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44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21.5</v>
      </c>
      <c r="I19" s="54">
        <f>SUM(J19)-1.5</f>
        <v>23</v>
      </c>
      <c r="J19" s="55">
        <v>24.5</v>
      </c>
      <c r="K19" s="54">
        <f>SUM(J19)+1.5</f>
        <v>26</v>
      </c>
      <c r="L19" s="54">
        <f>SUM(K19)+1.5</f>
        <v>27.5</v>
      </c>
      <c r="M19" s="56">
        <f>SUM(L19)+1.5</f>
        <v>29</v>
      </c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44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29.699999999999996</v>
      </c>
      <c r="I21" s="54">
        <f>SUM(J21)-1.8</f>
        <v>31.499999999999996</v>
      </c>
      <c r="J21" s="55">
        <v>33.299999999999997</v>
      </c>
      <c r="K21" s="54">
        <f>SUM(J21)+1.8</f>
        <v>35.099999999999994</v>
      </c>
      <c r="L21" s="54">
        <f>SUM(K21)+1.8</f>
        <v>36.899999999999991</v>
      </c>
      <c r="M21" s="56">
        <f>SUM(L21)+1.8</f>
        <v>38.699999999999989</v>
      </c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44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</f>
        <v>20.2</v>
      </c>
      <c r="I23" s="54">
        <f>SUM(J23)-1</f>
        <v>21.2</v>
      </c>
      <c r="J23" s="55">
        <v>22.2</v>
      </c>
      <c r="K23" s="54">
        <f>SUM(J23)+1.5</f>
        <v>23.7</v>
      </c>
      <c r="L23" s="54">
        <f>SUM(K23)+1</f>
        <v>24.7</v>
      </c>
      <c r="M23" s="56">
        <f>SUM(L23)+1</f>
        <v>25.7</v>
      </c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44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22.200000000000003</v>
      </c>
      <c r="I25" s="54">
        <f>SUM(J25)-1.2</f>
        <v>23.400000000000002</v>
      </c>
      <c r="J25" s="55">
        <v>24.6</v>
      </c>
      <c r="K25" s="54">
        <f>SUM(J25)+1.7</f>
        <v>26.3</v>
      </c>
      <c r="L25" s="54">
        <f>SUM(K25)+1.2</f>
        <v>27.5</v>
      </c>
      <c r="M25" s="56">
        <f>SUM(L25)+1.2</f>
        <v>28.7</v>
      </c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4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56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44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56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44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56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44"/>
    </row>
    <row r="33" spans="1:13" ht="14.1" customHeight="1" x14ac:dyDescent="0.3">
      <c r="A33" s="78">
        <v>16</v>
      </c>
      <c r="B33" s="65" t="s">
        <v>91</v>
      </c>
      <c r="C33" s="66"/>
      <c r="D33" s="62" t="s">
        <v>90</v>
      </c>
      <c r="E33" s="63"/>
      <c r="F33" s="63"/>
      <c r="G33" s="64"/>
      <c r="H33" s="60"/>
      <c r="I33" s="54"/>
      <c r="J33" s="55"/>
      <c r="K33" s="54"/>
      <c r="L33" s="54"/>
      <c r="M33" s="56"/>
    </row>
    <row r="34" spans="1:13" ht="14.1" customHeight="1" thickBot="1" x14ac:dyDescent="0.35">
      <c r="A34" s="104"/>
      <c r="B34" s="184" t="s">
        <v>89</v>
      </c>
      <c r="C34" s="185"/>
      <c r="D34" s="186" t="s">
        <v>88</v>
      </c>
      <c r="E34" s="187"/>
      <c r="F34" s="187"/>
      <c r="G34" s="188"/>
      <c r="H34" s="141"/>
      <c r="I34" s="91"/>
      <c r="J34" s="107"/>
      <c r="K34" s="91"/>
      <c r="L34" s="91"/>
      <c r="M34" s="147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EB12-759D-4A43-B34E-32DF10918285}">
  <sheetPr>
    <tabColor rgb="FFFF0000"/>
    <pageSetUpPr fitToPage="1"/>
  </sheetPr>
  <dimension ref="A1:N57"/>
  <sheetViews>
    <sheetView zoomScale="110" zoomScaleNormal="110" workbookViewId="0">
      <selection sqref="A1:M34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800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20"/>
    </row>
    <row r="2" spans="1:14" ht="16.5" customHeight="1" thickBot="1" x14ac:dyDescent="0.35">
      <c r="A2" s="22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4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43"/>
    </row>
    <row r="4" spans="1:14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65</v>
      </c>
      <c r="I5" s="54">
        <f>SUM(J5)-4.5</f>
        <v>69.5</v>
      </c>
      <c r="J5" s="55">
        <v>74</v>
      </c>
      <c r="K5" s="54">
        <f>SUM(J5)+4.5</f>
        <v>78.5</v>
      </c>
      <c r="L5" s="54">
        <f>SUM(K5)+4.5</f>
        <v>83</v>
      </c>
      <c r="M5" s="56"/>
    </row>
    <row r="6" spans="1:14" s="1" customFormat="1" ht="14.1" customHeight="1" x14ac:dyDescent="0.3">
      <c r="A6" s="35"/>
      <c r="B6" s="70" t="s">
        <v>122</v>
      </c>
      <c r="C6" s="71"/>
      <c r="D6" s="151" t="s">
        <v>801</v>
      </c>
      <c r="E6" s="152"/>
      <c r="F6" s="152"/>
      <c r="G6" s="153"/>
      <c r="H6" s="45"/>
      <c r="I6" s="40"/>
      <c r="J6" s="42"/>
      <c r="K6" s="40"/>
      <c r="L6" s="40"/>
      <c r="M6" s="44"/>
    </row>
    <row r="7" spans="1:14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26</v>
      </c>
      <c r="I7" s="54">
        <f>SUM(J7)-2.5</f>
        <v>28.5</v>
      </c>
      <c r="J7" s="55">
        <v>31</v>
      </c>
      <c r="K7" s="54">
        <f>SUM(J7)+2.5</f>
        <v>33.5</v>
      </c>
      <c r="L7" s="54">
        <f>SUM(K7)+2.5</f>
        <v>36</v>
      </c>
      <c r="M7" s="56"/>
    </row>
    <row r="8" spans="1:14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44"/>
    </row>
    <row r="9" spans="1:14" s="1" customFormat="1" ht="14.1" customHeight="1" x14ac:dyDescent="0.3">
      <c r="A9" s="78">
        <v>4</v>
      </c>
      <c r="B9" s="65" t="s">
        <v>592</v>
      </c>
      <c r="C9" s="66"/>
      <c r="D9" s="75"/>
      <c r="E9" s="76"/>
      <c r="F9" s="76"/>
      <c r="G9" s="77"/>
      <c r="H9" s="54">
        <f>SUM(I9)-0.9</f>
        <v>9.5</v>
      </c>
      <c r="I9" s="54">
        <f>SUM(J9)-0.9</f>
        <v>10.4</v>
      </c>
      <c r="J9" s="55">
        <v>11.3</v>
      </c>
      <c r="K9" s="54">
        <f>SUM(J9)+0.9</f>
        <v>12.200000000000001</v>
      </c>
      <c r="L9" s="54">
        <f t="shared" ref="L9" si="0">SUM(K9)+0.9</f>
        <v>13.100000000000001</v>
      </c>
      <c r="M9" s="56"/>
    </row>
    <row r="10" spans="1:14" s="1" customFormat="1" ht="14.1" customHeight="1" x14ac:dyDescent="0.3">
      <c r="A10" s="35"/>
      <c r="B10" s="70" t="s">
        <v>593</v>
      </c>
      <c r="C10" s="71"/>
      <c r="D10" s="72" t="s">
        <v>129</v>
      </c>
      <c r="E10" s="73"/>
      <c r="F10" s="73"/>
      <c r="G10" s="74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78">
        <v>5</v>
      </c>
      <c r="B11" s="65" t="s">
        <v>134</v>
      </c>
      <c r="C11" s="66"/>
      <c r="D11" s="88"/>
      <c r="E11" s="89"/>
      <c r="F11" s="89"/>
      <c r="G11" s="90"/>
      <c r="H11" s="54">
        <f>SUM(I11)</f>
        <v>1</v>
      </c>
      <c r="I11" s="54">
        <f>SUM(J11)</f>
        <v>1</v>
      </c>
      <c r="J11" s="55">
        <v>1</v>
      </c>
      <c r="K11" s="54">
        <f>SUM(J11)</f>
        <v>1</v>
      </c>
      <c r="L11" s="54">
        <f>SUM(K11)</f>
        <v>1</v>
      </c>
      <c r="M11" s="56"/>
    </row>
    <row r="12" spans="1:14" s="1" customFormat="1" ht="14.1" customHeight="1" x14ac:dyDescent="0.3">
      <c r="A12" s="103"/>
      <c r="B12" s="57" t="s">
        <v>142</v>
      </c>
      <c r="C12" s="58"/>
      <c r="D12" s="46" t="s">
        <v>802</v>
      </c>
      <c r="E12" s="47"/>
      <c r="F12" s="47"/>
      <c r="G12" s="59"/>
      <c r="H12" s="40"/>
      <c r="I12" s="40"/>
      <c r="J12" s="82"/>
      <c r="K12" s="40"/>
      <c r="L12" s="40"/>
      <c r="M12" s="44"/>
    </row>
    <row r="13" spans="1:14" s="1" customFormat="1" ht="14.1" customHeight="1" x14ac:dyDescent="0.3">
      <c r="A13" s="78">
        <v>6</v>
      </c>
      <c r="B13" s="79" t="s">
        <v>134</v>
      </c>
      <c r="C13" s="80"/>
      <c r="D13" s="133"/>
      <c r="E13" s="134"/>
      <c r="F13" s="134"/>
      <c r="G13" s="135"/>
      <c r="H13" s="54">
        <f>SUM(I13)-0.5</f>
        <v>6.5</v>
      </c>
      <c r="I13" s="54">
        <f>SUM(J13)-0.5</f>
        <v>7</v>
      </c>
      <c r="J13" s="55">
        <v>7.5</v>
      </c>
      <c r="K13" s="54">
        <f>SUM(J13)+0.5</f>
        <v>8</v>
      </c>
      <c r="L13" s="54">
        <f>SUM(K13)+0.5</f>
        <v>8.5</v>
      </c>
      <c r="M13" s="56"/>
    </row>
    <row r="14" spans="1:14" s="1" customFormat="1" ht="14.1" customHeight="1" thickBot="1" x14ac:dyDescent="0.35">
      <c r="A14" s="103"/>
      <c r="B14" s="96" t="s">
        <v>142</v>
      </c>
      <c r="C14" s="97"/>
      <c r="D14" s="98" t="s">
        <v>803</v>
      </c>
      <c r="E14" s="99"/>
      <c r="F14" s="99"/>
      <c r="G14" s="100"/>
      <c r="H14" s="40"/>
      <c r="I14" s="40"/>
      <c r="J14" s="82"/>
      <c r="K14" s="40"/>
      <c r="L14" s="40"/>
      <c r="M14" s="83"/>
    </row>
    <row r="15" spans="1:14" s="1" customFormat="1" ht="14.1" customHeight="1" thickTop="1" x14ac:dyDescent="0.3">
      <c r="A15" s="233">
        <v>7</v>
      </c>
      <c r="B15" s="218" t="s">
        <v>11</v>
      </c>
      <c r="C15" s="219"/>
      <c r="D15" s="220" t="s">
        <v>12</v>
      </c>
      <c r="E15" s="221"/>
      <c r="F15" s="221"/>
      <c r="G15" s="222"/>
      <c r="H15" s="223">
        <f>SUM(I15)-3.2</f>
        <v>53.599999999999994</v>
      </c>
      <c r="I15" s="224">
        <f>SUM(J15)-3.2</f>
        <v>56.8</v>
      </c>
      <c r="J15" s="226">
        <v>60</v>
      </c>
      <c r="K15" s="224">
        <f>SUM(J15)+3.2</f>
        <v>63.2</v>
      </c>
      <c r="L15" s="224">
        <f>SUM(K15)+3.2</f>
        <v>66.400000000000006</v>
      </c>
      <c r="M15" s="225"/>
    </row>
    <row r="16" spans="1:14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44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12.600000000000001</v>
      </c>
      <c r="I17" s="54">
        <f>SUM(J17)-0.7</f>
        <v>13.3</v>
      </c>
      <c r="J17" s="55">
        <v>14</v>
      </c>
      <c r="K17" s="54">
        <f>SUM(J17)+1.2</f>
        <v>15.2</v>
      </c>
      <c r="L17" s="54">
        <f>SUM(K17)+0.7</f>
        <v>15.899999999999999</v>
      </c>
      <c r="M17" s="56"/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44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21.3</v>
      </c>
      <c r="I19" s="54">
        <f>SUM(J19)-1.5</f>
        <v>22.8</v>
      </c>
      <c r="J19" s="55">
        <v>24.3</v>
      </c>
      <c r="K19" s="54">
        <f>SUM(J19)+1.5</f>
        <v>25.8</v>
      </c>
      <c r="L19" s="54">
        <f>SUM(K19)+1.5</f>
        <v>27.3</v>
      </c>
      <c r="M19" s="56"/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44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56"/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44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SUM(I23)-1.1</f>
        <v>20.399999999999999</v>
      </c>
      <c r="I23" s="54">
        <f>SUM(J23)-1</f>
        <v>21.5</v>
      </c>
      <c r="J23" s="55">
        <v>22.5</v>
      </c>
      <c r="K23" s="54">
        <f>SUM(J23)+1.5</f>
        <v>24</v>
      </c>
      <c r="L23" s="54">
        <f>SUM(K23)+1</f>
        <v>25</v>
      </c>
      <c r="M23" s="56"/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44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22.700000000000003</v>
      </c>
      <c r="I25" s="54">
        <f>SUM(J25)-1.2</f>
        <v>23.900000000000002</v>
      </c>
      <c r="J25" s="55">
        <v>25.1</v>
      </c>
      <c r="K25" s="54">
        <f>SUM(J25)+1.7</f>
        <v>26.8</v>
      </c>
      <c r="L25" s="54">
        <f>SUM(K25)+1.2</f>
        <v>28</v>
      </c>
      <c r="M25" s="56"/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44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56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44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56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44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56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44"/>
    </row>
    <row r="33" spans="1:13" ht="14.1" customHeight="1" x14ac:dyDescent="0.3">
      <c r="A33" s="78">
        <v>16</v>
      </c>
      <c r="B33" s="65" t="s">
        <v>91</v>
      </c>
      <c r="C33" s="66"/>
      <c r="D33" s="62"/>
      <c r="E33" s="63"/>
      <c r="F33" s="63"/>
      <c r="G33" s="64"/>
      <c r="H33" s="60"/>
      <c r="I33" s="54"/>
      <c r="J33" s="55"/>
      <c r="K33" s="54"/>
      <c r="L33" s="54"/>
      <c r="M33" s="56"/>
    </row>
    <row r="34" spans="1:13" ht="14.1" customHeight="1" thickBot="1" x14ac:dyDescent="0.35">
      <c r="A34" s="104"/>
      <c r="B34" s="184" t="s">
        <v>89</v>
      </c>
      <c r="C34" s="185"/>
      <c r="D34" s="186"/>
      <c r="E34" s="187"/>
      <c r="F34" s="187"/>
      <c r="G34" s="188"/>
      <c r="H34" s="141"/>
      <c r="I34" s="91"/>
      <c r="J34" s="107"/>
      <c r="K34" s="91"/>
      <c r="L34" s="91"/>
      <c r="M34" s="147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7A8A-B8D2-42D0-B79B-69DD32407147}">
  <sheetPr>
    <tabColor rgb="FFFF0000"/>
    <pageSetUpPr fitToPage="1"/>
  </sheetPr>
  <dimension ref="A1:M57"/>
  <sheetViews>
    <sheetView zoomScale="110" zoomScaleNormal="110" workbookViewId="0">
      <selection activeCell="J17" sqref="J17:J18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699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SUM(I3)-2.5</f>
        <v>44</v>
      </c>
      <c r="I3" s="39">
        <f>SUM(J3)-2.5</f>
        <v>46.5</v>
      </c>
      <c r="J3" s="41">
        <v>49</v>
      </c>
      <c r="K3" s="39">
        <f>SUM(J3)+2.5</f>
        <v>51.5</v>
      </c>
      <c r="L3" s="39">
        <f>SUM(K3)+2.5</f>
        <v>54</v>
      </c>
      <c r="M3" s="43"/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63</v>
      </c>
      <c r="I5" s="54">
        <f>SUM(J5)-4.5</f>
        <v>67.5</v>
      </c>
      <c r="J5" s="55">
        <v>72</v>
      </c>
      <c r="K5" s="54">
        <f>SUM(J5)+4.5</f>
        <v>76.5</v>
      </c>
      <c r="L5" s="54">
        <f>SUM(K5)+4.5</f>
        <v>81</v>
      </c>
      <c r="M5" s="160"/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161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26</v>
      </c>
      <c r="I7" s="54">
        <f>SUM(J7)-2.5</f>
        <v>28.5</v>
      </c>
      <c r="J7" s="55">
        <v>31</v>
      </c>
      <c r="K7" s="54">
        <f>SUM(J7)+2.5</f>
        <v>33.5</v>
      </c>
      <c r="L7" s="54">
        <f>SUM(K7)+2.5</f>
        <v>36</v>
      </c>
      <c r="M7" s="160"/>
    </row>
    <row r="8" spans="1:13" s="1" customFormat="1" ht="14.1" customHeight="1" x14ac:dyDescent="0.3">
      <c r="A8" s="35"/>
      <c r="B8" s="70" t="s">
        <v>161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161"/>
    </row>
    <row r="9" spans="1:13" s="1" customFormat="1" ht="14.1" customHeight="1" x14ac:dyDescent="0.3">
      <c r="A9" s="78">
        <v>4</v>
      </c>
      <c r="B9" s="65"/>
      <c r="C9" s="66"/>
      <c r="D9" s="75"/>
      <c r="E9" s="76"/>
      <c r="F9" s="76"/>
      <c r="G9" s="77"/>
      <c r="H9" s="54"/>
      <c r="I9" s="54"/>
      <c r="J9" s="55"/>
      <c r="K9" s="54"/>
      <c r="L9" s="54"/>
      <c r="M9" s="56"/>
    </row>
    <row r="10" spans="1:13" s="1" customFormat="1" ht="14.1" customHeight="1" x14ac:dyDescent="0.3">
      <c r="A10" s="35"/>
      <c r="B10" s="70"/>
      <c r="C10" s="71"/>
      <c r="D10" s="72"/>
      <c r="E10" s="73"/>
      <c r="F10" s="73"/>
      <c r="G10" s="74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5"/>
      <c r="C11" s="66"/>
      <c r="D11" s="75"/>
      <c r="E11" s="76"/>
      <c r="F11" s="76"/>
      <c r="G11" s="77"/>
      <c r="H11" s="54"/>
      <c r="I11" s="54"/>
      <c r="J11" s="55"/>
      <c r="K11" s="54"/>
      <c r="L11" s="54"/>
      <c r="M11" s="56"/>
    </row>
    <row r="12" spans="1:13" s="1" customFormat="1" ht="14.1" customHeight="1" x14ac:dyDescent="0.3">
      <c r="A12" s="103"/>
      <c r="B12" s="70"/>
      <c r="C12" s="71"/>
      <c r="D12" s="84"/>
      <c r="E12" s="85"/>
      <c r="F12" s="85"/>
      <c r="G12" s="86"/>
      <c r="H12" s="81"/>
      <c r="I12" s="81"/>
      <c r="J12" s="82"/>
      <c r="K12" s="81"/>
      <c r="L12" s="81"/>
      <c r="M12" s="83"/>
    </row>
    <row r="13" spans="1:13" s="1" customFormat="1" ht="14.1" customHeight="1" x14ac:dyDescent="0.3">
      <c r="A13" s="78">
        <v>6</v>
      </c>
      <c r="B13" s="65"/>
      <c r="C13" s="66"/>
      <c r="D13" s="75"/>
      <c r="E13" s="76"/>
      <c r="F13" s="76"/>
      <c r="G13" s="77"/>
      <c r="H13" s="54"/>
      <c r="I13" s="54"/>
      <c r="J13" s="55"/>
      <c r="K13" s="54"/>
      <c r="L13" s="54"/>
      <c r="M13" s="56"/>
    </row>
    <row r="14" spans="1:13" s="1" customFormat="1" ht="14.1" customHeight="1" thickBot="1" x14ac:dyDescent="0.35">
      <c r="A14" s="244"/>
      <c r="B14" s="231"/>
      <c r="C14" s="232"/>
      <c r="D14" s="240"/>
      <c r="E14" s="241"/>
      <c r="F14" s="241"/>
      <c r="G14" s="242"/>
      <c r="H14" s="206"/>
      <c r="I14" s="206"/>
      <c r="J14" s="243"/>
      <c r="K14" s="206"/>
      <c r="L14" s="206"/>
      <c r="M14" s="239"/>
    </row>
    <row r="15" spans="1:13" s="1" customFormat="1" ht="14.1" customHeight="1" thickTop="1" x14ac:dyDescent="0.3">
      <c r="A15" s="103">
        <v>7</v>
      </c>
      <c r="B15" s="79" t="s">
        <v>11</v>
      </c>
      <c r="C15" s="80"/>
      <c r="D15" s="51" t="s">
        <v>12</v>
      </c>
      <c r="E15" s="52"/>
      <c r="F15" s="52"/>
      <c r="G15" s="53"/>
      <c r="H15" s="105">
        <f>SUM(I15)-3.2</f>
        <v>53.599999999999994</v>
      </c>
      <c r="I15" s="81">
        <f>SUM(J15)-3.2</f>
        <v>56.8</v>
      </c>
      <c r="J15" s="82">
        <v>60</v>
      </c>
      <c r="K15" s="81">
        <f>SUM(J15)+3.2</f>
        <v>63.2</v>
      </c>
      <c r="L15" s="81">
        <f>SUM(K15)+3.2</f>
        <v>66.400000000000006</v>
      </c>
      <c r="M15" s="178"/>
    </row>
    <row r="16" spans="1:13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161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12.200000000000001</v>
      </c>
      <c r="I17" s="54">
        <f>SUM(J17)-0.7</f>
        <v>12.9</v>
      </c>
      <c r="J17" s="55">
        <v>13.6</v>
      </c>
      <c r="K17" s="54">
        <f>SUM(J17)+1.2</f>
        <v>14.799999999999999</v>
      </c>
      <c r="L17" s="54">
        <f>SUM(K17)+0.7</f>
        <v>15.499999999999998</v>
      </c>
      <c r="M17" s="160"/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161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21</v>
      </c>
      <c r="I19" s="54">
        <f>SUM(J19)-1.5</f>
        <v>22.5</v>
      </c>
      <c r="J19" s="55">
        <v>24</v>
      </c>
      <c r="K19" s="54">
        <f>SUM(J19)+1.5</f>
        <v>25.5</v>
      </c>
      <c r="L19" s="54">
        <f>SUM(K19)+1.5</f>
        <v>27</v>
      </c>
      <c r="M19" s="160"/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161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160"/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161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</f>
        <v>19.899999999999999</v>
      </c>
      <c r="I23" s="54">
        <f>SUM(J23)-1</f>
        <v>20.9</v>
      </c>
      <c r="J23" s="55">
        <v>21.9</v>
      </c>
      <c r="K23" s="54">
        <f>SUM(J23)+1.5</f>
        <v>23.4</v>
      </c>
      <c r="L23" s="54">
        <f>SUM(K23)+1</f>
        <v>24.4</v>
      </c>
      <c r="M23" s="160"/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161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22.5</v>
      </c>
      <c r="I25" s="54">
        <f>SUM(J25)-1.2</f>
        <v>23.7</v>
      </c>
      <c r="J25" s="55">
        <v>24.9</v>
      </c>
      <c r="K25" s="54">
        <f>SUM(J25)+1.7</f>
        <v>26.599999999999998</v>
      </c>
      <c r="L25" s="54">
        <f>SUM(K25)+1.2</f>
        <v>27.799999999999997</v>
      </c>
      <c r="M25" s="160"/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61"/>
    </row>
    <row r="27" spans="1:13" ht="14.1" customHeight="1" x14ac:dyDescent="0.3">
      <c r="A27" s="78">
        <v>13</v>
      </c>
      <c r="B27" s="65" t="s">
        <v>18</v>
      </c>
      <c r="C27" s="66"/>
      <c r="D27" s="62" t="s">
        <v>19</v>
      </c>
      <c r="E27" s="63"/>
      <c r="F27" s="63"/>
      <c r="G27" s="64"/>
      <c r="H27" s="60"/>
      <c r="I27" s="54"/>
      <c r="J27" s="55"/>
      <c r="K27" s="54"/>
      <c r="L27" s="54"/>
      <c r="M27" s="160"/>
    </row>
    <row r="28" spans="1:13" ht="14.1" customHeight="1" x14ac:dyDescent="0.3">
      <c r="A28" s="35"/>
      <c r="B28" s="70" t="s">
        <v>55</v>
      </c>
      <c r="C28" s="71"/>
      <c r="D28" s="151" t="s">
        <v>96</v>
      </c>
      <c r="E28" s="152"/>
      <c r="F28" s="152"/>
      <c r="G28" s="153"/>
      <c r="H28" s="45"/>
      <c r="I28" s="40"/>
      <c r="J28" s="42"/>
      <c r="K28" s="40"/>
      <c r="L28" s="40"/>
      <c r="M28" s="161"/>
    </row>
    <row r="29" spans="1:13" ht="14.1" customHeight="1" x14ac:dyDescent="0.3">
      <c r="A29" s="78">
        <v>14</v>
      </c>
      <c r="B29" s="65" t="s">
        <v>20</v>
      </c>
      <c r="C29" s="66"/>
      <c r="D29" s="62" t="s">
        <v>21</v>
      </c>
      <c r="E29" s="63"/>
      <c r="F29" s="63"/>
      <c r="G29" s="64"/>
      <c r="H29" s="60"/>
      <c r="I29" s="54"/>
      <c r="J29" s="55"/>
      <c r="K29" s="54"/>
      <c r="L29" s="54"/>
      <c r="M29" s="160"/>
    </row>
    <row r="30" spans="1:13" ht="14.1" customHeight="1" x14ac:dyDescent="0.3">
      <c r="A30" s="35"/>
      <c r="B30" s="70" t="s">
        <v>54</v>
      </c>
      <c r="C30" s="71"/>
      <c r="D30" s="151" t="s">
        <v>95</v>
      </c>
      <c r="E30" s="152"/>
      <c r="F30" s="152"/>
      <c r="G30" s="153"/>
      <c r="H30" s="45"/>
      <c r="I30" s="40"/>
      <c r="J30" s="42"/>
      <c r="K30" s="40"/>
      <c r="L30" s="40"/>
      <c r="M30" s="161"/>
    </row>
    <row r="31" spans="1:13" ht="14.1" customHeight="1" x14ac:dyDescent="0.3">
      <c r="A31" s="78">
        <v>15</v>
      </c>
      <c r="B31" s="65" t="s">
        <v>94</v>
      </c>
      <c r="C31" s="66"/>
      <c r="D31" s="62" t="s">
        <v>92</v>
      </c>
      <c r="E31" s="63"/>
      <c r="F31" s="63"/>
      <c r="G31" s="64"/>
      <c r="H31" s="60"/>
      <c r="I31" s="54"/>
      <c r="J31" s="55"/>
      <c r="K31" s="54"/>
      <c r="L31" s="54"/>
      <c r="M31" s="160"/>
    </row>
    <row r="32" spans="1:13" ht="14.1" customHeight="1" x14ac:dyDescent="0.3">
      <c r="A32" s="35"/>
      <c r="B32" s="70" t="s">
        <v>93</v>
      </c>
      <c r="C32" s="71"/>
      <c r="D32" s="151" t="s">
        <v>92</v>
      </c>
      <c r="E32" s="152"/>
      <c r="F32" s="152"/>
      <c r="G32" s="153"/>
      <c r="H32" s="45"/>
      <c r="I32" s="40"/>
      <c r="J32" s="42"/>
      <c r="K32" s="40"/>
      <c r="L32" s="40"/>
      <c r="M32" s="161"/>
    </row>
    <row r="33" spans="1:13" ht="14.1" customHeight="1" x14ac:dyDescent="0.3">
      <c r="A33" s="78">
        <v>16</v>
      </c>
      <c r="B33" s="65" t="s">
        <v>91</v>
      </c>
      <c r="C33" s="66"/>
      <c r="D33" s="62" t="s">
        <v>90</v>
      </c>
      <c r="E33" s="63"/>
      <c r="F33" s="63"/>
      <c r="G33" s="64"/>
      <c r="H33" s="60"/>
      <c r="I33" s="54"/>
      <c r="J33" s="55"/>
      <c r="K33" s="54"/>
      <c r="L33" s="54"/>
      <c r="M33" s="160"/>
    </row>
    <row r="34" spans="1:13" ht="14.1" customHeight="1" thickBot="1" x14ac:dyDescent="0.35">
      <c r="A34" s="104"/>
      <c r="B34" s="184" t="s">
        <v>89</v>
      </c>
      <c r="C34" s="185"/>
      <c r="D34" s="186" t="s">
        <v>88</v>
      </c>
      <c r="E34" s="187"/>
      <c r="F34" s="187"/>
      <c r="G34" s="188"/>
      <c r="H34" s="141"/>
      <c r="I34" s="91"/>
      <c r="J34" s="107"/>
      <c r="K34" s="91"/>
      <c r="L34" s="91"/>
      <c r="M34" s="200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7930-C4A5-4BFE-8CA3-C224B46BE5EA}">
  <sheetPr>
    <tabColor rgb="FFFF0000"/>
    <pageSetUpPr fitToPage="1"/>
  </sheetPr>
  <dimension ref="A1:M57"/>
  <sheetViews>
    <sheetView zoomScale="110" zoomScaleNormal="110" workbookViewId="0">
      <selection activeCell="Q15" sqref="Q15"/>
    </sheetView>
  </sheetViews>
  <sheetFormatPr defaultColWidth="8.75" defaultRowHeight="16.5" x14ac:dyDescent="0.3"/>
  <cols>
    <col min="1" max="1" width="3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778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25">
      <c r="A2" s="4" t="s">
        <v>59</v>
      </c>
      <c r="B2" s="245" t="s">
        <v>60</v>
      </c>
      <c r="C2" s="246"/>
      <c r="D2" s="245" t="s">
        <v>61</v>
      </c>
      <c r="E2" s="247"/>
      <c r="F2" s="247"/>
      <c r="G2" s="246"/>
      <c r="H2" s="3" t="s">
        <v>62</v>
      </c>
      <c r="I2" s="3" t="s">
        <v>63</v>
      </c>
      <c r="J2" s="7" t="s">
        <v>64</v>
      </c>
      <c r="K2" s="3" t="s">
        <v>65</v>
      </c>
      <c r="L2" s="3" t="s">
        <v>145</v>
      </c>
      <c r="M2" s="3" t="s">
        <v>144</v>
      </c>
    </row>
    <row r="3" spans="1:13" s="1" customFormat="1" ht="14.1" customHeight="1" x14ac:dyDescent="0.3">
      <c r="A3" s="248">
        <v>1</v>
      </c>
      <c r="B3" s="174" t="s">
        <v>119</v>
      </c>
      <c r="C3" s="175"/>
      <c r="D3" s="250" t="s">
        <v>70</v>
      </c>
      <c r="E3" s="251"/>
      <c r="F3" s="251"/>
      <c r="G3" s="252"/>
      <c r="H3" s="39">
        <f>SUM(I3)-3</f>
        <v>45</v>
      </c>
      <c r="I3" s="39">
        <f>SUM(J3)-3</f>
        <v>48</v>
      </c>
      <c r="J3" s="41">
        <v>51</v>
      </c>
      <c r="K3" s="39">
        <f>SUM(J3)+3</f>
        <v>54</v>
      </c>
      <c r="L3" s="39">
        <f>SUM(K3)+3</f>
        <v>57</v>
      </c>
      <c r="M3" s="120">
        <f>SUM(L3)+3</f>
        <v>60</v>
      </c>
    </row>
    <row r="4" spans="1:13" s="1" customFormat="1" ht="14.1" customHeight="1" x14ac:dyDescent="0.3">
      <c r="A4" s="249"/>
      <c r="B4" s="70" t="s">
        <v>87</v>
      </c>
      <c r="C4" s="71"/>
      <c r="D4" s="72" t="s">
        <v>71</v>
      </c>
      <c r="E4" s="73"/>
      <c r="F4" s="73"/>
      <c r="G4" s="74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78">
        <v>2</v>
      </c>
      <c r="B5" s="65" t="s">
        <v>123</v>
      </c>
      <c r="C5" s="66"/>
      <c r="D5" s="62"/>
      <c r="E5" s="63"/>
      <c r="F5" s="63"/>
      <c r="G5" s="64"/>
      <c r="H5" s="60">
        <f>SUM(I5)-4.5</f>
        <v>64</v>
      </c>
      <c r="I5" s="54">
        <f>SUM(J5)-4.5</f>
        <v>68.5</v>
      </c>
      <c r="J5" s="55">
        <v>73</v>
      </c>
      <c r="K5" s="54">
        <f>SUM(J5)+4.5</f>
        <v>77.5</v>
      </c>
      <c r="L5" s="54">
        <f>SUM(K5)+4.5</f>
        <v>82</v>
      </c>
      <c r="M5" s="101">
        <f>SUM(L5)+4.5</f>
        <v>86.5</v>
      </c>
    </row>
    <row r="6" spans="1:13" s="1" customFormat="1" ht="14.1" customHeight="1" x14ac:dyDescent="0.3">
      <c r="A6" s="35"/>
      <c r="B6" s="70" t="s">
        <v>122</v>
      </c>
      <c r="C6" s="71"/>
      <c r="D6" s="151"/>
      <c r="E6" s="152"/>
      <c r="F6" s="152"/>
      <c r="G6" s="153"/>
      <c r="H6" s="45"/>
      <c r="I6" s="40"/>
      <c r="J6" s="42"/>
      <c r="K6" s="40"/>
      <c r="L6" s="40"/>
      <c r="M6" s="102"/>
    </row>
    <row r="7" spans="1:13" s="1" customFormat="1" ht="14.1" customHeight="1" x14ac:dyDescent="0.3">
      <c r="A7" s="78">
        <v>3</v>
      </c>
      <c r="B7" s="65" t="s">
        <v>162</v>
      </c>
      <c r="C7" s="66"/>
      <c r="D7" s="75" t="s">
        <v>72</v>
      </c>
      <c r="E7" s="76"/>
      <c r="F7" s="76"/>
      <c r="G7" s="77"/>
      <c r="H7" s="60">
        <f>SUM(I7)-2.5</f>
        <v>24</v>
      </c>
      <c r="I7" s="54">
        <f>SUM(J7)-2.5</f>
        <v>26.5</v>
      </c>
      <c r="J7" s="55">
        <v>29</v>
      </c>
      <c r="K7" s="54">
        <f>SUM(J7)+2.5</f>
        <v>31.5</v>
      </c>
      <c r="L7" s="54">
        <f>SUM(K7)+2.5</f>
        <v>34</v>
      </c>
      <c r="M7" s="101">
        <f>SUM(L7)+2.5</f>
        <v>36.5</v>
      </c>
    </row>
    <row r="8" spans="1:13" s="1" customFormat="1" ht="14.1" customHeight="1" x14ac:dyDescent="0.3">
      <c r="A8" s="35"/>
      <c r="B8" s="70" t="s">
        <v>779</v>
      </c>
      <c r="C8" s="71"/>
      <c r="D8" s="72" t="s">
        <v>120</v>
      </c>
      <c r="E8" s="73"/>
      <c r="F8" s="73"/>
      <c r="G8" s="74"/>
      <c r="H8" s="45"/>
      <c r="I8" s="40"/>
      <c r="J8" s="42"/>
      <c r="K8" s="40"/>
      <c r="L8" s="40"/>
      <c r="M8" s="102"/>
    </row>
    <row r="9" spans="1:13" s="1" customFormat="1" ht="14.1" customHeight="1" x14ac:dyDescent="0.3">
      <c r="A9" s="78">
        <v>4</v>
      </c>
      <c r="B9" s="79" t="s">
        <v>134</v>
      </c>
      <c r="C9" s="80"/>
      <c r="D9" s="75"/>
      <c r="E9" s="76"/>
      <c r="F9" s="76"/>
      <c r="G9" s="77"/>
      <c r="H9" s="60">
        <f>SUM(I9)-0.2</f>
        <v>2.1999999999999997</v>
      </c>
      <c r="I9" s="54">
        <f>SUM(J9)-0.2</f>
        <v>2.4</v>
      </c>
      <c r="J9" s="55">
        <v>2.6</v>
      </c>
      <c r="K9" s="54">
        <f>SUM(J9)+0.2</f>
        <v>2.8000000000000003</v>
      </c>
      <c r="L9" s="54">
        <f>SUM(K9)+0.2</f>
        <v>3.0000000000000004</v>
      </c>
      <c r="M9" s="101">
        <f>SUM(L9)+0.2</f>
        <v>3.2000000000000006</v>
      </c>
    </row>
    <row r="10" spans="1:13" s="1" customFormat="1" ht="14.1" customHeight="1" x14ac:dyDescent="0.3">
      <c r="A10" s="35"/>
      <c r="B10" s="79" t="s">
        <v>142</v>
      </c>
      <c r="C10" s="80"/>
      <c r="D10" s="72"/>
      <c r="E10" s="73"/>
      <c r="F10" s="73"/>
      <c r="G10" s="74"/>
      <c r="H10" s="45"/>
      <c r="I10" s="40"/>
      <c r="J10" s="42"/>
      <c r="K10" s="40"/>
      <c r="L10" s="40"/>
      <c r="M10" s="102"/>
    </row>
    <row r="11" spans="1:13" s="1" customFormat="1" ht="14.1" customHeight="1" x14ac:dyDescent="0.3">
      <c r="A11" s="78">
        <v>5</v>
      </c>
      <c r="B11" s="65"/>
      <c r="C11" s="66"/>
      <c r="D11" s="75"/>
      <c r="E11" s="76"/>
      <c r="F11" s="76"/>
      <c r="G11" s="77"/>
      <c r="H11" s="54"/>
      <c r="I11" s="54"/>
      <c r="J11" s="55"/>
      <c r="K11" s="54"/>
      <c r="L11" s="54"/>
      <c r="M11" s="101"/>
    </row>
    <row r="12" spans="1:13" s="1" customFormat="1" ht="14.1" customHeight="1" x14ac:dyDescent="0.3">
      <c r="A12" s="103"/>
      <c r="B12" s="70"/>
      <c r="C12" s="71"/>
      <c r="D12" s="84"/>
      <c r="E12" s="85"/>
      <c r="F12" s="85"/>
      <c r="G12" s="86"/>
      <c r="H12" s="81"/>
      <c r="I12" s="81"/>
      <c r="J12" s="82"/>
      <c r="K12" s="81"/>
      <c r="L12" s="81"/>
      <c r="M12" s="119"/>
    </row>
    <row r="13" spans="1:13" s="1" customFormat="1" ht="14.1" customHeight="1" x14ac:dyDescent="0.3">
      <c r="A13" s="78">
        <v>6</v>
      </c>
      <c r="B13" s="65"/>
      <c r="C13" s="66"/>
      <c r="D13" s="75"/>
      <c r="E13" s="76"/>
      <c r="F13" s="76"/>
      <c r="G13" s="77"/>
      <c r="H13" s="54"/>
      <c r="I13" s="54"/>
      <c r="J13" s="55"/>
      <c r="K13" s="54"/>
      <c r="L13" s="54"/>
      <c r="M13" s="101"/>
    </row>
    <row r="14" spans="1:13" s="1" customFormat="1" ht="14.1" customHeight="1" thickBot="1" x14ac:dyDescent="0.35">
      <c r="A14" s="244"/>
      <c r="B14" s="231"/>
      <c r="C14" s="232"/>
      <c r="D14" s="240"/>
      <c r="E14" s="241"/>
      <c r="F14" s="241"/>
      <c r="G14" s="242"/>
      <c r="H14" s="206"/>
      <c r="I14" s="206"/>
      <c r="J14" s="243"/>
      <c r="K14" s="206"/>
      <c r="L14" s="206"/>
      <c r="M14" s="256"/>
    </row>
    <row r="15" spans="1:13" s="1" customFormat="1" ht="14.1" customHeight="1" thickTop="1" x14ac:dyDescent="0.3">
      <c r="A15" s="103">
        <v>7</v>
      </c>
      <c r="B15" s="79" t="s">
        <v>11</v>
      </c>
      <c r="C15" s="80"/>
      <c r="D15" s="51" t="s">
        <v>12</v>
      </c>
      <c r="E15" s="52"/>
      <c r="F15" s="52"/>
      <c r="G15" s="53"/>
      <c r="H15" s="105">
        <f>SUM(I15)-3.2</f>
        <v>53.599999999999994</v>
      </c>
      <c r="I15" s="81">
        <f>SUM(J15)-3.2</f>
        <v>56.8</v>
      </c>
      <c r="J15" s="82">
        <v>60</v>
      </c>
      <c r="K15" s="81">
        <f>SUM(J15)+3.2</f>
        <v>63.2</v>
      </c>
      <c r="L15" s="81">
        <f>SUM(K15)+3.2</f>
        <v>66.400000000000006</v>
      </c>
      <c r="M15" s="119">
        <f>SUM(L15)+3.2</f>
        <v>69.600000000000009</v>
      </c>
    </row>
    <row r="16" spans="1:13" s="1" customFormat="1" ht="14.1" customHeight="1" x14ac:dyDescent="0.3">
      <c r="A16" s="35"/>
      <c r="B16" s="70" t="s">
        <v>49</v>
      </c>
      <c r="C16" s="71"/>
      <c r="D16" s="151" t="s">
        <v>100</v>
      </c>
      <c r="E16" s="152"/>
      <c r="F16" s="152"/>
      <c r="G16" s="153"/>
      <c r="H16" s="45"/>
      <c r="I16" s="40"/>
      <c r="J16" s="42"/>
      <c r="K16" s="40"/>
      <c r="L16" s="40"/>
      <c r="M16" s="102"/>
    </row>
    <row r="17" spans="1:13" s="1" customFormat="1" ht="14.1" customHeight="1" x14ac:dyDescent="0.3">
      <c r="A17" s="78">
        <v>8</v>
      </c>
      <c r="B17" s="65" t="s">
        <v>116</v>
      </c>
      <c r="C17" s="66"/>
      <c r="D17" s="62"/>
      <c r="E17" s="63"/>
      <c r="F17" s="63"/>
      <c r="G17" s="64"/>
      <c r="H17" s="60">
        <f>SUM(I17)-0.7</f>
        <v>12.600000000000001</v>
      </c>
      <c r="I17" s="54">
        <f>SUM(J17)-0.7</f>
        <v>13.3</v>
      </c>
      <c r="J17" s="55">
        <v>14</v>
      </c>
      <c r="K17" s="54">
        <f>SUM(J17)+1.2</f>
        <v>15.2</v>
      </c>
      <c r="L17" s="54">
        <f>SUM(K17)+0.7</f>
        <v>15.899999999999999</v>
      </c>
      <c r="M17" s="101">
        <f>SUM(L17)+0.7</f>
        <v>16.599999999999998</v>
      </c>
    </row>
    <row r="18" spans="1:13" s="1" customFormat="1" ht="14.1" customHeight="1" x14ac:dyDescent="0.3">
      <c r="A18" s="35"/>
      <c r="B18" s="70" t="s">
        <v>115</v>
      </c>
      <c r="C18" s="71"/>
      <c r="D18" s="162" t="s">
        <v>129</v>
      </c>
      <c r="E18" s="163"/>
      <c r="F18" s="163"/>
      <c r="G18" s="164"/>
      <c r="H18" s="45"/>
      <c r="I18" s="40"/>
      <c r="J18" s="42"/>
      <c r="K18" s="40"/>
      <c r="L18" s="40"/>
      <c r="M18" s="102"/>
    </row>
    <row r="19" spans="1:13" s="1" customFormat="1" ht="14.1" customHeight="1" x14ac:dyDescent="0.3">
      <c r="A19" s="78">
        <v>9</v>
      </c>
      <c r="B19" s="65" t="s">
        <v>9</v>
      </c>
      <c r="C19" s="66"/>
      <c r="D19" s="62" t="s">
        <v>72</v>
      </c>
      <c r="E19" s="63"/>
      <c r="F19" s="63"/>
      <c r="G19" s="64"/>
      <c r="H19" s="60">
        <f>SUM(I19)-1.5</f>
        <v>21.3</v>
      </c>
      <c r="I19" s="54">
        <f>SUM(J19)-1.5</f>
        <v>22.8</v>
      </c>
      <c r="J19" s="55">
        <v>24.3</v>
      </c>
      <c r="K19" s="54">
        <f>SUM(J19)+1.5</f>
        <v>25.8</v>
      </c>
      <c r="L19" s="54">
        <f>SUM(K19)+1.5</f>
        <v>27.3</v>
      </c>
      <c r="M19" s="101">
        <f>SUM(L19)+1.5</f>
        <v>28.8</v>
      </c>
    </row>
    <row r="20" spans="1:13" s="1" customFormat="1" ht="14.1" customHeight="1" x14ac:dyDescent="0.3">
      <c r="A20" s="35"/>
      <c r="B20" s="70" t="s">
        <v>50</v>
      </c>
      <c r="C20" s="71"/>
      <c r="D20" s="151" t="s">
        <v>99</v>
      </c>
      <c r="E20" s="152"/>
      <c r="F20" s="152"/>
      <c r="G20" s="153"/>
      <c r="H20" s="45"/>
      <c r="I20" s="40"/>
      <c r="J20" s="42"/>
      <c r="K20" s="40"/>
      <c r="L20" s="40"/>
      <c r="M20" s="102"/>
    </row>
    <row r="21" spans="1:13" s="1" customFormat="1" ht="14.1" customHeight="1" x14ac:dyDescent="0.3">
      <c r="A21" s="78">
        <v>10</v>
      </c>
      <c r="B21" s="65" t="s">
        <v>14</v>
      </c>
      <c r="C21" s="66"/>
      <c r="D21" s="62" t="s">
        <v>15</v>
      </c>
      <c r="E21" s="63"/>
      <c r="F21" s="63"/>
      <c r="G21" s="64"/>
      <c r="H21" s="60">
        <f>SUM(I21)-1.8</f>
        <v>31.400000000000002</v>
      </c>
      <c r="I21" s="54">
        <f>SUM(J21)-1.8</f>
        <v>33.200000000000003</v>
      </c>
      <c r="J21" s="55">
        <v>35</v>
      </c>
      <c r="K21" s="54">
        <f>SUM(J21)+1.8</f>
        <v>36.799999999999997</v>
      </c>
      <c r="L21" s="54">
        <f>SUM(K21)+1.8</f>
        <v>38.599999999999994</v>
      </c>
      <c r="M21" s="101">
        <f>SUM(L21)+1.8</f>
        <v>40.399999999999991</v>
      </c>
    </row>
    <row r="22" spans="1:13" ht="14.1" customHeight="1" x14ac:dyDescent="0.3">
      <c r="A22" s="35"/>
      <c r="B22" s="70" t="s">
        <v>51</v>
      </c>
      <c r="C22" s="71"/>
      <c r="D22" s="46" t="s">
        <v>98</v>
      </c>
      <c r="E22" s="47"/>
      <c r="F22" s="47"/>
      <c r="G22" s="59"/>
      <c r="H22" s="45"/>
      <c r="I22" s="40"/>
      <c r="J22" s="42"/>
      <c r="K22" s="40"/>
      <c r="L22" s="40"/>
      <c r="M22" s="102"/>
    </row>
    <row r="23" spans="1:13" ht="14.1" customHeight="1" x14ac:dyDescent="0.3">
      <c r="A23" s="78">
        <v>11</v>
      </c>
      <c r="B23" s="65" t="s">
        <v>16</v>
      </c>
      <c r="C23" s="66"/>
      <c r="D23" s="62" t="s">
        <v>13</v>
      </c>
      <c r="E23" s="63"/>
      <c r="F23" s="63"/>
      <c r="G23" s="64"/>
      <c r="H23" s="60">
        <f>SUM(I23)-1</f>
        <v>20.5</v>
      </c>
      <c r="I23" s="54">
        <f>SUM(J23)-1</f>
        <v>21.5</v>
      </c>
      <c r="J23" s="55">
        <v>22.5</v>
      </c>
      <c r="K23" s="54">
        <f>SUM(J23)+1.5</f>
        <v>24</v>
      </c>
      <c r="L23" s="54">
        <f>SUM(K23)+1</f>
        <v>25</v>
      </c>
      <c r="M23" s="101">
        <f>SUM(L23)+1</f>
        <v>26</v>
      </c>
    </row>
    <row r="24" spans="1:13" ht="14.1" customHeight="1" x14ac:dyDescent="0.3">
      <c r="A24" s="35"/>
      <c r="B24" s="70" t="s">
        <v>57</v>
      </c>
      <c r="C24" s="71"/>
      <c r="D24" s="151" t="s">
        <v>97</v>
      </c>
      <c r="E24" s="152"/>
      <c r="F24" s="152"/>
      <c r="G24" s="153"/>
      <c r="H24" s="45"/>
      <c r="I24" s="40"/>
      <c r="J24" s="42"/>
      <c r="K24" s="40"/>
      <c r="L24" s="40"/>
      <c r="M24" s="102"/>
    </row>
    <row r="25" spans="1:13" ht="14.1" customHeight="1" x14ac:dyDescent="0.3">
      <c r="A25" s="78">
        <v>12</v>
      </c>
      <c r="B25" s="65" t="s">
        <v>17</v>
      </c>
      <c r="C25" s="66"/>
      <c r="D25" s="62" t="s">
        <v>13</v>
      </c>
      <c r="E25" s="63"/>
      <c r="F25" s="63"/>
      <c r="G25" s="64"/>
      <c r="H25" s="60">
        <f>SUM(I25)-1.2</f>
        <v>22.700000000000003</v>
      </c>
      <c r="I25" s="54">
        <f>SUM(J25)-1.2</f>
        <v>23.900000000000002</v>
      </c>
      <c r="J25" s="55">
        <v>25.1</v>
      </c>
      <c r="K25" s="54">
        <f>SUM(J25)+1.7</f>
        <v>26.8</v>
      </c>
      <c r="L25" s="54">
        <f>SUM(K25)+1.2</f>
        <v>28</v>
      </c>
      <c r="M25" s="101">
        <f>SUM(L25)+1.2</f>
        <v>29.2</v>
      </c>
    </row>
    <row r="26" spans="1:13" ht="14.1" customHeight="1" x14ac:dyDescent="0.3">
      <c r="A26" s="35"/>
      <c r="B26" s="70" t="s">
        <v>56</v>
      </c>
      <c r="C26" s="71"/>
      <c r="D26" s="151" t="s">
        <v>97</v>
      </c>
      <c r="E26" s="152"/>
      <c r="F26" s="152"/>
      <c r="G26" s="153"/>
      <c r="H26" s="45"/>
      <c r="I26" s="40"/>
      <c r="J26" s="42"/>
      <c r="K26" s="40"/>
      <c r="L26" s="40"/>
      <c r="M26" s="102"/>
    </row>
    <row r="27" spans="1:13" ht="14.1" customHeight="1" x14ac:dyDescent="0.3">
      <c r="A27" s="78">
        <v>13</v>
      </c>
      <c r="B27" s="65"/>
      <c r="C27" s="66"/>
      <c r="D27" s="62"/>
      <c r="E27" s="63"/>
      <c r="F27" s="63"/>
      <c r="G27" s="64"/>
      <c r="H27" s="60"/>
      <c r="I27" s="54"/>
      <c r="J27" s="55"/>
      <c r="K27" s="54"/>
      <c r="L27" s="54"/>
      <c r="M27" s="101"/>
    </row>
    <row r="28" spans="1:13" ht="14.1" customHeight="1" x14ac:dyDescent="0.3">
      <c r="A28" s="35"/>
      <c r="B28" s="70"/>
      <c r="C28" s="71"/>
      <c r="D28" s="151"/>
      <c r="E28" s="152"/>
      <c r="F28" s="152"/>
      <c r="G28" s="153"/>
      <c r="H28" s="45"/>
      <c r="I28" s="40"/>
      <c r="J28" s="42"/>
      <c r="K28" s="40"/>
      <c r="L28" s="40"/>
      <c r="M28" s="102"/>
    </row>
    <row r="29" spans="1:13" ht="14.1" customHeight="1" x14ac:dyDescent="0.3">
      <c r="A29" s="78">
        <v>14</v>
      </c>
      <c r="B29" s="65"/>
      <c r="C29" s="66"/>
      <c r="D29" s="62"/>
      <c r="E29" s="63"/>
      <c r="F29" s="63"/>
      <c r="G29" s="64"/>
      <c r="H29" s="60"/>
      <c r="I29" s="54"/>
      <c r="J29" s="55"/>
      <c r="K29" s="54"/>
      <c r="L29" s="54"/>
      <c r="M29" s="101"/>
    </row>
    <row r="30" spans="1:13" ht="14.1" customHeight="1" x14ac:dyDescent="0.3">
      <c r="A30" s="35"/>
      <c r="B30" s="70"/>
      <c r="C30" s="71"/>
      <c r="D30" s="151"/>
      <c r="E30" s="152"/>
      <c r="F30" s="152"/>
      <c r="G30" s="153"/>
      <c r="H30" s="45"/>
      <c r="I30" s="40"/>
      <c r="J30" s="42"/>
      <c r="K30" s="40"/>
      <c r="L30" s="40"/>
      <c r="M30" s="102"/>
    </row>
    <row r="31" spans="1:13" ht="14.1" customHeight="1" x14ac:dyDescent="0.3">
      <c r="A31" s="78">
        <v>15</v>
      </c>
      <c r="B31" s="65"/>
      <c r="C31" s="66"/>
      <c r="D31" s="62"/>
      <c r="E31" s="63"/>
      <c r="F31" s="63"/>
      <c r="G31" s="64"/>
      <c r="H31" s="60"/>
      <c r="I31" s="54"/>
      <c r="J31" s="55"/>
      <c r="K31" s="54"/>
      <c r="L31" s="54"/>
      <c r="M31" s="101"/>
    </row>
    <row r="32" spans="1:13" ht="14.1" customHeight="1" thickBot="1" x14ac:dyDescent="0.35">
      <c r="A32" s="104"/>
      <c r="B32" s="184"/>
      <c r="C32" s="185"/>
      <c r="D32" s="186"/>
      <c r="E32" s="187"/>
      <c r="F32" s="187"/>
      <c r="G32" s="188"/>
      <c r="H32" s="141"/>
      <c r="I32" s="91"/>
      <c r="J32" s="107"/>
      <c r="K32" s="91"/>
      <c r="L32" s="91"/>
      <c r="M32" s="108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239E-9E51-47F4-A3FF-61FB54F2225F}">
  <sheetPr codeName="Sheet46">
    <tabColor rgb="FFFF0000"/>
    <pageSetUpPr fitToPage="1"/>
  </sheetPr>
  <dimension ref="A1:M51"/>
  <sheetViews>
    <sheetView zoomScale="110" zoomScaleNormal="110" workbookViewId="0">
      <selection activeCell="P9" sqref="P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181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56">
        <f t="shared" ref="M3" si="0">SUM(L3)+2.5</f>
        <v>47.5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23.4</v>
      </c>
      <c r="I5" s="54">
        <f>SUM(J5)-1.8</f>
        <v>25.2</v>
      </c>
      <c r="J5" s="55">
        <v>27</v>
      </c>
      <c r="K5" s="54">
        <f>SUM(J5)+1.6</f>
        <v>28.6</v>
      </c>
      <c r="L5" s="54">
        <f>SUM(K5)+1.6</f>
        <v>30.200000000000003</v>
      </c>
      <c r="M5" s="56">
        <f t="shared" ref="M5" si="1">SUM(L5)+1.6</f>
        <v>31.800000000000004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28</v>
      </c>
      <c r="I7" s="54">
        <f>SUM(J7)-2</f>
        <v>30</v>
      </c>
      <c r="J7" s="55">
        <v>32</v>
      </c>
      <c r="K7" s="54">
        <f>SUM(J7)+1.8</f>
        <v>33.799999999999997</v>
      </c>
      <c r="L7" s="54">
        <f>SUM(K7)+1.8</f>
        <v>35.599999999999994</v>
      </c>
      <c r="M7" s="56">
        <f t="shared" ref="M7" si="2">SUM(L7)+1.8</f>
        <v>37.399999999999991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28</v>
      </c>
      <c r="I9" s="54">
        <f>SUM(J9)-2</f>
        <v>30</v>
      </c>
      <c r="J9" s="55">
        <v>32</v>
      </c>
      <c r="K9" s="54">
        <f>SUM(J9)+1.8</f>
        <v>33.799999999999997</v>
      </c>
      <c r="L9" s="54">
        <f>SUM(K9)+1.8</f>
        <v>35.599999999999994</v>
      </c>
      <c r="M9" s="56">
        <f t="shared" ref="M9" si="3">SUM(L9)+1.8</f>
        <v>37.399999999999991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13.299999999999999</v>
      </c>
      <c r="I11" s="60">
        <f>SUM(J11)-0.8</f>
        <v>14.2</v>
      </c>
      <c r="J11" s="132">
        <v>15</v>
      </c>
      <c r="K11" s="130">
        <f>SUM(J11)+0.8</f>
        <v>15.8</v>
      </c>
      <c r="L11" s="130">
        <f>SUM(K11)+0.8</f>
        <v>16.600000000000001</v>
      </c>
      <c r="M11" s="131">
        <f t="shared" ref="M11" si="4">SUM(L11)+0.8</f>
        <v>17.400000000000002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11.8</v>
      </c>
      <c r="I13" s="54">
        <f>SUM(J13)-0.6</f>
        <v>12.4</v>
      </c>
      <c r="J13" s="67">
        <v>13</v>
      </c>
      <c r="K13" s="68">
        <f>SUM(J13)+0.6</f>
        <v>13.6</v>
      </c>
      <c r="L13" s="68">
        <f>SUM(K13)+0.6</f>
        <v>14.2</v>
      </c>
      <c r="M13" s="69">
        <f t="shared" ref="M13" si="5">SUM(L13)+0.6</f>
        <v>14.799999999999999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4.9000000000000004</v>
      </c>
      <c r="I15" s="54">
        <f>SUM(J15)-0.3</f>
        <v>5.2</v>
      </c>
      <c r="J15" s="67">
        <v>5.5</v>
      </c>
      <c r="K15" s="68">
        <f>SUM(J15)+0.3</f>
        <v>5.8</v>
      </c>
      <c r="L15" s="68">
        <f>SUM(K15)+0.3</f>
        <v>6.1</v>
      </c>
      <c r="M15" s="69">
        <f t="shared" ref="M15" si="6">SUM(L15)+0.3</f>
        <v>6.3999999999999995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33.799999999999997</v>
      </c>
      <c r="I17" s="54">
        <f>SUM(J17)-1.6</f>
        <v>35.4</v>
      </c>
      <c r="J17" s="67">
        <v>37</v>
      </c>
      <c r="K17" s="68">
        <f>SUM(J17)+1.6</f>
        <v>38.6</v>
      </c>
      <c r="L17" s="68">
        <f>SUM(K17)+1.6</f>
        <v>40.200000000000003</v>
      </c>
      <c r="M17" s="69">
        <f t="shared" ref="M17" si="7">SUM(L17)+1.6</f>
        <v>41.800000000000004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9.8000000000000007</v>
      </c>
      <c r="I19" s="54">
        <f>SUM(J19)-1.1</f>
        <v>10.9</v>
      </c>
      <c r="J19" s="55">
        <v>12</v>
      </c>
      <c r="K19" s="68">
        <f>SUM(J19)+1.2</f>
        <v>13.2</v>
      </c>
      <c r="L19" s="68">
        <f>SUM(K19)+1.2</f>
        <v>14.399999999999999</v>
      </c>
      <c r="M19" s="69">
        <f t="shared" ref="M19" si="8">SUM(L19)+1.2</f>
        <v>15.599999999999998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21.4</v>
      </c>
      <c r="I23" s="54">
        <f>SUM(J23)-1.3</f>
        <v>22.7</v>
      </c>
      <c r="J23" s="67">
        <v>24</v>
      </c>
      <c r="K23" s="68">
        <f>SUM(J23)+1.3</f>
        <v>25.3</v>
      </c>
      <c r="L23" s="68">
        <f>SUM(K23)+1.3</f>
        <v>26.6</v>
      </c>
      <c r="M23" s="69">
        <f t="shared" ref="M23" si="9">SUM(L23)+1.3</f>
        <v>27.900000000000002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/>
      <c r="C25" s="66"/>
      <c r="D25" s="88"/>
      <c r="E25" s="89"/>
      <c r="F25" s="89"/>
      <c r="G25" s="90"/>
      <c r="H25" s="54"/>
      <c r="I25" s="54"/>
      <c r="J25" s="67"/>
      <c r="K25" s="68"/>
      <c r="L25" s="68"/>
      <c r="M25" s="94">
        <f>SUM(L25)+0.4</f>
        <v>0.4</v>
      </c>
    </row>
    <row r="26" spans="1:13" s="1" customFormat="1" ht="14.1" customHeight="1" x14ac:dyDescent="0.3">
      <c r="A26" s="48"/>
      <c r="B26" s="57"/>
      <c r="C26" s="58"/>
      <c r="D26" s="46"/>
      <c r="E26" s="47"/>
      <c r="F26" s="47"/>
      <c r="G26" s="59"/>
      <c r="H26" s="40"/>
      <c r="I26" s="40"/>
      <c r="J26" s="67"/>
      <c r="K26" s="68"/>
      <c r="L26" s="68"/>
      <c r="M26" s="94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94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94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E4C-F014-459B-98B2-98D6EFC74D0F}">
  <sheetPr codeName="Sheet47">
    <tabColor rgb="FFFF0000"/>
    <pageSetUpPr fitToPage="1"/>
  </sheetPr>
  <dimension ref="A1:M51"/>
  <sheetViews>
    <sheetView zoomScale="110" zoomScaleNormal="110" workbookViewId="0">
      <selection activeCell="D5" sqref="D5:G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167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36</v>
      </c>
      <c r="I3" s="54">
        <f>SUM(J3)-3.5</f>
        <v>39.5</v>
      </c>
      <c r="J3" s="55">
        <v>43</v>
      </c>
      <c r="K3" s="54">
        <f>SUM(J3)+3</f>
        <v>46</v>
      </c>
      <c r="L3" s="54">
        <f>SUM(K3)+3</f>
        <v>49</v>
      </c>
      <c r="M3" s="101">
        <f>SUM(L3)+3</f>
        <v>52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18.799999999999997</v>
      </c>
      <c r="I5" s="54">
        <f>SUM(J5)-1.6</f>
        <v>20.399999999999999</v>
      </c>
      <c r="J5" s="55">
        <v>22</v>
      </c>
      <c r="K5" s="54">
        <f>SUM(J5)+1.4</f>
        <v>23.4</v>
      </c>
      <c r="L5" s="54">
        <f>SUM(K5)+1.4</f>
        <v>24.799999999999997</v>
      </c>
      <c r="M5" s="101">
        <f>SUM(L5)+1.4</f>
        <v>26.199999999999996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26</v>
      </c>
      <c r="I7" s="54">
        <f>SUM(J7)-2</f>
        <v>28</v>
      </c>
      <c r="J7" s="55">
        <v>30</v>
      </c>
      <c r="K7" s="54">
        <f>SUM(J7)+1.8</f>
        <v>31.8</v>
      </c>
      <c r="L7" s="54">
        <f>SUM(K7)+1.8</f>
        <v>33.6</v>
      </c>
      <c r="M7" s="101">
        <f>SUM(L7)+1.8</f>
        <v>35.4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26</v>
      </c>
      <c r="I9" s="54">
        <f>SUM(J9)-2</f>
        <v>28</v>
      </c>
      <c r="J9" s="55">
        <v>30</v>
      </c>
      <c r="K9" s="54">
        <f>SUM(J9)+1.8</f>
        <v>31.8</v>
      </c>
      <c r="L9" s="54">
        <f>SUM(K9)+1.8</f>
        <v>33.6</v>
      </c>
      <c r="M9" s="101">
        <f>SUM(L9)+1.8</f>
        <v>35.4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13.1</v>
      </c>
      <c r="I11" s="60">
        <f>SUM(J11)-0.8</f>
        <v>14</v>
      </c>
      <c r="J11" s="132">
        <v>14.8</v>
      </c>
      <c r="K11" s="130">
        <f>SUM(J11)+0.8</f>
        <v>15.600000000000001</v>
      </c>
      <c r="L11" s="130">
        <f>SUM(K11)+0.9</f>
        <v>16.5</v>
      </c>
      <c r="M11" s="94">
        <f>SUM(L11)+0.9</f>
        <v>17.399999999999999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13.3</v>
      </c>
      <c r="I13" s="54">
        <f>SUM(J13)-0.6</f>
        <v>13.9</v>
      </c>
      <c r="J13" s="67">
        <v>14.5</v>
      </c>
      <c r="K13" s="68">
        <f>SUM(J13)+0.6</f>
        <v>15.1</v>
      </c>
      <c r="L13" s="68">
        <f>SUM(K13)+0.6</f>
        <v>15.7</v>
      </c>
      <c r="M13" s="94">
        <f>SUM(L13)+0.6</f>
        <v>16.3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6.6000000000000005</v>
      </c>
      <c r="I15" s="54">
        <f>SUM(J15)-0.3</f>
        <v>6.9</v>
      </c>
      <c r="J15" s="67">
        <v>7.2</v>
      </c>
      <c r="K15" s="68">
        <f>SUM(J15)+0.3</f>
        <v>7.5</v>
      </c>
      <c r="L15" s="68">
        <f>SUM(K15)+0.3</f>
        <v>7.8</v>
      </c>
      <c r="M15" s="94">
        <f>SUM(L15)+0.3</f>
        <v>8.1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41.8</v>
      </c>
      <c r="I17" s="54">
        <f>SUM(J17)-1.6</f>
        <v>43.4</v>
      </c>
      <c r="J17" s="67">
        <v>45</v>
      </c>
      <c r="K17" s="68">
        <f>SUM(J17)+1.6</f>
        <v>46.6</v>
      </c>
      <c r="L17" s="68">
        <f>SUM(K17)+1.6</f>
        <v>48.2</v>
      </c>
      <c r="M17" s="94">
        <f>SUM(L17)+1.6</f>
        <v>49.800000000000004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101"/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 t="s">
        <v>168</v>
      </c>
      <c r="C25" s="66"/>
      <c r="D25" s="88"/>
      <c r="E25" s="89"/>
      <c r="F25" s="89"/>
      <c r="G25" s="90"/>
      <c r="H25" s="54">
        <f>SUM(I25)-0.5</f>
        <v>2</v>
      </c>
      <c r="I25" s="54">
        <f>SUM(J25)-0.5</f>
        <v>2.5</v>
      </c>
      <c r="J25" s="67">
        <v>3</v>
      </c>
      <c r="K25" s="68">
        <f>SUM(J25)+0.4</f>
        <v>3.4</v>
      </c>
      <c r="L25" s="68">
        <f>SUM(K25)+0.4</f>
        <v>3.8</v>
      </c>
      <c r="M25" s="94">
        <f>SUM(L25)+0.4</f>
        <v>4.2</v>
      </c>
    </row>
    <row r="26" spans="1:13" s="1" customFormat="1" ht="14.1" customHeight="1" x14ac:dyDescent="0.3">
      <c r="A26" s="48"/>
      <c r="B26" s="57" t="s">
        <v>169</v>
      </c>
      <c r="C26" s="58"/>
      <c r="D26" s="46"/>
      <c r="E26" s="47"/>
      <c r="F26" s="47"/>
      <c r="G26" s="59"/>
      <c r="H26" s="40"/>
      <c r="I26" s="40"/>
      <c r="J26" s="67"/>
      <c r="K26" s="68"/>
      <c r="L26" s="68"/>
      <c r="M26" s="94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94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94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1:M1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J5:J6"/>
    <mergeCell ref="J3:J4"/>
    <mergeCell ref="K3:K4"/>
    <mergeCell ref="L3:L4"/>
    <mergeCell ref="M3:M4"/>
    <mergeCell ref="B4:C4"/>
    <mergeCell ref="D4:G4"/>
    <mergeCell ref="B2:C2"/>
    <mergeCell ref="D2:G2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A3:A4"/>
    <mergeCell ref="B3:C3"/>
    <mergeCell ref="D3:G3"/>
    <mergeCell ref="H3:H4"/>
    <mergeCell ref="I3:I4"/>
    <mergeCell ref="J7:J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2DDA-8CA7-45DF-8313-01D307D5D319}">
  <sheetPr codeName="Sheet48">
    <tabColor rgb="FFFF0000"/>
    <pageSetUpPr fitToPage="1"/>
  </sheetPr>
  <dimension ref="A1:M51"/>
  <sheetViews>
    <sheetView topLeftCell="A7" zoomScale="110" zoomScaleNormal="110" workbookViewId="0">
      <selection activeCell="P11" sqref="P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184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>SUM(K3)+3</f>
        <v>48</v>
      </c>
      <c r="M3" s="56">
        <f>SUM(L3)+3</f>
        <v>51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187</v>
      </c>
      <c r="C5" s="60"/>
      <c r="D5" s="61"/>
      <c r="E5" s="61"/>
      <c r="F5" s="61"/>
      <c r="G5" s="61"/>
      <c r="H5" s="54">
        <f>SUM(I5)-0.8</f>
        <v>9.8999999999999986</v>
      </c>
      <c r="I5" s="54">
        <f>SUM(J5)-0.8</f>
        <v>10.7</v>
      </c>
      <c r="J5" s="55">
        <v>11.5</v>
      </c>
      <c r="K5" s="54">
        <f>SUM(J5)+0.8</f>
        <v>12.3</v>
      </c>
      <c r="L5" s="54">
        <f>SUM(K5)+0.8</f>
        <v>13.100000000000001</v>
      </c>
      <c r="M5" s="56">
        <f>SUM(L5)+0.8</f>
        <v>13.900000000000002</v>
      </c>
    </row>
    <row r="6" spans="1:13" s="1" customFormat="1" ht="14.1" customHeight="1" x14ac:dyDescent="0.3">
      <c r="A6" s="48"/>
      <c r="B6" s="45" t="s">
        <v>188</v>
      </c>
      <c r="C6" s="45"/>
      <c r="D6" s="46" t="s">
        <v>189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28</v>
      </c>
      <c r="I7" s="54">
        <f>SUM(J7)-2</f>
        <v>30</v>
      </c>
      <c r="J7" s="55">
        <v>32</v>
      </c>
      <c r="K7" s="54">
        <f>SUM(J7)+1.8</f>
        <v>33.799999999999997</v>
      </c>
      <c r="L7" s="54">
        <f>SUM(K7)+1.8</f>
        <v>35.599999999999994</v>
      </c>
      <c r="M7" s="56">
        <f>SUM(L7)+1.8</f>
        <v>37.399999999999991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28</v>
      </c>
      <c r="I9" s="54">
        <f>SUM(J9)-2</f>
        <v>30</v>
      </c>
      <c r="J9" s="55">
        <v>32</v>
      </c>
      <c r="K9" s="54">
        <f>SUM(J9)+1.8</f>
        <v>33.799999999999997</v>
      </c>
      <c r="L9" s="54">
        <f>SUM(K9)+1.8</f>
        <v>35.599999999999994</v>
      </c>
      <c r="M9" s="56">
        <f>SUM(L9)+1.8</f>
        <v>37.399999999999991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12.299999999999999</v>
      </c>
      <c r="I11" s="60">
        <f>SUM(J11)-0.8</f>
        <v>13.2</v>
      </c>
      <c r="J11" s="132">
        <v>14</v>
      </c>
      <c r="K11" s="130">
        <f>SUM(J11)+0.9</f>
        <v>14.9</v>
      </c>
      <c r="L11" s="130">
        <f>SUM(K11)+0.9</f>
        <v>15.8</v>
      </c>
      <c r="M11" s="69">
        <f>SUM(L11)+0.9</f>
        <v>16.7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69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/>
      <c r="I13" s="54"/>
      <c r="J13" s="67"/>
      <c r="K13" s="68"/>
      <c r="L13" s="68"/>
      <c r="M13" s="69"/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SUM(I15)-0.4</f>
        <v>5.1999999999999993</v>
      </c>
      <c r="I15" s="54">
        <f>SUM(J15)-0.4</f>
        <v>5.6</v>
      </c>
      <c r="J15" s="67">
        <v>6</v>
      </c>
      <c r="K15" s="68">
        <f>SUM(J15)+0.4</f>
        <v>6.4</v>
      </c>
      <c r="L15" s="68">
        <f>SUM(K15)+0.4</f>
        <v>6.8000000000000007</v>
      </c>
      <c r="M15" s="69">
        <f>SUM(L15)+0.4</f>
        <v>7.2000000000000011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SUM(I17)-3</f>
        <v>46</v>
      </c>
      <c r="I17" s="54">
        <f>SUM(J17)-3</f>
        <v>49</v>
      </c>
      <c r="J17" s="67">
        <v>52</v>
      </c>
      <c r="K17" s="68">
        <f>SUM(J17)+2.8</f>
        <v>54.8</v>
      </c>
      <c r="L17" s="68">
        <f>SUM(K17)+2.8</f>
        <v>57.599999999999994</v>
      </c>
      <c r="M17" s="69">
        <f>SUM(L17)+2.8</f>
        <v>60.399999999999991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/>
      <c r="E19" s="61"/>
      <c r="F19" s="61"/>
      <c r="G19" s="61"/>
      <c r="H19" s="54">
        <f>SUM(I19)-1.2</f>
        <v>10.600000000000001</v>
      </c>
      <c r="I19" s="54">
        <f>SUM(J19)-1.2</f>
        <v>11.8</v>
      </c>
      <c r="J19" s="67">
        <v>13</v>
      </c>
      <c r="K19" s="68">
        <f>SUM(J19)+1.3</f>
        <v>14.3</v>
      </c>
      <c r="L19" s="68">
        <f>SUM(K19)+1.3</f>
        <v>15.600000000000001</v>
      </c>
      <c r="M19" s="69">
        <f>SUM(L19)+1.3</f>
        <v>16.900000000000002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185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4</v>
      </c>
      <c r="C21" s="60"/>
      <c r="D21" s="61"/>
      <c r="E21" s="61"/>
      <c r="F21" s="61"/>
      <c r="G21" s="61"/>
      <c r="H21" s="54">
        <f>SUM(I21)-1.1</f>
        <v>9.4</v>
      </c>
      <c r="I21" s="54">
        <f>SUM(J21)-1.1</f>
        <v>10.5</v>
      </c>
      <c r="J21" s="67">
        <v>11.6</v>
      </c>
      <c r="K21" s="68">
        <f>SUM(J21)+1.2</f>
        <v>12.799999999999999</v>
      </c>
      <c r="L21" s="68">
        <f>SUM(K21)+1.2</f>
        <v>13.999999999999998</v>
      </c>
      <c r="M21" s="69">
        <f>SUM(L21)+1.2</f>
        <v>15.199999999999998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186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SUM(I25)-1.2</f>
        <v>16.600000000000001</v>
      </c>
      <c r="I25" s="54">
        <f>SUM(J25)-1.2</f>
        <v>17.8</v>
      </c>
      <c r="J25" s="67">
        <v>19</v>
      </c>
      <c r="K25" s="68">
        <f>SUM(J25)+1.2</f>
        <v>20.2</v>
      </c>
      <c r="L25" s="68">
        <f>SUM(K25)+1.2</f>
        <v>21.4</v>
      </c>
      <c r="M25" s="69">
        <f>SUM(L25)+1.2</f>
        <v>22.599999999999998</v>
      </c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79" t="s">
        <v>134</v>
      </c>
      <c r="C27" s="80"/>
      <c r="D27" s="88"/>
      <c r="E27" s="89"/>
      <c r="F27" s="89"/>
      <c r="G27" s="90"/>
      <c r="H27" s="54">
        <f>SUM(I27)-0.3</f>
        <v>4.1000000000000005</v>
      </c>
      <c r="I27" s="54">
        <f>SUM(J27)-0.3</f>
        <v>4.4000000000000004</v>
      </c>
      <c r="J27" s="67">
        <v>4.7</v>
      </c>
      <c r="K27" s="68">
        <f>SUM(J27)+0.3</f>
        <v>5</v>
      </c>
      <c r="L27" s="68">
        <f>SUM(K27)+0.3</f>
        <v>5.3</v>
      </c>
      <c r="M27" s="69">
        <f>SUM(L27)+0.3</f>
        <v>5.6</v>
      </c>
    </row>
    <row r="28" spans="1:13" s="1" customFormat="1" ht="14.1" customHeight="1" x14ac:dyDescent="0.3">
      <c r="A28" s="48"/>
      <c r="B28" s="79" t="s">
        <v>142</v>
      </c>
      <c r="C28" s="80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9"/>
    </row>
    <row r="30" spans="1:13" s="1" customFormat="1" ht="14.1" customHeight="1" x14ac:dyDescent="0.3">
      <c r="A30" s="48"/>
      <c r="B30" s="57"/>
      <c r="C30" s="58"/>
      <c r="D30" s="46"/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48">
        <v>15</v>
      </c>
      <c r="B31" s="79"/>
      <c r="C31" s="80"/>
      <c r="D31" s="133"/>
      <c r="E31" s="134"/>
      <c r="F31" s="134"/>
      <c r="G31" s="135"/>
      <c r="H31" s="81"/>
      <c r="I31" s="81"/>
      <c r="J31" s="42"/>
      <c r="K31" s="40"/>
      <c r="L31" s="40"/>
      <c r="M31" s="44"/>
    </row>
    <row r="32" spans="1:13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121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A21:A22"/>
    <mergeCell ref="B21:C21"/>
    <mergeCell ref="D21:G21"/>
    <mergeCell ref="H21:H22"/>
    <mergeCell ref="I21:I22"/>
    <mergeCell ref="A31:A32"/>
    <mergeCell ref="B31:C31"/>
    <mergeCell ref="D31:G31"/>
    <mergeCell ref="H31:H32"/>
    <mergeCell ref="I31:I32"/>
    <mergeCell ref="B30:C30"/>
    <mergeCell ref="D30:G30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1:J22"/>
    <mergeCell ref="K21:K22"/>
    <mergeCell ref="L21:L22"/>
    <mergeCell ref="M21:M22"/>
    <mergeCell ref="B22:C22"/>
    <mergeCell ref="D22:G22"/>
    <mergeCell ref="K31:K32"/>
    <mergeCell ref="L31:L32"/>
    <mergeCell ref="M31:M32"/>
    <mergeCell ref="B32:C32"/>
    <mergeCell ref="D32:G32"/>
    <mergeCell ref="J31:J32"/>
    <mergeCell ref="J29:J30"/>
    <mergeCell ref="K29:K30"/>
    <mergeCell ref="L29:L30"/>
    <mergeCell ref="M29:M30"/>
    <mergeCell ref="K27:K28"/>
    <mergeCell ref="L27:L28"/>
    <mergeCell ref="M27:M28"/>
    <mergeCell ref="J27:J28"/>
    <mergeCell ref="J25:J26"/>
    <mergeCell ref="K25:K26"/>
    <mergeCell ref="L25:L26"/>
    <mergeCell ref="M25:M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89B0-BD5B-4A17-852D-BDA6A824FA0B}">
  <sheetPr codeName="Sheet49">
    <tabColor rgb="FFFF0000"/>
    <pageSetUpPr fitToPage="1"/>
  </sheetPr>
  <dimension ref="A1:N51"/>
  <sheetViews>
    <sheetView zoomScale="110" zoomScaleNormal="110" workbookViewId="0">
      <selection activeCell="R14" sqref="Q14:R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183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34.5</v>
      </c>
      <c r="I3" s="54">
        <f>SUM(J3)-3</f>
        <v>37.5</v>
      </c>
      <c r="J3" s="55">
        <v>40.5</v>
      </c>
      <c r="K3" s="54">
        <f>SUM(J3)+2.5</f>
        <v>43</v>
      </c>
      <c r="L3" s="54">
        <f>SUM(K3)+2.5</f>
        <v>45.5</v>
      </c>
      <c r="M3" s="56">
        <f t="shared" ref="M3" si="0">SUM(L3)+2.5</f>
        <v>48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25.9</v>
      </c>
      <c r="I5" s="54">
        <f>SUM(J5)-1.8</f>
        <v>27.7</v>
      </c>
      <c r="J5" s="55">
        <v>29.5</v>
      </c>
      <c r="K5" s="54">
        <f>SUM(J5)+1.6</f>
        <v>31.1</v>
      </c>
      <c r="L5" s="54">
        <f>SUM(K5)+1.6</f>
        <v>32.700000000000003</v>
      </c>
      <c r="M5" s="56">
        <f t="shared" ref="M5" si="1">SUM(L5)+1.6</f>
        <v>34.300000000000004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31.5</v>
      </c>
      <c r="I7" s="54">
        <f>SUM(J7)-2.25</f>
        <v>33.75</v>
      </c>
      <c r="J7" s="55">
        <v>36</v>
      </c>
      <c r="K7" s="54">
        <f>SUM(J7)+2</f>
        <v>38</v>
      </c>
      <c r="L7" s="54">
        <f>SUM(K7)+1.8</f>
        <v>39.799999999999997</v>
      </c>
      <c r="M7" s="56">
        <f t="shared" ref="M7" si="2">SUM(L7)+1.8</f>
        <v>41.599999999999994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31.5</v>
      </c>
      <c r="I9" s="54">
        <f>SUM(J9)-2.25</f>
        <v>33.75</v>
      </c>
      <c r="J9" s="55">
        <v>36</v>
      </c>
      <c r="K9" s="54">
        <f>SUM(J9)+2</f>
        <v>38</v>
      </c>
      <c r="L9" s="54">
        <f t="shared" ref="L9:M9" si="3">SUM(K9)+2</f>
        <v>40</v>
      </c>
      <c r="M9" s="56">
        <f t="shared" si="3"/>
        <v>42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15</v>
      </c>
      <c r="I11" s="60">
        <f>SUM(J11)-0.8</f>
        <v>15.8</v>
      </c>
      <c r="J11" s="132">
        <v>16.600000000000001</v>
      </c>
      <c r="K11" s="130">
        <f>SUM(J11)+0.8</f>
        <v>17.400000000000002</v>
      </c>
      <c r="L11" s="130">
        <f t="shared" ref="L11:M11" si="4">SUM(K11)+0.8</f>
        <v>18.200000000000003</v>
      </c>
      <c r="M11" s="131">
        <f t="shared" si="4"/>
        <v>19.000000000000004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15.2</v>
      </c>
      <c r="I13" s="54">
        <f>SUM(J13)-0.6</f>
        <v>15.799999999999999</v>
      </c>
      <c r="J13" s="67">
        <v>16.399999999999999</v>
      </c>
      <c r="K13" s="68">
        <f>SUM(J13)+0.6</f>
        <v>17</v>
      </c>
      <c r="L13" s="68">
        <f>SUM(K13)+0.6</f>
        <v>17.600000000000001</v>
      </c>
      <c r="M13" s="69">
        <f t="shared" ref="M13" si="5">SUM(L13)+0.6</f>
        <v>18.200000000000003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6.4</v>
      </c>
      <c r="I15" s="54">
        <f>SUM(J15)-0.3</f>
        <v>6.7</v>
      </c>
      <c r="J15" s="67">
        <v>7</v>
      </c>
      <c r="K15" s="68">
        <f>SUM(J15)+0.3</f>
        <v>7.3</v>
      </c>
      <c r="L15" s="68">
        <f>SUM(K15)+0.3</f>
        <v>7.6</v>
      </c>
      <c r="M15" s="69">
        <f t="shared" ref="M15" si="6">SUM(L15)+0.3</f>
        <v>7.8999999999999995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40.799999999999997</v>
      </c>
      <c r="I17" s="54">
        <f>SUM(J17)-1.6</f>
        <v>42.4</v>
      </c>
      <c r="J17" s="67">
        <v>44</v>
      </c>
      <c r="K17" s="68">
        <f>SUM(J17)+1.6</f>
        <v>45.6</v>
      </c>
      <c r="L17" s="68">
        <f>SUM(K17)+1.6</f>
        <v>47.2</v>
      </c>
      <c r="M17" s="69">
        <f t="shared" ref="M17" si="7">SUM(L17)+1.6</f>
        <v>48.800000000000004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12.8</v>
      </c>
      <c r="I19" s="54">
        <f>SUM(J19)-1.1</f>
        <v>13.9</v>
      </c>
      <c r="J19" s="55">
        <v>15</v>
      </c>
      <c r="K19" s="68">
        <f>SUM(J19)+1.2</f>
        <v>16.2</v>
      </c>
      <c r="L19" s="68">
        <f t="shared" ref="L19:M19" si="8">SUM(K19)+1.2</f>
        <v>17.399999999999999</v>
      </c>
      <c r="M19" s="69">
        <f t="shared" si="8"/>
        <v>18.599999999999998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20.6</v>
      </c>
      <c r="I23" s="54">
        <f>SUM(J23)-1.2</f>
        <v>21.8</v>
      </c>
      <c r="J23" s="67">
        <v>23</v>
      </c>
      <c r="K23" s="68">
        <f>SUM(J23)+1.2</f>
        <v>24.2</v>
      </c>
      <c r="L23" s="68">
        <f t="shared" ref="L23:M23" si="9">SUM(K23)+1.2</f>
        <v>25.4</v>
      </c>
      <c r="M23" s="69">
        <f t="shared" si="9"/>
        <v>26.599999999999998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>SUM(K25)+0.3</f>
        <v>4.5999999999999996</v>
      </c>
      <c r="M25" s="69">
        <f t="shared" ref="M25" si="10">SUM(L25)+0.3</f>
        <v>4.8999999999999995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B6:C6"/>
    <mergeCell ref="D6:G6"/>
    <mergeCell ref="K9:K10"/>
    <mergeCell ref="L9:L10"/>
    <mergeCell ref="M9:M10"/>
    <mergeCell ref="B4:C4"/>
    <mergeCell ref="D4:G4"/>
    <mergeCell ref="K7:K8"/>
    <mergeCell ref="L7:L8"/>
    <mergeCell ref="M7:M8"/>
    <mergeCell ref="B8:C8"/>
    <mergeCell ref="D8:G8"/>
    <mergeCell ref="J3:J4"/>
    <mergeCell ref="K3:K4"/>
    <mergeCell ref="J5:J6"/>
    <mergeCell ref="K5:K6"/>
    <mergeCell ref="L5:L6"/>
    <mergeCell ref="M5:M6"/>
    <mergeCell ref="L3:L4"/>
    <mergeCell ref="M3:M4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A1:M1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F5BD-7EC9-4A27-ABC2-35CC027321BE}">
  <sheetPr codeName="Sheet50">
    <tabColor rgb="FFFF0000"/>
    <pageSetUpPr fitToPage="1"/>
  </sheetPr>
  <dimension ref="A1:N51"/>
  <sheetViews>
    <sheetView zoomScale="110" zoomScaleNormal="110" workbookViewId="0">
      <selection activeCell="B29" sqref="B29:G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406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1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103">
        <v>1</v>
      </c>
      <c r="B3" s="36" t="s">
        <v>39</v>
      </c>
      <c r="C3" s="36"/>
      <c r="D3" s="37" t="s">
        <v>362</v>
      </c>
      <c r="E3" s="37"/>
      <c r="F3" s="37"/>
      <c r="G3" s="38"/>
      <c r="H3" s="54">
        <f>SUM(I3)-2.4</f>
        <v>23.6</v>
      </c>
      <c r="I3" s="54">
        <f>SUM(J3)-2.4</f>
        <v>26</v>
      </c>
      <c r="J3" s="55">
        <v>28.4</v>
      </c>
      <c r="K3" s="54">
        <f>SUM(J3)+1.9</f>
        <v>30.299999999999997</v>
      </c>
      <c r="L3" s="54">
        <f t="shared" ref="L3:M3" si="0">SUM(K3)+1.9</f>
        <v>32.199999999999996</v>
      </c>
      <c r="M3" s="43">
        <f t="shared" si="0"/>
        <v>34.099999999999994</v>
      </c>
    </row>
    <row r="4" spans="1:14" s="1" customFormat="1" ht="14.1" customHeight="1" x14ac:dyDescent="0.3">
      <c r="A4" s="35"/>
      <c r="B4" s="45" t="s">
        <v>205</v>
      </c>
      <c r="C4" s="45"/>
      <c r="D4" s="46" t="s">
        <v>363</v>
      </c>
      <c r="E4" s="47"/>
      <c r="F4" s="47"/>
      <c r="G4" s="47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78">
        <v>2</v>
      </c>
      <c r="B5" s="105" t="s">
        <v>39</v>
      </c>
      <c r="C5" s="105"/>
      <c r="D5" s="106" t="s">
        <v>364</v>
      </c>
      <c r="E5" s="106"/>
      <c r="F5" s="106"/>
      <c r="G5" s="51"/>
      <c r="H5" s="54">
        <f>SUM(I5)-2.5</f>
        <v>25.5</v>
      </c>
      <c r="I5" s="54">
        <f>SUM(J5)-2.5</f>
        <v>28</v>
      </c>
      <c r="J5" s="55">
        <v>30.5</v>
      </c>
      <c r="K5" s="54">
        <f>SUM(J5)+2</f>
        <v>32.5</v>
      </c>
      <c r="L5" s="54">
        <f t="shared" ref="L5:M5" si="1">SUM(K5)+2</f>
        <v>34.5</v>
      </c>
      <c r="M5" s="56">
        <f t="shared" si="1"/>
        <v>36.5</v>
      </c>
    </row>
    <row r="6" spans="1:14" s="1" customFormat="1" ht="14.1" customHeight="1" x14ac:dyDescent="0.3">
      <c r="A6" s="35"/>
      <c r="B6" s="45" t="s">
        <v>206</v>
      </c>
      <c r="C6" s="45"/>
      <c r="D6" s="46" t="s">
        <v>365</v>
      </c>
      <c r="E6" s="47"/>
      <c r="F6" s="47"/>
      <c r="G6" s="47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78">
        <v>3</v>
      </c>
      <c r="B7" s="60" t="s">
        <v>187</v>
      </c>
      <c r="C7" s="60"/>
      <c r="D7" s="61"/>
      <c r="E7" s="61"/>
      <c r="F7" s="61"/>
      <c r="G7" s="61"/>
      <c r="H7" s="54">
        <f>SUM(I7)-1</f>
        <v>11</v>
      </c>
      <c r="I7" s="54">
        <f>SUM(J7)-1</f>
        <v>12</v>
      </c>
      <c r="J7" s="55">
        <v>13</v>
      </c>
      <c r="K7" s="54">
        <f>SUM(J7)+1</f>
        <v>14</v>
      </c>
      <c r="L7" s="54">
        <f t="shared" ref="L7:M7" si="2">SUM(K7)+1</f>
        <v>15</v>
      </c>
      <c r="M7" s="56">
        <f t="shared" si="2"/>
        <v>16</v>
      </c>
    </row>
    <row r="8" spans="1:14" s="1" customFormat="1" ht="14.1" customHeight="1" x14ac:dyDescent="0.3">
      <c r="A8" s="35"/>
      <c r="B8" s="45" t="s">
        <v>188</v>
      </c>
      <c r="C8" s="45"/>
      <c r="D8" s="46" t="s">
        <v>408</v>
      </c>
      <c r="E8" s="47"/>
      <c r="F8" s="47"/>
      <c r="G8" s="59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78">
        <v>4</v>
      </c>
      <c r="B9" s="65" t="s">
        <v>211</v>
      </c>
      <c r="C9" s="66"/>
      <c r="D9" s="62"/>
      <c r="E9" s="63"/>
      <c r="F9" s="63"/>
      <c r="G9" s="64"/>
      <c r="H9" s="54">
        <f>SUM(I9)-0.8</f>
        <v>12.399999999999999</v>
      </c>
      <c r="I9" s="54">
        <f>SUM(J9)-0.8</f>
        <v>13.2</v>
      </c>
      <c r="J9" s="55">
        <v>14</v>
      </c>
      <c r="K9" s="54">
        <f>SUM(J9)+0.8</f>
        <v>14.8</v>
      </c>
      <c r="L9" s="54">
        <f t="shared" ref="L9:M9" si="3">SUM(K9)+0.8</f>
        <v>15.600000000000001</v>
      </c>
      <c r="M9" s="56">
        <f t="shared" si="3"/>
        <v>16.400000000000002</v>
      </c>
    </row>
    <row r="10" spans="1:14" s="1" customFormat="1" ht="14.1" customHeight="1" x14ac:dyDescent="0.3">
      <c r="A10" s="35"/>
      <c r="B10" s="45" t="s">
        <v>212</v>
      </c>
      <c r="C10" s="45"/>
      <c r="D10" s="46" t="s">
        <v>213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78">
        <v>5</v>
      </c>
      <c r="B11" s="60" t="s">
        <v>35</v>
      </c>
      <c r="C11" s="60"/>
      <c r="D11" s="61" t="s">
        <v>72</v>
      </c>
      <c r="E11" s="61"/>
      <c r="F11" s="61"/>
      <c r="G11" s="61"/>
      <c r="H11" s="54">
        <f>SUM(I11)-2</f>
        <v>28</v>
      </c>
      <c r="I11" s="54">
        <f>SUM(J11)-2</f>
        <v>30</v>
      </c>
      <c r="J11" s="55">
        <v>32</v>
      </c>
      <c r="K11" s="54">
        <f>SUM(J11)+1.8</f>
        <v>33.799999999999997</v>
      </c>
      <c r="L11" s="54">
        <f>SUM(K11)+1.8</f>
        <v>35.599999999999994</v>
      </c>
      <c r="M11" s="56">
        <f>SUM(L11)+1.8</f>
        <v>37.399999999999991</v>
      </c>
    </row>
    <row r="12" spans="1:14" s="1" customFormat="1" ht="14.1" customHeight="1" x14ac:dyDescent="0.3">
      <c r="A12" s="35"/>
      <c r="B12" s="45" t="s">
        <v>40</v>
      </c>
      <c r="C12" s="45"/>
      <c r="D12" s="46" t="s">
        <v>43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4" s="1" customFormat="1" ht="14.1" customHeight="1" x14ac:dyDescent="0.3">
      <c r="A13" s="78">
        <v>6</v>
      </c>
      <c r="B13" s="60" t="s">
        <v>41</v>
      </c>
      <c r="C13" s="60"/>
      <c r="D13" s="61" t="s">
        <v>8</v>
      </c>
      <c r="E13" s="61"/>
      <c r="F13" s="61"/>
      <c r="G13" s="61"/>
      <c r="H13" s="54">
        <f>SUM(I13)-2</f>
        <v>28</v>
      </c>
      <c r="I13" s="54">
        <f>SUM(J13)-2</f>
        <v>30</v>
      </c>
      <c r="J13" s="55">
        <v>32</v>
      </c>
      <c r="K13" s="54">
        <f>SUM(J13)+1.8</f>
        <v>33.799999999999997</v>
      </c>
      <c r="L13" s="54">
        <f>SUM(K13)+1.8</f>
        <v>35.599999999999994</v>
      </c>
      <c r="M13" s="56">
        <f>SUM(L13)+1.8</f>
        <v>37.399999999999991</v>
      </c>
    </row>
    <row r="14" spans="1:14" s="1" customFormat="1" ht="14.1" customHeight="1" x14ac:dyDescent="0.3">
      <c r="A14" s="35"/>
      <c r="B14" s="45" t="s">
        <v>25</v>
      </c>
      <c r="C14" s="45"/>
      <c r="D14" s="46" t="s">
        <v>44</v>
      </c>
      <c r="E14" s="47"/>
      <c r="F14" s="47"/>
      <c r="G14" s="59"/>
      <c r="H14" s="40"/>
      <c r="I14" s="40"/>
      <c r="J14" s="42"/>
      <c r="K14" s="40"/>
      <c r="L14" s="40"/>
      <c r="M14" s="44"/>
    </row>
    <row r="15" spans="1:14" s="1" customFormat="1" ht="14.1" customHeight="1" x14ac:dyDescent="0.3">
      <c r="A15" s="78">
        <v>7</v>
      </c>
      <c r="B15" s="60" t="s">
        <v>10</v>
      </c>
      <c r="C15" s="60"/>
      <c r="D15" s="61" t="s">
        <v>0</v>
      </c>
      <c r="E15" s="61"/>
      <c r="F15" s="61"/>
      <c r="G15" s="61"/>
      <c r="H15" s="60"/>
      <c r="I15" s="60"/>
      <c r="J15" s="132"/>
      <c r="K15" s="130"/>
      <c r="L15" s="130"/>
      <c r="M15" s="69"/>
    </row>
    <row r="16" spans="1:14" s="1" customFormat="1" ht="14.1" customHeight="1" x14ac:dyDescent="0.3">
      <c r="A16" s="35"/>
      <c r="B16" s="45" t="s">
        <v>26</v>
      </c>
      <c r="C16" s="45"/>
      <c r="D16" s="46" t="s">
        <v>45</v>
      </c>
      <c r="E16" s="47"/>
      <c r="F16" s="47"/>
      <c r="G16" s="59"/>
      <c r="H16" s="45"/>
      <c r="I16" s="45"/>
      <c r="J16" s="132"/>
      <c r="K16" s="130"/>
      <c r="L16" s="130"/>
      <c r="M16" s="69"/>
    </row>
    <row r="17" spans="1:13" s="1" customFormat="1" ht="14.1" customHeight="1" x14ac:dyDescent="0.3">
      <c r="A17" s="78">
        <v>8</v>
      </c>
      <c r="B17" s="60" t="s">
        <v>1</v>
      </c>
      <c r="C17" s="60"/>
      <c r="D17" s="61" t="s">
        <v>163</v>
      </c>
      <c r="E17" s="61"/>
      <c r="F17" s="61"/>
      <c r="G17" s="61"/>
      <c r="H17" s="259">
        <f>SUM(I17)-0.6</f>
        <v>-1.2</v>
      </c>
      <c r="I17" s="259">
        <f>SUM(J17)-0.6</f>
        <v>-0.6</v>
      </c>
      <c r="J17" s="261"/>
      <c r="K17" s="257">
        <f>SUM(J17)+0.6</f>
        <v>0.6</v>
      </c>
      <c r="L17" s="257">
        <f>SUM(K17)+0.6</f>
        <v>1.2</v>
      </c>
      <c r="M17" s="258">
        <f t="shared" ref="M17" si="4">SUM(L17)+0.6</f>
        <v>1.7999999999999998</v>
      </c>
    </row>
    <row r="18" spans="1:13" s="1" customFormat="1" ht="14.1" customHeight="1" x14ac:dyDescent="0.3">
      <c r="A18" s="35"/>
      <c r="B18" s="45" t="s">
        <v>27</v>
      </c>
      <c r="C18" s="45"/>
      <c r="D18" s="46" t="s">
        <v>124</v>
      </c>
      <c r="E18" s="47"/>
      <c r="F18" s="47"/>
      <c r="G18" s="59"/>
      <c r="H18" s="260"/>
      <c r="I18" s="260"/>
      <c r="J18" s="261"/>
      <c r="K18" s="257"/>
      <c r="L18" s="257"/>
      <c r="M18" s="258"/>
    </row>
    <row r="19" spans="1:13" s="1" customFormat="1" ht="14.1" customHeight="1" x14ac:dyDescent="0.3">
      <c r="A19" s="78">
        <v>9</v>
      </c>
      <c r="B19" s="60" t="s">
        <v>2</v>
      </c>
      <c r="C19" s="60"/>
      <c r="D19" s="61" t="s">
        <v>3</v>
      </c>
      <c r="E19" s="61"/>
      <c r="F19" s="61"/>
      <c r="G19" s="61"/>
      <c r="H19" s="259">
        <f>SUM(I19)-0.4</f>
        <v>-0.8</v>
      </c>
      <c r="I19" s="259">
        <f>SUM(J19)-0.4</f>
        <v>-0.4</v>
      </c>
      <c r="J19" s="261"/>
      <c r="K19" s="257">
        <f>SUM(J19)+0.4</f>
        <v>0.4</v>
      </c>
      <c r="L19" s="257">
        <f>SUM(K19)+0.4</f>
        <v>0.8</v>
      </c>
      <c r="M19" s="258">
        <f>SUM(L19)+0.4</f>
        <v>1.2000000000000002</v>
      </c>
    </row>
    <row r="20" spans="1:13" s="1" customFormat="1" ht="14.1" customHeight="1" x14ac:dyDescent="0.3">
      <c r="A20" s="35"/>
      <c r="B20" s="45" t="s">
        <v>28</v>
      </c>
      <c r="C20" s="45"/>
      <c r="D20" s="46" t="s">
        <v>125</v>
      </c>
      <c r="E20" s="47"/>
      <c r="F20" s="47"/>
      <c r="G20" s="59"/>
      <c r="H20" s="260"/>
      <c r="I20" s="260"/>
      <c r="J20" s="261"/>
      <c r="K20" s="257"/>
      <c r="L20" s="257"/>
      <c r="M20" s="258"/>
    </row>
    <row r="21" spans="1:13" s="1" customFormat="1" ht="14.1" customHeight="1" x14ac:dyDescent="0.3">
      <c r="A21" s="78">
        <v>10</v>
      </c>
      <c r="B21" s="65" t="s">
        <v>73</v>
      </c>
      <c r="C21" s="66"/>
      <c r="D21" s="62" t="s">
        <v>74</v>
      </c>
      <c r="E21" s="63"/>
      <c r="F21" s="63"/>
      <c r="G21" s="64"/>
      <c r="H21" s="259">
        <f>SUM(I21)-3</f>
        <v>-6</v>
      </c>
      <c r="I21" s="259">
        <f>SUM(J21)-3</f>
        <v>-3</v>
      </c>
      <c r="J21" s="261"/>
      <c r="K21" s="257">
        <f>SUM(J21)+2.8</f>
        <v>2.8</v>
      </c>
      <c r="L21" s="257">
        <f>SUM(K21)+2.8</f>
        <v>5.6</v>
      </c>
      <c r="M21" s="258">
        <f>SUM(L21)+2.8</f>
        <v>8.3999999999999986</v>
      </c>
    </row>
    <row r="22" spans="1:13" s="1" customFormat="1" ht="14.1" customHeight="1" x14ac:dyDescent="0.3">
      <c r="A22" s="35"/>
      <c r="B22" s="45" t="s">
        <v>33</v>
      </c>
      <c r="C22" s="45"/>
      <c r="D22" s="46" t="s">
        <v>126</v>
      </c>
      <c r="E22" s="47"/>
      <c r="F22" s="47"/>
      <c r="G22" s="59"/>
      <c r="H22" s="260"/>
      <c r="I22" s="260"/>
      <c r="J22" s="261"/>
      <c r="K22" s="257"/>
      <c r="L22" s="257"/>
      <c r="M22" s="258"/>
    </row>
    <row r="23" spans="1:13" s="1" customFormat="1" ht="14.1" customHeight="1" x14ac:dyDescent="0.3">
      <c r="A23" s="78">
        <v>11</v>
      </c>
      <c r="B23" s="60" t="s">
        <v>4</v>
      </c>
      <c r="C23" s="60"/>
      <c r="D23" s="61" t="s">
        <v>5</v>
      </c>
      <c r="E23" s="61"/>
      <c r="F23" s="61"/>
      <c r="G23" s="61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35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78">
        <v>12</v>
      </c>
      <c r="B25" s="60" t="s">
        <v>6</v>
      </c>
      <c r="C25" s="60"/>
      <c r="D25" s="62" t="s">
        <v>7</v>
      </c>
      <c r="E25" s="63"/>
      <c r="F25" s="63"/>
      <c r="G25" s="64"/>
      <c r="H25" s="54"/>
      <c r="I25" s="54"/>
      <c r="J25" s="67"/>
      <c r="K25" s="68"/>
      <c r="L25" s="68"/>
      <c r="M25" s="69"/>
    </row>
    <row r="26" spans="1:13" s="1" customFormat="1" ht="14.1" customHeight="1" x14ac:dyDescent="0.3">
      <c r="A26" s="35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78">
        <v>13</v>
      </c>
      <c r="B27" s="65" t="s">
        <v>82</v>
      </c>
      <c r="C27" s="66"/>
      <c r="D27" s="61" t="s">
        <v>68</v>
      </c>
      <c r="E27" s="61"/>
      <c r="F27" s="61"/>
      <c r="G27" s="61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35"/>
      <c r="B28" s="45" t="s">
        <v>31</v>
      </c>
      <c r="C28" s="45"/>
      <c r="D28" s="46" t="s">
        <v>69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78">
        <v>14</v>
      </c>
      <c r="B29" s="79" t="s">
        <v>134</v>
      </c>
      <c r="C29" s="80"/>
      <c r="D29" s="88"/>
      <c r="E29" s="89"/>
      <c r="F29" s="89"/>
      <c r="G29" s="90"/>
      <c r="H29" s="54">
        <f>SUM(I29)-0.4</f>
        <v>3.6999999999999997</v>
      </c>
      <c r="I29" s="54">
        <f>SUM(J29)-0.4</f>
        <v>4.0999999999999996</v>
      </c>
      <c r="J29" s="67">
        <v>4.5</v>
      </c>
      <c r="K29" s="68">
        <f>SUM(J29)+0.4</f>
        <v>4.9000000000000004</v>
      </c>
      <c r="L29" s="68">
        <f t="shared" ref="L29:M29" si="5">SUM(K29)+0.4</f>
        <v>5.3000000000000007</v>
      </c>
      <c r="M29" s="69">
        <f t="shared" si="5"/>
        <v>5.7000000000000011</v>
      </c>
    </row>
    <row r="30" spans="1:13" s="1" customFormat="1" ht="14.1" customHeight="1" x14ac:dyDescent="0.3">
      <c r="A30" s="35"/>
      <c r="B30" s="79" t="s">
        <v>142</v>
      </c>
      <c r="C30" s="80"/>
      <c r="D30" s="46" t="s">
        <v>407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78">
        <v>15</v>
      </c>
      <c r="B31" s="65" t="s">
        <v>135</v>
      </c>
      <c r="C31" s="66"/>
      <c r="D31" s="88"/>
      <c r="E31" s="89"/>
      <c r="F31" s="89"/>
      <c r="G31" s="90"/>
      <c r="H31" s="54">
        <f>SUM(I31)-0.3</f>
        <v>3.4000000000000004</v>
      </c>
      <c r="I31" s="54">
        <f>SUM(J31)-0.3</f>
        <v>3.7</v>
      </c>
      <c r="J31" s="67">
        <v>4</v>
      </c>
      <c r="K31" s="68">
        <f>SUM(J31)+0.3</f>
        <v>4.3</v>
      </c>
      <c r="L31" s="68">
        <f t="shared" ref="L31:M31" si="6">SUM(K31)+0.3</f>
        <v>4.5999999999999996</v>
      </c>
      <c r="M31" s="69">
        <f t="shared" si="6"/>
        <v>4.8999999999999995</v>
      </c>
    </row>
    <row r="32" spans="1:13" ht="14.1" customHeight="1" x14ac:dyDescent="0.3">
      <c r="A32" s="35"/>
      <c r="B32" s="57" t="s">
        <v>143</v>
      </c>
      <c r="C32" s="58"/>
      <c r="D32" s="46" t="s">
        <v>353</v>
      </c>
      <c r="E32" s="47"/>
      <c r="F32" s="47"/>
      <c r="G32" s="59"/>
      <c r="H32" s="40"/>
      <c r="I32" s="40"/>
      <c r="J32" s="67"/>
      <c r="K32" s="68"/>
      <c r="L32" s="68"/>
      <c r="M32" s="69"/>
    </row>
    <row r="33" spans="1:13" ht="14.1" customHeight="1" x14ac:dyDescent="0.3">
      <c r="A33" s="78">
        <v>16</v>
      </c>
      <c r="B33" s="79"/>
      <c r="C33" s="80"/>
      <c r="D33" s="133"/>
      <c r="E33" s="134"/>
      <c r="F33" s="134"/>
      <c r="G33" s="135"/>
      <c r="H33" s="81"/>
      <c r="I33" s="81"/>
      <c r="J33" s="42"/>
      <c r="K33" s="68"/>
      <c r="L33" s="40"/>
      <c r="M33" s="44"/>
    </row>
    <row r="34" spans="1:13" ht="14.1" customHeight="1" thickBot="1" x14ac:dyDescent="0.35">
      <c r="A34" s="104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121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B2:C2"/>
    <mergeCell ref="D2:G2"/>
    <mergeCell ref="A5:A6"/>
    <mergeCell ref="B5:C5"/>
    <mergeCell ref="D5:G5"/>
    <mergeCell ref="H5:H6"/>
    <mergeCell ref="I5:I6"/>
    <mergeCell ref="J5:J6"/>
    <mergeCell ref="K5:K6"/>
    <mergeCell ref="J3:J4"/>
    <mergeCell ref="K3:K4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B8:C8"/>
    <mergeCell ref="D8:G8"/>
    <mergeCell ref="K15:K16"/>
    <mergeCell ref="L15:L16"/>
    <mergeCell ref="M15:M16"/>
    <mergeCell ref="B16:C16"/>
    <mergeCell ref="D16:G16"/>
    <mergeCell ref="K13:K14"/>
    <mergeCell ref="L13:L14"/>
    <mergeCell ref="M13:M14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J15:J16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B21:C21"/>
    <mergeCell ref="D21:G21"/>
    <mergeCell ref="H21:H22"/>
    <mergeCell ref="I21:I22"/>
    <mergeCell ref="J21:J22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1:A2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1:J32"/>
    <mergeCell ref="J29:J30"/>
    <mergeCell ref="A1:M1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L3:L4"/>
    <mergeCell ref="M3:M4"/>
    <mergeCell ref="B4:C4"/>
    <mergeCell ref="D4:G4"/>
    <mergeCell ref="A3:A4"/>
    <mergeCell ref="B3:C3"/>
    <mergeCell ref="D3:G3"/>
    <mergeCell ref="H3:H4"/>
    <mergeCell ref="I3:I4"/>
    <mergeCell ref="K7:K8"/>
    <mergeCell ref="L7:L8"/>
    <mergeCell ref="M7:M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8D00-3935-4407-9F9C-2BEE8982292B}">
  <sheetPr codeName="Sheet51">
    <tabColor rgb="FFFF0000"/>
    <pageSetUpPr fitToPage="1"/>
  </sheetPr>
  <dimension ref="A1:N51"/>
  <sheetViews>
    <sheetView zoomScale="110" zoomScaleNormal="110" workbookViewId="0">
      <selection activeCell="I3" sqref="I3:I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32</v>
      </c>
      <c r="I3" s="54">
        <f>SUM(J3)-3</f>
        <v>35</v>
      </c>
      <c r="J3" s="55">
        <v>38</v>
      </c>
      <c r="K3" s="54">
        <f>SUM(J3)+2.5</f>
        <v>40.5</v>
      </c>
      <c r="L3" s="54">
        <f t="shared" ref="L3:M3" si="0">SUM(K3)+2.5</f>
        <v>43</v>
      </c>
      <c r="M3" s="56">
        <f t="shared" si="0"/>
        <v>45.5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21.799999999999997</v>
      </c>
      <c r="I5" s="54">
        <f>SUM(J5)-1.6</f>
        <v>23.4</v>
      </c>
      <c r="J5" s="55">
        <v>25</v>
      </c>
      <c r="K5" s="54">
        <f>SUM(J5)+1.4</f>
        <v>26.4</v>
      </c>
      <c r="L5" s="54">
        <f t="shared" ref="L5:M5" si="1">SUM(K5)+1.4</f>
        <v>27.799999999999997</v>
      </c>
      <c r="M5" s="56">
        <f t="shared" si="1"/>
        <v>29.199999999999996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 t="shared" ref="L7:M7" si="2">SUM(K7)+2</f>
        <v>39</v>
      </c>
      <c r="M7" s="56">
        <f t="shared" si="2"/>
        <v>41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29.5</v>
      </c>
      <c r="I9" s="54">
        <f>SUM(J9)-2.25</f>
        <v>31.75</v>
      </c>
      <c r="J9" s="55">
        <v>34</v>
      </c>
      <c r="K9" s="54">
        <f>SUM(J9)+2</f>
        <v>36</v>
      </c>
      <c r="L9" s="54">
        <f t="shared" ref="L9:M9" si="3">SUM(K9)+2</f>
        <v>38</v>
      </c>
      <c r="M9" s="56">
        <f t="shared" si="3"/>
        <v>40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13.299999999999999</v>
      </c>
      <c r="I11" s="54">
        <f>SUM(J11)-0.9</f>
        <v>14.2</v>
      </c>
      <c r="J11" s="132">
        <v>15.1</v>
      </c>
      <c r="K11" s="54">
        <f>SUM(J11)+0.9</f>
        <v>16</v>
      </c>
      <c r="L11" s="54">
        <f t="shared" ref="L11:M11" si="4">SUM(K11)+0.9</f>
        <v>16.899999999999999</v>
      </c>
      <c r="M11" s="56">
        <f t="shared" si="4"/>
        <v>17.799999999999997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132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12.3</v>
      </c>
      <c r="I13" s="54">
        <f>SUM(J13)-0.6</f>
        <v>12.9</v>
      </c>
      <c r="J13" s="67">
        <v>13.5</v>
      </c>
      <c r="K13" s="68">
        <f>SUM(J13)+0.6</f>
        <v>14.1</v>
      </c>
      <c r="L13" s="68">
        <f>SUM(K13)+0.6</f>
        <v>14.7</v>
      </c>
      <c r="M13" s="69">
        <f t="shared" ref="M13" si="5">SUM(L13)+0.6</f>
        <v>15.299999999999999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5.4</v>
      </c>
      <c r="I15" s="54">
        <f>SUM(J15)-0.3</f>
        <v>5.7</v>
      </c>
      <c r="J15" s="67">
        <v>6</v>
      </c>
      <c r="K15" s="68">
        <f>SUM(J15)+0.3</f>
        <v>6.3</v>
      </c>
      <c r="L15" s="68">
        <f>SUM(K15)+0.3</f>
        <v>6.6</v>
      </c>
      <c r="M15" s="69">
        <f t="shared" ref="M15" si="6">SUM(L15)+0.3</f>
        <v>6.8999999999999995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35.799999999999997</v>
      </c>
      <c r="I17" s="54">
        <f>SUM(J17)-1.6</f>
        <v>37.4</v>
      </c>
      <c r="J17" s="67">
        <v>39</v>
      </c>
      <c r="K17" s="68">
        <f>SUM(J17)+1.6</f>
        <v>40.6</v>
      </c>
      <c r="L17" s="68">
        <f>SUM(K17)+1.6</f>
        <v>42.2</v>
      </c>
      <c r="M17" s="69">
        <f t="shared" ref="M17" si="7">SUM(L17)+1.6</f>
        <v>43.800000000000004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SUM(I19)-0.8</f>
        <v>8.3999999999999986</v>
      </c>
      <c r="I19" s="54">
        <f>SUM(J19)-0.8</f>
        <v>9.1999999999999993</v>
      </c>
      <c r="J19" s="55">
        <v>10</v>
      </c>
      <c r="K19" s="68">
        <f>SUM(J19)+0.9</f>
        <v>10.9</v>
      </c>
      <c r="L19" s="68">
        <f t="shared" ref="L19:M19" si="8">SUM(K19)+0.9</f>
        <v>11.8</v>
      </c>
      <c r="M19" s="69">
        <f t="shared" si="8"/>
        <v>12.700000000000001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SUM(I23)-1.6</f>
        <v>21.9</v>
      </c>
      <c r="I23" s="54">
        <f>SUM(J23)-1.6</f>
        <v>23.5</v>
      </c>
      <c r="J23" s="67">
        <v>25.1</v>
      </c>
      <c r="K23" s="68">
        <f>SUM(J23)+1.6</f>
        <v>26.700000000000003</v>
      </c>
      <c r="L23" s="68">
        <f t="shared" ref="L23:M23" si="9">SUM(K23)+1.6</f>
        <v>28.300000000000004</v>
      </c>
      <c r="M23" s="69">
        <f t="shared" si="9"/>
        <v>29.900000000000006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4.9000000000000004</v>
      </c>
      <c r="I25" s="54">
        <f>SUM(J25)-0.3</f>
        <v>5.2</v>
      </c>
      <c r="J25" s="67">
        <v>5.5</v>
      </c>
      <c r="K25" s="68">
        <f>SUM(J25)+0.3</f>
        <v>5.8</v>
      </c>
      <c r="L25" s="68">
        <f t="shared" ref="L25:M25" si="10">SUM(K25)+0.3</f>
        <v>6.1</v>
      </c>
      <c r="M25" s="69">
        <f t="shared" si="10"/>
        <v>6.3999999999999995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K11:K12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EAF8-1A34-4EA3-8E2E-31E3414BE1C1}">
  <sheetPr codeName="Sheet52">
    <tabColor rgb="FFFF0000"/>
    <pageSetUpPr fitToPage="1"/>
  </sheetPr>
  <dimension ref="A1:N51"/>
  <sheetViews>
    <sheetView topLeftCell="A4" zoomScale="110" zoomScaleNormal="110" workbookViewId="0">
      <selection activeCell="D30" sqref="D30:G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4" width="5.5" customWidth="1"/>
  </cols>
  <sheetData>
    <row r="1" spans="1:14" ht="16.5" customHeight="1" thickBot="1" x14ac:dyDescent="0.35">
      <c r="A1" s="112" t="s">
        <v>355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35</v>
      </c>
      <c r="I3" s="54">
        <f>SUM(J3)-3</f>
        <v>38</v>
      </c>
      <c r="J3" s="55">
        <v>41</v>
      </c>
      <c r="K3" s="54">
        <f>SUM(J3)+2.5</f>
        <v>43.5</v>
      </c>
      <c r="L3" s="54">
        <f t="shared" ref="L3:N3" si="0">SUM(K3)+2.5</f>
        <v>46</v>
      </c>
      <c r="M3" s="39">
        <f t="shared" si="0"/>
        <v>48.5</v>
      </c>
      <c r="N3" s="115">
        <f t="shared" si="0"/>
        <v>51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21.4</v>
      </c>
      <c r="I5" s="54">
        <f>SUM(J5)-1.8</f>
        <v>23.2</v>
      </c>
      <c r="J5" s="55">
        <v>25</v>
      </c>
      <c r="K5" s="54">
        <f>SUM(J5)+1.6</f>
        <v>26.6</v>
      </c>
      <c r="L5" s="54">
        <f t="shared" ref="L5:N5" si="1">SUM(K5)+1.6</f>
        <v>28.200000000000003</v>
      </c>
      <c r="M5" s="54">
        <f t="shared" si="1"/>
        <v>29.800000000000004</v>
      </c>
      <c r="N5" s="115">
        <f t="shared" si="1"/>
        <v>31.400000000000006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 t="shared" ref="L7:N7" si="2">SUM(K7)+2</f>
        <v>39</v>
      </c>
      <c r="M7" s="54">
        <f t="shared" si="2"/>
        <v>41</v>
      </c>
      <c r="N7" s="115">
        <f t="shared" si="2"/>
        <v>43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29.5</v>
      </c>
      <c r="I9" s="54">
        <f>SUM(J9)-2.25</f>
        <v>31.75</v>
      </c>
      <c r="J9" s="55">
        <v>34</v>
      </c>
      <c r="K9" s="54">
        <f>SUM(J9)+2</f>
        <v>36</v>
      </c>
      <c r="L9" s="54">
        <f t="shared" ref="L9:N9" si="3">SUM(K9)+2</f>
        <v>38</v>
      </c>
      <c r="M9" s="54">
        <f t="shared" si="3"/>
        <v>40</v>
      </c>
      <c r="N9" s="115">
        <f t="shared" si="3"/>
        <v>42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13.899999999999999</v>
      </c>
      <c r="I11" s="60">
        <f>SUM(J11)-0.8</f>
        <v>14.799999999999999</v>
      </c>
      <c r="J11" s="132">
        <v>15.6</v>
      </c>
      <c r="K11" s="130">
        <f>SUM(J11)+0.8</f>
        <v>16.399999999999999</v>
      </c>
      <c r="L11" s="130">
        <f t="shared" ref="L11:M11" si="4">SUM(K11)+0.8</f>
        <v>17.2</v>
      </c>
      <c r="M11" s="130">
        <f t="shared" si="4"/>
        <v>18</v>
      </c>
      <c r="N11" s="136">
        <f>SUM(M11)+0.9</f>
        <v>18.899999999999999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12.3</v>
      </c>
      <c r="I13" s="60">
        <f>SUM(J13)-0.6</f>
        <v>12.9</v>
      </c>
      <c r="J13" s="67">
        <v>13.5</v>
      </c>
      <c r="K13" s="130">
        <f>SUM(J13)+0.6</f>
        <v>14.1</v>
      </c>
      <c r="L13" s="130">
        <f t="shared" ref="L13:N13" si="5">SUM(K13)+0.6</f>
        <v>14.7</v>
      </c>
      <c r="M13" s="130">
        <f t="shared" si="5"/>
        <v>15.299999999999999</v>
      </c>
      <c r="N13" s="136">
        <f t="shared" si="5"/>
        <v>15.899999999999999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0"/>
      <c r="N14" s="136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4.9000000000000004</v>
      </c>
      <c r="I15" s="54">
        <f>SUM(J15)-0.3</f>
        <v>5.2</v>
      </c>
      <c r="J15" s="67">
        <v>5.5</v>
      </c>
      <c r="K15" s="68">
        <f>SUM(J15)+0.3</f>
        <v>5.8</v>
      </c>
      <c r="L15" s="68">
        <f t="shared" ref="L15" si="6">SUM(K15)+0.3</f>
        <v>6.1</v>
      </c>
      <c r="M15" s="68">
        <f t="shared" ref="M15:N15" si="7">SUM(L15)+0.3</f>
        <v>6.3999999999999995</v>
      </c>
      <c r="N15" s="117">
        <f t="shared" si="7"/>
        <v>6.6999999999999993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0" t="s">
        <v>357</v>
      </c>
      <c r="C17" s="60"/>
      <c r="D17" s="61" t="s">
        <v>359</v>
      </c>
      <c r="E17" s="61"/>
      <c r="F17" s="61"/>
      <c r="G17" s="61"/>
      <c r="H17" s="54">
        <f>SUM(I17)-0.7</f>
        <v>9.9000000000000021</v>
      </c>
      <c r="I17" s="54">
        <f>SUM(J17)-0.7</f>
        <v>10.600000000000001</v>
      </c>
      <c r="J17" s="67">
        <v>11.3</v>
      </c>
      <c r="K17" s="68">
        <f>SUM(J17)+0.7</f>
        <v>12</v>
      </c>
      <c r="L17" s="68">
        <f t="shared" ref="L17:M17" si="8">SUM(K17)+0.7</f>
        <v>12.7</v>
      </c>
      <c r="M17" s="68">
        <f t="shared" si="8"/>
        <v>13.399999999999999</v>
      </c>
      <c r="N17" s="117">
        <f t="shared" ref="N17" si="9">SUM(M17)+0.7</f>
        <v>14.099999999999998</v>
      </c>
    </row>
    <row r="18" spans="1:14" s="1" customFormat="1" ht="14.1" customHeight="1" x14ac:dyDescent="0.3">
      <c r="A18" s="48"/>
      <c r="B18" s="45" t="s">
        <v>358</v>
      </c>
      <c r="C18" s="45"/>
      <c r="D18" s="46" t="s">
        <v>360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263">
        <f>SUM(I19)-1.6</f>
        <v>-3.2</v>
      </c>
      <c r="I19" s="263">
        <f>SUM(J19)-1.6</f>
        <v>-1.6</v>
      </c>
      <c r="J19" s="266"/>
      <c r="K19" s="265">
        <f>SUM(J19)+1.6</f>
        <v>1.6</v>
      </c>
      <c r="L19" s="265">
        <f t="shared" ref="L19" si="10">SUM(K19)+1.6</f>
        <v>3.2</v>
      </c>
      <c r="M19" s="265">
        <f t="shared" ref="M19:N19" si="11">SUM(L19)+1.6</f>
        <v>4.8000000000000007</v>
      </c>
      <c r="N19" s="262">
        <f t="shared" si="11"/>
        <v>6.4</v>
      </c>
    </row>
    <row r="20" spans="1:14" s="1" customFormat="1" ht="14.1" customHeight="1" x14ac:dyDescent="0.3">
      <c r="A20" s="48"/>
      <c r="B20" s="45" t="s">
        <v>33</v>
      </c>
      <c r="C20" s="45"/>
      <c r="D20" s="46" t="s">
        <v>126</v>
      </c>
      <c r="E20" s="47"/>
      <c r="F20" s="47"/>
      <c r="G20" s="59"/>
      <c r="H20" s="264"/>
      <c r="I20" s="264"/>
      <c r="J20" s="266"/>
      <c r="K20" s="265"/>
      <c r="L20" s="265"/>
      <c r="M20" s="265"/>
      <c r="N20" s="262"/>
    </row>
    <row r="21" spans="1:14" s="1" customFormat="1" ht="14.1" customHeight="1" x14ac:dyDescent="0.3">
      <c r="A21" s="48">
        <v>10</v>
      </c>
      <c r="B21" s="60" t="s">
        <v>187</v>
      </c>
      <c r="C21" s="60"/>
      <c r="D21" s="62"/>
      <c r="E21" s="63"/>
      <c r="F21" s="63"/>
      <c r="G21" s="64"/>
      <c r="H21" s="54">
        <f>SUM(I21)-0.5</f>
        <v>10</v>
      </c>
      <c r="I21" s="54">
        <f>SUM(J21)-0.5</f>
        <v>10.5</v>
      </c>
      <c r="J21" s="67">
        <v>11</v>
      </c>
      <c r="K21" s="68">
        <f>SUM(J21)+0.5</f>
        <v>11.5</v>
      </c>
      <c r="L21" s="68">
        <f t="shared" ref="L21:M21" si="12">SUM(K21)+0.5</f>
        <v>12</v>
      </c>
      <c r="M21" s="68">
        <f t="shared" si="12"/>
        <v>12.5</v>
      </c>
      <c r="N21" s="117">
        <f t="shared" ref="N21" si="13">SUM(M21)+0.5</f>
        <v>13</v>
      </c>
    </row>
    <row r="22" spans="1:14" s="1" customFormat="1" ht="14.1" customHeight="1" x14ac:dyDescent="0.3">
      <c r="A22" s="48"/>
      <c r="B22" s="45" t="s">
        <v>356</v>
      </c>
      <c r="C22" s="45"/>
      <c r="D22" s="46"/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SUM(I23)-0.8</f>
        <v>9.3999999999999986</v>
      </c>
      <c r="I23" s="54">
        <f>SUM(J23)-0.8</f>
        <v>10.199999999999999</v>
      </c>
      <c r="J23" s="67">
        <v>11</v>
      </c>
      <c r="K23" s="68">
        <f>SUM(J23)+0.9</f>
        <v>11.9</v>
      </c>
      <c r="L23" s="68">
        <f t="shared" ref="L23:N23" si="14">SUM(K23)+0.9</f>
        <v>12.8</v>
      </c>
      <c r="M23" s="68">
        <f t="shared" si="14"/>
        <v>13.700000000000001</v>
      </c>
      <c r="N23" s="117">
        <f t="shared" si="14"/>
        <v>14.600000000000001</v>
      </c>
    </row>
    <row r="24" spans="1:14" s="1" customFormat="1" ht="14.1" customHeight="1" x14ac:dyDescent="0.3">
      <c r="A24" s="48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0" t="s">
        <v>6</v>
      </c>
      <c r="C25" s="60"/>
      <c r="D25" s="62" t="s">
        <v>7</v>
      </c>
      <c r="E25" s="63"/>
      <c r="F25" s="63"/>
      <c r="G25" s="64"/>
      <c r="H25" s="54"/>
      <c r="I25" s="54"/>
      <c r="J25" s="67"/>
      <c r="K25" s="68"/>
      <c r="L25" s="68"/>
      <c r="M25" s="68"/>
      <c r="N25" s="117"/>
    </row>
    <row r="26" spans="1:14" s="1" customFormat="1" ht="14.1" customHeight="1" x14ac:dyDescent="0.3">
      <c r="A26" s="48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8"/>
      <c r="N26" s="117"/>
    </row>
    <row r="27" spans="1:14" s="1" customFormat="1" ht="14.1" customHeight="1" x14ac:dyDescent="0.3">
      <c r="A27" s="48">
        <v>13</v>
      </c>
      <c r="B27" s="65" t="s">
        <v>82</v>
      </c>
      <c r="C27" s="66"/>
      <c r="D27" s="61" t="s">
        <v>68</v>
      </c>
      <c r="E27" s="61"/>
      <c r="F27" s="61"/>
      <c r="G27" s="61"/>
      <c r="H27" s="54">
        <f>SUM(I27)-1.4</f>
        <v>22.200000000000003</v>
      </c>
      <c r="I27" s="54">
        <f>SUM(J27)-1.4</f>
        <v>23.6</v>
      </c>
      <c r="J27" s="67">
        <v>25</v>
      </c>
      <c r="K27" s="68">
        <f>SUM(J27)+1.4</f>
        <v>26.4</v>
      </c>
      <c r="L27" s="68">
        <f t="shared" ref="L27:N27" si="15">SUM(K27)+1.4</f>
        <v>27.799999999999997</v>
      </c>
      <c r="M27" s="68">
        <f t="shared" si="15"/>
        <v>29.199999999999996</v>
      </c>
      <c r="N27" s="117">
        <f t="shared" si="15"/>
        <v>30.599999999999994</v>
      </c>
    </row>
    <row r="28" spans="1:14" s="1" customFormat="1" ht="14.1" customHeight="1" x14ac:dyDescent="0.3">
      <c r="A28" s="48"/>
      <c r="B28" s="45" t="s">
        <v>31</v>
      </c>
      <c r="C28" s="45"/>
      <c r="D28" s="46" t="s">
        <v>69</v>
      </c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48">
        <v>14</v>
      </c>
      <c r="B29" s="79" t="s">
        <v>134</v>
      </c>
      <c r="C29" s="80"/>
      <c r="D29" s="88"/>
      <c r="E29" s="89"/>
      <c r="F29" s="89"/>
      <c r="G29" s="90"/>
      <c r="H29" s="54">
        <f>SUM(I29)-0.3</f>
        <v>4.4000000000000004</v>
      </c>
      <c r="I29" s="54">
        <f>SUM(J29)-0.3</f>
        <v>4.7</v>
      </c>
      <c r="J29" s="67">
        <v>5</v>
      </c>
      <c r="K29" s="68">
        <f>SUM(J29)+0.3</f>
        <v>5.3</v>
      </c>
      <c r="L29" s="68">
        <f t="shared" ref="L29:N29" si="16">SUM(K29)+0.3</f>
        <v>5.6</v>
      </c>
      <c r="M29" s="68">
        <f t="shared" si="16"/>
        <v>5.8999999999999995</v>
      </c>
      <c r="N29" s="117">
        <f t="shared" si="16"/>
        <v>6.1999999999999993</v>
      </c>
    </row>
    <row r="30" spans="1:14" s="1" customFormat="1" ht="14.1" customHeight="1" x14ac:dyDescent="0.3">
      <c r="A30" s="48"/>
      <c r="B30" s="79" t="s">
        <v>142</v>
      </c>
      <c r="C30" s="80"/>
      <c r="D30" s="46" t="s">
        <v>354</v>
      </c>
      <c r="E30" s="47"/>
      <c r="F30" s="47"/>
      <c r="G30" s="59"/>
      <c r="H30" s="40"/>
      <c r="I30" s="40"/>
      <c r="J30" s="67"/>
      <c r="K30" s="68"/>
      <c r="L30" s="68"/>
      <c r="M30" s="68"/>
      <c r="N30" s="117"/>
    </row>
    <row r="31" spans="1:14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68"/>
      <c r="N31" s="117"/>
    </row>
    <row r="32" spans="1:14" ht="14.1" customHeight="1" x14ac:dyDescent="0.3">
      <c r="A32" s="48"/>
      <c r="B32" s="57"/>
      <c r="C32" s="58"/>
      <c r="D32" s="46"/>
      <c r="E32" s="47"/>
      <c r="F32" s="47"/>
      <c r="G32" s="59"/>
      <c r="H32" s="40"/>
      <c r="I32" s="40"/>
      <c r="J32" s="67"/>
      <c r="K32" s="68"/>
      <c r="L32" s="68"/>
      <c r="M32" s="68"/>
      <c r="N32" s="117"/>
    </row>
    <row r="33" spans="1:14" ht="14.1" customHeight="1" x14ac:dyDescent="0.3">
      <c r="A33" s="48">
        <v>16</v>
      </c>
      <c r="B33" s="79"/>
      <c r="C33" s="80"/>
      <c r="D33" s="133"/>
      <c r="E33" s="134"/>
      <c r="F33" s="134"/>
      <c r="G33" s="135"/>
      <c r="H33" s="81"/>
      <c r="I33" s="81"/>
      <c r="J33" s="42"/>
      <c r="K33" s="40"/>
      <c r="L33" s="40"/>
      <c r="M33" s="40"/>
      <c r="N33" s="116"/>
    </row>
    <row r="34" spans="1:14" ht="14.1" customHeight="1" thickBot="1" x14ac:dyDescent="0.35">
      <c r="A34" s="87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93"/>
      <c r="N34" s="118"/>
    </row>
    <row r="35" spans="1:14" ht="14.1" customHeight="1" x14ac:dyDescent="0.3"/>
    <row r="36" spans="1:14" ht="14.1" customHeight="1" x14ac:dyDescent="0.3"/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5">
    <mergeCell ref="B2:C2"/>
    <mergeCell ref="D2:G2"/>
    <mergeCell ref="A3:A4"/>
    <mergeCell ref="B3:C3"/>
    <mergeCell ref="D3:G3"/>
    <mergeCell ref="H3:H4"/>
    <mergeCell ref="I3:I4"/>
    <mergeCell ref="J19:J20"/>
    <mergeCell ref="K19:K20"/>
    <mergeCell ref="A7:A8"/>
    <mergeCell ref="B7:C7"/>
    <mergeCell ref="D7:G7"/>
    <mergeCell ref="H7:H8"/>
    <mergeCell ref="I7:I8"/>
    <mergeCell ref="J7:J8"/>
    <mergeCell ref="K9:K10"/>
    <mergeCell ref="K11:K12"/>
    <mergeCell ref="K13:K14"/>
    <mergeCell ref="L19:L20"/>
    <mergeCell ref="M19:M20"/>
    <mergeCell ref="A5:A6"/>
    <mergeCell ref="B5:C5"/>
    <mergeCell ref="D5:G5"/>
    <mergeCell ref="H5:H6"/>
    <mergeCell ref="I5:I6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K7:K8"/>
    <mergeCell ref="L7:L8"/>
    <mergeCell ref="M7:M8"/>
    <mergeCell ref="B8:C8"/>
    <mergeCell ref="D8:G8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A21:A22"/>
    <mergeCell ref="B21:C21"/>
    <mergeCell ref="D21:G21"/>
    <mergeCell ref="H21:H22"/>
    <mergeCell ref="I21:I22"/>
    <mergeCell ref="J21:J22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B20:C20"/>
    <mergeCell ref="D20:G20"/>
    <mergeCell ref="A19:A20"/>
    <mergeCell ref="B19:C19"/>
    <mergeCell ref="D19:G19"/>
    <mergeCell ref="H19:H20"/>
    <mergeCell ref="I19:I20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15:L16"/>
    <mergeCell ref="M15:M16"/>
    <mergeCell ref="B16:C16"/>
    <mergeCell ref="D16:G16"/>
    <mergeCell ref="K33:K34"/>
    <mergeCell ref="L33:L34"/>
    <mergeCell ref="M33:M34"/>
    <mergeCell ref="B34:C34"/>
    <mergeCell ref="D34:G34"/>
    <mergeCell ref="K29:K30"/>
    <mergeCell ref="L29:L30"/>
    <mergeCell ref="M29:M30"/>
    <mergeCell ref="B30:C30"/>
    <mergeCell ref="D30:G30"/>
    <mergeCell ref="K25:K26"/>
    <mergeCell ref="L25:L26"/>
    <mergeCell ref="M25:M26"/>
    <mergeCell ref="B26:C26"/>
    <mergeCell ref="D26:G26"/>
    <mergeCell ref="K21:K22"/>
    <mergeCell ref="L21:L22"/>
    <mergeCell ref="M21:M22"/>
    <mergeCell ref="B22:C22"/>
    <mergeCell ref="D22:G22"/>
    <mergeCell ref="N19:N20"/>
    <mergeCell ref="N21:N22"/>
    <mergeCell ref="N23:N24"/>
    <mergeCell ref="N25:N26"/>
    <mergeCell ref="N27:N28"/>
    <mergeCell ref="N29:N30"/>
    <mergeCell ref="N31:N32"/>
    <mergeCell ref="N33:N34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A15:A16"/>
    <mergeCell ref="B15:C15"/>
    <mergeCell ref="D15:G15"/>
    <mergeCell ref="H15:H16"/>
    <mergeCell ref="I15:I16"/>
    <mergeCell ref="J15:J16"/>
    <mergeCell ref="K15:K1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2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4F7B-2997-4CE6-B715-6B1EE3EB3EA8}">
  <sheetPr codeName="Sheet53">
    <tabColor rgb="FFFF0000"/>
    <pageSetUpPr fitToPage="1"/>
  </sheetPr>
  <dimension ref="A1:P51"/>
  <sheetViews>
    <sheetView zoomScale="110" zoomScaleNormal="110" workbookViewId="0">
      <selection activeCell="O33" sqref="O3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103">
        <v>1</v>
      </c>
      <c r="B3" s="36" t="s">
        <v>39</v>
      </c>
      <c r="C3" s="36"/>
      <c r="D3" s="37" t="s">
        <v>362</v>
      </c>
      <c r="E3" s="37"/>
      <c r="F3" s="37"/>
      <c r="G3" s="38"/>
      <c r="H3" s="54">
        <f>SUM(I3)-3.2</f>
        <v>28.1</v>
      </c>
      <c r="I3" s="54">
        <f>SUM(J3)-3.2</f>
        <v>31.3</v>
      </c>
      <c r="J3" s="55">
        <v>34.5</v>
      </c>
      <c r="K3" s="54">
        <f>SUM(J3)+2.7</f>
        <v>37.200000000000003</v>
      </c>
      <c r="L3" s="54">
        <f t="shared" ref="L3:M3" si="0">SUM(K3)+2.7</f>
        <v>39.900000000000006</v>
      </c>
      <c r="M3" s="56">
        <f t="shared" si="0"/>
        <v>42.600000000000009</v>
      </c>
    </row>
    <row r="4" spans="1:13" s="1" customFormat="1" ht="14.1" customHeight="1" x14ac:dyDescent="0.3">
      <c r="A4" s="35"/>
      <c r="B4" s="45" t="s">
        <v>205</v>
      </c>
      <c r="C4" s="45"/>
      <c r="D4" s="46" t="s">
        <v>363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78">
        <v>2</v>
      </c>
      <c r="B5" s="105" t="s">
        <v>39</v>
      </c>
      <c r="C5" s="105"/>
      <c r="D5" s="106" t="s">
        <v>364</v>
      </c>
      <c r="E5" s="106"/>
      <c r="F5" s="106"/>
      <c r="G5" s="51"/>
      <c r="H5" s="54">
        <f>SUM(I5)-3.2</f>
        <v>28.6</v>
      </c>
      <c r="I5" s="54">
        <f>SUM(J5)-3.2</f>
        <v>31.8</v>
      </c>
      <c r="J5" s="55">
        <v>35</v>
      </c>
      <c r="K5" s="54">
        <f>SUM(J5)+2.7</f>
        <v>37.700000000000003</v>
      </c>
      <c r="L5" s="54">
        <f t="shared" ref="L5:M5" si="1">SUM(K5)+2.7</f>
        <v>40.400000000000006</v>
      </c>
      <c r="M5" s="56">
        <f t="shared" si="1"/>
        <v>43.100000000000009</v>
      </c>
    </row>
    <row r="6" spans="1:13" s="1" customFormat="1" ht="14.1" customHeight="1" x14ac:dyDescent="0.3">
      <c r="A6" s="35"/>
      <c r="B6" s="45" t="s">
        <v>206</v>
      </c>
      <c r="C6" s="45"/>
      <c r="D6" s="46" t="s">
        <v>365</v>
      </c>
      <c r="E6" s="47"/>
      <c r="F6" s="47"/>
      <c r="G6" s="47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78">
        <v>3</v>
      </c>
      <c r="B7" s="60" t="s">
        <v>37</v>
      </c>
      <c r="C7" s="60"/>
      <c r="D7" s="61" t="s">
        <v>38</v>
      </c>
      <c r="E7" s="61"/>
      <c r="F7" s="61"/>
      <c r="G7" s="61"/>
      <c r="H7" s="54"/>
      <c r="I7" s="54"/>
      <c r="J7" s="55"/>
      <c r="K7" s="54"/>
      <c r="L7" s="54"/>
      <c r="M7" s="56"/>
    </row>
    <row r="8" spans="1:13" s="1" customFormat="1" ht="14.1" customHeight="1" x14ac:dyDescent="0.3">
      <c r="A8" s="35"/>
      <c r="B8" s="45" t="s">
        <v>24</v>
      </c>
      <c r="C8" s="45"/>
      <c r="D8" s="46" t="s">
        <v>42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78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</f>
        <v>26</v>
      </c>
      <c r="I9" s="54">
        <f>SUM(J9)-2</f>
        <v>28</v>
      </c>
      <c r="J9" s="55">
        <v>30</v>
      </c>
      <c r="K9" s="54">
        <f>SUM(J9)+1.8</f>
        <v>31.8</v>
      </c>
      <c r="L9" s="54">
        <f>SUM(K9)+1.8</f>
        <v>33.6</v>
      </c>
      <c r="M9" s="56">
        <f>SUM(L9)+1.8</f>
        <v>35.4</v>
      </c>
    </row>
    <row r="10" spans="1:13" s="1" customFormat="1" ht="14.1" customHeight="1" x14ac:dyDescent="0.3">
      <c r="A10" s="35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78">
        <v>5</v>
      </c>
      <c r="B11" s="60" t="s">
        <v>41</v>
      </c>
      <c r="C11" s="60"/>
      <c r="D11" s="61" t="s">
        <v>8</v>
      </c>
      <c r="E11" s="61"/>
      <c r="F11" s="61"/>
      <c r="G11" s="61"/>
      <c r="H11" s="54">
        <f>SUM(I11)-1.9</f>
        <v>25.200000000000003</v>
      </c>
      <c r="I11" s="54">
        <f>SUM(J11)-1.9</f>
        <v>27.1</v>
      </c>
      <c r="J11" s="55">
        <v>29</v>
      </c>
      <c r="K11" s="54">
        <f>SUM(J11)+1.7</f>
        <v>30.7</v>
      </c>
      <c r="L11" s="54">
        <f t="shared" ref="L11:M11" si="2">SUM(K11)+1.7</f>
        <v>32.4</v>
      </c>
      <c r="M11" s="56">
        <f t="shared" si="2"/>
        <v>34.1</v>
      </c>
    </row>
    <row r="12" spans="1:13" s="1" customFormat="1" ht="14.1" customHeight="1" x14ac:dyDescent="0.3">
      <c r="A12" s="35"/>
      <c r="B12" s="45" t="s">
        <v>25</v>
      </c>
      <c r="C12" s="45"/>
      <c r="D12" s="46" t="s">
        <v>44</v>
      </c>
      <c r="E12" s="47"/>
      <c r="F12" s="47"/>
      <c r="G12" s="59"/>
      <c r="H12" s="40"/>
      <c r="I12" s="40"/>
      <c r="J12" s="42"/>
      <c r="K12" s="40"/>
      <c r="L12" s="40"/>
      <c r="M12" s="44"/>
    </row>
    <row r="13" spans="1:13" s="1" customFormat="1" ht="14.1" customHeight="1" x14ac:dyDescent="0.3">
      <c r="A13" s="78">
        <v>6</v>
      </c>
      <c r="B13" s="60" t="s">
        <v>10</v>
      </c>
      <c r="C13" s="60"/>
      <c r="D13" s="61" t="s">
        <v>0</v>
      </c>
      <c r="E13" s="61"/>
      <c r="F13" s="61"/>
      <c r="G13" s="61"/>
      <c r="H13" s="60"/>
      <c r="I13" s="60"/>
      <c r="J13" s="132"/>
      <c r="K13" s="130"/>
      <c r="L13" s="130"/>
      <c r="M13" s="131"/>
    </row>
    <row r="14" spans="1:13" s="1" customFormat="1" ht="14.1" customHeight="1" x14ac:dyDescent="0.3">
      <c r="A14" s="35"/>
      <c r="B14" s="45" t="s">
        <v>26</v>
      </c>
      <c r="C14" s="45"/>
      <c r="D14" s="46" t="s">
        <v>45</v>
      </c>
      <c r="E14" s="47"/>
      <c r="F14" s="47"/>
      <c r="G14" s="59"/>
      <c r="H14" s="45"/>
      <c r="I14" s="45"/>
      <c r="J14" s="132"/>
      <c r="K14" s="130"/>
      <c r="L14" s="130"/>
      <c r="M14" s="131"/>
    </row>
    <row r="15" spans="1:13" s="1" customFormat="1" ht="14.1" customHeight="1" x14ac:dyDescent="0.3">
      <c r="A15" s="78">
        <v>7</v>
      </c>
      <c r="B15" s="60" t="s">
        <v>1</v>
      </c>
      <c r="C15" s="60"/>
      <c r="D15" s="61" t="s">
        <v>163</v>
      </c>
      <c r="E15" s="61"/>
      <c r="F15" s="61"/>
      <c r="G15" s="61"/>
      <c r="H15" s="54"/>
      <c r="I15" s="54"/>
      <c r="J15" s="67"/>
      <c r="K15" s="68"/>
      <c r="L15" s="68"/>
      <c r="M15" s="69"/>
    </row>
    <row r="16" spans="1:13" s="1" customFormat="1" ht="14.1" customHeight="1" x14ac:dyDescent="0.3">
      <c r="A16" s="35"/>
      <c r="B16" s="45" t="s">
        <v>27</v>
      </c>
      <c r="C16" s="45"/>
      <c r="D16" s="46" t="s">
        <v>124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6" s="1" customFormat="1" ht="14.1" customHeight="1" x14ac:dyDescent="0.3">
      <c r="A17" s="78">
        <v>8</v>
      </c>
      <c r="B17" s="60" t="s">
        <v>2</v>
      </c>
      <c r="C17" s="60"/>
      <c r="D17" s="61" t="s">
        <v>3</v>
      </c>
      <c r="E17" s="61"/>
      <c r="F17" s="61"/>
      <c r="G17" s="61"/>
      <c r="H17" s="54"/>
      <c r="I17" s="54"/>
      <c r="J17" s="67"/>
      <c r="K17" s="68"/>
      <c r="L17" s="68"/>
      <c r="M17" s="69"/>
    </row>
    <row r="18" spans="1:16" s="1" customFormat="1" ht="14.1" customHeight="1" x14ac:dyDescent="0.3">
      <c r="A18" s="35"/>
      <c r="B18" s="45" t="s">
        <v>28</v>
      </c>
      <c r="C18" s="45"/>
      <c r="D18" s="46" t="s">
        <v>125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6" s="1" customFormat="1" ht="14.1" customHeight="1" x14ac:dyDescent="0.3">
      <c r="A19" s="78">
        <v>9</v>
      </c>
      <c r="B19" s="60" t="s">
        <v>463</v>
      </c>
      <c r="C19" s="60"/>
      <c r="D19" s="267"/>
      <c r="E19" s="267"/>
      <c r="F19" s="267"/>
      <c r="G19" s="267"/>
      <c r="H19" s="54">
        <f>SUM(I19)-0.45</f>
        <v>9.1000000000000014</v>
      </c>
      <c r="I19" s="54">
        <f>SUM(J19)-0.45</f>
        <v>9.5500000000000007</v>
      </c>
      <c r="J19" s="67">
        <v>10</v>
      </c>
      <c r="K19" s="68">
        <f>SUM(J19)+0.45</f>
        <v>10.45</v>
      </c>
      <c r="L19" s="68">
        <f t="shared" ref="L19:M19" si="3">SUM(K19)+0.45</f>
        <v>10.899999999999999</v>
      </c>
      <c r="M19" s="69">
        <f t="shared" si="3"/>
        <v>11.349999999999998</v>
      </c>
    </row>
    <row r="20" spans="1:16" s="1" customFormat="1" ht="14.1" customHeight="1" x14ac:dyDescent="0.3">
      <c r="A20" s="35"/>
      <c r="B20" s="45" t="s">
        <v>464</v>
      </c>
      <c r="C20" s="45"/>
      <c r="D20" s="151" t="s">
        <v>465</v>
      </c>
      <c r="E20" s="163"/>
      <c r="F20" s="163"/>
      <c r="G20" s="164"/>
      <c r="H20" s="40"/>
      <c r="I20" s="40"/>
      <c r="J20" s="67"/>
      <c r="K20" s="68"/>
      <c r="L20" s="68"/>
      <c r="M20" s="69"/>
    </row>
    <row r="21" spans="1:16" s="1" customFormat="1" ht="14.1" customHeight="1" x14ac:dyDescent="0.3">
      <c r="A21" s="78">
        <v>10</v>
      </c>
      <c r="B21" s="65" t="s">
        <v>73</v>
      </c>
      <c r="C21" s="66"/>
      <c r="D21" s="62" t="s">
        <v>74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6" s="1" customFormat="1" ht="14.1" customHeight="1" x14ac:dyDescent="0.3">
      <c r="A22" s="35"/>
      <c r="B22" s="45" t="s">
        <v>33</v>
      </c>
      <c r="C22" s="45"/>
      <c r="D22" s="46" t="s">
        <v>86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6" s="1" customFormat="1" ht="14.1" customHeight="1" x14ac:dyDescent="0.3">
      <c r="A23" s="78">
        <v>11</v>
      </c>
      <c r="B23" s="60" t="s">
        <v>4</v>
      </c>
      <c r="C23" s="60"/>
      <c r="D23" s="61" t="s">
        <v>5</v>
      </c>
      <c r="E23" s="61"/>
      <c r="F23" s="61"/>
      <c r="G23" s="61"/>
      <c r="H23" s="54">
        <f>SUM(I23)-1.3</f>
        <v>11.899999999999999</v>
      </c>
      <c r="I23" s="54">
        <f>SUM(J23)-1.3</f>
        <v>13.2</v>
      </c>
      <c r="J23" s="55">
        <v>14.5</v>
      </c>
      <c r="K23" s="68">
        <f>SUM(J23)+1.3</f>
        <v>15.8</v>
      </c>
      <c r="L23" s="68">
        <f>SUM(K23)+1.3</f>
        <v>17.100000000000001</v>
      </c>
      <c r="M23" s="69">
        <f>SUM(L23)+1.3</f>
        <v>18.400000000000002</v>
      </c>
    </row>
    <row r="24" spans="1:16" s="1" customFormat="1" ht="14.1" customHeight="1" x14ac:dyDescent="0.3">
      <c r="A24" s="35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42"/>
      <c r="K24" s="68"/>
      <c r="L24" s="68"/>
      <c r="M24" s="69"/>
    </row>
    <row r="25" spans="1:16" s="1" customFormat="1" ht="14.1" customHeight="1" thickBot="1" x14ac:dyDescent="0.35">
      <c r="A25" s="78">
        <v>12</v>
      </c>
      <c r="B25" s="60" t="s">
        <v>6</v>
      </c>
      <c r="C25" s="60"/>
      <c r="D25" s="62" t="s">
        <v>7</v>
      </c>
      <c r="E25" s="63"/>
      <c r="F25" s="63"/>
      <c r="G25" s="64"/>
      <c r="H25" s="54"/>
      <c r="I25" s="54"/>
      <c r="J25" s="67"/>
      <c r="K25" s="68"/>
      <c r="L25" s="68"/>
      <c r="M25" s="69"/>
    </row>
    <row r="26" spans="1:16" s="1" customFormat="1" ht="14.1" customHeight="1" thickTop="1" x14ac:dyDescent="0.3">
      <c r="A26" s="35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9"/>
      <c r="P26" s="16" t="s">
        <v>457</v>
      </c>
    </row>
    <row r="27" spans="1:16" s="1" customFormat="1" ht="14.1" customHeight="1" x14ac:dyDescent="0.3">
      <c r="A27" s="78">
        <v>13</v>
      </c>
      <c r="B27" s="65" t="s">
        <v>466</v>
      </c>
      <c r="C27" s="66"/>
      <c r="D27" s="61"/>
      <c r="E27" s="61"/>
      <c r="F27" s="61"/>
      <c r="G27" s="61"/>
      <c r="H27" s="54">
        <f>SUM(I27)-0.6</f>
        <v>10.8</v>
      </c>
      <c r="I27" s="54">
        <f>SUM(J27)-0.6</f>
        <v>11.4</v>
      </c>
      <c r="J27" s="67">
        <v>12</v>
      </c>
      <c r="K27" s="68">
        <f>SUM(J27)+0.6</f>
        <v>12.6</v>
      </c>
      <c r="L27" s="68">
        <f t="shared" ref="L27:M27" si="4">SUM(K27)+0.6</f>
        <v>13.2</v>
      </c>
      <c r="M27" s="69">
        <f t="shared" si="4"/>
        <v>13.799999999999999</v>
      </c>
      <c r="P27" s="17">
        <f>SUM(H27+H27+I27+I27+J27+J27+K27+K27+L27+L27+M27+M27+H29+H29+I29+I29+J29+J29+K29+K29+L29+L29+M29+M29)</f>
        <v>430.8</v>
      </c>
    </row>
    <row r="28" spans="1:16" s="1" customFormat="1" ht="14.1" customHeight="1" thickBot="1" x14ac:dyDescent="0.35">
      <c r="A28" s="35"/>
      <c r="B28" s="45" t="s">
        <v>467</v>
      </c>
      <c r="C28" s="45"/>
      <c r="D28" s="46" t="s">
        <v>468</v>
      </c>
      <c r="E28" s="47"/>
      <c r="F28" s="47"/>
      <c r="G28" s="59"/>
      <c r="H28" s="40"/>
      <c r="I28" s="40"/>
      <c r="J28" s="67"/>
      <c r="K28" s="68"/>
      <c r="L28" s="68"/>
      <c r="M28" s="69"/>
      <c r="P28" s="18">
        <f>SUM(P27/91.44/6*1.08)</f>
        <v>0.84803149606299222</v>
      </c>
    </row>
    <row r="29" spans="1:16" s="1" customFormat="1" ht="14.1" customHeight="1" thickTop="1" x14ac:dyDescent="0.3">
      <c r="A29" s="78">
        <v>14</v>
      </c>
      <c r="B29" s="65" t="s">
        <v>469</v>
      </c>
      <c r="C29" s="66"/>
      <c r="D29" s="61"/>
      <c r="E29" s="61"/>
      <c r="F29" s="61"/>
      <c r="G29" s="61"/>
      <c r="H29" s="54">
        <f>SUM(I29)-1.2</f>
        <v>20.6</v>
      </c>
      <c r="I29" s="54">
        <f>SUM(J29)-1.2</f>
        <v>21.8</v>
      </c>
      <c r="J29" s="67">
        <v>23</v>
      </c>
      <c r="K29" s="68">
        <f>SUM(J29)+1.2</f>
        <v>24.2</v>
      </c>
      <c r="L29" s="68">
        <f t="shared" ref="L29:M29" si="5">SUM(K29)+1.2</f>
        <v>25.4</v>
      </c>
      <c r="M29" s="69">
        <f t="shared" si="5"/>
        <v>26.599999999999998</v>
      </c>
    </row>
    <row r="30" spans="1:16" s="1" customFormat="1" ht="14.1" customHeight="1" x14ac:dyDescent="0.3">
      <c r="A30" s="35"/>
      <c r="B30" s="45" t="s">
        <v>470</v>
      </c>
      <c r="C30" s="45"/>
      <c r="D30" s="46" t="s">
        <v>468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6" ht="14.1" customHeight="1" x14ac:dyDescent="0.3">
      <c r="A31" s="7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69"/>
    </row>
    <row r="32" spans="1:16" ht="14.1" customHeight="1" thickBot="1" x14ac:dyDescent="0.35">
      <c r="A32" s="104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121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A1:M1"/>
    <mergeCell ref="K3:K4"/>
    <mergeCell ref="L3:L4"/>
    <mergeCell ref="M3:M4"/>
    <mergeCell ref="B4:C4"/>
    <mergeCell ref="D4:G4"/>
    <mergeCell ref="A3:A4"/>
    <mergeCell ref="B3:C3"/>
    <mergeCell ref="D3:G3"/>
    <mergeCell ref="H3:H4"/>
    <mergeCell ref="I3:I4"/>
    <mergeCell ref="J3:J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L5:L6"/>
    <mergeCell ref="M5:M6"/>
    <mergeCell ref="B6:C6"/>
    <mergeCell ref="D6:G6"/>
    <mergeCell ref="J5:J6"/>
    <mergeCell ref="K5:K6"/>
    <mergeCell ref="A7:A8"/>
    <mergeCell ref="B7:C7"/>
    <mergeCell ref="D7:G7"/>
    <mergeCell ref="H7:H8"/>
    <mergeCell ref="I7:I8"/>
    <mergeCell ref="B2:C2"/>
    <mergeCell ref="D2:G2"/>
    <mergeCell ref="A5:A6"/>
    <mergeCell ref="B5:C5"/>
    <mergeCell ref="D5:G5"/>
    <mergeCell ref="H5:H6"/>
    <mergeCell ref="I5:I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80E4-2127-4BD3-A954-1D8EE140A959}">
  <sheetPr codeName="Sheet54">
    <tabColor rgb="FFFF0000"/>
    <pageSetUpPr fitToPage="1"/>
  </sheetPr>
  <dimension ref="A1:N51"/>
  <sheetViews>
    <sheetView topLeftCell="A7" zoomScale="110" zoomScaleNormal="110" workbookViewId="0">
      <selection activeCell="Q10" sqref="Q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56">
        <f t="shared" ref="M3" si="0">SUM(L3)+2.5</f>
        <v>47.5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410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24.7</v>
      </c>
      <c r="I5" s="54">
        <f>SUM(J5)-1.8</f>
        <v>26.5</v>
      </c>
      <c r="J5" s="55">
        <v>28.3</v>
      </c>
      <c r="K5" s="54">
        <f>SUM(J5)+1.6</f>
        <v>29.900000000000002</v>
      </c>
      <c r="L5" s="54">
        <f>SUM(K5)+1.6</f>
        <v>31.500000000000004</v>
      </c>
      <c r="M5" s="56">
        <f t="shared" ref="M5" si="1">SUM(L5)+1.6</f>
        <v>33.1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31.5</v>
      </c>
      <c r="I7" s="54">
        <f>SUM(J7)-2.25</f>
        <v>33.75</v>
      </c>
      <c r="J7" s="55">
        <v>36</v>
      </c>
      <c r="K7" s="54">
        <f>SUM(J7)+2</f>
        <v>38</v>
      </c>
      <c r="L7" s="54">
        <f t="shared" ref="L7:M7" si="2">SUM(K7)+2</f>
        <v>40</v>
      </c>
      <c r="M7" s="56">
        <f t="shared" si="2"/>
        <v>42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31.5</v>
      </c>
      <c r="I9" s="54">
        <f>SUM(J9)-2.25</f>
        <v>33.75</v>
      </c>
      <c r="J9" s="55">
        <v>36</v>
      </c>
      <c r="K9" s="54">
        <f>SUM(J9)+2</f>
        <v>38</v>
      </c>
      <c r="L9" s="54">
        <f t="shared" ref="L9:M9" si="3">SUM(K9)+2</f>
        <v>40</v>
      </c>
      <c r="M9" s="56">
        <f t="shared" si="3"/>
        <v>42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13.399999999999999</v>
      </c>
      <c r="I11" s="60">
        <f>SUM(J11)-0.9</f>
        <v>14.299999999999999</v>
      </c>
      <c r="J11" s="132">
        <v>15.2</v>
      </c>
      <c r="K11" s="130">
        <f>SUM(J11)+0.8</f>
        <v>16</v>
      </c>
      <c r="L11" s="130">
        <f t="shared" ref="L11" si="4">SUM(K11)+0.8</f>
        <v>16.8</v>
      </c>
      <c r="M11" s="131">
        <f>SUM(L11)+0.9</f>
        <v>17.7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15.2</v>
      </c>
      <c r="I13" s="54">
        <f>SUM(J13)-0.6</f>
        <v>15.799999999999999</v>
      </c>
      <c r="J13" s="67">
        <v>16.399999999999999</v>
      </c>
      <c r="K13" s="68">
        <f>SUM(J13)+0.6</f>
        <v>17</v>
      </c>
      <c r="L13" s="68">
        <f>SUM(K13)+0.6</f>
        <v>17.600000000000001</v>
      </c>
      <c r="M13" s="69">
        <f t="shared" ref="M13" si="5">SUM(L13)+0.6</f>
        <v>18.200000000000003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6.4</v>
      </c>
      <c r="I15" s="54">
        <f>SUM(J15)-0.3</f>
        <v>6.7</v>
      </c>
      <c r="J15" s="67">
        <v>7</v>
      </c>
      <c r="K15" s="68">
        <f>SUM(J15)+0.3</f>
        <v>7.3</v>
      </c>
      <c r="L15" s="68">
        <f>SUM(K15)+0.3</f>
        <v>7.6</v>
      </c>
      <c r="M15" s="69">
        <f t="shared" ref="M15" si="6">SUM(L15)+0.3</f>
        <v>7.8999999999999995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40.799999999999997</v>
      </c>
      <c r="I17" s="54">
        <f>SUM(J17)-1.6</f>
        <v>42.4</v>
      </c>
      <c r="J17" s="67">
        <v>44</v>
      </c>
      <c r="K17" s="68">
        <f>SUM(J17)+1.6</f>
        <v>45.6</v>
      </c>
      <c r="L17" s="68">
        <f>SUM(K17)+1.6</f>
        <v>47.2</v>
      </c>
      <c r="M17" s="69">
        <f t="shared" ref="M17" si="7">SUM(L17)+1.6</f>
        <v>48.800000000000004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10.3</v>
      </c>
      <c r="I19" s="54">
        <f>SUM(J19)-1.1</f>
        <v>11.4</v>
      </c>
      <c r="J19" s="55">
        <v>12.5</v>
      </c>
      <c r="K19" s="68">
        <f>SUM(J19)+1.2</f>
        <v>13.7</v>
      </c>
      <c r="L19" s="68">
        <f t="shared" ref="L19:M19" si="8">SUM(K19)+1.2</f>
        <v>14.899999999999999</v>
      </c>
      <c r="M19" s="69">
        <f t="shared" si="8"/>
        <v>16.099999999999998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22.6</v>
      </c>
      <c r="I23" s="54">
        <f>SUM(J23)-1.2</f>
        <v>23.8</v>
      </c>
      <c r="J23" s="67">
        <v>25</v>
      </c>
      <c r="K23" s="68">
        <f>SUM(J23)+1.2</f>
        <v>26.2</v>
      </c>
      <c r="L23" s="68">
        <f t="shared" ref="L23:M23" si="9">SUM(K23)+1.2</f>
        <v>27.4</v>
      </c>
      <c r="M23" s="69">
        <f t="shared" si="9"/>
        <v>28.599999999999998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>SUM(K25)+0.3</f>
        <v>4.5999999999999996</v>
      </c>
      <c r="M25" s="69">
        <f t="shared" ref="M25" si="10">SUM(L25)+0.3</f>
        <v>4.8999999999999995</v>
      </c>
    </row>
    <row r="26" spans="1:14" s="1" customFormat="1" ht="14.1" customHeight="1" x14ac:dyDescent="0.3">
      <c r="A26" s="48"/>
      <c r="B26" s="57" t="s">
        <v>142</v>
      </c>
      <c r="C26" s="58"/>
      <c r="D26" s="46" t="s">
        <v>84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79" t="s">
        <v>411</v>
      </c>
      <c r="C27" s="80"/>
      <c r="D27" s="133"/>
      <c r="E27" s="134"/>
      <c r="F27" s="134"/>
      <c r="G27" s="135"/>
      <c r="H27" s="54">
        <f>SUM(I27)</f>
        <v>2.2000000000000002</v>
      </c>
      <c r="I27" s="54">
        <f>SUM(J27)</f>
        <v>2.2000000000000002</v>
      </c>
      <c r="J27" s="42">
        <v>2.2000000000000002</v>
      </c>
      <c r="K27" s="40">
        <f>SUM(J27)</f>
        <v>2.2000000000000002</v>
      </c>
      <c r="L27" s="40">
        <f t="shared" ref="L27:M27" si="11">SUM(K27)</f>
        <v>2.2000000000000002</v>
      </c>
      <c r="M27" s="44">
        <f t="shared" si="11"/>
        <v>2.2000000000000002</v>
      </c>
    </row>
    <row r="28" spans="1:14" s="1" customFormat="1" ht="14.1" customHeight="1" thickBot="1" x14ac:dyDescent="0.35">
      <c r="A28" s="87"/>
      <c r="B28" s="96" t="s">
        <v>412</v>
      </c>
      <c r="C28" s="97"/>
      <c r="D28" s="98" t="s">
        <v>413</v>
      </c>
      <c r="E28" s="99"/>
      <c r="F28" s="99"/>
      <c r="G28" s="100"/>
      <c r="H28" s="91"/>
      <c r="I28" s="91"/>
      <c r="J28" s="92"/>
      <c r="K28" s="93"/>
      <c r="L28" s="93"/>
      <c r="M28" s="121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7:K28"/>
    <mergeCell ref="L27:L28"/>
    <mergeCell ref="B26:C26"/>
    <mergeCell ref="D26:G26"/>
    <mergeCell ref="D23:G23"/>
    <mergeCell ref="H23:H24"/>
    <mergeCell ref="I23:I24"/>
    <mergeCell ref="K25:K26"/>
    <mergeCell ref="L25:L26"/>
    <mergeCell ref="M25:M26"/>
    <mergeCell ref="M19:M20"/>
    <mergeCell ref="K17:K18"/>
    <mergeCell ref="L17:L18"/>
    <mergeCell ref="M17:M18"/>
    <mergeCell ref="M15:M16"/>
    <mergeCell ref="K13:K14"/>
    <mergeCell ref="L13:L14"/>
    <mergeCell ref="M13:M14"/>
    <mergeCell ref="K15:K16"/>
    <mergeCell ref="L15:L16"/>
    <mergeCell ref="K19:K20"/>
    <mergeCell ref="L19:L2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A21:A22"/>
    <mergeCell ref="B21:C21"/>
    <mergeCell ref="D21:G21"/>
    <mergeCell ref="H21:H22"/>
    <mergeCell ref="I21:I22"/>
    <mergeCell ref="J21:J22"/>
    <mergeCell ref="J19:J20"/>
    <mergeCell ref="B20:C20"/>
    <mergeCell ref="D20:G20"/>
    <mergeCell ref="A19:A20"/>
    <mergeCell ref="B19:C19"/>
    <mergeCell ref="D19:G19"/>
    <mergeCell ref="H19:H20"/>
    <mergeCell ref="I19:I20"/>
    <mergeCell ref="B14:C14"/>
    <mergeCell ref="D14:G14"/>
    <mergeCell ref="J13:J14"/>
    <mergeCell ref="B18:C18"/>
    <mergeCell ref="D18:G18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17:A18"/>
    <mergeCell ref="B17:C17"/>
    <mergeCell ref="D17:G17"/>
    <mergeCell ref="H17:H18"/>
    <mergeCell ref="I17:I18"/>
    <mergeCell ref="J17:J18"/>
    <mergeCell ref="J15:J16"/>
    <mergeCell ref="B16:C16"/>
    <mergeCell ref="D16:G16"/>
    <mergeCell ref="A7:A8"/>
    <mergeCell ref="B7:C7"/>
    <mergeCell ref="D7:G7"/>
    <mergeCell ref="H7:H8"/>
    <mergeCell ref="I7:I8"/>
    <mergeCell ref="J11:J12"/>
    <mergeCell ref="A11:A12"/>
    <mergeCell ref="A9:A10"/>
    <mergeCell ref="J7:J8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B11:C11"/>
    <mergeCell ref="D11:G11"/>
    <mergeCell ref="H11:H12"/>
    <mergeCell ref="I11:I12"/>
    <mergeCell ref="B9:C9"/>
    <mergeCell ref="D9:G9"/>
    <mergeCell ref="H9:H10"/>
    <mergeCell ref="I9:I10"/>
    <mergeCell ref="A5:A6"/>
    <mergeCell ref="B5:C5"/>
    <mergeCell ref="D5:G5"/>
    <mergeCell ref="H5:H6"/>
    <mergeCell ref="I5:I6"/>
    <mergeCell ref="J5:J6"/>
    <mergeCell ref="B6:C6"/>
    <mergeCell ref="D6:G6"/>
    <mergeCell ref="A3:A4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0C93-C609-45DD-B0E0-6D203EB4D7E6}">
  <sheetPr codeName="Sheet55">
    <tabColor rgb="FFFF0000"/>
    <pageSetUpPr fitToPage="1"/>
  </sheetPr>
  <dimension ref="A1:M51"/>
  <sheetViews>
    <sheetView zoomScale="110" zoomScaleNormal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214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36</v>
      </c>
      <c r="I3" s="54">
        <f>SUM(J3)-3.5</f>
        <v>39.5</v>
      </c>
      <c r="J3" s="55">
        <v>43</v>
      </c>
      <c r="K3" s="54">
        <f>SUM(J3)+3</f>
        <v>46</v>
      </c>
      <c r="L3" s="54">
        <f>SUM(K3)+3</f>
        <v>49</v>
      </c>
      <c r="M3" s="101">
        <f>SUM(L3)+3</f>
        <v>52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102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21.599999999999998</v>
      </c>
      <c r="I5" s="54">
        <f>SUM(J5)-1.6</f>
        <v>23.2</v>
      </c>
      <c r="J5" s="55">
        <v>24.8</v>
      </c>
      <c r="K5" s="54">
        <f>SUM(J5)+1.4</f>
        <v>26.2</v>
      </c>
      <c r="L5" s="54">
        <f>SUM(K5)+1.4</f>
        <v>27.599999999999998</v>
      </c>
      <c r="M5" s="101">
        <f>SUM(L5)+1.4</f>
        <v>28.999999999999996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102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26</v>
      </c>
      <c r="I7" s="54">
        <f>SUM(J7)-2</f>
        <v>28</v>
      </c>
      <c r="J7" s="55">
        <v>30</v>
      </c>
      <c r="K7" s="54">
        <f>SUM(J7)+1.8</f>
        <v>31.8</v>
      </c>
      <c r="L7" s="54">
        <f>SUM(K7)+1.8</f>
        <v>33.6</v>
      </c>
      <c r="M7" s="101">
        <f>SUM(L7)+1.8</f>
        <v>35.4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102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26</v>
      </c>
      <c r="I9" s="54">
        <f>SUM(J9)-2</f>
        <v>28</v>
      </c>
      <c r="J9" s="55">
        <v>30</v>
      </c>
      <c r="K9" s="54">
        <f>SUM(J9)+1.8</f>
        <v>31.8</v>
      </c>
      <c r="L9" s="54">
        <f>SUM(K9)+1.8</f>
        <v>33.6</v>
      </c>
      <c r="M9" s="101">
        <f>SUM(L9)+1.8</f>
        <v>35.4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102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12.799999999999999</v>
      </c>
      <c r="I11" s="60">
        <f>SUM(J11)-0.8</f>
        <v>13.7</v>
      </c>
      <c r="J11" s="132">
        <v>14.5</v>
      </c>
      <c r="K11" s="130">
        <f>SUM(J11)+0.8</f>
        <v>15.3</v>
      </c>
      <c r="L11" s="130">
        <f>SUM(K11)+0.8</f>
        <v>16.100000000000001</v>
      </c>
      <c r="M11" s="94">
        <f>SUM(L11)+0.9</f>
        <v>17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9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13.8</v>
      </c>
      <c r="I13" s="54">
        <f>SUM(J13)-0.6</f>
        <v>14.4</v>
      </c>
      <c r="J13" s="67">
        <v>15</v>
      </c>
      <c r="K13" s="68">
        <f>SUM(J13)+0.6</f>
        <v>15.6</v>
      </c>
      <c r="L13" s="68">
        <f>SUM(K13)+0.6</f>
        <v>16.2</v>
      </c>
      <c r="M13" s="94">
        <f>SUM(L13)+0.6</f>
        <v>16.8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9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SUM(I15)-0.4</f>
        <v>10.199999999999999</v>
      </c>
      <c r="I15" s="54">
        <f>SUM(J15)-0.4</f>
        <v>10.6</v>
      </c>
      <c r="J15" s="67">
        <v>11</v>
      </c>
      <c r="K15" s="68">
        <f>SUM(J15)+0.4</f>
        <v>11.4</v>
      </c>
      <c r="L15" s="68">
        <f>SUM(K15)+0.4</f>
        <v>11.8</v>
      </c>
      <c r="M15" s="94">
        <f>SUM(L15)+0.3</f>
        <v>12.100000000000001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94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SUM(I17)-2.2</f>
        <v>48.599999999999994</v>
      </c>
      <c r="I17" s="54">
        <f>SUM(J17)-2.2</f>
        <v>50.8</v>
      </c>
      <c r="J17" s="67">
        <v>53</v>
      </c>
      <c r="K17" s="68">
        <f>SUM(J17)+2.2</f>
        <v>55.2</v>
      </c>
      <c r="L17" s="68">
        <f>SUM(K17)+2.2</f>
        <v>57.400000000000006</v>
      </c>
      <c r="M17" s="94">
        <f>SUM(L17)+1.6</f>
        <v>59.000000000000007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94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101"/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102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94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94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94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94"/>
    </row>
    <row r="25" spans="1:13" s="1" customFormat="1" ht="14.1" customHeight="1" x14ac:dyDescent="0.3">
      <c r="A25" s="48">
        <v>12</v>
      </c>
      <c r="B25" s="65"/>
      <c r="C25" s="66"/>
      <c r="D25" s="88"/>
      <c r="E25" s="89"/>
      <c r="F25" s="89"/>
      <c r="G25" s="90"/>
      <c r="H25" s="54"/>
      <c r="I25" s="54"/>
      <c r="J25" s="67"/>
      <c r="K25" s="68"/>
      <c r="L25" s="68"/>
      <c r="M25" s="94">
        <f>SUM(L25)+0.4</f>
        <v>0.4</v>
      </c>
    </row>
    <row r="26" spans="1:13" s="1" customFormat="1" ht="14.1" customHeight="1" x14ac:dyDescent="0.3">
      <c r="A26" s="48"/>
      <c r="B26" s="57"/>
      <c r="C26" s="58"/>
      <c r="D26" s="46"/>
      <c r="E26" s="47"/>
      <c r="F26" s="47"/>
      <c r="G26" s="59"/>
      <c r="H26" s="40"/>
      <c r="I26" s="40"/>
      <c r="J26" s="67"/>
      <c r="K26" s="68"/>
      <c r="L26" s="68"/>
      <c r="M26" s="94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94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94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6A2-E353-4A04-A824-D72B469714E9}">
  <sheetPr codeName="Sheet56">
    <tabColor rgb="FFFF0000"/>
    <pageSetUpPr fitToPage="1"/>
  </sheetPr>
  <dimension ref="A1:N51"/>
  <sheetViews>
    <sheetView topLeftCell="A4" zoomScale="110" zoomScaleNormal="110" workbookViewId="0">
      <selection activeCell="P21" sqref="P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270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5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32</v>
      </c>
      <c r="I3" s="54">
        <f>SUM(J3)-3.5</f>
        <v>35.5</v>
      </c>
      <c r="J3" s="55">
        <v>39</v>
      </c>
      <c r="K3" s="54">
        <f>SUM(J3)+3</f>
        <v>42</v>
      </c>
      <c r="L3" s="54">
        <f t="shared" ref="L3:M3" si="0">SUM(K3)+3</f>
        <v>45</v>
      </c>
      <c r="M3" s="56">
        <f t="shared" si="0"/>
        <v>48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21.999999999999996</v>
      </c>
      <c r="I5" s="54">
        <f>SUM(J5)-1.6</f>
        <v>23.599999999999998</v>
      </c>
      <c r="J5" s="55">
        <v>25.2</v>
      </c>
      <c r="K5" s="54">
        <f>SUM(J5)+1.4</f>
        <v>26.599999999999998</v>
      </c>
      <c r="L5" s="54">
        <f t="shared" ref="L5:M5" si="1">SUM(K5)+1.4</f>
        <v>27.999999999999996</v>
      </c>
      <c r="M5" s="56">
        <f t="shared" si="1"/>
        <v>29.399999999999995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27.5</v>
      </c>
      <c r="I7" s="54">
        <f>SUM(J7)-2</f>
        <v>29.5</v>
      </c>
      <c r="J7" s="55">
        <v>31.5</v>
      </c>
      <c r="K7" s="54">
        <f>SUM(J7)+1.8</f>
        <v>33.299999999999997</v>
      </c>
      <c r="L7" s="54">
        <f>SUM(K7)+1.8</f>
        <v>35.099999999999994</v>
      </c>
      <c r="M7" s="56">
        <f t="shared" ref="M7" si="2">SUM(L7)+1.8</f>
        <v>36.899999999999991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/>
      <c r="I9" s="54"/>
      <c r="J9" s="55"/>
      <c r="K9" s="54"/>
      <c r="L9" s="54"/>
      <c r="M9" s="56"/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12.1</v>
      </c>
      <c r="I11" s="60">
        <f>SUM(J11)-0.8</f>
        <v>13</v>
      </c>
      <c r="J11" s="132">
        <v>13.8</v>
      </c>
      <c r="K11" s="130">
        <f>SUM(J11)+0.8</f>
        <v>14.600000000000001</v>
      </c>
      <c r="L11" s="130">
        <f>SUM(K11)+0.8</f>
        <v>15.400000000000002</v>
      </c>
      <c r="M11" s="131">
        <f t="shared" ref="M11" si="3">SUM(L11)+0.8</f>
        <v>16.200000000000003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14.3</v>
      </c>
      <c r="I13" s="54">
        <f>SUM(J13)-0.6</f>
        <v>14.9</v>
      </c>
      <c r="J13" s="67">
        <v>15.5</v>
      </c>
      <c r="K13" s="68">
        <f>SUM(J13)+0.6</f>
        <v>16.100000000000001</v>
      </c>
      <c r="L13" s="68">
        <f>SUM(K13)+0.6</f>
        <v>16.700000000000003</v>
      </c>
      <c r="M13" s="69">
        <f t="shared" ref="M13" si="4">SUM(L13)+0.6</f>
        <v>17.300000000000004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5.7</v>
      </c>
      <c r="I15" s="54">
        <f>SUM(J15)-0.3</f>
        <v>6</v>
      </c>
      <c r="J15" s="67">
        <v>6.3</v>
      </c>
      <c r="K15" s="68">
        <f>SUM(J15)+0.3</f>
        <v>6.6</v>
      </c>
      <c r="L15" s="68">
        <f>SUM(K15)+0.3</f>
        <v>6.8999999999999995</v>
      </c>
      <c r="M15" s="69">
        <f t="shared" ref="M15" si="5">SUM(L15)+0.3</f>
        <v>7.1999999999999993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41.8</v>
      </c>
      <c r="I17" s="54">
        <f>SUM(J17)-1.6</f>
        <v>43.4</v>
      </c>
      <c r="J17" s="67">
        <v>45</v>
      </c>
      <c r="K17" s="68">
        <f>SUM(J17)+1.6</f>
        <v>46.6</v>
      </c>
      <c r="L17" s="68">
        <f>SUM(K17)+1.6</f>
        <v>48.2</v>
      </c>
      <c r="M17" s="69">
        <f t="shared" ref="M17" si="6">SUM(L17)+1.6</f>
        <v>49.800000000000004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69"/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221</v>
      </c>
      <c r="C25" s="66"/>
      <c r="D25" s="75"/>
      <c r="E25" s="76"/>
      <c r="F25" s="76"/>
      <c r="G25" s="77"/>
      <c r="H25" s="54">
        <f>SUM(I25)-0.4</f>
        <v>3.6999999999999997</v>
      </c>
      <c r="I25" s="54">
        <f>SUM(J25)-0.4</f>
        <v>4.0999999999999996</v>
      </c>
      <c r="J25" s="67">
        <v>4.5</v>
      </c>
      <c r="K25" s="68">
        <f>SUM(J25)+0.3</f>
        <v>4.8</v>
      </c>
      <c r="L25" s="68">
        <f t="shared" ref="L25:M25" si="7">SUM(K25)+0.3</f>
        <v>5.0999999999999996</v>
      </c>
      <c r="M25" s="69">
        <f t="shared" si="7"/>
        <v>5.3999999999999995</v>
      </c>
    </row>
    <row r="26" spans="1:14" s="1" customFormat="1" ht="14.1" customHeight="1" x14ac:dyDescent="0.3">
      <c r="A26" s="48"/>
      <c r="B26" s="70" t="s">
        <v>222</v>
      </c>
      <c r="C26" s="71"/>
      <c r="D26" s="72" t="s">
        <v>292</v>
      </c>
      <c r="E26" s="73"/>
      <c r="F26" s="73"/>
      <c r="G26" s="74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65" t="s">
        <v>223</v>
      </c>
      <c r="C27" s="66"/>
      <c r="D27" s="75"/>
      <c r="E27" s="76"/>
      <c r="F27" s="76"/>
      <c r="G27" s="77"/>
      <c r="H27" s="54">
        <f>SUM(I27)-0.3</f>
        <v>2.9000000000000004</v>
      </c>
      <c r="I27" s="54">
        <f>SUM(J27)-0.3</f>
        <v>3.2</v>
      </c>
      <c r="J27" s="67">
        <v>3.5</v>
      </c>
      <c r="K27" s="68">
        <f>SUM(J27)+0.3</f>
        <v>3.8</v>
      </c>
      <c r="L27" s="68">
        <f t="shared" ref="L27:M27" si="8">SUM(K27)+0.3</f>
        <v>4.0999999999999996</v>
      </c>
      <c r="M27" s="69">
        <f t="shared" si="8"/>
        <v>4.3999999999999995</v>
      </c>
      <c r="N27" s="268"/>
    </row>
    <row r="28" spans="1:14" s="1" customFormat="1" ht="14.1" customHeight="1" x14ac:dyDescent="0.3">
      <c r="A28" s="48"/>
      <c r="B28" s="70" t="s">
        <v>224</v>
      </c>
      <c r="C28" s="71"/>
      <c r="D28" s="72" t="s">
        <v>292</v>
      </c>
      <c r="E28" s="73"/>
      <c r="F28" s="73"/>
      <c r="G28" s="74"/>
      <c r="H28" s="40"/>
      <c r="I28" s="40"/>
      <c r="J28" s="67"/>
      <c r="K28" s="68"/>
      <c r="L28" s="68"/>
      <c r="M28" s="69"/>
      <c r="N28" s="269"/>
    </row>
    <row r="29" spans="1:14" s="1" customFormat="1" ht="14.1" customHeight="1" x14ac:dyDescent="0.3">
      <c r="A29" s="48">
        <v>14</v>
      </c>
      <c r="B29" s="79" t="s">
        <v>134</v>
      </c>
      <c r="C29" s="80"/>
      <c r="D29" s="75"/>
      <c r="E29" s="76"/>
      <c r="F29" s="76"/>
      <c r="G29" s="77"/>
      <c r="H29" s="54">
        <f>SUM(I29)-0.7</f>
        <v>10.600000000000001</v>
      </c>
      <c r="I29" s="54">
        <f>SUM(J29)-0.7</f>
        <v>11.3</v>
      </c>
      <c r="J29" s="42">
        <v>12</v>
      </c>
      <c r="K29" s="68">
        <f>SUM(J29)+0.7</f>
        <v>12.7</v>
      </c>
      <c r="L29" s="68">
        <f t="shared" ref="L29:M29" si="9">SUM(K29)+0.7</f>
        <v>13.399999999999999</v>
      </c>
      <c r="M29" s="69">
        <f t="shared" si="9"/>
        <v>14.099999999999998</v>
      </c>
      <c r="N29" s="268"/>
    </row>
    <row r="30" spans="1:14" s="1" customFormat="1" ht="14.1" customHeight="1" x14ac:dyDescent="0.3">
      <c r="A30" s="78"/>
      <c r="B30" s="79" t="s">
        <v>142</v>
      </c>
      <c r="C30" s="80"/>
      <c r="D30" s="84" t="s">
        <v>271</v>
      </c>
      <c r="E30" s="85"/>
      <c r="F30" s="85"/>
      <c r="G30" s="86"/>
      <c r="H30" s="40"/>
      <c r="I30" s="40"/>
      <c r="J30" s="55"/>
      <c r="K30" s="68"/>
      <c r="L30" s="68"/>
      <c r="M30" s="69"/>
      <c r="N30" s="270"/>
    </row>
    <row r="31" spans="1:14" ht="14.1" customHeight="1" x14ac:dyDescent="0.3">
      <c r="A31" s="48">
        <v>15</v>
      </c>
      <c r="B31" s="65" t="s">
        <v>135</v>
      </c>
      <c r="C31" s="66"/>
      <c r="D31" s="75"/>
      <c r="E31" s="76"/>
      <c r="F31" s="76"/>
      <c r="G31" s="77"/>
      <c r="H31" s="54">
        <f>SUM(I31)-0.4</f>
        <v>5.1999999999999993</v>
      </c>
      <c r="I31" s="54">
        <f>SUM(J31)-0.4</f>
        <v>5.6</v>
      </c>
      <c r="J31" s="67">
        <v>6</v>
      </c>
      <c r="K31" s="68">
        <f>SUM(J31)+0.4</f>
        <v>6.4</v>
      </c>
      <c r="L31" s="68">
        <f t="shared" ref="L31:M31" si="10">SUM(K31)+0.4</f>
        <v>6.8000000000000007</v>
      </c>
      <c r="M31" s="69">
        <f t="shared" si="10"/>
        <v>7.2000000000000011</v>
      </c>
    </row>
    <row r="32" spans="1:14" ht="14.1" customHeight="1" thickBot="1" x14ac:dyDescent="0.35">
      <c r="A32" s="87"/>
      <c r="B32" s="96" t="s">
        <v>143</v>
      </c>
      <c r="C32" s="97"/>
      <c r="D32" s="109" t="s">
        <v>271</v>
      </c>
      <c r="E32" s="110"/>
      <c r="F32" s="110"/>
      <c r="G32" s="111"/>
      <c r="H32" s="91"/>
      <c r="I32" s="91"/>
      <c r="J32" s="92"/>
      <c r="K32" s="93"/>
      <c r="L32" s="93"/>
      <c r="M32" s="121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0">
    <mergeCell ref="A31:A32"/>
    <mergeCell ref="H31:H32"/>
    <mergeCell ref="I31:I32"/>
    <mergeCell ref="J31:J32"/>
    <mergeCell ref="A1:M1"/>
    <mergeCell ref="B31:C31"/>
    <mergeCell ref="B32:C32"/>
    <mergeCell ref="D31:G31"/>
    <mergeCell ref="D32:G32"/>
    <mergeCell ref="K31:K32"/>
    <mergeCell ref="L31:L32"/>
    <mergeCell ref="M31:M32"/>
    <mergeCell ref="K29:K30"/>
    <mergeCell ref="L29:L30"/>
    <mergeCell ref="M29:M30"/>
    <mergeCell ref="K27:K28"/>
    <mergeCell ref="L27:L28"/>
    <mergeCell ref="M27:M28"/>
    <mergeCell ref="K25:K26"/>
    <mergeCell ref="L25:L26"/>
    <mergeCell ref="M25:M26"/>
    <mergeCell ref="B26:C26"/>
    <mergeCell ref="D26:G26"/>
    <mergeCell ref="A25:A26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C035-3E8E-408D-917B-4855F5933E66}">
  <sheetPr codeName="Sheet57">
    <tabColor rgb="FFFF0000"/>
    <pageSetUpPr fitToPage="1"/>
  </sheetPr>
  <dimension ref="A1:N51"/>
  <sheetViews>
    <sheetView zoomScale="110" zoomScaleNormal="110" workbookViewId="0">
      <selection activeCell="Q13" sqref="Q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478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54">
        <f t="shared" ref="M3" si="0">SUM(L3)+2.5</f>
        <v>47.5</v>
      </c>
      <c r="N3" s="56">
        <f>SUM(M3)+2.5</f>
        <v>50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/>
      <c r="I5" s="54"/>
      <c r="J5" s="55"/>
      <c r="K5" s="54"/>
      <c r="L5" s="54"/>
      <c r="M5" s="54"/>
      <c r="N5" s="56"/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27.5</v>
      </c>
      <c r="I7" s="54">
        <f>SUM(J7)-2.25</f>
        <v>29.75</v>
      </c>
      <c r="J7" s="55">
        <v>32</v>
      </c>
      <c r="K7" s="54">
        <f>SUM(J7)+2</f>
        <v>34</v>
      </c>
      <c r="L7" s="54">
        <f>SUM(K7)+2</f>
        <v>36</v>
      </c>
      <c r="M7" s="54">
        <f>SUM(L7)+2</f>
        <v>38</v>
      </c>
      <c r="N7" s="56">
        <f>SUM(M7)+2</f>
        <v>40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27.5</v>
      </c>
      <c r="I9" s="54">
        <f>SUM(J9)-2.25</f>
        <v>29.75</v>
      </c>
      <c r="J9" s="55">
        <v>32</v>
      </c>
      <c r="K9" s="54">
        <f>SUM(J9)+2</f>
        <v>34</v>
      </c>
      <c r="L9" s="54">
        <f>SUM(K9)+2</f>
        <v>36</v>
      </c>
      <c r="M9" s="54">
        <f>SUM(L9)+2</f>
        <v>38</v>
      </c>
      <c r="N9" s="56">
        <f>SUM(M9)+2</f>
        <v>40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13.499999999999998</v>
      </c>
      <c r="I11" s="60">
        <f>SUM(J11)-0.9</f>
        <v>14.299999999999999</v>
      </c>
      <c r="J11" s="132">
        <v>15.2</v>
      </c>
      <c r="K11" s="130">
        <f>SUM(J11)+0.8</f>
        <v>16</v>
      </c>
      <c r="L11" s="130">
        <f>SUM(K11)+0.9</f>
        <v>16.899999999999999</v>
      </c>
      <c r="M11" s="130">
        <f t="shared" ref="M11" si="1">SUM(L11)+0.8</f>
        <v>17.7</v>
      </c>
      <c r="N11" s="131">
        <f>SUM(M11)+0.9</f>
        <v>18.599999999999998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/>
      <c r="I13" s="54"/>
      <c r="J13" s="67"/>
      <c r="K13" s="68"/>
      <c r="L13" s="68"/>
      <c r="M13" s="68"/>
      <c r="N13" s="69"/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/>
      <c r="I15" s="54"/>
      <c r="J15" s="67"/>
      <c r="K15" s="68"/>
      <c r="L15" s="68"/>
      <c r="M15" s="68"/>
      <c r="N15" s="69"/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SUM(I17)-2.8</f>
        <v>48.400000000000006</v>
      </c>
      <c r="I17" s="54">
        <f>SUM(J17)-2.8</f>
        <v>51.2</v>
      </c>
      <c r="J17" s="67">
        <v>54</v>
      </c>
      <c r="K17" s="68">
        <f>SUM(J17)+2.7</f>
        <v>56.7</v>
      </c>
      <c r="L17" s="68">
        <f>SUM(K17)+2.7</f>
        <v>59.400000000000006</v>
      </c>
      <c r="M17" s="68">
        <f>SUM(L17)+2.7</f>
        <v>62.100000000000009</v>
      </c>
      <c r="N17" s="69">
        <f>SUM(M17)+2.7</f>
        <v>64.800000000000011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332</v>
      </c>
      <c r="C19" s="60"/>
      <c r="D19" s="61" t="s">
        <v>5</v>
      </c>
      <c r="E19" s="61"/>
      <c r="F19" s="61"/>
      <c r="G19" s="61"/>
      <c r="H19" s="54">
        <f>SUM(I19)-1.1</f>
        <v>12.3</v>
      </c>
      <c r="I19" s="54">
        <f>SUM(J19)-1.1</f>
        <v>13.4</v>
      </c>
      <c r="J19" s="55">
        <v>14.5</v>
      </c>
      <c r="K19" s="68">
        <f>SUM(J19)+1.2</f>
        <v>15.7</v>
      </c>
      <c r="L19" s="68">
        <f>SUM(K19)+1.2</f>
        <v>16.899999999999999</v>
      </c>
      <c r="M19" s="68">
        <f t="shared" ref="M19:N19" si="2">SUM(L19)+1.2</f>
        <v>18.099999999999998</v>
      </c>
      <c r="N19" s="69">
        <f t="shared" si="2"/>
        <v>19.299999999999997</v>
      </c>
    </row>
    <row r="20" spans="1:14" s="1" customFormat="1" ht="14.1" customHeight="1" x14ac:dyDescent="0.3">
      <c r="A20" s="48"/>
      <c r="B20" s="45" t="s">
        <v>333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335</v>
      </c>
      <c r="C21" s="60"/>
      <c r="D21" s="61" t="s">
        <v>5</v>
      </c>
      <c r="E21" s="61"/>
      <c r="F21" s="61"/>
      <c r="G21" s="61"/>
      <c r="H21" s="54">
        <f>SUM(I21)-1.1</f>
        <v>10.600000000000001</v>
      </c>
      <c r="I21" s="54">
        <f>SUM(J21)-1.1</f>
        <v>11.700000000000001</v>
      </c>
      <c r="J21" s="55">
        <v>12.8</v>
      </c>
      <c r="K21" s="68">
        <f>SUM(J21)+1.2</f>
        <v>14</v>
      </c>
      <c r="L21" s="68">
        <f>SUM(K21)+1.2</f>
        <v>15.2</v>
      </c>
      <c r="M21" s="68">
        <f t="shared" ref="M21" si="3">SUM(L21)+1.2</f>
        <v>16.399999999999999</v>
      </c>
      <c r="N21" s="69">
        <f t="shared" ref="N21" si="4">SUM(M21)+1.2</f>
        <v>17.599999999999998</v>
      </c>
    </row>
    <row r="22" spans="1:14" s="1" customFormat="1" ht="14.1" customHeight="1" x14ac:dyDescent="0.3">
      <c r="A22" s="48"/>
      <c r="B22" s="45" t="s">
        <v>479</v>
      </c>
      <c r="C22" s="45"/>
      <c r="D22" s="46" t="s">
        <v>48</v>
      </c>
      <c r="E22" s="47"/>
      <c r="F22" s="47"/>
      <c r="G22" s="59"/>
      <c r="H22" s="40"/>
      <c r="I22" s="40"/>
      <c r="J22" s="42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8"/>
      <c r="N23" s="69"/>
    </row>
    <row r="24" spans="1:14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SUM(I25)-1.2</f>
        <v>20.6</v>
      </c>
      <c r="I25" s="54">
        <f>SUM(J25)-1.2</f>
        <v>21.8</v>
      </c>
      <c r="J25" s="67">
        <v>23</v>
      </c>
      <c r="K25" s="68">
        <f>SUM(J25)+1.2</f>
        <v>24.2</v>
      </c>
      <c r="L25" s="68">
        <f>SUM(K25)+1.2</f>
        <v>25.4</v>
      </c>
      <c r="M25" s="68">
        <f>SUM(L25)+1.2</f>
        <v>26.599999999999998</v>
      </c>
      <c r="N25" s="69">
        <f>SUM(M25)+1.2</f>
        <v>27.799999999999997</v>
      </c>
    </row>
    <row r="26" spans="1:14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65" t="s">
        <v>480</v>
      </c>
      <c r="C27" s="66"/>
      <c r="D27" s="88"/>
      <c r="E27" s="89"/>
      <c r="F27" s="89"/>
      <c r="G27" s="90"/>
      <c r="H27" s="54">
        <f>SUM(I27)-0.6</f>
        <v>12.8</v>
      </c>
      <c r="I27" s="54">
        <f>SUM(J27)-0.6</f>
        <v>13.4</v>
      </c>
      <c r="J27" s="67">
        <v>14</v>
      </c>
      <c r="K27" s="68">
        <f>SUM(J27)+0.6</f>
        <v>14.6</v>
      </c>
      <c r="L27" s="68">
        <f>SUM(K27)+0.6</f>
        <v>15.2</v>
      </c>
      <c r="M27" s="68">
        <f>SUM(L27)+0.6</f>
        <v>15.799999999999999</v>
      </c>
      <c r="N27" s="69">
        <f>SUM(M27)+0.6</f>
        <v>16.399999999999999</v>
      </c>
    </row>
    <row r="28" spans="1:14" s="1" customFormat="1" ht="14.1" customHeight="1" x14ac:dyDescent="0.3">
      <c r="A28" s="48"/>
      <c r="B28" s="57" t="s">
        <v>481</v>
      </c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69"/>
    </row>
    <row r="29" spans="1:14" s="1" customFormat="1" ht="14.1" customHeight="1" x14ac:dyDescent="0.3">
      <c r="A29" s="48">
        <v>14</v>
      </c>
      <c r="B29" s="65" t="s">
        <v>134</v>
      </c>
      <c r="C29" s="66"/>
      <c r="D29" s="88" t="s">
        <v>83</v>
      </c>
      <c r="E29" s="89"/>
      <c r="F29" s="89"/>
      <c r="G29" s="90"/>
      <c r="H29" s="54">
        <f>SUM(I29)-0.4</f>
        <v>4.6999999999999993</v>
      </c>
      <c r="I29" s="54">
        <f>SUM(J29)-0.4</f>
        <v>5.0999999999999996</v>
      </c>
      <c r="J29" s="67">
        <v>5.5</v>
      </c>
      <c r="K29" s="68">
        <f>SUM(J29)+0.4</f>
        <v>5.9</v>
      </c>
      <c r="L29" s="68">
        <f>SUM(K29)+0.4</f>
        <v>6.3000000000000007</v>
      </c>
      <c r="M29" s="68">
        <f>SUM(L29)+0.4</f>
        <v>6.7000000000000011</v>
      </c>
      <c r="N29" s="69">
        <f>SUM(M29)+0.4</f>
        <v>7.1000000000000014</v>
      </c>
    </row>
    <row r="30" spans="1:14" s="1" customFormat="1" ht="14.1" customHeight="1" x14ac:dyDescent="0.3">
      <c r="A30" s="48"/>
      <c r="B30" s="57" t="s">
        <v>142</v>
      </c>
      <c r="C30" s="58"/>
      <c r="D30" s="46" t="s">
        <v>84</v>
      </c>
      <c r="E30" s="47"/>
      <c r="F30" s="47"/>
      <c r="G30" s="59"/>
      <c r="H30" s="40"/>
      <c r="I30" s="40"/>
      <c r="J30" s="67"/>
      <c r="K30" s="68"/>
      <c r="L30" s="68"/>
      <c r="M30" s="68"/>
      <c r="N30" s="69"/>
    </row>
    <row r="31" spans="1:14" ht="14.1" customHeight="1" x14ac:dyDescent="0.3">
      <c r="A31" s="48">
        <v>15</v>
      </c>
      <c r="B31" s="79"/>
      <c r="C31" s="80"/>
      <c r="D31" s="133"/>
      <c r="E31" s="134"/>
      <c r="F31" s="134"/>
      <c r="G31" s="135"/>
      <c r="H31" s="81"/>
      <c r="I31" s="81"/>
      <c r="J31" s="42"/>
      <c r="K31" s="40"/>
      <c r="L31" s="40"/>
      <c r="M31" s="264"/>
      <c r="N31" s="143"/>
    </row>
    <row r="32" spans="1:14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271"/>
      <c r="N32" s="272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83"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3CD-6164-4CF2-AA67-E911ED8F80B7}">
  <sheetPr codeName="Sheet58">
    <tabColor rgb="FFFF0000"/>
    <pageSetUpPr fitToPage="1"/>
  </sheetPr>
  <dimension ref="A1:M51"/>
  <sheetViews>
    <sheetView zoomScale="110" zoomScaleNormal="110" workbookViewId="0">
      <selection activeCell="A25" sqref="A25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34.9</v>
      </c>
      <c r="I3" s="54">
        <f>SUM(J3)-3.5</f>
        <v>38.4</v>
      </c>
      <c r="J3" s="55">
        <v>41.9</v>
      </c>
      <c r="K3" s="54">
        <f>SUM(J3)+3</f>
        <v>44.9</v>
      </c>
      <c r="L3" s="54">
        <f t="shared" ref="L3:M3" si="0">SUM(K3)+3</f>
        <v>47.9</v>
      </c>
      <c r="M3" s="56">
        <f t="shared" si="0"/>
        <v>50.9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29</v>
      </c>
      <c r="I5" s="54">
        <f>SUM(J5)-2</f>
        <v>31</v>
      </c>
      <c r="J5" s="55">
        <v>33</v>
      </c>
      <c r="K5" s="54">
        <f>SUM(J5)+1.8</f>
        <v>34.799999999999997</v>
      </c>
      <c r="L5" s="54">
        <f t="shared" ref="L5:M5" si="1">SUM(K5)+1.8</f>
        <v>36.599999999999994</v>
      </c>
      <c r="M5" s="56">
        <f t="shared" si="1"/>
        <v>38.399999999999991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32.5</v>
      </c>
      <c r="I7" s="54">
        <f>SUM(J7)-2.25</f>
        <v>34.75</v>
      </c>
      <c r="J7" s="55">
        <v>37</v>
      </c>
      <c r="K7" s="54">
        <f>SUM(J7)+2</f>
        <v>39</v>
      </c>
      <c r="L7" s="54">
        <f t="shared" ref="L7:M7" si="2">SUM(K7)+2</f>
        <v>41</v>
      </c>
      <c r="M7" s="56">
        <f t="shared" si="2"/>
        <v>43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32.5</v>
      </c>
      <c r="I9" s="54">
        <f>SUM(J9)-2.25</f>
        <v>34.75</v>
      </c>
      <c r="J9" s="55">
        <v>37</v>
      </c>
      <c r="K9" s="54">
        <f>SUM(J9)+2</f>
        <v>39</v>
      </c>
      <c r="L9" s="54">
        <f t="shared" ref="L9:M9" si="3">SUM(K9)+2</f>
        <v>41</v>
      </c>
      <c r="M9" s="56">
        <f t="shared" si="3"/>
        <v>43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12.799999999999999</v>
      </c>
      <c r="I11" s="60">
        <f>SUM(J11)-0.8</f>
        <v>13.7</v>
      </c>
      <c r="J11" s="132">
        <v>14.5</v>
      </c>
      <c r="K11" s="130">
        <f>SUM(J11)+0.8</f>
        <v>15.3</v>
      </c>
      <c r="L11" s="130">
        <f t="shared" ref="L11:M11" si="4">SUM(K11)+0.8</f>
        <v>16.100000000000001</v>
      </c>
      <c r="M11" s="131">
        <f t="shared" si="4"/>
        <v>16.900000000000002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15.799999999999999</v>
      </c>
      <c r="I13" s="60">
        <f>SUM(J13)-0.6</f>
        <v>16.399999999999999</v>
      </c>
      <c r="J13" s="67">
        <v>17</v>
      </c>
      <c r="K13" s="130">
        <f>SUM(J13)+0.6</f>
        <v>17.600000000000001</v>
      </c>
      <c r="L13" s="130">
        <f t="shared" ref="L13:M13" si="5">SUM(K13)+0.6</f>
        <v>18.200000000000003</v>
      </c>
      <c r="M13" s="131">
        <f t="shared" si="5"/>
        <v>18.800000000000004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7.2</v>
      </c>
      <c r="I15" s="54">
        <f>SUM(J15)-0.3</f>
        <v>7.5</v>
      </c>
      <c r="J15" s="67">
        <v>7.8</v>
      </c>
      <c r="K15" s="68">
        <f>SUM(J15)+0.3</f>
        <v>8.1</v>
      </c>
      <c r="L15" s="68">
        <f t="shared" ref="L15:M15" si="6">SUM(K15)+0.3</f>
        <v>8.4</v>
      </c>
      <c r="M15" s="69">
        <f t="shared" si="6"/>
        <v>8.7000000000000011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42.8</v>
      </c>
      <c r="I17" s="54">
        <f>SUM(J17)-1.6</f>
        <v>44.4</v>
      </c>
      <c r="J17" s="67">
        <v>46</v>
      </c>
      <c r="K17" s="68">
        <f>SUM(J17)+1.6</f>
        <v>47.6</v>
      </c>
      <c r="L17" s="68">
        <f t="shared" ref="L17:M17" si="7">SUM(K17)+1.6</f>
        <v>49.2</v>
      </c>
      <c r="M17" s="69">
        <f t="shared" si="7"/>
        <v>50.800000000000004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10.5</v>
      </c>
      <c r="I19" s="54">
        <f>SUM(J19)-1</f>
        <v>11.5</v>
      </c>
      <c r="J19" s="67">
        <v>12.5</v>
      </c>
      <c r="K19" s="68">
        <f>SUM(J19)+1.1</f>
        <v>13.6</v>
      </c>
      <c r="L19" s="68">
        <f t="shared" ref="L19:M19" si="8">SUM(K19)+1.1</f>
        <v>14.7</v>
      </c>
      <c r="M19" s="69">
        <f t="shared" si="8"/>
        <v>15.799999999999999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22.6</v>
      </c>
      <c r="I23" s="54">
        <f>SUM(J23)-1.2</f>
        <v>23.8</v>
      </c>
      <c r="J23" s="67">
        <v>25</v>
      </c>
      <c r="K23" s="68">
        <f>SUM(J23)+1.2</f>
        <v>26.2</v>
      </c>
      <c r="L23" s="68">
        <f>SUM(K23)+1.2</f>
        <v>27.4</v>
      </c>
      <c r="M23" s="69">
        <f t="shared" ref="M23" si="9">SUM(L23)+1.2</f>
        <v>28.599999999999998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79" t="s">
        <v>134</v>
      </c>
      <c r="C25" s="80"/>
      <c r="D25" s="88"/>
      <c r="E25" s="89"/>
      <c r="F25" s="89"/>
      <c r="G25" s="90"/>
      <c r="H25" s="54">
        <f>SUM(I25)-0.6</f>
        <v>9.2000000000000011</v>
      </c>
      <c r="I25" s="54">
        <f>SUM(J25)-0.6</f>
        <v>9.8000000000000007</v>
      </c>
      <c r="J25" s="67">
        <v>10.4</v>
      </c>
      <c r="K25" s="68">
        <f>SUM(J25)+0.6</f>
        <v>11</v>
      </c>
      <c r="L25" s="68">
        <f t="shared" ref="L25:M25" si="10">SUM(K25)+0.6</f>
        <v>11.6</v>
      </c>
      <c r="M25" s="69">
        <f t="shared" si="10"/>
        <v>12.2</v>
      </c>
    </row>
    <row r="26" spans="1:13" s="1" customFormat="1" ht="14.1" customHeight="1" x14ac:dyDescent="0.3">
      <c r="A26" s="48"/>
      <c r="B26" s="79" t="s">
        <v>142</v>
      </c>
      <c r="C26" s="80"/>
      <c r="D26" s="46" t="s">
        <v>354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 t="s">
        <v>135</v>
      </c>
      <c r="C27" s="66"/>
      <c r="D27" s="88"/>
      <c r="E27" s="89"/>
      <c r="F27" s="89"/>
      <c r="G27" s="90"/>
      <c r="H27" s="54">
        <f>SUM(I27)-0.2</f>
        <v>2.0999999999999996</v>
      </c>
      <c r="I27" s="54">
        <f>SUM(J27)-0.2</f>
        <v>2.2999999999999998</v>
      </c>
      <c r="J27" s="67">
        <v>2.5</v>
      </c>
      <c r="K27" s="68">
        <f>SUM(J27)+0.2</f>
        <v>2.7</v>
      </c>
      <c r="L27" s="68">
        <f t="shared" ref="L27:M27" si="11">SUM(K27)+0.2</f>
        <v>2.9000000000000004</v>
      </c>
      <c r="M27" s="69">
        <f t="shared" si="11"/>
        <v>3.1000000000000005</v>
      </c>
    </row>
    <row r="28" spans="1:13" s="1" customFormat="1" ht="14.1" customHeight="1" x14ac:dyDescent="0.3">
      <c r="A28" s="48"/>
      <c r="B28" s="57" t="s">
        <v>143</v>
      </c>
      <c r="C28" s="58"/>
      <c r="D28" s="46" t="s">
        <v>353</v>
      </c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4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D27:G27"/>
    <mergeCell ref="H27:H28"/>
    <mergeCell ref="I27:I28"/>
    <mergeCell ref="J27:J28"/>
    <mergeCell ref="A29:A30"/>
    <mergeCell ref="B29:C29"/>
    <mergeCell ref="D29:G29"/>
    <mergeCell ref="H29:H30"/>
    <mergeCell ref="I29:I30"/>
    <mergeCell ref="A27:A28"/>
    <mergeCell ref="B27:C27"/>
    <mergeCell ref="J29:J30"/>
    <mergeCell ref="K29:K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7A6E-A83E-4DA0-A114-94773836B8A1}">
  <sheetPr codeName="Sheet59">
    <tabColor rgb="FFFF0000"/>
    <pageSetUpPr fitToPage="1"/>
  </sheetPr>
  <dimension ref="A1:N51"/>
  <sheetViews>
    <sheetView zoomScale="110" zoomScaleNormal="110" workbookViewId="0">
      <selection activeCell="H21" sqref="H21:M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368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M3" si="0">SUM(K3)+3</f>
        <v>48</v>
      </c>
      <c r="M3" s="56">
        <f t="shared" si="0"/>
        <v>51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24</v>
      </c>
      <c r="I5" s="54">
        <f>SUM(J5)-2</f>
        <v>26</v>
      </c>
      <c r="J5" s="55">
        <v>28</v>
      </c>
      <c r="K5" s="54">
        <f>SUM(J5)+2</f>
        <v>30</v>
      </c>
      <c r="L5" s="54">
        <f t="shared" ref="L5:M5" si="1">SUM(K5)+2</f>
        <v>32</v>
      </c>
      <c r="M5" s="56">
        <f t="shared" si="1"/>
        <v>34</v>
      </c>
    </row>
    <row r="6" spans="1:13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>SUM(K7)+1.8</f>
        <v>38.799999999999997</v>
      </c>
      <c r="M7" s="56">
        <f t="shared" ref="M7" si="2">SUM(L7)+1.8</f>
        <v>40.599999999999994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31.5</v>
      </c>
      <c r="I9" s="54">
        <f>SUM(J9)-2.25</f>
        <v>33.75</v>
      </c>
      <c r="J9" s="55">
        <v>36</v>
      </c>
      <c r="K9" s="54">
        <f>SUM(J9)+2</f>
        <v>38</v>
      </c>
      <c r="L9" s="54">
        <f t="shared" ref="L9:M9" si="3">SUM(K9)+2</f>
        <v>40</v>
      </c>
      <c r="M9" s="56">
        <f t="shared" si="3"/>
        <v>42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1"/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14.3</v>
      </c>
      <c r="I13" s="54">
        <f>SUM(J13)-0.6</f>
        <v>14.9</v>
      </c>
      <c r="J13" s="67">
        <v>15.5</v>
      </c>
      <c r="K13" s="68">
        <f>SUM(J13)+0.6</f>
        <v>16.100000000000001</v>
      </c>
      <c r="L13" s="68">
        <f>SUM(K13)+0.6</f>
        <v>16.700000000000003</v>
      </c>
      <c r="M13" s="69">
        <f t="shared" ref="M13" si="4">SUM(L13)+0.6</f>
        <v>17.300000000000004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5.7</v>
      </c>
      <c r="I15" s="54">
        <f>SUM(J15)-0.3</f>
        <v>6</v>
      </c>
      <c r="J15" s="67">
        <v>6.3</v>
      </c>
      <c r="K15" s="68">
        <f>SUM(J15)+0.3</f>
        <v>6.6</v>
      </c>
      <c r="L15" s="68">
        <f>SUM(K15)+0.3</f>
        <v>6.8999999999999995</v>
      </c>
      <c r="M15" s="69">
        <f t="shared" ref="M15" si="5">SUM(L15)+0.3</f>
        <v>7.1999999999999993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9">
        <f t="shared" ref="M17" si="6">SUM(L17)+1.6</f>
        <v>47.800000000000004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24.6</v>
      </c>
      <c r="I23" s="54">
        <f>SUM(J23)-1.2</f>
        <v>25.8</v>
      </c>
      <c r="J23" s="67">
        <v>27</v>
      </c>
      <c r="K23" s="68">
        <f>SUM(J23)+1.2</f>
        <v>28.2</v>
      </c>
      <c r="L23" s="68">
        <f t="shared" ref="L23:M23" si="7">SUM(K23)+1.2</f>
        <v>29.4</v>
      </c>
      <c r="M23" s="69">
        <f t="shared" si="7"/>
        <v>30.599999999999998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SUM(I25)-0.2</f>
        <v>1.6</v>
      </c>
      <c r="I25" s="54">
        <f>SUM(J25)-0.2</f>
        <v>1.8</v>
      </c>
      <c r="J25" s="67">
        <v>2</v>
      </c>
      <c r="K25" s="68">
        <f>SUM(J25)+0.2</f>
        <v>2.2000000000000002</v>
      </c>
      <c r="L25" s="68">
        <f t="shared" ref="L25:M25" si="8">SUM(K25)+0.2</f>
        <v>2.4000000000000004</v>
      </c>
      <c r="M25" s="69">
        <f t="shared" si="8"/>
        <v>2.6000000000000005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4155-B6AD-4FB1-851B-6A8609820C9B}">
  <sheetPr codeName="Sheet60">
    <tabColor rgb="FFFF0000"/>
    <pageSetUpPr fitToPage="1"/>
  </sheetPr>
  <dimension ref="A1:N51"/>
  <sheetViews>
    <sheetView zoomScale="110" zoomScaleNormal="110" workbookViewId="0">
      <selection sqref="A1:M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405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M3" si="0">SUM(K3)+3</f>
        <v>48</v>
      </c>
      <c r="M3" s="56">
        <f t="shared" si="0"/>
        <v>51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22</v>
      </c>
      <c r="I5" s="54">
        <f>SUM(J5)-2</f>
        <v>24</v>
      </c>
      <c r="J5" s="55">
        <v>26</v>
      </c>
      <c r="K5" s="54">
        <f>SUM(J5)+2</f>
        <v>28</v>
      </c>
      <c r="L5" s="54">
        <f t="shared" ref="L5:M5" si="1">SUM(K5)+2</f>
        <v>30</v>
      </c>
      <c r="M5" s="56">
        <f t="shared" si="1"/>
        <v>32</v>
      </c>
    </row>
    <row r="6" spans="1:13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28</v>
      </c>
      <c r="I7" s="54">
        <f>SUM(J7)-2</f>
        <v>30</v>
      </c>
      <c r="J7" s="55">
        <v>32</v>
      </c>
      <c r="K7" s="54">
        <f>SUM(J7)+1.8</f>
        <v>33.799999999999997</v>
      </c>
      <c r="L7" s="54">
        <f t="shared" ref="L7:M7" si="2">SUM(K7)+1.8</f>
        <v>35.599999999999994</v>
      </c>
      <c r="M7" s="56">
        <f t="shared" si="2"/>
        <v>37.399999999999991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28</v>
      </c>
      <c r="I9" s="54">
        <f>SUM(J9)-2</f>
        <v>30</v>
      </c>
      <c r="J9" s="55">
        <v>32</v>
      </c>
      <c r="K9" s="54">
        <f>SUM(J9)+1.8</f>
        <v>33.799999999999997</v>
      </c>
      <c r="L9" s="54">
        <f t="shared" ref="L9:M9" si="3">SUM(K9)+1.8</f>
        <v>35.599999999999994</v>
      </c>
      <c r="M9" s="56">
        <f t="shared" si="3"/>
        <v>37.399999999999991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1"/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15.100000000000001</v>
      </c>
      <c r="I13" s="54">
        <f>SUM(J13)-0.6</f>
        <v>15.700000000000001</v>
      </c>
      <c r="J13" s="67">
        <v>16.3</v>
      </c>
      <c r="K13" s="68">
        <f>SUM(J13)+0.6</f>
        <v>16.900000000000002</v>
      </c>
      <c r="L13" s="68">
        <f>SUM(K13)+0.6</f>
        <v>17.500000000000004</v>
      </c>
      <c r="M13" s="69">
        <f t="shared" ref="M13" si="4">SUM(L13)+0.6</f>
        <v>18.100000000000005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5.6000000000000005</v>
      </c>
      <c r="I15" s="54">
        <f>SUM(J15)-0.3</f>
        <v>5.9</v>
      </c>
      <c r="J15" s="67">
        <v>6.2</v>
      </c>
      <c r="K15" s="68">
        <f>SUM(J15)+0.3</f>
        <v>6.5</v>
      </c>
      <c r="L15" s="68">
        <f>SUM(K15)+0.3</f>
        <v>6.8</v>
      </c>
      <c r="M15" s="69">
        <f t="shared" ref="M15" si="5">SUM(L15)+0.3</f>
        <v>7.1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40.799999999999997</v>
      </c>
      <c r="I17" s="54">
        <f>SUM(J17)-1.6</f>
        <v>42.4</v>
      </c>
      <c r="J17" s="67">
        <v>44</v>
      </c>
      <c r="K17" s="68">
        <f>SUM(J17)+1.6</f>
        <v>45.6</v>
      </c>
      <c r="L17" s="68">
        <f>SUM(K17)+1.6</f>
        <v>47.2</v>
      </c>
      <c r="M17" s="69">
        <f t="shared" ref="M17" si="6">SUM(L17)+1.6</f>
        <v>48.800000000000004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22.200000000000003</v>
      </c>
      <c r="I23" s="54">
        <f>SUM(J23)-1.4</f>
        <v>23.6</v>
      </c>
      <c r="J23" s="67">
        <v>25</v>
      </c>
      <c r="K23" s="68">
        <f>SUM(J23)+1.4</f>
        <v>26.4</v>
      </c>
      <c r="L23" s="68">
        <f t="shared" ref="L23:M23" si="7">SUM(K23)+1.4</f>
        <v>27.799999999999997</v>
      </c>
      <c r="M23" s="69">
        <f t="shared" si="7"/>
        <v>29.199999999999996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2.9000000000000004</v>
      </c>
      <c r="I25" s="54">
        <f>SUM(J25)-0.3</f>
        <v>3.2</v>
      </c>
      <c r="J25" s="67">
        <v>3.5</v>
      </c>
      <c r="K25" s="68">
        <f>SUM(J25)+0.3</f>
        <v>3.8</v>
      </c>
      <c r="L25" s="68">
        <f t="shared" ref="L25:M25" si="8">SUM(K25)+0.3</f>
        <v>4.0999999999999996</v>
      </c>
      <c r="M25" s="69">
        <f t="shared" si="8"/>
        <v>4.3999999999999995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BAD9-FD8D-41D6-A706-BC43E2925041}">
  <sheetPr codeName="Sheet61">
    <tabColor rgb="FFFF0000"/>
    <pageSetUpPr fitToPage="1"/>
  </sheetPr>
  <dimension ref="A1:N51"/>
  <sheetViews>
    <sheetView zoomScale="110" zoomScaleNormal="110" workbookViewId="0">
      <selection activeCell="B13" sqref="B13:G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204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51" t="s">
        <v>208</v>
      </c>
      <c r="E3" s="52"/>
      <c r="F3" s="52"/>
      <c r="G3" s="53"/>
      <c r="H3" s="54">
        <f>SUM(I3)-2.4</f>
        <v>22.700000000000003</v>
      </c>
      <c r="I3" s="54">
        <f>SUM(J3)-2.4</f>
        <v>25.1</v>
      </c>
      <c r="J3" s="55">
        <v>27.5</v>
      </c>
      <c r="K3" s="54">
        <f>SUM(J3)+1.9</f>
        <v>29.4</v>
      </c>
      <c r="L3" s="54">
        <f t="shared" ref="L3:N3" si="0">SUM(K3)+1.9</f>
        <v>31.299999999999997</v>
      </c>
      <c r="M3" s="54">
        <f t="shared" si="0"/>
        <v>33.199999999999996</v>
      </c>
      <c r="N3" s="56">
        <f t="shared" si="0"/>
        <v>35.099999999999994</v>
      </c>
    </row>
    <row r="4" spans="1:14" s="1" customFormat="1" ht="14.1" customHeight="1" x14ac:dyDescent="0.3">
      <c r="A4" s="35"/>
      <c r="B4" s="45" t="s">
        <v>205</v>
      </c>
      <c r="C4" s="45"/>
      <c r="D4" s="46" t="s">
        <v>209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103">
        <v>2</v>
      </c>
      <c r="B5" s="105" t="s">
        <v>39</v>
      </c>
      <c r="C5" s="105"/>
      <c r="D5" s="51" t="s">
        <v>105</v>
      </c>
      <c r="E5" s="52"/>
      <c r="F5" s="52"/>
      <c r="G5" s="53"/>
      <c r="H5" s="54">
        <f>SUM(I5)-2.4</f>
        <v>23.200000000000003</v>
      </c>
      <c r="I5" s="54">
        <f>SUM(J5)-2.4</f>
        <v>25.6</v>
      </c>
      <c r="J5" s="55">
        <v>28</v>
      </c>
      <c r="K5" s="54">
        <f>SUM(J5)+1.9</f>
        <v>29.9</v>
      </c>
      <c r="L5" s="54">
        <f t="shared" ref="L5:N5" si="1">SUM(K5)+1.9</f>
        <v>31.799999999999997</v>
      </c>
      <c r="M5" s="54">
        <f t="shared" si="1"/>
        <v>33.699999999999996</v>
      </c>
      <c r="N5" s="56">
        <f t="shared" si="1"/>
        <v>35.599999999999994</v>
      </c>
    </row>
    <row r="6" spans="1:14" s="1" customFormat="1" ht="14.1" customHeight="1" x14ac:dyDescent="0.3">
      <c r="A6" s="35"/>
      <c r="B6" s="45" t="s">
        <v>206</v>
      </c>
      <c r="C6" s="45"/>
      <c r="D6" s="46" t="s">
        <v>207</v>
      </c>
      <c r="E6" s="47"/>
      <c r="F6" s="47"/>
      <c r="G6" s="47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103">
        <v>3</v>
      </c>
      <c r="B7" s="60" t="s">
        <v>210</v>
      </c>
      <c r="C7" s="60"/>
      <c r="D7" s="61"/>
      <c r="E7" s="61"/>
      <c r="F7" s="61"/>
      <c r="G7" s="61"/>
      <c r="H7" s="54">
        <f>SUM(I7)-1</f>
        <v>12</v>
      </c>
      <c r="I7" s="54">
        <f>SUM(J7)-1</f>
        <v>13</v>
      </c>
      <c r="J7" s="55">
        <v>14</v>
      </c>
      <c r="K7" s="54">
        <f>SUM(J7)+1</f>
        <v>15</v>
      </c>
      <c r="L7" s="54">
        <f t="shared" ref="L7:N7" si="2">SUM(K7)+1</f>
        <v>16</v>
      </c>
      <c r="M7" s="54">
        <f t="shared" si="2"/>
        <v>17</v>
      </c>
      <c r="N7" s="56">
        <f t="shared" si="2"/>
        <v>18</v>
      </c>
    </row>
    <row r="8" spans="1:14" s="1" customFormat="1" ht="14.1" customHeight="1" x14ac:dyDescent="0.3">
      <c r="A8" s="35"/>
      <c r="B8" s="45" t="s">
        <v>188</v>
      </c>
      <c r="C8" s="45"/>
      <c r="D8" s="46"/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103">
        <v>4</v>
      </c>
      <c r="B9" s="60" t="s">
        <v>35</v>
      </c>
      <c r="C9" s="60"/>
      <c r="D9" s="61" t="s">
        <v>72</v>
      </c>
      <c r="E9" s="61"/>
      <c r="F9" s="61"/>
      <c r="G9" s="61"/>
      <c r="H9" s="54">
        <f>SUM(I9)-2</f>
        <v>26</v>
      </c>
      <c r="I9" s="54">
        <f>SUM(J9)-2</f>
        <v>28</v>
      </c>
      <c r="J9" s="55">
        <v>30</v>
      </c>
      <c r="K9" s="54">
        <f>SUM(J9)+1.8</f>
        <v>31.8</v>
      </c>
      <c r="L9" s="54">
        <f t="shared" ref="L9:N9" si="3">SUM(K9)+1.8</f>
        <v>33.6</v>
      </c>
      <c r="M9" s="54">
        <f t="shared" si="3"/>
        <v>35.4</v>
      </c>
      <c r="N9" s="56">
        <f t="shared" si="3"/>
        <v>37.199999999999996</v>
      </c>
    </row>
    <row r="10" spans="1:14" s="1" customFormat="1" ht="14.1" customHeight="1" x14ac:dyDescent="0.3">
      <c r="A10" s="35"/>
      <c r="B10" s="45" t="s">
        <v>40</v>
      </c>
      <c r="C10" s="45"/>
      <c r="D10" s="46" t="s">
        <v>43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103">
        <v>5</v>
      </c>
      <c r="B11" s="60" t="s">
        <v>41</v>
      </c>
      <c r="C11" s="60"/>
      <c r="D11" s="61" t="s">
        <v>8</v>
      </c>
      <c r="E11" s="61"/>
      <c r="F11" s="61"/>
      <c r="G11" s="61"/>
      <c r="H11" s="54">
        <f>SUM(I11)-2</f>
        <v>26</v>
      </c>
      <c r="I11" s="54">
        <f>SUM(J11)-2</f>
        <v>28</v>
      </c>
      <c r="J11" s="55">
        <v>30</v>
      </c>
      <c r="K11" s="54">
        <f>SUM(J11)+1.8</f>
        <v>31.8</v>
      </c>
      <c r="L11" s="54">
        <f t="shared" ref="L11:N11" si="4">SUM(K11)+1.8</f>
        <v>33.6</v>
      </c>
      <c r="M11" s="54">
        <f t="shared" si="4"/>
        <v>35.4</v>
      </c>
      <c r="N11" s="56">
        <f t="shared" si="4"/>
        <v>37.199999999999996</v>
      </c>
    </row>
    <row r="12" spans="1:14" s="1" customFormat="1" ht="14.1" customHeight="1" x14ac:dyDescent="0.3">
      <c r="A12" s="35"/>
      <c r="B12" s="45" t="s">
        <v>25</v>
      </c>
      <c r="C12" s="45"/>
      <c r="D12" s="46" t="s">
        <v>44</v>
      </c>
      <c r="E12" s="47"/>
      <c r="F12" s="47"/>
      <c r="G12" s="59"/>
      <c r="H12" s="40"/>
      <c r="I12" s="40"/>
      <c r="J12" s="42"/>
      <c r="K12" s="40"/>
      <c r="L12" s="40"/>
      <c r="M12" s="40"/>
      <c r="N12" s="44"/>
    </row>
    <row r="13" spans="1:14" s="1" customFormat="1" ht="14.1" customHeight="1" x14ac:dyDescent="0.3">
      <c r="A13" s="103">
        <v>6</v>
      </c>
      <c r="B13" s="65" t="s">
        <v>211</v>
      </c>
      <c r="C13" s="66"/>
      <c r="D13" s="62"/>
      <c r="E13" s="63"/>
      <c r="F13" s="63"/>
      <c r="G13" s="64"/>
      <c r="H13" s="54">
        <f>SUM(I13)-1</f>
        <v>14</v>
      </c>
      <c r="I13" s="54">
        <f>SUM(J13)-1</f>
        <v>15</v>
      </c>
      <c r="J13" s="67">
        <v>16</v>
      </c>
      <c r="K13" s="54">
        <f>SUM(J13)+1</f>
        <v>17</v>
      </c>
      <c r="L13" s="54">
        <f t="shared" ref="L13:N13" si="5">SUM(K13)+1</f>
        <v>18</v>
      </c>
      <c r="M13" s="54">
        <f t="shared" si="5"/>
        <v>19</v>
      </c>
      <c r="N13" s="56">
        <f t="shared" si="5"/>
        <v>20</v>
      </c>
    </row>
    <row r="14" spans="1:14" s="1" customFormat="1" ht="14.1" customHeight="1" x14ac:dyDescent="0.3">
      <c r="A14" s="35"/>
      <c r="B14" s="45" t="s">
        <v>212</v>
      </c>
      <c r="C14" s="45"/>
      <c r="D14" s="46" t="s">
        <v>213</v>
      </c>
      <c r="E14" s="47"/>
      <c r="F14" s="47"/>
      <c r="G14" s="59"/>
      <c r="H14" s="40"/>
      <c r="I14" s="40"/>
      <c r="J14" s="67"/>
      <c r="K14" s="40"/>
      <c r="L14" s="40"/>
      <c r="M14" s="40"/>
      <c r="N14" s="44"/>
    </row>
    <row r="15" spans="1:14" s="1" customFormat="1" ht="14.1" customHeight="1" x14ac:dyDescent="0.3">
      <c r="A15" s="103">
        <v>7</v>
      </c>
      <c r="B15" s="60" t="s">
        <v>10</v>
      </c>
      <c r="C15" s="60"/>
      <c r="D15" s="61" t="s">
        <v>0</v>
      </c>
      <c r="E15" s="61"/>
      <c r="F15" s="61"/>
      <c r="G15" s="61"/>
      <c r="H15" s="60"/>
      <c r="I15" s="60"/>
      <c r="J15" s="132"/>
      <c r="K15" s="130"/>
      <c r="L15" s="130"/>
      <c r="M15" s="130"/>
      <c r="N15" s="131"/>
    </row>
    <row r="16" spans="1:14" s="1" customFormat="1" ht="14.1" customHeight="1" x14ac:dyDescent="0.3">
      <c r="A16" s="35"/>
      <c r="B16" s="45" t="s">
        <v>26</v>
      </c>
      <c r="C16" s="45"/>
      <c r="D16" s="46" t="s">
        <v>45</v>
      </c>
      <c r="E16" s="47"/>
      <c r="F16" s="47"/>
      <c r="G16" s="59"/>
      <c r="H16" s="45"/>
      <c r="I16" s="45"/>
      <c r="J16" s="132"/>
      <c r="K16" s="130"/>
      <c r="L16" s="130"/>
      <c r="M16" s="130"/>
      <c r="N16" s="131"/>
    </row>
    <row r="17" spans="1:14" s="1" customFormat="1" ht="14.1" customHeight="1" x14ac:dyDescent="0.3">
      <c r="A17" s="103">
        <v>8</v>
      </c>
      <c r="B17" s="60" t="s">
        <v>1</v>
      </c>
      <c r="C17" s="60"/>
      <c r="D17" s="61" t="s">
        <v>163</v>
      </c>
      <c r="E17" s="61"/>
      <c r="F17" s="61"/>
      <c r="G17" s="61"/>
      <c r="H17" s="54"/>
      <c r="I17" s="54"/>
      <c r="J17" s="67"/>
      <c r="K17" s="68"/>
      <c r="L17" s="68"/>
      <c r="M17" s="68"/>
      <c r="N17" s="69"/>
    </row>
    <row r="18" spans="1:14" s="1" customFormat="1" ht="14.1" customHeight="1" x14ac:dyDescent="0.3">
      <c r="A18" s="35"/>
      <c r="B18" s="45" t="s">
        <v>27</v>
      </c>
      <c r="C18" s="45"/>
      <c r="D18" s="46" t="s">
        <v>124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103">
        <v>9</v>
      </c>
      <c r="B19" s="60" t="s">
        <v>2</v>
      </c>
      <c r="C19" s="60"/>
      <c r="D19" s="61" t="s">
        <v>3</v>
      </c>
      <c r="E19" s="61"/>
      <c r="F19" s="61"/>
      <c r="G19" s="61"/>
      <c r="H19" s="54"/>
      <c r="I19" s="54"/>
      <c r="J19" s="67"/>
      <c r="K19" s="68"/>
      <c r="L19" s="68"/>
      <c r="M19" s="68"/>
      <c r="N19" s="69"/>
    </row>
    <row r="20" spans="1:14" s="1" customFormat="1" ht="14.1" customHeight="1" x14ac:dyDescent="0.3">
      <c r="A20" s="35"/>
      <c r="B20" s="45" t="s">
        <v>28</v>
      </c>
      <c r="C20" s="45"/>
      <c r="D20" s="46" t="s">
        <v>125</v>
      </c>
      <c r="E20" s="47"/>
      <c r="F20" s="47"/>
      <c r="G20" s="59"/>
      <c r="H20" s="40"/>
      <c r="I20" s="40"/>
      <c r="J20" s="67"/>
      <c r="K20" s="68"/>
      <c r="L20" s="68"/>
      <c r="M20" s="68"/>
      <c r="N20" s="69"/>
    </row>
    <row r="21" spans="1:14" s="1" customFormat="1" ht="14.1" customHeight="1" x14ac:dyDescent="0.3">
      <c r="A21" s="103">
        <v>10</v>
      </c>
      <c r="B21" s="65" t="s">
        <v>73</v>
      </c>
      <c r="C21" s="66"/>
      <c r="D21" s="62" t="s">
        <v>74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35"/>
      <c r="B22" s="45" t="s">
        <v>33</v>
      </c>
      <c r="C22" s="45"/>
      <c r="D22" s="46" t="s">
        <v>126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103">
        <v>11</v>
      </c>
      <c r="B23" s="60" t="s">
        <v>4</v>
      </c>
      <c r="C23" s="60"/>
      <c r="D23" s="61" t="s">
        <v>5</v>
      </c>
      <c r="E23" s="61"/>
      <c r="F23" s="61"/>
      <c r="G23" s="61"/>
      <c r="H23" s="54"/>
      <c r="I23" s="54"/>
      <c r="J23" s="55"/>
      <c r="K23" s="68"/>
      <c r="L23" s="68"/>
      <c r="M23" s="68"/>
      <c r="N23" s="69"/>
    </row>
    <row r="24" spans="1:14" s="1" customFormat="1" ht="14.1" customHeight="1" x14ac:dyDescent="0.3">
      <c r="A24" s="35"/>
      <c r="B24" s="45" t="s">
        <v>29</v>
      </c>
      <c r="C24" s="45"/>
      <c r="D24" s="46" t="s">
        <v>48</v>
      </c>
      <c r="E24" s="47"/>
      <c r="F24" s="47"/>
      <c r="G24" s="59"/>
      <c r="H24" s="40"/>
      <c r="I24" s="40"/>
      <c r="J24" s="42"/>
      <c r="K24" s="68"/>
      <c r="L24" s="68"/>
      <c r="M24" s="68"/>
      <c r="N24" s="69"/>
    </row>
    <row r="25" spans="1:14" s="1" customFormat="1" ht="14.1" customHeight="1" x14ac:dyDescent="0.3">
      <c r="A25" s="103">
        <v>12</v>
      </c>
      <c r="B25" s="60" t="s">
        <v>6</v>
      </c>
      <c r="C25" s="60"/>
      <c r="D25" s="62" t="s">
        <v>7</v>
      </c>
      <c r="E25" s="63"/>
      <c r="F25" s="63"/>
      <c r="G25" s="64"/>
      <c r="H25" s="54"/>
      <c r="I25" s="54"/>
      <c r="J25" s="67"/>
      <c r="K25" s="68"/>
      <c r="L25" s="68"/>
      <c r="M25" s="68"/>
      <c r="N25" s="69"/>
    </row>
    <row r="26" spans="1:14" s="1" customFormat="1" ht="14.1" customHeight="1" x14ac:dyDescent="0.3">
      <c r="A26" s="35"/>
      <c r="B26" s="45" t="s">
        <v>30</v>
      </c>
      <c r="C26" s="45"/>
      <c r="D26" s="46" t="s">
        <v>67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103">
        <v>13</v>
      </c>
      <c r="B27" s="65" t="s">
        <v>82</v>
      </c>
      <c r="C27" s="66"/>
      <c r="D27" s="61" t="s">
        <v>68</v>
      </c>
      <c r="E27" s="61"/>
      <c r="F27" s="61"/>
      <c r="G27" s="61"/>
      <c r="H27" s="54"/>
      <c r="I27" s="54"/>
      <c r="J27" s="67"/>
      <c r="K27" s="68"/>
      <c r="L27" s="68"/>
      <c r="M27" s="68"/>
      <c r="N27" s="69"/>
    </row>
    <row r="28" spans="1:14" s="1" customFormat="1" ht="14.1" customHeight="1" thickBot="1" x14ac:dyDescent="0.35">
      <c r="A28" s="104"/>
      <c r="B28" s="141" t="s">
        <v>31</v>
      </c>
      <c r="C28" s="141"/>
      <c r="D28" s="98" t="s">
        <v>69</v>
      </c>
      <c r="E28" s="99"/>
      <c r="F28" s="99"/>
      <c r="G28" s="100"/>
      <c r="H28" s="91"/>
      <c r="I28" s="91"/>
      <c r="J28" s="92"/>
      <c r="K28" s="93"/>
      <c r="L28" s="93"/>
      <c r="M28" s="93"/>
      <c r="N28" s="121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3.5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9">
    <mergeCell ref="A7:A8"/>
    <mergeCell ref="B7:C7"/>
    <mergeCell ref="D7:G7"/>
    <mergeCell ref="H7:H8"/>
    <mergeCell ref="I7:I8"/>
    <mergeCell ref="A1:N1"/>
    <mergeCell ref="B2:C2"/>
    <mergeCell ref="D2:G2"/>
    <mergeCell ref="A5:A6"/>
    <mergeCell ref="B5:C5"/>
    <mergeCell ref="D5:G5"/>
    <mergeCell ref="H5:H6"/>
    <mergeCell ref="I5:I6"/>
    <mergeCell ref="J5:J6"/>
    <mergeCell ref="K5:K6"/>
    <mergeCell ref="J7:J8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B6:C6"/>
    <mergeCell ref="D6:G6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3:K4"/>
    <mergeCell ref="L3:L4"/>
    <mergeCell ref="M3:M4"/>
    <mergeCell ref="N3:N4"/>
    <mergeCell ref="B4:C4"/>
    <mergeCell ref="D4:G4"/>
    <mergeCell ref="A3:A4"/>
    <mergeCell ref="B3:C3"/>
    <mergeCell ref="D3:G3"/>
    <mergeCell ref="H3:H4"/>
    <mergeCell ref="I3:I4"/>
    <mergeCell ref="J3:J4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6C99-3B30-4311-B671-0C09F86E244E}">
  <sheetPr codeName="Sheet63">
    <tabColor rgb="FFFF0000"/>
    <pageSetUpPr fitToPage="1"/>
  </sheetPr>
  <dimension ref="A1:P51"/>
  <sheetViews>
    <sheetView zoomScale="110" zoomScaleNormal="110" workbookViewId="0">
      <selection activeCell="Q17" sqref="Q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0" t="s">
        <v>450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36</v>
      </c>
      <c r="I3" s="54">
        <f>SUM(J3)-3.5</f>
        <v>39.5</v>
      </c>
      <c r="J3" s="55">
        <v>43</v>
      </c>
      <c r="K3" s="54">
        <f>SUM(J3)+3</f>
        <v>46</v>
      </c>
      <c r="L3" s="54">
        <f>SUM(K3)+3</f>
        <v>49</v>
      </c>
      <c r="M3" s="56">
        <f>SUM(L3)+3</f>
        <v>52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187</v>
      </c>
      <c r="C5" s="60"/>
      <c r="D5" s="61"/>
      <c r="E5" s="61"/>
      <c r="F5" s="61"/>
      <c r="G5" s="61"/>
      <c r="H5" s="54">
        <f>SUM(I5)-1.3</f>
        <v>29.4</v>
      </c>
      <c r="I5" s="54">
        <f>SUM(J5)-1.3</f>
        <v>30.7</v>
      </c>
      <c r="J5" s="55">
        <v>32</v>
      </c>
      <c r="K5" s="54">
        <f>SUM(J5)+1.3</f>
        <v>33.299999999999997</v>
      </c>
      <c r="L5" s="54">
        <f t="shared" ref="L5:M5" si="0">SUM(K5)+1.3</f>
        <v>34.599999999999994</v>
      </c>
      <c r="M5" s="56">
        <f t="shared" si="0"/>
        <v>35.899999999999991</v>
      </c>
    </row>
    <row r="6" spans="1:13" s="1" customFormat="1" ht="14.1" customHeight="1" x14ac:dyDescent="0.3">
      <c r="A6" s="48"/>
      <c r="B6" s="45" t="s">
        <v>456</v>
      </c>
      <c r="C6" s="45"/>
      <c r="D6" s="46" t="s">
        <v>452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27</v>
      </c>
      <c r="I7" s="54">
        <f>SUM(J7)-2</f>
        <v>29</v>
      </c>
      <c r="J7" s="55">
        <v>31</v>
      </c>
      <c r="K7" s="54">
        <f>SUM(J7)+1.8</f>
        <v>32.799999999999997</v>
      </c>
      <c r="L7" s="54">
        <f>SUM(K7)+1.8</f>
        <v>34.599999999999994</v>
      </c>
      <c r="M7" s="56">
        <f>SUM(L7)+1.8</f>
        <v>36.399999999999991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27</v>
      </c>
      <c r="I9" s="54">
        <f>SUM(J9)-2</f>
        <v>29</v>
      </c>
      <c r="J9" s="55">
        <v>31</v>
      </c>
      <c r="K9" s="54">
        <f>SUM(J9)+1.8</f>
        <v>32.799999999999997</v>
      </c>
      <c r="L9" s="54">
        <f>SUM(K9)+1.8</f>
        <v>34.599999999999994</v>
      </c>
      <c r="M9" s="56">
        <f>SUM(L9)+1.8</f>
        <v>36.399999999999991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12.299999999999999</v>
      </c>
      <c r="I11" s="60">
        <f>SUM(J11)-0.8</f>
        <v>13.2</v>
      </c>
      <c r="J11" s="132">
        <v>14</v>
      </c>
      <c r="K11" s="130">
        <f>SUM(J11)+0.9</f>
        <v>14.9</v>
      </c>
      <c r="L11" s="130">
        <f>SUM(K11)+0.8</f>
        <v>15.700000000000001</v>
      </c>
      <c r="M11" s="131">
        <f>SUM(L11)+0.9</f>
        <v>16.600000000000001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13.8</v>
      </c>
      <c r="I13" s="54">
        <f>SUM(J13)-0.6</f>
        <v>14.4</v>
      </c>
      <c r="J13" s="55">
        <v>15</v>
      </c>
      <c r="K13" s="54">
        <f>SUM(J13)+0.6</f>
        <v>15.6</v>
      </c>
      <c r="L13" s="54">
        <f>SUM(K13)+0.6</f>
        <v>16.2</v>
      </c>
      <c r="M13" s="56">
        <f>SUM(L13)+0.6</f>
        <v>16.8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42"/>
      <c r="K14" s="40"/>
      <c r="L14" s="40"/>
      <c r="M14" s="44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5.2</v>
      </c>
      <c r="I15" s="54">
        <f>SUM(J15)-0.3</f>
        <v>5.5</v>
      </c>
      <c r="J15" s="67">
        <v>5.8</v>
      </c>
      <c r="K15" s="68">
        <f>SUM(J15)+0.3</f>
        <v>6.1</v>
      </c>
      <c r="L15" s="68">
        <f t="shared" ref="L15:M15" si="1">SUM(K15)+0.3</f>
        <v>6.3999999999999995</v>
      </c>
      <c r="M15" s="69">
        <f t="shared" si="1"/>
        <v>6.6999999999999993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6" s="1" customFormat="1" ht="14.1" customHeight="1" x14ac:dyDescent="0.3">
      <c r="A17" s="48">
        <v>8</v>
      </c>
      <c r="B17" s="60" t="s">
        <v>357</v>
      </c>
      <c r="C17" s="60"/>
      <c r="D17" s="61" t="s">
        <v>359</v>
      </c>
      <c r="E17" s="61"/>
      <c r="F17" s="61"/>
      <c r="G17" s="61"/>
      <c r="H17" s="54">
        <f>SUM(I17)-0.4</f>
        <v>8.6999999999999993</v>
      </c>
      <c r="I17" s="54">
        <f>SUM(J17)-0.4</f>
        <v>9.1</v>
      </c>
      <c r="J17" s="67">
        <v>9.5</v>
      </c>
      <c r="K17" s="68">
        <f>SUM(J17)+0.4</f>
        <v>9.9</v>
      </c>
      <c r="L17" s="68">
        <f>SUM(K17)+0.4</f>
        <v>10.3</v>
      </c>
      <c r="M17" s="69">
        <f>SUM(L17)+0.4</f>
        <v>10.700000000000001</v>
      </c>
    </row>
    <row r="18" spans="1:16" s="1" customFormat="1" ht="14.1" customHeight="1" x14ac:dyDescent="0.3">
      <c r="A18" s="48"/>
      <c r="B18" s="45" t="s">
        <v>453</v>
      </c>
      <c r="C18" s="45"/>
      <c r="D18" s="46" t="s">
        <v>360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6" s="1" customFormat="1" ht="14.1" customHeight="1" x14ac:dyDescent="0.3">
      <c r="A19" s="48">
        <v>9</v>
      </c>
      <c r="B19" s="65" t="s">
        <v>73</v>
      </c>
      <c r="C19" s="66"/>
      <c r="D19" s="62" t="s">
        <v>74</v>
      </c>
      <c r="E19" s="63"/>
      <c r="F19" s="63"/>
      <c r="G19" s="64"/>
      <c r="H19" s="54">
        <f>SUM(I19)-2</f>
        <v>46</v>
      </c>
      <c r="I19" s="54">
        <f>SUM(J19)-2</f>
        <v>48</v>
      </c>
      <c r="J19" s="67">
        <v>50</v>
      </c>
      <c r="K19" s="68">
        <f>SUM(J19)+2</f>
        <v>52</v>
      </c>
      <c r="L19" s="68">
        <f t="shared" ref="L19:M19" si="2">SUM(K19)+2</f>
        <v>54</v>
      </c>
      <c r="M19" s="69">
        <f t="shared" si="2"/>
        <v>56</v>
      </c>
    </row>
    <row r="20" spans="1:16" s="1" customFormat="1" ht="14.1" customHeight="1" x14ac:dyDescent="0.3">
      <c r="A20" s="48"/>
      <c r="B20" s="45" t="s">
        <v>33</v>
      </c>
      <c r="C20" s="45"/>
      <c r="D20" s="46" t="s">
        <v>126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6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SUM(I21)-1</f>
        <v>10.9</v>
      </c>
      <c r="I21" s="54">
        <f>SUM(J21)-1</f>
        <v>11.9</v>
      </c>
      <c r="J21" s="67">
        <v>12.9</v>
      </c>
      <c r="K21" s="68">
        <f>SUM(J21)+1.1</f>
        <v>14</v>
      </c>
      <c r="L21" s="68">
        <f t="shared" ref="L21:M21" si="3">SUM(K21)+1.1</f>
        <v>15.1</v>
      </c>
      <c r="M21" s="69">
        <f t="shared" si="3"/>
        <v>16.2</v>
      </c>
    </row>
    <row r="22" spans="1:16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6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6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6" s="1" customFormat="1" ht="14.1" customHeight="1" thickBot="1" x14ac:dyDescent="0.35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SUM(I25)-1.2</f>
        <v>20.200000000000003</v>
      </c>
      <c r="I25" s="54">
        <f>SUM(J25)-1.2</f>
        <v>21.400000000000002</v>
      </c>
      <c r="J25" s="67">
        <v>22.6</v>
      </c>
      <c r="K25" s="68">
        <f>SUM(J25)+1.2</f>
        <v>23.8</v>
      </c>
      <c r="L25" s="68">
        <f>SUM(K25)+1.2</f>
        <v>25</v>
      </c>
      <c r="M25" s="69">
        <f>SUM(L25)+1.2</f>
        <v>26.2</v>
      </c>
    </row>
    <row r="26" spans="1:16" s="1" customFormat="1" ht="14.1" customHeight="1" thickTop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  <c r="P26" s="16" t="s">
        <v>457</v>
      </c>
    </row>
    <row r="27" spans="1:16" s="1" customFormat="1" ht="14.1" customHeight="1" x14ac:dyDescent="0.3">
      <c r="A27" s="48">
        <v>13</v>
      </c>
      <c r="B27" s="65" t="s">
        <v>454</v>
      </c>
      <c r="C27" s="66"/>
      <c r="D27" s="273"/>
      <c r="E27" s="274"/>
      <c r="F27" s="274"/>
      <c r="G27" s="275"/>
      <c r="H27" s="54">
        <f>SUM(I27)-0.8</f>
        <v>7.8999999999999995</v>
      </c>
      <c r="I27" s="54">
        <f>SUM(J27)-0.8</f>
        <v>8.6999999999999993</v>
      </c>
      <c r="J27" s="67">
        <v>9.5</v>
      </c>
      <c r="K27" s="68">
        <f>SUM(J27)+0.6</f>
        <v>10.1</v>
      </c>
      <c r="L27" s="68">
        <f t="shared" ref="L27:M27" si="4">SUM(K27)+0.6</f>
        <v>10.7</v>
      </c>
      <c r="M27" s="69">
        <f t="shared" si="4"/>
        <v>11.299999999999999</v>
      </c>
      <c r="P27" s="17">
        <f>SUM(H27+H27+I27+I27+J27+J27+K27+K27+L27+L27+M27+M27)</f>
        <v>116.4</v>
      </c>
    </row>
    <row r="28" spans="1:16" s="1" customFormat="1" ht="14.1" customHeight="1" thickBot="1" x14ac:dyDescent="0.35">
      <c r="A28" s="48"/>
      <c r="B28" s="57" t="s">
        <v>455</v>
      </c>
      <c r="C28" s="58"/>
      <c r="D28" s="46" t="s">
        <v>451</v>
      </c>
      <c r="E28" s="47"/>
      <c r="F28" s="47"/>
      <c r="G28" s="59"/>
      <c r="H28" s="40"/>
      <c r="I28" s="40"/>
      <c r="J28" s="67"/>
      <c r="K28" s="68"/>
      <c r="L28" s="68"/>
      <c r="M28" s="69"/>
      <c r="P28" s="18">
        <f>SUM(P27/91.44/6*1.08)</f>
        <v>0.22913385826771657</v>
      </c>
    </row>
    <row r="29" spans="1:16" s="1" customFormat="1" ht="14.1" customHeight="1" thickTop="1" x14ac:dyDescent="0.3">
      <c r="A29" s="48">
        <v>14</v>
      </c>
      <c r="B29" s="79" t="s">
        <v>134</v>
      </c>
      <c r="C29" s="80"/>
      <c r="D29" s="88"/>
      <c r="E29" s="89"/>
      <c r="F29" s="89"/>
      <c r="G29" s="90"/>
      <c r="H29" s="54">
        <f>SUM(I29)-0.7</f>
        <v>10.600000000000001</v>
      </c>
      <c r="I29" s="54">
        <f>SUM(J29)-0.7</f>
        <v>11.3</v>
      </c>
      <c r="J29" s="67">
        <v>12</v>
      </c>
      <c r="K29" s="68">
        <f>SUM(J29)+0.7</f>
        <v>12.7</v>
      </c>
      <c r="L29" s="68">
        <f>SUM(K29)+0.7</f>
        <v>13.399999999999999</v>
      </c>
      <c r="M29" s="69">
        <f>SUM(L29)+0.7</f>
        <v>14.099999999999998</v>
      </c>
    </row>
    <row r="30" spans="1:16" s="1" customFormat="1" ht="14.1" customHeight="1" x14ac:dyDescent="0.3">
      <c r="A30" s="48"/>
      <c r="B30" s="79" t="s">
        <v>142</v>
      </c>
      <c r="C30" s="80"/>
      <c r="D30" s="46" t="s">
        <v>354</v>
      </c>
      <c r="E30" s="47"/>
      <c r="F30" s="47"/>
      <c r="G30" s="59"/>
      <c r="H30" s="40"/>
      <c r="I30" s="40"/>
      <c r="J30" s="67"/>
      <c r="K30" s="68"/>
      <c r="L30" s="68"/>
      <c r="M30" s="69"/>
    </row>
    <row r="31" spans="1:16" ht="14.1" customHeight="1" x14ac:dyDescent="0.3">
      <c r="A31" s="48">
        <v>15</v>
      </c>
      <c r="B31" s="65" t="s">
        <v>135</v>
      </c>
      <c r="C31" s="66"/>
      <c r="D31" s="88"/>
      <c r="E31" s="89"/>
      <c r="F31" s="89"/>
      <c r="G31" s="90"/>
      <c r="H31" s="54">
        <f>SUM(I31)-0.5</f>
        <v>4</v>
      </c>
      <c r="I31" s="54">
        <f>SUM(J31)-0.5</f>
        <v>4.5</v>
      </c>
      <c r="J31" s="67">
        <v>5</v>
      </c>
      <c r="K31" s="68">
        <f>SUM(J31)+0.4</f>
        <v>5.4</v>
      </c>
      <c r="L31" s="68">
        <f>SUM(K31)+0.4</f>
        <v>5.8000000000000007</v>
      </c>
      <c r="M31" s="69">
        <f>SUM(L31)+0.4</f>
        <v>6.2000000000000011</v>
      </c>
    </row>
    <row r="32" spans="1:16" ht="14.1" customHeight="1" x14ac:dyDescent="0.3">
      <c r="A32" s="48"/>
      <c r="B32" s="57" t="s">
        <v>143</v>
      </c>
      <c r="C32" s="58"/>
      <c r="D32" s="46" t="s">
        <v>353</v>
      </c>
      <c r="E32" s="47"/>
      <c r="F32" s="47"/>
      <c r="G32" s="59"/>
      <c r="H32" s="40"/>
      <c r="I32" s="40"/>
      <c r="J32" s="67"/>
      <c r="K32" s="68"/>
      <c r="L32" s="68"/>
      <c r="M32" s="69"/>
    </row>
    <row r="33" spans="1:13" ht="14.1" customHeight="1" x14ac:dyDescent="0.3">
      <c r="A33" s="48">
        <v>16</v>
      </c>
      <c r="B33" s="65"/>
      <c r="C33" s="66"/>
      <c r="D33" s="88"/>
      <c r="E33" s="89"/>
      <c r="F33" s="89"/>
      <c r="G33" s="90"/>
      <c r="H33" s="54"/>
      <c r="I33" s="54"/>
      <c r="J33" s="67"/>
      <c r="K33" s="68"/>
      <c r="L33" s="68"/>
      <c r="M33" s="69"/>
    </row>
    <row r="34" spans="1:13" ht="14.1" customHeight="1" x14ac:dyDescent="0.3">
      <c r="A34" s="48"/>
      <c r="B34" s="57"/>
      <c r="C34" s="58"/>
      <c r="D34" s="46"/>
      <c r="E34" s="47"/>
      <c r="F34" s="47"/>
      <c r="G34" s="59"/>
      <c r="H34" s="40"/>
      <c r="I34" s="40"/>
      <c r="J34" s="67"/>
      <c r="K34" s="68"/>
      <c r="L34" s="68"/>
      <c r="M34" s="69"/>
    </row>
    <row r="35" spans="1:13" ht="14.1" customHeight="1" x14ac:dyDescent="0.3">
      <c r="A35" s="48">
        <v>17</v>
      </c>
      <c r="B35" s="79"/>
      <c r="C35" s="80"/>
      <c r="D35" s="133"/>
      <c r="E35" s="134"/>
      <c r="F35" s="134"/>
      <c r="G35" s="135"/>
      <c r="H35" s="81"/>
      <c r="I35" s="81"/>
      <c r="J35" s="42"/>
      <c r="K35" s="40"/>
      <c r="L35" s="40"/>
      <c r="M35" s="44"/>
    </row>
    <row r="36" spans="1:13" ht="14.1" customHeight="1" thickBot="1" x14ac:dyDescent="0.35">
      <c r="A36" s="87"/>
      <c r="B36" s="96"/>
      <c r="C36" s="97"/>
      <c r="D36" s="98"/>
      <c r="E36" s="99"/>
      <c r="F36" s="99"/>
      <c r="G36" s="100"/>
      <c r="H36" s="91"/>
      <c r="I36" s="91"/>
      <c r="J36" s="92"/>
      <c r="K36" s="93"/>
      <c r="L36" s="93"/>
      <c r="M36" s="121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3:A14"/>
    <mergeCell ref="B13:C13"/>
    <mergeCell ref="D13:G13"/>
    <mergeCell ref="H13:H14"/>
    <mergeCell ref="I13:I14"/>
    <mergeCell ref="A15:A16"/>
    <mergeCell ref="J17:J18"/>
    <mergeCell ref="K17:K18"/>
    <mergeCell ref="L17:L18"/>
    <mergeCell ref="M17:M18"/>
    <mergeCell ref="B18:C18"/>
    <mergeCell ref="D18:G18"/>
    <mergeCell ref="K13:K14"/>
    <mergeCell ref="L13:L14"/>
    <mergeCell ref="M13:M14"/>
    <mergeCell ref="B14:C14"/>
    <mergeCell ref="D14:G14"/>
    <mergeCell ref="J13:J14"/>
    <mergeCell ref="M15:M16"/>
    <mergeCell ref="B16:C16"/>
    <mergeCell ref="D16:G16"/>
    <mergeCell ref="B15:C15"/>
    <mergeCell ref="D15:G15"/>
    <mergeCell ref="H15:H16"/>
    <mergeCell ref="I15:I16"/>
    <mergeCell ref="J15:J16"/>
    <mergeCell ref="K15:K16"/>
    <mergeCell ref="L15:L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J23:J24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B492-5967-46A4-8769-C425D9E1E5F3}">
  <sheetPr codeName="Sheet64">
    <tabColor rgb="FFFF0000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54">
        <f t="shared" ref="L3:N3" si="0">SUM(K3)+3</f>
        <v>51</v>
      </c>
      <c r="M3" s="54">
        <f t="shared" si="0"/>
        <v>54</v>
      </c>
      <c r="N3" s="115">
        <f t="shared" si="0"/>
        <v>57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31</v>
      </c>
      <c r="I5" s="54">
        <f>SUM(J5)-2</f>
        <v>33</v>
      </c>
      <c r="J5" s="55">
        <v>35</v>
      </c>
      <c r="K5" s="54">
        <f>SUM(J5)+1.8</f>
        <v>36.799999999999997</v>
      </c>
      <c r="L5" s="54">
        <f t="shared" ref="L5:N5" si="1">SUM(K5)+1.8</f>
        <v>38.599999999999994</v>
      </c>
      <c r="M5" s="54">
        <f t="shared" si="1"/>
        <v>40.399999999999991</v>
      </c>
      <c r="N5" s="115">
        <f t="shared" si="1"/>
        <v>42.199999999999989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54">
        <f t="shared" ref="L7:N7" si="2">SUM(K7)+2</f>
        <v>44</v>
      </c>
      <c r="M7" s="54">
        <f t="shared" si="2"/>
        <v>46</v>
      </c>
      <c r="N7" s="115">
        <f t="shared" si="2"/>
        <v>48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35.5</v>
      </c>
      <c r="I9" s="54">
        <f>SUM(J9)-2.25</f>
        <v>37.75</v>
      </c>
      <c r="J9" s="55">
        <v>40</v>
      </c>
      <c r="K9" s="54">
        <f>SUM(J9)+2</f>
        <v>42</v>
      </c>
      <c r="L9" s="54">
        <f t="shared" ref="L9:N9" si="3">SUM(K9)+2</f>
        <v>44</v>
      </c>
      <c r="M9" s="54">
        <f t="shared" si="3"/>
        <v>46</v>
      </c>
      <c r="N9" s="115">
        <f t="shared" si="3"/>
        <v>48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14.099999999999998</v>
      </c>
      <c r="I11" s="60">
        <f>SUM(J11)-0.8</f>
        <v>14.899999999999999</v>
      </c>
      <c r="J11" s="132">
        <v>15.7</v>
      </c>
      <c r="K11" s="130">
        <f>SUM(J11)+0.8</f>
        <v>16.5</v>
      </c>
      <c r="L11" s="130">
        <f t="shared" ref="L11:N11" si="4">SUM(K11)+0.8</f>
        <v>17.3</v>
      </c>
      <c r="M11" s="130">
        <f t="shared" si="4"/>
        <v>18.100000000000001</v>
      </c>
      <c r="N11" s="136">
        <f t="shared" si="4"/>
        <v>18.900000000000002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8">
        <f>SUM(L13)+0.6</f>
        <v>17.800000000000004</v>
      </c>
      <c r="N13" s="117">
        <f>SUM(M13)+0.6</f>
        <v>18.400000000000006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8">
        <f t="shared" ref="M15:N15" si="5">SUM(L15)+0.3</f>
        <v>7.6999999999999993</v>
      </c>
      <c r="N15" s="117">
        <f t="shared" si="5"/>
        <v>7.9999999999999991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8">
        <f t="shared" ref="M17:N17" si="6">SUM(L17)+1.6</f>
        <v>47.800000000000004</v>
      </c>
      <c r="N17" s="117">
        <f t="shared" si="6"/>
        <v>49.400000000000006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11.100000000000001</v>
      </c>
      <c r="I19" s="54">
        <f>SUM(J19)-1.2</f>
        <v>12.3</v>
      </c>
      <c r="J19" s="55">
        <v>13.5</v>
      </c>
      <c r="K19" s="68">
        <f>SUM(J19)+1.3</f>
        <v>14.8</v>
      </c>
      <c r="L19" s="68">
        <f t="shared" ref="L19:N19" si="7">SUM(K19)+1.3</f>
        <v>16.100000000000001</v>
      </c>
      <c r="M19" s="68">
        <f t="shared" si="7"/>
        <v>17.400000000000002</v>
      </c>
      <c r="N19" s="117">
        <f t="shared" si="7"/>
        <v>18.700000000000003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23.4</v>
      </c>
      <c r="I23" s="54">
        <f>SUM(J23)-1.3</f>
        <v>24.7</v>
      </c>
      <c r="J23" s="67">
        <v>26</v>
      </c>
      <c r="K23" s="68">
        <f>SUM(J23)+1.3</f>
        <v>27.3</v>
      </c>
      <c r="L23" s="68">
        <f t="shared" ref="L23:N23" si="8">SUM(K23)+1.3</f>
        <v>28.6</v>
      </c>
      <c r="M23" s="68">
        <f t="shared" si="8"/>
        <v>29.900000000000002</v>
      </c>
      <c r="N23" s="117">
        <f t="shared" si="8"/>
        <v>31.200000000000003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68">
        <f t="shared" ref="L25:N25" si="9">SUM(K25)+0.3</f>
        <v>5.6</v>
      </c>
      <c r="M25" s="68">
        <f t="shared" si="9"/>
        <v>5.8999999999999995</v>
      </c>
      <c r="N25" s="117">
        <f t="shared" si="9"/>
        <v>6.1999999999999993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93"/>
      <c r="N26" s="118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L3:L4"/>
    <mergeCell ref="M3:M4"/>
    <mergeCell ref="B4:C4"/>
    <mergeCell ref="D4:G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N21:N22"/>
    <mergeCell ref="N23:N24"/>
    <mergeCell ref="N25:N2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1304-8410-4509-ADC9-DD2E88BCDF51}">
  <sheetPr codeName="Sheet65">
    <tabColor rgb="FFFF0000"/>
    <pageSetUpPr fitToPage="1"/>
  </sheetPr>
  <dimension ref="A1:M51"/>
  <sheetViews>
    <sheetView zoomScale="110" zoomScaleNormal="110" workbookViewId="0">
      <selection activeCell="O17" sqref="O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33</v>
      </c>
      <c r="I3" s="54">
        <f>SUM(J3)-3</f>
        <v>36</v>
      </c>
      <c r="J3" s="55">
        <v>39</v>
      </c>
      <c r="K3" s="54">
        <f>SUM(J3)+2.5</f>
        <v>41.5</v>
      </c>
      <c r="L3" s="54">
        <f>SUM(K3)+2.5</f>
        <v>44</v>
      </c>
      <c r="M3" s="56">
        <f t="shared" ref="M3" si="0">SUM(L3)+2.5</f>
        <v>46.5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22.4</v>
      </c>
      <c r="I5" s="54">
        <f>SUM(J5)-1.8</f>
        <v>24.2</v>
      </c>
      <c r="J5" s="55">
        <v>26</v>
      </c>
      <c r="K5" s="54">
        <f>SUM(J5)+1.6</f>
        <v>27.6</v>
      </c>
      <c r="L5" s="54">
        <f>SUM(K5)+1.6</f>
        <v>29.200000000000003</v>
      </c>
      <c r="M5" s="56">
        <f t="shared" ref="M5" si="1">SUM(L5)+1.6</f>
        <v>30.800000000000004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28.5</v>
      </c>
      <c r="I7" s="54">
        <f>SUM(J7)-2.25</f>
        <v>30.75</v>
      </c>
      <c r="J7" s="55">
        <v>33</v>
      </c>
      <c r="K7" s="54">
        <f>SUM(J7)+2</f>
        <v>35</v>
      </c>
      <c r="L7" s="54">
        <f>SUM(K7)+2</f>
        <v>37</v>
      </c>
      <c r="M7" s="56">
        <f>SUM(L7)+2</f>
        <v>39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28.5</v>
      </c>
      <c r="I9" s="54">
        <f>SUM(J9)-2.25</f>
        <v>30.75</v>
      </c>
      <c r="J9" s="55">
        <v>33</v>
      </c>
      <c r="K9" s="54">
        <f>SUM(J9)+2</f>
        <v>35</v>
      </c>
      <c r="L9" s="54">
        <f>SUM(K9)+2</f>
        <v>37</v>
      </c>
      <c r="M9" s="56">
        <f>SUM(L9)+2</f>
        <v>39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12.1</v>
      </c>
      <c r="I11" s="60">
        <f>SUM(J11)-0.8</f>
        <v>13</v>
      </c>
      <c r="J11" s="132">
        <v>13.8</v>
      </c>
      <c r="K11" s="130">
        <f>SUM(J11)+0.8</f>
        <v>14.600000000000001</v>
      </c>
      <c r="L11" s="130">
        <f>SUM(K11)+0.9</f>
        <v>15.500000000000002</v>
      </c>
      <c r="M11" s="131">
        <f>SUM(L11)+0.9</f>
        <v>16.400000000000002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12.4</v>
      </c>
      <c r="I13" s="54">
        <f>SUM(J13)-0.6</f>
        <v>13</v>
      </c>
      <c r="J13" s="67">
        <v>13.6</v>
      </c>
      <c r="K13" s="68">
        <f>SUM(J13)+0.6</f>
        <v>14.2</v>
      </c>
      <c r="L13" s="68">
        <f>SUM(K13)+0.6</f>
        <v>14.799999999999999</v>
      </c>
      <c r="M13" s="69">
        <f t="shared" ref="M13" si="2">SUM(L13)+0.6</f>
        <v>15.399999999999999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5.1000000000000005</v>
      </c>
      <c r="I15" s="54">
        <f>SUM(J15)-0.3</f>
        <v>5.4</v>
      </c>
      <c r="J15" s="67">
        <v>5.7</v>
      </c>
      <c r="K15" s="68">
        <f>SUM(J15)+0.3</f>
        <v>6</v>
      </c>
      <c r="L15" s="68">
        <f>SUM(K15)+0.3</f>
        <v>6.3</v>
      </c>
      <c r="M15" s="69">
        <f t="shared" ref="M15" si="3">SUM(L15)+0.3</f>
        <v>6.6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35.799999999999997</v>
      </c>
      <c r="I17" s="54">
        <f>SUM(J17)-1.6</f>
        <v>37.4</v>
      </c>
      <c r="J17" s="67">
        <v>39</v>
      </c>
      <c r="K17" s="68">
        <f>SUM(J17)+1.6</f>
        <v>40.6</v>
      </c>
      <c r="L17" s="68">
        <f>SUM(K17)+1.6</f>
        <v>42.2</v>
      </c>
      <c r="M17" s="69">
        <f t="shared" ref="M17" si="4">SUM(L17)+1.6</f>
        <v>43.800000000000004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10.8</v>
      </c>
      <c r="I19" s="54">
        <f>SUM(J19)-1.1</f>
        <v>11.9</v>
      </c>
      <c r="J19" s="55">
        <v>13</v>
      </c>
      <c r="K19" s="68">
        <f>SUM(J19)+1.2</f>
        <v>14.2</v>
      </c>
      <c r="L19" s="68">
        <f>SUM(K19)+1.2</f>
        <v>15.399999999999999</v>
      </c>
      <c r="M19" s="69">
        <f t="shared" ref="M19" si="5">SUM(L19)+1.2</f>
        <v>16.599999999999998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18.799999999999997</v>
      </c>
      <c r="I23" s="54">
        <f>SUM(J23)-1.3</f>
        <v>20.099999999999998</v>
      </c>
      <c r="J23" s="67">
        <v>21.4</v>
      </c>
      <c r="K23" s="68">
        <f>SUM(J23)+1.3</f>
        <v>22.7</v>
      </c>
      <c r="L23" s="68">
        <f>SUM(K23)+1.3</f>
        <v>24</v>
      </c>
      <c r="M23" s="69">
        <f t="shared" ref="M23" si="6">SUM(L23)+1.3</f>
        <v>25.3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276</v>
      </c>
      <c r="C25" s="66"/>
      <c r="D25" s="88"/>
      <c r="E25" s="89"/>
      <c r="F25" s="89"/>
      <c r="G25" s="90"/>
      <c r="H25" s="54">
        <f>SUM(I25)-0.3</f>
        <v>3.0000000000000004</v>
      </c>
      <c r="I25" s="54">
        <f>SUM(J25)-0.3</f>
        <v>3.3000000000000003</v>
      </c>
      <c r="J25" s="67">
        <v>3.6</v>
      </c>
      <c r="K25" s="68">
        <f>SUM(J25)+0.3</f>
        <v>3.9</v>
      </c>
      <c r="L25" s="68">
        <f>SUM(K25)+0.3</f>
        <v>4.2</v>
      </c>
      <c r="M25" s="69">
        <f>SUM(L25)+0.3</f>
        <v>4.5</v>
      </c>
    </row>
    <row r="26" spans="1:13" s="1" customFormat="1" ht="14.1" customHeight="1" x14ac:dyDescent="0.3">
      <c r="A26" s="48"/>
      <c r="B26" s="57" t="s">
        <v>476</v>
      </c>
      <c r="C26" s="58"/>
      <c r="D26" s="46" t="s">
        <v>201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 t="s">
        <v>134</v>
      </c>
      <c r="C27" s="66"/>
      <c r="D27" s="88"/>
      <c r="E27" s="89"/>
      <c r="F27" s="89"/>
      <c r="G27" s="90"/>
      <c r="H27" s="54">
        <f>SUM(I27)-0.4</f>
        <v>4.6999999999999993</v>
      </c>
      <c r="I27" s="54">
        <f>SUM(J27)-0.4</f>
        <v>5.0999999999999996</v>
      </c>
      <c r="J27" s="67">
        <v>5.5</v>
      </c>
      <c r="K27" s="68">
        <f>SUM(J27)+0.4</f>
        <v>5.9</v>
      </c>
      <c r="L27" s="68">
        <f>SUM(K27)+0.4</f>
        <v>6.3000000000000007</v>
      </c>
      <c r="M27" s="69">
        <f>SUM(L27)+0.4</f>
        <v>6.7000000000000011</v>
      </c>
    </row>
    <row r="28" spans="1:13" s="1" customFormat="1" ht="14.1" customHeight="1" x14ac:dyDescent="0.3">
      <c r="A28" s="48"/>
      <c r="B28" s="57" t="s">
        <v>142</v>
      </c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35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165F-6AE8-4672-A55A-1B16EC2EC222}">
  <sheetPr codeName="Sheet66">
    <tabColor rgb="FFFF0000"/>
    <pageSetUpPr fitToPage="1"/>
  </sheetPr>
  <dimension ref="A1:N51"/>
  <sheetViews>
    <sheetView zoomScale="110" zoomScaleNormal="110" workbookViewId="0">
      <selection activeCell="Q12" sqref="Q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N3" si="0">SUM(K3)+3</f>
        <v>48</v>
      </c>
      <c r="M3" s="54">
        <f t="shared" si="0"/>
        <v>51</v>
      </c>
      <c r="N3" s="56">
        <f t="shared" si="0"/>
        <v>54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22.699999999999996</v>
      </c>
      <c r="I5" s="54">
        <f>SUM(J5)-1.6</f>
        <v>24.299999999999997</v>
      </c>
      <c r="J5" s="55">
        <v>25.9</v>
      </c>
      <c r="K5" s="54">
        <f>SUM(J5)+1.4</f>
        <v>27.299999999999997</v>
      </c>
      <c r="L5" s="54">
        <f t="shared" ref="L5:N5" si="1">SUM(K5)+1.4</f>
        <v>28.699999999999996</v>
      </c>
      <c r="M5" s="54">
        <f t="shared" si="1"/>
        <v>30.099999999999994</v>
      </c>
      <c r="N5" s="56">
        <f t="shared" si="1"/>
        <v>31.499999999999993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28</v>
      </c>
      <c r="I7" s="54">
        <f>SUM(J7)-2</f>
        <v>30</v>
      </c>
      <c r="J7" s="55">
        <v>32</v>
      </c>
      <c r="K7" s="54">
        <f>SUM(J7)+1.8</f>
        <v>33.799999999999997</v>
      </c>
      <c r="L7" s="54">
        <f t="shared" ref="L7:M7" si="2">SUM(K7)+1.8</f>
        <v>35.599999999999994</v>
      </c>
      <c r="M7" s="54">
        <f t="shared" si="2"/>
        <v>37.399999999999991</v>
      </c>
      <c r="N7" s="56">
        <f t="shared" ref="N7" si="3">SUM(M7)+1.8</f>
        <v>39.199999999999989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28</v>
      </c>
      <c r="I9" s="54">
        <f>SUM(J9)-2</f>
        <v>30</v>
      </c>
      <c r="J9" s="55">
        <v>32</v>
      </c>
      <c r="K9" s="54">
        <f>SUM(J9)+1.8</f>
        <v>33.799999999999997</v>
      </c>
      <c r="L9" s="54">
        <f t="shared" ref="L9:M9" si="4">SUM(K9)+1.8</f>
        <v>35.599999999999994</v>
      </c>
      <c r="M9" s="54">
        <f t="shared" si="4"/>
        <v>37.399999999999991</v>
      </c>
      <c r="N9" s="56">
        <f t="shared" ref="N9" si="5">SUM(M9)+1.8</f>
        <v>39.199999999999989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12.499999999999998</v>
      </c>
      <c r="I11" s="60">
        <f>SUM(J11)-0.8</f>
        <v>13.399999999999999</v>
      </c>
      <c r="J11" s="132">
        <v>14.2</v>
      </c>
      <c r="K11" s="130">
        <f>SUM(J11)+0.9</f>
        <v>15.1</v>
      </c>
      <c r="L11" s="130">
        <f t="shared" ref="L11:M11" si="6">SUM(K11)+0.9</f>
        <v>16</v>
      </c>
      <c r="M11" s="130">
        <f t="shared" si="6"/>
        <v>16.899999999999999</v>
      </c>
      <c r="N11" s="131">
        <f>SUM(M11)+0.8</f>
        <v>17.7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14.3</v>
      </c>
      <c r="I13" s="54">
        <f>SUM(J13)-0.6</f>
        <v>14.9</v>
      </c>
      <c r="J13" s="67">
        <v>15.5</v>
      </c>
      <c r="K13" s="68">
        <f>SUM(J13)+0.6</f>
        <v>16.100000000000001</v>
      </c>
      <c r="L13" s="68">
        <f>SUM(K13)+0.6</f>
        <v>16.700000000000003</v>
      </c>
      <c r="M13" s="68">
        <f>SUM(L13)+0.6</f>
        <v>17.300000000000004</v>
      </c>
      <c r="N13" s="69">
        <f>SUM(M13)+0.6</f>
        <v>17.900000000000006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4.1000000000000005</v>
      </c>
      <c r="I15" s="54">
        <f>SUM(J15)-0.3</f>
        <v>4.4000000000000004</v>
      </c>
      <c r="J15" s="67">
        <v>4.7</v>
      </c>
      <c r="K15" s="68">
        <f>SUM(J15)+0.3</f>
        <v>5</v>
      </c>
      <c r="L15" s="68">
        <f>SUM(K15)+0.3</f>
        <v>5.3</v>
      </c>
      <c r="M15" s="68">
        <f t="shared" ref="M15:N15" si="7">SUM(L15)+0.3</f>
        <v>5.6</v>
      </c>
      <c r="N15" s="69">
        <f t="shared" si="7"/>
        <v>5.8999999999999995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>SUM(K17)+1.6</f>
        <v>44.2</v>
      </c>
      <c r="M17" s="68">
        <f t="shared" ref="M17:N17" si="8">SUM(L17)+1.6</f>
        <v>45.800000000000004</v>
      </c>
      <c r="N17" s="69">
        <f t="shared" si="8"/>
        <v>47.400000000000006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12.600000000000001</v>
      </c>
      <c r="I19" s="54">
        <f>SUM(J19)-1.2</f>
        <v>13.8</v>
      </c>
      <c r="J19" s="55">
        <v>15</v>
      </c>
      <c r="K19" s="68">
        <f>SUM(J19)+1.3</f>
        <v>16.3</v>
      </c>
      <c r="L19" s="68">
        <f t="shared" ref="L19:N19" si="9">SUM(K19)+1.3</f>
        <v>17.600000000000001</v>
      </c>
      <c r="M19" s="68">
        <f t="shared" si="9"/>
        <v>18.900000000000002</v>
      </c>
      <c r="N19" s="69">
        <f t="shared" si="9"/>
        <v>20.200000000000003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19.200000000000003</v>
      </c>
      <c r="I23" s="54">
        <f>SUM(J23)-1.4</f>
        <v>20.6</v>
      </c>
      <c r="J23" s="67">
        <v>22</v>
      </c>
      <c r="K23" s="68">
        <f>SUM(J23)+1.4</f>
        <v>23.4</v>
      </c>
      <c r="L23" s="68">
        <f t="shared" ref="L23:N23" si="10">SUM(K23)+1.4</f>
        <v>24.799999999999997</v>
      </c>
      <c r="M23" s="68">
        <f t="shared" si="10"/>
        <v>26.199999999999996</v>
      </c>
      <c r="N23" s="69">
        <f t="shared" si="10"/>
        <v>27.599999999999994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SUM(I25)-0.25</f>
        <v>3.5999999999999996</v>
      </c>
      <c r="I25" s="54">
        <f>SUM(J25)-0.25</f>
        <v>3.8499999999999996</v>
      </c>
      <c r="J25" s="67">
        <v>4.0999999999999996</v>
      </c>
      <c r="K25" s="68">
        <f>SUM(J25)+0.3</f>
        <v>4.3999999999999995</v>
      </c>
      <c r="L25" s="68">
        <f t="shared" ref="L25:N25" si="11">SUM(K25)+0.3</f>
        <v>4.6999999999999993</v>
      </c>
      <c r="M25" s="68">
        <f t="shared" si="11"/>
        <v>4.9999999999999991</v>
      </c>
      <c r="N25" s="69">
        <f t="shared" si="11"/>
        <v>5.2999999999999989</v>
      </c>
    </row>
    <row r="26" spans="1:14" s="1" customFormat="1" ht="14.1" customHeight="1" x14ac:dyDescent="0.3">
      <c r="A26" s="48"/>
      <c r="B26" s="57" t="s">
        <v>142</v>
      </c>
      <c r="C26" s="58"/>
      <c r="D26" s="46" t="s">
        <v>493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79" t="s">
        <v>134</v>
      </c>
      <c r="C27" s="80"/>
      <c r="D27" s="133"/>
      <c r="E27" s="134"/>
      <c r="F27" s="134"/>
      <c r="G27" s="135"/>
      <c r="H27" s="81">
        <f>SUM(I27)-0.3</f>
        <v>4.3000000000000007</v>
      </c>
      <c r="I27" s="81">
        <f>SUM(J27)-0.3</f>
        <v>4.6000000000000005</v>
      </c>
      <c r="J27" s="42">
        <v>4.9000000000000004</v>
      </c>
      <c r="K27" s="40">
        <f>SUM(J27)+0.3</f>
        <v>5.2</v>
      </c>
      <c r="L27" s="40">
        <f t="shared" ref="L27:N27" si="12">SUM(K27)+0.3</f>
        <v>5.5</v>
      </c>
      <c r="M27" s="40">
        <f t="shared" si="12"/>
        <v>5.8</v>
      </c>
      <c r="N27" s="44">
        <f t="shared" si="12"/>
        <v>6.1</v>
      </c>
    </row>
    <row r="28" spans="1:14" s="1" customFormat="1" ht="14.1" customHeight="1" thickBot="1" x14ac:dyDescent="0.35">
      <c r="A28" s="87"/>
      <c r="B28" s="96" t="s">
        <v>142</v>
      </c>
      <c r="C28" s="97"/>
      <c r="D28" s="98" t="s">
        <v>494</v>
      </c>
      <c r="E28" s="99"/>
      <c r="F28" s="99"/>
      <c r="G28" s="100"/>
      <c r="H28" s="91"/>
      <c r="I28" s="91"/>
      <c r="J28" s="92"/>
      <c r="K28" s="93"/>
      <c r="L28" s="93"/>
      <c r="M28" s="93"/>
      <c r="N28" s="121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7C98-421A-4455-B16C-011D695AD34F}">
  <sheetPr codeName="Sheet67">
    <tabColor rgb="FFFF0000"/>
    <pageSetUpPr fitToPage="1"/>
  </sheetPr>
  <dimension ref="A1:N51"/>
  <sheetViews>
    <sheetView zoomScale="110" zoomScaleNormal="110" workbookViewId="0">
      <selection activeCell="B25" sqref="B25:G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418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>SUM(K3)+3</f>
        <v>48</v>
      </c>
      <c r="M3" s="54">
        <f>SUM(L3)+3</f>
        <v>51</v>
      </c>
      <c r="N3" s="56">
        <f>SUM(M3)+3</f>
        <v>54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21.7</v>
      </c>
      <c r="I5" s="54">
        <f>SUM(J5)-2</f>
        <v>23.7</v>
      </c>
      <c r="J5" s="55">
        <v>25.7</v>
      </c>
      <c r="K5" s="54">
        <f>SUM(J5)+2</f>
        <v>27.7</v>
      </c>
      <c r="L5" s="54">
        <f t="shared" ref="L5:N5" si="0">SUM(K5)+2</f>
        <v>29.7</v>
      </c>
      <c r="M5" s="54">
        <f t="shared" si="0"/>
        <v>31.7</v>
      </c>
      <c r="N5" s="56">
        <f t="shared" si="0"/>
        <v>33.700000000000003</v>
      </c>
    </row>
    <row r="6" spans="1:14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 t="shared" ref="L7:N7" si="1">SUM(K7)+2</f>
        <v>39</v>
      </c>
      <c r="M7" s="54">
        <f t="shared" si="1"/>
        <v>41</v>
      </c>
      <c r="N7" s="56">
        <f t="shared" si="1"/>
        <v>43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30.5</v>
      </c>
      <c r="I9" s="54">
        <f>SUM(J9)-2.25</f>
        <v>32.75</v>
      </c>
      <c r="J9" s="55">
        <v>35</v>
      </c>
      <c r="K9" s="54">
        <f>SUM(J9)+2</f>
        <v>37</v>
      </c>
      <c r="L9" s="54">
        <f t="shared" ref="L9:N9" si="2">SUM(K9)+2</f>
        <v>39</v>
      </c>
      <c r="M9" s="54">
        <f t="shared" si="2"/>
        <v>41</v>
      </c>
      <c r="N9" s="56">
        <f t="shared" si="2"/>
        <v>43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0"/>
      <c r="N11" s="131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16.299999999999997</v>
      </c>
      <c r="I13" s="54">
        <f>SUM(J13)-0.6</f>
        <v>16.899999999999999</v>
      </c>
      <c r="J13" s="67">
        <v>17.5</v>
      </c>
      <c r="K13" s="68">
        <f>SUM(J13)+0.6</f>
        <v>18.100000000000001</v>
      </c>
      <c r="L13" s="68">
        <f>SUM(K13)+0.6</f>
        <v>18.700000000000003</v>
      </c>
      <c r="M13" s="68">
        <f>SUM(L13)+0.6</f>
        <v>19.300000000000004</v>
      </c>
      <c r="N13" s="69">
        <f>SUM(M13)+0.6</f>
        <v>19.900000000000006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6.1000000000000005</v>
      </c>
      <c r="I15" s="54">
        <f>SUM(J15)-0.3</f>
        <v>6.4</v>
      </c>
      <c r="J15" s="67">
        <v>6.7</v>
      </c>
      <c r="K15" s="68">
        <f>SUM(J15)+0.3</f>
        <v>7</v>
      </c>
      <c r="L15" s="68">
        <f t="shared" ref="L15:N15" si="3">SUM(K15)+0.3</f>
        <v>7.3</v>
      </c>
      <c r="M15" s="68">
        <f t="shared" si="3"/>
        <v>7.6</v>
      </c>
      <c r="N15" s="69">
        <f t="shared" si="3"/>
        <v>7.8999999999999995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42.8</v>
      </c>
      <c r="I17" s="54">
        <f>SUM(J17)-1.6</f>
        <v>44.4</v>
      </c>
      <c r="J17" s="67">
        <v>46</v>
      </c>
      <c r="K17" s="68">
        <f>SUM(J17)+1.6</f>
        <v>47.6</v>
      </c>
      <c r="L17" s="68">
        <f t="shared" ref="L17:N17" si="4">SUM(K17)+1.6</f>
        <v>49.2</v>
      </c>
      <c r="M17" s="68">
        <f t="shared" si="4"/>
        <v>50.800000000000004</v>
      </c>
      <c r="N17" s="69">
        <f t="shared" si="4"/>
        <v>52.400000000000006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263"/>
      <c r="N19" s="142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264"/>
      <c r="N20" s="143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23.900000000000002</v>
      </c>
      <c r="I23" s="54">
        <f>SUM(J23)-1.4</f>
        <v>25.3</v>
      </c>
      <c r="J23" s="67">
        <v>26.7</v>
      </c>
      <c r="K23" s="68">
        <f>SUM(J23)+1.4</f>
        <v>28.099999999999998</v>
      </c>
      <c r="L23" s="68">
        <f t="shared" ref="L23:N23" si="5">SUM(K23)+1.4</f>
        <v>29.499999999999996</v>
      </c>
      <c r="M23" s="68">
        <f t="shared" si="5"/>
        <v>30.899999999999995</v>
      </c>
      <c r="N23" s="69">
        <f t="shared" si="5"/>
        <v>32.299999999999997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 t="shared" ref="L25:N25" si="6">SUM(K25)+0.3</f>
        <v>4.5999999999999996</v>
      </c>
      <c r="M25" s="68">
        <f t="shared" si="6"/>
        <v>4.8999999999999995</v>
      </c>
      <c r="N25" s="69">
        <f t="shared" si="6"/>
        <v>5.1999999999999993</v>
      </c>
    </row>
    <row r="26" spans="1:14" s="1" customFormat="1" ht="14.1" customHeight="1" x14ac:dyDescent="0.3">
      <c r="A26" s="48"/>
      <c r="B26" s="57" t="s">
        <v>142</v>
      </c>
      <c r="C26" s="58"/>
      <c r="D26" s="46" t="s">
        <v>84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65" t="s">
        <v>135</v>
      </c>
      <c r="C27" s="66"/>
      <c r="D27" s="88" t="s">
        <v>102</v>
      </c>
      <c r="E27" s="89"/>
      <c r="F27" s="89"/>
      <c r="G27" s="90"/>
      <c r="H27" s="54">
        <f>SUM(I27)-0.3</f>
        <v>4.4000000000000004</v>
      </c>
      <c r="I27" s="54">
        <f>SUM(J27)-0.3</f>
        <v>4.7</v>
      </c>
      <c r="J27" s="42">
        <v>5</v>
      </c>
      <c r="K27" s="68">
        <f>SUM(J27)+0.3</f>
        <v>5.3</v>
      </c>
      <c r="L27" s="68">
        <f t="shared" ref="L27:N27" si="7">SUM(K27)+0.3</f>
        <v>5.6</v>
      </c>
      <c r="M27" s="68">
        <f t="shared" si="7"/>
        <v>5.8999999999999995</v>
      </c>
      <c r="N27" s="69">
        <f t="shared" si="7"/>
        <v>6.1999999999999993</v>
      </c>
    </row>
    <row r="28" spans="1:14" s="1" customFormat="1" ht="14.1" customHeight="1" x14ac:dyDescent="0.3">
      <c r="A28" s="48"/>
      <c r="B28" s="57" t="s">
        <v>143</v>
      </c>
      <c r="C28" s="58"/>
      <c r="D28" s="46" t="s">
        <v>101</v>
      </c>
      <c r="E28" s="47"/>
      <c r="F28" s="47"/>
      <c r="G28" s="59"/>
      <c r="H28" s="40"/>
      <c r="I28" s="40"/>
      <c r="J28" s="67"/>
      <c r="K28" s="68"/>
      <c r="L28" s="68"/>
      <c r="M28" s="68"/>
      <c r="N28" s="69"/>
    </row>
    <row r="29" spans="1:14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264"/>
      <c r="N29" s="143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271"/>
      <c r="N30" s="272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N23:N24"/>
    <mergeCell ref="N25:N26"/>
    <mergeCell ref="N27:N28"/>
    <mergeCell ref="N29:N30"/>
    <mergeCell ref="N11:N12"/>
    <mergeCell ref="N13:N14"/>
    <mergeCell ref="N15:N16"/>
    <mergeCell ref="N17:N18"/>
    <mergeCell ref="N19:N20"/>
    <mergeCell ref="N21:N22"/>
    <mergeCell ref="K29:K30"/>
    <mergeCell ref="L29:L30"/>
    <mergeCell ref="M29:M30"/>
    <mergeCell ref="B30:C30"/>
    <mergeCell ref="D30:G30"/>
    <mergeCell ref="A1:N1"/>
    <mergeCell ref="N3:N4"/>
    <mergeCell ref="N5:N6"/>
    <mergeCell ref="N7:N8"/>
    <mergeCell ref="N9:N1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5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A06D-02DB-4658-8850-66F3788E342D}">
  <sheetPr codeName="Sheet68">
    <tabColor rgb="FFFF0000"/>
    <pageSetUpPr fitToPage="1"/>
  </sheetPr>
  <dimension ref="A1:N51"/>
  <sheetViews>
    <sheetView zoomScale="110" zoomScaleNormal="110" workbookViewId="0">
      <selection activeCell="R31" sqref="R3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>SUM(K3)+3</f>
        <v>48</v>
      </c>
      <c r="M3" s="54">
        <f>SUM(L3)+3</f>
        <v>51</v>
      </c>
      <c r="N3" s="43">
        <f>SUM(M3)+3</f>
        <v>54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24</v>
      </c>
      <c r="I5" s="54">
        <f>SUM(J5)-2</f>
        <v>26</v>
      </c>
      <c r="J5" s="55">
        <v>28</v>
      </c>
      <c r="K5" s="54">
        <f>SUM(J5)+2</f>
        <v>30</v>
      </c>
      <c r="L5" s="54">
        <f t="shared" ref="L5:N5" si="0">SUM(K5)+2</f>
        <v>32</v>
      </c>
      <c r="M5" s="54">
        <f t="shared" si="0"/>
        <v>34</v>
      </c>
      <c r="N5" s="56">
        <f t="shared" si="0"/>
        <v>36</v>
      </c>
    </row>
    <row r="6" spans="1:14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32.5</v>
      </c>
      <c r="I7" s="54">
        <f>SUM(J7)-2.25</f>
        <v>34.75</v>
      </c>
      <c r="J7" s="55">
        <v>37</v>
      </c>
      <c r="K7" s="54">
        <f>SUM(J7)+2</f>
        <v>39</v>
      </c>
      <c r="L7" s="54">
        <f t="shared" ref="L7:N7" si="1">SUM(K7)+2</f>
        <v>41</v>
      </c>
      <c r="M7" s="54">
        <f t="shared" si="1"/>
        <v>43</v>
      </c>
      <c r="N7" s="56">
        <f t="shared" si="1"/>
        <v>45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32.5</v>
      </c>
      <c r="I9" s="54">
        <f>SUM(J9)-2.25</f>
        <v>34.75</v>
      </c>
      <c r="J9" s="55">
        <v>37</v>
      </c>
      <c r="K9" s="54">
        <f>SUM(J9)+2</f>
        <v>39</v>
      </c>
      <c r="L9" s="54">
        <f t="shared" ref="L9:N9" si="2">SUM(K9)+2</f>
        <v>41</v>
      </c>
      <c r="M9" s="54">
        <f t="shared" si="2"/>
        <v>43</v>
      </c>
      <c r="N9" s="56">
        <f t="shared" si="2"/>
        <v>45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0"/>
      <c r="N11" s="160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6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15.799999999999999</v>
      </c>
      <c r="I13" s="54">
        <f>SUM(J13)-0.6</f>
        <v>16.399999999999999</v>
      </c>
      <c r="J13" s="67">
        <v>17</v>
      </c>
      <c r="K13" s="68">
        <f>SUM(J13)+0.6</f>
        <v>17.600000000000001</v>
      </c>
      <c r="L13" s="68">
        <f>SUM(K13)+0.6</f>
        <v>18.200000000000003</v>
      </c>
      <c r="M13" s="68">
        <f>SUM(L13)+0.6</f>
        <v>18.800000000000004</v>
      </c>
      <c r="N13" s="56">
        <f>SUM(M13)+0.6</f>
        <v>19.400000000000006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44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6.9</v>
      </c>
      <c r="I15" s="54">
        <f>SUM(J15)-0.3</f>
        <v>7.2</v>
      </c>
      <c r="J15" s="67">
        <v>7.5</v>
      </c>
      <c r="K15" s="68">
        <f>SUM(J15)+0.3</f>
        <v>7.8</v>
      </c>
      <c r="L15" s="68">
        <f t="shared" ref="L15:N15" si="3">SUM(K15)+0.3</f>
        <v>8.1</v>
      </c>
      <c r="M15" s="68">
        <f t="shared" si="3"/>
        <v>8.4</v>
      </c>
      <c r="N15" s="56">
        <f t="shared" si="3"/>
        <v>8.7000000000000011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44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42.8</v>
      </c>
      <c r="I17" s="54">
        <f>SUM(J17)-1.6</f>
        <v>44.4</v>
      </c>
      <c r="J17" s="67">
        <v>46</v>
      </c>
      <c r="K17" s="68">
        <f>SUM(J17)+1.6</f>
        <v>47.6</v>
      </c>
      <c r="L17" s="68">
        <f t="shared" ref="L17:N17" si="4">SUM(K17)+1.6</f>
        <v>49.2</v>
      </c>
      <c r="M17" s="68">
        <f t="shared" si="4"/>
        <v>50.800000000000004</v>
      </c>
      <c r="N17" s="56">
        <f t="shared" si="4"/>
        <v>52.400000000000006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44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54"/>
      <c r="L19" s="54"/>
      <c r="M19" s="263"/>
      <c r="N19" s="101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264"/>
      <c r="N20" s="102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SUM(I23)-1.5</f>
        <v>23.4</v>
      </c>
      <c r="I23" s="54">
        <f>SUM(J23)-1.5</f>
        <v>24.9</v>
      </c>
      <c r="J23" s="67">
        <v>26.4</v>
      </c>
      <c r="K23" s="68">
        <f>SUM(J23)+1.5</f>
        <v>27.9</v>
      </c>
      <c r="L23" s="68">
        <f t="shared" ref="L23:N23" si="5">SUM(K23)+1.5</f>
        <v>29.4</v>
      </c>
      <c r="M23" s="68">
        <f t="shared" si="5"/>
        <v>30.9</v>
      </c>
      <c r="N23" s="56">
        <f t="shared" si="5"/>
        <v>32.4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44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SUM(I25)-0.2</f>
        <v>2.5999999999999996</v>
      </c>
      <c r="I25" s="54">
        <f>SUM(J25)-0.2</f>
        <v>2.8</v>
      </c>
      <c r="J25" s="67">
        <v>3</v>
      </c>
      <c r="K25" s="68">
        <f>SUM(J25)+0.2</f>
        <v>3.2</v>
      </c>
      <c r="L25" s="68">
        <f t="shared" ref="L25:N25" si="6">SUM(K25)+0.2</f>
        <v>3.4000000000000004</v>
      </c>
      <c r="M25" s="68">
        <f t="shared" si="6"/>
        <v>3.6000000000000005</v>
      </c>
      <c r="N25" s="56">
        <f t="shared" si="6"/>
        <v>3.8000000000000007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93"/>
      <c r="N26" s="147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N25:N26"/>
    <mergeCell ref="N13:N14"/>
    <mergeCell ref="N15:N16"/>
    <mergeCell ref="N17:N18"/>
    <mergeCell ref="N19:N20"/>
    <mergeCell ref="N21:N22"/>
    <mergeCell ref="N23:N24"/>
    <mergeCell ref="N3:N4"/>
    <mergeCell ref="N5:N6"/>
    <mergeCell ref="N7:N8"/>
    <mergeCell ref="N9:N10"/>
    <mergeCell ref="N11:N1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5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7F8F-4EBD-493E-BF86-7EE3C9C1A58E}">
  <sheetPr codeName="Sheet69">
    <tabColor rgb="FFFF0000"/>
    <pageSetUpPr fitToPage="1"/>
  </sheetPr>
  <dimension ref="A1:N51"/>
  <sheetViews>
    <sheetView zoomScale="110" zoomScaleNormal="110" workbookViewId="0">
      <selection activeCell="N1" sqref="N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19" t="s">
        <v>145</v>
      </c>
      <c r="M2" s="21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278">
        <f t="shared" ref="L3:M3" si="0">SUM(K3)+3</f>
        <v>51</v>
      </c>
      <c r="M3" s="56">
        <f t="shared" si="0"/>
        <v>54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7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33.599999999999994</v>
      </c>
      <c r="I5" s="54">
        <f>SUM(J5)-2.2</f>
        <v>35.799999999999997</v>
      </c>
      <c r="J5" s="55">
        <v>38</v>
      </c>
      <c r="K5" s="54">
        <f>SUM(J5)+2</f>
        <v>40</v>
      </c>
      <c r="L5" s="278">
        <f>SUM(K5)+2</f>
        <v>42</v>
      </c>
      <c r="M5" s="56">
        <f>SUM(L5)+2</f>
        <v>44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7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278">
        <f t="shared" ref="L7:M7" si="1">SUM(K7)+2</f>
        <v>44</v>
      </c>
      <c r="M7" s="56">
        <f t="shared" si="1"/>
        <v>46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7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35.5</v>
      </c>
      <c r="I9" s="54">
        <f>SUM(J9)-2.25</f>
        <v>37.75</v>
      </c>
      <c r="J9" s="55">
        <v>40</v>
      </c>
      <c r="K9" s="54">
        <f>SUM(J9)+2</f>
        <v>42</v>
      </c>
      <c r="L9" s="278">
        <f t="shared" ref="L9" si="2">SUM(K9)+2</f>
        <v>44</v>
      </c>
      <c r="M9" s="56">
        <f t="shared" ref="M9" si="3">SUM(L9)+2</f>
        <v>46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7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14.5</v>
      </c>
      <c r="I11" s="60">
        <f>SUM(J11)-0.8</f>
        <v>15.3</v>
      </c>
      <c r="J11" s="132">
        <v>16.100000000000001</v>
      </c>
      <c r="K11" s="130">
        <f>SUM(J11)+0.8</f>
        <v>16.900000000000002</v>
      </c>
      <c r="L11" s="279">
        <f t="shared" ref="L11:M11" si="4">SUM(K11)+0.8</f>
        <v>17.700000000000003</v>
      </c>
      <c r="M11" s="131">
        <f t="shared" si="4"/>
        <v>18.500000000000004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279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15.999999999999998</v>
      </c>
      <c r="I13" s="54">
        <f>SUM(J13)-0.6</f>
        <v>16.599999999999998</v>
      </c>
      <c r="J13" s="67">
        <v>17.2</v>
      </c>
      <c r="K13" s="68">
        <f>SUM(J13)+0.6</f>
        <v>17.8</v>
      </c>
      <c r="L13" s="276">
        <f>SUM(K13)+0.6</f>
        <v>18.400000000000002</v>
      </c>
      <c r="M13" s="69">
        <f>SUM(L13)+0.6</f>
        <v>19.000000000000004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276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276">
        <f>SUM(K15)+0.3</f>
        <v>7.3999999999999995</v>
      </c>
      <c r="M15" s="69">
        <f t="shared" ref="M15" si="5">SUM(L15)+0.3</f>
        <v>7.6999999999999993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276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276">
        <f>SUM(K17)+1.6</f>
        <v>46.2</v>
      </c>
      <c r="M17" s="69">
        <f t="shared" ref="M17" si="6">SUM(L17)+1.6</f>
        <v>47.800000000000004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276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SUM(I19)-0.9</f>
        <v>9.6999999999999993</v>
      </c>
      <c r="I19" s="54">
        <f>SUM(J19)-0.9</f>
        <v>10.6</v>
      </c>
      <c r="J19" s="55">
        <v>11.5</v>
      </c>
      <c r="K19" s="68">
        <f>SUM(J19)+1</f>
        <v>12.5</v>
      </c>
      <c r="L19" s="276">
        <f>SUM(K19)+1</f>
        <v>13.5</v>
      </c>
      <c r="M19" s="69">
        <f>SUM(L19)+1</f>
        <v>14.5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276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276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276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25.4</v>
      </c>
      <c r="I23" s="54">
        <f>SUM(J23)-1.3</f>
        <v>26.7</v>
      </c>
      <c r="J23" s="67">
        <v>28</v>
      </c>
      <c r="K23" s="68">
        <f>SUM(J23)+1.3</f>
        <v>29.3</v>
      </c>
      <c r="L23" s="276">
        <f t="shared" ref="L23:M23" si="7">SUM(K23)+1.3</f>
        <v>30.6</v>
      </c>
      <c r="M23" s="69">
        <f t="shared" si="7"/>
        <v>31.900000000000002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276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276">
        <f t="shared" ref="L25:M25" si="8">SUM(K25)+0.3</f>
        <v>5.6</v>
      </c>
      <c r="M25" s="69">
        <f t="shared" si="8"/>
        <v>5.8999999999999995</v>
      </c>
    </row>
    <row r="26" spans="1:14" s="1" customFormat="1" ht="14.1" customHeight="1" x14ac:dyDescent="0.3">
      <c r="A26" s="78"/>
      <c r="B26" s="79" t="s">
        <v>142</v>
      </c>
      <c r="C26" s="80"/>
      <c r="D26" s="51"/>
      <c r="E26" s="52"/>
      <c r="F26" s="52"/>
      <c r="G26" s="53"/>
      <c r="H26" s="81"/>
      <c r="I26" s="81"/>
      <c r="J26" s="55"/>
      <c r="K26" s="54"/>
      <c r="L26" s="278"/>
      <c r="M26" s="56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276"/>
      <c r="M27" s="69"/>
    </row>
    <row r="28" spans="1:14" s="1" customFormat="1" ht="14.1" customHeight="1" thickBot="1" x14ac:dyDescent="0.35">
      <c r="A28" s="87"/>
      <c r="B28" s="96"/>
      <c r="C28" s="97"/>
      <c r="D28" s="98"/>
      <c r="E28" s="99"/>
      <c r="F28" s="99"/>
      <c r="G28" s="100"/>
      <c r="H28" s="91"/>
      <c r="I28" s="91"/>
      <c r="J28" s="92"/>
      <c r="K28" s="93"/>
      <c r="L28" s="277"/>
      <c r="M28" s="121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B11:C11"/>
    <mergeCell ref="D11:G11"/>
    <mergeCell ref="H11:H12"/>
    <mergeCell ref="I11:I12"/>
    <mergeCell ref="B9:C9"/>
    <mergeCell ref="D9:G9"/>
    <mergeCell ref="H9:H10"/>
    <mergeCell ref="H17:H18"/>
    <mergeCell ref="I17:I18"/>
    <mergeCell ref="J17:J18"/>
    <mergeCell ref="J15:J16"/>
    <mergeCell ref="B16:C16"/>
    <mergeCell ref="D16:G16"/>
    <mergeCell ref="D5:G5"/>
    <mergeCell ref="H5:H6"/>
    <mergeCell ref="I5:I6"/>
    <mergeCell ref="J5:J6"/>
    <mergeCell ref="B6:C6"/>
    <mergeCell ref="D6:G6"/>
    <mergeCell ref="A7:A8"/>
    <mergeCell ref="B7:C7"/>
    <mergeCell ref="D7:G7"/>
    <mergeCell ref="H7:H8"/>
    <mergeCell ref="I7:I8"/>
    <mergeCell ref="J11:J12"/>
    <mergeCell ref="A11:A12"/>
    <mergeCell ref="A9:A10"/>
    <mergeCell ref="J7:J8"/>
    <mergeCell ref="I9:I10"/>
    <mergeCell ref="B20:C20"/>
    <mergeCell ref="D20:G20"/>
    <mergeCell ref="A19:A20"/>
    <mergeCell ref="B19:C19"/>
    <mergeCell ref="D19:G19"/>
    <mergeCell ref="H19:H20"/>
    <mergeCell ref="I19:I20"/>
    <mergeCell ref="B14:C14"/>
    <mergeCell ref="D14:G14"/>
    <mergeCell ref="B18:C18"/>
    <mergeCell ref="D18:G18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17:A18"/>
    <mergeCell ref="B17:C17"/>
    <mergeCell ref="D17:G17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A25:A26"/>
    <mergeCell ref="B25:C25"/>
    <mergeCell ref="D25:G25"/>
    <mergeCell ref="H25:H26"/>
    <mergeCell ref="I25:I26"/>
    <mergeCell ref="J25:J26"/>
    <mergeCell ref="J23:J24"/>
    <mergeCell ref="K23:K24"/>
    <mergeCell ref="K25:K26"/>
    <mergeCell ref="B26:C26"/>
    <mergeCell ref="D26:G26"/>
    <mergeCell ref="B24:C24"/>
    <mergeCell ref="D24:G24"/>
    <mergeCell ref="L15:L16"/>
    <mergeCell ref="K19:K20"/>
    <mergeCell ref="L19:L20"/>
    <mergeCell ref="M23:M24"/>
    <mergeCell ref="K21:K22"/>
    <mergeCell ref="L21:L22"/>
    <mergeCell ref="M21:M22"/>
    <mergeCell ref="L23:L24"/>
    <mergeCell ref="L25:L26"/>
    <mergeCell ref="J21:J22"/>
    <mergeCell ref="J19:J20"/>
    <mergeCell ref="J13:J14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7:K28"/>
    <mergeCell ref="L27:L28"/>
    <mergeCell ref="M25:M26"/>
    <mergeCell ref="M19:M20"/>
    <mergeCell ref="K17:K18"/>
    <mergeCell ref="L17:L18"/>
    <mergeCell ref="M17:M18"/>
    <mergeCell ref="M15:M16"/>
    <mergeCell ref="K13:K14"/>
    <mergeCell ref="L13:L14"/>
    <mergeCell ref="M13:M14"/>
    <mergeCell ref="K15:K1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C0C8-7E50-47A2-9AE4-132BFB72D8C4}">
  <sheetPr>
    <tabColor rgb="FFFF0000"/>
    <pageSetUpPr fitToPage="1"/>
  </sheetPr>
  <dimension ref="A1:M51"/>
  <sheetViews>
    <sheetView zoomScale="110" zoomScaleNormal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603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30.200000000000003</v>
      </c>
      <c r="I3" s="54">
        <f>SUM(J3)-3</f>
        <v>33.200000000000003</v>
      </c>
      <c r="J3" s="55">
        <v>36.200000000000003</v>
      </c>
      <c r="K3" s="54">
        <f>SUM(J3)+2.5</f>
        <v>38.700000000000003</v>
      </c>
      <c r="L3" s="54">
        <f>SUM(K3)+2.5</f>
        <v>41.2</v>
      </c>
      <c r="M3" s="56">
        <f>SUM(L3)+2.5</f>
        <v>43.7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22.4</v>
      </c>
      <c r="I5" s="54">
        <f>SUM(J5)-1.8</f>
        <v>24.2</v>
      </c>
      <c r="J5" s="55">
        <v>26</v>
      </c>
      <c r="K5" s="54">
        <f>SUM(J5)+1.6</f>
        <v>27.6</v>
      </c>
      <c r="L5" s="54">
        <f>SUM(K5)+1.6</f>
        <v>29.200000000000003</v>
      </c>
      <c r="M5" s="56">
        <f>SUM(L5)+1.6</f>
        <v>30.800000000000004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</v>
      </c>
      <c r="I7" s="54">
        <f>SUM(J7)-2.25</f>
        <v>30.25</v>
      </c>
      <c r="J7" s="55">
        <v>32.5</v>
      </c>
      <c r="K7" s="54">
        <f>SUM(J7)+2</f>
        <v>34.5</v>
      </c>
      <c r="L7" s="54">
        <f>SUM(K7)+2</f>
        <v>36.5</v>
      </c>
      <c r="M7" s="56">
        <f>SUM(L7)+2</f>
        <v>38.5</v>
      </c>
    </row>
    <row r="8" spans="1:13" s="1" customFormat="1" ht="14.1" customHeight="1" x14ac:dyDescent="0.3">
      <c r="A8" s="48"/>
      <c r="B8" s="45" t="s">
        <v>40</v>
      </c>
      <c r="C8" s="45"/>
      <c r="D8" s="46" t="s">
        <v>604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505</v>
      </c>
      <c r="C9" s="60"/>
      <c r="D9" s="61"/>
      <c r="E9" s="61"/>
      <c r="F9" s="61"/>
      <c r="G9" s="61"/>
      <c r="H9" s="54">
        <f>SUM(I9)-3</f>
        <v>52</v>
      </c>
      <c r="I9" s="54">
        <f>SUM(J9)-3</f>
        <v>55</v>
      </c>
      <c r="J9" s="55">
        <v>58</v>
      </c>
      <c r="K9" s="54">
        <f>SUM(J9)+3</f>
        <v>61</v>
      </c>
      <c r="L9" s="54">
        <f>SUM(K9)+3</f>
        <v>64</v>
      </c>
      <c r="M9" s="56">
        <f>SUM(L9)+3</f>
        <v>67</v>
      </c>
    </row>
    <row r="10" spans="1:13" s="1" customFormat="1" ht="14.1" customHeight="1" x14ac:dyDescent="0.3">
      <c r="A10" s="48"/>
      <c r="B10" s="45" t="s">
        <v>506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11.799999999999999</v>
      </c>
      <c r="I11" s="60">
        <f>SUM(J11)-0.9</f>
        <v>12.6</v>
      </c>
      <c r="J11" s="132">
        <v>13.5</v>
      </c>
      <c r="K11" s="130">
        <f>SUM(J11)+0.8</f>
        <v>14.3</v>
      </c>
      <c r="L11" s="130">
        <f t="shared" ref="L11" si="0">SUM(K11)+0.8</f>
        <v>15.100000000000001</v>
      </c>
      <c r="M11" s="131">
        <f>SUM(L11)+0.9</f>
        <v>16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13.600000000000001</v>
      </c>
      <c r="I13" s="54">
        <f>SUM(J13)-0.6</f>
        <v>14.200000000000001</v>
      </c>
      <c r="J13" s="67">
        <v>14.8</v>
      </c>
      <c r="K13" s="68">
        <f>SUM(J13)+0.6</f>
        <v>15.4</v>
      </c>
      <c r="L13" s="68">
        <f>SUM(K13)+0.6</f>
        <v>16</v>
      </c>
      <c r="M13" s="69">
        <f>SUM(L13)+0.6</f>
        <v>16.600000000000001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46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9">
        <f>SUM(L15)+0.3</f>
        <v>7.6999999999999993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611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605</v>
      </c>
      <c r="C17" s="66"/>
      <c r="D17" s="62"/>
      <c r="E17" s="63"/>
      <c r="F17" s="63"/>
      <c r="G17" s="64"/>
      <c r="H17" s="54">
        <f>SUM(I17)-0.6</f>
        <v>11.3</v>
      </c>
      <c r="I17" s="54">
        <f>SUM(J17)-0.6</f>
        <v>11.9</v>
      </c>
      <c r="J17" s="67">
        <v>12.5</v>
      </c>
      <c r="K17" s="68">
        <f>SUM(J17)+0.6</f>
        <v>13.1</v>
      </c>
      <c r="L17" s="68">
        <f>SUM(K17)+0.6</f>
        <v>13.7</v>
      </c>
      <c r="M17" s="69">
        <f>SUM(L17)+0.6</f>
        <v>14.299999999999999</v>
      </c>
    </row>
    <row r="18" spans="1:13" s="1" customFormat="1" ht="14.1" customHeight="1" x14ac:dyDescent="0.3">
      <c r="A18" s="48"/>
      <c r="B18" s="45" t="s">
        <v>606</v>
      </c>
      <c r="C18" s="45"/>
      <c r="D18" s="46" t="s">
        <v>612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SUM(I19)-0.5</f>
        <v>7</v>
      </c>
      <c r="I19" s="54">
        <f>SUM(J19)-0.5</f>
        <v>7.5</v>
      </c>
      <c r="J19" s="67">
        <v>8</v>
      </c>
      <c r="K19" s="68">
        <f>SUM(J19)+0.5</f>
        <v>8.5</v>
      </c>
      <c r="L19" s="68">
        <f>SUM(K19)+0.5</f>
        <v>9</v>
      </c>
      <c r="M19" s="69">
        <f>SUM(L19)+0.5</f>
        <v>9.5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607</v>
      </c>
      <c r="C21" s="60"/>
      <c r="D21" s="62"/>
      <c r="E21" s="63"/>
      <c r="F21" s="63"/>
      <c r="G21" s="64"/>
      <c r="H21" s="54">
        <f>SUM(I21)-1.2</f>
        <v>10.600000000000001</v>
      </c>
      <c r="I21" s="54">
        <f>SUM(J21)-1.2</f>
        <v>11.8</v>
      </c>
      <c r="J21" s="67">
        <v>13</v>
      </c>
      <c r="K21" s="68">
        <f>SUM(J21)+1.2</f>
        <v>14.2</v>
      </c>
      <c r="L21" s="68">
        <f>SUM(K21)+1.2</f>
        <v>15.399999999999999</v>
      </c>
      <c r="M21" s="69">
        <f>SUM(L21)+1.2</f>
        <v>16.599999999999998</v>
      </c>
    </row>
    <row r="22" spans="1:13" s="1" customFormat="1" ht="14.1" customHeight="1" x14ac:dyDescent="0.3">
      <c r="A22" s="48"/>
      <c r="B22" s="45" t="s">
        <v>608</v>
      </c>
      <c r="C22" s="45"/>
      <c r="D22" s="46"/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609</v>
      </c>
      <c r="C23" s="66"/>
      <c r="D23" s="61"/>
      <c r="E23" s="61"/>
      <c r="F23" s="61"/>
      <c r="G23" s="61"/>
      <c r="H23" s="54">
        <f>SUM(I23)-0.6</f>
        <v>10.8</v>
      </c>
      <c r="I23" s="54">
        <f>SUM(J23)-0.6</f>
        <v>11.4</v>
      </c>
      <c r="J23" s="67">
        <v>12</v>
      </c>
      <c r="K23" s="68">
        <f>SUM(J23)+0.6</f>
        <v>12.6</v>
      </c>
      <c r="L23" s="68">
        <f>SUM(K23)+0.6</f>
        <v>13.2</v>
      </c>
      <c r="M23" s="69">
        <f>SUM(L23)+0.6</f>
        <v>13.799999999999999</v>
      </c>
    </row>
    <row r="24" spans="1:13" s="1" customFormat="1" ht="14.1" customHeight="1" x14ac:dyDescent="0.3">
      <c r="A24" s="48"/>
      <c r="B24" s="45" t="s">
        <v>610</v>
      </c>
      <c r="C24" s="45"/>
      <c r="D24" s="46"/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507</v>
      </c>
      <c r="C25" s="66"/>
      <c r="D25" s="88"/>
      <c r="E25" s="89"/>
      <c r="F25" s="89"/>
      <c r="G25" s="90"/>
      <c r="H25" s="54">
        <f>SUM(I25)-1</f>
        <v>4</v>
      </c>
      <c r="I25" s="54">
        <f>SUM(J25)-1</f>
        <v>5</v>
      </c>
      <c r="J25" s="55">
        <v>6</v>
      </c>
      <c r="K25" s="54">
        <f>SUM(J25)+0.5</f>
        <v>6.5</v>
      </c>
      <c r="L25" s="54">
        <f>SUM(K25)+0.5</f>
        <v>7</v>
      </c>
      <c r="M25" s="56">
        <f>SUM(L25)+0.5</f>
        <v>7.5</v>
      </c>
    </row>
    <row r="26" spans="1:13" s="1" customFormat="1" ht="14.1" customHeight="1" x14ac:dyDescent="0.3">
      <c r="A26" s="48"/>
      <c r="B26" s="70" t="s">
        <v>508</v>
      </c>
      <c r="C26" s="71"/>
      <c r="D26" s="46"/>
      <c r="E26" s="47"/>
      <c r="F26" s="47"/>
      <c r="G26" s="59"/>
      <c r="H26" s="40"/>
      <c r="I26" s="40"/>
      <c r="J26" s="42"/>
      <c r="K26" s="40"/>
      <c r="L26" s="40"/>
      <c r="M26" s="44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D558-7633-4BCA-BAF0-125482A22954}">
  <sheetPr codeName="Sheet70">
    <tabColor rgb="FFFF0000"/>
    <pageSetUpPr fitToPage="1"/>
  </sheetPr>
  <dimension ref="A1:Q51"/>
  <sheetViews>
    <sheetView zoomScale="110" zoomScaleNormal="110" workbookViewId="0">
      <selection activeCell="O21" sqref="O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 x14ac:dyDescent="0.35">
      <c r="A1" s="30" t="s">
        <v>529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7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7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/>
      <c r="I3" s="54">
        <f>SUM(J3)-3.5</f>
        <v>41.5</v>
      </c>
      <c r="J3" s="55">
        <v>45</v>
      </c>
      <c r="K3" s="54">
        <f>SUM(J3)+3</f>
        <v>48</v>
      </c>
      <c r="L3" s="54">
        <f t="shared" ref="L3:N3" si="0">SUM(K3)+3</f>
        <v>51</v>
      </c>
      <c r="M3" s="39">
        <f t="shared" si="0"/>
        <v>54</v>
      </c>
      <c r="N3" s="115">
        <f t="shared" si="0"/>
        <v>57</v>
      </c>
    </row>
    <row r="4" spans="1:17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7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/>
      <c r="I5" s="54"/>
      <c r="J5" s="55"/>
      <c r="K5" s="54"/>
      <c r="L5" s="54"/>
      <c r="M5" s="54"/>
      <c r="N5" s="115"/>
    </row>
    <row r="6" spans="1:17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7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/>
      <c r="I7" s="54">
        <f>SUM(J7)-2</f>
        <v>30</v>
      </c>
      <c r="J7" s="55">
        <v>32</v>
      </c>
      <c r="K7" s="54">
        <f>SUM(J7)+1.8</f>
        <v>33.799999999999997</v>
      </c>
      <c r="L7" s="54">
        <f>SUM(K7)+1.8</f>
        <v>35.599999999999994</v>
      </c>
      <c r="M7" s="54">
        <f>SUM(L7)+1.8</f>
        <v>37.399999999999991</v>
      </c>
      <c r="N7" s="115">
        <f>SUM(M7)+1.8</f>
        <v>39.199999999999989</v>
      </c>
    </row>
    <row r="8" spans="1:17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7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/>
      <c r="I9" s="54">
        <f>SUM(J9)-2</f>
        <v>30</v>
      </c>
      <c r="J9" s="55">
        <v>32</v>
      </c>
      <c r="K9" s="54">
        <f>SUM(J9)+1.8</f>
        <v>33.799999999999997</v>
      </c>
      <c r="L9" s="54">
        <f t="shared" ref="L9:N9" si="1">SUM(K9)+1.8</f>
        <v>35.599999999999994</v>
      </c>
      <c r="M9" s="54">
        <f t="shared" si="1"/>
        <v>37.399999999999991</v>
      </c>
      <c r="N9" s="115">
        <f t="shared" si="1"/>
        <v>39.199999999999989</v>
      </c>
    </row>
    <row r="10" spans="1:17" s="1" customFormat="1" ht="14.1" customHeight="1" x14ac:dyDescent="0.3">
      <c r="A10" s="48"/>
      <c r="B10" s="45" t="s">
        <v>269</v>
      </c>
      <c r="C10" s="45"/>
      <c r="D10" s="46" t="s">
        <v>267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7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>
        <f>SUM(J11)-0.8</f>
        <v>14.2</v>
      </c>
      <c r="J11" s="132">
        <v>15</v>
      </c>
      <c r="K11" s="130">
        <f>SUM(J11)+0.8</f>
        <v>15.8</v>
      </c>
      <c r="L11" s="130">
        <f t="shared" ref="L11:N11" si="2">SUM(K11)+0.9</f>
        <v>16.7</v>
      </c>
      <c r="M11" s="130">
        <f t="shared" si="2"/>
        <v>17.599999999999998</v>
      </c>
      <c r="N11" s="136">
        <f t="shared" si="2"/>
        <v>18.499999999999996</v>
      </c>
    </row>
    <row r="12" spans="1:17" s="1" customFormat="1" ht="14.1" customHeight="1" x14ac:dyDescent="0.3">
      <c r="A12" s="48"/>
      <c r="B12" s="45" t="s">
        <v>26</v>
      </c>
      <c r="C12" s="45"/>
      <c r="D12" s="46" t="s">
        <v>530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7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/>
      <c r="I13" s="54"/>
      <c r="J13" s="67"/>
      <c r="K13" s="68"/>
      <c r="L13" s="68"/>
      <c r="M13" s="68"/>
      <c r="N13" s="117"/>
    </row>
    <row r="14" spans="1:17" s="1" customFormat="1" ht="14.1" customHeight="1" thickBot="1" x14ac:dyDescent="0.35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7" s="1" customFormat="1" ht="14.1" customHeight="1" thickTop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/>
      <c r="I15" s="54"/>
      <c r="J15" s="67"/>
      <c r="K15" s="68"/>
      <c r="L15" s="68"/>
      <c r="M15" s="68"/>
      <c r="N15" s="117"/>
      <c r="Q15" s="16" t="s">
        <v>457</v>
      </c>
    </row>
    <row r="16" spans="1:17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  <c r="Q16" s="17">
        <f>SUM(H29+H29+I29+I29+J29+J29+K29+K29+L29+L29+M29+M29+N29+N29)</f>
        <v>187.40000000000003</v>
      </c>
    </row>
    <row r="17" spans="1:17" s="1" customFormat="1" ht="14.1" customHeight="1" thickBot="1" x14ac:dyDescent="0.35">
      <c r="A17" s="48">
        <v>8</v>
      </c>
      <c r="B17" s="65" t="s">
        <v>563</v>
      </c>
      <c r="C17" s="66"/>
      <c r="D17" s="62" t="s">
        <v>531</v>
      </c>
      <c r="E17" s="63"/>
      <c r="F17" s="63"/>
      <c r="G17" s="64"/>
      <c r="H17" s="54"/>
      <c r="I17" s="54">
        <f>SUM(J17)-2.6</f>
        <v>47.4</v>
      </c>
      <c r="J17" s="67">
        <v>50</v>
      </c>
      <c r="K17" s="68">
        <f>SUM(J17)+2.5</f>
        <v>52.5</v>
      </c>
      <c r="L17" s="68">
        <f t="shared" ref="L17:N17" si="3">SUM(K17)+2.5</f>
        <v>55</v>
      </c>
      <c r="M17" s="68">
        <f t="shared" si="3"/>
        <v>57.5</v>
      </c>
      <c r="N17" s="69">
        <f t="shared" si="3"/>
        <v>60</v>
      </c>
      <c r="Q17" s="18">
        <f>SUM(Q16/91.44/6*1.08)</f>
        <v>0.36889763779527568</v>
      </c>
    </row>
    <row r="18" spans="1:17" s="1" customFormat="1" ht="14.1" customHeight="1" thickTop="1" x14ac:dyDescent="0.3">
      <c r="A18" s="48"/>
      <c r="B18" s="45" t="s">
        <v>564</v>
      </c>
      <c r="C18" s="45"/>
      <c r="D18" s="46" t="s">
        <v>532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7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>
        <f>SUM(J19)-1.2</f>
        <v>11.8</v>
      </c>
      <c r="J19" s="55">
        <v>13</v>
      </c>
      <c r="K19" s="68">
        <f>SUM(J19)+1.3</f>
        <v>14.3</v>
      </c>
      <c r="L19" s="68">
        <f t="shared" ref="L19:N19" si="4">SUM(K19)+1.3</f>
        <v>15.600000000000001</v>
      </c>
      <c r="M19" s="68">
        <f t="shared" si="4"/>
        <v>16.900000000000002</v>
      </c>
      <c r="N19" s="117">
        <f t="shared" si="4"/>
        <v>18.200000000000003</v>
      </c>
    </row>
    <row r="20" spans="1:17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7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7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7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>
        <f>SUM(J23)-1.4</f>
        <v>21.6</v>
      </c>
      <c r="J23" s="67">
        <v>23</v>
      </c>
      <c r="K23" s="68">
        <f>SUM(J23)+1.4</f>
        <v>24.4</v>
      </c>
      <c r="L23" s="68">
        <f t="shared" ref="L23:N23" si="5">SUM(K23)+1.4</f>
        <v>25.799999999999997</v>
      </c>
      <c r="M23" s="68">
        <f t="shared" si="5"/>
        <v>27.199999999999996</v>
      </c>
      <c r="N23" s="117">
        <f t="shared" si="5"/>
        <v>28.599999999999994</v>
      </c>
    </row>
    <row r="24" spans="1:17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7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/>
      <c r="I25" s="54">
        <f>SUM(J25)-0.4</f>
        <v>4</v>
      </c>
      <c r="J25" s="67">
        <v>4.4000000000000004</v>
      </c>
      <c r="K25" s="68">
        <f>SUM(J25)+0.4</f>
        <v>4.8000000000000007</v>
      </c>
      <c r="L25" s="68">
        <f t="shared" ref="L25:N25" si="6">SUM(K25)+0.4</f>
        <v>5.2000000000000011</v>
      </c>
      <c r="M25" s="68">
        <f t="shared" si="6"/>
        <v>5.6000000000000014</v>
      </c>
      <c r="N25" s="69">
        <f t="shared" si="6"/>
        <v>6.0000000000000018</v>
      </c>
    </row>
    <row r="26" spans="1:17" s="1" customFormat="1" ht="14.1" customHeight="1" x14ac:dyDescent="0.3">
      <c r="A26" s="48"/>
      <c r="B26" s="57" t="s">
        <v>142</v>
      </c>
      <c r="C26" s="58"/>
      <c r="D26" s="46" t="s">
        <v>353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7" s="1" customFormat="1" ht="14.1" customHeight="1" x14ac:dyDescent="0.3">
      <c r="A27" s="48">
        <v>13</v>
      </c>
      <c r="B27" s="65" t="s">
        <v>135</v>
      </c>
      <c r="C27" s="66"/>
      <c r="D27" s="88"/>
      <c r="E27" s="89"/>
      <c r="F27" s="89"/>
      <c r="G27" s="90"/>
      <c r="H27" s="54"/>
      <c r="I27" s="54">
        <f>SUM(J27)-0.5</f>
        <v>4.0999999999999996</v>
      </c>
      <c r="J27" s="67">
        <v>4.5999999999999996</v>
      </c>
      <c r="K27" s="68">
        <f>SUM(J27)+0.5</f>
        <v>5.0999999999999996</v>
      </c>
      <c r="L27" s="68">
        <f t="shared" ref="L27:N27" si="7">SUM(K27)+0.5</f>
        <v>5.6</v>
      </c>
      <c r="M27" s="68">
        <f t="shared" si="7"/>
        <v>6.1</v>
      </c>
      <c r="N27" s="117">
        <f t="shared" si="7"/>
        <v>6.6</v>
      </c>
    </row>
    <row r="28" spans="1:17" s="1" customFormat="1" ht="14.1" customHeight="1" x14ac:dyDescent="0.3">
      <c r="A28" s="48"/>
      <c r="B28" s="57" t="s">
        <v>143</v>
      </c>
      <c r="C28" s="58"/>
      <c r="D28" s="46" t="s">
        <v>533</v>
      </c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7" s="1" customFormat="1" ht="14.1" customHeight="1" x14ac:dyDescent="0.3">
      <c r="A29" s="48">
        <v>14</v>
      </c>
      <c r="B29" s="65" t="s">
        <v>534</v>
      </c>
      <c r="C29" s="66"/>
      <c r="D29" s="61"/>
      <c r="E29" s="61"/>
      <c r="F29" s="61"/>
      <c r="G29" s="61"/>
      <c r="H29" s="54"/>
      <c r="I29" s="54">
        <f>SUM(J29)-1.3</f>
        <v>12.7</v>
      </c>
      <c r="J29" s="42">
        <v>14</v>
      </c>
      <c r="K29" s="68">
        <f>SUM(J29)+1.1</f>
        <v>15.1</v>
      </c>
      <c r="L29" s="68">
        <f t="shared" ref="L29:N29" si="8">SUM(K29)+1.1</f>
        <v>16.2</v>
      </c>
      <c r="M29" s="68">
        <f t="shared" si="8"/>
        <v>17.3</v>
      </c>
      <c r="N29" s="69">
        <f t="shared" si="8"/>
        <v>18.400000000000002</v>
      </c>
    </row>
    <row r="30" spans="1:17" s="1" customFormat="1" ht="14.1" customHeight="1" thickBot="1" x14ac:dyDescent="0.35">
      <c r="A30" s="87"/>
      <c r="B30" s="141" t="s">
        <v>535</v>
      </c>
      <c r="C30" s="141"/>
      <c r="D30" s="98" t="s">
        <v>468</v>
      </c>
      <c r="E30" s="99"/>
      <c r="F30" s="99"/>
      <c r="G30" s="100"/>
      <c r="H30" s="91"/>
      <c r="I30" s="91"/>
      <c r="J30" s="92"/>
      <c r="K30" s="93"/>
      <c r="L30" s="93"/>
      <c r="M30" s="93"/>
      <c r="N30" s="121"/>
    </row>
    <row r="31" spans="1:17" ht="14.1" customHeight="1" x14ac:dyDescent="0.3"/>
    <row r="32" spans="1:17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348E-3503-4657-A530-669D64A88510}">
  <sheetPr codeName="Sheet71">
    <tabColor rgb="FFFF0000"/>
    <pageSetUpPr fitToPage="1"/>
  </sheetPr>
  <dimension ref="A1:N51"/>
  <sheetViews>
    <sheetView zoomScale="110" zoomScaleNormal="110" workbookViewId="0">
      <selection activeCell="O17" sqref="O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37.5</v>
      </c>
      <c r="I3" s="54">
        <f>SUM(J3)-3.5</f>
        <v>41</v>
      </c>
      <c r="J3" s="55">
        <v>44.5</v>
      </c>
      <c r="K3" s="54">
        <f>SUM(J3)+3</f>
        <v>47.5</v>
      </c>
      <c r="L3" s="54">
        <f t="shared" ref="L3:M3" si="0">SUM(K3)+3</f>
        <v>50.5</v>
      </c>
      <c r="M3" s="56">
        <f t="shared" si="0"/>
        <v>53.5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26.7</v>
      </c>
      <c r="I5" s="54">
        <f>SUM(J5)-1.8</f>
        <v>28.5</v>
      </c>
      <c r="J5" s="55">
        <v>30.3</v>
      </c>
      <c r="K5" s="54">
        <f>SUM(J5)+1.6</f>
        <v>31.900000000000002</v>
      </c>
      <c r="L5" s="54">
        <f t="shared" ref="L5:M5" si="1">SUM(K5)+1.6</f>
        <v>33.5</v>
      </c>
      <c r="M5" s="56">
        <f t="shared" si="1"/>
        <v>35.1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33.5</v>
      </c>
      <c r="I7" s="54">
        <f>SUM(J7)-2.25</f>
        <v>35.75</v>
      </c>
      <c r="J7" s="55">
        <v>38</v>
      </c>
      <c r="K7" s="54">
        <f>SUM(J7)+2</f>
        <v>40</v>
      </c>
      <c r="L7" s="54">
        <f t="shared" ref="L7:M7" si="2">SUM(K7)+2</f>
        <v>42</v>
      </c>
      <c r="M7" s="56">
        <f t="shared" si="2"/>
        <v>44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33.5</v>
      </c>
      <c r="I9" s="54">
        <f>SUM(J9)-2.25</f>
        <v>35.75</v>
      </c>
      <c r="J9" s="55">
        <v>38</v>
      </c>
      <c r="K9" s="54">
        <f>SUM(J9)+2</f>
        <v>40</v>
      </c>
      <c r="L9" s="54">
        <f t="shared" ref="L9:M9" si="3">SUM(K9)+2</f>
        <v>42</v>
      </c>
      <c r="M9" s="56">
        <f t="shared" si="3"/>
        <v>44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14.1</v>
      </c>
      <c r="I11" s="60">
        <f>SUM(J11)-0.8</f>
        <v>15</v>
      </c>
      <c r="J11" s="132">
        <v>15.8</v>
      </c>
      <c r="K11" s="130">
        <f>SUM(J11)+0.8</f>
        <v>16.600000000000001</v>
      </c>
      <c r="L11" s="130">
        <f t="shared" ref="L11" si="4">SUM(K11)+0.8</f>
        <v>17.400000000000002</v>
      </c>
      <c r="M11" s="131">
        <f>SUM(L11)+0.9</f>
        <v>18.3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15.499999999999998</v>
      </c>
      <c r="I13" s="54">
        <f>SUM(J13)-0.6</f>
        <v>16.099999999999998</v>
      </c>
      <c r="J13" s="67">
        <v>16.7</v>
      </c>
      <c r="K13" s="68">
        <f>SUM(J13)+0.6</f>
        <v>17.3</v>
      </c>
      <c r="L13" s="68">
        <f>SUM(K13)+0.6</f>
        <v>17.900000000000002</v>
      </c>
      <c r="M13" s="69">
        <f>SUM(L13)+0.6</f>
        <v>18.500000000000004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6.8000000000000007</v>
      </c>
      <c r="I15" s="54">
        <f>SUM(J15)-0.3</f>
        <v>7.1000000000000005</v>
      </c>
      <c r="J15" s="67">
        <v>7.4</v>
      </c>
      <c r="K15" s="68">
        <f>SUM(J15)+0.3</f>
        <v>7.7</v>
      </c>
      <c r="L15" s="68">
        <f>SUM(K15)+0.3</f>
        <v>8</v>
      </c>
      <c r="M15" s="69">
        <f t="shared" ref="M15" si="5">SUM(L15)+0.3</f>
        <v>8.3000000000000007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40.799999999999997</v>
      </c>
      <c r="I17" s="54">
        <f>SUM(J17)-1.6</f>
        <v>42.4</v>
      </c>
      <c r="J17" s="67">
        <v>44</v>
      </c>
      <c r="K17" s="68">
        <f>SUM(J17)+1.6</f>
        <v>45.6</v>
      </c>
      <c r="L17" s="68">
        <f>SUM(K17)+1.6</f>
        <v>47.2</v>
      </c>
      <c r="M17" s="69">
        <f t="shared" ref="M17" si="6">SUM(L17)+1.6</f>
        <v>48.800000000000004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13.100000000000001</v>
      </c>
      <c r="I19" s="54">
        <f>SUM(J19)-1.2</f>
        <v>14.3</v>
      </c>
      <c r="J19" s="55">
        <v>15.5</v>
      </c>
      <c r="K19" s="68">
        <f>SUM(J19)+1.3</f>
        <v>16.8</v>
      </c>
      <c r="L19" s="68">
        <f t="shared" ref="L19:M19" si="7">SUM(K19)+1.3</f>
        <v>18.100000000000001</v>
      </c>
      <c r="M19" s="69">
        <f t="shared" si="7"/>
        <v>19.400000000000002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24.6</v>
      </c>
      <c r="I23" s="54">
        <f>SUM(J23)-1.2</f>
        <v>25.8</v>
      </c>
      <c r="J23" s="67">
        <v>27</v>
      </c>
      <c r="K23" s="68">
        <f>SUM(J23)+1.2</f>
        <v>28.2</v>
      </c>
      <c r="L23" s="68">
        <f t="shared" ref="L23:M23" si="8">SUM(K23)+1.2</f>
        <v>29.4</v>
      </c>
      <c r="M23" s="69">
        <f t="shared" si="8"/>
        <v>30.599999999999998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3.9000000000000004</v>
      </c>
      <c r="I25" s="54">
        <f>SUM(J25)-0.3</f>
        <v>4.2</v>
      </c>
      <c r="J25" s="67">
        <v>4.5</v>
      </c>
      <c r="K25" s="68">
        <f>SUM(J25)+0.3</f>
        <v>4.8</v>
      </c>
      <c r="L25" s="68">
        <f t="shared" ref="L25:M25" si="9">SUM(K25)+0.3</f>
        <v>5.0999999999999996</v>
      </c>
      <c r="M25" s="69">
        <f t="shared" si="9"/>
        <v>5.3999999999999995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A1:M1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4:C4"/>
    <mergeCell ref="D4:G4"/>
    <mergeCell ref="K7:K8"/>
    <mergeCell ref="L7:L8"/>
    <mergeCell ref="M7:M8"/>
    <mergeCell ref="B8:C8"/>
    <mergeCell ref="D8:G8"/>
    <mergeCell ref="J3:J4"/>
    <mergeCell ref="K3:K4"/>
    <mergeCell ref="J5:J6"/>
    <mergeCell ref="K5:K6"/>
    <mergeCell ref="L5:L6"/>
    <mergeCell ref="M5:M6"/>
    <mergeCell ref="L3:L4"/>
    <mergeCell ref="M3:M4"/>
    <mergeCell ref="B10:C10"/>
    <mergeCell ref="D10:G10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B6:C6"/>
    <mergeCell ref="D6:G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C282-FED3-4960-8429-3525202EC6F1}">
  <sheetPr codeName="Sheet72">
    <tabColor rgb="FFFF0000"/>
    <pageSetUpPr fitToPage="1"/>
  </sheetPr>
  <dimension ref="A1:N51"/>
  <sheetViews>
    <sheetView zoomScale="110" zoomScaleNormal="110" workbookViewId="0">
      <selection activeCell="H21" sqref="H21:N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419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37</v>
      </c>
      <c r="I3" s="54">
        <f>SUM(J3)-3.5</f>
        <v>40.5</v>
      </c>
      <c r="J3" s="55">
        <v>44</v>
      </c>
      <c r="K3" s="54">
        <f>SUM(J3)+3</f>
        <v>47</v>
      </c>
      <c r="L3" s="54">
        <f t="shared" ref="L3:M3" si="0">SUM(K3)+3</f>
        <v>50</v>
      </c>
      <c r="M3" s="54">
        <f t="shared" si="0"/>
        <v>53</v>
      </c>
      <c r="N3" s="56">
        <f t="shared" ref="N3" si="1">SUM(M3)+3</f>
        <v>56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35.599999999999994</v>
      </c>
      <c r="I5" s="54">
        <f>SUM(J5)-2.2</f>
        <v>37.799999999999997</v>
      </c>
      <c r="J5" s="55">
        <v>40</v>
      </c>
      <c r="K5" s="54">
        <f>SUM(J5)+2</f>
        <v>42</v>
      </c>
      <c r="L5" s="54">
        <f t="shared" ref="L5:N5" si="2">SUM(K5)+2</f>
        <v>44</v>
      </c>
      <c r="M5" s="54">
        <f t="shared" si="2"/>
        <v>46</v>
      </c>
      <c r="N5" s="56">
        <f t="shared" si="2"/>
        <v>48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34.5</v>
      </c>
      <c r="I7" s="54">
        <f>SUM(J7)-2.25</f>
        <v>36.75</v>
      </c>
      <c r="J7" s="55">
        <v>39</v>
      </c>
      <c r="K7" s="54">
        <f>SUM(J7)+2</f>
        <v>41</v>
      </c>
      <c r="L7" s="54">
        <f t="shared" ref="L7:N7" si="3">SUM(K7)+2</f>
        <v>43</v>
      </c>
      <c r="M7" s="54">
        <f t="shared" si="3"/>
        <v>45</v>
      </c>
      <c r="N7" s="56">
        <f t="shared" si="3"/>
        <v>47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34.5</v>
      </c>
      <c r="I9" s="54">
        <f>SUM(J9)-2.25</f>
        <v>36.75</v>
      </c>
      <c r="J9" s="55">
        <v>39</v>
      </c>
      <c r="K9" s="54">
        <f>SUM(J9)+2</f>
        <v>41</v>
      </c>
      <c r="L9" s="54">
        <f t="shared" ref="L9:N9" si="4">SUM(K9)+2</f>
        <v>43</v>
      </c>
      <c r="M9" s="54">
        <f t="shared" si="4"/>
        <v>45</v>
      </c>
      <c r="N9" s="56">
        <f t="shared" si="4"/>
        <v>47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14.399999999999999</v>
      </c>
      <c r="I11" s="54">
        <f>SUM(J11)-0.8</f>
        <v>15.2</v>
      </c>
      <c r="J11" s="132">
        <v>16</v>
      </c>
      <c r="K11" s="54">
        <f>SUM(J11)+0.8</f>
        <v>16.8</v>
      </c>
      <c r="L11" s="54">
        <f t="shared" ref="L11:N11" si="5">SUM(K11)+0.8</f>
        <v>17.600000000000001</v>
      </c>
      <c r="M11" s="54">
        <f t="shared" si="5"/>
        <v>18.400000000000002</v>
      </c>
      <c r="N11" s="56">
        <f t="shared" si="5"/>
        <v>19.200000000000003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132"/>
      <c r="K12" s="40"/>
      <c r="L12" s="40"/>
      <c r="M12" s="40"/>
      <c r="N12" s="44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8">
        <f t="shared" ref="M13:N13" si="6">SUM(L13)+0.6</f>
        <v>17.800000000000004</v>
      </c>
      <c r="N13" s="69">
        <f t="shared" si="6"/>
        <v>18.400000000000006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68">
        <f t="shared" ref="M15:N15" si="7">SUM(L15)+0.3</f>
        <v>7.3999999999999995</v>
      </c>
      <c r="N15" s="69">
        <f t="shared" si="7"/>
        <v>7.6999999999999993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8">
        <f t="shared" ref="M17:N17" si="8">SUM(L17)+1.6</f>
        <v>46.800000000000004</v>
      </c>
      <c r="N17" s="69">
        <f t="shared" si="8"/>
        <v>48.400000000000006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SUM(I19)-0.9</f>
        <v>10.199999999999999</v>
      </c>
      <c r="I19" s="54">
        <f>SUM(J19)-0.9</f>
        <v>11.1</v>
      </c>
      <c r="J19" s="55">
        <v>12</v>
      </c>
      <c r="K19" s="68">
        <f>SUM(J19)+1</f>
        <v>13</v>
      </c>
      <c r="L19" s="68">
        <f t="shared" ref="L19:N19" si="9">SUM(K19)+1</f>
        <v>14</v>
      </c>
      <c r="M19" s="68">
        <f t="shared" si="9"/>
        <v>15</v>
      </c>
      <c r="N19" s="69">
        <f t="shared" si="9"/>
        <v>16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25.200000000000003</v>
      </c>
      <c r="I23" s="54">
        <f>SUM(J23)-1.4</f>
        <v>26.6</v>
      </c>
      <c r="J23" s="67">
        <v>28</v>
      </c>
      <c r="K23" s="68">
        <f>SUM(J23)+1.4</f>
        <v>29.4</v>
      </c>
      <c r="L23" s="68">
        <f t="shared" ref="L23:N23" si="10">SUM(K23)+1.4</f>
        <v>30.799999999999997</v>
      </c>
      <c r="M23" s="68">
        <f t="shared" si="10"/>
        <v>32.199999999999996</v>
      </c>
      <c r="N23" s="69">
        <f t="shared" si="10"/>
        <v>33.599999999999994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68">
        <f t="shared" ref="L25:N25" si="11">SUM(K25)+0.3</f>
        <v>5.6</v>
      </c>
      <c r="M25" s="68">
        <f t="shared" si="11"/>
        <v>5.8999999999999995</v>
      </c>
      <c r="N25" s="69">
        <f t="shared" si="11"/>
        <v>6.1999999999999993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93"/>
      <c r="N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N23:N24"/>
    <mergeCell ref="N25:N26"/>
    <mergeCell ref="N11:N12"/>
    <mergeCell ref="N13:N14"/>
    <mergeCell ref="N15:N16"/>
    <mergeCell ref="N17:N18"/>
    <mergeCell ref="N19:N20"/>
    <mergeCell ref="N21:N22"/>
    <mergeCell ref="K25:K26"/>
    <mergeCell ref="L25:L26"/>
    <mergeCell ref="M25:M26"/>
    <mergeCell ref="B26:C26"/>
    <mergeCell ref="D26:G26"/>
    <mergeCell ref="A1:N1"/>
    <mergeCell ref="N3:N4"/>
    <mergeCell ref="N5:N6"/>
    <mergeCell ref="N7:N8"/>
    <mergeCell ref="N9:N1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0571-E7E1-470A-AF2A-60527DFCDE8F}">
  <sheetPr codeName="Sheet73">
    <tabColor rgb="FFFF0000"/>
    <pageSetUpPr fitToPage="1"/>
  </sheetPr>
  <dimension ref="A1:N51"/>
  <sheetViews>
    <sheetView zoomScale="110" zoomScaleNormal="11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495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M3" si="0">SUM(K3)+3</f>
        <v>48</v>
      </c>
      <c r="M3" s="56">
        <f t="shared" si="0"/>
        <v>51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26</v>
      </c>
      <c r="I5" s="54">
        <f>SUM(J5)-2</f>
        <v>28</v>
      </c>
      <c r="J5" s="55">
        <v>30</v>
      </c>
      <c r="K5" s="54">
        <f>SUM(J5)+1.8</f>
        <v>31.8</v>
      </c>
      <c r="L5" s="54">
        <f t="shared" ref="L5:M5" si="1">SUM(K5)+1.8</f>
        <v>33.6</v>
      </c>
      <c r="M5" s="56">
        <f t="shared" si="1"/>
        <v>35.4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</v>
      </c>
      <c r="I7" s="54">
        <f>SUM(J7)-2.25</f>
        <v>32.25</v>
      </c>
      <c r="J7" s="55">
        <v>34.5</v>
      </c>
      <c r="K7" s="54">
        <f>SUM(J7)+2</f>
        <v>36.5</v>
      </c>
      <c r="L7" s="54">
        <f t="shared" ref="L7:M7" si="2">SUM(K7)+2</f>
        <v>38.5</v>
      </c>
      <c r="M7" s="56">
        <f t="shared" si="2"/>
        <v>40.5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30</v>
      </c>
      <c r="I9" s="54">
        <f>SUM(J9)-2.25</f>
        <v>32.25</v>
      </c>
      <c r="J9" s="55">
        <v>34.5</v>
      </c>
      <c r="K9" s="54">
        <f>SUM(J9)+2</f>
        <v>36.5</v>
      </c>
      <c r="L9" s="54">
        <f t="shared" ref="L9:M9" si="3">SUM(K9)+2</f>
        <v>38.5</v>
      </c>
      <c r="M9" s="56">
        <f t="shared" si="3"/>
        <v>40.5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13.399999999999999</v>
      </c>
      <c r="I11" s="60">
        <f>SUM(J11)-0.8</f>
        <v>14.2</v>
      </c>
      <c r="J11" s="132">
        <v>15</v>
      </c>
      <c r="K11" s="130">
        <f>SUM(J11)+0.8</f>
        <v>15.8</v>
      </c>
      <c r="L11" s="130">
        <f t="shared" ref="L11:M11" si="4">SUM(K11)+0.8</f>
        <v>16.600000000000001</v>
      </c>
      <c r="M11" s="131">
        <f t="shared" si="4"/>
        <v>17.400000000000002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</v>
      </c>
      <c r="I13" s="54">
        <f>SUM(J13)-0.6</f>
        <v>15.6</v>
      </c>
      <c r="J13" s="67">
        <v>16.2</v>
      </c>
      <c r="K13" s="68">
        <f>SUM(J13)+0.6</f>
        <v>16.8</v>
      </c>
      <c r="L13" s="68">
        <f>SUM(K13)+0.6</f>
        <v>17.400000000000002</v>
      </c>
      <c r="M13" s="69">
        <f>SUM(L13)+0.6</f>
        <v>18.000000000000004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</v>
      </c>
      <c r="I15" s="54">
        <f>SUM(J15)-0.3</f>
        <v>6.3</v>
      </c>
      <c r="J15" s="67">
        <v>6.6</v>
      </c>
      <c r="K15" s="68">
        <f>SUM(J15)+0.3</f>
        <v>6.8999999999999995</v>
      </c>
      <c r="L15" s="68">
        <f>SUM(K15)+0.3</f>
        <v>7.1999999999999993</v>
      </c>
      <c r="M15" s="69">
        <f t="shared" ref="M15" si="5">SUM(L15)+0.3</f>
        <v>7.4999999999999991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9">
        <f t="shared" ref="M17" si="6">SUM(L17)+1.6</f>
        <v>46.800000000000004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SUM(I19)-0.8</f>
        <v>8.8999999999999986</v>
      </c>
      <c r="I19" s="54">
        <f>SUM(J19)-0.8</f>
        <v>9.6999999999999993</v>
      </c>
      <c r="J19" s="55">
        <v>10.5</v>
      </c>
      <c r="K19" s="68">
        <f>SUM(J19)+0.9</f>
        <v>11.4</v>
      </c>
      <c r="L19" s="68">
        <f t="shared" ref="L19:M19" si="7">SUM(K19)+0.9</f>
        <v>12.3</v>
      </c>
      <c r="M19" s="69">
        <f t="shared" si="7"/>
        <v>13.200000000000001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22.799999999999997</v>
      </c>
      <c r="I23" s="54">
        <f>SUM(J23)-1.3</f>
        <v>24.099999999999998</v>
      </c>
      <c r="J23" s="67">
        <v>25.4</v>
      </c>
      <c r="K23" s="68">
        <f>SUM(J23)+1.3</f>
        <v>26.7</v>
      </c>
      <c r="L23" s="68">
        <f t="shared" ref="L23:M23" si="8">SUM(K23)+1.3</f>
        <v>28</v>
      </c>
      <c r="M23" s="69">
        <f t="shared" si="8"/>
        <v>29.3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 t="shared" ref="L25:M25" si="9">SUM(K25)+0.3</f>
        <v>4.5999999999999996</v>
      </c>
      <c r="M25" s="69">
        <f t="shared" si="9"/>
        <v>4.8999999999999995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A94B-1192-4A71-A23D-11055966C4A8}">
  <sheetPr codeName="Sheet74">
    <tabColor rgb="FFFF0000"/>
    <pageSetUpPr fitToPage="1"/>
  </sheetPr>
  <dimension ref="A1:N51"/>
  <sheetViews>
    <sheetView topLeftCell="A16" zoomScale="110" zoomScaleNormal="110" workbookViewId="0">
      <selection activeCell="P14" sqref="P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34.5</v>
      </c>
      <c r="I3" s="54">
        <f>SUM(J3)-3</f>
        <v>37.5</v>
      </c>
      <c r="J3" s="55">
        <v>40.5</v>
      </c>
      <c r="K3" s="54">
        <f>SUM(J3)+2.5</f>
        <v>43</v>
      </c>
      <c r="L3" s="54">
        <f>SUM(K3)+2.5</f>
        <v>45.5</v>
      </c>
      <c r="M3" s="39">
        <f t="shared" ref="M3:N3" si="0">SUM(L3)+2.5</f>
        <v>48</v>
      </c>
      <c r="N3" s="115">
        <f t="shared" si="0"/>
        <v>50.5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</v>
      </c>
      <c r="I5" s="54">
        <f>SUM(J5)-1.8</f>
        <v>25.8</v>
      </c>
      <c r="J5" s="55">
        <v>27.6</v>
      </c>
      <c r="K5" s="54">
        <f>SUM(J5)+1.6</f>
        <v>29.200000000000003</v>
      </c>
      <c r="L5" s="54">
        <f>SUM(K5)+1.6</f>
        <v>30.800000000000004</v>
      </c>
      <c r="M5" s="54">
        <f t="shared" ref="M5:N5" si="1">SUM(L5)+1.6</f>
        <v>32.400000000000006</v>
      </c>
      <c r="N5" s="115">
        <f t="shared" si="1"/>
        <v>34.000000000000007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32</v>
      </c>
      <c r="I7" s="54">
        <f>SUM(J7)-2.25</f>
        <v>34.25</v>
      </c>
      <c r="J7" s="55">
        <v>36.5</v>
      </c>
      <c r="K7" s="54">
        <f>SUM(J7)+2</f>
        <v>38.5</v>
      </c>
      <c r="L7" s="54">
        <f>SUM(K7)+2</f>
        <v>40.5</v>
      </c>
      <c r="M7" s="54">
        <f>SUM(L7)+2</f>
        <v>42.5</v>
      </c>
      <c r="N7" s="115">
        <f>SUM(M7)+2</f>
        <v>44.5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32</v>
      </c>
      <c r="I9" s="54">
        <f>SUM(J9)-2.25</f>
        <v>34.25</v>
      </c>
      <c r="J9" s="55">
        <v>36.5</v>
      </c>
      <c r="K9" s="54">
        <f>SUM(J9)+2</f>
        <v>38.5</v>
      </c>
      <c r="L9" s="54">
        <f>SUM(K9)+2</f>
        <v>40.5</v>
      </c>
      <c r="M9" s="54">
        <f>SUM(L9)+2</f>
        <v>42.5</v>
      </c>
      <c r="N9" s="115">
        <f>SUM(M9)+2</f>
        <v>44.5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13.299999999999999</v>
      </c>
      <c r="I11" s="60">
        <f>SUM(J11)-0.8</f>
        <v>14.1</v>
      </c>
      <c r="J11" s="132">
        <v>14.9</v>
      </c>
      <c r="K11" s="130">
        <f>SUM(J11)+0.8</f>
        <v>15.700000000000001</v>
      </c>
      <c r="L11" s="130">
        <f t="shared" ref="L11" si="2">SUM(K11)+0.8</f>
        <v>16.5</v>
      </c>
      <c r="M11" s="130">
        <f>SUM(L11)+0.9</f>
        <v>17.399999999999999</v>
      </c>
      <c r="N11" s="136">
        <f>SUM(M11)+0.9</f>
        <v>18.299999999999997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15.999999999999998</v>
      </c>
      <c r="I13" s="54">
        <f>SUM(J13)-0.6</f>
        <v>16.599999999999998</v>
      </c>
      <c r="J13" s="67">
        <v>17.2</v>
      </c>
      <c r="K13" s="68">
        <f>SUM(J13)+0.6</f>
        <v>17.8</v>
      </c>
      <c r="L13" s="68">
        <f>SUM(K13)+0.6</f>
        <v>18.400000000000002</v>
      </c>
      <c r="M13" s="68">
        <f t="shared" ref="M13:N13" si="3">SUM(L13)+0.6</f>
        <v>19.000000000000004</v>
      </c>
      <c r="N13" s="117">
        <f t="shared" si="3"/>
        <v>19.600000000000005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8">
        <f t="shared" ref="M15:N15" si="4">SUM(L15)+0.3</f>
        <v>7.6999999999999993</v>
      </c>
      <c r="N15" s="117">
        <f t="shared" si="4"/>
        <v>7.9999999999999991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8">
        <f t="shared" ref="M17:N17" si="5">SUM(L17)+1.6</f>
        <v>46.800000000000004</v>
      </c>
      <c r="N17" s="117">
        <f t="shared" si="5"/>
        <v>48.400000000000006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10.8</v>
      </c>
      <c r="I19" s="54">
        <f>SUM(J19)-1.1</f>
        <v>11.9</v>
      </c>
      <c r="J19" s="55">
        <v>13</v>
      </c>
      <c r="K19" s="68">
        <f>SUM(J19)+1.2</f>
        <v>14.2</v>
      </c>
      <c r="L19" s="68">
        <f t="shared" ref="L19:N19" si="6">SUM(K19)+1.2</f>
        <v>15.399999999999999</v>
      </c>
      <c r="M19" s="68">
        <f t="shared" si="6"/>
        <v>16.599999999999998</v>
      </c>
      <c r="N19" s="117">
        <f t="shared" si="6"/>
        <v>17.799999999999997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22.4</v>
      </c>
      <c r="I23" s="54">
        <f>SUM(J23)-1.3</f>
        <v>23.7</v>
      </c>
      <c r="J23" s="67">
        <v>25</v>
      </c>
      <c r="K23" s="68">
        <f>SUM(J23)+1.3</f>
        <v>26.3</v>
      </c>
      <c r="L23" s="68">
        <f>SUM(K23)+1.3</f>
        <v>27.6</v>
      </c>
      <c r="M23" s="68">
        <f>SUM(L23)+1.3</f>
        <v>28.900000000000002</v>
      </c>
      <c r="N23" s="117">
        <f>SUM(M23)+1.3</f>
        <v>30.200000000000003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3.9000000000000004</v>
      </c>
      <c r="I25" s="54">
        <f>SUM(J25)-0.3</f>
        <v>4.2</v>
      </c>
      <c r="J25" s="67">
        <v>4.5</v>
      </c>
      <c r="K25" s="68">
        <f>SUM(J25)+0.3</f>
        <v>4.8</v>
      </c>
      <c r="L25" s="68">
        <f>SUM(K25)+0.3</f>
        <v>5.0999999999999996</v>
      </c>
      <c r="M25" s="68">
        <f t="shared" ref="M25:N25" si="7">SUM(L25)+0.3</f>
        <v>5.3999999999999995</v>
      </c>
      <c r="N25" s="117">
        <f t="shared" si="7"/>
        <v>5.6999999999999993</v>
      </c>
    </row>
    <row r="26" spans="1:14" s="1" customFormat="1" ht="14.1" customHeight="1" x14ac:dyDescent="0.3">
      <c r="A26" s="78"/>
      <c r="B26" s="79" t="s">
        <v>142</v>
      </c>
      <c r="C26" s="80"/>
      <c r="D26" s="51" t="s">
        <v>84</v>
      </c>
      <c r="E26" s="52"/>
      <c r="F26" s="52"/>
      <c r="G26" s="53"/>
      <c r="H26" s="81"/>
      <c r="I26" s="81"/>
      <c r="J26" s="55"/>
      <c r="K26" s="54"/>
      <c r="L26" s="54"/>
      <c r="M26" s="54"/>
      <c r="N26" s="115"/>
    </row>
    <row r="27" spans="1:14" s="1" customFormat="1" ht="14.1" customHeight="1" x14ac:dyDescent="0.3">
      <c r="A27" s="48">
        <v>13</v>
      </c>
      <c r="B27" s="65" t="s">
        <v>135</v>
      </c>
      <c r="C27" s="66"/>
      <c r="D27" s="88"/>
      <c r="E27" s="89"/>
      <c r="F27" s="89"/>
      <c r="G27" s="90"/>
      <c r="H27" s="54">
        <v>3</v>
      </c>
      <c r="I27" s="54">
        <v>3</v>
      </c>
      <c r="J27" s="67">
        <v>3</v>
      </c>
      <c r="K27" s="68">
        <v>3</v>
      </c>
      <c r="L27" s="68">
        <v>3</v>
      </c>
      <c r="M27" s="68">
        <v>3</v>
      </c>
      <c r="N27" s="117">
        <v>3</v>
      </c>
    </row>
    <row r="28" spans="1:14" s="1" customFormat="1" ht="14.1" customHeight="1" x14ac:dyDescent="0.3">
      <c r="A28" s="78"/>
      <c r="B28" s="79" t="s">
        <v>143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54"/>
      <c r="N28" s="115"/>
    </row>
    <row r="29" spans="1:14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8"/>
      <c r="N29" s="117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3"/>
      <c r="N30" s="118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L3:L4"/>
    <mergeCell ref="M3:M4"/>
    <mergeCell ref="B4:C4"/>
    <mergeCell ref="D4:G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9:A30"/>
    <mergeCell ref="B29:C29"/>
    <mergeCell ref="D29:G29"/>
    <mergeCell ref="H29:H30"/>
    <mergeCell ref="I29:I30"/>
    <mergeCell ref="A25:A26"/>
    <mergeCell ref="B25:C25"/>
    <mergeCell ref="D25:G25"/>
    <mergeCell ref="H25:H26"/>
    <mergeCell ref="I25:I26"/>
    <mergeCell ref="A27:A28"/>
    <mergeCell ref="B26:C26"/>
    <mergeCell ref="D26:G26"/>
    <mergeCell ref="J25:J26"/>
    <mergeCell ref="K27:K28"/>
    <mergeCell ref="L27:L28"/>
    <mergeCell ref="M27:M28"/>
    <mergeCell ref="B28:C28"/>
    <mergeCell ref="D28:G28"/>
    <mergeCell ref="B27:C27"/>
    <mergeCell ref="D27:G27"/>
    <mergeCell ref="H27:H28"/>
    <mergeCell ref="I27:I28"/>
    <mergeCell ref="J27:J28"/>
    <mergeCell ref="N21:N22"/>
    <mergeCell ref="N23:N24"/>
    <mergeCell ref="N25:N26"/>
    <mergeCell ref="N27:N28"/>
    <mergeCell ref="N29:N30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J29:J30"/>
    <mergeCell ref="K29:K30"/>
    <mergeCell ref="L29:L30"/>
    <mergeCell ref="M29:M30"/>
    <mergeCell ref="B30:C30"/>
    <mergeCell ref="D30:G30"/>
    <mergeCell ref="K25:K26"/>
    <mergeCell ref="L25:L26"/>
    <mergeCell ref="M25:M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4E9C-8F6B-46B4-869D-CA1D6D28DFB7}">
  <sheetPr codeName="Sheet75">
    <tabColor rgb="FFFF0000"/>
    <pageSetUpPr fitToPage="1"/>
  </sheetPr>
  <dimension ref="A1:M51"/>
  <sheetViews>
    <sheetView zoomScale="110" zoomScaleNormal="110" workbookViewId="0">
      <selection activeCell="L15" sqref="L15:L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265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36</v>
      </c>
      <c r="I3" s="54">
        <f>SUM(J3)-3.5</f>
        <v>39.5</v>
      </c>
      <c r="J3" s="55">
        <v>43</v>
      </c>
      <c r="K3" s="54">
        <f>SUM(J3)+3</f>
        <v>46</v>
      </c>
      <c r="L3" s="54">
        <f t="shared" ref="L3:M3" si="0">SUM(K3)+3</f>
        <v>49</v>
      </c>
      <c r="M3" s="56">
        <f t="shared" si="0"/>
        <v>52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21.799999999999997</v>
      </c>
      <c r="I5" s="54">
        <f>SUM(J5)-1.6</f>
        <v>23.4</v>
      </c>
      <c r="J5" s="55">
        <v>25</v>
      </c>
      <c r="K5" s="54">
        <f>SUM(J5)+1.4</f>
        <v>26.4</v>
      </c>
      <c r="L5" s="54">
        <f t="shared" ref="L5:M5" si="1">SUM(K5)+1.4</f>
        <v>27.799999999999997</v>
      </c>
      <c r="M5" s="56">
        <f t="shared" si="1"/>
        <v>29.199999999999996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27.5</v>
      </c>
      <c r="I7" s="54">
        <f>SUM(J7)-2</f>
        <v>29.5</v>
      </c>
      <c r="J7" s="55">
        <v>31.5</v>
      </c>
      <c r="K7" s="54">
        <f>SUM(J7)+1.8</f>
        <v>33.299999999999997</v>
      </c>
      <c r="L7" s="54">
        <f>SUM(K7)+1.8</f>
        <v>35.099999999999994</v>
      </c>
      <c r="M7" s="56">
        <f>SUM(L7)+1.8</f>
        <v>36.899999999999991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SUM(I9)-2</f>
        <v>27</v>
      </c>
      <c r="I9" s="54">
        <f>SUM(J9)-2</f>
        <v>29</v>
      </c>
      <c r="J9" s="55">
        <v>31</v>
      </c>
      <c r="K9" s="54">
        <f>SUM(J9)+1.8</f>
        <v>32.799999999999997</v>
      </c>
      <c r="L9" s="54">
        <f t="shared" ref="L9:M9" si="2">SUM(K9)+1.8</f>
        <v>34.599999999999994</v>
      </c>
      <c r="M9" s="56">
        <f t="shared" si="2"/>
        <v>36.399999999999991</v>
      </c>
    </row>
    <row r="10" spans="1:13" s="1" customFormat="1" ht="14.1" customHeight="1" x14ac:dyDescent="0.3">
      <c r="A10" s="48"/>
      <c r="B10" s="45" t="s">
        <v>269</v>
      </c>
      <c r="C10" s="45"/>
      <c r="D10" s="46" t="s">
        <v>267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12.7</v>
      </c>
      <c r="I11" s="60">
        <f>SUM(J11)-0.8</f>
        <v>13.5</v>
      </c>
      <c r="J11" s="132">
        <v>14.3</v>
      </c>
      <c r="K11" s="130">
        <f>SUM(J11)+0.8</f>
        <v>15.100000000000001</v>
      </c>
      <c r="L11" s="130">
        <f t="shared" ref="L11:M11" si="3">SUM(K11)+0.8</f>
        <v>15.900000000000002</v>
      </c>
      <c r="M11" s="131">
        <f t="shared" si="3"/>
        <v>16.700000000000003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12.8</v>
      </c>
      <c r="I13" s="54">
        <f>SUM(J13)-0.6</f>
        <v>13.4</v>
      </c>
      <c r="J13" s="67">
        <v>14</v>
      </c>
      <c r="K13" s="68">
        <f>SUM(J13)+0.6</f>
        <v>14.6</v>
      </c>
      <c r="L13" s="68">
        <f>SUM(K13)+0.6</f>
        <v>15.2</v>
      </c>
      <c r="M13" s="69">
        <f>SUM(L13)+0.6</f>
        <v>15.799999999999999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69">
        <f>SUM(L15)+0.3</f>
        <v>7.3999999999999995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9">
        <f>SUM(L17)+1.6</f>
        <v>46.800000000000004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9"/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121</v>
      </c>
      <c r="C25" s="66"/>
      <c r="D25" s="88"/>
      <c r="E25" s="89"/>
      <c r="F25" s="89"/>
      <c r="G25" s="90"/>
      <c r="H25" s="54">
        <f>SUM(I25)-1.5</f>
        <v>15</v>
      </c>
      <c r="I25" s="54">
        <f>SUM(J25)-1.5</f>
        <v>16.5</v>
      </c>
      <c r="J25" s="55">
        <v>18</v>
      </c>
      <c r="K25" s="54">
        <f>SUM(J25)+1.3</f>
        <v>19.3</v>
      </c>
      <c r="L25" s="54">
        <f t="shared" ref="L25:M25" si="4">SUM(K25)+1.3</f>
        <v>20.6</v>
      </c>
      <c r="M25" s="56">
        <f t="shared" si="4"/>
        <v>21.900000000000002</v>
      </c>
    </row>
    <row r="26" spans="1:13" s="1" customFormat="1" ht="14.1" customHeight="1" x14ac:dyDescent="0.3">
      <c r="A26" s="48"/>
      <c r="B26" s="70" t="s">
        <v>154</v>
      </c>
      <c r="C26" s="71"/>
      <c r="D26" s="46" t="s">
        <v>266</v>
      </c>
      <c r="E26" s="47"/>
      <c r="F26" s="47"/>
      <c r="G26" s="59"/>
      <c r="H26" s="40"/>
      <c r="I26" s="40"/>
      <c r="J26" s="42"/>
      <c r="K26" s="40"/>
      <c r="L26" s="40"/>
      <c r="M26" s="44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A1:M1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0BB1-4571-4525-9749-809D6454750D}">
  <sheetPr codeName="Sheet76">
    <tabColor rgb="FFFF0000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496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54">
        <f t="shared" ref="M3:N3" si="0">SUM(L3)+2.5</f>
        <v>47.5</v>
      </c>
      <c r="N3" s="115">
        <f t="shared" si="0"/>
        <v>50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24.4</v>
      </c>
      <c r="I5" s="54">
        <f>SUM(J5)-1.8</f>
        <v>26.2</v>
      </c>
      <c r="J5" s="55">
        <v>28</v>
      </c>
      <c r="K5" s="54">
        <f>SUM(J5)+1.6</f>
        <v>29.6</v>
      </c>
      <c r="L5" s="54">
        <f>SUM(K5)+1.6</f>
        <v>31.200000000000003</v>
      </c>
      <c r="M5" s="54">
        <f t="shared" ref="M5:N5" si="1">SUM(L5)+1.6</f>
        <v>32.800000000000004</v>
      </c>
      <c r="N5" s="115">
        <f t="shared" si="1"/>
        <v>34.400000000000006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 t="shared" ref="L7:N7" si="2">SUM(K7)+2</f>
        <v>39</v>
      </c>
      <c r="M7" s="54">
        <f t="shared" si="2"/>
        <v>41</v>
      </c>
      <c r="N7" s="115">
        <f t="shared" si="2"/>
        <v>43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30.5</v>
      </c>
      <c r="I9" s="54">
        <f>SUM(J9)-2.25</f>
        <v>32.75</v>
      </c>
      <c r="J9" s="55">
        <v>35</v>
      </c>
      <c r="K9" s="54">
        <f>SUM(J9)+2</f>
        <v>37</v>
      </c>
      <c r="L9" s="54">
        <f t="shared" ref="L9:N9" si="3">SUM(K9)+2</f>
        <v>39</v>
      </c>
      <c r="M9" s="54">
        <f t="shared" si="3"/>
        <v>41</v>
      </c>
      <c r="N9" s="115">
        <f t="shared" si="3"/>
        <v>43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13.799999999999999</v>
      </c>
      <c r="I11" s="60">
        <f>SUM(J11)-0.8</f>
        <v>14.7</v>
      </c>
      <c r="J11" s="132">
        <v>15.5</v>
      </c>
      <c r="K11" s="130">
        <f>SUM(J11)+0.8</f>
        <v>16.3</v>
      </c>
      <c r="L11" s="130">
        <f t="shared" ref="L11" si="4">SUM(K11)+0.8</f>
        <v>17.100000000000001</v>
      </c>
      <c r="M11" s="130">
        <f>SUM(L11)+0.9</f>
        <v>18</v>
      </c>
      <c r="N11" s="136">
        <f>SUM(M11)+0.9</f>
        <v>18.899999999999999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15.3</v>
      </c>
      <c r="I13" s="54">
        <f>SUM(J13)-0.6</f>
        <v>15.9</v>
      </c>
      <c r="J13" s="67">
        <v>16.5</v>
      </c>
      <c r="K13" s="68">
        <f>SUM(J13)+0.6</f>
        <v>17.100000000000001</v>
      </c>
      <c r="L13" s="68">
        <f>SUM(K13)+0.6</f>
        <v>17.700000000000003</v>
      </c>
      <c r="M13" s="68">
        <f>SUM(L13)+0.6</f>
        <v>18.300000000000004</v>
      </c>
      <c r="N13" s="117">
        <f>SUM(M13)+0.6</f>
        <v>18.900000000000006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</v>
      </c>
      <c r="I15" s="54">
        <f>SUM(J15)-0.3</f>
        <v>6.3</v>
      </c>
      <c r="J15" s="67">
        <v>6.6</v>
      </c>
      <c r="K15" s="68">
        <f>SUM(J15)+0.3</f>
        <v>6.8999999999999995</v>
      </c>
      <c r="L15" s="68">
        <f>SUM(K15)+0.3</f>
        <v>7.1999999999999993</v>
      </c>
      <c r="M15" s="68">
        <f t="shared" ref="M15:N15" si="5">SUM(L15)+0.3</f>
        <v>7.4999999999999991</v>
      </c>
      <c r="N15" s="117">
        <f t="shared" si="5"/>
        <v>7.7999999999999989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8">
        <f t="shared" ref="M17:N17" si="6">SUM(L17)+1.6</f>
        <v>46.800000000000004</v>
      </c>
      <c r="N17" s="117">
        <f t="shared" si="6"/>
        <v>48.400000000000006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9.5</v>
      </c>
      <c r="I19" s="54">
        <f>SUM(J19)-1</f>
        <v>10.5</v>
      </c>
      <c r="J19" s="55">
        <v>11.5</v>
      </c>
      <c r="K19" s="68">
        <f>SUM(J19)+1.1</f>
        <v>12.6</v>
      </c>
      <c r="L19" s="68">
        <f t="shared" ref="L19:N19" si="7">SUM(K19)+1.1</f>
        <v>13.7</v>
      </c>
      <c r="M19" s="68">
        <f t="shared" si="7"/>
        <v>14.799999999999999</v>
      </c>
      <c r="N19" s="117">
        <f t="shared" si="7"/>
        <v>15.899999999999999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22.700000000000003</v>
      </c>
      <c r="I23" s="54">
        <f>SUM(J23)-1.4</f>
        <v>24.1</v>
      </c>
      <c r="J23" s="67">
        <v>25.5</v>
      </c>
      <c r="K23" s="68">
        <f>SUM(J23)+1.4</f>
        <v>26.9</v>
      </c>
      <c r="L23" s="68">
        <f t="shared" ref="L23:N23" si="8">SUM(K23)+1.4</f>
        <v>28.299999999999997</v>
      </c>
      <c r="M23" s="68">
        <f t="shared" si="8"/>
        <v>29.699999999999996</v>
      </c>
      <c r="N23" s="117">
        <f t="shared" si="8"/>
        <v>31.099999999999994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371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68">
        <f t="shared" ref="L25:N25" si="9">SUM(K25)+0.3</f>
        <v>5.6</v>
      </c>
      <c r="M25" s="68">
        <f t="shared" si="9"/>
        <v>5.8999999999999995</v>
      </c>
      <c r="N25" s="117">
        <f t="shared" si="9"/>
        <v>6.1999999999999993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93"/>
      <c r="N26" s="118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N21:N22"/>
    <mergeCell ref="N23:N24"/>
    <mergeCell ref="N25:N2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522C-EBB7-4F0D-9810-AAF81D77302B}">
  <sheetPr codeName="Sheet77">
    <tabColor rgb="FFFF0000"/>
    <pageSetUpPr fitToPage="1"/>
  </sheetPr>
  <dimension ref="A1:N51"/>
  <sheetViews>
    <sheetView zoomScale="110" zoomScaleNormal="110" workbookViewId="0">
      <selection activeCell="D25" sqref="D25:G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.25" customWidth="1"/>
    <col min="8" max="14" width="5.5" customWidth="1"/>
  </cols>
  <sheetData>
    <row r="1" spans="1:14" ht="16.5" customHeight="1" thickBot="1" x14ac:dyDescent="0.35">
      <c r="A1" s="112" t="s">
        <v>414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39</v>
      </c>
      <c r="I3" s="54">
        <f>SUM(J3)-3.5</f>
        <v>42.5</v>
      </c>
      <c r="J3" s="55">
        <v>46</v>
      </c>
      <c r="K3" s="54">
        <f>SUM(J3)+3</f>
        <v>49</v>
      </c>
      <c r="L3" s="54">
        <f t="shared" ref="L3:N3" si="0">SUM(K3)+3</f>
        <v>52</v>
      </c>
      <c r="M3" s="54">
        <f t="shared" si="0"/>
        <v>55</v>
      </c>
      <c r="N3" s="56">
        <f t="shared" si="0"/>
        <v>58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27.2</v>
      </c>
      <c r="I5" s="54">
        <f>SUM(J5)-1.8</f>
        <v>29</v>
      </c>
      <c r="J5" s="55">
        <v>30.8</v>
      </c>
      <c r="K5" s="54">
        <f>SUM(J5)+1.6</f>
        <v>32.4</v>
      </c>
      <c r="L5" s="54">
        <f>SUM(K5)+1.6</f>
        <v>34</v>
      </c>
      <c r="M5" s="54">
        <f t="shared" ref="M5:N5" si="1">SUM(L5)+1.6</f>
        <v>35.6</v>
      </c>
      <c r="N5" s="115">
        <f t="shared" si="1"/>
        <v>37.200000000000003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54">
        <f t="shared" ref="L7:N7" si="2">SUM(K7)+2</f>
        <v>44</v>
      </c>
      <c r="M7" s="54">
        <f t="shared" si="2"/>
        <v>46</v>
      </c>
      <c r="N7" s="56">
        <f t="shared" si="2"/>
        <v>48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35.5</v>
      </c>
      <c r="I9" s="54">
        <f>SUM(J9)-2.25</f>
        <v>37.75</v>
      </c>
      <c r="J9" s="55">
        <v>40</v>
      </c>
      <c r="K9" s="54">
        <f>SUM(J9)+2</f>
        <v>42</v>
      </c>
      <c r="L9" s="54">
        <f t="shared" ref="L9:N9" si="3">SUM(K9)+2</f>
        <v>44</v>
      </c>
      <c r="M9" s="54">
        <f t="shared" si="3"/>
        <v>46</v>
      </c>
      <c r="N9" s="115">
        <f t="shared" si="3"/>
        <v>48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15.499999999999998</v>
      </c>
      <c r="I11" s="60">
        <f>SUM(J11)-0.8</f>
        <v>16.399999999999999</v>
      </c>
      <c r="J11" s="132">
        <v>17.2</v>
      </c>
      <c r="K11" s="130">
        <f>SUM(J11)+0.8</f>
        <v>18</v>
      </c>
      <c r="L11" s="130">
        <f>SUM(K11)+0.9</f>
        <v>18.899999999999999</v>
      </c>
      <c r="M11" s="130">
        <f>SUM(L11)+0.9</f>
        <v>19.799999999999997</v>
      </c>
      <c r="N11" s="131">
        <f>SUM(M11)+0.9</f>
        <v>20.699999999999996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14.3</v>
      </c>
      <c r="I13" s="54">
        <f>SUM(J13)-0.6</f>
        <v>14.9</v>
      </c>
      <c r="J13" s="67">
        <v>15.5</v>
      </c>
      <c r="K13" s="68">
        <f>SUM(J13)+0.6</f>
        <v>16.100000000000001</v>
      </c>
      <c r="L13" s="68">
        <f>SUM(K13)+0.6</f>
        <v>16.700000000000003</v>
      </c>
      <c r="M13" s="68">
        <f t="shared" ref="M13:N13" si="4">SUM(L13)+0.6</f>
        <v>17.300000000000004</v>
      </c>
      <c r="N13" s="117">
        <f t="shared" si="4"/>
        <v>17.900000000000006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>SUM(K15)+0.3</f>
        <v>7.1</v>
      </c>
      <c r="M15" s="68">
        <f t="shared" ref="M15:N15" si="5">SUM(L15)+0.3</f>
        <v>7.3999999999999995</v>
      </c>
      <c r="N15" s="117">
        <f t="shared" si="5"/>
        <v>7.6999999999999993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>SUM(K17)+1.6</f>
        <v>44.2</v>
      </c>
      <c r="M17" s="68">
        <f t="shared" ref="M17:N17" si="6">SUM(L17)+1.6</f>
        <v>45.800000000000004</v>
      </c>
      <c r="N17" s="117">
        <f t="shared" si="6"/>
        <v>47.400000000000006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12.8</v>
      </c>
      <c r="I19" s="54">
        <f>SUM(J19)-1.1</f>
        <v>13.9</v>
      </c>
      <c r="J19" s="55">
        <v>15</v>
      </c>
      <c r="K19" s="68">
        <f>SUM(J19)+1.2</f>
        <v>16.2</v>
      </c>
      <c r="L19" s="68">
        <f t="shared" ref="L19:N19" si="7">SUM(K19)+1.2</f>
        <v>17.399999999999999</v>
      </c>
      <c r="M19" s="68">
        <f t="shared" si="7"/>
        <v>18.599999999999998</v>
      </c>
      <c r="N19" s="117">
        <f t="shared" si="7"/>
        <v>19.799999999999997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415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22.6</v>
      </c>
      <c r="I23" s="54">
        <f>SUM(J23)-1.2</f>
        <v>23.8</v>
      </c>
      <c r="J23" s="67">
        <v>25</v>
      </c>
      <c r="K23" s="68">
        <f>SUM(J23)+1.2</f>
        <v>26.2</v>
      </c>
      <c r="L23" s="68">
        <f t="shared" ref="L23:N23" si="8">SUM(K23)+1.2</f>
        <v>27.4</v>
      </c>
      <c r="M23" s="68">
        <f t="shared" si="8"/>
        <v>28.599999999999998</v>
      </c>
      <c r="N23" s="117">
        <f t="shared" si="8"/>
        <v>29.799999999999997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>SUM(K25)+0.3</f>
        <v>4.5999999999999996</v>
      </c>
      <c r="M25" s="68">
        <f t="shared" ref="M25:N25" si="9">SUM(L25)+0.3</f>
        <v>4.8999999999999995</v>
      </c>
      <c r="N25" s="117">
        <f t="shared" si="9"/>
        <v>5.1999999999999993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93"/>
      <c r="N26" s="118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2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C942-F14F-4EA6-A81B-548524EEADC1}">
  <sheetPr>
    <tabColor rgb="FFFF0000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.25" customWidth="1"/>
    <col min="8" max="14" width="5.5" customWidth="1"/>
  </cols>
  <sheetData>
    <row r="1" spans="1:14" ht="16.5" customHeight="1" thickBot="1" x14ac:dyDescent="0.35">
      <c r="A1" s="112" t="s">
        <v>619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54">
        <f t="shared" ref="L3:N3" si="0">SUM(K3)+3</f>
        <v>51</v>
      </c>
      <c r="M3" s="54">
        <f t="shared" si="0"/>
        <v>54</v>
      </c>
      <c r="N3" s="56">
        <f t="shared" si="0"/>
        <v>57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36.599999999999994</v>
      </c>
      <c r="I5" s="54">
        <f>SUM(J5)-2.2</f>
        <v>38.799999999999997</v>
      </c>
      <c r="J5" s="55">
        <v>41</v>
      </c>
      <c r="K5" s="54">
        <f>SUM(J5)+2</f>
        <v>43</v>
      </c>
      <c r="L5" s="54">
        <f t="shared" ref="L5:N5" si="1">SUM(K5)+2</f>
        <v>45</v>
      </c>
      <c r="M5" s="54">
        <f t="shared" si="1"/>
        <v>47</v>
      </c>
      <c r="N5" s="56">
        <f t="shared" si="1"/>
        <v>49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54">
        <f t="shared" ref="L7:N7" si="2">SUM(K7)+2</f>
        <v>44</v>
      </c>
      <c r="M7" s="54">
        <f t="shared" si="2"/>
        <v>46</v>
      </c>
      <c r="N7" s="56">
        <f t="shared" si="2"/>
        <v>48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35.5</v>
      </c>
      <c r="I9" s="54">
        <f>SUM(J9)-2.25</f>
        <v>37.75</v>
      </c>
      <c r="J9" s="55">
        <v>40</v>
      </c>
      <c r="K9" s="54">
        <f>SUM(J9)+2</f>
        <v>42</v>
      </c>
      <c r="L9" s="54">
        <f t="shared" ref="L9:N9" si="3">SUM(K9)+2</f>
        <v>44</v>
      </c>
      <c r="M9" s="54">
        <f t="shared" si="3"/>
        <v>46</v>
      </c>
      <c r="N9" s="56">
        <f t="shared" si="3"/>
        <v>48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14.399999999999999</v>
      </c>
      <c r="I11" s="60">
        <f>SUM(J11)-0.8</f>
        <v>15.2</v>
      </c>
      <c r="J11" s="132">
        <v>16</v>
      </c>
      <c r="K11" s="130">
        <f>SUM(J11)+0.8</f>
        <v>16.8</v>
      </c>
      <c r="L11" s="130">
        <f t="shared" ref="L11:N11" si="4">SUM(K11)+0.8</f>
        <v>17.600000000000001</v>
      </c>
      <c r="M11" s="130">
        <f t="shared" si="4"/>
        <v>18.400000000000002</v>
      </c>
      <c r="N11" s="131">
        <f t="shared" si="4"/>
        <v>19.200000000000003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8">
        <f t="shared" ref="M13:N13" si="5">SUM(L13)+0.6</f>
        <v>17.800000000000004</v>
      </c>
      <c r="N13" s="69">
        <f t="shared" si="5"/>
        <v>18.400000000000006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6.4</v>
      </c>
      <c r="I15" s="54">
        <f>SUM(J15)-0.3</f>
        <v>6.7</v>
      </c>
      <c r="J15" s="67">
        <v>7</v>
      </c>
      <c r="K15" s="68">
        <f>SUM(J15)+0.3</f>
        <v>7.3</v>
      </c>
      <c r="L15" s="68">
        <f>SUM(K15)+0.3</f>
        <v>7.6</v>
      </c>
      <c r="M15" s="68">
        <f t="shared" ref="M15:N15" si="6">SUM(L15)+0.3</f>
        <v>7.8999999999999995</v>
      </c>
      <c r="N15" s="69">
        <f t="shared" si="6"/>
        <v>8.1999999999999993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8">
        <f t="shared" ref="M17:N17" si="7">SUM(L17)+1.6</f>
        <v>47.800000000000004</v>
      </c>
      <c r="N17" s="69">
        <f t="shared" si="7"/>
        <v>49.400000000000006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SUM(I19)-0.9</f>
        <v>10.7</v>
      </c>
      <c r="I19" s="54">
        <f>SUM(J19)-0.9</f>
        <v>11.6</v>
      </c>
      <c r="J19" s="55">
        <v>12.5</v>
      </c>
      <c r="K19" s="68">
        <f>SUM(J19)+1</f>
        <v>13.5</v>
      </c>
      <c r="L19" s="68">
        <f t="shared" ref="L19:N19" si="8">SUM(K19)+1</f>
        <v>14.5</v>
      </c>
      <c r="M19" s="68">
        <f t="shared" si="8"/>
        <v>15.5</v>
      </c>
      <c r="N19" s="69">
        <f t="shared" si="8"/>
        <v>16.5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415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26.6</v>
      </c>
      <c r="I23" s="54">
        <f>SUM(J23)-1.2</f>
        <v>27.8</v>
      </c>
      <c r="J23" s="67">
        <v>29</v>
      </c>
      <c r="K23" s="68">
        <f>SUM(J23)+1.2</f>
        <v>30.2</v>
      </c>
      <c r="L23" s="68">
        <f t="shared" ref="L23:N23" si="9">SUM(K23)+1.2</f>
        <v>31.4</v>
      </c>
      <c r="M23" s="68">
        <f t="shared" si="9"/>
        <v>32.6</v>
      </c>
      <c r="N23" s="69">
        <f t="shared" si="9"/>
        <v>33.800000000000004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68">
        <f>SUM(K25)+0.3</f>
        <v>5.6</v>
      </c>
      <c r="M25" s="68">
        <f t="shared" ref="M25:N25" si="10">SUM(L25)+0.3</f>
        <v>5.8999999999999995</v>
      </c>
      <c r="N25" s="69">
        <f t="shared" si="10"/>
        <v>6.1999999999999993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93"/>
      <c r="N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B26:C26"/>
    <mergeCell ref="D26:G26"/>
    <mergeCell ref="A1:N1"/>
    <mergeCell ref="N3:N4"/>
    <mergeCell ref="N5:N6"/>
    <mergeCell ref="N7:N8"/>
    <mergeCell ref="N9:N1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N23:N24"/>
    <mergeCell ref="N25:N26"/>
    <mergeCell ref="N11:N12"/>
    <mergeCell ref="N13:N14"/>
    <mergeCell ref="N15:N16"/>
    <mergeCell ref="N17:N18"/>
    <mergeCell ref="N19:N20"/>
    <mergeCell ref="N21:N22"/>
    <mergeCell ref="K25:K26"/>
    <mergeCell ref="L25:L26"/>
    <mergeCell ref="M25:M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0D72-EC15-43EC-BF1F-2226A0646B25}">
  <sheetPr codeName="Sheet78">
    <tabColor rgb="FFFF0000"/>
    <pageSetUpPr fitToPage="1"/>
  </sheetPr>
  <dimension ref="A1:N51"/>
  <sheetViews>
    <sheetView zoomScale="110" zoomScaleNormal="110" workbookViewId="0">
      <selection activeCell="I3" sqref="I3:I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35</v>
      </c>
      <c r="I3" s="54">
        <f>SUM(J3)-3</f>
        <v>38</v>
      </c>
      <c r="J3" s="55">
        <v>41</v>
      </c>
      <c r="K3" s="54">
        <f>SUM(J3)+2.5</f>
        <v>43.5</v>
      </c>
      <c r="L3" s="54">
        <f t="shared" ref="L3:M3" si="0">SUM(K3)+2.5</f>
        <v>46</v>
      </c>
      <c r="M3" s="56">
        <f t="shared" si="0"/>
        <v>48.5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18.399999999999999</v>
      </c>
      <c r="I5" s="54">
        <f>SUM(J5)-1.6</f>
        <v>20</v>
      </c>
      <c r="J5" s="55">
        <v>21.6</v>
      </c>
      <c r="K5" s="54">
        <f>SUM(J5)+1.4</f>
        <v>23</v>
      </c>
      <c r="L5" s="54">
        <f t="shared" ref="L5:M5" si="1">SUM(K5)+1.4</f>
        <v>24.4</v>
      </c>
      <c r="M5" s="56">
        <f t="shared" si="1"/>
        <v>25.799999999999997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26</v>
      </c>
      <c r="I7" s="54">
        <f>SUM(J7)-2</f>
        <v>28</v>
      </c>
      <c r="J7" s="55">
        <v>30</v>
      </c>
      <c r="K7" s="54">
        <f>SUM(J7)+1.8</f>
        <v>31.8</v>
      </c>
      <c r="L7" s="54">
        <f>SUM(K7)+1.8</f>
        <v>33.6</v>
      </c>
      <c r="M7" s="56">
        <f>SUM(L7)+1.8</f>
        <v>35.4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26</v>
      </c>
      <c r="I9" s="54">
        <f>SUM(J9)-2</f>
        <v>28</v>
      </c>
      <c r="J9" s="55">
        <v>30</v>
      </c>
      <c r="K9" s="54">
        <f>SUM(J9)+1.8</f>
        <v>31.8</v>
      </c>
      <c r="L9" s="54">
        <f>SUM(K9)+1.8</f>
        <v>33.6</v>
      </c>
      <c r="M9" s="56">
        <f>SUM(L9)+1.8</f>
        <v>35.4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SUM(I11)-0.8</f>
        <v>12.999999999999998</v>
      </c>
      <c r="I11" s="54">
        <f>SUM(J11)-0.8</f>
        <v>13.799999999999999</v>
      </c>
      <c r="J11" s="132">
        <v>14.6</v>
      </c>
      <c r="K11" s="54">
        <f>SUM(J11)+0.8</f>
        <v>15.4</v>
      </c>
      <c r="L11" s="54">
        <f>SUM(K11)+0.8</f>
        <v>16.2</v>
      </c>
      <c r="M11" s="56">
        <f>SUM(L11)+0.8</f>
        <v>17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132"/>
      <c r="K12" s="40"/>
      <c r="L12" s="40"/>
      <c r="M12" s="44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12.8</v>
      </c>
      <c r="I13" s="54">
        <f>SUM(J13)-0.6</f>
        <v>13.4</v>
      </c>
      <c r="J13" s="67">
        <v>14</v>
      </c>
      <c r="K13" s="68">
        <f>SUM(J13)+0.6</f>
        <v>14.6</v>
      </c>
      <c r="L13" s="68">
        <f>SUM(K13)+0.6</f>
        <v>15.2</v>
      </c>
      <c r="M13" s="69">
        <f t="shared" ref="M13" si="2">SUM(L13)+0.6</f>
        <v>15.799999999999999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5.4</v>
      </c>
      <c r="I15" s="54">
        <f>SUM(J15)-0.3</f>
        <v>5.7</v>
      </c>
      <c r="J15" s="67">
        <v>6</v>
      </c>
      <c r="K15" s="68">
        <f>SUM(J15)+0.3</f>
        <v>6.3</v>
      </c>
      <c r="L15" s="68">
        <f>SUM(K15)+0.3</f>
        <v>6.6</v>
      </c>
      <c r="M15" s="69">
        <f t="shared" ref="M15" si="3">SUM(L15)+0.3</f>
        <v>6.8999999999999995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34.799999999999997</v>
      </c>
      <c r="I17" s="54">
        <f>SUM(J17)-1.6</f>
        <v>36.4</v>
      </c>
      <c r="J17" s="67">
        <v>38</v>
      </c>
      <c r="K17" s="68">
        <f>SUM(J17)+1.6</f>
        <v>39.6</v>
      </c>
      <c r="L17" s="68">
        <f>SUM(K17)+1.6</f>
        <v>41.2</v>
      </c>
      <c r="M17" s="69">
        <f t="shared" ref="M17" si="4">SUM(L17)+1.6</f>
        <v>42.800000000000004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524</v>
      </c>
      <c r="C19" s="60"/>
      <c r="D19" s="61" t="s">
        <v>5</v>
      </c>
      <c r="E19" s="61"/>
      <c r="F19" s="61"/>
      <c r="G19" s="61"/>
      <c r="H19" s="54">
        <f>SUM(I19)-0.8</f>
        <v>9.3999999999999986</v>
      </c>
      <c r="I19" s="54">
        <f>SUM(J19)-0.8</f>
        <v>10.199999999999999</v>
      </c>
      <c r="J19" s="55">
        <v>11</v>
      </c>
      <c r="K19" s="68">
        <f>SUM(J19)+0.9</f>
        <v>11.9</v>
      </c>
      <c r="L19" s="68">
        <f t="shared" ref="L19:M19" si="5">SUM(K19)+0.9</f>
        <v>12.8</v>
      </c>
      <c r="M19" s="69">
        <f t="shared" si="5"/>
        <v>13.700000000000001</v>
      </c>
    </row>
    <row r="20" spans="1:14" s="1" customFormat="1" ht="14.1" customHeight="1" x14ac:dyDescent="0.3">
      <c r="A20" s="48"/>
      <c r="B20" s="45" t="s">
        <v>525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SUM(I21)-0.8</f>
        <v>7.8999999999999995</v>
      </c>
      <c r="I21" s="54">
        <f>SUM(J21)-0.8</f>
        <v>8.6999999999999993</v>
      </c>
      <c r="J21" s="55">
        <v>9.5</v>
      </c>
      <c r="K21" s="68">
        <f>SUM(J21)+0.9</f>
        <v>10.4</v>
      </c>
      <c r="L21" s="68">
        <f t="shared" ref="L21" si="6">SUM(K21)+0.9</f>
        <v>11.3</v>
      </c>
      <c r="M21" s="69">
        <f t="shared" ref="M21" si="7">SUM(L21)+0.9</f>
        <v>12.200000000000001</v>
      </c>
    </row>
    <row r="22" spans="1:14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68"/>
      <c r="L22" s="68"/>
      <c r="M22" s="69"/>
    </row>
    <row r="23" spans="1:14" s="1" customFormat="1" ht="14.1" customHeight="1" x14ac:dyDescent="0.3">
      <c r="A23" s="48">
        <v>11</v>
      </c>
      <c r="B23" s="60" t="s">
        <v>148</v>
      </c>
      <c r="C23" s="60"/>
      <c r="D23" s="62"/>
      <c r="E23" s="63"/>
      <c r="F23" s="63"/>
      <c r="G23" s="64"/>
      <c r="H23" s="54">
        <f>SUM(I23)-1.1</f>
        <v>14.8</v>
      </c>
      <c r="I23" s="54">
        <f>SUM(J23)-1.1</f>
        <v>15.9</v>
      </c>
      <c r="J23" s="55">
        <v>17</v>
      </c>
      <c r="K23" s="68">
        <f>SUM(J23)+1.1</f>
        <v>18.100000000000001</v>
      </c>
      <c r="L23" s="68">
        <f>SUM(K23)+1.1</f>
        <v>19.200000000000003</v>
      </c>
      <c r="M23" s="69">
        <f>SUM(L23)+1.1</f>
        <v>20.300000000000004</v>
      </c>
    </row>
    <row r="24" spans="1:14" s="1" customFormat="1" ht="14.1" customHeight="1" x14ac:dyDescent="0.3">
      <c r="A24" s="48"/>
      <c r="B24" s="45" t="s">
        <v>526</v>
      </c>
      <c r="C24" s="45"/>
      <c r="D24" s="46"/>
      <c r="E24" s="47"/>
      <c r="F24" s="47"/>
      <c r="G24" s="59"/>
      <c r="H24" s="40"/>
      <c r="I24" s="40"/>
      <c r="J24" s="42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SUM(I25)-1.7</f>
        <v>26.8</v>
      </c>
      <c r="I25" s="54">
        <f>SUM(J25)-1.7</f>
        <v>28.5</v>
      </c>
      <c r="J25" s="67">
        <v>30.2</v>
      </c>
      <c r="K25" s="68">
        <f>SUM(J25)+1.7</f>
        <v>31.9</v>
      </c>
      <c r="L25" s="68">
        <f>SUM(K25)+1.7</f>
        <v>33.6</v>
      </c>
      <c r="M25" s="69">
        <f>SUM(L25)+1.7</f>
        <v>35.300000000000004</v>
      </c>
    </row>
    <row r="26" spans="1:14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65" t="s">
        <v>134</v>
      </c>
      <c r="C27" s="66"/>
      <c r="D27" s="88" t="s">
        <v>83</v>
      </c>
      <c r="E27" s="89"/>
      <c r="F27" s="89"/>
      <c r="G27" s="90"/>
      <c r="H27" s="54">
        <f>SUM(I27)-0.2</f>
        <v>2.5999999999999996</v>
      </c>
      <c r="I27" s="54">
        <f>SUM(J27)-0.2</f>
        <v>2.8</v>
      </c>
      <c r="J27" s="67">
        <v>3</v>
      </c>
      <c r="K27" s="68">
        <f>SUM(J27)+0.2</f>
        <v>3.2</v>
      </c>
      <c r="L27" s="68">
        <f>SUM(K27)+0.2</f>
        <v>3.4000000000000004</v>
      </c>
      <c r="M27" s="69">
        <f>SUM(L27)+0.2</f>
        <v>3.6000000000000005</v>
      </c>
      <c r="N27"/>
    </row>
    <row r="28" spans="1:14" s="1" customFormat="1" ht="14.1" customHeight="1" x14ac:dyDescent="0.3">
      <c r="A28" s="78"/>
      <c r="B28" s="79" t="s">
        <v>142</v>
      </c>
      <c r="C28" s="80"/>
      <c r="D28" s="51" t="s">
        <v>84</v>
      </c>
      <c r="E28" s="52"/>
      <c r="F28" s="52"/>
      <c r="G28" s="53"/>
      <c r="H28" s="81"/>
      <c r="I28" s="81"/>
      <c r="J28" s="55"/>
      <c r="K28" s="54"/>
      <c r="L28" s="54"/>
      <c r="M28" s="56"/>
      <c r="N28"/>
    </row>
    <row r="29" spans="1:14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9"/>
      <c r="N29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1:J22"/>
    <mergeCell ref="K21:K22"/>
    <mergeCell ref="L21:L22"/>
    <mergeCell ref="M21:M22"/>
    <mergeCell ref="B22:C22"/>
    <mergeCell ref="D22:G22"/>
    <mergeCell ref="K27:K28"/>
    <mergeCell ref="L27:L28"/>
    <mergeCell ref="M27:M28"/>
    <mergeCell ref="B28:C28"/>
    <mergeCell ref="D28:G28"/>
    <mergeCell ref="J27:J28"/>
    <mergeCell ref="J25:J26"/>
    <mergeCell ref="K25:K26"/>
    <mergeCell ref="L25:L26"/>
    <mergeCell ref="M25:M26"/>
    <mergeCell ref="K23:K24"/>
    <mergeCell ref="L23:L24"/>
    <mergeCell ref="M23:M24"/>
    <mergeCell ref="J23:J24"/>
    <mergeCell ref="A21:A22"/>
    <mergeCell ref="B21:C21"/>
    <mergeCell ref="D21:G21"/>
    <mergeCell ref="H21:H22"/>
    <mergeCell ref="I21:I22"/>
    <mergeCell ref="A27:A28"/>
    <mergeCell ref="B27:C27"/>
    <mergeCell ref="D27:G27"/>
    <mergeCell ref="H27:H28"/>
    <mergeCell ref="I27:I28"/>
    <mergeCell ref="B26:C26"/>
    <mergeCell ref="D26:G26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DA61-B334-45D9-9141-938727C5A48C}">
  <sheetPr codeName="Sheet80">
    <tabColor rgb="FFFF0000"/>
    <pageSetUpPr fitToPage="1"/>
  </sheetPr>
  <dimension ref="A1:P51"/>
  <sheetViews>
    <sheetView zoomScale="110" zoomScaleNormal="110" workbookViewId="0">
      <selection activeCell="B3" sqref="B3:G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30" t="s">
        <v>504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6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6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SUM(I3)-2.9</f>
        <v>30.700000000000003</v>
      </c>
      <c r="I3" s="54">
        <f>SUM(J3)-2.9</f>
        <v>33.6</v>
      </c>
      <c r="J3" s="55">
        <v>36.5</v>
      </c>
      <c r="K3" s="54">
        <f>SUM(J3)+2.4</f>
        <v>38.9</v>
      </c>
      <c r="L3" s="54">
        <f>SUM(K3)+2.4</f>
        <v>41.3</v>
      </c>
      <c r="M3" s="56">
        <f>SUM(L3)+2.4</f>
        <v>43.699999999999996</v>
      </c>
    </row>
    <row r="4" spans="1:16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4"/>
    </row>
    <row r="5" spans="1:16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24.099999999999998</v>
      </c>
      <c r="I5" s="54">
        <f>SUM(J5)-1.8</f>
        <v>25.9</v>
      </c>
      <c r="J5" s="55">
        <v>27.7</v>
      </c>
      <c r="K5" s="54">
        <f>SUM(J5)+1.6</f>
        <v>29.3</v>
      </c>
      <c r="L5" s="54">
        <f>SUM(K5)+1.6</f>
        <v>30.900000000000002</v>
      </c>
      <c r="M5" s="56">
        <f>SUM(L5)+1.6</f>
        <v>32.5</v>
      </c>
    </row>
    <row r="6" spans="1:16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6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30.5</v>
      </c>
      <c r="I7" s="54">
        <f>SUM(J7)-2.25</f>
        <v>32.75</v>
      </c>
      <c r="J7" s="55">
        <v>35</v>
      </c>
      <c r="K7" s="54">
        <f>SUM(J7)+2</f>
        <v>37</v>
      </c>
      <c r="L7" s="54">
        <f>SUM(K7)+2</f>
        <v>39</v>
      </c>
      <c r="M7" s="56">
        <f>SUM(L7)+2</f>
        <v>41</v>
      </c>
    </row>
    <row r="8" spans="1:16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6" s="1" customFormat="1" ht="14.1" customHeight="1" x14ac:dyDescent="0.3">
      <c r="A9" s="48">
        <v>4</v>
      </c>
      <c r="B9" s="60" t="s">
        <v>505</v>
      </c>
      <c r="C9" s="60"/>
      <c r="D9" s="61" t="s">
        <v>8</v>
      </c>
      <c r="E9" s="61"/>
      <c r="F9" s="61"/>
      <c r="G9" s="61"/>
      <c r="H9" s="54">
        <f>SUM(I9)-3</f>
        <v>52</v>
      </c>
      <c r="I9" s="54">
        <f>SUM(J9)-3</f>
        <v>55</v>
      </c>
      <c r="J9" s="55">
        <v>58</v>
      </c>
      <c r="K9" s="54">
        <f>SUM(J9)+3</f>
        <v>61</v>
      </c>
      <c r="L9" s="54">
        <f>SUM(K9)+3</f>
        <v>64</v>
      </c>
      <c r="M9" s="56">
        <f>SUM(L9)+3</f>
        <v>67</v>
      </c>
      <c r="P9" s="1" t="s">
        <v>483</v>
      </c>
    </row>
    <row r="10" spans="1:16" s="1" customFormat="1" ht="14.1" customHeight="1" x14ac:dyDescent="0.3">
      <c r="A10" s="48"/>
      <c r="B10" s="45" t="s">
        <v>506</v>
      </c>
      <c r="C10" s="45"/>
      <c r="D10" s="46" t="s">
        <v>267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6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13.299999999999999</v>
      </c>
      <c r="I11" s="60">
        <f>SUM(J11)-0.8</f>
        <v>14.1</v>
      </c>
      <c r="J11" s="132">
        <v>14.9</v>
      </c>
      <c r="K11" s="130">
        <f>SUM(J11)+0.8</f>
        <v>15.700000000000001</v>
      </c>
      <c r="L11" s="130">
        <f t="shared" ref="L11:M11" si="0">SUM(K11)+0.8</f>
        <v>16.5</v>
      </c>
      <c r="M11" s="131">
        <f t="shared" si="0"/>
        <v>17.3</v>
      </c>
    </row>
    <row r="12" spans="1:16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6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9">
        <f>SUM(L13)+0.6</f>
        <v>17.800000000000004</v>
      </c>
    </row>
    <row r="14" spans="1:16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6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7.5</v>
      </c>
      <c r="I15" s="54">
        <f>SUM(J15)-0.3</f>
        <v>7.8</v>
      </c>
      <c r="J15" s="67">
        <v>8.1</v>
      </c>
      <c r="K15" s="68">
        <f>SUM(J15)+0.3</f>
        <v>8.4</v>
      </c>
      <c r="L15" s="68">
        <f>SUM(K15)+0.3</f>
        <v>8.7000000000000011</v>
      </c>
      <c r="M15" s="69">
        <f>SUM(L15)+0.3</f>
        <v>9.0000000000000018</v>
      </c>
    </row>
    <row r="16" spans="1:16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9">
        <f>SUM(L17)+1.6</f>
        <v>47.800000000000004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15.4</v>
      </c>
      <c r="I19" s="54">
        <f>SUM(J19)-1.1</f>
        <v>16.5</v>
      </c>
      <c r="J19" s="55">
        <v>17.600000000000001</v>
      </c>
      <c r="K19" s="68">
        <f>SUM(J19)+1.2</f>
        <v>18.8</v>
      </c>
      <c r="L19" s="68">
        <f>SUM(K19)+1.2</f>
        <v>20</v>
      </c>
      <c r="M19" s="69">
        <f>SUM(L19)+1.2</f>
        <v>21.2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148</v>
      </c>
      <c r="C23" s="66"/>
      <c r="D23" s="61" t="s">
        <v>68</v>
      </c>
      <c r="E23" s="61"/>
      <c r="F23" s="61"/>
      <c r="G23" s="61"/>
      <c r="H23" s="54">
        <f>SUM(I23)-1.2</f>
        <v>19.600000000000001</v>
      </c>
      <c r="I23" s="54">
        <f>SUM(J23)-1.2</f>
        <v>20.8</v>
      </c>
      <c r="J23" s="67">
        <v>22</v>
      </c>
      <c r="K23" s="68">
        <f>SUM(J23)+1.2</f>
        <v>23.2</v>
      </c>
      <c r="L23" s="68">
        <f>SUM(K23)+1.2</f>
        <v>24.4</v>
      </c>
      <c r="M23" s="69">
        <f>SUM(L23)+1.2</f>
        <v>25.599999999999998</v>
      </c>
    </row>
    <row r="24" spans="1:13" s="1" customFormat="1" ht="14.1" customHeight="1" x14ac:dyDescent="0.3">
      <c r="A24" s="48"/>
      <c r="B24" s="45" t="s">
        <v>220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507</v>
      </c>
      <c r="C25" s="66"/>
      <c r="D25" s="88"/>
      <c r="E25" s="89"/>
      <c r="F25" s="89"/>
      <c r="G25" s="90"/>
      <c r="H25" s="54">
        <f>SUM(I25)-1</f>
        <v>9.8000000000000007</v>
      </c>
      <c r="I25" s="54">
        <f>SUM(J25)-1</f>
        <v>10.8</v>
      </c>
      <c r="J25" s="55">
        <v>11.8</v>
      </c>
      <c r="K25" s="54">
        <f>SUM(J25)+0.5</f>
        <v>12.3</v>
      </c>
      <c r="L25" s="54">
        <f>SUM(K25)+0.5</f>
        <v>12.8</v>
      </c>
      <c r="M25" s="56">
        <f>SUM(L25)+0.5</f>
        <v>13.3</v>
      </c>
    </row>
    <row r="26" spans="1:13" s="1" customFormat="1" ht="14.1" customHeight="1" x14ac:dyDescent="0.3">
      <c r="A26" s="48"/>
      <c r="B26" s="70" t="s">
        <v>508</v>
      </c>
      <c r="C26" s="71"/>
      <c r="D26" s="46" t="s">
        <v>266</v>
      </c>
      <c r="E26" s="47"/>
      <c r="F26" s="47"/>
      <c r="G26" s="59"/>
      <c r="H26" s="40"/>
      <c r="I26" s="40"/>
      <c r="J26" s="42"/>
      <c r="K26" s="40"/>
      <c r="L26" s="40"/>
      <c r="M26" s="44"/>
    </row>
    <row r="27" spans="1:13" s="1" customFormat="1" ht="14.1" customHeight="1" x14ac:dyDescent="0.3">
      <c r="A27" s="48">
        <v>13</v>
      </c>
      <c r="B27" s="65" t="s">
        <v>509</v>
      </c>
      <c r="C27" s="66"/>
      <c r="D27" s="88"/>
      <c r="E27" s="89"/>
      <c r="F27" s="89"/>
      <c r="G27" s="90"/>
      <c r="H27" s="54">
        <f>SUM(I27)-1.9</f>
        <v>18.900000000000002</v>
      </c>
      <c r="I27" s="54">
        <f>SUM(J27)-1.9</f>
        <v>20.8</v>
      </c>
      <c r="J27" s="55">
        <v>22.7</v>
      </c>
      <c r="K27" s="54">
        <f>SUM(J27)+1.9</f>
        <v>24.599999999999998</v>
      </c>
      <c r="L27" s="54">
        <f>SUM(K27)+1.9</f>
        <v>26.499999999999996</v>
      </c>
      <c r="M27" s="56">
        <f>SUM(L27)+1.9</f>
        <v>28.399999999999995</v>
      </c>
    </row>
    <row r="28" spans="1:13" s="1" customFormat="1" ht="14.1" customHeight="1" x14ac:dyDescent="0.3">
      <c r="A28" s="48"/>
      <c r="B28" s="57" t="s">
        <v>510</v>
      </c>
      <c r="C28" s="58"/>
      <c r="D28" s="46"/>
      <c r="E28" s="47"/>
      <c r="F28" s="47"/>
      <c r="G28" s="59"/>
      <c r="H28" s="40"/>
      <c r="I28" s="40"/>
      <c r="J28" s="42"/>
      <c r="K28" s="40"/>
      <c r="L28" s="40"/>
      <c r="M28" s="44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102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5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FAC8-5B5B-4E6F-91D2-3AF11B65144E}">
  <sheetPr codeName="Sheet79">
    <tabColor rgb="FFFF0000"/>
    <pageSetUpPr fitToPage="1"/>
  </sheetPr>
  <dimension ref="A1:N51"/>
  <sheetViews>
    <sheetView zoomScale="110" zoomScaleNormal="110" workbookViewId="0">
      <selection activeCell="H19" sqref="H19:M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15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43</v>
      </c>
      <c r="I3" s="54">
        <f>SUM(J3)-3.5</f>
        <v>46.5</v>
      </c>
      <c r="J3" s="55">
        <v>50</v>
      </c>
      <c r="K3" s="54">
        <f>SUM(J3)+3</f>
        <v>53</v>
      </c>
      <c r="L3" s="54">
        <f t="shared" ref="L3" si="0">SUM(K3)+3</f>
        <v>56</v>
      </c>
      <c r="M3" s="56"/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SUM(I5)-2.6</f>
        <v>37.799999999999997</v>
      </c>
      <c r="I5" s="54">
        <f>SUM(J5)-2.6</f>
        <v>40.4</v>
      </c>
      <c r="J5" s="55">
        <v>43</v>
      </c>
      <c r="K5" s="54">
        <f>SUM(J5)+2.4</f>
        <v>45.4</v>
      </c>
      <c r="L5" s="54">
        <f>SUM(K5)+2.4</f>
        <v>47.8</v>
      </c>
      <c r="M5" s="56"/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SUM(I7)-2.7</f>
        <v>38.599999999999994</v>
      </c>
      <c r="I7" s="54">
        <f>SUM(J7)-2.7</f>
        <v>41.3</v>
      </c>
      <c r="J7" s="55">
        <v>44</v>
      </c>
      <c r="K7" s="54">
        <f>SUM(J7)+2.4</f>
        <v>46.4</v>
      </c>
      <c r="L7" s="54">
        <f>SUM(K7)+2.4</f>
        <v>48.8</v>
      </c>
      <c r="M7" s="56"/>
    </row>
    <row r="8" spans="1:14" s="1" customFormat="1" ht="14.1" customHeight="1" x14ac:dyDescent="0.3">
      <c r="A8" s="48"/>
      <c r="B8" s="45" t="s">
        <v>40</v>
      </c>
      <c r="C8" s="45"/>
      <c r="D8" s="46" t="s">
        <v>517</v>
      </c>
      <c r="E8" s="47"/>
      <c r="F8" s="47"/>
      <c r="G8" s="59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48">
        <v>4</v>
      </c>
      <c r="B9" s="60" t="s">
        <v>76</v>
      </c>
      <c r="C9" s="60"/>
      <c r="D9" s="61"/>
      <c r="E9" s="61"/>
      <c r="F9" s="61"/>
      <c r="G9" s="61"/>
      <c r="H9" s="60">
        <f>SUM(I9)-0.4</f>
        <v>4.5999999999999996</v>
      </c>
      <c r="I9" s="60">
        <f>SUM(J9)-0.4</f>
        <v>5</v>
      </c>
      <c r="J9" s="132">
        <v>5.4</v>
      </c>
      <c r="K9" s="130">
        <f>SUM(J9)+0.4</f>
        <v>5.8000000000000007</v>
      </c>
      <c r="L9" s="130">
        <f>SUM(K9)+0.4</f>
        <v>6.2000000000000011</v>
      </c>
      <c r="M9" s="131"/>
    </row>
    <row r="10" spans="1:14" s="1" customFormat="1" ht="14.1" customHeight="1" x14ac:dyDescent="0.3">
      <c r="A10" s="48"/>
      <c r="B10" s="45" t="s">
        <v>518</v>
      </c>
      <c r="C10" s="45"/>
      <c r="D10" s="46" t="s">
        <v>275</v>
      </c>
      <c r="E10" s="47"/>
      <c r="F10" s="47"/>
      <c r="G10" s="59"/>
      <c r="H10" s="45"/>
      <c r="I10" s="45"/>
      <c r="J10" s="132"/>
      <c r="K10" s="130"/>
      <c r="L10" s="130"/>
      <c r="M10" s="131"/>
    </row>
    <row r="11" spans="1:14" s="1" customFormat="1" ht="14.1" customHeight="1" x14ac:dyDescent="0.3">
      <c r="A11" s="48">
        <v>5</v>
      </c>
      <c r="B11" s="60" t="s">
        <v>77</v>
      </c>
      <c r="C11" s="60"/>
      <c r="D11" s="61"/>
      <c r="E11" s="61"/>
      <c r="F11" s="61"/>
      <c r="G11" s="61"/>
      <c r="H11" s="60">
        <f>SUM(I11)-0.6</f>
        <v>8.6000000000000014</v>
      </c>
      <c r="I11" s="60">
        <f>SUM(J11)-0.6</f>
        <v>9.2000000000000011</v>
      </c>
      <c r="J11" s="132">
        <v>9.8000000000000007</v>
      </c>
      <c r="K11" s="130">
        <f>SUM(J11)+0.6</f>
        <v>10.4</v>
      </c>
      <c r="L11" s="130">
        <f>SUM(K11)+0.6</f>
        <v>11</v>
      </c>
      <c r="M11" s="131"/>
    </row>
    <row r="12" spans="1:14" s="1" customFormat="1" ht="14.1" customHeight="1" x14ac:dyDescent="0.3">
      <c r="A12" s="48"/>
      <c r="B12" s="45" t="s">
        <v>476</v>
      </c>
      <c r="C12" s="45"/>
      <c r="D12" s="46" t="s">
        <v>201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9"/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6.6000000000000005</v>
      </c>
      <c r="I15" s="54">
        <f>SUM(J15)-0.3</f>
        <v>6.9</v>
      </c>
      <c r="J15" s="67">
        <v>7.2</v>
      </c>
      <c r="K15" s="68">
        <f>SUM(J15)+0.3</f>
        <v>7.5</v>
      </c>
      <c r="L15" s="68">
        <f>SUM(K15)+0.3</f>
        <v>7.8</v>
      </c>
      <c r="M15" s="69"/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40.799999999999997</v>
      </c>
      <c r="I17" s="54">
        <f>SUM(J17)-1.6</f>
        <v>42.4</v>
      </c>
      <c r="J17" s="67">
        <v>44</v>
      </c>
      <c r="K17" s="68">
        <f>SUM(J17)+1.6</f>
        <v>45.6</v>
      </c>
      <c r="L17" s="68">
        <f>SUM(K17)+1.6</f>
        <v>47.2</v>
      </c>
      <c r="M17" s="69"/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SUM(I19)-0.7</f>
        <v>9.1000000000000014</v>
      </c>
      <c r="I19" s="54">
        <f>SUM(J19)-0.7</f>
        <v>9.8000000000000007</v>
      </c>
      <c r="J19" s="55">
        <v>10.5</v>
      </c>
      <c r="K19" s="68">
        <f>SUM(J19)+0.8</f>
        <v>11.3</v>
      </c>
      <c r="L19" s="68">
        <f>SUM(K19)+0.8</f>
        <v>12.100000000000001</v>
      </c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</f>
        <v>18</v>
      </c>
      <c r="I23" s="54">
        <f>SUM(J23)-1</f>
        <v>19</v>
      </c>
      <c r="J23" s="67">
        <v>20</v>
      </c>
      <c r="K23" s="68">
        <f>SUM(J23)+1</f>
        <v>21</v>
      </c>
      <c r="L23" s="68">
        <f>SUM(K23)+1</f>
        <v>22</v>
      </c>
      <c r="M23" s="69"/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221</v>
      </c>
      <c r="C25" s="66"/>
      <c r="D25" s="75"/>
      <c r="E25" s="76"/>
      <c r="F25" s="76"/>
      <c r="G25" s="77"/>
      <c r="H25" s="54">
        <f>SUM(I25)-1.3</f>
        <v>14.899999999999999</v>
      </c>
      <c r="I25" s="54">
        <f>SUM(J25)-1.3</f>
        <v>16.2</v>
      </c>
      <c r="J25" s="67">
        <v>17.5</v>
      </c>
      <c r="K25" s="68">
        <f>SUM(J25)+1.1</f>
        <v>18.600000000000001</v>
      </c>
      <c r="L25" s="68">
        <f>SUM(K25)+1.1</f>
        <v>19.700000000000003</v>
      </c>
      <c r="M25" s="69"/>
    </row>
    <row r="26" spans="1:14" s="1" customFormat="1" ht="14.1" customHeight="1" x14ac:dyDescent="0.3">
      <c r="A26" s="48"/>
      <c r="B26" s="70" t="s">
        <v>222</v>
      </c>
      <c r="C26" s="71"/>
      <c r="D26" s="72" t="s">
        <v>519</v>
      </c>
      <c r="E26" s="73"/>
      <c r="F26" s="73"/>
      <c r="G26" s="74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65" t="s">
        <v>223</v>
      </c>
      <c r="C27" s="66"/>
      <c r="D27" s="75"/>
      <c r="E27" s="76"/>
      <c r="F27" s="76"/>
      <c r="G27" s="77"/>
      <c r="H27" s="54">
        <f>SUM(I27)-1.5</f>
        <v>17</v>
      </c>
      <c r="I27" s="54">
        <f>SUM(J27)-1.5</f>
        <v>18.5</v>
      </c>
      <c r="J27" s="67">
        <v>20</v>
      </c>
      <c r="K27" s="68">
        <f>SUM(J27)+1.2</f>
        <v>21.2</v>
      </c>
      <c r="L27" s="68">
        <f>SUM(K27)+1.2</f>
        <v>22.4</v>
      </c>
      <c r="M27" s="69"/>
    </row>
    <row r="28" spans="1:14" s="1" customFormat="1" ht="14.1" customHeight="1" x14ac:dyDescent="0.3">
      <c r="A28" s="48"/>
      <c r="B28" s="70" t="s">
        <v>224</v>
      </c>
      <c r="C28" s="71"/>
      <c r="D28" s="72" t="s">
        <v>519</v>
      </c>
      <c r="E28" s="73"/>
      <c r="F28" s="73"/>
      <c r="G28" s="74"/>
      <c r="H28" s="40"/>
      <c r="I28" s="40"/>
      <c r="J28" s="67"/>
      <c r="K28" s="68"/>
      <c r="L28" s="68"/>
      <c r="M28" s="69"/>
    </row>
    <row r="29" spans="1:14" s="1" customFormat="1" ht="14.1" customHeight="1" x14ac:dyDescent="0.3">
      <c r="A29" s="48">
        <v>14</v>
      </c>
      <c r="B29" s="79"/>
      <c r="C29" s="80"/>
      <c r="D29" s="75"/>
      <c r="E29" s="76"/>
      <c r="F29" s="76"/>
      <c r="G29" s="77"/>
      <c r="H29" s="54"/>
      <c r="I29" s="54"/>
      <c r="J29" s="42"/>
      <c r="K29" s="68"/>
      <c r="L29" s="68"/>
      <c r="M29" s="69"/>
      <c r="N29" s="268"/>
    </row>
    <row r="30" spans="1:14" s="1" customFormat="1" ht="14.1" customHeight="1" x14ac:dyDescent="0.3">
      <c r="A30" s="78"/>
      <c r="B30" s="79"/>
      <c r="C30" s="80"/>
      <c r="D30" s="84"/>
      <c r="E30" s="85"/>
      <c r="F30" s="85"/>
      <c r="G30" s="86"/>
      <c r="H30" s="40"/>
      <c r="I30" s="40"/>
      <c r="J30" s="55"/>
      <c r="K30" s="68"/>
      <c r="L30" s="68"/>
      <c r="M30" s="69"/>
      <c r="N30" s="270"/>
    </row>
    <row r="31" spans="1:14" ht="14.1" customHeight="1" x14ac:dyDescent="0.3">
      <c r="A31" s="48">
        <v>15</v>
      </c>
      <c r="B31" s="65"/>
      <c r="C31" s="66"/>
      <c r="D31" s="75"/>
      <c r="E31" s="76"/>
      <c r="F31" s="76"/>
      <c r="G31" s="77"/>
      <c r="H31" s="54"/>
      <c r="I31" s="54"/>
      <c r="J31" s="67"/>
      <c r="K31" s="68"/>
      <c r="L31" s="68"/>
      <c r="M31" s="69"/>
    </row>
    <row r="32" spans="1:14" ht="14.1" customHeight="1" thickBot="1" x14ac:dyDescent="0.35">
      <c r="A32" s="87"/>
      <c r="B32" s="96"/>
      <c r="C32" s="97"/>
      <c r="D32" s="109"/>
      <c r="E32" s="110"/>
      <c r="F32" s="110"/>
      <c r="G32" s="111"/>
      <c r="H32" s="91"/>
      <c r="I32" s="91"/>
      <c r="J32" s="92"/>
      <c r="K32" s="93"/>
      <c r="L32" s="93"/>
      <c r="M32" s="121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D6E8-88F8-4A32-B2F9-BEAD404B7208}">
  <sheetPr>
    <tabColor rgb="FFFF0000"/>
    <pageSetUpPr fitToPage="1"/>
  </sheetPr>
  <dimension ref="A1:N51"/>
  <sheetViews>
    <sheetView zoomScale="110" zoomScaleNormal="110" workbookViewId="0">
      <selection sqref="A1:M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.25" customWidth="1"/>
    <col min="8" max="14" width="5.5" customWidth="1"/>
  </cols>
  <sheetData>
    <row r="1" spans="1:13" ht="16.5" customHeight="1" thickBot="1" x14ac:dyDescent="0.35">
      <c r="A1" s="30" t="s">
        <v>569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33</v>
      </c>
      <c r="I3" s="54">
        <f>SUM(J3)-3</f>
        <v>36</v>
      </c>
      <c r="J3" s="55">
        <v>39</v>
      </c>
      <c r="K3" s="54">
        <f>SUM(J3)+2.5</f>
        <v>41.5</v>
      </c>
      <c r="L3" s="54">
        <f t="shared" ref="L3:M3" si="0">SUM(K3)+2.5</f>
        <v>44</v>
      </c>
      <c r="M3" s="56">
        <f t="shared" si="0"/>
        <v>46.5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25</v>
      </c>
      <c r="I5" s="54">
        <f>SUM(J5)-2</f>
        <v>27</v>
      </c>
      <c r="J5" s="55">
        <v>29</v>
      </c>
      <c r="K5" s="54">
        <f>SUM(J5)+1.8</f>
        <v>30.8</v>
      </c>
      <c r="L5" s="54">
        <f t="shared" ref="L5:M5" si="1">SUM(K5)+1.8</f>
        <v>32.6</v>
      </c>
      <c r="M5" s="56">
        <f t="shared" si="1"/>
        <v>34.4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28.5</v>
      </c>
      <c r="I7" s="54">
        <f>SUM(J7)-2.25</f>
        <v>30.75</v>
      </c>
      <c r="J7" s="55">
        <v>33</v>
      </c>
      <c r="K7" s="54">
        <f>SUM(J7)+2</f>
        <v>35</v>
      </c>
      <c r="L7" s="54">
        <f t="shared" ref="L7:M7" si="2">SUM(K7)+2</f>
        <v>37</v>
      </c>
      <c r="M7" s="56">
        <f t="shared" si="2"/>
        <v>39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27.5</v>
      </c>
      <c r="I9" s="54">
        <f>SUM(J9)-2.25</f>
        <v>29.75</v>
      </c>
      <c r="J9" s="55">
        <v>32</v>
      </c>
      <c r="K9" s="54">
        <f>SUM(J9)+2</f>
        <v>34</v>
      </c>
      <c r="L9" s="54">
        <f t="shared" ref="L9:M9" si="3">SUM(K9)+2</f>
        <v>36</v>
      </c>
      <c r="M9" s="56">
        <f t="shared" si="3"/>
        <v>38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13.499999999999998</v>
      </c>
      <c r="I11" s="60">
        <f>SUM(J11)-0.8</f>
        <v>14.299999999999999</v>
      </c>
      <c r="J11" s="132">
        <v>15.1</v>
      </c>
      <c r="K11" s="130">
        <f>SUM(J11)+0.8</f>
        <v>15.9</v>
      </c>
      <c r="L11" s="130">
        <f t="shared" ref="L11:M11" si="4">SUM(K11)+0.8</f>
        <v>16.7</v>
      </c>
      <c r="M11" s="131">
        <f t="shared" si="4"/>
        <v>17.5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14.3</v>
      </c>
      <c r="I13" s="54">
        <f>SUM(J13)-0.6</f>
        <v>14.9</v>
      </c>
      <c r="J13" s="67">
        <v>15.5</v>
      </c>
      <c r="K13" s="68">
        <f>SUM(J13)+0.6</f>
        <v>16.100000000000001</v>
      </c>
      <c r="L13" s="68">
        <f>SUM(K13)+0.6</f>
        <v>16.700000000000003</v>
      </c>
      <c r="M13" s="69">
        <f t="shared" ref="M13" si="5">SUM(L13)+0.6</f>
        <v>17.300000000000004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5.8000000000000007</v>
      </c>
      <c r="I15" s="54">
        <f>SUM(J15)-0.3</f>
        <v>6.1000000000000005</v>
      </c>
      <c r="J15" s="67">
        <v>6.4</v>
      </c>
      <c r="K15" s="68">
        <f>SUM(J15)+0.3</f>
        <v>6.7</v>
      </c>
      <c r="L15" s="68">
        <f>SUM(K15)+0.3</f>
        <v>7</v>
      </c>
      <c r="M15" s="69">
        <f t="shared" ref="M15" si="6">SUM(L15)+0.3</f>
        <v>7.3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35.799999999999997</v>
      </c>
      <c r="I17" s="54">
        <f>SUM(J17)-1.6</f>
        <v>37.4</v>
      </c>
      <c r="J17" s="67">
        <v>39</v>
      </c>
      <c r="K17" s="68">
        <f>SUM(J17)+1.6</f>
        <v>40.6</v>
      </c>
      <c r="L17" s="68">
        <f>SUM(K17)+1.6</f>
        <v>42.2</v>
      </c>
      <c r="M17" s="69">
        <f t="shared" ref="M17" si="7">SUM(L17)+1.6</f>
        <v>43.800000000000004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9</v>
      </c>
      <c r="I19" s="54">
        <f>SUM(J19)-1</f>
        <v>10</v>
      </c>
      <c r="J19" s="55">
        <v>11</v>
      </c>
      <c r="K19" s="68">
        <f>SUM(J19)+1.1</f>
        <v>12.1</v>
      </c>
      <c r="L19" s="68">
        <f t="shared" ref="L19:M19" si="8">SUM(K19)+1.1</f>
        <v>13.2</v>
      </c>
      <c r="M19" s="69">
        <f t="shared" si="8"/>
        <v>14.299999999999999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415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21.6</v>
      </c>
      <c r="I23" s="54">
        <f>SUM(J23)-1.2</f>
        <v>22.8</v>
      </c>
      <c r="J23" s="67">
        <v>24</v>
      </c>
      <c r="K23" s="68">
        <f>SUM(J23)+1.2</f>
        <v>25.2</v>
      </c>
      <c r="L23" s="68">
        <f t="shared" ref="L23:M23" si="9">SUM(K23)+1.2</f>
        <v>26.4</v>
      </c>
      <c r="M23" s="69">
        <f t="shared" si="9"/>
        <v>27.599999999999998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68">
        <f>SUM(K25)+0.3</f>
        <v>5.6</v>
      </c>
      <c r="M25" s="69">
        <f t="shared" ref="M25" si="10">SUM(L25)+0.3</f>
        <v>5.8999999999999995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 t="s">
        <v>84</v>
      </c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A1:M1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B9FD-E065-44D1-9E58-0F5C3E0D00CB}">
  <sheetPr codeName="Sheet81">
    <tabColor rgb="FFFF0000"/>
    <pageSetUpPr fitToPage="1"/>
  </sheetPr>
  <dimension ref="A1:N51"/>
  <sheetViews>
    <sheetView zoomScale="110" zoomScaleNormal="110" workbookViewId="0">
      <selection activeCell="B29" sqref="B29:C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54">
        <f t="shared" ref="M3" si="0">SUM(L3)+2.5</f>
        <v>47.5</v>
      </c>
      <c r="N3" s="56">
        <f>SUM(M3)+2.5</f>
        <v>50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20.799999999999997</v>
      </c>
      <c r="I5" s="54">
        <f>SUM(J5)-1.6</f>
        <v>22.4</v>
      </c>
      <c r="J5" s="55">
        <v>24</v>
      </c>
      <c r="K5" s="54">
        <f>SUM(J5)+1.4</f>
        <v>25.4</v>
      </c>
      <c r="L5" s="54">
        <f>SUM(K5)+1.4</f>
        <v>26.799999999999997</v>
      </c>
      <c r="M5" s="54">
        <f>SUM(L5)+1.4</f>
        <v>28.199999999999996</v>
      </c>
      <c r="N5" s="56">
        <f>SUM(M5)+1.4</f>
        <v>29.599999999999994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54">
        <f>SUM(L7)+2</f>
        <v>40</v>
      </c>
      <c r="N7" s="56">
        <f>SUM(M7)+2</f>
        <v>42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SUM(I9)-2.25</f>
        <v>29.5</v>
      </c>
      <c r="I9" s="54">
        <f>SUM(J9)-2.25</f>
        <v>31.75</v>
      </c>
      <c r="J9" s="55">
        <v>34</v>
      </c>
      <c r="K9" s="54">
        <f>SUM(J9)+2</f>
        <v>36</v>
      </c>
      <c r="L9" s="54">
        <f>SUM(K9)+2</f>
        <v>38</v>
      </c>
      <c r="M9" s="54">
        <f>SUM(L9)+2</f>
        <v>40</v>
      </c>
      <c r="N9" s="56">
        <f>SUM(M9)+2</f>
        <v>42</v>
      </c>
    </row>
    <row r="10" spans="1:14" s="1" customFormat="1" ht="14.1" customHeight="1" x14ac:dyDescent="0.3">
      <c r="A10" s="48"/>
      <c r="B10" s="45" t="s">
        <v>269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14.599999999999998</v>
      </c>
      <c r="I11" s="60">
        <f>SUM(J11)-0.9</f>
        <v>15.499999999999998</v>
      </c>
      <c r="J11" s="132">
        <v>16.399999999999999</v>
      </c>
      <c r="K11" s="130">
        <f>SUM(J11)+0.9</f>
        <v>17.299999999999997</v>
      </c>
      <c r="L11" s="130">
        <f>SUM(K11)+0.9</f>
        <v>18.199999999999996</v>
      </c>
      <c r="M11" s="130">
        <f>SUM(L11)+0.9</f>
        <v>19.099999999999994</v>
      </c>
      <c r="N11" s="131">
        <f>SUM(M11)+0.9</f>
        <v>19.999999999999993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13</v>
      </c>
      <c r="I13" s="54">
        <f>SUM(J13)-0.6</f>
        <v>13.6</v>
      </c>
      <c r="J13" s="67">
        <v>14.2</v>
      </c>
      <c r="K13" s="68">
        <f>SUM(J13)+0.6</f>
        <v>14.799999999999999</v>
      </c>
      <c r="L13" s="68">
        <f>SUM(K13)+0.6</f>
        <v>15.399999999999999</v>
      </c>
      <c r="M13" s="68">
        <f t="shared" ref="M13:N13" si="1">SUM(L13)+0.6</f>
        <v>15.999999999999998</v>
      </c>
      <c r="N13" s="69">
        <f t="shared" si="1"/>
        <v>16.599999999999998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6.1000000000000005</v>
      </c>
      <c r="I15" s="54">
        <f>SUM(J15)-0.3</f>
        <v>6.4</v>
      </c>
      <c r="J15" s="67">
        <v>6.7</v>
      </c>
      <c r="K15" s="68">
        <f>SUM(J15)+0.3</f>
        <v>7</v>
      </c>
      <c r="L15" s="68">
        <f>SUM(K15)+0.3</f>
        <v>7.3</v>
      </c>
      <c r="M15" s="68">
        <f t="shared" ref="M15:N15" si="2">SUM(L15)+0.3</f>
        <v>7.6</v>
      </c>
      <c r="N15" s="69">
        <f t="shared" si="2"/>
        <v>7.8999999999999995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34.299999999999997</v>
      </c>
      <c r="I17" s="54">
        <f>SUM(J17)-1.6</f>
        <v>35.9</v>
      </c>
      <c r="J17" s="67">
        <v>37.5</v>
      </c>
      <c r="K17" s="68">
        <f>SUM(J17)+1.6</f>
        <v>39.1</v>
      </c>
      <c r="L17" s="68">
        <f>SUM(K17)+1.6</f>
        <v>40.700000000000003</v>
      </c>
      <c r="M17" s="68">
        <f t="shared" ref="M17:N17" si="3">SUM(L17)+1.6</f>
        <v>42.300000000000004</v>
      </c>
      <c r="N17" s="69">
        <f t="shared" si="3"/>
        <v>43.900000000000006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8"/>
      <c r="N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/>
      <c r="I23" s="54"/>
      <c r="J23" s="67"/>
      <c r="K23" s="68"/>
      <c r="L23" s="68"/>
      <c r="M23" s="68"/>
      <c r="N23" s="69"/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284</v>
      </c>
      <c r="C25" s="66"/>
      <c r="D25" s="88"/>
      <c r="E25" s="89"/>
      <c r="F25" s="89"/>
      <c r="G25" s="90"/>
      <c r="H25" s="54">
        <f>SUM(I25)</f>
        <v>9</v>
      </c>
      <c r="I25" s="54">
        <f>SUM(J25)</f>
        <v>9</v>
      </c>
      <c r="J25" s="67">
        <v>9</v>
      </c>
      <c r="K25" s="68">
        <f>SUM(J25)+0.2</f>
        <v>9.1999999999999993</v>
      </c>
      <c r="L25" s="68">
        <f>SUM(K25)+0.2</f>
        <v>9.3999999999999986</v>
      </c>
      <c r="M25" s="68">
        <f>SUM(L25)+0.2</f>
        <v>9.5999999999999979</v>
      </c>
      <c r="N25" s="69">
        <f>SUM(M25)+0.2</f>
        <v>9.7999999999999972</v>
      </c>
    </row>
    <row r="26" spans="1:14" s="1" customFormat="1" ht="14.1" customHeight="1" x14ac:dyDescent="0.3">
      <c r="A26" s="48"/>
      <c r="B26" s="70" t="s">
        <v>285</v>
      </c>
      <c r="C26" s="71"/>
      <c r="D26" s="46"/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65" t="s">
        <v>507</v>
      </c>
      <c r="C27" s="66"/>
      <c r="D27" s="88"/>
      <c r="E27" s="89"/>
      <c r="F27" s="89"/>
      <c r="G27" s="90"/>
      <c r="H27" s="54">
        <f>SUM(I27)-1</f>
        <v>10</v>
      </c>
      <c r="I27" s="54">
        <f>SUM(J27)-1</f>
        <v>11</v>
      </c>
      <c r="J27" s="67">
        <v>12</v>
      </c>
      <c r="K27" s="68">
        <f>SUM(J27)+0.5</f>
        <v>12.5</v>
      </c>
      <c r="L27" s="68">
        <f>SUM(K27)+0.5</f>
        <v>13</v>
      </c>
      <c r="M27" s="68">
        <f>SUM(L27)+0.5</f>
        <v>13.5</v>
      </c>
      <c r="N27" s="69">
        <f>SUM(M27)+0.5</f>
        <v>14</v>
      </c>
    </row>
    <row r="28" spans="1:14" s="1" customFormat="1" ht="14.1" customHeight="1" x14ac:dyDescent="0.3">
      <c r="A28" s="48"/>
      <c r="B28" s="70" t="s">
        <v>508</v>
      </c>
      <c r="C28" s="71"/>
      <c r="D28" s="46" t="s">
        <v>266</v>
      </c>
      <c r="E28" s="47"/>
      <c r="F28" s="47"/>
      <c r="G28" s="59"/>
      <c r="H28" s="40"/>
      <c r="I28" s="40"/>
      <c r="J28" s="67"/>
      <c r="K28" s="68"/>
      <c r="L28" s="68"/>
      <c r="M28" s="68"/>
      <c r="N28" s="69"/>
    </row>
    <row r="29" spans="1:14" s="1" customFormat="1" ht="14.1" customHeight="1" x14ac:dyDescent="0.3">
      <c r="A29" s="48">
        <v>14</v>
      </c>
      <c r="B29" s="65" t="s">
        <v>134</v>
      </c>
      <c r="C29" s="66"/>
      <c r="D29" s="88"/>
      <c r="E29" s="89"/>
      <c r="F29" s="89"/>
      <c r="G29" s="90"/>
      <c r="H29" s="54">
        <f>SUM(I29)-0.7</f>
        <v>11.100000000000001</v>
      </c>
      <c r="I29" s="54">
        <f>SUM(J29)-0.7</f>
        <v>11.8</v>
      </c>
      <c r="J29" s="67">
        <v>12.5</v>
      </c>
      <c r="K29" s="68">
        <f>SUM(J29)+0.7</f>
        <v>13.2</v>
      </c>
      <c r="L29" s="68">
        <f>SUM(K29)+0.7</f>
        <v>13.899999999999999</v>
      </c>
      <c r="M29" s="68">
        <f>SUM(L29)+0.7</f>
        <v>14.599999999999998</v>
      </c>
      <c r="N29" s="69">
        <f>SUM(M29)+0.7</f>
        <v>15.299999999999997</v>
      </c>
    </row>
    <row r="30" spans="1:14" s="1" customFormat="1" ht="14.1" customHeight="1" x14ac:dyDescent="0.3">
      <c r="A30" s="48"/>
      <c r="B30" s="79" t="s">
        <v>142</v>
      </c>
      <c r="C30" s="80"/>
      <c r="D30" s="51"/>
      <c r="E30" s="52"/>
      <c r="F30" s="52"/>
      <c r="G30" s="53"/>
      <c r="H30" s="40"/>
      <c r="I30" s="40"/>
      <c r="J30" s="67"/>
      <c r="K30" s="68"/>
      <c r="L30" s="68"/>
      <c r="M30" s="68"/>
      <c r="N30" s="69"/>
    </row>
    <row r="31" spans="1:14" ht="14.1" customHeight="1" x14ac:dyDescent="0.3">
      <c r="A31" s="48">
        <v>15</v>
      </c>
      <c r="B31" s="65" t="s">
        <v>135</v>
      </c>
      <c r="C31" s="66"/>
      <c r="D31" s="88"/>
      <c r="E31" s="89"/>
      <c r="F31" s="89"/>
      <c r="G31" s="90"/>
      <c r="H31" s="54">
        <f>SUM(I31)-0.4</f>
        <v>4.7999999999999989</v>
      </c>
      <c r="I31" s="54">
        <f>SUM(J31)-0.4</f>
        <v>5.1999999999999993</v>
      </c>
      <c r="J31" s="67">
        <v>5.6</v>
      </c>
      <c r="K31" s="68">
        <f>SUM(J31)+0.4</f>
        <v>6</v>
      </c>
      <c r="L31" s="68">
        <f>SUM(K31)+0.4</f>
        <v>6.4</v>
      </c>
      <c r="M31" s="68">
        <f>SUM(L31)+0.4</f>
        <v>6.8000000000000007</v>
      </c>
      <c r="N31" s="69">
        <f>SUM(M31)+0.4</f>
        <v>7.2000000000000011</v>
      </c>
    </row>
    <row r="32" spans="1:14" ht="14.1" customHeight="1" x14ac:dyDescent="0.3">
      <c r="A32" s="48"/>
      <c r="B32" s="57" t="s">
        <v>143</v>
      </c>
      <c r="C32" s="58"/>
      <c r="D32" s="46"/>
      <c r="E32" s="47"/>
      <c r="F32" s="47"/>
      <c r="G32" s="59"/>
      <c r="H32" s="40"/>
      <c r="I32" s="40"/>
      <c r="J32" s="67"/>
      <c r="K32" s="68"/>
      <c r="L32" s="68"/>
      <c r="M32" s="68"/>
      <c r="N32" s="69"/>
    </row>
    <row r="33" spans="1:14" ht="14.1" customHeight="1" x14ac:dyDescent="0.3">
      <c r="A33" s="35">
        <v>16</v>
      </c>
      <c r="B33" s="79"/>
      <c r="C33" s="80"/>
      <c r="D33" s="133"/>
      <c r="E33" s="134"/>
      <c r="F33" s="134"/>
      <c r="G33" s="135"/>
      <c r="H33" s="81"/>
      <c r="I33" s="81"/>
      <c r="J33" s="42"/>
      <c r="K33" s="40"/>
      <c r="L33" s="40"/>
      <c r="M33" s="264"/>
      <c r="N33" s="143"/>
    </row>
    <row r="34" spans="1:14" ht="14.1" customHeight="1" thickBot="1" x14ac:dyDescent="0.35">
      <c r="A34" s="87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271"/>
      <c r="N34" s="272"/>
    </row>
    <row r="35" spans="1:14" ht="14.1" customHeight="1" x14ac:dyDescent="0.3"/>
    <row r="36" spans="1:14" ht="14.1" customHeight="1" x14ac:dyDescent="0.3"/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5">
    <mergeCell ref="K27:K28"/>
    <mergeCell ref="L27:L28"/>
    <mergeCell ref="M27:M28"/>
    <mergeCell ref="N27:N28"/>
    <mergeCell ref="B28:C28"/>
    <mergeCell ref="D28:G28"/>
    <mergeCell ref="K29:K30"/>
    <mergeCell ref="L29:L30"/>
    <mergeCell ref="M29:M30"/>
    <mergeCell ref="N29:N30"/>
    <mergeCell ref="D31:G31"/>
    <mergeCell ref="H31:H32"/>
    <mergeCell ref="I31:I32"/>
    <mergeCell ref="J31:J32"/>
    <mergeCell ref="B32:C32"/>
    <mergeCell ref="D32:G32"/>
    <mergeCell ref="A29:A30"/>
    <mergeCell ref="B29:C29"/>
    <mergeCell ref="D29:G29"/>
    <mergeCell ref="H29:H30"/>
    <mergeCell ref="I29:I30"/>
    <mergeCell ref="J29:J30"/>
    <mergeCell ref="B30:C30"/>
    <mergeCell ref="D30:G30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A31:A32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A27:A28"/>
    <mergeCell ref="B27:C27"/>
    <mergeCell ref="D27:G27"/>
    <mergeCell ref="H27:H28"/>
    <mergeCell ref="I27:I28"/>
    <mergeCell ref="J27:J28"/>
    <mergeCell ref="B31:C31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39CC-1DA5-4248-9309-8DC0390CF328}">
  <sheetPr>
    <tabColor rgb="FFFF0000"/>
    <pageSetUpPr fitToPage="1"/>
  </sheetPr>
  <dimension ref="A1:M51"/>
  <sheetViews>
    <sheetView zoomScale="110" zoomScaleNormal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54">
        <f t="shared" ref="L3:M3" si="0">SUM(K3)+3</f>
        <v>51</v>
      </c>
      <c r="M3" s="56">
        <f t="shared" si="0"/>
        <v>54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32</v>
      </c>
      <c r="I5" s="54">
        <f>SUM(J5)-2</f>
        <v>34</v>
      </c>
      <c r="J5" s="55">
        <v>36</v>
      </c>
      <c r="K5" s="54">
        <f>SUM(J5)+1.8</f>
        <v>37.799999999999997</v>
      </c>
      <c r="L5" s="54">
        <f t="shared" ref="L5:M5" si="1">SUM(K5)+1.8</f>
        <v>39.599999999999994</v>
      </c>
      <c r="M5" s="56">
        <f t="shared" si="1"/>
        <v>41.399999999999991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34.5</v>
      </c>
      <c r="I7" s="54">
        <f>SUM(J7)-2.25</f>
        <v>36.75</v>
      </c>
      <c r="J7" s="55">
        <v>39</v>
      </c>
      <c r="K7" s="54">
        <f>SUM(J7)+2</f>
        <v>41</v>
      </c>
      <c r="L7" s="54">
        <f t="shared" ref="L7:M7" si="2">SUM(K7)+2</f>
        <v>43</v>
      </c>
      <c r="M7" s="56">
        <f t="shared" si="2"/>
        <v>45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34.5</v>
      </c>
      <c r="I9" s="54">
        <f>SUM(J9)-2.25</f>
        <v>36.75</v>
      </c>
      <c r="J9" s="55">
        <v>39</v>
      </c>
      <c r="K9" s="54">
        <f>SUM(J9)+2</f>
        <v>41</v>
      </c>
      <c r="L9" s="54">
        <f t="shared" ref="L9:M9" si="3">SUM(K9)+2</f>
        <v>43</v>
      </c>
      <c r="M9" s="56">
        <f t="shared" si="3"/>
        <v>45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14.999999999999998</v>
      </c>
      <c r="I11" s="60">
        <f>SUM(J11)-0.8</f>
        <v>15.899999999999999</v>
      </c>
      <c r="J11" s="132">
        <v>16.7</v>
      </c>
      <c r="K11" s="130">
        <f>SUM(J11)+0.8</f>
        <v>17.5</v>
      </c>
      <c r="L11" s="130">
        <f t="shared" ref="L11:M11" si="4">SUM(K11)+0.8</f>
        <v>18.3</v>
      </c>
      <c r="M11" s="131">
        <f t="shared" si="4"/>
        <v>19.100000000000001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15.3</v>
      </c>
      <c r="I13" s="60">
        <f>SUM(J13)-0.6</f>
        <v>15.9</v>
      </c>
      <c r="J13" s="67">
        <v>16.5</v>
      </c>
      <c r="K13" s="130">
        <f>SUM(J13)+0.6</f>
        <v>17.100000000000001</v>
      </c>
      <c r="L13" s="130">
        <f t="shared" ref="L13:M13" si="5">SUM(K13)+0.6</f>
        <v>17.700000000000003</v>
      </c>
      <c r="M13" s="131">
        <f t="shared" si="5"/>
        <v>18.300000000000004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 t="shared" ref="L15:M15" si="6">SUM(K15)+0.3</f>
        <v>7.3999999999999995</v>
      </c>
      <c r="M15" s="69">
        <f t="shared" si="6"/>
        <v>7.6999999999999993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 t="shared" ref="L17:M17" si="7">SUM(K17)+1.6</f>
        <v>45.2</v>
      </c>
      <c r="M17" s="69">
        <f t="shared" si="7"/>
        <v>46.800000000000004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10</v>
      </c>
      <c r="I19" s="54">
        <f>SUM(J19)-1</f>
        <v>11</v>
      </c>
      <c r="J19" s="67">
        <v>12</v>
      </c>
      <c r="K19" s="68">
        <f>SUM(J19)+1.1</f>
        <v>13.1</v>
      </c>
      <c r="L19" s="68">
        <f t="shared" ref="L19:M19" si="8">SUM(K19)+1.1</f>
        <v>14.2</v>
      </c>
      <c r="M19" s="69">
        <f t="shared" si="8"/>
        <v>15.299999999999999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25.4</v>
      </c>
      <c r="I23" s="54">
        <f>SUM(J23)-1.3</f>
        <v>26.7</v>
      </c>
      <c r="J23" s="67">
        <v>28</v>
      </c>
      <c r="K23" s="68">
        <f>SUM(J23)+1.3</f>
        <v>29.3</v>
      </c>
      <c r="L23" s="68">
        <f t="shared" ref="L23:M23" si="9">SUM(K23)+1.3</f>
        <v>30.6</v>
      </c>
      <c r="M23" s="69">
        <f t="shared" si="9"/>
        <v>31.900000000000002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79" t="s">
        <v>134</v>
      </c>
      <c r="C25" s="80"/>
      <c r="D25" s="88"/>
      <c r="E25" s="89"/>
      <c r="F25" s="89"/>
      <c r="G25" s="90"/>
      <c r="H25" s="54">
        <f>SUM(I25)-0.3</f>
        <v>3.9000000000000004</v>
      </c>
      <c r="I25" s="54">
        <f>SUM(J25)-0.3</f>
        <v>4.2</v>
      </c>
      <c r="J25" s="67">
        <v>4.5</v>
      </c>
      <c r="K25" s="68">
        <f>SUM(J25)+0.3</f>
        <v>4.8</v>
      </c>
      <c r="L25" s="68">
        <f t="shared" ref="L25:M25" si="10">SUM(K25)+0.3</f>
        <v>5.0999999999999996</v>
      </c>
      <c r="M25" s="69">
        <f t="shared" si="10"/>
        <v>5.3999999999999995</v>
      </c>
    </row>
    <row r="26" spans="1:13" s="1" customFormat="1" ht="14.1" customHeight="1" x14ac:dyDescent="0.3">
      <c r="A26" s="48"/>
      <c r="B26" s="79" t="s">
        <v>142</v>
      </c>
      <c r="C26" s="80"/>
      <c r="D26" s="46"/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4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7AD6-4ACC-44E4-9403-D82F05357196}">
  <sheetPr>
    <tabColor rgb="FFFF0000"/>
    <pageSetUpPr fitToPage="1"/>
  </sheetPr>
  <dimension ref="A1:N51"/>
  <sheetViews>
    <sheetView zoomScale="110" zoomScaleNormal="110" workbookViewId="0">
      <selection sqref="A1:N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280" t="s">
        <v>645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>SUM(K3)+3</f>
        <v>48</v>
      </c>
      <c r="M3" s="54">
        <f>SUM(L3)+3</f>
        <v>51</v>
      </c>
      <c r="N3" s="115">
        <f>SUM(M3)+3</f>
        <v>54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21.999999999999996</v>
      </c>
      <c r="I5" s="54">
        <f>SUM(J5)-1.6</f>
        <v>23.599999999999998</v>
      </c>
      <c r="J5" s="55">
        <v>25.2</v>
      </c>
      <c r="K5" s="54">
        <f>SUM(J5)+1.4</f>
        <v>26.599999999999998</v>
      </c>
      <c r="L5" s="54">
        <f>SUM(K5)+1.4</f>
        <v>27.999999999999996</v>
      </c>
      <c r="M5" s="54">
        <f>SUM(L5)+1.4</f>
        <v>29.399999999999995</v>
      </c>
      <c r="N5" s="115">
        <f>SUM(M5)+1.4</f>
        <v>30.799999999999994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28</v>
      </c>
      <c r="I7" s="54">
        <f>SUM(J7)-2</f>
        <v>30</v>
      </c>
      <c r="J7" s="55">
        <v>32</v>
      </c>
      <c r="K7" s="54">
        <f>SUM(J7)+1.8</f>
        <v>33.799999999999997</v>
      </c>
      <c r="L7" s="54">
        <f>SUM(K7)+1.8</f>
        <v>35.599999999999994</v>
      </c>
      <c r="M7" s="54">
        <f>SUM(L7)+1.8</f>
        <v>37.399999999999991</v>
      </c>
      <c r="N7" s="115">
        <f>SUM(M7)+1.8</f>
        <v>39.199999999999989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28</v>
      </c>
      <c r="I9" s="54">
        <f>SUM(J9)-2</f>
        <v>30</v>
      </c>
      <c r="J9" s="55">
        <v>32</v>
      </c>
      <c r="K9" s="54">
        <f>SUM(J9)+1.8</f>
        <v>33.799999999999997</v>
      </c>
      <c r="L9" s="54">
        <f>SUM(K9)+1.8</f>
        <v>35.599999999999994</v>
      </c>
      <c r="M9" s="54">
        <f>SUM(L9)+1.8</f>
        <v>37.399999999999991</v>
      </c>
      <c r="N9" s="115">
        <f>SUM(M9)+1.8</f>
        <v>39.199999999999989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13.6</v>
      </c>
      <c r="I11" s="60">
        <f>SUM(J11)-0.9</f>
        <v>14.5</v>
      </c>
      <c r="J11" s="132">
        <v>15.4</v>
      </c>
      <c r="K11" s="130">
        <f>SUM(J11)+0.9</f>
        <v>16.3</v>
      </c>
      <c r="L11" s="130">
        <f>SUM(K11)+0.9</f>
        <v>17.2</v>
      </c>
      <c r="M11" s="68">
        <f>SUM(L11)+0.9</f>
        <v>18.099999999999998</v>
      </c>
      <c r="N11" s="117">
        <f>SUM(M11)+0.9</f>
        <v>18.999999999999996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68"/>
      <c r="N12" s="117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8">
        <f>SUM(L13)+0.6</f>
        <v>17.800000000000004</v>
      </c>
      <c r="N13" s="117">
        <f>SUM(M13)+0.6</f>
        <v>18.400000000000006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4.9000000000000004</v>
      </c>
      <c r="I15" s="54">
        <f>SUM(J15)-0.3</f>
        <v>5.2</v>
      </c>
      <c r="J15" s="67">
        <v>5.5</v>
      </c>
      <c r="K15" s="68">
        <f>SUM(J15)+0.3</f>
        <v>5.8</v>
      </c>
      <c r="L15" s="68">
        <f>SUM(K15)+0.3</f>
        <v>6.1</v>
      </c>
      <c r="M15" s="68">
        <f>SUM(L15)+0.3</f>
        <v>6.3999999999999995</v>
      </c>
      <c r="N15" s="117">
        <f>SUM(M15)+0.3</f>
        <v>6.6999999999999993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>SUM(K17)+1.6</f>
        <v>44.2</v>
      </c>
      <c r="M17" s="68">
        <f>SUM(L17)+1.6</f>
        <v>45.800000000000004</v>
      </c>
      <c r="N17" s="117">
        <f>SUM(M17)+1.6</f>
        <v>47.400000000000006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SUM(I19)-0.8</f>
        <v>7.3999999999999995</v>
      </c>
      <c r="I19" s="54">
        <f>SUM(J19)-0.8</f>
        <v>8.1999999999999993</v>
      </c>
      <c r="J19" s="55">
        <v>9</v>
      </c>
      <c r="K19" s="68">
        <f>SUM(J19)+0.9</f>
        <v>9.9</v>
      </c>
      <c r="L19" s="68">
        <f>SUM(K19)+0.9</f>
        <v>10.8</v>
      </c>
      <c r="M19" s="68">
        <f>SUM(L19)+0.9</f>
        <v>11.700000000000001</v>
      </c>
      <c r="N19" s="117">
        <f>SUM(M19)+0.9</f>
        <v>12.600000000000001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21.9</v>
      </c>
      <c r="I23" s="54">
        <f>SUM(J23)-1.3</f>
        <v>23.2</v>
      </c>
      <c r="J23" s="67">
        <v>24.5</v>
      </c>
      <c r="K23" s="68">
        <f>SUM(J23)+1.3</f>
        <v>25.8</v>
      </c>
      <c r="L23" s="68">
        <f>SUM(K23)+1.3</f>
        <v>27.1</v>
      </c>
      <c r="M23" s="68">
        <f>SUM(L23)+1.3</f>
        <v>28.400000000000002</v>
      </c>
      <c r="N23" s="117">
        <f>SUM(M23)+1.3</f>
        <v>29.700000000000003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646</v>
      </c>
      <c r="C25" s="66"/>
      <c r="D25" s="61"/>
      <c r="E25" s="61"/>
      <c r="F25" s="61"/>
      <c r="G25" s="61"/>
      <c r="H25" s="54">
        <f>SUM(I25)-1.5</f>
        <v>14</v>
      </c>
      <c r="I25" s="54">
        <f>SUM(J25)-1.5</f>
        <v>15.5</v>
      </c>
      <c r="J25" s="67">
        <v>17</v>
      </c>
      <c r="K25" s="68">
        <f>SUM(J25)+1.5</f>
        <v>18.5</v>
      </c>
      <c r="L25" s="68">
        <f>SUM(K25)+1.5</f>
        <v>20</v>
      </c>
      <c r="M25" s="68">
        <f>SUM(L25)+1.5</f>
        <v>21.5</v>
      </c>
      <c r="N25" s="117">
        <f>SUM(M25)+1.5</f>
        <v>23</v>
      </c>
    </row>
    <row r="26" spans="1:14" s="1" customFormat="1" ht="14.1" customHeight="1" x14ac:dyDescent="0.3">
      <c r="A26" s="48"/>
      <c r="B26" s="45" t="s">
        <v>647</v>
      </c>
      <c r="C26" s="45"/>
      <c r="D26" s="46" t="s">
        <v>275</v>
      </c>
      <c r="E26" s="47"/>
      <c r="F26" s="47"/>
      <c r="G26" s="59"/>
      <c r="H26" s="40"/>
      <c r="I26" s="40"/>
      <c r="J26" s="67"/>
      <c r="K26" s="68"/>
      <c r="L26" s="68"/>
      <c r="M26" s="68"/>
      <c r="N26" s="117"/>
    </row>
    <row r="27" spans="1:14" s="1" customFormat="1" ht="14.1" customHeight="1" x14ac:dyDescent="0.3">
      <c r="A27" s="48">
        <v>13</v>
      </c>
      <c r="B27" s="65" t="s">
        <v>344</v>
      </c>
      <c r="C27" s="66"/>
      <c r="D27" s="61"/>
      <c r="E27" s="61"/>
      <c r="F27" s="61"/>
      <c r="G27" s="61"/>
      <c r="H27" s="54">
        <f>SUM(I27)-1</f>
        <v>15.5</v>
      </c>
      <c r="I27" s="54">
        <f>SUM(J27)-1</f>
        <v>16.5</v>
      </c>
      <c r="J27" s="67">
        <v>17.5</v>
      </c>
      <c r="K27" s="68">
        <f>SUM(J27)+1</f>
        <v>18.5</v>
      </c>
      <c r="L27" s="68">
        <f>SUM(K27)+1</f>
        <v>19.5</v>
      </c>
      <c r="M27" s="68">
        <f>SUM(L27)+1</f>
        <v>20.5</v>
      </c>
      <c r="N27" s="117">
        <f>SUM(M27)+1</f>
        <v>21.5</v>
      </c>
    </row>
    <row r="28" spans="1:14" s="1" customFormat="1" ht="14.1" customHeight="1" x14ac:dyDescent="0.3">
      <c r="A28" s="48"/>
      <c r="B28" s="45" t="s">
        <v>345</v>
      </c>
      <c r="C28" s="45"/>
      <c r="D28" s="46" t="s">
        <v>213</v>
      </c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48">
        <v>14</v>
      </c>
      <c r="B29" s="65" t="s">
        <v>648</v>
      </c>
      <c r="C29" s="66"/>
      <c r="D29" s="61"/>
      <c r="E29" s="61"/>
      <c r="F29" s="61"/>
      <c r="G29" s="61"/>
      <c r="H29" s="54">
        <f>SUM(I29)-0.5</f>
        <v>8.5</v>
      </c>
      <c r="I29" s="54">
        <f>SUM(J29)-0.5</f>
        <v>9</v>
      </c>
      <c r="J29" s="67">
        <v>9.5</v>
      </c>
      <c r="K29" s="68">
        <f>SUM(J29)+0.5</f>
        <v>10</v>
      </c>
      <c r="L29" s="68">
        <f>SUM(K29)+0.5</f>
        <v>10.5</v>
      </c>
      <c r="M29" s="68">
        <f>SUM(L29)+0.5</f>
        <v>11</v>
      </c>
      <c r="N29" s="117">
        <f>SUM(M29)+0.5</f>
        <v>11.5</v>
      </c>
    </row>
    <row r="30" spans="1:14" s="1" customFormat="1" ht="14.1" customHeight="1" x14ac:dyDescent="0.3">
      <c r="A30" s="48"/>
      <c r="B30" s="45" t="s">
        <v>188</v>
      </c>
      <c r="C30" s="45"/>
      <c r="D30" s="46"/>
      <c r="E30" s="47"/>
      <c r="F30" s="47"/>
      <c r="G30" s="59"/>
      <c r="H30" s="40"/>
      <c r="I30" s="40"/>
      <c r="J30" s="67"/>
      <c r="K30" s="68"/>
      <c r="L30" s="68"/>
      <c r="M30" s="68"/>
      <c r="N30" s="117"/>
    </row>
    <row r="31" spans="1:14" ht="14.1" customHeight="1" x14ac:dyDescent="0.3">
      <c r="A31" s="48">
        <v>15</v>
      </c>
      <c r="B31" s="65" t="s">
        <v>134</v>
      </c>
      <c r="C31" s="66"/>
      <c r="D31" s="88"/>
      <c r="E31" s="89"/>
      <c r="F31" s="89"/>
      <c r="G31" s="90"/>
      <c r="H31" s="54">
        <f>SUM(I31)-0.2</f>
        <v>2.8</v>
      </c>
      <c r="I31" s="54">
        <f>SUM(J31)-0.2</f>
        <v>3</v>
      </c>
      <c r="J31" s="67">
        <v>3.2</v>
      </c>
      <c r="K31" s="68">
        <f>SUM(J31)+0.2</f>
        <v>3.4000000000000004</v>
      </c>
      <c r="L31" s="68">
        <f>SUM(K31)+0.2</f>
        <v>3.6000000000000005</v>
      </c>
      <c r="M31" s="68">
        <f>SUM(L31)+0.2</f>
        <v>3.8000000000000007</v>
      </c>
      <c r="N31" s="117">
        <f>SUM(M31)+0.2</f>
        <v>4.0000000000000009</v>
      </c>
    </row>
    <row r="32" spans="1:14" ht="14.1" customHeight="1" x14ac:dyDescent="0.3">
      <c r="A32" s="48"/>
      <c r="B32" s="57" t="s">
        <v>142</v>
      </c>
      <c r="C32" s="58"/>
      <c r="D32" s="46"/>
      <c r="E32" s="47"/>
      <c r="F32" s="47"/>
      <c r="G32" s="59"/>
      <c r="H32" s="40"/>
      <c r="I32" s="40"/>
      <c r="J32" s="67"/>
      <c r="K32" s="68"/>
      <c r="L32" s="68"/>
      <c r="M32" s="68"/>
      <c r="N32" s="117"/>
    </row>
    <row r="33" spans="1:14" ht="14.1" customHeight="1" x14ac:dyDescent="0.3">
      <c r="A33" s="35">
        <v>16</v>
      </c>
      <c r="B33" s="79"/>
      <c r="C33" s="80"/>
      <c r="D33" s="133"/>
      <c r="E33" s="134"/>
      <c r="F33" s="134"/>
      <c r="G33" s="135"/>
      <c r="H33" s="81"/>
      <c r="I33" s="81"/>
      <c r="J33" s="42"/>
      <c r="K33" s="40"/>
      <c r="L33" s="40"/>
      <c r="M33" s="40"/>
      <c r="N33" s="116"/>
    </row>
    <row r="34" spans="1:14" ht="14.1" customHeight="1" thickBot="1" x14ac:dyDescent="0.35">
      <c r="A34" s="87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93"/>
      <c r="N34" s="118"/>
    </row>
    <row r="35" spans="1:14" ht="14.1" customHeight="1" x14ac:dyDescent="0.3"/>
    <row r="36" spans="1:14" ht="14.1" customHeight="1" x14ac:dyDescent="0.3"/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5">
    <mergeCell ref="N21:N22"/>
    <mergeCell ref="N23:N24"/>
    <mergeCell ref="N25:N26"/>
    <mergeCell ref="N27:N28"/>
    <mergeCell ref="N29:N30"/>
    <mergeCell ref="N31:N32"/>
    <mergeCell ref="N33:N34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J7:J8"/>
    <mergeCell ref="A7:A8"/>
    <mergeCell ref="B7:C7"/>
    <mergeCell ref="D7:G7"/>
    <mergeCell ref="H7:H8"/>
    <mergeCell ref="I7:I8"/>
    <mergeCell ref="K7:K8"/>
    <mergeCell ref="L7:L8"/>
    <mergeCell ref="M7:M8"/>
    <mergeCell ref="B8:C8"/>
    <mergeCell ref="D8:G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31:A32"/>
    <mergeCell ref="B31:C31"/>
    <mergeCell ref="D31:G31"/>
    <mergeCell ref="H31:H32"/>
    <mergeCell ref="I31:I32"/>
    <mergeCell ref="A25:A26"/>
    <mergeCell ref="B25:C25"/>
    <mergeCell ref="D25:G25"/>
    <mergeCell ref="H25:H26"/>
    <mergeCell ref="I25:I26"/>
    <mergeCell ref="A27:A28"/>
    <mergeCell ref="B27:C27"/>
    <mergeCell ref="D27:G27"/>
    <mergeCell ref="H27:H28"/>
    <mergeCell ref="I27:I28"/>
    <mergeCell ref="B28:C28"/>
    <mergeCell ref="D28:G28"/>
    <mergeCell ref="A29:A30"/>
    <mergeCell ref="B29:C29"/>
    <mergeCell ref="D29:G29"/>
    <mergeCell ref="H29:H30"/>
    <mergeCell ref="I29:I30"/>
    <mergeCell ref="B30:C30"/>
    <mergeCell ref="D30:G30"/>
    <mergeCell ref="J31:J32"/>
    <mergeCell ref="K31:K32"/>
    <mergeCell ref="L31:L32"/>
    <mergeCell ref="M31:M32"/>
    <mergeCell ref="B32:C32"/>
    <mergeCell ref="D32:G32"/>
    <mergeCell ref="K25:K26"/>
    <mergeCell ref="L25:L26"/>
    <mergeCell ref="M25:M26"/>
    <mergeCell ref="B26:C26"/>
    <mergeCell ref="D26:G26"/>
    <mergeCell ref="J25:J26"/>
    <mergeCell ref="J27:J28"/>
    <mergeCell ref="K27:K28"/>
    <mergeCell ref="L27:L28"/>
    <mergeCell ref="M27:M28"/>
    <mergeCell ref="J29:J30"/>
    <mergeCell ref="K29:K30"/>
    <mergeCell ref="L29:L30"/>
    <mergeCell ref="M29:M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A069-EFF0-4726-9683-C8BDBF8C6296}">
  <sheetPr codeName="Sheet89">
    <tabColor rgb="FFFF0000"/>
    <pageSetUpPr fitToPage="1"/>
  </sheetPr>
  <dimension ref="A1:N51"/>
  <sheetViews>
    <sheetView zoomScale="110" zoomScaleNormal="110" workbookViewId="0">
      <selection activeCell="A25" sqref="A25:N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N3" si="0">SUM(K3)+3</f>
        <v>48</v>
      </c>
      <c r="M3" s="54">
        <f t="shared" si="0"/>
        <v>51</v>
      </c>
      <c r="N3" s="115">
        <f t="shared" si="0"/>
        <v>54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24.7</v>
      </c>
      <c r="I5" s="54">
        <f>SUM(J5)-1.8</f>
        <v>26.5</v>
      </c>
      <c r="J5" s="55">
        <v>28.3</v>
      </c>
      <c r="K5" s="54">
        <f>SUM(J5)+1.6</f>
        <v>29.900000000000002</v>
      </c>
      <c r="L5" s="54">
        <f t="shared" ref="L5:N5" si="1">SUM(K5)+1.6</f>
        <v>31.500000000000004</v>
      </c>
      <c r="M5" s="54">
        <f t="shared" si="1"/>
        <v>33.1</v>
      </c>
      <c r="N5" s="56">
        <f t="shared" si="1"/>
        <v>34.700000000000003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32.5</v>
      </c>
      <c r="I7" s="54">
        <f>SUM(J7)-2.25</f>
        <v>34.75</v>
      </c>
      <c r="J7" s="55">
        <v>37</v>
      </c>
      <c r="K7" s="54">
        <f>SUM(J7)+2</f>
        <v>39</v>
      </c>
      <c r="L7" s="54">
        <f t="shared" ref="L7:N7" si="2">SUM(K7)+2</f>
        <v>41</v>
      </c>
      <c r="M7" s="54">
        <f t="shared" si="2"/>
        <v>43</v>
      </c>
      <c r="N7" s="115">
        <f t="shared" si="2"/>
        <v>45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32.5</v>
      </c>
      <c r="I9" s="54">
        <f>SUM(J9)-2.25</f>
        <v>34.75</v>
      </c>
      <c r="J9" s="55">
        <v>37</v>
      </c>
      <c r="K9" s="54">
        <f>SUM(J9)+2</f>
        <v>39</v>
      </c>
      <c r="L9" s="54">
        <f t="shared" ref="L9:N9" si="3">SUM(K9)+2</f>
        <v>41</v>
      </c>
      <c r="M9" s="54">
        <f t="shared" si="3"/>
        <v>43</v>
      </c>
      <c r="N9" s="115">
        <f t="shared" si="3"/>
        <v>45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13.399999999999999</v>
      </c>
      <c r="I11" s="60">
        <f>SUM(J11)-0.8</f>
        <v>14.299999999999999</v>
      </c>
      <c r="J11" s="132">
        <v>15.1</v>
      </c>
      <c r="K11" s="130">
        <f>SUM(J11)+0.8</f>
        <v>15.9</v>
      </c>
      <c r="L11" s="130">
        <f>SUM(K11)+0.9</f>
        <v>16.8</v>
      </c>
      <c r="M11" s="130">
        <f>SUM(L11)+0.8</f>
        <v>17.600000000000001</v>
      </c>
      <c r="N11" s="131">
        <f>SUM(M11)+0.9</f>
        <v>18.5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12.5</v>
      </c>
      <c r="I13" s="54">
        <f>SUM(J13)-0.6</f>
        <v>13.1</v>
      </c>
      <c r="J13" s="67">
        <v>13.7</v>
      </c>
      <c r="K13" s="68">
        <f>SUM(J13)+0.6</f>
        <v>14.299999999999999</v>
      </c>
      <c r="L13" s="68">
        <f>SUM(K13)+0.6</f>
        <v>14.899999999999999</v>
      </c>
      <c r="M13" s="68">
        <f>SUM(L13)+0.6</f>
        <v>15.499999999999998</v>
      </c>
      <c r="N13" s="117">
        <f>SUM(M13)+0.6</f>
        <v>16.099999999999998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5.4</v>
      </c>
      <c r="I15" s="54">
        <f>SUM(J15)-0.3</f>
        <v>5.7</v>
      </c>
      <c r="J15" s="67">
        <v>6</v>
      </c>
      <c r="K15" s="68">
        <f>SUM(J15)+0.3</f>
        <v>6.3</v>
      </c>
      <c r="L15" s="68">
        <f>SUM(K15)+0.3</f>
        <v>6.6</v>
      </c>
      <c r="M15" s="68">
        <f t="shared" ref="M15:N15" si="4">SUM(L15)+0.3</f>
        <v>6.8999999999999995</v>
      </c>
      <c r="N15" s="117">
        <f t="shared" si="4"/>
        <v>7.1999999999999993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35.799999999999997</v>
      </c>
      <c r="I17" s="54">
        <f>SUM(J17)-1.6</f>
        <v>37.4</v>
      </c>
      <c r="J17" s="67">
        <v>39</v>
      </c>
      <c r="K17" s="68">
        <f>SUM(J17)+1.6</f>
        <v>40.6</v>
      </c>
      <c r="L17" s="68">
        <f>SUM(K17)+1.6</f>
        <v>42.2</v>
      </c>
      <c r="M17" s="68">
        <f t="shared" ref="M17:N17" si="5">SUM(L17)+1.6</f>
        <v>43.800000000000004</v>
      </c>
      <c r="N17" s="117">
        <f t="shared" si="5"/>
        <v>45.400000000000006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11.8</v>
      </c>
      <c r="I19" s="54">
        <f>SUM(J19)-1.1</f>
        <v>12.9</v>
      </c>
      <c r="J19" s="55">
        <v>14</v>
      </c>
      <c r="K19" s="68">
        <f>SUM(J19)+1.2</f>
        <v>15.2</v>
      </c>
      <c r="L19" s="68">
        <f>SUM(K19)+1.2</f>
        <v>16.399999999999999</v>
      </c>
      <c r="M19" s="68">
        <f t="shared" ref="M19:N19" si="6">SUM(L19)+1.2</f>
        <v>17.599999999999998</v>
      </c>
      <c r="N19" s="69">
        <f t="shared" si="6"/>
        <v>18.799999999999997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22.6</v>
      </c>
      <c r="I23" s="54">
        <f>SUM(J23)-1.2</f>
        <v>23.8</v>
      </c>
      <c r="J23" s="67">
        <v>25</v>
      </c>
      <c r="K23" s="68">
        <f>SUM(J23)+1.2</f>
        <v>26.2</v>
      </c>
      <c r="L23" s="68">
        <f t="shared" ref="L23:N23" si="7">SUM(K23)+1.2</f>
        <v>27.4</v>
      </c>
      <c r="M23" s="68">
        <f t="shared" si="7"/>
        <v>28.599999999999998</v>
      </c>
      <c r="N23" s="117">
        <f t="shared" si="7"/>
        <v>29.799999999999997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SUM(I25)-0.4</f>
        <v>4.6999999999999993</v>
      </c>
      <c r="I25" s="54">
        <f>SUM(J25)-0.4</f>
        <v>5.0999999999999996</v>
      </c>
      <c r="J25" s="67">
        <v>5.5</v>
      </c>
      <c r="K25" s="68">
        <f>SUM(J25)+0.4</f>
        <v>5.9</v>
      </c>
      <c r="L25" s="68">
        <f t="shared" ref="L25:N25" si="8">SUM(K25)+0.4</f>
        <v>6.3000000000000007</v>
      </c>
      <c r="M25" s="68">
        <f t="shared" si="8"/>
        <v>6.7000000000000011</v>
      </c>
      <c r="N25" s="69">
        <f t="shared" si="8"/>
        <v>7.1000000000000014</v>
      </c>
    </row>
    <row r="26" spans="1:14" s="1" customFormat="1" ht="14.1" customHeight="1" x14ac:dyDescent="0.3">
      <c r="A26" s="48"/>
      <c r="B26" s="57" t="s">
        <v>142</v>
      </c>
      <c r="C26" s="58"/>
      <c r="D26" s="46" t="s">
        <v>234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79" t="s">
        <v>135</v>
      </c>
      <c r="C27" s="80"/>
      <c r="D27" s="88"/>
      <c r="E27" s="89"/>
      <c r="F27" s="89"/>
      <c r="G27" s="90"/>
      <c r="H27" s="81">
        <f>SUM(I27)-0.7</f>
        <v>9.1000000000000014</v>
      </c>
      <c r="I27" s="81">
        <f>SUM(J27)-0.7</f>
        <v>9.8000000000000007</v>
      </c>
      <c r="J27" s="42">
        <v>10.5</v>
      </c>
      <c r="K27" s="40">
        <f>SUM(J27)+0.7</f>
        <v>11.2</v>
      </c>
      <c r="L27" s="40">
        <f t="shared" ref="L27:M27" si="9">SUM(K27)+0.7</f>
        <v>11.899999999999999</v>
      </c>
      <c r="M27" s="40">
        <f t="shared" si="9"/>
        <v>12.599999999999998</v>
      </c>
      <c r="N27" s="44">
        <f>SUM(M27)+0.7</f>
        <v>13.299999999999997</v>
      </c>
    </row>
    <row r="28" spans="1:14" s="1" customFormat="1" ht="14.1" customHeight="1" thickBot="1" x14ac:dyDescent="0.35">
      <c r="A28" s="87"/>
      <c r="B28" s="96" t="s">
        <v>143</v>
      </c>
      <c r="C28" s="97"/>
      <c r="D28" s="98" t="s">
        <v>568</v>
      </c>
      <c r="E28" s="99"/>
      <c r="F28" s="99"/>
      <c r="G28" s="100"/>
      <c r="H28" s="91"/>
      <c r="I28" s="91"/>
      <c r="J28" s="92"/>
      <c r="K28" s="93"/>
      <c r="L28" s="93"/>
      <c r="M28" s="93"/>
      <c r="N28" s="121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9">
    <mergeCell ref="A1:N1"/>
    <mergeCell ref="B28:C28"/>
    <mergeCell ref="D28:G28"/>
    <mergeCell ref="N27:N28"/>
    <mergeCell ref="N25:N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N13:N14"/>
    <mergeCell ref="N15:N16"/>
    <mergeCell ref="N17:N18"/>
    <mergeCell ref="N19:N20"/>
    <mergeCell ref="N21:N22"/>
    <mergeCell ref="N23:N24"/>
    <mergeCell ref="K25:K26"/>
    <mergeCell ref="L25:L26"/>
    <mergeCell ref="M25:M26"/>
    <mergeCell ref="B26:C26"/>
    <mergeCell ref="D26:G26"/>
    <mergeCell ref="N3:N4"/>
    <mergeCell ref="N5:N6"/>
    <mergeCell ref="N7:N8"/>
    <mergeCell ref="N9:N10"/>
    <mergeCell ref="N11:N12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02FB-FB6C-4FD2-B791-E7B9103B92CC}">
  <sheetPr codeName="Sheet82">
    <tabColor rgb="FFFF0000"/>
    <pageSetUpPr fitToPage="1"/>
  </sheetPr>
  <dimension ref="A1:M51"/>
  <sheetViews>
    <sheetView zoomScale="110" zoomScaleNormal="110" workbookViewId="0">
      <selection activeCell="I3" sqref="I3:I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M3" si="0">SUM(K3)+3</f>
        <v>48</v>
      </c>
      <c r="M3" s="56">
        <f t="shared" si="0"/>
        <v>51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31.6</v>
      </c>
      <c r="I5" s="54">
        <f>SUM(J5)-2</f>
        <v>33.6</v>
      </c>
      <c r="J5" s="55">
        <v>35.6</v>
      </c>
      <c r="K5" s="54">
        <f>SUM(J5)+1.8</f>
        <v>37.4</v>
      </c>
      <c r="L5" s="54">
        <f t="shared" ref="L5:M5" si="1">SUM(K5)+1.8</f>
        <v>39.199999999999996</v>
      </c>
      <c r="M5" s="56">
        <f t="shared" si="1"/>
        <v>40.999999999999993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33.5</v>
      </c>
      <c r="I7" s="54">
        <f>SUM(J7)-2.25</f>
        <v>35.75</v>
      </c>
      <c r="J7" s="55">
        <v>38</v>
      </c>
      <c r="K7" s="54">
        <f>SUM(J7)+2</f>
        <v>40</v>
      </c>
      <c r="L7" s="54">
        <f t="shared" ref="L7:M7" si="2">SUM(K7)+2</f>
        <v>42</v>
      </c>
      <c r="M7" s="56">
        <f t="shared" si="2"/>
        <v>44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33.5</v>
      </c>
      <c r="I9" s="54">
        <f>SUM(J9)-2.25</f>
        <v>35.75</v>
      </c>
      <c r="J9" s="55">
        <v>38</v>
      </c>
      <c r="K9" s="54">
        <f>SUM(J9)+2</f>
        <v>40</v>
      </c>
      <c r="L9" s="54">
        <f t="shared" ref="L9:M9" si="3">SUM(K9)+2</f>
        <v>42</v>
      </c>
      <c r="M9" s="56">
        <f t="shared" si="3"/>
        <v>44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13.799999999999999</v>
      </c>
      <c r="I11" s="60">
        <f>SUM(J11)-0.8</f>
        <v>14.6</v>
      </c>
      <c r="J11" s="132">
        <v>15.4</v>
      </c>
      <c r="K11" s="130">
        <f>SUM(J11)+0.8</f>
        <v>16.2</v>
      </c>
      <c r="L11" s="130">
        <f t="shared" ref="L11:M11" si="4">SUM(K11)+0.8</f>
        <v>17</v>
      </c>
      <c r="M11" s="131">
        <f t="shared" si="4"/>
        <v>17.8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13.8</v>
      </c>
      <c r="I13" s="60">
        <f>SUM(J13)-0.6</f>
        <v>14.4</v>
      </c>
      <c r="J13" s="67">
        <v>15</v>
      </c>
      <c r="K13" s="130">
        <f>SUM(J13)+0.6</f>
        <v>15.6</v>
      </c>
      <c r="L13" s="130">
        <f t="shared" ref="L13:M13" si="5">SUM(K13)+0.6</f>
        <v>16.2</v>
      </c>
      <c r="M13" s="131">
        <f t="shared" si="5"/>
        <v>16.8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5.9</v>
      </c>
      <c r="I15" s="54">
        <f>SUM(J15)-0.3</f>
        <v>6.2</v>
      </c>
      <c r="J15" s="67">
        <v>6.5</v>
      </c>
      <c r="K15" s="68">
        <f>SUM(J15)+0.3</f>
        <v>6.8</v>
      </c>
      <c r="L15" s="68">
        <f t="shared" ref="L15:M15" si="6">SUM(K15)+0.3</f>
        <v>7.1</v>
      </c>
      <c r="M15" s="69">
        <f t="shared" si="6"/>
        <v>7.3999999999999995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 t="shared" ref="L17:M17" si="7">SUM(K17)+1.6</f>
        <v>44.2</v>
      </c>
      <c r="M17" s="69">
        <f t="shared" si="7"/>
        <v>45.800000000000004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</f>
        <v>10</v>
      </c>
      <c r="I19" s="54">
        <f>SUM(J19)-1</f>
        <v>11</v>
      </c>
      <c r="J19" s="67">
        <v>12</v>
      </c>
      <c r="K19" s="68">
        <f>SUM(J19)+1.1</f>
        <v>13.1</v>
      </c>
      <c r="L19" s="68">
        <f t="shared" ref="L19:M19" si="8">SUM(K19)+1.1</f>
        <v>14.2</v>
      </c>
      <c r="M19" s="69">
        <f t="shared" si="8"/>
        <v>15.299999999999999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23.4</v>
      </c>
      <c r="I23" s="54">
        <f>SUM(J23)-1.3</f>
        <v>24.7</v>
      </c>
      <c r="J23" s="67">
        <v>26</v>
      </c>
      <c r="K23" s="68">
        <f>SUM(J23)+1.3</f>
        <v>27.3</v>
      </c>
      <c r="L23" s="68">
        <f>SUM(K23)+1.3</f>
        <v>28.6</v>
      </c>
      <c r="M23" s="69">
        <f>SUM(L23)+1.3</f>
        <v>29.900000000000002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79"/>
      <c r="C25" s="80"/>
      <c r="D25" s="88"/>
      <c r="E25" s="89"/>
      <c r="F25" s="89"/>
      <c r="G25" s="90"/>
      <c r="H25" s="54"/>
      <c r="I25" s="54"/>
      <c r="J25" s="67"/>
      <c r="K25" s="68"/>
      <c r="L25" s="68"/>
      <c r="M25" s="69"/>
    </row>
    <row r="26" spans="1:13" s="1" customFormat="1" ht="14.1" customHeight="1" x14ac:dyDescent="0.3">
      <c r="A26" s="48"/>
      <c r="B26" s="79"/>
      <c r="C26" s="80"/>
      <c r="D26" s="46"/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4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3831-ED79-4D1A-9A37-A08D74D2E187}">
  <sheetPr>
    <tabColor rgb="FFFF0000"/>
    <pageSetUpPr fitToPage="1"/>
  </sheetPr>
  <dimension ref="A1:N51"/>
  <sheetViews>
    <sheetView zoomScale="110" zoomScaleNormal="110" workbookViewId="0">
      <selection sqref="A1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20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36.799999999999997</v>
      </c>
      <c r="I3" s="54">
        <f>SUM(J3)-3.5</f>
        <v>40.299999999999997</v>
      </c>
      <c r="J3" s="55">
        <v>43.8</v>
      </c>
      <c r="K3" s="54">
        <f>SUM(J3)+3</f>
        <v>46.8</v>
      </c>
      <c r="L3" s="54">
        <f t="shared" ref="L3" si="0">SUM(K3)+3</f>
        <v>49.8</v>
      </c>
      <c r="M3" s="56"/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23.4</v>
      </c>
      <c r="I5" s="54">
        <f>SUM(J5)-1.8</f>
        <v>25.2</v>
      </c>
      <c r="J5" s="55">
        <v>27</v>
      </c>
      <c r="K5" s="54">
        <f>SUM(J5)+1.6</f>
        <v>28.6</v>
      </c>
      <c r="L5" s="54">
        <f t="shared" ref="L5" si="1">SUM(K5)+1.6</f>
        <v>30.200000000000003</v>
      </c>
      <c r="M5" s="56"/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 t="shared" ref="L7" si="2">SUM(K7)+2</f>
        <v>38</v>
      </c>
      <c r="M7" s="56"/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14.5</v>
      </c>
      <c r="I9" s="54">
        <f>SUM(J9)-2.25</f>
        <v>16.75</v>
      </c>
      <c r="J9" s="55">
        <v>19</v>
      </c>
      <c r="K9" s="54">
        <f>SUM(J9)+2</f>
        <v>21</v>
      </c>
      <c r="L9" s="54">
        <f t="shared" ref="L9" si="3">SUM(K9)+2</f>
        <v>23</v>
      </c>
      <c r="M9" s="56"/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14.299999999999999</v>
      </c>
      <c r="I11" s="60">
        <f>SUM(J11)-0.8</f>
        <v>15.2</v>
      </c>
      <c r="J11" s="132">
        <v>16</v>
      </c>
      <c r="K11" s="130">
        <f>SUM(J11)+0.8</f>
        <v>16.8</v>
      </c>
      <c r="L11" s="130">
        <f t="shared" ref="L11" si="4">SUM(K11)+0.8</f>
        <v>17.600000000000001</v>
      </c>
      <c r="M11" s="131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9"/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5.8000000000000007</v>
      </c>
      <c r="I15" s="54">
        <f>SUM(J15)-0.3</f>
        <v>6.1000000000000005</v>
      </c>
      <c r="J15" s="67">
        <v>6.4</v>
      </c>
      <c r="K15" s="68">
        <f>SUM(J15)+0.3</f>
        <v>6.7</v>
      </c>
      <c r="L15" s="68">
        <f>SUM(K15)+0.3</f>
        <v>7</v>
      </c>
      <c r="M15" s="69"/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>SUM(K17)+1.6</f>
        <v>44.2</v>
      </c>
      <c r="M17" s="69"/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SUM(I19)-1.1</f>
        <v>9.8000000000000007</v>
      </c>
      <c r="I19" s="54">
        <f>SUM(J19)-1.1</f>
        <v>10.9</v>
      </c>
      <c r="J19" s="55">
        <v>12</v>
      </c>
      <c r="K19" s="68">
        <f>SUM(J19)+1.2</f>
        <v>13.2</v>
      </c>
      <c r="L19" s="68">
        <f t="shared" ref="L19" si="5">SUM(K19)+1.2</f>
        <v>14.399999999999999</v>
      </c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25.1</v>
      </c>
      <c r="I23" s="54">
        <f>SUM(J23)-1.2</f>
        <v>26.3</v>
      </c>
      <c r="J23" s="67">
        <v>27.5</v>
      </c>
      <c r="K23" s="68">
        <f>SUM(J23)+1.2</f>
        <v>28.7</v>
      </c>
      <c r="L23" s="68">
        <f t="shared" ref="L23" si="6">SUM(K23)+1.2</f>
        <v>29.9</v>
      </c>
      <c r="M23" s="69"/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616</v>
      </c>
      <c r="C25" s="66"/>
      <c r="D25" s="88"/>
      <c r="E25" s="89"/>
      <c r="F25" s="89"/>
      <c r="G25" s="90"/>
      <c r="H25" s="54">
        <f>SUM(I25)-0.4</f>
        <v>8.6999999999999993</v>
      </c>
      <c r="I25" s="54">
        <f>SUM(J25)-0.4</f>
        <v>9.1</v>
      </c>
      <c r="J25" s="67">
        <v>9.5</v>
      </c>
      <c r="K25" s="68">
        <f>SUM(J25)+0.4</f>
        <v>9.9</v>
      </c>
      <c r="L25" s="68">
        <f>SUM(K25)+0.4</f>
        <v>10.3</v>
      </c>
      <c r="M25" s="69"/>
    </row>
    <row r="26" spans="1:14" s="1" customFormat="1" ht="14.1" customHeight="1" x14ac:dyDescent="0.3">
      <c r="A26" s="48"/>
      <c r="B26" s="57" t="s">
        <v>617</v>
      </c>
      <c r="C26" s="58"/>
      <c r="D26" s="46" t="s">
        <v>452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4" s="1" customFormat="1" ht="14.1" customHeight="1" x14ac:dyDescent="0.3">
      <c r="A27" s="48">
        <v>13</v>
      </c>
      <c r="B27" s="79" t="s">
        <v>614</v>
      </c>
      <c r="C27" s="80"/>
      <c r="D27" s="133"/>
      <c r="E27" s="134"/>
      <c r="F27" s="134"/>
      <c r="G27" s="135"/>
      <c r="H27" s="81">
        <f>SUM(I27)-0.5</f>
        <v>6</v>
      </c>
      <c r="I27" s="81">
        <f>SUM(J27)-0.5</f>
        <v>6.5</v>
      </c>
      <c r="J27" s="42">
        <v>7</v>
      </c>
      <c r="K27" s="40">
        <f>SUM(J27)+0.5</f>
        <v>7.5</v>
      </c>
      <c r="L27" s="40">
        <f t="shared" ref="L27" si="7">SUM(K27)+0.5</f>
        <v>8</v>
      </c>
      <c r="M27" s="44"/>
      <c r="N27"/>
    </row>
    <row r="28" spans="1:14" s="1" customFormat="1" ht="14.1" customHeight="1" thickBot="1" x14ac:dyDescent="0.35">
      <c r="A28" s="87"/>
      <c r="B28" s="96" t="s">
        <v>615</v>
      </c>
      <c r="C28" s="97"/>
      <c r="D28" s="98" t="s">
        <v>618</v>
      </c>
      <c r="E28" s="99"/>
      <c r="F28" s="99"/>
      <c r="G28" s="100"/>
      <c r="H28" s="91"/>
      <c r="I28" s="91"/>
      <c r="J28" s="92"/>
      <c r="K28" s="93"/>
      <c r="L28" s="93"/>
      <c r="M28" s="121"/>
      <c r="N28"/>
    </row>
    <row r="29" spans="1:14" s="1" customFormat="1" ht="14.1" customHeight="1" x14ac:dyDescent="0.3">
      <c r="A29"/>
      <c r="B29"/>
      <c r="C29"/>
      <c r="D29" t="s">
        <v>483</v>
      </c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EEAC-F2C0-4497-A71A-AE078E0E8234}">
  <sheetPr codeName="Sheet83">
    <tabColor rgb="FFFF0000"/>
    <pageSetUpPr fitToPage="1"/>
  </sheetPr>
  <dimension ref="A1:N51"/>
  <sheetViews>
    <sheetView zoomScale="110" zoomScaleNormal="110" workbookViewId="0">
      <selection activeCell="I19" sqref="I19:I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565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20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37</v>
      </c>
      <c r="I3" s="54">
        <f>SUM(J3)-3.5</f>
        <v>40.5</v>
      </c>
      <c r="J3" s="55">
        <v>44</v>
      </c>
      <c r="K3" s="54">
        <f>SUM(J3)+3</f>
        <v>47</v>
      </c>
      <c r="L3" s="54">
        <f t="shared" ref="L3:M3" si="0">SUM(K3)+3</f>
        <v>50</v>
      </c>
      <c r="M3" s="56">
        <f t="shared" si="0"/>
        <v>53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4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25</v>
      </c>
      <c r="I5" s="54">
        <f>SUM(J5)-2</f>
        <v>27</v>
      </c>
      <c r="J5" s="55">
        <v>29</v>
      </c>
      <c r="K5" s="54">
        <f>SUM(J5)+2</f>
        <v>31</v>
      </c>
      <c r="L5" s="54">
        <f t="shared" ref="L5:M5" si="1">SUM(K5)+2</f>
        <v>33</v>
      </c>
      <c r="M5" s="56">
        <f t="shared" si="1"/>
        <v>35</v>
      </c>
    </row>
    <row r="6" spans="1:14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35.5</v>
      </c>
      <c r="I7" s="54">
        <f>SUM(J7)-2.25</f>
        <v>37.75</v>
      </c>
      <c r="J7" s="55">
        <v>40</v>
      </c>
      <c r="K7" s="54">
        <f>SUM(J7)+2</f>
        <v>42</v>
      </c>
      <c r="L7" s="54">
        <f t="shared" ref="L7:M7" si="2">SUM(K7)+2</f>
        <v>44</v>
      </c>
      <c r="M7" s="56">
        <f t="shared" si="2"/>
        <v>46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35.5</v>
      </c>
      <c r="I9" s="54">
        <f>SUM(J9)-2.25</f>
        <v>37.75</v>
      </c>
      <c r="J9" s="55">
        <v>40</v>
      </c>
      <c r="K9" s="54">
        <f>SUM(J9)+2</f>
        <v>42</v>
      </c>
      <c r="L9" s="54">
        <f t="shared" ref="L9:M9" si="3">SUM(K9)+2</f>
        <v>44</v>
      </c>
      <c r="M9" s="56">
        <f t="shared" si="3"/>
        <v>46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1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15.6</v>
      </c>
      <c r="I13" s="54">
        <f>SUM(J13)-0.6</f>
        <v>16.2</v>
      </c>
      <c r="J13" s="67">
        <v>16.8</v>
      </c>
      <c r="K13" s="68">
        <f>SUM(J13)+0.6</f>
        <v>17.400000000000002</v>
      </c>
      <c r="L13" s="68">
        <f>SUM(K13)+0.6</f>
        <v>18.000000000000004</v>
      </c>
      <c r="M13" s="69">
        <f>SUM(L13)+0.6</f>
        <v>18.600000000000005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9">
        <f t="shared" ref="M15" si="4">SUM(L15)+0.3</f>
        <v>7.6999999999999993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9">
        <f t="shared" ref="M17" si="5">SUM(L17)+1.6</f>
        <v>47.800000000000004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25.6</v>
      </c>
      <c r="I23" s="54">
        <f>SUM(J23)-1.2</f>
        <v>26.8</v>
      </c>
      <c r="J23" s="67">
        <v>28</v>
      </c>
      <c r="K23" s="68">
        <f>SUM(J23)+1.2</f>
        <v>29.2</v>
      </c>
      <c r="L23" s="68">
        <f t="shared" ref="L23:M23" si="6">SUM(K23)+1.2</f>
        <v>30.4</v>
      </c>
      <c r="M23" s="69">
        <f t="shared" si="6"/>
        <v>31.599999999999998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3.4000000000000004</v>
      </c>
      <c r="I25" s="54">
        <f>SUM(J25)-0.3</f>
        <v>3.7</v>
      </c>
      <c r="J25" s="67">
        <v>4</v>
      </c>
      <c r="K25" s="68">
        <f>SUM(J25)+0.3</f>
        <v>4.3</v>
      </c>
      <c r="L25" s="68">
        <f t="shared" ref="L25:M25" si="7">SUM(K25)+0.3</f>
        <v>4.5999999999999996</v>
      </c>
      <c r="M25" s="69">
        <f t="shared" si="7"/>
        <v>4.8999999999999995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D34F-FF22-4010-A383-3F4B9488405C}">
  <sheetPr codeName="Sheet84">
    <tabColor rgb="FFFF0000"/>
    <pageSetUpPr fitToPage="1"/>
  </sheetPr>
  <dimension ref="A1:N51"/>
  <sheetViews>
    <sheetView zoomScale="110" zoomScaleNormal="110" workbookViewId="0">
      <selection activeCell="P14" sqref="P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548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54">
        <f t="shared" ref="L3:N3" si="0">SUM(K3)+3</f>
        <v>51</v>
      </c>
      <c r="M3" s="39">
        <f t="shared" si="0"/>
        <v>54</v>
      </c>
      <c r="N3" s="115">
        <f t="shared" si="0"/>
        <v>57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37.599999999999994</v>
      </c>
      <c r="I5" s="54">
        <f>SUM(J5)-2.2</f>
        <v>39.799999999999997</v>
      </c>
      <c r="J5" s="55">
        <v>42</v>
      </c>
      <c r="K5" s="54">
        <f>SUM(J5)+2</f>
        <v>44</v>
      </c>
      <c r="L5" s="54">
        <f>SUM(K5)+2</f>
        <v>46</v>
      </c>
      <c r="M5" s="54">
        <f>SUM(L5)+2</f>
        <v>48</v>
      </c>
      <c r="N5" s="115">
        <f>SUM(M5)+2</f>
        <v>50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36.5</v>
      </c>
      <c r="I7" s="54">
        <f>SUM(J7)-2.25</f>
        <v>38.75</v>
      </c>
      <c r="J7" s="55">
        <v>41</v>
      </c>
      <c r="K7" s="54">
        <f>SUM(J7)+2</f>
        <v>43</v>
      </c>
      <c r="L7" s="54">
        <f t="shared" ref="L7:N7" si="1">SUM(K7)+2</f>
        <v>45</v>
      </c>
      <c r="M7" s="54">
        <f t="shared" si="1"/>
        <v>47</v>
      </c>
      <c r="N7" s="115">
        <f t="shared" si="1"/>
        <v>49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36.5</v>
      </c>
      <c r="I9" s="54">
        <f>SUM(J9)-2.25</f>
        <v>38.75</v>
      </c>
      <c r="J9" s="55">
        <v>41</v>
      </c>
      <c r="K9" s="54">
        <f>SUM(J9)+2</f>
        <v>43</v>
      </c>
      <c r="L9" s="54">
        <f t="shared" ref="L9:N9" si="2">SUM(K9)+2</f>
        <v>45</v>
      </c>
      <c r="M9" s="54">
        <f t="shared" si="2"/>
        <v>47</v>
      </c>
      <c r="N9" s="115">
        <f t="shared" si="2"/>
        <v>49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14.599999999999998</v>
      </c>
      <c r="I11" s="60">
        <f>SUM(J11)-0.8</f>
        <v>15.399999999999999</v>
      </c>
      <c r="J11" s="132">
        <v>16.2</v>
      </c>
      <c r="K11" s="130">
        <f>SUM(J11)+0.8</f>
        <v>17</v>
      </c>
      <c r="L11" s="130">
        <f t="shared" ref="L11:N11" si="3">SUM(K11)+0.8</f>
        <v>17.8</v>
      </c>
      <c r="M11" s="130">
        <f t="shared" si="3"/>
        <v>18.600000000000001</v>
      </c>
      <c r="N11" s="136">
        <f t="shared" si="3"/>
        <v>19.400000000000002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15.2</v>
      </c>
      <c r="I13" s="60">
        <f>SUM(J13)-0.6</f>
        <v>15.799999999999999</v>
      </c>
      <c r="J13" s="67">
        <v>16.399999999999999</v>
      </c>
      <c r="K13" s="130">
        <f>SUM(J13)+0.6</f>
        <v>17</v>
      </c>
      <c r="L13" s="130">
        <f t="shared" ref="L13:N13" si="4">SUM(K13)+0.6</f>
        <v>17.600000000000001</v>
      </c>
      <c r="M13" s="130">
        <f t="shared" si="4"/>
        <v>18.200000000000003</v>
      </c>
      <c r="N13" s="136">
        <f t="shared" si="4"/>
        <v>18.800000000000004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0"/>
      <c r="N14" s="136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6.8000000000000007</v>
      </c>
      <c r="I15" s="54">
        <f>SUM(J15)-0.3</f>
        <v>7.1000000000000005</v>
      </c>
      <c r="J15" s="67">
        <v>7.4</v>
      </c>
      <c r="K15" s="68">
        <f>SUM(J15)+0.3</f>
        <v>7.7</v>
      </c>
      <c r="L15" s="68">
        <f t="shared" ref="L15:N15" si="5">SUM(K15)+0.3</f>
        <v>8</v>
      </c>
      <c r="M15" s="68">
        <f t="shared" si="5"/>
        <v>8.3000000000000007</v>
      </c>
      <c r="N15" s="117">
        <f t="shared" si="5"/>
        <v>8.6000000000000014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 t="shared" ref="L17:N17" si="6">SUM(K17)+1.6</f>
        <v>46.2</v>
      </c>
      <c r="M17" s="68">
        <f t="shared" si="6"/>
        <v>47.800000000000004</v>
      </c>
      <c r="N17" s="117">
        <f t="shared" si="6"/>
        <v>49.400000000000006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10.600000000000001</v>
      </c>
      <c r="I19" s="54">
        <f>SUM(J19)-1.2</f>
        <v>11.8</v>
      </c>
      <c r="J19" s="67">
        <v>13</v>
      </c>
      <c r="K19" s="68">
        <f>SUM(J19)+1.3</f>
        <v>14.3</v>
      </c>
      <c r="L19" s="68">
        <f>SUM(K19)+1.3</f>
        <v>15.600000000000001</v>
      </c>
      <c r="M19" s="68">
        <f>SUM(L19)+1.3</f>
        <v>16.900000000000002</v>
      </c>
      <c r="N19" s="117">
        <f>SUM(M19)+1.3</f>
        <v>18.200000000000003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25.4</v>
      </c>
      <c r="I23" s="54">
        <f>SUM(J23)-1.3</f>
        <v>26.7</v>
      </c>
      <c r="J23" s="67">
        <v>28</v>
      </c>
      <c r="K23" s="68">
        <f>SUM(J23)+1.3</f>
        <v>29.3</v>
      </c>
      <c r="L23" s="68">
        <f>SUM(K23)+1.3</f>
        <v>30.6</v>
      </c>
      <c r="M23" s="68">
        <f>SUM(L23)+1.3</f>
        <v>31.900000000000002</v>
      </c>
      <c r="N23" s="117">
        <f>SUM(M23)+1.3</f>
        <v>33.200000000000003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 t="s">
        <v>83</v>
      </c>
      <c r="E25" s="89"/>
      <c r="F25" s="89"/>
      <c r="G25" s="90"/>
      <c r="H25" s="54">
        <f>SUM(I25)-0.2</f>
        <v>3.5999999999999996</v>
      </c>
      <c r="I25" s="54">
        <f>SUM(J25)-0.2</f>
        <v>3.8</v>
      </c>
      <c r="J25" s="67">
        <v>4</v>
      </c>
      <c r="K25" s="68">
        <f>SUM(J25)+0.2</f>
        <v>4.2</v>
      </c>
      <c r="L25" s="68">
        <f>SUM(K25)+0.2</f>
        <v>4.4000000000000004</v>
      </c>
      <c r="M25" s="68">
        <f>SUM(L25)+0.2</f>
        <v>4.6000000000000005</v>
      </c>
      <c r="N25" s="69">
        <f>SUM(M25)+0.2</f>
        <v>4.8000000000000007</v>
      </c>
    </row>
    <row r="26" spans="1:14" s="1" customFormat="1" ht="14.1" customHeight="1" x14ac:dyDescent="0.3">
      <c r="A26" s="48"/>
      <c r="B26" s="79" t="s">
        <v>142</v>
      </c>
      <c r="C26" s="80"/>
      <c r="D26" s="51" t="s">
        <v>84</v>
      </c>
      <c r="E26" s="52"/>
      <c r="F26" s="52"/>
      <c r="G26" s="53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8"/>
      <c r="N27" s="117"/>
    </row>
    <row r="28" spans="1:14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117"/>
    </row>
    <row r="29" spans="1:14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0"/>
      <c r="N29" s="116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3"/>
      <c r="N30" s="118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K29:K30"/>
    <mergeCell ref="L29:L30"/>
    <mergeCell ref="M29:M30"/>
    <mergeCell ref="B30:C30"/>
    <mergeCell ref="D30:G30"/>
    <mergeCell ref="A1:N1"/>
    <mergeCell ref="N3:N4"/>
    <mergeCell ref="N5:N6"/>
    <mergeCell ref="N7:N8"/>
    <mergeCell ref="N9:N1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N23:N24"/>
    <mergeCell ref="N25:N26"/>
    <mergeCell ref="N27:N28"/>
    <mergeCell ref="N29:N30"/>
    <mergeCell ref="N11:N12"/>
    <mergeCell ref="N13:N14"/>
    <mergeCell ref="N15:N16"/>
    <mergeCell ref="N17:N18"/>
    <mergeCell ref="N19:N20"/>
    <mergeCell ref="N21:N2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DF66-737F-4C75-AC9E-CF95231FACA9}">
  <sheetPr>
    <tabColor rgb="FFFF0000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804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10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38.700000000000003</v>
      </c>
      <c r="I3" s="54">
        <f>SUM(J3)-3.5</f>
        <v>42.2</v>
      </c>
      <c r="J3" s="55">
        <v>45.7</v>
      </c>
      <c r="K3" s="54">
        <f>SUM(J3)+3</f>
        <v>48.7</v>
      </c>
      <c r="L3" s="54">
        <f t="shared" ref="L3:N3" si="0">SUM(K3)+3</f>
        <v>51.7</v>
      </c>
      <c r="M3" s="54">
        <f t="shared" si="0"/>
        <v>54.7</v>
      </c>
      <c r="N3" s="115">
        <f t="shared" si="0"/>
        <v>57.7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37.399999999999991</v>
      </c>
      <c r="I5" s="54">
        <f>SUM(J5)-2.2</f>
        <v>39.599999999999994</v>
      </c>
      <c r="J5" s="55">
        <v>41.8</v>
      </c>
      <c r="K5" s="54">
        <f>SUM(J5)+2</f>
        <v>43.8</v>
      </c>
      <c r="L5" s="54">
        <f t="shared" ref="L5:N5" si="1">SUM(K5)+2</f>
        <v>45.8</v>
      </c>
      <c r="M5" s="54">
        <f t="shared" si="1"/>
        <v>47.8</v>
      </c>
      <c r="N5" s="115">
        <f t="shared" si="1"/>
        <v>49.8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36.5</v>
      </c>
      <c r="I7" s="54">
        <f>SUM(J7)-2.25</f>
        <v>38.75</v>
      </c>
      <c r="J7" s="55">
        <v>41</v>
      </c>
      <c r="K7" s="54">
        <f>SUM(J7)+2</f>
        <v>43</v>
      </c>
      <c r="L7" s="54">
        <f t="shared" ref="L7:N7" si="2">SUM(K7)+2</f>
        <v>45</v>
      </c>
      <c r="M7" s="54">
        <f t="shared" si="2"/>
        <v>47</v>
      </c>
      <c r="N7" s="115">
        <f t="shared" si="2"/>
        <v>49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36.5</v>
      </c>
      <c r="I9" s="54">
        <f>SUM(J9)-2.25</f>
        <v>38.75</v>
      </c>
      <c r="J9" s="55">
        <v>41</v>
      </c>
      <c r="K9" s="54">
        <f>SUM(J9)+2</f>
        <v>43</v>
      </c>
      <c r="L9" s="54">
        <f t="shared" ref="L9:N9" si="3">SUM(K9)+2</f>
        <v>45</v>
      </c>
      <c r="M9" s="54">
        <f t="shared" si="3"/>
        <v>47</v>
      </c>
      <c r="N9" s="115">
        <f t="shared" si="3"/>
        <v>49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14.899999999999999</v>
      </c>
      <c r="I11" s="60">
        <f>SUM(J11)-0.8</f>
        <v>15.7</v>
      </c>
      <c r="J11" s="132">
        <v>16.5</v>
      </c>
      <c r="K11" s="130">
        <f>SUM(J11)+0.8</f>
        <v>17.3</v>
      </c>
      <c r="L11" s="130">
        <f t="shared" ref="L11:N11" si="4">SUM(K11)+0.8</f>
        <v>18.100000000000001</v>
      </c>
      <c r="M11" s="130">
        <f t="shared" si="4"/>
        <v>18.900000000000002</v>
      </c>
      <c r="N11" s="136">
        <f t="shared" si="4"/>
        <v>19.700000000000003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15.6</v>
      </c>
      <c r="I13" s="54">
        <f>SUM(J13)-0.6</f>
        <v>16.2</v>
      </c>
      <c r="J13" s="67">
        <v>16.8</v>
      </c>
      <c r="K13" s="68">
        <f>SUM(J13)+0.6</f>
        <v>17.400000000000002</v>
      </c>
      <c r="L13" s="68">
        <f>SUM(K13)+0.6</f>
        <v>18.000000000000004</v>
      </c>
      <c r="M13" s="68">
        <f>SUM(L13)+0.6</f>
        <v>18.600000000000005</v>
      </c>
      <c r="N13" s="117">
        <f>SUM(M13)+0.6</f>
        <v>19.200000000000006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8">
        <f t="shared" ref="M15:N15" si="5">SUM(L15)+0.3</f>
        <v>7.6999999999999993</v>
      </c>
      <c r="N15" s="117">
        <f t="shared" si="5"/>
        <v>7.9999999999999991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39.799999999999997</v>
      </c>
      <c r="I17" s="54">
        <f>SUM(J17)-1.6</f>
        <v>41.4</v>
      </c>
      <c r="J17" s="67">
        <v>43</v>
      </c>
      <c r="K17" s="68">
        <f>SUM(J17)+1.6</f>
        <v>44.6</v>
      </c>
      <c r="L17" s="68">
        <f>SUM(K17)+1.6</f>
        <v>46.2</v>
      </c>
      <c r="M17" s="68">
        <f t="shared" ref="M17:N17" si="6">SUM(L17)+1.6</f>
        <v>47.800000000000004</v>
      </c>
      <c r="N17" s="117">
        <f t="shared" si="6"/>
        <v>49.400000000000006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9.6000000000000014</v>
      </c>
      <c r="I19" s="54">
        <f>SUM(J19)-1.2</f>
        <v>10.8</v>
      </c>
      <c r="J19" s="55">
        <v>12</v>
      </c>
      <c r="K19" s="68">
        <f>SUM(J19)+1.3</f>
        <v>13.3</v>
      </c>
      <c r="L19" s="68">
        <f t="shared" ref="L19:N19" si="7">SUM(K19)+1.3</f>
        <v>14.600000000000001</v>
      </c>
      <c r="M19" s="68">
        <f t="shared" si="7"/>
        <v>15.900000000000002</v>
      </c>
      <c r="N19" s="117">
        <f t="shared" si="7"/>
        <v>17.200000000000003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25.6</v>
      </c>
      <c r="I23" s="54">
        <f>SUM(J23)-1.2</f>
        <v>26.8</v>
      </c>
      <c r="J23" s="67">
        <v>28</v>
      </c>
      <c r="K23" s="68">
        <f>SUM(J23)+1.2</f>
        <v>29.2</v>
      </c>
      <c r="L23" s="68">
        <f t="shared" ref="L23:N23" si="8">SUM(K23)+1.2</f>
        <v>30.4</v>
      </c>
      <c r="M23" s="68">
        <f t="shared" si="8"/>
        <v>31.599999999999998</v>
      </c>
      <c r="N23" s="117">
        <f t="shared" si="8"/>
        <v>32.799999999999997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117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SUM(I25)-0.2</f>
        <v>3.0999999999999996</v>
      </c>
      <c r="I25" s="54">
        <f>SUM(J25)-0.2</f>
        <v>3.3</v>
      </c>
      <c r="J25" s="67">
        <v>3.5</v>
      </c>
      <c r="K25" s="68">
        <f>SUM(J25)+0.2</f>
        <v>3.7</v>
      </c>
      <c r="L25" s="68">
        <f t="shared" ref="L25:N25" si="9">SUM(K25)+0.2</f>
        <v>3.9000000000000004</v>
      </c>
      <c r="M25" s="68">
        <f t="shared" si="9"/>
        <v>4.1000000000000005</v>
      </c>
      <c r="N25" s="117">
        <f t="shared" si="9"/>
        <v>4.3000000000000007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93"/>
      <c r="N26" s="118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744C-80F2-400F-9C6E-DF4D5BF8355B}">
  <sheetPr>
    <tabColor rgb="FFFF0000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689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36</v>
      </c>
      <c r="I3" s="54">
        <f>SUM(J3)-3.5</f>
        <v>39.5</v>
      </c>
      <c r="J3" s="55">
        <v>43</v>
      </c>
      <c r="K3" s="54">
        <f>SUM(J3)+3</f>
        <v>46</v>
      </c>
      <c r="L3" s="54">
        <f t="shared" ref="L3:N3" si="0">SUM(K3)+3</f>
        <v>49</v>
      </c>
      <c r="M3" s="54">
        <f t="shared" si="0"/>
        <v>52</v>
      </c>
      <c r="N3" s="56">
        <f t="shared" si="0"/>
        <v>55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37.399999999999991</v>
      </c>
      <c r="I5" s="54">
        <f>SUM(J5)-2.2</f>
        <v>39.599999999999994</v>
      </c>
      <c r="J5" s="55">
        <v>41.8</v>
      </c>
      <c r="K5" s="54">
        <f>SUM(J5)+2</f>
        <v>43.8</v>
      </c>
      <c r="L5" s="54">
        <f t="shared" ref="L5:N5" si="1">SUM(K5)+2</f>
        <v>45.8</v>
      </c>
      <c r="M5" s="54">
        <f t="shared" si="1"/>
        <v>47.8</v>
      </c>
      <c r="N5" s="56">
        <f t="shared" si="1"/>
        <v>49.8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36.5</v>
      </c>
      <c r="I7" s="54">
        <f>SUM(J7)-2.25</f>
        <v>38.75</v>
      </c>
      <c r="J7" s="55">
        <v>41</v>
      </c>
      <c r="K7" s="54">
        <f>SUM(J7)+2</f>
        <v>43</v>
      </c>
      <c r="L7" s="54">
        <f t="shared" ref="L7:N7" si="2">SUM(K7)+2</f>
        <v>45</v>
      </c>
      <c r="M7" s="54">
        <f t="shared" si="2"/>
        <v>47</v>
      </c>
      <c r="N7" s="56">
        <f t="shared" si="2"/>
        <v>49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36.5</v>
      </c>
      <c r="I9" s="54">
        <f>SUM(J9)-2.25</f>
        <v>38.75</v>
      </c>
      <c r="J9" s="55">
        <v>41</v>
      </c>
      <c r="K9" s="54">
        <f>SUM(J9)+2</f>
        <v>43</v>
      </c>
      <c r="L9" s="54">
        <f t="shared" ref="L9:N9" si="3">SUM(K9)+2</f>
        <v>45</v>
      </c>
      <c r="M9" s="54">
        <f t="shared" si="3"/>
        <v>47</v>
      </c>
      <c r="N9" s="56">
        <f t="shared" si="3"/>
        <v>49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14.899999999999999</v>
      </c>
      <c r="I11" s="60">
        <f>SUM(J11)-0.8</f>
        <v>15.7</v>
      </c>
      <c r="J11" s="132">
        <v>16.5</v>
      </c>
      <c r="K11" s="130">
        <f>SUM(J11)+0.8</f>
        <v>17.3</v>
      </c>
      <c r="L11" s="130">
        <f t="shared" ref="L11:N11" si="4">SUM(K11)+0.8</f>
        <v>18.100000000000001</v>
      </c>
      <c r="M11" s="130">
        <f t="shared" si="4"/>
        <v>18.900000000000002</v>
      </c>
      <c r="N11" s="131">
        <f t="shared" si="4"/>
        <v>19.700000000000003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15.3</v>
      </c>
      <c r="I13" s="54">
        <f>SUM(J13)-0.6</f>
        <v>15.9</v>
      </c>
      <c r="J13" s="67">
        <v>16.5</v>
      </c>
      <c r="K13" s="68">
        <f>SUM(J13)+0.6</f>
        <v>17.100000000000001</v>
      </c>
      <c r="L13" s="68">
        <f>SUM(K13)+0.6</f>
        <v>17.700000000000003</v>
      </c>
      <c r="M13" s="68">
        <f>SUM(L13)+0.6</f>
        <v>18.300000000000004</v>
      </c>
      <c r="N13" s="69">
        <f>SUM(M13)+0.6</f>
        <v>18.900000000000006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5.7</v>
      </c>
      <c r="I15" s="54">
        <f>SUM(J15)-0.3</f>
        <v>6</v>
      </c>
      <c r="J15" s="67">
        <v>6.3</v>
      </c>
      <c r="K15" s="68">
        <f>SUM(J15)+0.3</f>
        <v>6.6</v>
      </c>
      <c r="L15" s="68">
        <f>SUM(K15)+0.3</f>
        <v>6.8999999999999995</v>
      </c>
      <c r="M15" s="68">
        <f t="shared" ref="M15:N15" si="5">SUM(L15)+0.3</f>
        <v>7.1999999999999993</v>
      </c>
      <c r="N15" s="69">
        <f t="shared" si="5"/>
        <v>7.4999999999999991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8">
        <f t="shared" ref="M17:N17" si="6">SUM(L17)+1.6</f>
        <v>46.800000000000004</v>
      </c>
      <c r="N17" s="69">
        <f t="shared" si="6"/>
        <v>48.400000000000006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SUM(I19)-1.2</f>
        <v>9.6000000000000014</v>
      </c>
      <c r="I19" s="54">
        <f>SUM(J19)-1.2</f>
        <v>10.8</v>
      </c>
      <c r="J19" s="55">
        <v>12</v>
      </c>
      <c r="K19" s="68">
        <f>SUM(J19)+1.3</f>
        <v>13.3</v>
      </c>
      <c r="L19" s="68">
        <f t="shared" ref="L19:N19" si="7">SUM(K19)+1.3</f>
        <v>14.600000000000001</v>
      </c>
      <c r="M19" s="68">
        <f t="shared" si="7"/>
        <v>15.900000000000002</v>
      </c>
      <c r="N19" s="69">
        <f t="shared" si="7"/>
        <v>17.200000000000003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25.6</v>
      </c>
      <c r="I23" s="54">
        <f>SUM(J23)-1.2</f>
        <v>26.8</v>
      </c>
      <c r="J23" s="67">
        <v>28</v>
      </c>
      <c r="K23" s="68">
        <f>SUM(J23)+1.2</f>
        <v>29.2</v>
      </c>
      <c r="L23" s="68">
        <f t="shared" ref="L23:N23" si="8">SUM(K23)+1.2</f>
        <v>30.4</v>
      </c>
      <c r="M23" s="68">
        <f t="shared" si="8"/>
        <v>31.599999999999998</v>
      </c>
      <c r="N23" s="69">
        <f t="shared" si="8"/>
        <v>32.799999999999997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4.4000000000000004</v>
      </c>
      <c r="I25" s="54">
        <f>SUM(J25)-0.3</f>
        <v>4.7</v>
      </c>
      <c r="J25" s="67">
        <v>5</v>
      </c>
      <c r="K25" s="68">
        <f>SUM(J25)+0.3</f>
        <v>5.3</v>
      </c>
      <c r="L25" s="68">
        <f t="shared" ref="L25:N25" si="9">SUM(K25)+0.3</f>
        <v>5.6</v>
      </c>
      <c r="M25" s="68">
        <f t="shared" si="9"/>
        <v>5.8999999999999995</v>
      </c>
      <c r="N25" s="69">
        <f t="shared" si="9"/>
        <v>6.1999999999999993</v>
      </c>
    </row>
    <row r="26" spans="1:14" s="1" customFormat="1" ht="14.1" customHeight="1" thickBot="1" x14ac:dyDescent="0.35">
      <c r="A26" s="87"/>
      <c r="B26" s="96" t="s">
        <v>142</v>
      </c>
      <c r="C26" s="97"/>
      <c r="D26" s="98"/>
      <c r="E26" s="99"/>
      <c r="F26" s="99"/>
      <c r="G26" s="100"/>
      <c r="H26" s="91"/>
      <c r="I26" s="91"/>
      <c r="J26" s="92"/>
      <c r="K26" s="93"/>
      <c r="L26" s="93"/>
      <c r="M26" s="93"/>
      <c r="N26" s="121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L3:L4"/>
    <mergeCell ref="M3:M4"/>
    <mergeCell ref="B4:C4"/>
    <mergeCell ref="D4:G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N21:N22"/>
    <mergeCell ref="N23:N24"/>
    <mergeCell ref="N25:N2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66C9-B5B0-4A8D-AE79-BF9985D55816}">
  <sheetPr>
    <tabColor rgb="FFFF0000"/>
    <pageSetUpPr fitToPage="1"/>
  </sheetPr>
  <dimension ref="A1:M51"/>
  <sheetViews>
    <sheetView zoomScale="110" zoomScaleNormal="110" workbookViewId="0">
      <selection activeCell="J5" sqref="J5:J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38</v>
      </c>
      <c r="I3" s="54">
        <f>SUM(J3)-3.5</f>
        <v>41.5</v>
      </c>
      <c r="J3" s="55">
        <v>45</v>
      </c>
      <c r="K3" s="54">
        <f>SUM(J3)+3</f>
        <v>48</v>
      </c>
      <c r="L3" s="54">
        <f t="shared" ref="L3:M3" si="0">SUM(K3)+3</f>
        <v>51</v>
      </c>
      <c r="M3" s="56">
        <f t="shared" si="0"/>
        <v>54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SUM(I5)-2.2</f>
        <v>35.599999999999994</v>
      </c>
      <c r="I5" s="54">
        <f>SUM(J5)-2.2</f>
        <v>37.799999999999997</v>
      </c>
      <c r="J5" s="55">
        <v>40</v>
      </c>
      <c r="K5" s="54">
        <f>SUM(J5)+2</f>
        <v>42</v>
      </c>
      <c r="L5" s="54">
        <f>SUM(K5)+2</f>
        <v>44</v>
      </c>
      <c r="M5" s="56">
        <f>SUM(L5)+2</f>
        <v>46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34.5</v>
      </c>
      <c r="I7" s="54">
        <f>SUM(J7)-2.25</f>
        <v>36.75</v>
      </c>
      <c r="J7" s="55">
        <v>39</v>
      </c>
      <c r="K7" s="54">
        <f>SUM(J7)+2</f>
        <v>41</v>
      </c>
      <c r="L7" s="54">
        <f t="shared" ref="L7:M7" si="1">SUM(K7)+2</f>
        <v>43</v>
      </c>
      <c r="M7" s="56">
        <f t="shared" si="1"/>
        <v>45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34.5</v>
      </c>
      <c r="I9" s="54">
        <f>SUM(J9)-2.25</f>
        <v>36.75</v>
      </c>
      <c r="J9" s="55">
        <v>39</v>
      </c>
      <c r="K9" s="54">
        <f>SUM(J9)+2</f>
        <v>41</v>
      </c>
      <c r="L9" s="54">
        <f t="shared" ref="L9:M9" si="2">SUM(K9)+2</f>
        <v>43</v>
      </c>
      <c r="M9" s="56">
        <f t="shared" si="2"/>
        <v>45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14.799999999999999</v>
      </c>
      <c r="I11" s="60">
        <f>SUM(J11)-0.8</f>
        <v>15.7</v>
      </c>
      <c r="J11" s="132">
        <v>16.5</v>
      </c>
      <c r="K11" s="130">
        <f>SUM(J11)+0.8</f>
        <v>17.3</v>
      </c>
      <c r="L11" s="130">
        <f t="shared" ref="L11:M11" si="3">SUM(K11)+0.8</f>
        <v>18.100000000000001</v>
      </c>
      <c r="M11" s="131">
        <f t="shared" si="3"/>
        <v>18.900000000000002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14.600000000000001</v>
      </c>
      <c r="I13" s="60">
        <f>SUM(J13)-0.6</f>
        <v>15.200000000000001</v>
      </c>
      <c r="J13" s="67">
        <v>15.8</v>
      </c>
      <c r="K13" s="130">
        <f>SUM(J13)+0.6</f>
        <v>16.400000000000002</v>
      </c>
      <c r="L13" s="130">
        <f t="shared" ref="L13:M13" si="4">SUM(K13)+0.6</f>
        <v>17.000000000000004</v>
      </c>
      <c r="M13" s="131">
        <f t="shared" si="4"/>
        <v>17.600000000000005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 t="shared" ref="L15:M15" si="5">SUM(K15)+0.3</f>
        <v>7.3999999999999995</v>
      </c>
      <c r="M15" s="69">
        <f t="shared" si="5"/>
        <v>7.6999999999999993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 t="shared" ref="L17:M17" si="6">SUM(K17)+1.6</f>
        <v>45.2</v>
      </c>
      <c r="M17" s="69">
        <f t="shared" si="6"/>
        <v>46.800000000000004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SUM(I19)-0.9</f>
        <v>11.2</v>
      </c>
      <c r="I19" s="54">
        <f>SUM(J19)-0.9</f>
        <v>12.1</v>
      </c>
      <c r="J19" s="67">
        <v>13</v>
      </c>
      <c r="K19" s="68">
        <f>SUM(J19)+1</f>
        <v>14</v>
      </c>
      <c r="L19" s="68">
        <f>SUM(K19)+1</f>
        <v>15</v>
      </c>
      <c r="M19" s="69">
        <f>SUM(L19)+1</f>
        <v>16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25.200000000000003</v>
      </c>
      <c r="I23" s="54">
        <f>SUM(J23)-1.4</f>
        <v>26.6</v>
      </c>
      <c r="J23" s="67">
        <v>28</v>
      </c>
      <c r="K23" s="68">
        <f>SUM(J23)+1.4</f>
        <v>29.4</v>
      </c>
      <c r="L23" s="68">
        <f>SUM(K23)+1.4</f>
        <v>30.799999999999997</v>
      </c>
      <c r="M23" s="69">
        <f>SUM(L23)+1.4</f>
        <v>32.199999999999996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79" t="s">
        <v>134</v>
      </c>
      <c r="C25" s="80"/>
      <c r="D25" s="88"/>
      <c r="E25" s="89"/>
      <c r="F25" s="89"/>
      <c r="G25" s="90"/>
      <c r="H25" s="54">
        <f>SUM(I25)-0.2</f>
        <v>3.8999999999999995</v>
      </c>
      <c r="I25" s="54">
        <f>SUM(J25)-0.2</f>
        <v>4.0999999999999996</v>
      </c>
      <c r="J25" s="67">
        <v>4.3</v>
      </c>
      <c r="K25" s="68">
        <f>SUM(J25)+0.2</f>
        <v>4.5</v>
      </c>
      <c r="L25" s="68">
        <f>SUM(K25)+0.2</f>
        <v>4.7</v>
      </c>
      <c r="M25" s="69">
        <f>SUM(L25)+0.2</f>
        <v>4.9000000000000004</v>
      </c>
    </row>
    <row r="26" spans="1:13" s="1" customFormat="1" ht="14.1" customHeight="1" x14ac:dyDescent="0.3">
      <c r="A26" s="48"/>
      <c r="B26" s="79" t="s">
        <v>142</v>
      </c>
      <c r="C26" s="80"/>
      <c r="D26" s="46"/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9"/>
    </row>
    <row r="28" spans="1:13" s="1" customFormat="1" ht="14.1" customHeight="1" x14ac:dyDescent="0.3">
      <c r="A28" s="48"/>
      <c r="B28" s="57"/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79"/>
      <c r="C29" s="80"/>
      <c r="D29" s="133"/>
      <c r="E29" s="134"/>
      <c r="F29" s="134"/>
      <c r="G29" s="135"/>
      <c r="H29" s="81"/>
      <c r="I29" s="81"/>
      <c r="J29" s="42"/>
      <c r="K29" s="40"/>
      <c r="L29" s="40"/>
      <c r="M29" s="44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034E-4DFD-4BC9-8367-2C004599CACE}">
  <sheetPr>
    <tabColor rgb="FFFF0000"/>
    <pageSetUpPr fitToPage="1"/>
  </sheetPr>
  <dimension ref="A1:P51"/>
  <sheetViews>
    <sheetView zoomScale="110" zoomScaleNormal="110" workbookViewId="0">
      <selection sqref="A1:N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30" t="s">
        <v>732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6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6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SUM(I3)-3.4</f>
        <v>35.6</v>
      </c>
      <c r="I3" s="54">
        <f>SUM(J3)-3.4</f>
        <v>39</v>
      </c>
      <c r="J3" s="55">
        <v>42.4</v>
      </c>
      <c r="K3" s="54">
        <f>SUM(J3)+2.9</f>
        <v>45.3</v>
      </c>
      <c r="L3" s="54">
        <f t="shared" ref="L3:N3" si="0">SUM(K3)+2.9</f>
        <v>48.199999999999996</v>
      </c>
      <c r="M3" s="54">
        <f t="shared" si="0"/>
        <v>51.099999999999994</v>
      </c>
      <c r="N3" s="56">
        <f t="shared" si="0"/>
        <v>53.999999999999993</v>
      </c>
    </row>
    <row r="4" spans="1:16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6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31.4</v>
      </c>
      <c r="I5" s="54">
        <f>SUM(J5)-2</f>
        <v>33.4</v>
      </c>
      <c r="J5" s="55">
        <v>35.4</v>
      </c>
      <c r="K5" s="54">
        <f>SUM(J5)+1.8</f>
        <v>37.199999999999996</v>
      </c>
      <c r="L5" s="54">
        <f t="shared" ref="L5:N5" si="1">SUM(K5)+1.8</f>
        <v>38.999999999999993</v>
      </c>
      <c r="M5" s="54">
        <f t="shared" si="1"/>
        <v>40.79999999999999</v>
      </c>
      <c r="N5" s="56">
        <f t="shared" si="1"/>
        <v>42.599999999999987</v>
      </c>
    </row>
    <row r="6" spans="1:16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6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36.5</v>
      </c>
      <c r="I7" s="54">
        <f>SUM(J7)-2.25</f>
        <v>38.75</v>
      </c>
      <c r="J7" s="55">
        <v>41</v>
      </c>
      <c r="K7" s="54">
        <f>SUM(J7)+2</f>
        <v>43</v>
      </c>
      <c r="L7" s="54">
        <f>SUM(K7)+2</f>
        <v>45</v>
      </c>
      <c r="M7" s="54">
        <f>SUM(L7)+2</f>
        <v>47</v>
      </c>
      <c r="N7" s="56">
        <f>SUM(M7)+2</f>
        <v>49</v>
      </c>
    </row>
    <row r="8" spans="1:16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6" s="1" customFormat="1" ht="14.1" customHeight="1" x14ac:dyDescent="0.3">
      <c r="A9" s="48">
        <v>4</v>
      </c>
      <c r="B9" s="60" t="s">
        <v>268</v>
      </c>
      <c r="C9" s="60"/>
      <c r="D9" s="61" t="s">
        <v>8</v>
      </c>
      <c r="E9" s="61"/>
      <c r="F9" s="61"/>
      <c r="G9" s="61"/>
      <c r="H9" s="54">
        <f>SUM(I9)-2.1</f>
        <v>34.199999999999996</v>
      </c>
      <c r="I9" s="54">
        <f>SUM(J9)-2.1</f>
        <v>36.299999999999997</v>
      </c>
      <c r="J9" s="55">
        <v>38.4</v>
      </c>
      <c r="K9" s="54">
        <f>SUM(J9)+1.9</f>
        <v>40.299999999999997</v>
      </c>
      <c r="L9" s="54">
        <f t="shared" ref="L9:N9" si="2">SUM(K9)+1.9</f>
        <v>42.199999999999996</v>
      </c>
      <c r="M9" s="54">
        <f t="shared" si="2"/>
        <v>44.099999999999994</v>
      </c>
      <c r="N9" s="56">
        <f t="shared" si="2"/>
        <v>45.999999999999993</v>
      </c>
    </row>
    <row r="10" spans="1:16" s="1" customFormat="1" ht="14.1" customHeight="1" x14ac:dyDescent="0.3">
      <c r="A10" s="48"/>
      <c r="B10" s="45" t="s">
        <v>269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6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15.399999999999999</v>
      </c>
      <c r="I11" s="60">
        <f>SUM(J11)-0.8</f>
        <v>16.2</v>
      </c>
      <c r="J11" s="132">
        <v>17</v>
      </c>
      <c r="K11" s="130">
        <f>SUM(J11)+0.8</f>
        <v>17.8</v>
      </c>
      <c r="L11" s="130">
        <f t="shared" ref="L11:N11" si="3">SUM(K11)+0.8</f>
        <v>18.600000000000001</v>
      </c>
      <c r="M11" s="130">
        <f t="shared" si="3"/>
        <v>19.400000000000002</v>
      </c>
      <c r="N11" s="131">
        <f t="shared" si="3"/>
        <v>20.200000000000003</v>
      </c>
    </row>
    <row r="12" spans="1:16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6" s="1" customFormat="1" ht="14.1" customHeight="1" thickBot="1" x14ac:dyDescent="0.35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17.399999999999999</v>
      </c>
      <c r="I13" s="54">
        <f>SUM(J13)-0.6</f>
        <v>18</v>
      </c>
      <c r="J13" s="67">
        <v>18.600000000000001</v>
      </c>
      <c r="K13" s="68">
        <f>SUM(J13)+0.6</f>
        <v>19.200000000000003</v>
      </c>
      <c r="L13" s="68">
        <f>SUM(K13)+0.6</f>
        <v>19.800000000000004</v>
      </c>
      <c r="M13" s="68">
        <f t="shared" ref="M13:N13" si="4">SUM(L13)+0.6</f>
        <v>20.400000000000006</v>
      </c>
      <c r="N13" s="69">
        <f t="shared" si="4"/>
        <v>21.000000000000007</v>
      </c>
    </row>
    <row r="14" spans="1:16" s="1" customFormat="1" ht="14.1" customHeight="1" thickTop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  <c r="P14" s="16" t="s">
        <v>457</v>
      </c>
    </row>
    <row r="15" spans="1:16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7.4</v>
      </c>
      <c r="I15" s="54">
        <f>SUM(J15)-0.3</f>
        <v>7.7</v>
      </c>
      <c r="J15" s="67">
        <v>8</v>
      </c>
      <c r="K15" s="68">
        <f>SUM(J15)+0.3</f>
        <v>8.3000000000000007</v>
      </c>
      <c r="L15" s="68">
        <f>SUM(K15)+0.3</f>
        <v>8.6000000000000014</v>
      </c>
      <c r="M15" s="68">
        <f t="shared" ref="M15:N15" si="5">SUM(L15)+0.3</f>
        <v>8.9000000000000021</v>
      </c>
      <c r="N15" s="69">
        <f t="shared" si="5"/>
        <v>9.2000000000000028</v>
      </c>
      <c r="P15" s="17">
        <f>SUM(H29+H29+H29+H29+I29+I29+I29+I29+J29+J29+J29+J29+K29+K29+K29+K29+L29+L29+L29+L29+M29+M29+M29+M29+N29+N29+N29+N29)</f>
        <v>538.40000000000009</v>
      </c>
    </row>
    <row r="16" spans="1:16" s="1" customFormat="1" ht="14.1" customHeight="1" thickBot="1" x14ac:dyDescent="0.35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  <c r="P16" s="18">
        <f>SUM(P15/91.44/7*1.08)</f>
        <v>0.90843644544431978</v>
      </c>
    </row>
    <row r="17" spans="1:14" s="1" customFormat="1" ht="14.1" customHeight="1" thickTop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44.4</v>
      </c>
      <c r="I17" s="54">
        <f>SUM(J17)-1.6</f>
        <v>46</v>
      </c>
      <c r="J17" s="67">
        <v>47.6</v>
      </c>
      <c r="K17" s="68">
        <f>SUM(J17)+1.6</f>
        <v>49.2</v>
      </c>
      <c r="L17" s="68">
        <f>SUM(K17)+1.6</f>
        <v>50.800000000000004</v>
      </c>
      <c r="M17" s="68">
        <f t="shared" ref="M17:N17" si="6">SUM(L17)+1.6</f>
        <v>52.400000000000006</v>
      </c>
      <c r="N17" s="69">
        <f t="shared" si="6"/>
        <v>54.000000000000007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SUM(I19)-0.3</f>
        <v>6.9</v>
      </c>
      <c r="I19" s="54">
        <f>SUM(J19)-0.3</f>
        <v>7.2</v>
      </c>
      <c r="J19" s="55">
        <v>7.5</v>
      </c>
      <c r="K19" s="68">
        <f>SUM(J19)+0.9</f>
        <v>8.4</v>
      </c>
      <c r="L19" s="68">
        <f t="shared" ref="L19:N19" si="7">SUM(K19)+0.9</f>
        <v>9.3000000000000007</v>
      </c>
      <c r="M19" s="68">
        <f t="shared" si="7"/>
        <v>10.200000000000001</v>
      </c>
      <c r="N19" s="69">
        <f t="shared" si="7"/>
        <v>11.100000000000001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30.6</v>
      </c>
      <c r="I23" s="54">
        <f>SUM(J23)-1.2</f>
        <v>31.8</v>
      </c>
      <c r="J23" s="67">
        <v>33</v>
      </c>
      <c r="K23" s="68">
        <f>SUM(J23)+1.2</f>
        <v>34.200000000000003</v>
      </c>
      <c r="L23" s="68">
        <f t="shared" ref="L23:N23" si="8">SUM(K23)+1.2</f>
        <v>35.400000000000006</v>
      </c>
      <c r="M23" s="68">
        <f t="shared" si="8"/>
        <v>36.600000000000009</v>
      </c>
      <c r="N23" s="69">
        <f t="shared" si="8"/>
        <v>37.800000000000011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SUM(I25)-0.6</f>
        <v>8.8000000000000007</v>
      </c>
      <c r="I25" s="54">
        <f>SUM(J25)-0.6</f>
        <v>9.4</v>
      </c>
      <c r="J25" s="67">
        <v>10</v>
      </c>
      <c r="K25" s="68">
        <f>SUM(J25)+0.6</f>
        <v>10.6</v>
      </c>
      <c r="L25" s="68">
        <f t="shared" ref="L25:N25" si="9">SUM(K25)+0.6</f>
        <v>11.2</v>
      </c>
      <c r="M25" s="68">
        <f t="shared" si="9"/>
        <v>11.799999999999999</v>
      </c>
      <c r="N25" s="69">
        <f t="shared" si="9"/>
        <v>12.399999999999999</v>
      </c>
    </row>
    <row r="26" spans="1:14" s="1" customFormat="1" ht="14.1" customHeight="1" x14ac:dyDescent="0.3">
      <c r="A26" s="48"/>
      <c r="B26" s="79" t="s">
        <v>142</v>
      </c>
      <c r="C26" s="80"/>
      <c r="D26" s="46" t="s">
        <v>354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65" t="s">
        <v>135</v>
      </c>
      <c r="C27" s="66"/>
      <c r="D27" s="88"/>
      <c r="E27" s="89"/>
      <c r="F27" s="89"/>
      <c r="G27" s="90"/>
      <c r="H27" s="54">
        <f>SUM(I27)-0.5</f>
        <v>4.2</v>
      </c>
      <c r="I27" s="54">
        <f>SUM(J27)-0.5</f>
        <v>4.7</v>
      </c>
      <c r="J27" s="67">
        <v>5.2</v>
      </c>
      <c r="K27" s="68">
        <f>SUM(J27)+0.4</f>
        <v>5.6000000000000005</v>
      </c>
      <c r="L27" s="68">
        <f>SUM(K27)+0.4</f>
        <v>6.0000000000000009</v>
      </c>
      <c r="M27" s="68">
        <f>SUM(L27)+0.4</f>
        <v>6.4000000000000012</v>
      </c>
      <c r="N27" s="69">
        <f>SUM(M27)+0.4</f>
        <v>6.8000000000000016</v>
      </c>
    </row>
    <row r="28" spans="1:14" s="1" customFormat="1" ht="14.1" customHeight="1" x14ac:dyDescent="0.3">
      <c r="A28" s="48"/>
      <c r="B28" s="57" t="s">
        <v>143</v>
      </c>
      <c r="C28" s="58"/>
      <c r="D28" s="46" t="s">
        <v>353</v>
      </c>
      <c r="E28" s="47"/>
      <c r="F28" s="47"/>
      <c r="G28" s="59"/>
      <c r="H28" s="40"/>
      <c r="I28" s="40"/>
      <c r="J28" s="67"/>
      <c r="K28" s="68"/>
      <c r="L28" s="68"/>
      <c r="M28" s="68"/>
      <c r="N28" s="69"/>
    </row>
    <row r="29" spans="1:14" s="1" customFormat="1" ht="14.1" customHeight="1" x14ac:dyDescent="0.3">
      <c r="A29" s="48">
        <v>14</v>
      </c>
      <c r="B29" s="65" t="s">
        <v>454</v>
      </c>
      <c r="C29" s="66"/>
      <c r="D29" s="273"/>
      <c r="E29" s="274"/>
      <c r="F29" s="274"/>
      <c r="G29" s="275"/>
      <c r="H29" s="54">
        <f>SUM(I29)-1.8</f>
        <v>14.399999999999999</v>
      </c>
      <c r="I29" s="54">
        <f>SUM(J29)-1.8</f>
        <v>16.2</v>
      </c>
      <c r="J29" s="42">
        <v>18</v>
      </c>
      <c r="K29" s="68">
        <f>SUM(J29)+1.4</f>
        <v>19.399999999999999</v>
      </c>
      <c r="L29" s="68">
        <f t="shared" ref="L29:N29" si="10">SUM(K29)+1.4</f>
        <v>20.799999999999997</v>
      </c>
      <c r="M29" s="68">
        <f t="shared" si="10"/>
        <v>22.199999999999996</v>
      </c>
      <c r="N29" s="69">
        <f t="shared" si="10"/>
        <v>23.599999999999994</v>
      </c>
    </row>
    <row r="30" spans="1:14" s="1" customFormat="1" ht="14.1" customHeight="1" x14ac:dyDescent="0.3">
      <c r="A30" s="78"/>
      <c r="B30" s="79" t="s">
        <v>455</v>
      </c>
      <c r="C30" s="80"/>
      <c r="D30" s="51" t="s">
        <v>733</v>
      </c>
      <c r="E30" s="52"/>
      <c r="F30" s="52"/>
      <c r="G30" s="53"/>
      <c r="H30" s="81"/>
      <c r="I30" s="81"/>
      <c r="J30" s="55"/>
      <c r="K30" s="54"/>
      <c r="L30" s="54"/>
      <c r="M30" s="54"/>
      <c r="N30" s="56"/>
    </row>
    <row r="31" spans="1:14" ht="14.1" customHeight="1" x14ac:dyDescent="0.3">
      <c r="A31" s="48">
        <v>15</v>
      </c>
      <c r="B31" s="278" t="s">
        <v>734</v>
      </c>
      <c r="C31" s="282"/>
      <c r="D31" s="88"/>
      <c r="E31" s="89"/>
      <c r="F31" s="89"/>
      <c r="G31" s="90"/>
      <c r="H31" s="54">
        <f>SUM(I31)-1.6</f>
        <v>47.4</v>
      </c>
      <c r="I31" s="54">
        <f>SUM(J31)-1.6</f>
        <v>49</v>
      </c>
      <c r="J31" s="67">
        <v>50.6</v>
      </c>
      <c r="K31" s="68">
        <f>SUM(J31)+1.6</f>
        <v>52.2</v>
      </c>
      <c r="L31" s="68">
        <f t="shared" ref="L31:N31" si="11">SUM(K31)+1.6</f>
        <v>53.800000000000004</v>
      </c>
      <c r="M31" s="68">
        <f t="shared" si="11"/>
        <v>55.400000000000006</v>
      </c>
      <c r="N31" s="69">
        <f t="shared" si="11"/>
        <v>57.000000000000007</v>
      </c>
    </row>
    <row r="32" spans="1:14" ht="14.1" customHeight="1" x14ac:dyDescent="0.3">
      <c r="A32" s="48"/>
      <c r="B32" s="70" t="s">
        <v>735</v>
      </c>
      <c r="C32" s="71"/>
      <c r="D32" s="46"/>
      <c r="E32" s="47"/>
      <c r="F32" s="47"/>
      <c r="G32" s="59"/>
      <c r="H32" s="40"/>
      <c r="I32" s="40"/>
      <c r="J32" s="67"/>
      <c r="K32" s="68"/>
      <c r="L32" s="68"/>
      <c r="M32" s="68"/>
      <c r="N32" s="69"/>
    </row>
    <row r="33" spans="1:14" ht="14.1" customHeight="1" x14ac:dyDescent="0.3">
      <c r="A33" s="48">
        <v>16</v>
      </c>
      <c r="B33" s="285" t="s">
        <v>736</v>
      </c>
      <c r="C33" s="286"/>
      <c r="D33" s="88"/>
      <c r="E33" s="89"/>
      <c r="F33" s="89"/>
      <c r="G33" s="90"/>
      <c r="H33" s="54">
        <f>SUM(I33)-1</f>
        <v>32</v>
      </c>
      <c r="I33" s="54">
        <f>SUM(J33)-1</f>
        <v>33</v>
      </c>
      <c r="J33" s="67">
        <v>34</v>
      </c>
      <c r="K33" s="68">
        <f>SUM(J33)+1</f>
        <v>35</v>
      </c>
      <c r="L33" s="68">
        <f t="shared" ref="L33:N33" si="12">SUM(K33)+1</f>
        <v>36</v>
      </c>
      <c r="M33" s="68">
        <f t="shared" si="12"/>
        <v>37</v>
      </c>
      <c r="N33" s="69">
        <f t="shared" si="12"/>
        <v>38</v>
      </c>
    </row>
    <row r="34" spans="1:14" ht="14.1" customHeight="1" thickBot="1" x14ac:dyDescent="0.35">
      <c r="A34" s="87"/>
      <c r="B34" s="283" t="s">
        <v>737</v>
      </c>
      <c r="C34" s="284"/>
      <c r="D34" s="98"/>
      <c r="E34" s="99"/>
      <c r="F34" s="99"/>
      <c r="G34" s="100"/>
      <c r="H34" s="91"/>
      <c r="I34" s="91"/>
      <c r="J34" s="92"/>
      <c r="K34" s="93"/>
      <c r="L34" s="93"/>
      <c r="M34" s="93"/>
      <c r="N34" s="121"/>
    </row>
    <row r="35" spans="1:14" ht="14.1" customHeight="1" x14ac:dyDescent="0.3"/>
    <row r="36" spans="1:14" ht="14.1" customHeight="1" x14ac:dyDescent="0.3"/>
    <row r="37" spans="1:14" ht="14.1" customHeight="1" x14ac:dyDescent="0.3"/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5">
    <mergeCell ref="N21:N22"/>
    <mergeCell ref="N23:N24"/>
    <mergeCell ref="N25:N26"/>
    <mergeCell ref="N27:N28"/>
    <mergeCell ref="N29:N30"/>
    <mergeCell ref="N31:N32"/>
    <mergeCell ref="N33:N34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J5:J6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AA07-7824-4AFB-AAC0-F98BFCAD7ED8}">
  <sheetPr>
    <tabColor rgb="FFFF0000"/>
    <pageSetUpPr fitToPage="1"/>
  </sheetPr>
  <dimension ref="A1:M51"/>
  <sheetViews>
    <sheetView zoomScale="110" zoomScaleNormal="110" workbookViewId="0">
      <selection activeCell="O14" sqref="O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34</v>
      </c>
      <c r="I3" s="54">
        <f>SUM(J3)-3</f>
        <v>37</v>
      </c>
      <c r="J3" s="55">
        <v>40</v>
      </c>
      <c r="K3" s="54">
        <f>SUM(J3)+2.5</f>
        <v>42.5</v>
      </c>
      <c r="L3" s="54">
        <f>SUM(K3)+2.5</f>
        <v>45</v>
      </c>
      <c r="M3" s="56">
        <f t="shared" ref="M3" si="0">SUM(L3)+2.5</f>
        <v>47.5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SUM(I5)-1.2</f>
        <v>17.3</v>
      </c>
      <c r="I5" s="54">
        <f>SUM(J5)-1.2</f>
        <v>18.5</v>
      </c>
      <c r="J5" s="55">
        <v>19.7</v>
      </c>
      <c r="K5" s="54">
        <f>SUM(J5)+1</f>
        <v>20.7</v>
      </c>
      <c r="L5" s="54">
        <f>SUM(K5)+1</f>
        <v>21.7</v>
      </c>
      <c r="M5" s="56">
        <f>SUM(L5)+1</f>
        <v>22.7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32.299999999999997</v>
      </c>
      <c r="I7" s="54">
        <f>SUM(J7)-2.25</f>
        <v>34.549999999999997</v>
      </c>
      <c r="J7" s="55">
        <v>36.799999999999997</v>
      </c>
      <c r="K7" s="54">
        <f>SUM(J7)+2</f>
        <v>38.799999999999997</v>
      </c>
      <c r="L7" s="54">
        <f>SUM(K7)+2</f>
        <v>40.799999999999997</v>
      </c>
      <c r="M7" s="56">
        <f>SUM(L7)+2</f>
        <v>42.8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/>
      <c r="I9" s="54"/>
      <c r="J9" s="55"/>
      <c r="K9" s="54"/>
      <c r="L9" s="54"/>
      <c r="M9" s="56"/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SUM(I11)-1</f>
        <v>16.100000000000001</v>
      </c>
      <c r="I11" s="60">
        <f>SUM(J11)-1</f>
        <v>17.100000000000001</v>
      </c>
      <c r="J11" s="132">
        <v>18.100000000000001</v>
      </c>
      <c r="K11" s="130">
        <f>SUM(J11)+1</f>
        <v>19.100000000000001</v>
      </c>
      <c r="L11" s="130">
        <f>SUM(K11)+1</f>
        <v>20.100000000000001</v>
      </c>
      <c r="M11" s="131">
        <f>SUM(L11)+1</f>
        <v>21.1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10.8</v>
      </c>
      <c r="I13" s="54">
        <f>SUM(J13)-0.6</f>
        <v>11.4</v>
      </c>
      <c r="J13" s="67">
        <v>12</v>
      </c>
      <c r="K13" s="68">
        <f>SUM(J13)+0.6</f>
        <v>12.6</v>
      </c>
      <c r="L13" s="68">
        <f>SUM(K13)+0.6</f>
        <v>13.2</v>
      </c>
      <c r="M13" s="69">
        <f t="shared" ref="M13" si="1">SUM(L13)+0.6</f>
        <v>13.799999999999999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SUM(I15)-0.6</f>
        <v>13</v>
      </c>
      <c r="I15" s="54">
        <f>SUM(J15)-0.6</f>
        <v>13.6</v>
      </c>
      <c r="J15" s="67">
        <v>14.2</v>
      </c>
      <c r="K15" s="68">
        <f>SUM(J15)+0.6</f>
        <v>14.799999999999999</v>
      </c>
      <c r="L15" s="68">
        <f>SUM(K15)+0.6</f>
        <v>15.399999999999999</v>
      </c>
      <c r="M15" s="69">
        <f>SUM(L15)+0.6</f>
        <v>15.999999999999998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/>
      <c r="I17" s="54"/>
      <c r="J17" s="67"/>
      <c r="K17" s="68"/>
      <c r="L17" s="68"/>
      <c r="M17" s="69"/>
    </row>
    <row r="18" spans="1:13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650</v>
      </c>
      <c r="C19" s="60"/>
      <c r="D19" s="61"/>
      <c r="E19" s="61"/>
      <c r="F19" s="61"/>
      <c r="G19" s="61"/>
      <c r="H19" s="54">
        <f>SUM(I19)-0.3</f>
        <v>5.2</v>
      </c>
      <c r="I19" s="54">
        <f>SUM(J19)-0.3</f>
        <v>5.5</v>
      </c>
      <c r="J19" s="55">
        <v>5.8</v>
      </c>
      <c r="K19" s="68">
        <f>SUM(J19)+0.3</f>
        <v>6.1</v>
      </c>
      <c r="L19" s="68">
        <f>SUM(K19)+0.3</f>
        <v>6.3999999999999995</v>
      </c>
      <c r="M19" s="69">
        <f>SUM(L19)+0.3</f>
        <v>6.6999999999999993</v>
      </c>
    </row>
    <row r="20" spans="1:13" s="1" customFormat="1" ht="14.1" customHeight="1" x14ac:dyDescent="0.3">
      <c r="A20" s="48"/>
      <c r="B20" s="45" t="s">
        <v>651</v>
      </c>
      <c r="C20" s="45"/>
      <c r="D20" s="46"/>
      <c r="E20" s="47"/>
      <c r="F20" s="47"/>
      <c r="G20" s="59"/>
      <c r="H20" s="40"/>
      <c r="I20" s="40"/>
      <c r="J20" s="42"/>
      <c r="K20" s="68"/>
      <c r="L20" s="68"/>
      <c r="M20" s="69"/>
    </row>
    <row r="21" spans="1:13" s="1" customFormat="1" ht="14.1" customHeight="1" x14ac:dyDescent="0.3">
      <c r="A21" s="48">
        <v>10</v>
      </c>
      <c r="B21" s="65" t="s">
        <v>273</v>
      </c>
      <c r="C21" s="66"/>
      <c r="D21" s="88"/>
      <c r="E21" s="89"/>
      <c r="F21" s="89"/>
      <c r="G21" s="90"/>
      <c r="H21" s="54">
        <f>SUM(I21)-0.3</f>
        <v>1.0999999999999999</v>
      </c>
      <c r="I21" s="54">
        <f>SUM(J21)-0.3</f>
        <v>1.4</v>
      </c>
      <c r="J21" s="67">
        <v>1.7</v>
      </c>
      <c r="K21" s="68">
        <f>SUM(J21)+0.3</f>
        <v>2</v>
      </c>
      <c r="L21" s="68">
        <f>SUM(K21)+0.3</f>
        <v>2.2999999999999998</v>
      </c>
      <c r="M21" s="69">
        <f>SUM(L21)+0.3</f>
        <v>2.5999999999999996</v>
      </c>
    </row>
    <row r="22" spans="1:13" s="1" customFormat="1" ht="14.1" customHeight="1" x14ac:dyDescent="0.3">
      <c r="A22" s="48"/>
      <c r="B22" s="57" t="s">
        <v>518</v>
      </c>
      <c r="C22" s="58"/>
      <c r="D22" s="46" t="s">
        <v>275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276</v>
      </c>
      <c r="C23" s="66"/>
      <c r="D23" s="88"/>
      <c r="E23" s="89"/>
      <c r="F23" s="89"/>
      <c r="G23" s="90"/>
      <c r="H23" s="54">
        <f>SUM(I23)-0.6</f>
        <v>8.6000000000000014</v>
      </c>
      <c r="I23" s="54">
        <f>SUM(J23)-0.6</f>
        <v>9.2000000000000011</v>
      </c>
      <c r="J23" s="67">
        <v>9.8000000000000007</v>
      </c>
      <c r="K23" s="68">
        <f>SUM(J23)+0.6</f>
        <v>10.4</v>
      </c>
      <c r="L23" s="68">
        <f>SUM(K23)+0.6</f>
        <v>11</v>
      </c>
      <c r="M23" s="69">
        <f>SUM(L23)+0.6</f>
        <v>11.6</v>
      </c>
    </row>
    <row r="24" spans="1:13" s="1" customFormat="1" ht="14.1" customHeight="1" x14ac:dyDescent="0.3">
      <c r="A24" s="48"/>
      <c r="B24" s="57" t="s">
        <v>476</v>
      </c>
      <c r="C24" s="58"/>
      <c r="D24" s="46" t="s">
        <v>201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SUM(I25)-0.1</f>
        <v>1.0999999999999999</v>
      </c>
      <c r="I25" s="54">
        <f>SUM(J25)-0.1</f>
        <v>1.2</v>
      </c>
      <c r="J25" s="67">
        <v>1.3</v>
      </c>
      <c r="K25" s="68">
        <f>SUM(J25)+0.1</f>
        <v>1.4000000000000001</v>
      </c>
      <c r="L25" s="68">
        <f>SUM(K25)+0.1</f>
        <v>1.5000000000000002</v>
      </c>
      <c r="M25" s="69">
        <f>SUM(L25)+0.1</f>
        <v>1.6000000000000003</v>
      </c>
    </row>
    <row r="26" spans="1:13" s="1" customFormat="1" ht="14.1" customHeight="1" x14ac:dyDescent="0.3">
      <c r="A26" s="48"/>
      <c r="B26" s="57" t="s">
        <v>142</v>
      </c>
      <c r="C26" s="58"/>
      <c r="D26" s="46"/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35">
        <v>13</v>
      </c>
      <c r="B27" s="79"/>
      <c r="C27" s="80"/>
      <c r="D27" s="133"/>
      <c r="E27" s="134"/>
      <c r="F27" s="134"/>
      <c r="G27" s="135"/>
      <c r="H27" s="81"/>
      <c r="I27" s="81"/>
      <c r="J27" s="42"/>
      <c r="K27" s="40"/>
      <c r="L27" s="40"/>
      <c r="M27" s="102"/>
    </row>
    <row r="28" spans="1:13" s="1" customFormat="1" ht="14.1" customHeight="1" thickBot="1" x14ac:dyDescent="0.35">
      <c r="A28" s="78"/>
      <c r="B28" s="79"/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101"/>
    </row>
    <row r="29" spans="1:13" s="1" customFormat="1" ht="14.1" customHeight="1" thickTop="1" thickBot="1" x14ac:dyDescent="0.35">
      <c r="A29" s="287" t="s">
        <v>664</v>
      </c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9"/>
    </row>
    <row r="30" spans="1:13" s="1" customFormat="1" ht="14.1" customHeight="1" thickTop="1" x14ac:dyDescent="0.3">
      <c r="A30" s="103">
        <v>14</v>
      </c>
      <c r="B30" s="105" t="s">
        <v>339</v>
      </c>
      <c r="C30" s="105"/>
      <c r="D30" s="106"/>
      <c r="E30" s="106"/>
      <c r="F30" s="106"/>
      <c r="G30" s="51"/>
      <c r="H30" s="81">
        <f>SUM(I30)-2.9</f>
        <v>29.300000000000004</v>
      </c>
      <c r="I30" s="81">
        <f>SUM(J30)-2.9</f>
        <v>32.200000000000003</v>
      </c>
      <c r="J30" s="82">
        <v>35.1</v>
      </c>
      <c r="K30" s="81">
        <f>SUM(J30)+2.4</f>
        <v>37.5</v>
      </c>
      <c r="L30" s="81">
        <f>SUM(K30)+2.4</f>
        <v>39.9</v>
      </c>
      <c r="M30" s="83">
        <f>SUM(L30)+2.4</f>
        <v>42.3</v>
      </c>
    </row>
    <row r="31" spans="1:13" ht="14.1" customHeight="1" x14ac:dyDescent="0.3">
      <c r="A31" s="35"/>
      <c r="B31" s="45" t="s">
        <v>665</v>
      </c>
      <c r="C31" s="45"/>
      <c r="D31" s="46" t="s">
        <v>275</v>
      </c>
      <c r="E31" s="47"/>
      <c r="F31" s="47"/>
      <c r="G31" s="47"/>
      <c r="H31" s="40"/>
      <c r="I31" s="40"/>
      <c r="J31" s="42"/>
      <c r="K31" s="40"/>
      <c r="L31" s="40"/>
      <c r="M31" s="44"/>
    </row>
    <row r="32" spans="1:13" ht="14.1" customHeight="1" x14ac:dyDescent="0.3">
      <c r="A32" s="103">
        <v>15</v>
      </c>
      <c r="B32" s="105" t="s">
        <v>340</v>
      </c>
      <c r="C32" s="105"/>
      <c r="D32" s="106"/>
      <c r="E32" s="106"/>
      <c r="F32" s="106"/>
      <c r="G32" s="51"/>
      <c r="H32" s="81">
        <f>SUM(I32)-3</f>
        <v>30</v>
      </c>
      <c r="I32" s="81">
        <f>SUM(J32)-3</f>
        <v>33</v>
      </c>
      <c r="J32" s="82">
        <v>36</v>
      </c>
      <c r="K32" s="81">
        <f>SUM(J32)+2.5</f>
        <v>38.5</v>
      </c>
      <c r="L32" s="81">
        <f>SUM(K32)+2.5</f>
        <v>41</v>
      </c>
      <c r="M32" s="83">
        <f t="shared" ref="M32" si="2">SUM(L32)+2.5</f>
        <v>43.5</v>
      </c>
    </row>
    <row r="33" spans="1:13" ht="14.1" customHeight="1" x14ac:dyDescent="0.3">
      <c r="A33" s="35"/>
      <c r="B33" s="45" t="s">
        <v>666</v>
      </c>
      <c r="C33" s="45"/>
      <c r="D33" s="46" t="s">
        <v>201</v>
      </c>
      <c r="E33" s="47"/>
      <c r="F33" s="47"/>
      <c r="G33" s="47"/>
      <c r="H33" s="40"/>
      <c r="I33" s="40"/>
      <c r="J33" s="42"/>
      <c r="K33" s="40"/>
      <c r="L33" s="40"/>
      <c r="M33" s="44"/>
    </row>
    <row r="34" spans="1:13" ht="14.1" customHeight="1" x14ac:dyDescent="0.3">
      <c r="A34" s="48">
        <v>16</v>
      </c>
      <c r="B34" s="65" t="s">
        <v>211</v>
      </c>
      <c r="C34" s="66"/>
      <c r="D34" s="62"/>
      <c r="E34" s="63"/>
      <c r="F34" s="63"/>
      <c r="G34" s="64"/>
      <c r="H34" s="54">
        <f>SUM(I34)-1</f>
        <v>14</v>
      </c>
      <c r="I34" s="54">
        <f>SUM(J34)-1</f>
        <v>15</v>
      </c>
      <c r="J34" s="55">
        <v>16</v>
      </c>
      <c r="K34" s="54">
        <f>SUM(J34)+1</f>
        <v>17</v>
      </c>
      <c r="L34" s="54">
        <f>SUM(K34)+1</f>
        <v>18</v>
      </c>
      <c r="M34" s="56">
        <f>SUM(L34)+1</f>
        <v>19</v>
      </c>
    </row>
    <row r="35" spans="1:13" ht="14.1" customHeight="1" x14ac:dyDescent="0.3">
      <c r="A35" s="48"/>
      <c r="B35" s="45" t="s">
        <v>212</v>
      </c>
      <c r="C35" s="45"/>
      <c r="D35" s="46" t="s">
        <v>213</v>
      </c>
      <c r="E35" s="47"/>
      <c r="F35" s="47"/>
      <c r="G35" s="59"/>
      <c r="H35" s="40"/>
      <c r="I35" s="40"/>
      <c r="J35" s="42"/>
      <c r="K35" s="40"/>
      <c r="L35" s="40"/>
      <c r="M35" s="44"/>
    </row>
    <row r="36" spans="1:13" ht="14.1" customHeight="1" x14ac:dyDescent="0.3">
      <c r="A36" s="48">
        <v>17</v>
      </c>
      <c r="B36" s="60" t="s">
        <v>35</v>
      </c>
      <c r="C36" s="60"/>
      <c r="D36" s="61" t="s">
        <v>72</v>
      </c>
      <c r="E36" s="61"/>
      <c r="F36" s="61"/>
      <c r="G36" s="61"/>
      <c r="H36" s="54">
        <f>SUM(I36)-2</f>
        <v>25.5</v>
      </c>
      <c r="I36" s="54">
        <f>SUM(J36)-2</f>
        <v>27.5</v>
      </c>
      <c r="J36" s="55">
        <v>29.5</v>
      </c>
      <c r="K36" s="54">
        <f>SUM(J36)+1.8</f>
        <v>31.3</v>
      </c>
      <c r="L36" s="54">
        <f>SUM(K36)+1.8</f>
        <v>33.1</v>
      </c>
      <c r="M36" s="56">
        <f>SUM(L36)+1.8</f>
        <v>34.9</v>
      </c>
    </row>
    <row r="37" spans="1:13" ht="14.1" customHeight="1" x14ac:dyDescent="0.3">
      <c r="A37" s="48"/>
      <c r="B37" s="45" t="s">
        <v>40</v>
      </c>
      <c r="C37" s="45"/>
      <c r="D37" s="46" t="s">
        <v>43</v>
      </c>
      <c r="E37" s="47"/>
      <c r="F37" s="47"/>
      <c r="G37" s="59"/>
      <c r="H37" s="40"/>
      <c r="I37" s="40"/>
      <c r="J37" s="42"/>
      <c r="K37" s="40"/>
      <c r="L37" s="40"/>
      <c r="M37" s="44"/>
    </row>
    <row r="38" spans="1:13" ht="14.1" customHeight="1" x14ac:dyDescent="0.3">
      <c r="A38" s="48">
        <v>18</v>
      </c>
      <c r="B38" s="60" t="s">
        <v>41</v>
      </c>
      <c r="C38" s="60"/>
      <c r="D38" s="61" t="s">
        <v>8</v>
      </c>
      <c r="E38" s="61"/>
      <c r="F38" s="61"/>
      <c r="G38" s="61"/>
      <c r="H38" s="54">
        <f>SUM(I38)-2</f>
        <v>25.5</v>
      </c>
      <c r="I38" s="54">
        <f>SUM(J38)-2</f>
        <v>27.5</v>
      </c>
      <c r="J38" s="55">
        <v>29.5</v>
      </c>
      <c r="K38" s="54">
        <f>SUM(J38)+1.8</f>
        <v>31.3</v>
      </c>
      <c r="L38" s="54">
        <f>SUM(K38)+1.8</f>
        <v>33.1</v>
      </c>
      <c r="M38" s="56">
        <f>SUM(L38)+1.8</f>
        <v>34.9</v>
      </c>
    </row>
    <row r="39" spans="1:13" ht="14.1" customHeight="1" x14ac:dyDescent="0.3">
      <c r="A39" s="48"/>
      <c r="B39" s="45" t="s">
        <v>25</v>
      </c>
      <c r="C39" s="45"/>
      <c r="D39" s="46" t="s">
        <v>44</v>
      </c>
      <c r="E39" s="47"/>
      <c r="F39" s="47"/>
      <c r="G39" s="59"/>
      <c r="H39" s="40"/>
      <c r="I39" s="40"/>
      <c r="J39" s="42"/>
      <c r="K39" s="40"/>
      <c r="L39" s="40"/>
      <c r="M39" s="44"/>
    </row>
    <row r="40" spans="1:13" ht="14.1" customHeight="1" x14ac:dyDescent="0.3">
      <c r="A40" s="48">
        <v>19</v>
      </c>
      <c r="B40" s="60" t="s">
        <v>667</v>
      </c>
      <c r="C40" s="60"/>
      <c r="D40" s="61"/>
      <c r="E40" s="61"/>
      <c r="F40" s="61"/>
      <c r="G40" s="61"/>
      <c r="H40" s="54">
        <f>SUM(I40)-1</f>
        <v>15</v>
      </c>
      <c r="I40" s="54">
        <f>SUM(J40)-1</f>
        <v>16</v>
      </c>
      <c r="J40" s="55">
        <v>17</v>
      </c>
      <c r="K40" s="54">
        <f>SUM(J40)+1</f>
        <v>18</v>
      </c>
      <c r="L40" s="54">
        <f>SUM(K40)+1</f>
        <v>19</v>
      </c>
      <c r="M40" s="56">
        <f>SUM(L40)+1</f>
        <v>20</v>
      </c>
    </row>
    <row r="41" spans="1:13" ht="14.1" customHeight="1" x14ac:dyDescent="0.3">
      <c r="A41" s="48"/>
      <c r="B41" s="45" t="s">
        <v>188</v>
      </c>
      <c r="C41" s="45"/>
      <c r="D41" s="46"/>
      <c r="E41" s="47"/>
      <c r="F41" s="47"/>
      <c r="G41" s="59"/>
      <c r="H41" s="40"/>
      <c r="I41" s="40"/>
      <c r="J41" s="42"/>
      <c r="K41" s="40"/>
      <c r="L41" s="40"/>
      <c r="M41" s="44"/>
    </row>
    <row r="42" spans="1:13" ht="14.1" customHeight="1" x14ac:dyDescent="0.3">
      <c r="A42" s="48">
        <v>20</v>
      </c>
      <c r="B42" s="60"/>
      <c r="C42" s="60"/>
      <c r="D42" s="61"/>
      <c r="E42" s="61"/>
      <c r="F42" s="61"/>
      <c r="G42" s="61"/>
      <c r="H42" s="54"/>
      <c r="I42" s="54"/>
      <c r="J42" s="67"/>
      <c r="K42" s="68"/>
      <c r="L42" s="68"/>
      <c r="M42" s="69"/>
    </row>
    <row r="43" spans="1:13" ht="14.1" customHeight="1" thickBot="1" x14ac:dyDescent="0.35">
      <c r="A43" s="87"/>
      <c r="B43" s="141"/>
      <c r="C43" s="141"/>
      <c r="D43" s="98"/>
      <c r="E43" s="99"/>
      <c r="F43" s="99"/>
      <c r="G43" s="100"/>
      <c r="H43" s="91"/>
      <c r="I43" s="91"/>
      <c r="J43" s="92"/>
      <c r="K43" s="93"/>
      <c r="L43" s="93"/>
      <c r="M43" s="121"/>
    </row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5:A26"/>
    <mergeCell ref="B25:C25"/>
    <mergeCell ref="D25:G25"/>
    <mergeCell ref="H25:H26"/>
    <mergeCell ref="I25:I26"/>
    <mergeCell ref="A21:A22"/>
    <mergeCell ref="B21:C21"/>
    <mergeCell ref="D21:G21"/>
    <mergeCell ref="H21:H22"/>
    <mergeCell ref="I21:I22"/>
    <mergeCell ref="J21:J22"/>
    <mergeCell ref="L23:L24"/>
    <mergeCell ref="M23:M24"/>
    <mergeCell ref="B24:C24"/>
    <mergeCell ref="D24:G24"/>
    <mergeCell ref="J23:J24"/>
    <mergeCell ref="K23:K24"/>
    <mergeCell ref="A23:A24"/>
    <mergeCell ref="A27:A28"/>
    <mergeCell ref="K27:K28"/>
    <mergeCell ref="L27:L28"/>
    <mergeCell ref="M27:M28"/>
    <mergeCell ref="B28:C28"/>
    <mergeCell ref="D28:G28"/>
    <mergeCell ref="B23:C23"/>
    <mergeCell ref="D23:G23"/>
    <mergeCell ref="H23:H24"/>
    <mergeCell ref="I23:I24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A40:A41"/>
    <mergeCell ref="B38:C38"/>
    <mergeCell ref="D38:G38"/>
    <mergeCell ref="H36:H37"/>
    <mergeCell ref="I36:I37"/>
    <mergeCell ref="J36:J37"/>
    <mergeCell ref="K36:K37"/>
    <mergeCell ref="B36:C36"/>
    <mergeCell ref="D36:G36"/>
    <mergeCell ref="B37:C37"/>
    <mergeCell ref="D37:G37"/>
    <mergeCell ref="A36:A37"/>
    <mergeCell ref="A38:A39"/>
    <mergeCell ref="H38:H39"/>
    <mergeCell ref="I38:I39"/>
    <mergeCell ref="J38:J39"/>
    <mergeCell ref="K38:K39"/>
    <mergeCell ref="B39:C39"/>
    <mergeCell ref="D39:G39"/>
    <mergeCell ref="M30:M31"/>
    <mergeCell ref="B42:C42"/>
    <mergeCell ref="D42:G42"/>
    <mergeCell ref="H40:H41"/>
    <mergeCell ref="I40:I41"/>
    <mergeCell ref="J40:J41"/>
    <mergeCell ref="K40:K41"/>
    <mergeCell ref="B40:C40"/>
    <mergeCell ref="D40:G40"/>
    <mergeCell ref="B41:C41"/>
    <mergeCell ref="D41:G41"/>
    <mergeCell ref="A34:A35"/>
    <mergeCell ref="H34:H35"/>
    <mergeCell ref="I34:I35"/>
    <mergeCell ref="J34:J35"/>
    <mergeCell ref="K34:K35"/>
    <mergeCell ref="L34:L35"/>
    <mergeCell ref="M34:M35"/>
    <mergeCell ref="L32:L33"/>
    <mergeCell ref="A30:A31"/>
    <mergeCell ref="B35:C35"/>
    <mergeCell ref="D35:G35"/>
    <mergeCell ref="B34:C34"/>
    <mergeCell ref="D34:G34"/>
    <mergeCell ref="H30:H31"/>
    <mergeCell ref="M32:M33"/>
    <mergeCell ref="B33:C33"/>
    <mergeCell ref="D33:G33"/>
    <mergeCell ref="I30:I31"/>
    <mergeCell ref="J30:J31"/>
    <mergeCell ref="K30:K31"/>
    <mergeCell ref="B30:C30"/>
    <mergeCell ref="D30:G30"/>
    <mergeCell ref="B31:C31"/>
    <mergeCell ref="D31:G31"/>
    <mergeCell ref="D43:G43"/>
    <mergeCell ref="A29:M29"/>
    <mergeCell ref="A32:A33"/>
    <mergeCell ref="B32:C32"/>
    <mergeCell ref="D32:G32"/>
    <mergeCell ref="H32:H33"/>
    <mergeCell ref="I32:I33"/>
    <mergeCell ref="J32:J33"/>
    <mergeCell ref="K32:K33"/>
    <mergeCell ref="L40:L41"/>
    <mergeCell ref="M40:M41"/>
    <mergeCell ref="A42:A43"/>
    <mergeCell ref="H42:H43"/>
    <mergeCell ref="I42:I43"/>
    <mergeCell ref="J42:J43"/>
    <mergeCell ref="K42:K43"/>
    <mergeCell ref="L42:L43"/>
    <mergeCell ref="M42:M43"/>
    <mergeCell ref="B43:C43"/>
    <mergeCell ref="L36:L37"/>
    <mergeCell ref="M36:M37"/>
    <mergeCell ref="L38:L39"/>
    <mergeCell ref="M38:M39"/>
    <mergeCell ref="L30:L31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C8D9-59A7-4314-93E6-20C7DC1F1611}">
  <sheetPr>
    <tabColor rgb="FFFF0000"/>
    <pageSetUpPr fitToPage="1"/>
  </sheetPr>
  <dimension ref="A1:N51"/>
  <sheetViews>
    <sheetView zoomScale="110" zoomScaleNormal="110" workbookViewId="0">
      <selection activeCell="P18" sqref="P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SUM(I3)-3.5</f>
        <v>35</v>
      </c>
      <c r="I3" s="54">
        <f>SUM(J3)-3.5</f>
        <v>38.5</v>
      </c>
      <c r="J3" s="55">
        <v>42</v>
      </c>
      <c r="K3" s="54">
        <f>SUM(J3)+3</f>
        <v>45</v>
      </c>
      <c r="L3" s="54">
        <f t="shared" ref="L3:N3" si="0">SUM(K3)+3</f>
        <v>48</v>
      </c>
      <c r="M3" s="54">
        <f t="shared" si="0"/>
        <v>51</v>
      </c>
      <c r="N3" s="56">
        <f t="shared" si="0"/>
        <v>54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SUM(I5)-2</f>
        <v>22.8</v>
      </c>
      <c r="I5" s="54">
        <f>SUM(J5)-2</f>
        <v>24.8</v>
      </c>
      <c r="J5" s="55">
        <v>26.8</v>
      </c>
      <c r="K5" s="54">
        <f>SUM(J5)+2</f>
        <v>28.8</v>
      </c>
      <c r="L5" s="54">
        <f t="shared" ref="L5:N5" si="1">SUM(K5)+2</f>
        <v>30.8</v>
      </c>
      <c r="M5" s="54">
        <f t="shared" si="1"/>
        <v>32.799999999999997</v>
      </c>
      <c r="N5" s="56">
        <f t="shared" si="1"/>
        <v>34.799999999999997</v>
      </c>
    </row>
    <row r="6" spans="1:14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 t="shared" ref="L7:N7" si="2">SUM(K7)+2</f>
        <v>38</v>
      </c>
      <c r="M7" s="54">
        <f t="shared" si="2"/>
        <v>40</v>
      </c>
      <c r="N7" s="115">
        <f t="shared" si="2"/>
        <v>42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29.5</v>
      </c>
      <c r="I9" s="54">
        <f>SUM(J9)-2.25</f>
        <v>31.75</v>
      </c>
      <c r="J9" s="55">
        <v>34</v>
      </c>
      <c r="K9" s="54">
        <f>SUM(J9)+2</f>
        <v>36</v>
      </c>
      <c r="L9" s="54">
        <f t="shared" ref="L9:N9" si="3">SUM(K9)+2</f>
        <v>38</v>
      </c>
      <c r="M9" s="54">
        <f t="shared" si="3"/>
        <v>40</v>
      </c>
      <c r="N9" s="115">
        <f t="shared" si="3"/>
        <v>42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/>
      <c r="I11" s="54"/>
      <c r="J11" s="132"/>
      <c r="K11" s="54"/>
      <c r="L11" s="54"/>
      <c r="M11" s="54"/>
      <c r="N11" s="115"/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132"/>
      <c r="K12" s="40"/>
      <c r="L12" s="40"/>
      <c r="M12" s="40"/>
      <c r="N12" s="11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12.8</v>
      </c>
      <c r="I13" s="54">
        <f>SUM(J13)-0.6</f>
        <v>13.4</v>
      </c>
      <c r="J13" s="67">
        <v>14</v>
      </c>
      <c r="K13" s="68">
        <f>SUM(J13)+0.6</f>
        <v>14.6</v>
      </c>
      <c r="L13" s="68">
        <f>SUM(K13)+0.6</f>
        <v>15.2</v>
      </c>
      <c r="M13" s="68">
        <f t="shared" ref="M13:N13" si="4">SUM(L13)+0.6</f>
        <v>15.799999999999999</v>
      </c>
      <c r="N13" s="117">
        <f t="shared" si="4"/>
        <v>16.399999999999999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4.9000000000000004</v>
      </c>
      <c r="I15" s="54">
        <f>SUM(J15)-0.3</f>
        <v>5.2</v>
      </c>
      <c r="J15" s="67">
        <v>5.5</v>
      </c>
      <c r="K15" s="68">
        <f>SUM(J15)+0.3</f>
        <v>5.8</v>
      </c>
      <c r="L15" s="68">
        <f>SUM(K15)+0.3</f>
        <v>6.1</v>
      </c>
      <c r="M15" s="68">
        <f t="shared" ref="M15:N15" si="5">SUM(L15)+0.3</f>
        <v>6.3999999999999995</v>
      </c>
      <c r="N15" s="117">
        <f t="shared" si="5"/>
        <v>6.6999999999999993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36.799999999999997</v>
      </c>
      <c r="I17" s="54">
        <f>SUM(J17)-1.6</f>
        <v>38.4</v>
      </c>
      <c r="J17" s="67">
        <v>40</v>
      </c>
      <c r="K17" s="68">
        <f>SUM(J17)+1.6</f>
        <v>41.6</v>
      </c>
      <c r="L17" s="68">
        <f>SUM(K17)+1.6</f>
        <v>43.2</v>
      </c>
      <c r="M17" s="68">
        <f t="shared" ref="M17:N17" si="6">SUM(L17)+1.6</f>
        <v>44.800000000000004</v>
      </c>
      <c r="N17" s="117">
        <f t="shared" si="6"/>
        <v>46.400000000000006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8"/>
      <c r="N19" s="117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117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117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SUM(I23)-1.2</f>
        <v>20.6</v>
      </c>
      <c r="I23" s="54">
        <f>SUM(J23)-1.2</f>
        <v>21.8</v>
      </c>
      <c r="J23" s="67">
        <v>23</v>
      </c>
      <c r="K23" s="68">
        <f>SUM(J23)+1.2</f>
        <v>24.2</v>
      </c>
      <c r="L23" s="68">
        <f t="shared" ref="L23:N23" si="7">SUM(K23)+1.2</f>
        <v>25.4</v>
      </c>
      <c r="M23" s="68">
        <f t="shared" si="7"/>
        <v>26.599999999999998</v>
      </c>
      <c r="N23" s="69">
        <f t="shared" si="7"/>
        <v>27.799999999999997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5" t="s">
        <v>134</v>
      </c>
      <c r="C25" s="66"/>
      <c r="D25" s="88"/>
      <c r="E25" s="89"/>
      <c r="F25" s="89"/>
      <c r="G25" s="90"/>
      <c r="H25" s="54">
        <f>SUM(I25)-0.3</f>
        <v>2.4000000000000004</v>
      </c>
      <c r="I25" s="54">
        <f>SUM(J25)-0.3</f>
        <v>2.7</v>
      </c>
      <c r="J25" s="67">
        <v>3</v>
      </c>
      <c r="K25" s="68">
        <f>SUM(J25)+0.3</f>
        <v>3.3</v>
      </c>
      <c r="L25" s="68">
        <f t="shared" ref="L25:M25" si="8">SUM(K25)+0.3</f>
        <v>3.5999999999999996</v>
      </c>
      <c r="M25" s="68">
        <f t="shared" si="8"/>
        <v>3.8999999999999995</v>
      </c>
      <c r="N25" s="69">
        <f t="shared" ref="N25" si="9">SUM(M25)+0.3</f>
        <v>4.1999999999999993</v>
      </c>
    </row>
    <row r="26" spans="1:14" s="1" customFormat="1" ht="14.1" customHeight="1" x14ac:dyDescent="0.3">
      <c r="A26" s="48"/>
      <c r="B26" s="57" t="s">
        <v>142</v>
      </c>
      <c r="C26" s="58"/>
      <c r="D26" s="46" t="s">
        <v>234</v>
      </c>
      <c r="E26" s="47"/>
      <c r="F26" s="47"/>
      <c r="G26" s="59"/>
      <c r="H26" s="40"/>
      <c r="I26" s="40"/>
      <c r="J26" s="67"/>
      <c r="K26" s="68"/>
      <c r="L26" s="68"/>
      <c r="M26" s="68"/>
      <c r="N26" s="69"/>
    </row>
    <row r="27" spans="1:14" s="1" customFormat="1" ht="14.1" customHeight="1" x14ac:dyDescent="0.3">
      <c r="A27" s="48">
        <v>13</v>
      </c>
      <c r="B27" s="79" t="s">
        <v>135</v>
      </c>
      <c r="C27" s="80"/>
      <c r="D27" s="88"/>
      <c r="E27" s="89"/>
      <c r="F27" s="89"/>
      <c r="G27" s="90"/>
      <c r="H27" s="81">
        <f>SUM(I27)-0.8</f>
        <v>10.599999999999998</v>
      </c>
      <c r="I27" s="81">
        <f>SUM(J27)-0.8</f>
        <v>11.399999999999999</v>
      </c>
      <c r="J27" s="42">
        <v>12.2</v>
      </c>
      <c r="K27" s="40">
        <f>SUM(J27)+0.8</f>
        <v>13</v>
      </c>
      <c r="L27" s="40">
        <f t="shared" ref="L27:M27" si="10">SUM(K27)+0.8</f>
        <v>13.8</v>
      </c>
      <c r="M27" s="40">
        <f t="shared" si="10"/>
        <v>14.600000000000001</v>
      </c>
      <c r="N27" s="44">
        <f t="shared" ref="N27" si="11">SUM(M27)+0.8</f>
        <v>15.400000000000002</v>
      </c>
    </row>
    <row r="28" spans="1:14" s="1" customFormat="1" ht="14.1" customHeight="1" thickBot="1" x14ac:dyDescent="0.35">
      <c r="A28" s="87"/>
      <c r="B28" s="96" t="s">
        <v>143</v>
      </c>
      <c r="C28" s="97"/>
      <c r="D28" s="98" t="s">
        <v>568</v>
      </c>
      <c r="E28" s="99"/>
      <c r="F28" s="99"/>
      <c r="G28" s="100"/>
      <c r="H28" s="91"/>
      <c r="I28" s="91"/>
      <c r="J28" s="92"/>
      <c r="K28" s="93"/>
      <c r="L28" s="93"/>
      <c r="M28" s="93"/>
      <c r="N28" s="121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9">
    <mergeCell ref="N27:N28"/>
    <mergeCell ref="A1:N1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4ABB-B6BE-46E1-924E-EF06C0D62B4C}">
  <sheetPr codeName="Sheet85">
    <tabColor rgb="FFFF0000"/>
    <pageSetUpPr fitToPage="1"/>
  </sheetPr>
  <dimension ref="A1:N51"/>
  <sheetViews>
    <sheetView zoomScale="110" zoomScaleNormal="110" workbookViewId="0">
      <selection activeCell="R14" sqref="R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550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  <c r="N2" s="8" t="s">
        <v>147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35</v>
      </c>
      <c r="I3" s="54">
        <f>SUM(J3)-3</f>
        <v>38</v>
      </c>
      <c r="J3" s="55">
        <v>41</v>
      </c>
      <c r="K3" s="54">
        <f>SUM(J3)+2.5</f>
        <v>43.5</v>
      </c>
      <c r="L3" s="54">
        <f t="shared" ref="L3:N3" si="0">SUM(K3)+2.5</f>
        <v>46</v>
      </c>
      <c r="M3" s="39">
        <f t="shared" si="0"/>
        <v>48.5</v>
      </c>
      <c r="N3" s="115">
        <f t="shared" si="0"/>
        <v>51</v>
      </c>
    </row>
    <row r="4" spans="1:14" s="1" customFormat="1" ht="14.1" customHeight="1" x14ac:dyDescent="0.3">
      <c r="A4" s="35"/>
      <c r="B4" s="45" t="s">
        <v>560</v>
      </c>
      <c r="C4" s="45"/>
      <c r="D4" s="46" t="s">
        <v>559</v>
      </c>
      <c r="E4" s="47"/>
      <c r="F4" s="47"/>
      <c r="G4" s="47"/>
      <c r="H4" s="40"/>
      <c r="I4" s="40"/>
      <c r="J4" s="42"/>
      <c r="K4" s="40"/>
      <c r="L4" s="40"/>
      <c r="M4" s="40"/>
      <c r="N4" s="116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20.799999999999997</v>
      </c>
      <c r="I5" s="54">
        <f>SUM(J5)-1.6</f>
        <v>22.4</v>
      </c>
      <c r="J5" s="55">
        <v>24</v>
      </c>
      <c r="K5" s="54">
        <f>SUM(J5)+1.4</f>
        <v>25.4</v>
      </c>
      <c r="L5" s="54">
        <f t="shared" ref="L5:N5" si="1">SUM(K5)+1.4</f>
        <v>26.799999999999997</v>
      </c>
      <c r="M5" s="54">
        <f t="shared" si="1"/>
        <v>28.199999999999996</v>
      </c>
      <c r="N5" s="115">
        <f t="shared" si="1"/>
        <v>29.599999999999994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116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27</v>
      </c>
      <c r="I7" s="54">
        <f>SUM(J7)-2</f>
        <v>29</v>
      </c>
      <c r="J7" s="55">
        <v>31</v>
      </c>
      <c r="K7" s="54">
        <f>SUM(J7)+1.8</f>
        <v>32.799999999999997</v>
      </c>
      <c r="L7" s="54">
        <f>SUM(K7)+1.8</f>
        <v>34.599999999999994</v>
      </c>
      <c r="M7" s="54">
        <f>SUM(L7)+1.8</f>
        <v>36.399999999999991</v>
      </c>
      <c r="N7" s="115">
        <f>SUM(M7)+1.8</f>
        <v>38.199999999999989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116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27</v>
      </c>
      <c r="I9" s="54">
        <f>SUM(J9)-2</f>
        <v>29</v>
      </c>
      <c r="J9" s="55">
        <v>31</v>
      </c>
      <c r="K9" s="54">
        <f>SUM(J9)+1.8</f>
        <v>32.799999999999997</v>
      </c>
      <c r="L9" s="54">
        <f>SUM(K9)+1.8</f>
        <v>34.599999999999994</v>
      </c>
      <c r="M9" s="54">
        <f>SUM(L9)+1.8</f>
        <v>36.399999999999991</v>
      </c>
      <c r="N9" s="115">
        <f>SUM(M9)+1.8</f>
        <v>38.199999999999989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116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54">
        <f>SUM(I11)-0.9</f>
        <v>13.2</v>
      </c>
      <c r="I11" s="54">
        <f>SUM(J11)-0.9</f>
        <v>14.1</v>
      </c>
      <c r="J11" s="132">
        <v>15</v>
      </c>
      <c r="K11" s="54">
        <f>SUM(J11)+0.9</f>
        <v>15.9</v>
      </c>
      <c r="L11" s="54">
        <f>SUM(K11)+0.9</f>
        <v>16.8</v>
      </c>
      <c r="M11" s="54">
        <f>SUM(L11)+0.9</f>
        <v>17.7</v>
      </c>
      <c r="N11" s="115">
        <f>SUM(M11)+0.9</f>
        <v>18.599999999999998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0"/>
      <c r="I12" s="40"/>
      <c r="J12" s="132"/>
      <c r="K12" s="40"/>
      <c r="L12" s="40"/>
      <c r="M12" s="40"/>
      <c r="N12" s="116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SUM(I13)-0.8</f>
        <v>16.599999999999998</v>
      </c>
      <c r="I13" s="54">
        <f>SUM(J13)-0.8</f>
        <v>17.399999999999999</v>
      </c>
      <c r="J13" s="67">
        <v>18.2</v>
      </c>
      <c r="K13" s="68">
        <f>SUM(J13)+0.8</f>
        <v>19</v>
      </c>
      <c r="L13" s="68">
        <f>SUM(K13)+0.8</f>
        <v>19.8</v>
      </c>
      <c r="M13" s="68">
        <f>SUM(L13)+0.8</f>
        <v>20.6</v>
      </c>
      <c r="N13" s="117">
        <f>SUM(M13)+0.8</f>
        <v>21.400000000000002</v>
      </c>
    </row>
    <row r="14" spans="1:14" s="1" customFormat="1" ht="14.1" customHeight="1" x14ac:dyDescent="0.3">
      <c r="A14" s="48"/>
      <c r="B14" s="45" t="s">
        <v>551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117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SUM(I15)-0.4</f>
        <v>7.1999999999999993</v>
      </c>
      <c r="I15" s="54">
        <f>SUM(J15)-0.4</f>
        <v>7.6</v>
      </c>
      <c r="J15" s="67">
        <v>8</v>
      </c>
      <c r="K15" s="68">
        <f>SUM(J15)+0.4</f>
        <v>8.4</v>
      </c>
      <c r="L15" s="68">
        <f>SUM(K15)+0.4</f>
        <v>8.8000000000000007</v>
      </c>
      <c r="M15" s="68">
        <f>SUM(L15)+0.4</f>
        <v>9.2000000000000011</v>
      </c>
      <c r="N15" s="117">
        <f>SUM(M15)+0.4</f>
        <v>9.6000000000000014</v>
      </c>
    </row>
    <row r="16" spans="1:14" s="1" customFormat="1" ht="14.1" customHeight="1" x14ac:dyDescent="0.3">
      <c r="A16" s="48"/>
      <c r="B16" s="45" t="s">
        <v>552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117"/>
    </row>
    <row r="17" spans="1:14" s="1" customFormat="1" ht="14.1" customHeight="1" x14ac:dyDescent="0.3">
      <c r="A17" s="48">
        <v>8</v>
      </c>
      <c r="B17" s="65" t="s">
        <v>553</v>
      </c>
      <c r="C17" s="66"/>
      <c r="D17" s="62"/>
      <c r="E17" s="63"/>
      <c r="F17" s="63"/>
      <c r="G17" s="64"/>
      <c r="H17" s="54">
        <f>SUM(I17)-0.5</f>
        <v>12.3</v>
      </c>
      <c r="I17" s="54">
        <f>SUM(J17)-0.5</f>
        <v>12.8</v>
      </c>
      <c r="J17" s="67">
        <v>13.3</v>
      </c>
      <c r="K17" s="68">
        <f>SUM(J17)+0.5</f>
        <v>13.8</v>
      </c>
      <c r="L17" s="68">
        <f>SUM(K17)+0.5</f>
        <v>14.3</v>
      </c>
      <c r="M17" s="68">
        <f>SUM(L17)+0.5</f>
        <v>14.8</v>
      </c>
      <c r="N17" s="117">
        <f>SUM(M17)+0.5</f>
        <v>15.3</v>
      </c>
    </row>
    <row r="18" spans="1:14" s="1" customFormat="1" ht="14.1" customHeight="1" x14ac:dyDescent="0.3">
      <c r="A18" s="48"/>
      <c r="B18" s="45" t="s">
        <v>554</v>
      </c>
      <c r="C18" s="45"/>
      <c r="D18" s="46" t="s">
        <v>555</v>
      </c>
      <c r="E18" s="47"/>
      <c r="F18" s="47"/>
      <c r="G18" s="59"/>
      <c r="H18" s="40"/>
      <c r="I18" s="40"/>
      <c r="J18" s="67"/>
      <c r="K18" s="68"/>
      <c r="L18" s="68"/>
      <c r="M18" s="68"/>
      <c r="N18" s="117"/>
    </row>
    <row r="19" spans="1:14" s="1" customFormat="1" ht="14.1" customHeight="1" x14ac:dyDescent="0.3">
      <c r="A19" s="48">
        <v>9</v>
      </c>
      <c r="B19" s="60" t="s">
        <v>556</v>
      </c>
      <c r="C19" s="60"/>
      <c r="D19" s="61"/>
      <c r="E19" s="61"/>
      <c r="F19" s="61"/>
      <c r="G19" s="61"/>
      <c r="H19" s="54">
        <f>SUM(I19)-0.5</f>
        <v>5</v>
      </c>
      <c r="I19" s="54">
        <f>SUM(J19)-0.5</f>
        <v>5.5</v>
      </c>
      <c r="J19" s="67">
        <v>6</v>
      </c>
      <c r="K19" s="68">
        <f>SUM(J19)+0.4</f>
        <v>6.4</v>
      </c>
      <c r="L19" s="68">
        <f>SUM(K19)+0.4</f>
        <v>6.8000000000000007</v>
      </c>
      <c r="M19" s="68">
        <f>SUM(L19)+0.4</f>
        <v>7.2000000000000011</v>
      </c>
      <c r="N19" s="117">
        <f>SUM(M19)+0.4</f>
        <v>7.6000000000000014</v>
      </c>
    </row>
    <row r="20" spans="1:14" s="1" customFormat="1" ht="14.1" customHeight="1" x14ac:dyDescent="0.3">
      <c r="A20" s="48"/>
      <c r="B20" s="45" t="s">
        <v>557</v>
      </c>
      <c r="C20" s="45"/>
      <c r="D20" s="46" t="s">
        <v>558</v>
      </c>
      <c r="E20" s="47"/>
      <c r="F20" s="47"/>
      <c r="G20" s="59"/>
      <c r="H20" s="40"/>
      <c r="I20" s="40"/>
      <c r="J20" s="67"/>
      <c r="K20" s="68"/>
      <c r="L20" s="68"/>
      <c r="M20" s="68"/>
      <c r="N20" s="117"/>
    </row>
    <row r="21" spans="1:14" s="1" customFormat="1" ht="14.1" customHeight="1" x14ac:dyDescent="0.3">
      <c r="A21" s="48">
        <v>10</v>
      </c>
      <c r="B21" s="65" t="s">
        <v>561</v>
      </c>
      <c r="C21" s="66"/>
      <c r="D21" s="88"/>
      <c r="E21" s="89"/>
      <c r="F21" s="89"/>
      <c r="G21" s="90"/>
      <c r="H21" s="54">
        <f>SUM(I21)-0.4</f>
        <v>8.1999999999999993</v>
      </c>
      <c r="I21" s="54">
        <f>SUM(J21)-0.4</f>
        <v>8.6</v>
      </c>
      <c r="J21" s="67">
        <v>9</v>
      </c>
      <c r="K21" s="68">
        <f>SUM(J21)+0.4</f>
        <v>9.4</v>
      </c>
      <c r="L21" s="68">
        <f>SUM(K21)+0.4</f>
        <v>9.8000000000000007</v>
      </c>
      <c r="M21" s="68">
        <f>SUM(L21)+0.4</f>
        <v>10.200000000000001</v>
      </c>
      <c r="N21" s="117">
        <f>SUM(M21)+0.4</f>
        <v>10.600000000000001</v>
      </c>
    </row>
    <row r="22" spans="1:14" s="1" customFormat="1" ht="14.1" customHeight="1" x14ac:dyDescent="0.3">
      <c r="A22" s="48"/>
      <c r="B22" s="79" t="s">
        <v>562</v>
      </c>
      <c r="C22" s="80"/>
      <c r="D22" s="51"/>
      <c r="E22" s="52"/>
      <c r="F22" s="52"/>
      <c r="G22" s="53"/>
      <c r="H22" s="81"/>
      <c r="I22" s="81"/>
      <c r="J22" s="55"/>
      <c r="K22" s="54"/>
      <c r="L22" s="54"/>
      <c r="M22" s="54"/>
      <c r="N22" s="115"/>
    </row>
    <row r="23" spans="1:14" s="1" customFormat="1" ht="14.1" customHeight="1" x14ac:dyDescent="0.3">
      <c r="A23" s="48">
        <v>11</v>
      </c>
      <c r="B23" s="65" t="s">
        <v>134</v>
      </c>
      <c r="C23" s="66"/>
      <c r="D23" s="88" t="s">
        <v>83</v>
      </c>
      <c r="E23" s="89"/>
      <c r="F23" s="89"/>
      <c r="G23" s="90"/>
      <c r="H23" s="54">
        <f>SUM(I23)-0.2</f>
        <v>2.0999999999999996</v>
      </c>
      <c r="I23" s="54">
        <f>SUM(J23)-0.2</f>
        <v>2.2999999999999998</v>
      </c>
      <c r="J23" s="67">
        <v>2.5</v>
      </c>
      <c r="K23" s="68">
        <f>SUM(J23)+0.2</f>
        <v>2.7</v>
      </c>
      <c r="L23" s="68">
        <f>SUM(K23)+0.2</f>
        <v>2.9000000000000004</v>
      </c>
      <c r="M23" s="68">
        <f>SUM(L23)+0.2</f>
        <v>3.1000000000000005</v>
      </c>
      <c r="N23" s="117">
        <f>SUM(M23)+0.2</f>
        <v>3.3000000000000007</v>
      </c>
    </row>
    <row r="24" spans="1:14" s="1" customFormat="1" ht="14.1" customHeight="1" x14ac:dyDescent="0.3">
      <c r="A24" s="48"/>
      <c r="B24" s="79" t="s">
        <v>142</v>
      </c>
      <c r="C24" s="80"/>
      <c r="D24" s="51" t="s">
        <v>84</v>
      </c>
      <c r="E24" s="52"/>
      <c r="F24" s="52"/>
      <c r="G24" s="53"/>
      <c r="H24" s="81"/>
      <c r="I24" s="81"/>
      <c r="J24" s="55"/>
      <c r="K24" s="54"/>
      <c r="L24" s="54"/>
      <c r="M24" s="54"/>
      <c r="N24" s="115"/>
    </row>
    <row r="25" spans="1:14" s="1" customFormat="1" ht="14.1" customHeight="1" x14ac:dyDescent="0.3">
      <c r="A25" s="48">
        <v>12</v>
      </c>
      <c r="B25" s="65"/>
      <c r="C25" s="66"/>
      <c r="D25" s="61"/>
      <c r="E25" s="61"/>
      <c r="F25" s="61"/>
      <c r="G25" s="61"/>
      <c r="H25" s="54"/>
      <c r="I25" s="54"/>
      <c r="J25" s="67"/>
      <c r="K25" s="68"/>
      <c r="L25" s="68"/>
      <c r="M25" s="68"/>
      <c r="N25" s="117"/>
    </row>
    <row r="26" spans="1:14" s="1" customFormat="1" ht="14.1" customHeight="1" x14ac:dyDescent="0.3">
      <c r="A26" s="48"/>
      <c r="B26" s="45"/>
      <c r="C26" s="45"/>
      <c r="D26" s="46"/>
      <c r="E26" s="47"/>
      <c r="F26" s="47"/>
      <c r="G26" s="59"/>
      <c r="H26" s="40"/>
      <c r="I26" s="40"/>
      <c r="J26" s="67"/>
      <c r="K26" s="68"/>
      <c r="L26" s="68"/>
      <c r="M26" s="68"/>
      <c r="N26" s="117"/>
    </row>
    <row r="27" spans="1:14" s="1" customFormat="1" ht="14.1" customHeight="1" x14ac:dyDescent="0.3">
      <c r="A27" s="48">
        <v>13</v>
      </c>
      <c r="B27" s="65"/>
      <c r="C27" s="66"/>
      <c r="D27" s="88"/>
      <c r="E27" s="89"/>
      <c r="F27" s="89"/>
      <c r="G27" s="90"/>
      <c r="H27" s="54"/>
      <c r="I27" s="54"/>
      <c r="J27" s="67"/>
      <c r="K27" s="68"/>
      <c r="L27" s="68"/>
      <c r="M27" s="68"/>
      <c r="N27" s="117"/>
    </row>
    <row r="28" spans="1:14" s="1" customFormat="1" ht="14.1" customHeight="1" x14ac:dyDescent="0.3">
      <c r="A28" s="78"/>
      <c r="B28" s="79"/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54"/>
      <c r="N28" s="115"/>
    </row>
    <row r="29" spans="1:14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8"/>
      <c r="N29" s="117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93"/>
      <c r="N30" s="118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1">
    <mergeCell ref="N23:N24"/>
    <mergeCell ref="N25:N26"/>
    <mergeCell ref="N27:N28"/>
    <mergeCell ref="N29:N30"/>
    <mergeCell ref="N11:N12"/>
    <mergeCell ref="N13:N14"/>
    <mergeCell ref="N15:N16"/>
    <mergeCell ref="N17:N18"/>
    <mergeCell ref="N19:N20"/>
    <mergeCell ref="N21:N22"/>
    <mergeCell ref="K29:K30"/>
    <mergeCell ref="L29:L30"/>
    <mergeCell ref="M29:M30"/>
    <mergeCell ref="B30:C30"/>
    <mergeCell ref="D30:G30"/>
    <mergeCell ref="A1:N1"/>
    <mergeCell ref="N3:N4"/>
    <mergeCell ref="N5:N6"/>
    <mergeCell ref="N7:N8"/>
    <mergeCell ref="N9:N1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5A15-BA89-485E-8D23-DAAC863665D8}">
  <sheetPr>
    <tabColor rgb="FFFF0000"/>
    <pageSetUpPr fitToPage="1"/>
  </sheetPr>
  <dimension ref="A1:N51"/>
  <sheetViews>
    <sheetView zoomScale="110" zoomScaleNormal="110" workbookViewId="0">
      <selection activeCell="A25" sqref="A25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570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32</v>
      </c>
      <c r="I3" s="54">
        <f>SUM(J3)-3</f>
        <v>35</v>
      </c>
      <c r="J3" s="55">
        <v>38</v>
      </c>
      <c r="K3" s="54">
        <f>SUM(J3)+2.5</f>
        <v>40.5</v>
      </c>
      <c r="L3" s="54">
        <f>SUM(K3)+2.5</f>
        <v>43</v>
      </c>
      <c r="M3" s="56">
        <f>SUM(L3)+2.5</f>
        <v>45.5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49" t="s">
        <v>80</v>
      </c>
      <c r="C5" s="50"/>
      <c r="D5" s="51" t="s">
        <v>81</v>
      </c>
      <c r="E5" s="52"/>
      <c r="F5" s="52"/>
      <c r="G5" s="53"/>
      <c r="H5" s="54">
        <f>SUM(I5)-1.3</f>
        <v>18.899999999999999</v>
      </c>
      <c r="I5" s="54">
        <f>SUM(J5)-1.3</f>
        <v>20.2</v>
      </c>
      <c r="J5" s="55">
        <v>21.5</v>
      </c>
      <c r="K5" s="54">
        <f>SUM(J5)+1.3</f>
        <v>22.8</v>
      </c>
      <c r="L5" s="54">
        <f>SUM(K5)+1.2</f>
        <v>24</v>
      </c>
      <c r="M5" s="56">
        <f>SUM(L5)+1.2</f>
        <v>25.2</v>
      </c>
    </row>
    <row r="6" spans="1:13" s="1" customFormat="1" ht="14.1" customHeight="1" x14ac:dyDescent="0.3">
      <c r="A6" s="48"/>
      <c r="B6" s="57" t="s">
        <v>78</v>
      </c>
      <c r="C6" s="58"/>
      <c r="D6" s="46" t="s">
        <v>79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31.5</v>
      </c>
      <c r="I7" s="54">
        <f>SUM(J7)-2.25</f>
        <v>33.75</v>
      </c>
      <c r="J7" s="55">
        <v>36</v>
      </c>
      <c r="K7" s="54">
        <f>SUM(J7)+2</f>
        <v>38</v>
      </c>
      <c r="L7" s="54">
        <f>SUM(K7)+2</f>
        <v>40</v>
      </c>
      <c r="M7" s="56">
        <f>SUM(L7)+2</f>
        <v>42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31.5</v>
      </c>
      <c r="I9" s="54">
        <f>SUM(J9)-2.25</f>
        <v>33.75</v>
      </c>
      <c r="J9" s="55">
        <v>36</v>
      </c>
      <c r="K9" s="54">
        <f>SUM(J9)+2</f>
        <v>38</v>
      </c>
      <c r="L9" s="54">
        <f>SUM(K9)+2</f>
        <v>40</v>
      </c>
      <c r="M9" s="56">
        <f>SUM(L9)+2</f>
        <v>42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/>
      <c r="I11" s="60"/>
      <c r="J11" s="132"/>
      <c r="K11" s="130"/>
      <c r="L11" s="130"/>
      <c r="M11" s="131"/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15.4</v>
      </c>
      <c r="I13" s="54">
        <f>SUM(J13)-0.6</f>
        <v>16</v>
      </c>
      <c r="J13" s="67">
        <v>16.600000000000001</v>
      </c>
      <c r="K13" s="68">
        <f>SUM(J13)+0.6</f>
        <v>17.200000000000003</v>
      </c>
      <c r="L13" s="68">
        <f>SUM(K13)+0.6</f>
        <v>17.800000000000004</v>
      </c>
      <c r="M13" s="69">
        <f t="shared" ref="M13" si="0">SUM(L13)+0.6</f>
        <v>18.400000000000006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5.8000000000000007</v>
      </c>
      <c r="I15" s="54">
        <f>SUM(J15)-0.3</f>
        <v>6.1000000000000005</v>
      </c>
      <c r="J15" s="67">
        <v>6.4</v>
      </c>
      <c r="K15" s="68">
        <f>SUM(J15)+0.3</f>
        <v>6.7</v>
      </c>
      <c r="L15" s="68">
        <f>SUM(K15)+0.3</f>
        <v>7</v>
      </c>
      <c r="M15" s="69">
        <f t="shared" ref="M15" si="1">SUM(L15)+0.3</f>
        <v>7.3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9">
        <f t="shared" ref="M17" si="2">SUM(L17)+1.6</f>
        <v>46.800000000000004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/>
      <c r="I19" s="54"/>
      <c r="J19" s="55"/>
      <c r="K19" s="68"/>
      <c r="L19" s="68"/>
      <c r="M19" s="69"/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25.200000000000003</v>
      </c>
      <c r="I23" s="54">
        <f>SUM(J23)-1.4</f>
        <v>26.6</v>
      </c>
      <c r="J23" s="67">
        <v>28</v>
      </c>
      <c r="K23" s="68">
        <f>SUM(J23)+1.4</f>
        <v>29.4</v>
      </c>
      <c r="L23" s="68">
        <f t="shared" ref="L23:M23" si="3">SUM(K23)+1.4</f>
        <v>30.799999999999997</v>
      </c>
      <c r="M23" s="69">
        <f t="shared" si="3"/>
        <v>32.199999999999996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4" s="1" customFormat="1" ht="14.1" customHeight="1" x14ac:dyDescent="0.3">
      <c r="A25" s="48">
        <v>12</v>
      </c>
      <c r="B25" s="65" t="s">
        <v>571</v>
      </c>
      <c r="C25" s="66"/>
      <c r="D25" s="88"/>
      <c r="E25" s="89"/>
      <c r="F25" s="89"/>
      <c r="G25" s="90"/>
      <c r="H25" s="54">
        <f>SUM(I25)-0.7</f>
        <v>7.6000000000000005</v>
      </c>
      <c r="I25" s="54">
        <f>SUM(J25)-0.7</f>
        <v>8.3000000000000007</v>
      </c>
      <c r="J25" s="67">
        <v>9</v>
      </c>
      <c r="K25" s="68">
        <f>SUM(J25)+0.6</f>
        <v>9.6</v>
      </c>
      <c r="L25" s="68">
        <f>SUM(K25)+0.6</f>
        <v>10.199999999999999</v>
      </c>
      <c r="M25" s="69">
        <f>SUM(L25)+0.6</f>
        <v>10.799999999999999</v>
      </c>
    </row>
    <row r="26" spans="1:14" s="1" customFormat="1" ht="14.1" customHeight="1" x14ac:dyDescent="0.3">
      <c r="A26" s="78"/>
      <c r="B26" s="79" t="s">
        <v>572</v>
      </c>
      <c r="C26" s="80"/>
      <c r="D26" s="51" t="s">
        <v>558</v>
      </c>
      <c r="E26" s="52"/>
      <c r="F26" s="52"/>
      <c r="G26" s="53"/>
      <c r="H26" s="81"/>
      <c r="I26" s="81"/>
      <c r="J26" s="55"/>
      <c r="K26" s="54"/>
      <c r="L26" s="54"/>
      <c r="M26" s="56"/>
    </row>
    <row r="27" spans="1:14" s="1" customFormat="1" ht="14.1" customHeight="1" x14ac:dyDescent="0.3">
      <c r="A27" s="48">
        <v>13</v>
      </c>
      <c r="B27" s="65" t="s">
        <v>134</v>
      </c>
      <c r="C27" s="66"/>
      <c r="D27" s="88" t="s">
        <v>83</v>
      </c>
      <c r="E27" s="89"/>
      <c r="F27" s="89"/>
      <c r="G27" s="90"/>
      <c r="H27" s="54">
        <f>SUM(I27)-0.3</f>
        <v>3.0000000000000004</v>
      </c>
      <c r="I27" s="54">
        <f>SUM(J27)-0.3</f>
        <v>3.3000000000000003</v>
      </c>
      <c r="J27" s="67">
        <v>3.6</v>
      </c>
      <c r="K27" s="68">
        <f>SUM(J27)+0.3</f>
        <v>3.9</v>
      </c>
      <c r="L27" s="68">
        <f t="shared" ref="L27" si="4">SUM(K27)+0.3</f>
        <v>4.2</v>
      </c>
      <c r="M27" s="69">
        <f t="shared" ref="M27" si="5">SUM(L27)+0.3</f>
        <v>4.5</v>
      </c>
      <c r="N27"/>
    </row>
    <row r="28" spans="1:14" s="1" customFormat="1" ht="14.1" customHeight="1" x14ac:dyDescent="0.3">
      <c r="A28" s="78"/>
      <c r="B28" s="79" t="s">
        <v>142</v>
      </c>
      <c r="C28" s="80"/>
      <c r="D28" s="51" t="s">
        <v>84</v>
      </c>
      <c r="E28" s="52"/>
      <c r="F28" s="52"/>
      <c r="G28" s="53"/>
      <c r="H28" s="81"/>
      <c r="I28" s="81"/>
      <c r="J28" s="55"/>
      <c r="K28" s="54"/>
      <c r="L28" s="54"/>
      <c r="M28" s="56"/>
      <c r="N28"/>
    </row>
    <row r="29" spans="1:14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9"/>
      <c r="N29"/>
    </row>
    <row r="30" spans="1:14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J29:J30"/>
    <mergeCell ref="K29:K30"/>
    <mergeCell ref="L29:L30"/>
    <mergeCell ref="M29:M30"/>
    <mergeCell ref="B30:C30"/>
    <mergeCell ref="D30:G30"/>
    <mergeCell ref="K25:K26"/>
    <mergeCell ref="L25:L26"/>
    <mergeCell ref="M25:M26"/>
    <mergeCell ref="B26:C26"/>
    <mergeCell ref="D26:G26"/>
    <mergeCell ref="J25:J26"/>
    <mergeCell ref="K27:K28"/>
    <mergeCell ref="L27:L28"/>
    <mergeCell ref="M27:M28"/>
    <mergeCell ref="B28:C28"/>
    <mergeCell ref="D28:G28"/>
    <mergeCell ref="B27:C27"/>
    <mergeCell ref="D27:G27"/>
    <mergeCell ref="H27:H28"/>
    <mergeCell ref="I27:I28"/>
    <mergeCell ref="J27:J28"/>
    <mergeCell ref="A29:A30"/>
    <mergeCell ref="B29:C29"/>
    <mergeCell ref="D29:G29"/>
    <mergeCell ref="H29:H30"/>
    <mergeCell ref="I29:I30"/>
    <mergeCell ref="A25:A26"/>
    <mergeCell ref="B25:C25"/>
    <mergeCell ref="D25:G25"/>
    <mergeCell ref="H25:H26"/>
    <mergeCell ref="I25:I26"/>
    <mergeCell ref="A27:A28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C4A7-D15D-4515-93A5-11776190CF69}">
  <sheetPr>
    <tabColor rgb="FFFF0000"/>
    <pageSetUpPr fitToPage="1"/>
  </sheetPr>
  <dimension ref="A1:M51"/>
  <sheetViews>
    <sheetView zoomScale="110" zoomScaleNormal="110" workbookViewId="0">
      <selection activeCell="P18" sqref="P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573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32</v>
      </c>
      <c r="I3" s="54">
        <f>SUM(J3)-3</f>
        <v>35</v>
      </c>
      <c r="J3" s="55">
        <v>38</v>
      </c>
      <c r="K3" s="54">
        <f>SUM(J3)+2.5</f>
        <v>40.5</v>
      </c>
      <c r="L3" s="54">
        <f>SUM(K3)+2.5</f>
        <v>43</v>
      </c>
      <c r="M3" s="56">
        <f>SUM(L3)+2.5</f>
        <v>45.5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22.999999999999996</v>
      </c>
      <c r="I5" s="54">
        <f>SUM(J5)-1.6</f>
        <v>24.599999999999998</v>
      </c>
      <c r="J5" s="55">
        <v>26.2</v>
      </c>
      <c r="K5" s="54">
        <f>SUM(J5)+1.4</f>
        <v>27.599999999999998</v>
      </c>
      <c r="L5" s="54">
        <f>SUM(K5)+1.4</f>
        <v>28.999999999999996</v>
      </c>
      <c r="M5" s="56">
        <f>SUM(L5)+1.4</f>
        <v>30.399999999999995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</f>
        <v>28</v>
      </c>
      <c r="I7" s="54">
        <f>SUM(J7)-2</f>
        <v>30</v>
      </c>
      <c r="J7" s="55">
        <v>32</v>
      </c>
      <c r="K7" s="54">
        <f>SUM(J7)+1.8</f>
        <v>33.799999999999997</v>
      </c>
      <c r="L7" s="54">
        <f>SUM(K7)+1.8</f>
        <v>35.599999999999994</v>
      </c>
      <c r="M7" s="56">
        <f>SUM(L7)+1.8</f>
        <v>37.399999999999991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</f>
        <v>28</v>
      </c>
      <c r="I9" s="54">
        <f>SUM(J9)-2</f>
        <v>30</v>
      </c>
      <c r="J9" s="55">
        <v>32</v>
      </c>
      <c r="K9" s="54">
        <f>SUM(J9)+1.8</f>
        <v>33.799999999999997</v>
      </c>
      <c r="L9" s="54">
        <f>SUM(K9)+1.8</f>
        <v>35.599999999999994</v>
      </c>
      <c r="M9" s="56">
        <f>SUM(L9)+1.8</f>
        <v>37.399999999999991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13.2</v>
      </c>
      <c r="I11" s="60">
        <f>SUM(J11)-0.8</f>
        <v>14</v>
      </c>
      <c r="J11" s="132">
        <v>14.8</v>
      </c>
      <c r="K11" s="130">
        <f>SUM(J11)+0.9</f>
        <v>15.700000000000001</v>
      </c>
      <c r="L11" s="130">
        <f>SUM(K11)+0.9</f>
        <v>16.600000000000001</v>
      </c>
      <c r="M11" s="131">
        <f>SUM(L11)+0.9</f>
        <v>17.5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60">
        <f>SUM(I13)-0.6</f>
        <v>13.600000000000001</v>
      </c>
      <c r="I13" s="60">
        <f>SUM(J13)-0.6</f>
        <v>14.200000000000001</v>
      </c>
      <c r="J13" s="67">
        <v>14.8</v>
      </c>
      <c r="K13" s="130">
        <f>SUM(J13)+0.6</f>
        <v>15.4</v>
      </c>
      <c r="L13" s="130">
        <f t="shared" ref="L13:M13" si="0">SUM(K13)+0.6</f>
        <v>16</v>
      </c>
      <c r="M13" s="131">
        <f t="shared" si="0"/>
        <v>16.600000000000001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5"/>
      <c r="I14" s="45"/>
      <c r="J14" s="67"/>
      <c r="K14" s="130"/>
      <c r="L14" s="130"/>
      <c r="M14" s="131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5.4</v>
      </c>
      <c r="I15" s="54">
        <f>SUM(J15)-0.3</f>
        <v>5.7</v>
      </c>
      <c r="J15" s="67">
        <v>6</v>
      </c>
      <c r="K15" s="68">
        <f>SUM(J15)+0.3</f>
        <v>6.3</v>
      </c>
      <c r="L15" s="68">
        <f t="shared" ref="L15:M15" si="1">SUM(K15)+0.3</f>
        <v>6.6</v>
      </c>
      <c r="M15" s="69">
        <f t="shared" si="1"/>
        <v>6.8999999999999995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 t="shared" ref="L17:M17" si="2">SUM(K17)+1.6</f>
        <v>44.2</v>
      </c>
      <c r="M17" s="69">
        <f t="shared" si="2"/>
        <v>45.800000000000004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SUM(I19)-0.8</f>
        <v>7.8999999999999995</v>
      </c>
      <c r="I19" s="54">
        <f>SUM(J19)-0.8</f>
        <v>8.6999999999999993</v>
      </c>
      <c r="J19" s="67">
        <v>9.5</v>
      </c>
      <c r="K19" s="68">
        <f>SUM(J19)+0.9</f>
        <v>10.4</v>
      </c>
      <c r="L19" s="68">
        <f>SUM(K19)+0.9</f>
        <v>11.3</v>
      </c>
      <c r="M19" s="69">
        <f>SUM(L19)+0.9</f>
        <v>12.200000000000001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22.4</v>
      </c>
      <c r="I23" s="54">
        <f>SUM(J23)-1.3</f>
        <v>23.7</v>
      </c>
      <c r="J23" s="67">
        <v>25</v>
      </c>
      <c r="K23" s="68">
        <f>SUM(J23)+1.3</f>
        <v>26.3</v>
      </c>
      <c r="L23" s="68">
        <f>SUM(K23)+1.3</f>
        <v>27.6</v>
      </c>
      <c r="M23" s="69">
        <f>SUM(L23)+1.3</f>
        <v>28.900000000000002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574</v>
      </c>
      <c r="C25" s="66"/>
      <c r="D25" s="88"/>
      <c r="E25" s="89"/>
      <c r="F25" s="89"/>
      <c r="G25" s="90"/>
      <c r="H25" s="54">
        <f>SUM(I25)-1.5</f>
        <v>9</v>
      </c>
      <c r="I25" s="54">
        <f>SUM(J25)-1.5</f>
        <v>10.5</v>
      </c>
      <c r="J25" s="67">
        <v>12</v>
      </c>
      <c r="K25" s="68">
        <f>SUM(J25)+1.1</f>
        <v>13.1</v>
      </c>
      <c r="L25" s="68">
        <f>SUM(K25)+1.1</f>
        <v>14.2</v>
      </c>
      <c r="M25" s="69">
        <f>SUM(L25)+1.1</f>
        <v>15.299999999999999</v>
      </c>
    </row>
    <row r="26" spans="1:13" s="1" customFormat="1" ht="14.1" customHeight="1" x14ac:dyDescent="0.3">
      <c r="A26" s="78"/>
      <c r="B26" s="79" t="s">
        <v>575</v>
      </c>
      <c r="C26" s="80"/>
      <c r="D26" s="51"/>
      <c r="E26" s="52"/>
      <c r="F26" s="52"/>
      <c r="G26" s="53"/>
      <c r="H26" s="81"/>
      <c r="I26" s="81"/>
      <c r="J26" s="55"/>
      <c r="K26" s="54"/>
      <c r="L26" s="54"/>
      <c r="M26" s="56"/>
    </row>
    <row r="27" spans="1:13" s="1" customFormat="1" ht="14.1" customHeight="1" x14ac:dyDescent="0.3">
      <c r="A27" s="48">
        <v>13</v>
      </c>
      <c r="B27" s="65" t="s">
        <v>284</v>
      </c>
      <c r="C27" s="66"/>
      <c r="D27" s="88"/>
      <c r="E27" s="89"/>
      <c r="F27" s="89"/>
      <c r="G27" s="90"/>
      <c r="H27" s="54">
        <f>SUM(I27)-0.4</f>
        <v>9</v>
      </c>
      <c r="I27" s="54">
        <f>SUM(J27)-0.4</f>
        <v>9.4</v>
      </c>
      <c r="J27" s="67">
        <v>9.8000000000000007</v>
      </c>
      <c r="K27" s="68">
        <f>SUM(J27)+0.4</f>
        <v>10.200000000000001</v>
      </c>
      <c r="L27" s="68">
        <f>SUM(K27)+0.4</f>
        <v>10.600000000000001</v>
      </c>
      <c r="M27" s="69">
        <f>SUM(L27)+0.4</f>
        <v>11.000000000000002</v>
      </c>
    </row>
    <row r="28" spans="1:13" s="1" customFormat="1" ht="14.1" customHeight="1" x14ac:dyDescent="0.3">
      <c r="A28" s="78"/>
      <c r="B28" s="79" t="s">
        <v>576</v>
      </c>
      <c r="C28" s="80"/>
      <c r="D28" s="51"/>
      <c r="E28" s="52"/>
      <c r="F28" s="52"/>
      <c r="G28" s="53"/>
      <c r="H28" s="81"/>
      <c r="I28" s="81"/>
      <c r="J28" s="55"/>
      <c r="K28" s="54"/>
      <c r="L28" s="54"/>
      <c r="M28" s="56"/>
    </row>
    <row r="29" spans="1:13" s="1" customFormat="1" ht="14.1" customHeight="1" x14ac:dyDescent="0.3">
      <c r="A29" s="48">
        <v>14</v>
      </c>
      <c r="B29" s="65" t="s">
        <v>134</v>
      </c>
      <c r="C29" s="66"/>
      <c r="D29" s="88" t="s">
        <v>83</v>
      </c>
      <c r="E29" s="89"/>
      <c r="F29" s="89"/>
      <c r="G29" s="90"/>
      <c r="H29" s="54">
        <f>SUM(I29)-0.4</f>
        <v>4.6999999999999993</v>
      </c>
      <c r="I29" s="54">
        <f>SUM(J29)-0.4</f>
        <v>5.0999999999999996</v>
      </c>
      <c r="J29" s="67">
        <v>5.5</v>
      </c>
      <c r="K29" s="68">
        <f>SUM(J29)+0.4</f>
        <v>5.9</v>
      </c>
      <c r="L29" s="68">
        <f>SUM(K29)+0.4</f>
        <v>6.3000000000000007</v>
      </c>
      <c r="M29" s="69">
        <f>SUM(L29)+0.4</f>
        <v>6.7000000000000011</v>
      </c>
    </row>
    <row r="30" spans="1:13" s="1" customFormat="1" ht="14.1" customHeight="1" x14ac:dyDescent="0.3">
      <c r="A30" s="48"/>
      <c r="B30" s="79" t="s">
        <v>142</v>
      </c>
      <c r="C30" s="80"/>
      <c r="D30" s="51" t="s">
        <v>84</v>
      </c>
      <c r="E30" s="52"/>
      <c r="F30" s="52"/>
      <c r="G30" s="53"/>
      <c r="H30" s="81"/>
      <c r="I30" s="81"/>
      <c r="J30" s="55"/>
      <c r="K30" s="54"/>
      <c r="L30" s="54"/>
      <c r="M30" s="56"/>
    </row>
    <row r="31" spans="1:13" ht="14.1" customHeight="1" x14ac:dyDescent="0.3">
      <c r="A31" s="48">
        <v>15</v>
      </c>
      <c r="B31" s="65"/>
      <c r="C31" s="66"/>
      <c r="D31" s="88"/>
      <c r="E31" s="89"/>
      <c r="F31" s="89"/>
      <c r="G31" s="90"/>
      <c r="H31" s="54"/>
      <c r="I31" s="54"/>
      <c r="J31" s="67"/>
      <c r="K31" s="68"/>
      <c r="L31" s="68"/>
      <c r="M31" s="69"/>
    </row>
    <row r="32" spans="1:13" ht="14.1" customHeight="1" x14ac:dyDescent="0.3">
      <c r="A32" s="48"/>
      <c r="B32" s="57"/>
      <c r="C32" s="58"/>
      <c r="D32" s="46"/>
      <c r="E32" s="47"/>
      <c r="F32" s="47"/>
      <c r="G32" s="59"/>
      <c r="H32" s="40"/>
      <c r="I32" s="40"/>
      <c r="J32" s="67"/>
      <c r="K32" s="68"/>
      <c r="L32" s="68"/>
      <c r="M32" s="69"/>
    </row>
    <row r="33" spans="1:13" ht="14.1" customHeight="1" x14ac:dyDescent="0.3">
      <c r="A33" s="48">
        <v>16</v>
      </c>
      <c r="B33" s="79"/>
      <c r="C33" s="80"/>
      <c r="D33" s="133"/>
      <c r="E33" s="134"/>
      <c r="F33" s="134"/>
      <c r="G33" s="135"/>
      <c r="H33" s="81"/>
      <c r="I33" s="81"/>
      <c r="J33" s="42"/>
      <c r="K33" s="40"/>
      <c r="L33" s="40"/>
      <c r="M33" s="44"/>
    </row>
    <row r="34" spans="1:13" ht="14.1" customHeight="1" thickBot="1" x14ac:dyDescent="0.35">
      <c r="A34" s="87"/>
      <c r="B34" s="96"/>
      <c r="C34" s="97"/>
      <c r="D34" s="98"/>
      <c r="E34" s="99"/>
      <c r="F34" s="99"/>
      <c r="G34" s="100"/>
      <c r="H34" s="91"/>
      <c r="I34" s="91"/>
      <c r="J34" s="92"/>
      <c r="K34" s="93"/>
      <c r="L34" s="93"/>
      <c r="M34" s="121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D28:G28"/>
    <mergeCell ref="A27:A28"/>
    <mergeCell ref="B27:C27"/>
    <mergeCell ref="D27:G27"/>
    <mergeCell ref="H27:H28"/>
    <mergeCell ref="I27:I28"/>
    <mergeCell ref="J27:J28"/>
    <mergeCell ref="J25:J26"/>
    <mergeCell ref="K25:K26"/>
    <mergeCell ref="A25:A26"/>
    <mergeCell ref="H25:H26"/>
    <mergeCell ref="I25:I26"/>
    <mergeCell ref="L25:L26"/>
    <mergeCell ref="M25:M26"/>
    <mergeCell ref="B26:C26"/>
    <mergeCell ref="D26:G26"/>
    <mergeCell ref="K33:K34"/>
    <mergeCell ref="L33:L34"/>
    <mergeCell ref="M33:M34"/>
    <mergeCell ref="B34:C34"/>
    <mergeCell ref="D34:G34"/>
    <mergeCell ref="J33:J34"/>
    <mergeCell ref="J31:J32"/>
    <mergeCell ref="K31:K32"/>
    <mergeCell ref="L31:L32"/>
    <mergeCell ref="M31:M32"/>
    <mergeCell ref="K29:K30"/>
    <mergeCell ref="L29:L30"/>
    <mergeCell ref="M29:M30"/>
    <mergeCell ref="J29:J30"/>
    <mergeCell ref="K27:K28"/>
    <mergeCell ref="L27:L28"/>
    <mergeCell ref="M27:M28"/>
    <mergeCell ref="B28:C28"/>
    <mergeCell ref="B25:C25"/>
    <mergeCell ref="D25:G25"/>
    <mergeCell ref="A33:A34"/>
    <mergeCell ref="B33:C33"/>
    <mergeCell ref="D33:G33"/>
    <mergeCell ref="H33:H34"/>
    <mergeCell ref="I33:I34"/>
    <mergeCell ref="B32:C32"/>
    <mergeCell ref="D32:G32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FA1F-C427-4D35-A26E-351BF1469216}">
  <sheetPr>
    <tabColor rgb="FFFF0000"/>
    <pageSetUpPr fitToPage="1"/>
  </sheetPr>
  <dimension ref="A1:N51"/>
  <sheetViews>
    <sheetView zoomScale="110" zoomScaleNormal="110" workbookViewId="0">
      <selection sqref="A1:N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30" t="s">
        <v>662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146</v>
      </c>
      <c r="I2" s="8" t="s">
        <v>62</v>
      </c>
      <c r="J2" s="8" t="s">
        <v>63</v>
      </c>
      <c r="K2" s="6" t="s">
        <v>64</v>
      </c>
      <c r="L2" s="8" t="s">
        <v>65</v>
      </c>
      <c r="M2" s="8" t="s">
        <v>145</v>
      </c>
      <c r="N2" s="8" t="s">
        <v>144</v>
      </c>
    </row>
    <row r="3" spans="1:14" s="1" customFormat="1" ht="14.1" customHeight="1" x14ac:dyDescent="0.3">
      <c r="A3" s="34">
        <v>1</v>
      </c>
      <c r="B3" s="79" t="s">
        <v>106</v>
      </c>
      <c r="C3" s="80"/>
      <c r="D3" s="51" t="s">
        <v>105</v>
      </c>
      <c r="E3" s="52"/>
      <c r="F3" s="52"/>
      <c r="G3" s="53"/>
      <c r="H3" s="54">
        <f>SUM(I3)-3.4</f>
        <v>33.6</v>
      </c>
      <c r="I3" s="54">
        <f>SUM(J3)-3.4</f>
        <v>37</v>
      </c>
      <c r="J3" s="54">
        <f>SUM(K3)-3.4</f>
        <v>40.4</v>
      </c>
      <c r="K3" s="55">
        <v>43.8</v>
      </c>
      <c r="L3" s="54">
        <f>SUM(K3)+2.9</f>
        <v>46.699999999999996</v>
      </c>
      <c r="M3" s="54">
        <f>SUM(L3)+2.9</f>
        <v>49.599999999999994</v>
      </c>
      <c r="N3" s="101">
        <f>SUM(M3)+2.9</f>
        <v>52.499999999999993</v>
      </c>
    </row>
    <row r="4" spans="1:14" s="1" customFormat="1" ht="14.1" customHeight="1" x14ac:dyDescent="0.3">
      <c r="A4" s="35"/>
      <c r="B4" s="45" t="s">
        <v>32</v>
      </c>
      <c r="C4" s="45"/>
      <c r="D4" s="46" t="s">
        <v>104</v>
      </c>
      <c r="E4" s="47"/>
      <c r="F4" s="47"/>
      <c r="G4" s="47"/>
      <c r="H4" s="40"/>
      <c r="I4" s="40"/>
      <c r="J4" s="40"/>
      <c r="K4" s="42"/>
      <c r="L4" s="40"/>
      <c r="M4" s="40"/>
      <c r="N4" s="102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SUM(I5)-2</f>
        <v>30.799999999999997</v>
      </c>
      <c r="I5" s="54">
        <f>SUM(J5)-2</f>
        <v>32.799999999999997</v>
      </c>
      <c r="J5" s="54">
        <f>SUM(K5)-2</f>
        <v>34.799999999999997</v>
      </c>
      <c r="K5" s="55">
        <v>36.799999999999997</v>
      </c>
      <c r="L5" s="54">
        <f>SUM(K5)+1.8</f>
        <v>38.599999999999994</v>
      </c>
      <c r="M5" s="54">
        <f>SUM(L5)+1.8</f>
        <v>40.399999999999991</v>
      </c>
      <c r="N5" s="101">
        <f>SUM(M5)+1.8</f>
        <v>42.199999999999989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0"/>
      <c r="K6" s="42"/>
      <c r="L6" s="40"/>
      <c r="M6" s="40"/>
      <c r="N6" s="102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34.25</v>
      </c>
      <c r="I7" s="54">
        <f>SUM(J7)-2.25</f>
        <v>36.5</v>
      </c>
      <c r="J7" s="54">
        <f>SUM(K7)-2.25</f>
        <v>38.75</v>
      </c>
      <c r="K7" s="55">
        <v>41</v>
      </c>
      <c r="L7" s="54">
        <f>SUM(K7)+2</f>
        <v>43</v>
      </c>
      <c r="M7" s="54">
        <f>SUM(L7)+2</f>
        <v>45</v>
      </c>
      <c r="N7" s="101">
        <f>SUM(M7)+2</f>
        <v>47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0"/>
      <c r="K8" s="42"/>
      <c r="L8" s="40"/>
      <c r="M8" s="40"/>
      <c r="N8" s="102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34.25</v>
      </c>
      <c r="I9" s="54">
        <f>SUM(J9)-2.25</f>
        <v>36.5</v>
      </c>
      <c r="J9" s="54">
        <f>SUM(K9)-2.25</f>
        <v>38.75</v>
      </c>
      <c r="K9" s="55">
        <v>41</v>
      </c>
      <c r="L9" s="54">
        <f>SUM(K9)+2</f>
        <v>43</v>
      </c>
      <c r="M9" s="54">
        <f>SUM(L9)+2</f>
        <v>45</v>
      </c>
      <c r="N9" s="101">
        <f>SUM(M9)+2</f>
        <v>47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0"/>
      <c r="K10" s="42"/>
      <c r="L10" s="40"/>
      <c r="M10" s="40"/>
      <c r="N10" s="102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14.899999999999999</v>
      </c>
      <c r="I11" s="60">
        <f>SUM(J11)-0.8</f>
        <v>15.7</v>
      </c>
      <c r="J11" s="60">
        <f>SUM(K11)-0.8</f>
        <v>16.5</v>
      </c>
      <c r="K11" s="132">
        <v>17.3</v>
      </c>
      <c r="L11" s="130">
        <f>SUM(K11)+0.8</f>
        <v>18.100000000000001</v>
      </c>
      <c r="M11" s="130">
        <f>SUM(L11)+0.8</f>
        <v>18.900000000000002</v>
      </c>
      <c r="N11" s="94">
        <f>SUM(M11)+0.8</f>
        <v>19.700000000000003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45"/>
      <c r="K12" s="132"/>
      <c r="L12" s="130"/>
      <c r="M12" s="130"/>
      <c r="N12" s="94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11.200000000000001</v>
      </c>
      <c r="I13" s="54">
        <f>SUM(J13)-0.6</f>
        <v>11.8</v>
      </c>
      <c r="J13" s="54">
        <f>SUM(K13)-0.6</f>
        <v>12.4</v>
      </c>
      <c r="K13" s="67">
        <v>13</v>
      </c>
      <c r="L13" s="68">
        <f>SUM(K13)+0.6</f>
        <v>13.6</v>
      </c>
      <c r="M13" s="68">
        <f>SUM(L13)+0.6</f>
        <v>14.2</v>
      </c>
      <c r="N13" s="94">
        <f t="shared" ref="N13" si="0">SUM(M13)+0.6</f>
        <v>14.799999999999999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195</v>
      </c>
      <c r="E14" s="47"/>
      <c r="F14" s="47"/>
      <c r="G14" s="59"/>
      <c r="H14" s="40"/>
      <c r="I14" s="40"/>
      <c r="J14" s="40"/>
      <c r="K14" s="67"/>
      <c r="L14" s="68"/>
      <c r="M14" s="68"/>
      <c r="N14" s="94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5.3000000000000007</v>
      </c>
      <c r="I15" s="54">
        <f>SUM(J15)-0.3</f>
        <v>5.6000000000000005</v>
      </c>
      <c r="J15" s="54">
        <f>SUM(K15)-0.3</f>
        <v>5.9</v>
      </c>
      <c r="K15" s="67">
        <v>6.2</v>
      </c>
      <c r="L15" s="68">
        <f>SUM(K15)+0.3</f>
        <v>6.5</v>
      </c>
      <c r="M15" s="68">
        <f>SUM(L15)+0.3</f>
        <v>6.8</v>
      </c>
      <c r="N15" s="94">
        <f t="shared" ref="N15" si="1">SUM(M15)+0.3</f>
        <v>7.1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196</v>
      </c>
      <c r="E16" s="47"/>
      <c r="F16" s="47"/>
      <c r="G16" s="59"/>
      <c r="H16" s="40"/>
      <c r="I16" s="40"/>
      <c r="J16" s="40"/>
      <c r="K16" s="67"/>
      <c r="L16" s="68"/>
      <c r="M16" s="68"/>
      <c r="N16" s="94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29.4</v>
      </c>
      <c r="I17" s="54">
        <f>SUM(J17)-1.6</f>
        <v>31</v>
      </c>
      <c r="J17" s="54">
        <f>SUM(K17)-1.6</f>
        <v>32.6</v>
      </c>
      <c r="K17" s="67">
        <v>34.200000000000003</v>
      </c>
      <c r="L17" s="68">
        <f>SUM(K17)+1.6</f>
        <v>35.800000000000004</v>
      </c>
      <c r="M17" s="68">
        <f>SUM(L17)+1.6</f>
        <v>37.400000000000006</v>
      </c>
      <c r="N17" s="94">
        <f t="shared" ref="N17" si="2">SUM(M17)+1.6</f>
        <v>39.000000000000007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86</v>
      </c>
      <c r="E18" s="47"/>
      <c r="F18" s="47"/>
      <c r="G18" s="59"/>
      <c r="H18" s="40"/>
      <c r="I18" s="40"/>
      <c r="J18" s="40"/>
      <c r="K18" s="67"/>
      <c r="L18" s="68"/>
      <c r="M18" s="68"/>
      <c r="N18" s="94"/>
    </row>
    <row r="19" spans="1:14" s="1" customFormat="1" ht="14.1" customHeight="1" x14ac:dyDescent="0.3">
      <c r="A19" s="48">
        <v>9</v>
      </c>
      <c r="B19" s="79" t="s">
        <v>75</v>
      </c>
      <c r="C19" s="80"/>
      <c r="D19" s="52" t="s">
        <v>228</v>
      </c>
      <c r="E19" s="52"/>
      <c r="F19" s="52"/>
      <c r="G19" s="52"/>
      <c r="H19" s="54">
        <f>SUM(I19)-0.2</f>
        <v>4.8999999999999995</v>
      </c>
      <c r="I19" s="54">
        <f>SUM(J19)-0.2</f>
        <v>5.0999999999999996</v>
      </c>
      <c r="J19" s="54">
        <f>SUM(K19)-0.2</f>
        <v>5.3</v>
      </c>
      <c r="K19" s="55">
        <v>5.5</v>
      </c>
      <c r="L19" s="68">
        <f>SUM(K19)+0.2</f>
        <v>5.7</v>
      </c>
      <c r="M19" s="68">
        <f>SUM(L19)+0.2</f>
        <v>5.9</v>
      </c>
      <c r="N19" s="94">
        <f>SUM(M19)+0.2</f>
        <v>6.1000000000000005</v>
      </c>
    </row>
    <row r="20" spans="1:14" s="1" customFormat="1" ht="14.1" customHeight="1" x14ac:dyDescent="0.3">
      <c r="A20" s="48"/>
      <c r="B20" s="105" t="s">
        <v>34</v>
      </c>
      <c r="C20" s="105"/>
      <c r="D20" s="51" t="s">
        <v>229</v>
      </c>
      <c r="E20" s="52"/>
      <c r="F20" s="52"/>
      <c r="G20" s="53"/>
      <c r="H20" s="40"/>
      <c r="I20" s="40"/>
      <c r="J20" s="40"/>
      <c r="K20" s="42"/>
      <c r="L20" s="68"/>
      <c r="M20" s="68"/>
      <c r="N20" s="94"/>
    </row>
    <row r="21" spans="1:14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SUM(I21)-1</f>
        <v>10</v>
      </c>
      <c r="I21" s="54">
        <f>SUM(J21)-1</f>
        <v>11</v>
      </c>
      <c r="J21" s="54">
        <f>SUM(K21)-1</f>
        <v>12</v>
      </c>
      <c r="K21" s="55">
        <v>13</v>
      </c>
      <c r="L21" s="68">
        <f>SUM(K21)+1.1</f>
        <v>14.1</v>
      </c>
      <c r="M21" s="68">
        <f>SUM(L21)+1.1</f>
        <v>15.2</v>
      </c>
      <c r="N21" s="94">
        <f>SUM(M21)+1.1</f>
        <v>16.3</v>
      </c>
    </row>
    <row r="22" spans="1:14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0"/>
      <c r="K22" s="42"/>
      <c r="L22" s="68"/>
      <c r="M22" s="68"/>
      <c r="N22" s="94"/>
    </row>
    <row r="23" spans="1:14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54"/>
      <c r="K23" s="67"/>
      <c r="L23" s="68"/>
      <c r="M23" s="68"/>
      <c r="N23" s="94"/>
    </row>
    <row r="24" spans="1:14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40"/>
      <c r="K24" s="67"/>
      <c r="L24" s="68"/>
      <c r="M24" s="68"/>
      <c r="N24" s="94"/>
    </row>
    <row r="25" spans="1:14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SUM(I25)-1.4</f>
        <v>28.400000000000006</v>
      </c>
      <c r="I25" s="54">
        <f>SUM(J25)-1.4</f>
        <v>29.800000000000004</v>
      </c>
      <c r="J25" s="54">
        <f>SUM(K25)-1.4</f>
        <v>31.200000000000003</v>
      </c>
      <c r="K25" s="67">
        <v>32.6</v>
      </c>
      <c r="L25" s="68">
        <f>SUM(K25)+1.4</f>
        <v>34</v>
      </c>
      <c r="M25" s="68">
        <f>SUM(L25)+1.4</f>
        <v>35.4</v>
      </c>
      <c r="N25" s="94">
        <f>SUM(M25)+1.4</f>
        <v>36.799999999999997</v>
      </c>
    </row>
    <row r="26" spans="1:14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40"/>
      <c r="K26" s="67"/>
      <c r="L26" s="68"/>
      <c r="M26" s="68"/>
      <c r="N26" s="94"/>
    </row>
    <row r="27" spans="1:14" s="1" customFormat="1" ht="14.1" customHeight="1" x14ac:dyDescent="0.3">
      <c r="A27" s="48">
        <v>13</v>
      </c>
      <c r="B27" s="65" t="s">
        <v>276</v>
      </c>
      <c r="C27" s="66"/>
      <c r="D27" s="88"/>
      <c r="E27" s="89"/>
      <c r="F27" s="89"/>
      <c r="G27" s="90"/>
      <c r="H27" s="54">
        <f>SUM(I27)-0.4</f>
        <v>7.8999999999999986</v>
      </c>
      <c r="I27" s="54">
        <f>SUM(J27)-0.4</f>
        <v>8.2999999999999989</v>
      </c>
      <c r="J27" s="54">
        <f>SUM(K27)-0.4</f>
        <v>8.6999999999999993</v>
      </c>
      <c r="K27" s="67">
        <v>9.1</v>
      </c>
      <c r="L27" s="68">
        <f>SUM(K27)+0.4</f>
        <v>9.5</v>
      </c>
      <c r="M27" s="68">
        <f>SUM(L27)+0.4</f>
        <v>9.9</v>
      </c>
      <c r="N27" s="94">
        <f>SUM(M27)+0.4</f>
        <v>10.3</v>
      </c>
    </row>
    <row r="28" spans="1:14" s="1" customFormat="1" ht="14.1" customHeight="1" x14ac:dyDescent="0.3">
      <c r="A28" s="48"/>
      <c r="B28" s="57" t="s">
        <v>476</v>
      </c>
      <c r="C28" s="58"/>
      <c r="D28" s="46" t="s">
        <v>201</v>
      </c>
      <c r="E28" s="47"/>
      <c r="F28" s="47"/>
      <c r="G28" s="59"/>
      <c r="H28" s="40"/>
      <c r="I28" s="40"/>
      <c r="J28" s="40"/>
      <c r="K28" s="67"/>
      <c r="L28" s="68"/>
      <c r="M28" s="68"/>
      <c r="N28" s="94"/>
    </row>
    <row r="29" spans="1:14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54"/>
      <c r="K29" s="67"/>
      <c r="L29" s="68"/>
      <c r="M29" s="68"/>
      <c r="N29" s="94"/>
    </row>
    <row r="30" spans="1:14" s="1" customFormat="1" ht="14.1" customHeight="1" x14ac:dyDescent="0.3">
      <c r="A30" s="48"/>
      <c r="B30" s="57"/>
      <c r="C30" s="58"/>
      <c r="D30" s="46"/>
      <c r="E30" s="47"/>
      <c r="F30" s="47"/>
      <c r="G30" s="59"/>
      <c r="H30" s="40"/>
      <c r="I30" s="40"/>
      <c r="J30" s="40"/>
      <c r="K30" s="67"/>
      <c r="L30" s="68"/>
      <c r="M30" s="68"/>
      <c r="N30" s="94"/>
    </row>
    <row r="31" spans="1:14" ht="14.1" customHeight="1" x14ac:dyDescent="0.3">
      <c r="A31" s="35">
        <v>15</v>
      </c>
      <c r="B31" s="79"/>
      <c r="C31" s="80"/>
      <c r="D31" s="133"/>
      <c r="E31" s="134"/>
      <c r="F31" s="134"/>
      <c r="G31" s="135"/>
      <c r="H31" s="81"/>
      <c r="I31" s="81"/>
      <c r="J31" s="81"/>
      <c r="K31" s="42"/>
      <c r="L31" s="40"/>
      <c r="M31" s="40"/>
      <c r="N31" s="102"/>
    </row>
    <row r="32" spans="1:14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1"/>
      <c r="K32" s="92"/>
      <c r="L32" s="93"/>
      <c r="M32" s="93"/>
      <c r="N32" s="95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83">
    <mergeCell ref="H25:H26"/>
    <mergeCell ref="H27:H28"/>
    <mergeCell ref="H29:H30"/>
    <mergeCell ref="H31:H32"/>
    <mergeCell ref="A1:N1"/>
    <mergeCell ref="K21:K22"/>
    <mergeCell ref="L21:L22"/>
    <mergeCell ref="M21:M22"/>
    <mergeCell ref="N21:N22"/>
    <mergeCell ref="B22:C22"/>
    <mergeCell ref="D22:G22"/>
    <mergeCell ref="L31:L32"/>
    <mergeCell ref="M31:M32"/>
    <mergeCell ref="N31:N32"/>
    <mergeCell ref="B32:C32"/>
    <mergeCell ref="D32:G32"/>
    <mergeCell ref="K31:K32"/>
    <mergeCell ref="K29:K30"/>
    <mergeCell ref="L29:L30"/>
    <mergeCell ref="M29:M30"/>
    <mergeCell ref="N29:N30"/>
    <mergeCell ref="L27:L28"/>
    <mergeCell ref="M27:M28"/>
    <mergeCell ref="N27:N28"/>
    <mergeCell ref="K27:K28"/>
    <mergeCell ref="K25:K26"/>
    <mergeCell ref="L25:L26"/>
    <mergeCell ref="M25:M26"/>
    <mergeCell ref="N25:N26"/>
    <mergeCell ref="A21:A22"/>
    <mergeCell ref="B21:C21"/>
    <mergeCell ref="D21:G21"/>
    <mergeCell ref="I21:I22"/>
    <mergeCell ref="J21:J22"/>
    <mergeCell ref="B26:C26"/>
    <mergeCell ref="D26:G26"/>
    <mergeCell ref="L23:L24"/>
    <mergeCell ref="M23:M24"/>
    <mergeCell ref="N23:N24"/>
    <mergeCell ref="B24:C24"/>
    <mergeCell ref="D24:G24"/>
    <mergeCell ref="A25:A26"/>
    <mergeCell ref="B25:C25"/>
    <mergeCell ref="D25:G25"/>
    <mergeCell ref="I25:I26"/>
    <mergeCell ref="J25:J26"/>
    <mergeCell ref="A23:A24"/>
    <mergeCell ref="B23:C23"/>
    <mergeCell ref="A31:A32"/>
    <mergeCell ref="B31:C31"/>
    <mergeCell ref="D31:G31"/>
    <mergeCell ref="I31:I32"/>
    <mergeCell ref="J31:J32"/>
    <mergeCell ref="B30:C30"/>
    <mergeCell ref="D30:G30"/>
    <mergeCell ref="B28:C28"/>
    <mergeCell ref="D28:G28"/>
    <mergeCell ref="A29:A30"/>
    <mergeCell ref="B29:C29"/>
    <mergeCell ref="D29:G29"/>
    <mergeCell ref="I29:I30"/>
    <mergeCell ref="J29:J30"/>
    <mergeCell ref="A27:A28"/>
    <mergeCell ref="B27:C27"/>
    <mergeCell ref="D27:G27"/>
    <mergeCell ref="I27:I28"/>
    <mergeCell ref="J27:J28"/>
    <mergeCell ref="D23:G23"/>
    <mergeCell ref="I23:I24"/>
    <mergeCell ref="J23:J24"/>
    <mergeCell ref="K23:K24"/>
    <mergeCell ref="K19:K20"/>
    <mergeCell ref="L19:L20"/>
    <mergeCell ref="M19:M20"/>
    <mergeCell ref="A19:A20"/>
    <mergeCell ref="H21:H22"/>
    <mergeCell ref="H23:H24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H17:H18"/>
    <mergeCell ref="H19:H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M3:M4"/>
    <mergeCell ref="N3:N4"/>
    <mergeCell ref="B4:C4"/>
    <mergeCell ref="D4:G4"/>
    <mergeCell ref="H3:H4"/>
    <mergeCell ref="B2:C2"/>
    <mergeCell ref="D2:G2"/>
    <mergeCell ref="A3:A4"/>
    <mergeCell ref="B3:C3"/>
    <mergeCell ref="D3:G3"/>
    <mergeCell ref="I3:I4"/>
    <mergeCell ref="J3:J4"/>
    <mergeCell ref="K3:K4"/>
    <mergeCell ref="L3:L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1AB2-3D5A-46E8-8B00-260E0BA03115}">
  <sheetPr>
    <tabColor rgb="FFFF0000"/>
    <pageSetUpPr fitToPage="1"/>
  </sheetPr>
  <dimension ref="A1:M51"/>
  <sheetViews>
    <sheetView zoomScale="110" zoomScaleNormal="110" workbookViewId="0">
      <selection activeCell="Q11" sqref="Q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669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SUM(I3)-2.9</f>
        <v>33</v>
      </c>
      <c r="I3" s="54">
        <f>SUM(J3)-2.9</f>
        <v>35.9</v>
      </c>
      <c r="J3" s="55">
        <v>38.799999999999997</v>
      </c>
      <c r="K3" s="54">
        <f>SUM(J3)+2.4</f>
        <v>41.199999999999996</v>
      </c>
      <c r="L3" s="54">
        <f>SUM(K3)+2.4</f>
        <v>43.599999999999994</v>
      </c>
      <c r="M3" s="56">
        <f>SUM(L3)+2.4</f>
        <v>45.999999999999993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SUM(I5)-1.6</f>
        <v>24.199999999999996</v>
      </c>
      <c r="I5" s="54">
        <f>SUM(J5)-1.6</f>
        <v>25.799999999999997</v>
      </c>
      <c r="J5" s="55">
        <v>27.4</v>
      </c>
      <c r="K5" s="54">
        <f>SUM(J5)+1.4</f>
        <v>28.799999999999997</v>
      </c>
      <c r="L5" s="54">
        <f>SUM(K5)+1.4</f>
        <v>30.199999999999996</v>
      </c>
      <c r="M5" s="56">
        <f>SUM(L5)+1.4</f>
        <v>31.599999999999994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32.5</v>
      </c>
      <c r="I7" s="54">
        <f>SUM(J7)-2.25</f>
        <v>34.75</v>
      </c>
      <c r="J7" s="55">
        <v>37</v>
      </c>
      <c r="K7" s="54">
        <f>SUM(J7)+2</f>
        <v>39</v>
      </c>
      <c r="L7" s="54">
        <f>SUM(K7)+2</f>
        <v>41</v>
      </c>
      <c r="M7" s="56">
        <f>SUM(L7)+2</f>
        <v>43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505</v>
      </c>
      <c r="C9" s="60"/>
      <c r="D9" s="61"/>
      <c r="E9" s="61"/>
      <c r="F9" s="61"/>
      <c r="G9" s="61"/>
      <c r="H9" s="54">
        <f>SUM(I9)-3</f>
        <v>50</v>
      </c>
      <c r="I9" s="54">
        <f>SUM(J9)-3</f>
        <v>53</v>
      </c>
      <c r="J9" s="55">
        <v>56</v>
      </c>
      <c r="K9" s="54">
        <f>SUM(J9)+3</f>
        <v>59</v>
      </c>
      <c r="L9" s="54">
        <f>SUM(K9)+3</f>
        <v>62</v>
      </c>
      <c r="M9" s="56">
        <f>SUM(L9)+3</f>
        <v>65</v>
      </c>
    </row>
    <row r="10" spans="1:13" s="1" customFormat="1" ht="14.1" customHeight="1" x14ac:dyDescent="0.3">
      <c r="A10" s="48"/>
      <c r="B10" s="45" t="s">
        <v>670</v>
      </c>
      <c r="C10" s="45"/>
      <c r="D10" s="46"/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SUM(I11)-0.9</f>
        <v>14.1</v>
      </c>
      <c r="I11" s="60">
        <f>SUM(J11)-0.9</f>
        <v>15</v>
      </c>
      <c r="J11" s="132">
        <v>15.9</v>
      </c>
      <c r="K11" s="130">
        <f>SUM(J11)+0.9</f>
        <v>16.8</v>
      </c>
      <c r="L11" s="130">
        <f>SUM(K11)+0.9</f>
        <v>17.7</v>
      </c>
      <c r="M11" s="131">
        <f>SUM(L11)+0.9</f>
        <v>18.599999999999998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1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16.799999999999997</v>
      </c>
      <c r="I13" s="54">
        <f>SUM(J13)-0.6</f>
        <v>17.399999999999999</v>
      </c>
      <c r="J13" s="67">
        <v>18</v>
      </c>
      <c r="K13" s="68">
        <f>SUM(J13)+0.6</f>
        <v>18.600000000000001</v>
      </c>
      <c r="L13" s="68">
        <f>SUM(K13)+0.6</f>
        <v>19.200000000000003</v>
      </c>
      <c r="M13" s="69">
        <f t="shared" ref="M13" si="0">SUM(L13)+0.6</f>
        <v>19.800000000000004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357</v>
      </c>
      <c r="C15" s="60"/>
      <c r="D15" s="61" t="s">
        <v>359</v>
      </c>
      <c r="E15" s="61"/>
      <c r="F15" s="61"/>
      <c r="G15" s="61"/>
      <c r="H15" s="54">
        <f>SUM(I15)-0.2</f>
        <v>3.5999999999999996</v>
      </c>
      <c r="I15" s="54">
        <f>SUM(J15)-0.2</f>
        <v>3.8</v>
      </c>
      <c r="J15" s="67">
        <v>4</v>
      </c>
      <c r="K15" s="68">
        <f>SUM(J15)+0.2</f>
        <v>4.2</v>
      </c>
      <c r="L15" s="68">
        <f>SUM(K15)+0.2</f>
        <v>4.4000000000000004</v>
      </c>
      <c r="M15" s="69">
        <f>SUM(L15)+0.2</f>
        <v>4.6000000000000005</v>
      </c>
    </row>
    <row r="16" spans="1:13" s="1" customFormat="1" ht="14.1" customHeight="1" x14ac:dyDescent="0.3">
      <c r="A16" s="48"/>
      <c r="B16" s="45" t="s">
        <v>453</v>
      </c>
      <c r="C16" s="45"/>
      <c r="D16" s="46" t="s">
        <v>360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0" t="s">
        <v>2</v>
      </c>
      <c r="C17" s="60"/>
      <c r="D17" s="61" t="s">
        <v>3</v>
      </c>
      <c r="E17" s="61"/>
      <c r="F17" s="61"/>
      <c r="G17" s="61"/>
      <c r="H17" s="54">
        <f>SUM(I17)-0.5</f>
        <v>10</v>
      </c>
      <c r="I17" s="54">
        <f>SUM(J17)-0.5</f>
        <v>10.5</v>
      </c>
      <c r="J17" s="67">
        <v>11</v>
      </c>
      <c r="K17" s="68">
        <f>SUM(J17)+0.5</f>
        <v>11.5</v>
      </c>
      <c r="L17" s="68">
        <f>SUM(K17)+0.5</f>
        <v>12</v>
      </c>
      <c r="M17" s="69">
        <f>SUM(L17)+0.5</f>
        <v>12.5</v>
      </c>
    </row>
    <row r="18" spans="1:13" s="1" customFormat="1" ht="14.1" customHeight="1" x14ac:dyDescent="0.3">
      <c r="A18" s="48"/>
      <c r="B18" s="45" t="s">
        <v>28</v>
      </c>
      <c r="C18" s="45"/>
      <c r="D18" s="46" t="s">
        <v>125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671</v>
      </c>
      <c r="C19" s="60"/>
      <c r="D19" s="61"/>
      <c r="E19" s="61"/>
      <c r="F19" s="61"/>
      <c r="G19" s="61"/>
      <c r="H19" s="54">
        <f>SUM(I19)-1.6</f>
        <v>30.799999999999997</v>
      </c>
      <c r="I19" s="54">
        <f>SUM(J19)-1.6</f>
        <v>32.4</v>
      </c>
      <c r="J19" s="67">
        <v>34</v>
      </c>
      <c r="K19" s="68">
        <f>SUM(J19)+1.6</f>
        <v>35.6</v>
      </c>
      <c r="L19" s="68">
        <f>SUM(K19)+1.6</f>
        <v>37.200000000000003</v>
      </c>
      <c r="M19" s="69">
        <f>SUM(L19)+1.6</f>
        <v>38.800000000000004</v>
      </c>
    </row>
    <row r="20" spans="1:13" s="1" customFormat="1" ht="14.1" customHeight="1" x14ac:dyDescent="0.3">
      <c r="A20" s="48"/>
      <c r="B20" s="45" t="s">
        <v>672</v>
      </c>
      <c r="C20" s="45"/>
      <c r="D20" s="46"/>
      <c r="E20" s="47"/>
      <c r="F20" s="47"/>
      <c r="G20" s="59"/>
      <c r="H20" s="40"/>
      <c r="I20" s="40"/>
      <c r="J20" s="67"/>
      <c r="K20" s="68"/>
      <c r="L20" s="68"/>
      <c r="M20" s="69"/>
    </row>
    <row r="21" spans="1:13" s="1" customFormat="1" ht="14.1" customHeight="1" x14ac:dyDescent="0.3">
      <c r="A21" s="48">
        <v>10</v>
      </c>
      <c r="B21" s="60" t="s">
        <v>4</v>
      </c>
      <c r="C21" s="60"/>
      <c r="D21" s="61" t="s">
        <v>5</v>
      </c>
      <c r="E21" s="61"/>
      <c r="F21" s="61"/>
      <c r="G21" s="61"/>
      <c r="H21" s="54">
        <f>SUM(I21)-1.2</f>
        <v>9.6000000000000014</v>
      </c>
      <c r="I21" s="54">
        <f>SUM(J21)-1.2</f>
        <v>10.8</v>
      </c>
      <c r="J21" s="55">
        <v>12</v>
      </c>
      <c r="K21" s="68">
        <f>SUM(J21)+1.3</f>
        <v>13.3</v>
      </c>
      <c r="L21" s="68">
        <f>SUM(K21)+1.3</f>
        <v>14.600000000000001</v>
      </c>
      <c r="M21" s="69">
        <f>SUM(L21)+1.3</f>
        <v>15.900000000000002</v>
      </c>
    </row>
    <row r="22" spans="1:13" s="1" customFormat="1" ht="14.1" customHeight="1" x14ac:dyDescent="0.3">
      <c r="A22" s="48"/>
      <c r="B22" s="45" t="s">
        <v>29</v>
      </c>
      <c r="C22" s="45"/>
      <c r="D22" s="46" t="s">
        <v>48</v>
      </c>
      <c r="E22" s="47"/>
      <c r="F22" s="47"/>
      <c r="G22" s="59"/>
      <c r="H22" s="40"/>
      <c r="I22" s="40"/>
      <c r="J22" s="42"/>
      <c r="K22" s="68"/>
      <c r="L22" s="68"/>
      <c r="M22" s="69"/>
    </row>
    <row r="23" spans="1:13" s="1" customFormat="1" ht="14.1" customHeight="1" x14ac:dyDescent="0.3">
      <c r="A23" s="48">
        <v>11</v>
      </c>
      <c r="B23" s="60" t="s">
        <v>6</v>
      </c>
      <c r="C23" s="60"/>
      <c r="D23" s="62" t="s">
        <v>7</v>
      </c>
      <c r="E23" s="63"/>
      <c r="F23" s="63"/>
      <c r="G23" s="64"/>
      <c r="H23" s="54"/>
      <c r="I23" s="54"/>
      <c r="J23" s="67"/>
      <c r="K23" s="68"/>
      <c r="L23" s="68"/>
      <c r="M23" s="69"/>
    </row>
    <row r="24" spans="1:13" s="1" customFormat="1" ht="14.1" customHeight="1" x14ac:dyDescent="0.3">
      <c r="A24" s="48"/>
      <c r="B24" s="45" t="s">
        <v>30</v>
      </c>
      <c r="C24" s="45"/>
      <c r="D24" s="46" t="s">
        <v>67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82</v>
      </c>
      <c r="C25" s="66"/>
      <c r="D25" s="61" t="s">
        <v>68</v>
      </c>
      <c r="E25" s="61"/>
      <c r="F25" s="61"/>
      <c r="G25" s="61"/>
      <c r="H25" s="54">
        <f>SUM(I25)-1.2</f>
        <v>21.6</v>
      </c>
      <c r="I25" s="54">
        <f>SUM(J25)-1.2</f>
        <v>22.8</v>
      </c>
      <c r="J25" s="67">
        <v>24</v>
      </c>
      <c r="K25" s="68">
        <f>SUM(J25)+1.2</f>
        <v>25.2</v>
      </c>
      <c r="L25" s="68">
        <f>SUM(K25)+1.2</f>
        <v>26.4</v>
      </c>
      <c r="M25" s="69">
        <f>SUM(L25)+1.2</f>
        <v>27.599999999999998</v>
      </c>
    </row>
    <row r="26" spans="1:13" s="1" customFormat="1" ht="14.1" customHeight="1" x14ac:dyDescent="0.3">
      <c r="A26" s="48"/>
      <c r="B26" s="45" t="s">
        <v>31</v>
      </c>
      <c r="C26" s="45"/>
      <c r="D26" s="46" t="s">
        <v>69</v>
      </c>
      <c r="E26" s="47"/>
      <c r="F26" s="47"/>
      <c r="G26" s="59"/>
      <c r="H26" s="40"/>
      <c r="I26" s="40"/>
      <c r="J26" s="67"/>
      <c r="K26" s="68"/>
      <c r="L26" s="68"/>
      <c r="M26" s="69"/>
    </row>
    <row r="27" spans="1:13" s="1" customFormat="1" ht="14.1" customHeight="1" x14ac:dyDescent="0.3">
      <c r="A27" s="48">
        <v>13</v>
      </c>
      <c r="B27" s="65" t="s">
        <v>134</v>
      </c>
      <c r="C27" s="66"/>
      <c r="D27" s="88"/>
      <c r="E27" s="89"/>
      <c r="F27" s="89"/>
      <c r="G27" s="90"/>
      <c r="H27" s="54">
        <f>SUM(I27)-0.6</f>
        <v>10.3</v>
      </c>
      <c r="I27" s="54">
        <f>SUM(J27)-0.6</f>
        <v>10.9</v>
      </c>
      <c r="J27" s="67">
        <v>11.5</v>
      </c>
      <c r="K27" s="68">
        <f>SUM(J27)+0.6</f>
        <v>12.1</v>
      </c>
      <c r="L27" s="68">
        <f>SUM(K27)+0.6</f>
        <v>12.7</v>
      </c>
      <c r="M27" s="69">
        <f>SUM(L27)+0.6</f>
        <v>13.299999999999999</v>
      </c>
    </row>
    <row r="28" spans="1:13" s="1" customFormat="1" ht="14.1" customHeight="1" x14ac:dyDescent="0.3">
      <c r="A28" s="48"/>
      <c r="B28" s="57" t="s">
        <v>142</v>
      </c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5" t="s">
        <v>135</v>
      </c>
      <c r="C29" s="66"/>
      <c r="D29" s="88"/>
      <c r="E29" s="89"/>
      <c r="F29" s="89"/>
      <c r="G29" s="90"/>
      <c r="H29" s="54">
        <f>SUM(I29)-0.5</f>
        <v>5.5</v>
      </c>
      <c r="I29" s="54">
        <f>SUM(J29)-0.5</f>
        <v>6</v>
      </c>
      <c r="J29" s="67">
        <v>6.5</v>
      </c>
      <c r="K29" s="68">
        <f>SUM(J29)+0.5</f>
        <v>7</v>
      </c>
      <c r="L29" s="68">
        <f>SUM(K29)+0.5</f>
        <v>7.5</v>
      </c>
      <c r="M29" s="69">
        <f>SUM(L29)+0.5</f>
        <v>8</v>
      </c>
    </row>
    <row r="30" spans="1:13" s="1" customFormat="1" ht="14.1" customHeight="1" x14ac:dyDescent="0.3">
      <c r="A30" s="48"/>
      <c r="B30" s="57" t="s">
        <v>143</v>
      </c>
      <c r="C30" s="58"/>
      <c r="D30" s="46"/>
      <c r="E30" s="47"/>
      <c r="F30" s="47"/>
      <c r="G30" s="59"/>
      <c r="H30" s="40"/>
      <c r="I30" s="40"/>
      <c r="J30" s="67"/>
      <c r="K30" s="68"/>
      <c r="L30" s="68"/>
      <c r="M30" s="69"/>
    </row>
    <row r="31" spans="1:13" ht="14.1" customHeight="1" x14ac:dyDescent="0.3">
      <c r="A31" s="35">
        <v>15</v>
      </c>
      <c r="B31" s="79"/>
      <c r="C31" s="80"/>
      <c r="D31" s="133"/>
      <c r="E31" s="134"/>
      <c r="F31" s="134"/>
      <c r="G31" s="135"/>
      <c r="H31" s="81"/>
      <c r="I31" s="81"/>
      <c r="J31" s="42"/>
      <c r="K31" s="40"/>
      <c r="L31" s="40"/>
      <c r="M31" s="102"/>
    </row>
    <row r="32" spans="1:13" ht="14.1" customHeight="1" thickBot="1" x14ac:dyDescent="0.35">
      <c r="A32" s="87"/>
      <c r="B32" s="96"/>
      <c r="C32" s="97"/>
      <c r="D32" s="98"/>
      <c r="E32" s="99"/>
      <c r="F32" s="99"/>
      <c r="G32" s="100"/>
      <c r="H32" s="91"/>
      <c r="I32" s="91"/>
      <c r="J32" s="92"/>
      <c r="K32" s="93"/>
      <c r="L32" s="93"/>
      <c r="M32" s="95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K27:K28"/>
    <mergeCell ref="L27:L28"/>
    <mergeCell ref="M27:M28"/>
    <mergeCell ref="J27:J28"/>
    <mergeCell ref="J25:J26"/>
    <mergeCell ref="K25:K26"/>
    <mergeCell ref="L25:L26"/>
    <mergeCell ref="M25:M26"/>
    <mergeCell ref="K31:K32"/>
    <mergeCell ref="L31:L32"/>
    <mergeCell ref="M31:M32"/>
    <mergeCell ref="B32:C32"/>
    <mergeCell ref="D32:G32"/>
    <mergeCell ref="J31:J32"/>
    <mergeCell ref="J29:J30"/>
    <mergeCell ref="K29:K30"/>
    <mergeCell ref="L29:L30"/>
    <mergeCell ref="M29:M30"/>
    <mergeCell ref="A31:A32"/>
    <mergeCell ref="B31:C31"/>
    <mergeCell ref="D31:G31"/>
    <mergeCell ref="H31:H32"/>
    <mergeCell ref="I31:I32"/>
    <mergeCell ref="B30:C30"/>
    <mergeCell ref="D30:G30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F1B2-A40A-4365-B957-7FD341F56C2B}">
  <sheetPr>
    <tabColor rgb="FFFF0000"/>
    <pageSetUpPr fitToPage="1"/>
  </sheetPr>
  <dimension ref="A1:N51"/>
  <sheetViews>
    <sheetView topLeftCell="A4" zoomScale="110" zoomScaleNormal="110" workbookViewId="0">
      <selection activeCell="K33" sqref="K33:K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12" t="s">
        <v>817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ht="16.5" customHeight="1" thickBot="1" x14ac:dyDescent="0.35">
      <c r="A2" s="5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9" t="s">
        <v>144</v>
      </c>
      <c r="N2" s="8" t="s">
        <v>182</v>
      </c>
    </row>
    <row r="3" spans="1:14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35</v>
      </c>
      <c r="I3" s="54">
        <f>SUM(J3)-3</f>
        <v>38</v>
      </c>
      <c r="J3" s="55">
        <v>41</v>
      </c>
      <c r="K3" s="54">
        <f>SUM(J3)+2.5</f>
        <v>43.5</v>
      </c>
      <c r="L3" s="54">
        <f>SUM(K3)+2.5</f>
        <v>46</v>
      </c>
      <c r="M3" s="54">
        <f t="shared" ref="M3:N3" si="0">SUM(L3)+2.5</f>
        <v>48.5</v>
      </c>
      <c r="N3" s="56">
        <f t="shared" si="0"/>
        <v>51</v>
      </c>
    </row>
    <row r="4" spans="1:14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0"/>
      <c r="N4" s="44"/>
    </row>
    <row r="5" spans="1:14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22.4</v>
      </c>
      <c r="I5" s="54">
        <f>SUM(J5)-1.8</f>
        <v>24.2</v>
      </c>
      <c r="J5" s="55">
        <v>26</v>
      </c>
      <c r="K5" s="54">
        <f>SUM(J5)+1.6</f>
        <v>27.6</v>
      </c>
      <c r="L5" s="54">
        <f>SUM(K5)+1.6</f>
        <v>29.200000000000003</v>
      </c>
      <c r="M5" s="54">
        <f t="shared" ref="M5:N5" si="1">SUM(L5)+1.6</f>
        <v>30.800000000000004</v>
      </c>
      <c r="N5" s="56">
        <f t="shared" si="1"/>
        <v>32.400000000000006</v>
      </c>
    </row>
    <row r="6" spans="1:14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0"/>
      <c r="N6" s="44"/>
    </row>
    <row r="7" spans="1:14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29.5</v>
      </c>
      <c r="I7" s="54">
        <f>SUM(J7)-2.25</f>
        <v>31.75</v>
      </c>
      <c r="J7" s="55">
        <v>34</v>
      </c>
      <c r="K7" s="54">
        <f>SUM(J7)+2</f>
        <v>36</v>
      </c>
      <c r="L7" s="54">
        <f>SUM(K7)+2</f>
        <v>38</v>
      </c>
      <c r="M7" s="54">
        <f>SUM(L7)+2</f>
        <v>40</v>
      </c>
      <c r="N7" s="56">
        <f>SUM(M7)+2</f>
        <v>42</v>
      </c>
    </row>
    <row r="8" spans="1:14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0"/>
      <c r="N8" s="44"/>
    </row>
    <row r="9" spans="1:14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29.5</v>
      </c>
      <c r="I9" s="54">
        <f>SUM(J9)-2.25</f>
        <v>31.75</v>
      </c>
      <c r="J9" s="55">
        <v>34</v>
      </c>
      <c r="K9" s="54">
        <f>SUM(J9)+2</f>
        <v>36</v>
      </c>
      <c r="L9" s="54">
        <f t="shared" ref="L9:N9" si="2">SUM(K9)+2</f>
        <v>38</v>
      </c>
      <c r="M9" s="54">
        <f t="shared" si="2"/>
        <v>40</v>
      </c>
      <c r="N9" s="56">
        <f t="shared" si="2"/>
        <v>42</v>
      </c>
    </row>
    <row r="10" spans="1:14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0"/>
      <c r="N10" s="44"/>
    </row>
    <row r="11" spans="1:14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12.899999999999999</v>
      </c>
      <c r="I11" s="60">
        <f>SUM(J11)-0.8</f>
        <v>13.7</v>
      </c>
      <c r="J11" s="132">
        <v>14.5</v>
      </c>
      <c r="K11" s="130">
        <f>SUM(J11)+0.9</f>
        <v>15.4</v>
      </c>
      <c r="L11" s="130">
        <f>SUM(K11)+0.9</f>
        <v>16.3</v>
      </c>
      <c r="M11" s="130">
        <f>SUM(L11)+0.8</f>
        <v>17.100000000000001</v>
      </c>
      <c r="N11" s="131">
        <f>SUM(M11)+0.8</f>
        <v>17.900000000000002</v>
      </c>
    </row>
    <row r="12" spans="1:14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130"/>
      <c r="N12" s="131"/>
    </row>
    <row r="13" spans="1:14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14.8</v>
      </c>
      <c r="I13" s="54">
        <f>SUM(J13)-0.6</f>
        <v>15.4</v>
      </c>
      <c r="J13" s="67">
        <v>16</v>
      </c>
      <c r="K13" s="68">
        <f>SUM(J13)+0.6</f>
        <v>16.600000000000001</v>
      </c>
      <c r="L13" s="68">
        <f>SUM(K13)+0.6</f>
        <v>17.200000000000003</v>
      </c>
      <c r="M13" s="68">
        <f t="shared" ref="M13:N13" si="3">SUM(L13)+0.6</f>
        <v>17.800000000000004</v>
      </c>
      <c r="N13" s="69">
        <f t="shared" si="3"/>
        <v>18.400000000000006</v>
      </c>
    </row>
    <row r="14" spans="1:14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8"/>
      <c r="N14" s="69"/>
    </row>
    <row r="15" spans="1:14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5.6000000000000005</v>
      </c>
      <c r="I15" s="54">
        <f>SUM(J15)-0.3</f>
        <v>5.9</v>
      </c>
      <c r="J15" s="67">
        <v>6.2</v>
      </c>
      <c r="K15" s="68">
        <f>SUM(J15)+0.3</f>
        <v>6.5</v>
      </c>
      <c r="L15" s="68">
        <f>SUM(K15)+0.3</f>
        <v>6.8</v>
      </c>
      <c r="M15" s="68">
        <f t="shared" ref="M15:N15" si="4">SUM(L15)+0.3</f>
        <v>7.1</v>
      </c>
      <c r="N15" s="69">
        <f t="shared" si="4"/>
        <v>7.3999999999999995</v>
      </c>
    </row>
    <row r="16" spans="1:14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8"/>
      <c r="N16" s="69"/>
    </row>
    <row r="17" spans="1:14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37.799999999999997</v>
      </c>
      <c r="I17" s="54">
        <f>SUM(J17)-1.6</f>
        <v>39.4</v>
      </c>
      <c r="J17" s="67">
        <v>41</v>
      </c>
      <c r="K17" s="68">
        <f>SUM(J17)+1.6</f>
        <v>42.6</v>
      </c>
      <c r="L17" s="68">
        <f>SUM(K17)+1.6</f>
        <v>44.2</v>
      </c>
      <c r="M17" s="68">
        <f t="shared" ref="M17:N17" si="5">SUM(L17)+1.6</f>
        <v>45.800000000000004</v>
      </c>
      <c r="N17" s="69">
        <f t="shared" si="5"/>
        <v>47.400000000000006</v>
      </c>
    </row>
    <row r="18" spans="1:14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8"/>
      <c r="N18" s="69"/>
    </row>
    <row r="19" spans="1:14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SUM(I19)-0.8</f>
        <v>9.3999999999999986</v>
      </c>
      <c r="I19" s="54">
        <f>SUM(J19)-0.8</f>
        <v>10.199999999999999</v>
      </c>
      <c r="J19" s="55">
        <v>11</v>
      </c>
      <c r="K19" s="68">
        <f>SUM(J19)+0.9</f>
        <v>11.9</v>
      </c>
      <c r="L19" s="68">
        <f>SUM(K19)+0.9</f>
        <v>12.8</v>
      </c>
      <c r="M19" s="68">
        <f>SUM(L19)+0.9</f>
        <v>13.700000000000001</v>
      </c>
      <c r="N19" s="69">
        <f>SUM(M19)+0.9</f>
        <v>14.600000000000001</v>
      </c>
    </row>
    <row r="20" spans="1:14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68"/>
      <c r="L20" s="68"/>
      <c r="M20" s="68"/>
      <c r="N20" s="69"/>
    </row>
    <row r="21" spans="1:14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8"/>
      <c r="N21" s="69"/>
    </row>
    <row r="22" spans="1:14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8"/>
      <c r="N22" s="69"/>
    </row>
    <row r="23" spans="1:14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SUM(I23)-1.4</f>
        <v>22.200000000000003</v>
      </c>
      <c r="I23" s="54">
        <f>SUM(J23)-1.4</f>
        <v>23.6</v>
      </c>
      <c r="J23" s="67">
        <v>25</v>
      </c>
      <c r="K23" s="68">
        <f>SUM(J23)+1.4</f>
        <v>26.4</v>
      </c>
      <c r="L23" s="68">
        <f>SUM(K23)+1.4</f>
        <v>27.799999999999997</v>
      </c>
      <c r="M23" s="68">
        <f>SUM(L23)+1.4</f>
        <v>29.199999999999996</v>
      </c>
      <c r="N23" s="69">
        <f>SUM(M23)+1.4</f>
        <v>30.599999999999994</v>
      </c>
    </row>
    <row r="24" spans="1:14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8"/>
      <c r="N24" s="69"/>
    </row>
    <row r="25" spans="1:14" s="1" customFormat="1" ht="14.1" customHeight="1" x14ac:dyDescent="0.3">
      <c r="A25" s="48">
        <v>12</v>
      </c>
      <c r="B25" s="60"/>
      <c r="C25" s="60"/>
      <c r="D25" s="61"/>
      <c r="E25" s="61"/>
      <c r="F25" s="61"/>
      <c r="G25" s="61"/>
      <c r="H25" s="54"/>
      <c r="I25" s="54"/>
      <c r="J25" s="55"/>
      <c r="K25" s="68"/>
      <c r="L25" s="68"/>
      <c r="M25" s="68"/>
      <c r="N25" s="69"/>
    </row>
    <row r="26" spans="1:14" s="1" customFormat="1" ht="14.1" customHeight="1" thickBot="1" x14ac:dyDescent="0.35">
      <c r="A26" s="216"/>
      <c r="B26" s="290"/>
      <c r="C26" s="290"/>
      <c r="D26" s="212"/>
      <c r="E26" s="213"/>
      <c r="F26" s="213"/>
      <c r="G26" s="214"/>
      <c r="H26" s="206"/>
      <c r="I26" s="206"/>
      <c r="J26" s="243"/>
      <c r="K26" s="208"/>
      <c r="L26" s="208"/>
      <c r="M26" s="208"/>
      <c r="N26" s="230"/>
    </row>
    <row r="27" spans="1:14" s="1" customFormat="1" ht="14.1" customHeight="1" thickTop="1" x14ac:dyDescent="0.3">
      <c r="A27" s="35">
        <v>13</v>
      </c>
      <c r="B27" s="105" t="s">
        <v>818</v>
      </c>
      <c r="C27" s="105"/>
      <c r="D27" s="51"/>
      <c r="E27" s="52"/>
      <c r="F27" s="52"/>
      <c r="G27" s="53"/>
      <c r="H27" s="81">
        <f>SUM(I27)-1.7</f>
        <v>26.6</v>
      </c>
      <c r="I27" s="81">
        <f>SUM(J27)-1.7</f>
        <v>28.3</v>
      </c>
      <c r="J27" s="42">
        <v>30</v>
      </c>
      <c r="K27" s="40">
        <f>SUM(J27)+1.7</f>
        <v>31.7</v>
      </c>
      <c r="L27" s="40">
        <f>SUM(K27)+1.7</f>
        <v>33.4</v>
      </c>
      <c r="M27" s="40">
        <f>SUM(L27)+1.7</f>
        <v>35.1</v>
      </c>
      <c r="N27" s="44">
        <f>SUM(M27)+1.7</f>
        <v>36.800000000000004</v>
      </c>
    </row>
    <row r="28" spans="1:14" s="1" customFormat="1" ht="14.1" customHeight="1" x14ac:dyDescent="0.3">
      <c r="A28" s="48"/>
      <c r="B28" s="45" t="s">
        <v>188</v>
      </c>
      <c r="C28" s="45"/>
      <c r="D28" s="46"/>
      <c r="E28" s="47"/>
      <c r="F28" s="47"/>
      <c r="G28" s="59"/>
      <c r="H28" s="40"/>
      <c r="I28" s="40"/>
      <c r="J28" s="67"/>
      <c r="K28" s="68"/>
      <c r="L28" s="68"/>
      <c r="M28" s="68"/>
      <c r="N28" s="69"/>
    </row>
    <row r="29" spans="1:14" s="1" customFormat="1" ht="14.1" customHeight="1" x14ac:dyDescent="0.3">
      <c r="A29" s="48">
        <v>14</v>
      </c>
      <c r="B29" s="65" t="s">
        <v>819</v>
      </c>
      <c r="C29" s="66"/>
      <c r="D29" s="61"/>
      <c r="E29" s="61"/>
      <c r="F29" s="61"/>
      <c r="G29" s="61"/>
      <c r="H29" s="54">
        <f>SUM(I29)-1.4</f>
        <v>8</v>
      </c>
      <c r="I29" s="54">
        <f>SUM(J29)-1.4</f>
        <v>9.4</v>
      </c>
      <c r="J29" s="67">
        <v>10.8</v>
      </c>
      <c r="K29" s="68">
        <f>SUM(J29)+1.3</f>
        <v>12.100000000000001</v>
      </c>
      <c r="L29" s="68">
        <f>SUM(K29)+1.4</f>
        <v>13.500000000000002</v>
      </c>
      <c r="M29" s="68">
        <f>SUM(L29)+1.3</f>
        <v>14.800000000000002</v>
      </c>
      <c r="N29" s="69">
        <f>SUM(M29)+1.3</f>
        <v>16.100000000000001</v>
      </c>
    </row>
    <row r="30" spans="1:14" s="1" customFormat="1" ht="14.1" customHeight="1" x14ac:dyDescent="0.3">
      <c r="A30" s="48"/>
      <c r="B30" s="45" t="s">
        <v>599</v>
      </c>
      <c r="C30" s="45"/>
      <c r="D30" s="46" t="s">
        <v>519</v>
      </c>
      <c r="E30" s="47"/>
      <c r="F30" s="47"/>
      <c r="G30" s="59"/>
      <c r="H30" s="40"/>
      <c r="I30" s="40"/>
      <c r="J30" s="67"/>
      <c r="K30" s="68"/>
      <c r="L30" s="68"/>
      <c r="M30" s="68"/>
      <c r="N30" s="69"/>
    </row>
    <row r="31" spans="1:14" ht="14.1" customHeight="1" x14ac:dyDescent="0.3">
      <c r="A31" s="48">
        <v>15</v>
      </c>
      <c r="B31" s="60" t="s">
        <v>821</v>
      </c>
      <c r="C31" s="60"/>
      <c r="D31" s="61"/>
      <c r="E31" s="61"/>
      <c r="F31" s="61"/>
      <c r="G31" s="61"/>
      <c r="H31" s="54">
        <f>SUM(I31)-2.25</f>
        <v>25.5</v>
      </c>
      <c r="I31" s="54">
        <f>SUM(J31)-2.25</f>
        <v>27.75</v>
      </c>
      <c r="J31" s="67">
        <v>30</v>
      </c>
      <c r="K31" s="68">
        <f>SUM(J31)+2</f>
        <v>32</v>
      </c>
      <c r="L31" s="68">
        <f>SUM(K31)+2</f>
        <v>34</v>
      </c>
      <c r="M31" s="68">
        <f>SUM(L31)+2</f>
        <v>36</v>
      </c>
      <c r="N31" s="69">
        <f>SUM(M31)+2</f>
        <v>38</v>
      </c>
    </row>
    <row r="32" spans="1:14" ht="14.1" customHeight="1" x14ac:dyDescent="0.3">
      <c r="A32" s="48"/>
      <c r="B32" s="45" t="s">
        <v>820</v>
      </c>
      <c r="C32" s="45"/>
      <c r="D32" s="46"/>
      <c r="E32" s="47"/>
      <c r="F32" s="47"/>
      <c r="G32" s="59"/>
      <c r="H32" s="40"/>
      <c r="I32" s="40"/>
      <c r="J32" s="67"/>
      <c r="K32" s="68"/>
      <c r="L32" s="68"/>
      <c r="M32" s="68"/>
      <c r="N32" s="69"/>
    </row>
    <row r="33" spans="1:14" ht="14.1" customHeight="1" x14ac:dyDescent="0.3">
      <c r="A33" s="48">
        <v>16</v>
      </c>
      <c r="B33" s="60" t="s">
        <v>822</v>
      </c>
      <c r="C33" s="60"/>
      <c r="D33" s="61"/>
      <c r="E33" s="61"/>
      <c r="F33" s="61"/>
      <c r="G33" s="61"/>
      <c r="H33" s="54">
        <f>SUM(I33)-4.5</f>
        <v>51</v>
      </c>
      <c r="I33" s="54">
        <f>SUM(J33)-4.5</f>
        <v>55.5</v>
      </c>
      <c r="J33" s="67">
        <v>60</v>
      </c>
      <c r="K33" s="68">
        <f>SUM(J33)+4</f>
        <v>64</v>
      </c>
      <c r="L33" s="68">
        <f>SUM(K33)+4</f>
        <v>68</v>
      </c>
      <c r="M33" s="68">
        <f>SUM(L33)+4</f>
        <v>72</v>
      </c>
      <c r="N33" s="69">
        <f>SUM(M33)+4</f>
        <v>76</v>
      </c>
    </row>
    <row r="34" spans="1:14" ht="14.1" customHeight="1" x14ac:dyDescent="0.3">
      <c r="A34" s="48"/>
      <c r="B34" s="45" t="s">
        <v>823</v>
      </c>
      <c r="C34" s="45"/>
      <c r="D34" s="46"/>
      <c r="E34" s="47"/>
      <c r="F34" s="47"/>
      <c r="G34" s="59"/>
      <c r="H34" s="40"/>
      <c r="I34" s="40"/>
      <c r="J34" s="67"/>
      <c r="K34" s="68"/>
      <c r="L34" s="68"/>
      <c r="M34" s="68"/>
      <c r="N34" s="69"/>
    </row>
    <row r="35" spans="1:14" ht="14.1" customHeight="1" x14ac:dyDescent="0.3">
      <c r="A35" s="48">
        <v>17</v>
      </c>
      <c r="B35" s="60" t="s">
        <v>197</v>
      </c>
      <c r="C35" s="60"/>
      <c r="D35" s="61"/>
      <c r="E35" s="61"/>
      <c r="F35" s="61"/>
      <c r="G35" s="61"/>
      <c r="H35" s="54">
        <f>SUM(I35)-0.4</f>
        <v>7.1999999999999993</v>
      </c>
      <c r="I35" s="54">
        <f>SUM(J35)-0.4</f>
        <v>7.6</v>
      </c>
      <c r="J35" s="67">
        <v>8</v>
      </c>
      <c r="K35" s="68">
        <f>SUM(J35)+0.4</f>
        <v>8.4</v>
      </c>
      <c r="L35" s="68">
        <f>SUM(K35)+0.4</f>
        <v>8.8000000000000007</v>
      </c>
      <c r="M35" s="68">
        <f>SUM(L35)+0.4</f>
        <v>9.2000000000000011</v>
      </c>
      <c r="N35" s="69">
        <f>SUM(M35)+0.4</f>
        <v>9.6000000000000014</v>
      </c>
    </row>
    <row r="36" spans="1:14" ht="14.1" customHeight="1" x14ac:dyDescent="0.3">
      <c r="A36" s="48"/>
      <c r="B36" s="45" t="s">
        <v>198</v>
      </c>
      <c r="C36" s="45"/>
      <c r="D36" s="46"/>
      <c r="E36" s="47"/>
      <c r="F36" s="47"/>
      <c r="G36" s="59"/>
      <c r="H36" s="40"/>
      <c r="I36" s="40"/>
      <c r="J36" s="67"/>
      <c r="K36" s="68"/>
      <c r="L36" s="68"/>
      <c r="M36" s="68"/>
      <c r="N36" s="69"/>
    </row>
    <row r="37" spans="1:14" ht="14.1" customHeight="1" x14ac:dyDescent="0.3">
      <c r="A37" s="48">
        <v>18</v>
      </c>
      <c r="B37" s="65"/>
      <c r="C37" s="66"/>
      <c r="D37" s="88"/>
      <c r="E37" s="89"/>
      <c r="F37" s="89"/>
      <c r="G37" s="90"/>
      <c r="H37" s="54"/>
      <c r="I37" s="54"/>
      <c r="J37" s="67"/>
      <c r="K37" s="68"/>
      <c r="L37" s="68"/>
      <c r="M37" s="68"/>
      <c r="N37" s="69"/>
    </row>
    <row r="38" spans="1:14" ht="14.1" customHeight="1" thickBot="1" x14ac:dyDescent="0.35">
      <c r="A38" s="87"/>
      <c r="B38" s="96"/>
      <c r="C38" s="97"/>
      <c r="D38" s="98"/>
      <c r="E38" s="99"/>
      <c r="F38" s="99"/>
      <c r="G38" s="100"/>
      <c r="H38" s="91"/>
      <c r="I38" s="91"/>
      <c r="J38" s="92"/>
      <c r="K38" s="93"/>
      <c r="L38" s="93"/>
      <c r="M38" s="93"/>
      <c r="N38" s="121"/>
    </row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9"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N23:N24"/>
    <mergeCell ref="N25:N26"/>
    <mergeCell ref="N27:N28"/>
    <mergeCell ref="N29:N30"/>
    <mergeCell ref="N31:N32"/>
    <mergeCell ref="N33:N34"/>
    <mergeCell ref="N35:N36"/>
    <mergeCell ref="N37:N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DAD1-30CD-4599-9F45-E1EB72386CDF}">
  <sheetPr>
    <tabColor rgb="FFFF0000"/>
    <pageSetUpPr fitToPage="1"/>
  </sheetPr>
  <dimension ref="A1:M66"/>
  <sheetViews>
    <sheetView zoomScale="110" zoomScaleNormal="110" workbookViewId="0">
      <selection activeCell="O15" sqref="O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30" t="s">
        <v>738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16.5" customHeight="1" thickBot="1" x14ac:dyDescent="0.35">
      <c r="A2" s="2" t="s">
        <v>59</v>
      </c>
      <c r="B2" s="33" t="s">
        <v>60</v>
      </c>
      <c r="C2" s="33"/>
      <c r="D2" s="33" t="s">
        <v>61</v>
      </c>
      <c r="E2" s="33"/>
      <c r="F2" s="33"/>
      <c r="G2" s="33"/>
      <c r="H2" s="8" t="s">
        <v>62</v>
      </c>
      <c r="I2" s="8" t="s">
        <v>63</v>
      </c>
      <c r="J2" s="6" t="s">
        <v>64</v>
      </c>
      <c r="K2" s="8" t="s">
        <v>65</v>
      </c>
      <c r="L2" s="8" t="s">
        <v>145</v>
      </c>
      <c r="M2" s="8" t="s">
        <v>144</v>
      </c>
    </row>
    <row r="3" spans="1:13" s="1" customFormat="1" ht="14.1" customHeight="1" x14ac:dyDescent="0.3">
      <c r="A3" s="34">
        <v>1</v>
      </c>
      <c r="B3" s="36" t="s">
        <v>39</v>
      </c>
      <c r="C3" s="36"/>
      <c r="D3" s="37" t="s">
        <v>66</v>
      </c>
      <c r="E3" s="37"/>
      <c r="F3" s="37"/>
      <c r="G3" s="38"/>
      <c r="H3" s="54">
        <f>SUM(I3)-3</f>
        <v>35</v>
      </c>
      <c r="I3" s="54">
        <f>SUM(J3)-3</f>
        <v>38</v>
      </c>
      <c r="J3" s="55">
        <v>41</v>
      </c>
      <c r="K3" s="54">
        <f>SUM(J3)+2.5</f>
        <v>43.5</v>
      </c>
      <c r="L3" s="54">
        <f>SUM(K3)+2.5</f>
        <v>46</v>
      </c>
      <c r="M3" s="43">
        <f>SUM(L3)+2.5</f>
        <v>48.5</v>
      </c>
    </row>
    <row r="4" spans="1:13" s="1" customFormat="1" ht="14.1" customHeight="1" x14ac:dyDescent="0.3">
      <c r="A4" s="35"/>
      <c r="B4" s="45" t="s">
        <v>36</v>
      </c>
      <c r="C4" s="45"/>
      <c r="D4" s="46" t="s">
        <v>85</v>
      </c>
      <c r="E4" s="47"/>
      <c r="F4" s="47"/>
      <c r="G4" s="47"/>
      <c r="H4" s="40"/>
      <c r="I4" s="40"/>
      <c r="J4" s="42"/>
      <c r="K4" s="40"/>
      <c r="L4" s="40"/>
      <c r="M4" s="44"/>
    </row>
    <row r="5" spans="1:13" s="1" customFormat="1" ht="14.1" customHeight="1" x14ac:dyDescent="0.3">
      <c r="A5" s="48">
        <v>2</v>
      </c>
      <c r="B5" s="60" t="s">
        <v>37</v>
      </c>
      <c r="C5" s="60"/>
      <c r="D5" s="61" t="s">
        <v>38</v>
      </c>
      <c r="E5" s="61"/>
      <c r="F5" s="61"/>
      <c r="G5" s="61"/>
      <c r="H5" s="54">
        <f>SUM(I5)-1.8</f>
        <v>23.4</v>
      </c>
      <c r="I5" s="54">
        <f>SUM(J5)-1.8</f>
        <v>25.2</v>
      </c>
      <c r="J5" s="55">
        <v>27</v>
      </c>
      <c r="K5" s="54">
        <f>SUM(J5)+1.6</f>
        <v>28.6</v>
      </c>
      <c r="L5" s="54">
        <f t="shared" ref="L5:M5" si="0">SUM(K5)+1.6</f>
        <v>30.200000000000003</v>
      </c>
      <c r="M5" s="56">
        <f t="shared" si="0"/>
        <v>31.800000000000004</v>
      </c>
    </row>
    <row r="6" spans="1:13" s="1" customFormat="1" ht="14.1" customHeight="1" x14ac:dyDescent="0.3">
      <c r="A6" s="48"/>
      <c r="B6" s="45" t="s">
        <v>24</v>
      </c>
      <c r="C6" s="45"/>
      <c r="D6" s="46" t="s">
        <v>42</v>
      </c>
      <c r="E6" s="47"/>
      <c r="F6" s="47"/>
      <c r="G6" s="59"/>
      <c r="H6" s="40"/>
      <c r="I6" s="40"/>
      <c r="J6" s="42"/>
      <c r="K6" s="40"/>
      <c r="L6" s="40"/>
      <c r="M6" s="44"/>
    </row>
    <row r="7" spans="1:13" s="1" customFormat="1" ht="14.1" customHeight="1" x14ac:dyDescent="0.3">
      <c r="A7" s="48">
        <v>3</v>
      </c>
      <c r="B7" s="60" t="s">
        <v>35</v>
      </c>
      <c r="C7" s="60"/>
      <c r="D7" s="61" t="s">
        <v>72</v>
      </c>
      <c r="E7" s="61"/>
      <c r="F7" s="61"/>
      <c r="G7" s="61"/>
      <c r="H7" s="54">
        <f>SUM(I7)-2.25</f>
        <v>28.5</v>
      </c>
      <c r="I7" s="54">
        <f>SUM(J7)-2.25</f>
        <v>30.75</v>
      </c>
      <c r="J7" s="55">
        <v>33</v>
      </c>
      <c r="K7" s="54">
        <f>SUM(J7)+2</f>
        <v>35</v>
      </c>
      <c r="L7" s="54">
        <f>SUM(K7)+2</f>
        <v>37</v>
      </c>
      <c r="M7" s="56">
        <f>SUM(L7)+2</f>
        <v>39</v>
      </c>
    </row>
    <row r="8" spans="1:13" s="1" customFormat="1" ht="14.1" customHeight="1" x14ac:dyDescent="0.3">
      <c r="A8" s="48"/>
      <c r="B8" s="45" t="s">
        <v>40</v>
      </c>
      <c r="C8" s="45"/>
      <c r="D8" s="46" t="s">
        <v>43</v>
      </c>
      <c r="E8" s="47"/>
      <c r="F8" s="47"/>
      <c r="G8" s="59"/>
      <c r="H8" s="40"/>
      <c r="I8" s="40"/>
      <c r="J8" s="42"/>
      <c r="K8" s="40"/>
      <c r="L8" s="40"/>
      <c r="M8" s="44"/>
    </row>
    <row r="9" spans="1:13" s="1" customFormat="1" ht="14.1" customHeight="1" x14ac:dyDescent="0.3">
      <c r="A9" s="48">
        <v>4</v>
      </c>
      <c r="B9" s="60" t="s">
        <v>41</v>
      </c>
      <c r="C9" s="60"/>
      <c r="D9" s="61" t="s">
        <v>8</v>
      </c>
      <c r="E9" s="61"/>
      <c r="F9" s="61"/>
      <c r="G9" s="61"/>
      <c r="H9" s="54">
        <f>SUM(I9)-2.25</f>
        <v>28.5</v>
      </c>
      <c r="I9" s="54">
        <f>SUM(J9)-2.25</f>
        <v>30.75</v>
      </c>
      <c r="J9" s="55">
        <v>33</v>
      </c>
      <c r="K9" s="54">
        <f>SUM(J9)+2</f>
        <v>35</v>
      </c>
      <c r="L9" s="54">
        <f>SUM(K9)+2</f>
        <v>37</v>
      </c>
      <c r="M9" s="56">
        <f>SUM(L9)+2</f>
        <v>39</v>
      </c>
    </row>
    <row r="10" spans="1:13" s="1" customFormat="1" ht="14.1" customHeight="1" x14ac:dyDescent="0.3">
      <c r="A10" s="48"/>
      <c r="B10" s="45" t="s">
        <v>25</v>
      </c>
      <c r="C10" s="45"/>
      <c r="D10" s="46" t="s">
        <v>44</v>
      </c>
      <c r="E10" s="47"/>
      <c r="F10" s="47"/>
      <c r="G10" s="59"/>
      <c r="H10" s="40"/>
      <c r="I10" s="40"/>
      <c r="J10" s="42"/>
      <c r="K10" s="40"/>
      <c r="L10" s="40"/>
      <c r="M10" s="44"/>
    </row>
    <row r="11" spans="1:13" s="1" customFormat="1" ht="14.1" customHeight="1" x14ac:dyDescent="0.3">
      <c r="A11" s="48">
        <v>5</v>
      </c>
      <c r="B11" s="60" t="s">
        <v>10</v>
      </c>
      <c r="C11" s="60"/>
      <c r="D11" s="61" t="s">
        <v>0</v>
      </c>
      <c r="E11" s="61"/>
      <c r="F11" s="61"/>
      <c r="G11" s="61"/>
      <c r="H11" s="60">
        <f>SUM(I11)-0.8</f>
        <v>13.399999999999999</v>
      </c>
      <c r="I11" s="60">
        <f>SUM(J11)-0.8</f>
        <v>14.2</v>
      </c>
      <c r="J11" s="132">
        <v>15</v>
      </c>
      <c r="K11" s="130">
        <f>SUM(J11)+0.8</f>
        <v>15.8</v>
      </c>
      <c r="L11" s="130">
        <f>SUM(K11)+0.8</f>
        <v>16.600000000000001</v>
      </c>
      <c r="M11" s="69">
        <f>SUM(L11)+0.8</f>
        <v>17.400000000000002</v>
      </c>
    </row>
    <row r="12" spans="1:13" s="1" customFormat="1" ht="14.1" customHeight="1" x14ac:dyDescent="0.3">
      <c r="A12" s="48"/>
      <c r="B12" s="45" t="s">
        <v>26</v>
      </c>
      <c r="C12" s="45"/>
      <c r="D12" s="46" t="s">
        <v>45</v>
      </c>
      <c r="E12" s="47"/>
      <c r="F12" s="47"/>
      <c r="G12" s="59"/>
      <c r="H12" s="45"/>
      <c r="I12" s="45"/>
      <c r="J12" s="132"/>
      <c r="K12" s="130"/>
      <c r="L12" s="130"/>
      <c r="M12" s="69"/>
    </row>
    <row r="13" spans="1:13" s="1" customFormat="1" ht="14.1" customHeight="1" x14ac:dyDescent="0.3">
      <c r="A13" s="48">
        <v>6</v>
      </c>
      <c r="B13" s="60" t="s">
        <v>1</v>
      </c>
      <c r="C13" s="60"/>
      <c r="D13" s="61" t="s">
        <v>163</v>
      </c>
      <c r="E13" s="61"/>
      <c r="F13" s="61"/>
      <c r="G13" s="61"/>
      <c r="H13" s="54">
        <f>SUM(I13)-0.6</f>
        <v>15.3</v>
      </c>
      <c r="I13" s="54">
        <f>SUM(J13)-0.6</f>
        <v>15.9</v>
      </c>
      <c r="J13" s="67">
        <v>16.5</v>
      </c>
      <c r="K13" s="68">
        <f>SUM(J13)+0.6</f>
        <v>17.100000000000001</v>
      </c>
      <c r="L13" s="68">
        <f>SUM(K13)+0.6</f>
        <v>17.700000000000003</v>
      </c>
      <c r="M13" s="69">
        <f>SUM(L13)+0.6</f>
        <v>18.300000000000004</v>
      </c>
    </row>
    <row r="14" spans="1:13" s="1" customFormat="1" ht="14.1" customHeight="1" x14ac:dyDescent="0.3">
      <c r="A14" s="48"/>
      <c r="B14" s="45" t="s">
        <v>27</v>
      </c>
      <c r="C14" s="45"/>
      <c r="D14" s="46" t="s">
        <v>124</v>
      </c>
      <c r="E14" s="47"/>
      <c r="F14" s="47"/>
      <c r="G14" s="59"/>
      <c r="H14" s="40"/>
      <c r="I14" s="40"/>
      <c r="J14" s="67"/>
      <c r="K14" s="68"/>
      <c r="L14" s="68"/>
      <c r="M14" s="69"/>
    </row>
    <row r="15" spans="1:13" s="1" customFormat="1" ht="14.1" customHeight="1" x14ac:dyDescent="0.3">
      <c r="A15" s="48">
        <v>7</v>
      </c>
      <c r="B15" s="60" t="s">
        <v>2</v>
      </c>
      <c r="C15" s="60"/>
      <c r="D15" s="61" t="s">
        <v>3</v>
      </c>
      <c r="E15" s="61"/>
      <c r="F15" s="61"/>
      <c r="G15" s="61"/>
      <c r="H15" s="54">
        <f>SUM(I15)-0.3</f>
        <v>6.2</v>
      </c>
      <c r="I15" s="54">
        <f>SUM(J15)-0.3</f>
        <v>6.5</v>
      </c>
      <c r="J15" s="67">
        <v>6.8</v>
      </c>
      <c r="K15" s="68">
        <f>SUM(J15)+0.3</f>
        <v>7.1</v>
      </c>
      <c r="L15" s="68">
        <f>SUM(K15)+0.3</f>
        <v>7.3999999999999995</v>
      </c>
      <c r="M15" s="69">
        <f>SUM(L15)+0.3</f>
        <v>7.6999999999999993</v>
      </c>
    </row>
    <row r="16" spans="1:13" s="1" customFormat="1" ht="14.1" customHeight="1" x14ac:dyDescent="0.3">
      <c r="A16" s="48"/>
      <c r="B16" s="45" t="s">
        <v>28</v>
      </c>
      <c r="C16" s="45"/>
      <c r="D16" s="46" t="s">
        <v>125</v>
      </c>
      <c r="E16" s="47"/>
      <c r="F16" s="47"/>
      <c r="G16" s="59"/>
      <c r="H16" s="40"/>
      <c r="I16" s="40"/>
      <c r="J16" s="67"/>
      <c r="K16" s="68"/>
      <c r="L16" s="68"/>
      <c r="M16" s="69"/>
    </row>
    <row r="17" spans="1:13" s="1" customFormat="1" ht="14.1" customHeight="1" x14ac:dyDescent="0.3">
      <c r="A17" s="48">
        <v>8</v>
      </c>
      <c r="B17" s="65" t="s">
        <v>73</v>
      </c>
      <c r="C17" s="66"/>
      <c r="D17" s="62" t="s">
        <v>74</v>
      </c>
      <c r="E17" s="63"/>
      <c r="F17" s="63"/>
      <c r="G17" s="64"/>
      <c r="H17" s="54">
        <f>SUM(I17)-1.6</f>
        <v>38.799999999999997</v>
      </c>
      <c r="I17" s="54">
        <f>SUM(J17)-1.6</f>
        <v>40.4</v>
      </c>
      <c r="J17" s="67">
        <v>42</v>
      </c>
      <c r="K17" s="68">
        <f>SUM(J17)+1.6</f>
        <v>43.6</v>
      </c>
      <c r="L17" s="68">
        <f>SUM(K17)+1.6</f>
        <v>45.2</v>
      </c>
      <c r="M17" s="69">
        <f>SUM(L17)+1.6</f>
        <v>46.800000000000004</v>
      </c>
    </row>
    <row r="18" spans="1:13" s="1" customFormat="1" ht="14.1" customHeight="1" x14ac:dyDescent="0.3">
      <c r="A18" s="48"/>
      <c r="B18" s="45" t="s">
        <v>33</v>
      </c>
      <c r="C18" s="45"/>
      <c r="D18" s="46" t="s">
        <v>126</v>
      </c>
      <c r="E18" s="47"/>
      <c r="F18" s="47"/>
      <c r="G18" s="59"/>
      <c r="H18" s="40"/>
      <c r="I18" s="40"/>
      <c r="J18" s="67"/>
      <c r="K18" s="68"/>
      <c r="L18" s="68"/>
      <c r="M18" s="69"/>
    </row>
    <row r="19" spans="1:13" s="1" customFormat="1" ht="14.1" customHeight="1" x14ac:dyDescent="0.3">
      <c r="A19" s="48">
        <v>9</v>
      </c>
      <c r="B19" s="60" t="s">
        <v>4</v>
      </c>
      <c r="C19" s="60"/>
      <c r="D19" s="61" t="s">
        <v>5</v>
      </c>
      <c r="E19" s="61"/>
      <c r="F19" s="61"/>
      <c r="G19" s="61"/>
      <c r="H19" s="54">
        <f>SUM(I19)-0.7</f>
        <v>7.6000000000000005</v>
      </c>
      <c r="I19" s="54">
        <f>SUM(J19)-0.7</f>
        <v>8.3000000000000007</v>
      </c>
      <c r="J19" s="55">
        <v>9</v>
      </c>
      <c r="K19" s="54">
        <f>SUM(J19)+0.8</f>
        <v>9.8000000000000007</v>
      </c>
      <c r="L19" s="54">
        <f>SUM(K19)+0.8</f>
        <v>10.600000000000001</v>
      </c>
      <c r="M19" s="56">
        <f>SUM(L19)+0.8</f>
        <v>11.400000000000002</v>
      </c>
    </row>
    <row r="20" spans="1:13" s="1" customFormat="1" ht="14.1" customHeight="1" x14ac:dyDescent="0.3">
      <c r="A20" s="48"/>
      <c r="B20" s="45" t="s">
        <v>29</v>
      </c>
      <c r="C20" s="45"/>
      <c r="D20" s="46" t="s">
        <v>48</v>
      </c>
      <c r="E20" s="47"/>
      <c r="F20" s="47"/>
      <c r="G20" s="59"/>
      <c r="H20" s="40"/>
      <c r="I20" s="40"/>
      <c r="J20" s="42"/>
      <c r="K20" s="40"/>
      <c r="L20" s="40"/>
      <c r="M20" s="44"/>
    </row>
    <row r="21" spans="1:13" s="1" customFormat="1" ht="14.1" customHeight="1" x14ac:dyDescent="0.3">
      <c r="A21" s="48">
        <v>10</v>
      </c>
      <c r="B21" s="60" t="s">
        <v>6</v>
      </c>
      <c r="C21" s="60"/>
      <c r="D21" s="62" t="s">
        <v>7</v>
      </c>
      <c r="E21" s="63"/>
      <c r="F21" s="63"/>
      <c r="G21" s="64"/>
      <c r="H21" s="54"/>
      <c r="I21" s="54"/>
      <c r="J21" s="67"/>
      <c r="K21" s="68"/>
      <c r="L21" s="68"/>
      <c r="M21" s="69"/>
    </row>
    <row r="22" spans="1:13" s="1" customFormat="1" ht="14.1" customHeight="1" x14ac:dyDescent="0.3">
      <c r="A22" s="48"/>
      <c r="B22" s="45" t="s">
        <v>30</v>
      </c>
      <c r="C22" s="45"/>
      <c r="D22" s="46" t="s">
        <v>67</v>
      </c>
      <c r="E22" s="47"/>
      <c r="F22" s="47"/>
      <c r="G22" s="59"/>
      <c r="H22" s="40"/>
      <c r="I22" s="40"/>
      <c r="J22" s="67"/>
      <c r="K22" s="68"/>
      <c r="L22" s="68"/>
      <c r="M22" s="69"/>
    </row>
    <row r="23" spans="1:13" s="1" customFormat="1" ht="14.1" customHeight="1" x14ac:dyDescent="0.3">
      <c r="A23" s="48">
        <v>11</v>
      </c>
      <c r="B23" s="65" t="s">
        <v>82</v>
      </c>
      <c r="C23" s="66"/>
      <c r="D23" s="61" t="s">
        <v>68</v>
      </c>
      <c r="E23" s="61"/>
      <c r="F23" s="61"/>
      <c r="G23" s="61"/>
      <c r="H23" s="54">
        <f>SUM(I23)-1.3</f>
        <v>23.2</v>
      </c>
      <c r="I23" s="54">
        <f>SUM(J23)-1.3</f>
        <v>24.5</v>
      </c>
      <c r="J23" s="67">
        <v>25.8</v>
      </c>
      <c r="K23" s="68">
        <f>SUM(J23)+1.3</f>
        <v>27.1</v>
      </c>
      <c r="L23" s="68">
        <f>SUM(K23)+1.3</f>
        <v>28.400000000000002</v>
      </c>
      <c r="M23" s="69">
        <f>SUM(L23)+1.3</f>
        <v>29.700000000000003</v>
      </c>
    </row>
    <row r="24" spans="1:13" s="1" customFormat="1" ht="14.1" customHeight="1" x14ac:dyDescent="0.3">
      <c r="A24" s="48"/>
      <c r="B24" s="45" t="s">
        <v>31</v>
      </c>
      <c r="C24" s="45"/>
      <c r="D24" s="46" t="s">
        <v>69</v>
      </c>
      <c r="E24" s="47"/>
      <c r="F24" s="47"/>
      <c r="G24" s="59"/>
      <c r="H24" s="40"/>
      <c r="I24" s="40"/>
      <c r="J24" s="67"/>
      <c r="K24" s="68"/>
      <c r="L24" s="68"/>
      <c r="M24" s="69"/>
    </row>
    <row r="25" spans="1:13" s="1" customFormat="1" ht="14.1" customHeight="1" x14ac:dyDescent="0.3">
      <c r="A25" s="48">
        <v>12</v>
      </c>
      <c r="B25" s="65" t="s">
        <v>556</v>
      </c>
      <c r="C25" s="66"/>
      <c r="D25" s="88"/>
      <c r="E25" s="89"/>
      <c r="F25" s="89"/>
      <c r="G25" s="90"/>
      <c r="H25" s="54">
        <f>SUM(I25)-0.6</f>
        <v>5.3000000000000007</v>
      </c>
      <c r="I25" s="54">
        <f>SUM(J25)-0.6</f>
        <v>5.9</v>
      </c>
      <c r="J25" s="67">
        <v>6.5</v>
      </c>
      <c r="K25" s="68">
        <f>SUM(J25)+0.4</f>
        <v>6.9</v>
      </c>
      <c r="L25" s="68">
        <f>SUM(K25)+0.4</f>
        <v>7.3000000000000007</v>
      </c>
      <c r="M25" s="69">
        <f>SUM(L25)+0.4</f>
        <v>7.7000000000000011</v>
      </c>
    </row>
    <row r="26" spans="1:13" s="1" customFormat="1" ht="14.1" customHeight="1" x14ac:dyDescent="0.3">
      <c r="A26" s="78"/>
      <c r="B26" s="105" t="s">
        <v>557</v>
      </c>
      <c r="C26" s="105"/>
      <c r="D26" s="51"/>
      <c r="E26" s="52"/>
      <c r="F26" s="52"/>
      <c r="G26" s="53"/>
      <c r="H26" s="81"/>
      <c r="I26" s="81"/>
      <c r="J26" s="55"/>
      <c r="K26" s="54"/>
      <c r="L26" s="54"/>
      <c r="M26" s="56"/>
    </row>
    <row r="27" spans="1:13" s="1" customFormat="1" ht="14.1" customHeight="1" x14ac:dyDescent="0.3">
      <c r="A27" s="48">
        <v>13</v>
      </c>
      <c r="B27" s="65" t="s">
        <v>134</v>
      </c>
      <c r="C27" s="66"/>
      <c r="D27" s="88"/>
      <c r="E27" s="89"/>
      <c r="F27" s="89"/>
      <c r="G27" s="90"/>
      <c r="H27" s="54">
        <f>SUM(I27)-0.3</f>
        <v>3.9000000000000004</v>
      </c>
      <c r="I27" s="54">
        <f>SUM(J27)-0.3</f>
        <v>4.2</v>
      </c>
      <c r="J27" s="67">
        <v>4.5</v>
      </c>
      <c r="K27" s="68">
        <f>SUM(J27)+0.3</f>
        <v>4.8</v>
      </c>
      <c r="L27" s="68">
        <f t="shared" ref="L27:M27" si="1">SUM(K27)+0.3</f>
        <v>5.0999999999999996</v>
      </c>
      <c r="M27" s="69">
        <f t="shared" si="1"/>
        <v>5.3999999999999995</v>
      </c>
    </row>
    <row r="28" spans="1:13" s="1" customFormat="1" ht="14.1" customHeight="1" x14ac:dyDescent="0.3">
      <c r="A28" s="48"/>
      <c r="B28" s="57" t="s">
        <v>142</v>
      </c>
      <c r="C28" s="58"/>
      <c r="D28" s="46"/>
      <c r="E28" s="47"/>
      <c r="F28" s="47"/>
      <c r="G28" s="59"/>
      <c r="H28" s="40"/>
      <c r="I28" s="40"/>
      <c r="J28" s="67"/>
      <c r="K28" s="68"/>
      <c r="L28" s="68"/>
      <c r="M28" s="69"/>
    </row>
    <row r="29" spans="1:13" s="1" customFormat="1" ht="14.1" customHeight="1" x14ac:dyDescent="0.3">
      <c r="A29" s="48">
        <v>14</v>
      </c>
      <c r="B29" s="65"/>
      <c r="C29" s="66"/>
      <c r="D29" s="88"/>
      <c r="E29" s="89"/>
      <c r="F29" s="89"/>
      <c r="G29" s="90"/>
      <c r="H29" s="54"/>
      <c r="I29" s="54"/>
      <c r="J29" s="67"/>
      <c r="K29" s="68"/>
      <c r="L29" s="68"/>
      <c r="M29" s="69"/>
    </row>
    <row r="30" spans="1:13" s="1" customFormat="1" ht="14.1" customHeight="1" thickBot="1" x14ac:dyDescent="0.35">
      <c r="A30" s="87"/>
      <c r="B30" s="96"/>
      <c r="C30" s="97"/>
      <c r="D30" s="98"/>
      <c r="E30" s="99"/>
      <c r="F30" s="99"/>
      <c r="G30" s="100"/>
      <c r="H30" s="91"/>
      <c r="I30" s="91"/>
      <c r="J30" s="92"/>
      <c r="K30" s="93"/>
      <c r="L30" s="93"/>
      <c r="M30" s="121"/>
    </row>
    <row r="31" spans="1:13" s="1" customFormat="1" ht="14.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1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1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s="1" customFormat="1" ht="14.1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s="1" customFormat="1" ht="14.1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s="1" customFormat="1" ht="14.1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s="1" customFormat="1" ht="14.1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1" customFormat="1" ht="14.1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1" customFormat="1" ht="14.1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ht="14.1" customHeight="1" x14ac:dyDescent="0.3"/>
    <row r="66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147</vt:i4>
      </vt:variant>
      <vt:variant>
        <vt:lpstr>이름 지정된 범위</vt:lpstr>
      </vt:variant>
      <vt:variant>
        <vt:i4>147</vt:i4>
      </vt:variant>
    </vt:vector>
  </HeadingPairs>
  <TitlesOfParts>
    <vt:vector size="294" baseType="lpstr">
      <vt:lpstr>OP01</vt:lpstr>
      <vt:lpstr>OP02</vt:lpstr>
      <vt:lpstr>OP03</vt:lpstr>
      <vt:lpstr>OP04</vt:lpstr>
      <vt:lpstr>OP05</vt:lpstr>
      <vt:lpstr>OP06</vt:lpstr>
      <vt:lpstr>OP07</vt:lpstr>
      <vt:lpstr>OP08</vt:lpstr>
      <vt:lpstr>OP09</vt:lpstr>
      <vt:lpstr>OP10</vt:lpstr>
      <vt:lpstr>OP11</vt:lpstr>
      <vt:lpstr>OP12</vt:lpstr>
      <vt:lpstr>OP13</vt:lpstr>
      <vt:lpstr>OP14</vt:lpstr>
      <vt:lpstr>OP15</vt:lpstr>
      <vt:lpstr>OP16</vt:lpstr>
      <vt:lpstr>OP17</vt:lpstr>
      <vt:lpstr>OP18</vt:lpstr>
      <vt:lpstr>OP19</vt:lpstr>
      <vt:lpstr>OP20</vt:lpstr>
      <vt:lpstr>OP21</vt:lpstr>
      <vt:lpstr>OP22</vt:lpstr>
      <vt:lpstr>OP23</vt:lpstr>
      <vt:lpstr>OU01</vt:lpstr>
      <vt:lpstr>OU02</vt:lpstr>
      <vt:lpstr>OU03</vt:lpstr>
      <vt:lpstr>OU04</vt:lpstr>
      <vt:lpstr>OU05</vt:lpstr>
      <vt:lpstr>OU06(니트)</vt:lpstr>
      <vt:lpstr>OU07(니트)</vt:lpstr>
      <vt:lpstr>OU08</vt:lpstr>
      <vt:lpstr>OU09</vt:lpstr>
      <vt:lpstr>PT01</vt:lpstr>
      <vt:lpstr>PT02</vt:lpstr>
      <vt:lpstr>PT03</vt:lpstr>
      <vt:lpstr>PT04</vt:lpstr>
      <vt:lpstr>PT05</vt:lpstr>
      <vt:lpstr>PT06</vt:lpstr>
      <vt:lpstr>PT07(완사입)</vt:lpstr>
      <vt:lpstr>PT08</vt:lpstr>
      <vt:lpstr>PT09(완사입)</vt:lpstr>
      <vt:lpstr>PT10</vt:lpstr>
      <vt:lpstr>PT11(완사입)</vt:lpstr>
      <vt:lpstr>PT12</vt:lpstr>
      <vt:lpstr>PT13</vt:lpstr>
      <vt:lpstr>PT14</vt:lpstr>
      <vt:lpstr>PT15</vt:lpstr>
      <vt:lpstr>PT16</vt:lpstr>
      <vt:lpstr>PT17</vt:lpstr>
      <vt:lpstr>PT18</vt:lpstr>
      <vt:lpstr>PT19</vt:lpstr>
      <vt:lpstr>PT20</vt:lpstr>
      <vt:lpstr>PT21</vt:lpstr>
      <vt:lpstr>PT22(완사입) </vt:lpstr>
      <vt:lpstr>PT23</vt:lpstr>
      <vt:lpstr>PT24</vt:lpstr>
      <vt:lpstr>PT25(완사입)</vt:lpstr>
      <vt:lpstr>PT26(완사입)</vt:lpstr>
      <vt:lpstr>PT27(완사입)</vt:lpstr>
      <vt:lpstr>PT28(완사입)</vt:lpstr>
      <vt:lpstr>PT29(완사입) </vt:lpstr>
      <vt:lpstr>PT30</vt:lpstr>
      <vt:lpstr>PT31</vt:lpstr>
      <vt:lpstr>PT32(완사입)</vt:lpstr>
      <vt:lpstr>PT33(완사입)</vt:lpstr>
      <vt:lpstr>PT34</vt:lpstr>
      <vt:lpstr>PT35</vt:lpstr>
      <vt:lpstr>PT36</vt:lpstr>
      <vt:lpstr>PT37</vt:lpstr>
      <vt:lpstr>SE01</vt:lpstr>
      <vt:lpstr>SE02</vt:lpstr>
      <vt:lpstr>SE03</vt:lpstr>
      <vt:lpstr>SE04</vt:lpstr>
      <vt:lpstr>SE05</vt:lpstr>
      <vt:lpstr>SE06</vt:lpstr>
      <vt:lpstr>SE07</vt:lpstr>
      <vt:lpstr>SE08</vt:lpstr>
      <vt:lpstr>SE09</vt:lpstr>
      <vt:lpstr>SE10</vt:lpstr>
      <vt:lpstr>SK01</vt:lpstr>
      <vt:lpstr>SK02</vt:lpstr>
      <vt:lpstr>SK03</vt:lpstr>
      <vt:lpstr>SK04</vt:lpstr>
      <vt:lpstr>SK05</vt:lpstr>
      <vt:lpstr>SK06</vt:lpstr>
      <vt:lpstr>SK07</vt:lpstr>
      <vt:lpstr>SK08</vt:lpstr>
      <vt:lpstr>SK09</vt:lpstr>
      <vt:lpstr>SK10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TO11</vt:lpstr>
      <vt:lpstr>TO12</vt:lpstr>
      <vt:lpstr>TO13</vt:lpstr>
      <vt:lpstr>TO14</vt:lpstr>
      <vt:lpstr>TO15</vt:lpstr>
      <vt:lpstr>TO16</vt:lpstr>
      <vt:lpstr>TO17</vt:lpstr>
      <vt:lpstr>TO18</vt:lpstr>
      <vt:lpstr>TO19</vt:lpstr>
      <vt:lpstr>TO20</vt:lpstr>
      <vt:lpstr>TO21</vt:lpstr>
      <vt:lpstr>TO22</vt:lpstr>
      <vt:lpstr>TO23</vt:lpstr>
      <vt:lpstr>TO24</vt:lpstr>
      <vt:lpstr>TO25</vt:lpstr>
      <vt:lpstr>TO26</vt:lpstr>
      <vt:lpstr>TO27</vt:lpstr>
      <vt:lpstr>TO28</vt:lpstr>
      <vt:lpstr>TO29</vt:lpstr>
      <vt:lpstr>TO30</vt:lpstr>
      <vt:lpstr>TO31</vt:lpstr>
      <vt:lpstr>TO32</vt:lpstr>
      <vt:lpstr>TO33</vt:lpstr>
      <vt:lpstr>TO34</vt:lpstr>
      <vt:lpstr>TO36</vt:lpstr>
      <vt:lpstr>TO35</vt:lpstr>
      <vt:lpstr>TO37</vt:lpstr>
      <vt:lpstr>TO38</vt:lpstr>
      <vt:lpstr>TO39</vt:lpstr>
      <vt:lpstr>TO40</vt:lpstr>
      <vt:lpstr>TO41</vt:lpstr>
      <vt:lpstr>TO42</vt:lpstr>
      <vt:lpstr>TO43</vt:lpstr>
      <vt:lpstr>TO44</vt:lpstr>
      <vt:lpstr>TO45</vt:lpstr>
      <vt:lpstr>TO46</vt:lpstr>
      <vt:lpstr>TO47</vt:lpstr>
      <vt:lpstr>TO48</vt:lpstr>
      <vt:lpstr>TO49</vt:lpstr>
      <vt:lpstr>TO50</vt:lpstr>
      <vt:lpstr>TO51</vt:lpstr>
      <vt:lpstr>TO52</vt:lpstr>
      <vt:lpstr>TO53</vt:lpstr>
      <vt:lpstr>TO54</vt:lpstr>
      <vt:lpstr>TO55</vt:lpstr>
      <vt:lpstr>TO56</vt:lpstr>
      <vt:lpstr>TO57</vt:lpstr>
      <vt:lpstr>TO58</vt:lpstr>
      <vt:lpstr>'OP01'!Print_Area</vt:lpstr>
      <vt:lpstr>'OP02'!Print_Area</vt:lpstr>
      <vt:lpstr>'OP03'!Print_Area</vt:lpstr>
      <vt:lpstr>'OP04'!Print_Area</vt:lpstr>
      <vt:lpstr>'OP05'!Print_Area</vt:lpstr>
      <vt:lpstr>'OP06'!Print_Area</vt:lpstr>
      <vt:lpstr>'OP07'!Print_Area</vt:lpstr>
      <vt:lpstr>'OP08'!Print_Area</vt:lpstr>
      <vt:lpstr>'OP09'!Print_Area</vt:lpstr>
      <vt:lpstr>'OP10'!Print_Area</vt:lpstr>
      <vt:lpstr>'OP11'!Print_Area</vt:lpstr>
      <vt:lpstr>'OP12'!Print_Area</vt:lpstr>
      <vt:lpstr>'OP13'!Print_Area</vt:lpstr>
      <vt:lpstr>'OP14'!Print_Area</vt:lpstr>
      <vt:lpstr>'OP15'!Print_Area</vt:lpstr>
      <vt:lpstr>'OP16'!Print_Area</vt:lpstr>
      <vt:lpstr>'OP17'!Print_Area</vt:lpstr>
      <vt:lpstr>'OP18'!Print_Area</vt:lpstr>
      <vt:lpstr>'OP19'!Print_Area</vt:lpstr>
      <vt:lpstr>'OP20'!Print_Area</vt:lpstr>
      <vt:lpstr>'OP21'!Print_Area</vt:lpstr>
      <vt:lpstr>'OP22'!Print_Area</vt:lpstr>
      <vt:lpstr>'OP23'!Print_Area</vt:lpstr>
      <vt:lpstr>'OU01'!Print_Area</vt:lpstr>
      <vt:lpstr>'OU02'!Print_Area</vt:lpstr>
      <vt:lpstr>'OU03'!Print_Area</vt:lpstr>
      <vt:lpstr>'OU04'!Print_Area</vt:lpstr>
      <vt:lpstr>'OU05'!Print_Area</vt:lpstr>
      <vt:lpstr>'OU06(니트)'!Print_Area</vt:lpstr>
      <vt:lpstr>'OU07(니트)'!Print_Area</vt:lpstr>
      <vt:lpstr>'OU08'!Print_Area</vt:lpstr>
      <vt:lpstr>'OU09'!Print_Area</vt:lpstr>
      <vt:lpstr>'PT01'!Print_Area</vt:lpstr>
      <vt:lpstr>'PT02'!Print_Area</vt:lpstr>
      <vt:lpstr>'PT03'!Print_Area</vt:lpstr>
      <vt:lpstr>'PT04'!Print_Area</vt:lpstr>
      <vt:lpstr>'PT05'!Print_Area</vt:lpstr>
      <vt:lpstr>'PT06'!Print_Area</vt:lpstr>
      <vt:lpstr>'PT07(완사입)'!Print_Area</vt:lpstr>
      <vt:lpstr>'PT08'!Print_Area</vt:lpstr>
      <vt:lpstr>'PT09(완사입)'!Print_Area</vt:lpstr>
      <vt:lpstr>'PT10'!Print_Area</vt:lpstr>
      <vt:lpstr>'PT11(완사입)'!Print_Area</vt:lpstr>
      <vt:lpstr>'PT12'!Print_Area</vt:lpstr>
      <vt:lpstr>'PT13'!Print_Area</vt:lpstr>
      <vt:lpstr>'PT14'!Print_Area</vt:lpstr>
      <vt:lpstr>'PT15'!Print_Area</vt:lpstr>
      <vt:lpstr>'PT16'!Print_Area</vt:lpstr>
      <vt:lpstr>'PT17'!Print_Area</vt:lpstr>
      <vt:lpstr>'PT18'!Print_Area</vt:lpstr>
      <vt:lpstr>'PT19'!Print_Area</vt:lpstr>
      <vt:lpstr>'PT20'!Print_Area</vt:lpstr>
      <vt:lpstr>'PT21'!Print_Area</vt:lpstr>
      <vt:lpstr>'PT22(완사입) '!Print_Area</vt:lpstr>
      <vt:lpstr>'PT23'!Print_Area</vt:lpstr>
      <vt:lpstr>'PT24'!Print_Area</vt:lpstr>
      <vt:lpstr>'PT25(완사입)'!Print_Area</vt:lpstr>
      <vt:lpstr>'PT26(완사입)'!Print_Area</vt:lpstr>
      <vt:lpstr>'PT27(완사입)'!Print_Area</vt:lpstr>
      <vt:lpstr>'PT28(완사입)'!Print_Area</vt:lpstr>
      <vt:lpstr>'PT29(완사입) '!Print_Area</vt:lpstr>
      <vt:lpstr>'PT30'!Print_Area</vt:lpstr>
      <vt:lpstr>'PT31'!Print_Area</vt:lpstr>
      <vt:lpstr>'PT32(완사입)'!Print_Area</vt:lpstr>
      <vt:lpstr>'PT33(완사입)'!Print_Area</vt:lpstr>
      <vt:lpstr>'PT34'!Print_Area</vt:lpstr>
      <vt:lpstr>'PT35'!Print_Area</vt:lpstr>
      <vt:lpstr>'PT36'!Print_Area</vt:lpstr>
      <vt:lpstr>'PT37'!Print_Area</vt:lpstr>
      <vt:lpstr>'SE01'!Print_Area</vt:lpstr>
      <vt:lpstr>'SE02'!Print_Area</vt:lpstr>
      <vt:lpstr>'SE03'!Print_Area</vt:lpstr>
      <vt:lpstr>'SE04'!Print_Area</vt:lpstr>
      <vt:lpstr>'SE05'!Print_Area</vt:lpstr>
      <vt:lpstr>'SE06'!Print_Area</vt:lpstr>
      <vt:lpstr>'SE07'!Print_Area</vt:lpstr>
      <vt:lpstr>'SE08'!Print_Area</vt:lpstr>
      <vt:lpstr>'SE09'!Print_Area</vt:lpstr>
      <vt:lpstr>'SE10'!Print_Area</vt:lpstr>
      <vt:lpstr>'SK01'!Print_Area</vt:lpstr>
      <vt:lpstr>'SK02'!Print_Area</vt:lpstr>
      <vt:lpstr>'SK03'!Print_Area</vt:lpstr>
      <vt:lpstr>'SK04'!Print_Area</vt:lpstr>
      <vt:lpstr>'SK05'!Print_Area</vt:lpstr>
      <vt:lpstr>'SK06'!Print_Area</vt:lpstr>
      <vt:lpstr>'SK07'!Print_Area</vt:lpstr>
      <vt:lpstr>'SK08'!Print_Area</vt:lpstr>
      <vt:lpstr>'SK09'!Print_Area</vt:lpstr>
      <vt:lpstr>'SK10'!Print_Area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  <vt:lpstr>'TO11'!Print_Area</vt:lpstr>
      <vt:lpstr>'TO12'!Print_Area</vt:lpstr>
      <vt:lpstr>'TO13'!Print_Area</vt:lpstr>
      <vt:lpstr>'TO14'!Print_Area</vt:lpstr>
      <vt:lpstr>'TO15'!Print_Area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  <vt:lpstr>'TO22'!Print_Area</vt:lpstr>
      <vt:lpstr>'TO23'!Print_Area</vt:lpstr>
      <vt:lpstr>'TO24'!Print_Area</vt:lpstr>
      <vt:lpstr>'TO25'!Print_Area</vt:lpstr>
      <vt:lpstr>'TO26'!Print_Area</vt:lpstr>
      <vt:lpstr>'TO27'!Print_Area</vt:lpstr>
      <vt:lpstr>'TO28'!Print_Area</vt:lpstr>
      <vt:lpstr>'TO29'!Print_Area</vt:lpstr>
      <vt:lpstr>'TO30'!Print_Area</vt:lpstr>
      <vt:lpstr>'TO31'!Print_Area</vt:lpstr>
      <vt:lpstr>'TO32'!Print_Area</vt:lpstr>
      <vt:lpstr>'TO33'!Print_Area</vt:lpstr>
      <vt:lpstr>'TO34'!Print_Area</vt:lpstr>
      <vt:lpstr>'TO35'!Print_Area</vt:lpstr>
      <vt:lpstr>'TO36'!Print_Area</vt:lpstr>
      <vt:lpstr>'TO37'!Print_Area</vt:lpstr>
      <vt:lpstr>'TO38'!Print_Area</vt:lpstr>
      <vt:lpstr>'TO39'!Print_Area</vt:lpstr>
      <vt:lpstr>'TO40'!Print_Area</vt:lpstr>
      <vt:lpstr>'TO41'!Print_Area</vt:lpstr>
      <vt:lpstr>'TO42'!Print_Area</vt:lpstr>
      <vt:lpstr>'TO43'!Print_Area</vt:lpstr>
      <vt:lpstr>'TO44'!Print_Area</vt:lpstr>
      <vt:lpstr>'TO45'!Print_Area</vt:lpstr>
      <vt:lpstr>'TO46'!Print_Area</vt:lpstr>
      <vt:lpstr>'TO47'!Print_Area</vt:lpstr>
      <vt:lpstr>'TO48'!Print_Area</vt:lpstr>
      <vt:lpstr>'TO49'!Print_Area</vt:lpstr>
      <vt:lpstr>'TO50'!Print_Area</vt:lpstr>
      <vt:lpstr>'TO51'!Print_Area</vt:lpstr>
      <vt:lpstr>'TO52'!Print_Area</vt:lpstr>
      <vt:lpstr>'TO53'!Print_Area</vt:lpstr>
      <vt:lpstr>'TO54'!Print_Area</vt:lpstr>
      <vt:lpstr>'TO55'!Print_Area</vt:lpstr>
      <vt:lpstr>'TO56'!Print_Area</vt:lpstr>
      <vt:lpstr>'TO57'!Print_Area</vt:lpstr>
      <vt:lpstr>'TO58'!Print_Area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2026-01-27T09:30:58Z</cp:lastPrinted>
  <dcterms:created xsi:type="dcterms:W3CDTF">2018-05-14T06:17:18Z</dcterms:created>
  <dcterms:modified xsi:type="dcterms:W3CDTF">2026-02-04T01:52:43Z</dcterms:modified>
</cp:coreProperties>
</file>