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desktop-main\기술개발실 공유\중국풀패턴\생산부보낸파일\2026\08월13일\"/>
    </mc:Choice>
  </mc:AlternateContent>
  <xr:revisionPtr revIDLastSave="0" documentId="13_ncr:1_{74F64E18-2207-4D9C-9284-72D12646FCA4}" xr6:coauthVersionLast="47" xr6:coauthVersionMax="47" xr10:uidLastSave="{00000000-0000-0000-0000-000000000000}"/>
  <bookViews>
    <workbookView xWindow="37560" yWindow="570" windowWidth="19635" windowHeight="14145" tabRatio="772" xr2:uid="{248B8E69-6C34-46C8-9649-87D2B01A7065}"/>
  </bookViews>
  <sheets>
    <sheet name="OU01" sheetId="2756" r:id="rId1"/>
  </sheets>
  <definedNames>
    <definedName name="_xlnm.Print_Area" localSheetId="0">'OU01'!$A$1:$M$22</definedName>
  </definedNames>
  <calcPr calcId="191029"/>
</workbook>
</file>

<file path=xl/calcChain.xml><?xml version="1.0" encoding="utf-8"?>
<calcChain xmlns="http://schemas.openxmlformats.org/spreadsheetml/2006/main">
  <c r="M5" i="2756" l="1"/>
  <c r="L5" i="2756"/>
  <c r="K5" i="2756"/>
  <c r="M11" i="2756"/>
  <c r="L11" i="2756"/>
  <c r="K11" i="2756"/>
  <c r="H11" i="2756"/>
  <c r="I11" i="2756"/>
  <c r="M9" i="2756"/>
  <c r="L9" i="2756"/>
  <c r="K9" i="2756"/>
  <c r="H9" i="2756"/>
  <c r="I9" i="2756"/>
  <c r="I5" i="2756"/>
  <c r="H5" i="2756" s="1"/>
  <c r="K17" i="2756" l="1"/>
  <c r="L17" i="2756" s="1"/>
  <c r="M17" i="2756" s="1"/>
  <c r="I17" i="2756"/>
  <c r="H17" i="2756" s="1"/>
  <c r="K15" i="2756"/>
  <c r="L15" i="2756" s="1"/>
  <c r="M15" i="2756" s="1"/>
  <c r="I15" i="2756"/>
  <c r="H15" i="2756"/>
  <c r="K13" i="2756"/>
  <c r="L13" i="2756" s="1"/>
  <c r="M13" i="2756" s="1"/>
  <c r="I13" i="2756"/>
  <c r="H13" i="2756"/>
  <c r="K7" i="2756"/>
  <c r="L7" i="2756" s="1"/>
  <c r="M7" i="2756" s="1"/>
  <c r="I7" i="2756"/>
  <c r="H7" i="2756"/>
  <c r="K3" i="2756"/>
  <c r="L3" i="2756" s="1"/>
  <c r="M3" i="2756" s="1"/>
  <c r="I3" i="2756"/>
  <c r="H3" i="2756"/>
</calcChain>
</file>

<file path=xl/sharedStrings.xml><?xml version="1.0" encoding="utf-8"?>
<sst xmlns="http://schemas.openxmlformats.org/spreadsheetml/2006/main" count="43" uniqueCount="43">
  <si>
    <t xml:space="preserve">STRIGHT </t>
    <phoneticPr fontId="2" type="noConversion"/>
  </si>
  <si>
    <t>NECK WIDTH</t>
    <phoneticPr fontId="2" type="noConversion"/>
  </si>
  <si>
    <t xml:space="preserve">FRONT NECK DROP </t>
    <phoneticPr fontId="2" type="noConversion"/>
  </si>
  <si>
    <t xml:space="preserve">MAKE IMAGE LINE TO CENTER NECK FRONT </t>
    <phoneticPr fontId="2" type="noConversion"/>
  </si>
  <si>
    <t>STRIGHT (1/2)</t>
    <phoneticPr fontId="2" type="noConversion"/>
  </si>
  <si>
    <t xml:space="preserve">ARMHOLE </t>
  </si>
  <si>
    <t>어깨너비</t>
  </si>
  <si>
    <t>밑단둘레(반품)</t>
  </si>
  <si>
    <t>암홀길이(직선)</t>
  </si>
  <si>
    <t>옆목너비</t>
  </si>
  <si>
    <t>앞목깊이</t>
  </si>
  <si>
    <t>총기장(뒷목)</t>
  </si>
  <si>
    <t>목둘레</t>
  </si>
  <si>
    <t>CHEST (1/2)</t>
    <phoneticPr fontId="2" type="noConversion"/>
  </si>
  <si>
    <t xml:space="preserve">ACROSS SHOULDER </t>
    <phoneticPr fontId="2" type="noConversion"/>
  </si>
  <si>
    <t xml:space="preserve">POINT TO POINT </t>
    <phoneticPr fontId="2" type="noConversion"/>
  </si>
  <si>
    <t>가슴(상동)</t>
    <phoneticPr fontId="1" type="noConversion"/>
  </si>
  <si>
    <t>BOTTOM SWEEP (1/2)</t>
    <phoneticPr fontId="2" type="noConversion"/>
  </si>
  <si>
    <t>어깨 양끝점을 수평으로 잰 길이</t>
    <phoneticPr fontId="1" type="noConversion"/>
  </si>
  <si>
    <t>암홀 겨드랑이 지점에서 수평으로 잰 길이</t>
    <phoneticPr fontId="1" type="noConversion"/>
  </si>
  <si>
    <t>와끼선의 밑단 양끝점을 수평으로 잰 길이</t>
    <phoneticPr fontId="1" type="noConversion"/>
  </si>
  <si>
    <t>어깨끝점과 겨드랑이 점을 직선으로 잰 길이</t>
    <phoneticPr fontId="1" type="noConversion"/>
  </si>
  <si>
    <t>옆목점을 수평으로 잰 길이</t>
    <phoneticPr fontId="1" type="noConversion"/>
  </si>
  <si>
    <t>NO.</t>
    <phoneticPr fontId="1" type="noConversion"/>
  </si>
  <si>
    <t xml:space="preserve">LIST </t>
    <phoneticPr fontId="2" type="noConversion"/>
  </si>
  <si>
    <t xml:space="preserve">MEASURMENT METHOD </t>
    <phoneticPr fontId="2" type="noConversion"/>
  </si>
  <si>
    <t>S</t>
    <phoneticPr fontId="1" type="noConversion"/>
  </si>
  <si>
    <t>M</t>
    <phoneticPr fontId="1" type="noConversion"/>
  </si>
  <si>
    <t>L</t>
    <phoneticPr fontId="1" type="noConversion"/>
  </si>
  <si>
    <t>XL</t>
    <phoneticPr fontId="1" type="noConversion"/>
  </si>
  <si>
    <t xml:space="preserve">INCLUDE WAIST BAND TO EDGE </t>
    <phoneticPr fontId="1" type="noConversion"/>
  </si>
  <si>
    <t>NECK</t>
    <phoneticPr fontId="2" type="noConversion"/>
  </si>
  <si>
    <t xml:space="preserve">ROUND ,@ NECK SEWING  LINE </t>
    <phoneticPr fontId="1" type="noConversion"/>
  </si>
  <si>
    <t>목라인(NECK LINE)을 따라 잰 곡선의 둘레길이</t>
    <phoneticPr fontId="1" type="noConversion"/>
  </si>
  <si>
    <t>뒷목 중심에서 밑단끝까지 직선길이</t>
    <phoneticPr fontId="1" type="noConversion"/>
  </si>
  <si>
    <t>FROM CENTER BACK TO BOTTOM STRIGHT</t>
    <phoneticPr fontId="2" type="noConversion"/>
  </si>
  <si>
    <t>TOTAL LENGTH (C/B)</t>
    <phoneticPr fontId="2" type="noConversion"/>
  </si>
  <si>
    <t>3XL</t>
    <phoneticPr fontId="1" type="noConversion"/>
  </si>
  <si>
    <t>2XL</t>
    <phoneticPr fontId="1" type="noConversion"/>
  </si>
  <si>
    <t>WITHOUT NECK BAND</t>
    <phoneticPr fontId="2" type="noConversion"/>
  </si>
  <si>
    <t xml:space="preserve"> </t>
    <phoneticPr fontId="10" type="noConversion"/>
  </si>
  <si>
    <t>옆목점에서 앞목중심의 수직 길이</t>
    <phoneticPr fontId="1" type="noConversion"/>
  </si>
  <si>
    <t>STYLE NO: JYWOU01-W#G03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</si>
</sst>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sz val="7.5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4" fillId="0" borderId="0">
      <alignment vertical="center"/>
    </xf>
  </cellStyleXfs>
  <cellXfs count="50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3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5" fillId="0" borderId="2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5" fillId="0" borderId="22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</cellXfs>
  <cellStyles count="3">
    <cellStyle name="표준" xfId="0" builtinId="0"/>
    <cellStyle name="표준 2" xfId="1" xr:uid="{295B05F4-427B-4D93-A848-6F90FFE8D4FF}"/>
    <cellStyle name="표준 2 2" xfId="2" xr:uid="{5CF24E8C-E018-477E-BB21-E1DFA9C0B64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8E628-7397-467D-B7C0-44BD680D0490}">
  <sheetPr codeName="Sheet45">
    <tabColor theme="5"/>
    <pageSetUpPr fitToPage="1"/>
  </sheetPr>
  <dimension ref="A1:N51"/>
  <sheetViews>
    <sheetView tabSelected="1" zoomScale="110" zoomScaleNormal="110" workbookViewId="0">
      <selection activeCell="Q14" sqref="Q1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21" t="s">
        <v>42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3"/>
    </row>
    <row r="2" spans="1:14" ht="16.5" customHeight="1" thickBot="1" x14ac:dyDescent="0.35">
      <c r="A2" s="2" t="s">
        <v>23</v>
      </c>
      <c r="B2" s="24" t="s">
        <v>24</v>
      </c>
      <c r="C2" s="24"/>
      <c r="D2" s="24" t="s">
        <v>25</v>
      </c>
      <c r="E2" s="24"/>
      <c r="F2" s="24"/>
      <c r="G2" s="24"/>
      <c r="H2" s="4" t="s">
        <v>26</v>
      </c>
      <c r="I2" s="4" t="s">
        <v>27</v>
      </c>
      <c r="J2" s="3" t="s">
        <v>28</v>
      </c>
      <c r="K2" s="4" t="s">
        <v>29</v>
      </c>
      <c r="L2" s="4" t="s">
        <v>38</v>
      </c>
      <c r="M2" s="4" t="s">
        <v>37</v>
      </c>
    </row>
    <row r="3" spans="1:14" s="1" customFormat="1" ht="14.1" customHeight="1" x14ac:dyDescent="0.3">
      <c r="A3" s="45">
        <v>1</v>
      </c>
      <c r="B3" s="43" t="s">
        <v>36</v>
      </c>
      <c r="C3" s="44"/>
      <c r="D3" s="29" t="s">
        <v>35</v>
      </c>
      <c r="E3" s="30"/>
      <c r="F3" s="30"/>
      <c r="G3" s="31"/>
      <c r="H3" s="48">
        <f>SUM(I3)-2.9</f>
        <v>29.200000000000003</v>
      </c>
      <c r="I3" s="5">
        <f>SUM(J3)-2.9</f>
        <v>32.1</v>
      </c>
      <c r="J3" s="25">
        <v>35</v>
      </c>
      <c r="K3" s="26">
        <f>SUM(J3)+2.4</f>
        <v>37.4</v>
      </c>
      <c r="L3" s="26">
        <f t="shared" ref="L3:M3" si="0">SUM(K3)+2.4</f>
        <v>39.799999999999997</v>
      </c>
      <c r="M3" s="27">
        <f t="shared" si="0"/>
        <v>42.199999999999996</v>
      </c>
    </row>
    <row r="4" spans="1:14" s="1" customFormat="1" ht="14.1" customHeight="1" x14ac:dyDescent="0.3">
      <c r="A4" s="38"/>
      <c r="B4" s="14" t="s">
        <v>11</v>
      </c>
      <c r="C4" s="14"/>
      <c r="D4" s="18" t="s">
        <v>34</v>
      </c>
      <c r="E4" s="19"/>
      <c r="F4" s="19"/>
      <c r="G4" s="19"/>
      <c r="H4" s="49"/>
      <c r="I4" s="11"/>
      <c r="J4" s="10"/>
      <c r="K4" s="11"/>
      <c r="L4" s="11"/>
      <c r="M4" s="12"/>
    </row>
    <row r="5" spans="1:14" s="1" customFormat="1" ht="14.1" customHeight="1" x14ac:dyDescent="0.3">
      <c r="A5" s="38">
        <v>2</v>
      </c>
      <c r="B5" s="28" t="s">
        <v>14</v>
      </c>
      <c r="C5" s="28"/>
      <c r="D5" s="40" t="s">
        <v>15</v>
      </c>
      <c r="E5" s="40"/>
      <c r="F5" s="40"/>
      <c r="G5" s="40"/>
      <c r="H5" s="48">
        <f>SUM(I5)-1.8</f>
        <v>23.7</v>
      </c>
      <c r="I5" s="5">
        <f>SUM(J5)-1.8</f>
        <v>25.5</v>
      </c>
      <c r="J5" s="9">
        <v>27.3</v>
      </c>
      <c r="K5" s="5">
        <f>SUM(J5)+1.6</f>
        <v>28.900000000000002</v>
      </c>
      <c r="L5" s="5">
        <f>SUM(K5)+1.6</f>
        <v>30.500000000000004</v>
      </c>
      <c r="M5" s="13">
        <f>SUM(L5)+1.6</f>
        <v>32.1</v>
      </c>
    </row>
    <row r="6" spans="1:14" s="1" customFormat="1" ht="14.1" customHeight="1" x14ac:dyDescent="0.3">
      <c r="A6" s="38"/>
      <c r="B6" s="14" t="s">
        <v>6</v>
      </c>
      <c r="C6" s="14"/>
      <c r="D6" s="18" t="s">
        <v>18</v>
      </c>
      <c r="E6" s="19"/>
      <c r="F6" s="19"/>
      <c r="G6" s="20"/>
      <c r="H6" s="49"/>
      <c r="I6" s="11"/>
      <c r="J6" s="10"/>
      <c r="K6" s="11"/>
      <c r="L6" s="11"/>
      <c r="M6" s="12"/>
    </row>
    <row r="7" spans="1:14" s="1" customFormat="1" ht="14.1" customHeight="1" x14ac:dyDescent="0.3">
      <c r="A7" s="38">
        <v>3</v>
      </c>
      <c r="B7" s="28" t="s">
        <v>13</v>
      </c>
      <c r="C7" s="28"/>
      <c r="D7" s="40" t="s">
        <v>30</v>
      </c>
      <c r="E7" s="40"/>
      <c r="F7" s="40"/>
      <c r="G7" s="40"/>
      <c r="H7" s="48">
        <f>SUM(I7)-2.25</f>
        <v>33.5</v>
      </c>
      <c r="I7" s="5">
        <f>SUM(J7)-2.25</f>
        <v>35.75</v>
      </c>
      <c r="J7" s="9">
        <v>38</v>
      </c>
      <c r="K7" s="5">
        <f>SUM(J7)+2</f>
        <v>40</v>
      </c>
      <c r="L7" s="5">
        <f t="shared" ref="L7:M7" si="1">SUM(K7)+2</f>
        <v>42</v>
      </c>
      <c r="M7" s="13">
        <f t="shared" si="1"/>
        <v>44</v>
      </c>
    </row>
    <row r="8" spans="1:14" s="1" customFormat="1" ht="14.1" customHeight="1" x14ac:dyDescent="0.3">
      <c r="A8" s="38"/>
      <c r="B8" s="14" t="s">
        <v>16</v>
      </c>
      <c r="C8" s="14"/>
      <c r="D8" s="18" t="s">
        <v>19</v>
      </c>
      <c r="E8" s="19"/>
      <c r="F8" s="19"/>
      <c r="G8" s="20"/>
      <c r="H8" s="49"/>
      <c r="I8" s="11"/>
      <c r="J8" s="10"/>
      <c r="K8" s="11"/>
      <c r="L8" s="11"/>
      <c r="M8" s="12"/>
    </row>
    <row r="9" spans="1:14" s="1" customFormat="1" ht="14.1" customHeight="1" x14ac:dyDescent="0.3">
      <c r="A9" s="38">
        <v>4</v>
      </c>
      <c r="B9" s="28" t="s">
        <v>17</v>
      </c>
      <c r="C9" s="28"/>
      <c r="D9" s="40" t="s">
        <v>4</v>
      </c>
      <c r="E9" s="40"/>
      <c r="F9" s="40"/>
      <c r="G9" s="40"/>
      <c r="H9" s="48">
        <f>SUM(I9)-2.25</f>
        <v>34.6</v>
      </c>
      <c r="I9" s="5">
        <f>SUM(J9)-2.25</f>
        <v>36.85</v>
      </c>
      <c r="J9" s="9">
        <v>39.1</v>
      </c>
      <c r="K9" s="5">
        <f>SUM(J9)+2</f>
        <v>41.1</v>
      </c>
      <c r="L9" s="5">
        <f>SUM(K9)+2</f>
        <v>43.1</v>
      </c>
      <c r="M9" s="13">
        <f>SUM(L9)+2</f>
        <v>45.1</v>
      </c>
      <c r="N9" s="1" t="s">
        <v>40</v>
      </c>
    </row>
    <row r="10" spans="1:14" s="1" customFormat="1" ht="14.1" customHeight="1" x14ac:dyDescent="0.3">
      <c r="A10" s="38"/>
      <c r="B10" s="14" t="s">
        <v>7</v>
      </c>
      <c r="C10" s="14"/>
      <c r="D10" s="18" t="s">
        <v>20</v>
      </c>
      <c r="E10" s="19"/>
      <c r="F10" s="19"/>
      <c r="G10" s="20"/>
      <c r="H10" s="49"/>
      <c r="I10" s="11"/>
      <c r="J10" s="10"/>
      <c r="K10" s="11"/>
      <c r="L10" s="11"/>
      <c r="M10" s="12"/>
    </row>
    <row r="11" spans="1:14" s="1" customFormat="1" ht="14.1" customHeight="1" x14ac:dyDescent="0.3">
      <c r="A11" s="38">
        <v>5</v>
      </c>
      <c r="B11" s="28" t="s">
        <v>5</v>
      </c>
      <c r="C11" s="28"/>
      <c r="D11" s="40" t="s">
        <v>0</v>
      </c>
      <c r="E11" s="40"/>
      <c r="F11" s="40"/>
      <c r="G11" s="40"/>
      <c r="H11" s="48">
        <f>SUM(I11)-0.8</f>
        <v>16.399999999999999</v>
      </c>
      <c r="I11" s="5">
        <f>SUM(J11)-0.8</f>
        <v>17.2</v>
      </c>
      <c r="J11" s="41">
        <v>18</v>
      </c>
      <c r="K11" s="32">
        <f>SUM(J11)+0.8</f>
        <v>18.8</v>
      </c>
      <c r="L11" s="32">
        <f>SUM(K11)+0.8</f>
        <v>19.600000000000001</v>
      </c>
      <c r="M11" s="47">
        <f>SUM(L11)+0.8</f>
        <v>20.400000000000002</v>
      </c>
    </row>
    <row r="12" spans="1:14" s="1" customFormat="1" ht="14.1" customHeight="1" x14ac:dyDescent="0.3">
      <c r="A12" s="38"/>
      <c r="B12" s="14" t="s">
        <v>8</v>
      </c>
      <c r="C12" s="14"/>
      <c r="D12" s="18" t="s">
        <v>21</v>
      </c>
      <c r="E12" s="19"/>
      <c r="F12" s="19"/>
      <c r="G12" s="20"/>
      <c r="H12" s="49"/>
      <c r="I12" s="11"/>
      <c r="J12" s="41"/>
      <c r="K12" s="32"/>
      <c r="L12" s="32"/>
      <c r="M12" s="47"/>
    </row>
    <row r="13" spans="1:14" s="1" customFormat="1" ht="14.1" customHeight="1" x14ac:dyDescent="0.3">
      <c r="A13" s="38">
        <v>6</v>
      </c>
      <c r="B13" s="28" t="s">
        <v>1</v>
      </c>
      <c r="C13" s="28"/>
      <c r="D13" s="40" t="s">
        <v>39</v>
      </c>
      <c r="E13" s="40"/>
      <c r="F13" s="40"/>
      <c r="G13" s="40"/>
      <c r="H13" s="48">
        <f>SUM(I13)-0.6</f>
        <v>14.5</v>
      </c>
      <c r="I13" s="5">
        <f>SUM(J13)-0.6</f>
        <v>15.1</v>
      </c>
      <c r="J13" s="41">
        <v>15.7</v>
      </c>
      <c r="K13" s="32">
        <f>SUM(J13)+0.6</f>
        <v>16.3</v>
      </c>
      <c r="L13" s="32">
        <f>SUM(K13)+0.6</f>
        <v>16.900000000000002</v>
      </c>
      <c r="M13" s="47">
        <f>SUM(L13)+0.6</f>
        <v>17.500000000000004</v>
      </c>
    </row>
    <row r="14" spans="1:14" s="1" customFormat="1" ht="14.1" customHeight="1" x14ac:dyDescent="0.3">
      <c r="A14" s="38"/>
      <c r="B14" s="14" t="s">
        <v>9</v>
      </c>
      <c r="C14" s="14"/>
      <c r="D14" s="18" t="s">
        <v>22</v>
      </c>
      <c r="E14" s="19"/>
      <c r="F14" s="19"/>
      <c r="G14" s="20"/>
      <c r="H14" s="49"/>
      <c r="I14" s="11"/>
      <c r="J14" s="41"/>
      <c r="K14" s="32"/>
      <c r="L14" s="32"/>
      <c r="M14" s="47"/>
    </row>
    <row r="15" spans="1:14" s="1" customFormat="1" ht="14.1" customHeight="1" x14ac:dyDescent="0.3">
      <c r="A15" s="38">
        <v>7</v>
      </c>
      <c r="B15" s="28" t="s">
        <v>2</v>
      </c>
      <c r="C15" s="28"/>
      <c r="D15" s="40" t="s">
        <v>3</v>
      </c>
      <c r="E15" s="40"/>
      <c r="F15" s="40"/>
      <c r="G15" s="40"/>
      <c r="H15" s="48">
        <f>SUM(I15)-0.3</f>
        <v>7.9999999999999991</v>
      </c>
      <c r="I15" s="5">
        <f>SUM(J15)-0.3</f>
        <v>8.2999999999999989</v>
      </c>
      <c r="J15" s="41">
        <v>8.6</v>
      </c>
      <c r="K15" s="32">
        <f>SUM(J15)+0.3</f>
        <v>8.9</v>
      </c>
      <c r="L15" s="32">
        <f>SUM(K15)+0.3</f>
        <v>9.2000000000000011</v>
      </c>
      <c r="M15" s="47">
        <f>SUM(L15)+0.3</f>
        <v>9.5000000000000018</v>
      </c>
    </row>
    <row r="16" spans="1:14" s="1" customFormat="1" ht="14.1" customHeight="1" x14ac:dyDescent="0.3">
      <c r="A16" s="38"/>
      <c r="B16" s="14" t="s">
        <v>10</v>
      </c>
      <c r="C16" s="14"/>
      <c r="D16" s="18" t="s">
        <v>41</v>
      </c>
      <c r="E16" s="19"/>
      <c r="F16" s="19"/>
      <c r="G16" s="20"/>
      <c r="H16" s="49"/>
      <c r="I16" s="11"/>
      <c r="J16" s="41"/>
      <c r="K16" s="32"/>
      <c r="L16" s="32"/>
      <c r="M16" s="47"/>
    </row>
    <row r="17" spans="1:13" s="1" customFormat="1" ht="14.1" customHeight="1" x14ac:dyDescent="0.3">
      <c r="A17" s="38">
        <v>8</v>
      </c>
      <c r="B17" s="7" t="s">
        <v>31</v>
      </c>
      <c r="C17" s="8"/>
      <c r="D17" s="15" t="s">
        <v>32</v>
      </c>
      <c r="E17" s="16"/>
      <c r="F17" s="16"/>
      <c r="G17" s="17"/>
      <c r="H17" s="48">
        <f>SUM(I17)-1.6</f>
        <v>39.9</v>
      </c>
      <c r="I17" s="5">
        <f>SUM(J17)-1.6</f>
        <v>41.5</v>
      </c>
      <c r="J17" s="41">
        <v>43.1</v>
      </c>
      <c r="K17" s="32">
        <f>SUM(J17)+1.6</f>
        <v>44.7</v>
      </c>
      <c r="L17" s="32">
        <f>SUM(K17)+1.6</f>
        <v>46.300000000000004</v>
      </c>
      <c r="M17" s="47">
        <f>SUM(L17)+1.6</f>
        <v>47.900000000000006</v>
      </c>
    </row>
    <row r="18" spans="1:13" s="1" customFormat="1" ht="14.1" customHeight="1" x14ac:dyDescent="0.3">
      <c r="A18" s="38"/>
      <c r="B18" s="14" t="s">
        <v>12</v>
      </c>
      <c r="C18" s="14"/>
      <c r="D18" s="18" t="s">
        <v>33</v>
      </c>
      <c r="E18" s="19"/>
      <c r="F18" s="19"/>
      <c r="G18" s="20"/>
      <c r="H18" s="49"/>
      <c r="I18" s="11"/>
      <c r="J18" s="41"/>
      <c r="K18" s="32"/>
      <c r="L18" s="32"/>
      <c r="M18" s="47"/>
    </row>
    <row r="19" spans="1:13" s="1" customFormat="1" ht="14.1" customHeight="1" x14ac:dyDescent="0.3">
      <c r="A19" s="38">
        <v>9</v>
      </c>
      <c r="B19" s="28"/>
      <c r="C19" s="28"/>
      <c r="D19" s="40"/>
      <c r="E19" s="40"/>
      <c r="F19" s="40"/>
      <c r="G19" s="40"/>
      <c r="H19" s="5"/>
      <c r="I19" s="5"/>
      <c r="J19" s="41"/>
      <c r="K19" s="32"/>
      <c r="L19" s="32"/>
      <c r="M19" s="47"/>
    </row>
    <row r="20" spans="1:13" s="1" customFormat="1" ht="14.1" customHeight="1" x14ac:dyDescent="0.3">
      <c r="A20" s="38"/>
      <c r="B20" s="14"/>
      <c r="C20" s="14"/>
      <c r="D20" s="18"/>
      <c r="E20" s="19"/>
      <c r="F20" s="19"/>
      <c r="G20" s="20"/>
      <c r="H20" s="11"/>
      <c r="I20" s="11"/>
      <c r="J20" s="41"/>
      <c r="K20" s="32"/>
      <c r="L20" s="32"/>
      <c r="M20" s="47"/>
    </row>
    <row r="21" spans="1:13" s="1" customFormat="1" ht="14.1" customHeight="1" x14ac:dyDescent="0.3">
      <c r="A21" s="38">
        <v>10</v>
      </c>
      <c r="B21" s="28"/>
      <c r="C21" s="28"/>
      <c r="D21" s="15"/>
      <c r="E21" s="16"/>
      <c r="F21" s="16"/>
      <c r="G21" s="17"/>
      <c r="H21" s="5"/>
      <c r="I21" s="5"/>
      <c r="J21" s="41"/>
      <c r="K21" s="32"/>
      <c r="L21" s="32"/>
      <c r="M21" s="47"/>
    </row>
    <row r="22" spans="1:13" s="1" customFormat="1" ht="14.1" customHeight="1" thickBot="1" x14ac:dyDescent="0.35">
      <c r="A22" s="39"/>
      <c r="B22" s="34"/>
      <c r="C22" s="34"/>
      <c r="D22" s="35"/>
      <c r="E22" s="36"/>
      <c r="F22" s="36"/>
      <c r="G22" s="37"/>
      <c r="H22" s="6"/>
      <c r="I22" s="6"/>
      <c r="J22" s="42"/>
      <c r="K22" s="33"/>
      <c r="L22" s="33"/>
      <c r="M22" s="46"/>
    </row>
    <row r="23" spans="1:13" s="1" customFormat="1" ht="14.1" customHeigh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</row>
    <row r="24" spans="1:13" s="1" customFormat="1" ht="14.1" customHeigh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</row>
    <row r="25" spans="1:13" s="1" customFormat="1" ht="14.1" customHeigh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</row>
    <row r="26" spans="1:13" s="1" customFormat="1" ht="14.1" customHeigh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</row>
    <row r="27" spans="1:13" s="1" customFormat="1" ht="14.1" customHeigh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</row>
    <row r="28" spans="1:13" s="1" customFormat="1" ht="14.1" customHeigh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</row>
    <row r="29" spans="1:13" s="1" customFormat="1" ht="14.1" customHeigh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</row>
    <row r="30" spans="1:13" s="1" customFormat="1" ht="14.1" customHeigh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</row>
    <row r="31" spans="1:13" ht="14.1" customHeight="1" x14ac:dyDescent="0.3"/>
    <row r="32" spans="1:13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13"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OU01</vt:lpstr>
      <vt:lpstr>'OU01'!Print_Area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지동호</dc:creator>
  <cp:lastModifiedBy>sc240610</cp:lastModifiedBy>
  <cp:lastPrinted>2026-08-13T07:00:10Z</cp:lastPrinted>
  <dcterms:created xsi:type="dcterms:W3CDTF">2018-05-14T06:17:18Z</dcterms:created>
  <dcterms:modified xsi:type="dcterms:W3CDTF">2026-08-13T07:39:25Z</dcterms:modified>
</cp:coreProperties>
</file>