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\\desktop-main\기술개발실 공유\중국풀패턴\생산부보낸파일\2026\03월11일\"/>
    </mc:Choice>
  </mc:AlternateContent>
  <xr:revisionPtr revIDLastSave="0" documentId="13_ncr:1_{6A1C3171-F408-4D5B-B7D1-DAF91DC2419F}" xr6:coauthVersionLast="47" xr6:coauthVersionMax="47" xr10:uidLastSave="{00000000-0000-0000-0000-000000000000}"/>
  <bookViews>
    <workbookView xWindow="37950" yWindow="660" windowWidth="19650" windowHeight="14160" tabRatio="772" xr2:uid="{248B8E69-6C34-46C8-9649-87D2B01A7065}"/>
  </bookViews>
  <sheets>
    <sheet name="TO58" sheetId="2608" r:id="rId1"/>
  </sheets>
  <definedNames>
    <definedName name="_xlnm.Print_Area" localSheetId="0">'TO58'!$A$1:$M$30</definedName>
  </definedNames>
  <calcPr calcId="191029"/>
</workbook>
</file>

<file path=xl/calcChain.xml><?xml version="1.0" encoding="utf-8"?>
<calcChain xmlns="http://schemas.openxmlformats.org/spreadsheetml/2006/main">
  <c r="K27" i="2608" l="1"/>
  <c r="L27" i="2608" s="1"/>
  <c r="M27" i="2608" s="1"/>
  <c r="I27" i="2608"/>
  <c r="H27" i="2608" s="1"/>
  <c r="K25" i="2608"/>
  <c r="L25" i="2608" s="1"/>
  <c r="M25" i="2608" s="1"/>
  <c r="I25" i="2608"/>
  <c r="H25" i="2608"/>
  <c r="K23" i="2608"/>
  <c r="L23" i="2608" s="1"/>
  <c r="M23" i="2608" s="1"/>
  <c r="I23" i="2608"/>
  <c r="H23" i="2608" s="1"/>
  <c r="K19" i="2608"/>
  <c r="L19" i="2608" s="1"/>
  <c r="M19" i="2608" s="1"/>
  <c r="I19" i="2608"/>
  <c r="H19" i="2608" s="1"/>
  <c r="K17" i="2608"/>
  <c r="L17" i="2608" s="1"/>
  <c r="M17" i="2608" s="1"/>
  <c r="I17" i="2608"/>
  <c r="H17" i="2608"/>
  <c r="K15" i="2608"/>
  <c r="L15" i="2608" s="1"/>
  <c r="M15" i="2608" s="1"/>
  <c r="I15" i="2608"/>
  <c r="H15" i="2608" s="1"/>
  <c r="K13" i="2608"/>
  <c r="L13" i="2608" s="1"/>
  <c r="M13" i="2608" s="1"/>
  <c r="I13" i="2608"/>
  <c r="H13" i="2608" s="1"/>
  <c r="K11" i="2608"/>
  <c r="L11" i="2608" s="1"/>
  <c r="M11" i="2608" s="1"/>
  <c r="I11" i="2608"/>
  <c r="H11" i="2608"/>
  <c r="K9" i="2608"/>
  <c r="L9" i="2608" s="1"/>
  <c r="M9" i="2608" s="1"/>
  <c r="I9" i="2608"/>
  <c r="H9" i="2608"/>
  <c r="K7" i="2608"/>
  <c r="L7" i="2608" s="1"/>
  <c r="M7" i="2608" s="1"/>
  <c r="I7" i="2608"/>
  <c r="H7" i="2608"/>
  <c r="K5" i="2608"/>
  <c r="L5" i="2608" s="1"/>
  <c r="M5" i="2608" s="1"/>
  <c r="I5" i="2608"/>
  <c r="H5" i="2608"/>
  <c r="K3" i="2608"/>
  <c r="L3" i="2608" s="1"/>
  <c r="M3" i="2608" s="1"/>
  <c r="I3" i="2608"/>
  <c r="H3" i="2608"/>
</calcChain>
</file>

<file path=xl/sharedStrings.xml><?xml version="1.0" encoding="utf-8"?>
<sst xmlns="http://schemas.openxmlformats.org/spreadsheetml/2006/main" count="58" uniqueCount="58">
  <si>
    <t xml:space="preserve">STRIGHT </t>
    <phoneticPr fontId="2" type="noConversion"/>
  </si>
  <si>
    <t>NECK WIDTH</t>
    <phoneticPr fontId="2" type="noConversion"/>
  </si>
  <si>
    <t xml:space="preserve">FRONT NECK DROP </t>
    <phoneticPr fontId="2" type="noConversion"/>
  </si>
  <si>
    <t xml:space="preserve">MAKE IMAGE LINE TO CENTER NECK FRONT </t>
    <phoneticPr fontId="2" type="noConversion"/>
  </si>
  <si>
    <t>SLEEVE LENGTH</t>
    <phoneticPr fontId="2" type="noConversion"/>
  </si>
  <si>
    <t xml:space="preserve">FROM SHOULDER POINT TO EDGE </t>
    <phoneticPr fontId="2" type="noConversion"/>
  </si>
  <si>
    <t>BICEP</t>
    <phoneticPr fontId="2" type="noConversion"/>
  </si>
  <si>
    <t>FROM ARMHOLE JOINING POINT ,CIRCLE ROUND</t>
    <phoneticPr fontId="2" type="noConversion"/>
  </si>
  <si>
    <t>STRIGHT (1/2)</t>
    <phoneticPr fontId="2" type="noConversion"/>
  </si>
  <si>
    <t xml:space="preserve">ARMHOLE </t>
  </si>
  <si>
    <t>어깨너비</t>
  </si>
  <si>
    <t>밑단둘레(반품)</t>
  </si>
  <si>
    <t>암홀길이(직선)</t>
  </si>
  <si>
    <t>옆목너비</t>
  </si>
  <si>
    <t>앞목깊이</t>
  </si>
  <si>
    <t>소매기장</t>
  </si>
  <si>
    <t>소매통</t>
  </si>
  <si>
    <t>소매부리</t>
  </si>
  <si>
    <t>목둘레</t>
  </si>
  <si>
    <t>CHEST (1/2)</t>
    <phoneticPr fontId="2" type="noConversion"/>
  </si>
  <si>
    <t>총기장(옆목)</t>
    <phoneticPr fontId="2" type="noConversion"/>
  </si>
  <si>
    <t xml:space="preserve">ACROSS SHOULDER </t>
    <phoneticPr fontId="2" type="noConversion"/>
  </si>
  <si>
    <t xml:space="preserve">POINT TO POINT </t>
    <phoneticPr fontId="2" type="noConversion"/>
  </si>
  <si>
    <t>TOTAL LENGTH</t>
    <phoneticPr fontId="2" type="noConversion"/>
  </si>
  <si>
    <t>가슴(상동)</t>
    <phoneticPr fontId="1" type="noConversion"/>
  </si>
  <si>
    <t>BOTTOM SWEEP (1/2)</t>
    <phoneticPr fontId="2" type="noConversion"/>
  </si>
  <si>
    <t>어깨 양끝점을 수평으로 잰 길이</t>
    <phoneticPr fontId="1" type="noConversion"/>
  </si>
  <si>
    <t>암홀 겨드랑이 지점에서 수평으로 잰 길이</t>
    <phoneticPr fontId="1" type="noConversion"/>
  </si>
  <si>
    <t>와끼선의 밑단 양끝점을 수평으로 잰 길이</t>
    <phoneticPr fontId="1" type="noConversion"/>
  </si>
  <si>
    <t>어깨끝점과 겨드랑이 점을 직선으로 잰 길이</t>
    <phoneticPr fontId="1" type="noConversion"/>
  </si>
  <si>
    <t>어깨 끝점에서 소매 부리(밑단) 끝까지의 직선 길이</t>
    <phoneticPr fontId="1" type="noConversion"/>
  </si>
  <si>
    <t>NO.</t>
    <phoneticPr fontId="1" type="noConversion"/>
  </si>
  <si>
    <t xml:space="preserve">LIST </t>
    <phoneticPr fontId="2" type="noConversion"/>
  </si>
  <si>
    <t xml:space="preserve">MEASURMENT METHOD </t>
    <phoneticPr fontId="2" type="noConversion"/>
  </si>
  <si>
    <t>S</t>
    <phoneticPr fontId="1" type="noConversion"/>
  </si>
  <si>
    <t>M</t>
    <phoneticPr fontId="1" type="noConversion"/>
  </si>
  <si>
    <t>L</t>
    <phoneticPr fontId="1" type="noConversion"/>
  </si>
  <si>
    <t>XL</t>
    <phoneticPr fontId="1" type="noConversion"/>
  </si>
  <si>
    <r>
      <t xml:space="preserve">HPS TO BOTTOM EDGE </t>
    </r>
    <r>
      <rPr>
        <sz val="7.5"/>
        <color indexed="10"/>
        <rFont val="맑은 고딕"/>
        <family val="3"/>
        <charset val="129"/>
      </rPr>
      <t xml:space="preserve">(EXCLUDE NECK BAND) </t>
    </r>
    <phoneticPr fontId="2" type="noConversion"/>
  </si>
  <si>
    <t>암홀 겨드랑이 지점에서 소매중심의 수직 길이(둘레)</t>
    <phoneticPr fontId="1" type="noConversion"/>
  </si>
  <si>
    <t xml:space="preserve">CIRCLE ROUND </t>
    <phoneticPr fontId="2" type="noConversion"/>
  </si>
  <si>
    <t>소매 밑단(시보리 밑단)의 둘레 길이</t>
    <phoneticPr fontId="1" type="noConversion"/>
  </si>
  <si>
    <t xml:space="preserve">INCLUDE WAIST BAND TO EDGE </t>
    <phoneticPr fontId="1" type="noConversion"/>
  </si>
  <si>
    <t>NECK</t>
    <phoneticPr fontId="2" type="noConversion"/>
  </si>
  <si>
    <t xml:space="preserve">ROUND ,@ NECK SEWING  LINE </t>
    <phoneticPr fontId="1" type="noConversion"/>
  </si>
  <si>
    <t xml:space="preserve">CUFFS OPENING </t>
    <phoneticPr fontId="2" type="noConversion"/>
  </si>
  <si>
    <t>옆목점에서 밑단까지의 직선길이</t>
    <phoneticPr fontId="1" type="noConversion"/>
  </si>
  <si>
    <r>
      <t xml:space="preserve">옆목점을 수평으로 잰 길이 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</si>
  <si>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r>
      <t xml:space="preserve">옆목점에서 앞목중심의 수직 길이 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</si>
  <si>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r>
      <t>목라인(NECK LINE)을 따라 잰 곡선의 둘레길이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</si>
  <si>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t>POINT A</t>
    <phoneticPr fontId="1" type="noConversion"/>
  </si>
  <si>
    <t>위치 A</t>
    <phoneticPr fontId="1" type="noConversion"/>
  </si>
  <si>
    <t>3XL</t>
    <phoneticPr fontId="1" type="noConversion"/>
  </si>
  <si>
    <t>2XL</t>
    <phoneticPr fontId="1" type="noConversion"/>
  </si>
  <si>
    <t>WITHOUT NECK BAND</t>
    <phoneticPr fontId="2" type="noConversion"/>
  </si>
  <si>
    <t>SIDESEAM 4G BAND</t>
    <phoneticPr fontId="10" type="noConversion"/>
  </si>
  <si>
    <t>와끼4골고무줄</t>
    <phoneticPr fontId="10" type="noConversion"/>
  </si>
  <si>
    <t>STYLE NO: JYUTO58-K#Y28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</si>
</sst>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7.5"/>
      <color indexed="1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7.5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3" fillId="0" borderId="0"/>
    <xf numFmtId="0" fontId="5" fillId="0" borderId="0">
      <alignment vertical="center"/>
    </xf>
  </cellStyleXfs>
  <cellXfs count="59">
    <xf numFmtId="0" fontId="0" fillId="0" borderId="0" xfId="0">
      <alignment vertical="center"/>
    </xf>
    <xf numFmtId="0" fontId="6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18" xfId="0" applyFont="1" applyBorder="1" applyAlignment="1">
      <alignment horizontal="left" vertical="center"/>
    </xf>
    <xf numFmtId="0" fontId="9" fillId="0" borderId="20" xfId="0" applyFont="1" applyBorder="1" applyAlignment="1">
      <alignment horizontal="left" vertical="center"/>
    </xf>
    <xf numFmtId="0" fontId="9" fillId="0" borderId="19" xfId="0" applyFont="1" applyBorder="1" applyAlignment="1">
      <alignment horizontal="left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5" xfId="0" applyFont="1" applyBorder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9" fillId="0" borderId="25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26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</cellXfs>
  <cellStyles count="3">
    <cellStyle name="표준" xfId="0" builtinId="0"/>
    <cellStyle name="표준 2" xfId="1" xr:uid="{295B05F4-427B-4D93-A848-6F90FFE8D4FF}"/>
    <cellStyle name="표준 2 2" xfId="2" xr:uid="{5CF24E8C-E018-477E-BB21-E1DFA9C0B64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0DAD1-30CD-4599-9F45-E1EB72386CDF}">
  <sheetPr>
    <tabColor rgb="FFFF0000"/>
    <pageSetUpPr fitToPage="1"/>
  </sheetPr>
  <dimension ref="A1:M66"/>
  <sheetViews>
    <sheetView tabSelected="1" zoomScale="110" zoomScaleNormal="110" workbookViewId="0">
      <selection activeCell="P22" sqref="P2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 x14ac:dyDescent="0.35">
      <c r="A1" s="46" t="s">
        <v>57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</row>
    <row r="2" spans="1:13" ht="16.5" customHeight="1" thickBot="1" x14ac:dyDescent="0.35">
      <c r="A2" s="2" t="s">
        <v>31</v>
      </c>
      <c r="B2" s="49" t="s">
        <v>32</v>
      </c>
      <c r="C2" s="49"/>
      <c r="D2" s="49" t="s">
        <v>33</v>
      </c>
      <c r="E2" s="49"/>
      <c r="F2" s="49"/>
      <c r="G2" s="49"/>
      <c r="H2" s="4" t="s">
        <v>34</v>
      </c>
      <c r="I2" s="4" t="s">
        <v>35</v>
      </c>
      <c r="J2" s="3" t="s">
        <v>36</v>
      </c>
      <c r="K2" s="4" t="s">
        <v>37</v>
      </c>
      <c r="L2" s="4" t="s">
        <v>53</v>
      </c>
      <c r="M2" s="4" t="s">
        <v>52</v>
      </c>
    </row>
    <row r="3" spans="1:13" s="1" customFormat="1" ht="14.1" customHeight="1" x14ac:dyDescent="0.3">
      <c r="A3" s="50">
        <v>1</v>
      </c>
      <c r="B3" s="51" t="s">
        <v>23</v>
      </c>
      <c r="C3" s="51"/>
      <c r="D3" s="52" t="s">
        <v>38</v>
      </c>
      <c r="E3" s="52"/>
      <c r="F3" s="52"/>
      <c r="G3" s="53"/>
      <c r="H3" s="5">
        <f>SUM(I3)-3</f>
        <v>35</v>
      </c>
      <c r="I3" s="5">
        <f>SUM(J3)-3</f>
        <v>38</v>
      </c>
      <c r="J3" s="9">
        <v>41</v>
      </c>
      <c r="K3" s="5">
        <f>SUM(J3)+2.5</f>
        <v>43.5</v>
      </c>
      <c r="L3" s="5">
        <f>SUM(K3)+2.5</f>
        <v>46</v>
      </c>
      <c r="M3" s="54">
        <f>SUM(L3)+2.5</f>
        <v>48.5</v>
      </c>
    </row>
    <row r="4" spans="1:13" s="1" customFormat="1" ht="14.1" customHeight="1" x14ac:dyDescent="0.3">
      <c r="A4" s="12"/>
      <c r="B4" s="34" t="s">
        <v>20</v>
      </c>
      <c r="C4" s="34"/>
      <c r="D4" s="35" t="s">
        <v>46</v>
      </c>
      <c r="E4" s="36"/>
      <c r="F4" s="36"/>
      <c r="G4" s="36"/>
      <c r="H4" s="6"/>
      <c r="I4" s="6"/>
      <c r="J4" s="10"/>
      <c r="K4" s="6"/>
      <c r="L4" s="6"/>
      <c r="M4" s="8"/>
    </row>
    <row r="5" spans="1:13" s="1" customFormat="1" ht="14.1" customHeight="1" x14ac:dyDescent="0.3">
      <c r="A5" s="13">
        <v>2</v>
      </c>
      <c r="B5" s="39" t="s">
        <v>21</v>
      </c>
      <c r="C5" s="39"/>
      <c r="D5" s="38" t="s">
        <v>22</v>
      </c>
      <c r="E5" s="38"/>
      <c r="F5" s="38"/>
      <c r="G5" s="38"/>
      <c r="H5" s="5">
        <f>SUM(I5)-1.8</f>
        <v>23.4</v>
      </c>
      <c r="I5" s="5">
        <f>SUM(J5)-1.8</f>
        <v>25.2</v>
      </c>
      <c r="J5" s="9">
        <v>27</v>
      </c>
      <c r="K5" s="5">
        <f>SUM(J5)+1.6</f>
        <v>28.6</v>
      </c>
      <c r="L5" s="5">
        <f t="shared" ref="L5:M5" si="0">SUM(K5)+1.6</f>
        <v>30.200000000000003</v>
      </c>
      <c r="M5" s="7">
        <f t="shared" si="0"/>
        <v>31.800000000000004</v>
      </c>
    </row>
    <row r="6" spans="1:13" s="1" customFormat="1" ht="14.1" customHeight="1" x14ac:dyDescent="0.3">
      <c r="A6" s="13"/>
      <c r="B6" s="34" t="s">
        <v>10</v>
      </c>
      <c r="C6" s="34"/>
      <c r="D6" s="35" t="s">
        <v>26</v>
      </c>
      <c r="E6" s="36"/>
      <c r="F6" s="36"/>
      <c r="G6" s="37"/>
      <c r="H6" s="6"/>
      <c r="I6" s="6"/>
      <c r="J6" s="10"/>
      <c r="K6" s="6"/>
      <c r="L6" s="6"/>
      <c r="M6" s="8"/>
    </row>
    <row r="7" spans="1:13" s="1" customFormat="1" ht="14.1" customHeight="1" x14ac:dyDescent="0.3">
      <c r="A7" s="13">
        <v>3</v>
      </c>
      <c r="B7" s="39" t="s">
        <v>19</v>
      </c>
      <c r="C7" s="39"/>
      <c r="D7" s="38" t="s">
        <v>42</v>
      </c>
      <c r="E7" s="38"/>
      <c r="F7" s="38"/>
      <c r="G7" s="38"/>
      <c r="H7" s="5">
        <f>SUM(I7)-2.25</f>
        <v>28.5</v>
      </c>
      <c r="I7" s="5">
        <f>SUM(J7)-2.25</f>
        <v>30.75</v>
      </c>
      <c r="J7" s="9">
        <v>33</v>
      </c>
      <c r="K7" s="5">
        <f>SUM(J7)+2</f>
        <v>35</v>
      </c>
      <c r="L7" s="5">
        <f>SUM(K7)+2</f>
        <v>37</v>
      </c>
      <c r="M7" s="7">
        <f>SUM(L7)+2</f>
        <v>39</v>
      </c>
    </row>
    <row r="8" spans="1:13" s="1" customFormat="1" ht="14.1" customHeight="1" x14ac:dyDescent="0.3">
      <c r="A8" s="13"/>
      <c r="B8" s="34" t="s">
        <v>24</v>
      </c>
      <c r="C8" s="34"/>
      <c r="D8" s="35" t="s">
        <v>27</v>
      </c>
      <c r="E8" s="36"/>
      <c r="F8" s="36"/>
      <c r="G8" s="37"/>
      <c r="H8" s="6"/>
      <c r="I8" s="6"/>
      <c r="J8" s="10"/>
      <c r="K8" s="6"/>
      <c r="L8" s="6"/>
      <c r="M8" s="8"/>
    </row>
    <row r="9" spans="1:13" s="1" customFormat="1" ht="14.1" customHeight="1" x14ac:dyDescent="0.3">
      <c r="A9" s="13">
        <v>4</v>
      </c>
      <c r="B9" s="39" t="s">
        <v>25</v>
      </c>
      <c r="C9" s="39"/>
      <c r="D9" s="38" t="s">
        <v>8</v>
      </c>
      <c r="E9" s="38"/>
      <c r="F9" s="38"/>
      <c r="G9" s="38"/>
      <c r="H9" s="5">
        <f>SUM(I9)-2.25</f>
        <v>28.5</v>
      </c>
      <c r="I9" s="5">
        <f>SUM(J9)-2.25</f>
        <v>30.75</v>
      </c>
      <c r="J9" s="9">
        <v>33</v>
      </c>
      <c r="K9" s="5">
        <f>SUM(J9)+2</f>
        <v>35</v>
      </c>
      <c r="L9" s="5">
        <f>SUM(K9)+2</f>
        <v>37</v>
      </c>
      <c r="M9" s="7">
        <f>SUM(L9)+2</f>
        <v>39</v>
      </c>
    </row>
    <row r="10" spans="1:13" s="1" customFormat="1" ht="14.1" customHeight="1" x14ac:dyDescent="0.3">
      <c r="A10" s="13"/>
      <c r="B10" s="34" t="s">
        <v>11</v>
      </c>
      <c r="C10" s="34"/>
      <c r="D10" s="35" t="s">
        <v>28</v>
      </c>
      <c r="E10" s="36"/>
      <c r="F10" s="36"/>
      <c r="G10" s="37"/>
      <c r="H10" s="6"/>
      <c r="I10" s="6"/>
      <c r="J10" s="10"/>
      <c r="K10" s="6"/>
      <c r="L10" s="6"/>
      <c r="M10" s="8"/>
    </row>
    <row r="11" spans="1:13" s="1" customFormat="1" ht="14.1" customHeight="1" x14ac:dyDescent="0.3">
      <c r="A11" s="13">
        <v>5</v>
      </c>
      <c r="B11" s="39" t="s">
        <v>9</v>
      </c>
      <c r="C11" s="39"/>
      <c r="D11" s="38" t="s">
        <v>0</v>
      </c>
      <c r="E11" s="38"/>
      <c r="F11" s="38"/>
      <c r="G11" s="38"/>
      <c r="H11" s="39">
        <f>SUM(I11)-0.8</f>
        <v>13.399999999999999</v>
      </c>
      <c r="I11" s="39">
        <f>SUM(J11)-0.8</f>
        <v>14.2</v>
      </c>
      <c r="J11" s="58">
        <v>15</v>
      </c>
      <c r="K11" s="57">
        <f>SUM(J11)+0.8</f>
        <v>15.8</v>
      </c>
      <c r="L11" s="57">
        <f>SUM(K11)+0.8</f>
        <v>16.600000000000001</v>
      </c>
      <c r="M11" s="33">
        <f>SUM(L11)+0.8</f>
        <v>17.400000000000002</v>
      </c>
    </row>
    <row r="12" spans="1:13" s="1" customFormat="1" ht="14.1" customHeight="1" x14ac:dyDescent="0.3">
      <c r="A12" s="13"/>
      <c r="B12" s="34" t="s">
        <v>12</v>
      </c>
      <c r="C12" s="34"/>
      <c r="D12" s="35" t="s">
        <v>29</v>
      </c>
      <c r="E12" s="36"/>
      <c r="F12" s="36"/>
      <c r="G12" s="37"/>
      <c r="H12" s="34"/>
      <c r="I12" s="34"/>
      <c r="J12" s="58"/>
      <c r="K12" s="57"/>
      <c r="L12" s="57"/>
      <c r="M12" s="33"/>
    </row>
    <row r="13" spans="1:13" s="1" customFormat="1" ht="14.1" customHeight="1" x14ac:dyDescent="0.3">
      <c r="A13" s="13">
        <v>6</v>
      </c>
      <c r="B13" s="39" t="s">
        <v>1</v>
      </c>
      <c r="C13" s="39"/>
      <c r="D13" s="38" t="s">
        <v>54</v>
      </c>
      <c r="E13" s="38"/>
      <c r="F13" s="38"/>
      <c r="G13" s="38"/>
      <c r="H13" s="5">
        <f>SUM(I13)-0.6</f>
        <v>14.8</v>
      </c>
      <c r="I13" s="5">
        <f>SUM(J13)-0.6</f>
        <v>15.4</v>
      </c>
      <c r="J13" s="16">
        <v>16</v>
      </c>
      <c r="K13" s="18">
        <f>SUM(J13)+0.6</f>
        <v>16.600000000000001</v>
      </c>
      <c r="L13" s="18">
        <f>SUM(K13)+0.6</f>
        <v>17.200000000000003</v>
      </c>
      <c r="M13" s="33">
        <f>SUM(L13)+0.6</f>
        <v>17.800000000000004</v>
      </c>
    </row>
    <row r="14" spans="1:13" s="1" customFormat="1" ht="14.1" customHeight="1" x14ac:dyDescent="0.3">
      <c r="A14" s="13"/>
      <c r="B14" s="34" t="s">
        <v>13</v>
      </c>
      <c r="C14" s="34"/>
      <c r="D14" s="35" t="s">
        <v>47</v>
      </c>
      <c r="E14" s="36"/>
      <c r="F14" s="36"/>
      <c r="G14" s="37"/>
      <c r="H14" s="6"/>
      <c r="I14" s="6"/>
      <c r="J14" s="16"/>
      <c r="K14" s="18"/>
      <c r="L14" s="18"/>
      <c r="M14" s="33"/>
    </row>
    <row r="15" spans="1:13" s="1" customFormat="1" ht="14.1" customHeight="1" x14ac:dyDescent="0.3">
      <c r="A15" s="13">
        <v>7</v>
      </c>
      <c r="B15" s="39" t="s">
        <v>2</v>
      </c>
      <c r="C15" s="39"/>
      <c r="D15" s="38" t="s">
        <v>3</v>
      </c>
      <c r="E15" s="38"/>
      <c r="F15" s="38"/>
      <c r="G15" s="38"/>
      <c r="H15" s="5">
        <f>SUM(I15)-0.3</f>
        <v>6.9</v>
      </c>
      <c r="I15" s="5">
        <f>SUM(J15)-0.3</f>
        <v>7.2</v>
      </c>
      <c r="J15" s="16">
        <v>7.5</v>
      </c>
      <c r="K15" s="18">
        <f>SUM(J15)+0.3</f>
        <v>7.8</v>
      </c>
      <c r="L15" s="18">
        <f>SUM(K15)+0.3</f>
        <v>8.1</v>
      </c>
      <c r="M15" s="33">
        <f>SUM(L15)+0.3</f>
        <v>8.4</v>
      </c>
    </row>
    <row r="16" spans="1:13" s="1" customFormat="1" ht="14.1" customHeight="1" x14ac:dyDescent="0.3">
      <c r="A16" s="13"/>
      <c r="B16" s="34" t="s">
        <v>14</v>
      </c>
      <c r="C16" s="34"/>
      <c r="D16" s="35" t="s">
        <v>48</v>
      </c>
      <c r="E16" s="36"/>
      <c r="F16" s="36"/>
      <c r="G16" s="37"/>
      <c r="H16" s="6"/>
      <c r="I16" s="6"/>
      <c r="J16" s="16"/>
      <c r="K16" s="18"/>
      <c r="L16" s="18"/>
      <c r="M16" s="33"/>
    </row>
    <row r="17" spans="1:13" s="1" customFormat="1" ht="14.1" customHeight="1" x14ac:dyDescent="0.3">
      <c r="A17" s="13">
        <v>8</v>
      </c>
      <c r="B17" s="14" t="s">
        <v>43</v>
      </c>
      <c r="C17" s="15"/>
      <c r="D17" s="40" t="s">
        <v>44</v>
      </c>
      <c r="E17" s="41"/>
      <c r="F17" s="41"/>
      <c r="G17" s="42"/>
      <c r="H17" s="5">
        <f>SUM(I17)-1.6</f>
        <v>38.799999999999997</v>
      </c>
      <c r="I17" s="5">
        <f>SUM(J17)-1.6</f>
        <v>40.4</v>
      </c>
      <c r="J17" s="16">
        <v>42</v>
      </c>
      <c r="K17" s="18">
        <f>SUM(J17)+1.6</f>
        <v>43.6</v>
      </c>
      <c r="L17" s="18">
        <f>SUM(K17)+1.6</f>
        <v>45.2</v>
      </c>
      <c r="M17" s="33">
        <f>SUM(L17)+1.6</f>
        <v>46.800000000000004</v>
      </c>
    </row>
    <row r="18" spans="1:13" s="1" customFormat="1" ht="14.1" customHeight="1" x14ac:dyDescent="0.3">
      <c r="A18" s="13"/>
      <c r="B18" s="34" t="s">
        <v>18</v>
      </c>
      <c r="C18" s="34"/>
      <c r="D18" s="35" t="s">
        <v>49</v>
      </c>
      <c r="E18" s="36"/>
      <c r="F18" s="36"/>
      <c r="G18" s="37"/>
      <c r="H18" s="6"/>
      <c r="I18" s="6"/>
      <c r="J18" s="16"/>
      <c r="K18" s="18"/>
      <c r="L18" s="18"/>
      <c r="M18" s="33"/>
    </row>
    <row r="19" spans="1:13" s="1" customFormat="1" ht="14.1" customHeight="1" x14ac:dyDescent="0.3">
      <c r="A19" s="13">
        <v>9</v>
      </c>
      <c r="B19" s="39" t="s">
        <v>4</v>
      </c>
      <c r="C19" s="39"/>
      <c r="D19" s="38" t="s">
        <v>5</v>
      </c>
      <c r="E19" s="38"/>
      <c r="F19" s="38"/>
      <c r="G19" s="38"/>
      <c r="H19" s="5">
        <f>SUM(I19)-0.7</f>
        <v>7.6000000000000005</v>
      </c>
      <c r="I19" s="5">
        <f>SUM(J19)-0.7</f>
        <v>8.3000000000000007</v>
      </c>
      <c r="J19" s="9">
        <v>9</v>
      </c>
      <c r="K19" s="5">
        <f>SUM(J19)+0.8</f>
        <v>9.8000000000000007</v>
      </c>
      <c r="L19" s="5">
        <f>SUM(K19)+0.8</f>
        <v>10.600000000000001</v>
      </c>
      <c r="M19" s="7">
        <f>SUM(L19)+0.8</f>
        <v>11.400000000000002</v>
      </c>
    </row>
    <row r="20" spans="1:13" s="1" customFormat="1" ht="14.1" customHeight="1" x14ac:dyDescent="0.3">
      <c r="A20" s="13"/>
      <c r="B20" s="34" t="s">
        <v>15</v>
      </c>
      <c r="C20" s="34"/>
      <c r="D20" s="35" t="s">
        <v>30</v>
      </c>
      <c r="E20" s="36"/>
      <c r="F20" s="36"/>
      <c r="G20" s="37"/>
      <c r="H20" s="6"/>
      <c r="I20" s="6"/>
      <c r="J20" s="10"/>
      <c r="K20" s="6"/>
      <c r="L20" s="6"/>
      <c r="M20" s="8"/>
    </row>
    <row r="21" spans="1:13" s="1" customFormat="1" ht="14.1" customHeight="1" x14ac:dyDescent="0.3">
      <c r="A21" s="13">
        <v>10</v>
      </c>
      <c r="B21" s="39" t="s">
        <v>6</v>
      </c>
      <c r="C21" s="39"/>
      <c r="D21" s="40" t="s">
        <v>7</v>
      </c>
      <c r="E21" s="41"/>
      <c r="F21" s="41"/>
      <c r="G21" s="42"/>
      <c r="H21" s="5"/>
      <c r="I21" s="5"/>
      <c r="J21" s="16"/>
      <c r="K21" s="18"/>
      <c r="L21" s="18"/>
      <c r="M21" s="33"/>
    </row>
    <row r="22" spans="1:13" s="1" customFormat="1" ht="14.1" customHeight="1" x14ac:dyDescent="0.3">
      <c r="A22" s="13"/>
      <c r="B22" s="34" t="s">
        <v>16</v>
      </c>
      <c r="C22" s="34"/>
      <c r="D22" s="35" t="s">
        <v>39</v>
      </c>
      <c r="E22" s="36"/>
      <c r="F22" s="36"/>
      <c r="G22" s="37"/>
      <c r="H22" s="6"/>
      <c r="I22" s="6"/>
      <c r="J22" s="16"/>
      <c r="K22" s="18"/>
      <c r="L22" s="18"/>
      <c r="M22" s="33"/>
    </row>
    <row r="23" spans="1:13" s="1" customFormat="1" ht="14.1" customHeight="1" x14ac:dyDescent="0.3">
      <c r="A23" s="13">
        <v>11</v>
      </c>
      <c r="B23" s="14" t="s">
        <v>45</v>
      </c>
      <c r="C23" s="15"/>
      <c r="D23" s="38" t="s">
        <v>40</v>
      </c>
      <c r="E23" s="38"/>
      <c r="F23" s="38"/>
      <c r="G23" s="38"/>
      <c r="H23" s="5">
        <f>SUM(I23)-1.3</f>
        <v>23.2</v>
      </c>
      <c r="I23" s="5">
        <f>SUM(J23)-1.3</f>
        <v>24.5</v>
      </c>
      <c r="J23" s="16">
        <v>25.8</v>
      </c>
      <c r="K23" s="18">
        <f>SUM(J23)+1.3</f>
        <v>27.1</v>
      </c>
      <c r="L23" s="18">
        <f>SUM(K23)+1.3</f>
        <v>28.400000000000002</v>
      </c>
      <c r="M23" s="33">
        <f>SUM(L23)+1.3</f>
        <v>29.700000000000003</v>
      </c>
    </row>
    <row r="24" spans="1:13" s="1" customFormat="1" ht="14.1" customHeight="1" x14ac:dyDescent="0.3">
      <c r="A24" s="13"/>
      <c r="B24" s="34" t="s">
        <v>17</v>
      </c>
      <c r="C24" s="34"/>
      <c r="D24" s="35" t="s">
        <v>41</v>
      </c>
      <c r="E24" s="36"/>
      <c r="F24" s="36"/>
      <c r="G24" s="37"/>
      <c r="H24" s="6"/>
      <c r="I24" s="6"/>
      <c r="J24" s="16"/>
      <c r="K24" s="18"/>
      <c r="L24" s="18"/>
      <c r="M24" s="33"/>
    </row>
    <row r="25" spans="1:13" s="1" customFormat="1" ht="14.1" customHeight="1" x14ac:dyDescent="0.3">
      <c r="A25" s="13">
        <v>12</v>
      </c>
      <c r="B25" s="14" t="s">
        <v>55</v>
      </c>
      <c r="C25" s="15"/>
      <c r="D25" s="28"/>
      <c r="E25" s="29"/>
      <c r="F25" s="29"/>
      <c r="G25" s="30"/>
      <c r="H25" s="5">
        <f>SUM(I25)-0.6</f>
        <v>5.3000000000000007</v>
      </c>
      <c r="I25" s="5">
        <f>SUM(J25)-0.6</f>
        <v>5.9</v>
      </c>
      <c r="J25" s="16">
        <v>6.5</v>
      </c>
      <c r="K25" s="18">
        <f>SUM(J25)+0.4</f>
        <v>6.9</v>
      </c>
      <c r="L25" s="18">
        <f>SUM(K25)+0.4</f>
        <v>7.3000000000000007</v>
      </c>
      <c r="M25" s="33">
        <f>SUM(L25)+0.4</f>
        <v>7.7000000000000011</v>
      </c>
    </row>
    <row r="26" spans="1:13" s="1" customFormat="1" ht="14.1" customHeight="1" x14ac:dyDescent="0.3">
      <c r="A26" s="11"/>
      <c r="B26" s="55" t="s">
        <v>56</v>
      </c>
      <c r="C26" s="55"/>
      <c r="D26" s="43"/>
      <c r="E26" s="44"/>
      <c r="F26" s="44"/>
      <c r="G26" s="45"/>
      <c r="H26" s="32"/>
      <c r="I26" s="32"/>
      <c r="J26" s="9"/>
      <c r="K26" s="5"/>
      <c r="L26" s="5"/>
      <c r="M26" s="7"/>
    </row>
    <row r="27" spans="1:13" s="1" customFormat="1" ht="14.1" customHeight="1" x14ac:dyDescent="0.3">
      <c r="A27" s="13">
        <v>13</v>
      </c>
      <c r="B27" s="14" t="s">
        <v>50</v>
      </c>
      <c r="C27" s="15"/>
      <c r="D27" s="28"/>
      <c r="E27" s="29"/>
      <c r="F27" s="29"/>
      <c r="G27" s="30"/>
      <c r="H27" s="5">
        <f>SUM(I27)-0.3</f>
        <v>3.9000000000000004</v>
      </c>
      <c r="I27" s="5">
        <f>SUM(J27)-0.3</f>
        <v>4.2</v>
      </c>
      <c r="J27" s="16">
        <v>4.5</v>
      </c>
      <c r="K27" s="18">
        <f>SUM(J27)+0.3</f>
        <v>4.8</v>
      </c>
      <c r="L27" s="18">
        <f t="shared" ref="L27:M27" si="1">SUM(K27)+0.3</f>
        <v>5.0999999999999996</v>
      </c>
      <c r="M27" s="33">
        <f t="shared" si="1"/>
        <v>5.3999999999999995</v>
      </c>
    </row>
    <row r="28" spans="1:13" s="1" customFormat="1" ht="14.1" customHeight="1" x14ac:dyDescent="0.3">
      <c r="A28" s="13"/>
      <c r="B28" s="25" t="s">
        <v>51</v>
      </c>
      <c r="C28" s="26"/>
      <c r="D28" s="35"/>
      <c r="E28" s="36"/>
      <c r="F28" s="36"/>
      <c r="G28" s="37"/>
      <c r="H28" s="6"/>
      <c r="I28" s="6"/>
      <c r="J28" s="16"/>
      <c r="K28" s="18"/>
      <c r="L28" s="18"/>
      <c r="M28" s="33"/>
    </row>
    <row r="29" spans="1:13" s="1" customFormat="1" ht="14.1" customHeight="1" x14ac:dyDescent="0.3">
      <c r="A29" s="13">
        <v>14</v>
      </c>
      <c r="B29" s="14"/>
      <c r="C29" s="15"/>
      <c r="D29" s="28"/>
      <c r="E29" s="29"/>
      <c r="F29" s="29"/>
      <c r="G29" s="30"/>
      <c r="H29" s="5"/>
      <c r="I29" s="5"/>
      <c r="J29" s="16"/>
      <c r="K29" s="18"/>
      <c r="L29" s="18"/>
      <c r="M29" s="33"/>
    </row>
    <row r="30" spans="1:13" s="1" customFormat="1" ht="14.1" customHeight="1" thickBot="1" x14ac:dyDescent="0.35">
      <c r="A30" s="27"/>
      <c r="B30" s="20"/>
      <c r="C30" s="21"/>
      <c r="D30" s="22"/>
      <c r="E30" s="23"/>
      <c r="F30" s="23"/>
      <c r="G30" s="24"/>
      <c r="H30" s="31"/>
      <c r="I30" s="31"/>
      <c r="J30" s="17"/>
      <c r="K30" s="19"/>
      <c r="L30" s="19"/>
      <c r="M30" s="56"/>
    </row>
    <row r="31" spans="1:13" s="1" customFormat="1" ht="14.1" customHeigh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</row>
    <row r="32" spans="1:13" s="1" customFormat="1" ht="14.1" customHeigh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</row>
    <row r="33" spans="1:13" s="1" customFormat="1" ht="14.1" customHeigh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</row>
    <row r="34" spans="1:13" s="1" customFormat="1" ht="14.1" customHeigh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</row>
    <row r="35" spans="1:13" s="1" customFormat="1" ht="14.1" customHeigh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</row>
    <row r="36" spans="1:13" s="1" customFormat="1" ht="14.1" customHeigh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</row>
    <row r="37" spans="1:13" s="1" customFormat="1" ht="14.1" customHeigh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</row>
    <row r="38" spans="1:13" s="1" customFormat="1" ht="14.1" customHeigh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</row>
    <row r="39" spans="1:13" s="1" customFormat="1" ht="14.1" customHeigh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3" s="1" customFormat="1" ht="14.1" customHeigh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3" s="1" customFormat="1" ht="14.1" customHeigh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s="1" customFormat="1" ht="14.1" customHeigh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s="1" customFormat="1" ht="14.1" customHeigh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</row>
    <row r="44" spans="1:13" s="1" customFormat="1" ht="14.1" customHeigh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</row>
    <row r="45" spans="1:13" s="1" customFormat="1" ht="14.1" customHeigh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</row>
    <row r="46" spans="1:13" s="1" customFormat="1" ht="14.1" customHeigh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</row>
    <row r="47" spans="1:13" s="1" customFormat="1" ht="14.1" customHeigh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</row>
    <row r="48" spans="1:13" s="1" customFormat="1" ht="14.1" customHeigh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</row>
    <row r="49" spans="1:13" s="1" customFormat="1" ht="14.1" customHeigh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</row>
    <row r="50" spans="1:13" s="1" customFormat="1" ht="14.1" customHeigh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</row>
    <row r="51" spans="1:13" s="1" customFormat="1" ht="14.1" customHeigh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</row>
    <row r="52" spans="1:13" s="1" customFormat="1" ht="14.1" customHeigh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</row>
    <row r="53" spans="1:13" s="1" customFormat="1" ht="14.1" customHeigh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</row>
    <row r="54" spans="1:13" s="1" customFormat="1" ht="14.1" customHeigh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</row>
    <row r="55" spans="1:13" s="1" customFormat="1" ht="14.1" customHeigh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</row>
    <row r="56" spans="1:13" s="1" customFormat="1" ht="14.1" customHeigh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</row>
    <row r="57" spans="1:13" s="1" customFormat="1" ht="14.1" customHeigh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</row>
    <row r="58" spans="1:13" s="1" customFormat="1" ht="14.1" customHeigh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</row>
    <row r="59" spans="1:13" s="1" customFormat="1" ht="14.1" customHeigh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</row>
    <row r="60" spans="1:13" s="1" customFormat="1" ht="14.1" customHeigh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</row>
    <row r="61" spans="1:13" s="1" customFormat="1" ht="14.1" customHeigh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</row>
    <row r="62" spans="1:13" s="1" customFormat="1" ht="14.1" customHeigh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</row>
    <row r="63" spans="1:13" ht="14.1" customHeight="1" x14ac:dyDescent="0.3"/>
    <row r="64" spans="1:13" ht="14.1" customHeight="1" x14ac:dyDescent="0.3"/>
    <row r="65" ht="14.1" customHeight="1" x14ac:dyDescent="0.3"/>
    <row r="66" ht="14.1" customHeight="1" x14ac:dyDescent="0.3"/>
  </sheetData>
  <mergeCells count="157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TO58</vt:lpstr>
      <vt:lpstr>'TO58'!Print_Area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지동호</dc:creator>
  <cp:lastModifiedBy>sc240610</cp:lastModifiedBy>
  <cp:lastPrinted>2026-03-11T08:43:12Z</cp:lastPrinted>
  <dcterms:created xsi:type="dcterms:W3CDTF">2018-05-14T06:17:18Z</dcterms:created>
  <dcterms:modified xsi:type="dcterms:W3CDTF">2026-03-11T09:05:01Z</dcterms:modified>
</cp:coreProperties>
</file>