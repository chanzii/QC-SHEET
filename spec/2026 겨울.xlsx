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중국풀패턴\작지싸이즈스펙\2026\"/>
    </mc:Choice>
  </mc:AlternateContent>
  <xr:revisionPtr revIDLastSave="0" documentId="13_ncr:1_{9F3DBBE5-9C67-4F8C-B45E-A18DC2E509A3}" xr6:coauthVersionLast="47" xr6:coauthVersionMax="47" xr10:uidLastSave="{00000000-0000-0000-0000-000000000000}"/>
  <bookViews>
    <workbookView xWindow="28680" yWindow="-120" windowWidth="29040" windowHeight="15720" tabRatio="772" xr2:uid="{248B8E69-6C34-46C8-9649-87D2B01A7065}"/>
  </bookViews>
  <sheets>
    <sheet name="LE01" sheetId="2702" r:id="rId1"/>
    <sheet name="LE02" sheetId="2752" r:id="rId2"/>
    <sheet name="LE03" sheetId="2753" r:id="rId3"/>
    <sheet name="OP01" sheetId="2745" r:id="rId4"/>
    <sheet name="OP02" sheetId="2722" r:id="rId5"/>
    <sheet name="OP03" sheetId="2725" r:id="rId6"/>
    <sheet name="OP04" sheetId="2746" r:id="rId7"/>
    <sheet name="OP05" sheetId="2724" r:id="rId8"/>
    <sheet name="OP06" sheetId="2757" r:id="rId9"/>
    <sheet name="OP07" sheetId="2732" r:id="rId10"/>
    <sheet name="OP08" sheetId="2733" r:id="rId11"/>
    <sheet name="OP09" sheetId="2749" r:id="rId12"/>
    <sheet name="OP10" sheetId="2758" r:id="rId13"/>
    <sheet name="OP11(니트)" sheetId="2748" r:id="rId14"/>
    <sheet name="OU01" sheetId="2756" r:id="rId15"/>
    <sheet name="OU02(패턴)" sheetId="2782" r:id="rId16"/>
    <sheet name="OU02(제품)" sheetId="2783" r:id="rId17"/>
    <sheet name="OU03" sheetId="2715" r:id="rId18"/>
    <sheet name="OU04" sheetId="2712" r:id="rId19"/>
    <sheet name="OU05" sheetId="2714" r:id="rId20"/>
    <sheet name="OU06(니트)" sheetId="2704" r:id="rId21"/>
    <sheet name="OU07(니트)" sheetId="2707" r:id="rId22"/>
    <sheet name="OU08" sheetId="2713" r:id="rId23"/>
    <sheet name="OU09" sheetId="2778" r:id="rId24"/>
    <sheet name="OU10(니트)" sheetId="2731" r:id="rId25"/>
    <sheet name="OU11" sheetId="2781" r:id="rId26"/>
    <sheet name="OU12" sheetId="2779" r:id="rId27"/>
    <sheet name="PT01" sheetId="2697" r:id="rId28"/>
    <sheet name="PT02" sheetId="2703" r:id="rId29"/>
    <sheet name="PT03" sheetId="2717" r:id="rId30"/>
    <sheet name="PT04" sheetId="2719" r:id="rId31"/>
    <sheet name="PT05" sheetId="2772" r:id="rId32"/>
    <sheet name="PT06" sheetId="2773" r:id="rId33"/>
    <sheet name="PT07" sheetId="2774" r:id="rId34"/>
    <sheet name="PT08" sheetId="2775" r:id="rId35"/>
    <sheet name="PT09" sheetId="2776" r:id="rId36"/>
    <sheet name="PT10(완사입)" sheetId="2734" r:id="rId37"/>
    <sheet name="PT11(완사입)" sheetId="2728" r:id="rId38"/>
    <sheet name="PT12(완사입)" sheetId="2729" r:id="rId39"/>
    <sheet name="PT13(완사입)" sheetId="2741" r:id="rId40"/>
    <sheet name="PT14(완사입)" sheetId="2780" r:id="rId41"/>
    <sheet name="PT17(완사입)" sheetId="2744" r:id="rId42"/>
    <sheet name="PT18" sheetId="2784" r:id="rId43"/>
    <sheet name="PT19(완사입)" sheetId="2777" r:id="rId44"/>
    <sheet name="PT20(완사입)" sheetId="2787" r:id="rId45"/>
    <sheet name="SE01" sheetId="2770" r:id="rId46"/>
    <sheet name="SE02" sheetId="2723" r:id="rId47"/>
    <sheet name="SE03" sheetId="2771" r:id="rId48"/>
    <sheet name="SE04" sheetId="2750" r:id="rId49"/>
    <sheet name="SK01" sheetId="2699" r:id="rId50"/>
    <sheet name="SK02" sheetId="2701" r:id="rId51"/>
    <sheet name="SK03" sheetId="2710" r:id="rId52"/>
    <sheet name="SK04(니트)" sheetId="2706" r:id="rId53"/>
    <sheet name="SK05(니트)" sheetId="2708" r:id="rId54"/>
    <sheet name="SK06" sheetId="2754" r:id="rId55"/>
    <sheet name="SK07" sheetId="2755" r:id="rId56"/>
    <sheet name="TO01" sheetId="2759" r:id="rId57"/>
    <sheet name="TO02" sheetId="2698" r:id="rId58"/>
    <sheet name="TO03" sheetId="2709" r:id="rId59"/>
    <sheet name="TO04" sheetId="2760" r:id="rId60"/>
    <sheet name="TO05" sheetId="2718" r:id="rId61"/>
    <sheet name="TO06" sheetId="2711" r:id="rId62"/>
    <sheet name="TO07" sheetId="2721" r:id="rId63"/>
    <sheet name="TO08" sheetId="2761" r:id="rId64"/>
    <sheet name="TO09(니트)" sheetId="2705" r:id="rId65"/>
    <sheet name="TO10" sheetId="2727" r:id="rId66"/>
    <sheet name="TO11" sheetId="2762" r:id="rId67"/>
    <sheet name="TO12" sheetId="2763" r:id="rId68"/>
    <sheet name="TO13" sheetId="2720" r:id="rId69"/>
    <sheet name="TO14" sheetId="2764" r:id="rId70"/>
    <sheet name="TO15(니트) " sheetId="2716" r:id="rId71"/>
    <sheet name="TO16" sheetId="2743" r:id="rId72"/>
    <sheet name="TO17" sheetId="2765" r:id="rId73"/>
    <sheet name="TO18" sheetId="2735" r:id="rId74"/>
    <sheet name="TO19" sheetId="2736" r:id="rId75"/>
    <sheet name="TO20" sheetId="2766" r:id="rId76"/>
    <sheet name="TO21" sheetId="2767" r:id="rId77"/>
    <sheet name="TO22" sheetId="2738" r:id="rId78"/>
    <sheet name="TO23" sheetId="2768" r:id="rId79"/>
    <sheet name="TO24" sheetId="2769" r:id="rId80"/>
    <sheet name="TO25" sheetId="2737" r:id="rId81"/>
    <sheet name="TO26" sheetId="2739" r:id="rId82"/>
    <sheet name="TO27" sheetId="2742" r:id="rId83"/>
    <sheet name="TO28(니트)" sheetId="2730" r:id="rId84"/>
    <sheet name="TO29(니트)" sheetId="2740" r:id="rId85"/>
    <sheet name="TO31" sheetId="2785" r:id="rId86"/>
    <sheet name="TO32" sheetId="2751" r:id="rId87"/>
    <sheet name="TO33(니트)" sheetId="2747" r:id="rId88"/>
    <sheet name="TO34(니트)" sheetId="2786" r:id="rId89"/>
    <sheet name="TO35" sheetId="2788" r:id="rId90"/>
  </sheets>
  <definedNames>
    <definedName name="_xlnm.Print_Area" localSheetId="0">'LE01'!$A$1:$M$38</definedName>
    <definedName name="_xlnm.Print_Area" localSheetId="1">'LE02'!$A$1:$M$36</definedName>
    <definedName name="_xlnm.Print_Area" localSheetId="2">'LE03'!$A$1:$M$26</definedName>
    <definedName name="_xlnm.Print_Area" localSheetId="3">'OP01'!$A$1:$M$38</definedName>
    <definedName name="_xlnm.Print_Area" localSheetId="4">'OP02'!$A$1:$M$38</definedName>
    <definedName name="_xlnm.Print_Area" localSheetId="5">'OP03'!$A$1:$M$40</definedName>
    <definedName name="_xlnm.Print_Area" localSheetId="6">'OP04'!$A$1:$M$34</definedName>
    <definedName name="_xlnm.Print_Area" localSheetId="7">'OP05'!$A$1:$M$38</definedName>
    <definedName name="_xlnm.Print_Area" localSheetId="8">'OP06'!$A$1:$M$40</definedName>
    <definedName name="_xlnm.Print_Area" localSheetId="9">'OP07'!$A$1:$M$36</definedName>
    <definedName name="_xlnm.Print_Area" localSheetId="10">'OP08'!$A$1:$M$38</definedName>
    <definedName name="_xlnm.Print_Area" localSheetId="11">'OP09'!$A$38:$M$73</definedName>
    <definedName name="_xlnm.Print_Area" localSheetId="12">'OP10'!$A$1:$M$40</definedName>
    <definedName name="_xlnm.Print_Area" localSheetId="13">'OP11(니트)'!$A$1:$M$38</definedName>
    <definedName name="_xlnm.Print_Area" localSheetId="14">'OU01'!$A$1:$M$22</definedName>
    <definedName name="_xlnm.Print_Area" localSheetId="16">'OU02(제품)'!$A$1:$M$42</definedName>
    <definedName name="_xlnm.Print_Area" localSheetId="15">'OU02(패턴)'!$A$1:$M$42</definedName>
    <definedName name="_xlnm.Print_Area" localSheetId="17">'OU03'!$A$1:$M$44</definedName>
    <definedName name="_xlnm.Print_Area" localSheetId="18">'OU04'!$A$1:$M$40</definedName>
    <definedName name="_xlnm.Print_Area" localSheetId="19">'OU05'!$A$1:$N$38</definedName>
    <definedName name="_xlnm.Print_Area" localSheetId="20">'OU06(니트)'!$A$1:$N$38</definedName>
    <definedName name="_xlnm.Print_Area" localSheetId="21">'OU07(니트)'!$A$1:$N$38</definedName>
    <definedName name="_xlnm.Print_Area" localSheetId="22">'OU08'!$A$1:$M$40</definedName>
    <definedName name="_xlnm.Print_Area" localSheetId="23">'OU09'!$A$1:$N$44</definedName>
    <definedName name="_xlnm.Print_Area" localSheetId="24">'OU10(니트)'!$A$1:$M$36</definedName>
    <definedName name="_xlnm.Print_Area" localSheetId="25">'OU11'!$A$1:$N$43</definedName>
    <definedName name="_xlnm.Print_Area" localSheetId="26">'OU12'!$A$1:$M$44</definedName>
    <definedName name="_xlnm.Print_Area" localSheetId="27">'PT01'!$A$1:$N$42</definedName>
    <definedName name="_xlnm.Print_Area" localSheetId="28">'PT02'!$A$1:$N$46</definedName>
    <definedName name="_xlnm.Print_Area" localSheetId="29">'PT03'!$A$1:$M$48</definedName>
    <definedName name="_xlnm.Print_Area" localSheetId="30">'PT04'!$A$1:$M$48</definedName>
    <definedName name="_xlnm.Print_Area" localSheetId="31">'PT05'!$A$1:$N$48</definedName>
    <definedName name="_xlnm.Print_Area" localSheetId="32">'PT06'!$A$1:$N$48</definedName>
    <definedName name="_xlnm.Print_Area" localSheetId="33">'PT07'!$A$1:$M$54</definedName>
    <definedName name="_xlnm.Print_Area" localSheetId="34">'PT08'!$A$1:$M$50</definedName>
    <definedName name="_xlnm.Print_Area" localSheetId="35">'PT09'!$A$1:$N$42</definedName>
    <definedName name="_xlnm.Print_Area" localSheetId="36">'PT10(완사입)'!$A$1:$N$52</definedName>
    <definedName name="_xlnm.Print_Area" localSheetId="37">'PT11(완사입)'!$A$1:$N$48</definedName>
    <definedName name="_xlnm.Print_Area" localSheetId="38">'PT12(완사입)'!$A$1:$N$52</definedName>
    <definedName name="_xlnm.Print_Area" localSheetId="39">'PT13(완사입)'!$A$1:$N$52</definedName>
    <definedName name="_xlnm.Print_Area" localSheetId="40">'PT14(완사입)'!$A$1:$M$52</definedName>
    <definedName name="_xlnm.Print_Area" localSheetId="41">'PT17(완사입)'!$A$1:$N$52</definedName>
    <definedName name="_xlnm.Print_Area" localSheetId="42">'PT18'!$A$1:$M$42</definedName>
    <definedName name="_xlnm.Print_Area" localSheetId="43">'PT19(완사입)'!$A$1:$N$52</definedName>
    <definedName name="_xlnm.Print_Area" localSheetId="44">'PT20(완사입)'!$A$1:$N$52</definedName>
    <definedName name="_xlnm.Print_Area" localSheetId="45">'SE01'!$A$1:$M$68</definedName>
    <definedName name="_xlnm.Print_Area" localSheetId="46">'SE02'!$A$1:$M$64</definedName>
    <definedName name="_xlnm.Print_Area" localSheetId="47">'SE03'!$A$1:$M$64</definedName>
    <definedName name="_xlnm.Print_Area" localSheetId="48">'SE04'!$A$1:$M$70</definedName>
    <definedName name="_xlnm.Print_Area" localSheetId="49">'SK01'!$A$1:$M$18</definedName>
    <definedName name="_xlnm.Print_Area" localSheetId="50">'SK02'!$A$1:$N$16</definedName>
    <definedName name="_xlnm.Print_Area" localSheetId="51">'SK03'!$A$1:$M$22</definedName>
    <definedName name="_xlnm.Print_Area" localSheetId="52">'SK04(니트)'!$A$1:$N$26</definedName>
    <definedName name="_xlnm.Print_Area" localSheetId="53">'SK05(니트)'!$A$1:$M$26</definedName>
    <definedName name="_xlnm.Print_Area" localSheetId="54">'SK06'!$A$1:$M$24</definedName>
    <definedName name="_xlnm.Print_Area" localSheetId="55">'SK07'!$A$1:$M$22</definedName>
    <definedName name="_xlnm.Print_Area" localSheetId="56">'TO01'!$A$1:$M$30</definedName>
    <definedName name="_xlnm.Print_Area" localSheetId="57">'TO02'!$A$1:$M$30</definedName>
    <definedName name="_xlnm.Print_Area" localSheetId="58">'TO03'!$A$1:$N$30</definedName>
    <definedName name="_xlnm.Print_Area" localSheetId="59">'TO04'!$A$1:$N$34</definedName>
    <definedName name="_xlnm.Print_Area" localSheetId="60">'TO05'!$A$1:$M$30</definedName>
    <definedName name="_xlnm.Print_Area" localSheetId="61">'TO06'!$A$1:$M$30</definedName>
    <definedName name="_xlnm.Print_Area" localSheetId="62">'TO07'!$A$1:$M$30</definedName>
    <definedName name="_xlnm.Print_Area" localSheetId="63">'TO08'!$A$1:$M$30</definedName>
    <definedName name="_xlnm.Print_Area" localSheetId="64">'TO09(니트)'!$A$1:$M$36</definedName>
    <definedName name="_xlnm.Print_Area" localSheetId="65">'TO10'!$A$1:$M$30</definedName>
    <definedName name="_xlnm.Print_Area" localSheetId="66">'TO11'!$A$1:$M$36</definedName>
    <definedName name="_xlnm.Print_Area" localSheetId="67">'TO12'!$A$1:$N$42</definedName>
    <definedName name="_xlnm.Print_Area" localSheetId="68">'TO13'!$A$1:$M$30</definedName>
    <definedName name="_xlnm.Print_Area" localSheetId="69">'TO14'!$A$1:$M$34</definedName>
    <definedName name="_xlnm.Print_Area" localSheetId="70">'TO15(니트) '!$A$1:$M$36</definedName>
    <definedName name="_xlnm.Print_Area" localSheetId="71">'TO16'!$A$1:$M$30</definedName>
    <definedName name="_xlnm.Print_Area" localSheetId="72">'TO17'!$A$1:$N$30</definedName>
    <definedName name="_xlnm.Print_Area" localSheetId="73">'TO18'!$A$1:$M$32</definedName>
    <definedName name="_xlnm.Print_Area" localSheetId="74">'TO19'!$A$1:$M$32</definedName>
    <definedName name="_xlnm.Print_Area" localSheetId="75">'TO20'!$A$1:$N$30</definedName>
    <definedName name="_xlnm.Print_Area" localSheetId="76">'TO21'!$A$1:$M$30</definedName>
    <definedName name="_xlnm.Print_Area" localSheetId="77">'TO22'!$A$1:$M$32</definedName>
    <definedName name="_xlnm.Print_Area" localSheetId="78">'TO23'!$A$1:$M$38</definedName>
    <definedName name="_xlnm.Print_Area" localSheetId="79">'TO24'!$A$1:$M$38</definedName>
    <definedName name="_xlnm.Print_Area" localSheetId="80">'TO25'!$A$1:$N$38</definedName>
    <definedName name="_xlnm.Print_Area" localSheetId="81">'TO26'!$A$1:$M$38</definedName>
    <definedName name="_xlnm.Print_Area" localSheetId="82">'TO27'!$A$1:$M$36</definedName>
    <definedName name="_xlnm.Print_Area" localSheetId="83">'TO28(니트)'!$A$1:$M$38</definedName>
    <definedName name="_xlnm.Print_Area" localSheetId="84">'TO29(니트)'!$A$1:$M$38</definedName>
    <definedName name="_xlnm.Print_Area" localSheetId="85">'TO31'!$A$1:$M$28</definedName>
    <definedName name="_xlnm.Print_Area" localSheetId="86">'TO32'!$A$1:$M$32</definedName>
    <definedName name="_xlnm.Print_Area" localSheetId="87">'TO33(니트)'!$A$1:$N$38</definedName>
    <definedName name="_xlnm.Print_Area" localSheetId="88">'TO34(니트)'!$A$1:$N$38</definedName>
    <definedName name="_xlnm.Print_Area" localSheetId="89">'TO35'!$A$1:$M$34</definedName>
  </definedNames>
  <calcPr calcId="191029"/>
</workbook>
</file>

<file path=xl/calcChain.xml><?xml version="1.0" encoding="utf-8"?>
<calcChain xmlns="http://schemas.openxmlformats.org/spreadsheetml/2006/main">
  <c r="H36" i="2781" l="1"/>
  <c r="H38" i="2781"/>
  <c r="H40" i="2781"/>
  <c r="H42" i="2781"/>
  <c r="H3" i="2781"/>
  <c r="H5" i="2781"/>
  <c r="H7" i="2781"/>
  <c r="H9" i="2781"/>
  <c r="H11" i="2781"/>
  <c r="H13" i="2781"/>
  <c r="H15" i="2781"/>
  <c r="H17" i="2781"/>
  <c r="H19" i="2781"/>
  <c r="H21" i="2781"/>
  <c r="H23" i="2781"/>
  <c r="H25" i="2781"/>
  <c r="H29" i="2781"/>
  <c r="H31" i="2781"/>
  <c r="H33" i="2781"/>
  <c r="N3" i="2766"/>
  <c r="N5" i="2766"/>
  <c r="N7" i="2766"/>
  <c r="N9" i="2766"/>
  <c r="N11" i="2766"/>
  <c r="N13" i="2766"/>
  <c r="N15" i="2766"/>
  <c r="N17" i="2766"/>
  <c r="N19" i="2766"/>
  <c r="N23" i="2766"/>
  <c r="N25" i="2766"/>
  <c r="N3" i="2707"/>
  <c r="N5" i="2707"/>
  <c r="N7" i="2707"/>
  <c r="N9" i="2707"/>
  <c r="N11" i="2707"/>
  <c r="N13" i="2707"/>
  <c r="N15" i="2707"/>
  <c r="N17" i="2707"/>
  <c r="N19" i="2707"/>
  <c r="N23" i="2707"/>
  <c r="N25" i="2707"/>
  <c r="N27" i="2707"/>
  <c r="N29" i="2707"/>
  <c r="N31" i="2707"/>
  <c r="P25" i="2724"/>
  <c r="P24" i="2724"/>
  <c r="I9" i="2788"/>
  <c r="K25" i="2788"/>
  <c r="L25" i="2788" s="1"/>
  <c r="M25" i="2788" s="1"/>
  <c r="I25" i="2788"/>
  <c r="H25" i="2788"/>
  <c r="M3" i="2788"/>
  <c r="L3" i="2788"/>
  <c r="K3" i="2788"/>
  <c r="H3" i="2788"/>
  <c r="I3" i="2788"/>
  <c r="K23" i="2788"/>
  <c r="L23" i="2788" s="1"/>
  <c r="M23" i="2788" s="1"/>
  <c r="I23" i="2788"/>
  <c r="H23" i="2788"/>
  <c r="K19" i="2788"/>
  <c r="L19" i="2788" s="1"/>
  <c r="M19" i="2788" s="1"/>
  <c r="I19" i="2788"/>
  <c r="H19" i="2788"/>
  <c r="L17" i="2788"/>
  <c r="M17" i="2788" s="1"/>
  <c r="K17" i="2788"/>
  <c r="I17" i="2788"/>
  <c r="H17" i="2788"/>
  <c r="L15" i="2788"/>
  <c r="M15" i="2788" s="1"/>
  <c r="K15" i="2788"/>
  <c r="I15" i="2788"/>
  <c r="H15" i="2788" s="1"/>
  <c r="K13" i="2788"/>
  <c r="L13" i="2788" s="1"/>
  <c r="M13" i="2788" s="1"/>
  <c r="I13" i="2788"/>
  <c r="H13" i="2788"/>
  <c r="K11" i="2788"/>
  <c r="L11" i="2788" s="1"/>
  <c r="M11" i="2788" s="1"/>
  <c r="I11" i="2788"/>
  <c r="H11" i="2788"/>
  <c r="K9" i="2788"/>
  <c r="L9" i="2788" s="1"/>
  <c r="M9" i="2788" s="1"/>
  <c r="H9" i="2788"/>
  <c r="K7" i="2788"/>
  <c r="L7" i="2788" s="1"/>
  <c r="M7" i="2788" s="1"/>
  <c r="I7" i="2788"/>
  <c r="H7" i="2788"/>
  <c r="K5" i="2788"/>
  <c r="L5" i="2788" s="1"/>
  <c r="M5" i="2788" s="1"/>
  <c r="I5" i="2788"/>
  <c r="H5" i="2788" s="1"/>
  <c r="K37" i="2729"/>
  <c r="L37" i="2729" s="1"/>
  <c r="M37" i="2729" s="1"/>
  <c r="N37" i="2729" s="1"/>
  <c r="I37" i="2729"/>
  <c r="H37" i="2729"/>
  <c r="K39" i="2729"/>
  <c r="L39" i="2729" s="1"/>
  <c r="M39" i="2729" s="1"/>
  <c r="N39" i="2729" s="1"/>
  <c r="I39" i="2729"/>
  <c r="H39" i="2729"/>
  <c r="N3" i="2704"/>
  <c r="N5" i="2704"/>
  <c r="N7" i="2704"/>
  <c r="N9" i="2704"/>
  <c r="N11" i="2704"/>
  <c r="N13" i="2704"/>
  <c r="N15" i="2704"/>
  <c r="N17" i="2704"/>
  <c r="N19" i="2704"/>
  <c r="N23" i="2704"/>
  <c r="N25" i="2704"/>
  <c r="N27" i="2704"/>
  <c r="N29" i="2704"/>
  <c r="N31" i="2704"/>
  <c r="N3" i="2706"/>
  <c r="N11" i="2706"/>
  <c r="N13" i="2706"/>
  <c r="N15" i="2706"/>
  <c r="N17" i="2706"/>
  <c r="K43" i="2787"/>
  <c r="L43" i="2787" s="1"/>
  <c r="M43" i="2787" s="1"/>
  <c r="N43" i="2787" s="1"/>
  <c r="I43" i="2787"/>
  <c r="H43" i="2787"/>
  <c r="L41" i="2787"/>
  <c r="M41" i="2787" s="1"/>
  <c r="N41" i="2787" s="1"/>
  <c r="K41" i="2787"/>
  <c r="I41" i="2787"/>
  <c r="H41" i="2787"/>
  <c r="K39" i="2787"/>
  <c r="L39" i="2787" s="1"/>
  <c r="M39" i="2787" s="1"/>
  <c r="N39" i="2787" s="1"/>
  <c r="I39" i="2787"/>
  <c r="H39" i="2787"/>
  <c r="K37" i="2787"/>
  <c r="L37" i="2787" s="1"/>
  <c r="M37" i="2787" s="1"/>
  <c r="N37" i="2787" s="1"/>
  <c r="I37" i="2787"/>
  <c r="H37" i="2787" s="1"/>
  <c r="K27" i="2787"/>
  <c r="L27" i="2787" s="1"/>
  <c r="M27" i="2787" s="1"/>
  <c r="N27" i="2787" s="1"/>
  <c r="I27" i="2787"/>
  <c r="H27" i="2787"/>
  <c r="K25" i="2787"/>
  <c r="L25" i="2787" s="1"/>
  <c r="M25" i="2787" s="1"/>
  <c r="N25" i="2787" s="1"/>
  <c r="I25" i="2787"/>
  <c r="H25" i="2787"/>
  <c r="K23" i="2787"/>
  <c r="L23" i="2787" s="1"/>
  <c r="M23" i="2787" s="1"/>
  <c r="N23" i="2787" s="1"/>
  <c r="I23" i="2787"/>
  <c r="H23" i="2787" s="1"/>
  <c r="K21" i="2787"/>
  <c r="L21" i="2787" s="1"/>
  <c r="M21" i="2787" s="1"/>
  <c r="N21" i="2787" s="1"/>
  <c r="I21" i="2787"/>
  <c r="H21" i="2787"/>
  <c r="K19" i="2787"/>
  <c r="L19" i="2787" s="1"/>
  <c r="M19" i="2787" s="1"/>
  <c r="N19" i="2787" s="1"/>
  <c r="I19" i="2787"/>
  <c r="H19" i="2787"/>
  <c r="L17" i="2787"/>
  <c r="M17" i="2787" s="1"/>
  <c r="N17" i="2787" s="1"/>
  <c r="K17" i="2787"/>
  <c r="I17" i="2787"/>
  <c r="H17" i="2787"/>
  <c r="K15" i="2787"/>
  <c r="L15" i="2787" s="1"/>
  <c r="M15" i="2787" s="1"/>
  <c r="N15" i="2787" s="1"/>
  <c r="I15" i="2787"/>
  <c r="H15" i="2787"/>
  <c r="K13" i="2787"/>
  <c r="L13" i="2787" s="1"/>
  <c r="M13" i="2787" s="1"/>
  <c r="N13" i="2787" s="1"/>
  <c r="I13" i="2787"/>
  <c r="H13" i="2787" s="1"/>
  <c r="K11" i="2787"/>
  <c r="L11" i="2787" s="1"/>
  <c r="M11" i="2787" s="1"/>
  <c r="N11" i="2787" s="1"/>
  <c r="I11" i="2787"/>
  <c r="H11" i="2787"/>
  <c r="K9" i="2787"/>
  <c r="L9" i="2787" s="1"/>
  <c r="M9" i="2787" s="1"/>
  <c r="N9" i="2787" s="1"/>
  <c r="I9" i="2787"/>
  <c r="H9" i="2787"/>
  <c r="K3" i="2787"/>
  <c r="L3" i="2787" s="1"/>
  <c r="M3" i="2787" s="1"/>
  <c r="N3" i="2787" s="1"/>
  <c r="I3" i="2787"/>
  <c r="H3" i="2787" s="1"/>
  <c r="N3" i="2786"/>
  <c r="N5" i="2786"/>
  <c r="N7" i="2786"/>
  <c r="N9" i="2786"/>
  <c r="N11" i="2786"/>
  <c r="N15" i="2786"/>
  <c r="N17" i="2786"/>
  <c r="N21" i="2786"/>
  <c r="N25" i="2786"/>
  <c r="N27" i="2786"/>
  <c r="N29" i="2786"/>
  <c r="H9" i="2786"/>
  <c r="I9" i="2786"/>
  <c r="L9" i="2786"/>
  <c r="M9" i="2786"/>
  <c r="K9" i="2786"/>
  <c r="K5" i="2786"/>
  <c r="L5" i="2786" s="1"/>
  <c r="M5" i="2786" s="1"/>
  <c r="I5" i="2786"/>
  <c r="H5" i="2786" s="1"/>
  <c r="K29" i="2786"/>
  <c r="L29" i="2786" s="1"/>
  <c r="M29" i="2786" s="1"/>
  <c r="I29" i="2786"/>
  <c r="H29" i="2786"/>
  <c r="K27" i="2786"/>
  <c r="L27" i="2786" s="1"/>
  <c r="M27" i="2786" s="1"/>
  <c r="I27" i="2786"/>
  <c r="H27" i="2786"/>
  <c r="K25" i="2786"/>
  <c r="L25" i="2786" s="1"/>
  <c r="M25" i="2786" s="1"/>
  <c r="I25" i="2786"/>
  <c r="H25" i="2786" s="1"/>
  <c r="K21" i="2786"/>
  <c r="L21" i="2786" s="1"/>
  <c r="M21" i="2786" s="1"/>
  <c r="I21" i="2786"/>
  <c r="H21" i="2786"/>
  <c r="K17" i="2786"/>
  <c r="L17" i="2786" s="1"/>
  <c r="M17" i="2786" s="1"/>
  <c r="I17" i="2786"/>
  <c r="H17" i="2786" s="1"/>
  <c r="K15" i="2786"/>
  <c r="L15" i="2786" s="1"/>
  <c r="M15" i="2786" s="1"/>
  <c r="I15" i="2786"/>
  <c r="H15" i="2786" s="1"/>
  <c r="K11" i="2786"/>
  <c r="L11" i="2786" s="1"/>
  <c r="M11" i="2786" s="1"/>
  <c r="I11" i="2786"/>
  <c r="H11" i="2786" s="1"/>
  <c r="K7" i="2786"/>
  <c r="L7" i="2786" s="1"/>
  <c r="M7" i="2786" s="1"/>
  <c r="I7" i="2786"/>
  <c r="H7" i="2786" s="1"/>
  <c r="K3" i="2786"/>
  <c r="L3" i="2786" s="1"/>
  <c r="M3" i="2786" s="1"/>
  <c r="I3" i="2786"/>
  <c r="H3" i="2786" s="1"/>
  <c r="K39" i="2728"/>
  <c r="L39" i="2728" s="1"/>
  <c r="M39" i="2728" s="1"/>
  <c r="N39" i="2728" s="1"/>
  <c r="I39" i="2728"/>
  <c r="H39" i="2728"/>
  <c r="K41" i="2728"/>
  <c r="L41" i="2728" s="1"/>
  <c r="M41" i="2728" s="1"/>
  <c r="N41" i="2728" s="1"/>
  <c r="I41" i="2728"/>
  <c r="H41" i="2728"/>
  <c r="I35" i="2776"/>
  <c r="H35" i="2776" s="1"/>
  <c r="J35" i="2776"/>
  <c r="H31" i="2776"/>
  <c r="N3" i="2776" l="1"/>
  <c r="N11" i="2776"/>
  <c r="N13" i="2776"/>
  <c r="N15" i="2776"/>
  <c r="N21" i="2776"/>
  <c r="N23" i="2776"/>
  <c r="N25" i="2776"/>
  <c r="N27" i="2776"/>
  <c r="N29" i="2776"/>
  <c r="N31" i="2776"/>
  <c r="N33" i="2776"/>
  <c r="N35" i="2776"/>
  <c r="N37" i="2776"/>
  <c r="N39" i="2776"/>
  <c r="K25" i="2785"/>
  <c r="L25" i="2785" s="1"/>
  <c r="M25" i="2785" s="1"/>
  <c r="I25" i="2785"/>
  <c r="H25" i="2785" s="1"/>
  <c r="K23" i="2785"/>
  <c r="L23" i="2785" s="1"/>
  <c r="M23" i="2785" s="1"/>
  <c r="I23" i="2785"/>
  <c r="H23" i="2785"/>
  <c r="K21" i="2785"/>
  <c r="L21" i="2785" s="1"/>
  <c r="M21" i="2785" s="1"/>
  <c r="I21" i="2785"/>
  <c r="H21" i="2785"/>
  <c r="K19" i="2785"/>
  <c r="L19" i="2785" s="1"/>
  <c r="M19" i="2785" s="1"/>
  <c r="I19" i="2785"/>
  <c r="H19" i="2785"/>
  <c r="K17" i="2785"/>
  <c r="L17" i="2785" s="1"/>
  <c r="M17" i="2785" s="1"/>
  <c r="I17" i="2785"/>
  <c r="H17" i="2785" s="1"/>
  <c r="K15" i="2785"/>
  <c r="L15" i="2785" s="1"/>
  <c r="M15" i="2785" s="1"/>
  <c r="I15" i="2785"/>
  <c r="H15" i="2785" s="1"/>
  <c r="K13" i="2785"/>
  <c r="L13" i="2785" s="1"/>
  <c r="M13" i="2785" s="1"/>
  <c r="I13" i="2785"/>
  <c r="H13" i="2785"/>
  <c r="K11" i="2785"/>
  <c r="L11" i="2785" s="1"/>
  <c r="M11" i="2785" s="1"/>
  <c r="I11" i="2785"/>
  <c r="H11" i="2785"/>
  <c r="K9" i="2785"/>
  <c r="L9" i="2785" s="1"/>
  <c r="M9" i="2785" s="1"/>
  <c r="I9" i="2785"/>
  <c r="H9" i="2785"/>
  <c r="K7" i="2785"/>
  <c r="L7" i="2785" s="1"/>
  <c r="M7" i="2785" s="1"/>
  <c r="I7" i="2785"/>
  <c r="H7" i="2785"/>
  <c r="K5" i="2785"/>
  <c r="L5" i="2785" s="1"/>
  <c r="M5" i="2785" s="1"/>
  <c r="I5" i="2785"/>
  <c r="H5" i="2785" s="1"/>
  <c r="K3" i="2785"/>
  <c r="L3" i="2785" s="1"/>
  <c r="M3" i="2785" s="1"/>
  <c r="I3" i="2785"/>
  <c r="H3" i="2785"/>
  <c r="K41" i="2784"/>
  <c r="L41" i="2784" s="1"/>
  <c r="M41" i="2784" s="1"/>
  <c r="I41" i="2784"/>
  <c r="H41" i="2784" s="1"/>
  <c r="K39" i="2784"/>
  <c r="L39" i="2784" s="1"/>
  <c r="M39" i="2784" s="1"/>
  <c r="I39" i="2784"/>
  <c r="H39" i="2784"/>
  <c r="K37" i="2784"/>
  <c r="L37" i="2784" s="1"/>
  <c r="M37" i="2784" s="1"/>
  <c r="I37" i="2784"/>
  <c r="H37" i="2784"/>
  <c r="K35" i="2784"/>
  <c r="L35" i="2784" s="1"/>
  <c r="M35" i="2784" s="1"/>
  <c r="I35" i="2784"/>
  <c r="H35" i="2784"/>
  <c r="K33" i="2784"/>
  <c r="L33" i="2784" s="1"/>
  <c r="M33" i="2784" s="1"/>
  <c r="I33" i="2784"/>
  <c r="H33" i="2784"/>
  <c r="K31" i="2784"/>
  <c r="L31" i="2784" s="1"/>
  <c r="M31" i="2784" s="1"/>
  <c r="I31" i="2784"/>
  <c r="H31" i="2784" s="1"/>
  <c r="K29" i="2784"/>
  <c r="L29" i="2784" s="1"/>
  <c r="M29" i="2784" s="1"/>
  <c r="I29" i="2784"/>
  <c r="H29" i="2784" s="1"/>
  <c r="K27" i="2784"/>
  <c r="L27" i="2784" s="1"/>
  <c r="M27" i="2784" s="1"/>
  <c r="I27" i="2784"/>
  <c r="H27" i="2784"/>
  <c r="K25" i="2784"/>
  <c r="L25" i="2784" s="1"/>
  <c r="M25" i="2784" s="1"/>
  <c r="I25" i="2784"/>
  <c r="H25" i="2784"/>
  <c r="K23" i="2784"/>
  <c r="L23" i="2784" s="1"/>
  <c r="M23" i="2784" s="1"/>
  <c r="I23" i="2784"/>
  <c r="H23" i="2784"/>
  <c r="K21" i="2784"/>
  <c r="L21" i="2784" s="1"/>
  <c r="M21" i="2784" s="1"/>
  <c r="I21" i="2784"/>
  <c r="H21" i="2784" s="1"/>
  <c r="K19" i="2784"/>
  <c r="L19" i="2784" s="1"/>
  <c r="M19" i="2784" s="1"/>
  <c r="I19" i="2784"/>
  <c r="H19" i="2784" s="1"/>
  <c r="K17" i="2784"/>
  <c r="L17" i="2784" s="1"/>
  <c r="M17" i="2784" s="1"/>
  <c r="I17" i="2784"/>
  <c r="H17" i="2784"/>
  <c r="K15" i="2784"/>
  <c r="L15" i="2784" s="1"/>
  <c r="M15" i="2784" s="1"/>
  <c r="I15" i="2784"/>
  <c r="H15" i="2784" s="1"/>
  <c r="K9" i="2784"/>
  <c r="L9" i="2784" s="1"/>
  <c r="M9" i="2784" s="1"/>
  <c r="I9" i="2784"/>
  <c r="H9" i="2784"/>
  <c r="K7" i="2784"/>
  <c r="L7" i="2784" s="1"/>
  <c r="M7" i="2784" s="1"/>
  <c r="I7" i="2784"/>
  <c r="H7" i="2784"/>
  <c r="K5" i="2784"/>
  <c r="L5" i="2784" s="1"/>
  <c r="M5" i="2784" s="1"/>
  <c r="I5" i="2784"/>
  <c r="H5" i="2784"/>
  <c r="K3" i="2784"/>
  <c r="L3" i="2784" s="1"/>
  <c r="M3" i="2784" s="1"/>
  <c r="I3" i="2784"/>
  <c r="H3" i="2784"/>
  <c r="P33" i="2783"/>
  <c r="P32" i="2783"/>
  <c r="P31" i="2783"/>
  <c r="P30" i="2783"/>
  <c r="P34" i="2783" s="1"/>
  <c r="P35" i="2783" s="1"/>
  <c r="P15" i="2783"/>
  <c r="P16" i="2783" s="1"/>
  <c r="P35" i="2782"/>
  <c r="P33" i="2782"/>
  <c r="P32" i="2782"/>
  <c r="P31" i="2782"/>
  <c r="P30" i="2782"/>
  <c r="P16" i="2782"/>
  <c r="P15" i="2782"/>
  <c r="K37" i="2783"/>
  <c r="L37" i="2783" s="1"/>
  <c r="M37" i="2783" s="1"/>
  <c r="I37" i="2783"/>
  <c r="H37" i="2783"/>
  <c r="K35" i="2783"/>
  <c r="L35" i="2783" s="1"/>
  <c r="I35" i="2783"/>
  <c r="H35" i="2783"/>
  <c r="K33" i="2783"/>
  <c r="I33" i="2783"/>
  <c r="H33" i="2783"/>
  <c r="K31" i="2783"/>
  <c r="L31" i="2783" s="1"/>
  <c r="M31" i="2783" s="1"/>
  <c r="I31" i="2783"/>
  <c r="H31" i="2783"/>
  <c r="K29" i="2783"/>
  <c r="L29" i="2783" s="1"/>
  <c r="M29" i="2783" s="1"/>
  <c r="I29" i="2783"/>
  <c r="H29" i="2783"/>
  <c r="K27" i="2783"/>
  <c r="L27" i="2783" s="1"/>
  <c r="M27" i="2783" s="1"/>
  <c r="I27" i="2783"/>
  <c r="H27" i="2783"/>
  <c r="K25" i="2783"/>
  <c r="L25" i="2783" s="1"/>
  <c r="M25" i="2783" s="1"/>
  <c r="I25" i="2783"/>
  <c r="H25" i="2783"/>
  <c r="K17" i="2783"/>
  <c r="L17" i="2783" s="1"/>
  <c r="M17" i="2783" s="1"/>
  <c r="I17" i="2783"/>
  <c r="H17" i="2783" s="1"/>
  <c r="K15" i="2783"/>
  <c r="L15" i="2783" s="1"/>
  <c r="M15" i="2783" s="1"/>
  <c r="I15" i="2783"/>
  <c r="H15" i="2783"/>
  <c r="K13" i="2783"/>
  <c r="L13" i="2783" s="1"/>
  <c r="M13" i="2783" s="1"/>
  <c r="I13" i="2783"/>
  <c r="H13" i="2783" s="1"/>
  <c r="K11" i="2783"/>
  <c r="L11" i="2783" s="1"/>
  <c r="M11" i="2783" s="1"/>
  <c r="I11" i="2783"/>
  <c r="H11" i="2783" s="1"/>
  <c r="K9" i="2783"/>
  <c r="L9" i="2783" s="1"/>
  <c r="I9" i="2783"/>
  <c r="H9" i="2783"/>
  <c r="K7" i="2783"/>
  <c r="L7" i="2783" s="1"/>
  <c r="M7" i="2783" s="1"/>
  <c r="I7" i="2783"/>
  <c r="H7" i="2783" s="1"/>
  <c r="K5" i="2783"/>
  <c r="L5" i="2783" s="1"/>
  <c r="M5" i="2783" s="1"/>
  <c r="I5" i="2783"/>
  <c r="H5" i="2783" s="1"/>
  <c r="K3" i="2783"/>
  <c r="L3" i="2783" s="1"/>
  <c r="M3" i="2783" s="1"/>
  <c r="I3" i="2783"/>
  <c r="H3" i="2783"/>
  <c r="P34" i="2782"/>
  <c r="M35" i="2782"/>
  <c r="L35" i="2782"/>
  <c r="K35" i="2782"/>
  <c r="H35" i="2782"/>
  <c r="I35" i="2782"/>
  <c r="M33" i="2782"/>
  <c r="L33" i="2782"/>
  <c r="K33" i="2782"/>
  <c r="H33" i="2782"/>
  <c r="I33" i="2782"/>
  <c r="K31" i="2782"/>
  <c r="L31" i="2782" s="1"/>
  <c r="M31" i="2782" s="1"/>
  <c r="I31" i="2782"/>
  <c r="H31" i="2782" s="1"/>
  <c r="K29" i="2782"/>
  <c r="L29" i="2782" s="1"/>
  <c r="M29" i="2782" s="1"/>
  <c r="I29" i="2782"/>
  <c r="H29" i="2782" s="1"/>
  <c r="K37" i="2782"/>
  <c r="L37" i="2782" s="1"/>
  <c r="M37" i="2782" s="1"/>
  <c r="I37" i="2782"/>
  <c r="H37" i="2782"/>
  <c r="K25" i="2782"/>
  <c r="L25" i="2782" s="1"/>
  <c r="M25" i="2782" s="1"/>
  <c r="I25" i="2782"/>
  <c r="H25" i="2782"/>
  <c r="K27" i="2782"/>
  <c r="L27" i="2782" s="1"/>
  <c r="M27" i="2782" s="1"/>
  <c r="I27" i="2782"/>
  <c r="H27" i="2782"/>
  <c r="K11" i="2782"/>
  <c r="L11" i="2782" s="1"/>
  <c r="M11" i="2782" s="1"/>
  <c r="I11" i="2782"/>
  <c r="H11" i="2782" s="1"/>
  <c r="K9" i="2782"/>
  <c r="L9" i="2782" s="1"/>
  <c r="M9" i="2782" s="1"/>
  <c r="I9" i="2782"/>
  <c r="H9" i="2782" s="1"/>
  <c r="K5" i="2782"/>
  <c r="L5" i="2782" s="1"/>
  <c r="M5" i="2782" s="1"/>
  <c r="I5" i="2782"/>
  <c r="H5" i="2782" s="1"/>
  <c r="K17" i="2782"/>
  <c r="L17" i="2782" s="1"/>
  <c r="M17" i="2782" s="1"/>
  <c r="I17" i="2782"/>
  <c r="H17" i="2782"/>
  <c r="K15" i="2782"/>
  <c r="L15" i="2782" s="1"/>
  <c r="M15" i="2782" s="1"/>
  <c r="I15" i="2782"/>
  <c r="H15" i="2782" s="1"/>
  <c r="K13" i="2782"/>
  <c r="L13" i="2782" s="1"/>
  <c r="M13" i="2782" s="1"/>
  <c r="I13" i="2782"/>
  <c r="H13" i="2782" s="1"/>
  <c r="K7" i="2782"/>
  <c r="L7" i="2782" s="1"/>
  <c r="M7" i="2782" s="1"/>
  <c r="I7" i="2782"/>
  <c r="H7" i="2782" s="1"/>
  <c r="K3" i="2782"/>
  <c r="L3" i="2782" s="1"/>
  <c r="M3" i="2782" s="1"/>
  <c r="I3" i="2782"/>
  <c r="H3" i="2782" s="1"/>
  <c r="N3" i="2773"/>
  <c r="N9" i="2773"/>
  <c r="N11" i="2773"/>
  <c r="N13" i="2773"/>
  <c r="N15" i="2773"/>
  <c r="N21" i="2773"/>
  <c r="N23" i="2773"/>
  <c r="N25" i="2773"/>
  <c r="N27" i="2773"/>
  <c r="N29" i="2773"/>
  <c r="N31" i="2773"/>
  <c r="N35" i="2773"/>
  <c r="N37" i="2773"/>
  <c r="N39" i="2773"/>
  <c r="N41" i="2773"/>
  <c r="N43" i="2773"/>
  <c r="N45" i="2773"/>
  <c r="P27" i="2742"/>
  <c r="P26" i="2742"/>
  <c r="L42" i="2781"/>
  <c r="M42" i="2781" s="1"/>
  <c r="N42" i="2781" s="1"/>
  <c r="J42" i="2781"/>
  <c r="I42" i="2781" s="1"/>
  <c r="L40" i="2781"/>
  <c r="M40" i="2781" s="1"/>
  <c r="N40" i="2781" s="1"/>
  <c r="J40" i="2781"/>
  <c r="I40" i="2781" s="1"/>
  <c r="L38" i="2781"/>
  <c r="M38" i="2781" s="1"/>
  <c r="N38" i="2781" s="1"/>
  <c r="J38" i="2781"/>
  <c r="I38" i="2781"/>
  <c r="L36" i="2781"/>
  <c r="M36" i="2781" s="1"/>
  <c r="N36" i="2781" s="1"/>
  <c r="J36" i="2781"/>
  <c r="I36" i="2781"/>
  <c r="L33" i="2781"/>
  <c r="M33" i="2781" s="1"/>
  <c r="N33" i="2781" s="1"/>
  <c r="J33" i="2781"/>
  <c r="I33" i="2781"/>
  <c r="L31" i="2781"/>
  <c r="M31" i="2781" s="1"/>
  <c r="N31" i="2781" s="1"/>
  <c r="J31" i="2781"/>
  <c r="I31" i="2781"/>
  <c r="L29" i="2781"/>
  <c r="M29" i="2781" s="1"/>
  <c r="N29" i="2781" s="1"/>
  <c r="J29" i="2781"/>
  <c r="I29" i="2781" s="1"/>
  <c r="L25" i="2781"/>
  <c r="M25" i="2781" s="1"/>
  <c r="N25" i="2781" s="1"/>
  <c r="J25" i="2781"/>
  <c r="I25" i="2781"/>
  <c r="L23" i="2781"/>
  <c r="M23" i="2781" s="1"/>
  <c r="N23" i="2781" s="1"/>
  <c r="J23" i="2781"/>
  <c r="I23" i="2781" s="1"/>
  <c r="L21" i="2781"/>
  <c r="M21" i="2781" s="1"/>
  <c r="N21" i="2781" s="1"/>
  <c r="J21" i="2781"/>
  <c r="I21" i="2781" s="1"/>
  <c r="L19" i="2781"/>
  <c r="M19" i="2781" s="1"/>
  <c r="N19" i="2781" s="1"/>
  <c r="J19" i="2781"/>
  <c r="I19" i="2781"/>
  <c r="L17" i="2781"/>
  <c r="M17" i="2781" s="1"/>
  <c r="N17" i="2781" s="1"/>
  <c r="J17" i="2781"/>
  <c r="I17" i="2781"/>
  <c r="L15" i="2781"/>
  <c r="M15" i="2781" s="1"/>
  <c r="N15" i="2781" s="1"/>
  <c r="J15" i="2781"/>
  <c r="I15" i="2781" s="1"/>
  <c r="L13" i="2781"/>
  <c r="M13" i="2781" s="1"/>
  <c r="N13" i="2781" s="1"/>
  <c r="J13" i="2781"/>
  <c r="I13" i="2781" s="1"/>
  <c r="L11" i="2781"/>
  <c r="M11" i="2781" s="1"/>
  <c r="N11" i="2781" s="1"/>
  <c r="J11" i="2781"/>
  <c r="I11" i="2781" s="1"/>
  <c r="L9" i="2781"/>
  <c r="M9" i="2781" s="1"/>
  <c r="N9" i="2781" s="1"/>
  <c r="J9" i="2781"/>
  <c r="I9" i="2781"/>
  <c r="L7" i="2781"/>
  <c r="M7" i="2781" s="1"/>
  <c r="N7" i="2781" s="1"/>
  <c r="J7" i="2781"/>
  <c r="I7" i="2781"/>
  <c r="L5" i="2781"/>
  <c r="M5" i="2781" s="1"/>
  <c r="N5" i="2781" s="1"/>
  <c r="J5" i="2781"/>
  <c r="I5" i="2781"/>
  <c r="L3" i="2781"/>
  <c r="M3" i="2781" s="1"/>
  <c r="N3" i="2781" s="1"/>
  <c r="J3" i="2781"/>
  <c r="I3" i="2781" s="1"/>
  <c r="M9" i="2783" l="1"/>
  <c r="M35" i="2783"/>
  <c r="L33" i="2783"/>
  <c r="M33" i="2783" s="1"/>
  <c r="M3" i="2771"/>
  <c r="M5" i="2771"/>
  <c r="M7" i="2771"/>
  <c r="M9" i="2771"/>
  <c r="M11" i="2771"/>
  <c r="M13" i="2771"/>
  <c r="M15" i="2771"/>
  <c r="M17" i="2771"/>
  <c r="M19" i="2771"/>
  <c r="M21" i="2771"/>
  <c r="M23" i="2771"/>
  <c r="M25" i="2771"/>
  <c r="M29" i="2771"/>
  <c r="M31" i="2771"/>
  <c r="M33" i="2771"/>
  <c r="M35" i="2771"/>
  <c r="M41" i="2771"/>
  <c r="M43" i="2771"/>
  <c r="M45" i="2771"/>
  <c r="M47" i="2771"/>
  <c r="M49" i="2771"/>
  <c r="M51" i="2771"/>
  <c r="M53" i="2771"/>
  <c r="M55" i="2771"/>
  <c r="M57" i="2771"/>
  <c r="M59" i="2771"/>
  <c r="K43" i="2780"/>
  <c r="L43" i="2780" s="1"/>
  <c r="M43" i="2780" s="1"/>
  <c r="I43" i="2780"/>
  <c r="H43" i="2780" s="1"/>
  <c r="K41" i="2780"/>
  <c r="L41" i="2780" s="1"/>
  <c r="M41" i="2780" s="1"/>
  <c r="I41" i="2780"/>
  <c r="H41" i="2780" s="1"/>
  <c r="K39" i="2780"/>
  <c r="L39" i="2780" s="1"/>
  <c r="M39" i="2780" s="1"/>
  <c r="I39" i="2780"/>
  <c r="H39" i="2780" s="1"/>
  <c r="K37" i="2780"/>
  <c r="L37" i="2780" s="1"/>
  <c r="M37" i="2780" s="1"/>
  <c r="I37" i="2780"/>
  <c r="H37" i="2780"/>
  <c r="K27" i="2780"/>
  <c r="L27" i="2780" s="1"/>
  <c r="M27" i="2780" s="1"/>
  <c r="I27" i="2780"/>
  <c r="H27" i="2780" s="1"/>
  <c r="K25" i="2780"/>
  <c r="L25" i="2780" s="1"/>
  <c r="M25" i="2780" s="1"/>
  <c r="I25" i="2780"/>
  <c r="H25" i="2780" s="1"/>
  <c r="K23" i="2780"/>
  <c r="L23" i="2780" s="1"/>
  <c r="M23" i="2780" s="1"/>
  <c r="I23" i="2780"/>
  <c r="H23" i="2780" s="1"/>
  <c r="K21" i="2780"/>
  <c r="L21" i="2780" s="1"/>
  <c r="M21" i="2780" s="1"/>
  <c r="I21" i="2780"/>
  <c r="H21" i="2780" s="1"/>
  <c r="K19" i="2780"/>
  <c r="L19" i="2780" s="1"/>
  <c r="M19" i="2780" s="1"/>
  <c r="I19" i="2780"/>
  <c r="H19" i="2780" s="1"/>
  <c r="K17" i="2780"/>
  <c r="L17" i="2780" s="1"/>
  <c r="M17" i="2780" s="1"/>
  <c r="I17" i="2780"/>
  <c r="H17" i="2780"/>
  <c r="K15" i="2780"/>
  <c r="L15" i="2780" s="1"/>
  <c r="M15" i="2780" s="1"/>
  <c r="I15" i="2780"/>
  <c r="H15" i="2780"/>
  <c r="K13" i="2780"/>
  <c r="L13" i="2780" s="1"/>
  <c r="M13" i="2780" s="1"/>
  <c r="I13" i="2780"/>
  <c r="H13" i="2780"/>
  <c r="K11" i="2780"/>
  <c r="L11" i="2780" s="1"/>
  <c r="M11" i="2780" s="1"/>
  <c r="I11" i="2780"/>
  <c r="H11" i="2780"/>
  <c r="K9" i="2780"/>
  <c r="L9" i="2780" s="1"/>
  <c r="M9" i="2780" s="1"/>
  <c r="I9" i="2780"/>
  <c r="H9" i="2780" s="1"/>
  <c r="K3" i="2780"/>
  <c r="L3" i="2780" s="1"/>
  <c r="M3" i="2780" s="1"/>
  <c r="I3" i="2780"/>
  <c r="H3" i="2780"/>
  <c r="K43" i="2779"/>
  <c r="L43" i="2779" s="1"/>
  <c r="M43" i="2779" s="1"/>
  <c r="I43" i="2779"/>
  <c r="H43" i="2779"/>
  <c r="K41" i="2779"/>
  <c r="L41" i="2779" s="1"/>
  <c r="M41" i="2779" s="1"/>
  <c r="I41" i="2779"/>
  <c r="H41" i="2779"/>
  <c r="H43" i="2778"/>
  <c r="L43" i="2778"/>
  <c r="M43" i="2778" s="1"/>
  <c r="N43" i="2778" s="1"/>
  <c r="K43" i="2778"/>
  <c r="I43" i="2778"/>
  <c r="L41" i="2778"/>
  <c r="M41" i="2778"/>
  <c r="N41" i="2778"/>
  <c r="K41" i="2778"/>
  <c r="I41" i="2778"/>
  <c r="H41" i="2778" s="1"/>
  <c r="K37" i="2779"/>
  <c r="L37" i="2779" s="1"/>
  <c r="M37" i="2779" s="1"/>
  <c r="I37" i="2779"/>
  <c r="H37" i="2779"/>
  <c r="K35" i="2779"/>
  <c r="L35" i="2779" s="1"/>
  <c r="M35" i="2779" s="1"/>
  <c r="I35" i="2779"/>
  <c r="H35" i="2779"/>
  <c r="K33" i="2779"/>
  <c r="L33" i="2779" s="1"/>
  <c r="M33" i="2779" s="1"/>
  <c r="I33" i="2779"/>
  <c r="H33" i="2779" s="1"/>
  <c r="K31" i="2779"/>
  <c r="L31" i="2779" s="1"/>
  <c r="M31" i="2779" s="1"/>
  <c r="I31" i="2779"/>
  <c r="H31" i="2779"/>
  <c r="K29" i="2779"/>
  <c r="L29" i="2779" s="1"/>
  <c r="M29" i="2779" s="1"/>
  <c r="I29" i="2779"/>
  <c r="H29" i="2779"/>
  <c r="L27" i="2779"/>
  <c r="M27" i="2779" s="1"/>
  <c r="K27" i="2779"/>
  <c r="I27" i="2779"/>
  <c r="H27" i="2779"/>
  <c r="K25" i="2779"/>
  <c r="L25" i="2779" s="1"/>
  <c r="M25" i="2779" s="1"/>
  <c r="I25" i="2779"/>
  <c r="H25" i="2779"/>
  <c r="K23" i="2779"/>
  <c r="L23" i="2779" s="1"/>
  <c r="M23" i="2779" s="1"/>
  <c r="I23" i="2779"/>
  <c r="H23" i="2779"/>
  <c r="K21" i="2779"/>
  <c r="L21" i="2779" s="1"/>
  <c r="M21" i="2779" s="1"/>
  <c r="I21" i="2779"/>
  <c r="H21" i="2779"/>
  <c r="K19" i="2779"/>
  <c r="L19" i="2779" s="1"/>
  <c r="M19" i="2779" s="1"/>
  <c r="I19" i="2779"/>
  <c r="H19" i="2779"/>
  <c r="K17" i="2779"/>
  <c r="L17" i="2779" s="1"/>
  <c r="M17" i="2779" s="1"/>
  <c r="I17" i="2779"/>
  <c r="H17" i="2779" s="1"/>
  <c r="K15" i="2779"/>
  <c r="L15" i="2779" s="1"/>
  <c r="M15" i="2779" s="1"/>
  <c r="I15" i="2779"/>
  <c r="H15" i="2779"/>
  <c r="K13" i="2779"/>
  <c r="L13" i="2779" s="1"/>
  <c r="M13" i="2779" s="1"/>
  <c r="I13" i="2779"/>
  <c r="H13" i="2779"/>
  <c r="K11" i="2779"/>
  <c r="L11" i="2779" s="1"/>
  <c r="M11" i="2779" s="1"/>
  <c r="I11" i="2779"/>
  <c r="H11" i="2779"/>
  <c r="K9" i="2779"/>
  <c r="L9" i="2779" s="1"/>
  <c r="M9" i="2779" s="1"/>
  <c r="I9" i="2779"/>
  <c r="H9" i="2779"/>
  <c r="K7" i="2779"/>
  <c r="L7" i="2779" s="1"/>
  <c r="M7" i="2779" s="1"/>
  <c r="I7" i="2779"/>
  <c r="H7" i="2779"/>
  <c r="K5" i="2779"/>
  <c r="L5" i="2779" s="1"/>
  <c r="M5" i="2779" s="1"/>
  <c r="I5" i="2779"/>
  <c r="H5" i="2779"/>
  <c r="K3" i="2779"/>
  <c r="L3" i="2779" s="1"/>
  <c r="M3" i="2779" s="1"/>
  <c r="I3" i="2779"/>
  <c r="H3" i="2779"/>
  <c r="N37" i="2778"/>
  <c r="K27" i="2778"/>
  <c r="L27" i="2778" s="1"/>
  <c r="M27" i="2778" s="1"/>
  <c r="N27" i="2778" s="1"/>
  <c r="I27" i="2778"/>
  <c r="H27" i="2778" s="1"/>
  <c r="K25" i="2778"/>
  <c r="L25" i="2778" s="1"/>
  <c r="M25" i="2778" s="1"/>
  <c r="N25" i="2778" s="1"/>
  <c r="I25" i="2778"/>
  <c r="H25" i="2778" s="1"/>
  <c r="K37" i="2778" l="1"/>
  <c r="L37" i="2778" s="1"/>
  <c r="M37" i="2778" s="1"/>
  <c r="I37" i="2778"/>
  <c r="H37" i="2778" s="1"/>
  <c r="K29" i="2778"/>
  <c r="L29" i="2778" s="1"/>
  <c r="M29" i="2778" s="1"/>
  <c r="N29" i="2778" s="1"/>
  <c r="K31" i="2778"/>
  <c r="L31" i="2778" s="1"/>
  <c r="M31" i="2778" s="1"/>
  <c r="N31" i="2778" s="1"/>
  <c r="I31" i="2778"/>
  <c r="H31" i="2778" s="1"/>
  <c r="I29" i="2778"/>
  <c r="H29" i="2778"/>
  <c r="K3" i="2778"/>
  <c r="L3" i="2778" s="1"/>
  <c r="M3" i="2778" s="1"/>
  <c r="N3" i="2778" s="1"/>
  <c r="I3" i="2778"/>
  <c r="H3" i="2778" s="1"/>
  <c r="K35" i="2778"/>
  <c r="L35" i="2778" s="1"/>
  <c r="M35" i="2778" s="1"/>
  <c r="N35" i="2778" s="1"/>
  <c r="I35" i="2778"/>
  <c r="H35" i="2778" s="1"/>
  <c r="K33" i="2778"/>
  <c r="L33" i="2778" s="1"/>
  <c r="M33" i="2778" s="1"/>
  <c r="N33" i="2778" s="1"/>
  <c r="I33" i="2778"/>
  <c r="H33" i="2778" s="1"/>
  <c r="K23" i="2778"/>
  <c r="L23" i="2778" s="1"/>
  <c r="M23" i="2778" s="1"/>
  <c r="N23" i="2778" s="1"/>
  <c r="I23" i="2778"/>
  <c r="H23" i="2778" s="1"/>
  <c r="K21" i="2778"/>
  <c r="L21" i="2778" s="1"/>
  <c r="M21" i="2778" s="1"/>
  <c r="N21" i="2778" s="1"/>
  <c r="I21" i="2778"/>
  <c r="H21" i="2778" s="1"/>
  <c r="K19" i="2778"/>
  <c r="L19" i="2778" s="1"/>
  <c r="M19" i="2778" s="1"/>
  <c r="N19" i="2778" s="1"/>
  <c r="I19" i="2778"/>
  <c r="H19" i="2778" s="1"/>
  <c r="K17" i="2778"/>
  <c r="L17" i="2778" s="1"/>
  <c r="M17" i="2778" s="1"/>
  <c r="N17" i="2778" s="1"/>
  <c r="I17" i="2778"/>
  <c r="H17" i="2778" s="1"/>
  <c r="K15" i="2778"/>
  <c r="L15" i="2778" s="1"/>
  <c r="M15" i="2778" s="1"/>
  <c r="N15" i="2778" s="1"/>
  <c r="I15" i="2778"/>
  <c r="H15" i="2778" s="1"/>
  <c r="K13" i="2778"/>
  <c r="L13" i="2778" s="1"/>
  <c r="M13" i="2778" s="1"/>
  <c r="N13" i="2778" s="1"/>
  <c r="I13" i="2778"/>
  <c r="H13" i="2778" s="1"/>
  <c r="K11" i="2778"/>
  <c r="L11" i="2778" s="1"/>
  <c r="M11" i="2778" s="1"/>
  <c r="N11" i="2778" s="1"/>
  <c r="I11" i="2778"/>
  <c r="H11" i="2778" s="1"/>
  <c r="K9" i="2778"/>
  <c r="L9" i="2778" s="1"/>
  <c r="M9" i="2778" s="1"/>
  <c r="N9" i="2778" s="1"/>
  <c r="I9" i="2778"/>
  <c r="H9" i="2778" s="1"/>
  <c r="K7" i="2778"/>
  <c r="L7" i="2778" s="1"/>
  <c r="M7" i="2778" s="1"/>
  <c r="N7" i="2778" s="1"/>
  <c r="I7" i="2778"/>
  <c r="H7" i="2778" s="1"/>
  <c r="K5" i="2778"/>
  <c r="L5" i="2778" s="1"/>
  <c r="M5" i="2778" s="1"/>
  <c r="N5" i="2778" s="1"/>
  <c r="I5" i="2778"/>
  <c r="H5" i="2778" s="1"/>
  <c r="N23" i="2777" l="1"/>
  <c r="M23" i="2777"/>
  <c r="L23" i="2777"/>
  <c r="K23" i="2777"/>
  <c r="H23" i="2777"/>
  <c r="I23" i="2777"/>
  <c r="K43" i="2777"/>
  <c r="L43" i="2777" s="1"/>
  <c r="M43" i="2777" s="1"/>
  <c r="N43" i="2777" s="1"/>
  <c r="I43" i="2777"/>
  <c r="H43" i="2777"/>
  <c r="K41" i="2777"/>
  <c r="L41" i="2777" s="1"/>
  <c r="M41" i="2777" s="1"/>
  <c r="N41" i="2777" s="1"/>
  <c r="I41" i="2777"/>
  <c r="H41" i="2777" s="1"/>
  <c r="K39" i="2777"/>
  <c r="L39" i="2777" s="1"/>
  <c r="M39" i="2777" s="1"/>
  <c r="N39" i="2777" s="1"/>
  <c r="I39" i="2777"/>
  <c r="H39" i="2777" s="1"/>
  <c r="K37" i="2777"/>
  <c r="L37" i="2777" s="1"/>
  <c r="M37" i="2777" s="1"/>
  <c r="N37" i="2777" s="1"/>
  <c r="I37" i="2777"/>
  <c r="H37" i="2777"/>
  <c r="K27" i="2777"/>
  <c r="L27" i="2777" s="1"/>
  <c r="M27" i="2777" s="1"/>
  <c r="N27" i="2777" s="1"/>
  <c r="I27" i="2777"/>
  <c r="H27" i="2777" s="1"/>
  <c r="K25" i="2777"/>
  <c r="L25" i="2777" s="1"/>
  <c r="M25" i="2777" s="1"/>
  <c r="N25" i="2777" s="1"/>
  <c r="I25" i="2777"/>
  <c r="H25" i="2777"/>
  <c r="K21" i="2777"/>
  <c r="L21" i="2777" s="1"/>
  <c r="M21" i="2777" s="1"/>
  <c r="N21" i="2777" s="1"/>
  <c r="I21" i="2777"/>
  <c r="H21" i="2777"/>
  <c r="L19" i="2777"/>
  <c r="M19" i="2777" s="1"/>
  <c r="N19" i="2777" s="1"/>
  <c r="K19" i="2777"/>
  <c r="I19" i="2777"/>
  <c r="H19" i="2777"/>
  <c r="K17" i="2777"/>
  <c r="L17" i="2777" s="1"/>
  <c r="M17" i="2777" s="1"/>
  <c r="N17" i="2777" s="1"/>
  <c r="I17" i="2777"/>
  <c r="H17" i="2777" s="1"/>
  <c r="K15" i="2777"/>
  <c r="L15" i="2777" s="1"/>
  <c r="M15" i="2777" s="1"/>
  <c r="N15" i="2777" s="1"/>
  <c r="I15" i="2777"/>
  <c r="H15" i="2777" s="1"/>
  <c r="K13" i="2777"/>
  <c r="L13" i="2777" s="1"/>
  <c r="M13" i="2777" s="1"/>
  <c r="N13" i="2777" s="1"/>
  <c r="I13" i="2777"/>
  <c r="H13" i="2777" s="1"/>
  <c r="K11" i="2777"/>
  <c r="L11" i="2777" s="1"/>
  <c r="M11" i="2777" s="1"/>
  <c r="N11" i="2777" s="1"/>
  <c r="I11" i="2777"/>
  <c r="H11" i="2777" s="1"/>
  <c r="K9" i="2777"/>
  <c r="L9" i="2777" s="1"/>
  <c r="M9" i="2777" s="1"/>
  <c r="N9" i="2777" s="1"/>
  <c r="I9" i="2777"/>
  <c r="H9" i="2777"/>
  <c r="K3" i="2777"/>
  <c r="L3" i="2777" s="1"/>
  <c r="M3" i="2777" s="1"/>
  <c r="N3" i="2777" s="1"/>
  <c r="I3" i="2777"/>
  <c r="H3" i="2777"/>
  <c r="L39" i="2776" l="1"/>
  <c r="M39" i="2776" s="1"/>
  <c r="J39" i="2776"/>
  <c r="I39" i="2776" s="1"/>
  <c r="H39" i="2776" s="1"/>
  <c r="L37" i="2776"/>
  <c r="M37" i="2776" s="1"/>
  <c r="J37" i="2776"/>
  <c r="I37" i="2776" s="1"/>
  <c r="H37" i="2776" s="1"/>
  <c r="L35" i="2776"/>
  <c r="M35" i="2776" s="1"/>
  <c r="L33" i="2776"/>
  <c r="M33" i="2776" s="1"/>
  <c r="J33" i="2776"/>
  <c r="I33" i="2776"/>
  <c r="H33" i="2776" s="1"/>
  <c r="L31" i="2776"/>
  <c r="M31" i="2776" s="1"/>
  <c r="J31" i="2776"/>
  <c r="I31" i="2776" s="1"/>
  <c r="L29" i="2776"/>
  <c r="M29" i="2776" s="1"/>
  <c r="J29" i="2776"/>
  <c r="I29" i="2776" s="1"/>
  <c r="H29" i="2776" s="1"/>
  <c r="L27" i="2776"/>
  <c r="M27" i="2776" s="1"/>
  <c r="J27" i="2776"/>
  <c r="I27" i="2776" s="1"/>
  <c r="H27" i="2776" s="1"/>
  <c r="L25" i="2776"/>
  <c r="M25" i="2776" s="1"/>
  <c r="J25" i="2776"/>
  <c r="I25" i="2776" s="1"/>
  <c r="H25" i="2776" s="1"/>
  <c r="L23" i="2776"/>
  <c r="M23" i="2776" s="1"/>
  <c r="J23" i="2776"/>
  <c r="I23" i="2776"/>
  <c r="H23" i="2776" s="1"/>
  <c r="L21" i="2776"/>
  <c r="M21" i="2776" s="1"/>
  <c r="J21" i="2776"/>
  <c r="I21" i="2776"/>
  <c r="H21" i="2776" s="1"/>
  <c r="L15" i="2776"/>
  <c r="M15" i="2776" s="1"/>
  <c r="J15" i="2776"/>
  <c r="I15" i="2776" s="1"/>
  <c r="H15" i="2776" s="1"/>
  <c r="L13" i="2776"/>
  <c r="M13" i="2776" s="1"/>
  <c r="J13" i="2776"/>
  <c r="I13" i="2776" s="1"/>
  <c r="H13" i="2776" s="1"/>
  <c r="L11" i="2776"/>
  <c r="M11" i="2776" s="1"/>
  <c r="J11" i="2776"/>
  <c r="I11" i="2776" s="1"/>
  <c r="H11" i="2776" s="1"/>
  <c r="L3" i="2776"/>
  <c r="M3" i="2776" s="1"/>
  <c r="J3" i="2776"/>
  <c r="I3" i="2776" s="1"/>
  <c r="H3" i="2776" s="1"/>
  <c r="K45" i="2775"/>
  <c r="L45" i="2775" s="1"/>
  <c r="I45" i="2775"/>
  <c r="H45" i="2775"/>
  <c r="K43" i="2775"/>
  <c r="L43" i="2775" s="1"/>
  <c r="I43" i="2775"/>
  <c r="H43" i="2775"/>
  <c r="K41" i="2775"/>
  <c r="L41" i="2775" s="1"/>
  <c r="I41" i="2775"/>
  <c r="H41" i="2775"/>
  <c r="K35" i="2775"/>
  <c r="L35" i="2775" s="1"/>
  <c r="I35" i="2775"/>
  <c r="H35" i="2775"/>
  <c r="K33" i="2775"/>
  <c r="L33" i="2775" s="1"/>
  <c r="I33" i="2775"/>
  <c r="H33" i="2775"/>
  <c r="K31" i="2775"/>
  <c r="L31" i="2775" s="1"/>
  <c r="I31" i="2775"/>
  <c r="H31" i="2775"/>
  <c r="K29" i="2775"/>
  <c r="L29" i="2775" s="1"/>
  <c r="I29" i="2775"/>
  <c r="H29" i="2775"/>
  <c r="K27" i="2775"/>
  <c r="L27" i="2775" s="1"/>
  <c r="I27" i="2775"/>
  <c r="H27" i="2775"/>
  <c r="K25" i="2775"/>
  <c r="L25" i="2775" s="1"/>
  <c r="I25" i="2775"/>
  <c r="H25" i="2775"/>
  <c r="K23" i="2775"/>
  <c r="L23" i="2775" s="1"/>
  <c r="I23" i="2775"/>
  <c r="H23" i="2775"/>
  <c r="K21" i="2775"/>
  <c r="L21" i="2775" s="1"/>
  <c r="I21" i="2775"/>
  <c r="H21" i="2775"/>
  <c r="K15" i="2775"/>
  <c r="L15" i="2775" s="1"/>
  <c r="I15" i="2775"/>
  <c r="H15" i="2775"/>
  <c r="K13" i="2775"/>
  <c r="L13" i="2775" s="1"/>
  <c r="I13" i="2775"/>
  <c r="H13" i="2775"/>
  <c r="K11" i="2775"/>
  <c r="L11" i="2775" s="1"/>
  <c r="I11" i="2775"/>
  <c r="H11" i="2775"/>
  <c r="K3" i="2775"/>
  <c r="L3" i="2775" s="1"/>
  <c r="I3" i="2775"/>
  <c r="H3" i="2775"/>
  <c r="K49" i="2774"/>
  <c r="L49" i="2774" s="1"/>
  <c r="I49" i="2774"/>
  <c r="H49" i="2774"/>
  <c r="K47" i="2774"/>
  <c r="L47" i="2774" s="1"/>
  <c r="I47" i="2774"/>
  <c r="H47" i="2774"/>
  <c r="K45" i="2774"/>
  <c r="L45" i="2774" s="1"/>
  <c r="I45" i="2774"/>
  <c r="H45" i="2774"/>
  <c r="K39" i="2774"/>
  <c r="L39" i="2774" s="1"/>
  <c r="I39" i="2774"/>
  <c r="H39" i="2774"/>
  <c r="K37" i="2774"/>
  <c r="L37" i="2774" s="1"/>
  <c r="I37" i="2774"/>
  <c r="H37" i="2774"/>
  <c r="K35" i="2774"/>
  <c r="L35" i="2774" s="1"/>
  <c r="I35" i="2774"/>
  <c r="H35" i="2774"/>
  <c r="K33" i="2774"/>
  <c r="L33" i="2774" s="1"/>
  <c r="I33" i="2774"/>
  <c r="H33" i="2774"/>
  <c r="K31" i="2774"/>
  <c r="L31" i="2774" s="1"/>
  <c r="I31" i="2774"/>
  <c r="H31" i="2774"/>
  <c r="K29" i="2774"/>
  <c r="L29" i="2774" s="1"/>
  <c r="I29" i="2774"/>
  <c r="H29" i="2774"/>
  <c r="K27" i="2774"/>
  <c r="L27" i="2774" s="1"/>
  <c r="I27" i="2774"/>
  <c r="H27" i="2774"/>
  <c r="K25" i="2774"/>
  <c r="L25" i="2774" s="1"/>
  <c r="I25" i="2774"/>
  <c r="H25" i="2774"/>
  <c r="K23" i="2774"/>
  <c r="L23" i="2774" s="1"/>
  <c r="I23" i="2774"/>
  <c r="H23" i="2774"/>
  <c r="K21" i="2774"/>
  <c r="L21" i="2774" s="1"/>
  <c r="I21" i="2774"/>
  <c r="H21" i="2774"/>
  <c r="K15" i="2774"/>
  <c r="L15" i="2774" s="1"/>
  <c r="I15" i="2774"/>
  <c r="H15" i="2774"/>
  <c r="K13" i="2774"/>
  <c r="L13" i="2774" s="1"/>
  <c r="I13" i="2774"/>
  <c r="H13" i="2774"/>
  <c r="K11" i="2774"/>
  <c r="L11" i="2774" s="1"/>
  <c r="I11" i="2774"/>
  <c r="H11" i="2774"/>
  <c r="K3" i="2774"/>
  <c r="L3" i="2774" s="1"/>
  <c r="I3" i="2774"/>
  <c r="H3" i="2774"/>
  <c r="K45" i="2773"/>
  <c r="L45" i="2773" s="1"/>
  <c r="M45" i="2773" s="1"/>
  <c r="I45" i="2773"/>
  <c r="H45" i="2773"/>
  <c r="K43" i="2773"/>
  <c r="L43" i="2773" s="1"/>
  <c r="M43" i="2773" s="1"/>
  <c r="I43" i="2773"/>
  <c r="H43" i="2773"/>
  <c r="K41" i="2773"/>
  <c r="L41" i="2773" s="1"/>
  <c r="M41" i="2773" s="1"/>
  <c r="I41" i="2773"/>
  <c r="H41" i="2773"/>
  <c r="K39" i="2773"/>
  <c r="L39" i="2773" s="1"/>
  <c r="M39" i="2773" s="1"/>
  <c r="I39" i="2773"/>
  <c r="H39" i="2773"/>
  <c r="K37" i="2773"/>
  <c r="L37" i="2773" s="1"/>
  <c r="M37" i="2773" s="1"/>
  <c r="I37" i="2773"/>
  <c r="H37" i="2773" s="1"/>
  <c r="K35" i="2773"/>
  <c r="L35" i="2773" s="1"/>
  <c r="M35" i="2773" s="1"/>
  <c r="I35" i="2773"/>
  <c r="H35" i="2773"/>
  <c r="K33" i="2773"/>
  <c r="L33" i="2773" s="1"/>
  <c r="M33" i="2773" s="1"/>
  <c r="N33" i="2773" s="1"/>
  <c r="I33" i="2773"/>
  <c r="H33" i="2773"/>
  <c r="K31" i="2773"/>
  <c r="L31" i="2773" s="1"/>
  <c r="M31" i="2773" s="1"/>
  <c r="I31" i="2773"/>
  <c r="H31" i="2773"/>
  <c r="K29" i="2773"/>
  <c r="L29" i="2773" s="1"/>
  <c r="M29" i="2773" s="1"/>
  <c r="I29" i="2773"/>
  <c r="H29" i="2773"/>
  <c r="K27" i="2773"/>
  <c r="L27" i="2773" s="1"/>
  <c r="M27" i="2773" s="1"/>
  <c r="I27" i="2773"/>
  <c r="H27" i="2773"/>
  <c r="K25" i="2773"/>
  <c r="L25" i="2773" s="1"/>
  <c r="M25" i="2773" s="1"/>
  <c r="I25" i="2773"/>
  <c r="H25" i="2773"/>
  <c r="K23" i="2773"/>
  <c r="L23" i="2773" s="1"/>
  <c r="M23" i="2773" s="1"/>
  <c r="I23" i="2773"/>
  <c r="H23" i="2773"/>
  <c r="K21" i="2773"/>
  <c r="L21" i="2773" s="1"/>
  <c r="M21" i="2773" s="1"/>
  <c r="I21" i="2773"/>
  <c r="H21" i="2773"/>
  <c r="K15" i="2773"/>
  <c r="L15" i="2773" s="1"/>
  <c r="M15" i="2773" s="1"/>
  <c r="I15" i="2773"/>
  <c r="H15" i="2773"/>
  <c r="L13" i="2773"/>
  <c r="M13" i="2773" s="1"/>
  <c r="K13" i="2773"/>
  <c r="I13" i="2773"/>
  <c r="H13" i="2773"/>
  <c r="K11" i="2773"/>
  <c r="L11" i="2773" s="1"/>
  <c r="M11" i="2773" s="1"/>
  <c r="I11" i="2773"/>
  <c r="H11" i="2773"/>
  <c r="K9" i="2773"/>
  <c r="L9" i="2773" s="1"/>
  <c r="M9" i="2773" s="1"/>
  <c r="I9" i="2773"/>
  <c r="H9" i="2773"/>
  <c r="K3" i="2773"/>
  <c r="L3" i="2773" s="1"/>
  <c r="M3" i="2773" s="1"/>
  <c r="I3" i="2773"/>
  <c r="H3" i="2773"/>
  <c r="K45" i="2772"/>
  <c r="L45" i="2772" s="1"/>
  <c r="M45" i="2772" s="1"/>
  <c r="N45" i="2772" s="1"/>
  <c r="I45" i="2772"/>
  <c r="H45" i="2772"/>
  <c r="K43" i="2772"/>
  <c r="L43" i="2772" s="1"/>
  <c r="M43" i="2772" s="1"/>
  <c r="N43" i="2772" s="1"/>
  <c r="I43" i="2772"/>
  <c r="H43" i="2772"/>
  <c r="K41" i="2772"/>
  <c r="L41" i="2772" s="1"/>
  <c r="M41" i="2772" s="1"/>
  <c r="N41" i="2772" s="1"/>
  <c r="I41" i="2772"/>
  <c r="H41" i="2772"/>
  <c r="K39" i="2772"/>
  <c r="L39" i="2772" s="1"/>
  <c r="M39" i="2772" s="1"/>
  <c r="N39" i="2772" s="1"/>
  <c r="I39" i="2772"/>
  <c r="H39" i="2772"/>
  <c r="K37" i="2772"/>
  <c r="L37" i="2772" s="1"/>
  <c r="M37" i="2772" s="1"/>
  <c r="N37" i="2772" s="1"/>
  <c r="I37" i="2772"/>
  <c r="H37" i="2772"/>
  <c r="K35" i="2772"/>
  <c r="L35" i="2772" s="1"/>
  <c r="M35" i="2772" s="1"/>
  <c r="N35" i="2772" s="1"/>
  <c r="I35" i="2772"/>
  <c r="H35" i="2772"/>
  <c r="K33" i="2772"/>
  <c r="L33" i="2772" s="1"/>
  <c r="M33" i="2772" s="1"/>
  <c r="N33" i="2772" s="1"/>
  <c r="I33" i="2772"/>
  <c r="H33" i="2772"/>
  <c r="K31" i="2772"/>
  <c r="L31" i="2772" s="1"/>
  <c r="M31" i="2772" s="1"/>
  <c r="N31" i="2772" s="1"/>
  <c r="I31" i="2772"/>
  <c r="H31" i="2772"/>
  <c r="K29" i="2772"/>
  <c r="L29" i="2772" s="1"/>
  <c r="M29" i="2772" s="1"/>
  <c r="N29" i="2772" s="1"/>
  <c r="I29" i="2772"/>
  <c r="H29" i="2772"/>
  <c r="K27" i="2772"/>
  <c r="L27" i="2772" s="1"/>
  <c r="M27" i="2772" s="1"/>
  <c r="N27" i="2772" s="1"/>
  <c r="I27" i="2772"/>
  <c r="H27" i="2772"/>
  <c r="K25" i="2772"/>
  <c r="L25" i="2772" s="1"/>
  <c r="M25" i="2772" s="1"/>
  <c r="N25" i="2772" s="1"/>
  <c r="I25" i="2772"/>
  <c r="H25" i="2772"/>
  <c r="K23" i="2772"/>
  <c r="L23" i="2772" s="1"/>
  <c r="M23" i="2772" s="1"/>
  <c r="N23" i="2772" s="1"/>
  <c r="I23" i="2772"/>
  <c r="H23" i="2772"/>
  <c r="K21" i="2772"/>
  <c r="L21" i="2772" s="1"/>
  <c r="M21" i="2772" s="1"/>
  <c r="N21" i="2772" s="1"/>
  <c r="I21" i="2772"/>
  <c r="H21" i="2772"/>
  <c r="K15" i="2772"/>
  <c r="L15" i="2772" s="1"/>
  <c r="M15" i="2772" s="1"/>
  <c r="N15" i="2772" s="1"/>
  <c r="I15" i="2772"/>
  <c r="H15" i="2772"/>
  <c r="K13" i="2772"/>
  <c r="L13" i="2772" s="1"/>
  <c r="M13" i="2772" s="1"/>
  <c r="N13" i="2772" s="1"/>
  <c r="I13" i="2772"/>
  <c r="H13" i="2772"/>
  <c r="K11" i="2772"/>
  <c r="L11" i="2772" s="1"/>
  <c r="M11" i="2772" s="1"/>
  <c r="N11" i="2772" s="1"/>
  <c r="I11" i="2772"/>
  <c r="H11" i="2772" s="1"/>
  <c r="K9" i="2772"/>
  <c r="L9" i="2772" s="1"/>
  <c r="M9" i="2772" s="1"/>
  <c r="N9" i="2772" s="1"/>
  <c r="I9" i="2772"/>
  <c r="H9" i="2772"/>
  <c r="K3" i="2772"/>
  <c r="L3" i="2772" s="1"/>
  <c r="M3" i="2772" s="1"/>
  <c r="N3" i="2772" s="1"/>
  <c r="I3" i="2772"/>
  <c r="H3" i="2772"/>
  <c r="K59" i="2771"/>
  <c r="L59" i="2771" s="1"/>
  <c r="I59" i="2771"/>
  <c r="H59" i="2771" s="1"/>
  <c r="K57" i="2771"/>
  <c r="L57" i="2771" s="1"/>
  <c r="I57" i="2771"/>
  <c r="H57" i="2771"/>
  <c r="K55" i="2771"/>
  <c r="L55" i="2771" s="1"/>
  <c r="I55" i="2771"/>
  <c r="H55" i="2771"/>
  <c r="K53" i="2771"/>
  <c r="L53" i="2771" s="1"/>
  <c r="I53" i="2771"/>
  <c r="H53" i="2771"/>
  <c r="K51" i="2771"/>
  <c r="L51" i="2771" s="1"/>
  <c r="I51" i="2771"/>
  <c r="H51" i="2771"/>
  <c r="K49" i="2771"/>
  <c r="L49" i="2771" s="1"/>
  <c r="I49" i="2771"/>
  <c r="H49" i="2771"/>
  <c r="L47" i="2771"/>
  <c r="K47" i="2771"/>
  <c r="I47" i="2771"/>
  <c r="H47" i="2771"/>
  <c r="K45" i="2771"/>
  <c r="L45" i="2771" s="1"/>
  <c r="I45" i="2771"/>
  <c r="H45" i="2771"/>
  <c r="K43" i="2771"/>
  <c r="L43" i="2771" s="1"/>
  <c r="I43" i="2771"/>
  <c r="H43" i="2771"/>
  <c r="K41" i="2771"/>
  <c r="L41" i="2771" s="1"/>
  <c r="I41" i="2771"/>
  <c r="H41" i="2771"/>
  <c r="L35" i="2771"/>
  <c r="K35" i="2771"/>
  <c r="I35" i="2771"/>
  <c r="H35" i="2771"/>
  <c r="K33" i="2771"/>
  <c r="L33" i="2771" s="1"/>
  <c r="I33" i="2771"/>
  <c r="H33" i="2771"/>
  <c r="K31" i="2771"/>
  <c r="L31" i="2771" s="1"/>
  <c r="I31" i="2771"/>
  <c r="H31" i="2771" s="1"/>
  <c r="K29" i="2771"/>
  <c r="L29" i="2771" s="1"/>
  <c r="I29" i="2771"/>
  <c r="H29" i="2771"/>
  <c r="K25" i="2771"/>
  <c r="L25" i="2771" s="1"/>
  <c r="I25" i="2771"/>
  <c r="H25" i="2771"/>
  <c r="K23" i="2771"/>
  <c r="L23" i="2771" s="1"/>
  <c r="I23" i="2771"/>
  <c r="H23" i="2771"/>
  <c r="K21" i="2771"/>
  <c r="L21" i="2771" s="1"/>
  <c r="I21" i="2771"/>
  <c r="H21" i="2771" s="1"/>
  <c r="K19" i="2771"/>
  <c r="L19" i="2771" s="1"/>
  <c r="I19" i="2771"/>
  <c r="H19" i="2771"/>
  <c r="K17" i="2771"/>
  <c r="L17" i="2771" s="1"/>
  <c r="I17" i="2771"/>
  <c r="H17" i="2771"/>
  <c r="K15" i="2771"/>
  <c r="L15" i="2771" s="1"/>
  <c r="I15" i="2771"/>
  <c r="H15" i="2771"/>
  <c r="K13" i="2771"/>
  <c r="L13" i="2771" s="1"/>
  <c r="I13" i="2771"/>
  <c r="H13" i="2771"/>
  <c r="K11" i="2771"/>
  <c r="L11" i="2771" s="1"/>
  <c r="I11" i="2771"/>
  <c r="H11" i="2771"/>
  <c r="L9" i="2771"/>
  <c r="K9" i="2771"/>
  <c r="I9" i="2771"/>
  <c r="H9" i="2771"/>
  <c r="K7" i="2771"/>
  <c r="L7" i="2771" s="1"/>
  <c r="I7" i="2771"/>
  <c r="H7" i="2771"/>
  <c r="K5" i="2771"/>
  <c r="L5" i="2771" s="1"/>
  <c r="I5" i="2771"/>
  <c r="H5" i="2771"/>
  <c r="K3" i="2771"/>
  <c r="L3" i="2771" s="1"/>
  <c r="I3" i="2771"/>
  <c r="H3" i="2771"/>
  <c r="K67" i="2770"/>
  <c r="L67" i="2770" s="1"/>
  <c r="M67" i="2770" s="1"/>
  <c r="I67" i="2770"/>
  <c r="H67" i="2770"/>
  <c r="K65" i="2770"/>
  <c r="L65" i="2770" s="1"/>
  <c r="M65" i="2770" s="1"/>
  <c r="I65" i="2770"/>
  <c r="H65" i="2770"/>
  <c r="K63" i="2770"/>
  <c r="L63" i="2770" s="1"/>
  <c r="M63" i="2770" s="1"/>
  <c r="I63" i="2770"/>
  <c r="H63" i="2770"/>
  <c r="K61" i="2770"/>
  <c r="L61" i="2770" s="1"/>
  <c r="M61" i="2770" s="1"/>
  <c r="I61" i="2770"/>
  <c r="H61" i="2770"/>
  <c r="K59" i="2770"/>
  <c r="L59" i="2770" s="1"/>
  <c r="M59" i="2770" s="1"/>
  <c r="I59" i="2770"/>
  <c r="H59" i="2770"/>
  <c r="K57" i="2770"/>
  <c r="L57" i="2770" s="1"/>
  <c r="M57" i="2770" s="1"/>
  <c r="I57" i="2770"/>
  <c r="H57" i="2770"/>
  <c r="L55" i="2770"/>
  <c r="M55" i="2770" s="1"/>
  <c r="K55" i="2770"/>
  <c r="I55" i="2770"/>
  <c r="H55" i="2770"/>
  <c r="K53" i="2770"/>
  <c r="L53" i="2770" s="1"/>
  <c r="M53" i="2770" s="1"/>
  <c r="I53" i="2770"/>
  <c r="H53" i="2770"/>
  <c r="K51" i="2770"/>
  <c r="L51" i="2770" s="1"/>
  <c r="M51" i="2770" s="1"/>
  <c r="I51" i="2770"/>
  <c r="H51" i="2770"/>
  <c r="K49" i="2770"/>
  <c r="L49" i="2770" s="1"/>
  <c r="M49" i="2770" s="1"/>
  <c r="I49" i="2770"/>
  <c r="H49" i="2770"/>
  <c r="K47" i="2770"/>
  <c r="L47" i="2770" s="1"/>
  <c r="M47" i="2770" s="1"/>
  <c r="I47" i="2770"/>
  <c r="H47" i="2770"/>
  <c r="K45" i="2770"/>
  <c r="L45" i="2770" s="1"/>
  <c r="M45" i="2770" s="1"/>
  <c r="I45" i="2770"/>
  <c r="H45" i="2770"/>
  <c r="K43" i="2770"/>
  <c r="L43" i="2770" s="1"/>
  <c r="M43" i="2770" s="1"/>
  <c r="I43" i="2770"/>
  <c r="H43" i="2770" s="1"/>
  <c r="K41" i="2770"/>
  <c r="L41" i="2770" s="1"/>
  <c r="M41" i="2770" s="1"/>
  <c r="I41" i="2770"/>
  <c r="H41" i="2770"/>
  <c r="K35" i="2770"/>
  <c r="L35" i="2770" s="1"/>
  <c r="M35" i="2770" s="1"/>
  <c r="I35" i="2770"/>
  <c r="H35" i="2770"/>
  <c r="K33" i="2770"/>
  <c r="L33" i="2770" s="1"/>
  <c r="M33" i="2770" s="1"/>
  <c r="I33" i="2770"/>
  <c r="H33" i="2770"/>
  <c r="K31" i="2770"/>
  <c r="L31" i="2770" s="1"/>
  <c r="M31" i="2770" s="1"/>
  <c r="I31" i="2770"/>
  <c r="H31" i="2770"/>
  <c r="K29" i="2770"/>
  <c r="L29" i="2770" s="1"/>
  <c r="M29" i="2770" s="1"/>
  <c r="I29" i="2770"/>
  <c r="H29" i="2770"/>
  <c r="K25" i="2770"/>
  <c r="L25" i="2770" s="1"/>
  <c r="M25" i="2770" s="1"/>
  <c r="I25" i="2770"/>
  <c r="H25" i="2770"/>
  <c r="K23" i="2770"/>
  <c r="L23" i="2770" s="1"/>
  <c r="M23" i="2770" s="1"/>
  <c r="I23" i="2770"/>
  <c r="H23" i="2770"/>
  <c r="K21" i="2770"/>
  <c r="L21" i="2770" s="1"/>
  <c r="M21" i="2770" s="1"/>
  <c r="I21" i="2770"/>
  <c r="H21" i="2770"/>
  <c r="K19" i="2770"/>
  <c r="L19" i="2770" s="1"/>
  <c r="M19" i="2770" s="1"/>
  <c r="I19" i="2770"/>
  <c r="H19" i="2770"/>
  <c r="L17" i="2770"/>
  <c r="M17" i="2770" s="1"/>
  <c r="K17" i="2770"/>
  <c r="I17" i="2770"/>
  <c r="H17" i="2770"/>
  <c r="K15" i="2770"/>
  <c r="L15" i="2770" s="1"/>
  <c r="M15" i="2770" s="1"/>
  <c r="I15" i="2770"/>
  <c r="H15" i="2770"/>
  <c r="K13" i="2770"/>
  <c r="L13" i="2770" s="1"/>
  <c r="M13" i="2770" s="1"/>
  <c r="I13" i="2770"/>
  <c r="H13" i="2770"/>
  <c r="K11" i="2770"/>
  <c r="L11" i="2770" s="1"/>
  <c r="M11" i="2770" s="1"/>
  <c r="I11" i="2770"/>
  <c r="H11" i="2770"/>
  <c r="K9" i="2770"/>
  <c r="L9" i="2770" s="1"/>
  <c r="M9" i="2770" s="1"/>
  <c r="I9" i="2770"/>
  <c r="H9" i="2770"/>
  <c r="K7" i="2770"/>
  <c r="L7" i="2770" s="1"/>
  <c r="M7" i="2770" s="1"/>
  <c r="I7" i="2770"/>
  <c r="H7" i="2770"/>
  <c r="K5" i="2770"/>
  <c r="L5" i="2770" s="1"/>
  <c r="M5" i="2770" s="1"/>
  <c r="I5" i="2770"/>
  <c r="H5" i="2770" s="1"/>
  <c r="K3" i="2770"/>
  <c r="L3" i="2770" s="1"/>
  <c r="M3" i="2770" s="1"/>
  <c r="I3" i="2770"/>
  <c r="H3" i="2770"/>
  <c r="K33" i="2769"/>
  <c r="L33" i="2769" s="1"/>
  <c r="M33" i="2769" s="1"/>
  <c r="I33" i="2769"/>
  <c r="H33" i="2769"/>
  <c r="K31" i="2769"/>
  <c r="L31" i="2769" s="1"/>
  <c r="M31" i="2769" s="1"/>
  <c r="I31" i="2769"/>
  <c r="H31" i="2769"/>
  <c r="K29" i="2769"/>
  <c r="L29" i="2769" s="1"/>
  <c r="M29" i="2769" s="1"/>
  <c r="I29" i="2769"/>
  <c r="H29" i="2769"/>
  <c r="K27" i="2769"/>
  <c r="L27" i="2769" s="1"/>
  <c r="M27" i="2769" s="1"/>
  <c r="I27" i="2769"/>
  <c r="H27" i="2769"/>
  <c r="K25" i="2769"/>
  <c r="L25" i="2769" s="1"/>
  <c r="M25" i="2769" s="1"/>
  <c r="I25" i="2769"/>
  <c r="H25" i="2769"/>
  <c r="K23" i="2769"/>
  <c r="L23" i="2769" s="1"/>
  <c r="M23" i="2769" s="1"/>
  <c r="I23" i="2769"/>
  <c r="H23" i="2769"/>
  <c r="L21" i="2769"/>
  <c r="M21" i="2769" s="1"/>
  <c r="K21" i="2769"/>
  <c r="I21" i="2769"/>
  <c r="H21" i="2769" s="1"/>
  <c r="K19" i="2769"/>
  <c r="L19" i="2769" s="1"/>
  <c r="M19" i="2769" s="1"/>
  <c r="I19" i="2769"/>
  <c r="H19" i="2769"/>
  <c r="K17" i="2769"/>
  <c r="L17" i="2769" s="1"/>
  <c r="M17" i="2769" s="1"/>
  <c r="I17" i="2769"/>
  <c r="H17" i="2769"/>
  <c r="K15" i="2769"/>
  <c r="L15" i="2769" s="1"/>
  <c r="M15" i="2769" s="1"/>
  <c r="I15" i="2769"/>
  <c r="H15" i="2769" s="1"/>
  <c r="K13" i="2769"/>
  <c r="L13" i="2769" s="1"/>
  <c r="M13" i="2769" s="1"/>
  <c r="I13" i="2769"/>
  <c r="H13" i="2769"/>
  <c r="K11" i="2769"/>
  <c r="L11" i="2769" s="1"/>
  <c r="M11" i="2769" s="1"/>
  <c r="I11" i="2769"/>
  <c r="H11" i="2769"/>
  <c r="K9" i="2769"/>
  <c r="L9" i="2769" s="1"/>
  <c r="M9" i="2769" s="1"/>
  <c r="I9" i="2769"/>
  <c r="H9" i="2769" s="1"/>
  <c r="K7" i="2769"/>
  <c r="L7" i="2769" s="1"/>
  <c r="M7" i="2769" s="1"/>
  <c r="I7" i="2769"/>
  <c r="H7" i="2769"/>
  <c r="K5" i="2769"/>
  <c r="L5" i="2769" s="1"/>
  <c r="M5" i="2769" s="1"/>
  <c r="I5" i="2769"/>
  <c r="H5" i="2769"/>
  <c r="K3" i="2769"/>
  <c r="L3" i="2769" s="1"/>
  <c r="M3" i="2769" s="1"/>
  <c r="I3" i="2769"/>
  <c r="H3" i="2769"/>
  <c r="L35" i="2768"/>
  <c r="M35" i="2768" s="1"/>
  <c r="J35" i="2768"/>
  <c r="I35" i="2768"/>
  <c r="H35" i="2768" s="1"/>
  <c r="L33" i="2768"/>
  <c r="M33" i="2768" s="1"/>
  <c r="J33" i="2768"/>
  <c r="I33" i="2768" s="1"/>
  <c r="H33" i="2768" s="1"/>
  <c r="L31" i="2768"/>
  <c r="M31" i="2768" s="1"/>
  <c r="J31" i="2768"/>
  <c r="I31" i="2768" s="1"/>
  <c r="H31" i="2768" s="1"/>
  <c r="L29" i="2768"/>
  <c r="M29" i="2768" s="1"/>
  <c r="J29" i="2768"/>
  <c r="I29" i="2768"/>
  <c r="H29" i="2768" s="1"/>
  <c r="R14" i="2768" s="1"/>
  <c r="R15" i="2768" s="1"/>
  <c r="L27" i="2768"/>
  <c r="M27" i="2768" s="1"/>
  <c r="J27" i="2768"/>
  <c r="I27" i="2768"/>
  <c r="H27" i="2768" s="1"/>
  <c r="L25" i="2768"/>
  <c r="M25" i="2768" s="1"/>
  <c r="J25" i="2768"/>
  <c r="I25" i="2768"/>
  <c r="H25" i="2768" s="1"/>
  <c r="L23" i="2768"/>
  <c r="M23" i="2768" s="1"/>
  <c r="J23" i="2768"/>
  <c r="I23" i="2768" s="1"/>
  <c r="H23" i="2768" s="1"/>
  <c r="L21" i="2768"/>
  <c r="M21" i="2768" s="1"/>
  <c r="J21" i="2768"/>
  <c r="I21" i="2768" s="1"/>
  <c r="H21" i="2768" s="1"/>
  <c r="L19" i="2768"/>
  <c r="M19" i="2768" s="1"/>
  <c r="J19" i="2768"/>
  <c r="I19" i="2768" s="1"/>
  <c r="H19" i="2768" s="1"/>
  <c r="L17" i="2768"/>
  <c r="M17" i="2768" s="1"/>
  <c r="J17" i="2768"/>
  <c r="I17" i="2768"/>
  <c r="H17" i="2768" s="1"/>
  <c r="L15" i="2768"/>
  <c r="M15" i="2768" s="1"/>
  <c r="J15" i="2768"/>
  <c r="I15" i="2768"/>
  <c r="H15" i="2768" s="1"/>
  <c r="L13" i="2768"/>
  <c r="M13" i="2768" s="1"/>
  <c r="J13" i="2768"/>
  <c r="I13" i="2768"/>
  <c r="H13" i="2768" s="1"/>
  <c r="L11" i="2768"/>
  <c r="M11" i="2768" s="1"/>
  <c r="J11" i="2768"/>
  <c r="I11" i="2768" s="1"/>
  <c r="H11" i="2768" s="1"/>
  <c r="L9" i="2768"/>
  <c r="M9" i="2768" s="1"/>
  <c r="J9" i="2768"/>
  <c r="I9" i="2768" s="1"/>
  <c r="H9" i="2768" s="1"/>
  <c r="L7" i="2768"/>
  <c r="M7" i="2768" s="1"/>
  <c r="J7" i="2768"/>
  <c r="I7" i="2768"/>
  <c r="H7" i="2768" s="1"/>
  <c r="L5" i="2768"/>
  <c r="M5" i="2768" s="1"/>
  <c r="J5" i="2768"/>
  <c r="I5" i="2768"/>
  <c r="H5" i="2768" s="1"/>
  <c r="L3" i="2768"/>
  <c r="M3" i="2768" s="1"/>
  <c r="J3" i="2768"/>
  <c r="I3" i="2768"/>
  <c r="H3" i="2768" s="1"/>
  <c r="K25" i="2767"/>
  <c r="L25" i="2767" s="1"/>
  <c r="M25" i="2767" s="1"/>
  <c r="I25" i="2767"/>
  <c r="H25" i="2767"/>
  <c r="K23" i="2767"/>
  <c r="L23" i="2767" s="1"/>
  <c r="M23" i="2767" s="1"/>
  <c r="I23" i="2767"/>
  <c r="H23" i="2767"/>
  <c r="K19" i="2767"/>
  <c r="L19" i="2767" s="1"/>
  <c r="M19" i="2767" s="1"/>
  <c r="I19" i="2767"/>
  <c r="H19" i="2767"/>
  <c r="K17" i="2767"/>
  <c r="L17" i="2767" s="1"/>
  <c r="M17" i="2767" s="1"/>
  <c r="I17" i="2767"/>
  <c r="H17" i="2767"/>
  <c r="K15" i="2767"/>
  <c r="L15" i="2767" s="1"/>
  <c r="M15" i="2767" s="1"/>
  <c r="I15" i="2767"/>
  <c r="H15" i="2767"/>
  <c r="K13" i="2767"/>
  <c r="L13" i="2767" s="1"/>
  <c r="M13" i="2767" s="1"/>
  <c r="I13" i="2767"/>
  <c r="H13" i="2767"/>
  <c r="L11" i="2767"/>
  <c r="M11" i="2767" s="1"/>
  <c r="K11" i="2767"/>
  <c r="I11" i="2767"/>
  <c r="H11" i="2767"/>
  <c r="K9" i="2767"/>
  <c r="L9" i="2767" s="1"/>
  <c r="M9" i="2767" s="1"/>
  <c r="I9" i="2767"/>
  <c r="H9" i="2767"/>
  <c r="K7" i="2767"/>
  <c r="L7" i="2767" s="1"/>
  <c r="M7" i="2767" s="1"/>
  <c r="I7" i="2767"/>
  <c r="H7" i="2767"/>
  <c r="K5" i="2767"/>
  <c r="L5" i="2767" s="1"/>
  <c r="M5" i="2767" s="1"/>
  <c r="I5" i="2767"/>
  <c r="H5" i="2767" s="1"/>
  <c r="K3" i="2767"/>
  <c r="L3" i="2767" s="1"/>
  <c r="M3" i="2767" s="1"/>
  <c r="I3" i="2767"/>
  <c r="H3" i="2767"/>
  <c r="K25" i="2766"/>
  <c r="L25" i="2766" s="1"/>
  <c r="M25" i="2766" s="1"/>
  <c r="I25" i="2766"/>
  <c r="H25" i="2766" s="1"/>
  <c r="K23" i="2766"/>
  <c r="L23" i="2766" s="1"/>
  <c r="M23" i="2766" s="1"/>
  <c r="I23" i="2766"/>
  <c r="H23" i="2766"/>
  <c r="K19" i="2766"/>
  <c r="L19" i="2766" s="1"/>
  <c r="M19" i="2766" s="1"/>
  <c r="I19" i="2766"/>
  <c r="H19" i="2766"/>
  <c r="K17" i="2766"/>
  <c r="L17" i="2766" s="1"/>
  <c r="M17" i="2766" s="1"/>
  <c r="I17" i="2766"/>
  <c r="H17" i="2766" s="1"/>
  <c r="K15" i="2766"/>
  <c r="L15" i="2766" s="1"/>
  <c r="M15" i="2766" s="1"/>
  <c r="I15" i="2766"/>
  <c r="H15" i="2766" s="1"/>
  <c r="K13" i="2766"/>
  <c r="L13" i="2766" s="1"/>
  <c r="M13" i="2766" s="1"/>
  <c r="I13" i="2766"/>
  <c r="H13" i="2766"/>
  <c r="K11" i="2766"/>
  <c r="L11" i="2766" s="1"/>
  <c r="M11" i="2766" s="1"/>
  <c r="I11" i="2766"/>
  <c r="H11" i="2766"/>
  <c r="K9" i="2766"/>
  <c r="L9" i="2766" s="1"/>
  <c r="M9" i="2766" s="1"/>
  <c r="I9" i="2766"/>
  <c r="H9" i="2766"/>
  <c r="K7" i="2766"/>
  <c r="L7" i="2766" s="1"/>
  <c r="M7" i="2766" s="1"/>
  <c r="I7" i="2766"/>
  <c r="H7" i="2766"/>
  <c r="K5" i="2766"/>
  <c r="L5" i="2766" s="1"/>
  <c r="M5" i="2766" s="1"/>
  <c r="I5" i="2766"/>
  <c r="H5" i="2766" s="1"/>
  <c r="K3" i="2766"/>
  <c r="L3" i="2766" s="1"/>
  <c r="M3" i="2766" s="1"/>
  <c r="I3" i="2766"/>
  <c r="H3" i="2766" s="1"/>
  <c r="L25" i="2765"/>
  <c r="M25" i="2765" s="1"/>
  <c r="N25" i="2765" s="1"/>
  <c r="K25" i="2765"/>
  <c r="I25" i="2765"/>
  <c r="H25" i="2765"/>
  <c r="K23" i="2765"/>
  <c r="L23" i="2765" s="1"/>
  <c r="M23" i="2765" s="1"/>
  <c r="N23" i="2765" s="1"/>
  <c r="I23" i="2765"/>
  <c r="H23" i="2765"/>
  <c r="K21" i="2765"/>
  <c r="L21" i="2765" s="1"/>
  <c r="M21" i="2765" s="1"/>
  <c r="N21" i="2765" s="1"/>
  <c r="I21" i="2765"/>
  <c r="H21" i="2765" s="1"/>
  <c r="K19" i="2765"/>
  <c r="L19" i="2765" s="1"/>
  <c r="M19" i="2765" s="1"/>
  <c r="N19" i="2765" s="1"/>
  <c r="I19" i="2765"/>
  <c r="H19" i="2765"/>
  <c r="K17" i="2765"/>
  <c r="L17" i="2765" s="1"/>
  <c r="M17" i="2765" s="1"/>
  <c r="N17" i="2765" s="1"/>
  <c r="I17" i="2765"/>
  <c r="H17" i="2765"/>
  <c r="M15" i="2765"/>
  <c r="N15" i="2765" s="1"/>
  <c r="L15" i="2765"/>
  <c r="K15" i="2765"/>
  <c r="I15" i="2765"/>
  <c r="H15" i="2765" s="1"/>
  <c r="K13" i="2765"/>
  <c r="L13" i="2765" s="1"/>
  <c r="M13" i="2765" s="1"/>
  <c r="N13" i="2765" s="1"/>
  <c r="I13" i="2765"/>
  <c r="H13" i="2765"/>
  <c r="K11" i="2765"/>
  <c r="L11" i="2765" s="1"/>
  <c r="M11" i="2765" s="1"/>
  <c r="N11" i="2765" s="1"/>
  <c r="I11" i="2765"/>
  <c r="H11" i="2765"/>
  <c r="L9" i="2765"/>
  <c r="M9" i="2765" s="1"/>
  <c r="N9" i="2765" s="1"/>
  <c r="K9" i="2765"/>
  <c r="I9" i="2765"/>
  <c r="H9" i="2765"/>
  <c r="K7" i="2765"/>
  <c r="L7" i="2765" s="1"/>
  <c r="M7" i="2765" s="1"/>
  <c r="N7" i="2765" s="1"/>
  <c r="I7" i="2765"/>
  <c r="H7" i="2765"/>
  <c r="K5" i="2765"/>
  <c r="L5" i="2765" s="1"/>
  <c r="M5" i="2765" s="1"/>
  <c r="N5" i="2765" s="1"/>
  <c r="I5" i="2765"/>
  <c r="H5" i="2765" s="1"/>
  <c r="K3" i="2765"/>
  <c r="L3" i="2765" s="1"/>
  <c r="M3" i="2765" s="1"/>
  <c r="N3" i="2765" s="1"/>
  <c r="I3" i="2765"/>
  <c r="H3" i="2765"/>
  <c r="K29" i="2764"/>
  <c r="L29" i="2764" s="1"/>
  <c r="M29" i="2764" s="1"/>
  <c r="I29" i="2764"/>
  <c r="H29" i="2764"/>
  <c r="K27" i="2764"/>
  <c r="L27" i="2764" s="1"/>
  <c r="M27" i="2764" s="1"/>
  <c r="I27" i="2764"/>
  <c r="H27" i="2764"/>
  <c r="K25" i="2764"/>
  <c r="L25" i="2764" s="1"/>
  <c r="M25" i="2764" s="1"/>
  <c r="I25" i="2764"/>
  <c r="H25" i="2764"/>
  <c r="K23" i="2764"/>
  <c r="L23" i="2764" s="1"/>
  <c r="M23" i="2764" s="1"/>
  <c r="I23" i="2764"/>
  <c r="H23" i="2764"/>
  <c r="K21" i="2764"/>
  <c r="L21" i="2764" s="1"/>
  <c r="M21" i="2764" s="1"/>
  <c r="I21" i="2764"/>
  <c r="H21" i="2764"/>
  <c r="K19" i="2764"/>
  <c r="L19" i="2764" s="1"/>
  <c r="M19" i="2764" s="1"/>
  <c r="I19" i="2764"/>
  <c r="H19" i="2764"/>
  <c r="L17" i="2764"/>
  <c r="M17" i="2764" s="1"/>
  <c r="K17" i="2764"/>
  <c r="I17" i="2764"/>
  <c r="H17" i="2764"/>
  <c r="K15" i="2764"/>
  <c r="L15" i="2764" s="1"/>
  <c r="M15" i="2764" s="1"/>
  <c r="I15" i="2764"/>
  <c r="H15" i="2764"/>
  <c r="K13" i="2764"/>
  <c r="L13" i="2764" s="1"/>
  <c r="M13" i="2764" s="1"/>
  <c r="I13" i="2764"/>
  <c r="H13" i="2764"/>
  <c r="K11" i="2764"/>
  <c r="L11" i="2764" s="1"/>
  <c r="M11" i="2764" s="1"/>
  <c r="I11" i="2764"/>
  <c r="H11" i="2764"/>
  <c r="K9" i="2764"/>
  <c r="L9" i="2764" s="1"/>
  <c r="M9" i="2764" s="1"/>
  <c r="I9" i="2764"/>
  <c r="H9" i="2764"/>
  <c r="K7" i="2764"/>
  <c r="L7" i="2764" s="1"/>
  <c r="M7" i="2764" s="1"/>
  <c r="I7" i="2764"/>
  <c r="H7" i="2764"/>
  <c r="K5" i="2764"/>
  <c r="L5" i="2764" s="1"/>
  <c r="M5" i="2764" s="1"/>
  <c r="I5" i="2764"/>
  <c r="H5" i="2764" s="1"/>
  <c r="K3" i="2764"/>
  <c r="L3" i="2764" s="1"/>
  <c r="M3" i="2764" s="1"/>
  <c r="I3" i="2764"/>
  <c r="H3" i="2764"/>
  <c r="K41" i="2763"/>
  <c r="L41" i="2763" s="1"/>
  <c r="I41" i="2763"/>
  <c r="H41" i="2763"/>
  <c r="K39" i="2763"/>
  <c r="L39" i="2763" s="1"/>
  <c r="M39" i="2763" s="1"/>
  <c r="N39" i="2763" s="1"/>
  <c r="I39" i="2763"/>
  <c r="H39" i="2763"/>
  <c r="K37" i="2763"/>
  <c r="L37" i="2763" s="1"/>
  <c r="M37" i="2763" s="1"/>
  <c r="N37" i="2763" s="1"/>
  <c r="I37" i="2763"/>
  <c r="H37" i="2763" s="1"/>
  <c r="K35" i="2763"/>
  <c r="L35" i="2763" s="1"/>
  <c r="M35" i="2763" s="1"/>
  <c r="N35" i="2763" s="1"/>
  <c r="I35" i="2763"/>
  <c r="H35" i="2763" s="1"/>
  <c r="K33" i="2763"/>
  <c r="L33" i="2763" s="1"/>
  <c r="M33" i="2763" s="1"/>
  <c r="N33" i="2763" s="1"/>
  <c r="I33" i="2763"/>
  <c r="H33" i="2763"/>
  <c r="M31" i="2763"/>
  <c r="N31" i="2763" s="1"/>
  <c r="L31" i="2763"/>
  <c r="K31" i="2763"/>
  <c r="I31" i="2763"/>
  <c r="H31" i="2763"/>
  <c r="L29" i="2763"/>
  <c r="M29" i="2763" s="1"/>
  <c r="K29" i="2763"/>
  <c r="I29" i="2763"/>
  <c r="H29" i="2763"/>
  <c r="K27" i="2763"/>
  <c r="L27" i="2763" s="1"/>
  <c r="M27" i="2763" s="1"/>
  <c r="N27" i="2763" s="1"/>
  <c r="I27" i="2763"/>
  <c r="H27" i="2763"/>
  <c r="K25" i="2763"/>
  <c r="L25" i="2763" s="1"/>
  <c r="M25" i="2763" s="1"/>
  <c r="N25" i="2763" s="1"/>
  <c r="I25" i="2763"/>
  <c r="H25" i="2763"/>
  <c r="K23" i="2763"/>
  <c r="L23" i="2763" s="1"/>
  <c r="M23" i="2763" s="1"/>
  <c r="N23" i="2763" s="1"/>
  <c r="I23" i="2763"/>
  <c r="H23" i="2763"/>
  <c r="S21" i="2763"/>
  <c r="K21" i="2763"/>
  <c r="L21" i="2763" s="1"/>
  <c r="M21" i="2763" s="1"/>
  <c r="N21" i="2763" s="1"/>
  <c r="I21" i="2763"/>
  <c r="H21" i="2763"/>
  <c r="K19" i="2763"/>
  <c r="L19" i="2763" s="1"/>
  <c r="M19" i="2763" s="1"/>
  <c r="N19" i="2763" s="1"/>
  <c r="I19" i="2763"/>
  <c r="H19" i="2763"/>
  <c r="M17" i="2763"/>
  <c r="N17" i="2763" s="1"/>
  <c r="L17" i="2763"/>
  <c r="K17" i="2763"/>
  <c r="I17" i="2763"/>
  <c r="H17" i="2763"/>
  <c r="L15" i="2763"/>
  <c r="M15" i="2763" s="1"/>
  <c r="N15" i="2763" s="1"/>
  <c r="K15" i="2763"/>
  <c r="I15" i="2763"/>
  <c r="H15" i="2763"/>
  <c r="K13" i="2763"/>
  <c r="L13" i="2763" s="1"/>
  <c r="M13" i="2763" s="1"/>
  <c r="N13" i="2763" s="1"/>
  <c r="I13" i="2763"/>
  <c r="H13" i="2763"/>
  <c r="K11" i="2763"/>
  <c r="L11" i="2763" s="1"/>
  <c r="M11" i="2763" s="1"/>
  <c r="N11" i="2763" s="1"/>
  <c r="I11" i="2763"/>
  <c r="H11" i="2763"/>
  <c r="K9" i="2763"/>
  <c r="L9" i="2763" s="1"/>
  <c r="M9" i="2763" s="1"/>
  <c r="N9" i="2763" s="1"/>
  <c r="I9" i="2763"/>
  <c r="H9" i="2763"/>
  <c r="K7" i="2763"/>
  <c r="L7" i="2763" s="1"/>
  <c r="M7" i="2763" s="1"/>
  <c r="N7" i="2763" s="1"/>
  <c r="I7" i="2763"/>
  <c r="H7" i="2763" s="1"/>
  <c r="K5" i="2763"/>
  <c r="L5" i="2763" s="1"/>
  <c r="M5" i="2763" s="1"/>
  <c r="N5" i="2763" s="1"/>
  <c r="I5" i="2763"/>
  <c r="H5" i="2763" s="1"/>
  <c r="K3" i="2763"/>
  <c r="L3" i="2763" s="1"/>
  <c r="M3" i="2763" s="1"/>
  <c r="N3" i="2763" s="1"/>
  <c r="I3" i="2763"/>
  <c r="H3" i="2763"/>
  <c r="L33" i="2762"/>
  <c r="M33" i="2762" s="1"/>
  <c r="K33" i="2762"/>
  <c r="I33" i="2762"/>
  <c r="H33" i="2762" s="1"/>
  <c r="K31" i="2762"/>
  <c r="L31" i="2762" s="1"/>
  <c r="M31" i="2762" s="1"/>
  <c r="I31" i="2762"/>
  <c r="H31" i="2762" s="1"/>
  <c r="K29" i="2762"/>
  <c r="L29" i="2762" s="1"/>
  <c r="M29" i="2762" s="1"/>
  <c r="I29" i="2762"/>
  <c r="H29" i="2762"/>
  <c r="P17" i="2762" s="1"/>
  <c r="P18" i="2762" s="1"/>
  <c r="K27" i="2762"/>
  <c r="L27" i="2762" s="1"/>
  <c r="M27" i="2762" s="1"/>
  <c r="I27" i="2762"/>
  <c r="H27" i="2762"/>
  <c r="K25" i="2762"/>
  <c r="L25" i="2762" s="1"/>
  <c r="M25" i="2762" s="1"/>
  <c r="I25" i="2762"/>
  <c r="H25" i="2762"/>
  <c r="K23" i="2762"/>
  <c r="L23" i="2762" s="1"/>
  <c r="M23" i="2762" s="1"/>
  <c r="I23" i="2762"/>
  <c r="H23" i="2762"/>
  <c r="K21" i="2762"/>
  <c r="L21" i="2762" s="1"/>
  <c r="M21" i="2762" s="1"/>
  <c r="I21" i="2762"/>
  <c r="H21" i="2762" s="1"/>
  <c r="K19" i="2762"/>
  <c r="L19" i="2762" s="1"/>
  <c r="M19" i="2762" s="1"/>
  <c r="I19" i="2762"/>
  <c r="H19" i="2762"/>
  <c r="K17" i="2762"/>
  <c r="L17" i="2762" s="1"/>
  <c r="M17" i="2762" s="1"/>
  <c r="I17" i="2762"/>
  <c r="H17" i="2762"/>
  <c r="K15" i="2762"/>
  <c r="L15" i="2762" s="1"/>
  <c r="M15" i="2762" s="1"/>
  <c r="I15" i="2762"/>
  <c r="H15" i="2762"/>
  <c r="K13" i="2762"/>
  <c r="L13" i="2762" s="1"/>
  <c r="M13" i="2762" s="1"/>
  <c r="I13" i="2762"/>
  <c r="H13" i="2762"/>
  <c r="K11" i="2762"/>
  <c r="L11" i="2762" s="1"/>
  <c r="M11" i="2762" s="1"/>
  <c r="I11" i="2762"/>
  <c r="H11" i="2762"/>
  <c r="K9" i="2762"/>
  <c r="L9" i="2762" s="1"/>
  <c r="M9" i="2762" s="1"/>
  <c r="I9" i="2762"/>
  <c r="H9" i="2762" s="1"/>
  <c r="K7" i="2762"/>
  <c r="L7" i="2762" s="1"/>
  <c r="M7" i="2762" s="1"/>
  <c r="I7" i="2762"/>
  <c r="H7" i="2762"/>
  <c r="K5" i="2762"/>
  <c r="L5" i="2762" s="1"/>
  <c r="M5" i="2762" s="1"/>
  <c r="I5" i="2762"/>
  <c r="H5" i="2762"/>
  <c r="K3" i="2762"/>
  <c r="L3" i="2762" s="1"/>
  <c r="M3" i="2762" s="1"/>
  <c r="I3" i="2762"/>
  <c r="H3" i="2762"/>
  <c r="K25" i="2761"/>
  <c r="L25" i="2761" s="1"/>
  <c r="M25" i="2761" s="1"/>
  <c r="I25" i="2761"/>
  <c r="H25" i="2761"/>
  <c r="K23" i="2761"/>
  <c r="L23" i="2761" s="1"/>
  <c r="M23" i="2761" s="1"/>
  <c r="I23" i="2761"/>
  <c r="H23" i="2761"/>
  <c r="K19" i="2761"/>
  <c r="L19" i="2761" s="1"/>
  <c r="M19" i="2761" s="1"/>
  <c r="I19" i="2761"/>
  <c r="H19" i="2761"/>
  <c r="K17" i="2761"/>
  <c r="L17" i="2761" s="1"/>
  <c r="M17" i="2761" s="1"/>
  <c r="I17" i="2761"/>
  <c r="H17" i="2761"/>
  <c r="K15" i="2761"/>
  <c r="L15" i="2761" s="1"/>
  <c r="M15" i="2761" s="1"/>
  <c r="I15" i="2761"/>
  <c r="H15" i="2761"/>
  <c r="K13" i="2761"/>
  <c r="L13" i="2761" s="1"/>
  <c r="M13" i="2761" s="1"/>
  <c r="I13" i="2761"/>
  <c r="H13" i="2761"/>
  <c r="L11" i="2761"/>
  <c r="M11" i="2761" s="1"/>
  <c r="K11" i="2761"/>
  <c r="I11" i="2761"/>
  <c r="H11" i="2761"/>
  <c r="K9" i="2761"/>
  <c r="L9" i="2761" s="1"/>
  <c r="M9" i="2761" s="1"/>
  <c r="I9" i="2761"/>
  <c r="H9" i="2761"/>
  <c r="K7" i="2761"/>
  <c r="L7" i="2761" s="1"/>
  <c r="M7" i="2761" s="1"/>
  <c r="I7" i="2761"/>
  <c r="H7" i="2761"/>
  <c r="K5" i="2761"/>
  <c r="L5" i="2761" s="1"/>
  <c r="M5" i="2761" s="1"/>
  <c r="I5" i="2761"/>
  <c r="H5" i="2761"/>
  <c r="K3" i="2761"/>
  <c r="L3" i="2761" s="1"/>
  <c r="M3" i="2761" s="1"/>
  <c r="I3" i="2761"/>
  <c r="H3" i="2761"/>
  <c r="K33" i="2760"/>
  <c r="L33" i="2760" s="1"/>
  <c r="M33" i="2760" s="1"/>
  <c r="N33" i="2760" s="1"/>
  <c r="I33" i="2760"/>
  <c r="H33" i="2760"/>
  <c r="K31" i="2760"/>
  <c r="L31" i="2760" s="1"/>
  <c r="M31" i="2760" s="1"/>
  <c r="N31" i="2760" s="1"/>
  <c r="I31" i="2760"/>
  <c r="H31" i="2760"/>
  <c r="K29" i="2760"/>
  <c r="L29" i="2760" s="1"/>
  <c r="M29" i="2760" s="1"/>
  <c r="N29" i="2760" s="1"/>
  <c r="I29" i="2760"/>
  <c r="H29" i="2760" s="1"/>
  <c r="K27" i="2760"/>
  <c r="L27" i="2760" s="1"/>
  <c r="M27" i="2760" s="1"/>
  <c r="N27" i="2760" s="1"/>
  <c r="I27" i="2760"/>
  <c r="H27" i="2760"/>
  <c r="K25" i="2760"/>
  <c r="L25" i="2760" s="1"/>
  <c r="M25" i="2760" s="1"/>
  <c r="N25" i="2760" s="1"/>
  <c r="I25" i="2760"/>
  <c r="H25" i="2760"/>
  <c r="M23" i="2760"/>
  <c r="N23" i="2760" s="1"/>
  <c r="L23" i="2760"/>
  <c r="K23" i="2760"/>
  <c r="I23" i="2760"/>
  <c r="H23" i="2760"/>
  <c r="K21" i="2760"/>
  <c r="L21" i="2760" s="1"/>
  <c r="M21" i="2760" s="1"/>
  <c r="N21" i="2760" s="1"/>
  <c r="I21" i="2760"/>
  <c r="H21" i="2760"/>
  <c r="K19" i="2760"/>
  <c r="L19" i="2760" s="1"/>
  <c r="M19" i="2760" s="1"/>
  <c r="N19" i="2760" s="1"/>
  <c r="I19" i="2760"/>
  <c r="H19" i="2760"/>
  <c r="K17" i="2760"/>
  <c r="L17" i="2760" s="1"/>
  <c r="M17" i="2760" s="1"/>
  <c r="N17" i="2760" s="1"/>
  <c r="I17" i="2760"/>
  <c r="H17" i="2760"/>
  <c r="K15" i="2760"/>
  <c r="L15" i="2760" s="1"/>
  <c r="M15" i="2760" s="1"/>
  <c r="N15" i="2760" s="1"/>
  <c r="I15" i="2760"/>
  <c r="H15" i="2760"/>
  <c r="K13" i="2760"/>
  <c r="L13" i="2760" s="1"/>
  <c r="M13" i="2760" s="1"/>
  <c r="N13" i="2760" s="1"/>
  <c r="I13" i="2760"/>
  <c r="H13" i="2760" s="1"/>
  <c r="K11" i="2760"/>
  <c r="L11" i="2760" s="1"/>
  <c r="M11" i="2760" s="1"/>
  <c r="N11" i="2760" s="1"/>
  <c r="I11" i="2760"/>
  <c r="H11" i="2760"/>
  <c r="K9" i="2760"/>
  <c r="L9" i="2760" s="1"/>
  <c r="M9" i="2760" s="1"/>
  <c r="N9" i="2760" s="1"/>
  <c r="I9" i="2760"/>
  <c r="H9" i="2760"/>
  <c r="M7" i="2760"/>
  <c r="N7" i="2760" s="1"/>
  <c r="L7" i="2760"/>
  <c r="K7" i="2760"/>
  <c r="I7" i="2760"/>
  <c r="H7" i="2760"/>
  <c r="K5" i="2760"/>
  <c r="L5" i="2760" s="1"/>
  <c r="M5" i="2760" s="1"/>
  <c r="N5" i="2760" s="1"/>
  <c r="I5" i="2760"/>
  <c r="H5" i="2760"/>
  <c r="K3" i="2760"/>
  <c r="L3" i="2760" s="1"/>
  <c r="M3" i="2760" s="1"/>
  <c r="N3" i="2760" s="1"/>
  <c r="I3" i="2760"/>
  <c r="H3" i="2760" s="1"/>
  <c r="K25" i="2759"/>
  <c r="L25" i="2759" s="1"/>
  <c r="M25" i="2759" s="1"/>
  <c r="I25" i="2759"/>
  <c r="H25" i="2759"/>
  <c r="K23" i="2759"/>
  <c r="L23" i="2759" s="1"/>
  <c r="M23" i="2759" s="1"/>
  <c r="I23" i="2759"/>
  <c r="H23" i="2759"/>
  <c r="K21" i="2759"/>
  <c r="L21" i="2759" s="1"/>
  <c r="M21" i="2759" s="1"/>
  <c r="I21" i="2759"/>
  <c r="H21" i="2759"/>
  <c r="K19" i="2759"/>
  <c r="L19" i="2759" s="1"/>
  <c r="M19" i="2759" s="1"/>
  <c r="I19" i="2759"/>
  <c r="H19" i="2759"/>
  <c r="K17" i="2759"/>
  <c r="L17" i="2759" s="1"/>
  <c r="M17" i="2759" s="1"/>
  <c r="I17" i="2759"/>
  <c r="H17" i="2759"/>
  <c r="K15" i="2759"/>
  <c r="L15" i="2759" s="1"/>
  <c r="M15" i="2759" s="1"/>
  <c r="I15" i="2759"/>
  <c r="H15" i="2759"/>
  <c r="L13" i="2759"/>
  <c r="M13" i="2759" s="1"/>
  <c r="K13" i="2759"/>
  <c r="I13" i="2759"/>
  <c r="H13" i="2759"/>
  <c r="L11" i="2759"/>
  <c r="M11" i="2759" s="1"/>
  <c r="K11" i="2759"/>
  <c r="I11" i="2759"/>
  <c r="H11" i="2759"/>
  <c r="K9" i="2759"/>
  <c r="L9" i="2759" s="1"/>
  <c r="M9" i="2759" s="1"/>
  <c r="I9" i="2759"/>
  <c r="H9" i="2759"/>
  <c r="K7" i="2759"/>
  <c r="L7" i="2759" s="1"/>
  <c r="M7" i="2759" s="1"/>
  <c r="I7" i="2759"/>
  <c r="H7" i="2759"/>
  <c r="K5" i="2759"/>
  <c r="L5" i="2759" s="1"/>
  <c r="M5" i="2759" s="1"/>
  <c r="I5" i="2759"/>
  <c r="H5" i="2759"/>
  <c r="K3" i="2759"/>
  <c r="L3" i="2759" s="1"/>
  <c r="M3" i="2759" s="1"/>
  <c r="I3" i="2759"/>
  <c r="H3" i="2759"/>
  <c r="I3" i="2758"/>
  <c r="H3" i="2758" s="1"/>
  <c r="K3" i="2758"/>
  <c r="L3" i="2758"/>
  <c r="M3" i="2758" s="1"/>
  <c r="I5" i="2758"/>
  <c r="H5" i="2758" s="1"/>
  <c r="K5" i="2758"/>
  <c r="L5" i="2758"/>
  <c r="M5" i="2758"/>
  <c r="I7" i="2758"/>
  <c r="H7" i="2758" s="1"/>
  <c r="K7" i="2758"/>
  <c r="L7" i="2758"/>
  <c r="M7" i="2758"/>
  <c r="H9" i="2758"/>
  <c r="I9" i="2758"/>
  <c r="K9" i="2758"/>
  <c r="L9" i="2758" s="1"/>
  <c r="M9" i="2758" s="1"/>
  <c r="I11" i="2758"/>
  <c r="H11" i="2758" s="1"/>
  <c r="K11" i="2758"/>
  <c r="L11" i="2758"/>
  <c r="M11" i="2758"/>
  <c r="I13" i="2758"/>
  <c r="H13" i="2758" s="1"/>
  <c r="K13" i="2758"/>
  <c r="L13" i="2758"/>
  <c r="M13" i="2758"/>
  <c r="I15" i="2758"/>
  <c r="H15" i="2758" s="1"/>
  <c r="K15" i="2758"/>
  <c r="L15" i="2758" s="1"/>
  <c r="M15" i="2758" s="1"/>
  <c r="H17" i="2758"/>
  <c r="I17" i="2758"/>
  <c r="K17" i="2758"/>
  <c r="L17" i="2758"/>
  <c r="M17" i="2758"/>
  <c r="I19" i="2758"/>
  <c r="H19" i="2758" s="1"/>
  <c r="K19" i="2758"/>
  <c r="L19" i="2758"/>
  <c r="I23" i="2758"/>
  <c r="H23" i="2758" s="1"/>
  <c r="K23" i="2758"/>
  <c r="L23" i="2758"/>
  <c r="I25" i="2758"/>
  <c r="H25" i="2758" s="1"/>
  <c r="K25" i="2758"/>
  <c r="L25" i="2758"/>
  <c r="I27" i="2758"/>
  <c r="H27" i="2758" s="1"/>
  <c r="K27" i="2758"/>
  <c r="L27" i="2758"/>
  <c r="M27" i="2758"/>
  <c r="I29" i="2758"/>
  <c r="H29" i="2758" s="1"/>
  <c r="K29" i="2758"/>
  <c r="L29" i="2758"/>
  <c r="M29" i="2758"/>
  <c r="I31" i="2758"/>
  <c r="H31" i="2758" s="1"/>
  <c r="K31" i="2758"/>
  <c r="L31" i="2758" s="1"/>
  <c r="M31" i="2758" s="1"/>
  <c r="H33" i="2758"/>
  <c r="I33" i="2758"/>
  <c r="K33" i="2758"/>
  <c r="L33" i="2758"/>
  <c r="M33" i="2758"/>
  <c r="I35" i="2758"/>
  <c r="H35" i="2758" s="1"/>
  <c r="K35" i="2758"/>
  <c r="L35" i="2758"/>
  <c r="M35" i="2758"/>
  <c r="M39" i="2758"/>
  <c r="K37" i="2757"/>
  <c r="L37" i="2757" s="1"/>
  <c r="M37" i="2757" s="1"/>
  <c r="I37" i="2757"/>
  <c r="H37" i="2757" s="1"/>
  <c r="K35" i="2757"/>
  <c r="L35" i="2757" s="1"/>
  <c r="M35" i="2757" s="1"/>
  <c r="I35" i="2757"/>
  <c r="H35" i="2757"/>
  <c r="K33" i="2757"/>
  <c r="L33" i="2757" s="1"/>
  <c r="M33" i="2757" s="1"/>
  <c r="I33" i="2757"/>
  <c r="H33" i="2757"/>
  <c r="K31" i="2757"/>
  <c r="L31" i="2757" s="1"/>
  <c r="M31" i="2757" s="1"/>
  <c r="I31" i="2757"/>
  <c r="H31" i="2757"/>
  <c r="K17" i="2757"/>
  <c r="L17" i="2757" s="1"/>
  <c r="M17" i="2757" s="1"/>
  <c r="I17" i="2757"/>
  <c r="H17" i="2757"/>
  <c r="K15" i="2757"/>
  <c r="L15" i="2757" s="1"/>
  <c r="M15" i="2757" s="1"/>
  <c r="I15" i="2757"/>
  <c r="H15" i="2757"/>
  <c r="K13" i="2757"/>
  <c r="L13" i="2757" s="1"/>
  <c r="M13" i="2757" s="1"/>
  <c r="I13" i="2757"/>
  <c r="H13" i="2757"/>
  <c r="K11" i="2757"/>
  <c r="L11" i="2757" s="1"/>
  <c r="M11" i="2757" s="1"/>
  <c r="I11" i="2757"/>
  <c r="H11" i="2757"/>
  <c r="K9" i="2757"/>
  <c r="L9" i="2757" s="1"/>
  <c r="M9" i="2757" s="1"/>
  <c r="I9" i="2757"/>
  <c r="H9" i="2757"/>
  <c r="K5" i="2757"/>
  <c r="L5" i="2757" s="1"/>
  <c r="M5" i="2757" s="1"/>
  <c r="I5" i="2757"/>
  <c r="H5" i="2757"/>
  <c r="L3" i="2757"/>
  <c r="M3" i="2757" s="1"/>
  <c r="K3" i="2757"/>
  <c r="I3" i="2757"/>
  <c r="H3" i="2757"/>
  <c r="K17" i="2756"/>
  <c r="L17" i="2756" s="1"/>
  <c r="M17" i="2756" s="1"/>
  <c r="I17" i="2756"/>
  <c r="H17" i="2756" s="1"/>
  <c r="K15" i="2756"/>
  <c r="L15" i="2756" s="1"/>
  <c r="M15" i="2756" s="1"/>
  <c r="I15" i="2756"/>
  <c r="H15" i="2756"/>
  <c r="K13" i="2756"/>
  <c r="L13" i="2756" s="1"/>
  <c r="M13" i="2756" s="1"/>
  <c r="I13" i="2756"/>
  <c r="H13" i="2756"/>
  <c r="K11" i="2756"/>
  <c r="L11" i="2756" s="1"/>
  <c r="M11" i="2756" s="1"/>
  <c r="I11" i="2756"/>
  <c r="H11" i="2756"/>
  <c r="K9" i="2756"/>
  <c r="L9" i="2756" s="1"/>
  <c r="M9" i="2756" s="1"/>
  <c r="I9" i="2756"/>
  <c r="H9" i="2756" s="1"/>
  <c r="K7" i="2756"/>
  <c r="L7" i="2756" s="1"/>
  <c r="M7" i="2756" s="1"/>
  <c r="I7" i="2756"/>
  <c r="H7" i="2756"/>
  <c r="L5" i="2756"/>
  <c r="M5" i="2756" s="1"/>
  <c r="K5" i="2756"/>
  <c r="I5" i="2756"/>
  <c r="H5" i="2756" s="1"/>
  <c r="K3" i="2756"/>
  <c r="L3" i="2756" s="1"/>
  <c r="M3" i="2756" s="1"/>
  <c r="I3" i="2756"/>
  <c r="H3" i="2756"/>
  <c r="K21" i="2755"/>
  <c r="L21" i="2755" s="1"/>
  <c r="M21" i="2755" s="1"/>
  <c r="I21" i="2755"/>
  <c r="H21" i="2755"/>
  <c r="K19" i="2755"/>
  <c r="L19" i="2755" s="1"/>
  <c r="M19" i="2755" s="1"/>
  <c r="I19" i="2755"/>
  <c r="H19" i="2755"/>
  <c r="K17" i="2755"/>
  <c r="L17" i="2755" s="1"/>
  <c r="M17" i="2755" s="1"/>
  <c r="I17" i="2755"/>
  <c r="H17" i="2755"/>
  <c r="K15" i="2755"/>
  <c r="L15" i="2755" s="1"/>
  <c r="M15" i="2755" s="1"/>
  <c r="I15" i="2755"/>
  <c r="H15" i="2755"/>
  <c r="K13" i="2755"/>
  <c r="L13" i="2755" s="1"/>
  <c r="M13" i="2755" s="1"/>
  <c r="I13" i="2755"/>
  <c r="H13" i="2755"/>
  <c r="K11" i="2755"/>
  <c r="L11" i="2755" s="1"/>
  <c r="M11" i="2755" s="1"/>
  <c r="I11" i="2755"/>
  <c r="H11" i="2755"/>
  <c r="L3" i="2755"/>
  <c r="M3" i="2755" s="1"/>
  <c r="K3" i="2755"/>
  <c r="I3" i="2755"/>
  <c r="H3" i="2755"/>
  <c r="K19" i="2754"/>
  <c r="L19" i="2754" s="1"/>
  <c r="M19" i="2754" s="1"/>
  <c r="I19" i="2754"/>
  <c r="H19" i="2754"/>
  <c r="K17" i="2754"/>
  <c r="L17" i="2754" s="1"/>
  <c r="M17" i="2754" s="1"/>
  <c r="I17" i="2754"/>
  <c r="H17" i="2754"/>
  <c r="K15" i="2754"/>
  <c r="L15" i="2754" s="1"/>
  <c r="M15" i="2754" s="1"/>
  <c r="I15" i="2754"/>
  <c r="H15" i="2754"/>
  <c r="M13" i="2754"/>
  <c r="L13" i="2754"/>
  <c r="K13" i="2754"/>
  <c r="I13" i="2754"/>
  <c r="H13" i="2754"/>
  <c r="K11" i="2754"/>
  <c r="L11" i="2754" s="1"/>
  <c r="M11" i="2754" s="1"/>
  <c r="I11" i="2754"/>
  <c r="H11" i="2754"/>
  <c r="K3" i="2754"/>
  <c r="L3" i="2754" s="1"/>
  <c r="M3" i="2754" s="1"/>
  <c r="I3" i="2754"/>
  <c r="H3" i="2754"/>
  <c r="K23" i="2753"/>
  <c r="L23" i="2753" s="1"/>
  <c r="M23" i="2753" s="1"/>
  <c r="I23" i="2753"/>
  <c r="H23" i="2753"/>
  <c r="K21" i="2753"/>
  <c r="L21" i="2753" s="1"/>
  <c r="M21" i="2753" s="1"/>
  <c r="I21" i="2753"/>
  <c r="H21" i="2753"/>
  <c r="K19" i="2753"/>
  <c r="L19" i="2753" s="1"/>
  <c r="M19" i="2753" s="1"/>
  <c r="I19" i="2753"/>
  <c r="H19" i="2753"/>
  <c r="K17" i="2753"/>
  <c r="L17" i="2753" s="1"/>
  <c r="M17" i="2753" s="1"/>
  <c r="I17" i="2753"/>
  <c r="H17" i="2753"/>
  <c r="K15" i="2753"/>
  <c r="L15" i="2753" s="1"/>
  <c r="M15" i="2753" s="1"/>
  <c r="I15" i="2753"/>
  <c r="H15" i="2753"/>
  <c r="K13" i="2753"/>
  <c r="L13" i="2753" s="1"/>
  <c r="M13" i="2753" s="1"/>
  <c r="I13" i="2753"/>
  <c r="H13" i="2753"/>
  <c r="L11" i="2753"/>
  <c r="M11" i="2753" s="1"/>
  <c r="K11" i="2753"/>
  <c r="I11" i="2753"/>
  <c r="H11" i="2753" s="1"/>
  <c r="K9" i="2753"/>
  <c r="L9" i="2753" s="1"/>
  <c r="M9" i="2753" s="1"/>
  <c r="I9" i="2753"/>
  <c r="H9" i="2753"/>
  <c r="K7" i="2753"/>
  <c r="L7" i="2753" s="1"/>
  <c r="M7" i="2753" s="1"/>
  <c r="I7" i="2753"/>
  <c r="H7" i="2753"/>
  <c r="K5" i="2753"/>
  <c r="L5" i="2753" s="1"/>
  <c r="M5" i="2753" s="1"/>
  <c r="I5" i="2753"/>
  <c r="H5" i="2753" s="1"/>
  <c r="K3" i="2753"/>
  <c r="L3" i="2753" s="1"/>
  <c r="M3" i="2753" s="1"/>
  <c r="I3" i="2753"/>
  <c r="H3" i="2753"/>
  <c r="L33" i="2752"/>
  <c r="K33" i="2752"/>
  <c r="I33" i="2752"/>
  <c r="H33" i="2752"/>
  <c r="K31" i="2752"/>
  <c r="L31" i="2752" s="1"/>
  <c r="I31" i="2752"/>
  <c r="H31" i="2752"/>
  <c r="K29" i="2752"/>
  <c r="L29" i="2752" s="1"/>
  <c r="I29" i="2752"/>
  <c r="H29" i="2752"/>
  <c r="K27" i="2752"/>
  <c r="L27" i="2752" s="1"/>
  <c r="I27" i="2752"/>
  <c r="H27" i="2752"/>
  <c r="K25" i="2752"/>
  <c r="L25" i="2752" s="1"/>
  <c r="I25" i="2752"/>
  <c r="H25" i="2752"/>
  <c r="L23" i="2752"/>
  <c r="K23" i="2752"/>
  <c r="I23" i="2752"/>
  <c r="H23" i="2752"/>
  <c r="K21" i="2752"/>
  <c r="L21" i="2752" s="1"/>
  <c r="I21" i="2752"/>
  <c r="H21" i="2752"/>
  <c r="K19" i="2752"/>
  <c r="L19" i="2752" s="1"/>
  <c r="I19" i="2752"/>
  <c r="H19" i="2752"/>
  <c r="K17" i="2752"/>
  <c r="L17" i="2752" s="1"/>
  <c r="I17" i="2752"/>
  <c r="H17" i="2752"/>
  <c r="L15" i="2752"/>
  <c r="K15" i="2752"/>
  <c r="I15" i="2752"/>
  <c r="H15" i="2752"/>
  <c r="K13" i="2752"/>
  <c r="L13" i="2752" s="1"/>
  <c r="I13" i="2752"/>
  <c r="H13" i="2752"/>
  <c r="K11" i="2752"/>
  <c r="L11" i="2752" s="1"/>
  <c r="I11" i="2752"/>
  <c r="H11" i="2752"/>
  <c r="K9" i="2752"/>
  <c r="L9" i="2752" s="1"/>
  <c r="I9" i="2752"/>
  <c r="H9" i="2752"/>
  <c r="L7" i="2752"/>
  <c r="K7" i="2752"/>
  <c r="I7" i="2752"/>
  <c r="H7" i="2752"/>
  <c r="K5" i="2752"/>
  <c r="L5" i="2752" s="1"/>
  <c r="I5" i="2752"/>
  <c r="H5" i="2752"/>
  <c r="K3" i="2752"/>
  <c r="L3" i="2752" s="1"/>
  <c r="I3" i="2752"/>
  <c r="H3" i="2752"/>
  <c r="N29" i="2763" l="1"/>
  <c r="R17" i="2763"/>
  <c r="R18" i="2763" s="1"/>
  <c r="M41" i="2763"/>
  <c r="N41" i="2763" s="1"/>
  <c r="R20" i="2763" s="1"/>
  <c r="R21" i="2763" s="1"/>
  <c r="R22" i="2763" s="1"/>
  <c r="N39" i="2697" l="1"/>
  <c r="N37" i="2697"/>
  <c r="N35" i="2697"/>
  <c r="N33" i="2697"/>
  <c r="N31" i="2697"/>
  <c r="N29" i="2697"/>
  <c r="N27" i="2697"/>
  <c r="N25" i="2697"/>
  <c r="N23" i="2697"/>
  <c r="N21" i="2697"/>
  <c r="N15" i="2697"/>
  <c r="N13" i="2697"/>
  <c r="N11" i="2697"/>
  <c r="N9" i="2697"/>
  <c r="N3" i="2697"/>
  <c r="P11" i="2749"/>
  <c r="P10" i="2749"/>
  <c r="K9" i="2751"/>
  <c r="L9" i="2751" s="1"/>
  <c r="M9" i="2751" s="1"/>
  <c r="I9" i="2751"/>
  <c r="H9" i="2751"/>
  <c r="K3" i="2751"/>
  <c r="L3" i="2751" s="1"/>
  <c r="M3" i="2751" s="1"/>
  <c r="I3" i="2751"/>
  <c r="H3" i="2751" s="1"/>
  <c r="L23" i="2751"/>
  <c r="M23" i="2751" s="1"/>
  <c r="K23" i="2751"/>
  <c r="I23" i="2751"/>
  <c r="H23" i="2751" s="1"/>
  <c r="K19" i="2751"/>
  <c r="L19" i="2751" s="1"/>
  <c r="M19" i="2751" s="1"/>
  <c r="I19" i="2751"/>
  <c r="H19" i="2751" s="1"/>
  <c r="K7" i="2751"/>
  <c r="L7" i="2751" s="1"/>
  <c r="M7" i="2751" s="1"/>
  <c r="I7" i="2751"/>
  <c r="H7" i="2751" s="1"/>
  <c r="K5" i="2751"/>
  <c r="L5" i="2751" s="1"/>
  <c r="M5" i="2751" s="1"/>
  <c r="I5" i="2751"/>
  <c r="H5" i="2751" s="1"/>
  <c r="K27" i="2751"/>
  <c r="L27" i="2751" s="1"/>
  <c r="M27" i="2751" s="1"/>
  <c r="I27" i="2751"/>
  <c r="H27" i="2751"/>
  <c r="K25" i="2751"/>
  <c r="L25" i="2751" s="1"/>
  <c r="M25" i="2751" s="1"/>
  <c r="I25" i="2751"/>
  <c r="H25" i="2751"/>
  <c r="K17" i="2751"/>
  <c r="L17" i="2751" s="1"/>
  <c r="M17" i="2751" s="1"/>
  <c r="I17" i="2751"/>
  <c r="H17" i="2751"/>
  <c r="K15" i="2751"/>
  <c r="L15" i="2751" s="1"/>
  <c r="M15" i="2751" s="1"/>
  <c r="I15" i="2751"/>
  <c r="H15" i="2751" s="1"/>
  <c r="K13" i="2751"/>
  <c r="L13" i="2751" s="1"/>
  <c r="M13" i="2751" s="1"/>
  <c r="I13" i="2751"/>
  <c r="H13" i="2751" s="1"/>
  <c r="K11" i="2751"/>
  <c r="L11" i="2751" s="1"/>
  <c r="M11" i="2751" s="1"/>
  <c r="I11" i="2751"/>
  <c r="H11" i="2751"/>
  <c r="Q30" i="2750"/>
  <c r="Q29" i="2750"/>
  <c r="Q25" i="2750"/>
  <c r="Q24" i="2750"/>
  <c r="K23" i="2750"/>
  <c r="L23" i="2750" s="1"/>
  <c r="M23" i="2750" s="1"/>
  <c r="I23" i="2750"/>
  <c r="H23" i="2750"/>
  <c r="M13" i="2750"/>
  <c r="L13" i="2750"/>
  <c r="K13" i="2750"/>
  <c r="H13" i="2750"/>
  <c r="I13" i="2750"/>
  <c r="L27" i="2750"/>
  <c r="M27" i="2750" s="1"/>
  <c r="K27" i="2750"/>
  <c r="I27" i="2750"/>
  <c r="H27" i="2750" s="1"/>
  <c r="K29" i="2750"/>
  <c r="L29" i="2750" s="1"/>
  <c r="M29" i="2750" s="1"/>
  <c r="I29" i="2750"/>
  <c r="H29" i="2750"/>
  <c r="K67" i="2750"/>
  <c r="L67" i="2750" s="1"/>
  <c r="M67" i="2750" s="1"/>
  <c r="I67" i="2750"/>
  <c r="H67" i="2750" s="1"/>
  <c r="K65" i="2750"/>
  <c r="L65" i="2750" s="1"/>
  <c r="M65" i="2750" s="1"/>
  <c r="I65" i="2750"/>
  <c r="H65" i="2750"/>
  <c r="K47" i="2750"/>
  <c r="L47" i="2750" s="1"/>
  <c r="M47" i="2750" s="1"/>
  <c r="I47" i="2750"/>
  <c r="H47" i="2750" s="1"/>
  <c r="I59" i="2750"/>
  <c r="H59" i="2750" s="1"/>
  <c r="K59" i="2750"/>
  <c r="L59" i="2750" s="1"/>
  <c r="M59" i="2750" s="1"/>
  <c r="K21" i="2750"/>
  <c r="L21" i="2750" s="1"/>
  <c r="M21" i="2750" s="1"/>
  <c r="I21" i="2750"/>
  <c r="H21" i="2750" s="1"/>
  <c r="K7" i="2750"/>
  <c r="L7" i="2750" s="1"/>
  <c r="M7" i="2750" s="1"/>
  <c r="I7" i="2750"/>
  <c r="H7" i="2750" s="1"/>
  <c r="K5" i="2750"/>
  <c r="L5" i="2750" s="1"/>
  <c r="M5" i="2750" s="1"/>
  <c r="I5" i="2750"/>
  <c r="H5" i="2750" s="1"/>
  <c r="K63" i="2750"/>
  <c r="L63" i="2750" s="1"/>
  <c r="M63" i="2750" s="1"/>
  <c r="I63" i="2750"/>
  <c r="H63" i="2750" s="1"/>
  <c r="K61" i="2750"/>
  <c r="L61" i="2750" s="1"/>
  <c r="M61" i="2750" s="1"/>
  <c r="I61" i="2750"/>
  <c r="H61" i="2750" s="1"/>
  <c r="K57" i="2750"/>
  <c r="L57" i="2750" s="1"/>
  <c r="M57" i="2750" s="1"/>
  <c r="I57" i="2750"/>
  <c r="H57" i="2750"/>
  <c r="K55" i="2750"/>
  <c r="L55" i="2750" s="1"/>
  <c r="M55" i="2750" s="1"/>
  <c r="I55" i="2750"/>
  <c r="H55" i="2750"/>
  <c r="K53" i="2750"/>
  <c r="L53" i="2750" s="1"/>
  <c r="M53" i="2750" s="1"/>
  <c r="I53" i="2750"/>
  <c r="H53" i="2750" s="1"/>
  <c r="K51" i="2750"/>
  <c r="L51" i="2750" s="1"/>
  <c r="M51" i="2750" s="1"/>
  <c r="I51" i="2750"/>
  <c r="H51" i="2750" s="1"/>
  <c r="K49" i="2750"/>
  <c r="L49" i="2750" s="1"/>
  <c r="M49" i="2750" s="1"/>
  <c r="I49" i="2750"/>
  <c r="H49" i="2750"/>
  <c r="K45" i="2750"/>
  <c r="L45" i="2750" s="1"/>
  <c r="M45" i="2750" s="1"/>
  <c r="I45" i="2750"/>
  <c r="H45" i="2750" s="1"/>
  <c r="K39" i="2750"/>
  <c r="L39" i="2750" s="1"/>
  <c r="M39" i="2750" s="1"/>
  <c r="I39" i="2750"/>
  <c r="H39" i="2750" s="1"/>
  <c r="K37" i="2750"/>
  <c r="L37" i="2750" s="1"/>
  <c r="M37" i="2750" s="1"/>
  <c r="I37" i="2750"/>
  <c r="H37" i="2750" s="1"/>
  <c r="K35" i="2750"/>
  <c r="L35" i="2750" s="1"/>
  <c r="M35" i="2750" s="1"/>
  <c r="I35" i="2750"/>
  <c r="H35" i="2750" s="1"/>
  <c r="K33" i="2750"/>
  <c r="L33" i="2750" s="1"/>
  <c r="M33" i="2750" s="1"/>
  <c r="I33" i="2750"/>
  <c r="H33" i="2750" s="1"/>
  <c r="K25" i="2750"/>
  <c r="L25" i="2750" s="1"/>
  <c r="M25" i="2750" s="1"/>
  <c r="I25" i="2750"/>
  <c r="H25" i="2750" s="1"/>
  <c r="K19" i="2750"/>
  <c r="L19" i="2750" s="1"/>
  <c r="M19" i="2750" s="1"/>
  <c r="I19" i="2750"/>
  <c r="H19" i="2750" s="1"/>
  <c r="K17" i="2750"/>
  <c r="L17" i="2750" s="1"/>
  <c r="M17" i="2750" s="1"/>
  <c r="I17" i="2750"/>
  <c r="H17" i="2750"/>
  <c r="K15" i="2750"/>
  <c r="L15" i="2750" s="1"/>
  <c r="M15" i="2750" s="1"/>
  <c r="I15" i="2750"/>
  <c r="H15" i="2750"/>
  <c r="K11" i="2750"/>
  <c r="L11" i="2750" s="1"/>
  <c r="M11" i="2750" s="1"/>
  <c r="I11" i="2750"/>
  <c r="H11" i="2750" s="1"/>
  <c r="K9" i="2750"/>
  <c r="L9" i="2750" s="1"/>
  <c r="M9" i="2750" s="1"/>
  <c r="I9" i="2750"/>
  <c r="H9" i="2750"/>
  <c r="K3" i="2750"/>
  <c r="L3" i="2750" s="1"/>
  <c r="M3" i="2750" s="1"/>
  <c r="I3" i="2750"/>
  <c r="H3" i="2750" s="1"/>
  <c r="H42" i="2749"/>
  <c r="I42" i="2749"/>
  <c r="M42" i="2749"/>
  <c r="L42" i="2749"/>
  <c r="K42" i="2749"/>
  <c r="M40" i="2749"/>
  <c r="L40" i="2749"/>
  <c r="K40" i="2749"/>
  <c r="I40" i="2749"/>
  <c r="H40" i="2749" s="1"/>
  <c r="K66" i="2749"/>
  <c r="L66" i="2749" s="1"/>
  <c r="M66" i="2749" s="1"/>
  <c r="I66" i="2749"/>
  <c r="H66" i="2749"/>
  <c r="K64" i="2749"/>
  <c r="L64" i="2749" s="1"/>
  <c r="M64" i="2749" s="1"/>
  <c r="I64" i="2749"/>
  <c r="H64" i="2749" s="1"/>
  <c r="K62" i="2749"/>
  <c r="L62" i="2749" s="1"/>
  <c r="M62" i="2749" s="1"/>
  <c r="I62" i="2749"/>
  <c r="H62" i="2749"/>
  <c r="K60" i="2749"/>
  <c r="L60" i="2749" s="1"/>
  <c r="M60" i="2749" s="1"/>
  <c r="I60" i="2749"/>
  <c r="H60" i="2749"/>
  <c r="K58" i="2749"/>
  <c r="L58" i="2749" s="1"/>
  <c r="M58" i="2749" s="1"/>
  <c r="I58" i="2749"/>
  <c r="H58" i="2749" s="1"/>
  <c r="K54" i="2749"/>
  <c r="L54" i="2749" s="1"/>
  <c r="M54" i="2749" s="1"/>
  <c r="I54" i="2749"/>
  <c r="H54" i="2749"/>
  <c r="K52" i="2749"/>
  <c r="L52" i="2749" s="1"/>
  <c r="M52" i="2749" s="1"/>
  <c r="I52" i="2749"/>
  <c r="H52" i="2749"/>
  <c r="K50" i="2749"/>
  <c r="L50" i="2749" s="1"/>
  <c r="M50" i="2749" s="1"/>
  <c r="I50" i="2749"/>
  <c r="H50" i="2749"/>
  <c r="K48" i="2749"/>
  <c r="L48" i="2749" s="1"/>
  <c r="M48" i="2749" s="1"/>
  <c r="I48" i="2749"/>
  <c r="H48" i="2749"/>
  <c r="K46" i="2749"/>
  <c r="L46" i="2749" s="1"/>
  <c r="M46" i="2749" s="1"/>
  <c r="I46" i="2749"/>
  <c r="H46" i="2749" s="1"/>
  <c r="K44" i="2749"/>
  <c r="L44" i="2749" s="1"/>
  <c r="M44" i="2749" s="1"/>
  <c r="I44" i="2749"/>
  <c r="H44" i="2749" s="1"/>
  <c r="M31" i="2749"/>
  <c r="L31" i="2749"/>
  <c r="K31" i="2749"/>
  <c r="H31" i="2749"/>
  <c r="I31" i="2749"/>
  <c r="K29" i="2749"/>
  <c r="L29" i="2749" s="1"/>
  <c r="M29" i="2749" s="1"/>
  <c r="I29" i="2749"/>
  <c r="H29" i="2749"/>
  <c r="M27" i="2749"/>
  <c r="L27" i="2749"/>
  <c r="K27" i="2749"/>
  <c r="H27" i="2749"/>
  <c r="I27" i="2749"/>
  <c r="M25" i="2749"/>
  <c r="L25" i="2749"/>
  <c r="K25" i="2749"/>
  <c r="H25" i="2749"/>
  <c r="I25" i="2749"/>
  <c r="L11" i="2749"/>
  <c r="M11" i="2749" s="1"/>
  <c r="K11" i="2749"/>
  <c r="I11" i="2749"/>
  <c r="H11" i="2749" s="1"/>
  <c r="K9" i="2749"/>
  <c r="L9" i="2749" s="1"/>
  <c r="M9" i="2749" s="1"/>
  <c r="H9" i="2749"/>
  <c r="I9" i="2749"/>
  <c r="M7" i="2749"/>
  <c r="L7" i="2749"/>
  <c r="K7" i="2749"/>
  <c r="H7" i="2749"/>
  <c r="I7" i="2749"/>
  <c r="K5" i="2749"/>
  <c r="L5" i="2749" s="1"/>
  <c r="M5" i="2749" s="1"/>
  <c r="I5" i="2749"/>
  <c r="H5" i="2749" s="1"/>
  <c r="K3" i="2749"/>
  <c r="L3" i="2749" s="1"/>
  <c r="M3" i="2749" s="1"/>
  <c r="I3" i="2749"/>
  <c r="H3" i="2749"/>
  <c r="K17" i="2749"/>
  <c r="L17" i="2749" s="1"/>
  <c r="M17" i="2749" s="1"/>
  <c r="I17" i="2749"/>
  <c r="H17" i="2749" s="1"/>
  <c r="K15" i="2749"/>
  <c r="L15" i="2749" s="1"/>
  <c r="M15" i="2749" s="1"/>
  <c r="I15" i="2749"/>
  <c r="H15" i="2749"/>
  <c r="K13" i="2749"/>
  <c r="L13" i="2749" s="1"/>
  <c r="M13" i="2749" s="1"/>
  <c r="I13" i="2749"/>
  <c r="H13" i="2749"/>
  <c r="K35" i="2748"/>
  <c r="L35" i="2748" s="1"/>
  <c r="M35" i="2748" s="1"/>
  <c r="I35" i="2748"/>
  <c r="H35" i="2748" s="1"/>
  <c r="M33" i="2748"/>
  <c r="L33" i="2748"/>
  <c r="K33" i="2748"/>
  <c r="H33" i="2748"/>
  <c r="I33" i="2748"/>
  <c r="K31" i="2748"/>
  <c r="L31" i="2748" s="1"/>
  <c r="M31" i="2748" s="1"/>
  <c r="I31" i="2748"/>
  <c r="H31" i="2748" s="1"/>
  <c r="H9" i="2748"/>
  <c r="I9" i="2748"/>
  <c r="M9" i="2748"/>
  <c r="L9" i="2748"/>
  <c r="K9" i="2748"/>
  <c r="H5" i="2748"/>
  <c r="I5" i="2748"/>
  <c r="M5" i="2748"/>
  <c r="L5" i="2748"/>
  <c r="K5" i="2748"/>
  <c r="K3" i="2748"/>
  <c r="L3" i="2748" s="1"/>
  <c r="M3" i="2748" s="1"/>
  <c r="I3" i="2748"/>
  <c r="H3" i="2748" s="1"/>
  <c r="K29" i="2748"/>
  <c r="L29" i="2748" s="1"/>
  <c r="M29" i="2748" s="1"/>
  <c r="I29" i="2748"/>
  <c r="H29" i="2748" s="1"/>
  <c r="K27" i="2748"/>
  <c r="L27" i="2748" s="1"/>
  <c r="M27" i="2748" s="1"/>
  <c r="I27" i="2748"/>
  <c r="H27" i="2748"/>
  <c r="K25" i="2748"/>
  <c r="L25" i="2748" s="1"/>
  <c r="M25" i="2748" s="1"/>
  <c r="I25" i="2748"/>
  <c r="H25" i="2748" s="1"/>
  <c r="K23" i="2748"/>
  <c r="L23" i="2748" s="1"/>
  <c r="M23" i="2748" s="1"/>
  <c r="I23" i="2748"/>
  <c r="H23" i="2748" s="1"/>
  <c r="K21" i="2748"/>
  <c r="L21" i="2748" s="1"/>
  <c r="M21" i="2748" s="1"/>
  <c r="I21" i="2748"/>
  <c r="H21" i="2748" s="1"/>
  <c r="K17" i="2748"/>
  <c r="L17" i="2748" s="1"/>
  <c r="M17" i="2748" s="1"/>
  <c r="I17" i="2748"/>
  <c r="H17" i="2748"/>
  <c r="K15" i="2748"/>
  <c r="L15" i="2748" s="1"/>
  <c r="M15" i="2748" s="1"/>
  <c r="I15" i="2748"/>
  <c r="H15" i="2748" s="1"/>
  <c r="K13" i="2748"/>
  <c r="L13" i="2748" s="1"/>
  <c r="M13" i="2748" s="1"/>
  <c r="I13" i="2748"/>
  <c r="H13" i="2748"/>
  <c r="K11" i="2748"/>
  <c r="L11" i="2748" s="1"/>
  <c r="M11" i="2748" s="1"/>
  <c r="I11" i="2748"/>
  <c r="H11" i="2748" s="1"/>
  <c r="K7" i="2748"/>
  <c r="L7" i="2748" s="1"/>
  <c r="M7" i="2748" s="1"/>
  <c r="I7" i="2748"/>
  <c r="H7" i="2748"/>
  <c r="N31" i="2747"/>
  <c r="N29" i="2747"/>
  <c r="N27" i="2747"/>
  <c r="N25" i="2747"/>
  <c r="N23" i="2747"/>
  <c r="N21" i="2747"/>
  <c r="N17" i="2747"/>
  <c r="N15" i="2747"/>
  <c r="N13" i="2747"/>
  <c r="N11" i="2747"/>
  <c r="N9" i="2747"/>
  <c r="N7" i="2747"/>
  <c r="N5" i="2747"/>
  <c r="N3" i="2747"/>
  <c r="H31" i="2747"/>
  <c r="I31" i="2747"/>
  <c r="M31" i="2747"/>
  <c r="L31" i="2747"/>
  <c r="K31" i="2747"/>
  <c r="H9" i="2747"/>
  <c r="I9" i="2747"/>
  <c r="M9" i="2747"/>
  <c r="L9" i="2747"/>
  <c r="K9" i="2747"/>
  <c r="H5" i="2747"/>
  <c r="I5" i="2747"/>
  <c r="M5" i="2747"/>
  <c r="L5" i="2747"/>
  <c r="K5" i="2747"/>
  <c r="L29" i="2747"/>
  <c r="M29" i="2747" s="1"/>
  <c r="K29" i="2747"/>
  <c r="I29" i="2747"/>
  <c r="H29" i="2747" s="1"/>
  <c r="K27" i="2747"/>
  <c r="L27" i="2747" s="1"/>
  <c r="M27" i="2747" s="1"/>
  <c r="I27" i="2747"/>
  <c r="H27" i="2747"/>
  <c r="K25" i="2747"/>
  <c r="L25" i="2747" s="1"/>
  <c r="M25" i="2747" s="1"/>
  <c r="I25" i="2747"/>
  <c r="H25" i="2747" s="1"/>
  <c r="K23" i="2747"/>
  <c r="L23" i="2747" s="1"/>
  <c r="M23" i="2747" s="1"/>
  <c r="I23" i="2747"/>
  <c r="H23" i="2747" s="1"/>
  <c r="K21" i="2747"/>
  <c r="L21" i="2747" s="1"/>
  <c r="M21" i="2747" s="1"/>
  <c r="I21" i="2747"/>
  <c r="H21" i="2747"/>
  <c r="K17" i="2747"/>
  <c r="L17" i="2747" s="1"/>
  <c r="M17" i="2747" s="1"/>
  <c r="I17" i="2747"/>
  <c r="H17" i="2747" s="1"/>
  <c r="K15" i="2747"/>
  <c r="L15" i="2747" s="1"/>
  <c r="M15" i="2747" s="1"/>
  <c r="I15" i="2747"/>
  <c r="H15" i="2747" s="1"/>
  <c r="K13" i="2747"/>
  <c r="L13" i="2747" s="1"/>
  <c r="M13" i="2747" s="1"/>
  <c r="I13" i="2747"/>
  <c r="H13" i="2747" s="1"/>
  <c r="K11" i="2747"/>
  <c r="L11" i="2747" s="1"/>
  <c r="M11" i="2747" s="1"/>
  <c r="I11" i="2747"/>
  <c r="H11" i="2747" s="1"/>
  <c r="K7" i="2747"/>
  <c r="L7" i="2747" s="1"/>
  <c r="M7" i="2747" s="1"/>
  <c r="I7" i="2747"/>
  <c r="H7" i="2747" s="1"/>
  <c r="K3" i="2747"/>
  <c r="L3" i="2747" s="1"/>
  <c r="M3" i="2747" s="1"/>
  <c r="I3" i="2747"/>
  <c r="H3" i="2747"/>
  <c r="M9" i="2746"/>
  <c r="K31" i="2746"/>
  <c r="L31" i="2746" s="1"/>
  <c r="M31" i="2746" s="1"/>
  <c r="I31" i="2746"/>
  <c r="H31" i="2746" s="1"/>
  <c r="K29" i="2746"/>
  <c r="L29" i="2746" s="1"/>
  <c r="M29" i="2746" s="1"/>
  <c r="I29" i="2746"/>
  <c r="H29" i="2746" s="1"/>
  <c r="K27" i="2746"/>
  <c r="L27" i="2746" s="1"/>
  <c r="M27" i="2746" s="1"/>
  <c r="H27" i="2746"/>
  <c r="I27" i="2746"/>
  <c r="K25" i="2746"/>
  <c r="L25" i="2746" s="1"/>
  <c r="M25" i="2746" s="1"/>
  <c r="I25" i="2746"/>
  <c r="H25" i="2746" s="1"/>
  <c r="K19" i="2746"/>
  <c r="L19" i="2746" s="1"/>
  <c r="M19" i="2746" s="1"/>
  <c r="I19" i="2746"/>
  <c r="H19" i="2746" s="1"/>
  <c r="K9" i="2746"/>
  <c r="L9" i="2746" s="1"/>
  <c r="I9" i="2746"/>
  <c r="H9" i="2746" s="1"/>
  <c r="K5" i="2746"/>
  <c r="L5" i="2746" s="1"/>
  <c r="M5" i="2746" s="1"/>
  <c r="I5" i="2746"/>
  <c r="H5" i="2746" s="1"/>
  <c r="K23" i="2746"/>
  <c r="L23" i="2746" s="1"/>
  <c r="I23" i="2746"/>
  <c r="H23" i="2746" s="1"/>
  <c r="K17" i="2746"/>
  <c r="L17" i="2746" s="1"/>
  <c r="M17" i="2746" s="1"/>
  <c r="I17" i="2746"/>
  <c r="H17" i="2746" s="1"/>
  <c r="K15" i="2746"/>
  <c r="L15" i="2746" s="1"/>
  <c r="M15" i="2746" s="1"/>
  <c r="I15" i="2746"/>
  <c r="H15" i="2746" s="1"/>
  <c r="K13" i="2746"/>
  <c r="L13" i="2746" s="1"/>
  <c r="M13" i="2746" s="1"/>
  <c r="I13" i="2746"/>
  <c r="H13" i="2746"/>
  <c r="K11" i="2746"/>
  <c r="L11" i="2746" s="1"/>
  <c r="M11" i="2746" s="1"/>
  <c r="I11" i="2746"/>
  <c r="H11" i="2746" s="1"/>
  <c r="K7" i="2746"/>
  <c r="L7" i="2746" s="1"/>
  <c r="M7" i="2746" s="1"/>
  <c r="I7" i="2746"/>
  <c r="H7" i="2746"/>
  <c r="K3" i="2746"/>
  <c r="L3" i="2746" s="1"/>
  <c r="M3" i="2746" s="1"/>
  <c r="I3" i="2746"/>
  <c r="H3" i="2746" s="1"/>
  <c r="K29" i="2745"/>
  <c r="L29" i="2745" s="1"/>
  <c r="M29" i="2745" s="1"/>
  <c r="I29" i="2745"/>
  <c r="H29" i="2745" s="1"/>
  <c r="K31" i="2745"/>
  <c r="L31" i="2745" s="1"/>
  <c r="M31" i="2745" s="1"/>
  <c r="I31" i="2745"/>
  <c r="H31" i="2745"/>
  <c r="K33" i="2745"/>
  <c r="L33" i="2745" s="1"/>
  <c r="M33" i="2745" s="1"/>
  <c r="I33" i="2745"/>
  <c r="H33" i="2745"/>
  <c r="K27" i="2745"/>
  <c r="L27" i="2745" s="1"/>
  <c r="M27" i="2745" s="1"/>
  <c r="I27" i="2745"/>
  <c r="H27" i="2745"/>
  <c r="K25" i="2745"/>
  <c r="L25" i="2745" s="1"/>
  <c r="M25" i="2745" s="1"/>
  <c r="I25" i="2745"/>
  <c r="H25" i="2745"/>
  <c r="K23" i="2745"/>
  <c r="L23" i="2745" s="1"/>
  <c r="I23" i="2745"/>
  <c r="H23" i="2745"/>
  <c r="K11" i="2745"/>
  <c r="M37" i="2745"/>
  <c r="K19" i="2745"/>
  <c r="L19" i="2745" s="1"/>
  <c r="M19" i="2745" s="1"/>
  <c r="I19" i="2745"/>
  <c r="H19" i="2745" s="1"/>
  <c r="K17" i="2745"/>
  <c r="L17" i="2745" s="1"/>
  <c r="M17" i="2745" s="1"/>
  <c r="I17" i="2745"/>
  <c r="H17" i="2745" s="1"/>
  <c r="K15" i="2745"/>
  <c r="L15" i="2745" s="1"/>
  <c r="M15" i="2745" s="1"/>
  <c r="I15" i="2745"/>
  <c r="H15" i="2745"/>
  <c r="K13" i="2745"/>
  <c r="L13" i="2745" s="1"/>
  <c r="M13" i="2745" s="1"/>
  <c r="I13" i="2745"/>
  <c r="H13" i="2745" s="1"/>
  <c r="L11" i="2745"/>
  <c r="M11" i="2745" s="1"/>
  <c r="I11" i="2745"/>
  <c r="H11" i="2745"/>
  <c r="K9" i="2745"/>
  <c r="L9" i="2745" s="1"/>
  <c r="M9" i="2745" s="1"/>
  <c r="I9" i="2745"/>
  <c r="H9" i="2745" s="1"/>
  <c r="K7" i="2745"/>
  <c r="L7" i="2745" s="1"/>
  <c r="M7" i="2745" s="1"/>
  <c r="I7" i="2745"/>
  <c r="H7" i="2745" s="1"/>
  <c r="K5" i="2745"/>
  <c r="L5" i="2745" s="1"/>
  <c r="M5" i="2745" s="1"/>
  <c r="I5" i="2745"/>
  <c r="H5" i="2745"/>
  <c r="K3" i="2745"/>
  <c r="L3" i="2745" s="1"/>
  <c r="M3" i="2745" s="1"/>
  <c r="I3" i="2745"/>
  <c r="H3" i="2745"/>
  <c r="K43" i="2744"/>
  <c r="L43" i="2744" s="1"/>
  <c r="M43" i="2744" s="1"/>
  <c r="N43" i="2744" s="1"/>
  <c r="I43" i="2744"/>
  <c r="H43" i="2744" s="1"/>
  <c r="K41" i="2744"/>
  <c r="L41" i="2744" s="1"/>
  <c r="M41" i="2744" s="1"/>
  <c r="N41" i="2744" s="1"/>
  <c r="I41" i="2744"/>
  <c r="H41" i="2744"/>
  <c r="K39" i="2744"/>
  <c r="L39" i="2744" s="1"/>
  <c r="M39" i="2744" s="1"/>
  <c r="N39" i="2744" s="1"/>
  <c r="I39" i="2744"/>
  <c r="H39" i="2744" s="1"/>
  <c r="L37" i="2744"/>
  <c r="M37" i="2744" s="1"/>
  <c r="N37" i="2744" s="1"/>
  <c r="K37" i="2744"/>
  <c r="I37" i="2744"/>
  <c r="H37" i="2744"/>
  <c r="K27" i="2744"/>
  <c r="L27" i="2744" s="1"/>
  <c r="M27" i="2744" s="1"/>
  <c r="N27" i="2744" s="1"/>
  <c r="I27" i="2744"/>
  <c r="H27" i="2744" s="1"/>
  <c r="K25" i="2744"/>
  <c r="L25" i="2744" s="1"/>
  <c r="M25" i="2744" s="1"/>
  <c r="N25" i="2744" s="1"/>
  <c r="I25" i="2744"/>
  <c r="H25" i="2744"/>
  <c r="K23" i="2744"/>
  <c r="L23" i="2744" s="1"/>
  <c r="M23" i="2744" s="1"/>
  <c r="N23" i="2744" s="1"/>
  <c r="I23" i="2744"/>
  <c r="H23" i="2744"/>
  <c r="K21" i="2744"/>
  <c r="L21" i="2744" s="1"/>
  <c r="M21" i="2744" s="1"/>
  <c r="N21" i="2744" s="1"/>
  <c r="I21" i="2744"/>
  <c r="H21" i="2744"/>
  <c r="K19" i="2744"/>
  <c r="L19" i="2744" s="1"/>
  <c r="M19" i="2744" s="1"/>
  <c r="N19" i="2744" s="1"/>
  <c r="I19" i="2744"/>
  <c r="H19" i="2744" s="1"/>
  <c r="K17" i="2744"/>
  <c r="L17" i="2744" s="1"/>
  <c r="M17" i="2744" s="1"/>
  <c r="N17" i="2744" s="1"/>
  <c r="I17" i="2744"/>
  <c r="H17" i="2744"/>
  <c r="K15" i="2744"/>
  <c r="L15" i="2744" s="1"/>
  <c r="M15" i="2744" s="1"/>
  <c r="N15" i="2744" s="1"/>
  <c r="I15" i="2744"/>
  <c r="H15" i="2744"/>
  <c r="K13" i="2744"/>
  <c r="L13" i="2744" s="1"/>
  <c r="M13" i="2744" s="1"/>
  <c r="N13" i="2744" s="1"/>
  <c r="I13" i="2744"/>
  <c r="H13" i="2744" s="1"/>
  <c r="K11" i="2744"/>
  <c r="L11" i="2744" s="1"/>
  <c r="M11" i="2744" s="1"/>
  <c r="N11" i="2744" s="1"/>
  <c r="I11" i="2744"/>
  <c r="H11" i="2744"/>
  <c r="K9" i="2744"/>
  <c r="L9" i="2744" s="1"/>
  <c r="M9" i="2744" s="1"/>
  <c r="N9" i="2744" s="1"/>
  <c r="I9" i="2744"/>
  <c r="H9" i="2744"/>
  <c r="K3" i="2744"/>
  <c r="L3" i="2744" s="1"/>
  <c r="M3" i="2744" s="1"/>
  <c r="N3" i="2744" s="1"/>
  <c r="I3" i="2744"/>
  <c r="H3" i="2744"/>
  <c r="M3" i="2702"/>
  <c r="M5" i="2702"/>
  <c r="M7" i="2702"/>
  <c r="M9" i="2702"/>
  <c r="M11" i="2702"/>
  <c r="M13" i="2702"/>
  <c r="M15" i="2702"/>
  <c r="M17" i="2702"/>
  <c r="M19" i="2702"/>
  <c r="M21" i="2702"/>
  <c r="M23" i="2702"/>
  <c r="M27" i="2702"/>
  <c r="M29" i="2702"/>
  <c r="M31" i="2702"/>
  <c r="M33" i="2702"/>
  <c r="M35" i="2702"/>
  <c r="N23" i="2729"/>
  <c r="M23" i="2729"/>
  <c r="L23" i="2729"/>
  <c r="K23" i="2729"/>
  <c r="H23" i="2729"/>
  <c r="I23" i="2729"/>
  <c r="L21" i="2743"/>
  <c r="M21" i="2743" s="1"/>
  <c r="H21" i="2743"/>
  <c r="I21" i="2743"/>
  <c r="K21" i="2743"/>
  <c r="L19" i="2743"/>
  <c r="M19" i="2743" s="1"/>
  <c r="K19" i="2743"/>
  <c r="H19" i="2743"/>
  <c r="I19" i="2743"/>
  <c r="H25" i="2743"/>
  <c r="L25" i="2743"/>
  <c r="M25" i="2743" s="1"/>
  <c r="K25" i="2743"/>
  <c r="I25" i="2743"/>
  <c r="H5" i="2743"/>
  <c r="L5" i="2743"/>
  <c r="M5" i="2743" s="1"/>
  <c r="K5" i="2743"/>
  <c r="I5" i="2743"/>
  <c r="K23" i="2743"/>
  <c r="L23" i="2743" s="1"/>
  <c r="M23" i="2743" s="1"/>
  <c r="I23" i="2743"/>
  <c r="H23" i="2743" s="1"/>
  <c r="K17" i="2743"/>
  <c r="L17" i="2743" s="1"/>
  <c r="M17" i="2743" s="1"/>
  <c r="I17" i="2743"/>
  <c r="H17" i="2743" s="1"/>
  <c r="K15" i="2743"/>
  <c r="L15" i="2743" s="1"/>
  <c r="M15" i="2743" s="1"/>
  <c r="I15" i="2743"/>
  <c r="H15" i="2743" s="1"/>
  <c r="K13" i="2743"/>
  <c r="L13" i="2743" s="1"/>
  <c r="M13" i="2743" s="1"/>
  <c r="I13" i="2743"/>
  <c r="H13" i="2743" s="1"/>
  <c r="K11" i="2743"/>
  <c r="L11" i="2743" s="1"/>
  <c r="M11" i="2743" s="1"/>
  <c r="I11" i="2743"/>
  <c r="H11" i="2743"/>
  <c r="K9" i="2743"/>
  <c r="L9" i="2743" s="1"/>
  <c r="M9" i="2743" s="1"/>
  <c r="I9" i="2743"/>
  <c r="H9" i="2743" s="1"/>
  <c r="K7" i="2743"/>
  <c r="L7" i="2743" s="1"/>
  <c r="M7" i="2743" s="1"/>
  <c r="I7" i="2743"/>
  <c r="H7" i="2743" s="1"/>
  <c r="K3" i="2743"/>
  <c r="L3" i="2743" s="1"/>
  <c r="M3" i="2743" s="1"/>
  <c r="I3" i="2743"/>
  <c r="H3" i="2743" s="1"/>
  <c r="L13" i="2701"/>
  <c r="M13" i="2701"/>
  <c r="N13" i="2701" s="1"/>
  <c r="L11" i="2701"/>
  <c r="M11" i="2701" s="1"/>
  <c r="N11" i="2701" s="1"/>
  <c r="L9" i="2701"/>
  <c r="M9" i="2701"/>
  <c r="N9" i="2701" s="1"/>
  <c r="L7" i="2701"/>
  <c r="M7" i="2701" s="1"/>
  <c r="N7" i="2701" s="1"/>
  <c r="L5" i="2701"/>
  <c r="M5" i="2701"/>
  <c r="N5" i="2701" s="1"/>
  <c r="L3" i="2701"/>
  <c r="M3" i="2701" s="1"/>
  <c r="N3" i="2701" s="1"/>
  <c r="K33" i="2742"/>
  <c r="L33" i="2742" s="1"/>
  <c r="M33" i="2742" s="1"/>
  <c r="I33" i="2742"/>
  <c r="H33" i="2742" s="1"/>
  <c r="K31" i="2742"/>
  <c r="L31" i="2742" s="1"/>
  <c r="M31" i="2742" s="1"/>
  <c r="I31" i="2742"/>
  <c r="H31" i="2742"/>
  <c r="K29" i="2742"/>
  <c r="L29" i="2742" s="1"/>
  <c r="M29" i="2742" s="1"/>
  <c r="I29" i="2742"/>
  <c r="H29" i="2742"/>
  <c r="K27" i="2742"/>
  <c r="L27" i="2742" s="1"/>
  <c r="M27" i="2742" s="1"/>
  <c r="I27" i="2742"/>
  <c r="H27" i="2742" s="1"/>
  <c r="K25" i="2742"/>
  <c r="L25" i="2742" s="1"/>
  <c r="M25" i="2742" s="1"/>
  <c r="I25" i="2742"/>
  <c r="H25" i="2742" s="1"/>
  <c r="K23" i="2742"/>
  <c r="L23" i="2742" s="1"/>
  <c r="M23" i="2742" s="1"/>
  <c r="I23" i="2742"/>
  <c r="H23" i="2742"/>
  <c r="K21" i="2742"/>
  <c r="L21" i="2742" s="1"/>
  <c r="M21" i="2742" s="1"/>
  <c r="I21" i="2742"/>
  <c r="H21" i="2742" s="1"/>
  <c r="K19" i="2742"/>
  <c r="L19" i="2742" s="1"/>
  <c r="M19" i="2742" s="1"/>
  <c r="I19" i="2742"/>
  <c r="H19" i="2742"/>
  <c r="K17" i="2742"/>
  <c r="L17" i="2742" s="1"/>
  <c r="M17" i="2742" s="1"/>
  <c r="I17" i="2742"/>
  <c r="H17" i="2742"/>
  <c r="K15" i="2742"/>
  <c r="L15" i="2742" s="1"/>
  <c r="M15" i="2742" s="1"/>
  <c r="I15" i="2742"/>
  <c r="H15" i="2742"/>
  <c r="K13" i="2742"/>
  <c r="L13" i="2742" s="1"/>
  <c r="M13" i="2742" s="1"/>
  <c r="I13" i="2742"/>
  <c r="H13" i="2742"/>
  <c r="K11" i="2742"/>
  <c r="L11" i="2742" s="1"/>
  <c r="M11" i="2742" s="1"/>
  <c r="I11" i="2742"/>
  <c r="H11" i="2742"/>
  <c r="L9" i="2742"/>
  <c r="M9" i="2742" s="1"/>
  <c r="K9" i="2742"/>
  <c r="I9" i="2742"/>
  <c r="H9" i="2742"/>
  <c r="K7" i="2742"/>
  <c r="L7" i="2742" s="1"/>
  <c r="M7" i="2742" s="1"/>
  <c r="I7" i="2742"/>
  <c r="H7" i="2742"/>
  <c r="L5" i="2742"/>
  <c r="M5" i="2742" s="1"/>
  <c r="K5" i="2742"/>
  <c r="I5" i="2742"/>
  <c r="H5" i="2742"/>
  <c r="K3" i="2742"/>
  <c r="L3" i="2742" s="1"/>
  <c r="M3" i="2742" s="1"/>
  <c r="I3" i="2742"/>
  <c r="H3" i="2742"/>
  <c r="N23" i="2741"/>
  <c r="M23" i="2741"/>
  <c r="L23" i="2741"/>
  <c r="K23" i="2741"/>
  <c r="H23" i="2741"/>
  <c r="I23" i="2741"/>
  <c r="K43" i="2741"/>
  <c r="L43" i="2741" s="1"/>
  <c r="M43" i="2741" s="1"/>
  <c r="N43" i="2741" s="1"/>
  <c r="I43" i="2741"/>
  <c r="H43" i="2741"/>
  <c r="K41" i="2741"/>
  <c r="L41" i="2741" s="1"/>
  <c r="M41" i="2741" s="1"/>
  <c r="N41" i="2741" s="1"/>
  <c r="I41" i="2741"/>
  <c r="H41" i="2741"/>
  <c r="K39" i="2741"/>
  <c r="L39" i="2741" s="1"/>
  <c r="M39" i="2741" s="1"/>
  <c r="N39" i="2741" s="1"/>
  <c r="I39" i="2741"/>
  <c r="H39" i="2741" s="1"/>
  <c r="K37" i="2741"/>
  <c r="L37" i="2741" s="1"/>
  <c r="M37" i="2741" s="1"/>
  <c r="N37" i="2741" s="1"/>
  <c r="I37" i="2741"/>
  <c r="H37" i="2741"/>
  <c r="K27" i="2741"/>
  <c r="L27" i="2741" s="1"/>
  <c r="M27" i="2741" s="1"/>
  <c r="N27" i="2741" s="1"/>
  <c r="I27" i="2741"/>
  <c r="H27" i="2741" s="1"/>
  <c r="K25" i="2741"/>
  <c r="L25" i="2741" s="1"/>
  <c r="M25" i="2741" s="1"/>
  <c r="N25" i="2741" s="1"/>
  <c r="I25" i="2741"/>
  <c r="H25" i="2741"/>
  <c r="K21" i="2741"/>
  <c r="L21" i="2741" s="1"/>
  <c r="M21" i="2741" s="1"/>
  <c r="N21" i="2741" s="1"/>
  <c r="I21" i="2741"/>
  <c r="H21" i="2741" s="1"/>
  <c r="K19" i="2741"/>
  <c r="L19" i="2741" s="1"/>
  <c r="M19" i="2741" s="1"/>
  <c r="N19" i="2741" s="1"/>
  <c r="I19" i="2741"/>
  <c r="H19" i="2741"/>
  <c r="K17" i="2741"/>
  <c r="L17" i="2741" s="1"/>
  <c r="M17" i="2741" s="1"/>
  <c r="N17" i="2741" s="1"/>
  <c r="I17" i="2741"/>
  <c r="H17" i="2741"/>
  <c r="K15" i="2741"/>
  <c r="L15" i="2741" s="1"/>
  <c r="M15" i="2741" s="1"/>
  <c r="N15" i="2741" s="1"/>
  <c r="I15" i="2741"/>
  <c r="H15" i="2741"/>
  <c r="K13" i="2741"/>
  <c r="L13" i="2741" s="1"/>
  <c r="M13" i="2741" s="1"/>
  <c r="N13" i="2741" s="1"/>
  <c r="I13" i="2741"/>
  <c r="H13" i="2741" s="1"/>
  <c r="K11" i="2741"/>
  <c r="L11" i="2741" s="1"/>
  <c r="M11" i="2741" s="1"/>
  <c r="N11" i="2741" s="1"/>
  <c r="I11" i="2741"/>
  <c r="H11" i="2741" s="1"/>
  <c r="K9" i="2741"/>
  <c r="L9" i="2741" s="1"/>
  <c r="M9" i="2741" s="1"/>
  <c r="N9" i="2741" s="1"/>
  <c r="I9" i="2741"/>
  <c r="H9" i="2741"/>
  <c r="K3" i="2741"/>
  <c r="L3" i="2741" s="1"/>
  <c r="M3" i="2741" s="1"/>
  <c r="N3" i="2741" s="1"/>
  <c r="I3" i="2741"/>
  <c r="H3" i="2741"/>
  <c r="M31" i="2740"/>
  <c r="L31" i="2740"/>
  <c r="K31" i="2740"/>
  <c r="H31" i="2740"/>
  <c r="I31" i="2740"/>
  <c r="M25" i="2740"/>
  <c r="L25" i="2740"/>
  <c r="K25" i="2740"/>
  <c r="H25" i="2740"/>
  <c r="I25" i="2740"/>
  <c r="H9" i="2740"/>
  <c r="I9" i="2740"/>
  <c r="M9" i="2740"/>
  <c r="L9" i="2740"/>
  <c r="K9" i="2740"/>
  <c r="K29" i="2740"/>
  <c r="L29" i="2740" s="1"/>
  <c r="M29" i="2740" s="1"/>
  <c r="I29" i="2740"/>
  <c r="H29" i="2740"/>
  <c r="K27" i="2740"/>
  <c r="L27" i="2740" s="1"/>
  <c r="M27" i="2740" s="1"/>
  <c r="I27" i="2740"/>
  <c r="H27" i="2740"/>
  <c r="L23" i="2740"/>
  <c r="M23" i="2740" s="1"/>
  <c r="K23" i="2740"/>
  <c r="I23" i="2740"/>
  <c r="H23" i="2740" s="1"/>
  <c r="K21" i="2740"/>
  <c r="L21" i="2740" s="1"/>
  <c r="M21" i="2740" s="1"/>
  <c r="I21" i="2740"/>
  <c r="H21" i="2740" s="1"/>
  <c r="K17" i="2740"/>
  <c r="L17" i="2740" s="1"/>
  <c r="M17" i="2740" s="1"/>
  <c r="I17" i="2740"/>
  <c r="H17" i="2740" s="1"/>
  <c r="K15" i="2740"/>
  <c r="L15" i="2740" s="1"/>
  <c r="M15" i="2740" s="1"/>
  <c r="I15" i="2740"/>
  <c r="H15" i="2740"/>
  <c r="K13" i="2740"/>
  <c r="L13" i="2740" s="1"/>
  <c r="M13" i="2740" s="1"/>
  <c r="I13" i="2740"/>
  <c r="H13" i="2740" s="1"/>
  <c r="K11" i="2740"/>
  <c r="L11" i="2740" s="1"/>
  <c r="M11" i="2740" s="1"/>
  <c r="I11" i="2740"/>
  <c r="H11" i="2740"/>
  <c r="K7" i="2740"/>
  <c r="L7" i="2740" s="1"/>
  <c r="M7" i="2740" s="1"/>
  <c r="I7" i="2740"/>
  <c r="H7" i="2740"/>
  <c r="K5" i="2740"/>
  <c r="L5" i="2740" s="1"/>
  <c r="M5" i="2740" s="1"/>
  <c r="I5" i="2740"/>
  <c r="H5" i="2740" s="1"/>
  <c r="K3" i="2740"/>
  <c r="L3" i="2740" s="1"/>
  <c r="M3" i="2740" s="1"/>
  <c r="I3" i="2740"/>
  <c r="H3" i="2740"/>
  <c r="I13" i="2739"/>
  <c r="H13" i="2739" s="1"/>
  <c r="K13" i="2739"/>
  <c r="L13" i="2739" s="1"/>
  <c r="M13" i="2739" s="1"/>
  <c r="M31" i="2739"/>
  <c r="L31" i="2739"/>
  <c r="K31" i="2739"/>
  <c r="H31" i="2739"/>
  <c r="I31" i="2739"/>
  <c r="K33" i="2739"/>
  <c r="L33" i="2739" s="1"/>
  <c r="M33" i="2739" s="1"/>
  <c r="I33" i="2739"/>
  <c r="H33" i="2739"/>
  <c r="K35" i="2739"/>
  <c r="L35" i="2739" s="1"/>
  <c r="M35" i="2739" s="1"/>
  <c r="I35" i="2739"/>
  <c r="H35" i="2739"/>
  <c r="K29" i="2739"/>
  <c r="L29" i="2739" s="1"/>
  <c r="M29" i="2739" s="1"/>
  <c r="I29" i="2739"/>
  <c r="H29" i="2739"/>
  <c r="K27" i="2739"/>
  <c r="L27" i="2739" s="1"/>
  <c r="M27" i="2739" s="1"/>
  <c r="I27" i="2739"/>
  <c r="H27" i="2739" s="1"/>
  <c r="K11" i="2739"/>
  <c r="L11" i="2739" s="1"/>
  <c r="M11" i="2739" s="1"/>
  <c r="I11" i="2739"/>
  <c r="H11" i="2739"/>
  <c r="K9" i="2739"/>
  <c r="L9" i="2739" s="1"/>
  <c r="M9" i="2739" s="1"/>
  <c r="I9" i="2739"/>
  <c r="H9" i="2739" s="1"/>
  <c r="K5" i="2739"/>
  <c r="L5" i="2739" s="1"/>
  <c r="M5" i="2739" s="1"/>
  <c r="I5" i="2739"/>
  <c r="H5" i="2739" s="1"/>
  <c r="K3" i="2739"/>
  <c r="L3" i="2739" s="1"/>
  <c r="M3" i="2739" s="1"/>
  <c r="I3" i="2739"/>
  <c r="H3" i="2739" s="1"/>
  <c r="K25" i="2739"/>
  <c r="L25" i="2739" s="1"/>
  <c r="M25" i="2739" s="1"/>
  <c r="I25" i="2739"/>
  <c r="H25" i="2739" s="1"/>
  <c r="K21" i="2739"/>
  <c r="L21" i="2739" s="1"/>
  <c r="M21" i="2739" s="1"/>
  <c r="I21" i="2739"/>
  <c r="H21" i="2739" s="1"/>
  <c r="K19" i="2739"/>
  <c r="L19" i="2739" s="1"/>
  <c r="M19" i="2739" s="1"/>
  <c r="I19" i="2739"/>
  <c r="H19" i="2739"/>
  <c r="K17" i="2739"/>
  <c r="L17" i="2739" s="1"/>
  <c r="M17" i="2739" s="1"/>
  <c r="I17" i="2739"/>
  <c r="H17" i="2739" s="1"/>
  <c r="K15" i="2739"/>
  <c r="L15" i="2739" s="1"/>
  <c r="M15" i="2739" s="1"/>
  <c r="I15" i="2739"/>
  <c r="H15" i="2739" s="1"/>
  <c r="K7" i="2739"/>
  <c r="L7" i="2739" s="1"/>
  <c r="M7" i="2739" s="1"/>
  <c r="I7" i="2739"/>
  <c r="H7" i="2739"/>
  <c r="K21" i="2738"/>
  <c r="L21" i="2738" s="1"/>
  <c r="M21" i="2738" s="1"/>
  <c r="I21" i="2738"/>
  <c r="H21" i="2738" s="1"/>
  <c r="K19" i="2738"/>
  <c r="L19" i="2738" s="1"/>
  <c r="M19" i="2738" s="1"/>
  <c r="I19" i="2738"/>
  <c r="H19" i="2738" s="1"/>
  <c r="K11" i="2738"/>
  <c r="L11" i="2738" s="1"/>
  <c r="M11" i="2738" s="1"/>
  <c r="I11" i="2738"/>
  <c r="H11" i="2738" s="1"/>
  <c r="H5" i="2738"/>
  <c r="K5" i="2738"/>
  <c r="L5" i="2738" s="1"/>
  <c r="M5" i="2738" s="1"/>
  <c r="I5" i="2738"/>
  <c r="K25" i="2738"/>
  <c r="L25" i="2738" s="1"/>
  <c r="M25" i="2738" s="1"/>
  <c r="I25" i="2738"/>
  <c r="H25" i="2738" s="1"/>
  <c r="K23" i="2738"/>
  <c r="L23" i="2738" s="1"/>
  <c r="M23" i="2738" s="1"/>
  <c r="I23" i="2738"/>
  <c r="H23" i="2738" s="1"/>
  <c r="K17" i="2738"/>
  <c r="L17" i="2738" s="1"/>
  <c r="M17" i="2738" s="1"/>
  <c r="I17" i="2738"/>
  <c r="H17" i="2738" s="1"/>
  <c r="K15" i="2738"/>
  <c r="L15" i="2738" s="1"/>
  <c r="M15" i="2738" s="1"/>
  <c r="I15" i="2738"/>
  <c r="H15" i="2738" s="1"/>
  <c r="K13" i="2738"/>
  <c r="L13" i="2738" s="1"/>
  <c r="M13" i="2738" s="1"/>
  <c r="I13" i="2738"/>
  <c r="H13" i="2738" s="1"/>
  <c r="K9" i="2738"/>
  <c r="L9" i="2738" s="1"/>
  <c r="M9" i="2738" s="1"/>
  <c r="I9" i="2738"/>
  <c r="H9" i="2738" s="1"/>
  <c r="K7" i="2738"/>
  <c r="L7" i="2738" s="1"/>
  <c r="M7" i="2738" s="1"/>
  <c r="I7" i="2738"/>
  <c r="H7" i="2738" s="1"/>
  <c r="K3" i="2738"/>
  <c r="L3" i="2738" s="1"/>
  <c r="M3" i="2738" s="1"/>
  <c r="I3" i="2738"/>
  <c r="H3" i="2738" s="1"/>
  <c r="K5" i="2737"/>
  <c r="L5" i="2737" s="1"/>
  <c r="M5" i="2737" s="1"/>
  <c r="N5" i="2737" s="1"/>
  <c r="I5" i="2737"/>
  <c r="H5" i="2737" s="1"/>
  <c r="K3" i="2737"/>
  <c r="L3" i="2737" s="1"/>
  <c r="M3" i="2737" s="1"/>
  <c r="N3" i="2737" s="1"/>
  <c r="I3" i="2737"/>
  <c r="H3" i="2737"/>
  <c r="K13" i="2737"/>
  <c r="K37" i="2737"/>
  <c r="L37" i="2737" s="1"/>
  <c r="M37" i="2737" s="1"/>
  <c r="N37" i="2737" s="1"/>
  <c r="I37" i="2737"/>
  <c r="H37" i="2737" s="1"/>
  <c r="K35" i="2737"/>
  <c r="L35" i="2737" s="1"/>
  <c r="M35" i="2737" s="1"/>
  <c r="N35" i="2737" s="1"/>
  <c r="I35" i="2737"/>
  <c r="H35" i="2737" s="1"/>
  <c r="K33" i="2737"/>
  <c r="L33" i="2737" s="1"/>
  <c r="M33" i="2737" s="1"/>
  <c r="N33" i="2737" s="1"/>
  <c r="I33" i="2737"/>
  <c r="H33" i="2737" s="1"/>
  <c r="K31" i="2737"/>
  <c r="L31" i="2737" s="1"/>
  <c r="M31" i="2737" s="1"/>
  <c r="N31" i="2737" s="1"/>
  <c r="I31" i="2737"/>
  <c r="H31" i="2737" s="1"/>
  <c r="K29" i="2737"/>
  <c r="L29" i="2737" s="1"/>
  <c r="M29" i="2737" s="1"/>
  <c r="N29" i="2737" s="1"/>
  <c r="I29" i="2737"/>
  <c r="H29" i="2737" s="1"/>
  <c r="K27" i="2737"/>
  <c r="L27" i="2737" s="1"/>
  <c r="M27" i="2737" s="1"/>
  <c r="N27" i="2737" s="1"/>
  <c r="I27" i="2737"/>
  <c r="H27" i="2737" s="1"/>
  <c r="K25" i="2737"/>
  <c r="L25" i="2737" s="1"/>
  <c r="M25" i="2737" s="1"/>
  <c r="N25" i="2737" s="1"/>
  <c r="I25" i="2737"/>
  <c r="H25" i="2737" s="1"/>
  <c r="K21" i="2737"/>
  <c r="L21" i="2737" s="1"/>
  <c r="M21" i="2737" s="1"/>
  <c r="N21" i="2737" s="1"/>
  <c r="I21" i="2737"/>
  <c r="H21" i="2737" s="1"/>
  <c r="M23" i="2746" l="1"/>
  <c r="M23" i="2745"/>
  <c r="P24" i="2745"/>
  <c r="P25" i="2745"/>
  <c r="P26" i="2739"/>
  <c r="P27" i="2739" s="1"/>
  <c r="L13" i="2737"/>
  <c r="M13" i="2737" s="1"/>
  <c r="N13" i="2737" s="1"/>
  <c r="K11" i="2737"/>
  <c r="L11" i="2737" s="1"/>
  <c r="M11" i="2737" s="1"/>
  <c r="N11" i="2737" s="1"/>
  <c r="I11" i="2737"/>
  <c r="H11" i="2737" s="1"/>
  <c r="K9" i="2737"/>
  <c r="L9" i="2737" s="1"/>
  <c r="M9" i="2737" s="1"/>
  <c r="N9" i="2737" s="1"/>
  <c r="I9" i="2737"/>
  <c r="H9" i="2737" s="1"/>
  <c r="K7" i="2737"/>
  <c r="L7" i="2737" s="1"/>
  <c r="M7" i="2737" s="1"/>
  <c r="N7" i="2737" s="1"/>
  <c r="I7" i="2737"/>
  <c r="H7" i="2737" s="1"/>
  <c r="K23" i="2737"/>
  <c r="L23" i="2737" s="1"/>
  <c r="M23" i="2737" s="1"/>
  <c r="N23" i="2737" s="1"/>
  <c r="I23" i="2737"/>
  <c r="H23" i="2737"/>
  <c r="K19" i="2737"/>
  <c r="L19" i="2737" s="1"/>
  <c r="M19" i="2737" s="1"/>
  <c r="N19" i="2737" s="1"/>
  <c r="I19" i="2737"/>
  <c r="H19" i="2737" s="1"/>
  <c r="K17" i="2737"/>
  <c r="L17" i="2737" s="1"/>
  <c r="M17" i="2737" s="1"/>
  <c r="N17" i="2737" s="1"/>
  <c r="I17" i="2737"/>
  <c r="H17" i="2737" s="1"/>
  <c r="K15" i="2737"/>
  <c r="L15" i="2737" s="1"/>
  <c r="M15" i="2737" s="1"/>
  <c r="N15" i="2737" s="1"/>
  <c r="I15" i="2737"/>
  <c r="H15" i="2737" s="1"/>
  <c r="I13" i="2737"/>
  <c r="H13" i="2737" s="1"/>
  <c r="K25" i="2736" l="1"/>
  <c r="L25" i="2736" s="1"/>
  <c r="M25" i="2736" s="1"/>
  <c r="I25" i="2736"/>
  <c r="H25" i="2736" s="1"/>
  <c r="M9" i="2736"/>
  <c r="L9" i="2736"/>
  <c r="K9" i="2736"/>
  <c r="H9" i="2736"/>
  <c r="I9" i="2736"/>
  <c r="K23" i="2736"/>
  <c r="L23" i="2736" s="1"/>
  <c r="M23" i="2736" s="1"/>
  <c r="I23" i="2736"/>
  <c r="H23" i="2736" s="1"/>
  <c r="K21" i="2736"/>
  <c r="L21" i="2736" s="1"/>
  <c r="M21" i="2736" s="1"/>
  <c r="I21" i="2736"/>
  <c r="H21" i="2736" s="1"/>
  <c r="K17" i="2736"/>
  <c r="L17" i="2736" s="1"/>
  <c r="M17" i="2736" s="1"/>
  <c r="I17" i="2736"/>
  <c r="H17" i="2736" s="1"/>
  <c r="K15" i="2736"/>
  <c r="L15" i="2736" s="1"/>
  <c r="M15" i="2736" s="1"/>
  <c r="I15" i="2736"/>
  <c r="H15" i="2736"/>
  <c r="K13" i="2736"/>
  <c r="L13" i="2736" s="1"/>
  <c r="M13" i="2736" s="1"/>
  <c r="I13" i="2736"/>
  <c r="H13" i="2736" s="1"/>
  <c r="K7" i="2736"/>
  <c r="L7" i="2736" s="1"/>
  <c r="M7" i="2736" s="1"/>
  <c r="I7" i="2736"/>
  <c r="H7" i="2736" s="1"/>
  <c r="K5" i="2736"/>
  <c r="L5" i="2736" s="1"/>
  <c r="M5" i="2736" s="1"/>
  <c r="I5" i="2736"/>
  <c r="H5" i="2736"/>
  <c r="K3" i="2736"/>
  <c r="L3" i="2736" s="1"/>
  <c r="M3" i="2736" s="1"/>
  <c r="I3" i="2736"/>
  <c r="H3" i="2736" s="1"/>
  <c r="L25" i="2735" l="1"/>
  <c r="M25" i="2735" s="1"/>
  <c r="K25" i="2735"/>
  <c r="I25" i="2735"/>
  <c r="H25" i="2735"/>
  <c r="K29" i="2735"/>
  <c r="L29" i="2735" s="1"/>
  <c r="M29" i="2735" s="1"/>
  <c r="I29" i="2735"/>
  <c r="H29" i="2735"/>
  <c r="K27" i="2735"/>
  <c r="L27" i="2735" s="1"/>
  <c r="M27" i="2735" s="1"/>
  <c r="I27" i="2735"/>
  <c r="H27" i="2735" s="1"/>
  <c r="K9" i="2735" l="1"/>
  <c r="L9" i="2735" s="1"/>
  <c r="M9" i="2735" s="1"/>
  <c r="H9" i="2735"/>
  <c r="I9" i="2735"/>
  <c r="K23" i="2735"/>
  <c r="L23" i="2735" s="1"/>
  <c r="M23" i="2735" s="1"/>
  <c r="I23" i="2735"/>
  <c r="H23" i="2735"/>
  <c r="K21" i="2735"/>
  <c r="L21" i="2735" s="1"/>
  <c r="M21" i="2735" s="1"/>
  <c r="I21" i="2735"/>
  <c r="H21" i="2735" s="1"/>
  <c r="K17" i="2735"/>
  <c r="L17" i="2735" s="1"/>
  <c r="M17" i="2735" s="1"/>
  <c r="I17" i="2735"/>
  <c r="H17" i="2735" s="1"/>
  <c r="K15" i="2735"/>
  <c r="L15" i="2735" s="1"/>
  <c r="M15" i="2735" s="1"/>
  <c r="I15" i="2735"/>
  <c r="H15" i="2735"/>
  <c r="K13" i="2735"/>
  <c r="L13" i="2735" s="1"/>
  <c r="M13" i="2735" s="1"/>
  <c r="I13" i="2735"/>
  <c r="H13" i="2735" s="1"/>
  <c r="K7" i="2735"/>
  <c r="L7" i="2735" s="1"/>
  <c r="M7" i="2735" s="1"/>
  <c r="I7" i="2735"/>
  <c r="H7" i="2735"/>
  <c r="K5" i="2735"/>
  <c r="L5" i="2735" s="1"/>
  <c r="M5" i="2735" s="1"/>
  <c r="I5" i="2735"/>
  <c r="H5" i="2735" s="1"/>
  <c r="K3" i="2735"/>
  <c r="L3" i="2735" s="1"/>
  <c r="M3" i="2735" s="1"/>
  <c r="I3" i="2735"/>
  <c r="H3" i="2735" s="1"/>
  <c r="Q35" i="2713"/>
  <c r="Q34" i="2713"/>
  <c r="Q18" i="2713"/>
  <c r="Q17" i="2713"/>
  <c r="I3" i="2713"/>
  <c r="H3" i="2713" s="1"/>
  <c r="I5" i="2713"/>
  <c r="H5" i="2713" s="1"/>
  <c r="I7" i="2713"/>
  <c r="H7" i="2713" s="1"/>
  <c r="I9" i="2713"/>
  <c r="H9" i="2713" s="1"/>
  <c r="I11" i="2713"/>
  <c r="H11" i="2713" s="1"/>
  <c r="I13" i="2713"/>
  <c r="H13" i="2713" s="1"/>
  <c r="I15" i="2713"/>
  <c r="H15" i="2713" s="1"/>
  <c r="I17" i="2713"/>
  <c r="H17" i="2713" s="1"/>
  <c r="I19" i="2713"/>
  <c r="H19" i="2713" s="1"/>
  <c r="I21" i="2713"/>
  <c r="H21" i="2713" s="1"/>
  <c r="I23" i="2713"/>
  <c r="H23" i="2713" s="1"/>
  <c r="I25" i="2713"/>
  <c r="H25" i="2713" s="1"/>
  <c r="I29" i="2713"/>
  <c r="H29" i="2713" s="1"/>
  <c r="I31" i="2713"/>
  <c r="H31" i="2713" s="1"/>
  <c r="I33" i="2713"/>
  <c r="H33" i="2713" s="1"/>
  <c r="I35" i="2713"/>
  <c r="H35" i="2713" s="1"/>
  <c r="I37" i="2713"/>
  <c r="H37" i="2713" s="1"/>
  <c r="K45" i="2734"/>
  <c r="L45" i="2734" s="1"/>
  <c r="M45" i="2734" s="1"/>
  <c r="N45" i="2734" s="1"/>
  <c r="I45" i="2734"/>
  <c r="H45" i="2734" s="1"/>
  <c r="K39" i="2734"/>
  <c r="L39" i="2734" s="1"/>
  <c r="M39" i="2734" s="1"/>
  <c r="N39" i="2734" s="1"/>
  <c r="I39" i="2734"/>
  <c r="H39" i="2734" s="1"/>
  <c r="H37" i="2734"/>
  <c r="I37" i="2734"/>
  <c r="N37" i="2734"/>
  <c r="M37" i="2734"/>
  <c r="L37" i="2734"/>
  <c r="K37" i="2734"/>
  <c r="K43" i="2734"/>
  <c r="L43" i="2734" s="1"/>
  <c r="M43" i="2734" s="1"/>
  <c r="N43" i="2734" s="1"/>
  <c r="I43" i="2734"/>
  <c r="H43" i="2734" s="1"/>
  <c r="K41" i="2734"/>
  <c r="L41" i="2734" s="1"/>
  <c r="M41" i="2734" s="1"/>
  <c r="N41" i="2734" s="1"/>
  <c r="I41" i="2734"/>
  <c r="H41" i="2734"/>
  <c r="K33" i="2734"/>
  <c r="L33" i="2734" s="1"/>
  <c r="M33" i="2734" s="1"/>
  <c r="N33" i="2734" s="1"/>
  <c r="I33" i="2734"/>
  <c r="H33" i="2734"/>
  <c r="M27" i="2734"/>
  <c r="N27" i="2734" s="1"/>
  <c r="L27" i="2734"/>
  <c r="K27" i="2734"/>
  <c r="I27" i="2734"/>
  <c r="H27" i="2734"/>
  <c r="K25" i="2734"/>
  <c r="L25" i="2734" s="1"/>
  <c r="M25" i="2734" s="1"/>
  <c r="N25" i="2734" s="1"/>
  <c r="I25" i="2734"/>
  <c r="H25" i="2734"/>
  <c r="K23" i="2734"/>
  <c r="L23" i="2734" s="1"/>
  <c r="M23" i="2734" s="1"/>
  <c r="N23" i="2734" s="1"/>
  <c r="I23" i="2734"/>
  <c r="H23" i="2734" s="1"/>
  <c r="K21" i="2734"/>
  <c r="L21" i="2734" s="1"/>
  <c r="M21" i="2734" s="1"/>
  <c r="N21" i="2734" s="1"/>
  <c r="I21" i="2734"/>
  <c r="H21" i="2734" s="1"/>
  <c r="K19" i="2734"/>
  <c r="L19" i="2734" s="1"/>
  <c r="M19" i="2734" s="1"/>
  <c r="N19" i="2734" s="1"/>
  <c r="I19" i="2734"/>
  <c r="H19" i="2734"/>
  <c r="L17" i="2734"/>
  <c r="M17" i="2734" s="1"/>
  <c r="N17" i="2734" s="1"/>
  <c r="K17" i="2734"/>
  <c r="I17" i="2734"/>
  <c r="H17" i="2734" s="1"/>
  <c r="K15" i="2734"/>
  <c r="L15" i="2734" s="1"/>
  <c r="M15" i="2734" s="1"/>
  <c r="N15" i="2734" s="1"/>
  <c r="I15" i="2734"/>
  <c r="H15" i="2734"/>
  <c r="K13" i="2734"/>
  <c r="L13" i="2734" s="1"/>
  <c r="M13" i="2734" s="1"/>
  <c r="N13" i="2734" s="1"/>
  <c r="I13" i="2734"/>
  <c r="H13" i="2734" s="1"/>
  <c r="K11" i="2734"/>
  <c r="L11" i="2734" s="1"/>
  <c r="M11" i="2734" s="1"/>
  <c r="N11" i="2734" s="1"/>
  <c r="I11" i="2734"/>
  <c r="H11" i="2734" s="1"/>
  <c r="K9" i="2734"/>
  <c r="L9" i="2734" s="1"/>
  <c r="M9" i="2734" s="1"/>
  <c r="N9" i="2734" s="1"/>
  <c r="I9" i="2734"/>
  <c r="H9" i="2734"/>
  <c r="K3" i="2734"/>
  <c r="L3" i="2734" s="1"/>
  <c r="M3" i="2734" s="1"/>
  <c r="N3" i="2734" s="1"/>
  <c r="I3" i="2734"/>
  <c r="H3" i="2734"/>
  <c r="P24" i="2733"/>
  <c r="K29" i="2733"/>
  <c r="L29" i="2733" s="1"/>
  <c r="M29" i="2733" s="1"/>
  <c r="I29" i="2733"/>
  <c r="H29" i="2733"/>
  <c r="K25" i="2733"/>
  <c r="L25" i="2733" s="1"/>
  <c r="M25" i="2733" s="1"/>
  <c r="I25" i="2733"/>
  <c r="H25" i="2733"/>
  <c r="K23" i="2733"/>
  <c r="L23" i="2733" s="1"/>
  <c r="M23" i="2733" s="1"/>
  <c r="I23" i="2733"/>
  <c r="H23" i="2733"/>
  <c r="K21" i="2733"/>
  <c r="L21" i="2733" s="1"/>
  <c r="M21" i="2733" s="1"/>
  <c r="I21" i="2733"/>
  <c r="H21" i="2733"/>
  <c r="K19" i="2733"/>
  <c r="L19" i="2733" s="1"/>
  <c r="M19" i="2733" s="1"/>
  <c r="I19" i="2733"/>
  <c r="H19" i="2733"/>
  <c r="M37" i="2733"/>
  <c r="K27" i="2733"/>
  <c r="L27" i="2733" s="1"/>
  <c r="M27" i="2733" s="1"/>
  <c r="I27" i="2733"/>
  <c r="H27" i="2733"/>
  <c r="K17" i="2733"/>
  <c r="L17" i="2733" s="1"/>
  <c r="M17" i="2733" s="1"/>
  <c r="I17" i="2733"/>
  <c r="H17" i="2733"/>
  <c r="K15" i="2733"/>
  <c r="L15" i="2733" s="1"/>
  <c r="M15" i="2733" s="1"/>
  <c r="I15" i="2733"/>
  <c r="H15" i="2733"/>
  <c r="K13" i="2733"/>
  <c r="L13" i="2733" s="1"/>
  <c r="M13" i="2733" s="1"/>
  <c r="I13" i="2733"/>
  <c r="H13" i="2733"/>
  <c r="K11" i="2733"/>
  <c r="L11" i="2733" s="1"/>
  <c r="M11" i="2733" s="1"/>
  <c r="I11" i="2733"/>
  <c r="H11" i="2733"/>
  <c r="K9" i="2733"/>
  <c r="L9" i="2733" s="1"/>
  <c r="M9" i="2733" s="1"/>
  <c r="I9" i="2733"/>
  <c r="H9" i="2733"/>
  <c r="L7" i="2733"/>
  <c r="M7" i="2733" s="1"/>
  <c r="K7" i="2733"/>
  <c r="I7" i="2733"/>
  <c r="H7" i="2733" s="1"/>
  <c r="K5" i="2733"/>
  <c r="L5" i="2733" s="1"/>
  <c r="M5" i="2733" s="1"/>
  <c r="I5" i="2733"/>
  <c r="H5" i="2733"/>
  <c r="K3" i="2733"/>
  <c r="L3" i="2733" s="1"/>
  <c r="M3" i="2733" s="1"/>
  <c r="I3" i="2733"/>
  <c r="H3" i="2733"/>
  <c r="K31" i="2732"/>
  <c r="L31" i="2732" s="1"/>
  <c r="M31" i="2732" s="1"/>
  <c r="I31" i="2732"/>
  <c r="H31" i="2732" s="1"/>
  <c r="H29" i="2732"/>
  <c r="I29" i="2732"/>
  <c r="K29" i="2732"/>
  <c r="L29" i="2732" s="1"/>
  <c r="M29" i="2732" s="1"/>
  <c r="M27" i="2732"/>
  <c r="L27" i="2732"/>
  <c r="K27" i="2732"/>
  <c r="H27" i="2732"/>
  <c r="I27" i="2732"/>
  <c r="K25" i="2732"/>
  <c r="L25" i="2732" s="1"/>
  <c r="M25" i="2732" s="1"/>
  <c r="I25" i="2732"/>
  <c r="H25" i="2732" s="1"/>
  <c r="K11" i="2732"/>
  <c r="L11" i="2732" s="1"/>
  <c r="M11" i="2732" s="1"/>
  <c r="I11" i="2732"/>
  <c r="H11" i="2732" s="1"/>
  <c r="I9" i="2732"/>
  <c r="H9" i="2732" s="1"/>
  <c r="K9" i="2732"/>
  <c r="L9" i="2732" s="1"/>
  <c r="M9" i="2732" s="1"/>
  <c r="K7" i="2732"/>
  <c r="L7" i="2732" s="1"/>
  <c r="M7" i="2732" s="1"/>
  <c r="I7" i="2732"/>
  <c r="H7" i="2732" s="1"/>
  <c r="K5" i="2732"/>
  <c r="L5" i="2732" s="1"/>
  <c r="M5" i="2732" s="1"/>
  <c r="I5" i="2732"/>
  <c r="H5" i="2732" s="1"/>
  <c r="M35" i="2732"/>
  <c r="K17" i="2732"/>
  <c r="L17" i="2732" s="1"/>
  <c r="M17" i="2732" s="1"/>
  <c r="I17" i="2732"/>
  <c r="H17" i="2732"/>
  <c r="K15" i="2732"/>
  <c r="L15" i="2732" s="1"/>
  <c r="M15" i="2732" s="1"/>
  <c r="I15" i="2732"/>
  <c r="H15" i="2732"/>
  <c r="K13" i="2732"/>
  <c r="L13" i="2732" s="1"/>
  <c r="M13" i="2732" s="1"/>
  <c r="I13" i="2732"/>
  <c r="H13" i="2732" s="1"/>
  <c r="K3" i="2732"/>
  <c r="L3" i="2732" s="1"/>
  <c r="M3" i="2732" s="1"/>
  <c r="I3" i="2732"/>
  <c r="H3" i="2732" s="1"/>
  <c r="K31" i="2731"/>
  <c r="L31" i="2731" s="1"/>
  <c r="M31" i="2731" s="1"/>
  <c r="I31" i="2731"/>
  <c r="H31" i="2731"/>
  <c r="K21" i="2731"/>
  <c r="L21" i="2731" s="1"/>
  <c r="M21" i="2731" s="1"/>
  <c r="K29" i="2731"/>
  <c r="M13" i="2731"/>
  <c r="L13" i="2731"/>
  <c r="K13" i="2731"/>
  <c r="H13" i="2731"/>
  <c r="I13" i="2731"/>
  <c r="H9" i="2731"/>
  <c r="I9" i="2731"/>
  <c r="M9" i="2731"/>
  <c r="L9" i="2731"/>
  <c r="K9" i="2731"/>
  <c r="H5" i="2731"/>
  <c r="I5" i="2731"/>
  <c r="M5" i="2731"/>
  <c r="L5" i="2731"/>
  <c r="K5" i="2731"/>
  <c r="L29" i="2731"/>
  <c r="M29" i="2731" s="1"/>
  <c r="I29" i="2731"/>
  <c r="H29" i="2731" s="1"/>
  <c r="I21" i="2731"/>
  <c r="H21" i="2731" s="1"/>
  <c r="K17" i="2731"/>
  <c r="L17" i="2731" s="1"/>
  <c r="M17" i="2731" s="1"/>
  <c r="I17" i="2731"/>
  <c r="H17" i="2731" s="1"/>
  <c r="K15" i="2731"/>
  <c r="L15" i="2731" s="1"/>
  <c r="M15" i="2731" s="1"/>
  <c r="I15" i="2731"/>
  <c r="H15" i="2731" s="1"/>
  <c r="K11" i="2731"/>
  <c r="L11" i="2731" s="1"/>
  <c r="M11" i="2731" s="1"/>
  <c r="I11" i="2731"/>
  <c r="H11" i="2731" s="1"/>
  <c r="K7" i="2731"/>
  <c r="L7" i="2731" s="1"/>
  <c r="M7" i="2731" s="1"/>
  <c r="I7" i="2731"/>
  <c r="H7" i="2731"/>
  <c r="K3" i="2731"/>
  <c r="L3" i="2731" s="1"/>
  <c r="M3" i="2731" s="1"/>
  <c r="I3" i="2731"/>
  <c r="H3" i="2731" s="1"/>
  <c r="M35" i="2730"/>
  <c r="L35" i="2730"/>
  <c r="K35" i="2730"/>
  <c r="H35" i="2730"/>
  <c r="I35" i="2730"/>
  <c r="K33" i="2730"/>
  <c r="L33" i="2730" s="1"/>
  <c r="M33" i="2730" s="1"/>
  <c r="I33" i="2730"/>
  <c r="H33" i="2730" s="1"/>
  <c r="K31" i="2730"/>
  <c r="L31" i="2730" s="1"/>
  <c r="M31" i="2730" s="1"/>
  <c r="I31" i="2730"/>
  <c r="H31" i="2730" s="1"/>
  <c r="L25" i="2730"/>
  <c r="M25" i="2730" s="1"/>
  <c r="K25" i="2730"/>
  <c r="H25" i="2730"/>
  <c r="I25" i="2730"/>
  <c r="M3" i="2705"/>
  <c r="L3" i="2705"/>
  <c r="K3" i="2705"/>
  <c r="H3" i="2705"/>
  <c r="I3" i="2705"/>
  <c r="K3" i="2730"/>
  <c r="L3" i="2730" s="1"/>
  <c r="M3" i="2730" s="1"/>
  <c r="I3" i="2730"/>
  <c r="H3" i="2730" s="1"/>
  <c r="K29" i="2730"/>
  <c r="L29" i="2730" s="1"/>
  <c r="M29" i="2730" s="1"/>
  <c r="I29" i="2730"/>
  <c r="H29" i="2730" s="1"/>
  <c r="K27" i="2730"/>
  <c r="L27" i="2730" s="1"/>
  <c r="M27" i="2730" s="1"/>
  <c r="I27" i="2730"/>
  <c r="H27" i="2730" s="1"/>
  <c r="K23" i="2730"/>
  <c r="L23" i="2730" s="1"/>
  <c r="M23" i="2730" s="1"/>
  <c r="I23" i="2730"/>
  <c r="H23" i="2730" s="1"/>
  <c r="K21" i="2730"/>
  <c r="L21" i="2730" s="1"/>
  <c r="M21" i="2730" s="1"/>
  <c r="I21" i="2730"/>
  <c r="H21" i="2730" s="1"/>
  <c r="K17" i="2730"/>
  <c r="L17" i="2730" s="1"/>
  <c r="M17" i="2730" s="1"/>
  <c r="I17" i="2730"/>
  <c r="H17" i="2730" s="1"/>
  <c r="K15" i="2730"/>
  <c r="L15" i="2730" s="1"/>
  <c r="M15" i="2730" s="1"/>
  <c r="I15" i="2730"/>
  <c r="H15" i="2730" s="1"/>
  <c r="K13" i="2730"/>
  <c r="L13" i="2730" s="1"/>
  <c r="M13" i="2730" s="1"/>
  <c r="I13" i="2730"/>
  <c r="H13" i="2730" s="1"/>
  <c r="K11" i="2730"/>
  <c r="L11" i="2730" s="1"/>
  <c r="M11" i="2730" s="1"/>
  <c r="I11" i="2730"/>
  <c r="H11" i="2730" s="1"/>
  <c r="K9" i="2730"/>
  <c r="L9" i="2730" s="1"/>
  <c r="M9" i="2730" s="1"/>
  <c r="I9" i="2730"/>
  <c r="H9" i="2730" s="1"/>
  <c r="K7" i="2730"/>
  <c r="L7" i="2730" s="1"/>
  <c r="M7" i="2730" s="1"/>
  <c r="I7" i="2730"/>
  <c r="H7" i="2730" s="1"/>
  <c r="K5" i="2730"/>
  <c r="L5" i="2730" s="1"/>
  <c r="M5" i="2730" s="1"/>
  <c r="I5" i="2730"/>
  <c r="H5" i="2730" s="1"/>
  <c r="K47" i="2729"/>
  <c r="L47" i="2729" s="1"/>
  <c r="M47" i="2729" s="1"/>
  <c r="N47" i="2729" s="1"/>
  <c r="I47" i="2729"/>
  <c r="H47" i="2729"/>
  <c r="K45" i="2729"/>
  <c r="L45" i="2729" s="1"/>
  <c r="M45" i="2729" s="1"/>
  <c r="N45" i="2729" s="1"/>
  <c r="I45" i="2729"/>
  <c r="H45" i="2729" s="1"/>
  <c r="K43" i="2729"/>
  <c r="L43" i="2729" s="1"/>
  <c r="M43" i="2729" s="1"/>
  <c r="N43" i="2729" s="1"/>
  <c r="I43" i="2729"/>
  <c r="H43" i="2729"/>
  <c r="K41" i="2729"/>
  <c r="L41" i="2729" s="1"/>
  <c r="M41" i="2729" s="1"/>
  <c r="N41" i="2729" s="1"/>
  <c r="I41" i="2729"/>
  <c r="H41" i="2729" s="1"/>
  <c r="P25" i="2733" l="1"/>
  <c r="K27" i="2729"/>
  <c r="L27" i="2729" s="1"/>
  <c r="M27" i="2729" s="1"/>
  <c r="N27" i="2729" s="1"/>
  <c r="I27" i="2729"/>
  <c r="H27" i="2729" s="1"/>
  <c r="K25" i="2729"/>
  <c r="L25" i="2729" s="1"/>
  <c r="M25" i="2729" s="1"/>
  <c r="N25" i="2729" s="1"/>
  <c r="I25" i="2729"/>
  <c r="H25" i="2729"/>
  <c r="K21" i="2729"/>
  <c r="L21" i="2729" s="1"/>
  <c r="M21" i="2729" s="1"/>
  <c r="N21" i="2729" s="1"/>
  <c r="I21" i="2729"/>
  <c r="H21" i="2729" s="1"/>
  <c r="K19" i="2729"/>
  <c r="L19" i="2729" s="1"/>
  <c r="M19" i="2729" s="1"/>
  <c r="N19" i="2729" s="1"/>
  <c r="I19" i="2729"/>
  <c r="H19" i="2729"/>
  <c r="K17" i="2729"/>
  <c r="L17" i="2729" s="1"/>
  <c r="M17" i="2729" s="1"/>
  <c r="N17" i="2729" s="1"/>
  <c r="I17" i="2729"/>
  <c r="H17" i="2729"/>
  <c r="K15" i="2729"/>
  <c r="L15" i="2729" s="1"/>
  <c r="M15" i="2729" s="1"/>
  <c r="N15" i="2729" s="1"/>
  <c r="I15" i="2729"/>
  <c r="H15" i="2729"/>
  <c r="K13" i="2729"/>
  <c r="L13" i="2729" s="1"/>
  <c r="M13" i="2729" s="1"/>
  <c r="N13" i="2729" s="1"/>
  <c r="I13" i="2729"/>
  <c r="H13" i="2729" s="1"/>
  <c r="K11" i="2729"/>
  <c r="L11" i="2729" s="1"/>
  <c r="M11" i="2729" s="1"/>
  <c r="N11" i="2729" s="1"/>
  <c r="I11" i="2729"/>
  <c r="H11" i="2729" s="1"/>
  <c r="K9" i="2729"/>
  <c r="L9" i="2729" s="1"/>
  <c r="M9" i="2729" s="1"/>
  <c r="N9" i="2729" s="1"/>
  <c r="I9" i="2729"/>
  <c r="H9" i="2729"/>
  <c r="K3" i="2729"/>
  <c r="L3" i="2729" s="1"/>
  <c r="M3" i="2729" s="1"/>
  <c r="N3" i="2729" s="1"/>
  <c r="I3" i="2729"/>
  <c r="H3" i="2729"/>
  <c r="K45" i="2728"/>
  <c r="L45" i="2728" s="1"/>
  <c r="M45" i="2728" s="1"/>
  <c r="N45" i="2728" s="1"/>
  <c r="I45" i="2728"/>
  <c r="H45" i="2728" s="1"/>
  <c r="K43" i="2728"/>
  <c r="L43" i="2728" s="1"/>
  <c r="M43" i="2728" s="1"/>
  <c r="N43" i="2728" s="1"/>
  <c r="I43" i="2728"/>
  <c r="H43" i="2728"/>
  <c r="K27" i="2728"/>
  <c r="L27" i="2728" s="1"/>
  <c r="M27" i="2728" s="1"/>
  <c r="N27" i="2728" s="1"/>
  <c r="I27" i="2728"/>
  <c r="H27" i="2728"/>
  <c r="K25" i="2728"/>
  <c r="L25" i="2728" s="1"/>
  <c r="M25" i="2728" s="1"/>
  <c r="N25" i="2728" s="1"/>
  <c r="I25" i="2728"/>
  <c r="H25" i="2728"/>
  <c r="K23" i="2728"/>
  <c r="L23" i="2728" s="1"/>
  <c r="M23" i="2728" s="1"/>
  <c r="N23" i="2728" s="1"/>
  <c r="I23" i="2728"/>
  <c r="H23" i="2728"/>
  <c r="K21" i="2728"/>
  <c r="L21" i="2728" s="1"/>
  <c r="M21" i="2728" s="1"/>
  <c r="N21" i="2728" s="1"/>
  <c r="I21" i="2728"/>
  <c r="H21" i="2728"/>
  <c r="K19" i="2728"/>
  <c r="L19" i="2728" s="1"/>
  <c r="M19" i="2728" s="1"/>
  <c r="N19" i="2728" s="1"/>
  <c r="I19" i="2728"/>
  <c r="H19" i="2728" s="1"/>
  <c r="K17" i="2728"/>
  <c r="L17" i="2728" s="1"/>
  <c r="M17" i="2728" s="1"/>
  <c r="N17" i="2728" s="1"/>
  <c r="I17" i="2728"/>
  <c r="H17" i="2728"/>
  <c r="K15" i="2728"/>
  <c r="L15" i="2728" s="1"/>
  <c r="M15" i="2728" s="1"/>
  <c r="N15" i="2728" s="1"/>
  <c r="I15" i="2728"/>
  <c r="H15" i="2728" s="1"/>
  <c r="K13" i="2728"/>
  <c r="L13" i="2728" s="1"/>
  <c r="M13" i="2728" s="1"/>
  <c r="N13" i="2728" s="1"/>
  <c r="I13" i="2728"/>
  <c r="H13" i="2728"/>
  <c r="K11" i="2728"/>
  <c r="L11" i="2728" s="1"/>
  <c r="M11" i="2728" s="1"/>
  <c r="N11" i="2728" s="1"/>
  <c r="I11" i="2728"/>
  <c r="H11" i="2728"/>
  <c r="K9" i="2728"/>
  <c r="L9" i="2728" s="1"/>
  <c r="M9" i="2728" s="1"/>
  <c r="N9" i="2728" s="1"/>
  <c r="I9" i="2728"/>
  <c r="H9" i="2728" s="1"/>
  <c r="K3" i="2728"/>
  <c r="L3" i="2728" s="1"/>
  <c r="M3" i="2728" s="1"/>
  <c r="N3" i="2728" s="1"/>
  <c r="I3" i="2728"/>
  <c r="H3" i="2728"/>
  <c r="K21" i="2727" l="1"/>
  <c r="L21" i="2727" s="1"/>
  <c r="M21" i="2727" s="1"/>
  <c r="I21" i="2727"/>
  <c r="H21" i="2727" s="1"/>
  <c r="K9" i="2727"/>
  <c r="L9" i="2727" s="1"/>
  <c r="M9" i="2727" s="1"/>
  <c r="I9" i="2727"/>
  <c r="H9" i="2727" s="1"/>
  <c r="K25" i="2727"/>
  <c r="L25" i="2727" s="1"/>
  <c r="M25" i="2727" s="1"/>
  <c r="I25" i="2727"/>
  <c r="H25" i="2727" s="1"/>
  <c r="K23" i="2727"/>
  <c r="L23" i="2727" s="1"/>
  <c r="M23" i="2727" s="1"/>
  <c r="I23" i="2727"/>
  <c r="H23" i="2727"/>
  <c r="K19" i="2727"/>
  <c r="L19" i="2727" s="1"/>
  <c r="M19" i="2727" s="1"/>
  <c r="I19" i="2727"/>
  <c r="H19" i="2727" s="1"/>
  <c r="K17" i="2727"/>
  <c r="L17" i="2727" s="1"/>
  <c r="M17" i="2727" s="1"/>
  <c r="I17" i="2727"/>
  <c r="H17" i="2727" s="1"/>
  <c r="K15" i="2727"/>
  <c r="L15" i="2727" s="1"/>
  <c r="M15" i="2727" s="1"/>
  <c r="I15" i="2727"/>
  <c r="H15" i="2727" s="1"/>
  <c r="K13" i="2727"/>
  <c r="L13" i="2727" s="1"/>
  <c r="M13" i="2727" s="1"/>
  <c r="I13" i="2727"/>
  <c r="H13" i="2727"/>
  <c r="K11" i="2727"/>
  <c r="L11" i="2727" s="1"/>
  <c r="M11" i="2727" s="1"/>
  <c r="I11" i="2727"/>
  <c r="H11" i="2727" s="1"/>
  <c r="K7" i="2727"/>
  <c r="L7" i="2727" s="1"/>
  <c r="M7" i="2727" s="1"/>
  <c r="I7" i="2727"/>
  <c r="H7" i="2727" s="1"/>
  <c r="K5" i="2727"/>
  <c r="L5" i="2727" s="1"/>
  <c r="M5" i="2727" s="1"/>
  <c r="I5" i="2727"/>
  <c r="H5" i="2727"/>
  <c r="K3" i="2727"/>
  <c r="L3" i="2727" s="1"/>
  <c r="M3" i="2727" s="1"/>
  <c r="I3" i="2727"/>
  <c r="H3" i="2727" s="1"/>
  <c r="P20" i="2725"/>
  <c r="M21" i="2725"/>
  <c r="L21" i="2725"/>
  <c r="K21" i="2725"/>
  <c r="H21" i="2725"/>
  <c r="I21" i="2725"/>
  <c r="K35" i="2725"/>
  <c r="L35" i="2725" s="1"/>
  <c r="M35" i="2725" s="1"/>
  <c r="I35" i="2725"/>
  <c r="H35" i="2725" s="1"/>
  <c r="I31" i="2725"/>
  <c r="H31" i="2725" s="1"/>
  <c r="P29" i="2725" s="1"/>
  <c r="P30" i="2725" s="1"/>
  <c r="K31" i="2725"/>
  <c r="L31" i="2725" s="1"/>
  <c r="M31" i="2725" s="1"/>
  <c r="K29" i="2725"/>
  <c r="L29" i="2725" s="1"/>
  <c r="M29" i="2725" s="1"/>
  <c r="I29" i="2725"/>
  <c r="H29" i="2725" s="1"/>
  <c r="K33" i="2725"/>
  <c r="L33" i="2725" s="1"/>
  <c r="M33" i="2725" s="1"/>
  <c r="I33" i="2725"/>
  <c r="H33" i="2725" s="1"/>
  <c r="K27" i="2725"/>
  <c r="L27" i="2725" s="1"/>
  <c r="M27" i="2725" s="1"/>
  <c r="I27" i="2725"/>
  <c r="H27" i="2725" s="1"/>
  <c r="K25" i="2725"/>
  <c r="L25" i="2725" s="1"/>
  <c r="M25" i="2725" s="1"/>
  <c r="I25" i="2725"/>
  <c r="H25" i="2725" s="1"/>
  <c r="K19" i="2725"/>
  <c r="L19" i="2725" s="1"/>
  <c r="M19" i="2725" s="1"/>
  <c r="I19" i="2725"/>
  <c r="H19" i="2725" s="1"/>
  <c r="K11" i="2725"/>
  <c r="L11" i="2725" s="1"/>
  <c r="M11" i="2725" s="1"/>
  <c r="K9" i="2725"/>
  <c r="L9" i="2725" s="1"/>
  <c r="M9" i="2725" s="1"/>
  <c r="I9" i="2725"/>
  <c r="H9" i="2725"/>
  <c r="M39" i="2725"/>
  <c r="K37" i="2725"/>
  <c r="L37" i="2725" s="1"/>
  <c r="M37" i="2725" s="1"/>
  <c r="I37" i="2725"/>
  <c r="H37" i="2725" s="1"/>
  <c r="K23" i="2725"/>
  <c r="L23" i="2725" s="1"/>
  <c r="M23" i="2725" s="1"/>
  <c r="I23" i="2725"/>
  <c r="H23" i="2725" s="1"/>
  <c r="K17" i="2725"/>
  <c r="L17" i="2725" s="1"/>
  <c r="M17" i="2725" s="1"/>
  <c r="I17" i="2725"/>
  <c r="H17" i="2725" s="1"/>
  <c r="K15" i="2725"/>
  <c r="L15" i="2725" s="1"/>
  <c r="M15" i="2725" s="1"/>
  <c r="I15" i="2725"/>
  <c r="H15" i="2725" s="1"/>
  <c r="K13" i="2725"/>
  <c r="L13" i="2725" s="1"/>
  <c r="M13" i="2725" s="1"/>
  <c r="I13" i="2725"/>
  <c r="H13" i="2725" s="1"/>
  <c r="I11" i="2725"/>
  <c r="H11" i="2725"/>
  <c r="K7" i="2725"/>
  <c r="L7" i="2725" s="1"/>
  <c r="M7" i="2725" s="1"/>
  <c r="I7" i="2725"/>
  <c r="H7" i="2725"/>
  <c r="K5" i="2725"/>
  <c r="L5" i="2725" s="1"/>
  <c r="M5" i="2725" s="1"/>
  <c r="I5" i="2725"/>
  <c r="H5" i="2725" s="1"/>
  <c r="K3" i="2725"/>
  <c r="L3" i="2725" s="1"/>
  <c r="M3" i="2725" s="1"/>
  <c r="I3" i="2725"/>
  <c r="H3" i="2725" s="1"/>
  <c r="K31" i="2724"/>
  <c r="L31" i="2724" s="1"/>
  <c r="M31" i="2724" s="1"/>
  <c r="I31" i="2724"/>
  <c r="H31" i="2724" s="1"/>
  <c r="M29" i="2724"/>
  <c r="L29" i="2724"/>
  <c r="K29" i="2724"/>
  <c r="H29" i="2724"/>
  <c r="I29" i="2724"/>
  <c r="M19" i="2724"/>
  <c r="L19" i="2724"/>
  <c r="K19" i="2724"/>
  <c r="H19" i="2724"/>
  <c r="I19" i="2724"/>
  <c r="L11" i="2724"/>
  <c r="M11" i="2724" s="1"/>
  <c r="K11" i="2724"/>
  <c r="H11" i="2724"/>
  <c r="M9" i="2724"/>
  <c r="L9" i="2724"/>
  <c r="K9" i="2724"/>
  <c r="H9" i="2724"/>
  <c r="I9" i="2724"/>
  <c r="M37" i="2724"/>
  <c r="K27" i="2724"/>
  <c r="L27" i="2724" s="1"/>
  <c r="M27" i="2724" s="1"/>
  <c r="I27" i="2724"/>
  <c r="H27" i="2724" s="1"/>
  <c r="K25" i="2724"/>
  <c r="L25" i="2724" s="1"/>
  <c r="M25" i="2724" s="1"/>
  <c r="I25" i="2724"/>
  <c r="H25" i="2724"/>
  <c r="K21" i="2724"/>
  <c r="L21" i="2724" s="1"/>
  <c r="M21" i="2724" s="1"/>
  <c r="I21" i="2724"/>
  <c r="H21" i="2724"/>
  <c r="K17" i="2724"/>
  <c r="L17" i="2724" s="1"/>
  <c r="M17" i="2724" s="1"/>
  <c r="I17" i="2724"/>
  <c r="H17" i="2724" s="1"/>
  <c r="K15" i="2724"/>
  <c r="L15" i="2724" s="1"/>
  <c r="M15" i="2724" s="1"/>
  <c r="I15" i="2724"/>
  <c r="H15" i="2724" s="1"/>
  <c r="K13" i="2724"/>
  <c r="L13" i="2724" s="1"/>
  <c r="M13" i="2724" s="1"/>
  <c r="I13" i="2724"/>
  <c r="H13" i="2724" s="1"/>
  <c r="I11" i="2724"/>
  <c r="K7" i="2724"/>
  <c r="L7" i="2724" s="1"/>
  <c r="M7" i="2724" s="1"/>
  <c r="I7" i="2724"/>
  <c r="H7" i="2724" s="1"/>
  <c r="L5" i="2724"/>
  <c r="M5" i="2724" s="1"/>
  <c r="K5" i="2724"/>
  <c r="I5" i="2724"/>
  <c r="H5" i="2724" s="1"/>
  <c r="K3" i="2724"/>
  <c r="L3" i="2724" s="1"/>
  <c r="M3" i="2724" s="1"/>
  <c r="I3" i="2724"/>
  <c r="H3" i="2724" s="1"/>
  <c r="M43" i="2723"/>
  <c r="L43" i="2723"/>
  <c r="K43" i="2723"/>
  <c r="H43" i="2723"/>
  <c r="I43" i="2723"/>
  <c r="M59" i="2723"/>
  <c r="L59" i="2723"/>
  <c r="K59" i="2723"/>
  <c r="H59" i="2723"/>
  <c r="I59" i="2723"/>
  <c r="K57" i="2723"/>
  <c r="L57" i="2723" s="1"/>
  <c r="M57" i="2723" s="1"/>
  <c r="I57" i="2723"/>
  <c r="H57" i="2723" s="1"/>
  <c r="M53" i="2723"/>
  <c r="L53" i="2723"/>
  <c r="K53" i="2723"/>
  <c r="H53" i="2723"/>
  <c r="I53" i="2723"/>
  <c r="K49" i="2723"/>
  <c r="L49" i="2723" s="1"/>
  <c r="M49" i="2723" s="1"/>
  <c r="I49" i="2723"/>
  <c r="H49" i="2723" s="1"/>
  <c r="M25" i="2723"/>
  <c r="L25" i="2723"/>
  <c r="K25" i="2723"/>
  <c r="H25" i="2723"/>
  <c r="I25" i="2723"/>
  <c r="K19" i="2723"/>
  <c r="L19" i="2723" s="1"/>
  <c r="M19" i="2723" s="1"/>
  <c r="I19" i="2723"/>
  <c r="H19" i="2723" s="1"/>
  <c r="K11" i="2723"/>
  <c r="L11" i="2723" s="1"/>
  <c r="M11" i="2723" s="1"/>
  <c r="I11" i="2723"/>
  <c r="H11" i="2723" s="1"/>
  <c r="M9" i="2723"/>
  <c r="L9" i="2723"/>
  <c r="K9" i="2723"/>
  <c r="H9" i="2723"/>
  <c r="I9" i="2723"/>
  <c r="K5" i="2723"/>
  <c r="L5" i="2723" s="1"/>
  <c r="M5" i="2723" s="1"/>
  <c r="I5" i="2723"/>
  <c r="H5" i="2723" s="1"/>
  <c r="K55" i="2723"/>
  <c r="L55" i="2723" s="1"/>
  <c r="M55" i="2723" s="1"/>
  <c r="I55" i="2723"/>
  <c r="H55" i="2723" s="1"/>
  <c r="K51" i="2723"/>
  <c r="L51" i="2723" s="1"/>
  <c r="M51" i="2723" s="1"/>
  <c r="I51" i="2723"/>
  <c r="H51" i="2723" s="1"/>
  <c r="K47" i="2723"/>
  <c r="L47" i="2723" s="1"/>
  <c r="M47" i="2723" s="1"/>
  <c r="I47" i="2723"/>
  <c r="H47" i="2723" s="1"/>
  <c r="K45" i="2723"/>
  <c r="L45" i="2723" s="1"/>
  <c r="M45" i="2723" s="1"/>
  <c r="I45" i="2723"/>
  <c r="H45" i="2723" s="1"/>
  <c r="K41" i="2723"/>
  <c r="L41" i="2723" s="1"/>
  <c r="M41" i="2723" s="1"/>
  <c r="I41" i="2723"/>
  <c r="H41" i="2723" s="1"/>
  <c r="K35" i="2723"/>
  <c r="L35" i="2723" s="1"/>
  <c r="M35" i="2723" s="1"/>
  <c r="I35" i="2723"/>
  <c r="H35" i="2723" s="1"/>
  <c r="K33" i="2723"/>
  <c r="L33" i="2723" s="1"/>
  <c r="M33" i="2723" s="1"/>
  <c r="I33" i="2723"/>
  <c r="H33" i="2723" s="1"/>
  <c r="K31" i="2723"/>
  <c r="L31" i="2723" s="1"/>
  <c r="M31" i="2723" s="1"/>
  <c r="I31" i="2723"/>
  <c r="H31" i="2723" s="1"/>
  <c r="K29" i="2723"/>
  <c r="L29" i="2723" s="1"/>
  <c r="M29" i="2723" s="1"/>
  <c r="I29" i="2723"/>
  <c r="H29" i="2723" s="1"/>
  <c r="K23" i="2723"/>
  <c r="L23" i="2723" s="1"/>
  <c r="M23" i="2723" s="1"/>
  <c r="I23" i="2723"/>
  <c r="H23" i="2723"/>
  <c r="K21" i="2723"/>
  <c r="L21" i="2723" s="1"/>
  <c r="M21" i="2723" s="1"/>
  <c r="I21" i="2723"/>
  <c r="H21" i="2723" s="1"/>
  <c r="K17" i="2723"/>
  <c r="L17" i="2723" s="1"/>
  <c r="M17" i="2723" s="1"/>
  <c r="I17" i="2723"/>
  <c r="H17" i="2723" s="1"/>
  <c r="K15" i="2723"/>
  <c r="L15" i="2723" s="1"/>
  <c r="M15" i="2723" s="1"/>
  <c r="I15" i="2723"/>
  <c r="H15" i="2723" s="1"/>
  <c r="K13" i="2723"/>
  <c r="L13" i="2723" s="1"/>
  <c r="M13" i="2723" s="1"/>
  <c r="I13" i="2723"/>
  <c r="H13" i="2723" s="1"/>
  <c r="K7" i="2723"/>
  <c r="L7" i="2723" s="1"/>
  <c r="M7" i="2723" s="1"/>
  <c r="I7" i="2723"/>
  <c r="H7" i="2723" s="1"/>
  <c r="K3" i="2723"/>
  <c r="L3" i="2723" s="1"/>
  <c r="M3" i="2723" s="1"/>
  <c r="I3" i="2723"/>
  <c r="H3" i="2723" s="1"/>
  <c r="P25" i="2722"/>
  <c r="P24" i="2722"/>
  <c r="L19" i="2722"/>
  <c r="M19" i="2722" s="1"/>
  <c r="K33" i="2722"/>
  <c r="L33" i="2722" s="1"/>
  <c r="M33" i="2722" s="1"/>
  <c r="I33" i="2722"/>
  <c r="H33" i="2722"/>
  <c r="K31" i="2722"/>
  <c r="L31" i="2722" s="1"/>
  <c r="M31" i="2722" s="1"/>
  <c r="I31" i="2722"/>
  <c r="H31" i="2722" s="1"/>
  <c r="L29" i="2722"/>
  <c r="K29" i="2722"/>
  <c r="H29" i="2722"/>
  <c r="I29" i="2722"/>
  <c r="M25" i="2722"/>
  <c r="L25" i="2722"/>
  <c r="K25" i="2722"/>
  <c r="H25" i="2722"/>
  <c r="I25" i="2722"/>
  <c r="M23" i="2722"/>
  <c r="L23" i="2722"/>
  <c r="K23" i="2722"/>
  <c r="H23" i="2722"/>
  <c r="I23" i="2722"/>
  <c r="K19" i="2722"/>
  <c r="H19" i="2722"/>
  <c r="I19" i="2722"/>
  <c r="K9" i="2722"/>
  <c r="L9" i="2722" s="1"/>
  <c r="M9" i="2722" s="1"/>
  <c r="I9" i="2722"/>
  <c r="H9" i="2722" s="1"/>
  <c r="K3" i="2722"/>
  <c r="L3" i="2722" s="1"/>
  <c r="M3" i="2722" s="1"/>
  <c r="I3" i="2722"/>
  <c r="H3" i="2722" s="1"/>
  <c r="M37" i="2722"/>
  <c r="K35" i="2722"/>
  <c r="L35" i="2722" s="1"/>
  <c r="M35" i="2722" s="1"/>
  <c r="I35" i="2722"/>
  <c r="H35" i="2722" s="1"/>
  <c r="K27" i="2722"/>
  <c r="L27" i="2722" s="1"/>
  <c r="M27" i="2722" s="1"/>
  <c r="I27" i="2722"/>
  <c r="H27" i="2722" s="1"/>
  <c r="K21" i="2722"/>
  <c r="L21" i="2722" s="1"/>
  <c r="M21" i="2722" s="1"/>
  <c r="I21" i="2722"/>
  <c r="H21" i="2722" s="1"/>
  <c r="K17" i="2722"/>
  <c r="L17" i="2722" s="1"/>
  <c r="M17" i="2722" s="1"/>
  <c r="I17" i="2722"/>
  <c r="H17" i="2722" s="1"/>
  <c r="K15" i="2722"/>
  <c r="L15" i="2722" s="1"/>
  <c r="M15" i="2722" s="1"/>
  <c r="I15" i="2722"/>
  <c r="H15" i="2722" s="1"/>
  <c r="K13" i="2722"/>
  <c r="L13" i="2722" s="1"/>
  <c r="M13" i="2722" s="1"/>
  <c r="I13" i="2722"/>
  <c r="H13" i="2722" s="1"/>
  <c r="K11" i="2722"/>
  <c r="L11" i="2722" s="1"/>
  <c r="M11" i="2722" s="1"/>
  <c r="I11" i="2722"/>
  <c r="H11" i="2722" s="1"/>
  <c r="K7" i="2722"/>
  <c r="L7" i="2722" s="1"/>
  <c r="M7" i="2722" s="1"/>
  <c r="I7" i="2722"/>
  <c r="H7" i="2722"/>
  <c r="K5" i="2722"/>
  <c r="L5" i="2722" s="1"/>
  <c r="M5" i="2722" s="1"/>
  <c r="I5" i="2722"/>
  <c r="H5" i="2722" s="1"/>
  <c r="K25" i="2721"/>
  <c r="L25" i="2721" s="1"/>
  <c r="M25" i="2721" s="1"/>
  <c r="I25" i="2721"/>
  <c r="H25" i="2721" s="1"/>
  <c r="I21" i="2721"/>
  <c r="H21" i="2721" s="1"/>
  <c r="K21" i="2721"/>
  <c r="L21" i="2721" s="1"/>
  <c r="M21" i="2721" s="1"/>
  <c r="K9" i="2721"/>
  <c r="L9" i="2721" s="1"/>
  <c r="M9" i="2721" s="1"/>
  <c r="I9" i="2721"/>
  <c r="H9" i="2721" s="1"/>
  <c r="K5" i="2721"/>
  <c r="L5" i="2721" s="1"/>
  <c r="M5" i="2721" s="1"/>
  <c r="I5" i="2721"/>
  <c r="H5" i="2721" s="1"/>
  <c r="K23" i="2721"/>
  <c r="L23" i="2721" s="1"/>
  <c r="M23" i="2721" s="1"/>
  <c r="I23" i="2721"/>
  <c r="H23" i="2721" s="1"/>
  <c r="K17" i="2721"/>
  <c r="L17" i="2721" s="1"/>
  <c r="M17" i="2721" s="1"/>
  <c r="I17" i="2721"/>
  <c r="H17" i="2721"/>
  <c r="K15" i="2721"/>
  <c r="L15" i="2721" s="1"/>
  <c r="M15" i="2721" s="1"/>
  <c r="I15" i="2721"/>
  <c r="H15" i="2721" s="1"/>
  <c r="K13" i="2721"/>
  <c r="L13" i="2721" s="1"/>
  <c r="M13" i="2721" s="1"/>
  <c r="I13" i="2721"/>
  <c r="H13" i="2721" s="1"/>
  <c r="K7" i="2721"/>
  <c r="L7" i="2721" s="1"/>
  <c r="M7" i="2721" s="1"/>
  <c r="I7" i="2721"/>
  <c r="H7" i="2721" s="1"/>
  <c r="K3" i="2721"/>
  <c r="L3" i="2721" s="1"/>
  <c r="M3" i="2721" s="1"/>
  <c r="I3" i="2721"/>
  <c r="H3" i="2721" s="1"/>
  <c r="L25" i="2720"/>
  <c r="M25" i="2720" s="1"/>
  <c r="K25" i="2720"/>
  <c r="I25" i="2720"/>
  <c r="H25" i="2720" s="1"/>
  <c r="K21" i="2720"/>
  <c r="L21" i="2720" s="1"/>
  <c r="M21" i="2720" s="1"/>
  <c r="I21" i="2720"/>
  <c r="H21" i="2720" s="1"/>
  <c r="K19" i="2720"/>
  <c r="L19" i="2720" s="1"/>
  <c r="M19" i="2720" s="1"/>
  <c r="I19" i="2720"/>
  <c r="H19" i="2720" s="1"/>
  <c r="L9" i="2720"/>
  <c r="M9" i="2720" s="1"/>
  <c r="K9" i="2720"/>
  <c r="I9" i="2720"/>
  <c r="H9" i="2720" s="1"/>
  <c r="L5" i="2720"/>
  <c r="M5" i="2720" s="1"/>
  <c r="K5" i="2720"/>
  <c r="I5" i="2720"/>
  <c r="H5" i="2720" s="1"/>
  <c r="M15" i="2720"/>
  <c r="M17" i="2720"/>
  <c r="M23" i="2720"/>
  <c r="K23" i="2720"/>
  <c r="L23" i="2720" s="1"/>
  <c r="I23" i="2720"/>
  <c r="H23" i="2720" s="1"/>
  <c r="K17" i="2720"/>
  <c r="L17" i="2720" s="1"/>
  <c r="I17" i="2720"/>
  <c r="H17" i="2720"/>
  <c r="K15" i="2720"/>
  <c r="L15" i="2720" s="1"/>
  <c r="I15" i="2720"/>
  <c r="H15" i="2720" s="1"/>
  <c r="K13" i="2720"/>
  <c r="L13" i="2720" s="1"/>
  <c r="M13" i="2720" s="1"/>
  <c r="I13" i="2720"/>
  <c r="H13" i="2720" s="1"/>
  <c r="K11" i="2720"/>
  <c r="L11" i="2720" s="1"/>
  <c r="M11" i="2720" s="1"/>
  <c r="I11" i="2720"/>
  <c r="H11" i="2720" s="1"/>
  <c r="K7" i="2720"/>
  <c r="L7" i="2720" s="1"/>
  <c r="M7" i="2720" s="1"/>
  <c r="I7" i="2720"/>
  <c r="H7" i="2720"/>
  <c r="K3" i="2720"/>
  <c r="L3" i="2720" s="1"/>
  <c r="M3" i="2720" s="1"/>
  <c r="I3" i="2720"/>
  <c r="H3" i="2720" s="1"/>
  <c r="K15" i="2719"/>
  <c r="L15" i="2719" s="1"/>
  <c r="M15" i="2719" s="1"/>
  <c r="I15" i="2719"/>
  <c r="H15" i="2719" s="1"/>
  <c r="K13" i="2719"/>
  <c r="L13" i="2719" s="1"/>
  <c r="M13" i="2719" s="1"/>
  <c r="I13" i="2719"/>
  <c r="H13" i="2719" s="1"/>
  <c r="K37" i="2719"/>
  <c r="K29" i="2719"/>
  <c r="I29" i="2719"/>
  <c r="H29" i="2719" s="1"/>
  <c r="K45" i="2719"/>
  <c r="L45" i="2719" s="1"/>
  <c r="M45" i="2719" s="1"/>
  <c r="I45" i="2719"/>
  <c r="H45" i="2719"/>
  <c r="K39" i="2719"/>
  <c r="L39" i="2719" s="1"/>
  <c r="M39" i="2719" s="1"/>
  <c r="I39" i="2719"/>
  <c r="H39" i="2719" s="1"/>
  <c r="L37" i="2719"/>
  <c r="M37" i="2719" s="1"/>
  <c r="I37" i="2719"/>
  <c r="H37" i="2719" s="1"/>
  <c r="K35" i="2719"/>
  <c r="L35" i="2719" s="1"/>
  <c r="M35" i="2719" s="1"/>
  <c r="I35" i="2719"/>
  <c r="H35" i="2719" s="1"/>
  <c r="K33" i="2719"/>
  <c r="L33" i="2719" s="1"/>
  <c r="M33" i="2719" s="1"/>
  <c r="I33" i="2719"/>
  <c r="H33" i="2719" s="1"/>
  <c r="L29" i="2719"/>
  <c r="M29" i="2719" s="1"/>
  <c r="K23" i="2719"/>
  <c r="L23" i="2719" s="1"/>
  <c r="M23" i="2719" s="1"/>
  <c r="I23" i="2719"/>
  <c r="H23" i="2719" s="1"/>
  <c r="K43" i="2719"/>
  <c r="L43" i="2719" s="1"/>
  <c r="M43" i="2719" s="1"/>
  <c r="I43" i="2719"/>
  <c r="H43" i="2719" s="1"/>
  <c r="K41" i="2719"/>
  <c r="L41" i="2719" s="1"/>
  <c r="M41" i="2719" s="1"/>
  <c r="I41" i="2719"/>
  <c r="H41" i="2719" s="1"/>
  <c r="K31" i="2719"/>
  <c r="L31" i="2719" s="1"/>
  <c r="M31" i="2719" s="1"/>
  <c r="I31" i="2719"/>
  <c r="H31" i="2719" s="1"/>
  <c r="K27" i="2719"/>
  <c r="L27" i="2719" s="1"/>
  <c r="M27" i="2719" s="1"/>
  <c r="I27" i="2719"/>
  <c r="H27" i="2719" s="1"/>
  <c r="K25" i="2719"/>
  <c r="L25" i="2719" s="1"/>
  <c r="M25" i="2719" s="1"/>
  <c r="I25" i="2719"/>
  <c r="H25" i="2719"/>
  <c r="K21" i="2719"/>
  <c r="L21" i="2719" s="1"/>
  <c r="M21" i="2719" s="1"/>
  <c r="I21" i="2719"/>
  <c r="H21" i="2719" s="1"/>
  <c r="K11" i="2719"/>
  <c r="L11" i="2719" s="1"/>
  <c r="M11" i="2719" s="1"/>
  <c r="I11" i="2719"/>
  <c r="H11" i="2719" s="1"/>
  <c r="K9" i="2719"/>
  <c r="L9" i="2719" s="1"/>
  <c r="M9" i="2719" s="1"/>
  <c r="I9" i="2719"/>
  <c r="H9" i="2719"/>
  <c r="K3" i="2719"/>
  <c r="L3" i="2719" s="1"/>
  <c r="M3" i="2719" s="1"/>
  <c r="I3" i="2719"/>
  <c r="H3" i="2719" s="1"/>
  <c r="K17" i="2718"/>
  <c r="L17" i="2718" s="1"/>
  <c r="M17" i="2718" s="1"/>
  <c r="M3" i="2718"/>
  <c r="M5" i="2718"/>
  <c r="M7" i="2718"/>
  <c r="M9" i="2718"/>
  <c r="M11" i="2718"/>
  <c r="M19" i="2718"/>
  <c r="M23" i="2718"/>
  <c r="M25" i="2718"/>
  <c r="K25" i="2718"/>
  <c r="L25" i="2718" s="1"/>
  <c r="I25" i="2718"/>
  <c r="H25" i="2718" s="1"/>
  <c r="K19" i="2718"/>
  <c r="L19" i="2718" s="1"/>
  <c r="I19" i="2718"/>
  <c r="H19" i="2718" s="1"/>
  <c r="I9" i="2718"/>
  <c r="H9" i="2718" s="1"/>
  <c r="K9" i="2718"/>
  <c r="L9" i="2718" s="1"/>
  <c r="K5" i="2718"/>
  <c r="L5" i="2718" s="1"/>
  <c r="I5" i="2718"/>
  <c r="H5" i="2718" s="1"/>
  <c r="K23" i="2718"/>
  <c r="L23" i="2718" s="1"/>
  <c r="I23" i="2718"/>
  <c r="H23" i="2718" s="1"/>
  <c r="I17" i="2718"/>
  <c r="H17" i="2718" s="1"/>
  <c r="K15" i="2718"/>
  <c r="L15" i="2718" s="1"/>
  <c r="M15" i="2718" s="1"/>
  <c r="I15" i="2718"/>
  <c r="H15" i="2718" s="1"/>
  <c r="K13" i="2718"/>
  <c r="L13" i="2718" s="1"/>
  <c r="M13" i="2718" s="1"/>
  <c r="I13" i="2718"/>
  <c r="H13" i="2718" s="1"/>
  <c r="K11" i="2718"/>
  <c r="L11" i="2718" s="1"/>
  <c r="I11" i="2718"/>
  <c r="H11" i="2718" s="1"/>
  <c r="K7" i="2718"/>
  <c r="L7" i="2718" s="1"/>
  <c r="I7" i="2718"/>
  <c r="H7" i="2718" s="1"/>
  <c r="K3" i="2718"/>
  <c r="L3" i="2718" s="1"/>
  <c r="I3" i="2718"/>
  <c r="H3" i="2718" s="1"/>
  <c r="K43" i="2717"/>
  <c r="L43" i="2717" s="1"/>
  <c r="M43" i="2717" s="1"/>
  <c r="I43" i="2717"/>
  <c r="H43" i="2717" s="1"/>
  <c r="K37" i="2717"/>
  <c r="L37" i="2717" s="1"/>
  <c r="M37" i="2717" s="1"/>
  <c r="I37" i="2717"/>
  <c r="H37" i="2717" s="1"/>
  <c r="K33" i="2717"/>
  <c r="L33" i="2717" s="1"/>
  <c r="M33" i="2717" s="1"/>
  <c r="I33" i="2717"/>
  <c r="H33" i="2717" s="1"/>
  <c r="K29" i="2717"/>
  <c r="L29" i="2717" s="1"/>
  <c r="M29" i="2717" s="1"/>
  <c r="I29" i="2717"/>
  <c r="H29" i="2717" s="1"/>
  <c r="K35" i="2717"/>
  <c r="L35" i="2717" s="1"/>
  <c r="M35" i="2717" s="1"/>
  <c r="I35" i="2717"/>
  <c r="H35" i="2717" s="1"/>
  <c r="K23" i="2717"/>
  <c r="L23" i="2717" s="1"/>
  <c r="M23" i="2717" s="1"/>
  <c r="I23" i="2717"/>
  <c r="H23" i="2717" s="1"/>
  <c r="M29" i="2722" l="1"/>
  <c r="K11" i="2717"/>
  <c r="L11" i="2717" s="1"/>
  <c r="M11" i="2717" s="1"/>
  <c r="I11" i="2717"/>
  <c r="H11" i="2717" s="1"/>
  <c r="K41" i="2717"/>
  <c r="L41" i="2717" s="1"/>
  <c r="M41" i="2717" s="1"/>
  <c r="I41" i="2717"/>
  <c r="H41" i="2717" s="1"/>
  <c r="K39" i="2717"/>
  <c r="L39" i="2717" s="1"/>
  <c r="M39" i="2717" s="1"/>
  <c r="I39" i="2717"/>
  <c r="H39" i="2717" s="1"/>
  <c r="K31" i="2717"/>
  <c r="L31" i="2717" s="1"/>
  <c r="M31" i="2717" s="1"/>
  <c r="I31" i="2717"/>
  <c r="H31" i="2717" s="1"/>
  <c r="K27" i="2717"/>
  <c r="L27" i="2717" s="1"/>
  <c r="M27" i="2717" s="1"/>
  <c r="I27" i="2717"/>
  <c r="H27" i="2717" s="1"/>
  <c r="K25" i="2717"/>
  <c r="L25" i="2717" s="1"/>
  <c r="M25" i="2717" s="1"/>
  <c r="I25" i="2717"/>
  <c r="H25" i="2717" s="1"/>
  <c r="K21" i="2717"/>
  <c r="L21" i="2717" s="1"/>
  <c r="M21" i="2717" s="1"/>
  <c r="I21" i="2717"/>
  <c r="H21" i="2717" s="1"/>
  <c r="K3" i="2717"/>
  <c r="L3" i="2717" s="1"/>
  <c r="M3" i="2717" s="1"/>
  <c r="I3" i="2717"/>
  <c r="H3" i="2717" s="1"/>
  <c r="M31" i="2716" l="1"/>
  <c r="L31" i="2716"/>
  <c r="K31" i="2716"/>
  <c r="H31" i="2716"/>
  <c r="I31" i="2716"/>
  <c r="K29" i="2716"/>
  <c r="K21" i="2716"/>
  <c r="I13" i="2716"/>
  <c r="H9" i="2716"/>
  <c r="I9" i="2716"/>
  <c r="M9" i="2716"/>
  <c r="L9" i="2716"/>
  <c r="K9" i="2716"/>
  <c r="H5" i="2716"/>
  <c r="I5" i="2716"/>
  <c r="M5" i="2716"/>
  <c r="L5" i="2716"/>
  <c r="K5" i="2716"/>
  <c r="L29" i="2716" l="1"/>
  <c r="M29" i="2716" s="1"/>
  <c r="I29" i="2716"/>
  <c r="H29" i="2716"/>
  <c r="L21" i="2716"/>
  <c r="M21" i="2716" s="1"/>
  <c r="I21" i="2716"/>
  <c r="H21" i="2716" s="1"/>
  <c r="K17" i="2716"/>
  <c r="L17" i="2716" s="1"/>
  <c r="M17" i="2716" s="1"/>
  <c r="I17" i="2716"/>
  <c r="H17" i="2716" s="1"/>
  <c r="K15" i="2716"/>
  <c r="L15" i="2716" s="1"/>
  <c r="M15" i="2716" s="1"/>
  <c r="I15" i="2716"/>
  <c r="H15" i="2716" s="1"/>
  <c r="K13" i="2716"/>
  <c r="L13" i="2716" s="1"/>
  <c r="M13" i="2716" s="1"/>
  <c r="H13" i="2716"/>
  <c r="K11" i="2716"/>
  <c r="L11" i="2716" s="1"/>
  <c r="M11" i="2716" s="1"/>
  <c r="I11" i="2716"/>
  <c r="H11" i="2716" s="1"/>
  <c r="K7" i="2716"/>
  <c r="L7" i="2716" s="1"/>
  <c r="M7" i="2716" s="1"/>
  <c r="I7" i="2716"/>
  <c r="H7" i="2716" s="1"/>
  <c r="K3" i="2716"/>
  <c r="L3" i="2716" s="1"/>
  <c r="M3" i="2716" s="1"/>
  <c r="I3" i="2716"/>
  <c r="H3" i="2716" s="1"/>
  <c r="K43" i="2715"/>
  <c r="L43" i="2715" s="1"/>
  <c r="M43" i="2715" s="1"/>
  <c r="I43" i="2715"/>
  <c r="H43" i="2715" s="1"/>
  <c r="K41" i="2715"/>
  <c r="L41" i="2715" s="1"/>
  <c r="M41" i="2715" s="1"/>
  <c r="I41" i="2715"/>
  <c r="H41" i="2715" s="1"/>
  <c r="K39" i="2715"/>
  <c r="L39" i="2715" s="1"/>
  <c r="M39" i="2715" s="1"/>
  <c r="I39" i="2715"/>
  <c r="H39" i="2715" s="1"/>
  <c r="K37" i="2715"/>
  <c r="L37" i="2715" s="1"/>
  <c r="M37" i="2715" s="1"/>
  <c r="I37" i="2715"/>
  <c r="H37" i="2715" s="1"/>
  <c r="L33" i="2715" l="1"/>
  <c r="M33" i="2715" s="1"/>
  <c r="K33" i="2715"/>
  <c r="K31" i="2715"/>
  <c r="L31" i="2715" s="1"/>
  <c r="M31" i="2715" s="1"/>
  <c r="I33" i="2715"/>
  <c r="H33" i="2715" s="1"/>
  <c r="I31" i="2715"/>
  <c r="H31" i="2715" s="1"/>
  <c r="K29" i="2715"/>
  <c r="L29" i="2715" s="1"/>
  <c r="M29" i="2715" s="1"/>
  <c r="I29" i="2715"/>
  <c r="H29" i="2715" s="1"/>
  <c r="I27" i="2715"/>
  <c r="H27" i="2715" s="1"/>
  <c r="K27" i="2715"/>
  <c r="L27" i="2715" s="1"/>
  <c r="M27" i="2715" s="1"/>
  <c r="K23" i="2715"/>
  <c r="L23" i="2715" s="1"/>
  <c r="M23" i="2715" s="1"/>
  <c r="I23" i="2715"/>
  <c r="H23" i="2715" s="1"/>
  <c r="K9" i="2715"/>
  <c r="L9" i="2715" s="1"/>
  <c r="M9" i="2715" s="1"/>
  <c r="I9" i="2715"/>
  <c r="H9" i="2715" s="1"/>
  <c r="K5" i="2715"/>
  <c r="L5" i="2715" s="1"/>
  <c r="M5" i="2715" s="1"/>
  <c r="I5" i="2715"/>
  <c r="H5" i="2715" s="1"/>
  <c r="K21" i="2715"/>
  <c r="L21" i="2715" s="1"/>
  <c r="M21" i="2715" s="1"/>
  <c r="I21" i="2715"/>
  <c r="H21" i="2715" s="1"/>
  <c r="K19" i="2715"/>
  <c r="L19" i="2715" s="1"/>
  <c r="M19" i="2715" s="1"/>
  <c r="I19" i="2715"/>
  <c r="H19" i="2715" s="1"/>
  <c r="K17" i="2715"/>
  <c r="L17" i="2715" s="1"/>
  <c r="M17" i="2715" s="1"/>
  <c r="I17" i="2715"/>
  <c r="H17" i="2715" s="1"/>
  <c r="K15" i="2715"/>
  <c r="L15" i="2715" s="1"/>
  <c r="M15" i="2715" s="1"/>
  <c r="I15" i="2715"/>
  <c r="H15" i="2715" s="1"/>
  <c r="K13" i="2715"/>
  <c r="L13" i="2715" s="1"/>
  <c r="M13" i="2715" s="1"/>
  <c r="I13" i="2715"/>
  <c r="H13" i="2715" s="1"/>
  <c r="K7" i="2715"/>
  <c r="L7" i="2715" s="1"/>
  <c r="M7" i="2715" s="1"/>
  <c r="I7" i="2715"/>
  <c r="H7" i="2715" s="1"/>
  <c r="K3" i="2715"/>
  <c r="L3" i="2715" s="1"/>
  <c r="M3" i="2715" s="1"/>
  <c r="I3" i="2715"/>
  <c r="H3" i="2715"/>
  <c r="Q16" i="2714"/>
  <c r="Q15" i="2714"/>
  <c r="H31" i="2714"/>
  <c r="I31" i="2714"/>
  <c r="L31" i="2714"/>
  <c r="M31" i="2714"/>
  <c r="N31" i="2714" s="1"/>
  <c r="K31" i="2714"/>
  <c r="H9" i="2714"/>
  <c r="I9" i="2714"/>
  <c r="L9" i="2714"/>
  <c r="M9" i="2714"/>
  <c r="N9" i="2714"/>
  <c r="K9" i="2714"/>
  <c r="K35" i="2714"/>
  <c r="L35" i="2714" s="1"/>
  <c r="M35" i="2714" s="1"/>
  <c r="N35" i="2714" s="1"/>
  <c r="I35" i="2714"/>
  <c r="H35" i="2714" s="1"/>
  <c r="N3" i="2714"/>
  <c r="N5" i="2714"/>
  <c r="N7" i="2714"/>
  <c r="N11" i="2714"/>
  <c r="N13" i="2714"/>
  <c r="N15" i="2714"/>
  <c r="N19" i="2714"/>
  <c r="N21" i="2714"/>
  <c r="N23" i="2714"/>
  <c r="N25" i="2714"/>
  <c r="N29" i="2714"/>
  <c r="N33" i="2714"/>
  <c r="K33" i="2714"/>
  <c r="L33" i="2714" s="1"/>
  <c r="M33" i="2714" s="1"/>
  <c r="I33" i="2714"/>
  <c r="H33" i="2714" s="1"/>
  <c r="K21" i="2714"/>
  <c r="L21" i="2714" s="1"/>
  <c r="M21" i="2714" s="1"/>
  <c r="I21" i="2714"/>
  <c r="H21" i="2714" s="1"/>
  <c r="K19" i="2714"/>
  <c r="L19" i="2714" s="1"/>
  <c r="M19" i="2714" s="1"/>
  <c r="I19" i="2714"/>
  <c r="H19" i="2714" s="1"/>
  <c r="K5" i="2714"/>
  <c r="L5" i="2714" s="1"/>
  <c r="M5" i="2714" s="1"/>
  <c r="I5" i="2714"/>
  <c r="H5" i="2714" s="1"/>
  <c r="K29" i="2714"/>
  <c r="L29" i="2714" s="1"/>
  <c r="M29" i="2714" s="1"/>
  <c r="I29" i="2714"/>
  <c r="H29" i="2714" s="1"/>
  <c r="K25" i="2714"/>
  <c r="L25" i="2714" s="1"/>
  <c r="M25" i="2714" s="1"/>
  <c r="I25" i="2714"/>
  <c r="H25" i="2714" s="1"/>
  <c r="K23" i="2714"/>
  <c r="L23" i="2714" s="1"/>
  <c r="M23" i="2714" s="1"/>
  <c r="I23" i="2714"/>
  <c r="H23" i="2714" s="1"/>
  <c r="K17" i="2714"/>
  <c r="L17" i="2714" s="1"/>
  <c r="M17" i="2714" s="1"/>
  <c r="N17" i="2714" s="1"/>
  <c r="I17" i="2714"/>
  <c r="H17" i="2714" s="1"/>
  <c r="K15" i="2714"/>
  <c r="L15" i="2714" s="1"/>
  <c r="M15" i="2714" s="1"/>
  <c r="I15" i="2714"/>
  <c r="H15" i="2714" s="1"/>
  <c r="K13" i="2714"/>
  <c r="L13" i="2714" s="1"/>
  <c r="M13" i="2714" s="1"/>
  <c r="I13" i="2714"/>
  <c r="H13" i="2714" s="1"/>
  <c r="K11" i="2714"/>
  <c r="L11" i="2714" s="1"/>
  <c r="M11" i="2714" s="1"/>
  <c r="I11" i="2714"/>
  <c r="H11" i="2714" s="1"/>
  <c r="K7" i="2714"/>
  <c r="L7" i="2714" s="1"/>
  <c r="M7" i="2714" s="1"/>
  <c r="I7" i="2714"/>
  <c r="H7" i="2714" s="1"/>
  <c r="K3" i="2714"/>
  <c r="L3" i="2714" s="1"/>
  <c r="M3" i="2714" s="1"/>
  <c r="I3" i="2714"/>
  <c r="H3" i="2714" s="1"/>
  <c r="K19" i="2713"/>
  <c r="L19" i="2713" s="1"/>
  <c r="M19" i="2713" s="1"/>
  <c r="K37" i="2713"/>
  <c r="L37" i="2713" s="1"/>
  <c r="M37" i="2713" s="1"/>
  <c r="K35" i="2713"/>
  <c r="L35" i="2713" s="1"/>
  <c r="M35" i="2713" s="1"/>
  <c r="K33" i="2713"/>
  <c r="L33" i="2713" s="1"/>
  <c r="M33" i="2713" s="1"/>
  <c r="K31" i="2713"/>
  <c r="L31" i="2713" s="1"/>
  <c r="M31" i="2713" s="1"/>
  <c r="K29" i="2713"/>
  <c r="L29" i="2713" s="1"/>
  <c r="M29" i="2713" s="1"/>
  <c r="K25" i="2713"/>
  <c r="L25" i="2713" s="1"/>
  <c r="M25" i="2713" s="1"/>
  <c r="K21" i="2713"/>
  <c r="K11" i="2713"/>
  <c r="L11" i="2713" s="1"/>
  <c r="M11" i="2713" s="1"/>
  <c r="K9" i="2713"/>
  <c r="K5" i="2713"/>
  <c r="L5" i="2713" s="1"/>
  <c r="M5" i="2713" s="1"/>
  <c r="L9" i="2713" l="1"/>
  <c r="M9" i="2713" s="1"/>
  <c r="L21" i="2713"/>
  <c r="M21" i="2713" s="1"/>
  <c r="Q12" i="2713"/>
  <c r="Q13" i="2713" s="1"/>
  <c r="K23" i="2713"/>
  <c r="L23" i="2713" s="1"/>
  <c r="M23" i="2713" s="1"/>
  <c r="K17" i="2713"/>
  <c r="L17" i="2713" s="1"/>
  <c r="M17" i="2713" s="1"/>
  <c r="K15" i="2713"/>
  <c r="L15" i="2713" s="1"/>
  <c r="M15" i="2713" s="1"/>
  <c r="K13" i="2713"/>
  <c r="L13" i="2713" s="1"/>
  <c r="M13" i="2713" s="1"/>
  <c r="K7" i="2713"/>
  <c r="L7" i="2713" s="1"/>
  <c r="M7" i="2713" s="1"/>
  <c r="K3" i="2713"/>
  <c r="L3" i="2713" s="1"/>
  <c r="M3" i="2713" s="1"/>
  <c r="Q20" i="2713" l="1"/>
  <c r="Q21" i="2713" s="1"/>
  <c r="K29" i="2712"/>
  <c r="L29" i="2712" s="1"/>
  <c r="M29" i="2712" s="1"/>
  <c r="I29" i="2712"/>
  <c r="H29" i="2712" s="1"/>
  <c r="K21" i="2712"/>
  <c r="L21" i="2712" s="1"/>
  <c r="M21" i="2712" s="1"/>
  <c r="I21" i="2712"/>
  <c r="H21" i="2712"/>
  <c r="K19" i="2712"/>
  <c r="L19" i="2712" s="1"/>
  <c r="M19" i="2712" s="1"/>
  <c r="I19" i="2712"/>
  <c r="H19" i="2712" s="1"/>
  <c r="K27" i="2712"/>
  <c r="L27" i="2712" s="1"/>
  <c r="M27" i="2712" s="1"/>
  <c r="I27" i="2712"/>
  <c r="H27" i="2712" s="1"/>
  <c r="L23" i="2712"/>
  <c r="M23" i="2712" s="1"/>
  <c r="K23" i="2712"/>
  <c r="H23" i="2712"/>
  <c r="I23" i="2712"/>
  <c r="K25" i="2712"/>
  <c r="L25" i="2712" s="1"/>
  <c r="M25" i="2712" s="1"/>
  <c r="I25" i="2712"/>
  <c r="H25" i="2712" s="1"/>
  <c r="K11" i="2712"/>
  <c r="L11" i="2712" s="1"/>
  <c r="M11" i="2712" s="1"/>
  <c r="I11" i="2712"/>
  <c r="H11" i="2712" s="1"/>
  <c r="K9" i="2712"/>
  <c r="L9" i="2712" s="1"/>
  <c r="M9" i="2712" s="1"/>
  <c r="I9" i="2712"/>
  <c r="H9" i="2712" s="1"/>
  <c r="K5" i="2712"/>
  <c r="L5" i="2712" s="1"/>
  <c r="M5" i="2712" s="1"/>
  <c r="I5" i="2712"/>
  <c r="H5" i="2712" s="1"/>
  <c r="K17" i="2712"/>
  <c r="L17" i="2712" s="1"/>
  <c r="M17" i="2712" s="1"/>
  <c r="I17" i="2712"/>
  <c r="H17" i="2712" s="1"/>
  <c r="K15" i="2712"/>
  <c r="L15" i="2712" s="1"/>
  <c r="M15" i="2712" s="1"/>
  <c r="I15" i="2712"/>
  <c r="H15" i="2712" s="1"/>
  <c r="K13" i="2712"/>
  <c r="L13" i="2712" s="1"/>
  <c r="M13" i="2712" s="1"/>
  <c r="I13" i="2712"/>
  <c r="H13" i="2712" s="1"/>
  <c r="K7" i="2712"/>
  <c r="L7" i="2712" s="1"/>
  <c r="M7" i="2712" s="1"/>
  <c r="I7" i="2712"/>
  <c r="H7" i="2712" s="1"/>
  <c r="K3" i="2712"/>
  <c r="L3" i="2712" s="1"/>
  <c r="M3" i="2712" s="1"/>
  <c r="I3" i="2712"/>
  <c r="H3" i="2712" s="1"/>
  <c r="K19" i="2711"/>
  <c r="L19" i="2711" s="1"/>
  <c r="M19" i="2711" s="1"/>
  <c r="I19" i="2711"/>
  <c r="H19" i="2711" s="1"/>
  <c r="I5" i="2711"/>
  <c r="H5" i="2711" s="1"/>
  <c r="K5" i="2711"/>
  <c r="L5" i="2711" s="1"/>
  <c r="M5" i="2711" s="1"/>
  <c r="K23" i="2711"/>
  <c r="L23" i="2711" s="1"/>
  <c r="M23" i="2711" s="1"/>
  <c r="I23" i="2711"/>
  <c r="H23" i="2711" s="1"/>
  <c r="K17" i="2711"/>
  <c r="L17" i="2711" s="1"/>
  <c r="M17" i="2711" s="1"/>
  <c r="I17" i="2711"/>
  <c r="H17" i="2711" s="1"/>
  <c r="K15" i="2711"/>
  <c r="L15" i="2711" s="1"/>
  <c r="M15" i="2711" s="1"/>
  <c r="I15" i="2711"/>
  <c r="H15" i="2711" s="1"/>
  <c r="K13" i="2711"/>
  <c r="L13" i="2711" s="1"/>
  <c r="M13" i="2711" s="1"/>
  <c r="I13" i="2711"/>
  <c r="H13" i="2711"/>
  <c r="K11" i="2711"/>
  <c r="L11" i="2711" s="1"/>
  <c r="M11" i="2711" s="1"/>
  <c r="I11" i="2711"/>
  <c r="H11" i="2711" s="1"/>
  <c r="K9" i="2711"/>
  <c r="L9" i="2711" s="1"/>
  <c r="M9" i="2711" s="1"/>
  <c r="I9" i="2711"/>
  <c r="H9" i="2711" s="1"/>
  <c r="K7" i="2711"/>
  <c r="L7" i="2711" s="1"/>
  <c r="M7" i="2711" s="1"/>
  <c r="I7" i="2711"/>
  <c r="H7" i="2711" s="1"/>
  <c r="K3" i="2711"/>
  <c r="L3" i="2711" s="1"/>
  <c r="M3" i="2711" s="1"/>
  <c r="I3" i="2711"/>
  <c r="H3" i="2711" s="1"/>
  <c r="K19" i="2710"/>
  <c r="L19" i="2710" s="1"/>
  <c r="M19" i="2710" s="1"/>
  <c r="I19" i="2710"/>
  <c r="H19" i="2710"/>
  <c r="K17" i="2710"/>
  <c r="L17" i="2710" s="1"/>
  <c r="M17" i="2710" s="1"/>
  <c r="I17" i="2710"/>
  <c r="H17" i="2710" s="1"/>
  <c r="K15" i="2710"/>
  <c r="L15" i="2710" s="1"/>
  <c r="M15" i="2710" s="1"/>
  <c r="I15" i="2710"/>
  <c r="H15" i="2710" s="1"/>
  <c r="K13" i="2710"/>
  <c r="L13" i="2710" s="1"/>
  <c r="M13" i="2710" s="1"/>
  <c r="I13" i="2710"/>
  <c r="H13" i="2710" s="1"/>
  <c r="K11" i="2710"/>
  <c r="L11" i="2710" s="1"/>
  <c r="M11" i="2710" s="1"/>
  <c r="I11" i="2710"/>
  <c r="H11" i="2710" s="1"/>
  <c r="K3" i="2710"/>
  <c r="L3" i="2710" s="1"/>
  <c r="M3" i="2710" s="1"/>
  <c r="I3" i="2710"/>
  <c r="H3" i="2710" s="1"/>
  <c r="N21" i="2709" l="1"/>
  <c r="M21" i="2709"/>
  <c r="L21" i="2709"/>
  <c r="K21" i="2709"/>
  <c r="H21" i="2709"/>
  <c r="I21" i="2709"/>
  <c r="N27" i="2709"/>
  <c r="N25" i="2709"/>
  <c r="N23" i="2709"/>
  <c r="N19" i="2709"/>
  <c r="N17" i="2709"/>
  <c r="N15" i="2709"/>
  <c r="N13" i="2709"/>
  <c r="N11" i="2709"/>
  <c r="N9" i="2709"/>
  <c r="N7" i="2709"/>
  <c r="N5" i="2709"/>
  <c r="N3" i="2709"/>
  <c r="M27" i="2709"/>
  <c r="L27" i="2709"/>
  <c r="K27" i="2709"/>
  <c r="H27" i="2709"/>
  <c r="I27" i="2709"/>
  <c r="L25" i="2709"/>
  <c r="M25" i="2709" s="1"/>
  <c r="K25" i="2709"/>
  <c r="I25" i="2709"/>
  <c r="H25" i="2709" s="1"/>
  <c r="K9" i="2709"/>
  <c r="L9" i="2709" s="1"/>
  <c r="M9" i="2709" s="1"/>
  <c r="I9" i="2709"/>
  <c r="H9" i="2709" s="1"/>
  <c r="K23" i="2709"/>
  <c r="L23" i="2709" s="1"/>
  <c r="M23" i="2709" s="1"/>
  <c r="I23" i="2709"/>
  <c r="H23" i="2709" s="1"/>
  <c r="K19" i="2709"/>
  <c r="L19" i="2709" s="1"/>
  <c r="M19" i="2709" s="1"/>
  <c r="I19" i="2709"/>
  <c r="H19" i="2709" s="1"/>
  <c r="K17" i="2709"/>
  <c r="L17" i="2709" s="1"/>
  <c r="M17" i="2709" s="1"/>
  <c r="I17" i="2709"/>
  <c r="H17" i="2709" s="1"/>
  <c r="K15" i="2709"/>
  <c r="L15" i="2709" s="1"/>
  <c r="M15" i="2709" s="1"/>
  <c r="I15" i="2709"/>
  <c r="H15" i="2709" s="1"/>
  <c r="K13" i="2709"/>
  <c r="L13" i="2709" s="1"/>
  <c r="M13" i="2709" s="1"/>
  <c r="I13" i="2709"/>
  <c r="H13" i="2709" s="1"/>
  <c r="K11" i="2709"/>
  <c r="L11" i="2709" s="1"/>
  <c r="M11" i="2709" s="1"/>
  <c r="I11" i="2709"/>
  <c r="H11" i="2709" s="1"/>
  <c r="K7" i="2709"/>
  <c r="L7" i="2709" s="1"/>
  <c r="M7" i="2709" s="1"/>
  <c r="I7" i="2709"/>
  <c r="H7" i="2709" s="1"/>
  <c r="K5" i="2709"/>
  <c r="L5" i="2709" s="1"/>
  <c r="M5" i="2709" s="1"/>
  <c r="I5" i="2709"/>
  <c r="H5" i="2709"/>
  <c r="K3" i="2709"/>
  <c r="L3" i="2709" s="1"/>
  <c r="M3" i="2709" s="1"/>
  <c r="I3" i="2709"/>
  <c r="H3" i="2709" s="1"/>
  <c r="K29" i="2705"/>
  <c r="L29" i="2705" s="1"/>
  <c r="M29" i="2705" s="1"/>
  <c r="I29" i="2705"/>
  <c r="H29" i="2705"/>
  <c r="M25" i="2705"/>
  <c r="L25" i="2705"/>
  <c r="K25" i="2705"/>
  <c r="H25" i="2705"/>
  <c r="I25" i="2705"/>
  <c r="K27" i="2705"/>
  <c r="L27" i="2705" s="1"/>
  <c r="M27" i="2705" s="1"/>
  <c r="I27" i="2705"/>
  <c r="H27" i="2705"/>
  <c r="M13" i="2705"/>
  <c r="L13" i="2705"/>
  <c r="K13" i="2705"/>
  <c r="H13" i="2705"/>
  <c r="I13" i="2705"/>
  <c r="M23" i="2705"/>
  <c r="L23" i="2705"/>
  <c r="K23" i="2705"/>
  <c r="H23" i="2705"/>
  <c r="I23" i="2705"/>
  <c r="K17" i="2705"/>
  <c r="L17" i="2705" s="1"/>
  <c r="M17" i="2705" s="1"/>
  <c r="I17" i="2705"/>
  <c r="H17" i="2705"/>
  <c r="K15" i="2705"/>
  <c r="L15" i="2705" s="1"/>
  <c r="M15" i="2705" s="1"/>
  <c r="I15" i="2705"/>
  <c r="H15" i="2705" s="1"/>
  <c r="H9" i="2705"/>
  <c r="I9" i="2705"/>
  <c r="M9" i="2705"/>
  <c r="L9" i="2705"/>
  <c r="K9" i="2705"/>
  <c r="H5" i="2705"/>
  <c r="I5" i="2705"/>
  <c r="M5" i="2705"/>
  <c r="L5" i="2705"/>
  <c r="K5" i="2705"/>
  <c r="K21" i="2708"/>
  <c r="L21" i="2708" s="1"/>
  <c r="M21" i="2708" s="1"/>
  <c r="I21" i="2708"/>
  <c r="H21" i="2708" s="1"/>
  <c r="L19" i="2708"/>
  <c r="M19" i="2708" s="1"/>
  <c r="K19" i="2708"/>
  <c r="I19" i="2708"/>
  <c r="H19" i="2708" s="1"/>
  <c r="M17" i="2708"/>
  <c r="L17" i="2708"/>
  <c r="K17" i="2708"/>
  <c r="H17" i="2708"/>
  <c r="I17" i="2708"/>
  <c r="H15" i="2708"/>
  <c r="I15" i="2708"/>
  <c r="M15" i="2708"/>
  <c r="L15" i="2708"/>
  <c r="K15" i="2708"/>
  <c r="K13" i="2708"/>
  <c r="L13" i="2708" s="1"/>
  <c r="M13" i="2708" s="1"/>
  <c r="I13" i="2708"/>
  <c r="H13" i="2708"/>
  <c r="K11" i="2708"/>
  <c r="L11" i="2708" s="1"/>
  <c r="M11" i="2708" s="1"/>
  <c r="I11" i="2708"/>
  <c r="H11" i="2708"/>
  <c r="K3" i="2708"/>
  <c r="L3" i="2708" s="1"/>
  <c r="M3" i="2708" s="1"/>
  <c r="I3" i="2708"/>
  <c r="H3" i="2708"/>
  <c r="H9" i="2707"/>
  <c r="I9" i="2707"/>
  <c r="M9" i="2707"/>
  <c r="L9" i="2707"/>
  <c r="K9" i="2707"/>
  <c r="K31" i="2707"/>
  <c r="L31" i="2707" s="1"/>
  <c r="M31" i="2707" s="1"/>
  <c r="I31" i="2707"/>
  <c r="H31" i="2707"/>
  <c r="K29" i="2707"/>
  <c r="L29" i="2707" s="1"/>
  <c r="M29" i="2707" s="1"/>
  <c r="I29" i="2707"/>
  <c r="H29" i="2707" s="1"/>
  <c r="K27" i="2707"/>
  <c r="L27" i="2707" s="1"/>
  <c r="M27" i="2707" s="1"/>
  <c r="I27" i="2707"/>
  <c r="H27" i="2707"/>
  <c r="K25" i="2707"/>
  <c r="L25" i="2707" s="1"/>
  <c r="M25" i="2707" s="1"/>
  <c r="I25" i="2707"/>
  <c r="H25" i="2707" s="1"/>
  <c r="K23" i="2707"/>
  <c r="L23" i="2707" s="1"/>
  <c r="M23" i="2707" s="1"/>
  <c r="I23" i="2707"/>
  <c r="H23" i="2707"/>
  <c r="K19" i="2707"/>
  <c r="L19" i="2707" s="1"/>
  <c r="M19" i="2707" s="1"/>
  <c r="I19" i="2707"/>
  <c r="H19" i="2707"/>
  <c r="L17" i="2707"/>
  <c r="M17" i="2707" s="1"/>
  <c r="K17" i="2707"/>
  <c r="I17" i="2707"/>
  <c r="H17" i="2707"/>
  <c r="K15" i="2707"/>
  <c r="L15" i="2707" s="1"/>
  <c r="M15" i="2707" s="1"/>
  <c r="I15" i="2707"/>
  <c r="H15" i="2707" s="1"/>
  <c r="K13" i="2707"/>
  <c r="L13" i="2707" s="1"/>
  <c r="M13" i="2707" s="1"/>
  <c r="I13" i="2707"/>
  <c r="H13" i="2707" s="1"/>
  <c r="K11" i="2707"/>
  <c r="L11" i="2707" s="1"/>
  <c r="M11" i="2707" s="1"/>
  <c r="I11" i="2707"/>
  <c r="H11" i="2707"/>
  <c r="K7" i="2707"/>
  <c r="L7" i="2707" s="1"/>
  <c r="M7" i="2707" s="1"/>
  <c r="I7" i="2707"/>
  <c r="H7" i="2707" s="1"/>
  <c r="K5" i="2707"/>
  <c r="L5" i="2707" s="1"/>
  <c r="M5" i="2707" s="1"/>
  <c r="I5" i="2707"/>
  <c r="H5" i="2707" s="1"/>
  <c r="K3" i="2707"/>
  <c r="L3" i="2707" s="1"/>
  <c r="M3" i="2707" s="1"/>
  <c r="I3" i="2707"/>
  <c r="H3" i="2707"/>
  <c r="M17" i="2706"/>
  <c r="L17" i="2706"/>
  <c r="K17" i="2706"/>
  <c r="H17" i="2706"/>
  <c r="I17" i="2706"/>
  <c r="M15" i="2706"/>
  <c r="L15" i="2706"/>
  <c r="K15" i="2706"/>
  <c r="H15" i="2706"/>
  <c r="I15" i="2706"/>
  <c r="K13" i="2706"/>
  <c r="L13" i="2706" s="1"/>
  <c r="M13" i="2706" s="1"/>
  <c r="I13" i="2706"/>
  <c r="H13" i="2706"/>
  <c r="K11" i="2706"/>
  <c r="L11" i="2706" s="1"/>
  <c r="M11" i="2706" s="1"/>
  <c r="I11" i="2706"/>
  <c r="H11" i="2706" s="1"/>
  <c r="K3" i="2706"/>
  <c r="L3" i="2706" s="1"/>
  <c r="M3" i="2706" s="1"/>
  <c r="I3" i="2706"/>
  <c r="H3" i="2706"/>
  <c r="K21" i="2705" l="1"/>
  <c r="L21" i="2705" s="1"/>
  <c r="M21" i="2705" s="1"/>
  <c r="I21" i="2705"/>
  <c r="H21" i="2705" s="1"/>
  <c r="K11" i="2705"/>
  <c r="L11" i="2705" s="1"/>
  <c r="M11" i="2705" s="1"/>
  <c r="I11" i="2705"/>
  <c r="H11" i="2705" s="1"/>
  <c r="K7" i="2705"/>
  <c r="L7" i="2705" s="1"/>
  <c r="M7" i="2705" s="1"/>
  <c r="I7" i="2705"/>
  <c r="H7" i="2705"/>
  <c r="K19" i="2704" l="1"/>
  <c r="L19" i="2704" s="1"/>
  <c r="M19" i="2704" s="1"/>
  <c r="I19" i="2704"/>
  <c r="H19" i="2704"/>
  <c r="K23" i="2704"/>
  <c r="L23" i="2704" s="1"/>
  <c r="M23" i="2704" s="1"/>
  <c r="I23" i="2704"/>
  <c r="H23" i="2704" s="1"/>
  <c r="K9" i="2704"/>
  <c r="L9" i="2704" s="1"/>
  <c r="M9" i="2704" s="1"/>
  <c r="I9" i="2704"/>
  <c r="H9" i="2704" s="1"/>
  <c r="I5" i="2704"/>
  <c r="H5" i="2704" s="1"/>
  <c r="K5" i="2704"/>
  <c r="L5" i="2704" s="1"/>
  <c r="M5" i="2704" s="1"/>
  <c r="K31" i="2704"/>
  <c r="L31" i="2704" s="1"/>
  <c r="M31" i="2704" s="1"/>
  <c r="I31" i="2704"/>
  <c r="H31" i="2704" s="1"/>
  <c r="K29" i="2704"/>
  <c r="L29" i="2704" s="1"/>
  <c r="M29" i="2704" s="1"/>
  <c r="I29" i="2704"/>
  <c r="H29" i="2704" s="1"/>
  <c r="K27" i="2704"/>
  <c r="L27" i="2704" s="1"/>
  <c r="M27" i="2704" s="1"/>
  <c r="I27" i="2704"/>
  <c r="H27" i="2704"/>
  <c r="K25" i="2704"/>
  <c r="L25" i="2704" s="1"/>
  <c r="M25" i="2704" s="1"/>
  <c r="I25" i="2704"/>
  <c r="H25" i="2704"/>
  <c r="K17" i="2704"/>
  <c r="L17" i="2704" s="1"/>
  <c r="M17" i="2704" s="1"/>
  <c r="I17" i="2704"/>
  <c r="H17" i="2704" s="1"/>
  <c r="K15" i="2704"/>
  <c r="L15" i="2704" s="1"/>
  <c r="M15" i="2704" s="1"/>
  <c r="I15" i="2704"/>
  <c r="H15" i="2704" s="1"/>
  <c r="K13" i="2704"/>
  <c r="L13" i="2704" s="1"/>
  <c r="M13" i="2704" s="1"/>
  <c r="I13" i="2704"/>
  <c r="H13" i="2704" s="1"/>
  <c r="K11" i="2704"/>
  <c r="L11" i="2704" s="1"/>
  <c r="M11" i="2704" s="1"/>
  <c r="I11" i="2704"/>
  <c r="H11" i="2704"/>
  <c r="K7" i="2704"/>
  <c r="L7" i="2704" s="1"/>
  <c r="M7" i="2704" s="1"/>
  <c r="I7" i="2704"/>
  <c r="H7" i="2704" s="1"/>
  <c r="K3" i="2704"/>
  <c r="L3" i="2704" s="1"/>
  <c r="M3" i="2704" s="1"/>
  <c r="I3" i="2704"/>
  <c r="H3" i="2704" s="1"/>
  <c r="H45" i="2703"/>
  <c r="L45" i="2703"/>
  <c r="M45" i="2703" s="1"/>
  <c r="N45" i="2703" s="1"/>
  <c r="K45" i="2703"/>
  <c r="I45" i="2703"/>
  <c r="N3" i="2703"/>
  <c r="N9" i="2703"/>
  <c r="N11" i="2703"/>
  <c r="N21" i="2703"/>
  <c r="N23" i="2703"/>
  <c r="N25" i="2703"/>
  <c r="N27" i="2703"/>
  <c r="N29" i="2703"/>
  <c r="N31" i="2703"/>
  <c r="N33" i="2703"/>
  <c r="N35" i="2703"/>
  <c r="N37" i="2703"/>
  <c r="N39" i="2703"/>
  <c r="N41" i="2703"/>
  <c r="N43" i="2703"/>
  <c r="I29" i="2703"/>
  <c r="H29" i="2703" s="1"/>
  <c r="K29" i="2703"/>
  <c r="L29" i="2703" s="1"/>
  <c r="M29" i="2703" s="1"/>
  <c r="L43" i="2703" l="1"/>
  <c r="M43" i="2703"/>
  <c r="K43" i="2703"/>
  <c r="H43" i="2703"/>
  <c r="I43" i="2703"/>
  <c r="K41" i="2703"/>
  <c r="L41" i="2703" s="1"/>
  <c r="M41" i="2703" s="1"/>
  <c r="I41" i="2703"/>
  <c r="H41" i="2703" s="1"/>
  <c r="K39" i="2703"/>
  <c r="L39" i="2703" s="1"/>
  <c r="M39" i="2703" s="1"/>
  <c r="I39" i="2703"/>
  <c r="H39" i="2703" s="1"/>
  <c r="K37" i="2703"/>
  <c r="L37" i="2703" s="1"/>
  <c r="M37" i="2703" s="1"/>
  <c r="I37" i="2703"/>
  <c r="H37" i="2703" s="1"/>
  <c r="K35" i="2703"/>
  <c r="L35" i="2703" s="1"/>
  <c r="M35" i="2703" s="1"/>
  <c r="I35" i="2703"/>
  <c r="H35" i="2703" s="1"/>
  <c r="H33" i="2703"/>
  <c r="L33" i="2703"/>
  <c r="M33" i="2703"/>
  <c r="K33" i="2703"/>
  <c r="I33" i="2703"/>
  <c r="K31" i="2703"/>
  <c r="L31" i="2703" s="1"/>
  <c r="M31" i="2703" s="1"/>
  <c r="I31" i="2703"/>
  <c r="H31" i="2703" s="1"/>
  <c r="K27" i="2703"/>
  <c r="L27" i="2703" s="1"/>
  <c r="M27" i="2703" s="1"/>
  <c r="I27" i="2703"/>
  <c r="H27" i="2703" s="1"/>
  <c r="K25" i="2703"/>
  <c r="L25" i="2703" s="1"/>
  <c r="M25" i="2703" s="1"/>
  <c r="I25" i="2703"/>
  <c r="H25" i="2703" s="1"/>
  <c r="K23" i="2703"/>
  <c r="L23" i="2703" s="1"/>
  <c r="M23" i="2703" s="1"/>
  <c r="I23" i="2703"/>
  <c r="H23" i="2703"/>
  <c r="K21" i="2703"/>
  <c r="L21" i="2703" s="1"/>
  <c r="M21" i="2703" s="1"/>
  <c r="I21" i="2703"/>
  <c r="H21" i="2703" s="1"/>
  <c r="K11" i="2703"/>
  <c r="L11" i="2703" s="1"/>
  <c r="M11" i="2703" s="1"/>
  <c r="I11" i="2703"/>
  <c r="H11" i="2703" s="1"/>
  <c r="K9" i="2703"/>
  <c r="L9" i="2703" s="1"/>
  <c r="M9" i="2703" s="1"/>
  <c r="I9" i="2703"/>
  <c r="H9" i="2703"/>
  <c r="K3" i="2703"/>
  <c r="L3" i="2703" s="1"/>
  <c r="M3" i="2703" s="1"/>
  <c r="I3" i="2703"/>
  <c r="H3" i="2703"/>
  <c r="L23" i="2702"/>
  <c r="H23" i="2702"/>
  <c r="I23" i="2702"/>
  <c r="L21" i="2702"/>
  <c r="K21" i="2702"/>
  <c r="H21" i="2702"/>
  <c r="I21" i="2702"/>
  <c r="K35" i="2702"/>
  <c r="L35" i="2702" s="1"/>
  <c r="I35" i="2702"/>
  <c r="H35" i="2702" s="1"/>
  <c r="K33" i="2702"/>
  <c r="L33" i="2702" s="1"/>
  <c r="I33" i="2702"/>
  <c r="H33" i="2702" s="1"/>
  <c r="K31" i="2702"/>
  <c r="L31" i="2702" s="1"/>
  <c r="I31" i="2702"/>
  <c r="H31" i="2702" s="1"/>
  <c r="K23" i="2702"/>
  <c r="K17" i="2702"/>
  <c r="K3" i="2702"/>
  <c r="L3" i="2702" s="1"/>
  <c r="I3" i="2702"/>
  <c r="H3" i="2702" s="1"/>
  <c r="K29" i="2702" l="1"/>
  <c r="L29" i="2702" s="1"/>
  <c r="I29" i="2702"/>
  <c r="H29" i="2702"/>
  <c r="K27" i="2702"/>
  <c r="L27" i="2702" s="1"/>
  <c r="I27" i="2702"/>
  <c r="H27" i="2702" s="1"/>
  <c r="K19" i="2702"/>
  <c r="L19" i="2702" s="1"/>
  <c r="I19" i="2702"/>
  <c r="H19" i="2702" s="1"/>
  <c r="L17" i="2702"/>
  <c r="I17" i="2702"/>
  <c r="H17" i="2702" s="1"/>
  <c r="K15" i="2702"/>
  <c r="L15" i="2702" s="1"/>
  <c r="I15" i="2702"/>
  <c r="H15" i="2702"/>
  <c r="K13" i="2702"/>
  <c r="L13" i="2702" s="1"/>
  <c r="I13" i="2702"/>
  <c r="H13" i="2702" s="1"/>
  <c r="K11" i="2702"/>
  <c r="L11" i="2702" s="1"/>
  <c r="I11" i="2702"/>
  <c r="H11" i="2702"/>
  <c r="K9" i="2702"/>
  <c r="L9" i="2702" s="1"/>
  <c r="I9" i="2702"/>
  <c r="H9" i="2702" s="1"/>
  <c r="K7" i="2702"/>
  <c r="L7" i="2702" s="1"/>
  <c r="I7" i="2702"/>
  <c r="H7" i="2702" s="1"/>
  <c r="K5" i="2702"/>
  <c r="L5" i="2702" s="1"/>
  <c r="I5" i="2702"/>
  <c r="H5" i="2702" s="1"/>
  <c r="H7" i="2701"/>
  <c r="K13" i="2701"/>
  <c r="I13" i="2701"/>
  <c r="H13" i="2701" s="1"/>
  <c r="K11" i="2701"/>
  <c r="I11" i="2701"/>
  <c r="H11" i="2701"/>
  <c r="K9" i="2701"/>
  <c r="I9" i="2701"/>
  <c r="H9" i="2701"/>
  <c r="K7" i="2701"/>
  <c r="I7" i="2701"/>
  <c r="K5" i="2701"/>
  <c r="I5" i="2701"/>
  <c r="H5" i="2701" s="1"/>
  <c r="K3" i="2701"/>
  <c r="I3" i="2701"/>
  <c r="H3" i="2701"/>
  <c r="L15" i="2699" l="1"/>
  <c r="K15" i="2699"/>
  <c r="H15" i="2699"/>
  <c r="I15" i="2699"/>
  <c r="L3" i="2699"/>
  <c r="K3" i="2699"/>
  <c r="H3" i="2699"/>
  <c r="I3" i="2699"/>
  <c r="K13" i="2699" l="1"/>
  <c r="L13" i="2699" s="1"/>
  <c r="I13" i="2699"/>
  <c r="H13" i="2699" s="1"/>
  <c r="K11" i="2699"/>
  <c r="L11" i="2699" s="1"/>
  <c r="I11" i="2699"/>
  <c r="H11" i="2699" s="1"/>
  <c r="P14" i="2698"/>
  <c r="P13" i="2698"/>
  <c r="H25" i="2698"/>
  <c r="K25" i="2698"/>
  <c r="L25" i="2698" s="1"/>
  <c r="M25" i="2698" s="1"/>
  <c r="I25" i="2698"/>
  <c r="K23" i="2698"/>
  <c r="L23" i="2698" s="1"/>
  <c r="M23" i="2698" s="1"/>
  <c r="I23" i="2698"/>
  <c r="H23" i="2698" s="1"/>
  <c r="K21" i="2698"/>
  <c r="L21" i="2698" s="1"/>
  <c r="M21" i="2698" s="1"/>
  <c r="I21" i="2698"/>
  <c r="H21" i="2698" s="1"/>
  <c r="K19" i="2698"/>
  <c r="L19" i="2698" s="1"/>
  <c r="M19" i="2698" s="1"/>
  <c r="I19" i="2698"/>
  <c r="H19" i="2698" s="1"/>
  <c r="K11" i="2698"/>
  <c r="L11" i="2698" s="1"/>
  <c r="M11" i="2698" s="1"/>
  <c r="I11" i="2698"/>
  <c r="H11" i="2698" s="1"/>
  <c r="K9" i="2698"/>
  <c r="L9" i="2698" s="1"/>
  <c r="M9" i="2698" s="1"/>
  <c r="I9" i="2698"/>
  <c r="H9" i="2698" s="1"/>
  <c r="K5" i="2698"/>
  <c r="L5" i="2698" s="1"/>
  <c r="M5" i="2698" s="1"/>
  <c r="I5" i="2698"/>
  <c r="H5" i="2698" s="1"/>
  <c r="K17" i="2698"/>
  <c r="L17" i="2698" s="1"/>
  <c r="M17" i="2698" s="1"/>
  <c r="I17" i="2698"/>
  <c r="H17" i="2698" s="1"/>
  <c r="K15" i="2698"/>
  <c r="L15" i="2698" s="1"/>
  <c r="M15" i="2698" s="1"/>
  <c r="I15" i="2698"/>
  <c r="H15" i="2698" s="1"/>
  <c r="K13" i="2698"/>
  <c r="L13" i="2698" s="1"/>
  <c r="M13" i="2698" s="1"/>
  <c r="I13" i="2698"/>
  <c r="H13" i="2698" s="1"/>
  <c r="K7" i="2698"/>
  <c r="L7" i="2698" s="1"/>
  <c r="M7" i="2698" s="1"/>
  <c r="I7" i="2698"/>
  <c r="H7" i="2698" s="1"/>
  <c r="K3" i="2698"/>
  <c r="L3" i="2698" s="1"/>
  <c r="M3" i="2698" s="1"/>
  <c r="I3" i="2698"/>
  <c r="H3" i="2698" s="1"/>
  <c r="H29" i="2697"/>
  <c r="I29" i="2697"/>
  <c r="K39" i="2697"/>
  <c r="L39" i="2697" s="1"/>
  <c r="M39" i="2697" s="1"/>
  <c r="I39" i="2697"/>
  <c r="H39" i="2697" s="1"/>
  <c r="K37" i="2697"/>
  <c r="L37" i="2697" s="1"/>
  <c r="M37" i="2697" s="1"/>
  <c r="I37" i="2697"/>
  <c r="H37" i="2697" s="1"/>
  <c r="K33" i="2697" l="1"/>
  <c r="L33" i="2697" s="1"/>
  <c r="M33" i="2697" s="1"/>
  <c r="I33" i="2697"/>
  <c r="H33" i="2697" s="1"/>
  <c r="K23" i="2697"/>
  <c r="L23" i="2697" s="1"/>
  <c r="M23" i="2697" s="1"/>
  <c r="I23" i="2697"/>
  <c r="H23" i="2697" s="1"/>
  <c r="K35" i="2697"/>
  <c r="L35" i="2697" s="1"/>
  <c r="M35" i="2697" s="1"/>
  <c r="I35" i="2697"/>
  <c r="H35" i="2697" s="1"/>
  <c r="K31" i="2697"/>
  <c r="L31" i="2697" s="1"/>
  <c r="M31" i="2697" s="1"/>
  <c r="I31" i="2697"/>
  <c r="H31" i="2697" s="1"/>
  <c r="K29" i="2697"/>
  <c r="L29" i="2697" s="1"/>
  <c r="M29" i="2697" s="1"/>
  <c r="K27" i="2697"/>
  <c r="L27" i="2697" s="1"/>
  <c r="M27" i="2697" s="1"/>
  <c r="I27" i="2697"/>
  <c r="H27" i="2697" s="1"/>
  <c r="K25" i="2697"/>
  <c r="L25" i="2697" s="1"/>
  <c r="M25" i="2697" s="1"/>
  <c r="I25" i="2697"/>
  <c r="H25" i="2697" s="1"/>
  <c r="K21" i="2697"/>
  <c r="L21" i="2697" s="1"/>
  <c r="M21" i="2697" s="1"/>
  <c r="I21" i="2697"/>
  <c r="H21" i="2697" s="1"/>
  <c r="K15" i="2697"/>
  <c r="L15" i="2697" s="1"/>
  <c r="M15" i="2697" s="1"/>
  <c r="I15" i="2697"/>
  <c r="H15" i="2697" s="1"/>
  <c r="K13" i="2697"/>
  <c r="L13" i="2697" s="1"/>
  <c r="M13" i="2697" s="1"/>
  <c r="I13" i="2697"/>
  <c r="H13" i="2697" s="1"/>
  <c r="K11" i="2697"/>
  <c r="L11" i="2697" s="1"/>
  <c r="M11" i="2697" s="1"/>
  <c r="I11" i="2697"/>
  <c r="H11" i="2697" s="1"/>
  <c r="K9" i="2697"/>
  <c r="L9" i="2697" s="1"/>
  <c r="M9" i="2697" s="1"/>
  <c r="I9" i="2697"/>
  <c r="H9" i="2697" s="1"/>
  <c r="K3" i="2697"/>
  <c r="L3" i="2697" s="1"/>
  <c r="M3" i="2697" s="1"/>
  <c r="I3" i="2697"/>
  <c r="H3" i="2697"/>
</calcChain>
</file>

<file path=xl/sharedStrings.xml><?xml version="1.0" encoding="utf-8"?>
<sst xmlns="http://schemas.openxmlformats.org/spreadsheetml/2006/main" count="6202" uniqueCount="651">
  <si>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</si>
  <si>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</si>
  <si>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</si>
  <si>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</si>
  <si>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</si>
  <si>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</si>
  <si>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</si>
  <si>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</si>
  <si>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</si>
  <si>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TOTAL LENGTH </t>
  </si>
  <si>
    <t xml:space="preserve">ARMHOLE </t>
  </si>
  <si>
    <t xml:space="preserve">HIP </t>
  </si>
  <si>
    <t xml:space="preserve">BASED ON ZIPPER FLY OUT LINE ,STRIGHT </t>
  </si>
  <si>
    <t xml:space="preserve">INCLUDE WAIST BAND TO EDGE </t>
  </si>
  <si>
    <t xml:space="preserve">BOTTOM OPENING </t>
  </si>
  <si>
    <t xml:space="preserve">CIRCLE ROUND </t>
  </si>
  <si>
    <t xml:space="preserve">FRONT RISE </t>
  </si>
  <si>
    <t>BACK RISE</t>
  </si>
  <si>
    <t xml:space="preserve">TIGHT </t>
  </si>
  <si>
    <t xml:space="preserve">FROM CROCH  3cm BELOW . WIDE STRIGHT </t>
  </si>
  <si>
    <t>INSEAM</t>
  </si>
  <si>
    <t xml:space="preserve">CROCH TO EDGE </t>
  </si>
  <si>
    <t xml:space="preserve">FROM EDGE STITCHES </t>
  </si>
  <si>
    <t xml:space="preserve">FROM SIDE SEAM TO STRIGHT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</si>
  <si>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</si>
  <si>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</si>
  <si>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</si>
  <si>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</si>
  <si>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</si>
  <si>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</si>
  <si>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</si>
  <si>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</si>
  <si>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총기장(뒷목)</t>
  </si>
  <si>
    <t>목둘레</t>
  </si>
  <si>
    <t>카라폭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</si>
  <si>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</si>
  <si>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</si>
  <si>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</si>
  <si>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</si>
  <si>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</si>
  <si>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</si>
  <si>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</si>
  <si>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</si>
  <si>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</si>
  <si>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</si>
  <si>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</si>
  <si>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</si>
  <si>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어깨 끝점에서 소매 부리(밑단) 끝까지의 직선 길이</t>
    <phoneticPr fontId="1" type="noConversion"/>
  </si>
  <si>
    <t>엉덩이둘레</t>
  </si>
  <si>
    <t>바지기장</t>
  </si>
  <si>
    <t>바지부리</t>
  </si>
  <si>
    <t>앞주머니세로</t>
  </si>
  <si>
    <t>앞주머니가로</t>
  </si>
  <si>
    <t>인심길이</t>
  </si>
  <si>
    <t>허벅지둘레</t>
  </si>
  <si>
    <t>뒤밑위</t>
  </si>
  <si>
    <t>앞밑위</t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</si>
  <si>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</si>
  <si>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</si>
  <si>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</si>
  <si>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</si>
  <si>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</si>
  <si>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</si>
  <si>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</si>
  <si>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</si>
  <si>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</si>
  <si>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</si>
  <si>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 xml:space="preserve">FLAT,FRONT AND BACK WAIST LINE MATCH STRIGHT </t>
    <phoneticPr fontId="1" type="noConversion"/>
  </si>
  <si>
    <t>오비를 일자 상태로 만든 후 수평으로 잰 길이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</si>
  <si>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</si>
  <si>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</si>
  <si>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</si>
  <si>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COLLAR WIDTH</t>
    <phoneticPr fontId="2" type="noConversion"/>
  </si>
  <si>
    <t>옆목점에서 밑단까지의 직선길이</t>
    <phoneticPr fontId="1" type="noConversion"/>
  </si>
  <si>
    <t>목라인(NECK LINE)을 따라 잰 곡선의 둘레길이</t>
    <phoneticPr fontId="1" type="noConversion"/>
  </si>
  <si>
    <t>허리완성사이즈</t>
    <phoneticPr fontId="1" type="noConversion"/>
  </si>
  <si>
    <t xml:space="preserve">허리에서 수직으로 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</si>
  <si>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</si>
  <si>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</si>
  <si>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</si>
  <si>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</si>
  <si>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</si>
  <si>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</si>
  <si>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</si>
  <si>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 시작점에서 3cm 밑을 기준점으로 양쪽 수평 길이</t>
    <phoneticPr fontId="1" type="noConversion"/>
  </si>
  <si>
    <t>오비끝에서 인심 시작점까지의 길이(오비 포함)</t>
    <phoneticPr fontId="1" type="noConversion"/>
  </si>
  <si>
    <t>바지 밑단의 둘레길이</t>
    <phoneticPr fontId="2" type="noConversion"/>
  </si>
  <si>
    <t>와끼선을 기준으로 오비끝에서 바지 밑단 끝까지의 길이</t>
    <phoneticPr fontId="1" type="noConversion"/>
  </si>
  <si>
    <t>앞 댕고 스테치를 기준점으로 하여 양쪽 수평선의 길이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</si>
  <si>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</si>
  <si>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</si>
  <si>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</si>
  <si>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t>뒤주머니높이</t>
    <phoneticPr fontId="1" type="noConversion"/>
  </si>
  <si>
    <t>BACK POCKET HEIGHT</t>
    <phoneticPr fontId="2" type="noConversion"/>
  </si>
  <si>
    <t>뒤주머니너비</t>
    <phoneticPr fontId="1" type="noConversion"/>
  </si>
  <si>
    <t>BACK POCKET WIDTH</t>
    <phoneticPr fontId="2" type="noConversion"/>
  </si>
  <si>
    <t>오비 와끼끝에서 주머니입구 까지의 세로길이</t>
    <phoneticPr fontId="1" type="noConversion"/>
  </si>
  <si>
    <t xml:space="preserve">FRONT POCKET VERTICAL </t>
    <phoneticPr fontId="1" type="noConversion"/>
  </si>
  <si>
    <t>오비 와끼끝에서 주머니입구 까지의 가로길이</t>
    <phoneticPr fontId="1" type="noConversion"/>
  </si>
  <si>
    <t xml:space="preserve">FRONT POCKET WIDE </t>
    <phoneticPr fontId="1" type="noConversion"/>
  </si>
  <si>
    <t>엉덩이 위치</t>
    <phoneticPr fontId="1" type="noConversion"/>
  </si>
  <si>
    <t>HIP POINT</t>
    <phoneticPr fontId="1" type="noConversion"/>
  </si>
  <si>
    <t>뒤 허리 고무줄 완성</t>
    <phoneticPr fontId="1" type="noConversion"/>
  </si>
  <si>
    <t>BACK WAIST E-BAND</t>
    <phoneticPr fontId="1" type="noConversion"/>
  </si>
  <si>
    <t>TOTAL WAIST</t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</si>
  <si>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</si>
  <si>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</si>
  <si>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</si>
  <si>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WAIST SIZE</t>
    <phoneticPr fontId="1" type="noConversion"/>
  </si>
  <si>
    <t>몸판 허리 둘레</t>
    <phoneticPr fontId="1" type="noConversion"/>
  </si>
  <si>
    <t>오비포함, 와끼기준</t>
    <phoneticPr fontId="1" type="noConversion"/>
  </si>
  <si>
    <t>허리에서 수직으로 (오비포함)</t>
    <phoneticPr fontId="1" type="noConversion"/>
  </si>
  <si>
    <t>나나밴드</t>
    <phoneticPr fontId="1" type="noConversion"/>
  </si>
  <si>
    <t>ADIJUSTABLE BAND</t>
    <phoneticPr fontId="1" type="noConversion"/>
  </si>
  <si>
    <t>POINT A</t>
    <phoneticPr fontId="1" type="noConversion"/>
  </si>
  <si>
    <t>POINT B</t>
    <phoneticPr fontId="1" type="noConversion"/>
  </si>
  <si>
    <t xml:space="preserve">BASED ON ZIPPER FLY OUT LINE ,STRIGHT </t>
    <phoneticPr fontId="1" type="noConversion"/>
  </si>
  <si>
    <t>앞허리완성</t>
    <phoneticPr fontId="1" type="noConversion"/>
  </si>
  <si>
    <t>FRONT WAIST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</si>
  <si>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</si>
  <si>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</si>
  <si>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</si>
  <si>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>위치 A</t>
    <phoneticPr fontId="1" type="noConversion"/>
  </si>
  <si>
    <t>위치 B</t>
    <phoneticPr fontId="1" type="noConversion"/>
  </si>
  <si>
    <t>3XL</t>
    <phoneticPr fontId="1" type="noConversion"/>
  </si>
  <si>
    <t>2XL</t>
    <phoneticPr fontId="1" type="noConversion"/>
  </si>
  <si>
    <t>4XL</t>
    <phoneticPr fontId="1" type="noConversion"/>
  </si>
  <si>
    <t>SLEEVE 4G BAND</t>
    <phoneticPr fontId="2" type="noConversion"/>
  </si>
  <si>
    <t>YKK</t>
    <phoneticPr fontId="1" type="noConversion"/>
  </si>
  <si>
    <t>앞지퍼길이</t>
    <phoneticPr fontId="1" type="noConversion"/>
  </si>
  <si>
    <t>뎅고스티치 폭</t>
    <phoneticPr fontId="1" type="noConversion"/>
  </si>
  <si>
    <t>J STITCH WIDTH</t>
    <phoneticPr fontId="1" type="noConversion"/>
  </si>
  <si>
    <t>오비제외 앞뎅고 기준</t>
    <phoneticPr fontId="1" type="noConversion"/>
  </si>
  <si>
    <t>WITHOUT NECK BAND</t>
    <phoneticPr fontId="2" type="noConversion"/>
  </si>
  <si>
    <t>4XL</t>
  </si>
  <si>
    <t>어깨끈길이</t>
    <phoneticPr fontId="18" type="noConversion"/>
  </si>
  <si>
    <t xml:space="preserve">옆목점을 수평으로 잰 길이 </t>
    <phoneticPr fontId="1" type="noConversion"/>
  </si>
  <si>
    <t xml:space="preserve">옆목점에서 앞목중심의 수직 길이 </t>
    <phoneticPr fontId="1" type="noConversion"/>
  </si>
  <si>
    <t>총기장(앞중심)</t>
    <phoneticPr fontId="2" type="noConversion"/>
  </si>
  <si>
    <t>SHOULDER STRAP</t>
    <phoneticPr fontId="2" type="noConversion"/>
  </si>
  <si>
    <t>끈에서 끈 직선길이</t>
    <phoneticPr fontId="1" type="noConversion"/>
  </si>
  <si>
    <t xml:space="preserve">1ST SKIRT LENGTH </t>
    <phoneticPr fontId="1" type="noConversion"/>
  </si>
  <si>
    <t xml:space="preserve">2ND SKIRT LENGTH </t>
    <phoneticPr fontId="1" type="noConversion"/>
  </si>
  <si>
    <t>FRONT ZIPPER LENGTH</t>
    <phoneticPr fontId="1" type="noConversion"/>
  </si>
  <si>
    <t>WAIST SWEEP (1/2)</t>
    <phoneticPr fontId="2" type="noConversion"/>
  </si>
  <si>
    <t>허리둘레(반품)</t>
    <phoneticPr fontId="18" type="noConversion"/>
  </si>
  <si>
    <t>앞중심</t>
    <phoneticPr fontId="18" type="noConversion"/>
  </si>
  <si>
    <t>BACK ZIPPER LENGTH</t>
    <phoneticPr fontId="1" type="noConversion"/>
  </si>
  <si>
    <t>WAIST STRING LENGTH</t>
    <phoneticPr fontId="2" type="noConversion"/>
  </si>
  <si>
    <t>허리스트링길이</t>
    <phoneticPr fontId="1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</si>
  <si>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</si>
  <si>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HOOD LENGTH</t>
    <phoneticPr fontId="2" type="noConversion"/>
  </si>
  <si>
    <t xml:space="preserve">FROM CENTER LENGTH TO EDGE </t>
    <phoneticPr fontId="2" type="noConversion"/>
  </si>
  <si>
    <t>후드장(모자길이)</t>
  </si>
  <si>
    <t>모자 앞 중심을 기준으로 양 끝점을 수직으로 잰 길이</t>
    <phoneticPr fontId="1" type="noConversion"/>
  </si>
  <si>
    <t xml:space="preserve">HOOD WIDTH </t>
    <phoneticPr fontId="2" type="noConversion"/>
  </si>
  <si>
    <t xml:space="preserve">HALF FOLDING ,MAXIMUM DEEP POINT </t>
    <phoneticPr fontId="2" type="noConversion"/>
  </si>
  <si>
    <t>후드폭(모자폭)</t>
  </si>
  <si>
    <t>모자의 가장 돌출된 부위를 수평으로 잰 길이</t>
    <phoneticPr fontId="1" type="noConversion"/>
  </si>
  <si>
    <r>
      <t xml:space="preserve">CF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</si>
  <si>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앞중심에서 밑단까지의 직선길이</t>
    <phoneticPr fontId="1" type="noConversion"/>
  </si>
  <si>
    <t>뒤지퍼길이</t>
    <phoneticPr fontId="1" type="noConversion"/>
  </si>
  <si>
    <t xml:space="preserve"> </t>
    <phoneticPr fontId="18" type="noConversion"/>
  </si>
  <si>
    <t>WAIST 6G BAND</t>
    <phoneticPr fontId="2" type="noConversion"/>
  </si>
  <si>
    <t>옆목점에서 앞목중심의 수직 길이</t>
    <phoneticPr fontId="1" type="noConversion"/>
  </si>
  <si>
    <t>WELT POCKET LENGTH</t>
    <phoneticPr fontId="2" type="noConversion"/>
  </si>
  <si>
    <t>구찌길이</t>
    <phoneticPr fontId="1" type="noConversion"/>
  </si>
  <si>
    <t>중심에서 수직으로 잰 길이</t>
    <phoneticPr fontId="1" type="noConversion"/>
  </si>
  <si>
    <t>CENTER BACK HIGHT</t>
    <phoneticPr fontId="1" type="noConversion"/>
  </si>
  <si>
    <t>BAND</t>
    <phoneticPr fontId="18" type="noConversion"/>
  </si>
  <si>
    <t>20MM</t>
    <phoneticPr fontId="18" type="noConversion"/>
  </si>
  <si>
    <t>25MM</t>
    <phoneticPr fontId="18" type="noConversion"/>
  </si>
  <si>
    <t>FRONT POCKET WIDTH</t>
  </si>
  <si>
    <t>앞주머니너비</t>
  </si>
  <si>
    <t>FRONT POCKET HEIGHT</t>
  </si>
  <si>
    <t>앞주머니높이</t>
  </si>
  <si>
    <t>HPS TO BOTTOM EDGE</t>
    <phoneticPr fontId="2" type="noConversion"/>
  </si>
  <si>
    <t xml:space="preserve">CUFF OPENING </t>
    <phoneticPr fontId="2" type="noConversion"/>
  </si>
  <si>
    <t>BACK SLIT LENGTH</t>
    <phoneticPr fontId="1" type="noConversion"/>
  </si>
  <si>
    <t>뒤트임길이</t>
    <phoneticPr fontId="1" type="noConversion"/>
  </si>
  <si>
    <t>오비포함</t>
    <phoneticPr fontId="1" type="noConversion"/>
  </si>
  <si>
    <t>FRONT  POCKET LENGTH</t>
    <phoneticPr fontId="1" type="noConversion"/>
  </si>
  <si>
    <t>앞주머니입구</t>
    <phoneticPr fontId="18" type="noConversion"/>
  </si>
  <si>
    <t>BOTTOM STRING LENGTH</t>
    <phoneticPr fontId="2" type="noConversion"/>
  </si>
  <si>
    <t>밑단스트링길이</t>
    <phoneticPr fontId="1" type="noConversion"/>
  </si>
  <si>
    <t>여유분: 12cm</t>
    <phoneticPr fontId="18" type="noConversion"/>
  </si>
  <si>
    <t>START ARM HOLE JOINING POINT TO POINT(1/2)</t>
    <phoneticPr fontId="1" type="noConversion"/>
  </si>
  <si>
    <t>소매기장</t>
    <phoneticPr fontId="1" type="noConversion"/>
  </si>
  <si>
    <t>SKIRT LENGTH</t>
    <phoneticPr fontId="2" type="noConversion"/>
  </si>
  <si>
    <t>치마길이</t>
    <phoneticPr fontId="18" type="noConversion"/>
  </si>
  <si>
    <t>SKIRT BOTTOM LENGTH</t>
    <phoneticPr fontId="2" type="noConversion"/>
  </si>
  <si>
    <t>치마밑단둘레</t>
    <phoneticPr fontId="1" type="noConversion"/>
  </si>
  <si>
    <t>셔링완성</t>
    <phoneticPr fontId="18" type="noConversion"/>
  </si>
  <si>
    <t xml:space="preserve">CENTER BACK SLEEVE LENGTH </t>
    <phoneticPr fontId="1" type="noConversion"/>
  </si>
  <si>
    <t>FROM CENTER BACK BODY TO EDGE TO SLEEVE CUFFS</t>
    <phoneticPr fontId="1" type="noConversion"/>
  </si>
  <si>
    <t>화장</t>
    <phoneticPr fontId="2" type="noConversion"/>
  </si>
  <si>
    <t>뒷목중심점에서 소매부리(밑단)까지 잰 길이</t>
    <phoneticPr fontId="1" type="noConversion"/>
  </si>
  <si>
    <t>FROM FRONT NECK CENTER TO VERTICAL</t>
    <phoneticPr fontId="1" type="noConversion"/>
  </si>
  <si>
    <t>중심에서 가장 튀어나온 점까지 수평으로 잰 길이</t>
    <phoneticPr fontId="18" type="noConversion"/>
  </si>
  <si>
    <r>
      <t>와끼선의 밑단 양끝점을 수평으로 잰 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</si>
  <si>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소매기장</t>
    <phoneticPr fontId="18" type="noConversion"/>
  </si>
  <si>
    <t>완성사이즈</t>
    <phoneticPr fontId="1" type="noConversion"/>
  </si>
  <si>
    <t>COLLAR WIDTH</t>
  </si>
  <si>
    <t xml:space="preserve">TOTAL SKIRT LENGTH </t>
    <phoneticPr fontId="1" type="noConversion"/>
  </si>
  <si>
    <t>총치마기장</t>
    <phoneticPr fontId="1" type="noConversion"/>
  </si>
  <si>
    <t>오비포함</t>
    <phoneticPr fontId="18" type="noConversion"/>
  </si>
  <si>
    <t>YOKE LENGTH</t>
    <phoneticPr fontId="18" type="noConversion"/>
  </si>
  <si>
    <t>요크기장</t>
    <phoneticPr fontId="18" type="noConversion"/>
  </si>
  <si>
    <t>오비포함,프릴포함</t>
    <phoneticPr fontId="18" type="noConversion"/>
  </si>
  <si>
    <t xml:space="preserve">SKIRT LENGTH </t>
    <phoneticPr fontId="1" type="noConversion"/>
  </si>
  <si>
    <t>치마기장</t>
    <phoneticPr fontId="1" type="noConversion"/>
  </si>
  <si>
    <t>ROUND ,@ NECK SEWING  LINE</t>
    <phoneticPr fontId="1" type="noConversion"/>
  </si>
  <si>
    <t>1ST SKIRT LENGTH</t>
    <phoneticPr fontId="18" type="noConversion"/>
  </si>
  <si>
    <t>1단치마기장</t>
    <phoneticPr fontId="18" type="noConversion"/>
  </si>
  <si>
    <t>2ND SKIRT LENGTH</t>
    <phoneticPr fontId="18" type="noConversion"/>
  </si>
  <si>
    <t>2단치마기장</t>
    <phoneticPr fontId="18" type="noConversion"/>
  </si>
  <si>
    <t>중심</t>
    <phoneticPr fontId="18" type="noConversion"/>
  </si>
  <si>
    <t xml:space="preserve">HPS TO BOTTOM EDGE </t>
    <phoneticPr fontId="2" type="noConversion"/>
  </si>
  <si>
    <t xml:space="preserve"> SLEEVE LENGTH</t>
    <phoneticPr fontId="2" type="noConversion"/>
  </si>
  <si>
    <t>1단치마기장</t>
    <phoneticPr fontId="1" type="noConversion"/>
  </si>
  <si>
    <t>2단치마기장</t>
    <phoneticPr fontId="1" type="noConversion"/>
  </si>
  <si>
    <t>WAIST (1/2)</t>
    <phoneticPr fontId="2" type="noConversion"/>
  </si>
  <si>
    <t>와끼</t>
    <phoneticPr fontId="18" type="noConversion"/>
  </si>
  <si>
    <t>TOTAL SKIRT LENGTH</t>
    <phoneticPr fontId="1" type="noConversion"/>
  </si>
  <si>
    <t>1ST SKIRT LENGTH</t>
    <phoneticPr fontId="1" type="noConversion"/>
  </si>
  <si>
    <t>2ND SKIRT LENGTH</t>
    <phoneticPr fontId="1" type="noConversion"/>
  </si>
  <si>
    <t>3RD SKIRT LENGTH</t>
    <phoneticPr fontId="1" type="noConversion"/>
  </si>
  <si>
    <t>와끼,보이는부분</t>
    <phoneticPr fontId="18" type="noConversion"/>
  </si>
  <si>
    <t>3단치마기장</t>
    <phoneticPr fontId="1" type="noConversion"/>
  </si>
  <si>
    <t xml:space="preserve">앞목중심에서 수직으로 </t>
    <phoneticPr fontId="1" type="noConversion"/>
  </si>
  <si>
    <r>
      <t>앞주머니끝에서 중심까지 수평선의 길이</t>
    </r>
    <r>
      <rPr>
        <sz val="7.5"/>
        <color rgb="FFFF0000"/>
        <rFont val="맑은 고딕"/>
        <family val="3"/>
        <charset val="129"/>
        <scheme val="minor"/>
      </rPr>
      <t>(턱분량포함)</t>
    </r>
    <phoneticPr fontId="1" type="noConversion"/>
  </si>
  <si>
    <t>뒷주머니</t>
    <phoneticPr fontId="18" type="noConversion"/>
  </si>
  <si>
    <t>STYLE NO: JYWPT01-K#R03</t>
    <phoneticPr fontId="1" type="noConversion"/>
  </si>
  <si>
    <t>STYLE NO: JYWTO02-K#R02</t>
    <phoneticPr fontId="1" type="noConversion"/>
  </si>
  <si>
    <t>CHEST 6G BAND</t>
    <phoneticPr fontId="2" type="noConversion"/>
  </si>
  <si>
    <t>앞 6골고무줄</t>
    <phoneticPr fontId="18" type="noConversion"/>
  </si>
  <si>
    <t>6G-BAND</t>
    <phoneticPr fontId="18" type="noConversion"/>
  </si>
  <si>
    <t>STYLE NO: JYWSK01-W#Y02</t>
    <phoneticPr fontId="1" type="noConversion"/>
  </si>
  <si>
    <t xml:space="preserve">OUT SKIRT LENGTH </t>
    <phoneticPr fontId="1" type="noConversion"/>
  </si>
  <si>
    <t>겉치마기장</t>
    <phoneticPr fontId="1" type="noConversion"/>
  </si>
  <si>
    <t xml:space="preserve">LINING SKIRT LENGTH </t>
    <phoneticPr fontId="1" type="noConversion"/>
  </si>
  <si>
    <t>속치마기장</t>
    <phoneticPr fontId="1" type="noConversion"/>
  </si>
  <si>
    <t>와끼기준 밴드빼고</t>
    <phoneticPr fontId="1" type="noConversion"/>
  </si>
  <si>
    <t>와끼선을 기준으로 오비끝에서 밑단 끝까지의 길이</t>
    <phoneticPr fontId="1" type="noConversion"/>
  </si>
  <si>
    <t>STYLE NO: JYWLE01-K#R01</t>
    <phoneticPr fontId="1" type="noConversion"/>
  </si>
  <si>
    <t>3RD SKIRT LENGTH</t>
    <phoneticPr fontId="18" type="noConversion"/>
  </si>
  <si>
    <t>3단치마기장</t>
    <phoneticPr fontId="18" type="noConversion"/>
  </si>
  <si>
    <t>10mm테이프 포함</t>
    <phoneticPr fontId="18" type="noConversion"/>
  </si>
  <si>
    <t>오비포함,10mm테이프 포함</t>
    <phoneticPr fontId="18" type="noConversion"/>
  </si>
  <si>
    <t>STYLE NO: JYWSK02-W#H02</t>
    <phoneticPr fontId="1" type="noConversion"/>
  </si>
  <si>
    <t>STYLE NO: JYWPT02-K#R05</t>
    <phoneticPr fontId="1" type="noConversion"/>
  </si>
  <si>
    <r>
      <t>FROM CROCH 3cm BELOW .WIDE STRIGHT</t>
    </r>
    <r>
      <rPr>
        <sz val="7.5"/>
        <color rgb="FFFF0000"/>
        <rFont val="맑은 고딕"/>
        <family val="3"/>
        <charset val="129"/>
        <scheme val="minor"/>
      </rPr>
      <t>(턱펼친상태)</t>
    </r>
    <phoneticPr fontId="18" type="noConversion"/>
  </si>
  <si>
    <t>노출길이 좌/우 각각</t>
    <phoneticPr fontId="18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</si>
  <si>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</si>
  <si>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 xml:space="preserve">어깨 양끝점을 수평으로 잰 길이 </t>
    <phoneticPr fontId="1" type="noConversion"/>
  </si>
  <si>
    <t>BOTTOM RIB WIDTH</t>
    <phoneticPr fontId="2" type="noConversion"/>
  </si>
  <si>
    <t>밑단립 폭</t>
    <phoneticPr fontId="1" type="noConversion"/>
  </si>
  <si>
    <t>NECK RIB WIDTH</t>
    <phoneticPr fontId="2" type="noConversion"/>
  </si>
  <si>
    <t>에리립 폭</t>
    <phoneticPr fontId="1" type="noConversion"/>
  </si>
  <si>
    <t>목라인(NECK LINE)을 따라 잰 곡선의 둘레길이</t>
  </si>
  <si>
    <t xml:space="preserve">CUFFS OPENING </t>
    <phoneticPr fontId="2" type="noConversion"/>
  </si>
  <si>
    <t>SLEEVE RIB WIDTH</t>
    <phoneticPr fontId="2" type="noConversion"/>
  </si>
  <si>
    <t>소매립 폭</t>
    <phoneticPr fontId="1" type="noConversion"/>
  </si>
  <si>
    <t>FRONT PLACKET WIDTH</t>
    <phoneticPr fontId="2" type="noConversion"/>
  </si>
  <si>
    <t>앞단작폭</t>
    <phoneticPr fontId="1" type="noConversion"/>
  </si>
  <si>
    <t>STYLE NO: JYWOU06-S#H12(니트)</t>
    <phoneticPr fontId="1" type="noConversion"/>
  </si>
  <si>
    <t>STYLE NO: JYWTO09-S#A03</t>
    <phoneticPr fontId="1" type="noConversion"/>
  </si>
  <si>
    <t>에리 립 폭</t>
    <phoneticPr fontId="18" type="noConversion"/>
  </si>
  <si>
    <t>BOTTOM SKIRT WIDTH(1/2)</t>
    <phoneticPr fontId="1" type="noConversion"/>
  </si>
  <si>
    <t>밑단치마폭(반폭)</t>
    <phoneticPr fontId="1" type="noConversion"/>
  </si>
  <si>
    <t>밑단길이</t>
    <phoneticPr fontId="18" type="noConversion"/>
  </si>
  <si>
    <t>STYLE NO: JYWSK04-S#H13</t>
    <phoneticPr fontId="1" type="noConversion"/>
  </si>
  <si>
    <t>BOTTOM RIB WIDTH</t>
    <phoneticPr fontId="18" type="noConversion"/>
  </si>
  <si>
    <t>밑단립폭</t>
    <phoneticPr fontId="18" type="noConversion"/>
  </si>
  <si>
    <t>STYLE NO: JYWOU07-S#H10(니트)</t>
    <phoneticPr fontId="1" type="noConversion"/>
  </si>
  <si>
    <t>BOTTOM SKIRT LENGTH</t>
    <phoneticPr fontId="18" type="noConversion"/>
  </si>
  <si>
    <t>밑단치마기장</t>
    <phoneticPr fontId="18" type="noConversion"/>
  </si>
  <si>
    <t>WELT POCKET LENGTH</t>
    <phoneticPr fontId="18" type="noConversion"/>
  </si>
  <si>
    <t>장식구찌길이</t>
    <phoneticPr fontId="18" type="noConversion"/>
  </si>
  <si>
    <t>STYLE NO: JYWSK05-S#H11</t>
    <phoneticPr fontId="1" type="noConversion"/>
  </si>
  <si>
    <t>STYLE NO: JYWTO03-K#G01</t>
    <phoneticPr fontId="1" type="noConversion"/>
  </si>
  <si>
    <t>STYLE NO: JYWSK03-K#G02</t>
    <phoneticPr fontId="1" type="noConversion"/>
  </si>
  <si>
    <t>1단치마길이</t>
    <phoneticPr fontId="18" type="noConversion"/>
  </si>
  <si>
    <t>오비제외</t>
    <phoneticPr fontId="18" type="noConversion"/>
  </si>
  <si>
    <t>2단치마길이</t>
    <phoneticPr fontId="18" type="noConversion"/>
  </si>
  <si>
    <t>보이는부분</t>
    <phoneticPr fontId="18" type="noConversion"/>
  </si>
  <si>
    <t>3단치마길이</t>
    <phoneticPr fontId="18" type="noConversion"/>
  </si>
  <si>
    <t>STYLE NO: JYWTO06-K#Y05</t>
    <phoneticPr fontId="1" type="noConversion"/>
  </si>
  <si>
    <t>STYLE NO: JYWOU04-W#A02</t>
    <phoneticPr fontId="1" type="noConversion"/>
  </si>
  <si>
    <t>SLEEVE RIB</t>
    <phoneticPr fontId="18" type="noConversion"/>
  </si>
  <si>
    <t>소매립 둘레</t>
    <phoneticPr fontId="18" type="noConversion"/>
  </si>
  <si>
    <t>시접 제외</t>
    <phoneticPr fontId="18" type="noConversion"/>
  </si>
  <si>
    <t>STYLE NO: JYWOU08-W#R13</t>
    <phoneticPr fontId="1" type="noConversion"/>
  </si>
  <si>
    <t>BOTTOM SWEEP</t>
    <phoneticPr fontId="2" type="noConversion"/>
  </si>
  <si>
    <t>밑단둘레</t>
    <phoneticPr fontId="18" type="noConversion"/>
  </si>
  <si>
    <r>
      <t xml:space="preserve">와끼선의 밑단 양끝점을 수평으로 잰 길이 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</si>
  <si>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WITHOUT NECK BAND (INSIDE)</t>
    <phoneticPr fontId="2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</si>
  <si>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 xml:space="preserve"> (지퍼제외)</t>
    </r>
    <phoneticPr fontId="1" type="noConversion"/>
  </si>
  <si>
    <t xml:space="preserve"> YKK</t>
    <phoneticPr fontId="1" type="noConversion"/>
  </si>
  <si>
    <t>OUT PLACKET WIDTH</t>
    <phoneticPr fontId="18" type="noConversion"/>
  </si>
  <si>
    <t>겉플라켓 폭</t>
    <phoneticPr fontId="18" type="noConversion"/>
  </si>
  <si>
    <t>BOTTOM STRING LENGTH</t>
    <phoneticPr fontId="18" type="noConversion"/>
  </si>
  <si>
    <t>밑단스트링길이</t>
    <phoneticPr fontId="18" type="noConversion"/>
  </si>
  <si>
    <t>스트링 여유분=12cm(전체 24cm)</t>
    <phoneticPr fontId="18" type="noConversion"/>
  </si>
  <si>
    <t>FRONT CHEST 8G BAND (1/2)</t>
    <phoneticPr fontId="2" type="noConversion"/>
  </si>
  <si>
    <t>앞판 상단 8골밴드</t>
    <phoneticPr fontId="1" type="noConversion"/>
  </si>
  <si>
    <r>
      <rPr>
        <sz val="7.5"/>
        <color theme="1"/>
        <rFont val="맑은 고딕"/>
        <family val="3"/>
        <charset val="129"/>
        <scheme val="minor"/>
      </rPr>
      <t>첫번째 스티치선</t>
    </r>
    <r>
      <rPr>
        <sz val="7.5"/>
        <color rgb="FFFF0000"/>
        <rFont val="맑은 고딕"/>
        <family val="3"/>
        <charset val="129"/>
        <scheme val="minor"/>
      </rPr>
      <t xml:space="preserve"> (완성사이즈)</t>
    </r>
    <phoneticPr fontId="18" type="noConversion"/>
  </si>
  <si>
    <t xml:space="preserve">BACK CHEST 8G BAND </t>
    <phoneticPr fontId="2" type="noConversion"/>
  </si>
  <si>
    <t>뒤판 상단 8골밴드</t>
    <phoneticPr fontId="1" type="noConversion"/>
  </si>
  <si>
    <t xml:space="preserve">BICEP 8G BAND </t>
    <phoneticPr fontId="2" type="noConversion"/>
  </si>
  <si>
    <t>소매통 8골밴드</t>
    <phoneticPr fontId="18" type="noConversion"/>
  </si>
  <si>
    <r>
      <t xml:space="preserve">첫번째 스티치선 </t>
    </r>
    <r>
      <rPr>
        <sz val="7.5"/>
        <color rgb="FFFF0000"/>
        <rFont val="맑은 고딕"/>
        <family val="3"/>
        <charset val="129"/>
        <scheme val="minor"/>
      </rPr>
      <t>(완성사이즈)</t>
    </r>
    <phoneticPr fontId="18" type="noConversion"/>
  </si>
  <si>
    <t>8G-BAND</t>
    <phoneticPr fontId="18" type="noConversion"/>
  </si>
  <si>
    <t>STYLE NO: JYWOU05-W#G06</t>
    <phoneticPr fontId="1" type="noConversion"/>
  </si>
  <si>
    <t>스트링</t>
    <phoneticPr fontId="18" type="noConversion"/>
  </si>
  <si>
    <t>15MM</t>
    <phoneticPr fontId="18" type="noConversion"/>
  </si>
  <si>
    <t>30MM</t>
    <phoneticPr fontId="18" type="noConversion"/>
  </si>
  <si>
    <t>HOOD BAND</t>
    <phoneticPr fontId="2" type="noConversion"/>
  </si>
  <si>
    <t>후드 고무줄</t>
    <phoneticPr fontId="18" type="noConversion"/>
  </si>
  <si>
    <r>
      <t>앞중심에서 수평으로 잰길이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8" type="noConversion"/>
  </si>
  <si>
    <t>POINT C</t>
    <phoneticPr fontId="1" type="noConversion"/>
  </si>
  <si>
    <t>POINT D</t>
    <phoneticPr fontId="1" type="noConversion"/>
  </si>
  <si>
    <t>앞중심에서 수직으로 잰 길이</t>
    <phoneticPr fontId="18" type="noConversion"/>
  </si>
  <si>
    <r>
      <t xml:space="preserve">위치 A </t>
    </r>
    <r>
      <rPr>
        <sz val="7.5"/>
        <color rgb="FFFF0000"/>
        <rFont val="맑은 고딕"/>
        <family val="3"/>
        <charset val="129"/>
        <scheme val="minor"/>
      </rPr>
      <t>(입어서왼쪽)</t>
    </r>
    <phoneticPr fontId="1" type="noConversion"/>
  </si>
  <si>
    <r>
      <t xml:space="preserve">위치 B </t>
    </r>
    <r>
      <rPr>
        <sz val="7.5"/>
        <color rgb="FFFF0000"/>
        <rFont val="맑은 고딕"/>
        <family val="3"/>
        <charset val="129"/>
        <scheme val="minor"/>
      </rPr>
      <t>(입어서왼쪽)</t>
    </r>
    <phoneticPr fontId="1" type="noConversion"/>
  </si>
  <si>
    <r>
      <t xml:space="preserve">위치 C </t>
    </r>
    <r>
      <rPr>
        <sz val="7.5"/>
        <color rgb="FFFF0000"/>
        <rFont val="맑은 고딕"/>
        <family val="3"/>
        <charset val="129"/>
        <scheme val="minor"/>
      </rPr>
      <t>(입어서 오른쪽)</t>
    </r>
    <phoneticPr fontId="1" type="noConversion"/>
  </si>
  <si>
    <r>
      <t xml:space="preserve">위치 D </t>
    </r>
    <r>
      <rPr>
        <sz val="7.5"/>
        <color rgb="FFFF0000"/>
        <rFont val="맑은 고딕"/>
        <family val="3"/>
        <charset val="129"/>
        <scheme val="minor"/>
      </rPr>
      <t>(입어서 오른쪽)</t>
    </r>
    <phoneticPr fontId="1" type="noConversion"/>
  </si>
  <si>
    <t>STYLE NO: JYWOU03-K#H05</t>
    <phoneticPr fontId="1" type="noConversion"/>
  </si>
  <si>
    <t>STYLE NO: JYWTO15-S#Y06</t>
    <phoneticPr fontId="1" type="noConversion"/>
  </si>
  <si>
    <r>
      <t>어깨너비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8" type="noConversion"/>
  </si>
  <si>
    <r>
      <t>어깨끝점과 겨드랑이 점을 직선으로 잰 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</si>
  <si>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t>A/H RIB WIDTH</t>
    <phoneticPr fontId="2" type="noConversion"/>
  </si>
  <si>
    <t>암홀립 폭</t>
    <phoneticPr fontId="1" type="noConversion"/>
  </si>
  <si>
    <t>BASED ON ZIPPER FLY OUT LINE ,STRIGHT</t>
    <phoneticPr fontId="1" type="noConversion"/>
  </si>
  <si>
    <t>오비포함 와끼 기준</t>
    <phoneticPr fontId="1" type="noConversion"/>
  </si>
  <si>
    <t>엉덩이둘레</t>
    <phoneticPr fontId="18" type="noConversion"/>
  </si>
  <si>
    <t>완성사이즈</t>
    <phoneticPr fontId="2" type="noConversion"/>
  </si>
  <si>
    <t>BOTTOM OPENING 4G BAND</t>
    <phoneticPr fontId="18" type="noConversion"/>
  </si>
  <si>
    <t>바지부리 4골 밴드</t>
    <phoneticPr fontId="18" type="noConversion"/>
  </si>
  <si>
    <t>FRONT POCKET WIDTH</t>
    <phoneticPr fontId="1" type="noConversion"/>
  </si>
  <si>
    <t>앞주머니 폭</t>
    <phoneticPr fontId="18" type="noConversion"/>
  </si>
  <si>
    <t>STYLE NO: JYWPT03-K#H06</t>
    <phoneticPr fontId="1" type="noConversion"/>
  </si>
  <si>
    <t>FROM CROCH 3cm BELOW .WIDE STRIGHT</t>
    <phoneticPr fontId="18" type="noConversion"/>
  </si>
  <si>
    <t>STYLE NO: JYWPT04-K#H04</t>
    <phoneticPr fontId="1" type="noConversion"/>
  </si>
  <si>
    <t>STYLE NO: JYWTO13-K#H09</t>
    <phoneticPr fontId="1" type="noConversion"/>
  </si>
  <si>
    <t>STYLE NO: JYWTO07-K#R04</t>
    <phoneticPr fontId="1" type="noConversion"/>
  </si>
  <si>
    <t>STYLE NO: JYWOP02-W#R14</t>
    <phoneticPr fontId="1" type="noConversion"/>
  </si>
  <si>
    <t>CAPE LENGTH</t>
    <phoneticPr fontId="2" type="noConversion"/>
  </si>
  <si>
    <t>케이프 기장</t>
    <phoneticPr fontId="18" type="noConversion"/>
  </si>
  <si>
    <t>레이스포함</t>
    <phoneticPr fontId="18" type="noConversion"/>
  </si>
  <si>
    <t>소매4골 고무줄</t>
    <phoneticPr fontId="18" type="noConversion"/>
  </si>
  <si>
    <t>소매기장(안감)</t>
    <phoneticPr fontId="18" type="noConversion"/>
  </si>
  <si>
    <t>4골고무줄</t>
    <phoneticPr fontId="18" type="noConversion"/>
  </si>
  <si>
    <t>WAIST FRILL LENGTH</t>
    <phoneticPr fontId="2" type="noConversion"/>
  </si>
  <si>
    <t>와끼 기준</t>
    <phoneticPr fontId="18" type="noConversion"/>
  </si>
  <si>
    <t>허리 프릴 기장</t>
    <phoneticPr fontId="18" type="noConversion"/>
  </si>
  <si>
    <t xml:space="preserve"> SKIRT LENGTH</t>
    <phoneticPr fontId="1" type="noConversion"/>
  </si>
  <si>
    <t xml:space="preserve">SLEEVE, A/H SHIRRING </t>
    <phoneticPr fontId="18" type="noConversion"/>
  </si>
  <si>
    <t>소매,암홀 셔링완성</t>
    <phoneticPr fontId="18" type="noConversion"/>
  </si>
  <si>
    <t>리본쪽</t>
    <phoneticPr fontId="18" type="noConversion"/>
  </si>
  <si>
    <t>STYLE NO: JYWOP03-W#Y14</t>
    <phoneticPr fontId="1" type="noConversion"/>
  </si>
  <si>
    <t>SHORT SLEEVE LENGTH</t>
    <phoneticPr fontId="1" type="noConversion"/>
  </si>
  <si>
    <t>짧은소매기장</t>
    <phoneticPr fontId="1" type="noConversion"/>
  </si>
  <si>
    <t>SHORT SLEEVE 2G BAND</t>
    <phoneticPr fontId="1" type="noConversion"/>
  </si>
  <si>
    <t>짧은소매2골고무줄</t>
    <phoneticPr fontId="1" type="noConversion"/>
  </si>
  <si>
    <t>FRONT YOKE LENGTH</t>
    <phoneticPr fontId="1" type="noConversion"/>
  </si>
  <si>
    <t>앞요크기장</t>
    <phoneticPr fontId="1" type="noConversion"/>
  </si>
  <si>
    <t>소매2골고무줄</t>
    <phoneticPr fontId="18" type="noConversion"/>
  </si>
  <si>
    <t>CAPE PUR TRIMMING TAPE</t>
    <phoneticPr fontId="2" type="noConversion"/>
  </si>
  <si>
    <t>케이프 털테이프 길이</t>
    <phoneticPr fontId="18" type="noConversion"/>
  </si>
  <si>
    <t>STYLE NO: JYWSE02-K#Y11</t>
    <phoneticPr fontId="1" type="noConversion"/>
  </si>
  <si>
    <t>STYLE NO: JYWTO10-K#A04</t>
    <phoneticPr fontId="1" type="noConversion"/>
  </si>
  <si>
    <t>앞목중심</t>
    <phoneticPr fontId="18" type="noConversion"/>
  </si>
  <si>
    <t>L 사이즈</t>
    <phoneticPr fontId="18" type="noConversion"/>
  </si>
  <si>
    <t>여유분=4cm, 단추에서 단추사이 14cm</t>
    <phoneticPr fontId="18" type="noConversion"/>
  </si>
  <si>
    <t>STYLE NO: JYWPT11-D#H24 (인디고)</t>
    <phoneticPr fontId="1" type="noConversion"/>
  </si>
  <si>
    <t>SIDESEAM HEART LOCATION</t>
    <phoneticPr fontId="1" type="noConversion"/>
  </si>
  <si>
    <t>와끼하트 위치</t>
    <phoneticPr fontId="18" type="noConversion"/>
  </si>
  <si>
    <t>STYLE NO: JYWPT12-D#R24 (인디고)</t>
    <phoneticPr fontId="1" type="noConversion"/>
  </si>
  <si>
    <t>SIDESEAM POCKET WIDE</t>
    <phoneticPr fontId="2" type="noConversion"/>
  </si>
  <si>
    <t>와끼주머니가로</t>
    <phoneticPr fontId="1" type="noConversion"/>
  </si>
  <si>
    <t>SIDESEAM POCKET HEIGTH</t>
    <phoneticPr fontId="2" type="noConversion"/>
  </si>
  <si>
    <t>와끼주머니높이</t>
    <phoneticPr fontId="1" type="noConversion"/>
  </si>
  <si>
    <t>STYLE NO: JYWTO28-S#R23 ( 완사입 )</t>
    <phoneticPr fontId="1" type="noConversion"/>
  </si>
  <si>
    <t>FRONT UPPER CHEST</t>
    <phoneticPr fontId="2" type="noConversion"/>
  </si>
  <si>
    <t>앞바대 폭</t>
    <phoneticPr fontId="1" type="noConversion"/>
  </si>
  <si>
    <t>FRONT YOKE LENGTH</t>
    <phoneticPr fontId="18" type="noConversion"/>
  </si>
  <si>
    <t>앞요크기장</t>
    <phoneticPr fontId="18" type="noConversion"/>
  </si>
  <si>
    <t>앞목중심에서</t>
    <phoneticPr fontId="18" type="noConversion"/>
  </si>
  <si>
    <t>STYLE NO: JYWOU10-S#A07</t>
    <phoneticPr fontId="1" type="noConversion"/>
  </si>
  <si>
    <t>STYLE NO: JYWOP07-W#R20</t>
    <phoneticPr fontId="1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</si>
  <si>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>(셔링펴서)</t>
    </r>
    <phoneticPr fontId="1" type="noConversion"/>
  </si>
  <si>
    <t>STYLE NO: JYWOP08-W#A06</t>
    <phoneticPr fontId="1" type="noConversion"/>
  </si>
  <si>
    <t>STYLE NO: JYWPT10-D#A08 (인디고)</t>
    <phoneticPr fontId="1" type="noConversion"/>
  </si>
  <si>
    <t>WAIST LACE SHIRRING</t>
    <phoneticPr fontId="18" type="noConversion"/>
  </si>
  <si>
    <t>허리레이스 셔링완성</t>
    <phoneticPr fontId="18" type="noConversion"/>
  </si>
  <si>
    <t>INNER LENGTH</t>
    <phoneticPr fontId="2" type="noConversion"/>
  </si>
  <si>
    <t>속티기장</t>
    <phoneticPr fontId="18" type="noConversion"/>
  </si>
  <si>
    <r>
      <t>옆목점에서 밑단까지의 직선길이</t>
    </r>
    <r>
      <rPr>
        <sz val="7.5"/>
        <color rgb="FFFF0000"/>
        <rFont val="맑은 고딕"/>
        <family val="3"/>
        <charset val="129"/>
        <scheme val="minor"/>
      </rPr>
      <t>(레이스포함)</t>
    </r>
    <phoneticPr fontId="1" type="noConversion"/>
  </si>
  <si>
    <t xml:space="preserve">1ST BOTTOM FRILL </t>
    <phoneticPr fontId="1" type="noConversion"/>
  </si>
  <si>
    <t>1단 밑단프릴</t>
    <phoneticPr fontId="1" type="noConversion"/>
  </si>
  <si>
    <t>2ND BOTTOM FRILL</t>
    <phoneticPr fontId="1" type="noConversion"/>
  </si>
  <si>
    <t>2단 밑단프릴</t>
    <phoneticPr fontId="1" type="noConversion"/>
  </si>
  <si>
    <t>WAIST 6G BAND</t>
    <phoneticPr fontId="1" type="noConversion"/>
  </si>
  <si>
    <t>허리6골고무줄</t>
    <phoneticPr fontId="1" type="noConversion"/>
  </si>
  <si>
    <t>허리6골고무줄</t>
    <phoneticPr fontId="18" type="noConversion"/>
  </si>
  <si>
    <t>STYLE NO: JYWTO18-W#G09</t>
    <phoneticPr fontId="1" type="noConversion"/>
  </si>
  <si>
    <t>앞목</t>
    <phoneticPr fontId="18" type="noConversion"/>
  </si>
  <si>
    <t>BACK SLIT LENGTH</t>
    <phoneticPr fontId="2" type="noConversion"/>
  </si>
  <si>
    <t>뒤트임길이</t>
    <phoneticPr fontId="18" type="noConversion"/>
  </si>
  <si>
    <t>에리포함</t>
    <phoneticPr fontId="18" type="noConversion"/>
  </si>
  <si>
    <t>STYLE NO: JYWTO19-K#Y13</t>
    <phoneticPr fontId="1" type="noConversion"/>
  </si>
  <si>
    <t>암홀 겨드랑이 지점에서 소매중심의 수직 길이(주름펴서)</t>
    <phoneticPr fontId="1" type="noConversion"/>
  </si>
  <si>
    <t>앞요크길이</t>
    <phoneticPr fontId="1" type="noConversion"/>
  </si>
  <si>
    <t>BACK YOKE LENGTH</t>
    <phoneticPr fontId="1" type="noConversion"/>
  </si>
  <si>
    <t>뒤요크길이</t>
    <phoneticPr fontId="1" type="noConversion"/>
  </si>
  <si>
    <t>뒤중심</t>
    <phoneticPr fontId="18" type="noConversion"/>
  </si>
  <si>
    <t>SHOULDER STRAP LENGTH</t>
    <phoneticPr fontId="1" type="noConversion"/>
  </si>
  <si>
    <t>어깨끈길이</t>
    <phoneticPr fontId="1" type="noConversion"/>
  </si>
  <si>
    <t>STYLE NO: JYWTO25-K#R17</t>
    <phoneticPr fontId="1" type="noConversion"/>
  </si>
  <si>
    <t>완성사이즈</t>
    <phoneticPr fontId="18" type="noConversion"/>
  </si>
  <si>
    <t>BOTTOM 6G BAND</t>
    <phoneticPr fontId="1" type="noConversion"/>
  </si>
  <si>
    <t>옆목점에서 밑단까지의 직선길이(주원단)</t>
    <phoneticPr fontId="1" type="noConversion"/>
  </si>
  <si>
    <t>총기장(와끼)</t>
    <phoneticPr fontId="2" type="noConversion"/>
  </si>
  <si>
    <t>암홀 겨드랑이 지점에서 밑단까지의 직선길이 (배색B)</t>
    <phoneticPr fontId="1" type="noConversion"/>
  </si>
  <si>
    <t>STYLE NO: JYWTO22-K#G13</t>
    <phoneticPr fontId="1" type="noConversion"/>
  </si>
  <si>
    <t>STYLE NO: JYWTO26-K#H23</t>
    <phoneticPr fontId="1" type="noConversion"/>
  </si>
  <si>
    <t>FRONT MESH LENGTH</t>
    <phoneticPr fontId="2" type="noConversion"/>
  </si>
  <si>
    <t>앞망사 기장</t>
    <phoneticPr fontId="18" type="noConversion"/>
  </si>
  <si>
    <t>앞중심,위프릴제외</t>
    <phoneticPr fontId="18" type="noConversion"/>
  </si>
  <si>
    <t>BACK WAIST 4G BAND</t>
    <phoneticPr fontId="1" type="noConversion"/>
  </si>
  <si>
    <t>뒤허리4골고무줄</t>
    <phoneticPr fontId="1" type="noConversion"/>
  </si>
  <si>
    <t>FRONT SMOKING ACTUAL</t>
    <phoneticPr fontId="18" type="noConversion"/>
  </si>
  <si>
    <t>앞스모킹 완성</t>
    <phoneticPr fontId="18" type="noConversion"/>
  </si>
  <si>
    <t>BACK SLIT LENGTH</t>
    <phoneticPr fontId="18" type="noConversion"/>
  </si>
  <si>
    <t>네크립 제외</t>
    <phoneticPr fontId="18" type="noConversion"/>
  </si>
  <si>
    <t>앞중심,아래프릴제외</t>
    <phoneticPr fontId="18" type="noConversion"/>
  </si>
  <si>
    <t>FRONT SMOKING LENGTH</t>
    <phoneticPr fontId="18" type="noConversion"/>
  </si>
  <si>
    <t>앞스모킹 기장</t>
    <phoneticPr fontId="18" type="noConversion"/>
  </si>
  <si>
    <t>위프릴제외,망사프릴끝까지</t>
    <phoneticPr fontId="18" type="noConversion"/>
  </si>
  <si>
    <t>STYLE NO: JYWTO29-S#Y21 ( 완사입 )</t>
    <phoneticPr fontId="1" type="noConversion"/>
  </si>
  <si>
    <t>STYLE NO: JYWPT13-D#Y22 (인디고)</t>
    <phoneticPr fontId="1" type="noConversion"/>
  </si>
  <si>
    <t>STYLE NO: JYWTO27-K#A11</t>
    <phoneticPr fontId="1" type="noConversion"/>
  </si>
  <si>
    <t>STYLE NO: JYWTO05-K#Y04</t>
    <phoneticPr fontId="1" type="noConversion"/>
  </si>
  <si>
    <t>STYLE NO: JYWTO16-K#Y07</t>
    <phoneticPr fontId="1" type="noConversion"/>
  </si>
  <si>
    <t>STYLE NO: JYWPT17-D#R26 (인디고)</t>
    <phoneticPr fontId="1" type="noConversion"/>
  </si>
  <si>
    <t>STYLE NO: JYWOP01-W#G10</t>
    <phoneticPr fontId="1" type="noConversion"/>
  </si>
  <si>
    <t>TOP SLEEVE 4G BAND</t>
    <phoneticPr fontId="2" type="noConversion"/>
  </si>
  <si>
    <t>MIDDLE SLEEVE 4G BAND</t>
    <phoneticPr fontId="2" type="noConversion"/>
  </si>
  <si>
    <t>소매 위4골 고무줄</t>
    <phoneticPr fontId="18" type="noConversion"/>
  </si>
  <si>
    <t>소매중간 4골 고무줄</t>
    <phoneticPr fontId="18" type="noConversion"/>
  </si>
  <si>
    <t>STYLE NO: JYWOP04-K#H22</t>
    <phoneticPr fontId="1" type="noConversion"/>
  </si>
  <si>
    <t>허리립</t>
    <phoneticPr fontId="1" type="noConversion"/>
  </si>
  <si>
    <t>WAIST RIB</t>
    <phoneticPr fontId="2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</si>
  <si>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</si>
  <si>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r>
      <t xml:space="preserve">옆목점에서 앞목중심의 수직 길이 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</si>
  <si>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r>
      <t xml:space="preserve">옆목점을 수평으로 잰 길이 </t>
    </r>
    <r>
      <rPr>
        <sz val="7.5"/>
        <color rgb="FFFF0000"/>
        <rFont val="맑은 고딕"/>
        <family val="3"/>
        <charset val="129"/>
        <scheme val="minor"/>
      </rPr>
      <t>(샘플사이즈)</t>
    </r>
    <phoneticPr fontId="1" type="noConversion"/>
  </si>
  <si>
    <t>TOTAL SKIRT LENGTH</t>
    <phoneticPr fontId="18" type="noConversion"/>
  </si>
  <si>
    <t>총치마기장</t>
    <phoneticPr fontId="18" type="noConversion"/>
  </si>
  <si>
    <t>립포함</t>
    <phoneticPr fontId="18" type="noConversion"/>
  </si>
  <si>
    <t>케이프</t>
  </si>
  <si>
    <t>STYLE NO: JYWTO33-S#G18 ( 완사입 )</t>
    <phoneticPr fontId="1" type="noConversion"/>
  </si>
  <si>
    <t>STYLE NO: JYWOP11-S#A14 ( 완사입 )</t>
    <phoneticPr fontId="1" type="noConversion"/>
  </si>
  <si>
    <t xml:space="preserve">SKIRT LENGTH </t>
    <phoneticPr fontId="18" type="noConversion"/>
  </si>
  <si>
    <t>치마기장(허리립포함)</t>
    <phoneticPr fontId="18" type="noConversion"/>
  </si>
  <si>
    <t>치마밑단 둘레</t>
    <phoneticPr fontId="18" type="noConversion"/>
  </si>
  <si>
    <t>밑단립위</t>
    <phoneticPr fontId="18" type="noConversion"/>
  </si>
  <si>
    <t>SKIRT BOTTOM RIB WIDTH</t>
    <phoneticPr fontId="18" type="noConversion"/>
  </si>
  <si>
    <t>치마밑단립 폭</t>
    <phoneticPr fontId="18" type="noConversion"/>
  </si>
  <si>
    <t>SKIRT BOTTOM (1/2)</t>
    <phoneticPr fontId="18" type="noConversion"/>
  </si>
  <si>
    <t>허리립,밑단립 포함</t>
    <phoneticPr fontId="18" type="noConversion"/>
  </si>
  <si>
    <t>WAIST RIB WIDTH</t>
    <phoneticPr fontId="2" type="noConversion"/>
  </si>
  <si>
    <t>허리립 폭</t>
    <phoneticPr fontId="1" type="noConversion"/>
  </si>
  <si>
    <t>STYLE NO: JYWOP09-W#G15</t>
    <phoneticPr fontId="1" type="noConversion"/>
  </si>
  <si>
    <t>스칼럽 제외</t>
    <phoneticPr fontId="18" type="noConversion"/>
  </si>
  <si>
    <r>
      <t>소매기장</t>
    </r>
    <r>
      <rPr>
        <sz val="7.5"/>
        <color rgb="FFFF0000"/>
        <rFont val="맑은 고딕"/>
        <family val="3"/>
        <charset val="129"/>
        <scheme val="minor"/>
      </rPr>
      <t>(스칼럽 제외)</t>
    </r>
    <phoneticPr fontId="18" type="noConversion"/>
  </si>
  <si>
    <t>STYLE NO: JYWOP09-W#G15 (니트스펙)</t>
    <phoneticPr fontId="1" type="noConversion"/>
  </si>
  <si>
    <t>STYLE NO: JYWSE04-K#H25</t>
    <phoneticPr fontId="1" type="noConversion"/>
  </si>
  <si>
    <t>밑단레이스포함</t>
    <phoneticPr fontId="18" type="noConversion"/>
  </si>
  <si>
    <t>밑단레이스제외</t>
    <phoneticPr fontId="18" type="noConversion"/>
  </si>
  <si>
    <t>앞주머니끝에서 중심까지 수평선의 길이</t>
    <phoneticPr fontId="1" type="noConversion"/>
  </si>
  <si>
    <t>20mm 고무줄</t>
    <phoneticPr fontId="18" type="noConversion"/>
  </si>
  <si>
    <t>BOTTOM LACE LENGTH</t>
    <phoneticPr fontId="1" type="noConversion"/>
  </si>
  <si>
    <t>밑단레이스길이</t>
    <phoneticPr fontId="1" type="noConversion"/>
  </si>
  <si>
    <t>SLEEVE 4G BAND</t>
    <phoneticPr fontId="18" type="noConversion"/>
  </si>
  <si>
    <t>소매4골고무줄</t>
    <phoneticPr fontId="18" type="noConversion"/>
  </si>
  <si>
    <t>20mm고무줄</t>
    <phoneticPr fontId="18" type="noConversion"/>
  </si>
  <si>
    <t>STYLE NO: JYWTO32-K#Y27</t>
    <phoneticPr fontId="1" type="noConversion"/>
  </si>
  <si>
    <t>옆목,레이스제외</t>
    <phoneticPr fontId="18" type="noConversion"/>
  </si>
  <si>
    <t>허리6골밴드</t>
    <phoneticPr fontId="18" type="noConversion"/>
  </si>
  <si>
    <t>STYLE NO: JYWLE02-K#H08</t>
    <phoneticPr fontId="1" type="noConversion"/>
  </si>
  <si>
    <t xml:space="preserve">TOTAL LENGTH </t>
    <phoneticPr fontId="18" type="noConversion"/>
  </si>
  <si>
    <t>BOTTOM FRILL LENGTH</t>
    <phoneticPr fontId="18" type="noConversion"/>
  </si>
  <si>
    <t>밑단 프릴 기장</t>
    <phoneticPr fontId="18" type="noConversion"/>
  </si>
  <si>
    <t xml:space="preserve">1단치마달림선부터 밑단까지 잰 길이 </t>
    <phoneticPr fontId="18" type="noConversion"/>
  </si>
  <si>
    <t>STYLE NO: JYFLE03-K#A13</t>
    <phoneticPr fontId="1" type="noConversion"/>
  </si>
  <si>
    <t xml:space="preserve">BOTTOM OPENING </t>
    <phoneticPr fontId="18" type="noConversion"/>
  </si>
  <si>
    <t>STYLE NO: JYWSK06-W#Y10</t>
    <phoneticPr fontId="1" type="noConversion"/>
  </si>
  <si>
    <t>오비포함,레이스제외</t>
    <phoneticPr fontId="18" type="noConversion"/>
  </si>
  <si>
    <t>오비포함,와끼기준</t>
    <phoneticPr fontId="18" type="noConversion"/>
  </si>
  <si>
    <t>보이는부분,레이스제외</t>
    <phoneticPr fontId="18" type="noConversion"/>
  </si>
  <si>
    <t>STYLE NO: JYWSK07-W#Y17</t>
    <phoneticPr fontId="1" type="noConversion"/>
  </si>
  <si>
    <t>오비포함,레이스포함</t>
    <phoneticPr fontId="18" type="noConversion"/>
  </si>
  <si>
    <t>보이는부분,레이스포함</t>
    <phoneticPr fontId="18" type="noConversion"/>
  </si>
  <si>
    <t>4TH SKIRT LENGTH</t>
    <phoneticPr fontId="18" type="noConversion"/>
  </si>
  <si>
    <t>4단치마길이</t>
    <phoneticPr fontId="18" type="noConversion"/>
  </si>
  <si>
    <t>STYLE NO: JYWOU01-W#G03</t>
    <phoneticPr fontId="1" type="noConversion"/>
  </si>
  <si>
    <t>STYLE NO: JYWOP06-W#Y16</t>
    <phoneticPr fontId="1" type="noConversion"/>
  </si>
  <si>
    <r>
      <t xml:space="preserve">CB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</si>
  <si>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총기장(뒤중심)</t>
    <phoneticPr fontId="2" type="noConversion"/>
  </si>
  <si>
    <t>뒤중심에서 밑단까지의 직선길이</t>
    <phoneticPr fontId="1" type="noConversion"/>
  </si>
  <si>
    <t>BACK UPPER CHEST</t>
    <phoneticPr fontId="2" type="noConversion"/>
  </si>
  <si>
    <t>뒤바대 폭</t>
    <phoneticPr fontId="1" type="noConversion"/>
  </si>
  <si>
    <t>1단치마 기장</t>
    <phoneticPr fontId="1" type="noConversion"/>
  </si>
  <si>
    <r>
      <t xml:space="preserve">와끼기준,전체길이 </t>
    </r>
    <r>
      <rPr>
        <sz val="7.5"/>
        <color rgb="FFFF0000"/>
        <rFont val="맑은 고딕"/>
        <family val="3"/>
        <charset val="129"/>
        <scheme val="major"/>
      </rPr>
      <t>(프릴포함)</t>
    </r>
    <phoneticPr fontId="18" type="noConversion"/>
  </si>
  <si>
    <t>2단치마 기장</t>
    <phoneticPr fontId="1" type="noConversion"/>
  </si>
  <si>
    <r>
      <t>와끼기준,전체길이</t>
    </r>
    <r>
      <rPr>
        <sz val="7.5"/>
        <color rgb="FFFF0000"/>
        <rFont val="맑은 고딕"/>
        <family val="3"/>
        <charset val="129"/>
        <scheme val="major"/>
      </rPr>
      <t xml:space="preserve"> (프릴포함)</t>
    </r>
    <phoneticPr fontId="18" type="noConversion"/>
  </si>
  <si>
    <t xml:space="preserve">3RD SKIRT LENGTH </t>
    <phoneticPr fontId="1" type="noConversion"/>
  </si>
  <si>
    <r>
      <t xml:space="preserve">3단치마 기장 </t>
    </r>
    <r>
      <rPr>
        <sz val="7.5"/>
        <color rgb="FFFF0000"/>
        <rFont val="맑은 고딕"/>
        <family val="3"/>
        <charset val="129"/>
        <scheme val="minor"/>
      </rPr>
      <t>(총치마길이)</t>
    </r>
    <phoneticPr fontId="1" type="noConversion"/>
  </si>
  <si>
    <t>혼솔지퍼</t>
    <phoneticPr fontId="18" type="noConversion"/>
  </si>
  <si>
    <t>와끼기준,프릴포함</t>
    <phoneticPr fontId="18" type="noConversion"/>
  </si>
  <si>
    <t xml:space="preserve">와끼기준 </t>
    <phoneticPr fontId="18" type="noConversion"/>
  </si>
  <si>
    <t>앞중심 4골밴드</t>
    <phoneticPr fontId="1" type="noConversion"/>
  </si>
  <si>
    <t>FRONT 4G-BAND</t>
    <phoneticPr fontId="1" type="noConversion"/>
  </si>
  <si>
    <t>앞넥중심에서 절개선까지 수직으로 잰 길이</t>
    <phoneticPr fontId="18" type="noConversion"/>
  </si>
  <si>
    <t>소매4골 밴드</t>
    <phoneticPr fontId="18" type="noConversion"/>
  </si>
  <si>
    <t>허리 8골밴드</t>
    <phoneticPr fontId="18" type="noConversion"/>
  </si>
  <si>
    <t>WAIST 8G-BAND</t>
    <phoneticPr fontId="2" type="noConversion"/>
  </si>
  <si>
    <t>STYLE NO: JYWOP10-K#A10</t>
    <phoneticPr fontId="1" type="noConversion"/>
  </si>
  <si>
    <t>STYLE NO: JYWTO01-K#H01</t>
    <phoneticPr fontId="1" type="noConversion"/>
  </si>
  <si>
    <t>STYLE NO: JYWTO04-K#G04</t>
    <phoneticPr fontId="1" type="noConversion"/>
  </si>
  <si>
    <t>앞넥중심에서 립달림선까지 수직으로 잰 길이</t>
    <phoneticPr fontId="18" type="noConversion"/>
  </si>
  <si>
    <t>뒷넥중심에서 립달림선까지 수직으로 잰 길이</t>
    <phoneticPr fontId="18" type="noConversion"/>
  </si>
  <si>
    <t>앞중심에서 수평으로 잰 길이</t>
    <phoneticPr fontId="18" type="noConversion"/>
  </si>
  <si>
    <t>STYLE NO: JYWTO08-K#03</t>
    <phoneticPr fontId="1" type="noConversion"/>
  </si>
  <si>
    <t>중심(자수중심)</t>
    <phoneticPr fontId="18" type="noConversion"/>
  </si>
  <si>
    <t>STYLE NO: JYWTO11-K#G07</t>
    <phoneticPr fontId="1" type="noConversion"/>
  </si>
  <si>
    <t>.</t>
    <phoneticPr fontId="2" type="noConversion"/>
  </si>
  <si>
    <t>끈</t>
    <phoneticPr fontId="18" type="noConversion"/>
  </si>
  <si>
    <t>FRONT,BACK UPPER CHEST</t>
    <phoneticPr fontId="2" type="noConversion"/>
  </si>
  <si>
    <t>앞,뒤바대 폭</t>
    <phoneticPr fontId="1" type="noConversion"/>
  </si>
  <si>
    <t>STYLE NO: JYWTO12-K#R12</t>
    <phoneticPr fontId="1" type="noConversion"/>
  </si>
  <si>
    <t>6골</t>
    <phoneticPr fontId="18" type="noConversion"/>
  </si>
  <si>
    <t>리본</t>
    <phoneticPr fontId="18" type="noConversion"/>
  </si>
  <si>
    <t>POINT A</t>
    <phoneticPr fontId="2" type="noConversion"/>
  </si>
  <si>
    <t>위치 A</t>
    <phoneticPr fontId="18" type="noConversion"/>
  </si>
  <si>
    <t>BACK  6G BAND</t>
    <phoneticPr fontId="2" type="noConversion"/>
  </si>
  <si>
    <t>뒤 6골 밴드</t>
    <phoneticPr fontId="1" type="noConversion"/>
  </si>
  <si>
    <t xml:space="preserve">FRONT CHEST </t>
    <phoneticPr fontId="2" type="noConversion"/>
  </si>
  <si>
    <t>앞 상동</t>
    <phoneticPr fontId="1" type="noConversion"/>
  </si>
  <si>
    <t>STYLE NO: JYWTO14-K#H07</t>
    <phoneticPr fontId="1" type="noConversion"/>
  </si>
  <si>
    <t>LONG SLEEVE LENGTH</t>
    <phoneticPr fontId="2" type="noConversion"/>
  </si>
  <si>
    <t>긴소매기장</t>
    <phoneticPr fontId="18" type="noConversion"/>
  </si>
  <si>
    <t>OUTSIDE TOTAL LENGTH</t>
    <phoneticPr fontId="18" type="noConversion"/>
  </si>
  <si>
    <t>겉-총장(옆목)</t>
    <phoneticPr fontId="18" type="noConversion"/>
  </si>
  <si>
    <t>SHORT SLEEVE LENGTH</t>
    <phoneticPr fontId="2" type="noConversion"/>
  </si>
  <si>
    <t>겉-짧은소매기장</t>
    <phoneticPr fontId="18" type="noConversion"/>
  </si>
  <si>
    <t xml:space="preserve">OUTSIDE CUFFS OPENING </t>
    <phoneticPr fontId="2" type="noConversion"/>
  </si>
  <si>
    <t>겉-소매부리</t>
    <phoneticPr fontId="18" type="noConversion"/>
  </si>
  <si>
    <t>STYLE NO: JYWTO17-K#Y08</t>
    <phoneticPr fontId="1" type="noConversion"/>
  </si>
  <si>
    <t>STYLE NO: JYWTO20-K#H20</t>
    <phoneticPr fontId="1" type="noConversion"/>
  </si>
  <si>
    <t>FRILL LENGTH</t>
    <phoneticPr fontId="18" type="noConversion"/>
  </si>
  <si>
    <t>STYLE NO: JYWTO21-K#G11</t>
    <phoneticPr fontId="1" type="noConversion"/>
  </si>
  <si>
    <t>STYLE NO: JYFTO23-K#R18</t>
    <phoneticPr fontId="1" type="noConversion"/>
  </si>
  <si>
    <t>6G</t>
    <phoneticPr fontId="18" type="noConversion"/>
  </si>
  <si>
    <t>셔링잡은 후 완성사이즈</t>
    <phoneticPr fontId="18" type="noConversion"/>
  </si>
  <si>
    <t>POCKET 6G-BAND</t>
    <phoneticPr fontId="18" type="noConversion"/>
  </si>
  <si>
    <t>주머니입구 6골밴드</t>
    <phoneticPr fontId="18" type="noConversion"/>
  </si>
  <si>
    <r>
      <t xml:space="preserve">FROM CENTER LENGTH TO EDGE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2" type="noConversion"/>
  </si>
  <si>
    <r>
      <t xml:space="preserve">모자의 가장 돌출된 부위를 수평으로 잰 길이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1" type="noConversion"/>
  </si>
  <si>
    <t>STYLE NO: JYFTO24-K#R16</t>
    <phoneticPr fontId="1" type="noConversion"/>
  </si>
  <si>
    <t>앞목깊이</t>
    <phoneticPr fontId="18" type="noConversion"/>
  </si>
  <si>
    <t>옆목에서 수직으로 잰 길이</t>
    <phoneticPr fontId="18" type="noConversion"/>
  </si>
  <si>
    <t>INNER-TOTAL LENGTH</t>
    <phoneticPr fontId="18" type="noConversion"/>
  </si>
  <si>
    <t>이너-총장</t>
    <phoneticPr fontId="18" type="noConversion"/>
  </si>
  <si>
    <t>바데에서 밑단끝</t>
    <phoneticPr fontId="18" type="noConversion"/>
  </si>
  <si>
    <t xml:space="preserve">INNER-CHEST </t>
    <phoneticPr fontId="18" type="noConversion"/>
  </si>
  <si>
    <t>이너-가슴(상동)</t>
    <phoneticPr fontId="18" type="noConversion"/>
  </si>
  <si>
    <t>INNER-BOTTOM SWEEP</t>
    <phoneticPr fontId="2" type="noConversion"/>
  </si>
  <si>
    <t>이너-밑단둘레</t>
    <phoneticPr fontId="18" type="noConversion"/>
  </si>
  <si>
    <t>STYLE NO: JYWSE01-K#A01</t>
    <phoneticPr fontId="1" type="noConversion"/>
  </si>
  <si>
    <t>노출길이: 18cm</t>
    <phoneticPr fontId="18" type="noConversion"/>
  </si>
  <si>
    <t>STYLE NO: JYWSE03-K#R15</t>
    <phoneticPr fontId="1" type="noConversion"/>
  </si>
  <si>
    <t>STYLE NO: JYWPT05-K#G08</t>
    <phoneticPr fontId="1" type="noConversion"/>
  </si>
  <si>
    <t>장식스트링</t>
  </si>
  <si>
    <t>STYLE NO: JYWPT06-K#Y09</t>
    <phoneticPr fontId="1" type="noConversion"/>
  </si>
  <si>
    <t>STYLE NO: JYWPT07-K#H21</t>
    <phoneticPr fontId="1" type="noConversion"/>
  </si>
  <si>
    <t>총치마길이</t>
    <phoneticPr fontId="18" type="noConversion"/>
  </si>
  <si>
    <t>1단 치마기장</t>
    <phoneticPr fontId="18" type="noConversion"/>
  </si>
  <si>
    <t>오비제외, 보이는부분</t>
    <phoneticPr fontId="18" type="noConversion"/>
  </si>
  <si>
    <t>2단 치마기장</t>
    <phoneticPr fontId="18" type="noConversion"/>
  </si>
  <si>
    <t>STYLE NO: JYWPT08-K#G12</t>
    <phoneticPr fontId="1" type="noConversion"/>
  </si>
  <si>
    <t>BOTTOM OPENING 4G-BAND</t>
    <phoneticPr fontId="18" type="noConversion"/>
  </si>
  <si>
    <t>바지부리 4골밴드</t>
    <phoneticPr fontId="18" type="noConversion"/>
  </si>
  <si>
    <t>STYLE NO: JYWPT09-K#R19</t>
    <phoneticPr fontId="1" type="noConversion"/>
  </si>
  <si>
    <t>프릴 길이</t>
    <phoneticPr fontId="18" type="noConversion"/>
  </si>
  <si>
    <r>
      <t xml:space="preserve">오비,시접제외,보이는부분 </t>
    </r>
    <r>
      <rPr>
        <sz val="7.5"/>
        <color rgb="FFFF0000"/>
        <rFont val="맑은 고딕"/>
        <family val="3"/>
        <charset val="129"/>
        <scheme val="minor"/>
      </rPr>
      <t>(완제품 레이스)</t>
    </r>
    <phoneticPr fontId="1" type="noConversion"/>
  </si>
  <si>
    <t>BOTTOM STRING LENGTH</t>
    <phoneticPr fontId="1" type="noConversion"/>
  </si>
  <si>
    <t>노출길이=12cm 포함</t>
    <phoneticPr fontId="18" type="noConversion"/>
  </si>
  <si>
    <t>옆목점에서 밑단까지의 직선길이(프릴끝)</t>
    <phoneticPr fontId="1" type="noConversion"/>
  </si>
  <si>
    <t>STYLE NO: JYWPT19-D#H30 (인디고)</t>
    <phoneticPr fontId="1" type="noConversion"/>
  </si>
  <si>
    <t>옆목점에서 첫번째걸고리까지 수직</t>
    <phoneticPr fontId="1" type="noConversion"/>
  </si>
  <si>
    <t xml:space="preserve">CENTER BACK </t>
    <phoneticPr fontId="1" type="noConversion"/>
  </si>
  <si>
    <t xml:space="preserve">뒷목 중심 </t>
    <phoneticPr fontId="1" type="noConversion"/>
  </si>
  <si>
    <t>COLLAR POINT</t>
    <phoneticPr fontId="2" type="noConversion"/>
  </si>
  <si>
    <t xml:space="preserve">COLLAR WIDTH AT EDGE </t>
  </si>
  <si>
    <t>카라포인트길이</t>
  </si>
  <si>
    <t>앞목쪽 카라 길이</t>
  </si>
  <si>
    <t>STYLE NO: JYWOU09-W#Y15</t>
    <phoneticPr fontId="1" type="noConversion"/>
  </si>
  <si>
    <t>주머니밑단 직선길이</t>
    <phoneticPr fontId="18" type="noConversion"/>
  </si>
  <si>
    <t>주머니 옆선 중 길이가 긴 수직길이</t>
    <phoneticPr fontId="18" type="noConversion"/>
  </si>
  <si>
    <t>뒷넥중심에서 절개선까지 수직으로 잰 길이</t>
    <phoneticPr fontId="18" type="noConversion"/>
  </si>
  <si>
    <t>STYLE NO: JYWOU12-W#Y23</t>
    <phoneticPr fontId="1" type="noConversion"/>
  </si>
  <si>
    <t>앞중심에서 장식중심까지 수평으로 잰 길이</t>
    <phoneticPr fontId="18" type="noConversion"/>
  </si>
  <si>
    <t>요크절개선에서 수직으로 잰 길이</t>
    <phoneticPr fontId="18" type="noConversion"/>
  </si>
  <si>
    <t>STYLE NO: JYWPT14-W#R25 (인디고)</t>
    <phoneticPr fontId="1" type="noConversion"/>
  </si>
  <si>
    <t>STYLE NO: JYWOU11-W#G14 (리버시블)</t>
    <phoneticPr fontId="1" type="noConversion"/>
  </si>
  <si>
    <t>접밴드-완성사이즈(지퍼제외)</t>
    <phoneticPr fontId="1" type="noConversion"/>
  </si>
  <si>
    <t>암홀 겨드랑이 지점에서 소매중심의 수직 길이</t>
    <phoneticPr fontId="1" type="noConversion"/>
  </si>
  <si>
    <r>
      <t>소매 밑단</t>
    </r>
    <r>
      <rPr>
        <sz val="7.5"/>
        <color rgb="FFFF0000"/>
        <rFont val="맑은 고딕"/>
        <family val="3"/>
        <charset val="129"/>
        <scheme val="minor"/>
      </rPr>
      <t>(접밴드-완성사이즈)</t>
    </r>
    <phoneticPr fontId="1" type="noConversion"/>
  </si>
  <si>
    <r>
      <t>앞중심에서 수평으로 잰 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8" type="noConversion"/>
  </si>
  <si>
    <t>앞옆목점에서 수직으로 잰길이</t>
    <phoneticPr fontId="18" type="noConversion"/>
  </si>
  <si>
    <t>INSIDE</t>
    <phoneticPr fontId="18" type="noConversion"/>
  </si>
  <si>
    <t>위치 C</t>
    <phoneticPr fontId="1" type="noConversion"/>
  </si>
  <si>
    <t>위치 D</t>
    <phoneticPr fontId="1" type="noConversion"/>
  </si>
  <si>
    <t>주머니입구 양끝점을 수평으로 잰 길이</t>
    <phoneticPr fontId="18" type="noConversion"/>
  </si>
  <si>
    <t>하트 중심 수직으로 잰 길이</t>
    <phoneticPr fontId="18" type="noConversion"/>
  </si>
  <si>
    <t>STYLE NO: JYWOU02-W#Y03(패턴사이즈)</t>
    <phoneticPr fontId="1" type="noConversion"/>
  </si>
  <si>
    <t>BOTTOM 4G BAND</t>
    <phoneticPr fontId="2" type="noConversion"/>
  </si>
  <si>
    <t>밑단4골고무줄</t>
    <phoneticPr fontId="18" type="noConversion"/>
  </si>
  <si>
    <t>FRONT YOKE 10mm BAND</t>
    <phoneticPr fontId="18" type="noConversion"/>
  </si>
  <si>
    <t>앞요크10mm고무줄</t>
    <phoneticPr fontId="18" type="noConversion"/>
  </si>
  <si>
    <t>앞10mm고무줄</t>
    <phoneticPr fontId="18" type="noConversion"/>
  </si>
  <si>
    <t>FRONT 10mm BAND</t>
    <phoneticPr fontId="18" type="noConversion"/>
  </si>
  <si>
    <t>BACK YOKE 10mm BAND</t>
    <phoneticPr fontId="18" type="noConversion"/>
  </si>
  <si>
    <t>뒤요크10mm고무줄</t>
    <phoneticPr fontId="18" type="noConversion"/>
  </si>
  <si>
    <t>BACK 10mm BAND</t>
    <phoneticPr fontId="18" type="noConversion"/>
  </si>
  <si>
    <t>뒤10mm고무줄</t>
    <phoneticPr fontId="18" type="noConversion"/>
  </si>
  <si>
    <t>2줄</t>
    <phoneticPr fontId="18" type="noConversion"/>
  </si>
  <si>
    <t>10MM고무줄</t>
    <phoneticPr fontId="18" type="noConversion"/>
  </si>
  <si>
    <t>STYLE NO: JYWOU02-W#Y03(제품사이즈)</t>
    <phoneticPr fontId="1" type="noConversion"/>
  </si>
  <si>
    <t>패턴-1cm</t>
    <phoneticPr fontId="18" type="noConversion"/>
  </si>
  <si>
    <t>STYLE NO: JYWPT18-K#A18</t>
    <phoneticPr fontId="1" type="noConversion"/>
  </si>
  <si>
    <t>STYLE NO: JYWTO31-K#A01</t>
    <phoneticPr fontId="1" type="noConversion"/>
  </si>
  <si>
    <r>
      <t xml:space="preserve">중심 </t>
    </r>
    <r>
      <rPr>
        <sz val="7.5"/>
        <color rgb="FFFF0000"/>
        <rFont val="맑은 고딕"/>
        <family val="3"/>
        <charset val="129"/>
        <scheme val="minor"/>
      </rPr>
      <t>(알파벳'C'기준)</t>
    </r>
    <phoneticPr fontId="18" type="noConversion"/>
  </si>
  <si>
    <t>XS</t>
    <phoneticPr fontId="1" type="noConversion"/>
  </si>
  <si>
    <t>STYLE NO: JYWTO34-S#G19 ( 완사입 )</t>
    <phoneticPr fontId="1" type="noConversion"/>
  </si>
  <si>
    <t>STYLE NO: JYWPT20-W#A19 (인디고)</t>
    <phoneticPr fontId="1" type="noConversion"/>
  </si>
  <si>
    <t>STYLE NO: JYWOP35-K#H22</t>
    <phoneticPr fontId="1" type="noConversion"/>
  </si>
  <si>
    <t>STYLE NO: JYWOP05-W#G23</t>
    <phoneticPr fontId="1" type="noConversion"/>
  </si>
  <si>
    <t>3XL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</si>
</sst>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0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>
      <alignment vertical="center"/>
    </xf>
  </cellStyleXfs>
  <cellXfs count="232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/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11" fillId="0" borderId="66" xfId="0" applyFont="1" applyBorder="1" applyAlignment="1">
      <alignment horizontal="center" vertical="center"/>
    </xf>
    <xf numFmtId="0" fontId="11" fillId="0" borderId="45" xfId="0" applyFont="1" applyBorder="1">
      <alignment vertical="center"/>
    </xf>
    <xf numFmtId="0" fontId="11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0" fillId="0" borderId="28" xfId="0" applyBorder="1">
      <alignment vertical="center"/>
    </xf>
    <xf numFmtId="0" fontId="6" fillId="0" borderId="71" xfId="0" applyFont="1" applyBorder="1" applyAlignment="1">
      <alignment horizontal="center" vertical="center"/>
    </xf>
    <xf numFmtId="0" fontId="6" fillId="0" borderId="72" xfId="0" applyFont="1" applyBorder="1">
      <alignment vertical="center"/>
    </xf>
    <xf numFmtId="0" fontId="6" fillId="0" borderId="73" xfId="0" applyFont="1" applyBorder="1" applyAlignment="1">
      <alignment horizontal="center" vertical="center"/>
    </xf>
    <xf numFmtId="0" fontId="6" fillId="0" borderId="74" xfId="0" applyFont="1" applyBorder="1">
      <alignment vertical="center"/>
    </xf>
    <xf numFmtId="0" fontId="6" fillId="0" borderId="75" xfId="0" applyFont="1" applyBorder="1" applyAlignment="1">
      <alignment horizontal="center" vertical="center"/>
    </xf>
    <xf numFmtId="0" fontId="6" fillId="0" borderId="76" xfId="0" applyFont="1" applyBorder="1">
      <alignment vertical="center"/>
    </xf>
    <xf numFmtId="0" fontId="11" fillId="0" borderId="8" xfId="0" applyFont="1" applyBorder="1">
      <alignment vertical="center"/>
    </xf>
    <xf numFmtId="0" fontId="11" fillId="0" borderId="77" xfId="0" applyFont="1" applyBorder="1" applyAlignment="1">
      <alignment horizontal="center" vertical="center"/>
    </xf>
    <xf numFmtId="0" fontId="11" fillId="2" borderId="77" xfId="0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6" fillId="0" borderId="6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18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64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50" xfId="0" applyFont="1" applyBorder="1" applyAlignment="1">
      <alignment horizontal="left" vertical="center"/>
    </xf>
    <xf numFmtId="0" fontId="12" fillId="0" borderId="52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2" fillId="0" borderId="5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6" fillId="0" borderId="50" xfId="0" applyFont="1" applyBorder="1" applyAlignment="1">
      <alignment horizontal="left" vertical="center"/>
    </xf>
    <xf numFmtId="0" fontId="16" fillId="0" borderId="52" xfId="0" applyFont="1" applyBorder="1" applyAlignment="1">
      <alignment horizontal="left" vertical="center"/>
    </xf>
    <xf numFmtId="0" fontId="16" fillId="0" borderId="5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5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6" fillId="0" borderId="31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33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center" vertical="center"/>
    </xf>
    <xf numFmtId="0" fontId="6" fillId="2" borderId="60" xfId="0" applyFont="1" applyFill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3" fillId="0" borderId="29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5" fillId="0" borderId="3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3" xfId="0" applyFont="1" applyBorder="1" applyAlignment="1">
      <alignment horizontal="left" vertical="center"/>
    </xf>
    <xf numFmtId="0" fontId="6" fillId="0" borderId="4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78" xfId="0" applyBorder="1" applyAlignment="1">
      <alignment horizontal="left" vertical="center"/>
    </xf>
    <xf numFmtId="0" fontId="0" fillId="0" borderId="79" xfId="0" applyBorder="1" applyAlignment="1">
      <alignment horizontal="left" vertical="center"/>
    </xf>
    <xf numFmtId="0" fontId="0" fillId="0" borderId="80" xfId="0" applyBorder="1" applyAlignment="1">
      <alignment horizontal="left" vertical="center"/>
    </xf>
    <xf numFmtId="0" fontId="12" fillId="0" borderId="1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3" fillId="3" borderId="46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3" borderId="43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4" fillId="0" borderId="32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9" fillId="0" borderId="17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3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0" borderId="50" xfId="0" applyFont="1" applyBorder="1" applyAlignment="1">
      <alignment horizontal="left" vertical="center" wrapText="1"/>
    </xf>
    <xf numFmtId="0" fontId="12" fillId="0" borderId="52" xfId="0" applyFont="1" applyBorder="1" applyAlignment="1">
      <alignment horizontal="left" vertical="center" wrapText="1"/>
    </xf>
    <xf numFmtId="0" fontId="12" fillId="0" borderId="51" xfId="0" applyFont="1" applyBorder="1" applyAlignment="1">
      <alignment horizontal="left" vertical="center" wrapText="1"/>
    </xf>
    <xf numFmtId="0" fontId="6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2" borderId="69" xfId="0" applyFont="1" applyFill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12" fillId="0" borderId="53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A39F-F98C-40A8-919D-1CEBA0B61459}">
  <sheetPr codeName="Sheet1">
    <tabColor theme="5"/>
    <pageSetUpPr fitToPage="1"/>
  </sheetPr>
  <dimension ref="A1:M47"/>
  <sheetViews>
    <sheetView tabSelected="1" zoomScale="110" zoomScaleNormal="110" workbookViewId="0">
      <selection activeCell="S16" sqref="S1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244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27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 t="shared" ref="L3:M3" si="0">SUM(K3)+3</f>
        <v>57</v>
      </c>
      <c r="M3" s="97">
        <f t="shared" si="0"/>
        <v>60</v>
      </c>
    </row>
    <row r="4" spans="1:13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46"/>
      <c r="I4" s="46"/>
      <c r="J4" s="44"/>
      <c r="K4" s="46"/>
      <c r="L4" s="46"/>
      <c r="M4" s="48"/>
    </row>
    <row r="5" spans="1:13" s="1" customFormat="1" ht="14.1" customHeight="1">
      <c r="A5" s="52">
        <v>2</v>
      </c>
      <c r="B5" s="36" t="s">
        <v>11</v>
      </c>
      <c r="C5" s="37"/>
      <c r="D5" s="76" t="s">
        <v>12</v>
      </c>
      <c r="E5" s="77"/>
      <c r="F5" s="77"/>
      <c r="G5" s="78"/>
      <c r="H5" s="27">
        <f>SUM(I5)-3.2</f>
        <v>46.999999999999993</v>
      </c>
      <c r="I5" s="27">
        <f>SUM(J5)-3.2</f>
        <v>50.199999999999996</v>
      </c>
      <c r="J5" s="41">
        <v>53.4</v>
      </c>
      <c r="K5" s="27">
        <f>SUM(J5)+3.2</f>
        <v>56.6</v>
      </c>
      <c r="L5" s="27">
        <f>SUM(K5)+3.2</f>
        <v>59.800000000000004</v>
      </c>
      <c r="M5" s="62">
        <f>SUM(L5)+3.2</f>
        <v>63.000000000000007</v>
      </c>
    </row>
    <row r="6" spans="1:13" s="1" customFormat="1" ht="14.1" customHeight="1">
      <c r="A6" s="53"/>
      <c r="B6" s="57" t="s">
        <v>48</v>
      </c>
      <c r="C6" s="58"/>
      <c r="D6" s="59" t="s">
        <v>88</v>
      </c>
      <c r="E6" s="60"/>
      <c r="F6" s="60"/>
      <c r="G6" s="61"/>
      <c r="H6" s="46"/>
      <c r="I6" s="46"/>
      <c r="J6" s="44"/>
      <c r="K6" s="46"/>
      <c r="L6" s="46"/>
      <c r="M6" s="48"/>
    </row>
    <row r="7" spans="1:13" s="1" customFormat="1" ht="14.1" customHeight="1">
      <c r="A7" s="52">
        <v>3</v>
      </c>
      <c r="B7" s="36" t="s">
        <v>101</v>
      </c>
      <c r="C7" s="37"/>
      <c r="D7" s="76"/>
      <c r="E7" s="77"/>
      <c r="F7" s="77"/>
      <c r="G7" s="78"/>
      <c r="H7" s="27">
        <f>SUM(I7)-0.7</f>
        <v>12.600000000000001</v>
      </c>
      <c r="I7" s="27">
        <f>SUM(J7)-0.7</f>
        <v>13.3</v>
      </c>
      <c r="J7" s="41">
        <v>14</v>
      </c>
      <c r="K7" s="27">
        <f>SUM(J7)+1.2</f>
        <v>15.2</v>
      </c>
      <c r="L7" s="27">
        <f>SUM(K7)+0.7</f>
        <v>15.899999999999999</v>
      </c>
      <c r="M7" s="62">
        <f>SUM(L7)+0.7</f>
        <v>16.599999999999998</v>
      </c>
    </row>
    <row r="8" spans="1:13" s="1" customFormat="1" ht="14.1" customHeight="1">
      <c r="A8" s="53"/>
      <c r="B8" s="57" t="s">
        <v>100</v>
      </c>
      <c r="C8" s="58"/>
      <c r="D8" s="82" t="s">
        <v>110</v>
      </c>
      <c r="E8" s="83"/>
      <c r="F8" s="83"/>
      <c r="G8" s="84"/>
      <c r="H8" s="46"/>
      <c r="I8" s="46"/>
      <c r="J8" s="44"/>
      <c r="K8" s="46"/>
      <c r="L8" s="46"/>
      <c r="M8" s="48"/>
    </row>
    <row r="9" spans="1:13" s="1" customFormat="1" ht="14.1" customHeight="1">
      <c r="A9" s="52">
        <v>4</v>
      </c>
      <c r="B9" s="36" t="s">
        <v>9</v>
      </c>
      <c r="C9" s="37"/>
      <c r="D9" s="76" t="s">
        <v>69</v>
      </c>
      <c r="E9" s="77"/>
      <c r="F9" s="77"/>
      <c r="G9" s="78"/>
      <c r="H9" s="27">
        <f>SUM(I9)-7</f>
        <v>51</v>
      </c>
      <c r="I9" s="27">
        <f>SUM(J9)-7</f>
        <v>58</v>
      </c>
      <c r="J9" s="41">
        <v>65</v>
      </c>
      <c r="K9" s="27">
        <f>SUM(J9)+6</f>
        <v>71</v>
      </c>
      <c r="L9" s="27">
        <f>SUM(K9)+6</f>
        <v>77</v>
      </c>
      <c r="M9" s="62">
        <f>SUM(L9)+6</f>
        <v>83</v>
      </c>
    </row>
    <row r="10" spans="1:13" s="1" customFormat="1" ht="14.1" customHeight="1">
      <c r="A10" s="53"/>
      <c r="B10" s="57" t="s">
        <v>49</v>
      </c>
      <c r="C10" s="58"/>
      <c r="D10" s="59" t="s">
        <v>87</v>
      </c>
      <c r="E10" s="60"/>
      <c r="F10" s="60"/>
      <c r="G10" s="61"/>
      <c r="H10" s="46"/>
      <c r="I10" s="46"/>
      <c r="J10" s="44"/>
      <c r="K10" s="46"/>
      <c r="L10" s="46"/>
      <c r="M10" s="48"/>
    </row>
    <row r="11" spans="1:13" s="1" customFormat="1" ht="14.1" customHeight="1">
      <c r="A11" s="52">
        <v>5</v>
      </c>
      <c r="B11" s="36" t="s">
        <v>14</v>
      </c>
      <c r="C11" s="37"/>
      <c r="D11" s="76" t="s">
        <v>15</v>
      </c>
      <c r="E11" s="77"/>
      <c r="F11" s="77"/>
      <c r="G11" s="78"/>
      <c r="H11" s="27">
        <f>SUM(I11)-0.6</f>
        <v>16.799999999999997</v>
      </c>
      <c r="I11" s="27">
        <f>SUM(J11)-0.6</f>
        <v>17.399999999999999</v>
      </c>
      <c r="J11" s="41">
        <v>18</v>
      </c>
      <c r="K11" s="27">
        <f>SUM(J11)+0.6</f>
        <v>18.600000000000001</v>
      </c>
      <c r="L11" s="27">
        <f>SUM(K11)+0.6</f>
        <v>19.200000000000003</v>
      </c>
      <c r="M11" s="62">
        <f>SUM(L11)+0.6</f>
        <v>19.800000000000004</v>
      </c>
    </row>
    <row r="12" spans="1:13" s="1" customFormat="1" ht="14.1" customHeight="1">
      <c r="A12" s="53"/>
      <c r="B12" s="57" t="s">
        <v>50</v>
      </c>
      <c r="C12" s="58"/>
      <c r="D12" s="79" t="s">
        <v>86</v>
      </c>
      <c r="E12" s="80"/>
      <c r="F12" s="80"/>
      <c r="G12" s="81"/>
      <c r="H12" s="46"/>
      <c r="I12" s="46"/>
      <c r="J12" s="44"/>
      <c r="K12" s="46"/>
      <c r="L12" s="46"/>
      <c r="M12" s="48"/>
    </row>
    <row r="13" spans="1:13" s="1" customFormat="1" ht="14.1" customHeight="1">
      <c r="A13" s="52">
        <v>6</v>
      </c>
      <c r="B13" s="36" t="s">
        <v>16</v>
      </c>
      <c r="C13" s="37"/>
      <c r="D13" s="76" t="s">
        <v>13</v>
      </c>
      <c r="E13" s="77"/>
      <c r="F13" s="77"/>
      <c r="G13" s="78"/>
      <c r="H13" s="27">
        <f>SUM(I13)-1</f>
        <v>20.5</v>
      </c>
      <c r="I13" s="27">
        <f>SUM(J13)-1</f>
        <v>21.5</v>
      </c>
      <c r="J13" s="41">
        <v>22.5</v>
      </c>
      <c r="K13" s="27">
        <f>SUM(J13)+1.5</f>
        <v>24</v>
      </c>
      <c r="L13" s="27">
        <f>SUM(K13)+1</f>
        <v>25</v>
      </c>
      <c r="M13" s="62">
        <f>SUM(L13)+1</f>
        <v>26</v>
      </c>
    </row>
    <row r="14" spans="1:13" s="1" customFormat="1" ht="14.1" customHeight="1">
      <c r="A14" s="53"/>
      <c r="B14" s="57" t="s">
        <v>56</v>
      </c>
      <c r="C14" s="58"/>
      <c r="D14" s="59" t="s">
        <v>85</v>
      </c>
      <c r="E14" s="60"/>
      <c r="F14" s="60"/>
      <c r="G14" s="61"/>
      <c r="H14" s="46"/>
      <c r="I14" s="46"/>
      <c r="J14" s="44"/>
      <c r="K14" s="46"/>
      <c r="L14" s="46"/>
      <c r="M14" s="48"/>
    </row>
    <row r="15" spans="1:13" s="1" customFormat="1" ht="14.1" customHeight="1">
      <c r="A15" s="52">
        <v>7</v>
      </c>
      <c r="B15" s="36" t="s">
        <v>17</v>
      </c>
      <c r="C15" s="37"/>
      <c r="D15" s="76" t="s">
        <v>13</v>
      </c>
      <c r="E15" s="77"/>
      <c r="F15" s="77"/>
      <c r="G15" s="78"/>
      <c r="H15" s="27">
        <f>SUM(I15)-1.2</f>
        <v>23</v>
      </c>
      <c r="I15" s="27">
        <f>SUM(J15)-1.2</f>
        <v>24.2</v>
      </c>
      <c r="J15" s="41">
        <v>25.4</v>
      </c>
      <c r="K15" s="27">
        <f>SUM(J15)+1.7</f>
        <v>27.099999999999998</v>
      </c>
      <c r="L15" s="27">
        <f>SUM(K15)+1.2</f>
        <v>28.299999999999997</v>
      </c>
      <c r="M15" s="62">
        <f>SUM(L15)+1.2</f>
        <v>29.499999999999996</v>
      </c>
    </row>
    <row r="16" spans="1:13" s="1" customFormat="1" ht="14.1" customHeight="1">
      <c r="A16" s="53"/>
      <c r="B16" s="57" t="s">
        <v>55</v>
      </c>
      <c r="C16" s="58"/>
      <c r="D16" s="59" t="s">
        <v>85</v>
      </c>
      <c r="E16" s="60"/>
      <c r="F16" s="60"/>
      <c r="G16" s="61"/>
      <c r="H16" s="46"/>
      <c r="I16" s="46"/>
      <c r="J16" s="44"/>
      <c r="K16" s="46"/>
      <c r="L16" s="46"/>
      <c r="M16" s="48"/>
    </row>
    <row r="17" spans="1:13" s="1" customFormat="1" ht="14.1" customHeight="1">
      <c r="A17" s="52">
        <v>8</v>
      </c>
      <c r="B17" s="36" t="s">
        <v>18</v>
      </c>
      <c r="C17" s="37"/>
      <c r="D17" s="76" t="s">
        <v>19</v>
      </c>
      <c r="E17" s="77"/>
      <c r="F17" s="77"/>
      <c r="G17" s="78"/>
      <c r="H17" s="27">
        <f>SUM(I17)-2.2</f>
        <v>26.099999999999998</v>
      </c>
      <c r="I17" s="27">
        <f>SUM(J17)-2.1</f>
        <v>28.299999999999997</v>
      </c>
      <c r="J17" s="41">
        <v>30.4</v>
      </c>
      <c r="K17" s="27">
        <f>SUM(J17)+2.1</f>
        <v>32.5</v>
      </c>
      <c r="L17" s="27">
        <f>SUM(K17)+2.1</f>
        <v>34.6</v>
      </c>
      <c r="M17" s="62">
        <f>SUM(L17)+2.1</f>
        <v>36.700000000000003</v>
      </c>
    </row>
    <row r="18" spans="1:13" s="1" customFormat="1" ht="14.1" customHeight="1">
      <c r="A18" s="53"/>
      <c r="B18" s="57" t="s">
        <v>54</v>
      </c>
      <c r="C18" s="58"/>
      <c r="D18" s="59" t="s">
        <v>84</v>
      </c>
      <c r="E18" s="60"/>
      <c r="F18" s="60"/>
      <c r="G18" s="61"/>
      <c r="H18" s="46"/>
      <c r="I18" s="46"/>
      <c r="J18" s="44"/>
      <c r="K18" s="46"/>
      <c r="L18" s="46"/>
      <c r="M18" s="48"/>
    </row>
    <row r="19" spans="1:13" s="1" customFormat="1" ht="14.1" customHeight="1">
      <c r="A19" s="52">
        <v>9</v>
      </c>
      <c r="B19" s="36" t="s">
        <v>20</v>
      </c>
      <c r="C19" s="37"/>
      <c r="D19" s="76" t="s">
        <v>21</v>
      </c>
      <c r="E19" s="77"/>
      <c r="F19" s="77"/>
      <c r="G19" s="78"/>
      <c r="H19" s="27">
        <f>SUM(I19)-6</f>
        <v>31.299999999999997</v>
      </c>
      <c r="I19" s="27">
        <f>SUM(J19)-6</f>
        <v>37.299999999999997</v>
      </c>
      <c r="J19" s="41">
        <v>43.3</v>
      </c>
      <c r="K19" s="27">
        <f>SUM(J19)+4.5</f>
        <v>47.8</v>
      </c>
      <c r="L19" s="27">
        <f>SUM(K19)+5</f>
        <v>52.8</v>
      </c>
      <c r="M19" s="62">
        <f>SUM(L19)+5</f>
        <v>57.8</v>
      </c>
    </row>
    <row r="20" spans="1:13" s="1" customFormat="1" ht="14.1" customHeight="1">
      <c r="A20" s="53"/>
      <c r="B20" s="57" t="s">
        <v>53</v>
      </c>
      <c r="C20" s="58"/>
      <c r="D20" s="59" t="s">
        <v>83</v>
      </c>
      <c r="E20" s="60"/>
      <c r="F20" s="60"/>
      <c r="G20" s="61"/>
      <c r="H20" s="46"/>
      <c r="I20" s="46"/>
      <c r="J20" s="44"/>
      <c r="K20" s="46"/>
      <c r="L20" s="46"/>
      <c r="M20" s="48"/>
    </row>
    <row r="21" spans="1:13" s="1" customFormat="1" ht="14.1" customHeight="1">
      <c r="A21" s="52">
        <v>10</v>
      </c>
      <c r="B21" s="36" t="s">
        <v>82</v>
      </c>
      <c r="C21" s="37"/>
      <c r="D21" s="76" t="s">
        <v>80</v>
      </c>
      <c r="E21" s="77"/>
      <c r="F21" s="77"/>
      <c r="G21" s="78"/>
      <c r="H21" s="27">
        <f>SUM(I21)-0.7</f>
        <v>20.8</v>
      </c>
      <c r="I21" s="27">
        <f>SUM(J21)-0.7</f>
        <v>21.5</v>
      </c>
      <c r="J21" s="41">
        <v>22.2</v>
      </c>
      <c r="K21" s="27">
        <f>SUM(J21)+0.8</f>
        <v>23</v>
      </c>
      <c r="L21" s="27">
        <f>SUM(K21)+0.8</f>
        <v>23.8</v>
      </c>
      <c r="M21" s="62">
        <f>SUM(L21)+0.8</f>
        <v>24.6</v>
      </c>
    </row>
    <row r="22" spans="1:13" s="1" customFormat="1" ht="14.1" customHeight="1">
      <c r="A22" s="53"/>
      <c r="B22" s="57" t="s">
        <v>81</v>
      </c>
      <c r="C22" s="58"/>
      <c r="D22" s="59" t="s">
        <v>80</v>
      </c>
      <c r="E22" s="60"/>
      <c r="F22" s="60"/>
      <c r="G22" s="61"/>
      <c r="H22" s="46"/>
      <c r="I22" s="46"/>
      <c r="J22" s="44"/>
      <c r="K22" s="46"/>
      <c r="L22" s="46"/>
      <c r="M22" s="48"/>
    </row>
    <row r="23" spans="1:13" s="1" customFormat="1" ht="14.1" customHeight="1">
      <c r="A23" s="52">
        <v>11</v>
      </c>
      <c r="B23" s="36" t="s">
        <v>79</v>
      </c>
      <c r="C23" s="37"/>
      <c r="D23" s="76" t="s">
        <v>78</v>
      </c>
      <c r="E23" s="77"/>
      <c r="F23" s="77"/>
      <c r="G23" s="78"/>
      <c r="H23" s="27">
        <f>SUM(I23)-3.6</f>
        <v>33.699999999999996</v>
      </c>
      <c r="I23" s="27">
        <f>SUM(J23)-3.6</f>
        <v>37.299999999999997</v>
      </c>
      <c r="J23" s="41">
        <v>40.9</v>
      </c>
      <c r="K23" s="27">
        <f>SUM(J23)+3.4</f>
        <v>44.3</v>
      </c>
      <c r="L23" s="27">
        <f>SUM(K23)+3.2</f>
        <v>47.5</v>
      </c>
      <c r="M23" s="62">
        <f>SUM(L23)+3.2</f>
        <v>50.7</v>
      </c>
    </row>
    <row r="24" spans="1:13" s="1" customFormat="1" ht="14.1" customHeight="1">
      <c r="A24" s="52"/>
      <c r="B24" s="63" t="s">
        <v>77</v>
      </c>
      <c r="C24" s="64"/>
      <c r="D24" s="65" t="s">
        <v>76</v>
      </c>
      <c r="E24" s="66"/>
      <c r="F24" s="66"/>
      <c r="G24" s="67"/>
      <c r="H24" s="45"/>
      <c r="I24" s="45"/>
      <c r="J24" s="43"/>
      <c r="K24" s="45"/>
      <c r="L24" s="45"/>
      <c r="M24" s="47"/>
    </row>
    <row r="25" spans="1:13" s="1" customFormat="1" ht="14.1" customHeight="1">
      <c r="A25" s="34">
        <v>12</v>
      </c>
      <c r="B25" s="36"/>
      <c r="C25" s="37"/>
      <c r="D25" s="76"/>
      <c r="E25" s="77"/>
      <c r="F25" s="77"/>
      <c r="G25" s="78"/>
      <c r="H25" s="27"/>
      <c r="I25" s="27"/>
      <c r="J25" s="41"/>
      <c r="K25" s="27"/>
      <c r="L25" s="27"/>
      <c r="M25" s="62"/>
    </row>
    <row r="26" spans="1:13" s="1" customFormat="1" ht="14.1" customHeight="1" thickBot="1">
      <c r="A26" s="52"/>
      <c r="B26" s="63"/>
      <c r="C26" s="64"/>
      <c r="D26" s="65"/>
      <c r="E26" s="66"/>
      <c r="F26" s="66"/>
      <c r="G26" s="67"/>
      <c r="H26" s="45"/>
      <c r="I26" s="45"/>
      <c r="J26" s="43"/>
      <c r="K26" s="45"/>
      <c r="L26" s="45"/>
      <c r="M26" s="47"/>
    </row>
    <row r="27" spans="1:13" s="1" customFormat="1" ht="14.1" customHeight="1" thickTop="1">
      <c r="A27" s="68">
        <v>13</v>
      </c>
      <c r="B27" s="69" t="s">
        <v>108</v>
      </c>
      <c r="C27" s="70"/>
      <c r="D27" s="71"/>
      <c r="E27" s="72"/>
      <c r="F27" s="72"/>
      <c r="G27" s="73"/>
      <c r="H27" s="74">
        <f>SUM(I27)-4.5</f>
        <v>63</v>
      </c>
      <c r="I27" s="55">
        <f>SUM(J27)-4.5</f>
        <v>67.5</v>
      </c>
      <c r="J27" s="54">
        <v>72</v>
      </c>
      <c r="K27" s="55">
        <f>SUM(J27)+4.5</f>
        <v>76.5</v>
      </c>
      <c r="L27" s="55">
        <f t="shared" ref="L27:M27" si="1">SUM(K27)+4.5</f>
        <v>81</v>
      </c>
      <c r="M27" s="56">
        <f t="shared" si="1"/>
        <v>85.5</v>
      </c>
    </row>
    <row r="28" spans="1:13" s="1" customFormat="1" ht="14.1" customHeight="1">
      <c r="A28" s="53"/>
      <c r="B28" s="57" t="s">
        <v>109</v>
      </c>
      <c r="C28" s="58"/>
      <c r="D28" s="59"/>
      <c r="E28" s="60"/>
      <c r="F28" s="60"/>
      <c r="G28" s="61"/>
      <c r="H28" s="75"/>
      <c r="I28" s="46"/>
      <c r="J28" s="44"/>
      <c r="K28" s="46"/>
      <c r="L28" s="46"/>
      <c r="M28" s="48"/>
    </row>
    <row r="29" spans="1:13" s="1" customFormat="1" ht="14.1" customHeight="1">
      <c r="A29" s="52">
        <v>14</v>
      </c>
      <c r="B29" s="36" t="s">
        <v>203</v>
      </c>
      <c r="C29" s="37"/>
      <c r="D29" s="38"/>
      <c r="E29" s="39"/>
      <c r="F29" s="39"/>
      <c r="G29" s="40"/>
      <c r="H29" s="27">
        <f>SUM(I29)-2.5</f>
        <v>27</v>
      </c>
      <c r="I29" s="27">
        <f>SUM(J29)-2.5</f>
        <v>29.5</v>
      </c>
      <c r="J29" s="43">
        <v>32</v>
      </c>
      <c r="K29" s="45">
        <f>SUM(J29)+2.5</f>
        <v>34.5</v>
      </c>
      <c r="L29" s="45">
        <f t="shared" ref="L29:M29" si="2">SUM(K29)+2.5</f>
        <v>37</v>
      </c>
      <c r="M29" s="47">
        <f t="shared" si="2"/>
        <v>39.5</v>
      </c>
    </row>
    <row r="30" spans="1:13" s="1" customFormat="1" ht="14.1" customHeight="1">
      <c r="A30" s="53"/>
      <c r="B30" s="46" t="s">
        <v>204</v>
      </c>
      <c r="C30" s="46"/>
      <c r="D30" s="49" t="s">
        <v>205</v>
      </c>
      <c r="E30" s="50"/>
      <c r="F30" s="50"/>
      <c r="G30" s="51"/>
      <c r="H30" s="46"/>
      <c r="I30" s="46"/>
      <c r="J30" s="44"/>
      <c r="K30" s="46"/>
      <c r="L30" s="46"/>
      <c r="M30" s="48"/>
    </row>
    <row r="31" spans="1:13" s="1" customFormat="1" ht="14.1" customHeight="1">
      <c r="A31" s="52">
        <v>15</v>
      </c>
      <c r="B31" s="36" t="s">
        <v>212</v>
      </c>
      <c r="C31" s="37"/>
      <c r="D31" s="38"/>
      <c r="E31" s="39"/>
      <c r="F31" s="39"/>
      <c r="G31" s="40"/>
      <c r="H31" s="27">
        <f>SUM(I31)-0.8</f>
        <v>9.1999999999999993</v>
      </c>
      <c r="I31" s="27">
        <f>SUM(J31)-0.8</f>
        <v>10</v>
      </c>
      <c r="J31" s="43">
        <v>10.8</v>
      </c>
      <c r="K31" s="45">
        <f>SUM(J31)+0.8</f>
        <v>11.600000000000001</v>
      </c>
      <c r="L31" s="45">
        <f>SUM(K31)+0.8</f>
        <v>12.400000000000002</v>
      </c>
      <c r="M31" s="47">
        <f>SUM(L31)+0.8</f>
        <v>13.200000000000003</v>
      </c>
    </row>
    <row r="32" spans="1:13" s="1" customFormat="1" ht="14.1" customHeight="1">
      <c r="A32" s="53"/>
      <c r="B32" s="46" t="s">
        <v>213</v>
      </c>
      <c r="C32" s="46"/>
      <c r="D32" s="49" t="s">
        <v>248</v>
      </c>
      <c r="E32" s="50"/>
      <c r="F32" s="50"/>
      <c r="G32" s="51"/>
      <c r="H32" s="46"/>
      <c r="I32" s="46"/>
      <c r="J32" s="44"/>
      <c r="K32" s="46"/>
      <c r="L32" s="46"/>
      <c r="M32" s="48"/>
    </row>
    <row r="33" spans="1:13" s="1" customFormat="1" ht="14.1" customHeight="1">
      <c r="A33" s="52">
        <v>16</v>
      </c>
      <c r="B33" s="36" t="s">
        <v>214</v>
      </c>
      <c r="C33" s="37"/>
      <c r="D33" s="38"/>
      <c r="E33" s="39"/>
      <c r="F33" s="39"/>
      <c r="G33" s="40"/>
      <c r="H33" s="27">
        <f t="shared" ref="H33:I33" si="3">SUM(I33)-0.8</f>
        <v>7.8999999999999995</v>
      </c>
      <c r="I33" s="27">
        <f t="shared" si="3"/>
        <v>8.6999999999999993</v>
      </c>
      <c r="J33" s="43">
        <v>9.5</v>
      </c>
      <c r="K33" s="45">
        <f t="shared" ref="K33:M33" si="4">SUM(J33)+0.8</f>
        <v>10.3</v>
      </c>
      <c r="L33" s="45">
        <f t="shared" si="4"/>
        <v>11.100000000000001</v>
      </c>
      <c r="M33" s="47">
        <f t="shared" si="4"/>
        <v>11.900000000000002</v>
      </c>
    </row>
    <row r="34" spans="1:13" ht="14.1" customHeight="1">
      <c r="A34" s="53"/>
      <c r="B34" s="46" t="s">
        <v>215</v>
      </c>
      <c r="C34" s="46"/>
      <c r="D34" s="49" t="s">
        <v>247</v>
      </c>
      <c r="E34" s="50"/>
      <c r="F34" s="50"/>
      <c r="G34" s="51"/>
      <c r="H34" s="46"/>
      <c r="I34" s="46"/>
      <c r="J34" s="44"/>
      <c r="K34" s="46"/>
      <c r="L34" s="46"/>
      <c r="M34" s="48"/>
    </row>
    <row r="35" spans="1:13" ht="14.1" customHeight="1">
      <c r="A35" s="52">
        <v>17</v>
      </c>
      <c r="B35" s="36" t="s">
        <v>245</v>
      </c>
      <c r="C35" s="37"/>
      <c r="D35" s="38"/>
      <c r="E35" s="39"/>
      <c r="F35" s="39"/>
      <c r="G35" s="40"/>
      <c r="H35" s="27">
        <f>SUM(I35)-0.9</f>
        <v>9.8999999999999986</v>
      </c>
      <c r="I35" s="27">
        <f>SUM(J35)-0.9</f>
        <v>10.799999999999999</v>
      </c>
      <c r="J35" s="43">
        <v>11.7</v>
      </c>
      <c r="K35" s="45">
        <f>SUM(J35)+0.9</f>
        <v>12.6</v>
      </c>
      <c r="L35" s="45">
        <f>SUM(K35)+0.9</f>
        <v>13.5</v>
      </c>
      <c r="M35" s="47">
        <f>SUM(L35)+0.9</f>
        <v>14.4</v>
      </c>
    </row>
    <row r="36" spans="1:13" ht="14.1" customHeight="1">
      <c r="A36" s="52"/>
      <c r="B36" s="46" t="s">
        <v>246</v>
      </c>
      <c r="C36" s="46"/>
      <c r="D36" s="49"/>
      <c r="E36" s="50"/>
      <c r="F36" s="50"/>
      <c r="G36" s="51"/>
      <c r="H36" s="46"/>
      <c r="I36" s="46"/>
      <c r="J36" s="44"/>
      <c r="K36" s="46"/>
      <c r="L36" s="46"/>
      <c r="M36" s="48"/>
    </row>
    <row r="37" spans="1:13" ht="14.1" customHeight="1">
      <c r="A37" s="34">
        <v>18</v>
      </c>
      <c r="B37" s="36"/>
      <c r="C37" s="37"/>
      <c r="D37" s="38"/>
      <c r="E37" s="39"/>
      <c r="F37" s="39"/>
      <c r="G37" s="40"/>
      <c r="H37" s="27"/>
      <c r="I37" s="27"/>
      <c r="J37" s="41"/>
      <c r="K37" s="27"/>
      <c r="L37" s="27"/>
      <c r="M37" s="29"/>
    </row>
    <row r="38" spans="1:13" ht="14.1" customHeight="1" thickBot="1">
      <c r="A38" s="35"/>
      <c r="B38" s="28"/>
      <c r="C38" s="28"/>
      <c r="D38" s="31"/>
      <c r="E38" s="32"/>
      <c r="F38" s="32"/>
      <c r="G38" s="33"/>
      <c r="H38" s="28"/>
      <c r="I38" s="28"/>
      <c r="J38" s="42"/>
      <c r="K38" s="28"/>
      <c r="L38" s="28"/>
      <c r="M38" s="30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8700-F87F-4BBA-87F2-68D24163EE5A}">
  <sheetPr codeName="Sheet33">
    <tabColor theme="5"/>
    <pageSetUpPr fitToPage="1"/>
  </sheetPr>
  <dimension ref="A1:M47"/>
  <sheetViews>
    <sheetView zoomScale="110" zoomScaleNormal="110" workbookViewId="0">
      <selection activeCell="D31" sqref="D31:G3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490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27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 t="shared" ref="L3" si="0">SUM(K3)+3</f>
        <v>57</v>
      </c>
      <c r="M3" s="97"/>
    </row>
    <row r="4" spans="1:13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46"/>
      <c r="I4" s="46"/>
      <c r="J4" s="44"/>
      <c r="K4" s="46"/>
      <c r="L4" s="46"/>
      <c r="M4" s="48"/>
    </row>
    <row r="5" spans="1:13" s="1" customFormat="1" ht="14.1" customHeight="1">
      <c r="A5" s="52">
        <v>2</v>
      </c>
      <c r="B5" s="36" t="s">
        <v>11</v>
      </c>
      <c r="C5" s="37"/>
      <c r="D5" s="76" t="s">
        <v>12</v>
      </c>
      <c r="E5" s="77"/>
      <c r="F5" s="77"/>
      <c r="G5" s="78"/>
      <c r="H5" s="27">
        <f>SUM(I5)-3.2</f>
        <v>51.999999999999993</v>
      </c>
      <c r="I5" s="27">
        <f>SUM(J5)-3.2</f>
        <v>55.199999999999996</v>
      </c>
      <c r="J5" s="41">
        <v>58.4</v>
      </c>
      <c r="K5" s="27">
        <f>SUM(J5)+3.2</f>
        <v>61.6</v>
      </c>
      <c r="L5" s="27">
        <f>SUM(K5)+3.2</f>
        <v>64.8</v>
      </c>
      <c r="M5" s="62"/>
    </row>
    <row r="6" spans="1:13" s="1" customFormat="1" ht="14.1" customHeight="1">
      <c r="A6" s="53"/>
      <c r="B6" s="57" t="s">
        <v>48</v>
      </c>
      <c r="C6" s="58"/>
      <c r="D6" s="59" t="s">
        <v>88</v>
      </c>
      <c r="E6" s="60"/>
      <c r="F6" s="60"/>
      <c r="G6" s="61"/>
      <c r="H6" s="46"/>
      <c r="I6" s="46"/>
      <c r="J6" s="44"/>
      <c r="K6" s="46"/>
      <c r="L6" s="46"/>
      <c r="M6" s="48"/>
    </row>
    <row r="7" spans="1:13" s="1" customFormat="1" ht="14.1" customHeight="1">
      <c r="A7" s="52">
        <v>3</v>
      </c>
      <c r="B7" s="36" t="s">
        <v>101</v>
      </c>
      <c r="C7" s="37"/>
      <c r="D7" s="76"/>
      <c r="E7" s="77"/>
      <c r="F7" s="77"/>
      <c r="G7" s="78"/>
      <c r="H7" s="27">
        <f>SUM(I7)-0.7</f>
        <v>13.400000000000002</v>
      </c>
      <c r="I7" s="27">
        <f>SUM(J7)-0.7</f>
        <v>14.100000000000001</v>
      </c>
      <c r="J7" s="41">
        <v>14.8</v>
      </c>
      <c r="K7" s="27">
        <f>SUM(J7)+1.2</f>
        <v>16</v>
      </c>
      <c r="L7" s="27">
        <f>SUM(K7)+0.7</f>
        <v>16.7</v>
      </c>
      <c r="M7" s="62"/>
    </row>
    <row r="8" spans="1:13" s="1" customFormat="1" ht="14.1" customHeight="1">
      <c r="A8" s="53"/>
      <c r="B8" s="57" t="s">
        <v>100</v>
      </c>
      <c r="C8" s="58"/>
      <c r="D8" s="82" t="s">
        <v>110</v>
      </c>
      <c r="E8" s="83"/>
      <c r="F8" s="83"/>
      <c r="G8" s="84"/>
      <c r="H8" s="46"/>
      <c r="I8" s="46"/>
      <c r="J8" s="44"/>
      <c r="K8" s="46"/>
      <c r="L8" s="46"/>
      <c r="M8" s="48"/>
    </row>
    <row r="9" spans="1:13" s="1" customFormat="1" ht="14.1" customHeight="1">
      <c r="A9" s="52">
        <v>4</v>
      </c>
      <c r="B9" s="36" t="s">
        <v>491</v>
      </c>
      <c r="C9" s="37"/>
      <c r="D9" s="76" t="s">
        <v>69</v>
      </c>
      <c r="E9" s="77"/>
      <c r="F9" s="77"/>
      <c r="G9" s="78"/>
      <c r="H9" s="27">
        <f>SUM(I9)-7</f>
        <v>51</v>
      </c>
      <c r="I9" s="27">
        <f>SUM(J9)-7</f>
        <v>58</v>
      </c>
      <c r="J9" s="41">
        <v>65</v>
      </c>
      <c r="K9" s="27">
        <f>SUM(J9)+6</f>
        <v>71</v>
      </c>
      <c r="L9" s="27">
        <f>SUM(K9)+6</f>
        <v>77</v>
      </c>
      <c r="M9" s="62"/>
    </row>
    <row r="10" spans="1:13" s="1" customFormat="1" ht="14.1" customHeight="1">
      <c r="A10" s="53"/>
      <c r="B10" s="57" t="s">
        <v>49</v>
      </c>
      <c r="C10" s="58"/>
      <c r="D10" s="59" t="s">
        <v>87</v>
      </c>
      <c r="E10" s="60"/>
      <c r="F10" s="60"/>
      <c r="G10" s="61"/>
      <c r="H10" s="46"/>
      <c r="I10" s="46"/>
      <c r="J10" s="44"/>
      <c r="K10" s="46"/>
      <c r="L10" s="46"/>
      <c r="M10" s="48"/>
    </row>
    <row r="11" spans="1:13" s="1" customFormat="1" ht="14.1" customHeight="1">
      <c r="A11" s="52">
        <v>5</v>
      </c>
      <c r="B11" s="36" t="s">
        <v>14</v>
      </c>
      <c r="C11" s="37"/>
      <c r="D11" s="76" t="s">
        <v>15</v>
      </c>
      <c r="E11" s="77"/>
      <c r="F11" s="77"/>
      <c r="G11" s="78"/>
      <c r="H11" s="27">
        <f>SUM(I11)-1.8</f>
        <v>32.900000000000006</v>
      </c>
      <c r="I11" s="27">
        <f>SUM(J11)-1.8</f>
        <v>34.700000000000003</v>
      </c>
      <c r="J11" s="41">
        <v>36.5</v>
      </c>
      <c r="K11" s="27">
        <f>SUM(J11)+1.8</f>
        <v>38.299999999999997</v>
      </c>
      <c r="L11" s="27">
        <f>SUM(K11)+1.8</f>
        <v>40.099999999999994</v>
      </c>
      <c r="M11" s="62"/>
    </row>
    <row r="12" spans="1:13" s="1" customFormat="1" ht="14.1" customHeight="1">
      <c r="A12" s="53"/>
      <c r="B12" s="57" t="s">
        <v>50</v>
      </c>
      <c r="C12" s="58"/>
      <c r="D12" s="79" t="s">
        <v>86</v>
      </c>
      <c r="E12" s="80"/>
      <c r="F12" s="80"/>
      <c r="G12" s="81"/>
      <c r="H12" s="46"/>
      <c r="I12" s="46"/>
      <c r="J12" s="44"/>
      <c r="K12" s="46"/>
      <c r="L12" s="46"/>
      <c r="M12" s="48"/>
    </row>
    <row r="13" spans="1:13" s="1" customFormat="1" ht="14.1" customHeight="1">
      <c r="A13" s="52">
        <v>6</v>
      </c>
      <c r="B13" s="36" t="s">
        <v>16</v>
      </c>
      <c r="C13" s="37"/>
      <c r="D13" s="76" t="s">
        <v>13</v>
      </c>
      <c r="E13" s="77"/>
      <c r="F13" s="77"/>
      <c r="G13" s="78"/>
      <c r="H13" s="98">
        <f>SUM(I13)-1.1</f>
        <v>20.599999999999998</v>
      </c>
      <c r="I13" s="27">
        <f>SUM(J13)-1.1</f>
        <v>21.7</v>
      </c>
      <c r="J13" s="41">
        <v>22.8</v>
      </c>
      <c r="K13" s="27">
        <f>SUM(J13)+1.6</f>
        <v>24.400000000000002</v>
      </c>
      <c r="L13" s="27">
        <f>SUM(K13)+1.1</f>
        <v>25.500000000000004</v>
      </c>
      <c r="M13" s="62"/>
    </row>
    <row r="14" spans="1:13" s="1" customFormat="1" ht="14.1" customHeight="1">
      <c r="A14" s="53"/>
      <c r="B14" s="57" t="s">
        <v>56</v>
      </c>
      <c r="C14" s="58"/>
      <c r="D14" s="59" t="s">
        <v>85</v>
      </c>
      <c r="E14" s="60"/>
      <c r="F14" s="60"/>
      <c r="G14" s="61"/>
      <c r="H14" s="75"/>
      <c r="I14" s="46"/>
      <c r="J14" s="44"/>
      <c r="K14" s="46"/>
      <c r="L14" s="46"/>
      <c r="M14" s="48"/>
    </row>
    <row r="15" spans="1:13" s="1" customFormat="1" ht="14.1" customHeight="1">
      <c r="A15" s="52">
        <v>7</v>
      </c>
      <c r="B15" s="36" t="s">
        <v>17</v>
      </c>
      <c r="C15" s="37"/>
      <c r="D15" s="76" t="s">
        <v>13</v>
      </c>
      <c r="E15" s="77"/>
      <c r="F15" s="77"/>
      <c r="G15" s="78"/>
      <c r="H15" s="27">
        <f>SUM(I15)-1.2</f>
        <v>24</v>
      </c>
      <c r="I15" s="27">
        <f>SUM(J15)-1.2</f>
        <v>25.2</v>
      </c>
      <c r="J15" s="41">
        <v>26.4</v>
      </c>
      <c r="K15" s="27">
        <f>SUM(J15)+1.8</f>
        <v>28.2</v>
      </c>
      <c r="L15" s="27">
        <f>SUM(K15)+1.3</f>
        <v>29.5</v>
      </c>
      <c r="M15" s="62"/>
    </row>
    <row r="16" spans="1:13" s="1" customFormat="1" ht="14.1" customHeight="1">
      <c r="A16" s="53"/>
      <c r="B16" s="57" t="s">
        <v>55</v>
      </c>
      <c r="C16" s="58"/>
      <c r="D16" s="59" t="s">
        <v>85</v>
      </c>
      <c r="E16" s="60"/>
      <c r="F16" s="60"/>
      <c r="G16" s="61"/>
      <c r="H16" s="46"/>
      <c r="I16" s="46"/>
      <c r="J16" s="44"/>
      <c r="K16" s="46"/>
      <c r="L16" s="46"/>
      <c r="M16" s="48"/>
    </row>
    <row r="17" spans="1:13" s="1" customFormat="1" ht="14.1" customHeight="1">
      <c r="A17" s="52">
        <v>8</v>
      </c>
      <c r="B17" s="36" t="s">
        <v>18</v>
      </c>
      <c r="C17" s="37"/>
      <c r="D17" s="76" t="s">
        <v>19</v>
      </c>
      <c r="E17" s="77"/>
      <c r="F17" s="77"/>
      <c r="G17" s="78"/>
      <c r="H17" s="27">
        <f>SUM(I17)-2.2</f>
        <v>28.5</v>
      </c>
      <c r="I17" s="27">
        <f>SUM(J17)-2.2</f>
        <v>30.7</v>
      </c>
      <c r="J17" s="41">
        <v>32.9</v>
      </c>
      <c r="K17" s="27">
        <f>SUM(J17)+2.1</f>
        <v>35</v>
      </c>
      <c r="L17" s="27">
        <f>SUM(K17)+2.1</f>
        <v>37.1</v>
      </c>
      <c r="M17" s="62"/>
    </row>
    <row r="18" spans="1:13" s="1" customFormat="1" ht="14.1" customHeight="1">
      <c r="A18" s="53"/>
      <c r="B18" s="57" t="s">
        <v>54</v>
      </c>
      <c r="C18" s="58"/>
      <c r="D18" s="59" t="s">
        <v>84</v>
      </c>
      <c r="E18" s="60"/>
      <c r="F18" s="60"/>
      <c r="G18" s="61"/>
      <c r="H18" s="46"/>
      <c r="I18" s="46"/>
      <c r="J18" s="44"/>
      <c r="K18" s="46"/>
      <c r="L18" s="46"/>
      <c r="M18" s="48"/>
    </row>
    <row r="19" spans="1:13" s="1" customFormat="1" ht="14.1" customHeight="1">
      <c r="A19" s="52">
        <v>9</v>
      </c>
      <c r="B19" s="36" t="s">
        <v>20</v>
      </c>
      <c r="C19" s="37"/>
      <c r="D19" s="76" t="s">
        <v>21</v>
      </c>
      <c r="E19" s="77"/>
      <c r="F19" s="77"/>
      <c r="G19" s="78"/>
      <c r="H19" s="27">
        <f>SUM(I19)-6</f>
        <v>31</v>
      </c>
      <c r="I19" s="27">
        <f>SUM(J19)-6</f>
        <v>37</v>
      </c>
      <c r="J19" s="41">
        <v>43</v>
      </c>
      <c r="K19" s="27">
        <f>SUM(J19)+4.5</f>
        <v>47.5</v>
      </c>
      <c r="L19" s="27">
        <f>SUM(K19)+5</f>
        <v>52.5</v>
      </c>
      <c r="M19" s="62"/>
    </row>
    <row r="20" spans="1:13" s="1" customFormat="1" ht="14.1" customHeight="1">
      <c r="A20" s="53"/>
      <c r="B20" s="57" t="s">
        <v>53</v>
      </c>
      <c r="C20" s="58"/>
      <c r="D20" s="59" t="s">
        <v>83</v>
      </c>
      <c r="E20" s="60"/>
      <c r="F20" s="60"/>
      <c r="G20" s="61"/>
      <c r="H20" s="46"/>
      <c r="I20" s="46"/>
      <c r="J20" s="44"/>
      <c r="K20" s="46"/>
      <c r="L20" s="46"/>
      <c r="M20" s="48"/>
    </row>
    <row r="21" spans="1:13" s="1" customFormat="1" ht="14.1" customHeight="1">
      <c r="A21" s="52">
        <v>10</v>
      </c>
      <c r="B21" s="36" t="s">
        <v>82</v>
      </c>
      <c r="C21" s="37"/>
      <c r="D21" s="76" t="s">
        <v>80</v>
      </c>
      <c r="E21" s="77"/>
      <c r="F21" s="77"/>
      <c r="G21" s="78"/>
      <c r="H21" s="27">
        <f>SUM(I21)-1.2</f>
        <v>23.8</v>
      </c>
      <c r="I21" s="27">
        <f>SUM(J21)-1.2</f>
        <v>25</v>
      </c>
      <c r="J21" s="41">
        <v>26.2</v>
      </c>
      <c r="K21" s="27">
        <f>SUM(J21)+1.2</f>
        <v>27.4</v>
      </c>
      <c r="L21" s="27">
        <f>SUM(K21)+1.2</f>
        <v>28.599999999999998</v>
      </c>
      <c r="M21" s="62"/>
    </row>
    <row r="22" spans="1:13" s="1" customFormat="1" ht="14.1" customHeight="1">
      <c r="A22" s="53"/>
      <c r="B22" s="57" t="s">
        <v>81</v>
      </c>
      <c r="C22" s="58"/>
      <c r="D22" s="59" t="s">
        <v>80</v>
      </c>
      <c r="E22" s="60"/>
      <c r="F22" s="60"/>
      <c r="G22" s="61"/>
      <c r="H22" s="46"/>
      <c r="I22" s="46"/>
      <c r="J22" s="44"/>
      <c r="K22" s="46"/>
      <c r="L22" s="46"/>
      <c r="M22" s="48"/>
    </row>
    <row r="23" spans="1:13" s="1" customFormat="1" ht="14.1" customHeight="1">
      <c r="A23" s="52">
        <v>11</v>
      </c>
      <c r="B23" s="36" t="s">
        <v>79</v>
      </c>
      <c r="C23" s="37"/>
      <c r="D23" s="76" t="s">
        <v>78</v>
      </c>
      <c r="E23" s="77"/>
      <c r="F23" s="77"/>
      <c r="G23" s="78"/>
      <c r="H23" s="27">
        <f>SUM(I23)-3.4</f>
        <v>32.6</v>
      </c>
      <c r="I23" s="27">
        <f>SUM(J23)-3.4</f>
        <v>36</v>
      </c>
      <c r="J23" s="41">
        <v>39.4</v>
      </c>
      <c r="K23" s="27">
        <f>SUM(J23)+3.3</f>
        <v>42.699999999999996</v>
      </c>
      <c r="L23" s="27">
        <f>SUM(K23)+3</f>
        <v>45.699999999999996</v>
      </c>
      <c r="M23" s="62"/>
    </row>
    <row r="24" spans="1:13" s="1" customFormat="1" ht="14.1" customHeight="1">
      <c r="A24" s="52"/>
      <c r="B24" s="63" t="s">
        <v>77</v>
      </c>
      <c r="C24" s="64"/>
      <c r="D24" s="65" t="s">
        <v>76</v>
      </c>
      <c r="E24" s="66"/>
      <c r="F24" s="66"/>
      <c r="G24" s="67"/>
      <c r="H24" s="45"/>
      <c r="I24" s="45"/>
      <c r="J24" s="43"/>
      <c r="K24" s="45"/>
      <c r="L24" s="45"/>
      <c r="M24" s="47"/>
    </row>
    <row r="25" spans="1:13" s="1" customFormat="1" ht="14.1" customHeight="1">
      <c r="A25" s="34">
        <v>12</v>
      </c>
      <c r="B25" s="36" t="s">
        <v>492</v>
      </c>
      <c r="C25" s="37"/>
      <c r="D25" s="76"/>
      <c r="E25" s="77"/>
      <c r="F25" s="77"/>
      <c r="G25" s="78"/>
      <c r="H25" s="27">
        <f>SUM(I25)-1.7</f>
        <v>12.600000000000001</v>
      </c>
      <c r="I25" s="27">
        <f>SUM(J25)-1.7</f>
        <v>14.3</v>
      </c>
      <c r="J25" s="41">
        <v>16</v>
      </c>
      <c r="K25" s="27">
        <f>SUM(J25)+1.5</f>
        <v>17.5</v>
      </c>
      <c r="L25" s="27">
        <f t="shared" ref="L25" si="1">SUM(K25)+1.5</f>
        <v>19</v>
      </c>
      <c r="M25" s="62"/>
    </row>
    <row r="26" spans="1:13" s="1" customFormat="1" ht="14.1" customHeight="1" thickBot="1">
      <c r="A26" s="52"/>
      <c r="B26" s="63" t="s">
        <v>493</v>
      </c>
      <c r="C26" s="64"/>
      <c r="D26" s="102"/>
      <c r="E26" s="103"/>
      <c r="F26" s="103"/>
      <c r="G26" s="104"/>
      <c r="H26" s="45"/>
      <c r="I26" s="45"/>
      <c r="J26" s="43"/>
      <c r="K26" s="45"/>
      <c r="L26" s="45"/>
      <c r="M26" s="47"/>
    </row>
    <row r="27" spans="1:13" s="1" customFormat="1" ht="14.1" customHeight="1" thickTop="1">
      <c r="A27" s="68">
        <v>13</v>
      </c>
      <c r="B27" s="69" t="s">
        <v>203</v>
      </c>
      <c r="C27" s="70"/>
      <c r="D27" s="99"/>
      <c r="E27" s="100"/>
      <c r="F27" s="100"/>
      <c r="G27" s="101"/>
      <c r="H27" s="55">
        <f>SUM(I27)-2.5</f>
        <v>22</v>
      </c>
      <c r="I27" s="55">
        <f>SUM(J27)-2.5</f>
        <v>24.5</v>
      </c>
      <c r="J27" s="54">
        <v>27</v>
      </c>
      <c r="K27" s="55">
        <f>SUM(J27)+2.5</f>
        <v>29.5</v>
      </c>
      <c r="L27" s="55">
        <f t="shared" ref="L27" si="2">SUM(K27)+2.5</f>
        <v>32</v>
      </c>
      <c r="M27" s="56"/>
    </row>
    <row r="28" spans="1:13" s="1" customFormat="1" ht="14.1" customHeight="1">
      <c r="A28" s="53"/>
      <c r="B28" s="46" t="s">
        <v>204</v>
      </c>
      <c r="C28" s="46"/>
      <c r="D28" s="49" t="s">
        <v>205</v>
      </c>
      <c r="E28" s="50"/>
      <c r="F28" s="50"/>
      <c r="G28" s="51"/>
      <c r="H28" s="46"/>
      <c r="I28" s="46"/>
      <c r="J28" s="44"/>
      <c r="K28" s="46"/>
      <c r="L28" s="46"/>
      <c r="M28" s="48"/>
    </row>
    <row r="29" spans="1:13" s="1" customFormat="1" ht="14.1" customHeight="1">
      <c r="A29" s="52">
        <v>14</v>
      </c>
      <c r="B29" s="36" t="s">
        <v>206</v>
      </c>
      <c r="C29" s="37"/>
      <c r="D29" s="38"/>
      <c r="E29" s="39"/>
      <c r="F29" s="39"/>
      <c r="G29" s="40"/>
      <c r="H29" s="27">
        <f>SUM(I29)-1.2</f>
        <v>10.100000000000001</v>
      </c>
      <c r="I29" s="27">
        <f>SUM(J29)-1.2</f>
        <v>11.3</v>
      </c>
      <c r="J29" s="43">
        <v>12.5</v>
      </c>
      <c r="K29" s="45">
        <f>SUM(J29)+1.2</f>
        <v>13.7</v>
      </c>
      <c r="L29" s="45">
        <f>SUM(K29)+1.2</f>
        <v>14.899999999999999</v>
      </c>
      <c r="M29" s="47"/>
    </row>
    <row r="30" spans="1:13" s="1" customFormat="1" ht="14.1" customHeight="1">
      <c r="A30" s="53"/>
      <c r="B30" s="46" t="s">
        <v>207</v>
      </c>
      <c r="C30" s="46"/>
      <c r="D30" s="49" t="s">
        <v>208</v>
      </c>
      <c r="E30" s="50"/>
      <c r="F30" s="50"/>
      <c r="G30" s="51"/>
      <c r="H30" s="46"/>
      <c r="I30" s="46"/>
      <c r="J30" s="44"/>
      <c r="K30" s="46"/>
      <c r="L30" s="46"/>
      <c r="M30" s="48"/>
    </row>
    <row r="31" spans="1:13" s="1" customFormat="1" ht="14.1" customHeight="1">
      <c r="A31" s="52">
        <v>15</v>
      </c>
      <c r="B31" s="36" t="s">
        <v>212</v>
      </c>
      <c r="C31" s="37"/>
      <c r="D31" s="38"/>
      <c r="E31" s="39"/>
      <c r="F31" s="39"/>
      <c r="G31" s="40"/>
      <c r="H31" s="27">
        <f>SUM(I31)-0.6</f>
        <v>6.0000000000000009</v>
      </c>
      <c r="I31" s="27">
        <f>SUM(J31)-0.6</f>
        <v>6.6000000000000005</v>
      </c>
      <c r="J31" s="43">
        <v>7.2</v>
      </c>
      <c r="K31" s="45">
        <f>SUM(J31)+0.6</f>
        <v>7.8</v>
      </c>
      <c r="L31" s="45">
        <f>SUM(K31)+0.6</f>
        <v>8.4</v>
      </c>
      <c r="M31" s="47"/>
    </row>
    <row r="32" spans="1:13" s="1" customFormat="1" ht="14.1" customHeight="1">
      <c r="A32" s="53"/>
      <c r="B32" s="46" t="s">
        <v>213</v>
      </c>
      <c r="C32" s="46"/>
      <c r="D32" s="49" t="s">
        <v>285</v>
      </c>
      <c r="E32" s="50"/>
      <c r="F32" s="50"/>
      <c r="G32" s="51"/>
      <c r="H32" s="46"/>
      <c r="I32" s="46"/>
      <c r="J32" s="44"/>
      <c r="K32" s="46"/>
      <c r="L32" s="46"/>
      <c r="M32" s="48"/>
    </row>
    <row r="33" spans="1:13" s="1" customFormat="1" ht="14.1" customHeight="1">
      <c r="A33" s="52">
        <v>16</v>
      </c>
      <c r="B33" s="36" t="s">
        <v>214</v>
      </c>
      <c r="C33" s="37"/>
      <c r="D33" s="38"/>
      <c r="E33" s="39"/>
      <c r="F33" s="39"/>
      <c r="G33" s="40"/>
      <c r="H33" s="27">
        <f>SUM(I33)-1.3</f>
        <v>11.899999999999999</v>
      </c>
      <c r="I33" s="27">
        <f>SUM(J33)-1.3</f>
        <v>13.2</v>
      </c>
      <c r="J33" s="43">
        <v>14.5</v>
      </c>
      <c r="K33" s="45">
        <f>SUM(J33)+1.3</f>
        <v>15.8</v>
      </c>
      <c r="L33" s="45">
        <f>SUM(K33)+1.3</f>
        <v>17.100000000000001</v>
      </c>
      <c r="M33" s="47"/>
    </row>
    <row r="34" spans="1:13" ht="14.1" customHeight="1">
      <c r="A34" s="52"/>
      <c r="B34" s="46" t="s">
        <v>215</v>
      </c>
      <c r="C34" s="46"/>
      <c r="D34" s="49" t="s">
        <v>494</v>
      </c>
      <c r="E34" s="50"/>
      <c r="F34" s="50"/>
      <c r="G34" s="51"/>
      <c r="H34" s="46"/>
      <c r="I34" s="46"/>
      <c r="J34" s="44"/>
      <c r="K34" s="46"/>
      <c r="L34" s="46"/>
      <c r="M34" s="48"/>
    </row>
    <row r="35" spans="1:13" ht="14.1" customHeight="1">
      <c r="A35" s="34">
        <v>17</v>
      </c>
      <c r="B35" s="36"/>
      <c r="C35" s="37"/>
      <c r="D35" s="38"/>
      <c r="E35" s="39"/>
      <c r="F35" s="39"/>
      <c r="G35" s="40"/>
      <c r="H35" s="27"/>
      <c r="I35" s="27"/>
      <c r="J35" s="41"/>
      <c r="K35" s="27"/>
      <c r="L35" s="27"/>
      <c r="M35" s="29"/>
    </row>
    <row r="36" spans="1:13" ht="14.1" customHeight="1" thickBot="1">
      <c r="A36" s="35"/>
      <c r="B36" s="28"/>
      <c r="C36" s="28"/>
      <c r="D36" s="31"/>
      <c r="E36" s="32"/>
      <c r="F36" s="32"/>
      <c r="G36" s="33"/>
      <c r="H36" s="28"/>
      <c r="I36" s="28"/>
      <c r="J36" s="42"/>
      <c r="K36" s="28"/>
      <c r="L36" s="28"/>
      <c r="M36" s="30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57D7-DE45-428E-9064-1657CCF3653D}">
  <sheetPr codeName="Sheet34">
    <tabColor theme="5"/>
    <pageSetUpPr fitToPage="1"/>
  </sheetPr>
  <dimension ref="A1:M47"/>
  <sheetViews>
    <sheetView zoomScale="110" zoomScaleNormal="110" workbookViewId="0">
      <selection sqref="A1:M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495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27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7">
        <f>SUM(L3)+3</f>
        <v>60</v>
      </c>
    </row>
    <row r="4" spans="1:13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46"/>
      <c r="I4" s="46"/>
      <c r="J4" s="44"/>
      <c r="K4" s="46"/>
      <c r="L4" s="46"/>
      <c r="M4" s="48"/>
    </row>
    <row r="5" spans="1:13" s="1" customFormat="1" ht="14.1" customHeight="1">
      <c r="A5" s="52">
        <v>2</v>
      </c>
      <c r="B5" s="36" t="s">
        <v>11</v>
      </c>
      <c r="C5" s="37"/>
      <c r="D5" s="76" t="s">
        <v>12</v>
      </c>
      <c r="E5" s="77"/>
      <c r="F5" s="77"/>
      <c r="G5" s="78"/>
      <c r="H5" s="27">
        <f>SUM(I5)-3.2</f>
        <v>52.099999999999994</v>
      </c>
      <c r="I5" s="27">
        <f>SUM(J5)-3.2</f>
        <v>55.3</v>
      </c>
      <c r="J5" s="41">
        <v>58.5</v>
      </c>
      <c r="K5" s="27">
        <f>SUM(J5)+3.2</f>
        <v>61.7</v>
      </c>
      <c r="L5" s="27">
        <f>SUM(K5)+3.2</f>
        <v>64.900000000000006</v>
      </c>
      <c r="M5" s="62">
        <f>SUM(L5)+3.2</f>
        <v>68.100000000000009</v>
      </c>
    </row>
    <row r="6" spans="1:13" s="1" customFormat="1" ht="14.1" customHeight="1">
      <c r="A6" s="53"/>
      <c r="B6" s="57" t="s">
        <v>48</v>
      </c>
      <c r="C6" s="58"/>
      <c r="D6" s="59" t="s">
        <v>88</v>
      </c>
      <c r="E6" s="60"/>
      <c r="F6" s="60"/>
      <c r="G6" s="61"/>
      <c r="H6" s="46"/>
      <c r="I6" s="46"/>
      <c r="J6" s="44"/>
      <c r="K6" s="46"/>
      <c r="L6" s="46"/>
      <c r="M6" s="48"/>
    </row>
    <row r="7" spans="1:13" s="1" customFormat="1" ht="14.1" customHeight="1">
      <c r="A7" s="52">
        <v>3</v>
      </c>
      <c r="B7" s="36" t="s">
        <v>101</v>
      </c>
      <c r="C7" s="37"/>
      <c r="D7" s="76"/>
      <c r="E7" s="77"/>
      <c r="F7" s="77"/>
      <c r="G7" s="78"/>
      <c r="H7" s="27">
        <f>SUM(I7)-0.7</f>
        <v>10.700000000000001</v>
      </c>
      <c r="I7" s="27">
        <f>SUM(J7)-0.7</f>
        <v>11.4</v>
      </c>
      <c r="J7" s="41">
        <v>12.1</v>
      </c>
      <c r="K7" s="27">
        <f>SUM(J7)+1.2</f>
        <v>13.299999999999999</v>
      </c>
      <c r="L7" s="27">
        <f>SUM(K7)+0.7</f>
        <v>13.999999999999998</v>
      </c>
      <c r="M7" s="62">
        <f>SUM(L7)+0.7</f>
        <v>14.699999999999998</v>
      </c>
    </row>
    <row r="8" spans="1:13" s="1" customFormat="1" ht="14.1" customHeight="1">
      <c r="A8" s="53"/>
      <c r="B8" s="57" t="s">
        <v>100</v>
      </c>
      <c r="C8" s="58"/>
      <c r="D8" s="82" t="s">
        <v>110</v>
      </c>
      <c r="E8" s="83"/>
      <c r="F8" s="83"/>
      <c r="G8" s="84"/>
      <c r="H8" s="46"/>
      <c r="I8" s="46"/>
      <c r="J8" s="44"/>
      <c r="K8" s="46"/>
      <c r="L8" s="46"/>
      <c r="M8" s="48"/>
    </row>
    <row r="9" spans="1:13" s="1" customFormat="1" ht="14.1" customHeight="1">
      <c r="A9" s="52">
        <v>4</v>
      </c>
      <c r="B9" s="36" t="s">
        <v>491</v>
      </c>
      <c r="C9" s="37"/>
      <c r="D9" s="76" t="s">
        <v>69</v>
      </c>
      <c r="E9" s="77"/>
      <c r="F9" s="77"/>
      <c r="G9" s="78"/>
      <c r="H9" s="27">
        <f>SUM(I9)-7</f>
        <v>51.5</v>
      </c>
      <c r="I9" s="27">
        <f>SUM(J9)-7</f>
        <v>58.5</v>
      </c>
      <c r="J9" s="41">
        <v>65.5</v>
      </c>
      <c r="K9" s="27">
        <f>SUM(J9)+6</f>
        <v>71.5</v>
      </c>
      <c r="L9" s="27">
        <f>SUM(K9)+6</f>
        <v>77.5</v>
      </c>
      <c r="M9" s="62">
        <f>SUM(L9)+6</f>
        <v>83.5</v>
      </c>
    </row>
    <row r="10" spans="1:13" s="1" customFormat="1" ht="14.1" customHeight="1">
      <c r="A10" s="53"/>
      <c r="B10" s="57" t="s">
        <v>49</v>
      </c>
      <c r="C10" s="58"/>
      <c r="D10" s="59" t="s">
        <v>87</v>
      </c>
      <c r="E10" s="60"/>
      <c r="F10" s="60"/>
      <c r="G10" s="61"/>
      <c r="H10" s="46"/>
      <c r="I10" s="46"/>
      <c r="J10" s="44"/>
      <c r="K10" s="46"/>
      <c r="L10" s="46"/>
      <c r="M10" s="48"/>
    </row>
    <row r="11" spans="1:13" s="1" customFormat="1" ht="14.1" customHeight="1">
      <c r="A11" s="52">
        <v>5</v>
      </c>
      <c r="B11" s="36" t="s">
        <v>496</v>
      </c>
      <c r="C11" s="37"/>
      <c r="D11" s="76" t="s">
        <v>15</v>
      </c>
      <c r="E11" s="77"/>
      <c r="F11" s="77"/>
      <c r="G11" s="78"/>
      <c r="H11" s="27">
        <f>SUM(I11)-1.6</f>
        <v>28.299999999999997</v>
      </c>
      <c r="I11" s="27">
        <f>SUM(J11)-1.6</f>
        <v>29.9</v>
      </c>
      <c r="J11" s="41">
        <v>31.5</v>
      </c>
      <c r="K11" s="27">
        <f>SUM(J11)+1.6</f>
        <v>33.1</v>
      </c>
      <c r="L11" s="27">
        <f>SUM(K11)+1.6</f>
        <v>34.700000000000003</v>
      </c>
      <c r="M11" s="62">
        <f>SUM(L11)+1.6</f>
        <v>36.300000000000004</v>
      </c>
    </row>
    <row r="12" spans="1:13" s="1" customFormat="1" ht="14.1" customHeight="1">
      <c r="A12" s="53"/>
      <c r="B12" s="57" t="s">
        <v>50</v>
      </c>
      <c r="C12" s="58"/>
      <c r="D12" s="79" t="s">
        <v>86</v>
      </c>
      <c r="E12" s="80"/>
      <c r="F12" s="80"/>
      <c r="G12" s="81"/>
      <c r="H12" s="46"/>
      <c r="I12" s="46"/>
      <c r="J12" s="44"/>
      <c r="K12" s="46"/>
      <c r="L12" s="46"/>
      <c r="M12" s="48"/>
    </row>
    <row r="13" spans="1:13" s="1" customFormat="1" ht="14.1" customHeight="1">
      <c r="A13" s="52">
        <v>6</v>
      </c>
      <c r="B13" s="36" t="s">
        <v>16</v>
      </c>
      <c r="C13" s="37"/>
      <c r="D13" s="76" t="s">
        <v>13</v>
      </c>
      <c r="E13" s="77"/>
      <c r="F13" s="77"/>
      <c r="G13" s="78"/>
      <c r="H13" s="27">
        <f>SUM(I13)-1.1</f>
        <v>18.399999999999999</v>
      </c>
      <c r="I13" s="27">
        <f>SUM(J13)-1.1</f>
        <v>19.5</v>
      </c>
      <c r="J13" s="41">
        <v>20.6</v>
      </c>
      <c r="K13" s="27">
        <f>SUM(J13)+1.6</f>
        <v>22.200000000000003</v>
      </c>
      <c r="L13" s="105">
        <f>SUM(K13)+1</f>
        <v>23.200000000000003</v>
      </c>
      <c r="M13" s="107">
        <f>SUM(L13)+1</f>
        <v>24.200000000000003</v>
      </c>
    </row>
    <row r="14" spans="1:13" s="1" customFormat="1" ht="14.1" customHeight="1">
      <c r="A14" s="53"/>
      <c r="B14" s="57" t="s">
        <v>56</v>
      </c>
      <c r="C14" s="58"/>
      <c r="D14" s="59" t="s">
        <v>85</v>
      </c>
      <c r="E14" s="60"/>
      <c r="F14" s="60"/>
      <c r="G14" s="61"/>
      <c r="H14" s="46"/>
      <c r="I14" s="46"/>
      <c r="J14" s="44"/>
      <c r="K14" s="46"/>
      <c r="L14" s="106"/>
      <c r="M14" s="108"/>
    </row>
    <row r="15" spans="1:13" s="1" customFormat="1" ht="14.1" customHeight="1">
      <c r="A15" s="52">
        <v>7</v>
      </c>
      <c r="B15" s="36" t="s">
        <v>17</v>
      </c>
      <c r="C15" s="37"/>
      <c r="D15" s="76" t="s">
        <v>13</v>
      </c>
      <c r="E15" s="77"/>
      <c r="F15" s="77"/>
      <c r="G15" s="78"/>
      <c r="H15" s="27">
        <f>SUM(I15)-1.2</f>
        <v>22.3</v>
      </c>
      <c r="I15" s="27">
        <f>SUM(J15)-1.3</f>
        <v>23.5</v>
      </c>
      <c r="J15" s="41">
        <v>24.8</v>
      </c>
      <c r="K15" s="27">
        <f>SUM(J15)+1.7</f>
        <v>26.5</v>
      </c>
      <c r="L15" s="27">
        <f>SUM(K15)+1.2</f>
        <v>27.7</v>
      </c>
      <c r="M15" s="62">
        <f>SUM(L15)+1.2</f>
        <v>28.9</v>
      </c>
    </row>
    <row r="16" spans="1:13" s="1" customFormat="1" ht="14.1" customHeight="1">
      <c r="A16" s="53"/>
      <c r="B16" s="57" t="s">
        <v>55</v>
      </c>
      <c r="C16" s="58"/>
      <c r="D16" s="59" t="s">
        <v>85</v>
      </c>
      <c r="E16" s="60"/>
      <c r="F16" s="60"/>
      <c r="G16" s="61"/>
      <c r="H16" s="46"/>
      <c r="I16" s="46"/>
      <c r="J16" s="44"/>
      <c r="K16" s="46"/>
      <c r="L16" s="46"/>
      <c r="M16" s="48"/>
    </row>
    <row r="17" spans="1:13" s="1" customFormat="1" ht="14.1" customHeight="1">
      <c r="A17" s="52">
        <v>8</v>
      </c>
      <c r="B17" s="36" t="s">
        <v>18</v>
      </c>
      <c r="C17" s="37"/>
      <c r="D17" s="76" t="s">
        <v>19</v>
      </c>
      <c r="E17" s="77"/>
      <c r="F17" s="77"/>
      <c r="G17" s="78"/>
      <c r="H17" s="27">
        <f>SUM(I17)-2.2</f>
        <v>29.8</v>
      </c>
      <c r="I17" s="27">
        <f>SUM(J17)-2.2</f>
        <v>32</v>
      </c>
      <c r="J17" s="41">
        <v>34.200000000000003</v>
      </c>
      <c r="K17" s="27">
        <f>SUM(J17)+2.1</f>
        <v>36.300000000000004</v>
      </c>
      <c r="L17" s="27">
        <f>SUM(K17)+2.1</f>
        <v>38.400000000000006</v>
      </c>
      <c r="M17" s="62">
        <f>SUM(L17)+2.1</f>
        <v>40.500000000000007</v>
      </c>
    </row>
    <row r="18" spans="1:13" s="1" customFormat="1" ht="14.1" customHeight="1">
      <c r="A18" s="53"/>
      <c r="B18" s="57" t="s">
        <v>54</v>
      </c>
      <c r="C18" s="58"/>
      <c r="D18" s="59" t="s">
        <v>84</v>
      </c>
      <c r="E18" s="60"/>
      <c r="F18" s="60"/>
      <c r="G18" s="61"/>
      <c r="H18" s="46"/>
      <c r="I18" s="46"/>
      <c r="J18" s="44"/>
      <c r="K18" s="46"/>
      <c r="L18" s="46"/>
      <c r="M18" s="48"/>
    </row>
    <row r="19" spans="1:13" s="1" customFormat="1" ht="14.1" customHeight="1">
      <c r="A19" s="52">
        <v>9</v>
      </c>
      <c r="B19" s="36" t="s">
        <v>20</v>
      </c>
      <c r="C19" s="37"/>
      <c r="D19" s="76" t="s">
        <v>21</v>
      </c>
      <c r="E19" s="77"/>
      <c r="F19" s="77"/>
      <c r="G19" s="78"/>
      <c r="H19" s="27">
        <f>SUM(I19)-6</f>
        <v>33.6</v>
      </c>
      <c r="I19" s="27">
        <f>SUM(J19)-6</f>
        <v>39.6</v>
      </c>
      <c r="J19" s="41">
        <v>45.6</v>
      </c>
      <c r="K19" s="27">
        <f>SUM(J19)+4.5</f>
        <v>50.1</v>
      </c>
      <c r="L19" s="27">
        <f>SUM(K19)+5</f>
        <v>55.1</v>
      </c>
      <c r="M19" s="62">
        <f>SUM(L19)+5</f>
        <v>60.1</v>
      </c>
    </row>
    <row r="20" spans="1:13" s="1" customFormat="1" ht="14.1" customHeight="1">
      <c r="A20" s="53"/>
      <c r="B20" s="57" t="s">
        <v>53</v>
      </c>
      <c r="C20" s="58"/>
      <c r="D20" s="59" t="s">
        <v>83</v>
      </c>
      <c r="E20" s="60"/>
      <c r="F20" s="60"/>
      <c r="G20" s="61"/>
      <c r="H20" s="46"/>
      <c r="I20" s="46"/>
      <c r="J20" s="44"/>
      <c r="K20" s="46"/>
      <c r="L20" s="46"/>
      <c r="M20" s="48"/>
    </row>
    <row r="21" spans="1:13" s="1" customFormat="1" ht="14.1" customHeight="1">
      <c r="A21" s="52">
        <v>10</v>
      </c>
      <c r="B21" s="36" t="s">
        <v>82</v>
      </c>
      <c r="C21" s="37"/>
      <c r="D21" s="76" t="s">
        <v>80</v>
      </c>
      <c r="E21" s="77"/>
      <c r="F21" s="77"/>
      <c r="G21" s="78"/>
      <c r="H21" s="27">
        <f>SUM(I21)-1.4</f>
        <v>25.000000000000004</v>
      </c>
      <c r="I21" s="27">
        <f>SUM(J21)-1.4</f>
        <v>26.400000000000002</v>
      </c>
      <c r="J21" s="41">
        <v>27.8</v>
      </c>
      <c r="K21" s="27">
        <f>SUM(J21)+1.4</f>
        <v>29.2</v>
      </c>
      <c r="L21" s="27">
        <f>SUM(K21)+1.4</f>
        <v>30.599999999999998</v>
      </c>
      <c r="M21" s="62">
        <f>SUM(L21)+1.4</f>
        <v>31.999999999999996</v>
      </c>
    </row>
    <row r="22" spans="1:13" s="1" customFormat="1" ht="14.1" customHeight="1">
      <c r="A22" s="53"/>
      <c r="B22" s="57" t="s">
        <v>81</v>
      </c>
      <c r="C22" s="58"/>
      <c r="D22" s="59" t="s">
        <v>80</v>
      </c>
      <c r="E22" s="60"/>
      <c r="F22" s="60"/>
      <c r="G22" s="61"/>
      <c r="H22" s="46"/>
      <c r="I22" s="46"/>
      <c r="J22" s="44"/>
      <c r="K22" s="46"/>
      <c r="L22" s="46"/>
      <c r="M22" s="48"/>
    </row>
    <row r="23" spans="1:13" s="1" customFormat="1" ht="14.1" customHeight="1">
      <c r="A23" s="52">
        <v>11</v>
      </c>
      <c r="B23" s="36" t="s">
        <v>79</v>
      </c>
      <c r="C23" s="37"/>
      <c r="D23" s="76" t="s">
        <v>78</v>
      </c>
      <c r="E23" s="77"/>
      <c r="F23" s="77"/>
      <c r="G23" s="78"/>
      <c r="H23" s="27">
        <f>SUM(I23)-3.3</f>
        <v>30.900000000000002</v>
      </c>
      <c r="I23" s="27">
        <f>SUM(J23)-3.3</f>
        <v>34.200000000000003</v>
      </c>
      <c r="J23" s="41">
        <v>37.5</v>
      </c>
      <c r="K23" s="27">
        <f>SUM(J23)+3.2</f>
        <v>40.700000000000003</v>
      </c>
      <c r="L23" s="27">
        <f>SUM(K23)+2.9</f>
        <v>43.6</v>
      </c>
      <c r="M23" s="62">
        <f>SUM(L23)+2.9</f>
        <v>46.5</v>
      </c>
    </row>
    <row r="24" spans="1:13" s="1" customFormat="1" ht="14.1" customHeight="1">
      <c r="A24" s="52"/>
      <c r="B24" s="63" t="s">
        <v>77</v>
      </c>
      <c r="C24" s="64"/>
      <c r="D24" s="65" t="s">
        <v>76</v>
      </c>
      <c r="E24" s="66"/>
      <c r="F24" s="66"/>
      <c r="G24" s="67"/>
      <c r="H24" s="45"/>
      <c r="I24" s="45"/>
      <c r="J24" s="43"/>
      <c r="K24" s="45"/>
      <c r="L24" s="45"/>
      <c r="M24" s="47"/>
    </row>
    <row r="25" spans="1:13" s="1" customFormat="1" ht="14.1" customHeight="1">
      <c r="A25" s="34">
        <v>12</v>
      </c>
      <c r="B25" s="36"/>
      <c r="C25" s="37"/>
      <c r="D25" s="76"/>
      <c r="E25" s="77"/>
      <c r="F25" s="77"/>
      <c r="G25" s="78"/>
      <c r="H25" s="27"/>
      <c r="I25" s="27"/>
      <c r="J25" s="41"/>
      <c r="K25" s="27"/>
      <c r="L25" s="27"/>
      <c r="M25" s="29"/>
    </row>
    <row r="26" spans="1:13" s="1" customFormat="1" ht="14.1" customHeight="1" thickBot="1">
      <c r="A26" s="35"/>
      <c r="B26" s="109"/>
      <c r="C26" s="110"/>
      <c r="D26" s="111"/>
      <c r="E26" s="112"/>
      <c r="F26" s="112"/>
      <c r="G26" s="113"/>
      <c r="H26" s="28"/>
      <c r="I26" s="28"/>
      <c r="J26" s="42"/>
      <c r="K26" s="28"/>
      <c r="L26" s="28"/>
      <c r="M26" s="30"/>
    </row>
    <row r="27" spans="1:13" s="1" customFormat="1" ht="14.1" customHeight="1"/>
    <row r="28" spans="1:13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s="1" customFormat="1" ht="14.1" customHeight="1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s="1" customFormat="1" ht="14.1" customHeight="1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1" customFormat="1" ht="14.1" customHeight="1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ht="14.1" customHeight="1"/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</sheetData>
  <mergeCells count="135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85C32-1865-495F-98F3-1D821773DB19}">
  <sheetPr codeName="Sheet35">
    <tabColor theme="5"/>
    <pageSetUpPr fitToPage="1"/>
  </sheetPr>
  <dimension ref="A1:P57"/>
  <sheetViews>
    <sheetView zoomScale="110" zoomScaleNormal="110" workbookViewId="0">
      <selection activeCell="L3" sqref="L3:L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446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38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SUM(I3)-4.9</f>
        <v>55.2</v>
      </c>
      <c r="I3" s="27">
        <f>SUM(J3)-4.9</f>
        <v>60.1</v>
      </c>
      <c r="J3" s="139">
        <v>65</v>
      </c>
      <c r="K3" s="140">
        <f>SUM(J3)+4.9</f>
        <v>69.900000000000006</v>
      </c>
      <c r="L3" s="140">
        <f>SUM(K3)+4.9</f>
        <v>74.800000000000011</v>
      </c>
      <c r="M3" s="141">
        <f>SUM(L3)+4.9</f>
        <v>79.700000000000017</v>
      </c>
    </row>
    <row r="4" spans="1:13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1"/>
      <c r="K4" s="27"/>
      <c r="L4" s="27"/>
      <c r="M4" s="29"/>
    </row>
    <row r="5" spans="1:13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SUM(I5)-1.8</f>
        <v>21.4</v>
      </c>
      <c r="I5" s="27">
        <f>SUM(J5)-1.8</f>
        <v>23.2</v>
      </c>
      <c r="J5" s="41">
        <v>25</v>
      </c>
      <c r="K5" s="27">
        <f>SUM(J5)+1.6</f>
        <v>26.6</v>
      </c>
      <c r="L5" s="27">
        <f>SUM(K5)+1.6</f>
        <v>28.200000000000003</v>
      </c>
      <c r="M5" s="29">
        <f>SUM(L5)+1.6</f>
        <v>29.800000000000004</v>
      </c>
    </row>
    <row r="6" spans="1:13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132"/>
    </row>
    <row r="7" spans="1:13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26.8</v>
      </c>
      <c r="I7" s="27">
        <f>SUM(J7)-2.25</f>
        <v>29.05</v>
      </c>
      <c r="J7" s="41">
        <v>31.3</v>
      </c>
      <c r="K7" s="27">
        <f>SUM(J7)+2</f>
        <v>33.299999999999997</v>
      </c>
      <c r="L7" s="27">
        <f>SUM(K7)+2</f>
        <v>35.299999999999997</v>
      </c>
      <c r="M7" s="29">
        <f>SUM(L7)+2</f>
        <v>37.299999999999997</v>
      </c>
    </row>
    <row r="8" spans="1:13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132"/>
    </row>
    <row r="9" spans="1:13" s="1" customFormat="1" ht="14.1" customHeight="1">
      <c r="A9" s="122">
        <v>4</v>
      </c>
      <c r="B9" s="98" t="s">
        <v>144</v>
      </c>
      <c r="C9" s="98"/>
      <c r="D9" s="124" t="s">
        <v>8</v>
      </c>
      <c r="E9" s="124"/>
      <c r="F9" s="124"/>
      <c r="G9" s="124"/>
      <c r="H9" s="27">
        <f>SUM(I9)-2.1</f>
        <v>25.299999999999997</v>
      </c>
      <c r="I9" s="27">
        <f>SUM(J9)-2.1</f>
        <v>27.4</v>
      </c>
      <c r="J9" s="41">
        <v>29.5</v>
      </c>
      <c r="K9" s="27">
        <f>SUM(J9)+1.9</f>
        <v>31.4</v>
      </c>
      <c r="L9" s="27">
        <f>SUM(K9)+1.9</f>
        <v>33.299999999999997</v>
      </c>
      <c r="M9" s="29">
        <f>SUM(L9)+1.9</f>
        <v>35.199999999999996</v>
      </c>
    </row>
    <row r="10" spans="1:13" s="1" customFormat="1" ht="14.1" customHeight="1">
      <c r="A10" s="122"/>
      <c r="B10" s="75" t="s">
        <v>145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3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SUM(I11)-0.9</f>
        <v>13.499999999999998</v>
      </c>
      <c r="I11" s="27">
        <f>SUM(J11)-0.8</f>
        <v>14.399999999999999</v>
      </c>
      <c r="J11" s="125">
        <v>15.2</v>
      </c>
      <c r="K11" s="114">
        <f>SUM(J11)+0.8</f>
        <v>16</v>
      </c>
      <c r="L11" s="114">
        <f>SUM(K11)+0.9</f>
        <v>16.899999999999999</v>
      </c>
      <c r="M11" s="116">
        <f>SUM(L11)+0.9</f>
        <v>17.799999999999997</v>
      </c>
    </row>
    <row r="12" spans="1:13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6"/>
    </row>
    <row r="13" spans="1:13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12.4</v>
      </c>
      <c r="I13" s="27">
        <f>SUM(J13)-0.6</f>
        <v>13</v>
      </c>
      <c r="J13" s="125">
        <v>13.6</v>
      </c>
      <c r="K13" s="114">
        <f>SUM(J13)+0.6</f>
        <v>14.2</v>
      </c>
      <c r="L13" s="114">
        <f>SUM(K13)+0.6</f>
        <v>14.799999999999999</v>
      </c>
      <c r="M13" s="116">
        <f>SUM(L13)+0.6</f>
        <v>15.399999999999999</v>
      </c>
    </row>
    <row r="14" spans="1:13" s="1" customFormat="1" ht="14.1" customHeight="1">
      <c r="A14" s="122"/>
      <c r="B14" s="75" t="s">
        <v>27</v>
      </c>
      <c r="C14" s="75"/>
      <c r="D14" s="79" t="s">
        <v>136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3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5.9</v>
      </c>
      <c r="I15" s="27">
        <f>SUM(J15)-0.3</f>
        <v>6.2</v>
      </c>
      <c r="J15" s="125">
        <v>6.5</v>
      </c>
      <c r="K15" s="114">
        <f>SUM(J15)+0.3</f>
        <v>6.8</v>
      </c>
      <c r="L15" s="114">
        <f>SUM(K15)+0.3</f>
        <v>7.1</v>
      </c>
      <c r="M15" s="116">
        <f>SUM(L15)+0.3</f>
        <v>7.3999999999999995</v>
      </c>
    </row>
    <row r="16" spans="1:13" s="1" customFormat="1" ht="14.1" customHeight="1">
      <c r="A16" s="122"/>
      <c r="B16" s="75" t="s">
        <v>28</v>
      </c>
      <c r="C16" s="75"/>
      <c r="D16" s="79" t="s">
        <v>137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6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32.799999999999997</v>
      </c>
      <c r="I17" s="27">
        <f>SUM(J17)-1.6</f>
        <v>34.4</v>
      </c>
      <c r="J17" s="125">
        <v>36</v>
      </c>
      <c r="K17" s="114">
        <f>SUM(J17)+1.6</f>
        <v>37.6</v>
      </c>
      <c r="L17" s="114">
        <f>SUM(K17)+1.6</f>
        <v>39.200000000000003</v>
      </c>
      <c r="M17" s="116">
        <f>SUM(L17)+1.6</f>
        <v>40.800000000000004</v>
      </c>
    </row>
    <row r="18" spans="1:16" s="1" customFormat="1" ht="14.1" customHeight="1">
      <c r="A18" s="122"/>
      <c r="B18" s="75" t="s">
        <v>33</v>
      </c>
      <c r="C18" s="75"/>
      <c r="D18" s="79" t="s">
        <v>74</v>
      </c>
      <c r="E18" s="80"/>
      <c r="F18" s="80"/>
      <c r="G18" s="81"/>
      <c r="H18" s="46"/>
      <c r="I18" s="46"/>
      <c r="J18" s="125"/>
      <c r="K18" s="114"/>
      <c r="L18" s="114"/>
      <c r="M18" s="116"/>
    </row>
    <row r="19" spans="1:16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SUM(I19)-3.6</f>
        <v>34.299999999999997</v>
      </c>
      <c r="I19" s="27">
        <f>SUM(J19)-3.6</f>
        <v>37.9</v>
      </c>
      <c r="J19" s="125">
        <v>41.5</v>
      </c>
      <c r="K19" s="114">
        <f>SUM(J19)+3.7</f>
        <v>45.2</v>
      </c>
      <c r="L19" s="114">
        <f>SUM(K19)+3.7</f>
        <v>48.900000000000006</v>
      </c>
      <c r="M19" s="116">
        <f>SUM(L19)+3.7</f>
        <v>52.600000000000009</v>
      </c>
    </row>
    <row r="20" spans="1:16" s="1" customFormat="1" ht="14.1" customHeight="1">
      <c r="A20" s="122"/>
      <c r="B20" s="75" t="s">
        <v>200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6"/>
    </row>
    <row r="21" spans="1:16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116"/>
    </row>
    <row r="22" spans="1:16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6"/>
    </row>
    <row r="23" spans="1:16" s="1" customFormat="1" ht="14.1" customHeight="1">
      <c r="A23" s="122">
        <v>11</v>
      </c>
      <c r="B23" s="36" t="s">
        <v>447</v>
      </c>
      <c r="C23" s="37"/>
      <c r="D23" s="135"/>
      <c r="E23" s="136"/>
      <c r="F23" s="136"/>
      <c r="G23" s="137"/>
      <c r="H23" s="27">
        <f>SUM(I23)-1.2</f>
        <v>21.1</v>
      </c>
      <c r="I23" s="27">
        <f>SUM(J23)-1.2</f>
        <v>22.3</v>
      </c>
      <c r="J23" s="125">
        <v>23.5</v>
      </c>
      <c r="K23" s="114">
        <f>SUM(J23)+1.2</f>
        <v>24.7</v>
      </c>
      <c r="L23" s="114">
        <f>SUM(K23)+1.2</f>
        <v>25.9</v>
      </c>
      <c r="M23" s="116">
        <f>SUM(L23)+1.2</f>
        <v>27.099999999999998</v>
      </c>
      <c r="P23" s="1" t="s">
        <v>352</v>
      </c>
    </row>
    <row r="24" spans="1:16" s="1" customFormat="1" ht="14.1" customHeight="1">
      <c r="A24" s="122"/>
      <c r="B24" s="75" t="s">
        <v>449</v>
      </c>
      <c r="C24" s="75"/>
      <c r="D24" s="79"/>
      <c r="E24" s="80"/>
      <c r="F24" s="80"/>
      <c r="G24" s="81"/>
      <c r="H24" s="46"/>
      <c r="I24" s="46"/>
      <c r="J24" s="125"/>
      <c r="K24" s="114"/>
      <c r="L24" s="114"/>
      <c r="M24" s="116"/>
      <c r="P24" s="1">
        <f>SUM(H23+H23+I23+I23+J23+J23+K23+K23+L23+L23+H25+H25+I25+I25+J25+J25+K25+K25+L25+L25+H27+H27+I27+I27+J27+J27+K27+K27+L27+L27)</f>
        <v>620.00000000000011</v>
      </c>
    </row>
    <row r="25" spans="1:16" s="1" customFormat="1" ht="14.1" customHeight="1">
      <c r="A25" s="122">
        <v>12</v>
      </c>
      <c r="B25" s="36" t="s">
        <v>448</v>
      </c>
      <c r="C25" s="37"/>
      <c r="D25" s="135"/>
      <c r="E25" s="136"/>
      <c r="F25" s="136"/>
      <c r="G25" s="137"/>
      <c r="H25" s="27">
        <f>SUM(I25)-1</f>
        <v>19.5</v>
      </c>
      <c r="I25" s="27">
        <f>SUM(J25)-1</f>
        <v>20.5</v>
      </c>
      <c r="J25" s="125">
        <v>21.5</v>
      </c>
      <c r="K25" s="114">
        <f>SUM(J25)+1</f>
        <v>22.5</v>
      </c>
      <c r="L25" s="114">
        <f>SUM(K25)+1</f>
        <v>23.5</v>
      </c>
      <c r="M25" s="116">
        <f>SUM(L25)+1</f>
        <v>24.5</v>
      </c>
      <c r="P25" s="1">
        <f>SUM(P24/91.44/5*1.08)</f>
        <v>1.4645669291338588</v>
      </c>
    </row>
    <row r="26" spans="1:16" s="1" customFormat="1" ht="14.1" customHeight="1">
      <c r="A26" s="122"/>
      <c r="B26" s="75" t="s">
        <v>450</v>
      </c>
      <c r="C26" s="75"/>
      <c r="D26" s="79"/>
      <c r="E26" s="80"/>
      <c r="F26" s="80"/>
      <c r="G26" s="81"/>
      <c r="H26" s="46"/>
      <c r="I26" s="46"/>
      <c r="J26" s="125"/>
      <c r="K26" s="114"/>
      <c r="L26" s="114"/>
      <c r="M26" s="116"/>
    </row>
    <row r="27" spans="1:16" s="1" customFormat="1" ht="14.1" customHeight="1">
      <c r="A27" s="122">
        <v>13</v>
      </c>
      <c r="B27" s="36" t="s">
        <v>127</v>
      </c>
      <c r="C27" s="37"/>
      <c r="D27" s="124" t="s">
        <v>65</v>
      </c>
      <c r="E27" s="124"/>
      <c r="F27" s="124"/>
      <c r="G27" s="124"/>
      <c r="H27" s="27">
        <f>SUM(I27)-0.6</f>
        <v>15.799999999999999</v>
      </c>
      <c r="I27" s="27">
        <f>SUM(J27)-0.6</f>
        <v>16.399999999999999</v>
      </c>
      <c r="J27" s="125">
        <v>17</v>
      </c>
      <c r="K27" s="114">
        <f>SUM(J27)+0.6</f>
        <v>17.600000000000001</v>
      </c>
      <c r="L27" s="114">
        <f>SUM(K27)+0.6</f>
        <v>18.200000000000003</v>
      </c>
      <c r="M27" s="116">
        <f>SUM(L27)+0.6</f>
        <v>18.800000000000004</v>
      </c>
    </row>
    <row r="28" spans="1:16" s="1" customFormat="1" ht="14.1" customHeight="1">
      <c r="A28" s="122"/>
      <c r="B28" s="75" t="s">
        <v>350</v>
      </c>
      <c r="C28" s="75"/>
      <c r="D28" s="79" t="s">
        <v>66</v>
      </c>
      <c r="E28" s="80"/>
      <c r="F28" s="80"/>
      <c r="G28" s="81"/>
      <c r="H28" s="46"/>
      <c r="I28" s="46"/>
      <c r="J28" s="125"/>
      <c r="K28" s="114"/>
      <c r="L28" s="114"/>
      <c r="M28" s="116"/>
    </row>
    <row r="29" spans="1:16" s="1" customFormat="1" ht="14.1" customHeight="1">
      <c r="A29" s="122">
        <v>14</v>
      </c>
      <c r="B29" s="133" t="s">
        <v>365</v>
      </c>
      <c r="C29" s="134"/>
      <c r="D29" s="135"/>
      <c r="E29" s="136"/>
      <c r="F29" s="136"/>
      <c r="G29" s="137"/>
      <c r="H29" s="45">
        <f>SUM(I29)-0.3</f>
        <v>3.9000000000000004</v>
      </c>
      <c r="I29" s="45">
        <f>SUM(J29)-0.3</f>
        <v>4.2</v>
      </c>
      <c r="J29" s="44">
        <v>4.5</v>
      </c>
      <c r="K29" s="46">
        <f>SUM(J29)+0.3</f>
        <v>4.8</v>
      </c>
      <c r="L29" s="46">
        <f>SUM(K29)+0.3</f>
        <v>5.0999999999999996</v>
      </c>
      <c r="M29" s="132">
        <f>SUM(L29)+0.3</f>
        <v>5.3999999999999995</v>
      </c>
    </row>
    <row r="30" spans="1:16" s="1" customFormat="1" ht="14.1" customHeight="1">
      <c r="A30" s="122"/>
      <c r="B30" s="127" t="s">
        <v>413</v>
      </c>
      <c r="C30" s="128"/>
      <c r="D30" s="79"/>
      <c r="E30" s="80"/>
      <c r="F30" s="80"/>
      <c r="G30" s="81"/>
      <c r="H30" s="46"/>
      <c r="I30" s="46"/>
      <c r="J30" s="125"/>
      <c r="K30" s="114"/>
      <c r="L30" s="114"/>
      <c r="M30" s="116"/>
    </row>
    <row r="31" spans="1:16" s="1" customFormat="1" ht="14.1" customHeight="1">
      <c r="A31" s="122">
        <v>15</v>
      </c>
      <c r="B31" s="133" t="s">
        <v>356</v>
      </c>
      <c r="C31" s="134"/>
      <c r="D31" s="135"/>
      <c r="E31" s="136"/>
      <c r="F31" s="136"/>
      <c r="G31" s="137"/>
      <c r="H31" s="45">
        <f>SUM(I31)-3</f>
        <v>36.4</v>
      </c>
      <c r="I31" s="45">
        <f>SUM(J31)-3</f>
        <v>39.4</v>
      </c>
      <c r="J31" s="44">
        <v>42.4</v>
      </c>
      <c r="K31" s="46">
        <f>SUM(J31)+3</f>
        <v>45.4</v>
      </c>
      <c r="L31" s="46">
        <f>SUM(K31)+3</f>
        <v>48.4</v>
      </c>
      <c r="M31" s="132">
        <f>SUM(L31)+3</f>
        <v>51.4</v>
      </c>
    </row>
    <row r="32" spans="1:16" s="1" customFormat="1" ht="14.1" customHeight="1">
      <c r="A32" s="122"/>
      <c r="B32" s="127" t="s">
        <v>210</v>
      </c>
      <c r="C32" s="128"/>
      <c r="D32" s="79"/>
      <c r="E32" s="80"/>
      <c r="F32" s="80"/>
      <c r="G32" s="81"/>
      <c r="H32" s="46"/>
      <c r="I32" s="46"/>
      <c r="J32" s="125"/>
      <c r="K32" s="114"/>
      <c r="L32" s="114"/>
      <c r="M32" s="116"/>
    </row>
    <row r="33" spans="1:13" s="1" customFormat="1" ht="14.1" customHeight="1">
      <c r="A33" s="122">
        <v>16</v>
      </c>
      <c r="B33" s="36" t="s">
        <v>147</v>
      </c>
      <c r="C33" s="37"/>
      <c r="D33" s="129"/>
      <c r="E33" s="130"/>
      <c r="F33" s="130"/>
      <c r="G33" s="131"/>
      <c r="H33" s="27">
        <f>SUM(I33)-2.4</f>
        <v>27.200000000000003</v>
      </c>
      <c r="I33" s="27">
        <f>SUM(J33)-2.4</f>
        <v>29.6</v>
      </c>
      <c r="J33" s="125">
        <v>32</v>
      </c>
      <c r="K33" s="114">
        <f>SUM(J33)+2.4</f>
        <v>34.4</v>
      </c>
      <c r="L33" s="114">
        <f>SUM(K33)+2.4</f>
        <v>36.799999999999997</v>
      </c>
      <c r="M33" s="116">
        <f>SUM(L33)+2.4</f>
        <v>39.199999999999996</v>
      </c>
    </row>
    <row r="34" spans="1:13" s="1" customFormat="1" ht="14.1" customHeight="1">
      <c r="A34" s="122"/>
      <c r="B34" s="127" t="s">
        <v>161</v>
      </c>
      <c r="C34" s="128"/>
      <c r="D34" s="79"/>
      <c r="E34" s="80"/>
      <c r="F34" s="80"/>
      <c r="G34" s="81"/>
      <c r="H34" s="46"/>
      <c r="I34" s="46"/>
      <c r="J34" s="125"/>
      <c r="K34" s="114"/>
      <c r="L34" s="114"/>
      <c r="M34" s="116"/>
    </row>
    <row r="35" spans="1:13" s="1" customFormat="1" ht="14.1" customHeight="1">
      <c r="A35" s="122">
        <v>17</v>
      </c>
      <c r="B35" s="36"/>
      <c r="C35" s="37"/>
      <c r="D35" s="129"/>
      <c r="E35" s="130"/>
      <c r="F35" s="130"/>
      <c r="G35" s="131"/>
      <c r="H35" s="27"/>
      <c r="I35" s="27"/>
      <c r="J35" s="125"/>
      <c r="K35" s="114"/>
      <c r="L35" s="114"/>
      <c r="M35" s="116"/>
    </row>
    <row r="36" spans="1:13" s="1" customFormat="1" ht="14.1" customHeight="1">
      <c r="A36" s="122"/>
      <c r="B36" s="127"/>
      <c r="C36" s="128"/>
      <c r="D36" s="79"/>
      <c r="E36" s="80"/>
      <c r="F36" s="80"/>
      <c r="G36" s="81"/>
      <c r="H36" s="46"/>
      <c r="I36" s="46"/>
      <c r="J36" s="125"/>
      <c r="K36" s="114"/>
      <c r="L36" s="114"/>
      <c r="M36" s="116"/>
    </row>
    <row r="37" spans="1:13" s="1" customFormat="1" ht="14.1" customHeight="1">
      <c r="A37" s="122">
        <v>18</v>
      </c>
      <c r="B37" s="98"/>
      <c r="C37" s="98"/>
      <c r="D37" s="124"/>
      <c r="E37" s="124"/>
      <c r="F37" s="124"/>
      <c r="G37" s="124"/>
      <c r="H37" s="27"/>
      <c r="I37" s="27"/>
      <c r="J37" s="125"/>
      <c r="K37" s="114"/>
      <c r="L37" s="114"/>
      <c r="M37" s="116">
        <f>SUM(L37)+2.4</f>
        <v>2.4</v>
      </c>
    </row>
    <row r="38" spans="1:13" s="1" customFormat="1" ht="14.1" customHeight="1" thickBot="1">
      <c r="A38" s="123"/>
      <c r="B38" s="118"/>
      <c r="C38" s="118"/>
      <c r="D38" s="119"/>
      <c r="E38" s="120"/>
      <c r="F38" s="120"/>
      <c r="G38" s="121"/>
      <c r="H38" s="28"/>
      <c r="I38" s="28"/>
      <c r="J38" s="126"/>
      <c r="K38" s="115"/>
      <c r="L38" s="115"/>
      <c r="M38" s="117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A378-63DA-4632-960F-9F8CD22BDCE2}">
  <sheetPr codeName="Sheet36">
    <tabColor theme="5"/>
    <pageSetUpPr fitToPage="1"/>
  </sheetPr>
  <dimension ref="A1:P57"/>
  <sheetViews>
    <sheetView zoomScale="110" zoomScaleNormal="110" workbookViewId="0">
      <selection activeCell="P25" sqref="P2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346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38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SUM(I3)-4.9</f>
        <v>56.5</v>
      </c>
      <c r="I3" s="27">
        <f>SUM(J3)-4.9</f>
        <v>61.4</v>
      </c>
      <c r="J3" s="139">
        <v>66.3</v>
      </c>
      <c r="K3" s="140">
        <f>SUM(J3)+4.9</f>
        <v>71.2</v>
      </c>
      <c r="L3" s="140">
        <f>SUM(K3)+4.9</f>
        <v>76.100000000000009</v>
      </c>
      <c r="M3" s="141">
        <f>SUM(L3)+4.9</f>
        <v>81.000000000000014</v>
      </c>
    </row>
    <row r="4" spans="1:13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1"/>
      <c r="K4" s="27"/>
      <c r="L4" s="27"/>
      <c r="M4" s="29"/>
    </row>
    <row r="5" spans="1:13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SUM(I5)-1.8</f>
        <v>21.4</v>
      </c>
      <c r="I5" s="27">
        <f>SUM(J5)-1.8</f>
        <v>23.2</v>
      </c>
      <c r="J5" s="41">
        <v>25</v>
      </c>
      <c r="K5" s="27">
        <f>SUM(J5)+1.6</f>
        <v>26.6</v>
      </c>
      <c r="L5" s="27">
        <f>SUM(K5)+1.6</f>
        <v>28.200000000000003</v>
      </c>
      <c r="M5" s="29">
        <f>SUM(L5)+1.6</f>
        <v>29.800000000000004</v>
      </c>
    </row>
    <row r="6" spans="1:13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132"/>
    </row>
    <row r="7" spans="1:13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28.5</v>
      </c>
      <c r="I7" s="27">
        <f>SUM(J7)-2.25</f>
        <v>30.75</v>
      </c>
      <c r="J7" s="41">
        <v>33</v>
      </c>
      <c r="K7" s="27">
        <f>SUM(J7)+2</f>
        <v>35</v>
      </c>
      <c r="L7" s="27">
        <f>SUM(K7)+2</f>
        <v>37</v>
      </c>
      <c r="M7" s="29">
        <f>SUM(L7)+2</f>
        <v>39</v>
      </c>
    </row>
    <row r="8" spans="1:13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132"/>
    </row>
    <row r="9" spans="1:13" s="1" customFormat="1" ht="14.1" customHeight="1">
      <c r="A9" s="122">
        <v>4</v>
      </c>
      <c r="B9" s="98" t="s">
        <v>144</v>
      </c>
      <c r="C9" s="98"/>
      <c r="D9" s="124" t="s">
        <v>8</v>
      </c>
      <c r="E9" s="124"/>
      <c r="F9" s="124"/>
      <c r="G9" s="124"/>
      <c r="H9" s="27">
        <f>SUM(I9)-2.25</f>
        <v>28.5</v>
      </c>
      <c r="I9" s="27">
        <f>SUM(J9)-2.25</f>
        <v>30.75</v>
      </c>
      <c r="J9" s="41">
        <v>33</v>
      </c>
      <c r="K9" s="27">
        <f>SUM(J9)+2</f>
        <v>35</v>
      </c>
      <c r="L9" s="27">
        <f>SUM(K9)+2</f>
        <v>37</v>
      </c>
      <c r="M9" s="29">
        <f>SUM(L9)+2</f>
        <v>39</v>
      </c>
    </row>
    <row r="10" spans="1:13" s="1" customFormat="1" ht="14.1" customHeight="1">
      <c r="A10" s="122"/>
      <c r="B10" s="75" t="s">
        <v>145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3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13.799999999999999</v>
      </c>
      <c r="I11" s="27">
        <f>SUM(J11)-0.8</f>
        <v>14.6</v>
      </c>
      <c r="J11" s="125">
        <v>15.4</v>
      </c>
      <c r="K11" s="114">
        <f>SUM(J11)+0.8</f>
        <v>16.2</v>
      </c>
      <c r="L11" s="114">
        <f>SUM(K11)+0.8</f>
        <v>17</v>
      </c>
      <c r="M11" s="116">
        <f>SUM(L11)+0.9</f>
        <v>17.899999999999999</v>
      </c>
    </row>
    <row r="12" spans="1:13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6"/>
    </row>
    <row r="13" spans="1:13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13.600000000000001</v>
      </c>
      <c r="I13" s="27">
        <f>SUM(J13)-0.6</f>
        <v>14.200000000000001</v>
      </c>
      <c r="J13" s="125">
        <v>14.8</v>
      </c>
      <c r="K13" s="114">
        <f>SUM(J13)+0.6</f>
        <v>15.4</v>
      </c>
      <c r="L13" s="114">
        <f>SUM(K13)+0.6</f>
        <v>16</v>
      </c>
      <c r="M13" s="116">
        <f>SUM(L13)+0.6</f>
        <v>16.600000000000001</v>
      </c>
    </row>
    <row r="14" spans="1:13" s="1" customFormat="1" ht="14.1" customHeight="1">
      <c r="A14" s="122"/>
      <c r="B14" s="75" t="s">
        <v>27</v>
      </c>
      <c r="C14" s="75"/>
      <c r="D14" s="79" t="s">
        <v>136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3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6.2</v>
      </c>
      <c r="I15" s="27">
        <f>SUM(J15)-0.3</f>
        <v>6.5</v>
      </c>
      <c r="J15" s="125">
        <v>6.8</v>
      </c>
      <c r="K15" s="114">
        <f>SUM(J15)+0.3</f>
        <v>7.1</v>
      </c>
      <c r="L15" s="114">
        <f>SUM(K15)+0.3</f>
        <v>7.3999999999999995</v>
      </c>
      <c r="M15" s="116">
        <f>SUM(L15)+0.3</f>
        <v>7.6999999999999993</v>
      </c>
    </row>
    <row r="16" spans="1:13" s="1" customFormat="1" ht="14.1" customHeight="1">
      <c r="A16" s="122"/>
      <c r="B16" s="75" t="s">
        <v>28</v>
      </c>
      <c r="C16" s="75"/>
      <c r="D16" s="79" t="s">
        <v>137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6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35.599999999999994</v>
      </c>
      <c r="I17" s="27">
        <f>SUM(J17)-1.6</f>
        <v>37.199999999999996</v>
      </c>
      <c r="J17" s="125">
        <v>38.799999999999997</v>
      </c>
      <c r="K17" s="114">
        <f>SUM(J17)+1.6</f>
        <v>40.4</v>
      </c>
      <c r="L17" s="114">
        <f>SUM(K17)+1.6</f>
        <v>42</v>
      </c>
      <c r="M17" s="116">
        <f>SUM(L17)+1.6</f>
        <v>43.6</v>
      </c>
    </row>
    <row r="18" spans="1:16" s="1" customFormat="1" ht="14.1" customHeight="1">
      <c r="A18" s="122"/>
      <c r="B18" s="75" t="s">
        <v>33</v>
      </c>
      <c r="C18" s="75"/>
      <c r="D18" s="79" t="s">
        <v>74</v>
      </c>
      <c r="E18" s="80"/>
      <c r="F18" s="80"/>
      <c r="G18" s="81"/>
      <c r="H18" s="46"/>
      <c r="I18" s="46"/>
      <c r="J18" s="125"/>
      <c r="K18" s="114"/>
      <c r="L18" s="114"/>
      <c r="M18" s="116"/>
    </row>
    <row r="19" spans="1:16" s="1" customFormat="1" ht="14.1" customHeight="1">
      <c r="A19" s="122">
        <v>9</v>
      </c>
      <c r="B19" s="36" t="s">
        <v>347</v>
      </c>
      <c r="C19" s="37"/>
      <c r="D19" s="76"/>
      <c r="E19" s="77"/>
      <c r="F19" s="77"/>
      <c r="G19" s="78"/>
      <c r="H19" s="27">
        <f>SUM(I19)-0.5</f>
        <v>9</v>
      </c>
      <c r="I19" s="27">
        <f>SUM(J19)-0.5</f>
        <v>9.5</v>
      </c>
      <c r="J19" s="125">
        <v>10</v>
      </c>
      <c r="K19" s="114">
        <f>SUM(J19)+0.5</f>
        <v>10.5</v>
      </c>
      <c r="L19" s="114">
        <f>SUM(K19)+0.5</f>
        <v>11</v>
      </c>
      <c r="M19" s="116">
        <f>SUM(L19)+0.5</f>
        <v>11.5</v>
      </c>
    </row>
    <row r="20" spans="1:16" s="1" customFormat="1" ht="14.1" customHeight="1">
      <c r="A20" s="122"/>
      <c r="B20" s="75" t="s">
        <v>348</v>
      </c>
      <c r="C20" s="75"/>
      <c r="D20" s="79" t="s">
        <v>349</v>
      </c>
      <c r="E20" s="80"/>
      <c r="F20" s="80"/>
      <c r="G20" s="81"/>
      <c r="H20" s="46"/>
      <c r="I20" s="46"/>
      <c r="J20" s="125"/>
      <c r="K20" s="114"/>
      <c r="L20" s="114"/>
      <c r="M20" s="116"/>
    </row>
    <row r="21" spans="1:16" s="1" customFormat="1" ht="14.1" customHeight="1">
      <c r="A21" s="122">
        <v>10</v>
      </c>
      <c r="B21" s="98" t="s">
        <v>4</v>
      </c>
      <c r="C21" s="98"/>
      <c r="D21" s="124" t="s">
        <v>5</v>
      </c>
      <c r="E21" s="124"/>
      <c r="F21" s="124"/>
      <c r="G21" s="124"/>
      <c r="H21" s="27">
        <f>SUM(I21)-3.6</f>
        <v>34.299999999999997</v>
      </c>
      <c r="I21" s="27">
        <f>SUM(J21)-3.6</f>
        <v>37.9</v>
      </c>
      <c r="J21" s="125">
        <v>41.5</v>
      </c>
      <c r="K21" s="114">
        <f>SUM(J21)+3.7</f>
        <v>45.2</v>
      </c>
      <c r="L21" s="114">
        <f>SUM(K21)+3.7</f>
        <v>48.900000000000006</v>
      </c>
      <c r="M21" s="116">
        <f>SUM(L21)+3.7</f>
        <v>52.600000000000009</v>
      </c>
    </row>
    <row r="22" spans="1:16" s="1" customFormat="1" ht="14.1" customHeight="1">
      <c r="A22" s="122"/>
      <c r="B22" s="75" t="s">
        <v>351</v>
      </c>
      <c r="C22" s="75"/>
      <c r="D22" s="79" t="s">
        <v>47</v>
      </c>
      <c r="E22" s="80"/>
      <c r="F22" s="80"/>
      <c r="G22" s="81"/>
      <c r="H22" s="46"/>
      <c r="I22" s="46"/>
      <c r="J22" s="125"/>
      <c r="K22" s="114"/>
      <c r="L22" s="114"/>
      <c r="M22" s="116"/>
    </row>
    <row r="23" spans="1:16" s="1" customFormat="1" ht="14.1" customHeight="1">
      <c r="A23" s="122">
        <v>11</v>
      </c>
      <c r="B23" s="98" t="s">
        <v>6</v>
      </c>
      <c r="C23" s="98"/>
      <c r="D23" s="76" t="s">
        <v>7</v>
      </c>
      <c r="E23" s="77"/>
      <c r="F23" s="77"/>
      <c r="G23" s="78"/>
      <c r="H23" s="27">
        <f>SUM(I23)-1.5</f>
        <v>25</v>
      </c>
      <c r="I23" s="27">
        <f>SUM(J23)-1.5</f>
        <v>26.5</v>
      </c>
      <c r="J23" s="125">
        <v>28</v>
      </c>
      <c r="K23" s="114">
        <f>SUM(J23)+1.5</f>
        <v>29.5</v>
      </c>
      <c r="L23" s="114">
        <f>SUM(K23)+1.5</f>
        <v>31</v>
      </c>
      <c r="M23" s="116">
        <f>SUM(L23)+1.5</f>
        <v>32.5</v>
      </c>
      <c r="P23" s="1" t="s">
        <v>352</v>
      </c>
    </row>
    <row r="24" spans="1:16" s="1" customFormat="1" ht="14.1" customHeight="1">
      <c r="A24" s="122"/>
      <c r="B24" s="75" t="s">
        <v>30</v>
      </c>
      <c r="C24" s="75"/>
      <c r="D24" s="79" t="s">
        <v>64</v>
      </c>
      <c r="E24" s="80"/>
      <c r="F24" s="80"/>
      <c r="G24" s="81"/>
      <c r="H24" s="46"/>
      <c r="I24" s="46"/>
      <c r="J24" s="125"/>
      <c r="K24" s="114"/>
      <c r="L24" s="114"/>
      <c r="M24" s="116"/>
      <c r="P24" s="1">
        <f>SUM(H25+H25+I25+I25+J25+J25+K25+K25+L25+L25)</f>
        <v>160</v>
      </c>
    </row>
    <row r="25" spans="1:16" s="1" customFormat="1" ht="14.1" customHeight="1">
      <c r="A25" s="122">
        <v>12</v>
      </c>
      <c r="B25" s="36" t="s">
        <v>127</v>
      </c>
      <c r="C25" s="37"/>
      <c r="D25" s="124" t="s">
        <v>65</v>
      </c>
      <c r="E25" s="124"/>
      <c r="F25" s="124"/>
      <c r="G25" s="124"/>
      <c r="H25" s="27">
        <f>SUM(I25)-0.6</f>
        <v>14.8</v>
      </c>
      <c r="I25" s="27">
        <f>SUM(J25)-0.6</f>
        <v>15.4</v>
      </c>
      <c r="J25" s="125">
        <v>16</v>
      </c>
      <c r="K25" s="114">
        <f>SUM(J25)+0.6</f>
        <v>16.600000000000001</v>
      </c>
      <c r="L25" s="114">
        <f>SUM(K25)+0.6</f>
        <v>17.200000000000003</v>
      </c>
      <c r="M25" s="116">
        <f>SUM(L25)+0.6</f>
        <v>17.800000000000004</v>
      </c>
      <c r="P25" s="1">
        <f>SUM(P24/91.44/5*1.08)</f>
        <v>0.37795275590551186</v>
      </c>
    </row>
    <row r="26" spans="1:16" s="1" customFormat="1" ht="14.1" customHeight="1">
      <c r="A26" s="122"/>
      <c r="B26" s="75" t="s">
        <v>350</v>
      </c>
      <c r="C26" s="75"/>
      <c r="D26" s="79" t="s">
        <v>66</v>
      </c>
      <c r="E26" s="80"/>
      <c r="F26" s="80"/>
      <c r="G26" s="81"/>
      <c r="H26" s="46"/>
      <c r="I26" s="46"/>
      <c r="J26" s="125"/>
      <c r="K26" s="114"/>
      <c r="L26" s="114"/>
      <c r="M26" s="116"/>
    </row>
    <row r="27" spans="1:16" s="1" customFormat="1" ht="14.1" customHeight="1">
      <c r="A27" s="122">
        <v>13</v>
      </c>
      <c r="B27" s="133" t="s">
        <v>223</v>
      </c>
      <c r="C27" s="134"/>
      <c r="D27" s="135"/>
      <c r="E27" s="136"/>
      <c r="F27" s="136"/>
      <c r="G27" s="137"/>
      <c r="H27" s="45">
        <f>SUM(I27)-3</f>
        <v>37</v>
      </c>
      <c r="I27" s="45">
        <f>SUM(J27)-3</f>
        <v>40</v>
      </c>
      <c r="J27" s="44">
        <v>43</v>
      </c>
      <c r="K27" s="46">
        <f>SUM(J27)+3</f>
        <v>46</v>
      </c>
      <c r="L27" s="46">
        <f>SUM(K27)+3</f>
        <v>49</v>
      </c>
      <c r="M27" s="132">
        <f>SUM(L27)+3</f>
        <v>52</v>
      </c>
    </row>
    <row r="28" spans="1:16" s="1" customFormat="1" ht="14.1" customHeight="1">
      <c r="A28" s="122"/>
      <c r="B28" s="127" t="s">
        <v>204</v>
      </c>
      <c r="C28" s="128"/>
      <c r="D28" s="79" t="s">
        <v>227</v>
      </c>
      <c r="E28" s="80"/>
      <c r="F28" s="80"/>
      <c r="G28" s="81"/>
      <c r="H28" s="46"/>
      <c r="I28" s="46"/>
      <c r="J28" s="125"/>
      <c r="K28" s="114"/>
      <c r="L28" s="114"/>
      <c r="M28" s="116"/>
    </row>
    <row r="29" spans="1:16" s="1" customFormat="1" ht="14.1" customHeight="1">
      <c r="A29" s="122">
        <v>14</v>
      </c>
      <c r="B29" s="133" t="s">
        <v>224</v>
      </c>
      <c r="C29" s="134"/>
      <c r="D29" s="135"/>
      <c r="E29" s="136"/>
      <c r="F29" s="136"/>
      <c r="G29" s="137"/>
      <c r="H29" s="45">
        <f>SUM(I29)-1</f>
        <v>13</v>
      </c>
      <c r="I29" s="45">
        <f>SUM(J29)-1</f>
        <v>14</v>
      </c>
      <c r="J29" s="44">
        <v>15</v>
      </c>
      <c r="K29" s="46">
        <f>SUM(J29)+1</f>
        <v>16</v>
      </c>
      <c r="L29" s="46">
        <f>SUM(K29)+1</f>
        <v>17</v>
      </c>
      <c r="M29" s="132">
        <f>SUM(L29)+1</f>
        <v>18</v>
      </c>
    </row>
    <row r="30" spans="1:16" s="1" customFormat="1" ht="14.1" customHeight="1">
      <c r="A30" s="122"/>
      <c r="B30" s="127" t="s">
        <v>219</v>
      </c>
      <c r="C30" s="128"/>
      <c r="D30" s="79" t="s">
        <v>227</v>
      </c>
      <c r="E30" s="80"/>
      <c r="F30" s="80"/>
      <c r="G30" s="81"/>
      <c r="H30" s="46"/>
      <c r="I30" s="46"/>
      <c r="J30" s="125"/>
      <c r="K30" s="114"/>
      <c r="L30" s="114"/>
      <c r="M30" s="116"/>
    </row>
    <row r="31" spans="1:16" s="1" customFormat="1" ht="14.1" customHeight="1">
      <c r="A31" s="122">
        <v>15</v>
      </c>
      <c r="B31" s="133" t="s">
        <v>225</v>
      </c>
      <c r="C31" s="134"/>
      <c r="D31" s="135"/>
      <c r="E31" s="136"/>
      <c r="F31" s="136"/>
      <c r="G31" s="137"/>
      <c r="H31" s="45">
        <f>SUM(I31)-1</f>
        <v>12</v>
      </c>
      <c r="I31" s="45">
        <f>SUM(J31)-1</f>
        <v>13</v>
      </c>
      <c r="J31" s="44">
        <v>14</v>
      </c>
      <c r="K31" s="46">
        <f>SUM(J31)+1</f>
        <v>15</v>
      </c>
      <c r="L31" s="46">
        <f>SUM(K31)+1</f>
        <v>16</v>
      </c>
      <c r="M31" s="132">
        <f>SUM(L31)+1</f>
        <v>17</v>
      </c>
    </row>
    <row r="32" spans="1:16" s="1" customFormat="1" ht="14.1" customHeight="1">
      <c r="A32" s="122"/>
      <c r="B32" s="127" t="s">
        <v>220</v>
      </c>
      <c r="C32" s="128"/>
      <c r="D32" s="79" t="s">
        <v>227</v>
      </c>
      <c r="E32" s="80"/>
      <c r="F32" s="80"/>
      <c r="G32" s="81"/>
      <c r="H32" s="46"/>
      <c r="I32" s="46"/>
      <c r="J32" s="125"/>
      <c r="K32" s="114"/>
      <c r="L32" s="114"/>
      <c r="M32" s="116"/>
    </row>
    <row r="33" spans="1:13" s="1" customFormat="1" ht="14.1" customHeight="1">
      <c r="A33" s="122">
        <v>16</v>
      </c>
      <c r="B33" s="133" t="s">
        <v>226</v>
      </c>
      <c r="C33" s="134"/>
      <c r="D33" s="135"/>
      <c r="E33" s="136"/>
      <c r="F33" s="136"/>
      <c r="G33" s="137"/>
      <c r="H33" s="45">
        <f>SUM(I33)-1</f>
        <v>12</v>
      </c>
      <c r="I33" s="45">
        <f>SUM(J33)-1</f>
        <v>13</v>
      </c>
      <c r="J33" s="44">
        <v>14</v>
      </c>
      <c r="K33" s="46">
        <f>SUM(J33)+1</f>
        <v>15</v>
      </c>
      <c r="L33" s="46">
        <f>SUM(K33)+1</f>
        <v>16</v>
      </c>
      <c r="M33" s="132">
        <f>SUM(L33)+1</f>
        <v>17</v>
      </c>
    </row>
    <row r="34" spans="1:13" s="1" customFormat="1" ht="14.1" customHeight="1">
      <c r="A34" s="122"/>
      <c r="B34" s="127" t="s">
        <v>228</v>
      </c>
      <c r="C34" s="128"/>
      <c r="D34" s="79" t="s">
        <v>227</v>
      </c>
      <c r="E34" s="80"/>
      <c r="F34" s="80"/>
      <c r="G34" s="81"/>
      <c r="H34" s="46"/>
      <c r="I34" s="46"/>
      <c r="J34" s="125"/>
      <c r="K34" s="114"/>
      <c r="L34" s="114"/>
      <c r="M34" s="116"/>
    </row>
    <row r="35" spans="1:13" s="1" customFormat="1" ht="14.1" customHeight="1">
      <c r="A35" s="122">
        <v>17</v>
      </c>
      <c r="B35" s="36" t="s">
        <v>147</v>
      </c>
      <c r="C35" s="37"/>
      <c r="D35" s="129"/>
      <c r="E35" s="130"/>
      <c r="F35" s="130"/>
      <c r="G35" s="131"/>
      <c r="H35" s="27">
        <f>SUM(I35)-2.4</f>
        <v>25.700000000000003</v>
      </c>
      <c r="I35" s="27">
        <f>SUM(J35)-2.4</f>
        <v>28.1</v>
      </c>
      <c r="J35" s="125">
        <v>30.5</v>
      </c>
      <c r="K35" s="114">
        <f>SUM(J35)+2.4</f>
        <v>32.9</v>
      </c>
      <c r="L35" s="114">
        <f>SUM(K35)+2.4</f>
        <v>35.299999999999997</v>
      </c>
      <c r="M35" s="116">
        <f>SUM(L35)+2.4</f>
        <v>37.699999999999996</v>
      </c>
    </row>
    <row r="36" spans="1:13" s="1" customFormat="1" ht="14.1" customHeight="1">
      <c r="A36" s="122"/>
      <c r="B36" s="127" t="s">
        <v>161</v>
      </c>
      <c r="C36" s="128"/>
      <c r="D36" s="79"/>
      <c r="E36" s="80"/>
      <c r="F36" s="80"/>
      <c r="G36" s="81"/>
      <c r="H36" s="46"/>
      <c r="I36" s="46"/>
      <c r="J36" s="125"/>
      <c r="K36" s="114"/>
      <c r="L36" s="114"/>
      <c r="M36" s="116"/>
    </row>
    <row r="37" spans="1:13" s="1" customFormat="1" ht="14.1" customHeight="1">
      <c r="A37" s="122">
        <v>18</v>
      </c>
      <c r="B37" s="98"/>
      <c r="C37" s="98"/>
      <c r="D37" s="124"/>
      <c r="E37" s="124"/>
      <c r="F37" s="124"/>
      <c r="G37" s="124"/>
      <c r="H37" s="27"/>
      <c r="I37" s="27"/>
      <c r="J37" s="125"/>
      <c r="K37" s="114"/>
      <c r="L37" s="114"/>
      <c r="M37" s="116">
        <f>SUM(L37)+2.4</f>
        <v>2.4</v>
      </c>
    </row>
    <row r="38" spans="1:13" s="1" customFormat="1" ht="14.1" customHeight="1" thickBot="1">
      <c r="A38" s="123"/>
      <c r="B38" s="118"/>
      <c r="C38" s="118"/>
      <c r="D38" s="119"/>
      <c r="E38" s="120"/>
      <c r="F38" s="120"/>
      <c r="G38" s="121"/>
      <c r="H38" s="28"/>
      <c r="I38" s="28"/>
      <c r="J38" s="126"/>
      <c r="K38" s="115"/>
      <c r="L38" s="115"/>
      <c r="M38" s="117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1"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7:K18"/>
    <mergeCell ref="L17:L18"/>
    <mergeCell ref="M17:M18"/>
    <mergeCell ref="B18:C18"/>
    <mergeCell ref="D18:G18"/>
    <mergeCell ref="J17:J18"/>
    <mergeCell ref="K19:K20"/>
    <mergeCell ref="L19:L20"/>
    <mergeCell ref="M19:M20"/>
    <mergeCell ref="B20:C20"/>
    <mergeCell ref="D20:G20"/>
    <mergeCell ref="B19:C19"/>
    <mergeCell ref="D19:G19"/>
    <mergeCell ref="H19:H20"/>
    <mergeCell ref="I19:I20"/>
    <mergeCell ref="J19:J20"/>
    <mergeCell ref="A21:A22"/>
    <mergeCell ref="B21:C21"/>
    <mergeCell ref="D21:G21"/>
    <mergeCell ref="H21:H22"/>
    <mergeCell ref="I21:I22"/>
    <mergeCell ref="A17:A18"/>
    <mergeCell ref="B17:C17"/>
    <mergeCell ref="D17:G17"/>
    <mergeCell ref="H17:H18"/>
    <mergeCell ref="I17:I18"/>
    <mergeCell ref="A19:A20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A7:A8"/>
    <mergeCell ref="B7:C7"/>
    <mergeCell ref="D7:G7"/>
    <mergeCell ref="H7:H8"/>
    <mergeCell ref="I7:I8"/>
    <mergeCell ref="J7:J8"/>
    <mergeCell ref="K7:K8"/>
    <mergeCell ref="L7:L8"/>
    <mergeCell ref="M7:M8"/>
    <mergeCell ref="B8:C8"/>
    <mergeCell ref="D8:G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F663-296B-4680-BBB8-14A16A06287B}">
  <sheetPr codeName="Sheet37">
    <tabColor theme="5"/>
    <pageSetUpPr fitToPage="1"/>
  </sheetPr>
  <dimension ref="A1:P57"/>
  <sheetViews>
    <sheetView zoomScale="110" zoomScaleNormal="110" workbookViewId="0">
      <selection activeCell="L3" sqref="L3:L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360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38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SUM(I3)-4.9</f>
        <v>58.7</v>
      </c>
      <c r="I3" s="27">
        <f>SUM(J3)-4.9</f>
        <v>63.6</v>
      </c>
      <c r="J3" s="139">
        <v>68.5</v>
      </c>
      <c r="K3" s="140">
        <f>SUM(J3)+4.9</f>
        <v>73.400000000000006</v>
      </c>
      <c r="L3" s="140">
        <f>SUM(K3)+4.9</f>
        <v>78.300000000000011</v>
      </c>
      <c r="M3" s="141">
        <f>SUM(L3)+4.9</f>
        <v>83.200000000000017</v>
      </c>
    </row>
    <row r="4" spans="1:13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1"/>
      <c r="K4" s="27"/>
      <c r="L4" s="27"/>
      <c r="M4" s="29"/>
    </row>
    <row r="5" spans="1:13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SUM(I5)-1.8</f>
        <v>21.4</v>
      </c>
      <c r="I5" s="27">
        <f>SUM(J5)-1.8</f>
        <v>23.2</v>
      </c>
      <c r="J5" s="41">
        <v>25</v>
      </c>
      <c r="K5" s="27">
        <f>SUM(J5)+1.6</f>
        <v>26.6</v>
      </c>
      <c r="L5" s="27">
        <f>SUM(K5)+1.6</f>
        <v>28.200000000000003</v>
      </c>
      <c r="M5" s="29">
        <f>SUM(L5)+1.6</f>
        <v>29.800000000000004</v>
      </c>
    </row>
    <row r="6" spans="1:13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132"/>
    </row>
    <row r="7" spans="1:13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27.5</v>
      </c>
      <c r="I7" s="27">
        <f>SUM(J7)-2.25</f>
        <v>29.75</v>
      </c>
      <c r="J7" s="41">
        <v>32</v>
      </c>
      <c r="K7" s="27">
        <f>SUM(J7)+2</f>
        <v>34</v>
      </c>
      <c r="L7" s="27">
        <f>SUM(K7)+2</f>
        <v>36</v>
      </c>
      <c r="M7" s="29">
        <f>SUM(L7)+2</f>
        <v>38</v>
      </c>
    </row>
    <row r="8" spans="1:13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132"/>
    </row>
    <row r="9" spans="1:13" s="1" customFormat="1" ht="14.1" customHeight="1">
      <c r="A9" s="122">
        <v>4</v>
      </c>
      <c r="B9" s="98" t="s">
        <v>144</v>
      </c>
      <c r="C9" s="98"/>
      <c r="D9" s="124" t="s">
        <v>8</v>
      </c>
      <c r="E9" s="124"/>
      <c r="F9" s="124"/>
      <c r="G9" s="124"/>
      <c r="H9" s="27">
        <f>SUM(I9)-2.25</f>
        <v>27.5</v>
      </c>
      <c r="I9" s="27">
        <f>SUM(J9)-2.25</f>
        <v>29.75</v>
      </c>
      <c r="J9" s="41">
        <v>32</v>
      </c>
      <c r="K9" s="27">
        <f>SUM(J9)+2</f>
        <v>34</v>
      </c>
      <c r="L9" s="27">
        <f>SUM(K9)+2</f>
        <v>36</v>
      </c>
      <c r="M9" s="29">
        <f>SUM(L9)+2</f>
        <v>38</v>
      </c>
    </row>
    <row r="10" spans="1:13" s="1" customFormat="1" ht="14.1" customHeight="1">
      <c r="A10" s="122"/>
      <c r="B10" s="75" t="s">
        <v>145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3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12.599999999999998</v>
      </c>
      <c r="I11" s="27">
        <f>SUM(J11)-0.8</f>
        <v>13.399999999999999</v>
      </c>
      <c r="J11" s="125">
        <v>14.2</v>
      </c>
      <c r="K11" s="114">
        <f>SUM(J11)+0.9</f>
        <v>15.1</v>
      </c>
      <c r="L11" s="114">
        <f>SUM(K11)+0.9</f>
        <v>16</v>
      </c>
      <c r="M11" s="116">
        <f>SUM(L11)+0.9</f>
        <v>16.899999999999999</v>
      </c>
    </row>
    <row r="12" spans="1:13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6"/>
    </row>
    <row r="13" spans="1:13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12.9</v>
      </c>
      <c r="I13" s="27">
        <f>SUM(J13)-0.6</f>
        <v>13.5</v>
      </c>
      <c r="J13" s="125">
        <v>14.1</v>
      </c>
      <c r="K13" s="114">
        <f>SUM(J13)+0.6</f>
        <v>14.7</v>
      </c>
      <c r="L13" s="114">
        <f>SUM(K13)+0.6</f>
        <v>15.299999999999999</v>
      </c>
      <c r="M13" s="116">
        <f>SUM(L13)+0.6</f>
        <v>15.899999999999999</v>
      </c>
    </row>
    <row r="14" spans="1:13" s="1" customFormat="1" ht="14.1" customHeight="1">
      <c r="A14" s="122"/>
      <c r="B14" s="75" t="s">
        <v>27</v>
      </c>
      <c r="C14" s="75"/>
      <c r="D14" s="79" t="s">
        <v>136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3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5.9</v>
      </c>
      <c r="I15" s="27">
        <f>SUM(J15)-0.3</f>
        <v>6.2</v>
      </c>
      <c r="J15" s="125">
        <v>6.5</v>
      </c>
      <c r="K15" s="114">
        <f>SUM(J15)+0.3</f>
        <v>6.8</v>
      </c>
      <c r="L15" s="114">
        <f>SUM(K15)+0.3</f>
        <v>7.1</v>
      </c>
      <c r="M15" s="116">
        <f>SUM(L15)+0.3</f>
        <v>7.3999999999999995</v>
      </c>
    </row>
    <row r="16" spans="1:13" s="1" customFormat="1" ht="14.1" customHeight="1">
      <c r="A16" s="122"/>
      <c r="B16" s="75" t="s">
        <v>28</v>
      </c>
      <c r="C16" s="75"/>
      <c r="D16" s="79" t="s">
        <v>137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6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33.799999999999997</v>
      </c>
      <c r="I17" s="27">
        <f>SUM(J17)-1.6</f>
        <v>35.4</v>
      </c>
      <c r="J17" s="125">
        <v>37</v>
      </c>
      <c r="K17" s="114">
        <f>SUM(J17)+1.6</f>
        <v>38.6</v>
      </c>
      <c r="L17" s="114">
        <f>SUM(K17)+1.6</f>
        <v>40.200000000000003</v>
      </c>
      <c r="M17" s="116">
        <f>SUM(L17)+1.6</f>
        <v>41.800000000000004</v>
      </c>
    </row>
    <row r="18" spans="1:16" s="1" customFormat="1" ht="14.1" customHeight="1">
      <c r="A18" s="122"/>
      <c r="B18" s="75" t="s">
        <v>33</v>
      </c>
      <c r="C18" s="75"/>
      <c r="D18" s="79" t="s">
        <v>74</v>
      </c>
      <c r="E18" s="80"/>
      <c r="F18" s="80"/>
      <c r="G18" s="81"/>
      <c r="H18" s="46"/>
      <c r="I18" s="46"/>
      <c r="J18" s="125"/>
      <c r="K18" s="114"/>
      <c r="L18" s="114"/>
      <c r="M18" s="116"/>
    </row>
    <row r="19" spans="1:16" s="1" customFormat="1" ht="14.1" customHeight="1">
      <c r="A19" s="122">
        <v>9</v>
      </c>
      <c r="B19" s="36" t="s">
        <v>347</v>
      </c>
      <c r="C19" s="37"/>
      <c r="D19" s="76"/>
      <c r="E19" s="77"/>
      <c r="F19" s="77"/>
      <c r="G19" s="78"/>
      <c r="H19" s="27">
        <f>SUM(I19)-4</f>
        <v>48</v>
      </c>
      <c r="I19" s="27">
        <f>SUM(J19)-4</f>
        <v>52</v>
      </c>
      <c r="J19" s="125">
        <v>56</v>
      </c>
      <c r="K19" s="114">
        <f>SUM(J19)+4</f>
        <v>60</v>
      </c>
      <c r="L19" s="114">
        <f>SUM(K19)+4</f>
        <v>64</v>
      </c>
      <c r="M19" s="116">
        <f>SUM(L19)+4</f>
        <v>68</v>
      </c>
      <c r="P19" s="15" t="s">
        <v>460</v>
      </c>
    </row>
    <row r="20" spans="1:16" s="1" customFormat="1" ht="14.1" customHeight="1">
      <c r="A20" s="122"/>
      <c r="B20" s="75" t="s">
        <v>348</v>
      </c>
      <c r="C20" s="75"/>
      <c r="D20" s="79"/>
      <c r="E20" s="80"/>
      <c r="F20" s="80"/>
      <c r="G20" s="81"/>
      <c r="H20" s="46"/>
      <c r="I20" s="46"/>
      <c r="J20" s="125"/>
      <c r="K20" s="114"/>
      <c r="L20" s="114"/>
      <c r="M20" s="116"/>
      <c r="P20" s="1">
        <f>SUM(H21+H21+I21+I21+J21+J21+K21+K21+L21+L21)</f>
        <v>200</v>
      </c>
    </row>
    <row r="21" spans="1:16" s="1" customFormat="1" ht="14.1" customHeight="1">
      <c r="A21" s="122">
        <v>10</v>
      </c>
      <c r="B21" s="36" t="s">
        <v>368</v>
      </c>
      <c r="C21" s="37"/>
      <c r="D21" s="76"/>
      <c r="E21" s="77"/>
      <c r="F21" s="77"/>
      <c r="G21" s="78"/>
      <c r="H21" s="27">
        <f>SUM(I21)-0.9</f>
        <v>18.200000000000003</v>
      </c>
      <c r="I21" s="27">
        <f>SUM(J21)-0.9</f>
        <v>19.100000000000001</v>
      </c>
      <c r="J21" s="125">
        <v>20</v>
      </c>
      <c r="K21" s="114">
        <f>SUM(J21)+0.9</f>
        <v>20.9</v>
      </c>
      <c r="L21" s="114">
        <f>SUM(K21)+0.9</f>
        <v>21.799999999999997</v>
      </c>
      <c r="M21" s="116">
        <f>SUM(L21)+0.9</f>
        <v>22.699999999999996</v>
      </c>
    </row>
    <row r="22" spans="1:16" s="1" customFormat="1" ht="14.1" customHeight="1">
      <c r="A22" s="122"/>
      <c r="B22" s="75" t="s">
        <v>369</v>
      </c>
      <c r="C22" s="75"/>
      <c r="D22" s="79"/>
      <c r="E22" s="80"/>
      <c r="F22" s="80"/>
      <c r="G22" s="81"/>
      <c r="H22" s="46"/>
      <c r="I22" s="46"/>
      <c r="J22" s="125"/>
      <c r="K22" s="114"/>
      <c r="L22" s="114"/>
      <c r="M22" s="116"/>
    </row>
    <row r="23" spans="1:16" s="1" customFormat="1" ht="14.1" customHeight="1">
      <c r="A23" s="122">
        <v>11</v>
      </c>
      <c r="B23" s="98" t="s">
        <v>4</v>
      </c>
      <c r="C23" s="98"/>
      <c r="D23" s="124" t="s">
        <v>5</v>
      </c>
      <c r="E23" s="124"/>
      <c r="F23" s="124"/>
      <c r="G23" s="124"/>
      <c r="H23" s="27">
        <f>SUM(I23)-3.6</f>
        <v>33.599999999999994</v>
      </c>
      <c r="I23" s="27">
        <f>SUM(J23)-3.6</f>
        <v>37.199999999999996</v>
      </c>
      <c r="J23" s="125">
        <v>40.799999999999997</v>
      </c>
      <c r="K23" s="114">
        <f>SUM(J23)+3.7</f>
        <v>44.5</v>
      </c>
      <c r="L23" s="114">
        <f>SUM(K23)+3.7</f>
        <v>48.2</v>
      </c>
      <c r="M23" s="116">
        <f>SUM(L23)+3.7</f>
        <v>51.900000000000006</v>
      </c>
    </row>
    <row r="24" spans="1:16" s="1" customFormat="1" ht="14.1" customHeight="1">
      <c r="A24" s="122"/>
      <c r="B24" s="75" t="s">
        <v>200</v>
      </c>
      <c r="C24" s="75"/>
      <c r="D24" s="79" t="s">
        <v>47</v>
      </c>
      <c r="E24" s="80"/>
      <c r="F24" s="80"/>
      <c r="G24" s="81"/>
      <c r="H24" s="46"/>
      <c r="I24" s="46"/>
      <c r="J24" s="125"/>
      <c r="K24" s="114"/>
      <c r="L24" s="114"/>
      <c r="M24" s="116"/>
    </row>
    <row r="25" spans="1:16" s="1" customFormat="1" ht="14.1" customHeight="1">
      <c r="A25" s="122">
        <v>12</v>
      </c>
      <c r="B25" s="98" t="s">
        <v>6</v>
      </c>
      <c r="C25" s="98"/>
      <c r="D25" s="76" t="s">
        <v>7</v>
      </c>
      <c r="E25" s="77"/>
      <c r="F25" s="77"/>
      <c r="G25" s="78"/>
      <c r="H25" s="27">
        <f>SUM(I25)-1.4</f>
        <v>21.200000000000003</v>
      </c>
      <c r="I25" s="27">
        <f>SUM(J25)-1.4</f>
        <v>22.6</v>
      </c>
      <c r="J25" s="125">
        <v>24</v>
      </c>
      <c r="K25" s="114">
        <f>SUM(J25)+1.4</f>
        <v>25.4</v>
      </c>
      <c r="L25" s="114">
        <f>SUM(K25)+1.4</f>
        <v>26.799999999999997</v>
      </c>
      <c r="M25" s="116">
        <f>SUM(L25)+1.4</f>
        <v>28.199999999999996</v>
      </c>
    </row>
    <row r="26" spans="1:16" s="1" customFormat="1" ht="14.1" customHeight="1">
      <c r="A26" s="122"/>
      <c r="B26" s="75" t="s">
        <v>30</v>
      </c>
      <c r="C26" s="75"/>
      <c r="D26" s="79" t="s">
        <v>64</v>
      </c>
      <c r="E26" s="80"/>
      <c r="F26" s="80"/>
      <c r="G26" s="81"/>
      <c r="H26" s="46"/>
      <c r="I26" s="46"/>
      <c r="J26" s="125"/>
      <c r="K26" s="114"/>
      <c r="L26" s="114"/>
      <c r="M26" s="116"/>
    </row>
    <row r="27" spans="1:16" s="1" customFormat="1" ht="14.1" customHeight="1">
      <c r="A27" s="122">
        <v>13</v>
      </c>
      <c r="B27" s="36" t="s">
        <v>177</v>
      </c>
      <c r="C27" s="37"/>
      <c r="D27" s="124" t="s">
        <v>65</v>
      </c>
      <c r="E27" s="124"/>
      <c r="F27" s="124"/>
      <c r="G27" s="124"/>
      <c r="H27" s="27">
        <f>SUM(I27)-0.7</f>
        <v>16.600000000000001</v>
      </c>
      <c r="I27" s="27">
        <f>SUM(J27)-0.7</f>
        <v>17.3</v>
      </c>
      <c r="J27" s="125">
        <v>18</v>
      </c>
      <c r="K27" s="114">
        <f>SUM(J27)+0.7</f>
        <v>18.7</v>
      </c>
      <c r="L27" s="114">
        <f>SUM(K27)+0.7</f>
        <v>19.399999999999999</v>
      </c>
      <c r="M27" s="116">
        <f>SUM(L27)+0.7</f>
        <v>20.099999999999998</v>
      </c>
    </row>
    <row r="28" spans="1:16" s="1" customFormat="1" ht="14.1" customHeight="1">
      <c r="A28" s="122"/>
      <c r="B28" s="75" t="s">
        <v>31</v>
      </c>
      <c r="C28" s="75"/>
      <c r="D28" s="79" t="s">
        <v>66</v>
      </c>
      <c r="E28" s="80"/>
      <c r="F28" s="80"/>
      <c r="G28" s="81"/>
      <c r="H28" s="46"/>
      <c r="I28" s="46"/>
      <c r="J28" s="125"/>
      <c r="K28" s="114"/>
      <c r="L28" s="114"/>
      <c r="M28" s="116"/>
      <c r="P28" s="1" t="s">
        <v>367</v>
      </c>
    </row>
    <row r="29" spans="1:16" s="1" customFormat="1" ht="14.1" customHeight="1">
      <c r="A29" s="122">
        <v>14</v>
      </c>
      <c r="B29" s="133" t="s">
        <v>361</v>
      </c>
      <c r="C29" s="134"/>
      <c r="D29" s="135"/>
      <c r="E29" s="136"/>
      <c r="F29" s="136"/>
      <c r="G29" s="137"/>
      <c r="H29" s="45">
        <f>SUM(I29)-1.1</f>
        <v>14.3</v>
      </c>
      <c r="I29" s="45">
        <f>SUM(J29)-1.1</f>
        <v>15.4</v>
      </c>
      <c r="J29" s="44">
        <v>16.5</v>
      </c>
      <c r="K29" s="46">
        <f>SUM(J29)+1.2</f>
        <v>17.7</v>
      </c>
      <c r="L29" s="46">
        <f>SUM(K29)+1.2</f>
        <v>18.899999999999999</v>
      </c>
      <c r="M29" s="132">
        <f>SUM(L29)+1.2</f>
        <v>20.099999999999998</v>
      </c>
      <c r="P29" s="1">
        <f>SUM(H31+H31+I31+I31+J31+J31+K31+K31+L31+L31)</f>
        <v>240</v>
      </c>
    </row>
    <row r="30" spans="1:16" s="1" customFormat="1" ht="14.1" customHeight="1">
      <c r="A30" s="122"/>
      <c r="B30" s="127" t="s">
        <v>362</v>
      </c>
      <c r="C30" s="128"/>
      <c r="D30" s="79"/>
      <c r="E30" s="80"/>
      <c r="F30" s="80"/>
      <c r="G30" s="81"/>
      <c r="H30" s="46"/>
      <c r="I30" s="46"/>
      <c r="J30" s="125"/>
      <c r="K30" s="114"/>
      <c r="L30" s="114"/>
      <c r="M30" s="116"/>
      <c r="P30" s="1">
        <f>SUM(P29/91.44/5*1.08)</f>
        <v>0.56692913385826771</v>
      </c>
    </row>
    <row r="31" spans="1:16" s="1" customFormat="1" ht="14.1" customHeight="1">
      <c r="A31" s="122">
        <v>15</v>
      </c>
      <c r="B31" s="133" t="s">
        <v>363</v>
      </c>
      <c r="C31" s="134"/>
      <c r="D31" s="135"/>
      <c r="E31" s="136"/>
      <c r="F31" s="136"/>
      <c r="G31" s="137"/>
      <c r="H31" s="45">
        <f>SUM(I31)-1.2</f>
        <v>21.6</v>
      </c>
      <c r="I31" s="45">
        <f>SUM(J31)-1.2</f>
        <v>22.8</v>
      </c>
      <c r="J31" s="44">
        <v>24</v>
      </c>
      <c r="K31" s="46">
        <f>SUM(J31)+1.2</f>
        <v>25.2</v>
      </c>
      <c r="L31" s="46">
        <f>SUM(K31)+1.2</f>
        <v>26.4</v>
      </c>
      <c r="M31" s="132">
        <f>SUM(L31)+1.2</f>
        <v>27.599999999999998</v>
      </c>
    </row>
    <row r="32" spans="1:16" s="1" customFormat="1" ht="14.1" customHeight="1">
      <c r="A32" s="122"/>
      <c r="B32" s="127" t="s">
        <v>364</v>
      </c>
      <c r="C32" s="128"/>
      <c r="D32" s="79"/>
      <c r="E32" s="80"/>
      <c r="F32" s="80"/>
      <c r="G32" s="81"/>
      <c r="H32" s="46"/>
      <c r="I32" s="46"/>
      <c r="J32" s="125"/>
      <c r="K32" s="114"/>
      <c r="L32" s="114"/>
      <c r="M32" s="116"/>
    </row>
    <row r="33" spans="1:13" s="1" customFormat="1" ht="14.1" customHeight="1">
      <c r="A33" s="122">
        <v>16</v>
      </c>
      <c r="B33" s="133" t="s">
        <v>356</v>
      </c>
      <c r="C33" s="134"/>
      <c r="D33" s="135"/>
      <c r="E33" s="136"/>
      <c r="F33" s="136"/>
      <c r="G33" s="137"/>
      <c r="H33" s="45">
        <f>SUM(I33)-3</f>
        <v>40.5</v>
      </c>
      <c r="I33" s="45">
        <f>SUM(J33)-3</f>
        <v>43.5</v>
      </c>
      <c r="J33" s="44">
        <v>46.5</v>
      </c>
      <c r="K33" s="46">
        <f>SUM(J33)+3</f>
        <v>49.5</v>
      </c>
      <c r="L33" s="46">
        <f>SUM(K33)+3</f>
        <v>52.5</v>
      </c>
      <c r="M33" s="132">
        <f>SUM(L33)+3</f>
        <v>55.5</v>
      </c>
    </row>
    <row r="34" spans="1:13" s="1" customFormat="1" ht="14.1" customHeight="1">
      <c r="A34" s="122"/>
      <c r="B34" s="127" t="s">
        <v>210</v>
      </c>
      <c r="C34" s="128"/>
      <c r="D34" s="79" t="s">
        <v>222</v>
      </c>
      <c r="E34" s="80"/>
      <c r="F34" s="80"/>
      <c r="G34" s="81"/>
      <c r="H34" s="46"/>
      <c r="I34" s="46"/>
      <c r="J34" s="125"/>
      <c r="K34" s="114"/>
      <c r="L34" s="114"/>
      <c r="M34" s="116"/>
    </row>
    <row r="35" spans="1:13" s="1" customFormat="1" ht="14.1" customHeight="1">
      <c r="A35" s="122">
        <v>17</v>
      </c>
      <c r="B35" s="133" t="s">
        <v>365</v>
      </c>
      <c r="C35" s="134"/>
      <c r="D35" s="135"/>
      <c r="E35" s="136"/>
      <c r="F35" s="136"/>
      <c r="G35" s="137"/>
      <c r="H35" s="45">
        <f>SUM(I35)-0.3</f>
        <v>4</v>
      </c>
      <c r="I35" s="45">
        <f>SUM(J35)-0.3</f>
        <v>4.3</v>
      </c>
      <c r="J35" s="44">
        <v>4.5999999999999996</v>
      </c>
      <c r="K35" s="46">
        <f>SUM(J35)+0.3</f>
        <v>4.8999999999999995</v>
      </c>
      <c r="L35" s="46">
        <f>SUM(K35)+0.3</f>
        <v>5.1999999999999993</v>
      </c>
      <c r="M35" s="132">
        <f>SUM(L35)+0.3</f>
        <v>5.4999999999999991</v>
      </c>
    </row>
    <row r="36" spans="1:13" s="1" customFormat="1" ht="14.1" customHeight="1">
      <c r="A36" s="122"/>
      <c r="B36" s="127" t="s">
        <v>366</v>
      </c>
      <c r="C36" s="128"/>
      <c r="D36" s="79" t="s">
        <v>146</v>
      </c>
      <c r="E36" s="80"/>
      <c r="F36" s="80"/>
      <c r="G36" s="81"/>
      <c r="H36" s="46"/>
      <c r="I36" s="46"/>
      <c r="J36" s="125"/>
      <c r="K36" s="114"/>
      <c r="L36" s="114"/>
      <c r="M36" s="116"/>
    </row>
    <row r="37" spans="1:13" s="1" customFormat="1" ht="14.1" customHeight="1">
      <c r="A37" s="122">
        <v>18</v>
      </c>
      <c r="B37" s="36" t="s">
        <v>147</v>
      </c>
      <c r="C37" s="37"/>
      <c r="D37" s="129"/>
      <c r="E37" s="130"/>
      <c r="F37" s="130"/>
      <c r="G37" s="131"/>
      <c r="H37" s="27">
        <f>SUM(I37)-2.4</f>
        <v>27.200000000000003</v>
      </c>
      <c r="I37" s="27">
        <f>SUM(J37)-2.4</f>
        <v>29.6</v>
      </c>
      <c r="J37" s="125">
        <v>32</v>
      </c>
      <c r="K37" s="114">
        <f>SUM(J37)+2.4</f>
        <v>34.4</v>
      </c>
      <c r="L37" s="114">
        <f>SUM(K37)+2.4</f>
        <v>36.799999999999997</v>
      </c>
      <c r="M37" s="116">
        <f>SUM(L37)+2.4</f>
        <v>39.199999999999996</v>
      </c>
    </row>
    <row r="38" spans="1:13" s="1" customFormat="1" ht="14.1" customHeight="1">
      <c r="A38" s="122"/>
      <c r="B38" s="127" t="s">
        <v>161</v>
      </c>
      <c r="C38" s="128"/>
      <c r="D38" s="79"/>
      <c r="E38" s="80"/>
      <c r="F38" s="80"/>
      <c r="G38" s="81"/>
      <c r="H38" s="46"/>
      <c r="I38" s="46"/>
      <c r="J38" s="125"/>
      <c r="K38" s="114"/>
      <c r="L38" s="114"/>
      <c r="M38" s="116"/>
    </row>
    <row r="39" spans="1:13" s="1" customFormat="1" ht="14.1" customHeight="1">
      <c r="A39" s="122">
        <v>19</v>
      </c>
      <c r="B39" s="98"/>
      <c r="C39" s="98"/>
      <c r="D39" s="124"/>
      <c r="E39" s="124"/>
      <c r="F39" s="124"/>
      <c r="G39" s="124"/>
      <c r="H39" s="27"/>
      <c r="I39" s="27"/>
      <c r="J39" s="125"/>
      <c r="K39" s="114"/>
      <c r="L39" s="114"/>
      <c r="M39" s="116">
        <f>SUM(L39)+2.4</f>
        <v>2.4</v>
      </c>
    </row>
    <row r="40" spans="1:13" s="1" customFormat="1" ht="14.1" customHeight="1" thickBot="1">
      <c r="A40" s="123"/>
      <c r="B40" s="118"/>
      <c r="C40" s="118"/>
      <c r="D40" s="119"/>
      <c r="E40" s="120"/>
      <c r="F40" s="120"/>
      <c r="G40" s="121"/>
      <c r="H40" s="28"/>
      <c r="I40" s="28"/>
      <c r="J40" s="126"/>
      <c r="K40" s="115"/>
      <c r="L40" s="115"/>
      <c r="M40" s="117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12">
    <mergeCell ref="J21:J22"/>
    <mergeCell ref="K21:K22"/>
    <mergeCell ref="L21:L22"/>
    <mergeCell ref="M21:M22"/>
    <mergeCell ref="B22:C22"/>
    <mergeCell ref="D22:G22"/>
    <mergeCell ref="K39:K40"/>
    <mergeCell ref="L39:L40"/>
    <mergeCell ref="M39:M40"/>
    <mergeCell ref="B40:C40"/>
    <mergeCell ref="D40:G40"/>
    <mergeCell ref="J39:J40"/>
    <mergeCell ref="J37:J38"/>
    <mergeCell ref="K37:K38"/>
    <mergeCell ref="L37:L38"/>
    <mergeCell ref="M37:M38"/>
    <mergeCell ref="K35:K36"/>
    <mergeCell ref="L35:L36"/>
    <mergeCell ref="M35:M36"/>
    <mergeCell ref="J35:J36"/>
    <mergeCell ref="J33:J34"/>
    <mergeCell ref="K33:K34"/>
    <mergeCell ref="L33:L34"/>
    <mergeCell ref="M33:M34"/>
    <mergeCell ref="A21:A22"/>
    <mergeCell ref="B21:C21"/>
    <mergeCell ref="D21:G21"/>
    <mergeCell ref="H21:H22"/>
    <mergeCell ref="I21:I22"/>
    <mergeCell ref="A39:A40"/>
    <mergeCell ref="B39:C39"/>
    <mergeCell ref="D39:G39"/>
    <mergeCell ref="H39:H40"/>
    <mergeCell ref="I39:I40"/>
    <mergeCell ref="B38:C38"/>
    <mergeCell ref="D38:G38"/>
    <mergeCell ref="B36:C36"/>
    <mergeCell ref="D36:G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B34:C34"/>
    <mergeCell ref="D34:G34"/>
    <mergeCell ref="K31:K32"/>
    <mergeCell ref="L31:L32"/>
    <mergeCell ref="M31:M32"/>
    <mergeCell ref="B32:C32"/>
    <mergeCell ref="D32:G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1:J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9CDB-0AA2-4892-AF9C-04B238FF6E89}">
  <sheetPr codeName="Sheet38">
    <tabColor theme="5"/>
    <pageSetUpPr fitToPage="1"/>
  </sheetPr>
  <dimension ref="A1:M55"/>
  <sheetViews>
    <sheetView zoomScale="110" zoomScaleNormal="110" workbookViewId="0">
      <selection activeCell="P20" sqref="P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5" style="11" customWidth="1"/>
  </cols>
  <sheetData>
    <row r="1" spans="1:13" ht="16.5" customHeight="1" thickBot="1">
      <c r="A1" s="85" t="s">
        <v>451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147">
        <v>1</v>
      </c>
      <c r="B3" s="90" t="s">
        <v>39</v>
      </c>
      <c r="C3" s="91"/>
      <c r="D3" s="92" t="s">
        <v>217</v>
      </c>
      <c r="E3" s="93"/>
      <c r="F3" s="93"/>
      <c r="G3" s="94"/>
      <c r="H3" s="27">
        <f>SUM(I3)-5</f>
        <v>55</v>
      </c>
      <c r="I3" s="27">
        <f>SUM(J3)-5</f>
        <v>60</v>
      </c>
      <c r="J3" s="41">
        <v>65</v>
      </c>
      <c r="K3" s="27">
        <f>SUM(J3)+5</f>
        <v>70</v>
      </c>
      <c r="L3" s="27">
        <f>SUM(K3)+5</f>
        <v>75</v>
      </c>
      <c r="M3" s="29">
        <f>SUM(L3)+5</f>
        <v>80</v>
      </c>
    </row>
    <row r="4" spans="1:13" s="1" customFormat="1" ht="14.1" customHeight="1">
      <c r="A4" s="138"/>
      <c r="B4" s="127" t="s">
        <v>36</v>
      </c>
      <c r="C4" s="128"/>
      <c r="D4" s="79" t="s">
        <v>73</v>
      </c>
      <c r="E4" s="80"/>
      <c r="F4" s="80"/>
      <c r="G4" s="81"/>
      <c r="H4" s="46"/>
      <c r="I4" s="46"/>
      <c r="J4" s="44"/>
      <c r="K4" s="46"/>
      <c r="L4" s="46"/>
      <c r="M4" s="132"/>
    </row>
    <row r="5" spans="1:13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35.599999999999994</v>
      </c>
      <c r="I5" s="27">
        <f>SUM(J5)-2.2</f>
        <v>37.799999999999997</v>
      </c>
      <c r="J5" s="41">
        <v>40</v>
      </c>
      <c r="K5" s="27">
        <f>SUM(J5)+2</f>
        <v>42</v>
      </c>
      <c r="L5" s="27">
        <f>SUM(K5)+2</f>
        <v>44</v>
      </c>
      <c r="M5" s="29">
        <f>SUM(L5)+2</f>
        <v>46</v>
      </c>
    </row>
    <row r="6" spans="1:13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132"/>
    </row>
    <row r="7" spans="1:13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37.5</v>
      </c>
      <c r="I7" s="27">
        <f>SUM(J7)-2.25</f>
        <v>39.75</v>
      </c>
      <c r="J7" s="41">
        <v>42</v>
      </c>
      <c r="K7" s="27">
        <f>SUM(J7)+2</f>
        <v>44</v>
      </c>
      <c r="L7" s="27">
        <f>SUM(K7)+2</f>
        <v>46</v>
      </c>
      <c r="M7" s="29">
        <f>SUM(L7)+2</f>
        <v>48</v>
      </c>
    </row>
    <row r="8" spans="1:13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132"/>
    </row>
    <row r="9" spans="1:13" s="1" customFormat="1" ht="14.1" customHeight="1">
      <c r="A9" s="122">
        <v>4</v>
      </c>
      <c r="B9" s="98" t="s">
        <v>453</v>
      </c>
      <c r="C9" s="98"/>
      <c r="D9" s="124"/>
      <c r="E9" s="124"/>
      <c r="F9" s="124"/>
      <c r="G9" s="124"/>
      <c r="H9" s="27">
        <f>SUM(I9)-1.8</f>
        <v>30.400000000000002</v>
      </c>
      <c r="I9" s="27">
        <f>SUM(J9)-1.8</f>
        <v>32.200000000000003</v>
      </c>
      <c r="J9" s="41">
        <v>34</v>
      </c>
      <c r="K9" s="27">
        <f>SUM(J9)+1.6</f>
        <v>35.6</v>
      </c>
      <c r="L9" s="27">
        <f>SUM(K9)+1.6</f>
        <v>37.200000000000003</v>
      </c>
      <c r="M9" s="29">
        <f>SUM(L9)+1.6</f>
        <v>38.800000000000004</v>
      </c>
    </row>
    <row r="10" spans="1:13" s="1" customFormat="1" ht="14.1" customHeight="1">
      <c r="A10" s="122"/>
      <c r="B10" s="75" t="s">
        <v>452</v>
      </c>
      <c r="C10" s="75"/>
      <c r="D10" s="79"/>
      <c r="E10" s="80"/>
      <c r="F10" s="80"/>
      <c r="G10" s="81"/>
      <c r="H10" s="46"/>
      <c r="I10" s="46"/>
      <c r="J10" s="44"/>
      <c r="K10" s="46"/>
      <c r="L10" s="46"/>
      <c r="M10" s="132"/>
    </row>
    <row r="11" spans="1:13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14.5</v>
      </c>
      <c r="I11" s="27">
        <f>SUM(J11)-0.8</f>
        <v>15.3</v>
      </c>
      <c r="J11" s="125">
        <v>16.100000000000001</v>
      </c>
      <c r="K11" s="114">
        <f>SUM(J11)+0.8</f>
        <v>16.900000000000002</v>
      </c>
      <c r="L11" s="114">
        <f>SUM(K11)+0.8</f>
        <v>17.700000000000003</v>
      </c>
      <c r="M11" s="116">
        <f>SUM(L11)+0.8</f>
        <v>18.500000000000004</v>
      </c>
    </row>
    <row r="12" spans="1:13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6"/>
    </row>
    <row r="13" spans="1:13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15.6</v>
      </c>
      <c r="I13" s="27">
        <f>SUM(J13)-0.6</f>
        <v>16.2</v>
      </c>
      <c r="J13" s="125">
        <v>16.8</v>
      </c>
      <c r="K13" s="114">
        <f>SUM(J13)+0.6</f>
        <v>17.400000000000002</v>
      </c>
      <c r="L13" s="114">
        <f>SUM(K13)+0.6</f>
        <v>18.000000000000004</v>
      </c>
      <c r="M13" s="116">
        <f>SUM(L13)+0.6</f>
        <v>18.600000000000005</v>
      </c>
    </row>
    <row r="14" spans="1:13" s="1" customFormat="1" ht="14.1" customHeight="1">
      <c r="A14" s="122"/>
      <c r="B14" s="75" t="s">
        <v>27</v>
      </c>
      <c r="C14" s="75"/>
      <c r="D14" s="79" t="s">
        <v>456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3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6.2</v>
      </c>
      <c r="I15" s="27">
        <f>SUM(J15)-0.3</f>
        <v>6.5</v>
      </c>
      <c r="J15" s="125">
        <v>6.8</v>
      </c>
      <c r="K15" s="114">
        <f>SUM(J15)+0.3</f>
        <v>7.1</v>
      </c>
      <c r="L15" s="114">
        <f>SUM(K15)+0.3</f>
        <v>7.3999999999999995</v>
      </c>
      <c r="M15" s="116">
        <f>SUM(L15)+0.3</f>
        <v>7.6999999999999993</v>
      </c>
    </row>
    <row r="16" spans="1:13" s="1" customFormat="1" ht="14.1" customHeight="1">
      <c r="A16" s="122"/>
      <c r="B16" s="75" t="s">
        <v>28</v>
      </c>
      <c r="C16" s="75"/>
      <c r="D16" s="79" t="s">
        <v>455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98">
        <f>SUM(I17)-1.6</f>
        <v>40.799999999999997</v>
      </c>
      <c r="I17" s="98">
        <f>SUM(J17)-1.6</f>
        <v>42.4</v>
      </c>
      <c r="J17" s="146">
        <v>44</v>
      </c>
      <c r="K17" s="145">
        <f>SUM(J17)+1.6</f>
        <v>45.6</v>
      </c>
      <c r="L17" s="145">
        <f>SUM(K17)+1.6</f>
        <v>47.2</v>
      </c>
      <c r="M17" s="116">
        <f>SUM(L17)+1.6</f>
        <v>48.800000000000004</v>
      </c>
    </row>
    <row r="18" spans="1:13" s="1" customFormat="1" ht="14.1" customHeight="1">
      <c r="A18" s="122"/>
      <c r="B18" s="75" t="s">
        <v>33</v>
      </c>
      <c r="C18" s="75"/>
      <c r="D18" s="79" t="s">
        <v>454</v>
      </c>
      <c r="E18" s="80"/>
      <c r="F18" s="80"/>
      <c r="G18" s="81"/>
      <c r="H18" s="75"/>
      <c r="I18" s="75"/>
      <c r="J18" s="146"/>
      <c r="K18" s="145"/>
      <c r="L18" s="145"/>
      <c r="M18" s="116"/>
    </row>
    <row r="19" spans="1:13" s="1" customFormat="1" ht="14.1" customHeight="1">
      <c r="A19" s="122">
        <v>9</v>
      </c>
      <c r="B19" s="98" t="s">
        <v>218</v>
      </c>
      <c r="C19" s="98"/>
      <c r="D19" s="124" t="s">
        <v>5</v>
      </c>
      <c r="E19" s="124"/>
      <c r="F19" s="124"/>
      <c r="G19" s="124"/>
      <c r="H19" s="27">
        <f>SUM(I19)-3.4</f>
        <v>27.200000000000003</v>
      </c>
      <c r="I19" s="27">
        <f>SUM(J19)-3.4</f>
        <v>30.6</v>
      </c>
      <c r="J19" s="125">
        <v>34</v>
      </c>
      <c r="K19" s="145">
        <f>SUM(J19)+3.5</f>
        <v>37.5</v>
      </c>
      <c r="L19" s="114">
        <f>SUM(K19)+3.5</f>
        <v>41</v>
      </c>
      <c r="M19" s="116">
        <f>SUM(L19)+3.5</f>
        <v>44.5</v>
      </c>
    </row>
    <row r="20" spans="1:13" s="1" customFormat="1" ht="14.1" customHeight="1">
      <c r="A20" s="122"/>
      <c r="B20" s="75" t="s">
        <v>187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45"/>
      <c r="L20" s="114"/>
      <c r="M20" s="116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29"/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3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>SUM(K23)+0.6</f>
        <v>16.399999999999999</v>
      </c>
      <c r="M23" s="116">
        <f>SUM(L23)+0.6</f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6"/>
    </row>
    <row r="25" spans="1:13" s="1" customFormat="1" ht="14.1" customHeight="1">
      <c r="A25" s="122">
        <v>12</v>
      </c>
      <c r="B25" s="36" t="s">
        <v>457</v>
      </c>
      <c r="C25" s="37"/>
      <c r="D25" s="129"/>
      <c r="E25" s="130"/>
      <c r="F25" s="130"/>
      <c r="G25" s="131"/>
      <c r="H25" s="27">
        <f>SUM(I25)-2.5</f>
        <v>28</v>
      </c>
      <c r="I25" s="27">
        <f>SUM(J25)-2.5</f>
        <v>30.5</v>
      </c>
      <c r="J25" s="41">
        <v>33</v>
      </c>
      <c r="K25" s="27">
        <f>SUM(J25)+2.5</f>
        <v>35.5</v>
      </c>
      <c r="L25" s="27">
        <f>SUM(K25)+2.5</f>
        <v>38</v>
      </c>
      <c r="M25" s="29">
        <f>SUM(L25)+2.5</f>
        <v>40.5</v>
      </c>
    </row>
    <row r="26" spans="1:13" s="1" customFormat="1" ht="14.1" customHeight="1">
      <c r="A26" s="122"/>
      <c r="B26" s="127" t="s">
        <v>458</v>
      </c>
      <c r="C26" s="128"/>
      <c r="D26" s="79" t="s">
        <v>459</v>
      </c>
      <c r="E26" s="80"/>
      <c r="F26" s="80"/>
      <c r="G26" s="81"/>
      <c r="H26" s="46"/>
      <c r="I26" s="46"/>
      <c r="J26" s="44"/>
      <c r="K26" s="46"/>
      <c r="L26" s="46"/>
      <c r="M26" s="132"/>
    </row>
    <row r="27" spans="1:13" s="1" customFormat="1" ht="14.1" customHeight="1">
      <c r="A27" s="122">
        <v>13</v>
      </c>
      <c r="B27" s="36" t="s">
        <v>141</v>
      </c>
      <c r="C27" s="37"/>
      <c r="D27" s="38"/>
      <c r="E27" s="39"/>
      <c r="F27" s="39"/>
      <c r="G27" s="40"/>
      <c r="H27" s="27">
        <f>SUM(I27)-0.7</f>
        <v>7.6000000000000005</v>
      </c>
      <c r="I27" s="27">
        <f>SUM(J27)-0.7</f>
        <v>8.3000000000000007</v>
      </c>
      <c r="J27" s="41">
        <v>9</v>
      </c>
      <c r="K27" s="27">
        <f>SUM(J27)+0.7</f>
        <v>9.6999999999999993</v>
      </c>
      <c r="L27" s="27">
        <f>SUM(K27)+0.7</f>
        <v>10.399999999999999</v>
      </c>
      <c r="M27" s="29">
        <f>SUM(L27)+0.7</f>
        <v>11.099999999999998</v>
      </c>
    </row>
    <row r="28" spans="1:13" s="1" customFormat="1" ht="14.1" customHeight="1">
      <c r="A28" s="122"/>
      <c r="B28" s="46" t="s">
        <v>219</v>
      </c>
      <c r="C28" s="46"/>
      <c r="D28" s="79" t="s">
        <v>459</v>
      </c>
      <c r="E28" s="80"/>
      <c r="F28" s="80"/>
      <c r="G28" s="81"/>
      <c r="H28" s="46"/>
      <c r="I28" s="46"/>
      <c r="J28" s="44"/>
      <c r="K28" s="46"/>
      <c r="L28" s="46"/>
      <c r="M28" s="132"/>
    </row>
    <row r="29" spans="1:13" s="1" customFormat="1" ht="14.1" customHeight="1">
      <c r="A29" s="122">
        <v>14</v>
      </c>
      <c r="B29" s="36" t="s">
        <v>142</v>
      </c>
      <c r="C29" s="37"/>
      <c r="D29" s="38"/>
      <c r="E29" s="39"/>
      <c r="F29" s="39"/>
      <c r="G29" s="40"/>
      <c r="H29" s="27">
        <f>SUM(I29)-1.8</f>
        <v>20.399999999999999</v>
      </c>
      <c r="I29" s="27">
        <f>SUM(J29)-1.8</f>
        <v>22.2</v>
      </c>
      <c r="J29" s="41">
        <v>24</v>
      </c>
      <c r="K29" s="27">
        <f>SUM(J29)+1.8</f>
        <v>25.8</v>
      </c>
      <c r="L29" s="27">
        <f>SUM(K29)+1.8</f>
        <v>27.6</v>
      </c>
      <c r="M29" s="29">
        <f>SUM(L29)+1.8</f>
        <v>29.400000000000002</v>
      </c>
    </row>
    <row r="30" spans="1:13" s="1" customFormat="1" ht="14.1" customHeight="1">
      <c r="A30" s="122"/>
      <c r="B30" s="46" t="s">
        <v>220</v>
      </c>
      <c r="C30" s="46"/>
      <c r="D30" s="49"/>
      <c r="E30" s="50"/>
      <c r="F30" s="50"/>
      <c r="G30" s="51"/>
      <c r="H30" s="46"/>
      <c r="I30" s="46"/>
      <c r="J30" s="44"/>
      <c r="K30" s="46"/>
      <c r="L30" s="46"/>
      <c r="M30" s="132"/>
    </row>
    <row r="31" spans="1:13" s="1" customFormat="1" ht="14.1" customHeight="1">
      <c r="A31" s="122">
        <v>15</v>
      </c>
      <c r="B31" s="36" t="s">
        <v>114</v>
      </c>
      <c r="C31" s="37"/>
      <c r="D31" s="38"/>
      <c r="E31" s="39"/>
      <c r="F31" s="39"/>
      <c r="G31" s="40"/>
      <c r="H31" s="27">
        <f>SUM(I31)-0.2</f>
        <v>2.1999999999999997</v>
      </c>
      <c r="I31" s="27">
        <f>SUM(J31)-0.2</f>
        <v>2.4</v>
      </c>
      <c r="J31" s="41">
        <v>2.6</v>
      </c>
      <c r="K31" s="27">
        <f>SUM(J31)+0.2</f>
        <v>2.8000000000000003</v>
      </c>
      <c r="L31" s="27">
        <f>SUM(K31)+0.2</f>
        <v>3.0000000000000004</v>
      </c>
      <c r="M31" s="29">
        <f>SUM(L31)+0.2</f>
        <v>3.2000000000000006</v>
      </c>
    </row>
    <row r="32" spans="1:13" s="1" customFormat="1" ht="14.1" customHeight="1">
      <c r="A32" s="122"/>
      <c r="B32" s="127" t="s">
        <v>122</v>
      </c>
      <c r="C32" s="128"/>
      <c r="D32" s="49"/>
      <c r="E32" s="50"/>
      <c r="F32" s="50"/>
      <c r="G32" s="51"/>
      <c r="H32" s="46"/>
      <c r="I32" s="46"/>
      <c r="J32" s="44"/>
      <c r="K32" s="46"/>
      <c r="L32" s="46"/>
      <c r="M32" s="132"/>
    </row>
    <row r="33" spans="1:13" s="1" customFormat="1" ht="14.1" customHeight="1">
      <c r="A33" s="122">
        <v>16</v>
      </c>
      <c r="B33" s="133"/>
      <c r="C33" s="134"/>
      <c r="D33" s="135"/>
      <c r="E33" s="136"/>
      <c r="F33" s="136"/>
      <c r="G33" s="137"/>
      <c r="H33" s="45"/>
      <c r="I33" s="45"/>
      <c r="J33" s="44"/>
      <c r="K33" s="46"/>
      <c r="L33" s="46"/>
      <c r="M33" s="48"/>
    </row>
    <row r="34" spans="1:13" s="1" customFormat="1" ht="14.1" customHeight="1" thickBot="1">
      <c r="A34" s="123"/>
      <c r="B34" s="143"/>
      <c r="C34" s="144"/>
      <c r="D34" s="119"/>
      <c r="E34" s="120"/>
      <c r="F34" s="120"/>
      <c r="G34" s="121"/>
      <c r="H34" s="28"/>
      <c r="I34" s="28"/>
      <c r="J34" s="126"/>
      <c r="K34" s="115"/>
      <c r="L34" s="115"/>
      <c r="M34" s="142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 s="11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 s="11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0FA4-7D4A-4DDD-9972-A9C256F747DB}">
  <sheetPr codeName="Sheet39">
    <tabColor theme="5"/>
    <pageSetUpPr fitToPage="1"/>
  </sheetPr>
  <dimension ref="A1:P57"/>
  <sheetViews>
    <sheetView zoomScale="110" zoomScaleNormal="110" workbookViewId="0">
      <selection activeCell="A37" sqref="A37:A3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649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38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SUM(I3)-4.9</f>
        <v>55.2</v>
      </c>
      <c r="I3" s="27">
        <f>SUM(J3)-4.9</f>
        <v>60.1</v>
      </c>
      <c r="J3" s="139">
        <v>65</v>
      </c>
      <c r="K3" s="140">
        <f>SUM(J3)+4.9</f>
        <v>69.900000000000006</v>
      </c>
      <c r="L3" s="140">
        <f>SUM(K3)+4.9</f>
        <v>74.800000000000011</v>
      </c>
      <c r="M3" s="141">
        <f>SUM(L3)+4.9</f>
        <v>79.700000000000017</v>
      </c>
    </row>
    <row r="4" spans="1:13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1"/>
      <c r="K4" s="27"/>
      <c r="L4" s="27"/>
      <c r="M4" s="29"/>
    </row>
    <row r="5" spans="1:13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SUM(I5)-1.8</f>
        <v>21.4</v>
      </c>
      <c r="I5" s="27">
        <f>SUM(J5)-1.8</f>
        <v>23.2</v>
      </c>
      <c r="J5" s="41">
        <v>25</v>
      </c>
      <c r="K5" s="27">
        <f>SUM(J5)+1.6</f>
        <v>26.6</v>
      </c>
      <c r="L5" s="27">
        <f>SUM(K5)+1.6</f>
        <v>28.200000000000003</v>
      </c>
      <c r="M5" s="29">
        <f>SUM(L5)+1.6</f>
        <v>29.800000000000004</v>
      </c>
    </row>
    <row r="6" spans="1:13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132"/>
    </row>
    <row r="7" spans="1:13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27.5</v>
      </c>
      <c r="I7" s="27">
        <f>SUM(J7)-2.25</f>
        <v>29.75</v>
      </c>
      <c r="J7" s="41">
        <v>32</v>
      </c>
      <c r="K7" s="27">
        <f>SUM(J7)+2</f>
        <v>34</v>
      </c>
      <c r="L7" s="27">
        <f>SUM(K7)+2</f>
        <v>36</v>
      </c>
      <c r="M7" s="29">
        <f>SUM(L7)+2</f>
        <v>38</v>
      </c>
    </row>
    <row r="8" spans="1:13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132"/>
    </row>
    <row r="9" spans="1:13" s="1" customFormat="1" ht="14.1" customHeight="1">
      <c r="A9" s="122">
        <v>4</v>
      </c>
      <c r="B9" s="98" t="s">
        <v>144</v>
      </c>
      <c r="C9" s="98"/>
      <c r="D9" s="124" t="s">
        <v>8</v>
      </c>
      <c r="E9" s="124"/>
      <c r="F9" s="124"/>
      <c r="G9" s="124"/>
      <c r="H9" s="27">
        <f>SUM(I9)-2.1</f>
        <v>25.799999999999997</v>
      </c>
      <c r="I9" s="27">
        <f>SUM(J9)-2.1</f>
        <v>27.9</v>
      </c>
      <c r="J9" s="41">
        <v>30</v>
      </c>
      <c r="K9" s="27">
        <f>SUM(J9)+1.9</f>
        <v>31.9</v>
      </c>
      <c r="L9" s="27">
        <f>SUM(K9)+1.9</f>
        <v>33.799999999999997</v>
      </c>
      <c r="M9" s="29">
        <f>SUM(L9)+1.9</f>
        <v>35.699999999999996</v>
      </c>
    </row>
    <row r="10" spans="1:13" s="1" customFormat="1" ht="14.1" customHeight="1">
      <c r="A10" s="122"/>
      <c r="B10" s="75" t="s">
        <v>145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3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SUM(I11)-0.9</f>
        <v>13.899999999999999</v>
      </c>
      <c r="I11" s="27">
        <f>SUM(J11)-0.8</f>
        <v>14.799999999999999</v>
      </c>
      <c r="J11" s="125">
        <v>15.6</v>
      </c>
      <c r="K11" s="114">
        <f>SUM(J11)+0.9</f>
        <v>16.5</v>
      </c>
      <c r="L11" s="114">
        <f>SUM(K11)+0.9</f>
        <v>17.399999999999999</v>
      </c>
      <c r="M11" s="116">
        <f>SUM(L11)+0.9</f>
        <v>18.299999999999997</v>
      </c>
    </row>
    <row r="12" spans="1:13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6"/>
    </row>
    <row r="13" spans="1:13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13</v>
      </c>
      <c r="I13" s="27">
        <f>SUM(J13)-0.6</f>
        <v>13.6</v>
      </c>
      <c r="J13" s="125">
        <v>14.2</v>
      </c>
      <c r="K13" s="114">
        <f>SUM(J13)+0.6</f>
        <v>14.799999999999999</v>
      </c>
      <c r="L13" s="114">
        <f>SUM(K13)+0.6</f>
        <v>15.399999999999999</v>
      </c>
      <c r="M13" s="116">
        <f>SUM(L13)+0.6</f>
        <v>15.999999999999998</v>
      </c>
    </row>
    <row r="14" spans="1:13" s="1" customFormat="1" ht="14.1" customHeight="1">
      <c r="A14" s="122"/>
      <c r="B14" s="75" t="s">
        <v>27</v>
      </c>
      <c r="C14" s="75"/>
      <c r="D14" s="79" t="s">
        <v>136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3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</v>
      </c>
      <c r="I15" s="27">
        <f>SUM(J15)-0.3</f>
        <v>6.3</v>
      </c>
      <c r="J15" s="125">
        <v>6.6</v>
      </c>
      <c r="K15" s="114">
        <f>SUM(J15)+0.3</f>
        <v>6.8999999999999995</v>
      </c>
      <c r="L15" s="114">
        <f>SUM(K15)+0.3</f>
        <v>7.1999999999999993</v>
      </c>
      <c r="M15" s="116">
        <f>SUM(L15)+0.3</f>
        <v>7.4999999999999991</v>
      </c>
    </row>
    <row r="16" spans="1:13" s="1" customFormat="1" ht="14.1" customHeight="1">
      <c r="A16" s="122"/>
      <c r="B16" s="75" t="s">
        <v>28</v>
      </c>
      <c r="C16" s="75"/>
      <c r="D16" s="79" t="s">
        <v>137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6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34.299999999999997</v>
      </c>
      <c r="I17" s="27">
        <f>SUM(J17)-1.6</f>
        <v>35.9</v>
      </c>
      <c r="J17" s="125">
        <v>37.5</v>
      </c>
      <c r="K17" s="114">
        <f>SUM(J17)+1.6</f>
        <v>39.1</v>
      </c>
      <c r="L17" s="114">
        <f>SUM(K17)+1.6</f>
        <v>40.700000000000003</v>
      </c>
      <c r="M17" s="116">
        <f>SUM(L17)+1.6</f>
        <v>42.300000000000004</v>
      </c>
    </row>
    <row r="18" spans="1:16" s="1" customFormat="1" ht="14.1" customHeight="1">
      <c r="A18" s="122"/>
      <c r="B18" s="75" t="s">
        <v>33</v>
      </c>
      <c r="C18" s="75"/>
      <c r="D18" s="79" t="s">
        <v>74</v>
      </c>
      <c r="E18" s="80"/>
      <c r="F18" s="80"/>
      <c r="G18" s="81"/>
      <c r="H18" s="46"/>
      <c r="I18" s="46"/>
      <c r="J18" s="125"/>
      <c r="K18" s="114"/>
      <c r="L18" s="114"/>
      <c r="M18" s="116"/>
    </row>
    <row r="19" spans="1:16" s="1" customFormat="1" ht="14.1" customHeight="1">
      <c r="A19" s="122">
        <v>9</v>
      </c>
      <c r="B19" s="36" t="s">
        <v>353</v>
      </c>
      <c r="C19" s="37"/>
      <c r="D19" s="76"/>
      <c r="E19" s="77"/>
      <c r="F19" s="77"/>
      <c r="G19" s="78"/>
      <c r="H19" s="27">
        <f>SUM(I19)-1.2</f>
        <v>15.600000000000001</v>
      </c>
      <c r="I19" s="27">
        <f>SUM(J19)-1.2</f>
        <v>16.8</v>
      </c>
      <c r="J19" s="125">
        <v>18</v>
      </c>
      <c r="K19" s="114">
        <f>SUM(J19)+1.2</f>
        <v>19.2</v>
      </c>
      <c r="L19" s="114">
        <f>SUM(K19)+1.2</f>
        <v>20.399999999999999</v>
      </c>
      <c r="M19" s="116">
        <f>SUM(L19)+1.2</f>
        <v>21.599999999999998</v>
      </c>
    </row>
    <row r="20" spans="1:16" s="1" customFormat="1" ht="14.1" customHeight="1">
      <c r="A20" s="122"/>
      <c r="B20" s="75" t="s">
        <v>355</v>
      </c>
      <c r="C20" s="75"/>
      <c r="D20" s="79" t="s">
        <v>354</v>
      </c>
      <c r="E20" s="80"/>
      <c r="F20" s="80"/>
      <c r="G20" s="81"/>
      <c r="H20" s="46"/>
      <c r="I20" s="46"/>
      <c r="J20" s="125"/>
      <c r="K20" s="114"/>
      <c r="L20" s="114"/>
      <c r="M20" s="116"/>
    </row>
    <row r="21" spans="1:16" s="1" customFormat="1" ht="14.1" customHeight="1">
      <c r="A21" s="122">
        <v>10</v>
      </c>
      <c r="B21" s="98" t="s">
        <v>4</v>
      </c>
      <c r="C21" s="98"/>
      <c r="D21" s="124" t="s">
        <v>5</v>
      </c>
      <c r="E21" s="124"/>
      <c r="F21" s="124"/>
      <c r="G21" s="124"/>
      <c r="H21" s="27">
        <f>SUM(I21)-3.6</f>
        <v>34.299999999999997</v>
      </c>
      <c r="I21" s="27">
        <f>SUM(J21)-3.6</f>
        <v>37.9</v>
      </c>
      <c r="J21" s="125">
        <v>41.5</v>
      </c>
      <c r="K21" s="114">
        <f>SUM(J21)+3.7</f>
        <v>45.2</v>
      </c>
      <c r="L21" s="114">
        <f>SUM(K21)+3.7</f>
        <v>48.900000000000006</v>
      </c>
      <c r="M21" s="116">
        <f>SUM(L21)+3.7</f>
        <v>52.600000000000009</v>
      </c>
    </row>
    <row r="22" spans="1:16" s="1" customFormat="1" ht="14.1" customHeight="1">
      <c r="A22" s="122"/>
      <c r="B22" s="75" t="s">
        <v>200</v>
      </c>
      <c r="C22" s="75"/>
      <c r="D22" s="79" t="s">
        <v>47</v>
      </c>
      <c r="E22" s="80"/>
      <c r="F22" s="80"/>
      <c r="G22" s="81"/>
      <c r="H22" s="46"/>
      <c r="I22" s="46"/>
      <c r="J22" s="125"/>
      <c r="K22" s="114"/>
      <c r="L22" s="114"/>
      <c r="M22" s="116"/>
    </row>
    <row r="23" spans="1:16" s="1" customFormat="1" ht="14.1" customHeight="1">
      <c r="A23" s="122">
        <v>11</v>
      </c>
      <c r="B23" s="98" t="s">
        <v>6</v>
      </c>
      <c r="C23" s="98"/>
      <c r="D23" s="76" t="s">
        <v>7</v>
      </c>
      <c r="E23" s="77"/>
      <c r="F23" s="77"/>
      <c r="G23" s="78"/>
      <c r="H23" s="27"/>
      <c r="I23" s="27"/>
      <c r="J23" s="125"/>
      <c r="K23" s="114"/>
      <c r="L23" s="114"/>
      <c r="M23" s="116"/>
      <c r="P23" s="1" t="s">
        <v>352</v>
      </c>
    </row>
    <row r="24" spans="1:16" s="1" customFormat="1" ht="14.1" customHeight="1">
      <c r="A24" s="122"/>
      <c r="B24" s="75" t="s">
        <v>30</v>
      </c>
      <c r="C24" s="75"/>
      <c r="D24" s="79" t="s">
        <v>64</v>
      </c>
      <c r="E24" s="80"/>
      <c r="F24" s="80"/>
      <c r="G24" s="81"/>
      <c r="H24" s="46"/>
      <c r="I24" s="46"/>
      <c r="J24" s="125"/>
      <c r="K24" s="114"/>
      <c r="L24" s="114"/>
      <c r="M24" s="116"/>
      <c r="P24" s="1">
        <f>SUM(H25+H25+I25+I25+J25+J25+K25+K25+L25+L25)</f>
        <v>160</v>
      </c>
    </row>
    <row r="25" spans="1:16" s="1" customFormat="1" ht="14.1" customHeight="1">
      <c r="A25" s="122">
        <v>12</v>
      </c>
      <c r="B25" s="36" t="s">
        <v>127</v>
      </c>
      <c r="C25" s="37"/>
      <c r="D25" s="124" t="s">
        <v>65</v>
      </c>
      <c r="E25" s="124"/>
      <c r="F25" s="124"/>
      <c r="G25" s="124"/>
      <c r="H25" s="27">
        <f>SUM(I25)-0.6</f>
        <v>14.8</v>
      </c>
      <c r="I25" s="27">
        <f>SUM(J25)-0.6</f>
        <v>15.4</v>
      </c>
      <c r="J25" s="125">
        <v>16</v>
      </c>
      <c r="K25" s="114">
        <f>SUM(J25)+0.6</f>
        <v>16.600000000000001</v>
      </c>
      <c r="L25" s="114">
        <f>SUM(K25)+0.6</f>
        <v>17.200000000000003</v>
      </c>
      <c r="M25" s="116">
        <f>SUM(L25)+0.6</f>
        <v>17.800000000000004</v>
      </c>
      <c r="P25" s="1">
        <f>SUM(P24/91.44/5*1.08)</f>
        <v>0.37795275590551186</v>
      </c>
    </row>
    <row r="26" spans="1:16" s="1" customFormat="1" ht="14.1" customHeight="1">
      <c r="A26" s="122"/>
      <c r="B26" s="75" t="s">
        <v>350</v>
      </c>
      <c r="C26" s="75"/>
      <c r="D26" s="79" t="s">
        <v>66</v>
      </c>
      <c r="E26" s="80"/>
      <c r="F26" s="80"/>
      <c r="G26" s="81"/>
      <c r="H26" s="46"/>
      <c r="I26" s="46"/>
      <c r="J26" s="125"/>
      <c r="K26" s="114"/>
      <c r="L26" s="114"/>
      <c r="M26" s="116"/>
    </row>
    <row r="27" spans="1:16" s="1" customFormat="1" ht="14.1" customHeight="1">
      <c r="A27" s="122">
        <v>13</v>
      </c>
      <c r="B27" s="133" t="s">
        <v>356</v>
      </c>
      <c r="C27" s="134"/>
      <c r="D27" s="135"/>
      <c r="E27" s="136"/>
      <c r="F27" s="136"/>
      <c r="G27" s="137"/>
      <c r="H27" s="45">
        <f>SUM(I27)-3</f>
        <v>36.4</v>
      </c>
      <c r="I27" s="45">
        <f>SUM(J27)-3</f>
        <v>39.4</v>
      </c>
      <c r="J27" s="44">
        <v>42.4</v>
      </c>
      <c r="K27" s="46">
        <f>SUM(J27)+3</f>
        <v>45.4</v>
      </c>
      <c r="L27" s="46">
        <f>SUM(K27)+3</f>
        <v>48.4</v>
      </c>
      <c r="M27" s="132">
        <f>SUM(L27)+3</f>
        <v>51.4</v>
      </c>
    </row>
    <row r="28" spans="1:16" s="1" customFormat="1" ht="14.1" customHeight="1">
      <c r="A28" s="122"/>
      <c r="B28" s="127" t="s">
        <v>210</v>
      </c>
      <c r="C28" s="128"/>
      <c r="D28" s="79"/>
      <c r="E28" s="80"/>
      <c r="F28" s="80"/>
      <c r="G28" s="81"/>
      <c r="H28" s="46"/>
      <c r="I28" s="46"/>
      <c r="J28" s="125"/>
      <c r="K28" s="114"/>
      <c r="L28" s="114"/>
      <c r="M28" s="116"/>
    </row>
    <row r="29" spans="1:16" s="1" customFormat="1" ht="14.1" customHeight="1">
      <c r="A29" s="122">
        <v>14</v>
      </c>
      <c r="B29" s="133" t="s">
        <v>357</v>
      </c>
      <c r="C29" s="134"/>
      <c r="D29" s="135"/>
      <c r="E29" s="136"/>
      <c r="F29" s="136"/>
      <c r="G29" s="137"/>
      <c r="H29" s="27">
        <f>SUM(I29)-0.4</f>
        <v>6.4999999999999991</v>
      </c>
      <c r="I29" s="27">
        <f>SUM(J29)-0.4</f>
        <v>6.8999999999999995</v>
      </c>
      <c r="J29" s="125">
        <v>7.3</v>
      </c>
      <c r="K29" s="114">
        <f>SUM(J29)+0.4</f>
        <v>7.7</v>
      </c>
      <c r="L29" s="114">
        <f>SUM(K29)+0.4</f>
        <v>8.1</v>
      </c>
      <c r="M29" s="116">
        <f>SUM(L29)+0.4</f>
        <v>8.5</v>
      </c>
    </row>
    <row r="30" spans="1:16" s="1" customFormat="1" ht="14.1" customHeight="1">
      <c r="A30" s="122"/>
      <c r="B30" s="127" t="s">
        <v>358</v>
      </c>
      <c r="C30" s="128"/>
      <c r="D30" s="79" t="s">
        <v>359</v>
      </c>
      <c r="E30" s="80"/>
      <c r="F30" s="80"/>
      <c r="G30" s="81"/>
      <c r="H30" s="46"/>
      <c r="I30" s="46"/>
      <c r="J30" s="125"/>
      <c r="K30" s="114"/>
      <c r="L30" s="114"/>
      <c r="M30" s="116"/>
    </row>
    <row r="31" spans="1:16" s="1" customFormat="1" ht="14.1" customHeight="1">
      <c r="A31" s="122">
        <v>15</v>
      </c>
      <c r="B31" s="36" t="s">
        <v>147</v>
      </c>
      <c r="C31" s="37"/>
      <c r="D31" s="129"/>
      <c r="E31" s="130"/>
      <c r="F31" s="130"/>
      <c r="G31" s="131"/>
      <c r="H31" s="27">
        <f>SUM(I31)-2.4</f>
        <v>29.700000000000003</v>
      </c>
      <c r="I31" s="27">
        <f>SUM(J31)-2.4</f>
        <v>32.1</v>
      </c>
      <c r="J31" s="125">
        <v>34.5</v>
      </c>
      <c r="K31" s="114">
        <f>SUM(J31)+2.4</f>
        <v>36.9</v>
      </c>
      <c r="L31" s="114">
        <f>SUM(K31)+2.4</f>
        <v>39.299999999999997</v>
      </c>
      <c r="M31" s="116">
        <f>SUM(L31)+2.4</f>
        <v>41.699999999999996</v>
      </c>
    </row>
    <row r="32" spans="1:16" s="1" customFormat="1" ht="14.1" customHeight="1">
      <c r="A32" s="122"/>
      <c r="B32" s="127" t="s">
        <v>161</v>
      </c>
      <c r="C32" s="128"/>
      <c r="D32" s="79"/>
      <c r="E32" s="80"/>
      <c r="F32" s="80"/>
      <c r="G32" s="81"/>
      <c r="H32" s="46"/>
      <c r="I32" s="46"/>
      <c r="J32" s="125"/>
      <c r="K32" s="114"/>
      <c r="L32" s="114"/>
      <c r="M32" s="116"/>
    </row>
    <row r="33" spans="1:13" s="1" customFormat="1" ht="14.1" customHeight="1">
      <c r="A33" s="122">
        <v>16</v>
      </c>
      <c r="B33" s="133"/>
      <c r="C33" s="134"/>
      <c r="D33" s="135"/>
      <c r="E33" s="136"/>
      <c r="F33" s="136"/>
      <c r="G33" s="137"/>
      <c r="H33" s="45"/>
      <c r="I33" s="45"/>
      <c r="J33" s="44"/>
      <c r="K33" s="46"/>
      <c r="L33" s="46"/>
      <c r="M33" s="132"/>
    </row>
    <row r="34" spans="1:13" s="1" customFormat="1" ht="14.1" customHeight="1">
      <c r="A34" s="122"/>
      <c r="B34" s="127"/>
      <c r="C34" s="128"/>
      <c r="D34" s="79"/>
      <c r="E34" s="80"/>
      <c r="F34" s="80"/>
      <c r="G34" s="81"/>
      <c r="H34" s="46"/>
      <c r="I34" s="46"/>
      <c r="J34" s="125"/>
      <c r="K34" s="114"/>
      <c r="L34" s="114"/>
      <c r="M34" s="116"/>
    </row>
    <row r="35" spans="1:13" s="1" customFormat="1" ht="14.1" customHeight="1">
      <c r="A35" s="122">
        <v>17</v>
      </c>
      <c r="B35" s="36"/>
      <c r="C35" s="37"/>
      <c r="D35" s="129"/>
      <c r="E35" s="130"/>
      <c r="F35" s="130"/>
      <c r="G35" s="131"/>
      <c r="H35" s="27"/>
      <c r="I35" s="27"/>
      <c r="J35" s="125"/>
      <c r="K35" s="114"/>
      <c r="L35" s="114"/>
      <c r="M35" s="116"/>
    </row>
    <row r="36" spans="1:13" s="1" customFormat="1" ht="14.1" customHeight="1">
      <c r="A36" s="122"/>
      <c r="B36" s="127"/>
      <c r="C36" s="128"/>
      <c r="D36" s="79"/>
      <c r="E36" s="80"/>
      <c r="F36" s="80"/>
      <c r="G36" s="81"/>
      <c r="H36" s="46"/>
      <c r="I36" s="46"/>
      <c r="J36" s="125"/>
      <c r="K36" s="114"/>
      <c r="L36" s="114"/>
      <c r="M36" s="116"/>
    </row>
    <row r="37" spans="1:13" s="1" customFormat="1" ht="14.1" customHeight="1">
      <c r="A37" s="122">
        <v>18</v>
      </c>
      <c r="B37" s="98"/>
      <c r="C37" s="98"/>
      <c r="D37" s="124"/>
      <c r="E37" s="124"/>
      <c r="F37" s="124"/>
      <c r="G37" s="124"/>
      <c r="H37" s="27"/>
      <c r="I37" s="27"/>
      <c r="J37" s="125"/>
      <c r="K37" s="114"/>
      <c r="L37" s="114"/>
      <c r="M37" s="116">
        <f>SUM(L37)+2.4</f>
        <v>2.4</v>
      </c>
    </row>
    <row r="38" spans="1:13" s="1" customFormat="1" ht="14.1" customHeight="1" thickBot="1">
      <c r="A38" s="123"/>
      <c r="B38" s="118"/>
      <c r="C38" s="118"/>
      <c r="D38" s="119"/>
      <c r="E38" s="120"/>
      <c r="F38" s="120"/>
      <c r="G38" s="121"/>
      <c r="H38" s="28"/>
      <c r="I38" s="28"/>
      <c r="J38" s="126"/>
      <c r="K38" s="115"/>
      <c r="L38" s="115"/>
      <c r="M38" s="117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C9AB-CF9F-4A39-B032-BE95D44DACD1}">
  <sheetPr codeName="Sheet40">
    <tabColor theme="5"/>
    <pageSetUpPr fitToPage="1"/>
  </sheetPr>
  <dimension ref="A1:M49"/>
  <sheetViews>
    <sheetView zoomScale="110" zoomScaleNormal="110" workbookViewId="0">
      <selection activeCell="L3" sqref="L3:L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507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47">
        <v>1</v>
      </c>
      <c r="B3" s="148" t="s">
        <v>39</v>
      </c>
      <c r="C3" s="148"/>
      <c r="D3" s="149" t="s">
        <v>159</v>
      </c>
      <c r="E3" s="149"/>
      <c r="F3" s="149"/>
      <c r="G3" s="92"/>
      <c r="H3" s="96">
        <f>SUM(I3)-4.4</f>
        <v>49.2</v>
      </c>
      <c r="I3" s="96">
        <f>SUM(J3)-4.4</f>
        <v>53.6</v>
      </c>
      <c r="J3" s="95">
        <v>58</v>
      </c>
      <c r="K3" s="96">
        <f>SUM(J3)+4.4</f>
        <v>62.4</v>
      </c>
      <c r="L3" s="96">
        <f t="shared" ref="L3:M3" si="0">SUM(K3)+4.4</f>
        <v>66.8</v>
      </c>
      <c r="M3" s="150">
        <f t="shared" si="0"/>
        <v>71.2</v>
      </c>
    </row>
    <row r="4" spans="1:13" s="1" customFormat="1" ht="14.1" customHeight="1">
      <c r="A4" s="138"/>
      <c r="B4" s="75" t="s">
        <v>138</v>
      </c>
      <c r="C4" s="75"/>
      <c r="D4" s="79" t="s">
        <v>160</v>
      </c>
      <c r="E4" s="80"/>
      <c r="F4" s="80"/>
      <c r="G4" s="80"/>
      <c r="H4" s="45"/>
      <c r="I4" s="45"/>
      <c r="J4" s="44"/>
      <c r="K4" s="45"/>
      <c r="L4" s="45"/>
      <c r="M4" s="151"/>
    </row>
    <row r="5" spans="1:13" s="1" customFormat="1" ht="14.1" customHeight="1">
      <c r="A5" s="152">
        <v>2</v>
      </c>
      <c r="B5" s="153" t="s">
        <v>39</v>
      </c>
      <c r="C5" s="153"/>
      <c r="D5" s="154" t="s">
        <v>508</v>
      </c>
      <c r="E5" s="154"/>
      <c r="F5" s="154"/>
      <c r="G5" s="102"/>
      <c r="H5" s="27">
        <f>SUM(I5)-4.4</f>
        <v>50.6</v>
      </c>
      <c r="I5" s="27">
        <f>SUM(J5)-4.4</f>
        <v>55</v>
      </c>
      <c r="J5" s="43">
        <v>59.4</v>
      </c>
      <c r="K5" s="27">
        <f>SUM(J5)+4.4</f>
        <v>63.8</v>
      </c>
      <c r="L5" s="27">
        <f t="shared" ref="L5:M5" si="1">SUM(K5)+4.4</f>
        <v>68.2</v>
      </c>
      <c r="M5" s="29">
        <f t="shared" si="1"/>
        <v>72.600000000000009</v>
      </c>
    </row>
    <row r="6" spans="1:13" s="1" customFormat="1" ht="14.1" customHeight="1">
      <c r="A6" s="138"/>
      <c r="B6" s="75" t="s">
        <v>509</v>
      </c>
      <c r="C6" s="75"/>
      <c r="D6" s="79" t="s">
        <v>510</v>
      </c>
      <c r="E6" s="80"/>
      <c r="F6" s="80"/>
      <c r="G6" s="80"/>
      <c r="H6" s="46"/>
      <c r="I6" s="46"/>
      <c r="J6" s="44"/>
      <c r="K6" s="46"/>
      <c r="L6" s="46"/>
      <c r="M6" s="132"/>
    </row>
    <row r="7" spans="1:13" s="1" customFormat="1" ht="14.1" customHeight="1">
      <c r="A7" s="152">
        <v>3</v>
      </c>
      <c r="B7" s="98" t="s">
        <v>37</v>
      </c>
      <c r="C7" s="98"/>
      <c r="D7" s="124" t="s">
        <v>38</v>
      </c>
      <c r="E7" s="124"/>
      <c r="F7" s="124"/>
      <c r="G7" s="124"/>
      <c r="H7" s="27"/>
      <c r="I7" s="27"/>
      <c r="J7" s="41"/>
      <c r="K7" s="27"/>
      <c r="L7" s="27"/>
      <c r="M7" s="29"/>
    </row>
    <row r="8" spans="1:13" s="1" customFormat="1" ht="14.1" customHeight="1">
      <c r="A8" s="138"/>
      <c r="B8" s="75" t="s">
        <v>24</v>
      </c>
      <c r="C8" s="75"/>
      <c r="D8" s="79" t="s">
        <v>42</v>
      </c>
      <c r="E8" s="80"/>
      <c r="F8" s="80"/>
      <c r="G8" s="81"/>
      <c r="H8" s="46"/>
      <c r="I8" s="46"/>
      <c r="J8" s="44"/>
      <c r="K8" s="46"/>
      <c r="L8" s="46"/>
      <c r="M8" s="132"/>
    </row>
    <row r="9" spans="1:13" s="1" customFormat="1" ht="14.1" customHeight="1">
      <c r="A9" s="152">
        <v>4</v>
      </c>
      <c r="B9" s="98" t="s">
        <v>35</v>
      </c>
      <c r="C9" s="98"/>
      <c r="D9" s="124" t="s">
        <v>69</v>
      </c>
      <c r="E9" s="124"/>
      <c r="F9" s="124"/>
      <c r="G9" s="124"/>
      <c r="H9" s="27">
        <f>SUM(I9)-2.25</f>
        <v>29.5</v>
      </c>
      <c r="I9" s="27">
        <f>SUM(J9)-2.25</f>
        <v>31.75</v>
      </c>
      <c r="J9" s="41">
        <v>34</v>
      </c>
      <c r="K9" s="27">
        <f>SUM(J9)+2</f>
        <v>36</v>
      </c>
      <c r="L9" s="27">
        <f>SUM(K9)+2</f>
        <v>38</v>
      </c>
      <c r="M9" s="29">
        <f>SUM(L9)+2</f>
        <v>40</v>
      </c>
    </row>
    <row r="10" spans="1:13" s="1" customFormat="1" ht="14.1" customHeight="1">
      <c r="A10" s="138"/>
      <c r="B10" s="75" t="s">
        <v>40</v>
      </c>
      <c r="C10" s="75"/>
      <c r="D10" s="79" t="s">
        <v>43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3" s="1" customFormat="1" ht="14.1" customHeight="1">
      <c r="A11" s="152">
        <v>5</v>
      </c>
      <c r="B11" s="98" t="s">
        <v>144</v>
      </c>
      <c r="C11" s="98"/>
      <c r="D11" s="124" t="s">
        <v>8</v>
      </c>
      <c r="E11" s="124"/>
      <c r="F11" s="124"/>
      <c r="G11" s="124"/>
      <c r="H11" s="27">
        <f>SUM(I11)-2.1</f>
        <v>27.799999999999997</v>
      </c>
      <c r="I11" s="27">
        <f>SUM(J11)-2.1</f>
        <v>29.9</v>
      </c>
      <c r="J11" s="41">
        <v>32</v>
      </c>
      <c r="K11" s="27">
        <f>SUM(J11)+1.9</f>
        <v>33.9</v>
      </c>
      <c r="L11" s="27">
        <f t="shared" ref="L11:M11" si="2">SUM(K11)+1.9</f>
        <v>35.799999999999997</v>
      </c>
      <c r="M11" s="29">
        <f t="shared" si="2"/>
        <v>37.699999999999996</v>
      </c>
    </row>
    <row r="12" spans="1:13" s="1" customFormat="1" ht="14.1" customHeight="1">
      <c r="A12" s="138"/>
      <c r="B12" s="75" t="s">
        <v>145</v>
      </c>
      <c r="C12" s="75"/>
      <c r="D12" s="79" t="s">
        <v>44</v>
      </c>
      <c r="E12" s="80"/>
      <c r="F12" s="80"/>
      <c r="G12" s="81"/>
      <c r="H12" s="46"/>
      <c r="I12" s="46"/>
      <c r="J12" s="44"/>
      <c r="K12" s="46"/>
      <c r="L12" s="46"/>
      <c r="M12" s="132"/>
    </row>
    <row r="13" spans="1:13" s="1" customFormat="1" ht="14.1" customHeight="1">
      <c r="A13" s="152">
        <v>6</v>
      </c>
      <c r="B13" s="36" t="s">
        <v>384</v>
      </c>
      <c r="C13" s="37"/>
      <c r="D13" s="76"/>
      <c r="E13" s="77"/>
      <c r="F13" s="77"/>
      <c r="G13" s="78"/>
      <c r="H13" s="27">
        <f>SUM(I13)-1</f>
        <v>14</v>
      </c>
      <c r="I13" s="27">
        <f>SUM(J13)-1</f>
        <v>15</v>
      </c>
      <c r="J13" s="41">
        <v>16</v>
      </c>
      <c r="K13" s="27">
        <f>SUM(J13)+1</f>
        <v>17</v>
      </c>
      <c r="L13" s="27">
        <f>SUM(K13)+1</f>
        <v>18</v>
      </c>
      <c r="M13" s="29">
        <f>SUM(L13)+1</f>
        <v>19</v>
      </c>
    </row>
    <row r="14" spans="1:13" s="1" customFormat="1" ht="14.1" customHeight="1">
      <c r="A14" s="138"/>
      <c r="B14" s="75" t="s">
        <v>385</v>
      </c>
      <c r="C14" s="75"/>
      <c r="D14" s="79" t="s">
        <v>140</v>
      </c>
      <c r="E14" s="80"/>
      <c r="F14" s="80"/>
      <c r="G14" s="81"/>
      <c r="H14" s="46"/>
      <c r="I14" s="46"/>
      <c r="J14" s="44"/>
      <c r="K14" s="46"/>
      <c r="L14" s="46"/>
      <c r="M14" s="132"/>
    </row>
    <row r="15" spans="1:13" s="1" customFormat="1" ht="14.1" customHeight="1">
      <c r="A15" s="152">
        <v>7</v>
      </c>
      <c r="B15" s="36" t="s">
        <v>511</v>
      </c>
      <c r="C15" s="37"/>
      <c r="D15" s="76"/>
      <c r="E15" s="77"/>
      <c r="F15" s="77"/>
      <c r="G15" s="78"/>
      <c r="H15" s="27">
        <f>SUM(I15)-1</f>
        <v>13</v>
      </c>
      <c r="I15" s="27">
        <f>SUM(J15)-1</f>
        <v>14</v>
      </c>
      <c r="J15" s="41">
        <v>15</v>
      </c>
      <c r="K15" s="27">
        <f>SUM(J15)+1</f>
        <v>16</v>
      </c>
      <c r="L15" s="27">
        <f>SUM(K15)+1</f>
        <v>17</v>
      </c>
      <c r="M15" s="29">
        <f>SUM(L15)+1</f>
        <v>18</v>
      </c>
    </row>
    <row r="16" spans="1:13" s="1" customFormat="1" ht="14.1" customHeight="1">
      <c r="A16" s="138"/>
      <c r="B16" s="75" t="s">
        <v>512</v>
      </c>
      <c r="C16" s="75"/>
      <c r="D16" s="79" t="s">
        <v>140</v>
      </c>
      <c r="E16" s="80"/>
      <c r="F16" s="80"/>
      <c r="G16" s="81"/>
      <c r="H16" s="46"/>
      <c r="I16" s="46"/>
      <c r="J16" s="44"/>
      <c r="K16" s="46"/>
      <c r="L16" s="46"/>
      <c r="M16" s="132"/>
    </row>
    <row r="17" spans="1:13" s="1" customFormat="1" ht="14.1" customHeight="1">
      <c r="A17" s="152">
        <v>8</v>
      </c>
      <c r="B17" s="98" t="s">
        <v>139</v>
      </c>
      <c r="C17" s="98"/>
      <c r="D17" s="76"/>
      <c r="E17" s="77"/>
      <c r="F17" s="77"/>
      <c r="G17" s="78"/>
      <c r="H17" s="27">
        <f>SUM(I17)-1</f>
        <v>16</v>
      </c>
      <c r="I17" s="27">
        <f>SUM(J17)-1</f>
        <v>17</v>
      </c>
      <c r="J17" s="125">
        <v>18</v>
      </c>
      <c r="K17" s="27">
        <f>SUM(J17)+1</f>
        <v>19</v>
      </c>
      <c r="L17" s="27">
        <f t="shared" ref="L17:M17" si="3">SUM(K17)+1</f>
        <v>20</v>
      </c>
      <c r="M17" s="29">
        <f t="shared" si="3"/>
        <v>21</v>
      </c>
    </row>
    <row r="18" spans="1:13" s="1" customFormat="1" ht="14.1" customHeight="1">
      <c r="A18" s="138"/>
      <c r="B18" s="75" t="s">
        <v>135</v>
      </c>
      <c r="C18" s="75"/>
      <c r="D18" s="79"/>
      <c r="E18" s="80"/>
      <c r="F18" s="80"/>
      <c r="G18" s="81"/>
      <c r="H18" s="46"/>
      <c r="I18" s="46"/>
      <c r="J18" s="125"/>
      <c r="K18" s="46"/>
      <c r="L18" s="46"/>
      <c r="M18" s="132"/>
    </row>
    <row r="19" spans="1:13" s="1" customFormat="1" ht="14.1" customHeight="1">
      <c r="A19" s="152">
        <v>9</v>
      </c>
      <c r="B19" s="98" t="s">
        <v>1</v>
      </c>
      <c r="C19" s="98"/>
      <c r="D19" s="124" t="s">
        <v>133</v>
      </c>
      <c r="E19" s="124"/>
      <c r="F19" s="124"/>
      <c r="G19" s="124"/>
      <c r="H19" s="27"/>
      <c r="I19" s="27"/>
      <c r="J19" s="125"/>
      <c r="K19" s="114"/>
      <c r="L19" s="114"/>
      <c r="M19" s="116"/>
    </row>
    <row r="20" spans="1:13" s="1" customFormat="1" ht="14.1" customHeight="1">
      <c r="A20" s="138"/>
      <c r="B20" s="75" t="s">
        <v>27</v>
      </c>
      <c r="C20" s="75"/>
      <c r="D20" s="79" t="s">
        <v>46</v>
      </c>
      <c r="E20" s="80"/>
      <c r="F20" s="80"/>
      <c r="G20" s="81"/>
      <c r="H20" s="46"/>
      <c r="I20" s="46"/>
      <c r="J20" s="125"/>
      <c r="K20" s="114"/>
      <c r="L20" s="114"/>
      <c r="M20" s="116"/>
    </row>
    <row r="21" spans="1:13" s="1" customFormat="1" ht="14.1" customHeight="1">
      <c r="A21" s="152">
        <v>10</v>
      </c>
      <c r="B21" s="98" t="s">
        <v>2</v>
      </c>
      <c r="C21" s="98"/>
      <c r="D21" s="124" t="s">
        <v>3</v>
      </c>
      <c r="E21" s="124"/>
      <c r="F21" s="124"/>
      <c r="G21" s="124"/>
      <c r="H21" s="27"/>
      <c r="I21" s="27"/>
      <c r="J21" s="125"/>
      <c r="K21" s="114"/>
      <c r="L21" s="114"/>
      <c r="M21" s="116"/>
    </row>
    <row r="22" spans="1:13" s="1" customFormat="1" ht="14.1" customHeight="1">
      <c r="A22" s="138"/>
      <c r="B22" s="75" t="s">
        <v>28</v>
      </c>
      <c r="C22" s="75"/>
      <c r="D22" s="79" t="s">
        <v>137</v>
      </c>
      <c r="E22" s="80"/>
      <c r="F22" s="80"/>
      <c r="G22" s="81"/>
      <c r="H22" s="46"/>
      <c r="I22" s="46"/>
      <c r="J22" s="125"/>
      <c r="K22" s="114"/>
      <c r="L22" s="114"/>
      <c r="M22" s="116"/>
    </row>
    <row r="23" spans="1:13" s="1" customFormat="1" ht="14.1" customHeight="1">
      <c r="A23" s="152">
        <v>11</v>
      </c>
      <c r="B23" s="36" t="s">
        <v>70</v>
      </c>
      <c r="C23" s="37"/>
      <c r="D23" s="76" t="s">
        <v>71</v>
      </c>
      <c r="E23" s="77"/>
      <c r="F23" s="77"/>
      <c r="G23" s="78"/>
      <c r="H23" s="27"/>
      <c r="I23" s="27"/>
      <c r="J23" s="125"/>
      <c r="K23" s="114"/>
      <c r="L23" s="114"/>
      <c r="M23" s="116"/>
    </row>
    <row r="24" spans="1:13" s="1" customFormat="1" ht="14.1" customHeight="1">
      <c r="A24" s="138"/>
      <c r="B24" s="75" t="s">
        <v>33</v>
      </c>
      <c r="C24" s="75"/>
      <c r="D24" s="79" t="s">
        <v>74</v>
      </c>
      <c r="E24" s="80"/>
      <c r="F24" s="80"/>
      <c r="G24" s="81"/>
      <c r="H24" s="46"/>
      <c r="I24" s="46"/>
      <c r="J24" s="125"/>
      <c r="K24" s="114"/>
      <c r="L24" s="114"/>
      <c r="M24" s="116"/>
    </row>
    <row r="25" spans="1:13" s="1" customFormat="1" ht="14.1" customHeight="1">
      <c r="A25" s="152">
        <v>12</v>
      </c>
      <c r="B25" s="98" t="s">
        <v>4</v>
      </c>
      <c r="C25" s="98"/>
      <c r="D25" s="124" t="s">
        <v>5</v>
      </c>
      <c r="E25" s="124"/>
      <c r="F25" s="124"/>
      <c r="G25" s="124"/>
      <c r="H25" s="27"/>
      <c r="I25" s="27"/>
      <c r="J25" s="125"/>
      <c r="K25" s="114"/>
      <c r="L25" s="114"/>
      <c r="M25" s="116"/>
    </row>
    <row r="26" spans="1:13" s="1" customFormat="1" ht="14.1" customHeight="1">
      <c r="A26" s="138"/>
      <c r="B26" s="75" t="s">
        <v>29</v>
      </c>
      <c r="C26" s="75"/>
      <c r="D26" s="79" t="s">
        <v>47</v>
      </c>
      <c r="E26" s="80"/>
      <c r="F26" s="80"/>
      <c r="G26" s="81"/>
      <c r="H26" s="46"/>
      <c r="I26" s="46"/>
      <c r="J26" s="125"/>
      <c r="K26" s="114"/>
      <c r="L26" s="114"/>
      <c r="M26" s="116"/>
    </row>
    <row r="27" spans="1:13" s="1" customFormat="1" ht="14.1" customHeight="1">
      <c r="A27" s="152">
        <v>13</v>
      </c>
      <c r="B27" s="98" t="s">
        <v>6</v>
      </c>
      <c r="C27" s="98"/>
      <c r="D27" s="76" t="s">
        <v>7</v>
      </c>
      <c r="E27" s="77"/>
      <c r="F27" s="77"/>
      <c r="G27" s="78"/>
      <c r="H27" s="27"/>
      <c r="I27" s="27"/>
      <c r="J27" s="125"/>
      <c r="K27" s="114"/>
      <c r="L27" s="114"/>
      <c r="M27" s="116"/>
    </row>
    <row r="28" spans="1:13" s="1" customFormat="1" ht="14.1" customHeight="1">
      <c r="A28" s="138"/>
      <c r="B28" s="75" t="s">
        <v>30</v>
      </c>
      <c r="C28" s="75"/>
      <c r="D28" s="79" t="s">
        <v>64</v>
      </c>
      <c r="E28" s="80"/>
      <c r="F28" s="80"/>
      <c r="G28" s="81"/>
      <c r="H28" s="46"/>
      <c r="I28" s="46"/>
      <c r="J28" s="125"/>
      <c r="K28" s="114"/>
      <c r="L28" s="114"/>
      <c r="M28" s="116"/>
    </row>
    <row r="29" spans="1:13" ht="14.1" customHeight="1">
      <c r="A29" s="152">
        <v>14</v>
      </c>
      <c r="B29" s="36" t="s">
        <v>260</v>
      </c>
      <c r="C29" s="37"/>
      <c r="D29" s="124" t="s">
        <v>65</v>
      </c>
      <c r="E29" s="124"/>
      <c r="F29" s="124"/>
      <c r="G29" s="124"/>
      <c r="H29" s="27"/>
      <c r="I29" s="27"/>
      <c r="J29" s="125"/>
      <c r="K29" s="114"/>
      <c r="L29" s="114"/>
      <c r="M29" s="116"/>
    </row>
    <row r="30" spans="1:13" ht="14.1" customHeight="1">
      <c r="A30" s="138"/>
      <c r="B30" s="75" t="s">
        <v>31</v>
      </c>
      <c r="C30" s="75"/>
      <c r="D30" s="79" t="s">
        <v>66</v>
      </c>
      <c r="E30" s="80"/>
      <c r="F30" s="80"/>
      <c r="G30" s="81"/>
      <c r="H30" s="46"/>
      <c r="I30" s="46"/>
      <c r="J30" s="125"/>
      <c r="K30" s="114"/>
      <c r="L30" s="114"/>
      <c r="M30" s="116"/>
    </row>
    <row r="31" spans="1:13" ht="14.1" customHeight="1">
      <c r="A31" s="152">
        <v>15</v>
      </c>
      <c r="B31" s="36" t="s">
        <v>141</v>
      </c>
      <c r="C31" s="37"/>
      <c r="D31" s="38"/>
      <c r="E31" s="39"/>
      <c r="F31" s="39"/>
      <c r="G31" s="40"/>
      <c r="H31" s="27">
        <f>SUM(I31)-1.1</f>
        <v>12.8</v>
      </c>
      <c r="I31" s="27">
        <f>SUM(J31)-1.1</f>
        <v>13.9</v>
      </c>
      <c r="J31" s="41">
        <v>15</v>
      </c>
      <c r="K31" s="27">
        <f>SUM(J31)+1.1</f>
        <v>16.100000000000001</v>
      </c>
      <c r="L31" s="27">
        <f t="shared" ref="L31:M31" si="4">SUM(K31)+1.1</f>
        <v>17.200000000000003</v>
      </c>
      <c r="M31" s="29">
        <f t="shared" si="4"/>
        <v>18.300000000000004</v>
      </c>
    </row>
    <row r="32" spans="1:13" ht="14.1" customHeight="1">
      <c r="A32" s="138"/>
      <c r="B32" s="57" t="s">
        <v>513</v>
      </c>
      <c r="C32" s="58"/>
      <c r="D32" s="49" t="s">
        <v>514</v>
      </c>
      <c r="E32" s="50"/>
      <c r="F32" s="50"/>
      <c r="G32" s="51"/>
      <c r="H32" s="46"/>
      <c r="I32" s="46"/>
      <c r="J32" s="44"/>
      <c r="K32" s="46"/>
      <c r="L32" s="46"/>
      <c r="M32" s="132"/>
    </row>
    <row r="33" spans="1:13" ht="14.1" customHeight="1">
      <c r="A33" s="152">
        <v>16</v>
      </c>
      <c r="B33" s="36" t="s">
        <v>142</v>
      </c>
      <c r="C33" s="37"/>
      <c r="D33" s="38"/>
      <c r="E33" s="39"/>
      <c r="F33" s="39"/>
      <c r="G33" s="40"/>
      <c r="H33" s="27">
        <f>SUM(I33)-2.1</f>
        <v>24.799999999999997</v>
      </c>
      <c r="I33" s="27">
        <f>SUM(J33)-2.1</f>
        <v>26.9</v>
      </c>
      <c r="J33" s="41">
        <v>29</v>
      </c>
      <c r="K33" s="27">
        <f>SUM(J33)+2.1</f>
        <v>31.1</v>
      </c>
      <c r="L33" s="27">
        <f t="shared" ref="L33:M33" si="5">SUM(K33)+2.1</f>
        <v>33.200000000000003</v>
      </c>
      <c r="M33" s="29">
        <f t="shared" si="5"/>
        <v>35.300000000000004</v>
      </c>
    </row>
    <row r="34" spans="1:13" ht="14.1" customHeight="1">
      <c r="A34" s="138"/>
      <c r="B34" s="57" t="s">
        <v>515</v>
      </c>
      <c r="C34" s="58"/>
      <c r="D34" s="49" t="s">
        <v>516</v>
      </c>
      <c r="E34" s="50"/>
      <c r="F34" s="50"/>
      <c r="G34" s="51"/>
      <c r="H34" s="46"/>
      <c r="I34" s="46"/>
      <c r="J34" s="44"/>
      <c r="K34" s="46"/>
      <c r="L34" s="46"/>
      <c r="M34" s="132"/>
    </row>
    <row r="35" spans="1:13" ht="14.1" customHeight="1">
      <c r="A35" s="152">
        <v>17</v>
      </c>
      <c r="B35" s="36" t="s">
        <v>517</v>
      </c>
      <c r="C35" s="37"/>
      <c r="D35" s="38"/>
      <c r="E35" s="39"/>
      <c r="F35" s="39"/>
      <c r="G35" s="40"/>
      <c r="H35" s="27">
        <f>SUM(I35)-3.1</f>
        <v>36.799999999999997</v>
      </c>
      <c r="I35" s="27">
        <f>SUM(J35)-3.1</f>
        <v>39.9</v>
      </c>
      <c r="J35" s="41">
        <v>43</v>
      </c>
      <c r="K35" s="27">
        <f>SUM(J35)+3.1</f>
        <v>46.1</v>
      </c>
      <c r="L35" s="27">
        <f t="shared" ref="L35:M35" si="6">SUM(K35)+3.1</f>
        <v>49.2</v>
      </c>
      <c r="M35" s="29">
        <f t="shared" si="6"/>
        <v>52.300000000000004</v>
      </c>
    </row>
    <row r="36" spans="1:13" ht="14.1" customHeight="1">
      <c r="A36" s="138"/>
      <c r="B36" s="57" t="s">
        <v>518</v>
      </c>
      <c r="C36" s="58"/>
      <c r="D36" s="155" t="s">
        <v>514</v>
      </c>
      <c r="E36" s="156"/>
      <c r="F36" s="156"/>
      <c r="G36" s="157"/>
      <c r="H36" s="46"/>
      <c r="I36" s="46"/>
      <c r="J36" s="43"/>
      <c r="K36" s="46"/>
      <c r="L36" s="46"/>
      <c r="M36" s="132"/>
    </row>
    <row r="37" spans="1:13" ht="14.1" customHeight="1">
      <c r="A37" s="152">
        <v>18</v>
      </c>
      <c r="B37" s="36" t="s">
        <v>147</v>
      </c>
      <c r="C37" s="37"/>
      <c r="D37" s="38"/>
      <c r="E37" s="39"/>
      <c r="F37" s="39"/>
      <c r="G37" s="40"/>
      <c r="H37" s="27">
        <f>SUM(I37)-1.9</f>
        <v>20.6</v>
      </c>
      <c r="I37" s="27">
        <f>SUM(J37)-1.9</f>
        <v>22.5</v>
      </c>
      <c r="J37" s="41">
        <v>24.4</v>
      </c>
      <c r="K37" s="27">
        <f>SUM(J37)+1.9</f>
        <v>26.299999999999997</v>
      </c>
      <c r="L37" s="27">
        <f t="shared" ref="L37:M37" si="7">SUM(K37)+1.9</f>
        <v>28.199999999999996</v>
      </c>
      <c r="M37" s="29">
        <f t="shared" si="7"/>
        <v>30.099999999999994</v>
      </c>
    </row>
    <row r="38" spans="1:13" ht="14.1" customHeight="1">
      <c r="A38" s="138"/>
      <c r="B38" s="127" t="s">
        <v>161</v>
      </c>
      <c r="C38" s="128"/>
      <c r="D38" s="49" t="s">
        <v>519</v>
      </c>
      <c r="E38" s="50"/>
      <c r="F38" s="50"/>
      <c r="G38" s="51"/>
      <c r="H38" s="46"/>
      <c r="I38" s="46"/>
      <c r="J38" s="44"/>
      <c r="K38" s="46"/>
      <c r="L38" s="46"/>
      <c r="M38" s="132"/>
    </row>
    <row r="39" spans="1:13" ht="14.1" customHeight="1">
      <c r="A39" s="152">
        <v>19</v>
      </c>
      <c r="B39" s="36"/>
      <c r="C39" s="37"/>
      <c r="D39" s="129"/>
      <c r="E39" s="130"/>
      <c r="F39" s="130"/>
      <c r="G39" s="131"/>
      <c r="H39" s="27"/>
      <c r="I39" s="27"/>
      <c r="J39" s="125"/>
      <c r="K39" s="114"/>
      <c r="L39" s="114"/>
      <c r="M39" s="116"/>
    </row>
    <row r="40" spans="1:13" ht="14.1" customHeight="1" thickBot="1">
      <c r="A40" s="158"/>
      <c r="B40" s="143"/>
      <c r="C40" s="144"/>
      <c r="D40" s="119"/>
      <c r="E40" s="120"/>
      <c r="F40" s="120"/>
      <c r="G40" s="121"/>
      <c r="H40" s="28"/>
      <c r="I40" s="28"/>
      <c r="J40" s="126"/>
      <c r="K40" s="115"/>
      <c r="L40" s="115"/>
      <c r="M40" s="117"/>
    </row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</sheetData>
  <mergeCells count="212"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A99C-F664-43E7-B8E9-1D729B8E6E4A}">
  <sheetPr codeName="Sheet41">
    <tabColor theme="5"/>
    <pageSetUpPr fitToPage="1"/>
  </sheetPr>
  <dimension ref="A1:M57"/>
  <sheetViews>
    <sheetView zoomScale="110" zoomScaleNormal="110" workbookViewId="0">
      <selection activeCell="O20" sqref="O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390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38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SUM(I3)-4.9</f>
        <v>53</v>
      </c>
      <c r="I3" s="27">
        <f>SUM(J3)-4.9</f>
        <v>57.9</v>
      </c>
      <c r="J3" s="139">
        <v>62.8</v>
      </c>
      <c r="K3" s="140">
        <f>SUM(J3)+4.9</f>
        <v>67.7</v>
      </c>
      <c r="L3" s="140">
        <f>SUM(K3)+4.9</f>
        <v>72.600000000000009</v>
      </c>
      <c r="M3" s="141">
        <f>SUM(L3)+4.9</f>
        <v>77.500000000000014</v>
      </c>
    </row>
    <row r="4" spans="1:13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1"/>
      <c r="K4" s="27"/>
      <c r="L4" s="27"/>
      <c r="M4" s="29"/>
    </row>
    <row r="5" spans="1:13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SUM(I5)-1.6</f>
        <v>22.599999999999998</v>
      </c>
      <c r="I5" s="27">
        <f>SUM(J5)-1.6</f>
        <v>24.2</v>
      </c>
      <c r="J5" s="41">
        <v>25.8</v>
      </c>
      <c r="K5" s="27">
        <f>SUM(J5)+1.4</f>
        <v>27.2</v>
      </c>
      <c r="L5" s="27">
        <f>SUM(K5)+1.4</f>
        <v>28.599999999999998</v>
      </c>
      <c r="M5" s="29">
        <f>SUM(L5)+1.4</f>
        <v>29.999999999999996</v>
      </c>
    </row>
    <row r="6" spans="1:13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132"/>
    </row>
    <row r="7" spans="1:13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SUM(I7)-2.4</f>
        <v>32</v>
      </c>
      <c r="I7" s="27">
        <f>SUM(J7)-2.4</f>
        <v>34.4</v>
      </c>
      <c r="J7" s="41">
        <v>36.799999999999997</v>
      </c>
      <c r="K7" s="27">
        <f>SUM(J7)+2.1</f>
        <v>38.9</v>
      </c>
      <c r="L7" s="27">
        <f>SUM(K7)+2.1</f>
        <v>41</v>
      </c>
      <c r="M7" s="29">
        <f>SUM(L7)+2.1</f>
        <v>43.1</v>
      </c>
    </row>
    <row r="8" spans="1:13" s="1" customFormat="1" ht="14.1" customHeight="1">
      <c r="A8" s="122"/>
      <c r="B8" s="75" t="s">
        <v>40</v>
      </c>
      <c r="C8" s="75"/>
      <c r="D8" s="79" t="s">
        <v>391</v>
      </c>
      <c r="E8" s="80"/>
      <c r="F8" s="80"/>
      <c r="G8" s="81"/>
      <c r="H8" s="46"/>
      <c r="I8" s="46"/>
      <c r="J8" s="44"/>
      <c r="K8" s="46"/>
      <c r="L8" s="46"/>
      <c r="M8" s="132"/>
    </row>
    <row r="9" spans="1:13" s="1" customFormat="1" ht="14.1" customHeight="1">
      <c r="A9" s="122">
        <v>4</v>
      </c>
      <c r="B9" s="98" t="s">
        <v>144</v>
      </c>
      <c r="C9" s="98"/>
      <c r="D9" s="124" t="s">
        <v>8</v>
      </c>
      <c r="E9" s="124"/>
      <c r="F9" s="124"/>
      <c r="G9" s="124"/>
      <c r="H9" s="27">
        <f>SUM(I9)-2.5</f>
        <v>33.4</v>
      </c>
      <c r="I9" s="27">
        <f>SUM(J9)-2.5</f>
        <v>35.9</v>
      </c>
      <c r="J9" s="41">
        <v>38.4</v>
      </c>
      <c r="K9" s="27">
        <f>SUM(J9)+2.2</f>
        <v>40.6</v>
      </c>
      <c r="L9" s="27">
        <f>SUM(K9)+2.2</f>
        <v>42.800000000000004</v>
      </c>
      <c r="M9" s="29">
        <f>SUM(L9)+2.2</f>
        <v>45.000000000000007</v>
      </c>
    </row>
    <row r="10" spans="1:13" s="1" customFormat="1" ht="14.1" customHeight="1">
      <c r="A10" s="122"/>
      <c r="B10" s="75" t="s">
        <v>145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3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SUM(I11)-0.9</f>
        <v>13.799999999999999</v>
      </c>
      <c r="I11" s="27">
        <f>SUM(J11)-0.9</f>
        <v>14.7</v>
      </c>
      <c r="J11" s="125">
        <v>15.6</v>
      </c>
      <c r="K11" s="114">
        <f>SUM(J11)+0.9</f>
        <v>16.5</v>
      </c>
      <c r="L11" s="114">
        <f>SUM(K11)+0.9</f>
        <v>17.399999999999999</v>
      </c>
      <c r="M11" s="116">
        <f>SUM(L11)+0.9</f>
        <v>18.299999999999997</v>
      </c>
    </row>
    <row r="12" spans="1:13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6"/>
    </row>
    <row r="13" spans="1:13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14.100000000000001</v>
      </c>
      <c r="I13" s="27">
        <f>SUM(J13)-0.6</f>
        <v>14.700000000000001</v>
      </c>
      <c r="J13" s="125">
        <v>15.3</v>
      </c>
      <c r="K13" s="114">
        <f>SUM(J13)+0.6</f>
        <v>15.9</v>
      </c>
      <c r="L13" s="114">
        <f>SUM(K13)+0.6</f>
        <v>16.5</v>
      </c>
      <c r="M13" s="116">
        <f>SUM(L13)+0.6</f>
        <v>17.100000000000001</v>
      </c>
    </row>
    <row r="14" spans="1:13" s="1" customFormat="1" ht="14.1" customHeight="1">
      <c r="A14" s="122"/>
      <c r="B14" s="75" t="s">
        <v>27</v>
      </c>
      <c r="C14" s="75"/>
      <c r="D14" s="79" t="s">
        <v>136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3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5.4</v>
      </c>
      <c r="I15" s="27">
        <f>SUM(J15)-0.3</f>
        <v>5.7</v>
      </c>
      <c r="J15" s="125">
        <v>6</v>
      </c>
      <c r="K15" s="114">
        <f>SUM(J15)+0.3</f>
        <v>6.3</v>
      </c>
      <c r="L15" s="114">
        <f>SUM(K15)+0.3</f>
        <v>6.6</v>
      </c>
      <c r="M15" s="116">
        <f>SUM(L15)+0.3</f>
        <v>6.8999999999999995</v>
      </c>
    </row>
    <row r="16" spans="1:13" s="1" customFormat="1" ht="14.1" customHeight="1">
      <c r="A16" s="122"/>
      <c r="B16" s="75" t="s">
        <v>28</v>
      </c>
      <c r="C16" s="75"/>
      <c r="D16" s="79" t="s">
        <v>137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35.4</v>
      </c>
      <c r="I17" s="27">
        <f>SUM(J17)-1.6</f>
        <v>37</v>
      </c>
      <c r="J17" s="125">
        <v>38.6</v>
      </c>
      <c r="K17" s="114">
        <f>SUM(J17)+1.6</f>
        <v>40.200000000000003</v>
      </c>
      <c r="L17" s="114">
        <f>SUM(K17)+1.6</f>
        <v>41.800000000000004</v>
      </c>
      <c r="M17" s="116">
        <f>SUM(L17)+1.6</f>
        <v>43.400000000000006</v>
      </c>
    </row>
    <row r="18" spans="1:13" s="1" customFormat="1" ht="14.1" customHeight="1">
      <c r="A18" s="122"/>
      <c r="B18" s="75" t="s">
        <v>33</v>
      </c>
      <c r="C18" s="75"/>
      <c r="D18" s="79" t="s">
        <v>74</v>
      </c>
      <c r="E18" s="80"/>
      <c r="F18" s="80"/>
      <c r="G18" s="81"/>
      <c r="H18" s="46"/>
      <c r="I18" s="46"/>
      <c r="J18" s="125"/>
      <c r="K18" s="114"/>
      <c r="L18" s="114"/>
      <c r="M18" s="116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/>
      <c r="I19" s="27"/>
      <c r="J19" s="125"/>
      <c r="K19" s="114"/>
      <c r="L19" s="114"/>
      <c r="M19" s="116"/>
    </row>
    <row r="20" spans="1:13" s="1" customFormat="1" ht="14.1" customHeight="1">
      <c r="A20" s="122"/>
      <c r="B20" s="75" t="s">
        <v>200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6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116"/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6"/>
    </row>
    <row r="23" spans="1:13" s="1" customFormat="1" ht="14.1" customHeight="1">
      <c r="A23" s="122">
        <v>11</v>
      </c>
      <c r="B23" s="36" t="s">
        <v>127</v>
      </c>
      <c r="C23" s="37"/>
      <c r="D23" s="124" t="s">
        <v>65</v>
      </c>
      <c r="E23" s="124"/>
      <c r="F23" s="124"/>
      <c r="G23" s="124"/>
      <c r="H23" s="27"/>
      <c r="I23" s="27"/>
      <c r="J23" s="125"/>
      <c r="K23" s="114"/>
      <c r="L23" s="114"/>
      <c r="M23" s="116"/>
    </row>
    <row r="24" spans="1:13" s="1" customFormat="1" ht="14.1" customHeight="1">
      <c r="A24" s="122"/>
      <c r="B24" s="75" t="s">
        <v>350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6"/>
    </row>
    <row r="25" spans="1:13" s="1" customFormat="1" ht="14.1" customHeight="1">
      <c r="A25" s="122">
        <v>12</v>
      </c>
      <c r="B25" s="133" t="s">
        <v>223</v>
      </c>
      <c r="C25" s="134"/>
      <c r="D25" s="135"/>
      <c r="E25" s="136"/>
      <c r="F25" s="136"/>
      <c r="G25" s="137"/>
      <c r="H25" s="45">
        <f>SUM(I25)-3.2</f>
        <v>35.599999999999994</v>
      </c>
      <c r="I25" s="45">
        <f>SUM(J25)-3.2</f>
        <v>38.799999999999997</v>
      </c>
      <c r="J25" s="44">
        <v>42</v>
      </c>
      <c r="K25" s="46">
        <f>SUM(J25)+3.2</f>
        <v>45.2</v>
      </c>
      <c r="L25" s="46">
        <f>SUM(K25)+3.2</f>
        <v>48.400000000000006</v>
      </c>
      <c r="M25" s="132">
        <f>SUM(L25)+3.2</f>
        <v>51.600000000000009</v>
      </c>
    </row>
    <row r="26" spans="1:13" s="1" customFormat="1" ht="14.1" customHeight="1">
      <c r="A26" s="122"/>
      <c r="B26" s="127" t="s">
        <v>204</v>
      </c>
      <c r="C26" s="128"/>
      <c r="D26" s="79"/>
      <c r="E26" s="80"/>
      <c r="F26" s="80"/>
      <c r="G26" s="81"/>
      <c r="H26" s="46"/>
      <c r="I26" s="46"/>
      <c r="J26" s="125"/>
      <c r="K26" s="114"/>
      <c r="L26" s="114"/>
      <c r="M26" s="116"/>
    </row>
    <row r="27" spans="1:13" s="1" customFormat="1" ht="14.1" customHeight="1">
      <c r="A27" s="122">
        <v>13</v>
      </c>
      <c r="B27" s="133" t="s">
        <v>224</v>
      </c>
      <c r="C27" s="134"/>
      <c r="D27" s="135"/>
      <c r="E27" s="136"/>
      <c r="F27" s="136"/>
      <c r="G27" s="137"/>
      <c r="H27" s="45">
        <f>SUM(I27)-1.8</f>
        <v>19.899999999999999</v>
      </c>
      <c r="I27" s="45">
        <f>SUM(J27)-1.8</f>
        <v>21.7</v>
      </c>
      <c r="J27" s="44">
        <v>23.5</v>
      </c>
      <c r="K27" s="46">
        <f>SUM(J27)+1.8</f>
        <v>25.3</v>
      </c>
      <c r="L27" s="46">
        <f>SUM(K27)+1.8</f>
        <v>27.1</v>
      </c>
      <c r="M27" s="132">
        <f>SUM(L27)+1.8</f>
        <v>28.900000000000002</v>
      </c>
    </row>
    <row r="28" spans="1:13" s="1" customFormat="1" ht="14.1" customHeight="1">
      <c r="A28" s="122"/>
      <c r="B28" s="127" t="s">
        <v>219</v>
      </c>
      <c r="C28" s="128"/>
      <c r="D28" s="79"/>
      <c r="E28" s="80"/>
      <c r="F28" s="80"/>
      <c r="G28" s="81"/>
      <c r="H28" s="46"/>
      <c r="I28" s="46"/>
      <c r="J28" s="125"/>
      <c r="K28" s="114"/>
      <c r="L28" s="114"/>
      <c r="M28" s="116"/>
    </row>
    <row r="29" spans="1:13" s="1" customFormat="1" ht="14.1" customHeight="1">
      <c r="A29" s="122">
        <v>14</v>
      </c>
      <c r="B29" s="133" t="s">
        <v>225</v>
      </c>
      <c r="C29" s="134"/>
      <c r="D29" s="135"/>
      <c r="E29" s="136"/>
      <c r="F29" s="136"/>
      <c r="G29" s="137"/>
      <c r="H29" s="45">
        <f>SUM(I29)-1.4</f>
        <v>15.700000000000001</v>
      </c>
      <c r="I29" s="45">
        <f>SUM(J29)-1.4</f>
        <v>17.100000000000001</v>
      </c>
      <c r="J29" s="44">
        <v>18.5</v>
      </c>
      <c r="K29" s="46">
        <f>SUM(J29)+1.4</f>
        <v>19.899999999999999</v>
      </c>
      <c r="L29" s="46">
        <f>SUM(K29)+1.4</f>
        <v>21.299999999999997</v>
      </c>
      <c r="M29" s="132">
        <f>SUM(L29)+1.4</f>
        <v>22.699999999999996</v>
      </c>
    </row>
    <row r="30" spans="1:13" s="1" customFormat="1" ht="14.1" customHeight="1">
      <c r="A30" s="122"/>
      <c r="B30" s="127" t="s">
        <v>220</v>
      </c>
      <c r="C30" s="128"/>
      <c r="D30" s="79"/>
      <c r="E30" s="80"/>
      <c r="F30" s="80"/>
      <c r="G30" s="81"/>
      <c r="H30" s="46"/>
      <c r="I30" s="46"/>
      <c r="J30" s="125"/>
      <c r="K30" s="114"/>
      <c r="L30" s="114"/>
      <c r="M30" s="116"/>
    </row>
    <row r="31" spans="1:13" s="1" customFormat="1" ht="14.1" customHeight="1">
      <c r="A31" s="122">
        <v>15</v>
      </c>
      <c r="B31" s="36" t="s">
        <v>147</v>
      </c>
      <c r="C31" s="37"/>
      <c r="D31" s="129"/>
      <c r="E31" s="130"/>
      <c r="F31" s="130"/>
      <c r="G31" s="131"/>
      <c r="H31" s="27">
        <f>SUM(I31)-2.4</f>
        <v>26.700000000000003</v>
      </c>
      <c r="I31" s="27">
        <f>SUM(J31)-2.4</f>
        <v>29.1</v>
      </c>
      <c r="J31" s="125">
        <v>31.5</v>
      </c>
      <c r="K31" s="114">
        <f>SUM(J31)+2.4</f>
        <v>33.9</v>
      </c>
      <c r="L31" s="114">
        <f>SUM(K31)+2.4</f>
        <v>36.299999999999997</v>
      </c>
      <c r="M31" s="116">
        <f>SUM(L31)+2.4</f>
        <v>38.699999999999996</v>
      </c>
    </row>
    <row r="32" spans="1:13" s="1" customFormat="1" ht="14.1" customHeight="1">
      <c r="A32" s="122"/>
      <c r="B32" s="127" t="s">
        <v>161</v>
      </c>
      <c r="C32" s="128"/>
      <c r="D32" s="79"/>
      <c r="E32" s="80"/>
      <c r="F32" s="80"/>
      <c r="G32" s="81"/>
      <c r="H32" s="46"/>
      <c r="I32" s="46"/>
      <c r="J32" s="125"/>
      <c r="K32" s="114"/>
      <c r="L32" s="114"/>
      <c r="M32" s="116"/>
    </row>
    <row r="33" spans="1:13" s="1" customFormat="1" ht="14.1" customHeight="1">
      <c r="A33" s="122">
        <v>16</v>
      </c>
      <c r="B33" s="36"/>
      <c r="C33" s="37"/>
      <c r="D33" s="129"/>
      <c r="E33" s="130"/>
      <c r="F33" s="130"/>
      <c r="G33" s="131"/>
      <c r="H33" s="27"/>
      <c r="I33" s="27"/>
      <c r="J33" s="125"/>
      <c r="K33" s="114"/>
      <c r="L33" s="114"/>
      <c r="M33" s="116"/>
    </row>
    <row r="34" spans="1:13" s="1" customFormat="1" ht="14.1" customHeight="1">
      <c r="A34" s="122"/>
      <c r="B34" s="127"/>
      <c r="C34" s="128"/>
      <c r="D34" s="79"/>
      <c r="E34" s="80"/>
      <c r="F34" s="80"/>
      <c r="G34" s="81"/>
      <c r="H34" s="46"/>
      <c r="I34" s="46"/>
      <c r="J34" s="125"/>
      <c r="K34" s="114"/>
      <c r="L34" s="114"/>
      <c r="M34" s="116"/>
    </row>
    <row r="35" spans="1:13" s="1" customFormat="1" ht="14.1" customHeight="1">
      <c r="A35" s="122">
        <v>17</v>
      </c>
      <c r="B35" s="98"/>
      <c r="C35" s="98"/>
      <c r="D35" s="124"/>
      <c r="E35" s="124"/>
      <c r="F35" s="124"/>
      <c r="G35" s="124"/>
      <c r="H35" s="27"/>
      <c r="I35" s="27"/>
      <c r="J35" s="125"/>
      <c r="K35" s="114"/>
      <c r="L35" s="114"/>
      <c r="M35" s="116">
        <f>SUM(L35)+2.4</f>
        <v>2.4</v>
      </c>
    </row>
    <row r="36" spans="1:13" s="1" customFormat="1" ht="14.1" customHeight="1" thickBot="1">
      <c r="A36" s="123"/>
      <c r="B36" s="118"/>
      <c r="C36" s="118"/>
      <c r="D36" s="119"/>
      <c r="E36" s="120"/>
      <c r="F36" s="120"/>
      <c r="G36" s="121"/>
      <c r="H36" s="28"/>
      <c r="I36" s="28"/>
      <c r="J36" s="126"/>
      <c r="K36" s="115"/>
      <c r="L36" s="115"/>
      <c r="M36" s="117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190"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DFBC-8033-4362-AD04-D9F641D2B9C4}">
  <sheetPr codeName="Sheet42">
    <tabColor theme="5"/>
    <pageSetUpPr fitToPage="1"/>
  </sheetPr>
  <dimension ref="A1:P57"/>
  <sheetViews>
    <sheetView zoomScale="110" zoomScaleNormal="110" workbookViewId="0">
      <selection activeCell="R14" sqref="R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392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38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SUM(I3)-4.9</f>
        <v>55.2</v>
      </c>
      <c r="I3" s="27">
        <f>SUM(J3)-4.9</f>
        <v>60.1</v>
      </c>
      <c r="J3" s="139">
        <v>65</v>
      </c>
      <c r="K3" s="140">
        <f>SUM(J3)+4.9</f>
        <v>69.900000000000006</v>
      </c>
      <c r="L3" s="140">
        <f>SUM(K3)+4.9</f>
        <v>74.800000000000011</v>
      </c>
      <c r="M3" s="141">
        <f>SUM(L3)+4.9</f>
        <v>79.700000000000017</v>
      </c>
    </row>
    <row r="4" spans="1:13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1"/>
      <c r="K4" s="27"/>
      <c r="L4" s="27"/>
      <c r="M4" s="29"/>
    </row>
    <row r="5" spans="1:13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SUM(I5)-1.8</f>
        <v>21.4</v>
      </c>
      <c r="I5" s="27">
        <f>SUM(J5)-1.8</f>
        <v>23.2</v>
      </c>
      <c r="J5" s="41">
        <v>25</v>
      </c>
      <c r="K5" s="27">
        <f>SUM(J5)+1.6</f>
        <v>26.6</v>
      </c>
      <c r="L5" s="27">
        <f>SUM(K5)+1.6</f>
        <v>28.200000000000003</v>
      </c>
      <c r="M5" s="29">
        <f>SUM(L5)+1.6</f>
        <v>29.800000000000004</v>
      </c>
    </row>
    <row r="6" spans="1:13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132"/>
    </row>
    <row r="7" spans="1:13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28</v>
      </c>
      <c r="I7" s="27">
        <f>SUM(J7)-2.25</f>
        <v>30.25</v>
      </c>
      <c r="J7" s="41">
        <v>32.5</v>
      </c>
      <c r="K7" s="27">
        <f>SUM(J7)+2</f>
        <v>34.5</v>
      </c>
      <c r="L7" s="27">
        <f>SUM(K7)+2</f>
        <v>36.5</v>
      </c>
      <c r="M7" s="29">
        <f>SUM(L7)+2</f>
        <v>38.5</v>
      </c>
    </row>
    <row r="8" spans="1:13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132"/>
    </row>
    <row r="9" spans="1:13" s="1" customFormat="1" ht="14.1" customHeight="1">
      <c r="A9" s="122">
        <v>4</v>
      </c>
      <c r="B9" s="98" t="s">
        <v>144</v>
      </c>
      <c r="C9" s="98"/>
      <c r="D9" s="124" t="s">
        <v>8</v>
      </c>
      <c r="E9" s="124"/>
      <c r="F9" s="124"/>
      <c r="G9" s="124"/>
      <c r="H9" s="27">
        <f>SUM(I9)-2.1</f>
        <v>25.799999999999997</v>
      </c>
      <c r="I9" s="27">
        <f>SUM(J9)-2.1</f>
        <v>27.9</v>
      </c>
      <c r="J9" s="41">
        <v>30</v>
      </c>
      <c r="K9" s="27">
        <f>SUM(J9)+1.9</f>
        <v>31.9</v>
      </c>
      <c r="L9" s="27">
        <f>SUM(K9)+1.9</f>
        <v>33.799999999999997</v>
      </c>
      <c r="M9" s="29">
        <f>SUM(L9)+1.9</f>
        <v>35.699999999999996</v>
      </c>
    </row>
    <row r="10" spans="1:13" s="1" customFormat="1" ht="14.1" customHeight="1">
      <c r="A10" s="122"/>
      <c r="B10" s="75" t="s">
        <v>145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3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SUM(I11)-0.9</f>
        <v>13.899999999999999</v>
      </c>
      <c r="I11" s="27">
        <f>SUM(J11)-0.8</f>
        <v>14.799999999999999</v>
      </c>
      <c r="J11" s="125">
        <v>15.6</v>
      </c>
      <c r="K11" s="114">
        <f>SUM(J11)+0.9</f>
        <v>16.5</v>
      </c>
      <c r="L11" s="114">
        <f>SUM(K11)+0.9</f>
        <v>17.399999999999999</v>
      </c>
      <c r="M11" s="116">
        <f>SUM(L11)+0.9</f>
        <v>18.299999999999997</v>
      </c>
    </row>
    <row r="12" spans="1:13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6"/>
    </row>
    <row r="13" spans="1:13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13</v>
      </c>
      <c r="I13" s="27">
        <f>SUM(J13)-0.6</f>
        <v>13.6</v>
      </c>
      <c r="J13" s="125">
        <v>14.2</v>
      </c>
      <c r="K13" s="114">
        <f>SUM(J13)+0.6</f>
        <v>14.799999999999999</v>
      </c>
      <c r="L13" s="114">
        <f>SUM(K13)+0.6</f>
        <v>15.399999999999999</v>
      </c>
      <c r="M13" s="116">
        <f>SUM(L13)+0.6</f>
        <v>15.999999999999998</v>
      </c>
    </row>
    <row r="14" spans="1:13" s="1" customFormat="1" ht="14.1" customHeight="1">
      <c r="A14" s="122"/>
      <c r="B14" s="75" t="s">
        <v>27</v>
      </c>
      <c r="C14" s="75"/>
      <c r="D14" s="79" t="s">
        <v>136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3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</v>
      </c>
      <c r="I15" s="27">
        <f>SUM(J15)-0.3</f>
        <v>6.3</v>
      </c>
      <c r="J15" s="125">
        <v>6.6</v>
      </c>
      <c r="K15" s="114">
        <f>SUM(J15)+0.3</f>
        <v>6.8999999999999995</v>
      </c>
      <c r="L15" s="114">
        <f>SUM(K15)+0.3</f>
        <v>7.1999999999999993</v>
      </c>
      <c r="M15" s="116">
        <f>SUM(L15)+0.3</f>
        <v>7.4999999999999991</v>
      </c>
    </row>
    <row r="16" spans="1:13" s="1" customFormat="1" ht="14.1" customHeight="1">
      <c r="A16" s="122"/>
      <c r="B16" s="75" t="s">
        <v>28</v>
      </c>
      <c r="C16" s="75"/>
      <c r="D16" s="79" t="s">
        <v>137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6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34.299999999999997</v>
      </c>
      <c r="I17" s="27">
        <f>SUM(J17)-1.6</f>
        <v>35.9</v>
      </c>
      <c r="J17" s="125">
        <v>37.5</v>
      </c>
      <c r="K17" s="114">
        <f>SUM(J17)+1.6</f>
        <v>39.1</v>
      </c>
      <c r="L17" s="114">
        <f>SUM(K17)+1.6</f>
        <v>40.700000000000003</v>
      </c>
      <c r="M17" s="116">
        <f>SUM(L17)+1.6</f>
        <v>42.300000000000004</v>
      </c>
    </row>
    <row r="18" spans="1:16" s="1" customFormat="1" ht="14.1" customHeight="1">
      <c r="A18" s="122"/>
      <c r="B18" s="75" t="s">
        <v>33</v>
      </c>
      <c r="C18" s="75"/>
      <c r="D18" s="79" t="s">
        <v>74</v>
      </c>
      <c r="E18" s="80"/>
      <c r="F18" s="80"/>
      <c r="G18" s="81"/>
      <c r="H18" s="46"/>
      <c r="I18" s="46"/>
      <c r="J18" s="125"/>
      <c r="K18" s="114"/>
      <c r="L18" s="114"/>
      <c r="M18" s="116"/>
    </row>
    <row r="19" spans="1:16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SUM(I19)-3.6</f>
        <v>34.299999999999997</v>
      </c>
      <c r="I19" s="27">
        <f>SUM(J19)-3.6</f>
        <v>37.9</v>
      </c>
      <c r="J19" s="125">
        <v>41.5</v>
      </c>
      <c r="K19" s="114">
        <f>SUM(J19)+3.7</f>
        <v>45.2</v>
      </c>
      <c r="L19" s="114">
        <f>SUM(K19)+3.7</f>
        <v>48.900000000000006</v>
      </c>
      <c r="M19" s="116">
        <f>SUM(L19)+3.7</f>
        <v>52.600000000000009</v>
      </c>
    </row>
    <row r="20" spans="1:16" s="1" customFormat="1" ht="14.1" customHeight="1">
      <c r="A20" s="122"/>
      <c r="B20" s="75" t="s">
        <v>200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6"/>
    </row>
    <row r="21" spans="1:16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SUM(I21)-1.4</f>
        <v>23.200000000000003</v>
      </c>
      <c r="I21" s="27">
        <f>SUM(J21)-1.4</f>
        <v>24.6</v>
      </c>
      <c r="J21" s="125">
        <v>26</v>
      </c>
      <c r="K21" s="114">
        <f>SUM(J21)+1.4</f>
        <v>27.4</v>
      </c>
      <c r="L21" s="114">
        <f>SUM(K21)+1.4</f>
        <v>28.799999999999997</v>
      </c>
      <c r="M21" s="116">
        <f>SUM(L21)+1.4</f>
        <v>30.199999999999996</v>
      </c>
    </row>
    <row r="22" spans="1:16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6"/>
    </row>
    <row r="23" spans="1:16" s="1" customFormat="1" ht="14.1" customHeight="1">
      <c r="A23" s="122">
        <v>11</v>
      </c>
      <c r="B23" s="36" t="s">
        <v>127</v>
      </c>
      <c r="C23" s="37"/>
      <c r="D23" s="124" t="s">
        <v>65</v>
      </c>
      <c r="E23" s="124"/>
      <c r="F23" s="124"/>
      <c r="G23" s="124"/>
      <c r="H23" s="27">
        <f>SUM(I23)-0.6</f>
        <v>14.8</v>
      </c>
      <c r="I23" s="27">
        <f>SUM(J23)-0.6</f>
        <v>15.4</v>
      </c>
      <c r="J23" s="125">
        <v>16</v>
      </c>
      <c r="K23" s="114">
        <f>SUM(J23)+0.6</f>
        <v>16.600000000000001</v>
      </c>
      <c r="L23" s="114">
        <f>SUM(K23)+0.6</f>
        <v>17.200000000000003</v>
      </c>
      <c r="M23" s="116">
        <f>SUM(L23)+0.6</f>
        <v>17.800000000000004</v>
      </c>
      <c r="P23" s="1" t="s">
        <v>352</v>
      </c>
    </row>
    <row r="24" spans="1:16" s="1" customFormat="1" ht="14.1" customHeight="1">
      <c r="A24" s="122"/>
      <c r="B24" s="75" t="s">
        <v>350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6"/>
      <c r="P24" s="1">
        <f>SUM(H23+H23+I23+I23+J23+J23+K23+K23+L23+L23)</f>
        <v>160</v>
      </c>
    </row>
    <row r="25" spans="1:16" s="1" customFormat="1" ht="14.1" customHeight="1">
      <c r="A25" s="122">
        <v>12</v>
      </c>
      <c r="B25" s="133" t="s">
        <v>357</v>
      </c>
      <c r="C25" s="134"/>
      <c r="D25" s="135"/>
      <c r="E25" s="136"/>
      <c r="F25" s="136"/>
      <c r="G25" s="137"/>
      <c r="H25" s="27">
        <f>SUM(I25)-0.4</f>
        <v>6.4999999999999991</v>
      </c>
      <c r="I25" s="27">
        <f>SUM(J25)-0.4</f>
        <v>6.8999999999999995</v>
      </c>
      <c r="J25" s="125">
        <v>7.3</v>
      </c>
      <c r="K25" s="114">
        <f>SUM(J25)+0.4</f>
        <v>7.7</v>
      </c>
      <c r="L25" s="114">
        <f>SUM(K25)+0.4</f>
        <v>8.1</v>
      </c>
      <c r="M25" s="116">
        <f>SUM(L25)+0.4</f>
        <v>8.5</v>
      </c>
      <c r="P25" s="1">
        <f>SUM(P24/91.44/5*1.08)</f>
        <v>0.37795275590551186</v>
      </c>
    </row>
    <row r="26" spans="1:16" s="1" customFormat="1" ht="14.1" customHeight="1">
      <c r="A26" s="122"/>
      <c r="B26" s="127" t="s">
        <v>358</v>
      </c>
      <c r="C26" s="128"/>
      <c r="D26" s="79" t="s">
        <v>359</v>
      </c>
      <c r="E26" s="80"/>
      <c r="F26" s="80"/>
      <c r="G26" s="81"/>
      <c r="H26" s="46"/>
      <c r="I26" s="46"/>
      <c r="J26" s="125"/>
      <c r="K26" s="114"/>
      <c r="L26" s="114"/>
      <c r="M26" s="116"/>
    </row>
    <row r="27" spans="1:16" s="1" customFormat="1" ht="14.1" customHeight="1">
      <c r="A27" s="122">
        <v>13</v>
      </c>
      <c r="B27" s="133" t="s">
        <v>356</v>
      </c>
      <c r="C27" s="134"/>
      <c r="D27" s="135"/>
      <c r="E27" s="136"/>
      <c r="F27" s="136"/>
      <c r="G27" s="137"/>
      <c r="H27" s="45">
        <f>SUM(I27)-3</f>
        <v>36.4</v>
      </c>
      <c r="I27" s="45">
        <f>SUM(J27)-3</f>
        <v>39.4</v>
      </c>
      <c r="J27" s="44">
        <v>42.4</v>
      </c>
      <c r="K27" s="46">
        <f>SUM(J27)+3</f>
        <v>45.4</v>
      </c>
      <c r="L27" s="46">
        <f>SUM(K27)+3</f>
        <v>48.4</v>
      </c>
      <c r="M27" s="132">
        <f>SUM(L27)+3</f>
        <v>51.4</v>
      </c>
    </row>
    <row r="28" spans="1:16" s="1" customFormat="1" ht="14.1" customHeight="1">
      <c r="A28" s="122"/>
      <c r="B28" s="127" t="s">
        <v>210</v>
      </c>
      <c r="C28" s="128"/>
      <c r="D28" s="79"/>
      <c r="E28" s="80"/>
      <c r="F28" s="80"/>
      <c r="G28" s="81"/>
      <c r="H28" s="46"/>
      <c r="I28" s="46"/>
      <c r="J28" s="125"/>
      <c r="K28" s="114"/>
      <c r="L28" s="114"/>
      <c r="M28" s="116"/>
    </row>
    <row r="29" spans="1:16" s="1" customFormat="1" ht="14.1" customHeight="1">
      <c r="A29" s="122">
        <v>14</v>
      </c>
      <c r="B29" s="36" t="s">
        <v>147</v>
      </c>
      <c r="C29" s="37"/>
      <c r="D29" s="129"/>
      <c r="E29" s="130"/>
      <c r="F29" s="130"/>
      <c r="G29" s="131"/>
      <c r="H29" s="27">
        <f>SUM(I29)-2.4</f>
        <v>29.700000000000003</v>
      </c>
      <c r="I29" s="27">
        <f>SUM(J29)-2.4</f>
        <v>32.1</v>
      </c>
      <c r="J29" s="125">
        <v>34.5</v>
      </c>
      <c r="K29" s="114">
        <f>SUM(J29)+2.4</f>
        <v>36.9</v>
      </c>
      <c r="L29" s="114">
        <f>SUM(K29)+2.4</f>
        <v>39.299999999999997</v>
      </c>
      <c r="M29" s="116">
        <f>SUM(L29)+2.4</f>
        <v>41.699999999999996</v>
      </c>
    </row>
    <row r="30" spans="1:16" s="1" customFormat="1" ht="14.1" customHeight="1">
      <c r="A30" s="122"/>
      <c r="B30" s="127" t="s">
        <v>161</v>
      </c>
      <c r="C30" s="128"/>
      <c r="D30" s="79"/>
      <c r="E30" s="80"/>
      <c r="F30" s="80"/>
      <c r="G30" s="81"/>
      <c r="H30" s="46"/>
      <c r="I30" s="46"/>
      <c r="J30" s="125"/>
      <c r="K30" s="114"/>
      <c r="L30" s="114"/>
      <c r="M30" s="116"/>
    </row>
    <row r="31" spans="1:16" s="1" customFormat="1" ht="14.1" customHeight="1">
      <c r="A31" s="122">
        <v>15</v>
      </c>
      <c r="B31" s="36"/>
      <c r="C31" s="37"/>
      <c r="D31" s="129"/>
      <c r="E31" s="130"/>
      <c r="F31" s="130"/>
      <c r="G31" s="131"/>
      <c r="H31" s="27"/>
      <c r="I31" s="27"/>
      <c r="J31" s="125"/>
      <c r="K31" s="114"/>
      <c r="L31" s="114"/>
      <c r="M31" s="116"/>
    </row>
    <row r="32" spans="1:16" s="1" customFormat="1" ht="14.1" customHeight="1">
      <c r="A32" s="122"/>
      <c r="B32" s="127"/>
      <c r="C32" s="128"/>
      <c r="D32" s="79"/>
      <c r="E32" s="80"/>
      <c r="F32" s="80"/>
      <c r="G32" s="81"/>
      <c r="H32" s="46"/>
      <c r="I32" s="46"/>
      <c r="J32" s="125"/>
      <c r="K32" s="114"/>
      <c r="L32" s="114"/>
      <c r="M32" s="116"/>
    </row>
    <row r="33" spans="1:13" s="1" customFormat="1" ht="14.1" customHeight="1">
      <c r="A33" s="122">
        <v>16</v>
      </c>
      <c r="B33" s="133"/>
      <c r="C33" s="134"/>
      <c r="D33" s="135"/>
      <c r="E33" s="136"/>
      <c r="F33" s="136"/>
      <c r="G33" s="137"/>
      <c r="H33" s="45"/>
      <c r="I33" s="45"/>
      <c r="J33" s="44"/>
      <c r="K33" s="46"/>
      <c r="L33" s="46"/>
      <c r="M33" s="132"/>
    </row>
    <row r="34" spans="1:13" s="1" customFormat="1" ht="14.1" customHeight="1">
      <c r="A34" s="122"/>
      <c r="B34" s="127"/>
      <c r="C34" s="128"/>
      <c r="D34" s="79"/>
      <c r="E34" s="80"/>
      <c r="F34" s="80"/>
      <c r="G34" s="81"/>
      <c r="H34" s="46"/>
      <c r="I34" s="46"/>
      <c r="J34" s="125"/>
      <c r="K34" s="114"/>
      <c r="L34" s="114"/>
      <c r="M34" s="116"/>
    </row>
    <row r="35" spans="1:13" s="1" customFormat="1" ht="14.1" customHeight="1">
      <c r="A35" s="122">
        <v>17</v>
      </c>
      <c r="B35" s="36"/>
      <c r="C35" s="37"/>
      <c r="D35" s="129"/>
      <c r="E35" s="130"/>
      <c r="F35" s="130"/>
      <c r="G35" s="131"/>
      <c r="H35" s="27"/>
      <c r="I35" s="27"/>
      <c r="J35" s="125"/>
      <c r="K35" s="114"/>
      <c r="L35" s="114"/>
      <c r="M35" s="116"/>
    </row>
    <row r="36" spans="1:13" s="1" customFormat="1" ht="14.1" customHeight="1">
      <c r="A36" s="122"/>
      <c r="B36" s="127"/>
      <c r="C36" s="128"/>
      <c r="D36" s="79"/>
      <c r="E36" s="80"/>
      <c r="F36" s="80"/>
      <c r="G36" s="81"/>
      <c r="H36" s="46"/>
      <c r="I36" s="46"/>
      <c r="J36" s="125"/>
      <c r="K36" s="114"/>
      <c r="L36" s="114"/>
      <c r="M36" s="116"/>
    </row>
    <row r="37" spans="1:13" s="1" customFormat="1" ht="14.1" customHeight="1">
      <c r="A37" s="122">
        <v>18</v>
      </c>
      <c r="B37" s="98"/>
      <c r="C37" s="98"/>
      <c r="D37" s="124"/>
      <c r="E37" s="124"/>
      <c r="F37" s="124"/>
      <c r="G37" s="124"/>
      <c r="H37" s="27"/>
      <c r="I37" s="27"/>
      <c r="J37" s="125"/>
      <c r="K37" s="114"/>
      <c r="L37" s="114"/>
      <c r="M37" s="116">
        <f>SUM(L37)+2.4</f>
        <v>2.4</v>
      </c>
    </row>
    <row r="38" spans="1:13" s="1" customFormat="1" ht="14.1" customHeight="1" thickBot="1">
      <c r="A38" s="123"/>
      <c r="B38" s="118"/>
      <c r="C38" s="118"/>
      <c r="D38" s="119"/>
      <c r="E38" s="120"/>
      <c r="F38" s="120"/>
      <c r="G38" s="121"/>
      <c r="H38" s="28"/>
      <c r="I38" s="28"/>
      <c r="J38" s="126"/>
      <c r="K38" s="115"/>
      <c r="L38" s="115"/>
      <c r="M38" s="117"/>
    </row>
    <row r="39" spans="1:13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C538-3BE1-44E1-86BE-3B482B908FDB}">
  <sheetPr codeName="Sheet43">
    <tabColor theme="5"/>
    <pageSetUpPr fitToPage="1"/>
  </sheetPr>
  <dimension ref="A1:P153"/>
  <sheetViews>
    <sheetView zoomScale="110" zoomScaleNormal="110" workbookViewId="0">
      <selection activeCell="Q15" sqref="Q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>
      <c r="A1" s="85" t="s">
        <v>473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6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38">
        <v>1</v>
      </c>
      <c r="B3" s="148" t="s">
        <v>39</v>
      </c>
      <c r="C3" s="148"/>
      <c r="D3" s="92" t="s">
        <v>217</v>
      </c>
      <c r="E3" s="93"/>
      <c r="F3" s="93"/>
      <c r="G3" s="94"/>
      <c r="H3" s="27">
        <f>SUM(I3)-5</f>
        <v>60</v>
      </c>
      <c r="I3" s="27">
        <f>SUM(J3)-5</f>
        <v>65</v>
      </c>
      <c r="J3" s="139">
        <v>70</v>
      </c>
      <c r="K3" s="96">
        <f>SUM(J3)+5</f>
        <v>75</v>
      </c>
      <c r="L3" s="96">
        <f>SUM(K3)+5</f>
        <v>80</v>
      </c>
      <c r="M3" s="97">
        <f>SUM(L3)+5</f>
        <v>85</v>
      </c>
    </row>
    <row r="4" spans="1:16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46"/>
      <c r="L4" s="46"/>
      <c r="M4" s="48"/>
    </row>
    <row r="5" spans="1:16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SUM(I5)-1.8</f>
        <v>23.4</v>
      </c>
      <c r="I5" s="27">
        <f>SUM(J5)-1.8</f>
        <v>25.2</v>
      </c>
      <c r="J5" s="41">
        <v>27</v>
      </c>
      <c r="K5" s="27">
        <f>SUM(J5)+1.6</f>
        <v>28.6</v>
      </c>
      <c r="L5" s="27">
        <f>SUM(K5)+1.6</f>
        <v>30.200000000000003</v>
      </c>
      <c r="M5" s="62">
        <f>SUM(L5)+1.6</f>
        <v>31.800000000000004</v>
      </c>
    </row>
    <row r="6" spans="1:16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8"/>
    </row>
    <row r="7" spans="1:16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29.5</v>
      </c>
      <c r="I7" s="27">
        <f>SUM(J7)-2.25</f>
        <v>31.75</v>
      </c>
      <c r="J7" s="41">
        <v>34</v>
      </c>
      <c r="K7" s="27">
        <f>SUM(J7)+2</f>
        <v>36</v>
      </c>
      <c r="L7" s="27">
        <f>SUM(K7)+2</f>
        <v>38</v>
      </c>
      <c r="M7" s="62">
        <f>SUM(L7)+2</f>
        <v>40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6" s="1" customFormat="1" ht="14.1" customHeight="1">
      <c r="A9" s="122">
        <v>4</v>
      </c>
      <c r="B9" s="98" t="s">
        <v>163</v>
      </c>
      <c r="C9" s="98"/>
      <c r="D9" s="124"/>
      <c r="E9" s="124"/>
      <c r="F9" s="124"/>
      <c r="G9" s="124"/>
      <c r="H9" s="27">
        <f>SUM(I9)-3</f>
        <v>50</v>
      </c>
      <c r="I9" s="27">
        <f>SUM(J9)-3</f>
        <v>53</v>
      </c>
      <c r="J9" s="41">
        <v>56</v>
      </c>
      <c r="K9" s="27">
        <f>SUM(J9)+3</f>
        <v>59</v>
      </c>
      <c r="L9" s="27">
        <f>SUM(K9)+3</f>
        <v>62</v>
      </c>
      <c r="M9" s="62">
        <f>SUM(L9)+3</f>
        <v>65</v>
      </c>
      <c r="P9" s="1" t="s">
        <v>489</v>
      </c>
    </row>
    <row r="10" spans="1:16" s="1" customFormat="1" ht="14.1" customHeight="1">
      <c r="A10" s="122"/>
      <c r="B10" s="75" t="s">
        <v>405</v>
      </c>
      <c r="C10" s="75"/>
      <c r="D10" s="79"/>
      <c r="E10" s="80"/>
      <c r="F10" s="80"/>
      <c r="G10" s="81"/>
      <c r="H10" s="46"/>
      <c r="I10" s="46"/>
      <c r="J10" s="44"/>
      <c r="K10" s="46"/>
      <c r="L10" s="46"/>
      <c r="M10" s="48"/>
      <c r="P10" s="1">
        <f>SUM(H9+I9+J9+K9+L9+M9)</f>
        <v>345</v>
      </c>
    </row>
    <row r="11" spans="1:16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12.599999999999998</v>
      </c>
      <c r="I11" s="27">
        <f>SUM(J11)-0.8</f>
        <v>13.399999999999999</v>
      </c>
      <c r="J11" s="125">
        <v>14.2</v>
      </c>
      <c r="K11" s="114">
        <f>SUM(J11)+0.8</f>
        <v>15</v>
      </c>
      <c r="L11" s="114">
        <f>SUM(K11)+0.8</f>
        <v>15.8</v>
      </c>
      <c r="M11" s="162">
        <f>SUM(L11)+0.8</f>
        <v>16.600000000000001</v>
      </c>
      <c r="P11" s="1">
        <f>SUM(P10/91.44/6*1.08)</f>
        <v>0.67913385826771655</v>
      </c>
    </row>
    <row r="12" spans="1:16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6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14.4</v>
      </c>
      <c r="I13" s="27">
        <f>SUM(J13)-0.6</f>
        <v>15</v>
      </c>
      <c r="J13" s="125">
        <v>15.6</v>
      </c>
      <c r="K13" s="114">
        <f>SUM(J13)+0.6</f>
        <v>16.2</v>
      </c>
      <c r="L13" s="114">
        <f>SUM(K13)+0.6</f>
        <v>16.8</v>
      </c>
      <c r="M13" s="162">
        <f>SUM(L13)+0.6</f>
        <v>17.400000000000002</v>
      </c>
    </row>
    <row r="14" spans="1:16" s="1" customFormat="1" ht="14.1" customHeight="1">
      <c r="A14" s="122"/>
      <c r="B14" s="75" t="s">
        <v>27</v>
      </c>
      <c r="C14" s="75"/>
      <c r="D14" s="79" t="s">
        <v>456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6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5.4</v>
      </c>
      <c r="I15" s="27">
        <f>SUM(J15)-0.3</f>
        <v>5.7</v>
      </c>
      <c r="J15" s="125">
        <v>6</v>
      </c>
      <c r="K15" s="114">
        <f>SUM(J15)+0.3</f>
        <v>6.3</v>
      </c>
      <c r="L15" s="114">
        <f>SUM(K15)+0.3</f>
        <v>6.6</v>
      </c>
      <c r="M15" s="162">
        <f>SUM(L15)+0.3</f>
        <v>6.8999999999999995</v>
      </c>
    </row>
    <row r="16" spans="1:16" s="1" customFormat="1" ht="14.1" customHeight="1">
      <c r="A16" s="122"/>
      <c r="B16" s="75" t="s">
        <v>28</v>
      </c>
      <c r="C16" s="75"/>
      <c r="D16" s="79" t="s">
        <v>455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38.799999999999997</v>
      </c>
      <c r="I17" s="27">
        <f>SUM(J17)-1.6</f>
        <v>40.4</v>
      </c>
      <c r="J17" s="125">
        <v>42</v>
      </c>
      <c r="K17" s="114">
        <f>SUM(J17)+1.6</f>
        <v>43.6</v>
      </c>
      <c r="L17" s="114">
        <f>SUM(K17)+1.6</f>
        <v>45.2</v>
      </c>
      <c r="M17" s="162">
        <f>SUM(L17)+1.6</f>
        <v>46.800000000000004</v>
      </c>
    </row>
    <row r="18" spans="1:13" s="1" customFormat="1" ht="14.1" customHeight="1">
      <c r="A18" s="122"/>
      <c r="B18" s="75" t="s">
        <v>33</v>
      </c>
      <c r="C18" s="75"/>
      <c r="D18" s="79" t="s">
        <v>454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/>
      <c r="I19" s="27"/>
      <c r="J19" s="125"/>
      <c r="K19" s="114"/>
      <c r="L19" s="114"/>
      <c r="M19" s="162"/>
    </row>
    <row r="20" spans="1:13" s="1" customFormat="1" ht="14.1" customHeight="1">
      <c r="A20" s="122"/>
      <c r="B20" s="75" t="s">
        <v>200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162"/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260</v>
      </c>
      <c r="C23" s="37"/>
      <c r="D23" s="124" t="s">
        <v>65</v>
      </c>
      <c r="E23" s="124"/>
      <c r="F23" s="124"/>
      <c r="G23" s="124"/>
      <c r="H23" s="27"/>
      <c r="I23" s="27"/>
      <c r="J23" s="125"/>
      <c r="K23" s="114"/>
      <c r="L23" s="114"/>
      <c r="M23" s="162"/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133" t="s">
        <v>223</v>
      </c>
      <c r="C25" s="134"/>
      <c r="D25" s="135"/>
      <c r="E25" s="136"/>
      <c r="F25" s="136"/>
      <c r="G25" s="137"/>
      <c r="H25" s="45">
        <f>SUM(I25)-3.5</f>
        <v>43</v>
      </c>
      <c r="I25" s="45">
        <f>SUM(J25)-3.5</f>
        <v>46.5</v>
      </c>
      <c r="J25" s="44">
        <v>50</v>
      </c>
      <c r="K25" s="46">
        <f>SUM(J25)+3.5</f>
        <v>53.5</v>
      </c>
      <c r="L25" s="46">
        <f>SUM(K25)+3.5</f>
        <v>57</v>
      </c>
      <c r="M25" s="48">
        <f>SUM(L25)+3.5</f>
        <v>60.5</v>
      </c>
    </row>
    <row r="26" spans="1:13" s="1" customFormat="1" ht="14.1" customHeight="1">
      <c r="A26" s="122"/>
      <c r="B26" s="127" t="s">
        <v>204</v>
      </c>
      <c r="C26" s="128"/>
      <c r="D26" s="79"/>
      <c r="E26" s="80"/>
      <c r="F26" s="80"/>
      <c r="G26" s="81"/>
      <c r="H26" s="46"/>
      <c r="I26" s="46"/>
      <c r="J26" s="125"/>
      <c r="K26" s="114"/>
      <c r="L26" s="114"/>
      <c r="M26" s="162"/>
    </row>
    <row r="27" spans="1:13" s="1" customFormat="1" ht="14.1" customHeight="1">
      <c r="A27" s="122">
        <v>13</v>
      </c>
      <c r="B27" s="133" t="s">
        <v>224</v>
      </c>
      <c r="C27" s="134"/>
      <c r="D27" s="135"/>
      <c r="E27" s="136"/>
      <c r="F27" s="136"/>
      <c r="G27" s="137"/>
      <c r="H27" s="45">
        <f>SUM(I27)-1.1</f>
        <v>12.8</v>
      </c>
      <c r="I27" s="45">
        <f>SUM(J27)-1.1</f>
        <v>13.9</v>
      </c>
      <c r="J27" s="44">
        <v>15</v>
      </c>
      <c r="K27" s="46">
        <f>SUM(J27)+1.1</f>
        <v>16.100000000000001</v>
      </c>
      <c r="L27" s="46">
        <f>SUM(K27)+1.1</f>
        <v>17.200000000000003</v>
      </c>
      <c r="M27" s="48">
        <f>SUM(L27)+1.1</f>
        <v>18.300000000000004</v>
      </c>
    </row>
    <row r="28" spans="1:13" s="1" customFormat="1" ht="14.1" customHeight="1">
      <c r="A28" s="122"/>
      <c r="B28" s="127" t="s">
        <v>219</v>
      </c>
      <c r="C28" s="128"/>
      <c r="D28" s="79"/>
      <c r="E28" s="80"/>
      <c r="F28" s="80"/>
      <c r="G28" s="81"/>
      <c r="H28" s="46"/>
      <c r="I28" s="46"/>
      <c r="J28" s="125"/>
      <c r="K28" s="114"/>
      <c r="L28" s="114"/>
      <c r="M28" s="162"/>
    </row>
    <row r="29" spans="1:13" s="1" customFormat="1" ht="14.1" customHeight="1">
      <c r="A29" s="122">
        <v>14</v>
      </c>
      <c r="B29" s="133" t="s">
        <v>225</v>
      </c>
      <c r="C29" s="134"/>
      <c r="D29" s="135"/>
      <c r="E29" s="136"/>
      <c r="F29" s="136"/>
      <c r="G29" s="137"/>
      <c r="H29" s="45">
        <f>SUM(I29)-1.1</f>
        <v>13.8</v>
      </c>
      <c r="I29" s="45">
        <f>SUM(J29)-1.1</f>
        <v>14.9</v>
      </c>
      <c r="J29" s="44">
        <v>16</v>
      </c>
      <c r="K29" s="46">
        <f>SUM(J29)+1.1</f>
        <v>17.100000000000001</v>
      </c>
      <c r="L29" s="46">
        <f>SUM(K29)+1.1</f>
        <v>18.200000000000003</v>
      </c>
      <c r="M29" s="48">
        <f>SUM(L29)+1.1</f>
        <v>19.300000000000004</v>
      </c>
    </row>
    <row r="30" spans="1:13" s="1" customFormat="1" ht="14.1" customHeight="1">
      <c r="A30" s="122"/>
      <c r="B30" s="127" t="s">
        <v>220</v>
      </c>
      <c r="C30" s="128"/>
      <c r="D30" s="79"/>
      <c r="E30" s="80"/>
      <c r="F30" s="80"/>
      <c r="G30" s="81"/>
      <c r="H30" s="46"/>
      <c r="I30" s="46"/>
      <c r="J30" s="125"/>
      <c r="K30" s="114"/>
      <c r="L30" s="114"/>
      <c r="M30" s="162"/>
    </row>
    <row r="31" spans="1:13" s="1" customFormat="1" ht="14.1" customHeight="1">
      <c r="A31" s="122">
        <v>15</v>
      </c>
      <c r="B31" s="133" t="s">
        <v>226</v>
      </c>
      <c r="C31" s="134"/>
      <c r="D31" s="135"/>
      <c r="E31" s="136"/>
      <c r="F31" s="136"/>
      <c r="G31" s="137"/>
      <c r="H31" s="45">
        <f>SUM(I31)-1.3</f>
        <v>16.399999999999999</v>
      </c>
      <c r="I31" s="45">
        <f>SUM(J31)-1.3</f>
        <v>17.7</v>
      </c>
      <c r="J31" s="44">
        <v>19</v>
      </c>
      <c r="K31" s="46">
        <f>SUM(J31)+1.3</f>
        <v>20.3</v>
      </c>
      <c r="L31" s="46">
        <f>SUM(K31)+1.3</f>
        <v>21.6</v>
      </c>
      <c r="M31" s="48">
        <f>SUM(L31)+1.3</f>
        <v>22.900000000000002</v>
      </c>
    </row>
    <row r="32" spans="1:13" s="1" customFormat="1" ht="14.1" customHeight="1">
      <c r="A32" s="122"/>
      <c r="B32" s="127" t="s">
        <v>228</v>
      </c>
      <c r="C32" s="128"/>
      <c r="D32" s="79"/>
      <c r="E32" s="80"/>
      <c r="F32" s="80"/>
      <c r="G32" s="81"/>
      <c r="H32" s="46"/>
      <c r="I32" s="46"/>
      <c r="J32" s="125"/>
      <c r="K32" s="114"/>
      <c r="L32" s="114"/>
      <c r="M32" s="162"/>
    </row>
    <row r="33" spans="1:13" s="1" customFormat="1" ht="14.1" customHeight="1">
      <c r="A33" s="122">
        <v>16</v>
      </c>
      <c r="B33" s="36"/>
      <c r="C33" s="37"/>
      <c r="D33" s="129"/>
      <c r="E33" s="130"/>
      <c r="F33" s="130"/>
      <c r="G33" s="131"/>
      <c r="H33" s="27"/>
      <c r="I33" s="27"/>
      <c r="J33" s="125"/>
      <c r="K33" s="114"/>
      <c r="L33" s="114"/>
      <c r="M33" s="162"/>
    </row>
    <row r="34" spans="1:13" s="1" customFormat="1" ht="14.1" customHeight="1">
      <c r="A34" s="122"/>
      <c r="B34" s="127"/>
      <c r="C34" s="128"/>
      <c r="D34" s="79"/>
      <c r="E34" s="80"/>
      <c r="F34" s="80"/>
      <c r="G34" s="81"/>
      <c r="H34" s="46"/>
      <c r="I34" s="46"/>
      <c r="J34" s="125"/>
      <c r="K34" s="114"/>
      <c r="L34" s="114"/>
      <c r="M34" s="162"/>
    </row>
    <row r="35" spans="1:13" s="1" customFormat="1" ht="14.1" customHeight="1">
      <c r="A35" s="122">
        <v>17</v>
      </c>
      <c r="B35" s="98"/>
      <c r="C35" s="98"/>
      <c r="D35" s="124"/>
      <c r="E35" s="124"/>
      <c r="F35" s="124"/>
      <c r="G35" s="124"/>
      <c r="H35" s="27"/>
      <c r="I35" s="27"/>
      <c r="J35" s="125"/>
      <c r="K35" s="114"/>
      <c r="L35" s="114"/>
      <c r="M35" s="162"/>
    </row>
    <row r="36" spans="1:13" s="1" customFormat="1" ht="14.1" customHeight="1" thickBot="1">
      <c r="A36" s="123"/>
      <c r="B36" s="118"/>
      <c r="C36" s="118"/>
      <c r="D36" s="119"/>
      <c r="E36" s="120"/>
      <c r="F36" s="120"/>
      <c r="G36" s="121"/>
      <c r="H36" s="28"/>
      <c r="I36" s="28"/>
      <c r="J36" s="126"/>
      <c r="K36" s="115"/>
      <c r="L36" s="115"/>
      <c r="M36" s="142"/>
    </row>
    <row r="37" spans="1:13" s="1" customFormat="1" ht="16.5" customHeight="1" thickBo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 s="1" customFormat="1" ht="16.5" customHeight="1" thickBot="1">
      <c r="A38" s="85" t="s">
        <v>476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7"/>
    </row>
    <row r="39" spans="1:13" s="1" customFormat="1" ht="14.1" customHeight="1" thickBot="1">
      <c r="A39" s="4" t="s">
        <v>57</v>
      </c>
      <c r="B39" s="88" t="s">
        <v>58</v>
      </c>
      <c r="C39" s="88"/>
      <c r="D39" s="88" t="s">
        <v>59</v>
      </c>
      <c r="E39" s="88"/>
      <c r="F39" s="88"/>
      <c r="G39" s="88"/>
      <c r="H39" s="6" t="s">
        <v>60</v>
      </c>
      <c r="I39" s="6" t="s">
        <v>61</v>
      </c>
      <c r="J39" s="5" t="s">
        <v>62</v>
      </c>
      <c r="K39" s="6" t="s">
        <v>63</v>
      </c>
      <c r="L39" s="6" t="s">
        <v>125</v>
      </c>
      <c r="M39" s="6" t="s">
        <v>124</v>
      </c>
    </row>
    <row r="40" spans="1:13" s="1" customFormat="1" ht="14.1" customHeight="1">
      <c r="A40" s="138">
        <v>1</v>
      </c>
      <c r="B40" s="148" t="s">
        <v>39</v>
      </c>
      <c r="C40" s="148"/>
      <c r="D40" s="92" t="s">
        <v>217</v>
      </c>
      <c r="E40" s="93"/>
      <c r="F40" s="93"/>
      <c r="G40" s="94"/>
      <c r="H40" s="27">
        <f>SUM(I40)-2</f>
        <v>21</v>
      </c>
      <c r="I40" s="27">
        <f>SUM(J40)-2</f>
        <v>23</v>
      </c>
      <c r="J40" s="139">
        <v>25</v>
      </c>
      <c r="K40" s="96">
        <f>SUM(J40)+2</f>
        <v>27</v>
      </c>
      <c r="L40" s="96">
        <f>SUM(K40)+2</f>
        <v>29</v>
      </c>
      <c r="M40" s="97">
        <f>SUM(L40)+2</f>
        <v>31</v>
      </c>
    </row>
    <row r="41" spans="1:13" s="1" customFormat="1" ht="14.1" customHeight="1">
      <c r="A41" s="122"/>
      <c r="B41" s="75" t="s">
        <v>36</v>
      </c>
      <c r="C41" s="75"/>
      <c r="D41" s="79" t="s">
        <v>73</v>
      </c>
      <c r="E41" s="80"/>
      <c r="F41" s="80"/>
      <c r="G41" s="80"/>
      <c r="H41" s="46"/>
      <c r="I41" s="46"/>
      <c r="J41" s="41"/>
      <c r="K41" s="46"/>
      <c r="L41" s="46"/>
      <c r="M41" s="48"/>
    </row>
    <row r="42" spans="1:13" s="1" customFormat="1" ht="14.1" customHeight="1">
      <c r="A42" s="122">
        <v>2</v>
      </c>
      <c r="B42" s="98" t="s">
        <v>37</v>
      </c>
      <c r="C42" s="98"/>
      <c r="D42" s="124" t="s">
        <v>38</v>
      </c>
      <c r="E42" s="124"/>
      <c r="F42" s="124"/>
      <c r="G42" s="124"/>
      <c r="H42" s="27">
        <f>SUM(I42)-1.6</f>
        <v>22.799999999999997</v>
      </c>
      <c r="I42" s="27">
        <f>SUM(J42)-1.6</f>
        <v>24.4</v>
      </c>
      <c r="J42" s="41">
        <v>26</v>
      </c>
      <c r="K42" s="27">
        <f>SUM(J42)+1.6</f>
        <v>27.6</v>
      </c>
      <c r="L42" s="27">
        <f>SUM(K42)+1.6</f>
        <v>29.200000000000003</v>
      </c>
      <c r="M42" s="62">
        <f>SUM(L42)+1.6</f>
        <v>30.800000000000004</v>
      </c>
    </row>
    <row r="43" spans="1:13" ht="14.1" customHeight="1">
      <c r="A43" s="122"/>
      <c r="B43" s="75" t="s">
        <v>24</v>
      </c>
      <c r="C43" s="75"/>
      <c r="D43" s="79" t="s">
        <v>254</v>
      </c>
      <c r="E43" s="80"/>
      <c r="F43" s="80"/>
      <c r="G43" s="81"/>
      <c r="H43" s="46"/>
      <c r="I43" s="46"/>
      <c r="J43" s="44"/>
      <c r="K43" s="46"/>
      <c r="L43" s="46"/>
      <c r="M43" s="48"/>
    </row>
    <row r="44" spans="1:13" ht="14.1" customHeight="1">
      <c r="A44" s="122">
        <v>3</v>
      </c>
      <c r="B44" s="98" t="s">
        <v>35</v>
      </c>
      <c r="C44" s="98"/>
      <c r="D44" s="124" t="s">
        <v>186</v>
      </c>
      <c r="E44" s="124"/>
      <c r="F44" s="124"/>
      <c r="G44" s="124"/>
      <c r="H44" s="27">
        <f>SUM(I44)-2</f>
        <v>30</v>
      </c>
      <c r="I44" s="27">
        <f>SUM(J44)-2</f>
        <v>32</v>
      </c>
      <c r="J44" s="41">
        <v>34</v>
      </c>
      <c r="K44" s="27">
        <f>SUM(J44)+2</f>
        <v>36</v>
      </c>
      <c r="L44" s="27">
        <f>SUM(K44)+2</f>
        <v>38</v>
      </c>
      <c r="M44" s="62">
        <f>SUM(L44)+2</f>
        <v>40</v>
      </c>
    </row>
    <row r="45" spans="1:13" ht="14.1" customHeight="1">
      <c r="A45" s="122"/>
      <c r="B45" s="75" t="s">
        <v>40</v>
      </c>
      <c r="C45" s="75"/>
      <c r="D45" s="79" t="s">
        <v>43</v>
      </c>
      <c r="E45" s="80"/>
      <c r="F45" s="80"/>
      <c r="G45" s="81"/>
      <c r="H45" s="46"/>
      <c r="I45" s="46"/>
      <c r="J45" s="44"/>
      <c r="K45" s="46"/>
      <c r="L45" s="46"/>
      <c r="M45" s="48"/>
    </row>
    <row r="46" spans="1:13" ht="14.1" customHeight="1">
      <c r="A46" s="122">
        <v>4</v>
      </c>
      <c r="B46" s="98" t="s">
        <v>41</v>
      </c>
      <c r="C46" s="98"/>
      <c r="D46" s="124" t="s">
        <v>8</v>
      </c>
      <c r="E46" s="124"/>
      <c r="F46" s="124"/>
      <c r="G46" s="124"/>
      <c r="H46" s="27">
        <f>SUM(I46)-1.8</f>
        <v>26.4</v>
      </c>
      <c r="I46" s="27">
        <f>SUM(J46)-1.8</f>
        <v>28.2</v>
      </c>
      <c r="J46" s="41">
        <v>30</v>
      </c>
      <c r="K46" s="27">
        <f>SUM(J46)+1.8</f>
        <v>31.8</v>
      </c>
      <c r="L46" s="27">
        <f>SUM(K46)+1.8</f>
        <v>33.6</v>
      </c>
      <c r="M46" s="62">
        <f>SUM(L46)+1.8</f>
        <v>35.4</v>
      </c>
    </row>
    <row r="47" spans="1:13" ht="14.1" customHeight="1">
      <c r="A47" s="122"/>
      <c r="B47" s="75" t="s">
        <v>25</v>
      </c>
      <c r="C47" s="75"/>
      <c r="D47" s="79" t="s">
        <v>44</v>
      </c>
      <c r="E47" s="80"/>
      <c r="F47" s="80"/>
      <c r="G47" s="81"/>
      <c r="H47" s="46"/>
      <c r="I47" s="46"/>
      <c r="J47" s="44"/>
      <c r="K47" s="46"/>
      <c r="L47" s="46"/>
      <c r="M47" s="48"/>
    </row>
    <row r="48" spans="1:13" ht="14.1" customHeight="1">
      <c r="A48" s="122">
        <v>5</v>
      </c>
      <c r="B48" s="98" t="s">
        <v>255</v>
      </c>
      <c r="C48" s="98"/>
      <c r="D48" s="124"/>
      <c r="E48" s="124"/>
      <c r="F48" s="124"/>
      <c r="G48" s="124"/>
      <c r="H48" s="27">
        <f>SUM(I48)-0</f>
        <v>3</v>
      </c>
      <c r="I48" s="27">
        <f>SUM(J48)-0</f>
        <v>3</v>
      </c>
      <c r="J48" s="41">
        <v>3</v>
      </c>
      <c r="K48" s="27">
        <f>SUM(J48)+0.5</f>
        <v>3.5</v>
      </c>
      <c r="L48" s="27">
        <f>SUM(K48)+0</f>
        <v>3.5</v>
      </c>
      <c r="M48" s="62">
        <f>SUM(L48)+0</f>
        <v>3.5</v>
      </c>
    </row>
    <row r="49" spans="1:13" ht="14.1" customHeight="1">
      <c r="A49" s="122"/>
      <c r="B49" s="75" t="s">
        <v>256</v>
      </c>
      <c r="C49" s="75"/>
      <c r="D49" s="79"/>
      <c r="E49" s="80"/>
      <c r="F49" s="80"/>
      <c r="G49" s="81"/>
      <c r="H49" s="46"/>
      <c r="I49" s="46"/>
      <c r="J49" s="44"/>
      <c r="K49" s="46"/>
      <c r="L49" s="46"/>
      <c r="M49" s="48"/>
    </row>
    <row r="50" spans="1:13" ht="14.1" customHeight="1">
      <c r="A50" s="122">
        <v>6</v>
      </c>
      <c r="B50" s="98" t="s">
        <v>10</v>
      </c>
      <c r="C50" s="98"/>
      <c r="D50" s="124" t="s">
        <v>0</v>
      </c>
      <c r="E50" s="124"/>
      <c r="F50" s="124"/>
      <c r="G50" s="124"/>
      <c r="H50" s="27">
        <f>SUM(I50)-0.8</f>
        <v>14.899999999999999</v>
      </c>
      <c r="I50" s="27">
        <f>SUM(J50)-0.8</f>
        <v>15.7</v>
      </c>
      <c r="J50" s="125">
        <v>16.5</v>
      </c>
      <c r="K50" s="114">
        <f>SUM(J50)+0.8</f>
        <v>17.3</v>
      </c>
      <c r="L50" s="114">
        <f>SUM(K50)+0.8</f>
        <v>18.100000000000001</v>
      </c>
      <c r="M50" s="162">
        <f>SUM(L50)+0.8</f>
        <v>18.900000000000002</v>
      </c>
    </row>
    <row r="51" spans="1:13" ht="14.1" customHeight="1">
      <c r="A51" s="122"/>
      <c r="B51" s="75" t="s">
        <v>26</v>
      </c>
      <c r="C51" s="75"/>
      <c r="D51" s="79" t="s">
        <v>45</v>
      </c>
      <c r="E51" s="80"/>
      <c r="F51" s="80"/>
      <c r="G51" s="81"/>
      <c r="H51" s="46"/>
      <c r="I51" s="46"/>
      <c r="J51" s="125"/>
      <c r="K51" s="114"/>
      <c r="L51" s="114"/>
      <c r="M51" s="162"/>
    </row>
    <row r="52" spans="1:13" ht="13.5" customHeight="1">
      <c r="A52" s="122">
        <v>7</v>
      </c>
      <c r="B52" s="98" t="s">
        <v>1</v>
      </c>
      <c r="C52" s="98"/>
      <c r="D52" s="124" t="s">
        <v>133</v>
      </c>
      <c r="E52" s="124"/>
      <c r="F52" s="124"/>
      <c r="G52" s="124"/>
      <c r="H52" s="27">
        <f>SUM(I52)-0.6</f>
        <v>15.3</v>
      </c>
      <c r="I52" s="27">
        <f>SUM(J52)-0.6</f>
        <v>15.9</v>
      </c>
      <c r="J52" s="125">
        <v>16.5</v>
      </c>
      <c r="K52" s="27">
        <f>SUM(J52)+0.6</f>
        <v>17.100000000000001</v>
      </c>
      <c r="L52" s="27">
        <f>SUM(K52)+0.6</f>
        <v>17.700000000000003</v>
      </c>
      <c r="M52" s="62">
        <f>SUM(L52)+0.6</f>
        <v>18.300000000000004</v>
      </c>
    </row>
    <row r="53" spans="1:13" ht="13.5" customHeight="1">
      <c r="A53" s="122"/>
      <c r="B53" s="75" t="s">
        <v>27</v>
      </c>
      <c r="C53" s="75"/>
      <c r="D53" s="79" t="s">
        <v>46</v>
      </c>
      <c r="E53" s="80"/>
      <c r="F53" s="80"/>
      <c r="G53" s="81"/>
      <c r="H53" s="46"/>
      <c r="I53" s="46"/>
      <c r="J53" s="125"/>
      <c r="K53" s="46"/>
      <c r="L53" s="46"/>
      <c r="M53" s="48"/>
    </row>
    <row r="54" spans="1:13" ht="13.5" customHeight="1">
      <c r="A54" s="122">
        <v>8</v>
      </c>
      <c r="B54" s="36" t="s">
        <v>2</v>
      </c>
      <c r="C54" s="37"/>
      <c r="D54" s="124" t="s">
        <v>3</v>
      </c>
      <c r="E54" s="124"/>
      <c r="F54" s="124"/>
      <c r="G54" s="124"/>
      <c r="H54" s="27">
        <f>SUM(I54)-0.3</f>
        <v>5.4</v>
      </c>
      <c r="I54" s="27">
        <f>SUM(J54)-0.3</f>
        <v>5.7</v>
      </c>
      <c r="J54" s="125">
        <v>6</v>
      </c>
      <c r="K54" s="114">
        <f>SUM(J54)+0.3</f>
        <v>6.3</v>
      </c>
      <c r="L54" s="114">
        <f>SUM(K54)+0.3</f>
        <v>6.6</v>
      </c>
      <c r="M54" s="161">
        <f>SUM(L54)+0.3</f>
        <v>6.8999999999999995</v>
      </c>
    </row>
    <row r="55" spans="1:13" ht="13.5" customHeight="1">
      <c r="A55" s="122"/>
      <c r="B55" s="127" t="s">
        <v>28</v>
      </c>
      <c r="C55" s="128"/>
      <c r="D55" s="79" t="s">
        <v>164</v>
      </c>
      <c r="E55" s="80"/>
      <c r="F55" s="80"/>
      <c r="G55" s="81"/>
      <c r="H55" s="46"/>
      <c r="I55" s="46"/>
      <c r="J55" s="125"/>
      <c r="K55" s="114"/>
      <c r="L55" s="114"/>
      <c r="M55" s="161"/>
    </row>
    <row r="56" spans="1:13" ht="13.5" customHeight="1">
      <c r="A56" s="122">
        <v>9</v>
      </c>
      <c r="B56" s="36" t="s">
        <v>70</v>
      </c>
      <c r="C56" s="37"/>
      <c r="D56" s="76" t="s">
        <v>71</v>
      </c>
      <c r="E56" s="77"/>
      <c r="F56" s="77"/>
      <c r="G56" s="78"/>
      <c r="H56" s="27"/>
      <c r="I56" s="27"/>
      <c r="J56" s="125"/>
      <c r="K56" s="114"/>
      <c r="L56" s="114"/>
      <c r="M56" s="161"/>
    </row>
    <row r="57" spans="1:13" ht="13.5" customHeight="1">
      <c r="A57" s="122"/>
      <c r="B57" s="75" t="s">
        <v>33</v>
      </c>
      <c r="C57" s="75"/>
      <c r="D57" s="79" t="s">
        <v>74</v>
      </c>
      <c r="E57" s="80"/>
      <c r="F57" s="80"/>
      <c r="G57" s="81"/>
      <c r="H57" s="46"/>
      <c r="I57" s="46"/>
      <c r="J57" s="125"/>
      <c r="K57" s="114"/>
      <c r="L57" s="114"/>
      <c r="M57" s="161"/>
    </row>
    <row r="58" spans="1:13" ht="13.5" customHeight="1">
      <c r="A58" s="122">
        <v>10</v>
      </c>
      <c r="B58" s="36" t="s">
        <v>257</v>
      </c>
      <c r="C58" s="37"/>
      <c r="D58" s="76"/>
      <c r="E58" s="77"/>
      <c r="F58" s="77"/>
      <c r="G58" s="78"/>
      <c r="H58" s="27">
        <f>SUM(I58)</f>
        <v>1.5</v>
      </c>
      <c r="I58" s="27">
        <f>SUM(J58)</f>
        <v>1.5</v>
      </c>
      <c r="J58" s="41">
        <v>1.5</v>
      </c>
      <c r="K58" s="27">
        <f>SUM(J58)</f>
        <v>1.5</v>
      </c>
      <c r="L58" s="27">
        <f>SUM(K58)</f>
        <v>1.5</v>
      </c>
      <c r="M58" s="62">
        <f>SUM(L58)</f>
        <v>1.5</v>
      </c>
    </row>
    <row r="59" spans="1:13" ht="13.5" customHeight="1">
      <c r="A59" s="122"/>
      <c r="B59" s="75" t="s">
        <v>267</v>
      </c>
      <c r="C59" s="75"/>
      <c r="D59" s="82" t="s">
        <v>474</v>
      </c>
      <c r="E59" s="80"/>
      <c r="F59" s="80"/>
      <c r="G59" s="81"/>
      <c r="H59" s="46"/>
      <c r="I59" s="46"/>
      <c r="J59" s="44"/>
      <c r="K59" s="46"/>
      <c r="L59" s="46"/>
      <c r="M59" s="48"/>
    </row>
    <row r="60" spans="1:13" ht="13.5" customHeight="1">
      <c r="A60" s="122">
        <v>11</v>
      </c>
      <c r="B60" s="98" t="s">
        <v>4</v>
      </c>
      <c r="C60" s="98"/>
      <c r="D60" s="124" t="s">
        <v>5</v>
      </c>
      <c r="E60" s="124"/>
      <c r="F60" s="124"/>
      <c r="G60" s="124"/>
      <c r="H60" s="27">
        <f>SUM(I60)-3.5</f>
        <v>32</v>
      </c>
      <c r="I60" s="27">
        <f>SUM(J60)-3.5</f>
        <v>35.5</v>
      </c>
      <c r="J60" s="125">
        <v>39</v>
      </c>
      <c r="K60" s="114">
        <f>SUM(J60)+3.5</f>
        <v>42.5</v>
      </c>
      <c r="L60" s="114">
        <f>SUM(K60)+3.5</f>
        <v>46</v>
      </c>
      <c r="M60" s="161">
        <f>SUM(L60)+3.5</f>
        <v>49.5</v>
      </c>
    </row>
    <row r="61" spans="1:13" ht="13.5" customHeight="1">
      <c r="A61" s="122"/>
      <c r="B61" s="75" t="s">
        <v>475</v>
      </c>
      <c r="C61" s="75"/>
      <c r="D61" s="79" t="s">
        <v>47</v>
      </c>
      <c r="E61" s="80"/>
      <c r="F61" s="80"/>
      <c r="G61" s="81"/>
      <c r="H61" s="46"/>
      <c r="I61" s="46"/>
      <c r="J61" s="125"/>
      <c r="K61" s="114"/>
      <c r="L61" s="114"/>
      <c r="M61" s="161"/>
    </row>
    <row r="62" spans="1:13" ht="13.5" customHeight="1">
      <c r="A62" s="122">
        <v>12</v>
      </c>
      <c r="B62" s="98" t="s">
        <v>6</v>
      </c>
      <c r="C62" s="98"/>
      <c r="D62" s="76" t="s">
        <v>7</v>
      </c>
      <c r="E62" s="77"/>
      <c r="F62" s="77"/>
      <c r="G62" s="78"/>
      <c r="H62" s="27">
        <f>SUM(I62)-1.4</f>
        <v>25.200000000000003</v>
      </c>
      <c r="I62" s="27">
        <f>SUM(J62)-1.4</f>
        <v>26.6</v>
      </c>
      <c r="J62" s="125">
        <v>28</v>
      </c>
      <c r="K62" s="114">
        <f>SUM(J62)+1.4</f>
        <v>29.4</v>
      </c>
      <c r="L62" s="114">
        <f>SUM(K62)+1.4</f>
        <v>30.799999999999997</v>
      </c>
      <c r="M62" s="161">
        <f>SUM(L62)+1.4</f>
        <v>32.199999999999996</v>
      </c>
    </row>
    <row r="63" spans="1:13" ht="13.5" customHeight="1">
      <c r="A63" s="122"/>
      <c r="B63" s="75" t="s">
        <v>30</v>
      </c>
      <c r="C63" s="75"/>
      <c r="D63" s="79" t="s">
        <v>64</v>
      </c>
      <c r="E63" s="80"/>
      <c r="F63" s="80"/>
      <c r="G63" s="81"/>
      <c r="H63" s="46"/>
      <c r="I63" s="46"/>
      <c r="J63" s="125"/>
      <c r="K63" s="114"/>
      <c r="L63" s="114"/>
      <c r="M63" s="161"/>
    </row>
    <row r="64" spans="1:13" ht="13.5" customHeight="1">
      <c r="A64" s="122">
        <v>13</v>
      </c>
      <c r="B64" s="36" t="s">
        <v>260</v>
      </c>
      <c r="C64" s="37"/>
      <c r="D64" s="124" t="s">
        <v>65</v>
      </c>
      <c r="E64" s="124"/>
      <c r="F64" s="124"/>
      <c r="G64" s="124"/>
      <c r="H64" s="27">
        <f>SUM(I64)-0.6</f>
        <v>14</v>
      </c>
      <c r="I64" s="27">
        <f>SUM(J64)-0.6</f>
        <v>14.6</v>
      </c>
      <c r="J64" s="125">
        <v>15.2</v>
      </c>
      <c r="K64" s="27">
        <f>SUM(J64)+0.6</f>
        <v>15.799999999999999</v>
      </c>
      <c r="L64" s="27">
        <f>SUM(K64)+0.6</f>
        <v>16.399999999999999</v>
      </c>
      <c r="M64" s="62">
        <f>SUM(L64)+0.6</f>
        <v>17</v>
      </c>
    </row>
    <row r="65" spans="1:13" ht="13.5" customHeight="1">
      <c r="A65" s="122"/>
      <c r="B65" s="75" t="s">
        <v>31</v>
      </c>
      <c r="C65" s="75"/>
      <c r="D65" s="79" t="s">
        <v>66</v>
      </c>
      <c r="E65" s="80"/>
      <c r="F65" s="80"/>
      <c r="G65" s="81"/>
      <c r="H65" s="46"/>
      <c r="I65" s="46"/>
      <c r="J65" s="125"/>
      <c r="K65" s="46"/>
      <c r="L65" s="46"/>
      <c r="M65" s="48"/>
    </row>
    <row r="66" spans="1:13" ht="13.5" customHeight="1">
      <c r="A66" s="122">
        <v>14</v>
      </c>
      <c r="B66" s="36" t="s">
        <v>261</v>
      </c>
      <c r="C66" s="37"/>
      <c r="D66" s="124"/>
      <c r="E66" s="124"/>
      <c r="F66" s="124"/>
      <c r="G66" s="124"/>
      <c r="H66" s="27">
        <f>SUM(I66)-0</f>
        <v>3</v>
      </c>
      <c r="I66" s="27">
        <f>SUM(J66)-0</f>
        <v>3</v>
      </c>
      <c r="J66" s="41">
        <v>3</v>
      </c>
      <c r="K66" s="27">
        <f>SUM(J66)+0.5</f>
        <v>3.5</v>
      </c>
      <c r="L66" s="27">
        <f>SUM(K66)+0</f>
        <v>3.5</v>
      </c>
      <c r="M66" s="62">
        <f>SUM(L66)+0</f>
        <v>3.5</v>
      </c>
    </row>
    <row r="67" spans="1:13" ht="13.5" customHeight="1">
      <c r="A67" s="122"/>
      <c r="B67" s="127" t="s">
        <v>262</v>
      </c>
      <c r="C67" s="128"/>
      <c r="D67" s="79"/>
      <c r="E67" s="80"/>
      <c r="F67" s="80"/>
      <c r="G67" s="81"/>
      <c r="H67" s="46"/>
      <c r="I67" s="46"/>
      <c r="J67" s="44"/>
      <c r="K67" s="46"/>
      <c r="L67" s="46"/>
      <c r="M67" s="48"/>
    </row>
    <row r="68" spans="1:13" ht="13.5" customHeight="1">
      <c r="A68" s="122">
        <v>15</v>
      </c>
      <c r="B68" s="133"/>
      <c r="C68" s="134"/>
      <c r="D68" s="103"/>
      <c r="E68" s="103"/>
      <c r="F68" s="103"/>
      <c r="G68" s="103"/>
      <c r="H68" s="45"/>
      <c r="I68" s="45"/>
      <c r="J68" s="44"/>
      <c r="K68" s="46"/>
      <c r="L68" s="46"/>
      <c r="M68" s="48"/>
    </row>
    <row r="69" spans="1:13" ht="13.5" customHeight="1">
      <c r="A69" s="159"/>
      <c r="B69" s="153"/>
      <c r="C69" s="153"/>
      <c r="D69" s="102"/>
      <c r="E69" s="103"/>
      <c r="F69" s="103"/>
      <c r="G69" s="104"/>
      <c r="H69" s="45"/>
      <c r="I69" s="45"/>
      <c r="J69" s="41"/>
      <c r="K69" s="27"/>
      <c r="L69" s="27"/>
      <c r="M69" s="62"/>
    </row>
    <row r="70" spans="1:13" ht="13.5" customHeight="1">
      <c r="A70" s="159">
        <v>16</v>
      </c>
      <c r="B70" s="36"/>
      <c r="C70" s="37"/>
      <c r="D70" s="76"/>
      <c r="E70" s="77"/>
      <c r="F70" s="77"/>
      <c r="G70" s="78"/>
      <c r="H70" s="27"/>
      <c r="I70" s="27"/>
      <c r="J70" s="41"/>
      <c r="K70" s="27"/>
      <c r="L70" s="27"/>
      <c r="M70" s="62"/>
    </row>
    <row r="71" spans="1:13" ht="13.5" customHeight="1">
      <c r="A71" s="138"/>
      <c r="B71" s="127"/>
      <c r="C71" s="128"/>
      <c r="D71" s="79"/>
      <c r="E71" s="80"/>
      <c r="F71" s="80"/>
      <c r="G71" s="81"/>
      <c r="H71" s="46"/>
      <c r="I71" s="46"/>
      <c r="J71" s="44"/>
      <c r="K71" s="46"/>
      <c r="L71" s="46"/>
      <c r="M71" s="48"/>
    </row>
    <row r="72" spans="1:13" ht="13.5" customHeight="1">
      <c r="A72" s="159">
        <v>17</v>
      </c>
      <c r="B72" s="36"/>
      <c r="C72" s="37"/>
      <c r="D72" s="76"/>
      <c r="E72" s="77"/>
      <c r="F72" s="77"/>
      <c r="G72" s="78"/>
      <c r="H72" s="27"/>
      <c r="I72" s="27"/>
      <c r="J72" s="41"/>
      <c r="K72" s="27"/>
      <c r="L72" s="27"/>
      <c r="M72" s="62"/>
    </row>
    <row r="73" spans="1:13" ht="13.5" customHeight="1" thickBot="1">
      <c r="A73" s="158"/>
      <c r="B73" s="143"/>
      <c r="C73" s="144"/>
      <c r="D73" s="119"/>
      <c r="E73" s="120"/>
      <c r="F73" s="120"/>
      <c r="G73" s="121"/>
      <c r="H73" s="28"/>
      <c r="I73" s="28"/>
      <c r="J73" s="42"/>
      <c r="K73" s="28"/>
      <c r="L73" s="28"/>
      <c r="M73" s="160"/>
    </row>
    <row r="74" spans="1:13" ht="13.5" customHeight="1"/>
    <row r="75" spans="1:13" ht="13.5" customHeight="1"/>
    <row r="76" spans="1:13" ht="13.5" customHeight="1"/>
    <row r="77" spans="1:13" ht="13.5" customHeight="1"/>
    <row r="78" spans="1:13" ht="13.5" customHeight="1"/>
    <row r="79" spans="1:13" ht="13.5" customHeight="1"/>
    <row r="80" spans="1:13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</sheetData>
  <mergeCells count="38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A40:A41"/>
    <mergeCell ref="B40:C40"/>
    <mergeCell ref="D40:G40"/>
    <mergeCell ref="H40:H41"/>
    <mergeCell ref="J35:J36"/>
    <mergeCell ref="K35:K36"/>
    <mergeCell ref="L35:L36"/>
    <mergeCell ref="M35:M36"/>
    <mergeCell ref="B36:C36"/>
    <mergeCell ref="D36:G36"/>
    <mergeCell ref="I40:I41"/>
    <mergeCell ref="J40:J41"/>
    <mergeCell ref="K40:K41"/>
    <mergeCell ref="L40:L41"/>
    <mergeCell ref="M40:M41"/>
    <mergeCell ref="B41:C41"/>
    <mergeCell ref="D41:G41"/>
    <mergeCell ref="B39:C39"/>
    <mergeCell ref="D39:G39"/>
    <mergeCell ref="A38:M38"/>
    <mergeCell ref="A44:A45"/>
    <mergeCell ref="B44:C44"/>
    <mergeCell ref="D44:G44"/>
    <mergeCell ref="H44:H45"/>
    <mergeCell ref="I44:I45"/>
    <mergeCell ref="A42:A43"/>
    <mergeCell ref="B42:C42"/>
    <mergeCell ref="D42:G42"/>
    <mergeCell ref="H42:H43"/>
    <mergeCell ref="I42:I43"/>
    <mergeCell ref="J44:J45"/>
    <mergeCell ref="K44:K45"/>
    <mergeCell ref="L44:L45"/>
    <mergeCell ref="M44:M45"/>
    <mergeCell ref="B45:C45"/>
    <mergeCell ref="D45:G45"/>
    <mergeCell ref="K42:K43"/>
    <mergeCell ref="L42:L43"/>
    <mergeCell ref="M42:M43"/>
    <mergeCell ref="B43:C43"/>
    <mergeCell ref="D43:G43"/>
    <mergeCell ref="J42:J43"/>
    <mergeCell ref="A48:A49"/>
    <mergeCell ref="B48:C48"/>
    <mergeCell ref="D48:G48"/>
    <mergeCell ref="H48:H49"/>
    <mergeCell ref="I48:I49"/>
    <mergeCell ref="A46:A47"/>
    <mergeCell ref="B46:C46"/>
    <mergeCell ref="D46:G46"/>
    <mergeCell ref="H46:H47"/>
    <mergeCell ref="I46:I47"/>
    <mergeCell ref="J48:J49"/>
    <mergeCell ref="K48:K49"/>
    <mergeCell ref="L48:L49"/>
    <mergeCell ref="M48:M49"/>
    <mergeCell ref="B49:C49"/>
    <mergeCell ref="D49:G49"/>
    <mergeCell ref="K46:K47"/>
    <mergeCell ref="L46:L47"/>
    <mergeCell ref="M46:M47"/>
    <mergeCell ref="B47:C47"/>
    <mergeCell ref="D47:G47"/>
    <mergeCell ref="J46:J47"/>
    <mergeCell ref="A52:A53"/>
    <mergeCell ref="B52:C52"/>
    <mergeCell ref="D52:G52"/>
    <mergeCell ref="H52:H53"/>
    <mergeCell ref="I52:I53"/>
    <mergeCell ref="A50:A51"/>
    <mergeCell ref="B50:C50"/>
    <mergeCell ref="D50:G50"/>
    <mergeCell ref="H50:H51"/>
    <mergeCell ref="I50:I51"/>
    <mergeCell ref="J52:J53"/>
    <mergeCell ref="K52:K53"/>
    <mergeCell ref="L52:L53"/>
    <mergeCell ref="M52:M53"/>
    <mergeCell ref="B53:C53"/>
    <mergeCell ref="D53:G53"/>
    <mergeCell ref="K50:K51"/>
    <mergeCell ref="L50:L51"/>
    <mergeCell ref="M50:M51"/>
    <mergeCell ref="B51:C51"/>
    <mergeCell ref="D51:G51"/>
    <mergeCell ref="J50:J51"/>
    <mergeCell ref="A56:A57"/>
    <mergeCell ref="B56:C56"/>
    <mergeCell ref="D56:G56"/>
    <mergeCell ref="H56:H57"/>
    <mergeCell ref="I56:I57"/>
    <mergeCell ref="A54:A55"/>
    <mergeCell ref="B54:C54"/>
    <mergeCell ref="D54:G54"/>
    <mergeCell ref="H54:H55"/>
    <mergeCell ref="I54:I55"/>
    <mergeCell ref="J56:J57"/>
    <mergeCell ref="K56:K57"/>
    <mergeCell ref="L56:L57"/>
    <mergeCell ref="M56:M57"/>
    <mergeCell ref="B57:C57"/>
    <mergeCell ref="D57:G57"/>
    <mergeCell ref="K54:K55"/>
    <mergeCell ref="L54:L55"/>
    <mergeCell ref="M54:M55"/>
    <mergeCell ref="B55:C55"/>
    <mergeCell ref="D55:G55"/>
    <mergeCell ref="J54:J55"/>
    <mergeCell ref="A60:A61"/>
    <mergeCell ref="B60:C60"/>
    <mergeCell ref="D60:G60"/>
    <mergeCell ref="H60:H61"/>
    <mergeCell ref="I60:I61"/>
    <mergeCell ref="A58:A59"/>
    <mergeCell ref="B58:C58"/>
    <mergeCell ref="D58:G58"/>
    <mergeCell ref="H58:H59"/>
    <mergeCell ref="I58:I59"/>
    <mergeCell ref="J60:J61"/>
    <mergeCell ref="K60:K61"/>
    <mergeCell ref="L60:L61"/>
    <mergeCell ref="M60:M61"/>
    <mergeCell ref="B61:C61"/>
    <mergeCell ref="D61:G61"/>
    <mergeCell ref="K58:K59"/>
    <mergeCell ref="L58:L59"/>
    <mergeCell ref="M58:M59"/>
    <mergeCell ref="B59:C59"/>
    <mergeCell ref="D59:G59"/>
    <mergeCell ref="J58:J59"/>
    <mergeCell ref="A64:A65"/>
    <mergeCell ref="B64:C64"/>
    <mergeCell ref="D64:G64"/>
    <mergeCell ref="H64:H65"/>
    <mergeCell ref="I64:I65"/>
    <mergeCell ref="A62:A63"/>
    <mergeCell ref="B62:C62"/>
    <mergeCell ref="D62:G62"/>
    <mergeCell ref="H62:H63"/>
    <mergeCell ref="I62:I63"/>
    <mergeCell ref="J64:J65"/>
    <mergeCell ref="K64:K65"/>
    <mergeCell ref="L64:L65"/>
    <mergeCell ref="M64:M65"/>
    <mergeCell ref="B65:C65"/>
    <mergeCell ref="D65:G65"/>
    <mergeCell ref="K62:K63"/>
    <mergeCell ref="L62:L63"/>
    <mergeCell ref="M62:M63"/>
    <mergeCell ref="B63:C63"/>
    <mergeCell ref="D63:G63"/>
    <mergeCell ref="J62:J63"/>
    <mergeCell ref="A68:A69"/>
    <mergeCell ref="B68:C68"/>
    <mergeCell ref="D68:G68"/>
    <mergeCell ref="H68:H69"/>
    <mergeCell ref="I68:I69"/>
    <mergeCell ref="A66:A67"/>
    <mergeCell ref="B66:C66"/>
    <mergeCell ref="D66:G66"/>
    <mergeCell ref="H66:H67"/>
    <mergeCell ref="I66:I67"/>
    <mergeCell ref="K68:K69"/>
    <mergeCell ref="L68:L69"/>
    <mergeCell ref="M68:M69"/>
    <mergeCell ref="B69:C69"/>
    <mergeCell ref="D69:G69"/>
    <mergeCell ref="K66:K67"/>
    <mergeCell ref="L66:L67"/>
    <mergeCell ref="M66:M67"/>
    <mergeCell ref="B67:C67"/>
    <mergeCell ref="D67:G67"/>
    <mergeCell ref="J66:J67"/>
    <mergeCell ref="J68:J69"/>
    <mergeCell ref="J72:J73"/>
    <mergeCell ref="K72:K73"/>
    <mergeCell ref="L72:L73"/>
    <mergeCell ref="M72:M73"/>
    <mergeCell ref="B73:C73"/>
    <mergeCell ref="D73:G73"/>
    <mergeCell ref="K70:K71"/>
    <mergeCell ref="L70:L71"/>
    <mergeCell ref="M70:M71"/>
    <mergeCell ref="B71:C71"/>
    <mergeCell ref="D71:G71"/>
    <mergeCell ref="J70:J71"/>
    <mergeCell ref="A72:A73"/>
    <mergeCell ref="B72:C72"/>
    <mergeCell ref="D72:G72"/>
    <mergeCell ref="H72:H73"/>
    <mergeCell ref="I72:I73"/>
    <mergeCell ref="A70:A71"/>
    <mergeCell ref="B70:C70"/>
    <mergeCell ref="D70:G70"/>
    <mergeCell ref="H70:H71"/>
    <mergeCell ref="I70:I71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365C-2B64-4B8C-868C-8431E63C59D8}">
  <sheetPr codeName="Sheet71">
    <tabColor theme="5"/>
    <pageSetUpPr fitToPage="1"/>
  </sheetPr>
  <dimension ref="A1:N57"/>
  <sheetViews>
    <sheetView zoomScale="110" zoomScaleNormal="110" workbookViewId="0">
      <selection sqref="A1:M4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528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38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SUM(I3)-4.9</f>
        <v>56.2</v>
      </c>
      <c r="I3" s="27">
        <f>SUM(J3)-4.9</f>
        <v>61.1</v>
      </c>
      <c r="J3" s="139">
        <v>66</v>
      </c>
      <c r="K3" s="140">
        <f>SUM(J3)+4.9</f>
        <v>70.900000000000006</v>
      </c>
      <c r="L3" s="140">
        <f>SUM(K3)+4.9</f>
        <v>75.800000000000011</v>
      </c>
      <c r="M3" s="141">
        <f>SUM(L3)+4.9</f>
        <v>80.700000000000017</v>
      </c>
    </row>
    <row r="4" spans="1:13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1"/>
      <c r="K4" s="27"/>
      <c r="L4" s="27"/>
      <c r="M4" s="29"/>
    </row>
    <row r="5" spans="1:13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SUM(I5)-1.8</f>
        <v>21.4</v>
      </c>
      <c r="I5" s="27">
        <f>SUM(J5)-1.8</f>
        <v>23.2</v>
      </c>
      <c r="J5" s="41">
        <v>25</v>
      </c>
      <c r="K5" s="27">
        <f>SUM(J5)+1.6</f>
        <v>26.6</v>
      </c>
      <c r="L5" s="27">
        <f>SUM(K5)+1.6</f>
        <v>28.200000000000003</v>
      </c>
      <c r="M5" s="29">
        <f>SUM(L5)+1.4</f>
        <v>29.6</v>
      </c>
    </row>
    <row r="6" spans="1:13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132"/>
    </row>
    <row r="7" spans="1:13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28.5</v>
      </c>
      <c r="I7" s="27">
        <f>SUM(J7)-2.25</f>
        <v>30.75</v>
      </c>
      <c r="J7" s="41">
        <v>33</v>
      </c>
      <c r="K7" s="27">
        <f>SUM(J7)+2</f>
        <v>35</v>
      </c>
      <c r="L7" s="27">
        <f>SUM(K7)+2</f>
        <v>37</v>
      </c>
      <c r="M7" s="29">
        <f>SUM(L7)+2.1</f>
        <v>39.1</v>
      </c>
    </row>
    <row r="8" spans="1:13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132"/>
    </row>
    <row r="9" spans="1:13" s="1" customFormat="1" ht="14.1" customHeight="1">
      <c r="A9" s="122">
        <v>4</v>
      </c>
      <c r="B9" s="98" t="s">
        <v>527</v>
      </c>
      <c r="C9" s="98"/>
      <c r="D9" s="124"/>
      <c r="E9" s="124"/>
      <c r="F9" s="124"/>
      <c r="G9" s="124"/>
      <c r="H9" s="27">
        <f>SUM(I9)-3</f>
        <v>50</v>
      </c>
      <c r="I9" s="27">
        <f>SUM(J9)-3</f>
        <v>53</v>
      </c>
      <c r="J9" s="41">
        <v>56</v>
      </c>
      <c r="K9" s="27">
        <f>SUM(J9)+3</f>
        <v>59</v>
      </c>
      <c r="L9" s="27">
        <f>SUM(K9)+3</f>
        <v>62</v>
      </c>
      <c r="M9" s="29">
        <f>SUM(L9)+2.2</f>
        <v>64.2</v>
      </c>
    </row>
    <row r="10" spans="1:13" s="1" customFormat="1" ht="14.1" customHeight="1">
      <c r="A10" s="122"/>
      <c r="B10" s="75" t="s">
        <v>526</v>
      </c>
      <c r="C10" s="75"/>
      <c r="D10" s="79" t="s">
        <v>420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3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SUM(I11)-0.9</f>
        <v>13.2</v>
      </c>
      <c r="I11" s="27">
        <f>SUM(J11)-0.9</f>
        <v>14.1</v>
      </c>
      <c r="J11" s="125">
        <v>15</v>
      </c>
      <c r="K11" s="114">
        <f>SUM(J11)+0.9</f>
        <v>15.9</v>
      </c>
      <c r="L11" s="114">
        <f>SUM(K11)+0.9</f>
        <v>16.8</v>
      </c>
      <c r="M11" s="116">
        <f>SUM(L11)+0.9</f>
        <v>17.7</v>
      </c>
    </row>
    <row r="12" spans="1:13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6"/>
    </row>
    <row r="13" spans="1:13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12.9</v>
      </c>
      <c r="I13" s="27">
        <f>SUM(J13)-0.6</f>
        <v>13.5</v>
      </c>
      <c r="J13" s="125">
        <v>14.1</v>
      </c>
      <c r="K13" s="114">
        <f>SUM(J13)+0.6</f>
        <v>14.7</v>
      </c>
      <c r="L13" s="114">
        <f>SUM(K13)+0.6</f>
        <v>15.299999999999999</v>
      </c>
      <c r="M13" s="116">
        <f>SUM(L13)+0.6</f>
        <v>15.899999999999999</v>
      </c>
    </row>
    <row r="14" spans="1:13" s="1" customFormat="1" ht="14.1" customHeight="1">
      <c r="A14" s="122"/>
      <c r="B14" s="75" t="s">
        <v>27</v>
      </c>
      <c r="C14" s="75"/>
      <c r="D14" s="79" t="s">
        <v>136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3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5.8000000000000007</v>
      </c>
      <c r="I15" s="27">
        <f>SUM(J15)-0.3</f>
        <v>6.1000000000000005</v>
      </c>
      <c r="J15" s="125">
        <v>6.4</v>
      </c>
      <c r="K15" s="114">
        <f>SUM(J15)+0.3</f>
        <v>6.7</v>
      </c>
      <c r="L15" s="114">
        <f>SUM(K15)+0.3</f>
        <v>7</v>
      </c>
      <c r="M15" s="116">
        <f>SUM(L15)+0.3</f>
        <v>7.3</v>
      </c>
    </row>
    <row r="16" spans="1:13" s="1" customFormat="1" ht="14.1" customHeight="1">
      <c r="A16" s="122"/>
      <c r="B16" s="75" t="s">
        <v>28</v>
      </c>
      <c r="C16" s="75"/>
      <c r="D16" s="79" t="s">
        <v>137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33.9</v>
      </c>
      <c r="I17" s="27">
        <f>SUM(J17)-1.6</f>
        <v>35.5</v>
      </c>
      <c r="J17" s="125">
        <v>37.1</v>
      </c>
      <c r="K17" s="114">
        <f>SUM(J17)+1.6</f>
        <v>38.700000000000003</v>
      </c>
      <c r="L17" s="114">
        <f>SUM(K17)+1.6</f>
        <v>40.300000000000004</v>
      </c>
      <c r="M17" s="116">
        <f>SUM(L17)+1.6</f>
        <v>41.900000000000006</v>
      </c>
    </row>
    <row r="18" spans="1:13" s="1" customFormat="1" ht="14.1" customHeight="1">
      <c r="A18" s="122"/>
      <c r="B18" s="75" t="s">
        <v>33</v>
      </c>
      <c r="C18" s="75"/>
      <c r="D18" s="79" t="s">
        <v>74</v>
      </c>
      <c r="E18" s="80"/>
      <c r="F18" s="80"/>
      <c r="G18" s="81"/>
      <c r="H18" s="46"/>
      <c r="I18" s="46"/>
      <c r="J18" s="125"/>
      <c r="K18" s="114"/>
      <c r="L18" s="114"/>
      <c r="M18" s="116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SUM(I19)-3.6</f>
        <v>34.299999999999997</v>
      </c>
      <c r="I19" s="27">
        <f>SUM(J19)-3.6</f>
        <v>37.9</v>
      </c>
      <c r="J19" s="125">
        <v>41.5</v>
      </c>
      <c r="K19" s="114">
        <f>SUM(J19)+3.7</f>
        <v>45.2</v>
      </c>
      <c r="L19" s="114">
        <f>SUM(K19)+3.7</f>
        <v>48.900000000000006</v>
      </c>
      <c r="M19" s="116"/>
    </row>
    <row r="20" spans="1:13" s="1" customFormat="1" ht="14.1" customHeight="1">
      <c r="A20" s="122"/>
      <c r="B20" s="75" t="s">
        <v>200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6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116"/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6"/>
    </row>
    <row r="23" spans="1:13" s="1" customFormat="1" ht="14.1" customHeight="1">
      <c r="A23" s="122">
        <v>11</v>
      </c>
      <c r="B23" s="36" t="s">
        <v>127</v>
      </c>
      <c r="C23" s="37"/>
      <c r="D23" s="124"/>
      <c r="E23" s="124"/>
      <c r="F23" s="124"/>
      <c r="G23" s="124"/>
      <c r="H23" s="27">
        <f>SUM(I23)-0.6</f>
        <v>14.8</v>
      </c>
      <c r="I23" s="27">
        <f>SUM(J23)-0.6</f>
        <v>15.4</v>
      </c>
      <c r="J23" s="125">
        <v>16</v>
      </c>
      <c r="K23" s="114">
        <f>SUM(J23)+0.6</f>
        <v>16.600000000000001</v>
      </c>
      <c r="L23" s="114">
        <f>SUM(K23)+0.6</f>
        <v>17.200000000000003</v>
      </c>
      <c r="M23" s="116"/>
    </row>
    <row r="24" spans="1:13" s="1" customFormat="1" ht="14.1" customHeight="1">
      <c r="A24" s="122"/>
      <c r="B24" s="75" t="s">
        <v>525</v>
      </c>
      <c r="C24" s="75"/>
      <c r="D24" s="79" t="s">
        <v>420</v>
      </c>
      <c r="E24" s="80"/>
      <c r="F24" s="80"/>
      <c r="G24" s="81"/>
      <c r="H24" s="46"/>
      <c r="I24" s="46"/>
      <c r="J24" s="125"/>
      <c r="K24" s="114"/>
      <c r="L24" s="114"/>
      <c r="M24" s="116"/>
    </row>
    <row r="25" spans="1:13" s="1" customFormat="1" ht="14.1" customHeight="1">
      <c r="A25" s="122">
        <v>12</v>
      </c>
      <c r="B25" s="36" t="s">
        <v>365</v>
      </c>
      <c r="C25" s="37"/>
      <c r="D25" s="129"/>
      <c r="E25" s="130"/>
      <c r="F25" s="130"/>
      <c r="G25" s="131"/>
      <c r="H25" s="27">
        <f>SUM(I25)-0.3</f>
        <v>3.9000000000000004</v>
      </c>
      <c r="I25" s="27">
        <f>SUM(J25)-0.3</f>
        <v>4.2</v>
      </c>
      <c r="J25" s="125">
        <v>4.5</v>
      </c>
      <c r="K25" s="114">
        <f>SUM(J25)+0.3</f>
        <v>4.8</v>
      </c>
      <c r="L25" s="114">
        <f>SUM(K25)+0.3</f>
        <v>5.0999999999999996</v>
      </c>
      <c r="M25" s="162"/>
    </row>
    <row r="26" spans="1:13" s="1" customFormat="1" ht="14.1" customHeight="1">
      <c r="A26" s="122"/>
      <c r="B26" s="127" t="s">
        <v>413</v>
      </c>
      <c r="C26" s="128"/>
      <c r="D26" s="79" t="s">
        <v>524</v>
      </c>
      <c r="E26" s="80"/>
      <c r="F26" s="80"/>
      <c r="G26" s="81"/>
      <c r="H26" s="46"/>
      <c r="I26" s="46"/>
      <c r="J26" s="125"/>
      <c r="K26" s="114"/>
      <c r="L26" s="114"/>
      <c r="M26" s="162"/>
    </row>
    <row r="27" spans="1:13" s="1" customFormat="1" ht="14.1" customHeight="1">
      <c r="A27" s="122">
        <v>13</v>
      </c>
      <c r="B27" s="133" t="s">
        <v>523</v>
      </c>
      <c r="C27" s="134"/>
      <c r="D27" s="135"/>
      <c r="E27" s="136"/>
      <c r="F27" s="136"/>
      <c r="G27" s="137"/>
      <c r="H27" s="27">
        <f>SUM(I27)-0.2</f>
        <v>2.0999999999999996</v>
      </c>
      <c r="I27" s="27">
        <f>SUM(J27)-0.2</f>
        <v>2.2999999999999998</v>
      </c>
      <c r="J27" s="44">
        <v>2.5</v>
      </c>
      <c r="K27" s="114">
        <f>SUM(J27)+0.2</f>
        <v>2.7</v>
      </c>
      <c r="L27" s="114">
        <f>SUM(K27)+0.2</f>
        <v>2.9000000000000004</v>
      </c>
      <c r="M27" s="132">
        <f>SUM(L27)+3.2</f>
        <v>6.1000000000000005</v>
      </c>
    </row>
    <row r="28" spans="1:13" s="1" customFormat="1" ht="14.1" customHeight="1">
      <c r="A28" s="122"/>
      <c r="B28" s="127" t="s">
        <v>522</v>
      </c>
      <c r="C28" s="128"/>
      <c r="D28" s="79" t="s">
        <v>420</v>
      </c>
      <c r="E28" s="80"/>
      <c r="F28" s="80"/>
      <c r="G28" s="81"/>
      <c r="H28" s="46"/>
      <c r="I28" s="46"/>
      <c r="J28" s="125"/>
      <c r="K28" s="114"/>
      <c r="L28" s="114"/>
      <c r="M28" s="116"/>
    </row>
    <row r="29" spans="1:13" s="1" customFormat="1" ht="14.1" customHeight="1">
      <c r="A29" s="122">
        <v>14</v>
      </c>
      <c r="B29" s="133" t="s">
        <v>223</v>
      </c>
      <c r="C29" s="134"/>
      <c r="D29" s="135"/>
      <c r="E29" s="136"/>
      <c r="F29" s="136"/>
      <c r="G29" s="137"/>
      <c r="H29" s="45">
        <f>SUM(I29)-3.1</f>
        <v>37.299999999999997</v>
      </c>
      <c r="I29" s="45">
        <f>SUM(J29)-3.1</f>
        <v>40.4</v>
      </c>
      <c r="J29" s="44">
        <v>43.5</v>
      </c>
      <c r="K29" s="46">
        <f>SUM(J29)+3.1</f>
        <v>46.6</v>
      </c>
      <c r="L29" s="46">
        <f>SUM(K29)+3.1</f>
        <v>49.7</v>
      </c>
      <c r="M29" s="132">
        <f>SUM(L29)+3.2</f>
        <v>52.900000000000006</v>
      </c>
    </row>
    <row r="30" spans="1:13" s="1" customFormat="1" ht="14.1" customHeight="1">
      <c r="A30" s="122"/>
      <c r="B30" s="127" t="s">
        <v>204</v>
      </c>
      <c r="C30" s="128"/>
      <c r="D30" s="79" t="s">
        <v>520</v>
      </c>
      <c r="E30" s="80"/>
      <c r="F30" s="80"/>
      <c r="G30" s="81"/>
      <c r="H30" s="46"/>
      <c r="I30" s="46"/>
      <c r="J30" s="125"/>
      <c r="K30" s="114"/>
      <c r="L30" s="114"/>
      <c r="M30" s="116"/>
    </row>
    <row r="31" spans="1:13" s="1" customFormat="1" ht="14.1" customHeight="1">
      <c r="A31" s="122">
        <v>15</v>
      </c>
      <c r="B31" s="133" t="s">
        <v>224</v>
      </c>
      <c r="C31" s="134"/>
      <c r="D31" s="135"/>
      <c r="E31" s="136"/>
      <c r="F31" s="136"/>
      <c r="G31" s="137"/>
      <c r="H31" s="45">
        <f>SUM(I31)-0.9</f>
        <v>11.2</v>
      </c>
      <c r="I31" s="45">
        <f>SUM(J31)-0.9</f>
        <v>12.1</v>
      </c>
      <c r="J31" s="44">
        <v>13</v>
      </c>
      <c r="K31" s="46">
        <f>SUM(J31)+0.9</f>
        <v>13.9</v>
      </c>
      <c r="L31" s="46">
        <f>SUM(K31)+0.9</f>
        <v>14.8</v>
      </c>
      <c r="M31" s="132">
        <f>SUM(L31)+1.8</f>
        <v>16.600000000000001</v>
      </c>
    </row>
    <row r="32" spans="1:13" s="1" customFormat="1" ht="14.1" customHeight="1">
      <c r="A32" s="122"/>
      <c r="B32" s="127" t="s">
        <v>219</v>
      </c>
      <c r="C32" s="128"/>
      <c r="D32" s="79" t="s">
        <v>521</v>
      </c>
      <c r="E32" s="80"/>
      <c r="F32" s="80"/>
      <c r="G32" s="81"/>
      <c r="H32" s="46"/>
      <c r="I32" s="46"/>
      <c r="J32" s="125"/>
      <c r="K32" s="114"/>
      <c r="L32" s="114"/>
      <c r="M32" s="116"/>
    </row>
    <row r="33" spans="1:14" s="1" customFormat="1" ht="14.1" customHeight="1">
      <c r="A33" s="122">
        <v>16</v>
      </c>
      <c r="B33" s="133" t="s">
        <v>225</v>
      </c>
      <c r="C33" s="134"/>
      <c r="D33" s="135"/>
      <c r="E33" s="136"/>
      <c r="F33" s="136"/>
      <c r="G33" s="137"/>
      <c r="H33" s="45">
        <f>SUM(I33)-2.2</f>
        <v>26.1</v>
      </c>
      <c r="I33" s="45">
        <f>SUM(J33)-2.2</f>
        <v>28.3</v>
      </c>
      <c r="J33" s="44">
        <v>30.5</v>
      </c>
      <c r="K33" s="46">
        <f>SUM(J33)+2.2</f>
        <v>32.700000000000003</v>
      </c>
      <c r="L33" s="46">
        <f>SUM(K33)+2.2</f>
        <v>34.900000000000006</v>
      </c>
      <c r="M33" s="132">
        <f>SUM(L33)+1.4</f>
        <v>36.300000000000004</v>
      </c>
    </row>
    <row r="34" spans="1:14" s="1" customFormat="1" ht="14.1" customHeight="1">
      <c r="A34" s="122"/>
      <c r="B34" s="127" t="s">
        <v>220</v>
      </c>
      <c r="C34" s="128"/>
      <c r="D34" s="79" t="s">
        <v>520</v>
      </c>
      <c r="E34" s="80"/>
      <c r="F34" s="80"/>
      <c r="G34" s="81"/>
      <c r="H34" s="46"/>
      <c r="I34" s="46"/>
      <c r="J34" s="125"/>
      <c r="K34" s="114"/>
      <c r="L34" s="114"/>
      <c r="M34" s="116"/>
    </row>
    <row r="35" spans="1:14" s="1" customFormat="1" ht="14.1" customHeight="1">
      <c r="A35" s="122">
        <v>17</v>
      </c>
      <c r="B35" s="36" t="s">
        <v>147</v>
      </c>
      <c r="C35" s="37"/>
      <c r="D35" s="129"/>
      <c r="E35" s="130"/>
      <c r="F35" s="130"/>
      <c r="G35" s="131"/>
      <c r="H35" s="27">
        <f>SUM(I35)-2.4</f>
        <v>24.700000000000003</v>
      </c>
      <c r="I35" s="27">
        <f>SUM(J35)-2.4</f>
        <v>27.1</v>
      </c>
      <c r="J35" s="125">
        <v>29.5</v>
      </c>
      <c r="K35" s="114">
        <f>SUM(J35)+2.4</f>
        <v>31.9</v>
      </c>
      <c r="L35" s="114">
        <f>SUM(K35)+2.4</f>
        <v>34.299999999999997</v>
      </c>
      <c r="M35" s="116">
        <f>SUM(L35)+2.4</f>
        <v>36.699999999999996</v>
      </c>
    </row>
    <row r="36" spans="1:14" s="1" customFormat="1" ht="14.1" customHeight="1">
      <c r="A36" s="122"/>
      <c r="B36" s="127" t="s">
        <v>161</v>
      </c>
      <c r="C36" s="128"/>
      <c r="D36" s="79"/>
      <c r="E36" s="80"/>
      <c r="F36" s="80"/>
      <c r="G36" s="81"/>
      <c r="H36" s="46"/>
      <c r="I36" s="46"/>
      <c r="J36" s="125"/>
      <c r="K36" s="114"/>
      <c r="L36" s="114"/>
      <c r="M36" s="116"/>
    </row>
    <row r="37" spans="1:14" s="1" customFormat="1" ht="14.1" customHeight="1">
      <c r="A37" s="122">
        <v>18</v>
      </c>
      <c r="B37" s="36"/>
      <c r="C37" s="37"/>
      <c r="D37" s="129"/>
      <c r="E37" s="130"/>
      <c r="F37" s="130"/>
      <c r="G37" s="131"/>
      <c r="H37" s="27"/>
      <c r="I37" s="27"/>
      <c r="J37" s="125"/>
      <c r="K37" s="114"/>
      <c r="L37" s="114"/>
      <c r="M37" s="116"/>
    </row>
    <row r="38" spans="1:14" s="1" customFormat="1" ht="14.1" customHeight="1">
      <c r="A38" s="122"/>
      <c r="B38" s="127"/>
      <c r="C38" s="128"/>
      <c r="D38" s="79"/>
      <c r="E38" s="80"/>
      <c r="F38" s="80"/>
      <c r="G38" s="81"/>
      <c r="H38" s="46"/>
      <c r="I38" s="46"/>
      <c r="J38" s="125"/>
      <c r="K38" s="114"/>
      <c r="L38" s="114"/>
      <c r="M38" s="116"/>
    </row>
    <row r="39" spans="1:14" s="1" customFormat="1" ht="14.1" customHeight="1">
      <c r="A39" s="122">
        <v>19</v>
      </c>
      <c r="B39" s="98"/>
      <c r="C39" s="98"/>
      <c r="D39" s="124"/>
      <c r="E39" s="124"/>
      <c r="F39" s="124"/>
      <c r="G39" s="124"/>
      <c r="H39" s="27"/>
      <c r="I39" s="27"/>
      <c r="J39" s="125"/>
      <c r="K39" s="114"/>
      <c r="L39" s="114"/>
      <c r="M39" s="116">
        <f>SUM(L39)+2.4</f>
        <v>2.4</v>
      </c>
    </row>
    <row r="40" spans="1:14" s="1" customFormat="1" ht="14.1" customHeight="1" thickBot="1">
      <c r="A40" s="123"/>
      <c r="B40" s="118"/>
      <c r="C40" s="118"/>
      <c r="D40" s="119"/>
      <c r="E40" s="120"/>
      <c r="F40" s="120"/>
      <c r="G40" s="121"/>
      <c r="H40" s="28"/>
      <c r="I40" s="28"/>
      <c r="J40" s="126"/>
      <c r="K40" s="115"/>
      <c r="L40" s="115"/>
      <c r="M40" s="117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4" ht="14.1" customHeight="1">
      <c r="N43" s="1"/>
    </row>
    <row r="44" spans="1:14" ht="14.1" customHeight="1">
      <c r="N44" s="1"/>
    </row>
    <row r="45" spans="1:14" ht="14.1" customHeight="1"/>
    <row r="46" spans="1:14" ht="14.1" customHeight="1"/>
    <row r="47" spans="1:14" ht="14.1" customHeight="1"/>
    <row r="48" spans="1:14" ht="14.1" customHeight="1"/>
    <row r="49" customFormat="1" ht="14.1" customHeight="1"/>
    <row r="50" customFormat="1" ht="14.1" customHeight="1"/>
    <row r="51" customFormat="1" ht="14.1" customHeight="1"/>
    <row r="52" customFormat="1" ht="14.1" customHeight="1"/>
    <row r="53" customFormat="1" ht="14.1" customHeight="1"/>
    <row r="54" customFormat="1" ht="14.1" customHeight="1"/>
    <row r="55" customFormat="1" ht="14.1" customHeight="1"/>
    <row r="56" customFormat="1" ht="14.1" customHeight="1"/>
    <row r="57" customFormat="1" ht="14.1" customHeight="1"/>
  </sheetData>
  <mergeCells count="212">
    <mergeCell ref="A27:A28"/>
    <mergeCell ref="B27:C27"/>
    <mergeCell ref="D27:G27"/>
    <mergeCell ref="H27:H28"/>
    <mergeCell ref="I27:I28"/>
    <mergeCell ref="J27:J28"/>
    <mergeCell ref="K27:K28"/>
    <mergeCell ref="A25:A26"/>
    <mergeCell ref="B25:C25"/>
    <mergeCell ref="D25:G25"/>
    <mergeCell ref="H25:H26"/>
    <mergeCell ref="I25:I26"/>
    <mergeCell ref="J25:J26"/>
    <mergeCell ref="K5:K6"/>
    <mergeCell ref="L5:L6"/>
    <mergeCell ref="M5:M6"/>
    <mergeCell ref="B7:C7"/>
    <mergeCell ref="D7:G7"/>
    <mergeCell ref="H7:H8"/>
    <mergeCell ref="I7:I8"/>
    <mergeCell ref="J11:J12"/>
    <mergeCell ref="J7:J8"/>
    <mergeCell ref="L27:L28"/>
    <mergeCell ref="M27:M28"/>
    <mergeCell ref="B28:C28"/>
    <mergeCell ref="D28:G28"/>
    <mergeCell ref="K25:K26"/>
    <mergeCell ref="L25:L26"/>
    <mergeCell ref="K7:K8"/>
    <mergeCell ref="L7:L8"/>
    <mergeCell ref="M7:M8"/>
    <mergeCell ref="B8:C8"/>
    <mergeCell ref="D8:G8"/>
    <mergeCell ref="M25:M26"/>
    <mergeCell ref="B26:C26"/>
    <mergeCell ref="D26:G26"/>
    <mergeCell ref="K11:K12"/>
    <mergeCell ref="L11:L12"/>
    <mergeCell ref="M11:M12"/>
    <mergeCell ref="K9:K10"/>
    <mergeCell ref="L9:L10"/>
    <mergeCell ref="M9:M10"/>
    <mergeCell ref="J9:J10"/>
    <mergeCell ref="K13:K14"/>
    <mergeCell ref="L13:L14"/>
    <mergeCell ref="M13:M14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B12:C12"/>
    <mergeCell ref="D12:G12"/>
    <mergeCell ref="B10:C10"/>
    <mergeCell ref="D10:G10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B14:C14"/>
    <mergeCell ref="D14:G14"/>
    <mergeCell ref="J13:J14"/>
    <mergeCell ref="J15:J16"/>
    <mergeCell ref="K15:K16"/>
    <mergeCell ref="L15:L16"/>
    <mergeCell ref="M15:M16"/>
    <mergeCell ref="B16:C16"/>
    <mergeCell ref="D16:G16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K17:K18"/>
    <mergeCell ref="L17:L18"/>
    <mergeCell ref="M17:M18"/>
    <mergeCell ref="B18:C18"/>
    <mergeCell ref="D18:G18"/>
    <mergeCell ref="J17:J18"/>
    <mergeCell ref="J19:J20"/>
    <mergeCell ref="K19:K20"/>
    <mergeCell ref="L19:L20"/>
    <mergeCell ref="M19:M20"/>
    <mergeCell ref="B20:C20"/>
    <mergeCell ref="D20:G20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K21:K22"/>
    <mergeCell ref="L21:L22"/>
    <mergeCell ref="M21:M22"/>
    <mergeCell ref="B22:C22"/>
    <mergeCell ref="D22:G22"/>
    <mergeCell ref="J21:J22"/>
    <mergeCell ref="J23:J24"/>
    <mergeCell ref="K23:K24"/>
    <mergeCell ref="L23:L24"/>
    <mergeCell ref="M23:M24"/>
    <mergeCell ref="B24:C24"/>
    <mergeCell ref="D24:G24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K29:K30"/>
    <mergeCell ref="L29:L30"/>
    <mergeCell ref="M29:M30"/>
    <mergeCell ref="B30:C30"/>
    <mergeCell ref="D30:G30"/>
    <mergeCell ref="J29:J30"/>
    <mergeCell ref="J31:J32"/>
    <mergeCell ref="K31:K32"/>
    <mergeCell ref="L31:L32"/>
    <mergeCell ref="M31:M32"/>
    <mergeCell ref="B32:C32"/>
    <mergeCell ref="D32:G32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K33:K34"/>
    <mergeCell ref="L33:L34"/>
    <mergeCell ref="M33:M34"/>
    <mergeCell ref="B34:C34"/>
    <mergeCell ref="D34:G34"/>
    <mergeCell ref="J33:J34"/>
    <mergeCell ref="J35:J36"/>
    <mergeCell ref="K35:K36"/>
    <mergeCell ref="L35:L36"/>
    <mergeCell ref="M35:M36"/>
    <mergeCell ref="B36:C36"/>
    <mergeCell ref="D36:G36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K37:K38"/>
    <mergeCell ref="L37:L38"/>
    <mergeCell ref="M37:M38"/>
    <mergeCell ref="B38:C38"/>
    <mergeCell ref="D38:G38"/>
    <mergeCell ref="J37:J38"/>
    <mergeCell ref="J39:J40"/>
    <mergeCell ref="K39:K40"/>
    <mergeCell ref="L39:L40"/>
    <mergeCell ref="M39:M40"/>
    <mergeCell ref="B40:C40"/>
    <mergeCell ref="D40:G4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1A61-AE78-4077-BAD7-0EBC967683C3}">
  <sheetPr codeName="Sheet44">
    <tabColor theme="5"/>
    <pageSetUpPr fitToPage="1"/>
  </sheetPr>
  <dimension ref="A1:O51"/>
  <sheetViews>
    <sheetView zoomScale="110" zoomScaleNormal="110" workbookViewId="0">
      <selection activeCell="B27" sqref="B27:G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85" t="s">
        <v>462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5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5" s="1" customFormat="1" ht="14.1" customHeight="1">
      <c r="A3" s="138">
        <v>1</v>
      </c>
      <c r="B3" s="148" t="s">
        <v>39</v>
      </c>
      <c r="C3" s="148"/>
      <c r="D3" s="92" t="s">
        <v>217</v>
      </c>
      <c r="E3" s="93"/>
      <c r="F3" s="93"/>
      <c r="G3" s="94"/>
      <c r="H3" s="27">
        <f>SUM(I3)-5</f>
        <v>53</v>
      </c>
      <c r="I3" s="27">
        <f>SUM(J3)-5</f>
        <v>58</v>
      </c>
      <c r="J3" s="139">
        <v>63</v>
      </c>
      <c r="K3" s="96">
        <f>SUM(J3)+5</f>
        <v>68</v>
      </c>
      <c r="L3" s="96">
        <f>SUM(K3)+5</f>
        <v>73</v>
      </c>
      <c r="M3" s="97">
        <f>SUM(L3)+5</f>
        <v>78</v>
      </c>
    </row>
    <row r="4" spans="1:15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46"/>
      <c r="L4" s="46"/>
      <c r="M4" s="48"/>
    </row>
    <row r="5" spans="1:15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</f>
        <v>32</v>
      </c>
      <c r="I5" s="27">
        <f>SUM(J5)-2</f>
        <v>34</v>
      </c>
      <c r="J5" s="41">
        <v>36</v>
      </c>
      <c r="K5" s="27">
        <f>SUM(J5)+2</f>
        <v>38</v>
      </c>
      <c r="L5" s="27">
        <f>SUM(K5)+2</f>
        <v>40</v>
      </c>
      <c r="M5" s="62">
        <f>SUM(L5)+2</f>
        <v>42</v>
      </c>
    </row>
    <row r="6" spans="1:15" s="1" customFormat="1" ht="14.1" customHeight="1">
      <c r="A6" s="122"/>
      <c r="B6" s="75" t="s">
        <v>24</v>
      </c>
      <c r="C6" s="75"/>
      <c r="D6" s="79" t="s">
        <v>254</v>
      </c>
      <c r="E6" s="80"/>
      <c r="F6" s="80"/>
      <c r="G6" s="81"/>
      <c r="H6" s="46"/>
      <c r="I6" s="46"/>
      <c r="J6" s="44"/>
      <c r="K6" s="46"/>
      <c r="L6" s="46"/>
      <c r="M6" s="48"/>
    </row>
    <row r="7" spans="1:15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</f>
        <v>34</v>
      </c>
      <c r="I7" s="27">
        <f>SUM(J7)-2</f>
        <v>36</v>
      </c>
      <c r="J7" s="41">
        <v>38</v>
      </c>
      <c r="K7" s="27">
        <f>SUM(J7)+2</f>
        <v>40</v>
      </c>
      <c r="L7" s="27">
        <f>SUM(K7)+2</f>
        <v>42</v>
      </c>
      <c r="M7" s="62">
        <f>SUM(L7)+2</f>
        <v>44</v>
      </c>
    </row>
    <row r="8" spans="1:15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5" s="1" customFormat="1" ht="14.1" customHeight="1">
      <c r="A9" s="122">
        <v>4</v>
      </c>
      <c r="B9" s="98" t="s">
        <v>221</v>
      </c>
      <c r="C9" s="98"/>
      <c r="D9" s="124" t="s">
        <v>8</v>
      </c>
      <c r="E9" s="124"/>
      <c r="F9" s="124"/>
      <c r="G9" s="124"/>
      <c r="H9" s="27">
        <f>SUM(I9)-1.5</f>
        <v>25</v>
      </c>
      <c r="I9" s="27">
        <f>SUM(J9)-1.5</f>
        <v>26.5</v>
      </c>
      <c r="J9" s="41">
        <v>28</v>
      </c>
      <c r="K9" s="27">
        <f>SUM(J9)+1.5</f>
        <v>29.5</v>
      </c>
      <c r="L9" s="27">
        <f>SUM(K9)+1.5</f>
        <v>31</v>
      </c>
      <c r="M9" s="62">
        <f>SUM(L9)+1.5</f>
        <v>32.5</v>
      </c>
      <c r="N9" s="1" t="s">
        <v>162</v>
      </c>
    </row>
    <row r="10" spans="1:15" s="1" customFormat="1" ht="14.1" customHeight="1">
      <c r="A10" s="122"/>
      <c r="B10" s="75" t="s">
        <v>145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5" s="1" customFormat="1" ht="14.1" customHeight="1">
      <c r="A11" s="122">
        <v>5</v>
      </c>
      <c r="B11" s="98" t="s">
        <v>471</v>
      </c>
      <c r="C11" s="98"/>
      <c r="D11" s="124"/>
      <c r="E11" s="124"/>
      <c r="F11" s="124"/>
      <c r="G11" s="124"/>
      <c r="H11" s="27">
        <f>SUM(I11)-0</f>
        <v>5</v>
      </c>
      <c r="I11" s="27">
        <f>SUM(J11)-0</f>
        <v>5</v>
      </c>
      <c r="J11" s="41">
        <v>5</v>
      </c>
      <c r="K11" s="27">
        <f>SUM(J11)+0.5</f>
        <v>5.5</v>
      </c>
      <c r="L11" s="27">
        <f>SUM(K11)+0</f>
        <v>5.5</v>
      </c>
      <c r="M11" s="62">
        <f>SUM(L11)+0</f>
        <v>5.5</v>
      </c>
      <c r="O11" s="1" t="s">
        <v>162</v>
      </c>
    </row>
    <row r="12" spans="1:15" s="1" customFormat="1" ht="14.1" customHeight="1">
      <c r="A12" s="122"/>
      <c r="B12" s="75" t="s">
        <v>472</v>
      </c>
      <c r="C12" s="75"/>
      <c r="D12" s="79"/>
      <c r="E12" s="80"/>
      <c r="F12" s="80"/>
      <c r="G12" s="81"/>
      <c r="H12" s="46"/>
      <c r="I12" s="46"/>
      <c r="J12" s="44"/>
      <c r="K12" s="46"/>
      <c r="L12" s="46"/>
      <c r="M12" s="48"/>
    </row>
    <row r="13" spans="1:15" s="1" customFormat="1" ht="14.1" customHeight="1">
      <c r="A13" s="122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>
        <f>SUM(I13)-0.8</f>
        <v>14.399999999999999</v>
      </c>
      <c r="I13" s="27">
        <f>SUM(J13)-0.8</f>
        <v>15.2</v>
      </c>
      <c r="J13" s="125">
        <v>16</v>
      </c>
      <c r="K13" s="114">
        <f>SUM(J13)+0.8</f>
        <v>16.8</v>
      </c>
      <c r="L13" s="114">
        <f>SUM(K13)+0.8</f>
        <v>17.600000000000001</v>
      </c>
      <c r="M13" s="162">
        <f>SUM(L13)+0.8</f>
        <v>18.400000000000002</v>
      </c>
    </row>
    <row r="14" spans="1:15" s="1" customFormat="1" ht="14.1" customHeight="1">
      <c r="A14" s="122"/>
      <c r="B14" s="75" t="s">
        <v>26</v>
      </c>
      <c r="C14" s="75"/>
      <c r="D14" s="79" t="s">
        <v>45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5" s="1" customFormat="1" ht="14.1" customHeight="1">
      <c r="A15" s="122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16.299999999999997</v>
      </c>
      <c r="I15" s="27">
        <f>SUM(J15)-0.6</f>
        <v>16.899999999999999</v>
      </c>
      <c r="J15" s="125">
        <v>17.5</v>
      </c>
      <c r="K15" s="27">
        <f>SUM(J15)+0.6</f>
        <v>18.100000000000001</v>
      </c>
      <c r="L15" s="27">
        <f>SUM(K15)+0.6</f>
        <v>18.700000000000003</v>
      </c>
      <c r="M15" s="62">
        <f>SUM(L15)+0.6</f>
        <v>19.300000000000004</v>
      </c>
    </row>
    <row r="16" spans="1:15" s="1" customFormat="1" ht="14.1" customHeight="1">
      <c r="A16" s="122"/>
      <c r="B16" s="75" t="s">
        <v>27</v>
      </c>
      <c r="C16" s="75"/>
      <c r="D16" s="79" t="s">
        <v>46</v>
      </c>
      <c r="E16" s="80"/>
      <c r="F16" s="80"/>
      <c r="G16" s="81"/>
      <c r="H16" s="46"/>
      <c r="I16" s="46"/>
      <c r="J16" s="125"/>
      <c r="K16" s="46"/>
      <c r="L16" s="46"/>
      <c r="M16" s="48"/>
    </row>
    <row r="17" spans="1:13" s="1" customFormat="1" ht="14.1" customHeight="1">
      <c r="A17" s="122">
        <v>8</v>
      </c>
      <c r="B17" s="36" t="s">
        <v>2</v>
      </c>
      <c r="C17" s="37"/>
      <c r="D17" s="124" t="s">
        <v>3</v>
      </c>
      <c r="E17" s="124"/>
      <c r="F17" s="124"/>
      <c r="G17" s="124"/>
      <c r="H17" s="27">
        <f>SUM(I17)-0.3</f>
        <v>6.6000000000000005</v>
      </c>
      <c r="I17" s="27">
        <f>SUM(J17)-0.3</f>
        <v>6.9</v>
      </c>
      <c r="J17" s="125">
        <v>7.2</v>
      </c>
      <c r="K17" s="114">
        <f>SUM(J17)+0.3</f>
        <v>7.5</v>
      </c>
      <c r="L17" s="114">
        <f>SUM(K17)+0.3</f>
        <v>7.8</v>
      </c>
      <c r="M17" s="161">
        <f>SUM(L17)+0.3</f>
        <v>8.1</v>
      </c>
    </row>
    <row r="18" spans="1:13" s="1" customFormat="1" ht="14.1" customHeight="1">
      <c r="A18" s="122"/>
      <c r="B18" s="127" t="s">
        <v>28</v>
      </c>
      <c r="C18" s="128"/>
      <c r="D18" s="79" t="s">
        <v>164</v>
      </c>
      <c r="E18" s="80"/>
      <c r="F18" s="80"/>
      <c r="G18" s="81"/>
      <c r="H18" s="46"/>
      <c r="I18" s="46"/>
      <c r="J18" s="125"/>
      <c r="K18" s="114"/>
      <c r="L18" s="114"/>
      <c r="M18" s="161"/>
    </row>
    <row r="19" spans="1:13" s="1" customFormat="1" ht="14.1" customHeight="1">
      <c r="A19" s="122">
        <v>9</v>
      </c>
      <c r="B19" s="36" t="s">
        <v>70</v>
      </c>
      <c r="C19" s="37"/>
      <c r="D19" s="76" t="s">
        <v>71</v>
      </c>
      <c r="E19" s="77"/>
      <c r="F19" s="77"/>
      <c r="G19" s="78"/>
      <c r="H19" s="27"/>
      <c r="I19" s="27"/>
      <c r="J19" s="125"/>
      <c r="K19" s="114"/>
      <c r="L19" s="114"/>
      <c r="M19" s="161"/>
    </row>
    <row r="20" spans="1:13" s="1" customFormat="1" ht="14.1" customHeight="1">
      <c r="A20" s="122"/>
      <c r="B20" s="75" t="s">
        <v>33</v>
      </c>
      <c r="C20" s="75"/>
      <c r="D20" s="79" t="s">
        <v>74</v>
      </c>
      <c r="E20" s="80"/>
      <c r="F20" s="80"/>
      <c r="G20" s="81"/>
      <c r="H20" s="46"/>
      <c r="I20" s="46"/>
      <c r="J20" s="125"/>
      <c r="K20" s="114"/>
      <c r="L20" s="114"/>
      <c r="M20" s="161"/>
    </row>
    <row r="21" spans="1:13" s="1" customFormat="1" ht="14.1" customHeight="1">
      <c r="A21" s="122">
        <v>10</v>
      </c>
      <c r="B21" s="36" t="s">
        <v>257</v>
      </c>
      <c r="C21" s="37"/>
      <c r="D21" s="76"/>
      <c r="E21" s="77"/>
      <c r="F21" s="77"/>
      <c r="G21" s="78"/>
      <c r="H21" s="27">
        <f>SUM(I21)</f>
        <v>2.8</v>
      </c>
      <c r="I21" s="27">
        <f>SUM(J21)</f>
        <v>2.8</v>
      </c>
      <c r="J21" s="41">
        <v>2.8</v>
      </c>
      <c r="K21" s="27">
        <f>SUM(J21)</f>
        <v>2.8</v>
      </c>
      <c r="L21" s="27">
        <f>SUM(K21)</f>
        <v>2.8</v>
      </c>
      <c r="M21" s="62">
        <f>SUM(L21)</f>
        <v>2.8</v>
      </c>
    </row>
    <row r="22" spans="1:13" s="1" customFormat="1" ht="14.1" customHeight="1">
      <c r="A22" s="122"/>
      <c r="B22" s="75" t="s">
        <v>267</v>
      </c>
      <c r="C22" s="75"/>
      <c r="D22" s="79"/>
      <c r="E22" s="80"/>
      <c r="F22" s="80"/>
      <c r="G22" s="81"/>
      <c r="H22" s="46"/>
      <c r="I22" s="46"/>
      <c r="J22" s="44"/>
      <c r="K22" s="46"/>
      <c r="L22" s="46"/>
      <c r="M22" s="48"/>
    </row>
    <row r="23" spans="1:13" s="1" customFormat="1" ht="14.1" customHeight="1">
      <c r="A23" s="122">
        <v>11</v>
      </c>
      <c r="B23" s="98" t="s">
        <v>4</v>
      </c>
      <c r="C23" s="98"/>
      <c r="D23" s="124" t="s">
        <v>5</v>
      </c>
      <c r="E23" s="124"/>
      <c r="F23" s="124"/>
      <c r="G23" s="124"/>
      <c r="H23" s="27">
        <f>SUM(I23)-3.5</f>
        <v>29</v>
      </c>
      <c r="I23" s="27">
        <f>SUM(J23)-3.5</f>
        <v>32.5</v>
      </c>
      <c r="J23" s="125">
        <v>36</v>
      </c>
      <c r="K23" s="114">
        <f>SUM(J23)+3.5</f>
        <v>39.5</v>
      </c>
      <c r="L23" s="114">
        <f>SUM(K23)+3.5</f>
        <v>43</v>
      </c>
      <c r="M23" s="161">
        <f>SUM(L23)+3.5</f>
        <v>46.5</v>
      </c>
    </row>
    <row r="24" spans="1:13" s="1" customFormat="1" ht="14.1" customHeight="1">
      <c r="A24" s="122"/>
      <c r="B24" s="75" t="s">
        <v>29</v>
      </c>
      <c r="C24" s="75"/>
      <c r="D24" s="79" t="s">
        <v>47</v>
      </c>
      <c r="E24" s="80"/>
      <c r="F24" s="80"/>
      <c r="G24" s="81"/>
      <c r="H24" s="46"/>
      <c r="I24" s="46"/>
      <c r="J24" s="125"/>
      <c r="K24" s="114"/>
      <c r="L24" s="114"/>
      <c r="M24" s="161"/>
    </row>
    <row r="25" spans="1:13" s="1" customFormat="1" ht="14.1" customHeight="1">
      <c r="A25" s="122">
        <v>12</v>
      </c>
      <c r="B25" s="98" t="s">
        <v>6</v>
      </c>
      <c r="C25" s="98"/>
      <c r="D25" s="76" t="s">
        <v>7</v>
      </c>
      <c r="E25" s="77"/>
      <c r="F25" s="77"/>
      <c r="G25" s="78"/>
      <c r="H25" s="27">
        <f>SUM(I25)-1.4</f>
        <v>27.200000000000003</v>
      </c>
      <c r="I25" s="27">
        <f>SUM(J25)-1.4</f>
        <v>28.6</v>
      </c>
      <c r="J25" s="125">
        <v>30</v>
      </c>
      <c r="K25" s="114">
        <f>SUM(J25)+1.4</f>
        <v>31.4</v>
      </c>
      <c r="L25" s="114">
        <f>SUM(K25)+1.4</f>
        <v>32.799999999999997</v>
      </c>
      <c r="M25" s="161">
        <f>SUM(L25)+1.4</f>
        <v>34.199999999999996</v>
      </c>
    </row>
    <row r="26" spans="1:13" s="1" customFormat="1" ht="14.1" customHeight="1">
      <c r="A26" s="122"/>
      <c r="B26" s="75" t="s">
        <v>30</v>
      </c>
      <c r="C26" s="75"/>
      <c r="D26" s="79" t="s">
        <v>64</v>
      </c>
      <c r="E26" s="80"/>
      <c r="F26" s="80"/>
      <c r="G26" s="81"/>
      <c r="H26" s="46"/>
      <c r="I26" s="46"/>
      <c r="J26" s="125"/>
      <c r="K26" s="114"/>
      <c r="L26" s="114"/>
      <c r="M26" s="161"/>
    </row>
    <row r="27" spans="1:13" s="1" customFormat="1" ht="14.1" customHeight="1">
      <c r="A27" s="122">
        <v>13</v>
      </c>
      <c r="B27" s="36" t="s">
        <v>260</v>
      </c>
      <c r="C27" s="37"/>
      <c r="D27" s="124" t="s">
        <v>65</v>
      </c>
      <c r="E27" s="124"/>
      <c r="F27" s="124"/>
      <c r="G27" s="124"/>
      <c r="H27" s="27">
        <f>SUM(I27)-0.6</f>
        <v>14.8</v>
      </c>
      <c r="I27" s="27">
        <f>SUM(J27)-0.6</f>
        <v>15.4</v>
      </c>
      <c r="J27" s="125">
        <v>16</v>
      </c>
      <c r="K27" s="27">
        <f>SUM(J27)+0.6</f>
        <v>16.600000000000001</v>
      </c>
      <c r="L27" s="27">
        <f>SUM(K27)+0.6</f>
        <v>17.200000000000003</v>
      </c>
      <c r="M27" s="62">
        <f>SUM(L27)+0.6</f>
        <v>17.800000000000004</v>
      </c>
    </row>
    <row r="28" spans="1:13" s="1" customFormat="1" ht="14.1" customHeight="1">
      <c r="A28" s="122"/>
      <c r="B28" s="75" t="s">
        <v>31</v>
      </c>
      <c r="C28" s="75"/>
      <c r="D28" s="79" t="s">
        <v>66</v>
      </c>
      <c r="E28" s="80"/>
      <c r="F28" s="80"/>
      <c r="G28" s="81"/>
      <c r="H28" s="46"/>
      <c r="I28" s="46"/>
      <c r="J28" s="125"/>
      <c r="K28" s="46"/>
      <c r="L28" s="46"/>
      <c r="M28" s="48"/>
    </row>
    <row r="29" spans="1:13" s="1" customFormat="1" ht="14.1" customHeight="1">
      <c r="A29" s="122">
        <v>14</v>
      </c>
      <c r="B29" s="36" t="s">
        <v>261</v>
      </c>
      <c r="C29" s="37"/>
      <c r="D29" s="124"/>
      <c r="E29" s="124"/>
      <c r="F29" s="124"/>
      <c r="G29" s="124"/>
      <c r="H29" s="27">
        <f>SUM(I29)-0</f>
        <v>6</v>
      </c>
      <c r="I29" s="27">
        <f>SUM(J29)-0</f>
        <v>6</v>
      </c>
      <c r="J29" s="41">
        <v>6</v>
      </c>
      <c r="K29" s="27">
        <f>SUM(J29)+0.5</f>
        <v>6.5</v>
      </c>
      <c r="L29" s="27">
        <f>SUM(K29)+0</f>
        <v>6.5</v>
      </c>
      <c r="M29" s="62">
        <f>SUM(L29)+0</f>
        <v>6.5</v>
      </c>
    </row>
    <row r="30" spans="1:13" s="1" customFormat="1" ht="14.1" customHeight="1">
      <c r="A30" s="122"/>
      <c r="B30" s="127" t="s">
        <v>262</v>
      </c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8"/>
    </row>
    <row r="31" spans="1:13" ht="14.1" customHeight="1">
      <c r="A31" s="122">
        <v>15</v>
      </c>
      <c r="B31" s="36" t="s">
        <v>463</v>
      </c>
      <c r="C31" s="37"/>
      <c r="D31" s="76"/>
      <c r="E31" s="77"/>
      <c r="F31" s="77"/>
      <c r="G31" s="78"/>
      <c r="H31" s="27">
        <f>SUM(I31)-3</f>
        <v>33</v>
      </c>
      <c r="I31" s="27">
        <f>SUM(J31)-3</f>
        <v>36</v>
      </c>
      <c r="J31" s="125">
        <v>39</v>
      </c>
      <c r="K31" s="114">
        <f>SUM(J31)+3</f>
        <v>42</v>
      </c>
      <c r="L31" s="114">
        <f>SUM(K31)+3</f>
        <v>45</v>
      </c>
      <c r="M31" s="161">
        <f>SUM(L31)+3</f>
        <v>48</v>
      </c>
    </row>
    <row r="32" spans="1:13" ht="14.1" customHeight="1">
      <c r="A32" s="159"/>
      <c r="B32" s="127" t="s">
        <v>464</v>
      </c>
      <c r="C32" s="128"/>
      <c r="D32" s="79" t="s">
        <v>470</v>
      </c>
      <c r="E32" s="80"/>
      <c r="F32" s="80"/>
      <c r="G32" s="81"/>
      <c r="H32" s="46"/>
      <c r="I32" s="46"/>
      <c r="J32" s="125"/>
      <c r="K32" s="114"/>
      <c r="L32" s="114"/>
      <c r="M32" s="161"/>
    </row>
    <row r="33" spans="1:13" ht="14.1" customHeight="1">
      <c r="A33" s="159">
        <v>16</v>
      </c>
      <c r="B33" s="36" t="s">
        <v>469</v>
      </c>
      <c r="C33" s="37"/>
      <c r="D33" s="76"/>
      <c r="E33" s="77"/>
      <c r="F33" s="77"/>
      <c r="G33" s="78"/>
      <c r="H33" s="27">
        <f>SUM(I33)-2.6</f>
        <v>42.8</v>
      </c>
      <c r="I33" s="27">
        <f>SUM(J33)-2.6</f>
        <v>45.4</v>
      </c>
      <c r="J33" s="125">
        <v>48</v>
      </c>
      <c r="K33" s="114">
        <f>SUM(J33)+2.6</f>
        <v>50.6</v>
      </c>
      <c r="L33" s="114">
        <f>SUM(K33)+2.6</f>
        <v>53.2</v>
      </c>
      <c r="M33" s="161">
        <f>SUM(L33)+2.6</f>
        <v>55.800000000000004</v>
      </c>
    </row>
    <row r="34" spans="1:13" ht="14.1" customHeight="1">
      <c r="A34" s="138"/>
      <c r="B34" s="127" t="s">
        <v>465</v>
      </c>
      <c r="C34" s="128"/>
      <c r="D34" s="79" t="s">
        <v>466</v>
      </c>
      <c r="E34" s="80"/>
      <c r="F34" s="80"/>
      <c r="G34" s="81"/>
      <c r="H34" s="46"/>
      <c r="I34" s="46"/>
      <c r="J34" s="125"/>
      <c r="K34" s="114"/>
      <c r="L34" s="114"/>
      <c r="M34" s="161"/>
    </row>
    <row r="35" spans="1:13" ht="14.1" customHeight="1">
      <c r="A35" s="159">
        <v>17</v>
      </c>
      <c r="B35" s="36" t="s">
        <v>467</v>
      </c>
      <c r="C35" s="37"/>
      <c r="D35" s="76"/>
      <c r="E35" s="77"/>
      <c r="F35" s="77"/>
      <c r="G35" s="78"/>
      <c r="H35" s="27">
        <f>SUM(I35)-0</f>
        <v>6.5</v>
      </c>
      <c r="I35" s="27">
        <f>SUM(J35)-0</f>
        <v>6.5</v>
      </c>
      <c r="J35" s="41">
        <v>6.5</v>
      </c>
      <c r="K35" s="27">
        <f>SUM(J35)+0.5</f>
        <v>7</v>
      </c>
      <c r="L35" s="27">
        <f>SUM(K35)+0</f>
        <v>7</v>
      </c>
      <c r="M35" s="62">
        <f>SUM(L35)+0</f>
        <v>7</v>
      </c>
    </row>
    <row r="36" spans="1:13" ht="14.1" customHeight="1">
      <c r="A36" s="138"/>
      <c r="B36" s="127" t="s">
        <v>468</v>
      </c>
      <c r="C36" s="128"/>
      <c r="D36" s="79"/>
      <c r="E36" s="80"/>
      <c r="F36" s="80"/>
      <c r="G36" s="81"/>
      <c r="H36" s="46"/>
      <c r="I36" s="46"/>
      <c r="J36" s="44"/>
      <c r="K36" s="46"/>
      <c r="L36" s="46"/>
      <c r="M36" s="48"/>
    </row>
    <row r="37" spans="1:13" ht="14.1" customHeight="1">
      <c r="A37" s="159">
        <v>18</v>
      </c>
      <c r="B37" s="36"/>
      <c r="C37" s="37"/>
      <c r="D37" s="76"/>
      <c r="E37" s="77"/>
      <c r="F37" s="77"/>
      <c r="G37" s="78"/>
      <c r="H37" s="27"/>
      <c r="I37" s="27"/>
      <c r="J37" s="41"/>
      <c r="K37" s="27"/>
      <c r="L37" s="27"/>
      <c r="M37" s="62"/>
    </row>
    <row r="38" spans="1:13" ht="14.1" customHeight="1" thickBot="1">
      <c r="A38" s="158"/>
      <c r="B38" s="143"/>
      <c r="C38" s="144"/>
      <c r="D38" s="119"/>
      <c r="E38" s="120"/>
      <c r="F38" s="120"/>
      <c r="G38" s="121"/>
      <c r="H38" s="28"/>
      <c r="I38" s="28"/>
      <c r="J38" s="42"/>
      <c r="K38" s="28"/>
      <c r="L38" s="28"/>
      <c r="M38" s="160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1:M1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E628-7397-467D-B7C0-44BD680D0490}">
  <sheetPr codeName="Sheet45">
    <tabColor theme="5"/>
    <pageSetUpPr fitToPage="1"/>
  </sheetPr>
  <dimension ref="A1:N51"/>
  <sheetViews>
    <sheetView zoomScale="110" zoomScaleNormal="110" workbookViewId="0">
      <selection sqref="A1:M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506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33" t="s">
        <v>91</v>
      </c>
      <c r="C3" s="134"/>
      <c r="D3" s="102" t="s">
        <v>90</v>
      </c>
      <c r="E3" s="103"/>
      <c r="F3" s="103"/>
      <c r="G3" s="104"/>
      <c r="H3" s="163">
        <f>SUM(I3)-2.9</f>
        <v>29.200000000000003</v>
      </c>
      <c r="I3" s="27">
        <f>SUM(J3)-2.9</f>
        <v>32.1</v>
      </c>
      <c r="J3" s="95">
        <v>35</v>
      </c>
      <c r="K3" s="96">
        <f>SUM(J3)+2.4</f>
        <v>37.4</v>
      </c>
      <c r="L3" s="96">
        <f t="shared" ref="L3:M3" si="0">SUM(K3)+2.4</f>
        <v>39.799999999999997</v>
      </c>
      <c r="M3" s="97">
        <f t="shared" si="0"/>
        <v>42.199999999999996</v>
      </c>
    </row>
    <row r="4" spans="1:14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164"/>
      <c r="I4" s="46"/>
      <c r="J4" s="44"/>
      <c r="K4" s="46"/>
      <c r="L4" s="46"/>
      <c r="M4" s="48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163">
        <f>SUM(I5)-1.6</f>
        <v>22.799999999999997</v>
      </c>
      <c r="I5" s="27">
        <f>SUM(J5)-1.6</f>
        <v>24.4</v>
      </c>
      <c r="J5" s="41">
        <v>26</v>
      </c>
      <c r="K5" s="27">
        <f>SUM(J5)+1.4</f>
        <v>27.4</v>
      </c>
      <c r="L5" s="27">
        <f t="shared" ref="L5:M5" si="1">SUM(K5)+1.4</f>
        <v>28.799999999999997</v>
      </c>
      <c r="M5" s="62">
        <f t="shared" si="1"/>
        <v>30.199999999999996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164"/>
      <c r="I6" s="46"/>
      <c r="J6" s="44"/>
      <c r="K6" s="46"/>
      <c r="L6" s="46"/>
      <c r="M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163">
        <f>SUM(I7)-2.25</f>
        <v>33.5</v>
      </c>
      <c r="I7" s="27">
        <f>SUM(J7)-2.25</f>
        <v>35.75</v>
      </c>
      <c r="J7" s="41">
        <v>38</v>
      </c>
      <c r="K7" s="27">
        <f>SUM(J7)+2</f>
        <v>40</v>
      </c>
      <c r="L7" s="27">
        <f t="shared" ref="L7:M7" si="2">SUM(K7)+2</f>
        <v>42</v>
      </c>
      <c r="M7" s="62">
        <f t="shared" si="2"/>
        <v>44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164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163">
        <f>SUM(I9)-2.4</f>
        <v>35.200000000000003</v>
      </c>
      <c r="I9" s="27">
        <f>SUM(J9)-2.4</f>
        <v>37.6</v>
      </c>
      <c r="J9" s="41">
        <v>40</v>
      </c>
      <c r="K9" s="27">
        <f>SUM(J9)+2.1</f>
        <v>42.1</v>
      </c>
      <c r="L9" s="27">
        <f t="shared" ref="L9:M9" si="3">SUM(K9)+2.1</f>
        <v>44.2</v>
      </c>
      <c r="M9" s="62">
        <f t="shared" si="3"/>
        <v>46.300000000000004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164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163">
        <f>SUM(I11)-0.9</f>
        <v>16.700000000000003</v>
      </c>
      <c r="I11" s="27">
        <f>SUM(J11)-0.9</f>
        <v>17.600000000000001</v>
      </c>
      <c r="J11" s="125">
        <v>18.5</v>
      </c>
      <c r="K11" s="114">
        <f>SUM(J11)+0.9</f>
        <v>19.399999999999999</v>
      </c>
      <c r="L11" s="114">
        <f t="shared" ref="L11:M11" si="4">SUM(K11)+0.9</f>
        <v>20.299999999999997</v>
      </c>
      <c r="M11" s="162">
        <f t="shared" si="4"/>
        <v>21.199999999999996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164"/>
      <c r="I12" s="46"/>
      <c r="J12" s="125"/>
      <c r="K12" s="114"/>
      <c r="L12" s="114"/>
      <c r="M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163">
        <f>SUM(I13)-0.6</f>
        <v>14.700000000000001</v>
      </c>
      <c r="I13" s="27">
        <f>SUM(J13)-0.6</f>
        <v>15.3</v>
      </c>
      <c r="J13" s="125">
        <v>15.9</v>
      </c>
      <c r="K13" s="114">
        <f>SUM(J13)+0.6</f>
        <v>16.5</v>
      </c>
      <c r="L13" s="114">
        <f>SUM(K13)+0.6</f>
        <v>17.100000000000001</v>
      </c>
      <c r="M13" s="162">
        <f>SUM(L13)+0.6</f>
        <v>17.700000000000003</v>
      </c>
    </row>
    <row r="14" spans="1:14" s="1" customFormat="1" ht="14.1" customHeight="1">
      <c r="A14" s="122"/>
      <c r="B14" s="75" t="s">
        <v>27</v>
      </c>
      <c r="C14" s="75"/>
      <c r="D14" s="79" t="s">
        <v>46</v>
      </c>
      <c r="E14" s="80"/>
      <c r="F14" s="80"/>
      <c r="G14" s="81"/>
      <c r="H14" s="164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163">
        <f>SUM(I15)-0.3</f>
        <v>7.8</v>
      </c>
      <c r="I15" s="27">
        <f>SUM(J15)-0.3</f>
        <v>8.1</v>
      </c>
      <c r="J15" s="125">
        <v>8.4</v>
      </c>
      <c r="K15" s="114">
        <f>SUM(J15)+0.3</f>
        <v>8.7000000000000011</v>
      </c>
      <c r="L15" s="114">
        <f>SUM(K15)+0.3</f>
        <v>9.0000000000000018</v>
      </c>
      <c r="M15" s="162">
        <f>SUM(L15)+0.3</f>
        <v>9.3000000000000025</v>
      </c>
    </row>
    <row r="16" spans="1:14" s="1" customFormat="1" ht="14.1" customHeight="1">
      <c r="A16" s="122"/>
      <c r="B16" s="75" t="s">
        <v>28</v>
      </c>
      <c r="C16" s="75"/>
      <c r="D16" s="79" t="s">
        <v>164</v>
      </c>
      <c r="E16" s="80"/>
      <c r="F16" s="80"/>
      <c r="G16" s="81"/>
      <c r="H16" s="164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163">
        <f>SUM(I17)-1.6</f>
        <v>40.299999999999997</v>
      </c>
      <c r="I17" s="27">
        <f>SUM(J17)-1.6</f>
        <v>41.9</v>
      </c>
      <c r="J17" s="125">
        <v>43.5</v>
      </c>
      <c r="K17" s="114">
        <f>SUM(J17)+1.6</f>
        <v>45.1</v>
      </c>
      <c r="L17" s="114">
        <f>SUM(K17)+1.6</f>
        <v>46.7</v>
      </c>
      <c r="M17" s="162">
        <f>SUM(L17)+1.6</f>
        <v>48.300000000000004</v>
      </c>
    </row>
    <row r="18" spans="1:13" s="1" customFormat="1" ht="14.1" customHeight="1">
      <c r="A18" s="122"/>
      <c r="B18" s="75" t="s">
        <v>33</v>
      </c>
      <c r="C18" s="75"/>
      <c r="D18" s="79" t="s">
        <v>74</v>
      </c>
      <c r="E18" s="80"/>
      <c r="F18" s="80"/>
      <c r="G18" s="81"/>
      <c r="H18" s="164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/>
      <c r="C19" s="98"/>
      <c r="D19" s="124"/>
      <c r="E19" s="124"/>
      <c r="F19" s="124"/>
      <c r="G19" s="124"/>
      <c r="H19" s="27"/>
      <c r="I19" s="27"/>
      <c r="J19" s="125"/>
      <c r="K19" s="114"/>
      <c r="L19" s="114"/>
      <c r="M19" s="162"/>
    </row>
    <row r="20" spans="1:13" s="1" customFormat="1" ht="14.1" customHeight="1">
      <c r="A20" s="122"/>
      <c r="B20" s="75"/>
      <c r="C20" s="75"/>
      <c r="D20" s="79"/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/>
      <c r="C21" s="98"/>
      <c r="D21" s="76"/>
      <c r="E21" s="77"/>
      <c r="F21" s="77"/>
      <c r="G21" s="78"/>
      <c r="H21" s="27"/>
      <c r="I21" s="27"/>
      <c r="J21" s="125"/>
      <c r="K21" s="114"/>
      <c r="L21" s="114"/>
      <c r="M21" s="162"/>
    </row>
    <row r="22" spans="1:13" s="1" customFormat="1" ht="14.1" customHeight="1" thickBot="1">
      <c r="A22" s="123"/>
      <c r="B22" s="118"/>
      <c r="C22" s="118"/>
      <c r="D22" s="119"/>
      <c r="E22" s="120"/>
      <c r="F22" s="120"/>
      <c r="G22" s="121"/>
      <c r="H22" s="28"/>
      <c r="I22" s="28"/>
      <c r="J22" s="126"/>
      <c r="K22" s="115"/>
      <c r="L22" s="115"/>
      <c r="M22" s="142"/>
    </row>
    <row r="23" spans="1:13" s="1" customFormat="1" ht="14.1" customHeight="1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s="1" customFormat="1" ht="14.1" customHeight="1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s="1" customFormat="1" ht="14.1" customHeight="1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s="1" customFormat="1" ht="14.1" customHeight="1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s="1" customFormat="1" ht="14.1" customHeight="1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" customFormat="1" ht="14.1" customHeight="1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13"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118D-3E78-4189-BFB1-422BB445F2E9}">
  <sheetPr>
    <tabColor theme="5"/>
    <pageSetUpPr fitToPage="1"/>
  </sheetPr>
  <dimension ref="A1:P51"/>
  <sheetViews>
    <sheetView zoomScale="110" zoomScaleNormal="110" workbookViewId="0">
      <selection activeCell="P10" sqref="P10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85" t="s">
        <v>627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6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65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SUM(I3)-3.4</f>
        <v>39.900000000000006</v>
      </c>
      <c r="I3" s="27">
        <f>SUM(J3)-3.4</f>
        <v>43.300000000000004</v>
      </c>
      <c r="J3" s="139">
        <v>46.7</v>
      </c>
      <c r="K3" s="140">
        <f>SUM(J3)+2.9</f>
        <v>49.6</v>
      </c>
      <c r="L3" s="140">
        <f>SUM(K3)+2.9</f>
        <v>52.5</v>
      </c>
      <c r="M3" s="166">
        <f>SUM(L3)+2.9</f>
        <v>55.4</v>
      </c>
    </row>
    <row r="4" spans="1:16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1"/>
      <c r="K4" s="27"/>
      <c r="L4" s="27"/>
      <c r="M4" s="62"/>
    </row>
    <row r="5" spans="1:16" s="1" customFormat="1" ht="14.1" customHeight="1">
      <c r="A5" s="122">
        <v>2</v>
      </c>
      <c r="B5" s="36" t="s">
        <v>37</v>
      </c>
      <c r="C5" s="37"/>
      <c r="D5" s="76" t="s">
        <v>38</v>
      </c>
      <c r="E5" s="77"/>
      <c r="F5" s="77"/>
      <c r="G5" s="78"/>
      <c r="H5" s="27">
        <f>SUM(I5)-1.6</f>
        <v>34</v>
      </c>
      <c r="I5" s="27">
        <f>SUM(J5)-1.6</f>
        <v>35.6</v>
      </c>
      <c r="J5" s="41">
        <v>37.200000000000003</v>
      </c>
      <c r="K5" s="27">
        <f>SUM(J5)+1.4</f>
        <v>38.6</v>
      </c>
      <c r="L5" s="27">
        <f>SUM(K5)+1.4</f>
        <v>40</v>
      </c>
      <c r="M5" s="62">
        <f>SUM(L5)+1.4</f>
        <v>41.4</v>
      </c>
    </row>
    <row r="6" spans="1:16" s="1" customFormat="1" ht="14.1" customHeight="1">
      <c r="A6" s="122"/>
      <c r="B6" s="127" t="s">
        <v>24</v>
      </c>
      <c r="C6" s="128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8"/>
    </row>
    <row r="7" spans="1:16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SUM(I7)-2.25</f>
        <v>44.5</v>
      </c>
      <c r="I7" s="27">
        <f>SUM(J7)-2.25</f>
        <v>46.75</v>
      </c>
      <c r="J7" s="41">
        <v>49</v>
      </c>
      <c r="K7" s="27">
        <f>SUM(J7)+2</f>
        <v>51</v>
      </c>
      <c r="L7" s="27">
        <f>SUM(K7)+2</f>
        <v>53</v>
      </c>
      <c r="M7" s="62">
        <f>SUM(L7)+2</f>
        <v>55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6" s="1" customFormat="1" ht="14.1" customHeight="1">
      <c r="A9" s="122">
        <v>4</v>
      </c>
      <c r="B9" s="98" t="s">
        <v>628</v>
      </c>
      <c r="C9" s="98"/>
      <c r="D9" s="124"/>
      <c r="E9" s="124"/>
      <c r="F9" s="124"/>
      <c r="G9" s="124"/>
      <c r="H9" s="27">
        <f>SUM(I9)-3.5</f>
        <v>70.599999999999994</v>
      </c>
      <c r="I9" s="27">
        <f>SUM(J9)-3.5</f>
        <v>74.099999999999994</v>
      </c>
      <c r="J9" s="41">
        <v>77.599999999999994</v>
      </c>
      <c r="K9" s="27">
        <f>SUM(J9)+3</f>
        <v>80.599999999999994</v>
      </c>
      <c r="L9" s="27">
        <f>SUM(K9)+3</f>
        <v>83.6</v>
      </c>
      <c r="M9" s="62">
        <f>SUM(L9)+3</f>
        <v>86.6</v>
      </c>
    </row>
    <row r="10" spans="1:16" s="1" customFormat="1" ht="14.1" customHeight="1">
      <c r="A10" s="122"/>
      <c r="B10" s="75" t="s">
        <v>629</v>
      </c>
      <c r="C10" s="75"/>
      <c r="D10" s="79" t="s">
        <v>638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6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SUM(I11)-0.9</f>
        <v>20.100000000000001</v>
      </c>
      <c r="I11" s="27">
        <f>SUM(J11)-0.9</f>
        <v>21</v>
      </c>
      <c r="J11" s="125">
        <v>21.9</v>
      </c>
      <c r="K11" s="27">
        <f>SUM(J11)+0.9</f>
        <v>22.799999999999997</v>
      </c>
      <c r="L11" s="27">
        <f>SUM(K11)+0.9</f>
        <v>23.699999999999996</v>
      </c>
      <c r="M11" s="62">
        <f>SUM(L11)+0.9</f>
        <v>24.599999999999994</v>
      </c>
    </row>
    <row r="12" spans="1:16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46"/>
      <c r="L12" s="46"/>
      <c r="M12" s="48"/>
    </row>
    <row r="13" spans="1:16" s="1" customFormat="1" ht="14.1" customHeight="1" thickBot="1">
      <c r="A13" s="122">
        <v>6</v>
      </c>
      <c r="B13" s="98" t="s">
        <v>1</v>
      </c>
      <c r="C13" s="98"/>
      <c r="D13" s="124" t="s">
        <v>296</v>
      </c>
      <c r="E13" s="124"/>
      <c r="F13" s="124"/>
      <c r="G13" s="124"/>
      <c r="H13" s="27">
        <f>SUM(I13)-0.6</f>
        <v>17.299999999999997</v>
      </c>
      <c r="I13" s="27">
        <f>SUM(J13)-0.6</f>
        <v>17.899999999999999</v>
      </c>
      <c r="J13" s="125">
        <v>18.5</v>
      </c>
      <c r="K13" s="114">
        <f>SUM(J13)+0.6</f>
        <v>19.100000000000001</v>
      </c>
      <c r="L13" s="114">
        <f>SUM(K13)+0.6</f>
        <v>19.700000000000003</v>
      </c>
      <c r="M13" s="162">
        <f>SUM(L13)+0.6</f>
        <v>20.300000000000004</v>
      </c>
    </row>
    <row r="14" spans="1:16" s="1" customFormat="1" ht="14.1" customHeight="1" thickTop="1">
      <c r="A14" s="122"/>
      <c r="B14" s="75" t="s">
        <v>27</v>
      </c>
      <c r="C14" s="75"/>
      <c r="D14" s="79" t="s">
        <v>46</v>
      </c>
      <c r="E14" s="80"/>
      <c r="F14" s="80"/>
      <c r="G14" s="81"/>
      <c r="H14" s="46"/>
      <c r="I14" s="46"/>
      <c r="J14" s="125"/>
      <c r="K14" s="114"/>
      <c r="L14" s="114"/>
      <c r="M14" s="162"/>
      <c r="P14" s="7" t="s">
        <v>352</v>
      </c>
    </row>
    <row r="15" spans="1:16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9.6999999999999993</v>
      </c>
      <c r="I15" s="27">
        <f>SUM(J15)-0.3</f>
        <v>10</v>
      </c>
      <c r="J15" s="125">
        <v>10.3</v>
      </c>
      <c r="K15" s="114">
        <f>SUM(J15)+0.3</f>
        <v>10.600000000000001</v>
      </c>
      <c r="L15" s="114">
        <f>SUM(K15)+0.3</f>
        <v>10.900000000000002</v>
      </c>
      <c r="M15" s="162">
        <f>SUM(L15)+0.3</f>
        <v>11.200000000000003</v>
      </c>
      <c r="P15" s="8">
        <f>SUM(H9+H9+I9+I9+J9+J9+K9+K9+L9+L9+M9+M9)</f>
        <v>946.20000000000016</v>
      </c>
    </row>
    <row r="16" spans="1:16" s="1" customFormat="1" ht="14.1" customHeight="1" thickBot="1">
      <c r="A16" s="122"/>
      <c r="B16" s="75" t="s">
        <v>28</v>
      </c>
      <c r="C16" s="75"/>
      <c r="D16" s="79" t="s">
        <v>164</v>
      </c>
      <c r="E16" s="80"/>
      <c r="F16" s="80"/>
      <c r="G16" s="81"/>
      <c r="H16" s="46"/>
      <c r="I16" s="46"/>
      <c r="J16" s="125"/>
      <c r="K16" s="114"/>
      <c r="L16" s="114"/>
      <c r="M16" s="162"/>
      <c r="P16" s="9">
        <f>SUM(P15/91.44/6*1.08)</f>
        <v>1.862598425196851</v>
      </c>
    </row>
    <row r="17" spans="1:16" s="1" customFormat="1" ht="14.1" customHeight="1" thickTop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47.099999999999994</v>
      </c>
      <c r="I17" s="27">
        <f>SUM(J17)-1.6</f>
        <v>48.699999999999996</v>
      </c>
      <c r="J17" s="125">
        <v>50.3</v>
      </c>
      <c r="K17" s="114">
        <f>SUM(J17)+1.6</f>
        <v>51.9</v>
      </c>
      <c r="L17" s="114">
        <f>SUM(K17)+1.6</f>
        <v>53.5</v>
      </c>
      <c r="M17" s="162">
        <f>SUM(L17)+1.6</f>
        <v>55.1</v>
      </c>
    </row>
    <row r="18" spans="1:16" s="1" customFormat="1" ht="14.1" customHeight="1">
      <c r="A18" s="122"/>
      <c r="B18" s="75" t="s">
        <v>33</v>
      </c>
      <c r="C18" s="75"/>
      <c r="D18" s="79" t="s">
        <v>297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6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/>
      <c r="I19" s="27"/>
      <c r="J19" s="41"/>
      <c r="K19" s="27"/>
      <c r="L19" s="27"/>
      <c r="M19" s="62"/>
    </row>
    <row r="20" spans="1:16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44"/>
      <c r="K20" s="46"/>
      <c r="L20" s="46"/>
      <c r="M20" s="48"/>
    </row>
    <row r="21" spans="1:16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162"/>
    </row>
    <row r="22" spans="1:16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6" s="1" customFormat="1" ht="14.1" customHeight="1">
      <c r="A23" s="122">
        <v>11</v>
      </c>
      <c r="B23" s="36" t="s">
        <v>260</v>
      </c>
      <c r="C23" s="37"/>
      <c r="D23" s="124" t="s">
        <v>65</v>
      </c>
      <c r="E23" s="124"/>
      <c r="F23" s="124"/>
      <c r="G23" s="124"/>
      <c r="H23" s="27"/>
      <c r="I23" s="27"/>
      <c r="J23" s="125"/>
      <c r="K23" s="114"/>
      <c r="L23" s="114"/>
      <c r="M23" s="162"/>
    </row>
    <row r="24" spans="1:16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6" s="1" customFormat="1" ht="14.1" customHeight="1">
      <c r="A25" s="122">
        <v>12</v>
      </c>
      <c r="B25" s="36" t="s">
        <v>72</v>
      </c>
      <c r="C25" s="37"/>
      <c r="D25" s="77" t="s">
        <v>168</v>
      </c>
      <c r="E25" s="77"/>
      <c r="F25" s="77"/>
      <c r="G25" s="77"/>
      <c r="H25" s="27">
        <f>SUM(I25)-0.2</f>
        <v>6.1</v>
      </c>
      <c r="I25" s="27">
        <f>SUM(J25)-0.2</f>
        <v>6.3</v>
      </c>
      <c r="J25" s="125">
        <v>6.5</v>
      </c>
      <c r="K25" s="114">
        <f>SUM(J25)+0.2</f>
        <v>6.7</v>
      </c>
      <c r="L25" s="114">
        <f t="shared" ref="L25" si="0">SUM(K25)+0.2</f>
        <v>6.9</v>
      </c>
      <c r="M25" s="162">
        <f t="shared" ref="M25" si="1">SUM(L25)+0.2</f>
        <v>7.1000000000000005</v>
      </c>
    </row>
    <row r="26" spans="1:16" s="1" customFormat="1" ht="14.1" customHeight="1">
      <c r="A26" s="122"/>
      <c r="B26" s="75" t="s">
        <v>34</v>
      </c>
      <c r="C26" s="75"/>
      <c r="D26" s="79" t="s">
        <v>167</v>
      </c>
      <c r="E26" s="80"/>
      <c r="F26" s="80"/>
      <c r="G26" s="81"/>
      <c r="H26" s="46"/>
      <c r="I26" s="46"/>
      <c r="J26" s="125"/>
      <c r="K26" s="114"/>
      <c r="L26" s="114"/>
      <c r="M26" s="162"/>
    </row>
    <row r="27" spans="1:16" s="1" customFormat="1" ht="14.1" customHeight="1">
      <c r="A27" s="122">
        <v>13</v>
      </c>
      <c r="B27" s="36" t="s">
        <v>165</v>
      </c>
      <c r="C27" s="37"/>
      <c r="D27" s="124"/>
      <c r="E27" s="124"/>
      <c r="F27" s="124"/>
      <c r="G27" s="124"/>
      <c r="H27" s="27">
        <f>SUM(I27)-0.6</f>
        <v>11.8</v>
      </c>
      <c r="I27" s="27">
        <f>SUM(J27)-0.6</f>
        <v>12.4</v>
      </c>
      <c r="J27" s="41">
        <v>13</v>
      </c>
      <c r="K27" s="114">
        <f>SUM(J27)+0.6</f>
        <v>13.6</v>
      </c>
      <c r="L27" s="114">
        <f>SUM(K27)+0.6</f>
        <v>14.2</v>
      </c>
      <c r="M27" s="162">
        <f>SUM(L27)+0.6</f>
        <v>14.799999999999999</v>
      </c>
    </row>
    <row r="28" spans="1:16" s="1" customFormat="1" ht="14.1" customHeight="1" thickBot="1">
      <c r="A28" s="122"/>
      <c r="B28" s="127" t="s">
        <v>166</v>
      </c>
      <c r="C28" s="128"/>
      <c r="D28" s="79"/>
      <c r="E28" s="80"/>
      <c r="F28" s="80"/>
      <c r="G28" s="81"/>
      <c r="H28" s="46"/>
      <c r="I28" s="46"/>
      <c r="J28" s="44"/>
      <c r="K28" s="114"/>
      <c r="L28" s="114"/>
      <c r="M28" s="162"/>
    </row>
    <row r="29" spans="1:16" s="1" customFormat="1" ht="14.1" customHeight="1" thickTop="1">
      <c r="A29" s="122">
        <v>14</v>
      </c>
      <c r="B29" s="36" t="s">
        <v>630</v>
      </c>
      <c r="C29" s="37"/>
      <c r="D29" s="77"/>
      <c r="E29" s="77"/>
      <c r="F29" s="77"/>
      <c r="G29" s="77"/>
      <c r="H29" s="27">
        <f>SUM(I29)-0.7</f>
        <v>11.8</v>
      </c>
      <c r="I29" s="27">
        <f>SUM(J29)-0.7</f>
        <v>12.5</v>
      </c>
      <c r="J29" s="125">
        <v>13.2</v>
      </c>
      <c r="K29" s="114">
        <f>SUM(J29)+0.6</f>
        <v>13.799999999999999</v>
      </c>
      <c r="L29" s="114">
        <f>SUM(K29)+0.6</f>
        <v>14.399999999999999</v>
      </c>
      <c r="M29" s="162">
        <f>SUM(L29)+0.6</f>
        <v>14.999999999999998</v>
      </c>
      <c r="P29" s="7" t="s">
        <v>639</v>
      </c>
    </row>
    <row r="30" spans="1:16" s="1" customFormat="1" ht="14.1" customHeight="1">
      <c r="A30" s="122"/>
      <c r="B30" s="75" t="s">
        <v>631</v>
      </c>
      <c r="C30" s="75"/>
      <c r="D30" s="79"/>
      <c r="E30" s="80"/>
      <c r="F30" s="80"/>
      <c r="G30" s="81"/>
      <c r="H30" s="46"/>
      <c r="I30" s="46"/>
      <c r="J30" s="125"/>
      <c r="K30" s="114"/>
      <c r="L30" s="114"/>
      <c r="M30" s="162"/>
      <c r="P30" s="8">
        <f>SUM(H29+H29+I29+I29+J29+J29+K29+K29+L29+L29+M29+M29)</f>
        <v>161.4</v>
      </c>
    </row>
    <row r="31" spans="1:16" s="1" customFormat="1" ht="14.1" customHeight="1">
      <c r="A31" s="122">
        <v>15</v>
      </c>
      <c r="B31" s="36" t="s">
        <v>633</v>
      </c>
      <c r="C31" s="37"/>
      <c r="D31" s="77"/>
      <c r="E31" s="77"/>
      <c r="F31" s="77"/>
      <c r="G31" s="77"/>
      <c r="H31" s="27">
        <f>SUM(I31)-0.9</f>
        <v>17.400000000000002</v>
      </c>
      <c r="I31" s="27">
        <f>SUM(J31)-0.9</f>
        <v>18.3</v>
      </c>
      <c r="J31" s="125">
        <v>19.2</v>
      </c>
      <c r="K31" s="114">
        <f>SUM(J31)+0.8</f>
        <v>20</v>
      </c>
      <c r="L31" s="114">
        <f>SUM(K31)+0.8</f>
        <v>20.8</v>
      </c>
      <c r="M31" s="162">
        <f>SUM(L31)+0.8</f>
        <v>21.6</v>
      </c>
      <c r="P31" s="8">
        <f>SUM(H31+H31+I31+I31+J31+J31+K31+K31+L31+L31+M31+M31)</f>
        <v>234.60000000000002</v>
      </c>
    </row>
    <row r="32" spans="1:16" s="1" customFormat="1" ht="14.1" customHeight="1">
      <c r="A32" s="122"/>
      <c r="B32" s="75" t="s">
        <v>632</v>
      </c>
      <c r="C32" s="75"/>
      <c r="D32" s="79"/>
      <c r="E32" s="80"/>
      <c r="F32" s="80"/>
      <c r="G32" s="81"/>
      <c r="H32" s="46"/>
      <c r="I32" s="46"/>
      <c r="J32" s="125"/>
      <c r="K32" s="114"/>
      <c r="L32" s="114"/>
      <c r="M32" s="162"/>
      <c r="P32" s="8">
        <f>SUM(H33+I33+J33+K33+L33+M33)</f>
        <v>179.10000000000002</v>
      </c>
    </row>
    <row r="33" spans="1:16" s="1" customFormat="1" ht="14.1" customHeight="1" thickBot="1">
      <c r="A33" s="122">
        <v>16</v>
      </c>
      <c r="B33" s="36" t="s">
        <v>634</v>
      </c>
      <c r="C33" s="37"/>
      <c r="D33" s="77"/>
      <c r="E33" s="77"/>
      <c r="F33" s="77"/>
      <c r="G33" s="77"/>
      <c r="H33" s="27">
        <f>SUM(I33)-1.5</f>
        <v>26.3</v>
      </c>
      <c r="I33" s="27">
        <f>SUM(J33)-1.5</f>
        <v>27.8</v>
      </c>
      <c r="J33" s="125">
        <v>29.3</v>
      </c>
      <c r="K33" s="114">
        <f>SUM(J33)+1.3</f>
        <v>30.6</v>
      </c>
      <c r="L33" s="114">
        <f>SUM(K33)+1.3</f>
        <v>31.900000000000002</v>
      </c>
      <c r="M33" s="162">
        <f>SUM(L33)+1.3</f>
        <v>33.200000000000003</v>
      </c>
      <c r="P33" s="9">
        <f>SUM(H35+I35+J35+K35+L35+M35)</f>
        <v>239.40000000000003</v>
      </c>
    </row>
    <row r="34" spans="1:16" s="1" customFormat="1" ht="14.1" customHeight="1" thickTop="1">
      <c r="A34" s="122"/>
      <c r="B34" s="75" t="s">
        <v>635</v>
      </c>
      <c r="C34" s="75"/>
      <c r="D34" s="79"/>
      <c r="E34" s="80"/>
      <c r="F34" s="80"/>
      <c r="G34" s="81"/>
      <c r="H34" s="46"/>
      <c r="I34" s="46"/>
      <c r="J34" s="125"/>
      <c r="K34" s="114"/>
      <c r="L34" s="114"/>
      <c r="M34" s="162"/>
      <c r="P34" s="1">
        <f>SUM(P30+P31+P32+P33)</f>
        <v>814.5</v>
      </c>
    </row>
    <row r="35" spans="1:16" s="1" customFormat="1" ht="14.1" customHeight="1">
      <c r="A35" s="122">
        <v>17</v>
      </c>
      <c r="B35" s="36" t="s">
        <v>636</v>
      </c>
      <c r="C35" s="37"/>
      <c r="D35" s="77"/>
      <c r="E35" s="77"/>
      <c r="F35" s="77"/>
      <c r="G35" s="77"/>
      <c r="H35" s="27">
        <f>SUM(I35)-1.8</f>
        <v>35.600000000000009</v>
      </c>
      <c r="I35" s="27">
        <f>SUM(J35)-1.8</f>
        <v>37.400000000000006</v>
      </c>
      <c r="J35" s="125">
        <v>39.200000000000003</v>
      </c>
      <c r="K35" s="114">
        <f>SUM(J35)+1.6</f>
        <v>40.800000000000004</v>
      </c>
      <c r="L35" s="114">
        <f>SUM(K35)+1.6</f>
        <v>42.400000000000006</v>
      </c>
      <c r="M35" s="162">
        <f>SUM(L35)+1.6</f>
        <v>44.000000000000007</v>
      </c>
      <c r="P35" s="1">
        <f>SUM(P34/91.44/6*1.08)</f>
        <v>1.6033464566929134</v>
      </c>
    </row>
    <row r="36" spans="1:16" ht="14.1" customHeight="1">
      <c r="A36" s="122"/>
      <c r="B36" s="75" t="s">
        <v>637</v>
      </c>
      <c r="C36" s="75"/>
      <c r="D36" s="79"/>
      <c r="E36" s="80"/>
      <c r="F36" s="80"/>
      <c r="G36" s="81"/>
      <c r="H36" s="46"/>
      <c r="I36" s="46"/>
      <c r="J36" s="125"/>
      <c r="K36" s="114"/>
      <c r="L36" s="114"/>
      <c r="M36" s="162"/>
    </row>
    <row r="37" spans="1:16" ht="14.1" customHeight="1">
      <c r="A37" s="122">
        <v>18</v>
      </c>
      <c r="B37" s="36" t="s">
        <v>143</v>
      </c>
      <c r="C37" s="37"/>
      <c r="D37" s="129"/>
      <c r="E37" s="130"/>
      <c r="F37" s="130"/>
      <c r="G37" s="131"/>
      <c r="H37" s="27">
        <f>SUM(I37)-3.4</f>
        <v>38</v>
      </c>
      <c r="I37" s="27">
        <f>SUM(J37)-3.4</f>
        <v>41.4</v>
      </c>
      <c r="J37" s="41">
        <v>44.8</v>
      </c>
      <c r="K37" s="114">
        <f>SUM(J37)+2.9</f>
        <v>47.699999999999996</v>
      </c>
      <c r="L37" s="114">
        <f>SUM(K37)+2.9</f>
        <v>50.599999999999994</v>
      </c>
      <c r="M37" s="162">
        <f>SUM(L37)+2.9</f>
        <v>53.499999999999993</v>
      </c>
    </row>
    <row r="38" spans="1:16" ht="14.1" customHeight="1">
      <c r="A38" s="122"/>
      <c r="B38" s="133" t="s">
        <v>129</v>
      </c>
      <c r="C38" s="134"/>
      <c r="D38" s="102" t="s">
        <v>641</v>
      </c>
      <c r="E38" s="103"/>
      <c r="F38" s="103"/>
      <c r="G38" s="104"/>
      <c r="H38" s="46"/>
      <c r="I38" s="46"/>
      <c r="J38" s="44"/>
      <c r="K38" s="114"/>
      <c r="L38" s="114"/>
      <c r="M38" s="162"/>
    </row>
    <row r="39" spans="1:16" ht="14.1" customHeight="1">
      <c r="A39" s="122">
        <v>19</v>
      </c>
      <c r="B39" s="36"/>
      <c r="C39" s="37"/>
      <c r="D39" s="129"/>
      <c r="E39" s="130"/>
      <c r="F39" s="130"/>
      <c r="G39" s="131"/>
      <c r="H39" s="27"/>
      <c r="I39" s="27"/>
      <c r="J39" s="41"/>
      <c r="K39" s="27"/>
      <c r="L39" s="27"/>
      <c r="M39" s="62"/>
    </row>
    <row r="40" spans="1:16" ht="14.1" customHeight="1">
      <c r="A40" s="122"/>
      <c r="B40" s="127"/>
      <c r="C40" s="128"/>
      <c r="D40" s="79"/>
      <c r="E40" s="80"/>
      <c r="F40" s="80"/>
      <c r="G40" s="81"/>
      <c r="H40" s="46"/>
      <c r="I40" s="46"/>
      <c r="J40" s="44"/>
      <c r="K40" s="46"/>
      <c r="L40" s="46"/>
      <c r="M40" s="48"/>
    </row>
    <row r="41" spans="1:16" ht="14.1" customHeight="1">
      <c r="A41" s="122">
        <v>20</v>
      </c>
      <c r="B41" s="36"/>
      <c r="C41" s="37"/>
      <c r="D41" s="124"/>
      <c r="E41" s="124"/>
      <c r="F41" s="124"/>
      <c r="G41" s="124"/>
      <c r="H41" s="27"/>
      <c r="I41" s="27"/>
      <c r="J41" s="41"/>
      <c r="K41" s="114"/>
      <c r="L41" s="114"/>
      <c r="M41" s="162"/>
      <c r="N41" s="1"/>
    </row>
    <row r="42" spans="1:16" ht="14.1" customHeight="1" thickBot="1">
      <c r="A42" s="123"/>
      <c r="B42" s="143"/>
      <c r="C42" s="144"/>
      <c r="D42" s="167"/>
      <c r="E42" s="120"/>
      <c r="F42" s="120"/>
      <c r="G42" s="121"/>
      <c r="H42" s="28"/>
      <c r="I42" s="28"/>
      <c r="J42" s="42"/>
      <c r="K42" s="115"/>
      <c r="L42" s="115"/>
      <c r="M42" s="142"/>
      <c r="N42" s="1"/>
    </row>
    <row r="43" spans="1:16" ht="14.1" customHeight="1">
      <c r="N43" s="1"/>
    </row>
    <row r="44" spans="1:16" ht="14.1" customHeight="1"/>
    <row r="45" spans="1:16" ht="14.1" customHeight="1"/>
    <row r="46" spans="1:16" ht="14.1" customHeight="1"/>
    <row r="47" spans="1:16" ht="14.1" customHeight="1"/>
    <row r="48" spans="1:16" ht="14.1" customHeight="1"/>
    <row r="49" ht="14.1" customHeight="1"/>
    <row r="50" ht="14.1" customHeight="1"/>
    <row r="51" ht="14.1" customHeight="1"/>
  </sheetData>
  <mergeCells count="223">
    <mergeCell ref="I35:I36"/>
    <mergeCell ref="J35:J36"/>
    <mergeCell ref="K35:K36"/>
    <mergeCell ref="L35:L36"/>
    <mergeCell ref="M35:M36"/>
    <mergeCell ref="B36:C36"/>
    <mergeCell ref="D36:G36"/>
    <mergeCell ref="B34:C34"/>
    <mergeCell ref="D34:G34"/>
    <mergeCell ref="A35:A36"/>
    <mergeCell ref="B35:C35"/>
    <mergeCell ref="D35:G35"/>
    <mergeCell ref="H35:H36"/>
    <mergeCell ref="A1:M1"/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35D9-393B-41B9-8C98-E9B12990A0B8}">
  <sheetPr>
    <tabColor theme="5"/>
    <pageSetUpPr fitToPage="1"/>
  </sheetPr>
  <dimension ref="A1:P51"/>
  <sheetViews>
    <sheetView zoomScale="110" zoomScaleNormal="110" workbookViewId="0">
      <selection activeCell="K15" sqref="K15:K16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85" t="s">
        <v>640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6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65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SUM(I3)-3.4</f>
        <v>38.200000000000003</v>
      </c>
      <c r="I3" s="27">
        <f>SUM(J3)-3.4</f>
        <v>41.6</v>
      </c>
      <c r="J3" s="139">
        <v>45</v>
      </c>
      <c r="K3" s="140">
        <f>SUM(J3)+2.9</f>
        <v>47.9</v>
      </c>
      <c r="L3" s="140">
        <f>SUM(K3)+2.9</f>
        <v>50.8</v>
      </c>
      <c r="M3" s="166">
        <f>SUM(L3)+2.9</f>
        <v>53.699999999999996</v>
      </c>
    </row>
    <row r="4" spans="1:16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1"/>
      <c r="K4" s="27"/>
      <c r="L4" s="27"/>
      <c r="M4" s="62"/>
    </row>
    <row r="5" spans="1:16" s="1" customFormat="1" ht="14.1" customHeight="1">
      <c r="A5" s="122">
        <v>2</v>
      </c>
      <c r="B5" s="36" t="s">
        <v>37</v>
      </c>
      <c r="C5" s="37"/>
      <c r="D5" s="76" t="s">
        <v>38</v>
      </c>
      <c r="E5" s="77"/>
      <c r="F5" s="77"/>
      <c r="G5" s="78"/>
      <c r="H5" s="27">
        <f>SUM(I5)-1.6</f>
        <v>33.799999999999997</v>
      </c>
      <c r="I5" s="27">
        <f>SUM(J5)-1.6</f>
        <v>35.4</v>
      </c>
      <c r="J5" s="41">
        <v>37</v>
      </c>
      <c r="K5" s="27">
        <f>SUM(J5)+1.4</f>
        <v>38.4</v>
      </c>
      <c r="L5" s="27">
        <f>SUM(K5)+1.4</f>
        <v>39.799999999999997</v>
      </c>
      <c r="M5" s="62">
        <f>SUM(L5)+1.4</f>
        <v>41.199999999999996</v>
      </c>
    </row>
    <row r="6" spans="1:16" s="1" customFormat="1" ht="14.1" customHeight="1">
      <c r="A6" s="122"/>
      <c r="B6" s="127" t="s">
        <v>24</v>
      </c>
      <c r="C6" s="128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8"/>
    </row>
    <row r="7" spans="1:16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SUM(I7)-2.25</f>
        <v>39.5</v>
      </c>
      <c r="I7" s="27">
        <f>SUM(J7)-2.25</f>
        <v>41.75</v>
      </c>
      <c r="J7" s="41">
        <v>44</v>
      </c>
      <c r="K7" s="27">
        <f>SUM(J7)+2</f>
        <v>46</v>
      </c>
      <c r="L7" s="27">
        <f>SUM(K7)+2</f>
        <v>48</v>
      </c>
      <c r="M7" s="62">
        <f>SUM(L7)+2</f>
        <v>50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6" s="1" customFormat="1" ht="14.1" customHeight="1">
      <c r="A9" s="122">
        <v>4</v>
      </c>
      <c r="B9" s="98" t="s">
        <v>628</v>
      </c>
      <c r="C9" s="98"/>
      <c r="D9" s="124"/>
      <c r="E9" s="124"/>
      <c r="F9" s="124"/>
      <c r="G9" s="124"/>
      <c r="H9" s="27">
        <f>SUM(I9)-3.5</f>
        <v>70.599999999999994</v>
      </c>
      <c r="I9" s="27">
        <f>SUM(J9)-3.5</f>
        <v>74.099999999999994</v>
      </c>
      <c r="J9" s="41">
        <v>77.599999999999994</v>
      </c>
      <c r="K9" s="27">
        <f>SUM(J9)+3</f>
        <v>80.599999999999994</v>
      </c>
      <c r="L9" s="27">
        <f>SUM(K9)+3</f>
        <v>83.6</v>
      </c>
      <c r="M9" s="62">
        <f>SUM(L9)+3</f>
        <v>86.6</v>
      </c>
    </row>
    <row r="10" spans="1:16" s="1" customFormat="1" ht="14.1" customHeight="1">
      <c r="A10" s="122"/>
      <c r="B10" s="75" t="s">
        <v>629</v>
      </c>
      <c r="C10" s="75"/>
      <c r="D10" s="79" t="s">
        <v>638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6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SUM(I11)-0.9</f>
        <v>17.200000000000003</v>
      </c>
      <c r="I11" s="27">
        <f>SUM(J11)-0.9</f>
        <v>18.100000000000001</v>
      </c>
      <c r="J11" s="125">
        <v>19</v>
      </c>
      <c r="K11" s="27">
        <f>SUM(J11)+0.9</f>
        <v>19.899999999999999</v>
      </c>
      <c r="L11" s="27">
        <f>SUM(K11)+0.9</f>
        <v>20.799999999999997</v>
      </c>
      <c r="M11" s="62">
        <f>SUM(L11)+0.9</f>
        <v>21.699999999999996</v>
      </c>
    </row>
    <row r="12" spans="1:16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46"/>
      <c r="L12" s="46"/>
      <c r="M12" s="48"/>
    </row>
    <row r="13" spans="1:16" s="1" customFormat="1" ht="14.1" customHeight="1" thickBot="1">
      <c r="A13" s="122">
        <v>6</v>
      </c>
      <c r="B13" s="98" t="s">
        <v>1</v>
      </c>
      <c r="C13" s="98"/>
      <c r="D13" s="124" t="s">
        <v>296</v>
      </c>
      <c r="E13" s="124"/>
      <c r="F13" s="124"/>
      <c r="G13" s="124"/>
      <c r="H13" s="27">
        <f>SUM(I13)-0.6</f>
        <v>17.299999999999997</v>
      </c>
      <c r="I13" s="27">
        <f>SUM(J13)-0.6</f>
        <v>17.899999999999999</v>
      </c>
      <c r="J13" s="125">
        <v>18.5</v>
      </c>
      <c r="K13" s="114">
        <f>SUM(J13)+0.6</f>
        <v>19.100000000000001</v>
      </c>
      <c r="L13" s="114">
        <f>SUM(K13)+0.6</f>
        <v>19.700000000000003</v>
      </c>
      <c r="M13" s="162">
        <f>SUM(L13)+0.6</f>
        <v>20.300000000000004</v>
      </c>
    </row>
    <row r="14" spans="1:16" s="1" customFormat="1" ht="14.1" customHeight="1" thickTop="1">
      <c r="A14" s="122"/>
      <c r="B14" s="75" t="s">
        <v>27</v>
      </c>
      <c r="C14" s="75"/>
      <c r="D14" s="79" t="s">
        <v>46</v>
      </c>
      <c r="E14" s="80"/>
      <c r="F14" s="80"/>
      <c r="G14" s="81"/>
      <c r="H14" s="46"/>
      <c r="I14" s="46"/>
      <c r="J14" s="125"/>
      <c r="K14" s="114"/>
      <c r="L14" s="114"/>
      <c r="M14" s="162"/>
      <c r="P14" s="7" t="s">
        <v>352</v>
      </c>
    </row>
    <row r="15" spans="1:16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7.8999999999999995</v>
      </c>
      <c r="I15" s="27">
        <f>SUM(J15)-0.3</f>
        <v>8.1999999999999993</v>
      </c>
      <c r="J15" s="125">
        <v>8.5</v>
      </c>
      <c r="K15" s="114">
        <f>SUM(J15)+0.3</f>
        <v>8.8000000000000007</v>
      </c>
      <c r="L15" s="114">
        <f>SUM(K15)+0.3</f>
        <v>9.1000000000000014</v>
      </c>
      <c r="M15" s="162">
        <f>SUM(L15)+0.3</f>
        <v>9.4000000000000021</v>
      </c>
      <c r="P15" s="8">
        <f>SUM(H9+H9+I9+I9+J9+J9+K9+K9+L9+L9+M9+M9)</f>
        <v>946.20000000000016</v>
      </c>
    </row>
    <row r="16" spans="1:16" s="1" customFormat="1" ht="14.1" customHeight="1" thickBot="1">
      <c r="A16" s="122"/>
      <c r="B16" s="75" t="s">
        <v>28</v>
      </c>
      <c r="C16" s="75"/>
      <c r="D16" s="79" t="s">
        <v>164</v>
      </c>
      <c r="E16" s="80"/>
      <c r="F16" s="80"/>
      <c r="G16" s="81"/>
      <c r="H16" s="46"/>
      <c r="I16" s="46"/>
      <c r="J16" s="125"/>
      <c r="K16" s="114"/>
      <c r="L16" s="114"/>
      <c r="M16" s="162"/>
      <c r="P16" s="9">
        <f>SUM(P15/91.44/6*1.08)</f>
        <v>1.862598425196851</v>
      </c>
    </row>
    <row r="17" spans="1:16" s="1" customFormat="1" ht="14.1" customHeight="1" thickTop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42.8</v>
      </c>
      <c r="I17" s="27">
        <f>SUM(J17)-1.6</f>
        <v>44.4</v>
      </c>
      <c r="J17" s="125">
        <v>46</v>
      </c>
      <c r="K17" s="114">
        <f>SUM(J17)+1.6</f>
        <v>47.6</v>
      </c>
      <c r="L17" s="114">
        <f>SUM(K17)+1.6</f>
        <v>49.2</v>
      </c>
      <c r="M17" s="162">
        <f>SUM(L17)+1.6</f>
        <v>50.800000000000004</v>
      </c>
    </row>
    <row r="18" spans="1:16" s="1" customFormat="1" ht="14.1" customHeight="1">
      <c r="A18" s="122"/>
      <c r="B18" s="75" t="s">
        <v>33</v>
      </c>
      <c r="C18" s="75"/>
      <c r="D18" s="79" t="s">
        <v>297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6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/>
      <c r="I19" s="27"/>
      <c r="J19" s="41"/>
      <c r="K19" s="27"/>
      <c r="L19" s="27"/>
      <c r="M19" s="62"/>
    </row>
    <row r="20" spans="1:16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44"/>
      <c r="K20" s="46"/>
      <c r="L20" s="46"/>
      <c r="M20" s="48"/>
    </row>
    <row r="21" spans="1:16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162"/>
    </row>
    <row r="22" spans="1:16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6" s="1" customFormat="1" ht="14.1" customHeight="1">
      <c r="A23" s="122">
        <v>11</v>
      </c>
      <c r="B23" s="36" t="s">
        <v>260</v>
      </c>
      <c r="C23" s="37"/>
      <c r="D23" s="124" t="s">
        <v>65</v>
      </c>
      <c r="E23" s="124"/>
      <c r="F23" s="124"/>
      <c r="G23" s="124"/>
      <c r="H23" s="27"/>
      <c r="I23" s="27"/>
      <c r="J23" s="125"/>
      <c r="K23" s="114"/>
      <c r="L23" s="114"/>
      <c r="M23" s="162"/>
    </row>
    <row r="24" spans="1:16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6" s="1" customFormat="1" ht="14.1" customHeight="1">
      <c r="A25" s="122">
        <v>12</v>
      </c>
      <c r="B25" s="36" t="s">
        <v>72</v>
      </c>
      <c r="C25" s="37"/>
      <c r="D25" s="77" t="s">
        <v>168</v>
      </c>
      <c r="E25" s="77"/>
      <c r="F25" s="77"/>
      <c r="G25" s="77"/>
      <c r="H25" s="27">
        <f>SUM(I25)-0.2</f>
        <v>6.1</v>
      </c>
      <c r="I25" s="27">
        <f>SUM(J25)-0.2</f>
        <v>6.3</v>
      </c>
      <c r="J25" s="125">
        <v>6.5</v>
      </c>
      <c r="K25" s="114">
        <f>SUM(J25)+0.2</f>
        <v>6.7</v>
      </c>
      <c r="L25" s="114">
        <f t="shared" ref="L25:M25" si="0">SUM(K25)+0.2</f>
        <v>6.9</v>
      </c>
      <c r="M25" s="162">
        <f t="shared" si="0"/>
        <v>7.1000000000000005</v>
      </c>
    </row>
    <row r="26" spans="1:16" s="1" customFormat="1" ht="14.1" customHeight="1">
      <c r="A26" s="122"/>
      <c r="B26" s="75" t="s">
        <v>34</v>
      </c>
      <c r="C26" s="75"/>
      <c r="D26" s="79" t="s">
        <v>167</v>
      </c>
      <c r="E26" s="80"/>
      <c r="F26" s="80"/>
      <c r="G26" s="81"/>
      <c r="H26" s="46"/>
      <c r="I26" s="46"/>
      <c r="J26" s="125"/>
      <c r="K26" s="114"/>
      <c r="L26" s="114"/>
      <c r="M26" s="162"/>
    </row>
    <row r="27" spans="1:16" s="1" customFormat="1" ht="14.1" customHeight="1">
      <c r="A27" s="122">
        <v>13</v>
      </c>
      <c r="B27" s="36" t="s">
        <v>165</v>
      </c>
      <c r="C27" s="37"/>
      <c r="D27" s="124"/>
      <c r="E27" s="124"/>
      <c r="F27" s="124"/>
      <c r="G27" s="124"/>
      <c r="H27" s="27">
        <f>SUM(I27)-0.6</f>
        <v>11.8</v>
      </c>
      <c r="I27" s="27">
        <f>SUM(J27)-0.6</f>
        <v>12.4</v>
      </c>
      <c r="J27" s="41">
        <v>13</v>
      </c>
      <c r="K27" s="114">
        <f>SUM(J27)+0.6</f>
        <v>13.6</v>
      </c>
      <c r="L27" s="114">
        <f>SUM(K27)+0.6</f>
        <v>14.2</v>
      </c>
      <c r="M27" s="162">
        <f>SUM(L27)+0.6</f>
        <v>14.799999999999999</v>
      </c>
    </row>
    <row r="28" spans="1:16" s="1" customFormat="1" ht="14.1" customHeight="1" thickBot="1">
      <c r="A28" s="122"/>
      <c r="B28" s="127" t="s">
        <v>166</v>
      </c>
      <c r="C28" s="128"/>
      <c r="D28" s="79"/>
      <c r="E28" s="80"/>
      <c r="F28" s="80"/>
      <c r="G28" s="81"/>
      <c r="H28" s="46"/>
      <c r="I28" s="46"/>
      <c r="J28" s="44"/>
      <c r="K28" s="114"/>
      <c r="L28" s="114"/>
      <c r="M28" s="162"/>
    </row>
    <row r="29" spans="1:16" s="1" customFormat="1" ht="14.1" customHeight="1" thickTop="1">
      <c r="A29" s="122">
        <v>14</v>
      </c>
      <c r="B29" s="36" t="s">
        <v>630</v>
      </c>
      <c r="C29" s="37"/>
      <c r="D29" s="77"/>
      <c r="E29" s="77"/>
      <c r="F29" s="77"/>
      <c r="G29" s="77"/>
      <c r="H29" s="27">
        <f>SUM(I29)-0.7</f>
        <v>11.8</v>
      </c>
      <c r="I29" s="27">
        <f>SUM(J29)-0.7</f>
        <v>12.5</v>
      </c>
      <c r="J29" s="125">
        <v>13.2</v>
      </c>
      <c r="K29" s="114">
        <f>SUM(J29)+0.6</f>
        <v>13.799999999999999</v>
      </c>
      <c r="L29" s="114">
        <f>SUM(K29)+0.6</f>
        <v>14.399999999999999</v>
      </c>
      <c r="M29" s="162">
        <f>SUM(L29)+0.6</f>
        <v>14.999999999999998</v>
      </c>
      <c r="P29" s="7" t="s">
        <v>639</v>
      </c>
    </row>
    <row r="30" spans="1:16" s="1" customFormat="1" ht="14.1" customHeight="1">
      <c r="A30" s="122"/>
      <c r="B30" s="75" t="s">
        <v>631</v>
      </c>
      <c r="C30" s="75"/>
      <c r="D30" s="79"/>
      <c r="E30" s="80"/>
      <c r="F30" s="80"/>
      <c r="G30" s="81"/>
      <c r="H30" s="46"/>
      <c r="I30" s="46"/>
      <c r="J30" s="125"/>
      <c r="K30" s="114"/>
      <c r="L30" s="114"/>
      <c r="M30" s="162"/>
      <c r="P30" s="8">
        <f>SUM(H29+H29+I29+I29+J29+J29+K29+K29+L29+L29+M29+M29)</f>
        <v>161.4</v>
      </c>
    </row>
    <row r="31" spans="1:16" s="1" customFormat="1" ht="14.1" customHeight="1">
      <c r="A31" s="122">
        <v>15</v>
      </c>
      <c r="B31" s="36" t="s">
        <v>633</v>
      </c>
      <c r="C31" s="37"/>
      <c r="D31" s="77"/>
      <c r="E31" s="77"/>
      <c r="F31" s="77"/>
      <c r="G31" s="77"/>
      <c r="H31" s="27">
        <f>SUM(I31)-0.9</f>
        <v>17.400000000000002</v>
      </c>
      <c r="I31" s="27">
        <f>SUM(J31)-0.9</f>
        <v>18.3</v>
      </c>
      <c r="J31" s="125">
        <v>19.2</v>
      </c>
      <c r="K31" s="114">
        <f>SUM(J31)+0.8</f>
        <v>20</v>
      </c>
      <c r="L31" s="114">
        <f>SUM(K31)+0.8</f>
        <v>20.8</v>
      </c>
      <c r="M31" s="162">
        <f>SUM(L31)+0.8</f>
        <v>21.6</v>
      </c>
      <c r="P31" s="8">
        <f>SUM(H31+H31+I31+I31+J31+J31+K31+K31+L31+L31+M31+M31)</f>
        <v>234.60000000000002</v>
      </c>
    </row>
    <row r="32" spans="1:16" s="1" customFormat="1" ht="14.1" customHeight="1">
      <c r="A32" s="122"/>
      <c r="B32" s="75" t="s">
        <v>632</v>
      </c>
      <c r="C32" s="75"/>
      <c r="D32" s="79"/>
      <c r="E32" s="80"/>
      <c r="F32" s="80"/>
      <c r="G32" s="81"/>
      <c r="H32" s="46"/>
      <c r="I32" s="46"/>
      <c r="J32" s="125"/>
      <c r="K32" s="114"/>
      <c r="L32" s="114"/>
      <c r="M32" s="162"/>
      <c r="P32" s="8">
        <f>SUM(H33+I33+J33+K33+L33+M33)</f>
        <v>179.10000000000002</v>
      </c>
    </row>
    <row r="33" spans="1:16" s="1" customFormat="1" ht="14.1" customHeight="1" thickBot="1">
      <c r="A33" s="122">
        <v>16</v>
      </c>
      <c r="B33" s="36" t="s">
        <v>634</v>
      </c>
      <c r="C33" s="37"/>
      <c r="D33" s="77"/>
      <c r="E33" s="77"/>
      <c r="F33" s="77"/>
      <c r="G33" s="77"/>
      <c r="H33" s="27">
        <f>SUM(I33)-1.5</f>
        <v>26.3</v>
      </c>
      <c r="I33" s="27">
        <f>SUM(J33)-1.5</f>
        <v>27.8</v>
      </c>
      <c r="J33" s="125">
        <v>29.3</v>
      </c>
      <c r="K33" s="114">
        <f>SUM(J33)+1.3</f>
        <v>30.6</v>
      </c>
      <c r="L33" s="114">
        <f>SUM(K33)+1.3</f>
        <v>31.900000000000002</v>
      </c>
      <c r="M33" s="162">
        <f>SUM(L33)+1.3</f>
        <v>33.200000000000003</v>
      </c>
      <c r="P33" s="9">
        <f>SUM(H35+I35+J35+K35+L35+M35)</f>
        <v>239.40000000000003</v>
      </c>
    </row>
    <row r="34" spans="1:16" s="1" customFormat="1" ht="14.1" customHeight="1" thickTop="1">
      <c r="A34" s="122"/>
      <c r="B34" s="75" t="s">
        <v>635</v>
      </c>
      <c r="C34" s="75"/>
      <c r="D34" s="79"/>
      <c r="E34" s="80"/>
      <c r="F34" s="80"/>
      <c r="G34" s="81"/>
      <c r="H34" s="46"/>
      <c r="I34" s="46"/>
      <c r="J34" s="125"/>
      <c r="K34" s="114"/>
      <c r="L34" s="114"/>
      <c r="M34" s="162"/>
      <c r="P34" s="1">
        <f>SUM(P30+P31+P32+P33)</f>
        <v>814.5</v>
      </c>
    </row>
    <row r="35" spans="1:16" s="1" customFormat="1" ht="14.1" customHeight="1">
      <c r="A35" s="122">
        <v>17</v>
      </c>
      <c r="B35" s="36" t="s">
        <v>636</v>
      </c>
      <c r="C35" s="37"/>
      <c r="D35" s="77"/>
      <c r="E35" s="77"/>
      <c r="F35" s="77"/>
      <c r="G35" s="77"/>
      <c r="H35" s="27">
        <f>SUM(I35)-1.8</f>
        <v>35.600000000000009</v>
      </c>
      <c r="I35" s="27">
        <f>SUM(J35)-1.8</f>
        <v>37.400000000000006</v>
      </c>
      <c r="J35" s="125">
        <v>39.200000000000003</v>
      </c>
      <c r="K35" s="114">
        <f>SUM(J35)+1.6</f>
        <v>40.800000000000004</v>
      </c>
      <c r="L35" s="114">
        <f>SUM(K35)+1.6</f>
        <v>42.400000000000006</v>
      </c>
      <c r="M35" s="162">
        <f>SUM(L35)+1.6</f>
        <v>44.000000000000007</v>
      </c>
      <c r="P35" s="1">
        <f>SUM(P34/91.44/6*1.08)</f>
        <v>1.6033464566929134</v>
      </c>
    </row>
    <row r="36" spans="1:16" ht="14.1" customHeight="1">
      <c r="A36" s="122"/>
      <c r="B36" s="75" t="s">
        <v>637</v>
      </c>
      <c r="C36" s="75"/>
      <c r="D36" s="79"/>
      <c r="E36" s="80"/>
      <c r="F36" s="80"/>
      <c r="G36" s="81"/>
      <c r="H36" s="46"/>
      <c r="I36" s="46"/>
      <c r="J36" s="125"/>
      <c r="K36" s="114"/>
      <c r="L36" s="114"/>
      <c r="M36" s="162"/>
    </row>
    <row r="37" spans="1:16" ht="14.1" customHeight="1">
      <c r="A37" s="122">
        <v>18</v>
      </c>
      <c r="B37" s="36" t="s">
        <v>143</v>
      </c>
      <c r="C37" s="37"/>
      <c r="D37" s="129"/>
      <c r="E37" s="130"/>
      <c r="F37" s="130"/>
      <c r="G37" s="131"/>
      <c r="H37" s="27">
        <f>SUM(I37)-3.4</f>
        <v>38</v>
      </c>
      <c r="I37" s="27">
        <f>SUM(J37)-3.4</f>
        <v>41.4</v>
      </c>
      <c r="J37" s="41">
        <v>44.8</v>
      </c>
      <c r="K37" s="114">
        <f>SUM(J37)+2.9</f>
        <v>47.699999999999996</v>
      </c>
      <c r="L37" s="114">
        <f>SUM(K37)+2.9</f>
        <v>50.599999999999994</v>
      </c>
      <c r="M37" s="162">
        <f>SUM(L37)+2.9</f>
        <v>53.499999999999993</v>
      </c>
    </row>
    <row r="38" spans="1:16" ht="14.1" customHeight="1">
      <c r="A38" s="122"/>
      <c r="B38" s="133" t="s">
        <v>129</v>
      </c>
      <c r="C38" s="134"/>
      <c r="D38" s="102" t="s">
        <v>641</v>
      </c>
      <c r="E38" s="103"/>
      <c r="F38" s="103"/>
      <c r="G38" s="104"/>
      <c r="H38" s="46"/>
      <c r="I38" s="46"/>
      <c r="J38" s="44"/>
      <c r="K38" s="114"/>
      <c r="L38" s="114"/>
      <c r="M38" s="162"/>
    </row>
    <row r="39" spans="1:16" ht="14.1" customHeight="1">
      <c r="A39" s="122">
        <v>19</v>
      </c>
      <c r="B39" s="36"/>
      <c r="C39" s="37"/>
      <c r="D39" s="129"/>
      <c r="E39" s="130"/>
      <c r="F39" s="130"/>
      <c r="G39" s="131"/>
      <c r="H39" s="27"/>
      <c r="I39" s="27"/>
      <c r="J39" s="41"/>
      <c r="K39" s="27"/>
      <c r="L39" s="27"/>
      <c r="M39" s="62"/>
    </row>
    <row r="40" spans="1:16" ht="14.1" customHeight="1">
      <c r="A40" s="122"/>
      <c r="B40" s="127"/>
      <c r="C40" s="128"/>
      <c r="D40" s="79"/>
      <c r="E40" s="80"/>
      <c r="F40" s="80"/>
      <c r="G40" s="81"/>
      <c r="H40" s="46"/>
      <c r="I40" s="46"/>
      <c r="J40" s="44"/>
      <c r="K40" s="46"/>
      <c r="L40" s="46"/>
      <c r="M40" s="48"/>
    </row>
    <row r="41" spans="1:16" ht="14.1" customHeight="1">
      <c r="A41" s="122">
        <v>20</v>
      </c>
      <c r="B41" s="36"/>
      <c r="C41" s="37"/>
      <c r="D41" s="124"/>
      <c r="E41" s="124"/>
      <c r="F41" s="124"/>
      <c r="G41" s="124"/>
      <c r="H41" s="27"/>
      <c r="I41" s="27"/>
      <c r="J41" s="41"/>
      <c r="K41" s="114"/>
      <c r="L41" s="114"/>
      <c r="M41" s="162"/>
      <c r="N41" s="1"/>
    </row>
    <row r="42" spans="1:16" ht="14.1" customHeight="1" thickBot="1">
      <c r="A42" s="123"/>
      <c r="B42" s="143"/>
      <c r="C42" s="144"/>
      <c r="D42" s="167"/>
      <c r="E42" s="120"/>
      <c r="F42" s="120"/>
      <c r="G42" s="121"/>
      <c r="H42" s="28"/>
      <c r="I42" s="28"/>
      <c r="J42" s="42"/>
      <c r="K42" s="115"/>
      <c r="L42" s="115"/>
      <c r="M42" s="142"/>
      <c r="N42" s="1"/>
    </row>
    <row r="43" spans="1:16" ht="14.1" customHeight="1">
      <c r="N43" s="1"/>
    </row>
    <row r="44" spans="1:16" ht="14.1" customHeight="1"/>
    <row r="45" spans="1:16" ht="14.1" customHeight="1"/>
    <row r="46" spans="1:16" ht="14.1" customHeight="1"/>
    <row r="47" spans="1:16" ht="14.1" customHeight="1"/>
    <row r="48" spans="1:16" ht="14.1" customHeight="1"/>
    <row r="49" ht="14.1" customHeight="1"/>
    <row r="50" ht="14.1" customHeight="1"/>
    <row r="51" ht="14.1" customHeight="1"/>
  </sheetData>
  <mergeCells count="223"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840CD-52BB-443C-901C-C78E246FD366}">
  <sheetPr codeName="Sheet2">
    <tabColor theme="5"/>
    <pageSetUpPr fitToPage="1"/>
  </sheetPr>
  <dimension ref="A1:Q51"/>
  <sheetViews>
    <sheetView zoomScale="110" zoomScaleNormal="110" workbookViewId="0">
      <selection activeCell="M3" sqref="M3:M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85" t="s">
        <v>327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7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7" s="1" customFormat="1" ht="14.1" customHeight="1">
      <c r="A3" s="147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SUM(I3)-3.4</f>
        <v>33.400000000000006</v>
      </c>
      <c r="I3" s="27">
        <f>SUM(J3)-3.4</f>
        <v>36.800000000000004</v>
      </c>
      <c r="J3" s="41">
        <v>40.200000000000003</v>
      </c>
      <c r="K3" s="27">
        <f>SUM(J3)+2.9</f>
        <v>43.1</v>
      </c>
      <c r="L3" s="27">
        <f>SUM(K3)+2.9</f>
        <v>46</v>
      </c>
      <c r="M3" s="97">
        <f>SUM(L3)+2.9</f>
        <v>48.9</v>
      </c>
    </row>
    <row r="4" spans="1:17" s="1" customFormat="1" ht="14.1" customHeight="1">
      <c r="A4" s="138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4"/>
      <c r="K4" s="46"/>
      <c r="L4" s="46"/>
      <c r="M4" s="48"/>
    </row>
    <row r="5" spans="1:17" s="1" customFormat="1" ht="14.1" customHeight="1">
      <c r="A5" s="122">
        <v>2</v>
      </c>
      <c r="B5" s="168" t="s">
        <v>193</v>
      </c>
      <c r="C5" s="169"/>
      <c r="D5" s="102" t="s">
        <v>194</v>
      </c>
      <c r="E5" s="103"/>
      <c r="F5" s="103"/>
      <c r="G5" s="104"/>
      <c r="H5" s="27">
        <f>SUM(I5)-4.5</f>
        <v>46.5</v>
      </c>
      <c r="I5" s="27">
        <f>SUM(J5)-4.5</f>
        <v>51</v>
      </c>
      <c r="J5" s="125">
        <v>55.5</v>
      </c>
      <c r="K5" s="114">
        <f>SUM(J5)+4.5</f>
        <v>60</v>
      </c>
      <c r="L5" s="114">
        <f t="shared" ref="L5:M5" si="0">SUM(K5)+4.5</f>
        <v>64.5</v>
      </c>
      <c r="M5" s="162">
        <f t="shared" si="0"/>
        <v>69</v>
      </c>
    </row>
    <row r="6" spans="1:17" s="1" customFormat="1" ht="14.1" customHeight="1">
      <c r="A6" s="122"/>
      <c r="B6" s="127" t="s">
        <v>195</v>
      </c>
      <c r="C6" s="128"/>
      <c r="D6" s="79" t="s">
        <v>196</v>
      </c>
      <c r="E6" s="80"/>
      <c r="F6" s="80"/>
      <c r="G6" s="81"/>
      <c r="H6" s="46"/>
      <c r="I6" s="46"/>
      <c r="J6" s="125"/>
      <c r="K6" s="114"/>
      <c r="L6" s="114"/>
      <c r="M6" s="162"/>
    </row>
    <row r="7" spans="1:17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37.5</v>
      </c>
      <c r="I7" s="27">
        <f>SUM(J7)-2.25</f>
        <v>39.75</v>
      </c>
      <c r="J7" s="41">
        <v>42</v>
      </c>
      <c r="K7" s="27">
        <f>SUM(J7)+2</f>
        <v>44</v>
      </c>
      <c r="L7" s="27">
        <f>SUM(K7)+2</f>
        <v>46</v>
      </c>
      <c r="M7" s="62">
        <f>SUM(L7)+2</f>
        <v>48</v>
      </c>
    </row>
    <row r="8" spans="1:17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7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28.9</v>
      </c>
      <c r="I9" s="27">
        <f>SUM(J9)-1.8</f>
        <v>30.7</v>
      </c>
      <c r="J9" s="41">
        <v>32.5</v>
      </c>
      <c r="K9" s="27">
        <f>SUM(J9)+1.6</f>
        <v>34.1</v>
      </c>
      <c r="L9" s="27">
        <f>SUM(K9)+1.6</f>
        <v>35.700000000000003</v>
      </c>
      <c r="M9" s="62">
        <f>SUM(L9)+1.6</f>
        <v>37.300000000000004</v>
      </c>
    </row>
    <row r="10" spans="1:17" s="1" customFormat="1" ht="14.1" customHeight="1">
      <c r="A10" s="122"/>
      <c r="B10" s="75" t="s">
        <v>25</v>
      </c>
      <c r="C10" s="75"/>
      <c r="D10" s="79" t="s">
        <v>295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7" s="1" customFormat="1" ht="14.1" customHeight="1" thickBo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/>
      <c r="I11" s="27"/>
      <c r="J11" s="125"/>
      <c r="K11" s="27"/>
      <c r="L11" s="27"/>
      <c r="M11" s="62"/>
    </row>
    <row r="12" spans="1:17" s="1" customFormat="1" ht="14.1" customHeight="1" thickTop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46"/>
      <c r="L12" s="46"/>
      <c r="M12" s="48"/>
      <c r="P12" s="7" t="s">
        <v>171</v>
      </c>
      <c r="Q12" s="7" t="s">
        <v>315</v>
      </c>
    </row>
    <row r="13" spans="1:17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14.8</v>
      </c>
      <c r="I13" s="27">
        <f>SUM(J13)-0.6</f>
        <v>15.4</v>
      </c>
      <c r="J13" s="125">
        <v>16</v>
      </c>
      <c r="K13" s="114">
        <f>SUM(J13)+0.6</f>
        <v>16.600000000000001</v>
      </c>
      <c r="L13" s="114">
        <f>SUM(K13)+0.6</f>
        <v>17.200000000000003</v>
      </c>
      <c r="M13" s="162">
        <f>SUM(L13)+0.6</f>
        <v>17.800000000000004</v>
      </c>
      <c r="P13" s="8"/>
      <c r="Q13" s="8"/>
    </row>
    <row r="14" spans="1:17" s="1" customFormat="1" ht="14.1" customHeight="1" thickBot="1">
      <c r="A14" s="122"/>
      <c r="B14" s="75" t="s">
        <v>27</v>
      </c>
      <c r="C14" s="75"/>
      <c r="D14" s="79" t="s">
        <v>46</v>
      </c>
      <c r="E14" s="80"/>
      <c r="F14" s="80"/>
      <c r="G14" s="81"/>
      <c r="H14" s="46"/>
      <c r="I14" s="46"/>
      <c r="J14" s="125"/>
      <c r="K14" s="114"/>
      <c r="L14" s="114"/>
      <c r="M14" s="162"/>
      <c r="P14" s="9"/>
      <c r="Q14" s="9"/>
    </row>
    <row r="15" spans="1:17" s="1" customFormat="1" ht="14.1" customHeight="1" thickTop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7.4</v>
      </c>
      <c r="I15" s="27">
        <f>SUM(J15)-0.3</f>
        <v>7.7</v>
      </c>
      <c r="J15" s="125">
        <v>8</v>
      </c>
      <c r="K15" s="114">
        <f>SUM(J15)+0.3</f>
        <v>8.3000000000000007</v>
      </c>
      <c r="L15" s="114">
        <f>SUM(K15)+0.3</f>
        <v>8.6000000000000014</v>
      </c>
      <c r="M15" s="161">
        <f>SUM(L15)+0.3</f>
        <v>8.9000000000000021</v>
      </c>
      <c r="P15" s="7" t="s">
        <v>316</v>
      </c>
      <c r="Q15" s="7" t="s">
        <v>170</v>
      </c>
    </row>
    <row r="16" spans="1:17" s="1" customFormat="1" ht="14.1" customHeight="1">
      <c r="A16" s="122"/>
      <c r="B16" s="75" t="s">
        <v>28</v>
      </c>
      <c r="C16" s="75"/>
      <c r="D16" s="79" t="s">
        <v>164</v>
      </c>
      <c r="E16" s="80"/>
      <c r="F16" s="80"/>
      <c r="G16" s="81"/>
      <c r="H16" s="46"/>
      <c r="I16" s="46"/>
      <c r="J16" s="125"/>
      <c r="K16" s="114"/>
      <c r="L16" s="114"/>
      <c r="M16" s="161"/>
      <c r="P16" s="8"/>
      <c r="Q16" s="8"/>
    </row>
    <row r="17" spans="1:17" s="1" customFormat="1" ht="14.1" customHeight="1" thickBo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39.099999999999994</v>
      </c>
      <c r="I17" s="27">
        <f>SUM(J17)-1.6</f>
        <v>40.699999999999996</v>
      </c>
      <c r="J17" s="125">
        <v>42.3</v>
      </c>
      <c r="K17" s="114">
        <f>SUM(J17)+1.6</f>
        <v>43.9</v>
      </c>
      <c r="L17" s="114">
        <f>SUM(K17)+1.6</f>
        <v>45.5</v>
      </c>
      <c r="M17" s="161">
        <f>SUM(L17)+1.6</f>
        <v>47.1</v>
      </c>
      <c r="P17" s="9"/>
      <c r="Q17" s="9"/>
    </row>
    <row r="18" spans="1:17" s="1" customFormat="1" ht="14.1" customHeight="1" thickTop="1">
      <c r="A18" s="122"/>
      <c r="B18" s="75" t="s">
        <v>33</v>
      </c>
      <c r="C18" s="75"/>
      <c r="D18" s="79" t="s">
        <v>150</v>
      </c>
      <c r="E18" s="80"/>
      <c r="F18" s="80"/>
      <c r="G18" s="81"/>
      <c r="H18" s="46"/>
      <c r="I18" s="46"/>
      <c r="J18" s="125"/>
      <c r="K18" s="114"/>
      <c r="L18" s="114"/>
      <c r="M18" s="161"/>
    </row>
    <row r="19" spans="1:17" s="1" customFormat="1" ht="14.1" customHeight="1">
      <c r="A19" s="122">
        <v>9</v>
      </c>
      <c r="B19" s="98" t="s">
        <v>151</v>
      </c>
      <c r="C19" s="98"/>
      <c r="D19" s="76" t="s">
        <v>152</v>
      </c>
      <c r="E19" s="77"/>
      <c r="F19" s="77"/>
      <c r="G19" s="78"/>
      <c r="H19" s="27">
        <f>SUM(I19)-1</f>
        <v>27.5</v>
      </c>
      <c r="I19" s="27">
        <f>SUM(J19)-1</f>
        <v>28.5</v>
      </c>
      <c r="J19" s="125">
        <v>29.5</v>
      </c>
      <c r="K19" s="114">
        <f>SUM(J19)+1</f>
        <v>30.5</v>
      </c>
      <c r="L19" s="114">
        <f t="shared" ref="L19:M19" si="1">SUM(K19)+1</f>
        <v>31.5</v>
      </c>
      <c r="M19" s="162">
        <f t="shared" si="1"/>
        <v>32.5</v>
      </c>
    </row>
    <row r="20" spans="1:17" s="1" customFormat="1" ht="14.1" customHeight="1">
      <c r="A20" s="122"/>
      <c r="B20" s="75" t="s">
        <v>153</v>
      </c>
      <c r="C20" s="75"/>
      <c r="D20" s="79" t="s">
        <v>154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7" s="1" customFormat="1" ht="14.1" customHeight="1">
      <c r="A21" s="122">
        <v>10</v>
      </c>
      <c r="B21" s="98" t="s">
        <v>155</v>
      </c>
      <c r="C21" s="98"/>
      <c r="D21" s="76" t="s">
        <v>156</v>
      </c>
      <c r="E21" s="77"/>
      <c r="F21" s="77"/>
      <c r="G21" s="78"/>
      <c r="H21" s="98">
        <f>SUM(I21)-0.8</f>
        <v>21.5</v>
      </c>
      <c r="I21" s="98">
        <f>SUM(J21)-0.8</f>
        <v>22.3</v>
      </c>
      <c r="J21" s="146">
        <v>23.1</v>
      </c>
      <c r="K21" s="145">
        <f>SUM(J21)+0.8</f>
        <v>23.900000000000002</v>
      </c>
      <c r="L21" s="145">
        <f t="shared" ref="L21:M21" si="2">SUM(K21)+0.8</f>
        <v>24.700000000000003</v>
      </c>
      <c r="M21" s="161">
        <f t="shared" si="2"/>
        <v>25.500000000000004</v>
      </c>
    </row>
    <row r="22" spans="1:17" s="1" customFormat="1" ht="14.1" customHeight="1">
      <c r="A22" s="122"/>
      <c r="B22" s="75" t="s">
        <v>157</v>
      </c>
      <c r="C22" s="75"/>
      <c r="D22" s="79" t="s">
        <v>158</v>
      </c>
      <c r="E22" s="80"/>
      <c r="F22" s="80"/>
      <c r="G22" s="81"/>
      <c r="H22" s="75"/>
      <c r="I22" s="75"/>
      <c r="J22" s="146"/>
      <c r="K22" s="145"/>
      <c r="L22" s="145"/>
      <c r="M22" s="161"/>
    </row>
    <row r="23" spans="1:17" s="1" customFormat="1" ht="14.1" customHeight="1">
      <c r="A23" s="122">
        <v>11</v>
      </c>
      <c r="B23" s="36" t="s">
        <v>317</v>
      </c>
      <c r="C23" s="37"/>
      <c r="D23" s="124"/>
      <c r="E23" s="124"/>
      <c r="F23" s="124"/>
      <c r="G23" s="124"/>
      <c r="H23" s="27">
        <f>SUM(I23)-0.2</f>
        <v>6.6</v>
      </c>
      <c r="I23" s="27">
        <f>SUM(J23)-0.2</f>
        <v>6.8</v>
      </c>
      <c r="J23" s="125">
        <v>7</v>
      </c>
      <c r="K23" s="114">
        <f>SUM(J23)+0.2</f>
        <v>7.2</v>
      </c>
      <c r="L23" s="114">
        <f t="shared" ref="L23:M23" si="3">SUM(K23)+0.2</f>
        <v>7.4</v>
      </c>
      <c r="M23" s="162">
        <f t="shared" si="3"/>
        <v>7.6000000000000005</v>
      </c>
    </row>
    <row r="24" spans="1:17" s="1" customFormat="1" ht="14.1" customHeight="1">
      <c r="A24" s="122"/>
      <c r="B24" s="75" t="s">
        <v>318</v>
      </c>
      <c r="C24" s="75"/>
      <c r="D24" s="79" t="s">
        <v>169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7" s="1" customFormat="1" ht="14.1" customHeight="1">
      <c r="A25" s="122">
        <v>12</v>
      </c>
      <c r="B25" s="98" t="s">
        <v>4</v>
      </c>
      <c r="C25" s="98"/>
      <c r="D25" s="124" t="s">
        <v>5</v>
      </c>
      <c r="E25" s="124"/>
      <c r="F25" s="124"/>
      <c r="G25" s="124"/>
      <c r="H25" s="27"/>
      <c r="I25" s="27"/>
      <c r="J25" s="125"/>
      <c r="K25" s="27"/>
      <c r="L25" s="27"/>
      <c r="M25" s="62"/>
    </row>
    <row r="26" spans="1:17" s="1" customFormat="1" ht="14.1" customHeight="1">
      <c r="A26" s="122"/>
      <c r="B26" s="75" t="s">
        <v>29</v>
      </c>
      <c r="C26" s="75"/>
      <c r="D26" s="79" t="s">
        <v>47</v>
      </c>
      <c r="E26" s="80"/>
      <c r="F26" s="80"/>
      <c r="G26" s="81"/>
      <c r="H26" s="46"/>
      <c r="I26" s="46"/>
      <c r="J26" s="125"/>
      <c r="K26" s="46"/>
      <c r="L26" s="46"/>
      <c r="M26" s="48"/>
    </row>
    <row r="27" spans="1:17" s="1" customFormat="1" ht="14.1" customHeight="1">
      <c r="A27" s="122">
        <v>13</v>
      </c>
      <c r="B27" s="98" t="s">
        <v>6</v>
      </c>
      <c r="C27" s="98"/>
      <c r="D27" s="76" t="s">
        <v>7</v>
      </c>
      <c r="E27" s="77"/>
      <c r="F27" s="77"/>
      <c r="G27" s="78"/>
      <c r="H27" s="27">
        <f>SUM(I27)-1.7</f>
        <v>32.499999999999993</v>
      </c>
      <c r="I27" s="27">
        <f>SUM(J27)-1.7</f>
        <v>34.199999999999996</v>
      </c>
      <c r="J27" s="125">
        <v>35.9</v>
      </c>
      <c r="K27" s="114">
        <f>SUM(J27)+1.7</f>
        <v>37.6</v>
      </c>
      <c r="L27" s="114">
        <f t="shared" ref="L27:M27" si="4">SUM(K27)+1.7</f>
        <v>39.300000000000004</v>
      </c>
      <c r="M27" s="162">
        <f t="shared" si="4"/>
        <v>41.000000000000007</v>
      </c>
    </row>
    <row r="28" spans="1:17" s="1" customFormat="1" ht="14.1" customHeight="1">
      <c r="A28" s="122"/>
      <c r="B28" s="75" t="s">
        <v>30</v>
      </c>
      <c r="C28" s="75"/>
      <c r="D28" s="79" t="s">
        <v>64</v>
      </c>
      <c r="E28" s="80"/>
      <c r="F28" s="80"/>
      <c r="G28" s="81"/>
      <c r="H28" s="46"/>
      <c r="I28" s="46"/>
      <c r="J28" s="125"/>
      <c r="K28" s="114"/>
      <c r="L28" s="114"/>
      <c r="M28" s="162"/>
    </row>
    <row r="29" spans="1:17" ht="14.1" customHeight="1">
      <c r="A29" s="122">
        <v>14</v>
      </c>
      <c r="B29" s="36" t="s">
        <v>177</v>
      </c>
      <c r="C29" s="37"/>
      <c r="D29" s="124" t="s">
        <v>65</v>
      </c>
      <c r="E29" s="124"/>
      <c r="F29" s="124"/>
      <c r="G29" s="124"/>
      <c r="H29" s="27">
        <f>SUM(I29)-0.6</f>
        <v>14</v>
      </c>
      <c r="I29" s="27">
        <f>SUM(J29)-0.6</f>
        <v>14.6</v>
      </c>
      <c r="J29" s="125">
        <v>15.2</v>
      </c>
      <c r="K29" s="114">
        <f>SUM(J29)+0.6</f>
        <v>15.799999999999999</v>
      </c>
      <c r="L29" s="114">
        <f t="shared" ref="L29:M29" si="5">SUM(K29)+0.6</f>
        <v>16.399999999999999</v>
      </c>
      <c r="M29" s="162">
        <f t="shared" si="5"/>
        <v>17</v>
      </c>
    </row>
    <row r="30" spans="1:17" ht="14.1" customHeight="1">
      <c r="A30" s="122"/>
      <c r="B30" s="75" t="s">
        <v>31</v>
      </c>
      <c r="C30" s="75"/>
      <c r="D30" s="79" t="s">
        <v>66</v>
      </c>
      <c r="E30" s="80"/>
      <c r="F30" s="80"/>
      <c r="G30" s="81"/>
      <c r="H30" s="46"/>
      <c r="I30" s="46"/>
      <c r="J30" s="125"/>
      <c r="K30" s="114"/>
      <c r="L30" s="114"/>
      <c r="M30" s="162"/>
    </row>
    <row r="31" spans="1:17" ht="14.1" customHeight="1">
      <c r="A31" s="122">
        <v>15</v>
      </c>
      <c r="B31" s="36" t="s">
        <v>172</v>
      </c>
      <c r="C31" s="37"/>
      <c r="D31" s="76"/>
      <c r="E31" s="77"/>
      <c r="F31" s="77"/>
      <c r="G31" s="78"/>
      <c r="H31" s="27">
        <f>SUM(I31)-1</f>
        <v>12</v>
      </c>
      <c r="I31" s="27">
        <f>SUM(J31)-1</f>
        <v>13</v>
      </c>
      <c r="J31" s="41">
        <v>14</v>
      </c>
      <c r="K31" s="27">
        <f>SUM(J31)+1</f>
        <v>15</v>
      </c>
      <c r="L31" s="27">
        <f t="shared" ref="L31:M31" si="6">SUM(K31)+1</f>
        <v>16</v>
      </c>
      <c r="M31" s="62">
        <f t="shared" si="6"/>
        <v>17</v>
      </c>
    </row>
    <row r="32" spans="1:17" ht="14.1" customHeight="1">
      <c r="A32" s="122"/>
      <c r="B32" s="127" t="s">
        <v>173</v>
      </c>
      <c r="C32" s="128"/>
      <c r="D32" s="59" t="s">
        <v>198</v>
      </c>
      <c r="E32" s="60"/>
      <c r="F32" s="60"/>
      <c r="G32" s="61"/>
      <c r="H32" s="46"/>
      <c r="I32" s="46"/>
      <c r="J32" s="44"/>
      <c r="K32" s="46"/>
      <c r="L32" s="46"/>
      <c r="M32" s="48"/>
    </row>
    <row r="33" spans="1:13" ht="14.1" customHeight="1">
      <c r="A33" s="122">
        <v>16</v>
      </c>
      <c r="B33" s="36" t="s">
        <v>174</v>
      </c>
      <c r="C33" s="37"/>
      <c r="D33" s="76"/>
      <c r="E33" s="77"/>
      <c r="F33" s="77"/>
      <c r="G33" s="78"/>
      <c r="H33" s="27">
        <f>SUM(I33)-1</f>
        <v>12</v>
      </c>
      <c r="I33" s="27">
        <f>SUM(J33)-1</f>
        <v>13</v>
      </c>
      <c r="J33" s="41">
        <v>14</v>
      </c>
      <c r="K33" s="27">
        <f>SUM(J33)+1</f>
        <v>15</v>
      </c>
      <c r="L33" s="27">
        <f t="shared" ref="L33:M33" si="7">SUM(K33)+1</f>
        <v>16</v>
      </c>
      <c r="M33" s="62">
        <f t="shared" si="7"/>
        <v>17</v>
      </c>
    </row>
    <row r="34" spans="1:13" ht="14.1" customHeight="1">
      <c r="A34" s="122"/>
      <c r="B34" s="127" t="s">
        <v>175</v>
      </c>
      <c r="C34" s="128"/>
      <c r="D34" s="59"/>
      <c r="E34" s="60"/>
      <c r="F34" s="60"/>
      <c r="G34" s="61"/>
      <c r="H34" s="46"/>
      <c r="I34" s="46"/>
      <c r="J34" s="44"/>
      <c r="K34" s="46"/>
      <c r="L34" s="46"/>
      <c r="M34" s="48"/>
    </row>
    <row r="35" spans="1:13" ht="14.1" customHeight="1">
      <c r="A35" s="122">
        <v>17</v>
      </c>
      <c r="B35" s="36" t="s">
        <v>143</v>
      </c>
      <c r="C35" s="37"/>
      <c r="D35" s="124"/>
      <c r="E35" s="124"/>
      <c r="F35" s="124"/>
      <c r="G35" s="124"/>
      <c r="H35" s="27">
        <v>27.5</v>
      </c>
      <c r="I35" s="27">
        <v>31</v>
      </c>
      <c r="J35" s="41">
        <v>34</v>
      </c>
      <c r="K35" s="27">
        <v>36.5</v>
      </c>
      <c r="L35" s="27">
        <v>39.5</v>
      </c>
      <c r="M35" s="62">
        <v>42</v>
      </c>
    </row>
    <row r="36" spans="1:13" ht="14.1" customHeight="1">
      <c r="A36" s="122"/>
      <c r="B36" s="127" t="s">
        <v>129</v>
      </c>
      <c r="C36" s="128"/>
      <c r="D36" s="79" t="s">
        <v>128</v>
      </c>
      <c r="E36" s="80"/>
      <c r="F36" s="80"/>
      <c r="G36" s="81"/>
      <c r="H36" s="46"/>
      <c r="I36" s="46"/>
      <c r="J36" s="44"/>
      <c r="K36" s="46"/>
      <c r="L36" s="46"/>
      <c r="M36" s="48"/>
    </row>
    <row r="37" spans="1:13" ht="14.1" customHeight="1">
      <c r="A37" s="122">
        <v>18</v>
      </c>
      <c r="B37" s="36" t="s">
        <v>114</v>
      </c>
      <c r="C37" s="37"/>
      <c r="D37" s="129"/>
      <c r="E37" s="130"/>
      <c r="F37" s="130"/>
      <c r="G37" s="131"/>
      <c r="H37" s="27">
        <f>SUM(I37)-0.4</f>
        <v>2.6</v>
      </c>
      <c r="I37" s="27">
        <f>SUM(J37)-0.4</f>
        <v>3</v>
      </c>
      <c r="J37" s="41">
        <v>3.4</v>
      </c>
      <c r="K37" s="27">
        <f>SUM(J37)+0.4</f>
        <v>3.8</v>
      </c>
      <c r="L37" s="27">
        <f t="shared" ref="L37:M37" si="8">SUM(K37)+0.4</f>
        <v>4.2</v>
      </c>
      <c r="M37" s="62">
        <f t="shared" si="8"/>
        <v>4.6000000000000005</v>
      </c>
    </row>
    <row r="38" spans="1:13" ht="14.1" customHeight="1">
      <c r="A38" s="122"/>
      <c r="B38" s="127" t="s">
        <v>323</v>
      </c>
      <c r="C38" s="128"/>
      <c r="D38" s="79" t="s">
        <v>322</v>
      </c>
      <c r="E38" s="80"/>
      <c r="F38" s="80"/>
      <c r="G38" s="81"/>
      <c r="H38" s="46"/>
      <c r="I38" s="46"/>
      <c r="J38" s="44"/>
      <c r="K38" s="46"/>
      <c r="L38" s="46"/>
      <c r="M38" s="48"/>
    </row>
    <row r="39" spans="1:13" ht="14.1" customHeight="1">
      <c r="A39" s="122">
        <v>19</v>
      </c>
      <c r="B39" s="36" t="s">
        <v>115</v>
      </c>
      <c r="C39" s="37"/>
      <c r="D39" s="129"/>
      <c r="E39" s="130"/>
      <c r="F39" s="130"/>
      <c r="G39" s="131"/>
      <c r="H39" s="27">
        <f>SUM(I39)-0.4</f>
        <v>2.7</v>
      </c>
      <c r="I39" s="27">
        <f>SUM(J39)-0.4</f>
        <v>3.1</v>
      </c>
      <c r="J39" s="41">
        <v>3.5</v>
      </c>
      <c r="K39" s="27">
        <f>SUM(J39)+0.3</f>
        <v>3.8</v>
      </c>
      <c r="L39" s="27">
        <f t="shared" ref="L39:M39" si="9">SUM(K39)+0.3</f>
        <v>4.0999999999999996</v>
      </c>
      <c r="M39" s="62">
        <f t="shared" si="9"/>
        <v>4.3999999999999995</v>
      </c>
    </row>
    <row r="40" spans="1:13" ht="14.1" customHeight="1">
      <c r="A40" s="122"/>
      <c r="B40" s="127" t="s">
        <v>324</v>
      </c>
      <c r="C40" s="128"/>
      <c r="D40" s="79" t="s">
        <v>319</v>
      </c>
      <c r="E40" s="80"/>
      <c r="F40" s="80"/>
      <c r="G40" s="81"/>
      <c r="H40" s="45"/>
      <c r="I40" s="45"/>
      <c r="J40" s="43"/>
      <c r="K40" s="45"/>
      <c r="L40" s="45"/>
      <c r="M40" s="47"/>
    </row>
    <row r="41" spans="1:13" ht="14.1" customHeight="1">
      <c r="A41" s="122">
        <v>20</v>
      </c>
      <c r="B41" s="36" t="s">
        <v>320</v>
      </c>
      <c r="C41" s="37"/>
      <c r="D41" s="129"/>
      <c r="E41" s="130"/>
      <c r="F41" s="130"/>
      <c r="G41" s="131"/>
      <c r="H41" s="27">
        <f>SUM(I41)-1.6</f>
        <v>5.2000000000000011</v>
      </c>
      <c r="I41" s="27">
        <f>SUM(J41)-0.6</f>
        <v>6.8000000000000007</v>
      </c>
      <c r="J41" s="41">
        <v>7.4</v>
      </c>
      <c r="K41" s="27">
        <f>SUM(J41)+0.6</f>
        <v>8</v>
      </c>
      <c r="L41" s="27">
        <f t="shared" ref="L41:M41" si="10">SUM(K41)+0.6</f>
        <v>8.6</v>
      </c>
      <c r="M41" s="62">
        <f t="shared" si="10"/>
        <v>9.1999999999999993</v>
      </c>
    </row>
    <row r="42" spans="1:13" ht="14.1" customHeight="1">
      <c r="A42" s="122"/>
      <c r="B42" s="127" t="s">
        <v>325</v>
      </c>
      <c r="C42" s="128"/>
      <c r="D42" s="79" t="s">
        <v>322</v>
      </c>
      <c r="E42" s="80"/>
      <c r="F42" s="80"/>
      <c r="G42" s="81"/>
      <c r="H42" s="45"/>
      <c r="I42" s="45"/>
      <c r="J42" s="44"/>
      <c r="K42" s="46"/>
      <c r="L42" s="46"/>
      <c r="M42" s="48"/>
    </row>
    <row r="43" spans="1:13" ht="14.1" customHeight="1">
      <c r="A43" s="122">
        <v>21</v>
      </c>
      <c r="B43" s="36" t="s">
        <v>321</v>
      </c>
      <c r="C43" s="37"/>
      <c r="D43" s="129"/>
      <c r="E43" s="130"/>
      <c r="F43" s="130"/>
      <c r="G43" s="131"/>
      <c r="H43" s="27">
        <f>SUM(I43)-0.3</f>
        <v>2.4000000000000004</v>
      </c>
      <c r="I43" s="27">
        <f>SUM(J43)-0.3</f>
        <v>2.7</v>
      </c>
      <c r="J43" s="41">
        <v>3</v>
      </c>
      <c r="K43" s="27">
        <f>SUM(J43)+0.3</f>
        <v>3.3</v>
      </c>
      <c r="L43" s="27">
        <f t="shared" ref="L43:M43" si="11">SUM(K43)+0.3</f>
        <v>3.5999999999999996</v>
      </c>
      <c r="M43" s="62">
        <f t="shared" si="11"/>
        <v>3.8999999999999995</v>
      </c>
    </row>
    <row r="44" spans="1:13" ht="14.1" customHeight="1" thickBot="1">
      <c r="A44" s="123"/>
      <c r="B44" s="143" t="s">
        <v>326</v>
      </c>
      <c r="C44" s="144"/>
      <c r="D44" s="119" t="s">
        <v>319</v>
      </c>
      <c r="E44" s="120"/>
      <c r="F44" s="120"/>
      <c r="G44" s="121"/>
      <c r="H44" s="28"/>
      <c r="I44" s="28"/>
      <c r="J44" s="42"/>
      <c r="K44" s="28"/>
      <c r="L44" s="28"/>
      <c r="M44" s="160"/>
    </row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A41:A42"/>
    <mergeCell ref="B41:C41"/>
    <mergeCell ref="D41:G41"/>
    <mergeCell ref="H41:H42"/>
    <mergeCell ref="I41:I42"/>
    <mergeCell ref="I43:I44"/>
    <mergeCell ref="J43:J44"/>
    <mergeCell ref="K43:K44"/>
    <mergeCell ref="L43:L44"/>
    <mergeCell ref="M43:M44"/>
    <mergeCell ref="B44:C44"/>
    <mergeCell ref="D44:G44"/>
    <mergeCell ref="B42:C42"/>
    <mergeCell ref="D42:G42"/>
    <mergeCell ref="J41:J42"/>
    <mergeCell ref="K41:K42"/>
    <mergeCell ref="L41:L42"/>
    <mergeCell ref="M41:M4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7CC4-9750-48F2-94E7-1656EB2E85C2}">
  <sheetPr codeName="Sheet3">
    <tabColor theme="5"/>
    <pageSetUpPr fitToPage="1"/>
  </sheetPr>
  <dimension ref="A1:N51"/>
  <sheetViews>
    <sheetView zoomScale="110" zoomScaleNormal="110" workbookViewId="0">
      <selection activeCell="L3" sqref="L3:L4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3" ht="16.5" customHeight="1" thickBot="1">
      <c r="A1" s="85" t="s">
        <v>288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65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SUM(I3)-3.4</f>
        <v>36</v>
      </c>
      <c r="I3" s="27">
        <f>SUM(J3)-3.4</f>
        <v>39.4</v>
      </c>
      <c r="J3" s="139">
        <v>42.8</v>
      </c>
      <c r="K3" s="140">
        <f>SUM(J3)+2.9</f>
        <v>45.699999999999996</v>
      </c>
      <c r="L3" s="140">
        <f>SUM(K3)+2.9</f>
        <v>48.599999999999994</v>
      </c>
      <c r="M3" s="141">
        <f>SUM(L3)+2.9</f>
        <v>51.499999999999993</v>
      </c>
    </row>
    <row r="4" spans="1:13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1"/>
      <c r="K4" s="27"/>
      <c r="L4" s="27"/>
      <c r="M4" s="29"/>
    </row>
    <row r="5" spans="1:13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</f>
        <v>35</v>
      </c>
      <c r="I5" s="27">
        <f>SUM(J5)-2</f>
        <v>37</v>
      </c>
      <c r="J5" s="41">
        <v>39</v>
      </c>
      <c r="K5" s="27">
        <f>SUM(J5)+1.8</f>
        <v>40.799999999999997</v>
      </c>
      <c r="L5" s="27">
        <f t="shared" ref="L5:M5" si="0">SUM(K5)+1.8</f>
        <v>42.599999999999994</v>
      </c>
      <c r="M5" s="29">
        <f t="shared" si="0"/>
        <v>44.399999999999991</v>
      </c>
    </row>
    <row r="6" spans="1:13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132"/>
    </row>
    <row r="7" spans="1:13" s="1" customFormat="1" ht="14.1" customHeight="1">
      <c r="A7" s="122">
        <v>3</v>
      </c>
      <c r="B7" s="36" t="s">
        <v>35</v>
      </c>
      <c r="C7" s="37"/>
      <c r="D7" s="76" t="s">
        <v>186</v>
      </c>
      <c r="E7" s="77"/>
      <c r="F7" s="77"/>
      <c r="G7" s="78"/>
      <c r="H7" s="27">
        <f>SUM(I7)-2.25</f>
        <v>39.5</v>
      </c>
      <c r="I7" s="27">
        <f>SUM(J7)-2.25</f>
        <v>41.75</v>
      </c>
      <c r="J7" s="41">
        <v>44</v>
      </c>
      <c r="K7" s="27">
        <f>SUM(J7)+2</f>
        <v>46</v>
      </c>
      <c r="L7" s="27">
        <f>SUM(K7)+2</f>
        <v>48</v>
      </c>
      <c r="M7" s="29">
        <f>SUM(L7)+2</f>
        <v>50</v>
      </c>
    </row>
    <row r="8" spans="1:13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132"/>
    </row>
    <row r="9" spans="1:13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SUM(I9)-2.25</f>
        <v>38.5</v>
      </c>
      <c r="I9" s="27">
        <f>SUM(J9)-2.25</f>
        <v>40.75</v>
      </c>
      <c r="J9" s="41">
        <v>43</v>
      </c>
      <c r="K9" s="27">
        <f>SUM(J9)+2</f>
        <v>45</v>
      </c>
      <c r="L9" s="27">
        <f>SUM(K9)+2</f>
        <v>47</v>
      </c>
      <c r="M9" s="29">
        <f>SUM(L9)+2</f>
        <v>49</v>
      </c>
    </row>
    <row r="10" spans="1:13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3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16</v>
      </c>
      <c r="I11" s="27">
        <f>SUM(J11)-0.8</f>
        <v>16.8</v>
      </c>
      <c r="J11" s="125">
        <v>17.600000000000001</v>
      </c>
      <c r="K11" s="114">
        <f>SUM(J11)+0.8</f>
        <v>18.400000000000002</v>
      </c>
      <c r="L11" s="114">
        <f>SUM(K11)+0.8</f>
        <v>19.200000000000003</v>
      </c>
      <c r="M11" s="116">
        <f>SUM(L11)+0.8</f>
        <v>20.000000000000004</v>
      </c>
    </row>
    <row r="12" spans="1:13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6"/>
    </row>
    <row r="13" spans="1:13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12.700000000000001</v>
      </c>
      <c r="I13" s="27">
        <f>SUM(J13)-0.6</f>
        <v>13.3</v>
      </c>
      <c r="J13" s="125">
        <v>13.9</v>
      </c>
      <c r="K13" s="114">
        <f>SUM(J13)+0.6</f>
        <v>14.5</v>
      </c>
      <c r="L13" s="114">
        <f>SUM(K13)+0.6</f>
        <v>15.1</v>
      </c>
      <c r="M13" s="116">
        <f>SUM(L13)+0.6</f>
        <v>15.7</v>
      </c>
    </row>
    <row r="14" spans="1:13" s="1" customFormat="1" ht="14.1" customHeight="1">
      <c r="A14" s="122"/>
      <c r="B14" s="75" t="s">
        <v>27</v>
      </c>
      <c r="C14" s="75"/>
      <c r="D14" s="79" t="s">
        <v>136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3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7.1000000000000005</v>
      </c>
      <c r="I15" s="27">
        <f>SUM(J15)-0.3</f>
        <v>7.4</v>
      </c>
      <c r="J15" s="125">
        <v>7.7</v>
      </c>
      <c r="K15" s="114">
        <f>SUM(J15)+0.3</f>
        <v>8</v>
      </c>
      <c r="L15" s="114">
        <f>SUM(K15)+0.3</f>
        <v>8.3000000000000007</v>
      </c>
      <c r="M15" s="116">
        <f>SUM(L15)+0.3</f>
        <v>8.6000000000000014</v>
      </c>
    </row>
    <row r="16" spans="1:13" s="1" customFormat="1" ht="14.1" customHeight="1">
      <c r="A16" s="122"/>
      <c r="B16" s="75" t="s">
        <v>28</v>
      </c>
      <c r="C16" s="75"/>
      <c r="D16" s="79" t="s">
        <v>164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3" s="1" customFormat="1" ht="14.1" customHeight="1">
      <c r="A17" s="122">
        <v>8</v>
      </c>
      <c r="B17" s="36" t="s">
        <v>70</v>
      </c>
      <c r="C17" s="37"/>
      <c r="D17" s="76" t="s">
        <v>211</v>
      </c>
      <c r="E17" s="77"/>
      <c r="F17" s="77"/>
      <c r="G17" s="78"/>
      <c r="H17" s="27">
        <f>SUM(I17)-1.6</f>
        <v>34.599999999999994</v>
      </c>
      <c r="I17" s="27">
        <f>SUM(J17)-1.6</f>
        <v>36.199999999999996</v>
      </c>
      <c r="J17" s="125">
        <v>37.799999999999997</v>
      </c>
      <c r="K17" s="114">
        <f>SUM(J17)+1.6</f>
        <v>39.4</v>
      </c>
      <c r="L17" s="114">
        <f>SUM(K17)+1.6</f>
        <v>41</v>
      </c>
      <c r="M17" s="116">
        <f>SUM(L17)+1.6</f>
        <v>42.6</v>
      </c>
    </row>
    <row r="18" spans="1:13" s="1" customFormat="1" ht="14.1" customHeight="1">
      <c r="A18" s="122"/>
      <c r="B18" s="75" t="s">
        <v>33</v>
      </c>
      <c r="C18" s="75"/>
      <c r="D18" s="79" t="s">
        <v>150</v>
      </c>
      <c r="E18" s="80"/>
      <c r="F18" s="80"/>
      <c r="G18" s="81"/>
      <c r="H18" s="46"/>
      <c r="I18" s="46"/>
      <c r="J18" s="125"/>
      <c r="K18" s="114"/>
      <c r="L18" s="114"/>
      <c r="M18" s="116"/>
    </row>
    <row r="19" spans="1:13" s="1" customFormat="1" ht="14.1" customHeight="1">
      <c r="A19" s="122">
        <v>9</v>
      </c>
      <c r="B19" s="98" t="s">
        <v>151</v>
      </c>
      <c r="C19" s="98"/>
      <c r="D19" s="76" t="s">
        <v>152</v>
      </c>
      <c r="E19" s="77"/>
      <c r="F19" s="77"/>
      <c r="G19" s="78"/>
      <c r="H19" s="27">
        <f>SUM(I19)-1</f>
        <v>31</v>
      </c>
      <c r="I19" s="27">
        <f>SUM(J19)-1</f>
        <v>32</v>
      </c>
      <c r="J19" s="125">
        <v>33</v>
      </c>
      <c r="K19" s="114">
        <f>SUM(J19)+1</f>
        <v>34</v>
      </c>
      <c r="L19" s="114">
        <f>SUM(K19)+1</f>
        <v>35</v>
      </c>
      <c r="M19" s="116">
        <f>SUM(L19)+1</f>
        <v>36</v>
      </c>
    </row>
    <row r="20" spans="1:13" s="1" customFormat="1" ht="14.1" customHeight="1">
      <c r="A20" s="122"/>
      <c r="B20" s="75" t="s">
        <v>153</v>
      </c>
      <c r="C20" s="75"/>
      <c r="D20" s="79" t="s">
        <v>154</v>
      </c>
      <c r="E20" s="80"/>
      <c r="F20" s="80"/>
      <c r="G20" s="81"/>
      <c r="H20" s="46"/>
      <c r="I20" s="46"/>
      <c r="J20" s="125"/>
      <c r="K20" s="114"/>
      <c r="L20" s="114"/>
      <c r="M20" s="116"/>
    </row>
    <row r="21" spans="1:13" s="1" customFormat="1" ht="14.1" customHeight="1">
      <c r="A21" s="122">
        <v>10</v>
      </c>
      <c r="B21" s="98" t="s">
        <v>155</v>
      </c>
      <c r="C21" s="98"/>
      <c r="D21" s="76" t="s">
        <v>156</v>
      </c>
      <c r="E21" s="77"/>
      <c r="F21" s="77"/>
      <c r="G21" s="78"/>
      <c r="H21" s="27">
        <f>SUM(I21)-0.8</f>
        <v>20.5</v>
      </c>
      <c r="I21" s="27">
        <f>SUM(J21)-0.8</f>
        <v>21.3</v>
      </c>
      <c r="J21" s="125">
        <v>22.1</v>
      </c>
      <c r="K21" s="114">
        <f>SUM(J21)+0.8</f>
        <v>22.900000000000002</v>
      </c>
      <c r="L21" s="114">
        <f>SUM(K21)+0.8</f>
        <v>23.700000000000003</v>
      </c>
      <c r="M21" s="116">
        <f>SUM(L21)+0.8</f>
        <v>24.500000000000004</v>
      </c>
    </row>
    <row r="22" spans="1:13" s="1" customFormat="1" ht="14.1" customHeight="1">
      <c r="A22" s="122"/>
      <c r="B22" s="75" t="s">
        <v>157</v>
      </c>
      <c r="C22" s="75"/>
      <c r="D22" s="79" t="s">
        <v>158</v>
      </c>
      <c r="E22" s="80"/>
      <c r="F22" s="80"/>
      <c r="G22" s="81"/>
      <c r="H22" s="46"/>
      <c r="I22" s="46"/>
      <c r="J22" s="125"/>
      <c r="K22" s="114"/>
      <c r="L22" s="114"/>
      <c r="M22" s="116"/>
    </row>
    <row r="23" spans="1:13" s="1" customFormat="1" ht="14.1" customHeight="1">
      <c r="A23" s="122">
        <v>11</v>
      </c>
      <c r="B23" s="98" t="s">
        <v>4</v>
      </c>
      <c r="C23" s="98"/>
      <c r="D23" s="124" t="s">
        <v>5</v>
      </c>
      <c r="E23" s="124"/>
      <c r="F23" s="124"/>
      <c r="G23" s="124"/>
      <c r="H23" s="27">
        <f>SUM(I23)-3.5</f>
        <v>29</v>
      </c>
      <c r="I23" s="27">
        <f>SUM(J23)-3.5</f>
        <v>32.5</v>
      </c>
      <c r="J23" s="125">
        <v>36</v>
      </c>
      <c r="K23" s="114">
        <f>SUM(J23)+3.6</f>
        <v>39.6</v>
      </c>
      <c r="L23" s="114">
        <f>SUM(K23)+3.6</f>
        <v>43.2</v>
      </c>
      <c r="M23" s="116">
        <f>SUM(L23)+3.6</f>
        <v>46.800000000000004</v>
      </c>
    </row>
    <row r="24" spans="1:13" s="1" customFormat="1" ht="14.1" customHeight="1">
      <c r="A24" s="122"/>
      <c r="B24" s="75" t="s">
        <v>29</v>
      </c>
      <c r="C24" s="75"/>
      <c r="D24" s="79" t="s">
        <v>47</v>
      </c>
      <c r="E24" s="80"/>
      <c r="F24" s="80"/>
      <c r="G24" s="81"/>
      <c r="H24" s="46"/>
      <c r="I24" s="46"/>
      <c r="J24" s="125"/>
      <c r="K24" s="114"/>
      <c r="L24" s="114"/>
      <c r="M24" s="116"/>
    </row>
    <row r="25" spans="1:13" s="1" customFormat="1" ht="14.1" customHeight="1">
      <c r="A25" s="122">
        <v>12</v>
      </c>
      <c r="B25" s="98" t="s">
        <v>6</v>
      </c>
      <c r="C25" s="98"/>
      <c r="D25" s="76" t="s">
        <v>7</v>
      </c>
      <c r="E25" s="77"/>
      <c r="F25" s="77"/>
      <c r="G25" s="78"/>
      <c r="H25" s="27">
        <f>SUM(I25)-1.5</f>
        <v>30</v>
      </c>
      <c r="I25" s="27">
        <f>SUM(J25)-1.5</f>
        <v>31.5</v>
      </c>
      <c r="J25" s="125">
        <v>33</v>
      </c>
      <c r="K25" s="114">
        <f>SUM(J25)+1.5</f>
        <v>34.5</v>
      </c>
      <c r="L25" s="114">
        <f>SUM(K25)+1.5</f>
        <v>36</v>
      </c>
      <c r="M25" s="116">
        <f>SUM(L25)+1.5</f>
        <v>37.5</v>
      </c>
    </row>
    <row r="26" spans="1:13" s="1" customFormat="1" ht="14.1" customHeight="1">
      <c r="A26" s="122"/>
      <c r="B26" s="75" t="s">
        <v>30</v>
      </c>
      <c r="C26" s="75"/>
      <c r="D26" s="79" t="s">
        <v>64</v>
      </c>
      <c r="E26" s="80"/>
      <c r="F26" s="80"/>
      <c r="G26" s="81"/>
      <c r="H26" s="46"/>
      <c r="I26" s="46"/>
      <c r="J26" s="125"/>
      <c r="K26" s="114"/>
      <c r="L26" s="114"/>
      <c r="M26" s="116"/>
    </row>
    <row r="27" spans="1:13" s="1" customFormat="1" ht="14.1" customHeight="1">
      <c r="A27" s="122">
        <v>13</v>
      </c>
      <c r="B27" s="36" t="s">
        <v>177</v>
      </c>
      <c r="C27" s="37"/>
      <c r="D27" s="124" t="s">
        <v>65</v>
      </c>
      <c r="E27" s="124"/>
      <c r="F27" s="124"/>
      <c r="G27" s="124"/>
      <c r="H27" s="27">
        <f>SUM(I27)-1</f>
        <v>22</v>
      </c>
      <c r="I27" s="27">
        <f>SUM(J27)-1</f>
        <v>23</v>
      </c>
      <c r="J27" s="125">
        <v>24</v>
      </c>
      <c r="K27" s="114">
        <f>SUM(J27)+1</f>
        <v>25</v>
      </c>
      <c r="L27" s="114">
        <f>SUM(K27)+1</f>
        <v>26</v>
      </c>
      <c r="M27" s="116">
        <f>SUM(L27)+1</f>
        <v>27</v>
      </c>
    </row>
    <row r="28" spans="1:13" s="1" customFormat="1" ht="14.1" customHeight="1">
      <c r="A28" s="122"/>
      <c r="B28" s="75" t="s">
        <v>31</v>
      </c>
      <c r="C28" s="75"/>
      <c r="D28" s="79" t="s">
        <v>66</v>
      </c>
      <c r="E28" s="80"/>
      <c r="F28" s="80"/>
      <c r="G28" s="81"/>
      <c r="H28" s="46"/>
      <c r="I28" s="46"/>
      <c r="J28" s="125"/>
      <c r="K28" s="114"/>
      <c r="L28" s="114"/>
      <c r="M28" s="116"/>
    </row>
    <row r="29" spans="1:13" s="1" customFormat="1" ht="14.1" customHeight="1">
      <c r="A29" s="122">
        <v>14</v>
      </c>
      <c r="B29" s="36" t="s">
        <v>289</v>
      </c>
      <c r="C29" s="37"/>
      <c r="D29" s="124"/>
      <c r="E29" s="124"/>
      <c r="F29" s="124"/>
      <c r="G29" s="124"/>
      <c r="H29" s="27">
        <f>SUM(I29)-0.6</f>
        <v>14</v>
      </c>
      <c r="I29" s="27">
        <f>SUM(J29)-0.6</f>
        <v>14.6</v>
      </c>
      <c r="J29" s="125">
        <v>15.2</v>
      </c>
      <c r="K29" s="114">
        <f>SUM(J29)+0.6</f>
        <v>15.799999999999999</v>
      </c>
      <c r="L29" s="114">
        <f>SUM(K29)+0.6</f>
        <v>16.399999999999999</v>
      </c>
      <c r="M29" s="116">
        <f>SUM(L29)+0.6</f>
        <v>17</v>
      </c>
    </row>
    <row r="30" spans="1:13" s="1" customFormat="1" ht="14.1" customHeight="1">
      <c r="A30" s="122"/>
      <c r="B30" s="127" t="s">
        <v>290</v>
      </c>
      <c r="C30" s="128"/>
      <c r="D30" s="79" t="s">
        <v>291</v>
      </c>
      <c r="E30" s="80"/>
      <c r="F30" s="80"/>
      <c r="G30" s="81"/>
      <c r="H30" s="46"/>
      <c r="I30" s="46"/>
      <c r="J30" s="125"/>
      <c r="K30" s="114"/>
      <c r="L30" s="114"/>
      <c r="M30" s="116"/>
    </row>
    <row r="31" spans="1:13" s="1" customFormat="1" ht="14.1" customHeight="1">
      <c r="A31" s="122">
        <v>15</v>
      </c>
      <c r="B31" s="36" t="s">
        <v>143</v>
      </c>
      <c r="C31" s="37"/>
      <c r="D31" s="124"/>
      <c r="E31" s="124"/>
      <c r="F31" s="124"/>
      <c r="G31" s="124"/>
      <c r="H31" s="27">
        <v>30</v>
      </c>
      <c r="I31" s="27">
        <v>33</v>
      </c>
      <c r="J31" s="125">
        <v>36.5</v>
      </c>
      <c r="K31" s="114">
        <v>39</v>
      </c>
      <c r="L31" s="114">
        <v>42</v>
      </c>
      <c r="M31" s="116">
        <v>44.5</v>
      </c>
    </row>
    <row r="32" spans="1:13" s="1" customFormat="1" ht="14.1" customHeight="1">
      <c r="A32" s="122"/>
      <c r="B32" s="127" t="s">
        <v>129</v>
      </c>
      <c r="C32" s="128"/>
      <c r="D32" s="79" t="s">
        <v>128</v>
      </c>
      <c r="E32" s="80"/>
      <c r="F32" s="80"/>
      <c r="G32" s="81"/>
      <c r="H32" s="46"/>
      <c r="I32" s="46"/>
      <c r="J32" s="41"/>
      <c r="K32" s="114"/>
      <c r="L32" s="114"/>
      <c r="M32" s="116"/>
    </row>
    <row r="33" spans="1:14" s="1" customFormat="1" ht="14.1" customHeight="1">
      <c r="A33" s="122">
        <v>16</v>
      </c>
      <c r="B33" s="98"/>
      <c r="C33" s="98"/>
      <c r="D33" s="76"/>
      <c r="E33" s="77"/>
      <c r="F33" s="77"/>
      <c r="G33" s="78"/>
      <c r="H33" s="27"/>
      <c r="I33" s="27"/>
      <c r="J33" s="125"/>
      <c r="K33" s="114"/>
      <c r="L33" s="114"/>
      <c r="M33" s="116"/>
    </row>
    <row r="34" spans="1:14" s="1" customFormat="1" ht="14.1" customHeight="1">
      <c r="A34" s="122"/>
      <c r="B34" s="75"/>
      <c r="C34" s="75"/>
      <c r="D34" s="79"/>
      <c r="E34" s="80"/>
      <c r="F34" s="80"/>
      <c r="G34" s="81"/>
      <c r="H34" s="46"/>
      <c r="I34" s="46"/>
      <c r="J34" s="125"/>
      <c r="K34" s="114"/>
      <c r="L34" s="114"/>
      <c r="M34" s="116"/>
    </row>
    <row r="35" spans="1:14" s="1" customFormat="1" ht="14.1" customHeight="1">
      <c r="A35" s="122">
        <v>17</v>
      </c>
      <c r="B35" s="98"/>
      <c r="C35" s="98"/>
      <c r="D35" s="76"/>
      <c r="E35" s="77"/>
      <c r="F35" s="77"/>
      <c r="G35" s="78"/>
      <c r="H35" s="27"/>
      <c r="I35" s="27"/>
      <c r="J35" s="125"/>
      <c r="K35" s="114"/>
      <c r="L35" s="114"/>
      <c r="M35" s="116"/>
    </row>
    <row r="36" spans="1:14" ht="14.1" customHeight="1">
      <c r="A36" s="122"/>
      <c r="B36" s="75"/>
      <c r="C36" s="75"/>
      <c r="D36" s="79"/>
      <c r="E36" s="80"/>
      <c r="F36" s="80"/>
      <c r="G36" s="81"/>
      <c r="H36" s="46"/>
      <c r="I36" s="46"/>
      <c r="J36" s="125"/>
      <c r="K36" s="114"/>
      <c r="L36" s="114"/>
      <c r="M36" s="116"/>
    </row>
    <row r="37" spans="1:14" ht="14.1" customHeight="1">
      <c r="A37" s="122">
        <v>18</v>
      </c>
      <c r="B37" s="36"/>
      <c r="C37" s="37"/>
      <c r="D37" s="124"/>
      <c r="E37" s="124"/>
      <c r="F37" s="124"/>
      <c r="G37" s="124"/>
      <c r="H37" s="27"/>
      <c r="I37" s="27"/>
      <c r="J37" s="41"/>
      <c r="K37" s="27"/>
      <c r="L37" s="27"/>
      <c r="M37" s="29"/>
    </row>
    <row r="38" spans="1:14" ht="14.1" customHeight="1">
      <c r="A38" s="122"/>
      <c r="B38" s="127"/>
      <c r="C38" s="128"/>
      <c r="D38" s="79"/>
      <c r="E38" s="80"/>
      <c r="F38" s="80"/>
      <c r="G38" s="81"/>
      <c r="H38" s="46"/>
      <c r="I38" s="46"/>
      <c r="J38" s="44"/>
      <c r="K38" s="46"/>
      <c r="L38" s="46"/>
      <c r="M38" s="132"/>
    </row>
    <row r="39" spans="1:14" ht="14.1" customHeight="1">
      <c r="A39" s="122">
        <v>19</v>
      </c>
      <c r="B39" s="133"/>
      <c r="C39" s="134"/>
      <c r="D39" s="103"/>
      <c r="E39" s="103"/>
      <c r="F39" s="103"/>
      <c r="G39" s="103"/>
      <c r="H39" s="27"/>
      <c r="I39" s="27"/>
      <c r="J39" s="125"/>
      <c r="K39" s="114"/>
      <c r="L39" s="114"/>
      <c r="M39" s="116"/>
    </row>
    <row r="40" spans="1:14" ht="14.1" customHeight="1" thickBot="1">
      <c r="A40" s="123"/>
      <c r="B40" s="118"/>
      <c r="C40" s="118"/>
      <c r="D40" s="119"/>
      <c r="E40" s="120"/>
      <c r="F40" s="120"/>
      <c r="G40" s="121"/>
      <c r="H40" s="28"/>
      <c r="I40" s="28"/>
      <c r="J40" s="126"/>
      <c r="K40" s="115"/>
      <c r="L40" s="115"/>
      <c r="M40" s="117"/>
    </row>
    <row r="41" spans="1:14" ht="14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4.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4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2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A21:A22"/>
    <mergeCell ref="B21:C21"/>
    <mergeCell ref="D21:G21"/>
    <mergeCell ref="H21:H22"/>
    <mergeCell ref="A1:M1"/>
    <mergeCell ref="A19:A20"/>
    <mergeCell ref="B19:C19"/>
    <mergeCell ref="D19:G19"/>
    <mergeCell ref="H19:H20"/>
    <mergeCell ref="I19:I20"/>
    <mergeCell ref="J19:J20"/>
    <mergeCell ref="K19:K20"/>
    <mergeCell ref="L19:L20"/>
    <mergeCell ref="M19:M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I21:I22"/>
    <mergeCell ref="J21:J22"/>
    <mergeCell ref="K21:K22"/>
    <mergeCell ref="L21:L22"/>
    <mergeCell ref="M21:M22"/>
    <mergeCell ref="B22:C22"/>
    <mergeCell ref="D22:G22"/>
    <mergeCell ref="B20:C20"/>
    <mergeCell ref="D20:G2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AD95-E93D-4A42-9932-0EDBEC58F765}">
  <sheetPr codeName="Sheet4">
    <tabColor theme="5"/>
    <pageSetUpPr fitToPage="1"/>
  </sheetPr>
  <dimension ref="A1:Q51"/>
  <sheetViews>
    <sheetView zoomScale="110" zoomScaleNormal="110" workbookViewId="0">
      <selection activeCell="B33" sqref="B33:C34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85" t="s">
        <v>313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/>
    </row>
    <row r="2" spans="1:17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14" t="s">
        <v>134</v>
      </c>
    </row>
    <row r="3" spans="1:17" s="1" customFormat="1" ht="14.1" customHeight="1">
      <c r="A3" s="165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SUM(I3)-3.4</f>
        <v>37.700000000000003</v>
      </c>
      <c r="I3" s="27">
        <f>SUM(J3)-3.4</f>
        <v>41.1</v>
      </c>
      <c r="J3" s="139">
        <v>44.5</v>
      </c>
      <c r="K3" s="140">
        <f>SUM(J3)+2.9</f>
        <v>47.4</v>
      </c>
      <c r="L3" s="140">
        <f>SUM(K3)+2.9</f>
        <v>50.3</v>
      </c>
      <c r="M3" s="140">
        <f>SUM(L3)+2.9</f>
        <v>53.199999999999996</v>
      </c>
      <c r="N3" s="174">
        <f>SUM(M3)+2.9</f>
        <v>56.099999999999994</v>
      </c>
    </row>
    <row r="4" spans="1:17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1"/>
      <c r="K4" s="27"/>
      <c r="L4" s="27"/>
      <c r="M4" s="27"/>
      <c r="N4" s="172"/>
    </row>
    <row r="5" spans="1:17" s="1" customFormat="1" ht="14.1" customHeight="1">
      <c r="A5" s="122">
        <v>2</v>
      </c>
      <c r="B5" s="36" t="s">
        <v>37</v>
      </c>
      <c r="C5" s="37"/>
      <c r="D5" s="76" t="s">
        <v>38</v>
      </c>
      <c r="E5" s="77"/>
      <c r="F5" s="77"/>
      <c r="G5" s="78"/>
      <c r="H5" s="27">
        <f>SUM(I5)-2</f>
        <v>38</v>
      </c>
      <c r="I5" s="27">
        <f>SUM(J5)-2</f>
        <v>40</v>
      </c>
      <c r="J5" s="41">
        <v>42</v>
      </c>
      <c r="K5" s="27">
        <f>SUM(J5)+1.8</f>
        <v>43.8</v>
      </c>
      <c r="L5" s="27">
        <f t="shared" ref="L5:M5" si="0">SUM(K5)+1.8</f>
        <v>45.599999999999994</v>
      </c>
      <c r="M5" s="27">
        <f t="shared" si="0"/>
        <v>47.399999999999991</v>
      </c>
      <c r="N5" s="172">
        <f t="shared" ref="N5" si="1">SUM(M5)+1.8</f>
        <v>49.199999999999989</v>
      </c>
    </row>
    <row r="6" spans="1:17" s="1" customFormat="1" ht="14.1" customHeight="1">
      <c r="A6" s="122"/>
      <c r="B6" s="127" t="s">
        <v>24</v>
      </c>
      <c r="C6" s="128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6"/>
      <c r="N6" s="173"/>
    </row>
    <row r="7" spans="1:17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SUM(I7)-2.25</f>
        <v>43.5</v>
      </c>
      <c r="I7" s="27">
        <f>SUM(J7)-2.25</f>
        <v>45.75</v>
      </c>
      <c r="J7" s="41">
        <v>48</v>
      </c>
      <c r="K7" s="27">
        <f>SUM(J7)+2</f>
        <v>50</v>
      </c>
      <c r="L7" s="27">
        <f>SUM(K7)+2</f>
        <v>52</v>
      </c>
      <c r="M7" s="27">
        <f>SUM(L7)+2</f>
        <v>54</v>
      </c>
      <c r="N7" s="172">
        <f>SUM(M7)+2</f>
        <v>56</v>
      </c>
    </row>
    <row r="8" spans="1:17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6"/>
      <c r="N8" s="173"/>
    </row>
    <row r="9" spans="1:17" s="1" customFormat="1" ht="14.1" customHeight="1">
      <c r="A9" s="122">
        <v>4</v>
      </c>
      <c r="B9" s="98" t="s">
        <v>293</v>
      </c>
      <c r="C9" s="98"/>
      <c r="D9" s="124" t="s">
        <v>0</v>
      </c>
      <c r="E9" s="124"/>
      <c r="F9" s="124"/>
      <c r="G9" s="124"/>
      <c r="H9" s="27">
        <f>SUM(I9)-4.6</f>
        <v>87.800000000000011</v>
      </c>
      <c r="I9" s="27">
        <f>SUM(J9)-4.6</f>
        <v>92.4</v>
      </c>
      <c r="J9" s="41">
        <v>97</v>
      </c>
      <c r="K9" s="27">
        <f>SUM(J9)+4</f>
        <v>101</v>
      </c>
      <c r="L9" s="27">
        <f t="shared" ref="L9:N9" si="2">SUM(K9)+4</f>
        <v>105</v>
      </c>
      <c r="M9" s="27">
        <f t="shared" si="2"/>
        <v>109</v>
      </c>
      <c r="N9" s="62">
        <f t="shared" si="2"/>
        <v>113</v>
      </c>
    </row>
    <row r="10" spans="1:17" s="1" customFormat="1" ht="14.1" customHeight="1">
      <c r="A10" s="122"/>
      <c r="B10" s="75" t="s">
        <v>294</v>
      </c>
      <c r="C10" s="75"/>
      <c r="D10" s="79" t="s">
        <v>199</v>
      </c>
      <c r="E10" s="80"/>
      <c r="F10" s="80"/>
      <c r="G10" s="81"/>
      <c r="H10" s="46"/>
      <c r="I10" s="46"/>
      <c r="J10" s="44"/>
      <c r="K10" s="46"/>
      <c r="L10" s="46"/>
      <c r="M10" s="46"/>
      <c r="N10" s="48"/>
    </row>
    <row r="11" spans="1:17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17.299999999999997</v>
      </c>
      <c r="I11" s="27">
        <f>SUM(J11)-0.8</f>
        <v>18.099999999999998</v>
      </c>
      <c r="J11" s="125">
        <v>18.899999999999999</v>
      </c>
      <c r="K11" s="27">
        <f>SUM(J11)+0.8</f>
        <v>19.7</v>
      </c>
      <c r="L11" s="27">
        <f>SUM(K11)+0.8</f>
        <v>20.5</v>
      </c>
      <c r="M11" s="27">
        <f t="shared" ref="M11:N11" si="3">SUM(L11)+0.8</f>
        <v>21.3</v>
      </c>
      <c r="N11" s="172">
        <f t="shared" si="3"/>
        <v>22.1</v>
      </c>
    </row>
    <row r="12" spans="1:17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46"/>
      <c r="L12" s="46"/>
      <c r="M12" s="46"/>
      <c r="N12" s="173"/>
    </row>
    <row r="13" spans="1:17" s="1" customFormat="1" ht="14.1" customHeight="1" thickBot="1">
      <c r="A13" s="122">
        <v>6</v>
      </c>
      <c r="B13" s="98" t="s">
        <v>1</v>
      </c>
      <c r="C13" s="98"/>
      <c r="D13" s="124" t="s">
        <v>296</v>
      </c>
      <c r="E13" s="124"/>
      <c r="F13" s="124"/>
      <c r="G13" s="124"/>
      <c r="H13" s="27">
        <f>SUM(I13)-0.6</f>
        <v>15.3</v>
      </c>
      <c r="I13" s="27">
        <f>SUM(J13)-0.6</f>
        <v>15.9</v>
      </c>
      <c r="J13" s="125">
        <v>16.5</v>
      </c>
      <c r="K13" s="114">
        <f>SUM(J13)+0.6</f>
        <v>17.100000000000001</v>
      </c>
      <c r="L13" s="114">
        <f>SUM(K13)+0.6</f>
        <v>17.700000000000003</v>
      </c>
      <c r="M13" s="114">
        <f>SUM(L13)+0.6</f>
        <v>18.300000000000004</v>
      </c>
      <c r="N13" s="170">
        <f>SUM(M13)+0.6</f>
        <v>18.900000000000006</v>
      </c>
    </row>
    <row r="14" spans="1:17" s="1" customFormat="1" ht="14.1" customHeight="1" thickTop="1">
      <c r="A14" s="122"/>
      <c r="B14" s="75" t="s">
        <v>27</v>
      </c>
      <c r="C14" s="75"/>
      <c r="D14" s="79" t="s">
        <v>46</v>
      </c>
      <c r="E14" s="80"/>
      <c r="F14" s="80"/>
      <c r="G14" s="81"/>
      <c r="H14" s="46"/>
      <c r="I14" s="46"/>
      <c r="J14" s="125"/>
      <c r="K14" s="114"/>
      <c r="L14" s="114"/>
      <c r="M14" s="114"/>
      <c r="N14" s="170"/>
      <c r="Q14" s="7" t="s">
        <v>314</v>
      </c>
    </row>
    <row r="15" spans="1:17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6.8000000000000007</v>
      </c>
      <c r="I15" s="27">
        <f>SUM(J15)-0.3</f>
        <v>7.1000000000000005</v>
      </c>
      <c r="J15" s="125">
        <v>7.4</v>
      </c>
      <c r="K15" s="114">
        <f>SUM(J15)+0.3</f>
        <v>7.7</v>
      </c>
      <c r="L15" s="114">
        <f>SUM(K15)+0.3</f>
        <v>8</v>
      </c>
      <c r="M15" s="114">
        <f>SUM(L15)+0.3</f>
        <v>8.3000000000000007</v>
      </c>
      <c r="N15" s="170">
        <f>SUM(M15)+0.3</f>
        <v>8.6000000000000014</v>
      </c>
      <c r="Q15" s="8">
        <f>SUM(H31+I31+J31+K31+L31+M31+N31)</f>
        <v>873.2</v>
      </c>
    </row>
    <row r="16" spans="1:17" s="1" customFormat="1" ht="14.1" customHeight="1" thickBot="1">
      <c r="A16" s="122"/>
      <c r="B16" s="75" t="s">
        <v>28</v>
      </c>
      <c r="C16" s="75"/>
      <c r="D16" s="79" t="s">
        <v>164</v>
      </c>
      <c r="E16" s="80"/>
      <c r="F16" s="80"/>
      <c r="G16" s="81"/>
      <c r="H16" s="46"/>
      <c r="I16" s="46"/>
      <c r="J16" s="125"/>
      <c r="K16" s="114"/>
      <c r="L16" s="114"/>
      <c r="M16" s="114"/>
      <c r="N16" s="170"/>
      <c r="Q16" s="9">
        <f>SUM(Q15/91.44/7*1.08)</f>
        <v>1.4733408323959509</v>
      </c>
    </row>
    <row r="17" spans="1:14" s="1" customFormat="1" ht="14.1" customHeight="1" thickTop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37.9</v>
      </c>
      <c r="I17" s="27">
        <f>SUM(J17)-1.6</f>
        <v>39.5</v>
      </c>
      <c r="J17" s="125">
        <v>41.1</v>
      </c>
      <c r="K17" s="114">
        <f>SUM(J17)+1.6</f>
        <v>42.7</v>
      </c>
      <c r="L17" s="114">
        <f>SUM(K17)+1.6</f>
        <v>44.300000000000004</v>
      </c>
      <c r="M17" s="114">
        <f>SUM(L17)+1.6</f>
        <v>45.900000000000006</v>
      </c>
      <c r="N17" s="170">
        <f>SUM(M17)+1.6</f>
        <v>47.500000000000007</v>
      </c>
    </row>
    <row r="18" spans="1:14" s="1" customFormat="1" ht="14.1" customHeight="1">
      <c r="A18" s="122"/>
      <c r="B18" s="75" t="s">
        <v>33</v>
      </c>
      <c r="C18" s="75"/>
      <c r="D18" s="79" t="s">
        <v>297</v>
      </c>
      <c r="E18" s="80"/>
      <c r="F18" s="80"/>
      <c r="G18" s="81"/>
      <c r="H18" s="46"/>
      <c r="I18" s="46"/>
      <c r="J18" s="125"/>
      <c r="K18" s="114"/>
      <c r="L18" s="114"/>
      <c r="M18" s="114"/>
      <c r="N18" s="170"/>
    </row>
    <row r="19" spans="1:14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SUM(I19)-3.5</f>
        <v>29.4</v>
      </c>
      <c r="I19" s="27">
        <f>SUM(J19)-3.5</f>
        <v>32.9</v>
      </c>
      <c r="J19" s="41">
        <v>36.4</v>
      </c>
      <c r="K19" s="27">
        <f>SUM(J19)+3.6</f>
        <v>40</v>
      </c>
      <c r="L19" s="27">
        <f t="shared" ref="L19:M19" si="4">SUM(K19)+3.6</f>
        <v>43.6</v>
      </c>
      <c r="M19" s="27">
        <f t="shared" si="4"/>
        <v>47.2</v>
      </c>
      <c r="N19" s="172">
        <f t="shared" ref="N19" si="5">SUM(M19)+3.6</f>
        <v>50.800000000000004</v>
      </c>
    </row>
    <row r="20" spans="1:14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44"/>
      <c r="K20" s="46"/>
      <c r="L20" s="46"/>
      <c r="M20" s="46"/>
      <c r="N20" s="173"/>
    </row>
    <row r="21" spans="1:14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SUM(I21)-1.5</f>
        <v>33.4</v>
      </c>
      <c r="I21" s="27">
        <f>SUM(J21)-1.5</f>
        <v>34.9</v>
      </c>
      <c r="J21" s="125">
        <v>36.4</v>
      </c>
      <c r="K21" s="114">
        <f>SUM(J21)+1.5</f>
        <v>37.9</v>
      </c>
      <c r="L21" s="114">
        <f t="shared" ref="L21:M21" si="6">SUM(K21)+1.5</f>
        <v>39.4</v>
      </c>
      <c r="M21" s="114">
        <f t="shared" si="6"/>
        <v>40.9</v>
      </c>
      <c r="N21" s="170">
        <f t="shared" ref="N21" si="7">SUM(M21)+1.5</f>
        <v>42.4</v>
      </c>
    </row>
    <row r="22" spans="1:14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4"/>
      <c r="N22" s="170"/>
    </row>
    <row r="23" spans="1:14" s="1" customFormat="1" ht="14.1" customHeight="1">
      <c r="A23" s="122">
        <v>11</v>
      </c>
      <c r="B23" s="36" t="s">
        <v>260</v>
      </c>
      <c r="C23" s="37"/>
      <c r="D23" s="124" t="s">
        <v>65</v>
      </c>
      <c r="E23" s="124"/>
      <c r="F23" s="124"/>
      <c r="G23" s="124"/>
      <c r="H23" s="27">
        <f>SUM(I23)-0.6</f>
        <v>18.799999999999997</v>
      </c>
      <c r="I23" s="27">
        <f>SUM(J23)-0.6</f>
        <v>19.399999999999999</v>
      </c>
      <c r="J23" s="125">
        <v>20</v>
      </c>
      <c r="K23" s="114">
        <f>SUM(J23)+0.6</f>
        <v>20.6</v>
      </c>
      <c r="L23" s="114">
        <f>SUM(K23)+0.6</f>
        <v>21.200000000000003</v>
      </c>
      <c r="M23" s="114">
        <f>SUM(L23)+0.6</f>
        <v>21.800000000000004</v>
      </c>
      <c r="N23" s="170">
        <f>SUM(M23)+0.6</f>
        <v>22.400000000000006</v>
      </c>
    </row>
    <row r="24" spans="1:14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4"/>
      <c r="N24" s="170"/>
    </row>
    <row r="25" spans="1:14" s="1" customFormat="1" ht="14.1" customHeight="1">
      <c r="A25" s="122">
        <v>12</v>
      </c>
      <c r="B25" s="36" t="s">
        <v>165</v>
      </c>
      <c r="C25" s="37"/>
      <c r="D25" s="124"/>
      <c r="E25" s="124"/>
      <c r="F25" s="124"/>
      <c r="G25" s="124"/>
      <c r="H25" s="27">
        <f>SUM(I25)-0.5</f>
        <v>11</v>
      </c>
      <c r="I25" s="27">
        <f>SUM(J25)-0.5</f>
        <v>11.5</v>
      </c>
      <c r="J25" s="41">
        <v>12</v>
      </c>
      <c r="K25" s="114">
        <f>SUM(J25)+0.5</f>
        <v>12.5</v>
      </c>
      <c r="L25" s="114">
        <f t="shared" ref="L25:N25" si="8">SUM(K25)+0.5</f>
        <v>13</v>
      </c>
      <c r="M25" s="114">
        <f t="shared" si="8"/>
        <v>13.5</v>
      </c>
      <c r="N25" s="170">
        <f t="shared" si="8"/>
        <v>14</v>
      </c>
    </row>
    <row r="26" spans="1:14" s="1" customFormat="1" ht="14.1" customHeight="1">
      <c r="A26" s="122"/>
      <c r="B26" s="127" t="s">
        <v>166</v>
      </c>
      <c r="C26" s="128"/>
      <c r="D26" s="79"/>
      <c r="E26" s="80"/>
      <c r="F26" s="80"/>
      <c r="G26" s="81"/>
      <c r="H26" s="46"/>
      <c r="I26" s="46"/>
      <c r="J26" s="44"/>
      <c r="K26" s="114"/>
      <c r="L26" s="114"/>
      <c r="M26" s="114"/>
      <c r="N26" s="170"/>
    </row>
    <row r="27" spans="1:14" s="1" customFormat="1" ht="14.1" customHeight="1">
      <c r="A27" s="122">
        <v>13</v>
      </c>
      <c r="B27" s="36" t="s">
        <v>143</v>
      </c>
      <c r="C27" s="37"/>
      <c r="D27" s="129"/>
      <c r="E27" s="130"/>
      <c r="F27" s="130"/>
      <c r="G27" s="131"/>
      <c r="H27" s="27">
        <v>36.5</v>
      </c>
      <c r="I27" s="27">
        <v>40</v>
      </c>
      <c r="J27" s="125">
        <v>43.5</v>
      </c>
      <c r="K27" s="114">
        <v>46.5</v>
      </c>
      <c r="L27" s="114">
        <v>49.5</v>
      </c>
      <c r="M27" s="114">
        <v>52</v>
      </c>
      <c r="N27" s="170">
        <v>55</v>
      </c>
    </row>
    <row r="28" spans="1:14" s="1" customFormat="1" ht="14.1" customHeight="1">
      <c r="A28" s="122"/>
      <c r="B28" s="133" t="s">
        <v>129</v>
      </c>
      <c r="C28" s="134"/>
      <c r="D28" s="102" t="s">
        <v>298</v>
      </c>
      <c r="E28" s="103"/>
      <c r="F28" s="103"/>
      <c r="G28" s="104"/>
      <c r="H28" s="46"/>
      <c r="I28" s="46"/>
      <c r="J28" s="41"/>
      <c r="K28" s="114"/>
      <c r="L28" s="114"/>
      <c r="M28" s="114"/>
      <c r="N28" s="170"/>
    </row>
    <row r="29" spans="1:14" s="1" customFormat="1" ht="14.1" customHeight="1">
      <c r="A29" s="122">
        <v>14</v>
      </c>
      <c r="B29" s="36" t="s">
        <v>72</v>
      </c>
      <c r="C29" s="37"/>
      <c r="D29" s="77" t="s">
        <v>168</v>
      </c>
      <c r="E29" s="77"/>
      <c r="F29" s="77"/>
      <c r="G29" s="77"/>
      <c r="H29" s="27">
        <f>SUM(I29)-0.2</f>
        <v>4.5999999999999996</v>
      </c>
      <c r="I29" s="27">
        <f>SUM(J29)-0.2</f>
        <v>4.8</v>
      </c>
      <c r="J29" s="125">
        <v>5</v>
      </c>
      <c r="K29" s="114">
        <f>SUM(J29)+0.2</f>
        <v>5.2</v>
      </c>
      <c r="L29" s="114">
        <f t="shared" ref="L29:N29" si="9">SUM(K29)+0.2</f>
        <v>5.4</v>
      </c>
      <c r="M29" s="114">
        <f t="shared" si="9"/>
        <v>5.6000000000000005</v>
      </c>
      <c r="N29" s="170">
        <f t="shared" si="9"/>
        <v>5.8000000000000007</v>
      </c>
    </row>
    <row r="30" spans="1:14" s="1" customFormat="1" ht="14.1" customHeight="1">
      <c r="A30" s="122"/>
      <c r="B30" s="75" t="s">
        <v>34</v>
      </c>
      <c r="C30" s="75"/>
      <c r="D30" s="79" t="s">
        <v>167</v>
      </c>
      <c r="E30" s="80"/>
      <c r="F30" s="80"/>
      <c r="G30" s="81"/>
      <c r="H30" s="46"/>
      <c r="I30" s="46"/>
      <c r="J30" s="125"/>
      <c r="K30" s="114"/>
      <c r="L30" s="114"/>
      <c r="M30" s="114"/>
      <c r="N30" s="170"/>
    </row>
    <row r="31" spans="1:14" s="1" customFormat="1" ht="14.1" customHeight="1">
      <c r="A31" s="122">
        <v>15</v>
      </c>
      <c r="B31" s="36" t="s">
        <v>301</v>
      </c>
      <c r="C31" s="37"/>
      <c r="D31" s="129"/>
      <c r="E31" s="130"/>
      <c r="F31" s="130"/>
      <c r="G31" s="131"/>
      <c r="H31" s="27">
        <f>SUM(I31)-4.6</f>
        <v>111.80000000000001</v>
      </c>
      <c r="I31" s="27">
        <f>SUM(J31)-4.6</f>
        <v>116.4</v>
      </c>
      <c r="J31" s="41">
        <v>121</v>
      </c>
      <c r="K31" s="27">
        <f>SUM(J31)+4</f>
        <v>125</v>
      </c>
      <c r="L31" s="27">
        <f t="shared" ref="L31:N31" si="10">SUM(K31)+4</f>
        <v>129</v>
      </c>
      <c r="M31" s="27">
        <f t="shared" si="10"/>
        <v>133</v>
      </c>
      <c r="N31" s="62">
        <f t="shared" si="10"/>
        <v>137</v>
      </c>
    </row>
    <row r="32" spans="1:14" s="1" customFormat="1" ht="14.1" customHeight="1">
      <c r="A32" s="122"/>
      <c r="B32" s="127" t="s">
        <v>302</v>
      </c>
      <c r="C32" s="128"/>
      <c r="D32" s="79" t="s">
        <v>303</v>
      </c>
      <c r="E32" s="80"/>
      <c r="F32" s="80"/>
      <c r="G32" s="81"/>
      <c r="H32" s="46"/>
      <c r="I32" s="46"/>
      <c r="J32" s="44"/>
      <c r="K32" s="46"/>
      <c r="L32" s="46"/>
      <c r="M32" s="46"/>
      <c r="N32" s="48"/>
    </row>
    <row r="33" spans="1:14" s="1" customFormat="1" ht="14.1" customHeight="1">
      <c r="A33" s="122">
        <v>16</v>
      </c>
      <c r="B33" s="36" t="s">
        <v>114</v>
      </c>
      <c r="C33" s="37"/>
      <c r="D33" s="124"/>
      <c r="E33" s="124"/>
      <c r="F33" s="124"/>
      <c r="G33" s="124"/>
      <c r="H33" s="27">
        <f>SUM(I33)-0.4</f>
        <v>7.8999999999999986</v>
      </c>
      <c r="I33" s="27">
        <f>SUM(J33)-0.4</f>
        <v>8.2999999999999989</v>
      </c>
      <c r="J33" s="41">
        <v>8.6999999999999993</v>
      </c>
      <c r="K33" s="27">
        <f>SUM(J33)+0.4</f>
        <v>9.1</v>
      </c>
      <c r="L33" s="27">
        <f>SUM(K33)+0.4</f>
        <v>9.5</v>
      </c>
      <c r="M33" s="27">
        <f>SUM(L33)+0.4</f>
        <v>9.9</v>
      </c>
      <c r="N33" s="172">
        <f>SUM(M33)+0.4</f>
        <v>10.3</v>
      </c>
    </row>
    <row r="34" spans="1:14" s="1" customFormat="1" ht="14.1" customHeight="1">
      <c r="A34" s="122"/>
      <c r="B34" s="127" t="s">
        <v>122</v>
      </c>
      <c r="C34" s="128"/>
      <c r="D34" s="79"/>
      <c r="E34" s="80"/>
      <c r="F34" s="80"/>
      <c r="G34" s="81"/>
      <c r="H34" s="46"/>
      <c r="I34" s="46"/>
      <c r="J34" s="44"/>
      <c r="K34" s="46"/>
      <c r="L34" s="46"/>
      <c r="M34" s="46"/>
      <c r="N34" s="173"/>
    </row>
    <row r="35" spans="1:14" s="1" customFormat="1" ht="14.1" customHeight="1">
      <c r="A35" s="122">
        <v>17</v>
      </c>
      <c r="B35" s="36" t="s">
        <v>115</v>
      </c>
      <c r="C35" s="37"/>
      <c r="D35" s="129"/>
      <c r="E35" s="130"/>
      <c r="F35" s="130"/>
      <c r="G35" s="131"/>
      <c r="H35" s="27">
        <f>SUM(I35)-0.4</f>
        <v>7.1999999999999993</v>
      </c>
      <c r="I35" s="27">
        <f>SUM(J35)-0.4</f>
        <v>7.6</v>
      </c>
      <c r="J35" s="41">
        <v>8</v>
      </c>
      <c r="K35" s="27">
        <f>SUM(J35)+0.4</f>
        <v>8.4</v>
      </c>
      <c r="L35" s="27">
        <f t="shared" ref="L35:N35" si="11">SUM(K35)+0.4</f>
        <v>8.8000000000000007</v>
      </c>
      <c r="M35" s="27">
        <f t="shared" si="11"/>
        <v>9.2000000000000011</v>
      </c>
      <c r="N35" s="62">
        <f t="shared" si="11"/>
        <v>9.6000000000000014</v>
      </c>
    </row>
    <row r="36" spans="1:14" ht="14.1" customHeight="1">
      <c r="A36" s="122"/>
      <c r="B36" s="127" t="s">
        <v>123</v>
      </c>
      <c r="C36" s="128"/>
      <c r="D36" s="79"/>
      <c r="E36" s="80"/>
      <c r="F36" s="80"/>
      <c r="G36" s="81"/>
      <c r="H36" s="46"/>
      <c r="I36" s="46"/>
      <c r="J36" s="44"/>
      <c r="K36" s="46"/>
      <c r="L36" s="46"/>
      <c r="M36" s="46"/>
      <c r="N36" s="48"/>
    </row>
    <row r="37" spans="1:14" ht="14.1" customHeight="1">
      <c r="A37" s="122">
        <v>18</v>
      </c>
      <c r="B37" s="36"/>
      <c r="C37" s="37"/>
      <c r="D37" s="124"/>
      <c r="E37" s="124"/>
      <c r="F37" s="124"/>
      <c r="G37" s="124"/>
      <c r="H37" s="27"/>
      <c r="I37" s="27"/>
      <c r="J37" s="41"/>
      <c r="K37" s="114"/>
      <c r="L37" s="114"/>
      <c r="M37" s="114"/>
      <c r="N37" s="170"/>
    </row>
    <row r="38" spans="1:14" ht="14.1" customHeight="1" thickBot="1">
      <c r="A38" s="123"/>
      <c r="B38" s="143"/>
      <c r="C38" s="144"/>
      <c r="D38" s="167"/>
      <c r="E38" s="120"/>
      <c r="F38" s="120"/>
      <c r="G38" s="121"/>
      <c r="H38" s="28"/>
      <c r="I38" s="28"/>
      <c r="J38" s="42"/>
      <c r="K38" s="115"/>
      <c r="L38" s="115"/>
      <c r="M38" s="115"/>
      <c r="N38" s="171"/>
    </row>
    <row r="39" spans="1:14" ht="14.1" customHeight="1"/>
    <row r="40" spans="1:14" ht="14.1" customHeight="1"/>
    <row r="41" spans="1:14" ht="14.1" customHeight="1">
      <c r="N41" s="1"/>
    </row>
    <row r="42" spans="1:14" ht="14.1" customHeight="1">
      <c r="N42" s="1"/>
    </row>
    <row r="43" spans="1:14" ht="14.1" customHeight="1">
      <c r="N43" s="1"/>
    </row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J29:J30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D38:G38"/>
    <mergeCell ref="K35:K36"/>
    <mergeCell ref="L35:L36"/>
    <mergeCell ref="M35:M36"/>
    <mergeCell ref="B36:C36"/>
    <mergeCell ref="D36:G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5:J36"/>
    <mergeCell ref="N31:N32"/>
    <mergeCell ref="N37:N38"/>
    <mergeCell ref="A1:N1"/>
    <mergeCell ref="N19:N20"/>
    <mergeCell ref="N21:N22"/>
    <mergeCell ref="N23:N24"/>
    <mergeCell ref="N25:N26"/>
    <mergeCell ref="N27:N28"/>
    <mergeCell ref="N29:N30"/>
    <mergeCell ref="N33:N34"/>
    <mergeCell ref="N35:N36"/>
    <mergeCell ref="N3:N4"/>
    <mergeCell ref="N5:N6"/>
    <mergeCell ref="N7:N8"/>
    <mergeCell ref="N9:N10"/>
    <mergeCell ref="N11:N12"/>
    <mergeCell ref="N13:N14"/>
    <mergeCell ref="N15:N16"/>
    <mergeCell ref="N17:N18"/>
    <mergeCell ref="J37:J38"/>
    <mergeCell ref="K37:K38"/>
    <mergeCell ref="L37:L38"/>
    <mergeCell ref="M37:M38"/>
    <mergeCell ref="B38:C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B2B4-5A3C-4FBD-BFB0-8EE92DEE1586}">
  <sheetPr codeName="Sheet5">
    <tabColor theme="5"/>
    <pageSetUpPr fitToPage="1"/>
  </sheetPr>
  <dimension ref="A1:N52"/>
  <sheetViews>
    <sheetView zoomScale="110" zoomScaleNormal="110" workbookViewId="0">
      <selection sqref="A1:N3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265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134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253</v>
      </c>
      <c r="E3" s="149"/>
      <c r="F3" s="149"/>
      <c r="G3" s="92"/>
      <c r="H3" s="27">
        <f>SUM(I3)-3</f>
        <v>31</v>
      </c>
      <c r="I3" s="27">
        <f>SUM(J3)-3</f>
        <v>34</v>
      </c>
      <c r="J3" s="139">
        <v>37</v>
      </c>
      <c r="K3" s="96">
        <f>SUM(J3)+2.5</f>
        <v>39.5</v>
      </c>
      <c r="L3" s="96">
        <f>SUM(K3)+2.5</f>
        <v>42</v>
      </c>
      <c r="M3" s="96">
        <f>SUM(L3)+2.5</f>
        <v>44.5</v>
      </c>
      <c r="N3" s="97">
        <f>SUM(M3)+2.5</f>
        <v>47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46"/>
      <c r="L4" s="46"/>
      <c r="M4" s="46"/>
      <c r="N4" s="48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SUM(I5)-1.4</f>
        <v>23.200000000000003</v>
      </c>
      <c r="I5" s="27">
        <f>SUM(J5)-1.4</f>
        <v>24.6</v>
      </c>
      <c r="J5" s="41">
        <v>26</v>
      </c>
      <c r="K5" s="27">
        <f>SUM(J5)+1.4</f>
        <v>27.4</v>
      </c>
      <c r="L5" s="27">
        <f>SUM(K5)+1.4</f>
        <v>28.799999999999997</v>
      </c>
      <c r="M5" s="27">
        <f>SUM(L5)+1.4</f>
        <v>30.199999999999996</v>
      </c>
      <c r="N5" s="62">
        <f>SUM(M5)+1.4</f>
        <v>31.599999999999994</v>
      </c>
    </row>
    <row r="6" spans="1:14" s="1" customFormat="1" ht="14.1" customHeight="1">
      <c r="A6" s="122"/>
      <c r="B6" s="75" t="s">
        <v>24</v>
      </c>
      <c r="C6" s="75"/>
      <c r="D6" s="79" t="s">
        <v>254</v>
      </c>
      <c r="E6" s="80"/>
      <c r="F6" s="80"/>
      <c r="G6" s="81"/>
      <c r="H6" s="46"/>
      <c r="I6" s="46"/>
      <c r="J6" s="44"/>
      <c r="K6" s="46"/>
      <c r="L6" s="46"/>
      <c r="M6" s="46"/>
      <c r="N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</f>
        <v>34</v>
      </c>
      <c r="I7" s="27">
        <f>SUM(J7)-2</f>
        <v>36</v>
      </c>
      <c r="J7" s="41">
        <v>38</v>
      </c>
      <c r="K7" s="27">
        <f>SUM(J7)+2</f>
        <v>40</v>
      </c>
      <c r="L7" s="27">
        <f>SUM(K7)+2</f>
        <v>42</v>
      </c>
      <c r="M7" s="27">
        <f>SUM(L7)+2</f>
        <v>44</v>
      </c>
      <c r="N7" s="62">
        <f>SUM(M7)+2</f>
        <v>46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6"/>
      <c r="N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31.400000000000002</v>
      </c>
      <c r="I9" s="27">
        <f>SUM(J9)-1.8</f>
        <v>33.200000000000003</v>
      </c>
      <c r="J9" s="41">
        <v>35</v>
      </c>
      <c r="K9" s="27">
        <f>SUM(J9)+1.8</f>
        <v>36.799999999999997</v>
      </c>
      <c r="L9" s="27">
        <f>SUM(K9)+1.8</f>
        <v>38.599999999999994</v>
      </c>
      <c r="M9" s="27">
        <f>SUM(L9)+1.8</f>
        <v>40.399999999999991</v>
      </c>
      <c r="N9" s="62">
        <f>SUM(M9)+1.8</f>
        <v>42.199999999999989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6"/>
      <c r="N10" s="48"/>
    </row>
    <row r="11" spans="1:14" s="1" customFormat="1" ht="14.1" customHeight="1">
      <c r="A11" s="122">
        <v>5</v>
      </c>
      <c r="B11" s="98" t="s">
        <v>255</v>
      </c>
      <c r="C11" s="98"/>
      <c r="D11" s="124"/>
      <c r="E11" s="124"/>
      <c r="F11" s="124"/>
      <c r="G11" s="124"/>
      <c r="H11" s="27">
        <f>SUM(I11)-0</f>
        <v>5</v>
      </c>
      <c r="I11" s="27">
        <f>SUM(J11)-0</f>
        <v>5</v>
      </c>
      <c r="J11" s="41">
        <v>5</v>
      </c>
      <c r="K11" s="27">
        <f>SUM(J11)+0.5</f>
        <v>5.5</v>
      </c>
      <c r="L11" s="27">
        <f>SUM(K11)+0</f>
        <v>5.5</v>
      </c>
      <c r="M11" s="27">
        <f>SUM(L11)+0</f>
        <v>5.5</v>
      </c>
      <c r="N11" s="62">
        <f>SUM(M11)+0</f>
        <v>5.5</v>
      </c>
    </row>
    <row r="12" spans="1:14" s="1" customFormat="1" ht="14.1" customHeight="1">
      <c r="A12" s="122"/>
      <c r="B12" s="75" t="s">
        <v>256</v>
      </c>
      <c r="C12" s="75"/>
      <c r="D12" s="79"/>
      <c r="E12" s="80"/>
      <c r="F12" s="80"/>
      <c r="G12" s="81"/>
      <c r="H12" s="46"/>
      <c r="I12" s="46"/>
      <c r="J12" s="44"/>
      <c r="K12" s="46"/>
      <c r="L12" s="46"/>
      <c r="M12" s="46"/>
      <c r="N12" s="48"/>
    </row>
    <row r="13" spans="1:14" s="1" customFormat="1" ht="14.1" customHeight="1">
      <c r="A13" s="122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>
        <f>SUM(I13)-0.8</f>
        <v>14.899999999999999</v>
      </c>
      <c r="I13" s="27">
        <f>SUM(J13)-0.8</f>
        <v>15.7</v>
      </c>
      <c r="J13" s="125">
        <v>16.5</v>
      </c>
      <c r="K13" s="27">
        <f>SUM(J13)+0.8</f>
        <v>17.3</v>
      </c>
      <c r="L13" s="27">
        <f>SUM(K13)+0.8</f>
        <v>18.100000000000001</v>
      </c>
      <c r="M13" s="27">
        <f>SUM(L13)+0.8</f>
        <v>18.900000000000002</v>
      </c>
      <c r="N13" s="62">
        <f>SUM(M13)+0.8</f>
        <v>19.700000000000003</v>
      </c>
    </row>
    <row r="14" spans="1:14" s="1" customFormat="1" ht="14.1" customHeight="1">
      <c r="A14" s="122"/>
      <c r="B14" s="75" t="s">
        <v>26</v>
      </c>
      <c r="C14" s="75"/>
      <c r="D14" s="79" t="s">
        <v>45</v>
      </c>
      <c r="E14" s="80"/>
      <c r="F14" s="80"/>
      <c r="G14" s="81"/>
      <c r="H14" s="46"/>
      <c r="I14" s="46"/>
      <c r="J14" s="125"/>
      <c r="K14" s="46"/>
      <c r="L14" s="46"/>
      <c r="M14" s="46"/>
      <c r="N14" s="48"/>
    </row>
    <row r="15" spans="1:14" s="1" customFormat="1" ht="14.1" customHeight="1">
      <c r="A15" s="122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15.799999999999999</v>
      </c>
      <c r="I15" s="27">
        <f>SUM(J15)-0.6</f>
        <v>16.399999999999999</v>
      </c>
      <c r="J15" s="125">
        <v>17</v>
      </c>
      <c r="K15" s="27">
        <f>SUM(J15)+0.6</f>
        <v>17.600000000000001</v>
      </c>
      <c r="L15" s="27">
        <f>SUM(K15)+0.6</f>
        <v>18.200000000000003</v>
      </c>
      <c r="M15" s="27">
        <f>SUM(L15)+0.6</f>
        <v>18.800000000000004</v>
      </c>
      <c r="N15" s="62">
        <f>SUM(M15)+0.6</f>
        <v>19.400000000000006</v>
      </c>
    </row>
    <row r="16" spans="1:14" s="1" customFormat="1" ht="14.1" customHeight="1">
      <c r="A16" s="122"/>
      <c r="B16" s="75" t="s">
        <v>27</v>
      </c>
      <c r="C16" s="75"/>
      <c r="D16" s="79" t="s">
        <v>46</v>
      </c>
      <c r="E16" s="80"/>
      <c r="F16" s="80"/>
      <c r="G16" s="81"/>
      <c r="H16" s="46"/>
      <c r="I16" s="46"/>
      <c r="J16" s="125"/>
      <c r="K16" s="46"/>
      <c r="L16" s="46"/>
      <c r="M16" s="46"/>
      <c r="N16" s="48"/>
    </row>
    <row r="17" spans="1:14" s="1" customFormat="1" ht="14.1" customHeight="1">
      <c r="A17" s="122">
        <v>8</v>
      </c>
      <c r="B17" s="98" t="s">
        <v>2</v>
      </c>
      <c r="C17" s="98"/>
      <c r="D17" s="124" t="s">
        <v>3</v>
      </c>
      <c r="E17" s="124"/>
      <c r="F17" s="124"/>
      <c r="G17" s="124"/>
      <c r="H17" s="27">
        <f>SUM(I17)-0.3</f>
        <v>6.9</v>
      </c>
      <c r="I17" s="27">
        <f>SUM(J17)-0.3</f>
        <v>7.2</v>
      </c>
      <c r="J17" s="125">
        <v>7.5</v>
      </c>
      <c r="K17" s="27">
        <f>SUM(J17)+0.3</f>
        <v>7.8</v>
      </c>
      <c r="L17" s="27">
        <f>SUM(K17)+0.3</f>
        <v>8.1</v>
      </c>
      <c r="M17" s="27">
        <f>SUM(L17)+0.3</f>
        <v>8.4</v>
      </c>
      <c r="N17" s="62">
        <f>SUM(M17)+0.3</f>
        <v>8.7000000000000011</v>
      </c>
    </row>
    <row r="18" spans="1:14" s="1" customFormat="1" ht="14.1" customHeight="1">
      <c r="A18" s="122"/>
      <c r="B18" s="75" t="s">
        <v>28</v>
      </c>
      <c r="C18" s="75"/>
      <c r="D18" s="79" t="s">
        <v>164</v>
      </c>
      <c r="E18" s="80"/>
      <c r="F18" s="80"/>
      <c r="G18" s="81"/>
      <c r="H18" s="46"/>
      <c r="I18" s="46"/>
      <c r="J18" s="125"/>
      <c r="K18" s="46"/>
      <c r="L18" s="46"/>
      <c r="M18" s="46"/>
      <c r="N18" s="48"/>
    </row>
    <row r="19" spans="1:14" s="1" customFormat="1" ht="14.1" customHeight="1">
      <c r="A19" s="122">
        <v>9</v>
      </c>
      <c r="B19" s="36" t="s">
        <v>257</v>
      </c>
      <c r="C19" s="37"/>
      <c r="D19" s="76"/>
      <c r="E19" s="77"/>
      <c r="F19" s="77"/>
      <c r="G19" s="78"/>
      <c r="H19" s="27">
        <f>SUM(I19)</f>
        <v>3</v>
      </c>
      <c r="I19" s="27">
        <f>SUM(J19)</f>
        <v>3</v>
      </c>
      <c r="J19" s="41">
        <v>3</v>
      </c>
      <c r="K19" s="27">
        <f>SUM(J19)</f>
        <v>3</v>
      </c>
      <c r="L19" s="27">
        <f>SUM(K19)</f>
        <v>3</v>
      </c>
      <c r="M19" s="27">
        <f>SUM(L19)</f>
        <v>3</v>
      </c>
      <c r="N19" s="62">
        <f>SUM(M19)</f>
        <v>3</v>
      </c>
    </row>
    <row r="20" spans="1:14" s="1" customFormat="1" ht="14.1" customHeight="1">
      <c r="A20" s="122"/>
      <c r="B20" s="75" t="s">
        <v>258</v>
      </c>
      <c r="C20" s="75"/>
      <c r="D20" s="79"/>
      <c r="E20" s="80"/>
      <c r="F20" s="80"/>
      <c r="G20" s="81"/>
      <c r="H20" s="46"/>
      <c r="I20" s="46"/>
      <c r="J20" s="44"/>
      <c r="K20" s="46"/>
      <c r="L20" s="46"/>
      <c r="M20" s="46"/>
      <c r="N20" s="48"/>
    </row>
    <row r="21" spans="1:14" s="1" customFormat="1" ht="14.1" customHeight="1">
      <c r="A21" s="122">
        <v>10</v>
      </c>
      <c r="B21" s="36" t="s">
        <v>70</v>
      </c>
      <c r="C21" s="37"/>
      <c r="D21" s="76" t="s">
        <v>71</v>
      </c>
      <c r="E21" s="77"/>
      <c r="F21" s="77"/>
      <c r="G21" s="78"/>
      <c r="H21" s="45"/>
      <c r="I21" s="45"/>
      <c r="J21" s="44"/>
      <c r="K21" s="45"/>
      <c r="L21" s="45"/>
      <c r="M21" s="45"/>
      <c r="N21" s="47"/>
    </row>
    <row r="22" spans="1:14" s="1" customFormat="1" ht="14.1" customHeight="1">
      <c r="A22" s="122"/>
      <c r="B22" s="75" t="s">
        <v>33</v>
      </c>
      <c r="C22" s="75"/>
      <c r="D22" s="79" t="s">
        <v>259</v>
      </c>
      <c r="E22" s="80"/>
      <c r="F22" s="80"/>
      <c r="G22" s="81"/>
      <c r="H22" s="46"/>
      <c r="I22" s="46"/>
      <c r="J22" s="125"/>
      <c r="K22" s="46"/>
      <c r="L22" s="46"/>
      <c r="M22" s="46"/>
      <c r="N22" s="48"/>
    </row>
    <row r="23" spans="1:14" s="1" customFormat="1" ht="14.1" customHeight="1">
      <c r="A23" s="122">
        <v>11</v>
      </c>
      <c r="B23" s="98" t="s">
        <v>4</v>
      </c>
      <c r="C23" s="98"/>
      <c r="D23" s="124" t="s">
        <v>5</v>
      </c>
      <c r="E23" s="124"/>
      <c r="F23" s="124"/>
      <c r="G23" s="124"/>
      <c r="H23" s="27">
        <f>SUM(I23)-3.8</f>
        <v>33.400000000000006</v>
      </c>
      <c r="I23" s="27">
        <f>SUM(J23)-3.8</f>
        <v>37.200000000000003</v>
      </c>
      <c r="J23" s="41">
        <v>41</v>
      </c>
      <c r="K23" s="27">
        <f>SUM(J23)+3.8</f>
        <v>44.8</v>
      </c>
      <c r="L23" s="27">
        <f>SUM(K23)+3.8</f>
        <v>48.599999999999994</v>
      </c>
      <c r="M23" s="27">
        <f>SUM(L23)+3.8</f>
        <v>52.399999999999991</v>
      </c>
      <c r="N23" s="62">
        <f>SUM(M23)+3.8</f>
        <v>56.199999999999989</v>
      </c>
    </row>
    <row r="24" spans="1:14" s="1" customFormat="1" ht="14.1" customHeight="1">
      <c r="A24" s="122"/>
      <c r="B24" s="75" t="s">
        <v>187</v>
      </c>
      <c r="C24" s="75"/>
      <c r="D24" s="79" t="s">
        <v>47</v>
      </c>
      <c r="E24" s="80"/>
      <c r="F24" s="80"/>
      <c r="G24" s="81"/>
      <c r="H24" s="46"/>
      <c r="I24" s="46"/>
      <c r="J24" s="44"/>
      <c r="K24" s="46"/>
      <c r="L24" s="46"/>
      <c r="M24" s="46"/>
      <c r="N24" s="48"/>
    </row>
    <row r="25" spans="1:14" s="1" customFormat="1" ht="14.1" customHeight="1">
      <c r="A25" s="122">
        <v>12</v>
      </c>
      <c r="B25" s="98" t="s">
        <v>6</v>
      </c>
      <c r="C25" s="98"/>
      <c r="D25" s="76" t="s">
        <v>7</v>
      </c>
      <c r="E25" s="77"/>
      <c r="F25" s="77"/>
      <c r="G25" s="78"/>
      <c r="H25" s="27">
        <f>SUM(I25)-1.4</f>
        <v>26.200000000000003</v>
      </c>
      <c r="I25" s="27">
        <f>SUM(J25)-1.4</f>
        <v>27.6</v>
      </c>
      <c r="J25" s="41">
        <v>29</v>
      </c>
      <c r="K25" s="27">
        <f>SUM(J25)+1.4</f>
        <v>30.4</v>
      </c>
      <c r="L25" s="27">
        <f>SUM(K25)+1.4</f>
        <v>31.799999999999997</v>
      </c>
      <c r="M25" s="27">
        <f>SUM(L25)+1.4</f>
        <v>33.199999999999996</v>
      </c>
      <c r="N25" s="62">
        <f>SUM(M25)+1.4</f>
        <v>34.599999999999994</v>
      </c>
    </row>
    <row r="26" spans="1:14" s="1" customFormat="1" ht="14.1" customHeight="1">
      <c r="A26" s="122"/>
      <c r="B26" s="75" t="s">
        <v>30</v>
      </c>
      <c r="C26" s="75"/>
      <c r="D26" s="79" t="s">
        <v>64</v>
      </c>
      <c r="E26" s="80"/>
      <c r="F26" s="80"/>
      <c r="G26" s="81"/>
      <c r="H26" s="46"/>
      <c r="I26" s="46"/>
      <c r="J26" s="44"/>
      <c r="K26" s="46"/>
      <c r="L26" s="46"/>
      <c r="M26" s="46"/>
      <c r="N26" s="48"/>
    </row>
    <row r="27" spans="1:14" s="1" customFormat="1" ht="14.1" customHeight="1">
      <c r="A27" s="122">
        <v>13</v>
      </c>
      <c r="B27" s="36" t="s">
        <v>260</v>
      </c>
      <c r="C27" s="37"/>
      <c r="D27" s="124" t="s">
        <v>65</v>
      </c>
      <c r="E27" s="124"/>
      <c r="F27" s="124"/>
      <c r="G27" s="124"/>
      <c r="H27" s="27">
        <f>SUM(I27)-0.6</f>
        <v>14.8</v>
      </c>
      <c r="I27" s="27">
        <f>SUM(J27)-0.6</f>
        <v>15.4</v>
      </c>
      <c r="J27" s="41">
        <v>16</v>
      </c>
      <c r="K27" s="27">
        <f>SUM(J27)+0.6</f>
        <v>16.600000000000001</v>
      </c>
      <c r="L27" s="27">
        <f>SUM(K27)+0.6</f>
        <v>17.200000000000003</v>
      </c>
      <c r="M27" s="27">
        <f>SUM(L27)+0.6</f>
        <v>17.800000000000004</v>
      </c>
      <c r="N27" s="62">
        <f>SUM(M27)+0.6</f>
        <v>18.400000000000006</v>
      </c>
    </row>
    <row r="28" spans="1:14" s="1" customFormat="1" ht="14.1" customHeight="1">
      <c r="A28" s="159"/>
      <c r="B28" s="153" t="s">
        <v>31</v>
      </c>
      <c r="C28" s="153"/>
      <c r="D28" s="102" t="s">
        <v>66</v>
      </c>
      <c r="E28" s="103"/>
      <c r="F28" s="103"/>
      <c r="G28" s="104"/>
      <c r="H28" s="46"/>
      <c r="I28" s="46"/>
      <c r="J28" s="44"/>
      <c r="K28" s="46"/>
      <c r="L28" s="46"/>
      <c r="M28" s="46"/>
      <c r="N28" s="48"/>
    </row>
    <row r="29" spans="1:14" s="1" customFormat="1" ht="14.1" customHeight="1">
      <c r="A29" s="122">
        <v>14</v>
      </c>
      <c r="B29" s="36" t="s">
        <v>261</v>
      </c>
      <c r="C29" s="37"/>
      <c r="D29" s="76"/>
      <c r="E29" s="77"/>
      <c r="F29" s="77"/>
      <c r="G29" s="78"/>
      <c r="H29" s="27">
        <f>SUM(I29)</f>
        <v>4.5</v>
      </c>
      <c r="I29" s="27">
        <f>SUM(J29)</f>
        <v>4.5</v>
      </c>
      <c r="J29" s="41">
        <v>4.5</v>
      </c>
      <c r="K29" s="27">
        <f>SUM(J29)+0.5</f>
        <v>5</v>
      </c>
      <c r="L29" s="27">
        <f>SUM(K29)</f>
        <v>5</v>
      </c>
      <c r="M29" s="27">
        <f>SUM(L29)</f>
        <v>5</v>
      </c>
      <c r="N29" s="62">
        <f>SUM(M29)</f>
        <v>5</v>
      </c>
    </row>
    <row r="30" spans="1:14" s="1" customFormat="1" ht="14.1" customHeight="1">
      <c r="A30" s="159"/>
      <c r="B30" s="127" t="s">
        <v>262</v>
      </c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6"/>
      <c r="N30" s="48"/>
    </row>
    <row r="31" spans="1:14" s="1" customFormat="1" ht="14.1" customHeight="1">
      <c r="A31" s="122">
        <v>15</v>
      </c>
      <c r="B31" s="36" t="s">
        <v>263</v>
      </c>
      <c r="C31" s="37"/>
      <c r="D31" s="124"/>
      <c r="E31" s="124"/>
      <c r="F31" s="124"/>
      <c r="G31" s="124"/>
      <c r="H31" s="27">
        <f>SUM(I31)</f>
        <v>3</v>
      </c>
      <c r="I31" s="27">
        <f>SUM(J31)</f>
        <v>3</v>
      </c>
      <c r="J31" s="41">
        <v>3</v>
      </c>
      <c r="K31" s="27">
        <f>SUM(J31)</f>
        <v>3</v>
      </c>
      <c r="L31" s="27">
        <f>SUM(K31)</f>
        <v>3</v>
      </c>
      <c r="M31" s="27">
        <f>SUM(L31)</f>
        <v>3</v>
      </c>
      <c r="N31" s="62">
        <f>SUM(M31)</f>
        <v>3</v>
      </c>
    </row>
    <row r="32" spans="1:14" s="1" customFormat="1" ht="14.1" customHeight="1">
      <c r="A32" s="122"/>
      <c r="B32" s="127" t="s">
        <v>264</v>
      </c>
      <c r="C32" s="128"/>
      <c r="D32" s="79"/>
      <c r="E32" s="80"/>
      <c r="F32" s="80"/>
      <c r="G32" s="81"/>
      <c r="H32" s="46"/>
      <c r="I32" s="46"/>
      <c r="J32" s="44"/>
      <c r="K32" s="46"/>
      <c r="L32" s="46"/>
      <c r="M32" s="46"/>
      <c r="N32" s="48"/>
    </row>
    <row r="33" spans="1:14" s="1" customFormat="1" ht="14.1" customHeight="1">
      <c r="A33" s="122">
        <v>16</v>
      </c>
      <c r="B33" s="36"/>
      <c r="C33" s="37"/>
      <c r="D33" s="129"/>
      <c r="E33" s="130"/>
      <c r="F33" s="130"/>
      <c r="G33" s="131"/>
      <c r="H33" s="27"/>
      <c r="I33" s="27"/>
      <c r="J33" s="125"/>
      <c r="K33" s="114"/>
      <c r="L33" s="114"/>
      <c r="M33" s="114"/>
      <c r="N33" s="162"/>
    </row>
    <row r="34" spans="1:14" s="1" customFormat="1" ht="14.1" customHeight="1">
      <c r="A34" s="159"/>
      <c r="B34" s="127"/>
      <c r="C34" s="128"/>
      <c r="D34" s="79"/>
      <c r="E34" s="80"/>
      <c r="F34" s="80"/>
      <c r="G34" s="81"/>
      <c r="H34" s="45"/>
      <c r="I34" s="45"/>
      <c r="J34" s="41"/>
      <c r="K34" s="27"/>
      <c r="L34" s="27"/>
      <c r="M34" s="27"/>
      <c r="N34" s="62"/>
    </row>
    <row r="35" spans="1:14" s="1" customFormat="1" ht="14.1" customHeight="1">
      <c r="A35" s="122">
        <v>17</v>
      </c>
      <c r="B35" s="36"/>
      <c r="C35" s="37"/>
      <c r="D35" s="129"/>
      <c r="E35" s="130"/>
      <c r="F35" s="130"/>
      <c r="G35" s="131"/>
      <c r="H35" s="27"/>
      <c r="I35" s="27"/>
      <c r="J35" s="125"/>
      <c r="K35" s="114"/>
      <c r="L35" s="114"/>
      <c r="M35" s="114"/>
      <c r="N35" s="162"/>
    </row>
    <row r="36" spans="1:14" s="1" customFormat="1" ht="14.1" customHeight="1">
      <c r="A36" s="122"/>
      <c r="B36" s="127"/>
      <c r="C36" s="128"/>
      <c r="D36" s="79"/>
      <c r="E36" s="80"/>
      <c r="F36" s="80"/>
      <c r="G36" s="81"/>
      <c r="H36" s="46"/>
      <c r="I36" s="46"/>
      <c r="J36" s="125"/>
      <c r="K36" s="114"/>
      <c r="L36" s="114"/>
      <c r="M36" s="114"/>
      <c r="N36" s="162"/>
    </row>
    <row r="37" spans="1:14" s="1" customFormat="1" ht="14.1" customHeight="1">
      <c r="A37" s="138">
        <v>18</v>
      </c>
      <c r="B37" s="153"/>
      <c r="C37" s="153"/>
      <c r="D37" s="154"/>
      <c r="E37" s="154"/>
      <c r="F37" s="154"/>
      <c r="G37" s="154"/>
      <c r="H37" s="45"/>
      <c r="I37" s="45"/>
      <c r="J37" s="43"/>
      <c r="K37" s="45"/>
      <c r="L37" s="45"/>
      <c r="M37" s="45"/>
      <c r="N37" s="47"/>
    </row>
    <row r="38" spans="1:14" s="1" customFormat="1" ht="14.1" customHeight="1" thickBot="1">
      <c r="A38" s="123"/>
      <c r="B38" s="118"/>
      <c r="C38" s="118"/>
      <c r="D38" s="119"/>
      <c r="E38" s="120"/>
      <c r="F38" s="120"/>
      <c r="G38" s="121"/>
      <c r="H38" s="28"/>
      <c r="I38" s="28"/>
      <c r="J38" s="42"/>
      <c r="K38" s="28"/>
      <c r="L38" s="28"/>
      <c r="M38" s="28"/>
      <c r="N38" s="160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19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N37:N3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7D20-C42D-4B62-9192-7B4E484D4135}">
  <sheetPr codeName="Sheet6">
    <tabColor theme="5"/>
    <pageSetUpPr fitToPage="1"/>
  </sheetPr>
  <dimension ref="A1:N52"/>
  <sheetViews>
    <sheetView zoomScale="110" zoomScaleNormal="110" workbookViewId="0">
      <selection sqref="A1:N3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274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650</v>
      </c>
      <c r="N2" s="6" t="s">
        <v>134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253</v>
      </c>
      <c r="E3" s="149"/>
      <c r="F3" s="149"/>
      <c r="G3" s="92"/>
      <c r="H3" s="27">
        <f>SUM(I3)-3</f>
        <v>31</v>
      </c>
      <c r="I3" s="27">
        <f>SUM(J3)-3</f>
        <v>34</v>
      </c>
      <c r="J3" s="139">
        <v>37</v>
      </c>
      <c r="K3" s="96">
        <f>SUM(J3)+2.5</f>
        <v>39.5</v>
      </c>
      <c r="L3" s="96">
        <f>SUM(K3)+2.5</f>
        <v>42</v>
      </c>
      <c r="M3" s="96">
        <f>SUM(L3)+2.5</f>
        <v>44.5</v>
      </c>
      <c r="N3" s="97">
        <f>SUM(M3)+2.5</f>
        <v>47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46"/>
      <c r="L4" s="46"/>
      <c r="M4" s="46"/>
      <c r="N4" s="48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SUM(I5)-1.4</f>
        <v>23.200000000000003</v>
      </c>
      <c r="I5" s="27">
        <f>SUM(J5)-1.4</f>
        <v>24.6</v>
      </c>
      <c r="J5" s="41">
        <v>26</v>
      </c>
      <c r="K5" s="27">
        <f>SUM(J5)+1.4</f>
        <v>27.4</v>
      </c>
      <c r="L5" s="27">
        <f>SUM(K5)+1.4</f>
        <v>28.799999999999997</v>
      </c>
      <c r="M5" s="27">
        <f>SUM(L5)+1.4</f>
        <v>30.199999999999996</v>
      </c>
      <c r="N5" s="62">
        <f>SUM(M5)+1.4</f>
        <v>31.599999999999994</v>
      </c>
    </row>
    <row r="6" spans="1:14" s="1" customFormat="1" ht="14.1" customHeight="1">
      <c r="A6" s="122"/>
      <c r="B6" s="75" t="s">
        <v>24</v>
      </c>
      <c r="C6" s="75"/>
      <c r="D6" s="79" t="s">
        <v>254</v>
      </c>
      <c r="E6" s="80"/>
      <c r="F6" s="80"/>
      <c r="G6" s="81"/>
      <c r="H6" s="46"/>
      <c r="I6" s="46"/>
      <c r="J6" s="44"/>
      <c r="K6" s="46"/>
      <c r="L6" s="46"/>
      <c r="M6" s="46"/>
      <c r="N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</f>
        <v>33</v>
      </c>
      <c r="I7" s="27">
        <f>SUM(J7)-2</f>
        <v>35</v>
      </c>
      <c r="J7" s="41">
        <v>37</v>
      </c>
      <c r="K7" s="27">
        <f>SUM(J7)+2</f>
        <v>39</v>
      </c>
      <c r="L7" s="27">
        <f>SUM(K7)+2</f>
        <v>41</v>
      </c>
      <c r="M7" s="27">
        <f>SUM(L7)+2</f>
        <v>43</v>
      </c>
      <c r="N7" s="62">
        <f>SUM(M7)+2</f>
        <v>45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6"/>
      <c r="N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SUM(I9)-2</f>
        <v>31</v>
      </c>
      <c r="I9" s="27">
        <f>SUM(J9)-2</f>
        <v>33</v>
      </c>
      <c r="J9" s="41">
        <v>35</v>
      </c>
      <c r="K9" s="27">
        <f>SUM(J9)+2</f>
        <v>37</v>
      </c>
      <c r="L9" s="27">
        <f>SUM(K9)+2</f>
        <v>39</v>
      </c>
      <c r="M9" s="27">
        <f>SUM(L9)+2</f>
        <v>41</v>
      </c>
      <c r="N9" s="62">
        <f>SUM(M9)+2</f>
        <v>43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6"/>
      <c r="N10" s="48"/>
    </row>
    <row r="11" spans="1:14" s="1" customFormat="1" ht="14.1" customHeight="1">
      <c r="A11" s="122">
        <v>5</v>
      </c>
      <c r="B11" s="98" t="s">
        <v>255</v>
      </c>
      <c r="C11" s="98"/>
      <c r="D11" s="124"/>
      <c r="E11" s="124"/>
      <c r="F11" s="124"/>
      <c r="G11" s="124"/>
      <c r="H11" s="27">
        <f>SUM(I11)-0</f>
        <v>5</v>
      </c>
      <c r="I11" s="27">
        <f>SUM(J11)-0</f>
        <v>5</v>
      </c>
      <c r="J11" s="41">
        <v>5</v>
      </c>
      <c r="K11" s="27">
        <f>SUM(J11)+0.5</f>
        <v>5.5</v>
      </c>
      <c r="L11" s="27">
        <f>SUM(K11)+0</f>
        <v>5.5</v>
      </c>
      <c r="M11" s="27">
        <f>SUM(L11)+0</f>
        <v>5.5</v>
      </c>
      <c r="N11" s="62">
        <f>SUM(M11)+0</f>
        <v>5.5</v>
      </c>
    </row>
    <row r="12" spans="1:14" s="1" customFormat="1" ht="14.1" customHeight="1">
      <c r="A12" s="122"/>
      <c r="B12" s="75" t="s">
        <v>256</v>
      </c>
      <c r="C12" s="75"/>
      <c r="D12" s="79"/>
      <c r="E12" s="80"/>
      <c r="F12" s="80"/>
      <c r="G12" s="81"/>
      <c r="H12" s="46"/>
      <c r="I12" s="46"/>
      <c r="J12" s="44"/>
      <c r="K12" s="46"/>
      <c r="L12" s="46"/>
      <c r="M12" s="46"/>
      <c r="N12" s="48"/>
    </row>
    <row r="13" spans="1:14" s="1" customFormat="1" ht="14.1" customHeight="1">
      <c r="A13" s="122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>
        <f>SUM(I13)-0.8</f>
        <v>14.399999999999999</v>
      </c>
      <c r="I13" s="27">
        <f>SUM(J13)-0.8</f>
        <v>15.2</v>
      </c>
      <c r="J13" s="125">
        <v>16</v>
      </c>
      <c r="K13" s="27">
        <f>SUM(J13)+0.8</f>
        <v>16.8</v>
      </c>
      <c r="L13" s="27">
        <f>SUM(K13)+0.8</f>
        <v>17.600000000000001</v>
      </c>
      <c r="M13" s="27">
        <f>SUM(L13)+0.8</f>
        <v>18.400000000000002</v>
      </c>
      <c r="N13" s="62">
        <f>SUM(M13)+0.8</f>
        <v>19.200000000000003</v>
      </c>
    </row>
    <row r="14" spans="1:14" s="1" customFormat="1" ht="14.1" customHeight="1">
      <c r="A14" s="122"/>
      <c r="B14" s="75" t="s">
        <v>26</v>
      </c>
      <c r="C14" s="75"/>
      <c r="D14" s="79" t="s">
        <v>45</v>
      </c>
      <c r="E14" s="80"/>
      <c r="F14" s="80"/>
      <c r="G14" s="81"/>
      <c r="H14" s="46"/>
      <c r="I14" s="46"/>
      <c r="J14" s="125"/>
      <c r="K14" s="46"/>
      <c r="L14" s="46"/>
      <c r="M14" s="46"/>
      <c r="N14" s="48"/>
    </row>
    <row r="15" spans="1:14" s="1" customFormat="1" ht="14.1" customHeight="1">
      <c r="A15" s="122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16.799999999999997</v>
      </c>
      <c r="I15" s="27">
        <f>SUM(J15)-0.6</f>
        <v>17.399999999999999</v>
      </c>
      <c r="J15" s="125">
        <v>18</v>
      </c>
      <c r="K15" s="27">
        <f>SUM(J15)+0.6</f>
        <v>18.600000000000001</v>
      </c>
      <c r="L15" s="27">
        <f>SUM(K15)+0.6</f>
        <v>19.200000000000003</v>
      </c>
      <c r="M15" s="27">
        <f>SUM(L15)+0.6</f>
        <v>19.800000000000004</v>
      </c>
      <c r="N15" s="62">
        <f>SUM(M15)+0.6</f>
        <v>20.400000000000006</v>
      </c>
    </row>
    <row r="16" spans="1:14" s="1" customFormat="1" ht="14.1" customHeight="1">
      <c r="A16" s="122"/>
      <c r="B16" s="75" t="s">
        <v>27</v>
      </c>
      <c r="C16" s="75"/>
      <c r="D16" s="79" t="s">
        <v>46</v>
      </c>
      <c r="E16" s="80"/>
      <c r="F16" s="80"/>
      <c r="G16" s="81"/>
      <c r="H16" s="46"/>
      <c r="I16" s="46"/>
      <c r="J16" s="125"/>
      <c r="K16" s="46"/>
      <c r="L16" s="46"/>
      <c r="M16" s="46"/>
      <c r="N16" s="48"/>
    </row>
    <row r="17" spans="1:14" s="1" customFormat="1" ht="14.1" customHeight="1">
      <c r="A17" s="122">
        <v>8</v>
      </c>
      <c r="B17" s="98" t="s">
        <v>2</v>
      </c>
      <c r="C17" s="98"/>
      <c r="D17" s="124" t="s">
        <v>3</v>
      </c>
      <c r="E17" s="124"/>
      <c r="F17" s="124"/>
      <c r="G17" s="124"/>
      <c r="H17" s="27">
        <f>SUM(I17)-0.3</f>
        <v>6.9</v>
      </c>
      <c r="I17" s="27">
        <f>SUM(J17)-0.3</f>
        <v>7.2</v>
      </c>
      <c r="J17" s="125">
        <v>7.5</v>
      </c>
      <c r="K17" s="27">
        <f>SUM(J17)+0.3</f>
        <v>7.8</v>
      </c>
      <c r="L17" s="27">
        <f>SUM(K17)+0.3</f>
        <v>8.1</v>
      </c>
      <c r="M17" s="27">
        <f>SUM(L17)+0.3</f>
        <v>8.4</v>
      </c>
      <c r="N17" s="62">
        <f>SUM(M17)+0.3</f>
        <v>8.7000000000000011</v>
      </c>
    </row>
    <row r="18" spans="1:14" s="1" customFormat="1" ht="14.1" customHeight="1">
      <c r="A18" s="122"/>
      <c r="B18" s="75" t="s">
        <v>28</v>
      </c>
      <c r="C18" s="75"/>
      <c r="D18" s="79" t="s">
        <v>164</v>
      </c>
      <c r="E18" s="80"/>
      <c r="F18" s="80"/>
      <c r="G18" s="81"/>
      <c r="H18" s="46"/>
      <c r="I18" s="46"/>
      <c r="J18" s="125"/>
      <c r="K18" s="46"/>
      <c r="L18" s="46"/>
      <c r="M18" s="46"/>
      <c r="N18" s="48"/>
    </row>
    <row r="19" spans="1:14" s="1" customFormat="1" ht="14.1" customHeight="1">
      <c r="A19" s="122">
        <v>9</v>
      </c>
      <c r="B19" s="36" t="s">
        <v>257</v>
      </c>
      <c r="C19" s="37"/>
      <c r="D19" s="76"/>
      <c r="E19" s="77"/>
      <c r="F19" s="77"/>
      <c r="G19" s="78"/>
      <c r="H19" s="27">
        <f>SUM(I19)</f>
        <v>3</v>
      </c>
      <c r="I19" s="27">
        <f>SUM(J19)</f>
        <v>3</v>
      </c>
      <c r="J19" s="41">
        <v>3</v>
      </c>
      <c r="K19" s="27">
        <f>SUM(J19)</f>
        <v>3</v>
      </c>
      <c r="L19" s="27">
        <f>SUM(K19)</f>
        <v>3</v>
      </c>
      <c r="M19" s="27">
        <f>SUM(L19)</f>
        <v>3</v>
      </c>
      <c r="N19" s="62">
        <f>SUM(M19)</f>
        <v>3</v>
      </c>
    </row>
    <row r="20" spans="1:14" s="1" customFormat="1" ht="14.1" customHeight="1">
      <c r="A20" s="122"/>
      <c r="B20" s="75" t="s">
        <v>258</v>
      </c>
      <c r="C20" s="75"/>
      <c r="D20" s="79"/>
      <c r="E20" s="80"/>
      <c r="F20" s="80"/>
      <c r="G20" s="81"/>
      <c r="H20" s="46"/>
      <c r="I20" s="46"/>
      <c r="J20" s="44"/>
      <c r="K20" s="46"/>
      <c r="L20" s="46"/>
      <c r="M20" s="46"/>
      <c r="N20" s="48"/>
    </row>
    <row r="21" spans="1:14" s="1" customFormat="1" ht="14.1" customHeight="1">
      <c r="A21" s="122">
        <v>10</v>
      </c>
      <c r="B21" s="36" t="s">
        <v>70</v>
      </c>
      <c r="C21" s="37"/>
      <c r="D21" s="76" t="s">
        <v>71</v>
      </c>
      <c r="E21" s="77"/>
      <c r="F21" s="77"/>
      <c r="G21" s="78"/>
      <c r="H21" s="45"/>
      <c r="I21" s="45"/>
      <c r="J21" s="44"/>
      <c r="K21" s="45"/>
      <c r="L21" s="45"/>
      <c r="M21" s="45"/>
      <c r="N21" s="47"/>
    </row>
    <row r="22" spans="1:14" s="1" customFormat="1" ht="14.1" customHeight="1">
      <c r="A22" s="122"/>
      <c r="B22" s="75" t="s">
        <v>33</v>
      </c>
      <c r="C22" s="75"/>
      <c r="D22" s="79" t="s">
        <v>259</v>
      </c>
      <c r="E22" s="80"/>
      <c r="F22" s="80"/>
      <c r="G22" s="81"/>
      <c r="H22" s="46"/>
      <c r="I22" s="46"/>
      <c r="J22" s="125"/>
      <c r="K22" s="46"/>
      <c r="L22" s="46"/>
      <c r="M22" s="46"/>
      <c r="N22" s="48"/>
    </row>
    <row r="23" spans="1:14" s="1" customFormat="1" ht="14.1" customHeight="1">
      <c r="A23" s="122">
        <v>11</v>
      </c>
      <c r="B23" s="98" t="s">
        <v>4</v>
      </c>
      <c r="C23" s="98"/>
      <c r="D23" s="124" t="s">
        <v>5</v>
      </c>
      <c r="E23" s="124"/>
      <c r="F23" s="124"/>
      <c r="G23" s="124"/>
      <c r="H23" s="27">
        <f>SUM(I23)-3.8</f>
        <v>33.400000000000006</v>
      </c>
      <c r="I23" s="27">
        <f>SUM(J23)-3.8</f>
        <v>37.200000000000003</v>
      </c>
      <c r="J23" s="41">
        <v>41</v>
      </c>
      <c r="K23" s="27">
        <f>SUM(J23)+3.8</f>
        <v>44.8</v>
      </c>
      <c r="L23" s="27">
        <f>SUM(K23)+3.8</f>
        <v>48.599999999999994</v>
      </c>
      <c r="M23" s="27">
        <f>SUM(L23)+3.8</f>
        <v>52.399999999999991</v>
      </c>
      <c r="N23" s="62">
        <f>SUM(M23)+3.8</f>
        <v>56.199999999999989</v>
      </c>
    </row>
    <row r="24" spans="1:14" s="1" customFormat="1" ht="14.1" customHeight="1">
      <c r="A24" s="122"/>
      <c r="B24" s="75" t="s">
        <v>187</v>
      </c>
      <c r="C24" s="75"/>
      <c r="D24" s="79" t="s">
        <v>47</v>
      </c>
      <c r="E24" s="80"/>
      <c r="F24" s="80"/>
      <c r="G24" s="81"/>
      <c r="H24" s="46"/>
      <c r="I24" s="46"/>
      <c r="J24" s="44"/>
      <c r="K24" s="46"/>
      <c r="L24" s="46"/>
      <c r="M24" s="46"/>
      <c r="N24" s="48"/>
    </row>
    <row r="25" spans="1:14" s="1" customFormat="1" ht="14.1" customHeight="1">
      <c r="A25" s="122">
        <v>12</v>
      </c>
      <c r="B25" s="98" t="s">
        <v>6</v>
      </c>
      <c r="C25" s="98"/>
      <c r="D25" s="76" t="s">
        <v>7</v>
      </c>
      <c r="E25" s="77"/>
      <c r="F25" s="77"/>
      <c r="G25" s="78"/>
      <c r="H25" s="27">
        <f>SUM(I25)-1.4</f>
        <v>24.200000000000003</v>
      </c>
      <c r="I25" s="27">
        <f>SUM(J25)-1.4</f>
        <v>25.6</v>
      </c>
      <c r="J25" s="41">
        <v>27</v>
      </c>
      <c r="K25" s="27">
        <f>SUM(J25)+1.4</f>
        <v>28.4</v>
      </c>
      <c r="L25" s="27">
        <f>SUM(K25)+1.4</f>
        <v>29.799999999999997</v>
      </c>
      <c r="M25" s="27">
        <f>SUM(L25)+1.4</f>
        <v>31.199999999999996</v>
      </c>
      <c r="N25" s="62">
        <f>SUM(M25)+1.4</f>
        <v>32.599999999999994</v>
      </c>
    </row>
    <row r="26" spans="1:14" s="1" customFormat="1" ht="14.1" customHeight="1">
      <c r="A26" s="122"/>
      <c r="B26" s="75" t="s">
        <v>30</v>
      </c>
      <c r="C26" s="75"/>
      <c r="D26" s="79" t="s">
        <v>64</v>
      </c>
      <c r="E26" s="80"/>
      <c r="F26" s="80"/>
      <c r="G26" s="81"/>
      <c r="H26" s="46"/>
      <c r="I26" s="46"/>
      <c r="J26" s="44"/>
      <c r="K26" s="46"/>
      <c r="L26" s="46"/>
      <c r="M26" s="46"/>
      <c r="N26" s="48"/>
    </row>
    <row r="27" spans="1:14" s="1" customFormat="1" ht="14.1" customHeight="1">
      <c r="A27" s="122">
        <v>13</v>
      </c>
      <c r="B27" s="36" t="s">
        <v>260</v>
      </c>
      <c r="C27" s="37"/>
      <c r="D27" s="124" t="s">
        <v>65</v>
      </c>
      <c r="E27" s="124"/>
      <c r="F27" s="124"/>
      <c r="G27" s="124"/>
      <c r="H27" s="27">
        <f>SUM(I27)-0.6</f>
        <v>14.8</v>
      </c>
      <c r="I27" s="27">
        <f>SUM(J27)-0.6</f>
        <v>15.4</v>
      </c>
      <c r="J27" s="41">
        <v>16</v>
      </c>
      <c r="K27" s="27">
        <f>SUM(J27)+0.6</f>
        <v>16.600000000000001</v>
      </c>
      <c r="L27" s="27">
        <f>SUM(K27)+0.6</f>
        <v>17.200000000000003</v>
      </c>
      <c r="M27" s="27">
        <f>SUM(L27)+0.6</f>
        <v>17.800000000000004</v>
      </c>
      <c r="N27" s="62">
        <f>SUM(M27)+0.6</f>
        <v>18.400000000000006</v>
      </c>
    </row>
    <row r="28" spans="1:14" s="1" customFormat="1" ht="14.1" customHeight="1">
      <c r="A28" s="159"/>
      <c r="B28" s="153" t="s">
        <v>31</v>
      </c>
      <c r="C28" s="153"/>
      <c r="D28" s="102" t="s">
        <v>66</v>
      </c>
      <c r="E28" s="103"/>
      <c r="F28" s="103"/>
      <c r="G28" s="104"/>
      <c r="H28" s="46"/>
      <c r="I28" s="46"/>
      <c r="J28" s="44"/>
      <c r="K28" s="46"/>
      <c r="L28" s="46"/>
      <c r="M28" s="46"/>
      <c r="N28" s="48"/>
    </row>
    <row r="29" spans="1:14" s="1" customFormat="1" ht="14.1" customHeight="1">
      <c r="A29" s="122">
        <v>14</v>
      </c>
      <c r="B29" s="36" t="s">
        <v>261</v>
      </c>
      <c r="C29" s="37"/>
      <c r="D29" s="76"/>
      <c r="E29" s="77"/>
      <c r="F29" s="77"/>
      <c r="G29" s="78"/>
      <c r="H29" s="27">
        <f>SUM(I29)</f>
        <v>3</v>
      </c>
      <c r="I29" s="27">
        <f>SUM(J29)</f>
        <v>3</v>
      </c>
      <c r="J29" s="41">
        <v>3</v>
      </c>
      <c r="K29" s="27">
        <f>SUM(J29)+0.5</f>
        <v>3.5</v>
      </c>
      <c r="L29" s="27">
        <f>SUM(K29)</f>
        <v>3.5</v>
      </c>
      <c r="M29" s="27">
        <f>SUM(L29)</f>
        <v>3.5</v>
      </c>
      <c r="N29" s="62">
        <f>SUM(M29)</f>
        <v>3.5</v>
      </c>
    </row>
    <row r="30" spans="1:14" s="1" customFormat="1" ht="14.1" customHeight="1">
      <c r="A30" s="159"/>
      <c r="B30" s="127" t="s">
        <v>262</v>
      </c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6"/>
      <c r="N30" s="48"/>
    </row>
    <row r="31" spans="1:14" s="1" customFormat="1" ht="14.1" customHeight="1">
      <c r="A31" s="122">
        <v>15</v>
      </c>
      <c r="B31" s="36" t="s">
        <v>263</v>
      </c>
      <c r="C31" s="37"/>
      <c r="D31" s="124"/>
      <c r="E31" s="124"/>
      <c r="F31" s="124"/>
      <c r="G31" s="124"/>
      <c r="H31" s="27">
        <f>SUM(I31)</f>
        <v>3</v>
      </c>
      <c r="I31" s="27">
        <f>SUM(J31)</f>
        <v>3</v>
      </c>
      <c r="J31" s="41">
        <v>3</v>
      </c>
      <c r="K31" s="27">
        <f>SUM(J31)</f>
        <v>3</v>
      </c>
      <c r="L31" s="27">
        <f>SUM(K31)</f>
        <v>3</v>
      </c>
      <c r="M31" s="27">
        <f>SUM(L31)</f>
        <v>3</v>
      </c>
      <c r="N31" s="62">
        <f>SUM(M31)</f>
        <v>3</v>
      </c>
    </row>
    <row r="32" spans="1:14" s="1" customFormat="1" ht="14.1" customHeight="1">
      <c r="A32" s="122"/>
      <c r="B32" s="127" t="s">
        <v>264</v>
      </c>
      <c r="C32" s="128"/>
      <c r="D32" s="79"/>
      <c r="E32" s="80"/>
      <c r="F32" s="80"/>
      <c r="G32" s="81"/>
      <c r="H32" s="46"/>
      <c r="I32" s="46"/>
      <c r="J32" s="44"/>
      <c r="K32" s="46"/>
      <c r="L32" s="46"/>
      <c r="M32" s="46"/>
      <c r="N32" s="48"/>
    </row>
    <row r="33" spans="1:14" s="1" customFormat="1" ht="14.1" customHeight="1">
      <c r="A33" s="122">
        <v>16</v>
      </c>
      <c r="B33" s="36"/>
      <c r="C33" s="37"/>
      <c r="D33" s="129"/>
      <c r="E33" s="130"/>
      <c r="F33" s="130"/>
      <c r="G33" s="131"/>
      <c r="H33" s="27"/>
      <c r="I33" s="27"/>
      <c r="J33" s="125"/>
      <c r="K33" s="114"/>
      <c r="L33" s="114"/>
      <c r="M33" s="114"/>
      <c r="N33" s="162"/>
    </row>
    <row r="34" spans="1:14" s="1" customFormat="1" ht="14.1" customHeight="1">
      <c r="A34" s="159"/>
      <c r="B34" s="127"/>
      <c r="C34" s="128"/>
      <c r="D34" s="79"/>
      <c r="E34" s="80"/>
      <c r="F34" s="80"/>
      <c r="G34" s="81"/>
      <c r="H34" s="45"/>
      <c r="I34" s="45"/>
      <c r="J34" s="41"/>
      <c r="K34" s="27"/>
      <c r="L34" s="27"/>
      <c r="M34" s="27"/>
      <c r="N34" s="62"/>
    </row>
    <row r="35" spans="1:14" s="1" customFormat="1" ht="14.1" customHeight="1">
      <c r="A35" s="122">
        <v>17</v>
      </c>
      <c r="B35" s="36"/>
      <c r="C35" s="37"/>
      <c r="D35" s="129"/>
      <c r="E35" s="130"/>
      <c r="F35" s="130"/>
      <c r="G35" s="131"/>
      <c r="H35" s="27"/>
      <c r="I35" s="27"/>
      <c r="J35" s="125"/>
      <c r="K35" s="114"/>
      <c r="L35" s="114"/>
      <c r="M35" s="114"/>
      <c r="N35" s="162"/>
    </row>
    <row r="36" spans="1:14" s="1" customFormat="1" ht="14.1" customHeight="1">
      <c r="A36" s="122"/>
      <c r="B36" s="127"/>
      <c r="C36" s="128"/>
      <c r="D36" s="79"/>
      <c r="E36" s="80"/>
      <c r="F36" s="80"/>
      <c r="G36" s="81"/>
      <c r="H36" s="46"/>
      <c r="I36" s="46"/>
      <c r="J36" s="125"/>
      <c r="K36" s="114"/>
      <c r="L36" s="114"/>
      <c r="M36" s="114"/>
      <c r="N36" s="162"/>
    </row>
    <row r="37" spans="1:14" s="1" customFormat="1" ht="14.1" customHeight="1">
      <c r="A37" s="138">
        <v>18</v>
      </c>
      <c r="B37" s="153"/>
      <c r="C37" s="153"/>
      <c r="D37" s="154"/>
      <c r="E37" s="154"/>
      <c r="F37" s="154"/>
      <c r="G37" s="154"/>
      <c r="H37" s="45"/>
      <c r="I37" s="45"/>
      <c r="J37" s="43"/>
      <c r="K37" s="45"/>
      <c r="L37" s="45"/>
      <c r="M37" s="45"/>
      <c r="N37" s="47"/>
    </row>
    <row r="38" spans="1:14" s="1" customFormat="1" ht="14.1" customHeight="1" thickBot="1">
      <c r="A38" s="123"/>
      <c r="B38" s="118"/>
      <c r="C38" s="118"/>
      <c r="D38" s="119"/>
      <c r="E38" s="120"/>
      <c r="F38" s="120"/>
      <c r="G38" s="121"/>
      <c r="H38" s="28"/>
      <c r="I38" s="28"/>
      <c r="J38" s="42"/>
      <c r="K38" s="28"/>
      <c r="L38" s="28"/>
      <c r="M38" s="28"/>
      <c r="N38" s="160"/>
    </row>
    <row r="39" spans="1:14" s="1" customFormat="1" ht="14.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s="1" customFormat="1" ht="14.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s="1" customFormat="1" ht="14.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s="1" customFormat="1" ht="14.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19">
    <mergeCell ref="N23:N24"/>
    <mergeCell ref="N25:N26"/>
    <mergeCell ref="N27:N28"/>
    <mergeCell ref="N29:N30"/>
    <mergeCell ref="N31:N32"/>
    <mergeCell ref="N33:N34"/>
    <mergeCell ref="N35:N36"/>
    <mergeCell ref="N37:N38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L3:L4"/>
    <mergeCell ref="M3:M4"/>
    <mergeCell ref="B4:C4"/>
    <mergeCell ref="D4:G4"/>
    <mergeCell ref="A1:N1"/>
    <mergeCell ref="N3:N4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8DB4-84E5-4A5F-BC3E-796CECC662CA}">
  <sheetPr codeName="Sheet7">
    <tabColor theme="5"/>
    <pageSetUpPr fitToPage="1"/>
  </sheetPr>
  <dimension ref="A1:Q51"/>
  <sheetViews>
    <sheetView zoomScale="110" zoomScaleNormal="110" workbookViewId="0">
      <selection activeCell="B27" sqref="B27:M28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7" ht="16.5" customHeight="1" thickBot="1">
      <c r="A1" s="85" t="s">
        <v>292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7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7" s="1" customFormat="1" ht="14.1" customHeight="1">
      <c r="A3" s="165">
        <v>1</v>
      </c>
      <c r="B3" s="133" t="s">
        <v>91</v>
      </c>
      <c r="C3" s="134"/>
      <c r="D3" s="102" t="s">
        <v>90</v>
      </c>
      <c r="E3" s="103"/>
      <c r="F3" s="103"/>
      <c r="G3" s="104"/>
      <c r="H3" s="163">
        <f>SUM(I3)-3.4</f>
        <v>40.900000000000006</v>
      </c>
      <c r="I3" s="163">
        <f>SUM(J3)-3.4</f>
        <v>44.300000000000004</v>
      </c>
      <c r="J3" s="139">
        <v>47.7</v>
      </c>
      <c r="K3" s="140">
        <f>SUM(J3)+2.9</f>
        <v>50.6</v>
      </c>
      <c r="L3" s="140">
        <f>SUM(K3)+2.9</f>
        <v>53.5</v>
      </c>
      <c r="M3" s="166">
        <f>SUM(L3)+2.9</f>
        <v>56.4</v>
      </c>
    </row>
    <row r="4" spans="1:17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164"/>
      <c r="I4" s="164"/>
      <c r="J4" s="41"/>
      <c r="K4" s="27"/>
      <c r="L4" s="27"/>
      <c r="M4" s="62"/>
    </row>
    <row r="5" spans="1:17" s="1" customFormat="1" ht="14.1" customHeight="1">
      <c r="A5" s="122">
        <v>2</v>
      </c>
      <c r="B5" s="36" t="s">
        <v>37</v>
      </c>
      <c r="C5" s="37"/>
      <c r="D5" s="76" t="s">
        <v>38</v>
      </c>
      <c r="E5" s="77"/>
      <c r="F5" s="77"/>
      <c r="G5" s="78"/>
      <c r="H5" s="163">
        <f>SUM(I5)-1.8</f>
        <v>37.400000000000006</v>
      </c>
      <c r="I5" s="163">
        <f>SUM(J5)-1.8</f>
        <v>39.200000000000003</v>
      </c>
      <c r="J5" s="41">
        <v>41</v>
      </c>
      <c r="K5" s="27">
        <f>SUM(J5)+1.6</f>
        <v>42.6</v>
      </c>
      <c r="L5" s="27">
        <f t="shared" ref="L5:M5" si="0">SUM(K5)+1.6</f>
        <v>44.2</v>
      </c>
      <c r="M5" s="62">
        <f t="shared" si="0"/>
        <v>45.800000000000004</v>
      </c>
    </row>
    <row r="6" spans="1:17" s="1" customFormat="1" ht="14.1" customHeight="1">
      <c r="A6" s="122"/>
      <c r="B6" s="127" t="s">
        <v>24</v>
      </c>
      <c r="C6" s="128"/>
      <c r="D6" s="79" t="s">
        <v>42</v>
      </c>
      <c r="E6" s="80"/>
      <c r="F6" s="80"/>
      <c r="G6" s="81"/>
      <c r="H6" s="164"/>
      <c r="I6" s="164"/>
      <c r="J6" s="44"/>
      <c r="K6" s="46"/>
      <c r="L6" s="46"/>
      <c r="M6" s="48"/>
    </row>
    <row r="7" spans="1:17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163">
        <f>SUM(I7)-2.25</f>
        <v>47.5</v>
      </c>
      <c r="I7" s="163">
        <f>SUM(J7)-2.25</f>
        <v>49.75</v>
      </c>
      <c r="J7" s="41">
        <v>52</v>
      </c>
      <c r="K7" s="27">
        <f>SUM(J7)+2</f>
        <v>54</v>
      </c>
      <c r="L7" s="27">
        <f>SUM(K7)+2</f>
        <v>56</v>
      </c>
      <c r="M7" s="62">
        <f>SUM(L7)+2</f>
        <v>58</v>
      </c>
    </row>
    <row r="8" spans="1:17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164"/>
      <c r="I8" s="164"/>
      <c r="J8" s="44"/>
      <c r="K8" s="46"/>
      <c r="L8" s="46"/>
      <c r="M8" s="48"/>
    </row>
    <row r="9" spans="1:17" s="1" customFormat="1" ht="14.1" customHeight="1">
      <c r="A9" s="122">
        <v>4</v>
      </c>
      <c r="B9" s="98" t="s">
        <v>293</v>
      </c>
      <c r="C9" s="98"/>
      <c r="D9" s="124" t="s">
        <v>0</v>
      </c>
      <c r="E9" s="124"/>
      <c r="F9" s="124"/>
      <c r="G9" s="124"/>
      <c r="H9" s="163">
        <f>SUM(I9)-3.5</f>
        <v>67</v>
      </c>
      <c r="I9" s="163">
        <f>SUM(J9)-3.5</f>
        <v>70.5</v>
      </c>
      <c r="J9" s="41">
        <v>74</v>
      </c>
      <c r="K9" s="27">
        <f>SUM(J9)+3.5</f>
        <v>77.5</v>
      </c>
      <c r="L9" s="27">
        <f t="shared" ref="L9:M9" si="1">SUM(K9)+3.5</f>
        <v>81</v>
      </c>
      <c r="M9" s="62">
        <f t="shared" si="1"/>
        <v>84.5</v>
      </c>
    </row>
    <row r="10" spans="1:17" s="1" customFormat="1" ht="14.1" customHeight="1" thickBot="1">
      <c r="A10" s="122"/>
      <c r="B10" s="75" t="s">
        <v>294</v>
      </c>
      <c r="C10" s="75"/>
      <c r="D10" s="79" t="s">
        <v>295</v>
      </c>
      <c r="E10" s="80"/>
      <c r="F10" s="80"/>
      <c r="G10" s="81"/>
      <c r="H10" s="164"/>
      <c r="I10" s="164"/>
      <c r="J10" s="44"/>
      <c r="K10" s="46"/>
      <c r="L10" s="46"/>
      <c r="M10" s="48"/>
    </row>
    <row r="11" spans="1:17" s="1" customFormat="1" ht="14.1" customHeight="1" thickTop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163">
        <f>SUM(I11)-0.8</f>
        <v>19.099999999999998</v>
      </c>
      <c r="I11" s="163">
        <f>SUM(J11)-0.8</f>
        <v>19.899999999999999</v>
      </c>
      <c r="J11" s="125">
        <v>20.7</v>
      </c>
      <c r="K11" s="27">
        <f>SUM(J11)+0.8</f>
        <v>21.5</v>
      </c>
      <c r="L11" s="27">
        <f>SUM(K11)+0.8</f>
        <v>22.3</v>
      </c>
      <c r="M11" s="62">
        <f t="shared" ref="M11" si="2">SUM(L11)+0.8</f>
        <v>23.1</v>
      </c>
      <c r="Q11" s="7" t="s">
        <v>312</v>
      </c>
    </row>
    <row r="12" spans="1:17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164"/>
      <c r="I12" s="164"/>
      <c r="J12" s="125"/>
      <c r="K12" s="46"/>
      <c r="L12" s="46"/>
      <c r="M12" s="48"/>
      <c r="Q12" s="8">
        <f>SUM(J21+J21+K21+K21+L21+L21+M21+M21+J35+K35+L35+M35+J37+K37+L37+M37+J35+K35+L35+M35)</f>
        <v>568.79999999999995</v>
      </c>
    </row>
    <row r="13" spans="1:17" s="1" customFormat="1" ht="14.1" customHeight="1" thickBot="1">
      <c r="A13" s="122">
        <v>6</v>
      </c>
      <c r="B13" s="98" t="s">
        <v>1</v>
      </c>
      <c r="C13" s="98"/>
      <c r="D13" s="124" t="s">
        <v>296</v>
      </c>
      <c r="E13" s="124"/>
      <c r="F13" s="124"/>
      <c r="G13" s="124"/>
      <c r="H13" s="163">
        <f>SUM(I13)-0.6</f>
        <v>17.499999999999996</v>
      </c>
      <c r="I13" s="163">
        <f>SUM(J13)-0.6</f>
        <v>18.099999999999998</v>
      </c>
      <c r="J13" s="125">
        <v>18.7</v>
      </c>
      <c r="K13" s="114">
        <f>SUM(J13)+0.6</f>
        <v>19.3</v>
      </c>
      <c r="L13" s="114">
        <f>SUM(K13)+0.6</f>
        <v>19.900000000000002</v>
      </c>
      <c r="M13" s="162">
        <f>SUM(L13)+0.6</f>
        <v>20.500000000000004</v>
      </c>
      <c r="Q13" s="9">
        <f>SUM(Q12/91.44/4*1.08)</f>
        <v>1.6795275590551182</v>
      </c>
    </row>
    <row r="14" spans="1:17" s="1" customFormat="1" ht="14.1" customHeight="1" thickTop="1">
      <c r="A14" s="122"/>
      <c r="B14" s="75" t="s">
        <v>27</v>
      </c>
      <c r="C14" s="75"/>
      <c r="D14" s="79" t="s">
        <v>46</v>
      </c>
      <c r="E14" s="80"/>
      <c r="F14" s="80"/>
      <c r="G14" s="81"/>
      <c r="H14" s="164"/>
      <c r="I14" s="164"/>
      <c r="J14" s="125"/>
      <c r="K14" s="114"/>
      <c r="L14" s="114"/>
      <c r="M14" s="162"/>
    </row>
    <row r="15" spans="1:17" s="1" customFormat="1" ht="14.1" customHeight="1" thickBo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163">
        <f>SUM(I15)-0.3</f>
        <v>9.0999999999999979</v>
      </c>
      <c r="I15" s="163">
        <f>SUM(J15)-0.3</f>
        <v>9.3999999999999986</v>
      </c>
      <c r="J15" s="125">
        <v>9.6999999999999993</v>
      </c>
      <c r="K15" s="114">
        <f>SUM(J15)+0.3</f>
        <v>10</v>
      </c>
      <c r="L15" s="114">
        <f>SUM(K15)+0.3</f>
        <v>10.3</v>
      </c>
      <c r="M15" s="162">
        <f>SUM(L15)+0.3</f>
        <v>10.600000000000001</v>
      </c>
    </row>
    <row r="16" spans="1:17" s="1" customFormat="1" ht="14.1" customHeight="1" thickTop="1">
      <c r="A16" s="122"/>
      <c r="B16" s="75" t="s">
        <v>28</v>
      </c>
      <c r="C16" s="75"/>
      <c r="D16" s="79" t="s">
        <v>164</v>
      </c>
      <c r="E16" s="80"/>
      <c r="F16" s="80"/>
      <c r="G16" s="81"/>
      <c r="H16" s="164"/>
      <c r="I16" s="164"/>
      <c r="J16" s="125"/>
      <c r="K16" s="114"/>
      <c r="L16" s="114"/>
      <c r="M16" s="162"/>
      <c r="Q16" s="7" t="s">
        <v>170</v>
      </c>
    </row>
    <row r="17" spans="1:17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163">
        <f>SUM(I17)-1.6</f>
        <v>46.9</v>
      </c>
      <c r="I17" s="163">
        <f>SUM(J17)-1.6</f>
        <v>48.5</v>
      </c>
      <c r="J17" s="125">
        <v>50.1</v>
      </c>
      <c r="K17" s="114">
        <f>SUM(J17)+1.6</f>
        <v>51.7</v>
      </c>
      <c r="L17" s="114">
        <f>SUM(K17)+1.6</f>
        <v>53.300000000000004</v>
      </c>
      <c r="M17" s="162">
        <f>SUM(L17)+1.6</f>
        <v>54.900000000000006</v>
      </c>
      <c r="Q17" s="8">
        <f>SUM(J9+J23+J23)</f>
        <v>112</v>
      </c>
    </row>
    <row r="18" spans="1:17" s="1" customFormat="1" ht="14.1" customHeight="1" thickBot="1">
      <c r="A18" s="122"/>
      <c r="B18" s="75" t="s">
        <v>33</v>
      </c>
      <c r="C18" s="75"/>
      <c r="D18" s="79" t="s">
        <v>297</v>
      </c>
      <c r="E18" s="80"/>
      <c r="F18" s="80"/>
      <c r="G18" s="81"/>
      <c r="H18" s="164"/>
      <c r="I18" s="164"/>
      <c r="J18" s="125"/>
      <c r="K18" s="114"/>
      <c r="L18" s="114"/>
      <c r="M18" s="162"/>
      <c r="Q18" s="9">
        <f>SUM(Q17/91.44*1.08)</f>
        <v>1.3228346456692914</v>
      </c>
    </row>
    <row r="19" spans="1:17" s="1" customFormat="1" ht="14.1" customHeight="1" thickTop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163">
        <f>SUM(I19)-3.6</f>
        <v>29.799999999999997</v>
      </c>
      <c r="I19" s="163">
        <f>SUM(J19)-3.6</f>
        <v>33.4</v>
      </c>
      <c r="J19" s="41">
        <v>37</v>
      </c>
      <c r="K19" s="27">
        <f>SUM(J19)+3.7</f>
        <v>40.700000000000003</v>
      </c>
      <c r="L19" s="27">
        <f>SUM(K19)+3.7</f>
        <v>44.400000000000006</v>
      </c>
      <c r="M19" s="62">
        <f t="shared" ref="M19" si="3">SUM(L19)+3.7</f>
        <v>48.100000000000009</v>
      </c>
      <c r="Q19" s="8" t="s">
        <v>171</v>
      </c>
    </row>
    <row r="20" spans="1:17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164"/>
      <c r="I20" s="164"/>
      <c r="J20" s="44"/>
      <c r="K20" s="46"/>
      <c r="L20" s="46"/>
      <c r="M20" s="48"/>
      <c r="Q20" s="8">
        <f>SUM(K9+L9+M9+K23+K23+L23+L23+M23+M23)</f>
        <v>364.20000000000005</v>
      </c>
    </row>
    <row r="21" spans="1:17" s="1" customFormat="1" ht="14.1" customHeight="1" thickBot="1">
      <c r="A21" s="122">
        <v>10</v>
      </c>
      <c r="B21" s="98" t="s">
        <v>309</v>
      </c>
      <c r="C21" s="98"/>
      <c r="D21" s="76"/>
      <c r="E21" s="77"/>
      <c r="F21" s="77"/>
      <c r="G21" s="78"/>
      <c r="H21" s="163">
        <f>SUM(I21)-2.4</f>
        <v>26</v>
      </c>
      <c r="I21" s="163">
        <f>SUM(J21)-2.6</f>
        <v>28.4</v>
      </c>
      <c r="J21" s="125">
        <v>31</v>
      </c>
      <c r="K21" s="114">
        <f>SUM(J21)+2.7</f>
        <v>33.700000000000003</v>
      </c>
      <c r="L21" s="114">
        <f>SUM(K21)+3.8</f>
        <v>37.5</v>
      </c>
      <c r="M21" s="162">
        <f>SUM(L21)+4</f>
        <v>41.5</v>
      </c>
      <c r="Q21" s="9">
        <f>SUM(Q20/91.44/3*1.08)</f>
        <v>1.4338582677165359</v>
      </c>
    </row>
    <row r="22" spans="1:17" s="1" customFormat="1" ht="14.1" customHeight="1" thickTop="1">
      <c r="A22" s="122"/>
      <c r="B22" s="75" t="s">
        <v>310</v>
      </c>
      <c r="C22" s="75"/>
      <c r="D22" s="79" t="s">
        <v>311</v>
      </c>
      <c r="E22" s="80"/>
      <c r="F22" s="80"/>
      <c r="G22" s="81"/>
      <c r="H22" s="164"/>
      <c r="I22" s="164"/>
      <c r="J22" s="125"/>
      <c r="K22" s="114"/>
      <c r="L22" s="114"/>
      <c r="M22" s="162"/>
    </row>
    <row r="23" spans="1:17" s="1" customFormat="1" ht="14.1" customHeight="1">
      <c r="A23" s="122">
        <v>11</v>
      </c>
      <c r="B23" s="36" t="s">
        <v>260</v>
      </c>
      <c r="C23" s="37"/>
      <c r="D23" s="124" t="s">
        <v>65</v>
      </c>
      <c r="E23" s="124"/>
      <c r="F23" s="124"/>
      <c r="G23" s="124"/>
      <c r="H23" s="163">
        <f>SUM(I23)-0.6</f>
        <v>17.799999999999997</v>
      </c>
      <c r="I23" s="163">
        <f>SUM(J23)-0.6</f>
        <v>18.399999999999999</v>
      </c>
      <c r="J23" s="125">
        <v>19</v>
      </c>
      <c r="K23" s="114">
        <f>SUM(J23)+0.6</f>
        <v>19.600000000000001</v>
      </c>
      <c r="L23" s="114">
        <f>SUM(K23)+0.6</f>
        <v>20.200000000000003</v>
      </c>
      <c r="M23" s="162">
        <f>SUM(L23)+0.6</f>
        <v>20.800000000000004</v>
      </c>
    </row>
    <row r="24" spans="1:17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164"/>
      <c r="I24" s="164"/>
      <c r="J24" s="125"/>
      <c r="K24" s="114"/>
      <c r="L24" s="114"/>
      <c r="M24" s="162"/>
    </row>
    <row r="25" spans="1:17" s="1" customFormat="1" ht="14.1" customHeight="1">
      <c r="A25" s="122">
        <v>12</v>
      </c>
      <c r="B25" s="36" t="s">
        <v>165</v>
      </c>
      <c r="C25" s="37"/>
      <c r="D25" s="124"/>
      <c r="E25" s="124"/>
      <c r="F25" s="124"/>
      <c r="G25" s="124"/>
      <c r="H25" s="163">
        <f>SUM(I25)-0.5</f>
        <v>12</v>
      </c>
      <c r="I25" s="163">
        <f>SUM(J25)-0.5</f>
        <v>12.5</v>
      </c>
      <c r="J25" s="41">
        <v>13</v>
      </c>
      <c r="K25" s="114">
        <f>SUM(J25)+0.5</f>
        <v>13.5</v>
      </c>
      <c r="L25" s="114">
        <f t="shared" ref="L25:M25" si="4">SUM(K25)+0.5</f>
        <v>14</v>
      </c>
      <c r="M25" s="162">
        <f t="shared" si="4"/>
        <v>14.5</v>
      </c>
    </row>
    <row r="26" spans="1:17" s="1" customFormat="1" ht="14.1" customHeight="1">
      <c r="A26" s="122"/>
      <c r="B26" s="127" t="s">
        <v>166</v>
      </c>
      <c r="C26" s="128"/>
      <c r="D26" s="79"/>
      <c r="E26" s="80"/>
      <c r="F26" s="80"/>
      <c r="G26" s="81"/>
      <c r="H26" s="164"/>
      <c r="I26" s="164"/>
      <c r="J26" s="44"/>
      <c r="K26" s="114"/>
      <c r="L26" s="114"/>
      <c r="M26" s="162"/>
    </row>
    <row r="27" spans="1:17" s="1" customFormat="1" ht="14.1" customHeight="1">
      <c r="A27" s="122">
        <v>13</v>
      </c>
      <c r="B27" s="36" t="s">
        <v>143</v>
      </c>
      <c r="C27" s="37"/>
      <c r="D27" s="129"/>
      <c r="E27" s="130"/>
      <c r="F27" s="130"/>
      <c r="G27" s="131"/>
      <c r="H27" s="163">
        <v>40.5</v>
      </c>
      <c r="I27" s="163">
        <v>43.5</v>
      </c>
      <c r="J27" s="125">
        <v>47</v>
      </c>
      <c r="K27" s="114">
        <v>50</v>
      </c>
      <c r="L27" s="114">
        <v>53</v>
      </c>
      <c r="M27" s="162">
        <v>56</v>
      </c>
    </row>
    <row r="28" spans="1:17" s="1" customFormat="1" ht="14.1" customHeight="1">
      <c r="A28" s="122"/>
      <c r="B28" s="133" t="s">
        <v>129</v>
      </c>
      <c r="C28" s="134"/>
      <c r="D28" s="102" t="s">
        <v>298</v>
      </c>
      <c r="E28" s="103"/>
      <c r="F28" s="103"/>
      <c r="G28" s="104"/>
      <c r="H28" s="164"/>
      <c r="I28" s="164"/>
      <c r="J28" s="41"/>
      <c r="K28" s="114"/>
      <c r="L28" s="114"/>
      <c r="M28" s="162"/>
    </row>
    <row r="29" spans="1:17" s="1" customFormat="1" ht="14.1" customHeight="1">
      <c r="A29" s="122">
        <v>14</v>
      </c>
      <c r="B29" s="36" t="s">
        <v>299</v>
      </c>
      <c r="C29" s="37"/>
      <c r="D29" s="124"/>
      <c r="E29" s="124"/>
      <c r="F29" s="124"/>
      <c r="G29" s="124"/>
      <c r="H29" s="163">
        <f>SUM(I29)</f>
        <v>5.5</v>
      </c>
      <c r="I29" s="163">
        <f>SUM(J29)</f>
        <v>5.5</v>
      </c>
      <c r="J29" s="125">
        <v>5.5</v>
      </c>
      <c r="K29" s="114">
        <f>SUM(J29)</f>
        <v>5.5</v>
      </c>
      <c r="L29" s="114">
        <f t="shared" ref="L29:M29" si="5">SUM(K29)</f>
        <v>5.5</v>
      </c>
      <c r="M29" s="162">
        <f t="shared" si="5"/>
        <v>5.5</v>
      </c>
    </row>
    <row r="30" spans="1:17" s="1" customFormat="1" ht="14.1" customHeight="1">
      <c r="A30" s="122"/>
      <c r="B30" s="127" t="s">
        <v>300</v>
      </c>
      <c r="C30" s="128"/>
      <c r="D30" s="79"/>
      <c r="E30" s="80"/>
      <c r="F30" s="80"/>
      <c r="G30" s="81"/>
      <c r="H30" s="164"/>
      <c r="I30" s="164"/>
      <c r="J30" s="125"/>
      <c r="K30" s="114"/>
      <c r="L30" s="114"/>
      <c r="M30" s="162"/>
    </row>
    <row r="31" spans="1:17" s="1" customFormat="1" ht="14.1" customHeight="1">
      <c r="A31" s="122">
        <v>15</v>
      </c>
      <c r="B31" s="36" t="s">
        <v>72</v>
      </c>
      <c r="C31" s="37"/>
      <c r="D31" s="77" t="s">
        <v>168</v>
      </c>
      <c r="E31" s="77"/>
      <c r="F31" s="77"/>
      <c r="G31" s="77"/>
      <c r="H31" s="163">
        <f>SUM(I31)-0.2</f>
        <v>6.5</v>
      </c>
      <c r="I31" s="163">
        <f>SUM(J31)-0.2</f>
        <v>6.7</v>
      </c>
      <c r="J31" s="125">
        <v>6.9</v>
      </c>
      <c r="K31" s="114">
        <f>SUM(J31)+0.2</f>
        <v>7.1000000000000005</v>
      </c>
      <c r="L31" s="114">
        <f t="shared" ref="L31:M31" si="6">SUM(K31)+0.2</f>
        <v>7.3000000000000007</v>
      </c>
      <c r="M31" s="162">
        <f t="shared" si="6"/>
        <v>7.5000000000000009</v>
      </c>
    </row>
    <row r="32" spans="1:17" s="1" customFormat="1" ht="14.1" customHeight="1">
      <c r="A32" s="122"/>
      <c r="B32" s="75" t="s">
        <v>34</v>
      </c>
      <c r="C32" s="75"/>
      <c r="D32" s="79" t="s">
        <v>167</v>
      </c>
      <c r="E32" s="80"/>
      <c r="F32" s="80"/>
      <c r="G32" s="81"/>
      <c r="H32" s="164"/>
      <c r="I32" s="164"/>
      <c r="J32" s="125"/>
      <c r="K32" s="114"/>
      <c r="L32" s="114"/>
      <c r="M32" s="162"/>
    </row>
    <row r="33" spans="1:17" s="1" customFormat="1" ht="14.1" customHeight="1">
      <c r="A33" s="122">
        <v>16</v>
      </c>
      <c r="B33" s="36" t="s">
        <v>301</v>
      </c>
      <c r="C33" s="37"/>
      <c r="D33" s="129"/>
      <c r="E33" s="130"/>
      <c r="F33" s="130"/>
      <c r="G33" s="131"/>
      <c r="H33" s="163">
        <f>SUM(I33)-3.5</f>
        <v>91</v>
      </c>
      <c r="I33" s="163">
        <f>SUM(J33)-3.5</f>
        <v>94.5</v>
      </c>
      <c r="J33" s="41">
        <v>98</v>
      </c>
      <c r="K33" s="27">
        <f>SUM(J33)+3.5</f>
        <v>101.5</v>
      </c>
      <c r="L33" s="27">
        <f t="shared" ref="L33:M33" si="7">SUM(K33)+3.5</f>
        <v>105</v>
      </c>
      <c r="M33" s="62">
        <f t="shared" si="7"/>
        <v>108.5</v>
      </c>
      <c r="Q33" s="1" t="s">
        <v>302</v>
      </c>
    </row>
    <row r="34" spans="1:17" s="1" customFormat="1" ht="14.1" customHeight="1">
      <c r="A34" s="122"/>
      <c r="B34" s="127" t="s">
        <v>302</v>
      </c>
      <c r="C34" s="128"/>
      <c r="D34" s="79" t="s">
        <v>303</v>
      </c>
      <c r="E34" s="80"/>
      <c r="F34" s="80"/>
      <c r="G34" s="81"/>
      <c r="H34" s="164"/>
      <c r="I34" s="164"/>
      <c r="J34" s="44"/>
      <c r="K34" s="46"/>
      <c r="L34" s="46"/>
      <c r="M34" s="48"/>
      <c r="Q34" s="1">
        <f>SUM(J33+K33+L33+M33)</f>
        <v>413</v>
      </c>
    </row>
    <row r="35" spans="1:17" s="1" customFormat="1" ht="14.1" customHeight="1">
      <c r="A35" s="122">
        <v>17</v>
      </c>
      <c r="B35" s="36" t="s">
        <v>304</v>
      </c>
      <c r="C35" s="37"/>
      <c r="D35" s="124"/>
      <c r="E35" s="124"/>
      <c r="F35" s="124"/>
      <c r="G35" s="124"/>
      <c r="H35" s="163">
        <f>SUM(I35)-0.8</f>
        <v>14.399999999999999</v>
      </c>
      <c r="I35" s="163">
        <f>SUM(J35)-0.8</f>
        <v>15.2</v>
      </c>
      <c r="J35" s="41">
        <v>16</v>
      </c>
      <c r="K35" s="114">
        <f>SUM(J35)+0.7</f>
        <v>16.7</v>
      </c>
      <c r="L35" s="114">
        <f t="shared" ref="L35:M35" si="8">SUM(K35)+0.7</f>
        <v>17.399999999999999</v>
      </c>
      <c r="M35" s="162">
        <f t="shared" si="8"/>
        <v>18.099999999999998</v>
      </c>
      <c r="Q35" s="1">
        <f>SUM(Q34/91.44/4*1.08)</f>
        <v>1.219488188976378</v>
      </c>
    </row>
    <row r="36" spans="1:17" ht="14.1" customHeight="1">
      <c r="A36" s="122"/>
      <c r="B36" s="127" t="s">
        <v>305</v>
      </c>
      <c r="C36" s="128"/>
      <c r="D36" s="82" t="s">
        <v>306</v>
      </c>
      <c r="E36" s="80"/>
      <c r="F36" s="80"/>
      <c r="G36" s="81"/>
      <c r="H36" s="164"/>
      <c r="I36" s="164"/>
      <c r="J36" s="44"/>
      <c r="K36" s="114"/>
      <c r="L36" s="114"/>
      <c r="M36" s="162"/>
    </row>
    <row r="37" spans="1:17" ht="14.1" customHeight="1">
      <c r="A37" s="122">
        <v>18</v>
      </c>
      <c r="B37" s="36" t="s">
        <v>307</v>
      </c>
      <c r="C37" s="37"/>
      <c r="D37" s="124"/>
      <c r="E37" s="124"/>
      <c r="F37" s="124"/>
      <c r="G37" s="124"/>
      <c r="H37" s="163">
        <f>SUM(I37)-1.7</f>
        <v>30.599999999999998</v>
      </c>
      <c r="I37" s="163">
        <f>SUM(J37)-1.7</f>
        <v>32.299999999999997</v>
      </c>
      <c r="J37" s="41">
        <v>34</v>
      </c>
      <c r="K37" s="114">
        <f>SUM(J37)+1.5</f>
        <v>35.5</v>
      </c>
      <c r="L37" s="114">
        <f t="shared" ref="L37:M37" si="9">SUM(K37)+1.5</f>
        <v>37</v>
      </c>
      <c r="M37" s="162">
        <f t="shared" si="9"/>
        <v>38.5</v>
      </c>
    </row>
    <row r="38" spans="1:17" ht="14.1" customHeight="1">
      <c r="A38" s="122"/>
      <c r="B38" s="127" t="s">
        <v>308</v>
      </c>
      <c r="C38" s="128"/>
      <c r="D38" s="82" t="s">
        <v>306</v>
      </c>
      <c r="E38" s="80"/>
      <c r="F38" s="80"/>
      <c r="G38" s="81"/>
      <c r="H38" s="164"/>
      <c r="I38" s="164"/>
      <c r="J38" s="44"/>
      <c r="K38" s="114"/>
      <c r="L38" s="114"/>
      <c r="M38" s="162"/>
    </row>
    <row r="39" spans="1:17" ht="14.1" customHeight="1">
      <c r="A39" s="122">
        <v>19</v>
      </c>
      <c r="B39" s="36"/>
      <c r="C39" s="37"/>
      <c r="D39" s="124"/>
      <c r="E39" s="124"/>
      <c r="F39" s="124"/>
      <c r="G39" s="124"/>
      <c r="H39" s="163"/>
      <c r="I39" s="163"/>
      <c r="J39" s="41"/>
      <c r="K39" s="114"/>
      <c r="L39" s="114"/>
      <c r="M39" s="162"/>
    </row>
    <row r="40" spans="1:17" ht="14.1" customHeight="1" thickBot="1">
      <c r="A40" s="123"/>
      <c r="B40" s="143"/>
      <c r="C40" s="144"/>
      <c r="D40" s="167"/>
      <c r="E40" s="120"/>
      <c r="F40" s="120"/>
      <c r="G40" s="121"/>
      <c r="H40" s="178"/>
      <c r="I40" s="178"/>
      <c r="J40" s="42"/>
      <c r="K40" s="115"/>
      <c r="L40" s="115"/>
      <c r="M40" s="142"/>
    </row>
    <row r="41" spans="1:17" ht="14.1" customHeight="1">
      <c r="N41" s="1"/>
    </row>
    <row r="42" spans="1:17" ht="14.1" customHeight="1">
      <c r="N42" s="1"/>
    </row>
    <row r="43" spans="1:17" ht="14.1" customHeight="1">
      <c r="N43" s="1"/>
    </row>
    <row r="44" spans="1:17" ht="14.1" customHeight="1"/>
    <row r="45" spans="1:17" ht="14.1" customHeight="1"/>
    <row r="46" spans="1:17" ht="14.1" customHeight="1"/>
    <row r="47" spans="1:17" ht="14.1" customHeight="1"/>
    <row r="48" spans="1:17" ht="14.1" customHeight="1"/>
    <row r="49" ht="14.1" customHeight="1"/>
    <row r="50" ht="14.1" customHeight="1"/>
    <row r="51" ht="14.1" customHeight="1"/>
  </sheetData>
  <mergeCells count="212">
    <mergeCell ref="M39:M40"/>
    <mergeCell ref="A1:M1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B40:C40"/>
    <mergeCell ref="D40:G40"/>
    <mergeCell ref="A37:A38"/>
    <mergeCell ref="A39:A40"/>
    <mergeCell ref="H37:H38"/>
    <mergeCell ref="I37:I38"/>
    <mergeCell ref="B37:C37"/>
    <mergeCell ref="D37:G37"/>
    <mergeCell ref="B38:C38"/>
    <mergeCell ref="D38:G38"/>
    <mergeCell ref="B39:C39"/>
    <mergeCell ref="D39:G39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BEB1-5BB8-4719-9887-66D78B6BF576}">
  <sheetPr>
    <tabColor theme="5"/>
    <pageSetUpPr fitToPage="1"/>
  </sheetPr>
  <dimension ref="A1:N51"/>
  <sheetViews>
    <sheetView zoomScale="110" zoomScaleNormal="110" workbookViewId="0">
      <selection activeCell="A41" sqref="A41:M4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608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126</v>
      </c>
    </row>
    <row r="3" spans="1:14" s="1" customFormat="1" ht="14.1" customHeight="1">
      <c r="A3" s="147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SUM(I3)-3.4</f>
        <v>33.5</v>
      </c>
      <c r="I3" s="27">
        <f>SUM(J3)-3.4</f>
        <v>36.9</v>
      </c>
      <c r="J3" s="41">
        <v>40.299999999999997</v>
      </c>
      <c r="K3" s="27">
        <f>SUM(J3)+2.9</f>
        <v>43.199999999999996</v>
      </c>
      <c r="L3" s="27">
        <f t="shared" ref="L3:N3" si="0">SUM(K3)+2.9</f>
        <v>46.099999999999994</v>
      </c>
      <c r="M3" s="27">
        <f t="shared" si="0"/>
        <v>48.999999999999993</v>
      </c>
      <c r="N3" s="62">
        <f t="shared" si="0"/>
        <v>51.899999999999991</v>
      </c>
    </row>
    <row r="4" spans="1:14" s="1" customFormat="1" ht="14.1" customHeight="1">
      <c r="A4" s="138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4"/>
      <c r="K4" s="46"/>
      <c r="L4" s="46"/>
      <c r="M4" s="46"/>
      <c r="N4" s="48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35.599999999999994</v>
      </c>
      <c r="I5" s="27">
        <f>SUM(J5)-2.2</f>
        <v>37.799999999999997</v>
      </c>
      <c r="J5" s="41">
        <v>40</v>
      </c>
      <c r="K5" s="27">
        <f>SUM(J5)+2</f>
        <v>42</v>
      </c>
      <c r="L5" s="27">
        <f>SUM(K5)+2</f>
        <v>44</v>
      </c>
      <c r="M5" s="27">
        <f>SUM(L5)+2</f>
        <v>46</v>
      </c>
      <c r="N5" s="172">
        <f>SUM(M5)+2</f>
        <v>48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6"/>
      <c r="N6" s="173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37.5</v>
      </c>
      <c r="I7" s="27">
        <f>SUM(J7)-2.25</f>
        <v>39.75</v>
      </c>
      <c r="J7" s="41">
        <v>42</v>
      </c>
      <c r="K7" s="27">
        <f>SUM(J7)+2</f>
        <v>44</v>
      </c>
      <c r="L7" s="27">
        <f>SUM(K7)+2</f>
        <v>46</v>
      </c>
      <c r="M7" s="27">
        <f>SUM(L7)+2</f>
        <v>48</v>
      </c>
      <c r="N7" s="172">
        <f>SUM(M7)+2</f>
        <v>50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6"/>
      <c r="N8" s="173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SUM(I9)-2.25</f>
        <v>37.5</v>
      </c>
      <c r="I9" s="27">
        <f>SUM(J9)-2.25</f>
        <v>39.75</v>
      </c>
      <c r="J9" s="41">
        <v>42</v>
      </c>
      <c r="K9" s="27">
        <f>SUM(J9)+2</f>
        <v>44</v>
      </c>
      <c r="L9" s="27">
        <f>SUM(K9)+2</f>
        <v>46</v>
      </c>
      <c r="M9" s="27">
        <f>SUM(L9)+2</f>
        <v>48</v>
      </c>
      <c r="N9" s="172">
        <f>SUM(M9)+2</f>
        <v>50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6"/>
      <c r="N10" s="173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16.399999999999999</v>
      </c>
      <c r="I11" s="27">
        <f>SUM(J11)-0.8</f>
        <v>17.2</v>
      </c>
      <c r="J11" s="125">
        <v>18</v>
      </c>
      <c r="K11" s="114">
        <f>SUM(J11)+0.8</f>
        <v>18.8</v>
      </c>
      <c r="L11" s="114">
        <f>SUM(K11)+0.8</f>
        <v>19.600000000000001</v>
      </c>
      <c r="M11" s="145">
        <f>SUM(L11)+0.8</f>
        <v>20.400000000000002</v>
      </c>
      <c r="N11" s="180">
        <f>SUM(M11)+0.8</f>
        <v>21.200000000000003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45"/>
      <c r="N12" s="180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13.9</v>
      </c>
      <c r="I13" s="27">
        <f>SUM(J13)-0.6</f>
        <v>14.5</v>
      </c>
      <c r="J13" s="125">
        <v>15.1</v>
      </c>
      <c r="K13" s="114">
        <f>SUM(J13)+0.6</f>
        <v>15.7</v>
      </c>
      <c r="L13" s="114">
        <f>SUM(K13)+0.6</f>
        <v>16.3</v>
      </c>
      <c r="M13" s="114">
        <f>SUM(L13)+0.6</f>
        <v>16.900000000000002</v>
      </c>
      <c r="N13" s="170">
        <f>SUM(M13)+0.6</f>
        <v>17.500000000000004</v>
      </c>
    </row>
    <row r="14" spans="1:14" s="1" customFormat="1" ht="14.1" customHeight="1">
      <c r="A14" s="122"/>
      <c r="B14" s="75" t="s">
        <v>27</v>
      </c>
      <c r="C14" s="75"/>
      <c r="D14" s="79" t="s">
        <v>46</v>
      </c>
      <c r="E14" s="80"/>
      <c r="F14" s="80"/>
      <c r="G14" s="81"/>
      <c r="H14" s="46"/>
      <c r="I14" s="46"/>
      <c r="J14" s="125"/>
      <c r="K14" s="114"/>
      <c r="L14" s="114"/>
      <c r="M14" s="114"/>
      <c r="N14" s="170"/>
    </row>
    <row r="15" spans="1:14" s="1" customFormat="1" ht="14.1" customHeight="1">
      <c r="A15" s="122">
        <v>7</v>
      </c>
      <c r="B15" s="98" t="s">
        <v>2</v>
      </c>
      <c r="C15" s="98"/>
      <c r="D15" s="124"/>
      <c r="E15" s="124"/>
      <c r="F15" s="124"/>
      <c r="G15" s="124"/>
      <c r="H15" s="27">
        <f>SUM(I15)-0.3</f>
        <v>5.9</v>
      </c>
      <c r="I15" s="27">
        <f>SUM(J15)-0.3</f>
        <v>6.2</v>
      </c>
      <c r="J15" s="125">
        <v>6.5</v>
      </c>
      <c r="K15" s="114">
        <f>SUM(J15)+0.3</f>
        <v>6.8</v>
      </c>
      <c r="L15" s="114">
        <f>SUM(K15)+0.3</f>
        <v>7.1</v>
      </c>
      <c r="M15" s="145">
        <f>SUM(L15)+0.3</f>
        <v>7.3999999999999995</v>
      </c>
      <c r="N15" s="180">
        <f>SUM(M15)+0.3</f>
        <v>7.6999999999999993</v>
      </c>
    </row>
    <row r="16" spans="1:14" s="1" customFormat="1" ht="14.1" customHeight="1">
      <c r="A16" s="122"/>
      <c r="B16" s="75" t="s">
        <v>28</v>
      </c>
      <c r="C16" s="75"/>
      <c r="D16" s="79" t="s">
        <v>601</v>
      </c>
      <c r="E16" s="80"/>
      <c r="F16" s="80"/>
      <c r="G16" s="81"/>
      <c r="H16" s="46"/>
      <c r="I16" s="46"/>
      <c r="J16" s="125"/>
      <c r="K16" s="114"/>
      <c r="L16" s="114"/>
      <c r="M16" s="145"/>
      <c r="N16" s="180"/>
    </row>
    <row r="17" spans="1:14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36.099999999999994</v>
      </c>
      <c r="I17" s="27">
        <f>SUM(J17)-1.6</f>
        <v>37.699999999999996</v>
      </c>
      <c r="J17" s="125">
        <v>39.299999999999997</v>
      </c>
      <c r="K17" s="114">
        <f>SUM(J17)+1.6</f>
        <v>40.9</v>
      </c>
      <c r="L17" s="114">
        <f>SUM(K17)+1.6</f>
        <v>42.5</v>
      </c>
      <c r="M17" s="145">
        <f>SUM(L17)+1.6</f>
        <v>44.1</v>
      </c>
      <c r="N17" s="180">
        <f>SUM(M17)+1.6</f>
        <v>45.7</v>
      </c>
    </row>
    <row r="18" spans="1:14" s="1" customFormat="1" ht="14.1" customHeight="1">
      <c r="A18" s="122"/>
      <c r="B18" s="75" t="s">
        <v>33</v>
      </c>
      <c r="C18" s="75"/>
      <c r="D18" s="79" t="s">
        <v>74</v>
      </c>
      <c r="E18" s="80"/>
      <c r="F18" s="80"/>
      <c r="G18" s="81"/>
      <c r="H18" s="46"/>
      <c r="I18" s="46"/>
      <c r="J18" s="125"/>
      <c r="K18" s="114"/>
      <c r="L18" s="114"/>
      <c r="M18" s="145"/>
      <c r="N18" s="180"/>
    </row>
    <row r="19" spans="1:14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28.700000000000003</v>
      </c>
      <c r="I19" s="27">
        <f>SUM(J19)-3.4</f>
        <v>32.1</v>
      </c>
      <c r="J19" s="125">
        <v>35.5</v>
      </c>
      <c r="K19" s="114">
        <f>SUM(J19)+3.5</f>
        <v>39</v>
      </c>
      <c r="L19" s="114">
        <f>SUM(K19)+3.5</f>
        <v>42.5</v>
      </c>
      <c r="M19" s="114">
        <f>SUM(L19)+3.5</f>
        <v>46</v>
      </c>
      <c r="N19" s="170">
        <f>SUM(M19)+3.5</f>
        <v>49.5</v>
      </c>
    </row>
    <row r="20" spans="1:14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4"/>
      <c r="N20" s="170"/>
    </row>
    <row r="21" spans="1:14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32.199999999999996</v>
      </c>
      <c r="I21" s="27">
        <f>SUM(J21)-1.6</f>
        <v>33.799999999999997</v>
      </c>
      <c r="J21" s="125">
        <v>35.4</v>
      </c>
      <c r="K21" s="114">
        <f>SUM(J21)+1.6</f>
        <v>37</v>
      </c>
      <c r="L21" s="114">
        <f>SUM(K21)+1.6</f>
        <v>38.6</v>
      </c>
      <c r="M21" s="145">
        <f>SUM(L21)+1.6</f>
        <v>40.200000000000003</v>
      </c>
      <c r="N21" s="180">
        <f>SUM(M21)+1.6</f>
        <v>41.800000000000004</v>
      </c>
    </row>
    <row r="22" spans="1:14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45"/>
      <c r="N22" s="180"/>
    </row>
    <row r="23" spans="1:14" s="1" customFormat="1" ht="14.1" customHeight="1">
      <c r="A23" s="122">
        <v>11</v>
      </c>
      <c r="B23" s="36" t="s">
        <v>260</v>
      </c>
      <c r="C23" s="37"/>
      <c r="D23" s="124" t="s">
        <v>65</v>
      </c>
      <c r="E23" s="124"/>
      <c r="F23" s="124"/>
      <c r="G23" s="124"/>
      <c r="H23" s="27">
        <f>SUM(I23)-1</f>
        <v>24</v>
      </c>
      <c r="I23" s="27">
        <f>SUM(J23)-1</f>
        <v>25</v>
      </c>
      <c r="J23" s="125">
        <v>26</v>
      </c>
      <c r="K23" s="114">
        <f>SUM(J23)+1</f>
        <v>27</v>
      </c>
      <c r="L23" s="114">
        <f>SUM(K23)+1</f>
        <v>28</v>
      </c>
      <c r="M23" s="114">
        <f>SUM(L23)+1</f>
        <v>29</v>
      </c>
      <c r="N23" s="170">
        <f>SUM(M23)+1</f>
        <v>30</v>
      </c>
    </row>
    <row r="24" spans="1:14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4"/>
      <c r="N24" s="170"/>
    </row>
    <row r="25" spans="1:14" s="1" customFormat="1" ht="14.1" customHeight="1">
      <c r="A25" s="122">
        <v>12</v>
      </c>
      <c r="B25" s="36" t="s">
        <v>365</v>
      </c>
      <c r="C25" s="37"/>
      <c r="D25" s="129"/>
      <c r="E25" s="130"/>
      <c r="F25" s="130"/>
      <c r="G25" s="131"/>
      <c r="H25" s="27">
        <f>SUM(I25)-0.4</f>
        <v>7.5</v>
      </c>
      <c r="I25" s="27">
        <f>SUM(J25)-0.4</f>
        <v>7.9</v>
      </c>
      <c r="J25" s="125">
        <v>8.3000000000000007</v>
      </c>
      <c r="K25" s="114">
        <f>SUM(J25)+0.4</f>
        <v>8.7000000000000011</v>
      </c>
      <c r="L25" s="114">
        <f t="shared" ref="L25:N25" si="1">SUM(K25)+0.4</f>
        <v>9.1000000000000014</v>
      </c>
      <c r="M25" s="114">
        <f t="shared" si="1"/>
        <v>9.5000000000000018</v>
      </c>
      <c r="N25" s="162">
        <f t="shared" si="1"/>
        <v>9.9000000000000021</v>
      </c>
    </row>
    <row r="26" spans="1:14" s="1" customFormat="1" ht="14.1" customHeight="1">
      <c r="A26" s="122"/>
      <c r="B26" s="127" t="s">
        <v>413</v>
      </c>
      <c r="C26" s="128"/>
      <c r="D26" s="79" t="s">
        <v>524</v>
      </c>
      <c r="E26" s="80"/>
      <c r="F26" s="80"/>
      <c r="G26" s="81"/>
      <c r="H26" s="46"/>
      <c r="I26" s="46"/>
      <c r="J26" s="125"/>
      <c r="K26" s="114"/>
      <c r="L26" s="114"/>
      <c r="M26" s="114"/>
      <c r="N26" s="162"/>
    </row>
    <row r="27" spans="1:14" s="1" customFormat="1" ht="14.1" customHeight="1">
      <c r="A27" s="122">
        <v>13</v>
      </c>
      <c r="B27" s="36" t="s">
        <v>414</v>
      </c>
      <c r="C27" s="37"/>
      <c r="D27" s="129"/>
      <c r="E27" s="130"/>
      <c r="F27" s="130"/>
      <c r="G27" s="131"/>
      <c r="H27" s="27">
        <f>SUM(I27)-0.6</f>
        <v>11.100000000000001</v>
      </c>
      <c r="I27" s="27">
        <f>SUM(J27)-0.6</f>
        <v>11.700000000000001</v>
      </c>
      <c r="J27" s="125">
        <v>12.3</v>
      </c>
      <c r="K27" s="114">
        <f>SUM(J27)+0.6</f>
        <v>12.9</v>
      </c>
      <c r="L27" s="114">
        <f t="shared" ref="L27:N27" si="2">SUM(K27)+0.6</f>
        <v>13.5</v>
      </c>
      <c r="M27" s="114">
        <f t="shared" si="2"/>
        <v>14.1</v>
      </c>
      <c r="N27" s="162">
        <f t="shared" si="2"/>
        <v>14.7</v>
      </c>
    </row>
    <row r="28" spans="1:14" s="1" customFormat="1" ht="14.1" customHeight="1">
      <c r="A28" s="122"/>
      <c r="B28" s="127" t="s">
        <v>415</v>
      </c>
      <c r="C28" s="128"/>
      <c r="D28" s="79" t="s">
        <v>611</v>
      </c>
      <c r="E28" s="80"/>
      <c r="F28" s="80"/>
      <c r="G28" s="81"/>
      <c r="H28" s="46"/>
      <c r="I28" s="46"/>
      <c r="J28" s="125"/>
      <c r="K28" s="114"/>
      <c r="L28" s="114"/>
      <c r="M28" s="114"/>
      <c r="N28" s="162"/>
    </row>
    <row r="29" spans="1:14" s="1" customFormat="1" ht="14.1" customHeight="1">
      <c r="A29" s="122">
        <v>14</v>
      </c>
      <c r="B29" s="36" t="s">
        <v>172</v>
      </c>
      <c r="C29" s="37"/>
      <c r="D29" s="76"/>
      <c r="E29" s="77"/>
      <c r="F29" s="77"/>
      <c r="G29" s="78"/>
      <c r="H29" s="27">
        <f>SUM(I29)-1</f>
        <v>11.5</v>
      </c>
      <c r="I29" s="27">
        <f>SUM(J29)-1</f>
        <v>12.5</v>
      </c>
      <c r="J29" s="41">
        <v>13.5</v>
      </c>
      <c r="K29" s="27">
        <f>SUM(J29)+0.6</f>
        <v>14.1</v>
      </c>
      <c r="L29" s="27">
        <f t="shared" ref="L29:N29" si="3">SUM(K29)+0.6</f>
        <v>14.7</v>
      </c>
      <c r="M29" s="27">
        <f t="shared" si="3"/>
        <v>15.299999999999999</v>
      </c>
      <c r="N29" s="62">
        <f t="shared" si="3"/>
        <v>15.899999999999999</v>
      </c>
    </row>
    <row r="30" spans="1:14" s="1" customFormat="1" ht="14.1" customHeight="1">
      <c r="A30" s="122"/>
      <c r="B30" s="127" t="s">
        <v>173</v>
      </c>
      <c r="C30" s="128"/>
      <c r="D30" s="59" t="s">
        <v>609</v>
      </c>
      <c r="E30" s="60"/>
      <c r="F30" s="60"/>
      <c r="G30" s="61"/>
      <c r="H30" s="46"/>
      <c r="I30" s="46"/>
      <c r="J30" s="44"/>
      <c r="K30" s="46"/>
      <c r="L30" s="46"/>
      <c r="M30" s="46"/>
      <c r="N30" s="48"/>
    </row>
    <row r="31" spans="1:14" ht="14.1" customHeight="1">
      <c r="A31" s="122">
        <v>15</v>
      </c>
      <c r="B31" s="36" t="s">
        <v>174</v>
      </c>
      <c r="C31" s="37"/>
      <c r="D31" s="76"/>
      <c r="E31" s="77"/>
      <c r="F31" s="77"/>
      <c r="G31" s="78"/>
      <c r="H31" s="27">
        <f>SUM(I31)-1</f>
        <v>13.5</v>
      </c>
      <c r="I31" s="27">
        <f>SUM(J31)-1</f>
        <v>14.5</v>
      </c>
      <c r="J31" s="41">
        <v>15.5</v>
      </c>
      <c r="K31" s="27">
        <f>SUM(J31)+0.7</f>
        <v>16.2</v>
      </c>
      <c r="L31" s="27">
        <f t="shared" ref="L31:N31" si="4">SUM(K31)+0.7</f>
        <v>16.899999999999999</v>
      </c>
      <c r="M31" s="27">
        <f t="shared" si="4"/>
        <v>17.599999999999998</v>
      </c>
      <c r="N31" s="62">
        <f t="shared" si="4"/>
        <v>18.299999999999997</v>
      </c>
    </row>
    <row r="32" spans="1:14" ht="14.1" customHeight="1">
      <c r="A32" s="122"/>
      <c r="B32" s="127" t="s">
        <v>175</v>
      </c>
      <c r="C32" s="128"/>
      <c r="D32" s="59" t="s">
        <v>610</v>
      </c>
      <c r="E32" s="60"/>
      <c r="F32" s="60"/>
      <c r="G32" s="61"/>
      <c r="H32" s="46"/>
      <c r="I32" s="46"/>
      <c r="J32" s="44"/>
      <c r="K32" s="46"/>
      <c r="L32" s="46"/>
      <c r="M32" s="46"/>
      <c r="N32" s="48"/>
    </row>
    <row r="33" spans="1:14" ht="14.1" customHeight="1">
      <c r="A33" s="122">
        <v>16</v>
      </c>
      <c r="B33" s="36" t="s">
        <v>72</v>
      </c>
      <c r="C33" s="37"/>
      <c r="D33" s="77" t="s">
        <v>602</v>
      </c>
      <c r="E33" s="77"/>
      <c r="F33" s="77"/>
      <c r="G33" s="77"/>
      <c r="H33" s="27">
        <f>SUM(I33)-0.2</f>
        <v>8.6000000000000014</v>
      </c>
      <c r="I33" s="27">
        <f>SUM(J33)-0.2</f>
        <v>8.8000000000000007</v>
      </c>
      <c r="J33" s="125">
        <v>9</v>
      </c>
      <c r="K33" s="114">
        <f>SUM(J33)+0.2</f>
        <v>9.1999999999999993</v>
      </c>
      <c r="L33" s="114">
        <f>SUM(K33)+0.2</f>
        <v>9.3999999999999986</v>
      </c>
      <c r="M33" s="114">
        <f>SUM(L33)+0.2</f>
        <v>9.5999999999999979</v>
      </c>
      <c r="N33" s="170">
        <f>SUM(M33)+0.2</f>
        <v>9.7999999999999972</v>
      </c>
    </row>
    <row r="34" spans="1:14" ht="14.1" customHeight="1">
      <c r="A34" s="122"/>
      <c r="B34" s="75" t="s">
        <v>34</v>
      </c>
      <c r="C34" s="75"/>
      <c r="D34" s="79" t="s">
        <v>603</v>
      </c>
      <c r="E34" s="80"/>
      <c r="F34" s="80"/>
      <c r="G34" s="81"/>
      <c r="H34" s="46"/>
      <c r="I34" s="46"/>
      <c r="J34" s="125"/>
      <c r="K34" s="114"/>
      <c r="L34" s="114"/>
      <c r="M34" s="114"/>
      <c r="N34" s="170"/>
    </row>
    <row r="35" spans="1:14" ht="14.1" customHeight="1">
      <c r="A35" s="122">
        <v>17</v>
      </c>
      <c r="B35" s="36" t="s">
        <v>604</v>
      </c>
      <c r="C35" s="37"/>
      <c r="D35" s="76" t="s">
        <v>605</v>
      </c>
      <c r="E35" s="77"/>
      <c r="F35" s="77"/>
      <c r="G35" s="78"/>
      <c r="H35" s="27">
        <f>SUM(I35)-0.2</f>
        <v>10.000000000000002</v>
      </c>
      <c r="I35" s="27">
        <f>SUM(J35)-0.2</f>
        <v>10.200000000000001</v>
      </c>
      <c r="J35" s="41">
        <v>10.4</v>
      </c>
      <c r="K35" s="27">
        <f>SUM(J35)+0.2</f>
        <v>10.6</v>
      </c>
      <c r="L35" s="27">
        <f>SUM(K35)+0.2</f>
        <v>10.799999999999999</v>
      </c>
      <c r="M35" s="27">
        <f>SUM(L35)+0.2</f>
        <v>10.999999999999998</v>
      </c>
      <c r="N35" s="172">
        <f>SUM(M35)+0.2</f>
        <v>11.199999999999998</v>
      </c>
    </row>
    <row r="36" spans="1:14" ht="14.1" customHeight="1">
      <c r="A36" s="122"/>
      <c r="B36" s="127" t="s">
        <v>606</v>
      </c>
      <c r="C36" s="128"/>
      <c r="D36" s="79" t="s">
        <v>607</v>
      </c>
      <c r="E36" s="80"/>
      <c r="F36" s="80"/>
      <c r="G36" s="81"/>
      <c r="H36" s="46"/>
      <c r="I36" s="46"/>
      <c r="J36" s="44"/>
      <c r="K36" s="46"/>
      <c r="L36" s="46"/>
      <c r="M36" s="46"/>
      <c r="N36" s="173"/>
    </row>
    <row r="37" spans="1:14" ht="14.1" customHeight="1">
      <c r="A37" s="122">
        <v>18</v>
      </c>
      <c r="B37" s="36" t="s">
        <v>299</v>
      </c>
      <c r="C37" s="37"/>
      <c r="D37" s="102"/>
      <c r="E37" s="103"/>
      <c r="F37" s="103"/>
      <c r="G37" s="104"/>
      <c r="H37" s="45">
        <f>SUM(I37)</f>
        <v>4.5</v>
      </c>
      <c r="I37" s="45">
        <f>SUM(J37)</f>
        <v>4.5</v>
      </c>
      <c r="J37" s="44">
        <v>4.5</v>
      </c>
      <c r="K37" s="46">
        <f>SUM(J37)</f>
        <v>4.5</v>
      </c>
      <c r="L37" s="46">
        <f t="shared" ref="L37:M37" si="5">SUM(K37)</f>
        <v>4.5</v>
      </c>
      <c r="M37" s="46">
        <f t="shared" si="5"/>
        <v>4.5</v>
      </c>
      <c r="N37" s="48">
        <f>SUM(M37)</f>
        <v>4.5</v>
      </c>
    </row>
    <row r="38" spans="1:14" ht="14.1" customHeight="1">
      <c r="A38" s="122"/>
      <c r="B38" s="127" t="s">
        <v>300</v>
      </c>
      <c r="C38" s="128"/>
      <c r="D38" s="79"/>
      <c r="E38" s="80"/>
      <c r="F38" s="80"/>
      <c r="G38" s="81"/>
      <c r="H38" s="46"/>
      <c r="I38" s="46"/>
      <c r="J38" s="125"/>
      <c r="K38" s="114"/>
      <c r="L38" s="114"/>
      <c r="M38" s="114"/>
      <c r="N38" s="162"/>
    </row>
    <row r="39" spans="1:14" ht="14.1" customHeight="1">
      <c r="A39" s="122">
        <v>19</v>
      </c>
      <c r="B39" s="36" t="s">
        <v>143</v>
      </c>
      <c r="C39" s="37"/>
      <c r="D39" s="129"/>
      <c r="E39" s="130"/>
      <c r="F39" s="130"/>
      <c r="G39" s="131"/>
      <c r="H39" s="27">
        <v>29</v>
      </c>
      <c r="I39" s="27">
        <v>32</v>
      </c>
      <c r="J39" s="125">
        <v>35.5</v>
      </c>
      <c r="K39" s="114">
        <v>38</v>
      </c>
      <c r="L39" s="114">
        <v>41</v>
      </c>
      <c r="M39" s="179">
        <v>43.5</v>
      </c>
      <c r="N39" s="162">
        <v>46</v>
      </c>
    </row>
    <row r="40" spans="1:14" ht="14.1" customHeight="1">
      <c r="A40" s="122"/>
      <c r="B40" s="133" t="s">
        <v>129</v>
      </c>
      <c r="C40" s="134"/>
      <c r="D40" s="102" t="s">
        <v>298</v>
      </c>
      <c r="E40" s="103"/>
      <c r="F40" s="103"/>
      <c r="G40" s="104"/>
      <c r="H40" s="46"/>
      <c r="I40" s="46"/>
      <c r="J40" s="41"/>
      <c r="K40" s="114"/>
      <c r="L40" s="114"/>
      <c r="M40" s="179"/>
      <c r="N40" s="162"/>
    </row>
    <row r="41" spans="1:14" ht="14.1" customHeight="1">
      <c r="A41" s="122">
        <v>20</v>
      </c>
      <c r="B41" s="36" t="s">
        <v>114</v>
      </c>
      <c r="C41" s="37"/>
      <c r="D41" s="129"/>
      <c r="E41" s="130"/>
      <c r="F41" s="130"/>
      <c r="G41" s="131"/>
      <c r="H41" s="27">
        <f>SUM(I41)-0.5</f>
        <v>8</v>
      </c>
      <c r="I41" s="27">
        <f>SUM(J41)-0.5</f>
        <v>8.5</v>
      </c>
      <c r="J41" s="125">
        <v>9</v>
      </c>
      <c r="K41" s="114">
        <f>SUM(J41)+0.5</f>
        <v>9.5</v>
      </c>
      <c r="L41" s="114">
        <f t="shared" ref="L41:N41" si="6">SUM(K41)+0.5</f>
        <v>10</v>
      </c>
      <c r="M41" s="114">
        <f t="shared" si="6"/>
        <v>10.5</v>
      </c>
      <c r="N41" s="162">
        <f t="shared" si="6"/>
        <v>11</v>
      </c>
    </row>
    <row r="42" spans="1:14" ht="14.1" customHeight="1">
      <c r="A42" s="122"/>
      <c r="B42" s="127" t="s">
        <v>122</v>
      </c>
      <c r="C42" s="128"/>
      <c r="D42" s="79" t="s">
        <v>613</v>
      </c>
      <c r="E42" s="80"/>
      <c r="F42" s="80"/>
      <c r="G42" s="81"/>
      <c r="H42" s="46"/>
      <c r="I42" s="46"/>
      <c r="J42" s="41"/>
      <c r="K42" s="114"/>
      <c r="L42" s="114"/>
      <c r="M42" s="114"/>
      <c r="N42" s="162"/>
    </row>
    <row r="43" spans="1:14" ht="14.1" customHeight="1">
      <c r="A43" s="122">
        <v>21</v>
      </c>
      <c r="B43" s="133" t="s">
        <v>115</v>
      </c>
      <c r="C43" s="134"/>
      <c r="D43" s="135"/>
      <c r="E43" s="136"/>
      <c r="F43" s="136"/>
      <c r="G43" s="137"/>
      <c r="H43" s="27">
        <f>SUM(I43)</f>
        <v>0.5</v>
      </c>
      <c r="I43" s="27">
        <f>SUM(J43)</f>
        <v>0.5</v>
      </c>
      <c r="J43" s="125">
        <v>0.5</v>
      </c>
      <c r="K43" s="114">
        <f>SUM(J43)</f>
        <v>0.5</v>
      </c>
      <c r="L43" s="114">
        <f t="shared" ref="L43:N43" si="7">SUM(K43)</f>
        <v>0.5</v>
      </c>
      <c r="M43" s="114">
        <f t="shared" si="7"/>
        <v>0.5</v>
      </c>
      <c r="N43" s="162">
        <f t="shared" si="7"/>
        <v>0.5</v>
      </c>
    </row>
    <row r="44" spans="1:14" ht="14.1" customHeight="1" thickBot="1">
      <c r="A44" s="123"/>
      <c r="B44" s="143" t="s">
        <v>123</v>
      </c>
      <c r="C44" s="144"/>
      <c r="D44" s="119" t="s">
        <v>614</v>
      </c>
      <c r="E44" s="120"/>
      <c r="F44" s="120"/>
      <c r="G44" s="121"/>
      <c r="H44" s="28"/>
      <c r="I44" s="28"/>
      <c r="J44" s="126"/>
      <c r="K44" s="115"/>
      <c r="L44" s="115"/>
      <c r="M44" s="115"/>
      <c r="N44" s="142"/>
    </row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55"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3:K44"/>
    <mergeCell ref="L43:L44"/>
    <mergeCell ref="M43:M44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6DDC-DDF5-422E-BB1C-4D70CCB04ED3}">
  <sheetPr codeName="Sheet46">
    <tabColor theme="5"/>
    <pageSetUpPr fitToPage="1"/>
  </sheetPr>
  <dimension ref="A1:P51"/>
  <sheetViews>
    <sheetView zoomScale="110" zoomScaleNormal="110" workbookViewId="0">
      <selection activeCell="M3" sqref="M3:M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85" t="s">
        <v>389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6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38">
        <v>1</v>
      </c>
      <c r="B3" s="148" t="s">
        <v>39</v>
      </c>
      <c r="C3" s="148"/>
      <c r="D3" s="92" t="s">
        <v>217</v>
      </c>
      <c r="E3" s="93"/>
      <c r="F3" s="93"/>
      <c r="G3" s="94"/>
      <c r="H3" s="27">
        <f>SUM(I3)-3</f>
        <v>34</v>
      </c>
      <c r="I3" s="27">
        <f>SUM(J3)-3</f>
        <v>37</v>
      </c>
      <c r="J3" s="139">
        <v>40</v>
      </c>
      <c r="K3" s="96">
        <f>SUM(J3)+2.5</f>
        <v>42.5</v>
      </c>
      <c r="L3" s="96">
        <f>SUM(K3)+2.5</f>
        <v>45</v>
      </c>
      <c r="M3" s="97">
        <f>SUM(L3)+2.5</f>
        <v>47.5</v>
      </c>
    </row>
    <row r="4" spans="1:16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46"/>
      <c r="L4" s="46"/>
      <c r="M4" s="48"/>
    </row>
    <row r="5" spans="1:16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SUM(I5)-1.4</f>
        <v>24.200000000000003</v>
      </c>
      <c r="I5" s="27">
        <f>SUM(J5)-1.4</f>
        <v>25.6</v>
      </c>
      <c r="J5" s="41">
        <v>27</v>
      </c>
      <c r="K5" s="27">
        <f>SUM(J5)+1.4</f>
        <v>28.4</v>
      </c>
      <c r="L5" s="27">
        <f>SUM(K5)+1.4</f>
        <v>29.799999999999997</v>
      </c>
      <c r="M5" s="62">
        <f>SUM(L5)+1.4</f>
        <v>31.199999999999996</v>
      </c>
    </row>
    <row r="6" spans="1:16" s="1" customFormat="1" ht="14.1" customHeight="1">
      <c r="A6" s="122"/>
      <c r="B6" s="75" t="s">
        <v>329</v>
      </c>
      <c r="C6" s="75"/>
      <c r="D6" s="79" t="s">
        <v>254</v>
      </c>
      <c r="E6" s="80"/>
      <c r="F6" s="80"/>
      <c r="G6" s="81"/>
      <c r="H6" s="46"/>
      <c r="I6" s="46"/>
      <c r="J6" s="44"/>
      <c r="K6" s="46"/>
      <c r="L6" s="46"/>
      <c r="M6" s="48"/>
    </row>
    <row r="7" spans="1:16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</f>
        <v>35</v>
      </c>
      <c r="I7" s="27">
        <f>SUM(J7)-2</f>
        <v>37</v>
      </c>
      <c r="J7" s="41">
        <v>39</v>
      </c>
      <c r="K7" s="27">
        <f>SUM(J7)+2</f>
        <v>41</v>
      </c>
      <c r="L7" s="27">
        <f>SUM(K7)+2</f>
        <v>43</v>
      </c>
      <c r="M7" s="62">
        <f>SUM(L7)+2</f>
        <v>45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6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30.400000000000002</v>
      </c>
      <c r="I9" s="27">
        <f>SUM(J9)-1.8</f>
        <v>32.200000000000003</v>
      </c>
      <c r="J9" s="41">
        <v>34</v>
      </c>
      <c r="K9" s="27">
        <f>SUM(J9)+1.8</f>
        <v>35.799999999999997</v>
      </c>
      <c r="L9" s="27">
        <f>SUM(K9)+1.8</f>
        <v>37.599999999999994</v>
      </c>
      <c r="M9" s="62">
        <f>SUM(L9)+1.8</f>
        <v>39.399999999999991</v>
      </c>
      <c r="O9" s="1" t="s">
        <v>162</v>
      </c>
    </row>
    <row r="10" spans="1:16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6" s="1" customFormat="1" ht="14.1" customHeight="1">
      <c r="A11" s="122">
        <v>5</v>
      </c>
      <c r="B11" s="98" t="s">
        <v>255</v>
      </c>
      <c r="C11" s="98"/>
      <c r="D11" s="124"/>
      <c r="E11" s="124"/>
      <c r="F11" s="124"/>
      <c r="G11" s="124"/>
      <c r="H11" s="27">
        <f>SUM(I11)-0</f>
        <v>6</v>
      </c>
      <c r="I11" s="27">
        <f>SUM(J11)-0</f>
        <v>6</v>
      </c>
      <c r="J11" s="41">
        <v>6</v>
      </c>
      <c r="K11" s="27">
        <f>SUM(J11)+0.5</f>
        <v>6.5</v>
      </c>
      <c r="L11" s="27">
        <f>SUM(K11)+0</f>
        <v>6.5</v>
      </c>
      <c r="M11" s="62">
        <f>SUM(L11)+0</f>
        <v>6.5</v>
      </c>
      <c r="P11" s="1" t="s">
        <v>162</v>
      </c>
    </row>
    <row r="12" spans="1:16" s="1" customFormat="1" ht="14.1" customHeight="1">
      <c r="A12" s="122"/>
      <c r="B12" s="75" t="s">
        <v>256</v>
      </c>
      <c r="C12" s="75"/>
      <c r="D12" s="79"/>
      <c r="E12" s="80"/>
      <c r="F12" s="80"/>
      <c r="G12" s="81"/>
      <c r="H12" s="46"/>
      <c r="I12" s="46"/>
      <c r="J12" s="44"/>
      <c r="K12" s="46"/>
      <c r="L12" s="46"/>
      <c r="M12" s="48"/>
    </row>
    <row r="13" spans="1:16" s="1" customFormat="1" ht="14.1" customHeight="1">
      <c r="A13" s="122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>
        <f>SUM(I13)-0.9</f>
        <v>16.200000000000003</v>
      </c>
      <c r="I13" s="27">
        <f>SUM(J13)-0.9</f>
        <v>17.100000000000001</v>
      </c>
      <c r="J13" s="125">
        <v>18</v>
      </c>
      <c r="K13" s="114">
        <f>SUM(J13)+0.9</f>
        <v>18.899999999999999</v>
      </c>
      <c r="L13" s="114">
        <f>SUM(K13)+0.9</f>
        <v>19.799999999999997</v>
      </c>
      <c r="M13" s="162">
        <f>SUM(L13)+0.9</f>
        <v>20.699999999999996</v>
      </c>
    </row>
    <row r="14" spans="1:16" s="1" customFormat="1" ht="14.1" customHeight="1">
      <c r="A14" s="122"/>
      <c r="B14" s="75" t="s">
        <v>26</v>
      </c>
      <c r="C14" s="75"/>
      <c r="D14" s="79" t="s">
        <v>330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6" s="1" customFormat="1" ht="14.1" customHeight="1">
      <c r="A15" s="122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16.799999999999997</v>
      </c>
      <c r="I15" s="27">
        <f>SUM(J15)-0.6</f>
        <v>17.399999999999999</v>
      </c>
      <c r="J15" s="125">
        <v>18</v>
      </c>
      <c r="K15" s="27">
        <f>SUM(J15)+0.6</f>
        <v>18.600000000000001</v>
      </c>
      <c r="L15" s="27">
        <f>SUM(K15)+0.6</f>
        <v>19.200000000000003</v>
      </c>
      <c r="M15" s="62">
        <f>SUM(L15)+0.6</f>
        <v>19.800000000000004</v>
      </c>
    </row>
    <row r="16" spans="1:16" s="1" customFormat="1" ht="14.1" customHeight="1">
      <c r="A16" s="122"/>
      <c r="B16" s="75" t="s">
        <v>27</v>
      </c>
      <c r="C16" s="75"/>
      <c r="D16" s="79" t="s">
        <v>46</v>
      </c>
      <c r="E16" s="80"/>
      <c r="F16" s="80"/>
      <c r="G16" s="81"/>
      <c r="H16" s="46"/>
      <c r="I16" s="46"/>
      <c r="J16" s="125"/>
      <c r="K16" s="46"/>
      <c r="L16" s="46"/>
      <c r="M16" s="48"/>
    </row>
    <row r="17" spans="1:13" s="1" customFormat="1" ht="14.1" customHeight="1">
      <c r="A17" s="122">
        <v>8</v>
      </c>
      <c r="B17" s="36" t="s">
        <v>2</v>
      </c>
      <c r="C17" s="37"/>
      <c r="D17" s="124" t="s">
        <v>3</v>
      </c>
      <c r="E17" s="124"/>
      <c r="F17" s="124"/>
      <c r="G17" s="124"/>
      <c r="H17" s="27">
        <f>SUM(I17)-0.3</f>
        <v>6.9</v>
      </c>
      <c r="I17" s="27">
        <f>SUM(J17)-0.3</f>
        <v>7.2</v>
      </c>
      <c r="J17" s="125">
        <v>7.5</v>
      </c>
      <c r="K17" s="114">
        <f>SUM(J17)+0.3</f>
        <v>7.8</v>
      </c>
      <c r="L17" s="114">
        <f>SUM(K17)+0.3</f>
        <v>8.1</v>
      </c>
      <c r="M17" s="161">
        <f>SUM(L17)+0.3</f>
        <v>8.4</v>
      </c>
    </row>
    <row r="18" spans="1:13" s="1" customFormat="1" ht="14.1" customHeight="1">
      <c r="A18" s="122"/>
      <c r="B18" s="127" t="s">
        <v>28</v>
      </c>
      <c r="C18" s="128"/>
      <c r="D18" s="79" t="s">
        <v>164</v>
      </c>
      <c r="E18" s="80"/>
      <c r="F18" s="80"/>
      <c r="G18" s="81"/>
      <c r="H18" s="46"/>
      <c r="I18" s="46"/>
      <c r="J18" s="125"/>
      <c r="K18" s="114"/>
      <c r="L18" s="114"/>
      <c r="M18" s="161"/>
    </row>
    <row r="19" spans="1:13" s="1" customFormat="1" ht="14.1" customHeight="1">
      <c r="A19" s="122">
        <v>9</v>
      </c>
      <c r="B19" s="36" t="s">
        <v>70</v>
      </c>
      <c r="C19" s="37"/>
      <c r="D19" s="76" t="s">
        <v>71</v>
      </c>
      <c r="E19" s="77"/>
      <c r="F19" s="77"/>
      <c r="G19" s="78"/>
      <c r="H19" s="27"/>
      <c r="I19" s="27"/>
      <c r="J19" s="125"/>
      <c r="K19" s="114"/>
      <c r="L19" s="114"/>
      <c r="M19" s="161"/>
    </row>
    <row r="20" spans="1:13" s="1" customFormat="1" ht="14.1" customHeight="1">
      <c r="A20" s="122"/>
      <c r="B20" s="75" t="s">
        <v>33</v>
      </c>
      <c r="C20" s="75"/>
      <c r="D20" s="79" t="s">
        <v>74</v>
      </c>
      <c r="E20" s="80"/>
      <c r="F20" s="80"/>
      <c r="G20" s="81"/>
      <c r="H20" s="46"/>
      <c r="I20" s="46"/>
      <c r="J20" s="125"/>
      <c r="K20" s="114"/>
      <c r="L20" s="114"/>
      <c r="M20" s="161"/>
    </row>
    <row r="21" spans="1:13" s="1" customFormat="1" ht="14.1" customHeight="1">
      <c r="A21" s="122">
        <v>10</v>
      </c>
      <c r="B21" s="36" t="s">
        <v>257</v>
      </c>
      <c r="C21" s="37"/>
      <c r="D21" s="76"/>
      <c r="E21" s="77"/>
      <c r="F21" s="77"/>
      <c r="G21" s="78"/>
      <c r="H21" s="27">
        <f>SUM(I21)</f>
        <v>3</v>
      </c>
      <c r="I21" s="27">
        <f>SUM(J21)</f>
        <v>3</v>
      </c>
      <c r="J21" s="41">
        <v>3</v>
      </c>
      <c r="K21" s="27">
        <f>SUM(J21)</f>
        <v>3</v>
      </c>
      <c r="L21" s="27">
        <f>SUM(K21)</f>
        <v>3</v>
      </c>
      <c r="M21" s="62">
        <f>SUM(L21)</f>
        <v>3</v>
      </c>
    </row>
    <row r="22" spans="1:13" s="1" customFormat="1" ht="14.1" customHeight="1">
      <c r="A22" s="122"/>
      <c r="B22" s="75" t="s">
        <v>267</v>
      </c>
      <c r="C22" s="75"/>
      <c r="D22" s="79"/>
      <c r="E22" s="80"/>
      <c r="F22" s="80"/>
      <c r="G22" s="81"/>
      <c r="H22" s="46"/>
      <c r="I22" s="46"/>
      <c r="J22" s="44"/>
      <c r="K22" s="46"/>
      <c r="L22" s="46"/>
      <c r="M22" s="48"/>
    </row>
    <row r="23" spans="1:13" s="1" customFormat="1" ht="14.1" customHeight="1">
      <c r="A23" s="122">
        <v>11</v>
      </c>
      <c r="B23" s="98" t="s">
        <v>4</v>
      </c>
      <c r="C23" s="98"/>
      <c r="D23" s="124" t="s">
        <v>5</v>
      </c>
      <c r="E23" s="124"/>
      <c r="F23" s="124"/>
      <c r="G23" s="124"/>
      <c r="H23" s="27"/>
      <c r="I23" s="27"/>
      <c r="J23" s="125"/>
      <c r="K23" s="114"/>
      <c r="L23" s="114"/>
      <c r="M23" s="161"/>
    </row>
    <row r="24" spans="1:13" s="1" customFormat="1" ht="14.1" customHeight="1">
      <c r="A24" s="122"/>
      <c r="B24" s="75" t="s">
        <v>29</v>
      </c>
      <c r="C24" s="75"/>
      <c r="D24" s="79" t="s">
        <v>47</v>
      </c>
      <c r="E24" s="80"/>
      <c r="F24" s="80"/>
      <c r="G24" s="81"/>
      <c r="H24" s="46"/>
      <c r="I24" s="46"/>
      <c r="J24" s="125"/>
      <c r="K24" s="114"/>
      <c r="L24" s="114"/>
      <c r="M24" s="161"/>
    </row>
    <row r="25" spans="1:13" s="1" customFormat="1" ht="14.1" customHeight="1">
      <c r="A25" s="122">
        <v>12</v>
      </c>
      <c r="B25" s="98" t="s">
        <v>6</v>
      </c>
      <c r="C25" s="98"/>
      <c r="D25" s="76" t="s">
        <v>7</v>
      </c>
      <c r="E25" s="77"/>
      <c r="F25" s="77"/>
      <c r="G25" s="78"/>
      <c r="H25" s="27"/>
      <c r="I25" s="27"/>
      <c r="J25" s="125"/>
      <c r="K25" s="114"/>
      <c r="L25" s="114"/>
      <c r="M25" s="161"/>
    </row>
    <row r="26" spans="1:13" s="1" customFormat="1" ht="14.1" customHeight="1">
      <c r="A26" s="122"/>
      <c r="B26" s="75" t="s">
        <v>30</v>
      </c>
      <c r="C26" s="75"/>
      <c r="D26" s="79" t="s">
        <v>64</v>
      </c>
      <c r="E26" s="80"/>
      <c r="F26" s="80"/>
      <c r="G26" s="81"/>
      <c r="H26" s="46"/>
      <c r="I26" s="46"/>
      <c r="J26" s="125"/>
      <c r="K26" s="114"/>
      <c r="L26" s="114"/>
      <c r="M26" s="161"/>
    </row>
    <row r="27" spans="1:13" s="1" customFormat="1" ht="14.1" customHeight="1">
      <c r="A27" s="122">
        <v>13</v>
      </c>
      <c r="B27" s="36" t="s">
        <v>260</v>
      </c>
      <c r="C27" s="37"/>
      <c r="D27" s="124" t="s">
        <v>65</v>
      </c>
      <c r="E27" s="124"/>
      <c r="F27" s="124"/>
      <c r="G27" s="124"/>
      <c r="H27" s="27"/>
      <c r="I27" s="27"/>
      <c r="J27" s="125"/>
      <c r="K27" s="27"/>
      <c r="L27" s="27"/>
      <c r="M27" s="62"/>
    </row>
    <row r="28" spans="1:13" s="1" customFormat="1" ht="14.1" customHeight="1">
      <c r="A28" s="122"/>
      <c r="B28" s="75" t="s">
        <v>31</v>
      </c>
      <c r="C28" s="75"/>
      <c r="D28" s="79" t="s">
        <v>66</v>
      </c>
      <c r="E28" s="80"/>
      <c r="F28" s="80"/>
      <c r="G28" s="81"/>
      <c r="H28" s="46"/>
      <c r="I28" s="46"/>
      <c r="J28" s="125"/>
      <c r="K28" s="46"/>
      <c r="L28" s="46"/>
      <c r="M28" s="48"/>
    </row>
    <row r="29" spans="1:13" s="1" customFormat="1" ht="14.1" customHeight="1">
      <c r="A29" s="122">
        <v>14</v>
      </c>
      <c r="B29" s="36" t="s">
        <v>331</v>
      </c>
      <c r="C29" s="37"/>
      <c r="D29" s="124"/>
      <c r="E29" s="124"/>
      <c r="F29" s="124"/>
      <c r="G29" s="124"/>
      <c r="H29" s="27">
        <f>SUM(I29)-0</f>
        <v>3.5</v>
      </c>
      <c r="I29" s="27">
        <f>SUM(J29)-0</f>
        <v>3.5</v>
      </c>
      <c r="J29" s="41">
        <v>3.5</v>
      </c>
      <c r="K29" s="27">
        <f>SUM(J29)</f>
        <v>3.5</v>
      </c>
      <c r="L29" s="27">
        <f>SUM(K29)+0</f>
        <v>3.5</v>
      </c>
      <c r="M29" s="62">
        <f>SUM(L29)+0</f>
        <v>3.5</v>
      </c>
    </row>
    <row r="30" spans="1:13" s="1" customFormat="1" ht="14.1" customHeight="1">
      <c r="A30" s="122"/>
      <c r="B30" s="127" t="s">
        <v>332</v>
      </c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8"/>
    </row>
    <row r="31" spans="1:13" ht="14.1" customHeight="1">
      <c r="A31" s="122">
        <v>15</v>
      </c>
      <c r="B31" s="36" t="s">
        <v>263</v>
      </c>
      <c r="C31" s="37"/>
      <c r="D31" s="124"/>
      <c r="E31" s="124"/>
      <c r="F31" s="124"/>
      <c r="G31" s="124"/>
      <c r="H31" s="27">
        <f>SUM(I31)</f>
        <v>3</v>
      </c>
      <c r="I31" s="27">
        <f>SUM(J31)</f>
        <v>3</v>
      </c>
      <c r="J31" s="41">
        <v>3</v>
      </c>
      <c r="K31" s="27">
        <f>SUM(J31)</f>
        <v>3</v>
      </c>
      <c r="L31" s="27">
        <f>SUM(K31)</f>
        <v>3</v>
      </c>
      <c r="M31" s="62">
        <f>SUM(L31)</f>
        <v>3</v>
      </c>
    </row>
    <row r="32" spans="1:13" ht="14.1" customHeight="1">
      <c r="A32" s="159"/>
      <c r="B32" s="127" t="s">
        <v>264</v>
      </c>
      <c r="C32" s="128"/>
      <c r="D32" s="79"/>
      <c r="E32" s="80"/>
      <c r="F32" s="80"/>
      <c r="G32" s="81"/>
      <c r="H32" s="46"/>
      <c r="I32" s="46"/>
      <c r="J32" s="44"/>
      <c r="K32" s="46"/>
      <c r="L32" s="46"/>
      <c r="M32" s="48"/>
    </row>
    <row r="33" spans="1:13" ht="14.1" customHeight="1">
      <c r="A33" s="159">
        <v>16</v>
      </c>
      <c r="B33" s="36"/>
      <c r="C33" s="37"/>
      <c r="D33" s="76"/>
      <c r="E33" s="77"/>
      <c r="F33" s="77"/>
      <c r="G33" s="78"/>
      <c r="H33" s="27"/>
      <c r="I33" s="27"/>
      <c r="J33" s="41"/>
      <c r="K33" s="27"/>
      <c r="L33" s="27"/>
      <c r="M33" s="62"/>
    </row>
    <row r="34" spans="1:13" ht="14.1" customHeight="1">
      <c r="A34" s="138"/>
      <c r="B34" s="127"/>
      <c r="C34" s="128"/>
      <c r="D34" s="79"/>
      <c r="E34" s="80"/>
      <c r="F34" s="80"/>
      <c r="G34" s="81"/>
      <c r="H34" s="46"/>
      <c r="I34" s="46"/>
      <c r="J34" s="44"/>
      <c r="K34" s="46"/>
      <c r="L34" s="46"/>
      <c r="M34" s="48"/>
    </row>
    <row r="35" spans="1:13" ht="14.1" customHeight="1">
      <c r="A35" s="159">
        <v>17</v>
      </c>
      <c r="B35" s="36"/>
      <c r="C35" s="37"/>
      <c r="D35" s="76"/>
      <c r="E35" s="77"/>
      <c r="F35" s="77"/>
      <c r="G35" s="78"/>
      <c r="H35" s="27"/>
      <c r="I35" s="27"/>
      <c r="J35" s="41"/>
      <c r="K35" s="27"/>
      <c r="L35" s="27"/>
      <c r="M35" s="62"/>
    </row>
    <row r="36" spans="1:13" ht="14.1" customHeight="1" thickBot="1">
      <c r="A36" s="158"/>
      <c r="B36" s="143"/>
      <c r="C36" s="144"/>
      <c r="D36" s="119"/>
      <c r="E36" s="120"/>
      <c r="F36" s="120"/>
      <c r="G36" s="121"/>
      <c r="H36" s="28"/>
      <c r="I36" s="28"/>
      <c r="J36" s="42"/>
      <c r="K36" s="28"/>
      <c r="L36" s="28"/>
      <c r="M36" s="160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5B93-BFF1-42A5-9275-9329E5FAEE17}">
  <sheetPr>
    <tabColor theme="5"/>
    <pageSetUpPr fitToPage="1"/>
  </sheetPr>
  <dimension ref="A1:O51"/>
  <sheetViews>
    <sheetView zoomScale="110" zoomScaleNormal="110" workbookViewId="0">
      <selection activeCell="O8" sqref="O8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616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645</v>
      </c>
      <c r="I2" s="6" t="s">
        <v>60</v>
      </c>
      <c r="J2" s="6" t="s">
        <v>61</v>
      </c>
      <c r="K2" s="5" t="s">
        <v>62</v>
      </c>
      <c r="L2" s="6" t="s">
        <v>63</v>
      </c>
      <c r="M2" s="6" t="s">
        <v>125</v>
      </c>
      <c r="N2" s="6" t="s">
        <v>124</v>
      </c>
    </row>
    <row r="3" spans="1:14" s="1" customFormat="1" ht="14.1" customHeight="1">
      <c r="A3" s="165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SUM(I3)-3.4</f>
        <v>32.400000000000006</v>
      </c>
      <c r="I3" s="27">
        <f>SUM(J3)-3.4</f>
        <v>35.800000000000004</v>
      </c>
      <c r="J3" s="27">
        <f>SUM(K3)-3.4</f>
        <v>39.200000000000003</v>
      </c>
      <c r="K3" s="139">
        <v>42.6</v>
      </c>
      <c r="L3" s="140">
        <f>SUM(K3)+2.9</f>
        <v>45.5</v>
      </c>
      <c r="M3" s="140">
        <f>SUM(L3)+2.9</f>
        <v>48.4</v>
      </c>
      <c r="N3" s="166">
        <f>SUM(M3)+2.9</f>
        <v>51.3</v>
      </c>
    </row>
    <row r="4" spans="1:14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6"/>
      <c r="K4" s="41"/>
      <c r="L4" s="27"/>
      <c r="M4" s="27"/>
      <c r="N4" s="62"/>
    </row>
    <row r="5" spans="1:14" s="1" customFormat="1" ht="14.1" customHeight="1">
      <c r="A5" s="122">
        <v>2</v>
      </c>
      <c r="B5" s="36" t="s">
        <v>37</v>
      </c>
      <c r="C5" s="37"/>
      <c r="D5" s="76" t="s">
        <v>38</v>
      </c>
      <c r="E5" s="77"/>
      <c r="F5" s="77"/>
      <c r="G5" s="78"/>
      <c r="H5" s="27">
        <f>SUM(I5)-2</f>
        <v>34</v>
      </c>
      <c r="I5" s="27">
        <f>SUM(J5)-2</f>
        <v>36</v>
      </c>
      <c r="J5" s="27">
        <f>SUM(K5)-2</f>
        <v>38</v>
      </c>
      <c r="K5" s="41">
        <v>40</v>
      </c>
      <c r="L5" s="27">
        <f>SUM(K5)+1.8</f>
        <v>41.8</v>
      </c>
      <c r="M5" s="27">
        <f t="shared" ref="M5:N5" si="0">SUM(L5)+1.8</f>
        <v>43.599999999999994</v>
      </c>
      <c r="N5" s="62">
        <f t="shared" si="0"/>
        <v>45.399999999999991</v>
      </c>
    </row>
    <row r="6" spans="1:14" s="1" customFormat="1" ht="14.1" customHeight="1">
      <c r="A6" s="122"/>
      <c r="B6" s="127" t="s">
        <v>24</v>
      </c>
      <c r="C6" s="128"/>
      <c r="D6" s="79" t="s">
        <v>42</v>
      </c>
      <c r="E6" s="80"/>
      <c r="F6" s="80"/>
      <c r="G6" s="81"/>
      <c r="H6" s="46"/>
      <c r="I6" s="46"/>
      <c r="J6" s="46"/>
      <c r="K6" s="44"/>
      <c r="L6" s="46"/>
      <c r="M6" s="46"/>
      <c r="N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SUM(I7)-2.25</f>
        <v>40.25</v>
      </c>
      <c r="I7" s="27">
        <f>SUM(J7)-2.25</f>
        <v>42.5</v>
      </c>
      <c r="J7" s="27">
        <f>SUM(K7)-2.25</f>
        <v>44.75</v>
      </c>
      <c r="K7" s="41">
        <v>47</v>
      </c>
      <c r="L7" s="27">
        <f>SUM(K7)+2</f>
        <v>49</v>
      </c>
      <c r="M7" s="27">
        <f t="shared" ref="M7:N7" si="1">SUM(L7)+2</f>
        <v>51</v>
      </c>
      <c r="N7" s="62">
        <f t="shared" si="1"/>
        <v>53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6"/>
      <c r="K8" s="44"/>
      <c r="L8" s="46"/>
      <c r="M8" s="46"/>
      <c r="N8" s="48"/>
    </row>
    <row r="9" spans="1:14" s="1" customFormat="1" ht="14.1" customHeight="1">
      <c r="A9" s="122">
        <v>4</v>
      </c>
      <c r="B9" s="98" t="s">
        <v>293</v>
      </c>
      <c r="C9" s="98"/>
      <c r="D9" s="124" t="s">
        <v>0</v>
      </c>
      <c r="E9" s="124"/>
      <c r="F9" s="124"/>
      <c r="G9" s="124"/>
      <c r="H9" s="27">
        <f>SUM(I9)-4.5</f>
        <v>66.5</v>
      </c>
      <c r="I9" s="27">
        <f>SUM(J9)-4.5</f>
        <v>71</v>
      </c>
      <c r="J9" s="27">
        <f>SUM(K9)-4.5</f>
        <v>75.5</v>
      </c>
      <c r="K9" s="41">
        <v>80</v>
      </c>
      <c r="L9" s="27">
        <f>SUM(K9)+4</f>
        <v>84</v>
      </c>
      <c r="M9" s="27">
        <f t="shared" ref="M9:N9" si="2">SUM(L9)+4</f>
        <v>88</v>
      </c>
      <c r="N9" s="62">
        <f t="shared" si="2"/>
        <v>92</v>
      </c>
    </row>
    <row r="10" spans="1:14" s="1" customFormat="1" ht="14.1" customHeight="1">
      <c r="A10" s="122"/>
      <c r="B10" s="75" t="s">
        <v>294</v>
      </c>
      <c r="C10" s="75"/>
      <c r="D10" s="82" t="s">
        <v>617</v>
      </c>
      <c r="E10" s="80"/>
      <c r="F10" s="80"/>
      <c r="G10" s="81"/>
      <c r="H10" s="46"/>
      <c r="I10" s="46"/>
      <c r="J10" s="46"/>
      <c r="K10" s="44"/>
      <c r="L10" s="46"/>
      <c r="M10" s="46"/>
      <c r="N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15.599999999999998</v>
      </c>
      <c r="I11" s="27">
        <f>SUM(J11)-0.8</f>
        <v>16.399999999999999</v>
      </c>
      <c r="J11" s="27">
        <f>SUM(K11)-0.8</f>
        <v>17.2</v>
      </c>
      <c r="K11" s="125">
        <v>18</v>
      </c>
      <c r="L11" s="27">
        <f>SUM(K11)+0.8</f>
        <v>18.8</v>
      </c>
      <c r="M11" s="27">
        <f>SUM(L11)+0.8</f>
        <v>19.600000000000001</v>
      </c>
      <c r="N11" s="62">
        <f>SUM(M11)+0.8</f>
        <v>20.400000000000002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46"/>
      <c r="K12" s="125"/>
      <c r="L12" s="46"/>
      <c r="M12" s="46"/>
      <c r="N12" s="48"/>
    </row>
    <row r="13" spans="1:14" s="1" customFormat="1" ht="14.1" customHeight="1">
      <c r="A13" s="122">
        <v>6</v>
      </c>
      <c r="B13" s="98" t="s">
        <v>1</v>
      </c>
      <c r="C13" s="98"/>
      <c r="D13" s="124" t="s">
        <v>296</v>
      </c>
      <c r="E13" s="124"/>
      <c r="F13" s="124"/>
      <c r="G13" s="124"/>
      <c r="H13" s="27">
        <f>SUM(I13)-0.6</f>
        <v>14.4</v>
      </c>
      <c r="I13" s="27">
        <f>SUM(J13)-0.6</f>
        <v>15</v>
      </c>
      <c r="J13" s="27">
        <f>SUM(K13)-0.6</f>
        <v>15.6</v>
      </c>
      <c r="K13" s="125">
        <v>16.2</v>
      </c>
      <c r="L13" s="114">
        <f>SUM(K13)+0.6</f>
        <v>16.8</v>
      </c>
      <c r="M13" s="114">
        <f>SUM(L13)+0.6</f>
        <v>17.400000000000002</v>
      </c>
      <c r="N13" s="162">
        <f>SUM(M13)+0.6</f>
        <v>18.000000000000004</v>
      </c>
    </row>
    <row r="14" spans="1:14" s="1" customFormat="1" ht="14.1" customHeight="1">
      <c r="A14" s="122"/>
      <c r="B14" s="75" t="s">
        <v>27</v>
      </c>
      <c r="C14" s="75"/>
      <c r="D14" s="79" t="s">
        <v>46</v>
      </c>
      <c r="E14" s="80"/>
      <c r="F14" s="80"/>
      <c r="G14" s="81"/>
      <c r="H14" s="46"/>
      <c r="I14" s="46"/>
      <c r="J14" s="46"/>
      <c r="K14" s="125"/>
      <c r="L14" s="114"/>
      <c r="M14" s="114"/>
      <c r="N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6.4</v>
      </c>
      <c r="I15" s="27">
        <f>SUM(J15)-0.3</f>
        <v>6.7</v>
      </c>
      <c r="J15" s="27">
        <f>SUM(K15)-0.3</f>
        <v>7</v>
      </c>
      <c r="K15" s="125">
        <v>7.3</v>
      </c>
      <c r="L15" s="114">
        <f>SUM(K15)+0.3</f>
        <v>7.6</v>
      </c>
      <c r="M15" s="114">
        <f>SUM(L15)+0.3</f>
        <v>7.8999999999999995</v>
      </c>
      <c r="N15" s="162">
        <f>SUM(M15)+0.3</f>
        <v>8.1999999999999993</v>
      </c>
    </row>
    <row r="16" spans="1:14" s="1" customFormat="1" ht="14.1" customHeight="1">
      <c r="A16" s="122"/>
      <c r="B16" s="75" t="s">
        <v>28</v>
      </c>
      <c r="C16" s="75"/>
      <c r="D16" s="79" t="s">
        <v>164</v>
      </c>
      <c r="E16" s="80"/>
      <c r="F16" s="80"/>
      <c r="G16" s="81"/>
      <c r="H16" s="46"/>
      <c r="I16" s="46"/>
      <c r="J16" s="46"/>
      <c r="K16" s="125"/>
      <c r="L16" s="114"/>
      <c r="M16" s="114"/>
      <c r="N16" s="162"/>
    </row>
    <row r="17" spans="1:14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36.799999999999997</v>
      </c>
      <c r="I17" s="27">
        <f>SUM(J17)-1.6</f>
        <v>38.4</v>
      </c>
      <c r="J17" s="27">
        <f>SUM(K17)-1.6</f>
        <v>40</v>
      </c>
      <c r="K17" s="125">
        <v>41.6</v>
      </c>
      <c r="L17" s="114">
        <f>SUM(K17)+1.6</f>
        <v>43.2</v>
      </c>
      <c r="M17" s="114">
        <f>SUM(L17)+1.6</f>
        <v>44.800000000000004</v>
      </c>
      <c r="N17" s="162">
        <f>SUM(M17)+1.6</f>
        <v>46.400000000000006</v>
      </c>
    </row>
    <row r="18" spans="1:14" s="1" customFormat="1" ht="14.1" customHeight="1">
      <c r="A18" s="122"/>
      <c r="B18" s="75" t="s">
        <v>33</v>
      </c>
      <c r="C18" s="75"/>
      <c r="D18" s="79" t="s">
        <v>297</v>
      </c>
      <c r="E18" s="80"/>
      <c r="F18" s="80"/>
      <c r="G18" s="81"/>
      <c r="H18" s="46"/>
      <c r="I18" s="46"/>
      <c r="J18" s="46"/>
      <c r="K18" s="125"/>
      <c r="L18" s="114"/>
      <c r="M18" s="114"/>
      <c r="N18" s="162"/>
    </row>
    <row r="19" spans="1:14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SUM(I19)-3.5</f>
        <v>25</v>
      </c>
      <c r="I19" s="27">
        <f>SUM(J19)-3.5</f>
        <v>28.5</v>
      </c>
      <c r="J19" s="27">
        <f>SUM(K19)-3.5</f>
        <v>32</v>
      </c>
      <c r="K19" s="41">
        <v>35.5</v>
      </c>
      <c r="L19" s="27">
        <f>SUM(K19)+3.6</f>
        <v>39.1</v>
      </c>
      <c r="M19" s="27">
        <f t="shared" ref="M19:N19" si="3">SUM(L19)+3.6</f>
        <v>42.7</v>
      </c>
      <c r="N19" s="62">
        <f t="shared" si="3"/>
        <v>46.300000000000004</v>
      </c>
    </row>
    <row r="20" spans="1:14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46"/>
      <c r="K20" s="44"/>
      <c r="L20" s="46"/>
      <c r="M20" s="46"/>
      <c r="N20" s="48"/>
    </row>
    <row r="21" spans="1:14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SUM(I21)-1.5</f>
        <v>29.5</v>
      </c>
      <c r="I21" s="27">
        <f>SUM(J21)-1.5</f>
        <v>31</v>
      </c>
      <c r="J21" s="27">
        <f>SUM(K21)-1.5</f>
        <v>32.5</v>
      </c>
      <c r="K21" s="125">
        <v>34</v>
      </c>
      <c r="L21" s="114">
        <f>SUM(K21)+1.5</f>
        <v>35.5</v>
      </c>
      <c r="M21" s="114">
        <f t="shared" ref="M21:N21" si="4">SUM(L21)+1.5</f>
        <v>37</v>
      </c>
      <c r="N21" s="162">
        <f t="shared" si="4"/>
        <v>38.5</v>
      </c>
    </row>
    <row r="22" spans="1:14" s="1" customFormat="1" ht="14.1" customHeight="1">
      <c r="A22" s="122"/>
      <c r="B22" s="75" t="s">
        <v>30</v>
      </c>
      <c r="C22" s="75"/>
      <c r="D22" s="79" t="s">
        <v>618</v>
      </c>
      <c r="E22" s="80"/>
      <c r="F22" s="80"/>
      <c r="G22" s="81"/>
      <c r="H22" s="46"/>
      <c r="I22" s="46"/>
      <c r="J22" s="46"/>
      <c r="K22" s="125"/>
      <c r="L22" s="114"/>
      <c r="M22" s="114"/>
      <c r="N22" s="162"/>
    </row>
    <row r="23" spans="1:14" s="1" customFormat="1" ht="14.1" customHeight="1">
      <c r="A23" s="122">
        <v>11</v>
      </c>
      <c r="B23" s="36" t="s">
        <v>260</v>
      </c>
      <c r="C23" s="37"/>
      <c r="D23" s="124" t="s">
        <v>65</v>
      </c>
      <c r="E23" s="124"/>
      <c r="F23" s="124"/>
      <c r="G23" s="124"/>
      <c r="H23" s="27">
        <f>SUM(I23)-1</f>
        <v>16</v>
      </c>
      <c r="I23" s="27">
        <f>SUM(J23)-1</f>
        <v>17</v>
      </c>
      <c r="J23" s="27">
        <f>SUM(K23)-1</f>
        <v>18</v>
      </c>
      <c r="K23" s="125">
        <v>19</v>
      </c>
      <c r="L23" s="114">
        <f>SUM(K23)+1</f>
        <v>20</v>
      </c>
      <c r="M23" s="114">
        <f t="shared" ref="M23:N23" si="5">SUM(L23)+1</f>
        <v>21</v>
      </c>
      <c r="N23" s="162">
        <f t="shared" si="5"/>
        <v>22</v>
      </c>
    </row>
    <row r="24" spans="1:14" s="1" customFormat="1" ht="14.1" customHeight="1">
      <c r="A24" s="122"/>
      <c r="B24" s="75" t="s">
        <v>31</v>
      </c>
      <c r="C24" s="75"/>
      <c r="D24" s="79" t="s">
        <v>619</v>
      </c>
      <c r="E24" s="80"/>
      <c r="F24" s="80"/>
      <c r="G24" s="81"/>
      <c r="H24" s="46"/>
      <c r="I24" s="46"/>
      <c r="J24" s="46"/>
      <c r="K24" s="125"/>
      <c r="L24" s="114"/>
      <c r="M24" s="114"/>
      <c r="N24" s="162"/>
    </row>
    <row r="25" spans="1:14" s="1" customFormat="1" ht="14.1" customHeight="1">
      <c r="A25" s="122">
        <v>12</v>
      </c>
      <c r="B25" s="36" t="s">
        <v>165</v>
      </c>
      <c r="C25" s="37"/>
      <c r="D25" s="124"/>
      <c r="E25" s="124"/>
      <c r="F25" s="124"/>
      <c r="G25" s="124"/>
      <c r="H25" s="27">
        <f>SUM(I25)-0.5</f>
        <v>11</v>
      </c>
      <c r="I25" s="27">
        <f>SUM(J25)-0.5</f>
        <v>11.5</v>
      </c>
      <c r="J25" s="27">
        <f>SUM(K25)-0.5</f>
        <v>12</v>
      </c>
      <c r="K25" s="41">
        <v>12.5</v>
      </c>
      <c r="L25" s="114">
        <f>SUM(K25)+0.5</f>
        <v>13</v>
      </c>
      <c r="M25" s="114">
        <f t="shared" ref="M25:N25" si="6">SUM(L25)+0.5</f>
        <v>13.5</v>
      </c>
      <c r="N25" s="162">
        <f t="shared" si="6"/>
        <v>14</v>
      </c>
    </row>
    <row r="26" spans="1:14" s="1" customFormat="1" ht="14.1" customHeight="1">
      <c r="A26" s="122"/>
      <c r="B26" s="127" t="s">
        <v>166</v>
      </c>
      <c r="C26" s="128"/>
      <c r="D26" s="79"/>
      <c r="E26" s="80"/>
      <c r="F26" s="80"/>
      <c r="G26" s="81"/>
      <c r="H26" s="46"/>
      <c r="I26" s="46"/>
      <c r="J26" s="46"/>
      <c r="K26" s="43"/>
      <c r="L26" s="27"/>
      <c r="M26" s="27"/>
      <c r="N26" s="62"/>
    </row>
    <row r="27" spans="1:14" s="1" customFormat="1" ht="14.1" customHeight="1">
      <c r="A27" s="122">
        <v>13</v>
      </c>
      <c r="B27" s="36" t="s">
        <v>143</v>
      </c>
      <c r="C27" s="37"/>
      <c r="D27" s="129"/>
      <c r="E27" s="130"/>
      <c r="F27" s="130"/>
      <c r="G27" s="131"/>
      <c r="H27" s="27">
        <v>31</v>
      </c>
      <c r="I27" s="27">
        <v>34.5</v>
      </c>
      <c r="J27" s="27">
        <v>38</v>
      </c>
      <c r="K27" s="125">
        <v>41.5</v>
      </c>
      <c r="L27" s="114">
        <v>44</v>
      </c>
      <c r="M27" s="114">
        <v>47</v>
      </c>
      <c r="N27" s="162">
        <v>50</v>
      </c>
    </row>
    <row r="28" spans="1:14" s="1" customFormat="1" ht="14.1" customHeight="1">
      <c r="A28" s="122"/>
      <c r="B28" s="133" t="s">
        <v>129</v>
      </c>
      <c r="C28" s="134"/>
      <c r="D28" s="102" t="s">
        <v>298</v>
      </c>
      <c r="E28" s="103"/>
      <c r="F28" s="103"/>
      <c r="G28" s="104"/>
      <c r="H28" s="46"/>
      <c r="I28" s="46"/>
      <c r="J28" s="46"/>
      <c r="K28" s="125"/>
      <c r="L28" s="114"/>
      <c r="M28" s="114"/>
      <c r="N28" s="162"/>
    </row>
    <row r="29" spans="1:14" s="1" customFormat="1" ht="14.1" customHeight="1">
      <c r="A29" s="122">
        <v>14</v>
      </c>
      <c r="B29" s="36" t="s">
        <v>72</v>
      </c>
      <c r="C29" s="37"/>
      <c r="D29" s="77" t="s">
        <v>168</v>
      </c>
      <c r="E29" s="77"/>
      <c r="F29" s="77"/>
      <c r="G29" s="77"/>
      <c r="H29" s="27">
        <f>SUM(I29)-0.2</f>
        <v>3.8999999999999995</v>
      </c>
      <c r="I29" s="27">
        <f>SUM(J29)-0.2</f>
        <v>4.0999999999999996</v>
      </c>
      <c r="J29" s="27">
        <f>SUM(K29)-0.2</f>
        <v>4.3</v>
      </c>
      <c r="K29" s="125">
        <v>4.5</v>
      </c>
      <c r="L29" s="114">
        <f>SUM(K29)+0.2</f>
        <v>4.7</v>
      </c>
      <c r="M29" s="114">
        <f t="shared" ref="M29:N29" si="7">SUM(L29)+0.2</f>
        <v>4.9000000000000004</v>
      </c>
      <c r="N29" s="162">
        <f t="shared" si="7"/>
        <v>5.1000000000000005</v>
      </c>
    </row>
    <row r="30" spans="1:14" s="1" customFormat="1" ht="14.1" customHeight="1">
      <c r="A30" s="122"/>
      <c r="B30" s="75" t="s">
        <v>34</v>
      </c>
      <c r="C30" s="75"/>
      <c r="D30" s="79" t="s">
        <v>167</v>
      </c>
      <c r="E30" s="80"/>
      <c r="F30" s="80"/>
      <c r="G30" s="81"/>
      <c r="H30" s="46"/>
      <c r="I30" s="46"/>
      <c r="J30" s="46"/>
      <c r="K30" s="125"/>
      <c r="L30" s="114"/>
      <c r="M30" s="114"/>
      <c r="N30" s="162"/>
    </row>
    <row r="31" spans="1:14" s="1" customFormat="1" ht="14.1" customHeight="1">
      <c r="A31" s="122">
        <v>15</v>
      </c>
      <c r="B31" s="36" t="s">
        <v>114</v>
      </c>
      <c r="C31" s="37"/>
      <c r="D31" s="36"/>
      <c r="E31" s="184"/>
      <c r="F31" s="184"/>
      <c r="G31" s="37"/>
      <c r="H31" s="27">
        <f>SUM(I31)-0.5</f>
        <v>8</v>
      </c>
      <c r="I31" s="27">
        <f>SUM(J31)-0.5</f>
        <v>8.5</v>
      </c>
      <c r="J31" s="27">
        <f>SUM(K31)-0.5</f>
        <v>9</v>
      </c>
      <c r="K31" s="41">
        <v>9.5</v>
      </c>
      <c r="L31" s="27">
        <f>SUM(K31)+0.5</f>
        <v>10</v>
      </c>
      <c r="M31" s="27">
        <f>SUM(L31)+0.5</f>
        <v>10.5</v>
      </c>
      <c r="N31" s="62">
        <f>SUM(M31)+0.5</f>
        <v>11</v>
      </c>
    </row>
    <row r="32" spans="1:14" s="1" customFormat="1" ht="14.1" customHeight="1">
      <c r="A32" s="122"/>
      <c r="B32" s="127" t="s">
        <v>122</v>
      </c>
      <c r="C32" s="128"/>
      <c r="D32" s="79" t="s">
        <v>620</v>
      </c>
      <c r="E32" s="80"/>
      <c r="F32" s="80"/>
      <c r="G32" s="81"/>
      <c r="H32" s="46"/>
      <c r="I32" s="46"/>
      <c r="J32" s="46"/>
      <c r="K32" s="44"/>
      <c r="L32" s="46"/>
      <c r="M32" s="46"/>
      <c r="N32" s="48"/>
    </row>
    <row r="33" spans="1:15" s="1" customFormat="1" ht="14.1" customHeight="1">
      <c r="A33" s="122">
        <v>16</v>
      </c>
      <c r="B33" s="36" t="s">
        <v>115</v>
      </c>
      <c r="C33" s="37"/>
      <c r="D33" s="185"/>
      <c r="E33" s="186"/>
      <c r="F33" s="186"/>
      <c r="G33" s="187"/>
      <c r="H33" s="27">
        <f>SUM(I33)-0.7</f>
        <v>11.900000000000002</v>
      </c>
      <c r="I33" s="27">
        <f>SUM(J33)-0.7</f>
        <v>12.600000000000001</v>
      </c>
      <c r="J33" s="27">
        <f>SUM(K33)-0.7</f>
        <v>13.3</v>
      </c>
      <c r="K33" s="41">
        <v>14</v>
      </c>
      <c r="L33" s="27">
        <f>SUM(K33)+0.7</f>
        <v>14.7</v>
      </c>
      <c r="M33" s="27">
        <f t="shared" ref="M33:N33" si="8">SUM(L33)+0.7</f>
        <v>15.399999999999999</v>
      </c>
      <c r="N33" s="62">
        <f t="shared" si="8"/>
        <v>16.099999999999998</v>
      </c>
    </row>
    <row r="34" spans="1:15" s="1" customFormat="1" ht="14.1" customHeight="1" thickBot="1">
      <c r="A34" s="159"/>
      <c r="B34" s="133" t="s">
        <v>123</v>
      </c>
      <c r="C34" s="134"/>
      <c r="D34" s="102" t="s">
        <v>621</v>
      </c>
      <c r="E34" s="103"/>
      <c r="F34" s="103"/>
      <c r="G34" s="104"/>
      <c r="H34" s="45"/>
      <c r="I34" s="45"/>
      <c r="J34" s="45"/>
      <c r="K34" s="43"/>
      <c r="L34" s="45"/>
      <c r="M34" s="45"/>
      <c r="N34" s="47"/>
    </row>
    <row r="35" spans="1:15" s="1" customFormat="1" ht="14.1" customHeight="1" thickTop="1" thickBot="1">
      <c r="A35" s="181" t="s">
        <v>622</v>
      </c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3"/>
    </row>
    <row r="36" spans="1:15" ht="14.1" customHeight="1" thickTop="1">
      <c r="A36" s="138">
        <v>17</v>
      </c>
      <c r="B36" s="133" t="s">
        <v>320</v>
      </c>
      <c r="C36" s="134"/>
      <c r="D36" s="133"/>
      <c r="E36" s="188"/>
      <c r="F36" s="188"/>
      <c r="G36" s="134"/>
      <c r="H36" s="45">
        <f>SUM(I36)-0.5</f>
        <v>6</v>
      </c>
      <c r="I36" s="45">
        <f>SUM(J36)-0.5</f>
        <v>6.5</v>
      </c>
      <c r="J36" s="45">
        <f>SUM(K36)-0.5</f>
        <v>7</v>
      </c>
      <c r="K36" s="43">
        <v>7.5</v>
      </c>
      <c r="L36" s="45">
        <f>SUM(K36)+0.4</f>
        <v>7.9</v>
      </c>
      <c r="M36" s="45">
        <f>SUM(L36)+0.4</f>
        <v>8.3000000000000007</v>
      </c>
      <c r="N36" s="47">
        <f>SUM(M36)+0.4</f>
        <v>8.7000000000000011</v>
      </c>
    </row>
    <row r="37" spans="1:15" ht="14.1" customHeight="1">
      <c r="A37" s="122"/>
      <c r="B37" s="127" t="s">
        <v>623</v>
      </c>
      <c r="C37" s="128"/>
      <c r="D37" s="79" t="s">
        <v>620</v>
      </c>
      <c r="E37" s="80"/>
      <c r="F37" s="80"/>
      <c r="G37" s="81"/>
      <c r="H37" s="46"/>
      <c r="I37" s="46"/>
      <c r="J37" s="46"/>
      <c r="K37" s="44"/>
      <c r="L37" s="46"/>
      <c r="M37" s="46"/>
      <c r="N37" s="48"/>
    </row>
    <row r="38" spans="1:15" ht="14.1" customHeight="1">
      <c r="A38" s="122">
        <v>18</v>
      </c>
      <c r="B38" s="36" t="s">
        <v>321</v>
      </c>
      <c r="C38" s="37"/>
      <c r="D38" s="185"/>
      <c r="E38" s="186"/>
      <c r="F38" s="186"/>
      <c r="G38" s="187"/>
      <c r="H38" s="27">
        <f>SUM(I38)-0.7</f>
        <v>10.900000000000002</v>
      </c>
      <c r="I38" s="27">
        <f>SUM(J38)-0.7</f>
        <v>11.600000000000001</v>
      </c>
      <c r="J38" s="27">
        <f>SUM(K38)-0.7</f>
        <v>12.3</v>
      </c>
      <c r="K38" s="41">
        <v>13</v>
      </c>
      <c r="L38" s="27">
        <f>SUM(K38)+0.7</f>
        <v>13.7</v>
      </c>
      <c r="M38" s="27">
        <f t="shared" ref="M38:N38" si="9">SUM(L38)+0.7</f>
        <v>14.399999999999999</v>
      </c>
      <c r="N38" s="62">
        <f t="shared" si="9"/>
        <v>15.099999999999998</v>
      </c>
    </row>
    <row r="39" spans="1:15" ht="14.1" customHeight="1">
      <c r="A39" s="159"/>
      <c r="B39" s="133" t="s">
        <v>624</v>
      </c>
      <c r="C39" s="134"/>
      <c r="D39" s="102" t="s">
        <v>621</v>
      </c>
      <c r="E39" s="103"/>
      <c r="F39" s="103"/>
      <c r="G39" s="104"/>
      <c r="H39" s="45"/>
      <c r="I39" s="45"/>
      <c r="J39" s="45"/>
      <c r="K39" s="43"/>
      <c r="L39" s="45"/>
      <c r="M39" s="45"/>
      <c r="N39" s="47"/>
    </row>
    <row r="40" spans="1:15" ht="14.1" customHeight="1">
      <c r="A40" s="122">
        <v>19</v>
      </c>
      <c r="B40" s="36" t="s">
        <v>172</v>
      </c>
      <c r="C40" s="37"/>
      <c r="D40" s="124"/>
      <c r="E40" s="124"/>
      <c r="F40" s="124"/>
      <c r="G40" s="124"/>
      <c r="H40" s="27">
        <f>SUM(I40)-0.5</f>
        <v>7</v>
      </c>
      <c r="I40" s="27">
        <f>SUM(J40)-0.5</f>
        <v>7.5</v>
      </c>
      <c r="J40" s="27">
        <f>SUM(K40)-0.5</f>
        <v>8</v>
      </c>
      <c r="K40" s="41">
        <v>8.5</v>
      </c>
      <c r="L40" s="114">
        <f>SUM(K40+0.5)</f>
        <v>9</v>
      </c>
      <c r="M40" s="114">
        <f t="shared" ref="M40:N40" si="10">SUM(L40+0.5)</f>
        <v>9.5</v>
      </c>
      <c r="N40" s="162">
        <f t="shared" si="10"/>
        <v>10</v>
      </c>
      <c r="O40" s="1"/>
    </row>
    <row r="41" spans="1:15" ht="14.1" customHeight="1">
      <c r="A41" s="159"/>
      <c r="B41" s="127" t="s">
        <v>173</v>
      </c>
      <c r="C41" s="128"/>
      <c r="D41" s="65" t="s">
        <v>625</v>
      </c>
      <c r="E41" s="103"/>
      <c r="F41" s="103"/>
      <c r="G41" s="104"/>
      <c r="H41" s="45"/>
      <c r="I41" s="45"/>
      <c r="J41" s="45"/>
      <c r="K41" s="43"/>
      <c r="L41" s="27"/>
      <c r="M41" s="27"/>
      <c r="N41" s="62"/>
      <c r="O41" s="1"/>
    </row>
    <row r="42" spans="1:15" ht="14.1" customHeight="1">
      <c r="A42" s="122">
        <v>20</v>
      </c>
      <c r="B42" s="36" t="s">
        <v>174</v>
      </c>
      <c r="C42" s="37"/>
      <c r="D42" s="124"/>
      <c r="E42" s="124"/>
      <c r="F42" s="124"/>
      <c r="G42" s="124"/>
      <c r="H42" s="27">
        <f>SUM(I42)-0.5</f>
        <v>8.4</v>
      </c>
      <c r="I42" s="27">
        <f>SUM(J42)-0.5</f>
        <v>8.9</v>
      </c>
      <c r="J42" s="27">
        <f>SUM(K42)-0.5</f>
        <v>9.4</v>
      </c>
      <c r="K42" s="41">
        <v>9.9</v>
      </c>
      <c r="L42" s="114">
        <f>SUM(K42+0.5)</f>
        <v>10.4</v>
      </c>
      <c r="M42" s="114">
        <f t="shared" ref="M42:N42" si="11">SUM(L42+0.5)</f>
        <v>10.9</v>
      </c>
      <c r="N42" s="162">
        <f t="shared" si="11"/>
        <v>11.4</v>
      </c>
      <c r="O42" s="1"/>
    </row>
    <row r="43" spans="1:15" ht="14.1" customHeight="1" thickBot="1">
      <c r="A43" s="123"/>
      <c r="B43" s="143" t="s">
        <v>175</v>
      </c>
      <c r="C43" s="144"/>
      <c r="D43" s="111" t="s">
        <v>626</v>
      </c>
      <c r="E43" s="120"/>
      <c r="F43" s="120"/>
      <c r="G43" s="121"/>
      <c r="H43" s="28"/>
      <c r="I43" s="28"/>
      <c r="J43" s="28"/>
      <c r="K43" s="42"/>
      <c r="L43" s="115"/>
      <c r="M43" s="115"/>
      <c r="N43" s="142"/>
    </row>
    <row r="44" spans="1:15" ht="14.1" customHeight="1"/>
    <row r="45" spans="1:15" ht="14.1" customHeight="1"/>
    <row r="46" spans="1:15" ht="14.1" customHeight="1"/>
    <row r="47" spans="1:15" ht="14.1" customHeight="1"/>
    <row r="48" spans="1:15" ht="14.1" customHeight="1"/>
    <row r="49" ht="14.1" customHeight="1"/>
    <row r="50" ht="14.1" customHeight="1"/>
    <row r="51" ht="14.1" customHeight="1"/>
  </sheetData>
  <mergeCells count="244">
    <mergeCell ref="K42:K43"/>
    <mergeCell ref="L42:L43"/>
    <mergeCell ref="M42:M43"/>
    <mergeCell ref="N42:N43"/>
    <mergeCell ref="B43:C43"/>
    <mergeCell ref="D43:G43"/>
    <mergeCell ref="L40:L41"/>
    <mergeCell ref="M40:M41"/>
    <mergeCell ref="N40:N41"/>
    <mergeCell ref="B41:C41"/>
    <mergeCell ref="D41:G41"/>
    <mergeCell ref="K40:K41"/>
    <mergeCell ref="H40:H41"/>
    <mergeCell ref="H42:H43"/>
    <mergeCell ref="A42:A43"/>
    <mergeCell ref="B42:C42"/>
    <mergeCell ref="D42:G42"/>
    <mergeCell ref="I42:I43"/>
    <mergeCell ref="J42:J43"/>
    <mergeCell ref="A40:A41"/>
    <mergeCell ref="B40:C40"/>
    <mergeCell ref="D40:G40"/>
    <mergeCell ref="I40:I41"/>
    <mergeCell ref="J40:J41"/>
    <mergeCell ref="K38:K39"/>
    <mergeCell ref="L38:L39"/>
    <mergeCell ref="M38:M39"/>
    <mergeCell ref="N38:N39"/>
    <mergeCell ref="B39:C39"/>
    <mergeCell ref="D39:G39"/>
    <mergeCell ref="L36:L37"/>
    <mergeCell ref="M36:M37"/>
    <mergeCell ref="N36:N37"/>
    <mergeCell ref="B37:C37"/>
    <mergeCell ref="D37:G37"/>
    <mergeCell ref="K36:K37"/>
    <mergeCell ref="H36:H37"/>
    <mergeCell ref="H38:H39"/>
    <mergeCell ref="A38:A39"/>
    <mergeCell ref="B38:C38"/>
    <mergeCell ref="D38:G38"/>
    <mergeCell ref="I38:I39"/>
    <mergeCell ref="J38:J39"/>
    <mergeCell ref="A36:A37"/>
    <mergeCell ref="B36:C36"/>
    <mergeCell ref="D36:G36"/>
    <mergeCell ref="I36:I37"/>
    <mergeCell ref="J36:J37"/>
    <mergeCell ref="L33:L34"/>
    <mergeCell ref="M33:M34"/>
    <mergeCell ref="N33:N34"/>
    <mergeCell ref="B34:C34"/>
    <mergeCell ref="D34:G34"/>
    <mergeCell ref="A33:A34"/>
    <mergeCell ref="B33:C33"/>
    <mergeCell ref="D33:G33"/>
    <mergeCell ref="I33:I34"/>
    <mergeCell ref="J33:J34"/>
    <mergeCell ref="K33:K34"/>
    <mergeCell ref="H33:H34"/>
    <mergeCell ref="A35:N35"/>
    <mergeCell ref="K31:K32"/>
    <mergeCell ref="L31:L32"/>
    <mergeCell ref="M31:M32"/>
    <mergeCell ref="N31:N32"/>
    <mergeCell ref="B32:C32"/>
    <mergeCell ref="D32:G32"/>
    <mergeCell ref="L29:L30"/>
    <mergeCell ref="M29:M30"/>
    <mergeCell ref="N29:N30"/>
    <mergeCell ref="B30:C30"/>
    <mergeCell ref="D30:G30"/>
    <mergeCell ref="K29:K30"/>
    <mergeCell ref="H29:H30"/>
    <mergeCell ref="H31:H32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K27:K28"/>
    <mergeCell ref="L27:L28"/>
    <mergeCell ref="M27:M28"/>
    <mergeCell ref="N27:N28"/>
    <mergeCell ref="B28:C28"/>
    <mergeCell ref="D28:G28"/>
    <mergeCell ref="L25:L26"/>
    <mergeCell ref="M25:M26"/>
    <mergeCell ref="N25:N26"/>
    <mergeCell ref="B26:C26"/>
    <mergeCell ref="D26:G26"/>
    <mergeCell ref="K25:K26"/>
    <mergeCell ref="H25:H26"/>
    <mergeCell ref="H27:H28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3:K24"/>
    <mergeCell ref="L23:L24"/>
    <mergeCell ref="M23:M24"/>
    <mergeCell ref="N23:N24"/>
    <mergeCell ref="B24:C24"/>
    <mergeCell ref="D24:G24"/>
    <mergeCell ref="L21:L22"/>
    <mergeCell ref="M21:M22"/>
    <mergeCell ref="N21:N22"/>
    <mergeCell ref="B22:C22"/>
    <mergeCell ref="D22:G22"/>
    <mergeCell ref="K21:K22"/>
    <mergeCell ref="H21:H22"/>
    <mergeCell ref="H23:H24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19:K20"/>
    <mergeCell ref="L19:L20"/>
    <mergeCell ref="M19:M20"/>
    <mergeCell ref="N19:N20"/>
    <mergeCell ref="B20:C20"/>
    <mergeCell ref="D20:G20"/>
    <mergeCell ref="L17:L18"/>
    <mergeCell ref="M17:M18"/>
    <mergeCell ref="N17:N18"/>
    <mergeCell ref="B18:C18"/>
    <mergeCell ref="D18:G18"/>
    <mergeCell ref="K17:K18"/>
    <mergeCell ref="H17:H18"/>
    <mergeCell ref="H19:H20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5:K16"/>
    <mergeCell ref="L15:L16"/>
    <mergeCell ref="M15:M16"/>
    <mergeCell ref="N15:N16"/>
    <mergeCell ref="B16:C16"/>
    <mergeCell ref="D16:G16"/>
    <mergeCell ref="L13:L14"/>
    <mergeCell ref="M13:M14"/>
    <mergeCell ref="N13:N14"/>
    <mergeCell ref="B14:C14"/>
    <mergeCell ref="D14:G14"/>
    <mergeCell ref="K13:K14"/>
    <mergeCell ref="H13:H14"/>
    <mergeCell ref="H15:H16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L11:L12"/>
    <mergeCell ref="M11:M12"/>
    <mergeCell ref="N11:N12"/>
    <mergeCell ref="B12:C12"/>
    <mergeCell ref="D12:G12"/>
    <mergeCell ref="L9:L10"/>
    <mergeCell ref="M9:M10"/>
    <mergeCell ref="N9:N10"/>
    <mergeCell ref="B10:C10"/>
    <mergeCell ref="D10:G10"/>
    <mergeCell ref="K9:K10"/>
    <mergeCell ref="H9:H10"/>
    <mergeCell ref="H11:H12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K7:K8"/>
    <mergeCell ref="L7:L8"/>
    <mergeCell ref="M7:M8"/>
    <mergeCell ref="N7:N8"/>
    <mergeCell ref="B8:C8"/>
    <mergeCell ref="D8:G8"/>
    <mergeCell ref="L5:L6"/>
    <mergeCell ref="M5:M6"/>
    <mergeCell ref="N5:N6"/>
    <mergeCell ref="H5:H6"/>
    <mergeCell ref="H7:H8"/>
    <mergeCell ref="M3:M4"/>
    <mergeCell ref="N3:N4"/>
    <mergeCell ref="B4:C4"/>
    <mergeCell ref="D4:G4"/>
    <mergeCell ref="H3:H4"/>
    <mergeCell ref="A1:N1"/>
    <mergeCell ref="B2:C2"/>
    <mergeCell ref="D2:G2"/>
    <mergeCell ref="A3:A4"/>
    <mergeCell ref="B3:C3"/>
    <mergeCell ref="D3:G3"/>
    <mergeCell ref="I3:I4"/>
    <mergeCell ref="J3:J4"/>
    <mergeCell ref="K3:K4"/>
    <mergeCell ref="L3:L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EABF-42FF-4249-B374-74F7CCF0C5B9}">
  <sheetPr>
    <tabColor theme="5"/>
    <pageSetUpPr fitToPage="1"/>
  </sheetPr>
  <dimension ref="A1:N51"/>
  <sheetViews>
    <sheetView zoomScale="110" zoomScaleNormal="110" workbookViewId="0">
      <selection activeCell="M3" sqref="M3:M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612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23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47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SUM(I3)-3.4</f>
        <v>33.5</v>
      </c>
      <c r="I3" s="27">
        <f>SUM(J3)-3.4</f>
        <v>36.9</v>
      </c>
      <c r="J3" s="41">
        <v>40.299999999999997</v>
      </c>
      <c r="K3" s="27">
        <f>SUM(J3)+2.9</f>
        <v>43.199999999999996</v>
      </c>
      <c r="L3" s="27">
        <f t="shared" ref="L3:M3" si="0">SUM(K3)+2.9</f>
        <v>46.099999999999994</v>
      </c>
      <c r="M3" s="62">
        <f t="shared" si="0"/>
        <v>48.999999999999993</v>
      </c>
    </row>
    <row r="4" spans="1:14" s="1" customFormat="1" ht="14.1" customHeight="1">
      <c r="A4" s="138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4"/>
      <c r="K4" s="46"/>
      <c r="L4" s="46"/>
      <c r="M4" s="48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35.599999999999994</v>
      </c>
      <c r="I5" s="27">
        <f>SUM(J5)-2.2</f>
        <v>37.799999999999997</v>
      </c>
      <c r="J5" s="41">
        <v>40</v>
      </c>
      <c r="K5" s="27">
        <f>SUM(J5)+2</f>
        <v>42</v>
      </c>
      <c r="L5" s="27">
        <f>SUM(K5)+2</f>
        <v>44</v>
      </c>
      <c r="M5" s="62">
        <f>SUM(L5)+2</f>
        <v>46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37.5</v>
      </c>
      <c r="I7" s="27">
        <f>SUM(J7)-2.25</f>
        <v>39.75</v>
      </c>
      <c r="J7" s="41">
        <v>42</v>
      </c>
      <c r="K7" s="27">
        <f>SUM(J7)+2</f>
        <v>44</v>
      </c>
      <c r="L7" s="27">
        <f>SUM(K7)+2</f>
        <v>46</v>
      </c>
      <c r="M7" s="62">
        <f>SUM(L7)+2</f>
        <v>48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SUM(I9)-2.25</f>
        <v>37.5</v>
      </c>
      <c r="I9" s="27">
        <f>SUM(J9)-2.25</f>
        <v>39.75</v>
      </c>
      <c r="J9" s="41">
        <v>42</v>
      </c>
      <c r="K9" s="27">
        <f>SUM(J9)+2</f>
        <v>44</v>
      </c>
      <c r="L9" s="27">
        <f>SUM(K9)+2</f>
        <v>46</v>
      </c>
      <c r="M9" s="62">
        <f>SUM(L9)+2</f>
        <v>48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16.399999999999999</v>
      </c>
      <c r="I11" s="27">
        <f>SUM(J11)-0.8</f>
        <v>17.2</v>
      </c>
      <c r="J11" s="125">
        <v>18</v>
      </c>
      <c r="K11" s="114">
        <f>SUM(J11)+0.8</f>
        <v>18.8</v>
      </c>
      <c r="L11" s="114">
        <f>SUM(K11)+0.8</f>
        <v>19.600000000000001</v>
      </c>
      <c r="M11" s="161">
        <f>SUM(L11)+0.8</f>
        <v>20.400000000000002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1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13.9</v>
      </c>
      <c r="I13" s="27">
        <f>SUM(J13)-0.6</f>
        <v>14.5</v>
      </c>
      <c r="J13" s="125">
        <v>15.1</v>
      </c>
      <c r="K13" s="114">
        <f>SUM(J13)+0.6</f>
        <v>15.7</v>
      </c>
      <c r="L13" s="114">
        <f>SUM(K13)+0.6</f>
        <v>16.3</v>
      </c>
      <c r="M13" s="162">
        <f>SUM(L13)+0.6</f>
        <v>16.900000000000002</v>
      </c>
    </row>
    <row r="14" spans="1:14" s="1" customFormat="1" ht="14.1" customHeight="1">
      <c r="A14" s="122"/>
      <c r="B14" s="75" t="s">
        <v>27</v>
      </c>
      <c r="C14" s="75"/>
      <c r="D14" s="79" t="s">
        <v>46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/>
      <c r="E15" s="124"/>
      <c r="F15" s="124"/>
      <c r="G15" s="124"/>
      <c r="H15" s="27">
        <f>SUM(I15)-0.3</f>
        <v>5.9</v>
      </c>
      <c r="I15" s="27">
        <f>SUM(J15)-0.3</f>
        <v>6.2</v>
      </c>
      <c r="J15" s="125">
        <v>6.5</v>
      </c>
      <c r="K15" s="114">
        <f>SUM(J15)+0.3</f>
        <v>6.8</v>
      </c>
      <c r="L15" s="114">
        <f>SUM(K15)+0.3</f>
        <v>7.1</v>
      </c>
      <c r="M15" s="161">
        <f>SUM(L15)+0.3</f>
        <v>7.3999999999999995</v>
      </c>
    </row>
    <row r="16" spans="1:14" s="1" customFormat="1" ht="14.1" customHeight="1">
      <c r="A16" s="122"/>
      <c r="B16" s="75" t="s">
        <v>28</v>
      </c>
      <c r="C16" s="75"/>
      <c r="D16" s="79" t="s">
        <v>601</v>
      </c>
      <c r="E16" s="80"/>
      <c r="F16" s="80"/>
      <c r="G16" s="81"/>
      <c r="H16" s="46"/>
      <c r="I16" s="46"/>
      <c r="J16" s="125"/>
      <c r="K16" s="114"/>
      <c r="L16" s="114"/>
      <c r="M16" s="161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36.099999999999994</v>
      </c>
      <c r="I17" s="27">
        <f>SUM(J17)-1.6</f>
        <v>37.699999999999996</v>
      </c>
      <c r="J17" s="125">
        <v>39.299999999999997</v>
      </c>
      <c r="K17" s="114">
        <f>SUM(J17)+1.6</f>
        <v>40.9</v>
      </c>
      <c r="L17" s="114">
        <f>SUM(K17)+1.6</f>
        <v>42.5</v>
      </c>
      <c r="M17" s="161">
        <f>SUM(L17)+1.6</f>
        <v>44.1</v>
      </c>
    </row>
    <row r="18" spans="1:13" s="1" customFormat="1" ht="14.1" customHeight="1">
      <c r="A18" s="122"/>
      <c r="B18" s="75" t="s">
        <v>33</v>
      </c>
      <c r="C18" s="75"/>
      <c r="D18" s="79" t="s">
        <v>74</v>
      </c>
      <c r="E18" s="80"/>
      <c r="F18" s="80"/>
      <c r="G18" s="81"/>
      <c r="H18" s="46"/>
      <c r="I18" s="46"/>
      <c r="J18" s="125"/>
      <c r="K18" s="114"/>
      <c r="L18" s="114"/>
      <c r="M18" s="161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28.700000000000003</v>
      </c>
      <c r="I19" s="27">
        <f>SUM(J19)-3.4</f>
        <v>32.1</v>
      </c>
      <c r="J19" s="125">
        <v>35.5</v>
      </c>
      <c r="K19" s="114">
        <f>SUM(J19)+3.5</f>
        <v>39</v>
      </c>
      <c r="L19" s="114">
        <f>SUM(K19)+3.5</f>
        <v>42.5</v>
      </c>
      <c r="M19" s="162">
        <f>SUM(L19)+3.5</f>
        <v>46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32.199999999999996</v>
      </c>
      <c r="I21" s="27">
        <f>SUM(J21)-1.6</f>
        <v>33.799999999999997</v>
      </c>
      <c r="J21" s="125">
        <v>35.4</v>
      </c>
      <c r="K21" s="114">
        <f>SUM(J21)+1.6</f>
        <v>37</v>
      </c>
      <c r="L21" s="114">
        <f>SUM(K21)+1.6</f>
        <v>38.6</v>
      </c>
      <c r="M21" s="161">
        <f>SUM(L21)+1.6</f>
        <v>40.200000000000003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1"/>
    </row>
    <row r="23" spans="1:13" s="1" customFormat="1" ht="14.1" customHeight="1">
      <c r="A23" s="122">
        <v>11</v>
      </c>
      <c r="B23" s="36" t="s">
        <v>260</v>
      </c>
      <c r="C23" s="37"/>
      <c r="D23" s="124" t="s">
        <v>65</v>
      </c>
      <c r="E23" s="124"/>
      <c r="F23" s="124"/>
      <c r="G23" s="124"/>
      <c r="H23" s="27">
        <f>SUM(I23)-1</f>
        <v>24</v>
      </c>
      <c r="I23" s="27">
        <f>SUM(J23)-1</f>
        <v>25</v>
      </c>
      <c r="J23" s="125">
        <v>26</v>
      </c>
      <c r="K23" s="114">
        <f>SUM(J23)+1</f>
        <v>27</v>
      </c>
      <c r="L23" s="114">
        <f>SUM(K23)+1</f>
        <v>28</v>
      </c>
      <c r="M23" s="162">
        <f>SUM(L23)+1</f>
        <v>29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36" t="s">
        <v>365</v>
      </c>
      <c r="C25" s="37"/>
      <c r="D25" s="129"/>
      <c r="E25" s="130"/>
      <c r="F25" s="130"/>
      <c r="G25" s="131"/>
      <c r="H25" s="27">
        <f>SUM(I25)-0.4</f>
        <v>7.5</v>
      </c>
      <c r="I25" s="27">
        <f>SUM(J25)-0.4</f>
        <v>7.9</v>
      </c>
      <c r="J25" s="125">
        <v>8.3000000000000007</v>
      </c>
      <c r="K25" s="114">
        <f>SUM(J25)+0.4</f>
        <v>8.7000000000000011</v>
      </c>
      <c r="L25" s="114">
        <f t="shared" ref="L25:M25" si="1">SUM(K25)+0.4</f>
        <v>9.1000000000000014</v>
      </c>
      <c r="M25" s="162">
        <f t="shared" si="1"/>
        <v>9.5000000000000018</v>
      </c>
    </row>
    <row r="26" spans="1:13" s="1" customFormat="1" ht="14.1" customHeight="1">
      <c r="A26" s="122"/>
      <c r="B26" s="127" t="s">
        <v>413</v>
      </c>
      <c r="C26" s="128"/>
      <c r="D26" s="79" t="s">
        <v>524</v>
      </c>
      <c r="E26" s="80"/>
      <c r="F26" s="80"/>
      <c r="G26" s="81"/>
      <c r="H26" s="46"/>
      <c r="I26" s="46"/>
      <c r="J26" s="125"/>
      <c r="K26" s="114"/>
      <c r="L26" s="114"/>
      <c r="M26" s="162"/>
    </row>
    <row r="27" spans="1:13" s="1" customFormat="1" ht="14.1" customHeight="1">
      <c r="A27" s="122">
        <v>13</v>
      </c>
      <c r="B27" s="36" t="s">
        <v>414</v>
      </c>
      <c r="C27" s="37"/>
      <c r="D27" s="129"/>
      <c r="E27" s="130"/>
      <c r="F27" s="130"/>
      <c r="G27" s="131"/>
      <c r="H27" s="27">
        <f>SUM(I27)-0.6</f>
        <v>11.100000000000001</v>
      </c>
      <c r="I27" s="27">
        <f>SUM(J27)-0.6</f>
        <v>11.700000000000001</v>
      </c>
      <c r="J27" s="125">
        <v>12.3</v>
      </c>
      <c r="K27" s="114">
        <f>SUM(J27)+0.6</f>
        <v>12.9</v>
      </c>
      <c r="L27" s="114">
        <f t="shared" ref="L27:M27" si="2">SUM(K27)+0.6</f>
        <v>13.5</v>
      </c>
      <c r="M27" s="162">
        <f t="shared" si="2"/>
        <v>14.1</v>
      </c>
    </row>
    <row r="28" spans="1:13" s="1" customFormat="1" ht="14.1" customHeight="1">
      <c r="A28" s="122"/>
      <c r="B28" s="127" t="s">
        <v>415</v>
      </c>
      <c r="C28" s="128"/>
      <c r="D28" s="79" t="s">
        <v>611</v>
      </c>
      <c r="E28" s="80"/>
      <c r="F28" s="80"/>
      <c r="G28" s="81"/>
      <c r="H28" s="46"/>
      <c r="I28" s="46"/>
      <c r="J28" s="125"/>
      <c r="K28" s="114"/>
      <c r="L28" s="114"/>
      <c r="M28" s="162"/>
    </row>
    <row r="29" spans="1:13" s="1" customFormat="1" ht="14.1" customHeight="1">
      <c r="A29" s="122">
        <v>14</v>
      </c>
      <c r="B29" s="36" t="s">
        <v>172</v>
      </c>
      <c r="C29" s="37"/>
      <c r="D29" s="76"/>
      <c r="E29" s="77"/>
      <c r="F29" s="77"/>
      <c r="G29" s="78"/>
      <c r="H29" s="27">
        <f>SUM(I29)-1</f>
        <v>11.5</v>
      </c>
      <c r="I29" s="27">
        <f>SUM(J29)-1</f>
        <v>12.5</v>
      </c>
      <c r="J29" s="41">
        <v>13.5</v>
      </c>
      <c r="K29" s="27">
        <f>SUM(J29)+0.6</f>
        <v>14.1</v>
      </c>
      <c r="L29" s="27">
        <f t="shared" ref="L29:M29" si="3">SUM(K29)+0.6</f>
        <v>14.7</v>
      </c>
      <c r="M29" s="62">
        <f t="shared" si="3"/>
        <v>15.299999999999999</v>
      </c>
    </row>
    <row r="30" spans="1:13" s="1" customFormat="1" ht="14.1" customHeight="1">
      <c r="A30" s="122"/>
      <c r="B30" s="127" t="s">
        <v>173</v>
      </c>
      <c r="C30" s="128"/>
      <c r="D30" s="59" t="s">
        <v>609</v>
      </c>
      <c r="E30" s="60"/>
      <c r="F30" s="60"/>
      <c r="G30" s="61"/>
      <c r="H30" s="46"/>
      <c r="I30" s="46"/>
      <c r="J30" s="44"/>
      <c r="K30" s="46"/>
      <c r="L30" s="46"/>
      <c r="M30" s="48"/>
    </row>
    <row r="31" spans="1:13" ht="14.1" customHeight="1">
      <c r="A31" s="122">
        <v>15</v>
      </c>
      <c r="B31" s="36" t="s">
        <v>174</v>
      </c>
      <c r="C31" s="37"/>
      <c r="D31" s="76"/>
      <c r="E31" s="77"/>
      <c r="F31" s="77"/>
      <c r="G31" s="78"/>
      <c r="H31" s="27">
        <f>SUM(I31)-1</f>
        <v>13.5</v>
      </c>
      <c r="I31" s="27">
        <f>SUM(J31)-1</f>
        <v>14.5</v>
      </c>
      <c r="J31" s="41">
        <v>15.5</v>
      </c>
      <c r="K31" s="27">
        <f>SUM(J31)+0.7</f>
        <v>16.2</v>
      </c>
      <c r="L31" s="27">
        <f t="shared" ref="L31:M31" si="4">SUM(K31)+0.7</f>
        <v>16.899999999999999</v>
      </c>
      <c r="M31" s="62">
        <f t="shared" si="4"/>
        <v>17.599999999999998</v>
      </c>
    </row>
    <row r="32" spans="1:13" ht="14.1" customHeight="1">
      <c r="A32" s="122"/>
      <c r="B32" s="127" t="s">
        <v>175</v>
      </c>
      <c r="C32" s="128"/>
      <c r="D32" s="59" t="s">
        <v>610</v>
      </c>
      <c r="E32" s="60"/>
      <c r="F32" s="60"/>
      <c r="G32" s="61"/>
      <c r="H32" s="46"/>
      <c r="I32" s="46"/>
      <c r="J32" s="44"/>
      <c r="K32" s="46"/>
      <c r="L32" s="46"/>
      <c r="M32" s="48"/>
    </row>
    <row r="33" spans="1:13" ht="14.1" customHeight="1">
      <c r="A33" s="122">
        <v>16</v>
      </c>
      <c r="B33" s="36" t="s">
        <v>72</v>
      </c>
      <c r="C33" s="37"/>
      <c r="D33" s="77" t="s">
        <v>602</v>
      </c>
      <c r="E33" s="77"/>
      <c r="F33" s="77"/>
      <c r="G33" s="77"/>
      <c r="H33" s="27">
        <f>SUM(I33)-0.2</f>
        <v>8.6000000000000014</v>
      </c>
      <c r="I33" s="27">
        <f>SUM(J33)-0.2</f>
        <v>8.8000000000000007</v>
      </c>
      <c r="J33" s="125">
        <v>9</v>
      </c>
      <c r="K33" s="114">
        <f>SUM(J33)+0.2</f>
        <v>9.1999999999999993</v>
      </c>
      <c r="L33" s="114">
        <f>SUM(K33)+0.2</f>
        <v>9.3999999999999986</v>
      </c>
      <c r="M33" s="162">
        <f>SUM(L33)+0.2</f>
        <v>9.5999999999999979</v>
      </c>
    </row>
    <row r="34" spans="1:13" ht="14.1" customHeight="1">
      <c r="A34" s="122"/>
      <c r="B34" s="75" t="s">
        <v>34</v>
      </c>
      <c r="C34" s="75"/>
      <c r="D34" s="79" t="s">
        <v>603</v>
      </c>
      <c r="E34" s="80"/>
      <c r="F34" s="80"/>
      <c r="G34" s="81"/>
      <c r="H34" s="46"/>
      <c r="I34" s="46"/>
      <c r="J34" s="125"/>
      <c r="K34" s="114"/>
      <c r="L34" s="114"/>
      <c r="M34" s="162"/>
    </row>
    <row r="35" spans="1:13" ht="14.1" customHeight="1">
      <c r="A35" s="122">
        <v>17</v>
      </c>
      <c r="B35" s="36" t="s">
        <v>604</v>
      </c>
      <c r="C35" s="37"/>
      <c r="D35" s="76" t="s">
        <v>605</v>
      </c>
      <c r="E35" s="77"/>
      <c r="F35" s="77"/>
      <c r="G35" s="78"/>
      <c r="H35" s="27">
        <f>SUM(I35)-0.2</f>
        <v>10.000000000000002</v>
      </c>
      <c r="I35" s="27">
        <f>SUM(J35)-0.2</f>
        <v>10.200000000000001</v>
      </c>
      <c r="J35" s="41">
        <v>10.4</v>
      </c>
      <c r="K35" s="27">
        <f>SUM(J35)+0.2</f>
        <v>10.6</v>
      </c>
      <c r="L35" s="27">
        <f>SUM(K35)+0.2</f>
        <v>10.799999999999999</v>
      </c>
      <c r="M35" s="62">
        <f>SUM(L35)+0.2</f>
        <v>10.999999999999998</v>
      </c>
    </row>
    <row r="36" spans="1:13" ht="14.1" customHeight="1">
      <c r="A36" s="122"/>
      <c r="B36" s="127" t="s">
        <v>606</v>
      </c>
      <c r="C36" s="128"/>
      <c r="D36" s="79" t="s">
        <v>607</v>
      </c>
      <c r="E36" s="80"/>
      <c r="F36" s="80"/>
      <c r="G36" s="81"/>
      <c r="H36" s="46"/>
      <c r="I36" s="46"/>
      <c r="J36" s="44"/>
      <c r="K36" s="46"/>
      <c r="L36" s="46"/>
      <c r="M36" s="48"/>
    </row>
    <row r="37" spans="1:13" ht="14.1" customHeight="1">
      <c r="A37" s="122">
        <v>18</v>
      </c>
      <c r="B37" s="36" t="s">
        <v>299</v>
      </c>
      <c r="C37" s="37"/>
      <c r="D37" s="102"/>
      <c r="E37" s="103"/>
      <c r="F37" s="103"/>
      <c r="G37" s="104"/>
      <c r="H37" s="45">
        <f>SUM(I37)</f>
        <v>4.5</v>
      </c>
      <c r="I37" s="45">
        <f>SUM(J37)</f>
        <v>4.5</v>
      </c>
      <c r="J37" s="44">
        <v>4.5</v>
      </c>
      <c r="K37" s="46">
        <f>SUM(J37)</f>
        <v>4.5</v>
      </c>
      <c r="L37" s="46">
        <f t="shared" ref="L37:M37" si="5">SUM(K37)</f>
        <v>4.5</v>
      </c>
      <c r="M37" s="48">
        <f t="shared" si="5"/>
        <v>4.5</v>
      </c>
    </row>
    <row r="38" spans="1:13" ht="14.1" customHeight="1">
      <c r="A38" s="122"/>
      <c r="B38" s="127" t="s">
        <v>300</v>
      </c>
      <c r="C38" s="128"/>
      <c r="D38" s="79"/>
      <c r="E38" s="80"/>
      <c r="F38" s="80"/>
      <c r="G38" s="81"/>
      <c r="H38" s="46"/>
      <c r="I38" s="46"/>
      <c r="J38" s="125"/>
      <c r="K38" s="114"/>
      <c r="L38" s="114"/>
      <c r="M38" s="162"/>
    </row>
    <row r="39" spans="1:13" ht="14.1" customHeight="1">
      <c r="A39" s="122">
        <v>19</v>
      </c>
      <c r="B39" s="36" t="s">
        <v>143</v>
      </c>
      <c r="C39" s="37"/>
      <c r="D39" s="129"/>
      <c r="E39" s="130"/>
      <c r="F39" s="130"/>
      <c r="G39" s="131"/>
      <c r="H39" s="27">
        <v>29</v>
      </c>
      <c r="I39" s="27">
        <v>32</v>
      </c>
      <c r="J39" s="125">
        <v>35.5</v>
      </c>
      <c r="K39" s="114">
        <v>38</v>
      </c>
      <c r="L39" s="114">
        <v>41</v>
      </c>
      <c r="M39" s="162">
        <v>43.5</v>
      </c>
    </row>
    <row r="40" spans="1:13" ht="14.1" customHeight="1">
      <c r="A40" s="122"/>
      <c r="B40" s="133" t="s">
        <v>129</v>
      </c>
      <c r="C40" s="134"/>
      <c r="D40" s="102" t="s">
        <v>298</v>
      </c>
      <c r="E40" s="103"/>
      <c r="F40" s="103"/>
      <c r="G40" s="104"/>
      <c r="H40" s="46"/>
      <c r="I40" s="46"/>
      <c r="J40" s="41"/>
      <c r="K40" s="114"/>
      <c r="L40" s="114"/>
      <c r="M40" s="162"/>
    </row>
    <row r="41" spans="1:13" ht="14.1" customHeight="1">
      <c r="A41" s="122">
        <v>20</v>
      </c>
      <c r="B41" s="36" t="s">
        <v>114</v>
      </c>
      <c r="C41" s="37"/>
      <c r="D41" s="129"/>
      <c r="E41" s="130"/>
      <c r="F41" s="130"/>
      <c r="G41" s="131"/>
      <c r="H41" s="27">
        <f>SUM(I41)-0.5</f>
        <v>8</v>
      </c>
      <c r="I41" s="27">
        <f>SUM(J41)-0.5</f>
        <v>8.5</v>
      </c>
      <c r="J41" s="125">
        <v>9</v>
      </c>
      <c r="K41" s="114">
        <f>SUM(J41)+0.5</f>
        <v>9.5</v>
      </c>
      <c r="L41" s="114">
        <f t="shared" ref="L41:M41" si="6">SUM(K41)+0.5</f>
        <v>10</v>
      </c>
      <c r="M41" s="162">
        <f t="shared" si="6"/>
        <v>10.5</v>
      </c>
    </row>
    <row r="42" spans="1:13" ht="14.1" customHeight="1">
      <c r="A42" s="122"/>
      <c r="B42" s="127" t="s">
        <v>122</v>
      </c>
      <c r="C42" s="128"/>
      <c r="D42" s="79" t="s">
        <v>613</v>
      </c>
      <c r="E42" s="80"/>
      <c r="F42" s="80"/>
      <c r="G42" s="81"/>
      <c r="H42" s="46"/>
      <c r="I42" s="46"/>
      <c r="J42" s="41"/>
      <c r="K42" s="114"/>
      <c r="L42" s="114"/>
      <c r="M42" s="162"/>
    </row>
    <row r="43" spans="1:13" ht="14.1" customHeight="1">
      <c r="A43" s="122">
        <v>21</v>
      </c>
      <c r="B43" s="133" t="s">
        <v>115</v>
      </c>
      <c r="C43" s="134"/>
      <c r="D43" s="135"/>
      <c r="E43" s="136"/>
      <c r="F43" s="136"/>
      <c r="G43" s="137"/>
      <c r="H43" s="27">
        <f>SUM(I43)</f>
        <v>0.5</v>
      </c>
      <c r="I43" s="27">
        <f>SUM(J43)</f>
        <v>0.5</v>
      </c>
      <c r="J43" s="125">
        <v>0.5</v>
      </c>
      <c r="K43" s="114">
        <f>SUM(J43)</f>
        <v>0.5</v>
      </c>
      <c r="L43" s="114">
        <f t="shared" ref="L43:M43" si="7">SUM(K43)</f>
        <v>0.5</v>
      </c>
      <c r="M43" s="162">
        <f t="shared" si="7"/>
        <v>0.5</v>
      </c>
    </row>
    <row r="44" spans="1:13" ht="14.1" customHeight="1" thickBot="1">
      <c r="A44" s="123"/>
      <c r="B44" s="143" t="s">
        <v>123</v>
      </c>
      <c r="C44" s="144"/>
      <c r="D44" s="119" t="s">
        <v>614</v>
      </c>
      <c r="E44" s="120"/>
      <c r="F44" s="120"/>
      <c r="G44" s="121"/>
      <c r="H44" s="28"/>
      <c r="I44" s="28"/>
      <c r="J44" s="126"/>
      <c r="K44" s="115"/>
      <c r="L44" s="115"/>
      <c r="M44" s="142"/>
    </row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34">
    <mergeCell ref="A43:A44"/>
    <mergeCell ref="B43:C43"/>
    <mergeCell ref="D43:G43"/>
    <mergeCell ref="H43:H44"/>
    <mergeCell ref="I43:I44"/>
    <mergeCell ref="J43:J44"/>
    <mergeCell ref="K43:K44"/>
    <mergeCell ref="L43:L44"/>
    <mergeCell ref="M43:M44"/>
    <mergeCell ref="B44:C44"/>
    <mergeCell ref="D44:G4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A1:M1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6A6F-C923-4177-9129-C052B58C9650}">
  <sheetPr codeName="Sheet8">
    <tabColor theme="5"/>
    <pageSetUpPr fitToPage="1"/>
  </sheetPr>
  <dimension ref="A1:N52"/>
  <sheetViews>
    <sheetView zoomScale="110" zoomScaleNormal="110" workbookViewId="0">
      <selection activeCell="Q12" sqref="Q1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232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126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6">
        <f>SUM(L3)+3</f>
        <v>60</v>
      </c>
      <c r="N3" s="193">
        <f>SUM(M3)+3</f>
        <v>63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6"/>
      <c r="N4" s="173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27"/>
      <c r="I5" s="27"/>
      <c r="J5" s="43"/>
      <c r="K5" s="45"/>
      <c r="L5" s="45"/>
      <c r="M5" s="45"/>
      <c r="N5" s="189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46"/>
      <c r="I6" s="46"/>
      <c r="J6" s="44"/>
      <c r="K6" s="46"/>
      <c r="L6" s="46"/>
      <c r="M6" s="46"/>
      <c r="N6" s="173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27"/>
      <c r="I7" s="27"/>
      <c r="J7" s="43"/>
      <c r="K7" s="45"/>
      <c r="L7" s="45"/>
      <c r="M7" s="45"/>
      <c r="N7" s="189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46"/>
      <c r="I8" s="46"/>
      <c r="J8" s="44"/>
      <c r="K8" s="46"/>
      <c r="L8" s="46"/>
      <c r="M8" s="46"/>
      <c r="N8" s="173"/>
    </row>
    <row r="9" spans="1:14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01">
        <f>SUM(I9)-2.2</f>
        <v>-4.4000000000000004</v>
      </c>
      <c r="I9" s="201">
        <f>SUM(J9)-2.2</f>
        <v>-2.2000000000000002</v>
      </c>
      <c r="J9" s="43"/>
      <c r="K9" s="196">
        <f>SUM(J9)+2.2</f>
        <v>2.2000000000000002</v>
      </c>
      <c r="L9" s="196">
        <f>SUM(K9)+2.2</f>
        <v>4.4000000000000004</v>
      </c>
      <c r="M9" s="196">
        <f>SUM(L9)+2.2</f>
        <v>6.6000000000000005</v>
      </c>
      <c r="N9" s="194">
        <f>SUM(M9)+2.2</f>
        <v>8.8000000000000007</v>
      </c>
    </row>
    <row r="10" spans="1:14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197"/>
      <c r="I10" s="197"/>
      <c r="J10" s="44"/>
      <c r="K10" s="197"/>
      <c r="L10" s="197"/>
      <c r="M10" s="197"/>
      <c r="N10" s="195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27">
        <f>SUM(I11)-3.5</f>
        <v>56</v>
      </c>
      <c r="I11" s="27">
        <f>SUM(J11)-3.5</f>
        <v>59.5</v>
      </c>
      <c r="J11" s="43">
        <v>63</v>
      </c>
      <c r="K11" s="27">
        <f>SUM(J11)+3.5</f>
        <v>66.5</v>
      </c>
      <c r="L11" s="27">
        <f>SUM(K11)+3.5</f>
        <v>70</v>
      </c>
      <c r="M11" s="27">
        <f>SUM(L11)+3.5</f>
        <v>73.5</v>
      </c>
      <c r="N11" s="172">
        <f>SUM(M11)+3.5</f>
        <v>77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46"/>
      <c r="I12" s="46"/>
      <c r="J12" s="44"/>
      <c r="K12" s="46"/>
      <c r="L12" s="46"/>
      <c r="M12" s="46"/>
      <c r="N12" s="173"/>
    </row>
    <row r="13" spans="1:14" s="1" customFormat="1" ht="14.1" customHeight="1">
      <c r="A13" s="52">
        <v>6</v>
      </c>
      <c r="B13" s="36" t="s">
        <v>11</v>
      </c>
      <c r="C13" s="37"/>
      <c r="D13" s="76" t="s">
        <v>116</v>
      </c>
      <c r="E13" s="77"/>
      <c r="F13" s="77"/>
      <c r="G13" s="78"/>
      <c r="H13" s="27">
        <f>SUM(I13)-4</f>
        <v>58</v>
      </c>
      <c r="I13" s="27">
        <f>SUM(J13)-4</f>
        <v>62</v>
      </c>
      <c r="J13" s="41">
        <v>66</v>
      </c>
      <c r="K13" s="27">
        <f>SUM(J13)+4</f>
        <v>70</v>
      </c>
      <c r="L13" s="27">
        <f>SUM(K13)+4</f>
        <v>74</v>
      </c>
      <c r="M13" s="27">
        <f>SUM(L13)+4</f>
        <v>78</v>
      </c>
      <c r="N13" s="172">
        <f>SUM(M13)+4</f>
        <v>82</v>
      </c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46"/>
      <c r="I14" s="46"/>
      <c r="J14" s="44"/>
      <c r="K14" s="46"/>
      <c r="L14" s="46"/>
      <c r="M14" s="46"/>
      <c r="N14" s="173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27">
        <f>SUM(I15)-0.7</f>
        <v>11.3</v>
      </c>
      <c r="I15" s="27">
        <f>SUM(J15)-0.7</f>
        <v>12</v>
      </c>
      <c r="J15" s="41">
        <v>12.7</v>
      </c>
      <c r="K15" s="27">
        <f>SUM(J15)+1.2</f>
        <v>13.899999999999999</v>
      </c>
      <c r="L15" s="27">
        <f>SUM(K15)+0.7</f>
        <v>14.599999999999998</v>
      </c>
      <c r="M15" s="27">
        <f t="shared" ref="M15:N15" si="0">SUM(L15)+0.7</f>
        <v>15.299999999999997</v>
      </c>
      <c r="N15" s="172">
        <f t="shared" si="0"/>
        <v>15.999999999999996</v>
      </c>
    </row>
    <row r="16" spans="1:14" s="1" customFormat="1" ht="14.1" customHeight="1">
      <c r="A16" s="53"/>
      <c r="B16" s="57" t="s">
        <v>100</v>
      </c>
      <c r="C16" s="58"/>
      <c r="D16" s="82" t="s">
        <v>180</v>
      </c>
      <c r="E16" s="83"/>
      <c r="F16" s="83"/>
      <c r="G16" s="84"/>
      <c r="H16" s="46"/>
      <c r="I16" s="46"/>
      <c r="J16" s="44"/>
      <c r="K16" s="46"/>
      <c r="L16" s="46"/>
      <c r="M16" s="46"/>
      <c r="N16" s="173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/>
      <c r="I17" s="27"/>
      <c r="J17" s="41"/>
      <c r="K17" s="27"/>
      <c r="L17" s="27"/>
      <c r="M17" s="98"/>
      <c r="N17" s="191"/>
    </row>
    <row r="18" spans="1:14" s="1" customFormat="1" ht="14.1" customHeight="1">
      <c r="A18" s="53"/>
      <c r="B18" s="57" t="s">
        <v>120</v>
      </c>
      <c r="C18" s="58"/>
      <c r="D18" s="82" t="s">
        <v>180</v>
      </c>
      <c r="E18" s="83"/>
      <c r="F18" s="83"/>
      <c r="G18" s="84"/>
      <c r="H18" s="75"/>
      <c r="I18" s="46"/>
      <c r="J18" s="44"/>
      <c r="K18" s="46"/>
      <c r="L18" s="46"/>
      <c r="M18" s="75"/>
      <c r="N18" s="192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/>
      <c r="I19" s="27"/>
      <c r="J19" s="41"/>
      <c r="K19" s="27"/>
      <c r="L19" s="27"/>
      <c r="M19" s="27"/>
      <c r="N19" s="172"/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6"/>
      <c r="N20" s="173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49</v>
      </c>
      <c r="I21" s="27">
        <f>SUM(J21)-7</f>
        <v>56</v>
      </c>
      <c r="J21" s="41">
        <v>63</v>
      </c>
      <c r="K21" s="27">
        <f>SUM(J21)+6</f>
        <v>69</v>
      </c>
      <c r="L21" s="27">
        <f>SUM(K21)+6</f>
        <v>75</v>
      </c>
      <c r="M21" s="27">
        <f>SUM(L21)+6</f>
        <v>81</v>
      </c>
      <c r="N21" s="172">
        <f>SUM(M21)+6</f>
        <v>87</v>
      </c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6"/>
      <c r="N22" s="173"/>
    </row>
    <row r="23" spans="1:14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SUM(I23)-2</f>
        <v>36</v>
      </c>
      <c r="I23" s="27">
        <f>SUM(J23)-2</f>
        <v>38</v>
      </c>
      <c r="J23" s="41">
        <v>40</v>
      </c>
      <c r="K23" s="27">
        <f>SUM(J23)+2</f>
        <v>42</v>
      </c>
      <c r="L23" s="27">
        <f t="shared" ref="L23:N23" si="1">SUM(K23)+2</f>
        <v>44</v>
      </c>
      <c r="M23" s="27">
        <f t="shared" si="1"/>
        <v>46</v>
      </c>
      <c r="N23" s="172">
        <f t="shared" si="1"/>
        <v>48</v>
      </c>
    </row>
    <row r="24" spans="1:14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46"/>
      <c r="N24" s="173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19.299999999999997</v>
      </c>
      <c r="I25" s="27">
        <f>SUM(J25)-1.1</f>
        <v>20.399999999999999</v>
      </c>
      <c r="J25" s="41">
        <v>21.5</v>
      </c>
      <c r="K25" s="27">
        <f>SUM(J25)+1.6</f>
        <v>23.1</v>
      </c>
      <c r="L25" s="27">
        <f>SUM(K25)+1.1</f>
        <v>24.200000000000003</v>
      </c>
      <c r="M25" s="98">
        <f>SUM(L25)+1.1</f>
        <v>25.300000000000004</v>
      </c>
      <c r="N25" s="191">
        <f>SUM(M25)+1.1</f>
        <v>26.400000000000006</v>
      </c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75"/>
      <c r="N26" s="192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24.599999999999998</v>
      </c>
      <c r="I27" s="27">
        <f>SUM(J27)-1.3</f>
        <v>25.9</v>
      </c>
      <c r="J27" s="41">
        <v>27.2</v>
      </c>
      <c r="K27" s="27">
        <f>SUM(J27)+1.8</f>
        <v>29</v>
      </c>
      <c r="L27" s="27">
        <f>SUM(K27)+1.3</f>
        <v>30.3</v>
      </c>
      <c r="M27" s="98">
        <f>SUM(L27)+1.3</f>
        <v>31.6</v>
      </c>
      <c r="N27" s="191">
        <f>SUM(M27)+1.3</f>
        <v>32.9</v>
      </c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75"/>
      <c r="N28" s="192"/>
    </row>
    <row r="29" spans="1:14" s="1" customFormat="1" ht="14.1" customHeight="1">
      <c r="A29" s="52">
        <v>14</v>
      </c>
      <c r="B29" s="36" t="s">
        <v>18</v>
      </c>
      <c r="C29" s="37"/>
      <c r="D29" s="76" t="s">
        <v>19</v>
      </c>
      <c r="E29" s="77"/>
      <c r="F29" s="77"/>
      <c r="G29" s="78"/>
      <c r="H29" s="27">
        <f>SUM(I29)-2.8</f>
        <v>33.900000000000006</v>
      </c>
      <c r="I29" s="27">
        <f>SUM(J29)-2.8</f>
        <v>36.700000000000003</v>
      </c>
      <c r="J29" s="41">
        <v>39.5</v>
      </c>
      <c r="K29" s="27">
        <f>SUM(J29)+2.6</f>
        <v>42.1</v>
      </c>
      <c r="L29" s="27">
        <f>SUM(K29)+2.6</f>
        <v>44.7</v>
      </c>
      <c r="M29" s="98">
        <f>SUM(L29)+2.6</f>
        <v>47.300000000000004</v>
      </c>
      <c r="N29" s="191">
        <f>SUM(M29)+2.6</f>
        <v>49.900000000000006</v>
      </c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75"/>
      <c r="N30" s="192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98">
        <f>SUM(I31)-6</f>
        <v>31.299999999999997</v>
      </c>
      <c r="I31" s="27">
        <f>SUM(J31)-6</f>
        <v>37.299999999999997</v>
      </c>
      <c r="J31" s="41">
        <v>43.3</v>
      </c>
      <c r="K31" s="27">
        <f>SUM(J31)+4.5</f>
        <v>47.8</v>
      </c>
      <c r="L31" s="27">
        <f>SUM(K31)+5</f>
        <v>52.8</v>
      </c>
      <c r="M31" s="98">
        <f>SUM(L31)+5</f>
        <v>57.8</v>
      </c>
      <c r="N31" s="191">
        <f>SUM(M31)+5</f>
        <v>62.8</v>
      </c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75"/>
      <c r="I32" s="46"/>
      <c r="J32" s="44"/>
      <c r="K32" s="46"/>
      <c r="L32" s="46"/>
      <c r="M32" s="75"/>
      <c r="N32" s="192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27">
        <f>SUM(I33)-1.6</f>
        <v>27.799999999999997</v>
      </c>
      <c r="I33" s="27">
        <f>SUM(J33)-1.6</f>
        <v>29.4</v>
      </c>
      <c r="J33" s="41">
        <v>31</v>
      </c>
      <c r="K33" s="27">
        <f>SUM(J33)+1.6</f>
        <v>32.6</v>
      </c>
      <c r="L33" s="27">
        <f t="shared" ref="L33:N33" si="2">SUM(K33)+1.6</f>
        <v>34.200000000000003</v>
      </c>
      <c r="M33" s="27">
        <f t="shared" si="2"/>
        <v>35.800000000000004</v>
      </c>
      <c r="N33" s="172">
        <f t="shared" si="2"/>
        <v>37.400000000000006</v>
      </c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46"/>
      <c r="I34" s="46"/>
      <c r="J34" s="44"/>
      <c r="K34" s="46"/>
      <c r="L34" s="46"/>
      <c r="M34" s="46"/>
      <c r="N34" s="173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98">
        <f>SUM(I35)-3.4</f>
        <v>30.400000000000006</v>
      </c>
      <c r="I35" s="27">
        <f>SUM(J35)-3.4</f>
        <v>33.800000000000004</v>
      </c>
      <c r="J35" s="41">
        <v>37.200000000000003</v>
      </c>
      <c r="K35" s="27">
        <f>SUM(J35)+3.3</f>
        <v>40.5</v>
      </c>
      <c r="L35" s="27">
        <f>SUM(K35)+3</f>
        <v>43.5</v>
      </c>
      <c r="M35" s="98">
        <f>SUM(L35)+3</f>
        <v>46.5</v>
      </c>
      <c r="N35" s="191">
        <f>SUM(M35)+3</f>
        <v>49.5</v>
      </c>
    </row>
    <row r="36" spans="1:14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75"/>
      <c r="I36" s="46"/>
      <c r="J36" s="44"/>
      <c r="K36" s="46"/>
      <c r="L36" s="46"/>
      <c r="M36" s="75"/>
      <c r="N36" s="192"/>
    </row>
    <row r="37" spans="1:14" s="1" customFormat="1" ht="14.1" customHeight="1">
      <c r="A37" s="52">
        <v>18</v>
      </c>
      <c r="B37" s="36" t="s">
        <v>99</v>
      </c>
      <c r="C37" s="37"/>
      <c r="D37" s="76" t="s">
        <v>22</v>
      </c>
      <c r="E37" s="77"/>
      <c r="F37" s="77"/>
      <c r="G37" s="78"/>
      <c r="H37" s="27">
        <f>SUM(I37)-0.2</f>
        <v>4.0999999999999996</v>
      </c>
      <c r="I37" s="27">
        <f>SUM(J37)-0.2</f>
        <v>4.3</v>
      </c>
      <c r="J37" s="41">
        <v>4.5</v>
      </c>
      <c r="K37" s="27">
        <f>SUM(J37)+0.2</f>
        <v>4.7</v>
      </c>
      <c r="L37" s="27">
        <f t="shared" ref="L37:N37" si="3">SUM(K37)+0.2</f>
        <v>4.9000000000000004</v>
      </c>
      <c r="M37" s="27">
        <f t="shared" si="3"/>
        <v>5.1000000000000005</v>
      </c>
      <c r="N37" s="172">
        <f t="shared" si="3"/>
        <v>5.3000000000000007</v>
      </c>
    </row>
    <row r="38" spans="1:14" s="1" customFormat="1" ht="14.1" customHeight="1">
      <c r="A38" s="53"/>
      <c r="B38" s="57" t="s">
        <v>52</v>
      </c>
      <c r="C38" s="58"/>
      <c r="D38" s="59" t="s">
        <v>98</v>
      </c>
      <c r="E38" s="60"/>
      <c r="F38" s="60"/>
      <c r="G38" s="61"/>
      <c r="H38" s="45"/>
      <c r="I38" s="45"/>
      <c r="J38" s="43"/>
      <c r="K38" s="45"/>
      <c r="L38" s="45"/>
      <c r="M38" s="45"/>
      <c r="N38" s="189"/>
    </row>
    <row r="39" spans="1:14" s="1" customFormat="1" ht="14.1" customHeight="1">
      <c r="A39" s="52">
        <v>19</v>
      </c>
      <c r="B39" s="36" t="s">
        <v>97</v>
      </c>
      <c r="C39" s="37"/>
      <c r="D39" s="76" t="s">
        <v>23</v>
      </c>
      <c r="E39" s="77"/>
      <c r="F39" s="77"/>
      <c r="G39" s="78"/>
      <c r="H39" s="27">
        <f>SUM(I39)-0.6</f>
        <v>9.3000000000000007</v>
      </c>
      <c r="I39" s="27">
        <f>SUM(J39)-0.6</f>
        <v>9.9</v>
      </c>
      <c r="J39" s="41">
        <v>10.5</v>
      </c>
      <c r="K39" s="27">
        <f>SUM(J39)+0.6</f>
        <v>11.1</v>
      </c>
      <c r="L39" s="27">
        <f t="shared" ref="L39:N39" si="4">SUM(K39)+0.6</f>
        <v>11.7</v>
      </c>
      <c r="M39" s="27">
        <f t="shared" si="4"/>
        <v>12.299999999999999</v>
      </c>
      <c r="N39" s="172">
        <f t="shared" si="4"/>
        <v>12.899999999999999</v>
      </c>
    </row>
    <row r="40" spans="1:14" s="1" customFormat="1" ht="14.1" customHeight="1">
      <c r="A40" s="53"/>
      <c r="B40" s="57" t="s">
        <v>51</v>
      </c>
      <c r="C40" s="58"/>
      <c r="D40" s="59" t="s">
        <v>96</v>
      </c>
      <c r="E40" s="60"/>
      <c r="F40" s="60"/>
      <c r="G40" s="61"/>
      <c r="H40" s="45"/>
      <c r="I40" s="45"/>
      <c r="J40" s="43"/>
      <c r="K40" s="45"/>
      <c r="L40" s="45"/>
      <c r="M40" s="45"/>
      <c r="N40" s="189"/>
    </row>
    <row r="41" spans="1:14" s="1" customFormat="1" ht="14.1" customHeight="1">
      <c r="A41" s="52">
        <v>20</v>
      </c>
      <c r="B41" s="36"/>
      <c r="C41" s="37"/>
      <c r="D41" s="124"/>
      <c r="E41" s="124"/>
      <c r="F41" s="124"/>
      <c r="G41" s="124"/>
      <c r="H41" s="27"/>
      <c r="I41" s="27"/>
      <c r="J41" s="41"/>
      <c r="K41" s="27"/>
      <c r="L41" s="27"/>
      <c r="M41" s="27"/>
      <c r="N41" s="172"/>
    </row>
    <row r="42" spans="1:14" s="1" customFormat="1" ht="14.1" customHeight="1" thickBot="1">
      <c r="A42" s="35"/>
      <c r="B42" s="118"/>
      <c r="C42" s="118"/>
      <c r="D42" s="119"/>
      <c r="E42" s="120"/>
      <c r="F42" s="120"/>
      <c r="G42" s="121"/>
      <c r="H42" s="28"/>
      <c r="I42" s="28"/>
      <c r="J42" s="42"/>
      <c r="K42" s="28"/>
      <c r="L42" s="28"/>
      <c r="M42" s="28"/>
      <c r="N42" s="190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s="1" customFormat="1" ht="14.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43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A41:A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B42:C42"/>
    <mergeCell ref="D42:G42"/>
    <mergeCell ref="B41:C41"/>
    <mergeCell ref="D41:G41"/>
    <mergeCell ref="H41:H42"/>
    <mergeCell ref="I41:I42"/>
    <mergeCell ref="J41:J42"/>
    <mergeCell ref="A1:N1"/>
    <mergeCell ref="N3:N4"/>
    <mergeCell ref="N5:N6"/>
    <mergeCell ref="N7:N8"/>
    <mergeCell ref="N9:N10"/>
    <mergeCell ref="N11:N12"/>
    <mergeCell ref="N13:N14"/>
    <mergeCell ref="N15:N16"/>
    <mergeCell ref="N17:N18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N37:N38"/>
    <mergeCell ref="N39:N40"/>
    <mergeCell ref="N41:N42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0EC0-3FBD-46BA-B6EF-9BEF451A46A0}">
  <sheetPr codeName="Sheet9">
    <tabColor theme="5"/>
    <pageSetUpPr fitToPage="1"/>
  </sheetPr>
  <dimension ref="A1:N52"/>
  <sheetViews>
    <sheetView topLeftCell="A4" zoomScale="110" zoomScaleNormal="110" workbookViewId="0">
      <selection activeCell="N23" sqref="N23:N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250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6" t="s">
        <v>134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6">
        <f>SUM(L3)+3</f>
        <v>60</v>
      </c>
      <c r="N3" s="97">
        <f>SUM(M3)+3</f>
        <v>63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6"/>
      <c r="N4" s="48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27"/>
      <c r="I5" s="27"/>
      <c r="J5" s="43"/>
      <c r="K5" s="45"/>
      <c r="L5" s="45"/>
      <c r="M5" s="45"/>
      <c r="N5" s="47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46"/>
      <c r="I6" s="46"/>
      <c r="J6" s="44"/>
      <c r="K6" s="46"/>
      <c r="L6" s="46"/>
      <c r="M6" s="46"/>
      <c r="N6" s="48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27"/>
      <c r="I7" s="27"/>
      <c r="J7" s="43"/>
      <c r="K7" s="45"/>
      <c r="L7" s="45"/>
      <c r="M7" s="45"/>
      <c r="N7" s="47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46"/>
      <c r="I8" s="46"/>
      <c r="J8" s="44"/>
      <c r="K8" s="46"/>
      <c r="L8" s="46"/>
      <c r="M8" s="46"/>
      <c r="N8" s="48"/>
    </row>
    <row r="9" spans="1:14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01">
        <f>SUM(I9)-2.2</f>
        <v>-4.4000000000000004</v>
      </c>
      <c r="I9" s="201">
        <f>SUM(J9)-2.2</f>
        <v>-2.2000000000000002</v>
      </c>
      <c r="J9" s="43"/>
      <c r="K9" s="196">
        <f>SUM(J9)+2.2</f>
        <v>2.2000000000000002</v>
      </c>
      <c r="L9" s="196">
        <f>SUM(K9)+2.2</f>
        <v>4.4000000000000004</v>
      </c>
      <c r="M9" s="196">
        <f>SUM(L9)+2.2</f>
        <v>6.6000000000000005</v>
      </c>
      <c r="N9" s="204">
        <f>SUM(M9)+2.2</f>
        <v>8.8000000000000007</v>
      </c>
    </row>
    <row r="10" spans="1:14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197"/>
      <c r="I10" s="197"/>
      <c r="J10" s="44"/>
      <c r="K10" s="197"/>
      <c r="L10" s="197"/>
      <c r="M10" s="197"/>
      <c r="N10" s="205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27">
        <f>SUM(I11)-3.5</f>
        <v>68</v>
      </c>
      <c r="I11" s="27">
        <f>SUM(J11)-3.5</f>
        <v>71.5</v>
      </c>
      <c r="J11" s="43">
        <v>75</v>
      </c>
      <c r="K11" s="27">
        <f>SUM(J11)+3.5</f>
        <v>78.5</v>
      </c>
      <c r="L11" s="27">
        <f>SUM(K11)+3.5</f>
        <v>82</v>
      </c>
      <c r="M11" s="27">
        <f>SUM(L11)+3.5</f>
        <v>85.5</v>
      </c>
      <c r="N11" s="62">
        <f>SUM(M11)+3.5</f>
        <v>89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46"/>
      <c r="I12" s="46"/>
      <c r="J12" s="44"/>
      <c r="K12" s="46"/>
      <c r="L12" s="46"/>
      <c r="M12" s="46"/>
      <c r="N12" s="48"/>
    </row>
    <row r="13" spans="1:14" s="1" customFormat="1" ht="14.1" customHeight="1">
      <c r="A13" s="52">
        <v>6</v>
      </c>
      <c r="B13" s="36" t="s">
        <v>11</v>
      </c>
      <c r="C13" s="37"/>
      <c r="D13" s="76" t="s">
        <v>116</v>
      </c>
      <c r="E13" s="77"/>
      <c r="F13" s="77"/>
      <c r="G13" s="78"/>
      <c r="H13" s="27"/>
      <c r="I13" s="27"/>
      <c r="J13" s="41"/>
      <c r="K13" s="27"/>
      <c r="L13" s="27"/>
      <c r="M13" s="27"/>
      <c r="N13" s="62"/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46"/>
      <c r="I14" s="46"/>
      <c r="J14" s="44"/>
      <c r="K14" s="46"/>
      <c r="L14" s="46"/>
      <c r="M14" s="46"/>
      <c r="N14" s="48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27"/>
      <c r="I15" s="27"/>
      <c r="J15" s="41"/>
      <c r="K15" s="27"/>
      <c r="L15" s="27"/>
      <c r="M15" s="27"/>
      <c r="N15" s="62"/>
    </row>
    <row r="16" spans="1:14" s="1" customFormat="1" ht="14.1" customHeight="1">
      <c r="A16" s="53"/>
      <c r="B16" s="57" t="s">
        <v>100</v>
      </c>
      <c r="C16" s="58"/>
      <c r="D16" s="82" t="s">
        <v>180</v>
      </c>
      <c r="E16" s="83"/>
      <c r="F16" s="83"/>
      <c r="G16" s="84"/>
      <c r="H16" s="46"/>
      <c r="I16" s="46"/>
      <c r="J16" s="44"/>
      <c r="K16" s="46"/>
      <c r="L16" s="46"/>
      <c r="M16" s="46"/>
      <c r="N16" s="48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/>
      <c r="I17" s="27"/>
      <c r="J17" s="41"/>
      <c r="K17" s="27"/>
      <c r="L17" s="27"/>
      <c r="M17" s="98"/>
      <c r="N17" s="202"/>
    </row>
    <row r="18" spans="1:14" s="1" customFormat="1" ht="14.1" customHeight="1">
      <c r="A18" s="53"/>
      <c r="B18" s="57" t="s">
        <v>120</v>
      </c>
      <c r="C18" s="58"/>
      <c r="D18" s="82" t="s">
        <v>180</v>
      </c>
      <c r="E18" s="83"/>
      <c r="F18" s="83"/>
      <c r="G18" s="84"/>
      <c r="H18" s="75"/>
      <c r="I18" s="46"/>
      <c r="J18" s="44"/>
      <c r="K18" s="46"/>
      <c r="L18" s="46"/>
      <c r="M18" s="75"/>
      <c r="N18" s="203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/>
      <c r="I19" s="27"/>
      <c r="J19" s="41"/>
      <c r="K19" s="27"/>
      <c r="L19" s="27"/>
      <c r="M19" s="27"/>
      <c r="N19" s="62"/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6"/>
      <c r="N20" s="48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54.400000000000006</v>
      </c>
      <c r="I21" s="27">
        <f>SUM(J21)-7</f>
        <v>61.400000000000006</v>
      </c>
      <c r="J21" s="41">
        <v>68.400000000000006</v>
      </c>
      <c r="K21" s="27">
        <f>SUM(J21)+6</f>
        <v>74.400000000000006</v>
      </c>
      <c r="L21" s="27">
        <f>SUM(K21)+6</f>
        <v>80.400000000000006</v>
      </c>
      <c r="M21" s="27">
        <f>SUM(L21)+6</f>
        <v>86.4</v>
      </c>
      <c r="N21" s="62">
        <f>SUM(M21)+6</f>
        <v>92.4</v>
      </c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6"/>
      <c r="N22" s="48"/>
    </row>
    <row r="23" spans="1:14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SUM(I23)-2</f>
        <v>41</v>
      </c>
      <c r="I23" s="27">
        <f>SUM(J23)-2</f>
        <v>43</v>
      </c>
      <c r="J23" s="41">
        <v>45</v>
      </c>
      <c r="K23" s="27">
        <f>SUM(J23)+2</f>
        <v>47</v>
      </c>
      <c r="L23" s="27">
        <f t="shared" ref="L23:N23" si="0">SUM(K23)+2</f>
        <v>49</v>
      </c>
      <c r="M23" s="27">
        <f t="shared" si="0"/>
        <v>51</v>
      </c>
      <c r="N23" s="62">
        <f t="shared" si="0"/>
        <v>53</v>
      </c>
    </row>
    <row r="24" spans="1:14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46"/>
      <c r="N24" s="48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22.999999999999996</v>
      </c>
      <c r="I25" s="27">
        <f>SUM(J25)-1.1</f>
        <v>24.099999999999998</v>
      </c>
      <c r="J25" s="41">
        <v>25.2</v>
      </c>
      <c r="K25" s="27">
        <f>SUM(J25)+1.6</f>
        <v>26.8</v>
      </c>
      <c r="L25" s="27">
        <f>SUM(K25)+1.1</f>
        <v>27.900000000000002</v>
      </c>
      <c r="M25" s="98">
        <f>SUM(L25)+1.1</f>
        <v>29.000000000000004</v>
      </c>
      <c r="N25" s="202">
        <f>SUM(M25)+1.1</f>
        <v>30.100000000000005</v>
      </c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75"/>
      <c r="N26" s="203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29.4</v>
      </c>
      <c r="I27" s="27">
        <f>SUM(J27)-1.3</f>
        <v>30.7</v>
      </c>
      <c r="J27" s="41">
        <v>32</v>
      </c>
      <c r="K27" s="27">
        <f>SUM(J27)+1.8</f>
        <v>33.799999999999997</v>
      </c>
      <c r="L27" s="27">
        <f>SUM(K27)+1.3</f>
        <v>35.099999999999994</v>
      </c>
      <c r="M27" s="98">
        <f>SUM(L27)+1.3</f>
        <v>36.399999999999991</v>
      </c>
      <c r="N27" s="202">
        <f>SUM(M27)+1.3</f>
        <v>37.699999999999989</v>
      </c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75"/>
      <c r="N28" s="203"/>
    </row>
    <row r="29" spans="1:14" s="1" customFormat="1" ht="14.1" customHeight="1">
      <c r="A29" s="52">
        <v>14</v>
      </c>
      <c r="B29" s="36" t="s">
        <v>18</v>
      </c>
      <c r="C29" s="37"/>
      <c r="D29" s="76" t="s">
        <v>251</v>
      </c>
      <c r="E29" s="77"/>
      <c r="F29" s="77"/>
      <c r="G29" s="78"/>
      <c r="H29" s="27">
        <f>SUM(I29)-2.9</f>
        <v>58.7</v>
      </c>
      <c r="I29" s="27">
        <f>SUM(J29)-2.9</f>
        <v>61.6</v>
      </c>
      <c r="J29" s="41">
        <v>64.5</v>
      </c>
      <c r="K29" s="27">
        <f>SUM(J29)+2.7</f>
        <v>67.2</v>
      </c>
      <c r="L29" s="27">
        <f t="shared" ref="L29:M29" si="1">SUM(K29)+2.7</f>
        <v>69.900000000000006</v>
      </c>
      <c r="M29" s="27">
        <f t="shared" si="1"/>
        <v>72.600000000000009</v>
      </c>
      <c r="N29" s="62">
        <f t="shared" ref="N29" si="2">SUM(M29)+2.7</f>
        <v>75.300000000000011</v>
      </c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46"/>
      <c r="N30" s="48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98">
        <f>SUM(I31)-6</f>
        <v>33.1</v>
      </c>
      <c r="I31" s="27">
        <f>SUM(J31)-6</f>
        <v>39.1</v>
      </c>
      <c r="J31" s="41">
        <v>45.1</v>
      </c>
      <c r="K31" s="27">
        <f>SUM(J31)+4.5</f>
        <v>49.6</v>
      </c>
      <c r="L31" s="27">
        <f>SUM(K31)+5</f>
        <v>54.6</v>
      </c>
      <c r="M31" s="98">
        <f>SUM(L31)+5</f>
        <v>59.6</v>
      </c>
      <c r="N31" s="202">
        <f>SUM(M31)+5</f>
        <v>64.599999999999994</v>
      </c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75"/>
      <c r="I32" s="46"/>
      <c r="J32" s="44"/>
      <c r="K32" s="46"/>
      <c r="L32" s="46"/>
      <c r="M32" s="75"/>
      <c r="N32" s="203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27">
        <f>SUM(I33)-2.1</f>
        <v>51.8</v>
      </c>
      <c r="I33" s="27">
        <f>SUM(J33)-2.1</f>
        <v>53.9</v>
      </c>
      <c r="J33" s="41">
        <v>56</v>
      </c>
      <c r="K33" s="27">
        <f>SUM(J33)+2.1</f>
        <v>58.1</v>
      </c>
      <c r="L33" s="27">
        <f t="shared" ref="L33:M33" si="3">SUM(K33)+2.1</f>
        <v>60.2</v>
      </c>
      <c r="M33" s="27">
        <f t="shared" si="3"/>
        <v>62.300000000000004</v>
      </c>
      <c r="N33" s="62">
        <f t="shared" ref="N33" si="4">SUM(M33)+2.1</f>
        <v>64.400000000000006</v>
      </c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46"/>
      <c r="I34" s="46"/>
      <c r="J34" s="44"/>
      <c r="K34" s="46"/>
      <c r="L34" s="46"/>
      <c r="M34" s="46"/>
      <c r="N34" s="48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>
        <f>SUM(I35)-3.3</f>
        <v>34.000000000000007</v>
      </c>
      <c r="I35" s="27">
        <f>SUM(J35)-3.3</f>
        <v>37.300000000000004</v>
      </c>
      <c r="J35" s="41">
        <v>40.6</v>
      </c>
      <c r="K35" s="27">
        <f>SUM(J35)+3.2</f>
        <v>43.800000000000004</v>
      </c>
      <c r="L35" s="27">
        <f>SUM(K35)+2.9</f>
        <v>46.7</v>
      </c>
      <c r="M35" s="27">
        <f>SUM(L35)+2.9</f>
        <v>49.6</v>
      </c>
      <c r="N35" s="62">
        <f>SUM(M35)+2.9</f>
        <v>52.5</v>
      </c>
    </row>
    <row r="36" spans="1:14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44"/>
      <c r="K36" s="46"/>
      <c r="L36" s="46"/>
      <c r="M36" s="46"/>
      <c r="N36" s="48"/>
    </row>
    <row r="37" spans="1:14" s="1" customFormat="1" ht="14.1" customHeight="1">
      <c r="A37" s="52">
        <v>18</v>
      </c>
      <c r="B37" s="36" t="s">
        <v>181</v>
      </c>
      <c r="C37" s="37"/>
      <c r="D37" s="76"/>
      <c r="E37" s="77"/>
      <c r="F37" s="77"/>
      <c r="G37" s="78"/>
      <c r="H37" s="27">
        <f>SUM(I37)-0.5</f>
        <v>11</v>
      </c>
      <c r="I37" s="27">
        <f>SUM(J37)-0.5</f>
        <v>11.5</v>
      </c>
      <c r="J37" s="41">
        <v>12</v>
      </c>
      <c r="K37" s="27">
        <f>SUM(J37)+0.5</f>
        <v>12.5</v>
      </c>
      <c r="L37" s="27">
        <f>SUM(K37)+0.5</f>
        <v>13</v>
      </c>
      <c r="M37" s="27">
        <f>SUM(L37)+0.5</f>
        <v>13.5</v>
      </c>
      <c r="N37" s="62">
        <f>SUM(M37)+0.5</f>
        <v>14</v>
      </c>
    </row>
    <row r="38" spans="1:14" s="1" customFormat="1" ht="14.1" customHeight="1">
      <c r="A38" s="53"/>
      <c r="B38" s="57" t="s">
        <v>182</v>
      </c>
      <c r="C38" s="58"/>
      <c r="D38" s="59"/>
      <c r="E38" s="60"/>
      <c r="F38" s="60"/>
      <c r="G38" s="61"/>
      <c r="H38" s="46"/>
      <c r="I38" s="46"/>
      <c r="J38" s="44"/>
      <c r="K38" s="46"/>
      <c r="L38" s="46"/>
      <c r="M38" s="46"/>
      <c r="N38" s="48"/>
    </row>
    <row r="39" spans="1:14" s="1" customFormat="1" ht="14.1" customHeight="1">
      <c r="A39" s="52">
        <v>19</v>
      </c>
      <c r="B39" s="36" t="s">
        <v>95</v>
      </c>
      <c r="C39" s="37"/>
      <c r="D39" s="76"/>
      <c r="E39" s="77"/>
      <c r="F39" s="77"/>
      <c r="G39" s="78"/>
      <c r="H39" s="27">
        <f>SUM(I39)-0.5</f>
        <v>10</v>
      </c>
      <c r="I39" s="27">
        <f>SUM(J39)-0.5</f>
        <v>10.5</v>
      </c>
      <c r="J39" s="41">
        <v>11</v>
      </c>
      <c r="K39" s="27">
        <f>SUM(J39)+0.5</f>
        <v>11.5</v>
      </c>
      <c r="L39" s="27">
        <f>SUM(K39)+0.5</f>
        <v>12</v>
      </c>
      <c r="M39" s="27">
        <f>SUM(L39)+0.5</f>
        <v>12.5</v>
      </c>
      <c r="N39" s="62">
        <f>SUM(M39)+0.5</f>
        <v>13</v>
      </c>
    </row>
    <row r="40" spans="1:14" s="1" customFormat="1" ht="14.1" customHeight="1">
      <c r="A40" s="53"/>
      <c r="B40" s="127" t="s">
        <v>94</v>
      </c>
      <c r="C40" s="128"/>
      <c r="D40" s="59"/>
      <c r="E40" s="60"/>
      <c r="F40" s="60"/>
      <c r="G40" s="61"/>
      <c r="H40" s="46"/>
      <c r="I40" s="46"/>
      <c r="J40" s="44"/>
      <c r="K40" s="46"/>
      <c r="L40" s="46"/>
      <c r="M40" s="46"/>
      <c r="N40" s="48"/>
    </row>
    <row r="41" spans="1:14" s="1" customFormat="1" ht="14.1" customHeight="1">
      <c r="A41" s="52">
        <v>20</v>
      </c>
      <c r="B41" s="36" t="s">
        <v>93</v>
      </c>
      <c r="C41" s="37"/>
      <c r="D41" s="124"/>
      <c r="E41" s="124"/>
      <c r="F41" s="124"/>
      <c r="G41" s="124"/>
      <c r="H41" s="27">
        <f>SUM(I41)-0.5</f>
        <v>11</v>
      </c>
      <c r="I41" s="27">
        <f>SUM(J41)-0.5</f>
        <v>11.5</v>
      </c>
      <c r="J41" s="41">
        <v>12</v>
      </c>
      <c r="K41" s="27">
        <f>SUM(J41)+0.5</f>
        <v>12.5</v>
      </c>
      <c r="L41" s="27">
        <f>SUM(K41)+0.5</f>
        <v>13</v>
      </c>
      <c r="M41" s="27">
        <f>SUM(L41)+0.5</f>
        <v>13.5</v>
      </c>
      <c r="N41" s="62">
        <f>SUM(M41)+0.5</f>
        <v>14</v>
      </c>
    </row>
    <row r="42" spans="1:14" s="1" customFormat="1" ht="14.1" customHeight="1">
      <c r="A42" s="52"/>
      <c r="B42" s="153" t="s">
        <v>92</v>
      </c>
      <c r="C42" s="153"/>
      <c r="D42" s="102"/>
      <c r="E42" s="103"/>
      <c r="F42" s="103"/>
      <c r="G42" s="104"/>
      <c r="H42" s="46"/>
      <c r="I42" s="46"/>
      <c r="J42" s="44"/>
      <c r="K42" s="46"/>
      <c r="L42" s="46"/>
      <c r="M42" s="46"/>
      <c r="N42" s="48"/>
    </row>
    <row r="43" spans="1:14" s="1" customFormat="1" ht="14.1" customHeight="1">
      <c r="A43" s="159">
        <v>21</v>
      </c>
      <c r="B43" s="36" t="s">
        <v>183</v>
      </c>
      <c r="C43" s="37"/>
      <c r="D43" s="124"/>
      <c r="E43" s="124"/>
      <c r="F43" s="124"/>
      <c r="G43" s="124"/>
      <c r="H43" s="27">
        <f>SUM(I43)-2</f>
        <v>59</v>
      </c>
      <c r="I43" s="27">
        <f>SUM(J43)-2</f>
        <v>61</v>
      </c>
      <c r="J43" s="41">
        <v>63</v>
      </c>
      <c r="K43" s="27">
        <f>SUM(J43)+2</f>
        <v>65</v>
      </c>
      <c r="L43" s="27">
        <f t="shared" ref="L43:M43" si="5">SUM(K43)+2</f>
        <v>67</v>
      </c>
      <c r="M43" s="27">
        <f t="shared" si="5"/>
        <v>69</v>
      </c>
      <c r="N43" s="62">
        <f t="shared" ref="N43" si="6">SUM(M43)+2</f>
        <v>71</v>
      </c>
    </row>
    <row r="44" spans="1:14" s="1" customFormat="1" ht="14.1" customHeight="1">
      <c r="A44" s="152"/>
      <c r="B44" s="153" t="s">
        <v>184</v>
      </c>
      <c r="C44" s="153"/>
      <c r="D44" s="102" t="s">
        <v>185</v>
      </c>
      <c r="E44" s="103"/>
      <c r="F44" s="103"/>
      <c r="G44" s="104"/>
      <c r="H44" s="45"/>
      <c r="I44" s="45"/>
      <c r="J44" s="43"/>
      <c r="K44" s="45"/>
      <c r="L44" s="45"/>
      <c r="M44" s="45"/>
      <c r="N44" s="47"/>
    </row>
    <row r="45" spans="1:14" s="1" customFormat="1" ht="14.1" customHeight="1">
      <c r="A45" s="159">
        <v>22</v>
      </c>
      <c r="B45" s="36" t="s">
        <v>148</v>
      </c>
      <c r="C45" s="37"/>
      <c r="D45" s="124"/>
      <c r="E45" s="124"/>
      <c r="F45" s="124"/>
      <c r="G45" s="124"/>
      <c r="H45" s="27">
        <f>SUM(I45)</f>
        <v>13</v>
      </c>
      <c r="I45" s="27">
        <f>SUM(J45)</f>
        <v>13</v>
      </c>
      <c r="J45" s="41">
        <v>13</v>
      </c>
      <c r="K45" s="27">
        <f>SUM(J45)</f>
        <v>13</v>
      </c>
      <c r="L45" s="27">
        <f t="shared" ref="L45:N45" si="7">SUM(K45)</f>
        <v>13</v>
      </c>
      <c r="M45" s="27">
        <f t="shared" si="7"/>
        <v>13</v>
      </c>
      <c r="N45" s="62">
        <f t="shared" si="7"/>
        <v>13</v>
      </c>
    </row>
    <row r="46" spans="1:14" ht="14.1" customHeight="1" thickBot="1">
      <c r="A46" s="158"/>
      <c r="B46" s="118" t="s">
        <v>149</v>
      </c>
      <c r="C46" s="118"/>
      <c r="D46" s="119" t="s">
        <v>252</v>
      </c>
      <c r="E46" s="120"/>
      <c r="F46" s="120"/>
      <c r="G46" s="121"/>
      <c r="H46" s="28"/>
      <c r="I46" s="28"/>
      <c r="J46" s="42"/>
      <c r="K46" s="28"/>
      <c r="L46" s="28"/>
      <c r="M46" s="28"/>
      <c r="N46" s="160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3.5" customHeight="1"/>
  </sheetData>
  <mergeCells count="267">
    <mergeCell ref="N37:N38"/>
    <mergeCell ref="N39:N40"/>
    <mergeCell ref="N41:N42"/>
    <mergeCell ref="N43:N44"/>
    <mergeCell ref="N25:N26"/>
    <mergeCell ref="N27:N28"/>
    <mergeCell ref="N29:N30"/>
    <mergeCell ref="N31:N32"/>
    <mergeCell ref="N33:N34"/>
    <mergeCell ref="N35:N36"/>
    <mergeCell ref="N13:N14"/>
    <mergeCell ref="N15:N16"/>
    <mergeCell ref="N17:N18"/>
    <mergeCell ref="N19:N20"/>
    <mergeCell ref="N21:N22"/>
    <mergeCell ref="N23:N24"/>
    <mergeCell ref="A1:N1"/>
    <mergeCell ref="N3:N4"/>
    <mergeCell ref="N5:N6"/>
    <mergeCell ref="N7:N8"/>
    <mergeCell ref="N9:N10"/>
    <mergeCell ref="N11:N1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3:K4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H5:H6"/>
    <mergeCell ref="I5:I6"/>
    <mergeCell ref="J5:J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N45:N46"/>
    <mergeCell ref="B46:C46"/>
    <mergeCell ref="D46:G4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A45:A46"/>
    <mergeCell ref="B45:C45"/>
    <mergeCell ref="D45:G45"/>
    <mergeCell ref="H45:H46"/>
    <mergeCell ref="I45:I46"/>
    <mergeCell ref="J45:J46"/>
    <mergeCell ref="K45:K46"/>
    <mergeCell ref="L45:L46"/>
    <mergeCell ref="M45:M4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629C-31F7-4504-BB9A-C3938EBF509C}">
  <sheetPr codeName="Sheet10">
    <tabColor theme="5"/>
    <pageSetUpPr fitToPage="1"/>
  </sheetPr>
  <dimension ref="A1:N52"/>
  <sheetViews>
    <sheetView topLeftCell="A10" zoomScale="110" zoomScaleNormal="110" workbookViewId="0">
      <selection activeCell="I23" sqref="I23:I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341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13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7">
        <f>SUM(L3)+3</f>
        <v>60</v>
      </c>
      <c r="N3"/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8"/>
      <c r="N4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98"/>
      <c r="I5" s="27"/>
      <c r="J5" s="43"/>
      <c r="K5" s="45"/>
      <c r="L5" s="45"/>
      <c r="M5" s="47"/>
      <c r="N5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75"/>
      <c r="I6" s="46"/>
      <c r="J6" s="44"/>
      <c r="K6" s="46"/>
      <c r="L6" s="46"/>
      <c r="M6" s="48"/>
      <c r="N6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98"/>
      <c r="I7" s="27"/>
      <c r="J7" s="43"/>
      <c r="K7" s="45"/>
      <c r="L7" s="45"/>
      <c r="M7" s="47"/>
      <c r="N7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75"/>
      <c r="I8" s="46"/>
      <c r="J8" s="44"/>
      <c r="K8" s="46"/>
      <c r="L8" s="46"/>
      <c r="M8" s="48"/>
      <c r="N8"/>
    </row>
    <row r="9" spans="1:14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7"/>
      <c r="I9" s="27"/>
      <c r="J9" s="43"/>
      <c r="K9" s="45"/>
      <c r="L9" s="45"/>
      <c r="M9" s="47"/>
      <c r="N9"/>
    </row>
    <row r="10" spans="1:14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46"/>
      <c r="I10" s="46"/>
      <c r="J10" s="44"/>
      <c r="K10" s="46"/>
      <c r="L10" s="46"/>
      <c r="M10" s="48"/>
      <c r="N10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27">
        <f>SUM(I11)-3.5</f>
        <v>65.7</v>
      </c>
      <c r="I11" s="27">
        <f>SUM(J11)-3.5</f>
        <v>69.2</v>
      </c>
      <c r="J11" s="43">
        <v>72.7</v>
      </c>
      <c r="K11" s="27">
        <f>SUM(J11)+3.5</f>
        <v>76.2</v>
      </c>
      <c r="L11" s="27">
        <f>SUM(K11)+3.5</f>
        <v>79.7</v>
      </c>
      <c r="M11" s="62">
        <f>SUM(L11)+3.5</f>
        <v>83.2</v>
      </c>
      <c r="N11"/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46"/>
      <c r="I12" s="46"/>
      <c r="J12" s="44"/>
      <c r="K12" s="46"/>
      <c r="L12" s="46"/>
      <c r="M12" s="48"/>
      <c r="N12"/>
    </row>
    <row r="13" spans="1:14" s="1" customFormat="1" ht="14.1" customHeight="1">
      <c r="A13" s="52">
        <v>6</v>
      </c>
      <c r="B13" s="36" t="s">
        <v>11</v>
      </c>
      <c r="C13" s="37"/>
      <c r="D13" s="76" t="s">
        <v>333</v>
      </c>
      <c r="E13" s="77"/>
      <c r="F13" s="77"/>
      <c r="G13" s="78"/>
      <c r="H13" s="27"/>
      <c r="I13" s="27"/>
      <c r="J13" s="41"/>
      <c r="K13" s="27"/>
      <c r="L13" s="27"/>
      <c r="M13" s="62"/>
      <c r="N13"/>
    </row>
    <row r="14" spans="1:14" s="1" customFormat="1" ht="14.1" customHeight="1">
      <c r="A14" s="53"/>
      <c r="B14" s="57" t="s">
        <v>335</v>
      </c>
      <c r="C14" s="58"/>
      <c r="D14" s="59" t="s">
        <v>88</v>
      </c>
      <c r="E14" s="60"/>
      <c r="F14" s="60"/>
      <c r="G14" s="61"/>
      <c r="H14" s="46"/>
      <c r="I14" s="46"/>
      <c r="J14" s="44"/>
      <c r="K14" s="46"/>
      <c r="L14" s="46"/>
      <c r="M14" s="48"/>
      <c r="N14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98"/>
      <c r="I15" s="27"/>
      <c r="J15" s="41"/>
      <c r="K15" s="27"/>
      <c r="L15" s="27"/>
      <c r="M15" s="202"/>
      <c r="N15"/>
    </row>
    <row r="16" spans="1:14" s="1" customFormat="1" ht="14.1" customHeight="1">
      <c r="A16" s="53"/>
      <c r="B16" s="57" t="s">
        <v>100</v>
      </c>
      <c r="C16" s="58"/>
      <c r="D16" s="82" t="s">
        <v>334</v>
      </c>
      <c r="E16" s="83"/>
      <c r="F16" s="83"/>
      <c r="G16" s="84"/>
      <c r="H16" s="75"/>
      <c r="I16" s="46"/>
      <c r="J16" s="44"/>
      <c r="K16" s="46"/>
      <c r="L16" s="46"/>
      <c r="M16" s="203"/>
      <c r="N16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/>
      <c r="I17" s="27"/>
      <c r="J17" s="41"/>
      <c r="K17" s="27"/>
      <c r="L17" s="27"/>
      <c r="M17" s="202"/>
      <c r="N17"/>
    </row>
    <row r="18" spans="1:14" s="1" customFormat="1" ht="14.1" customHeight="1">
      <c r="A18" s="53"/>
      <c r="B18" s="57" t="s">
        <v>120</v>
      </c>
      <c r="C18" s="58"/>
      <c r="D18" s="82" t="s">
        <v>121</v>
      </c>
      <c r="E18" s="83"/>
      <c r="F18" s="83"/>
      <c r="G18" s="84"/>
      <c r="H18" s="75"/>
      <c r="I18" s="46"/>
      <c r="J18" s="44"/>
      <c r="K18" s="46"/>
      <c r="L18" s="46"/>
      <c r="M18" s="203"/>
      <c r="N18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/>
      <c r="I19" s="27"/>
      <c r="J19" s="41"/>
      <c r="K19" s="27"/>
      <c r="L19" s="27"/>
      <c r="M19" s="62"/>
      <c r="N19"/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8"/>
      <c r="N20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53</v>
      </c>
      <c r="I21" s="27">
        <f>SUM(J21)-7</f>
        <v>60</v>
      </c>
      <c r="J21" s="41">
        <v>67</v>
      </c>
      <c r="K21" s="27">
        <f>SUM(J21)+6</f>
        <v>73</v>
      </c>
      <c r="L21" s="27">
        <f>SUM(K21)+6</f>
        <v>79</v>
      </c>
      <c r="M21" s="62">
        <f>SUM(L21)+6</f>
        <v>85</v>
      </c>
      <c r="N21"/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8"/>
      <c r="N22"/>
    </row>
    <row r="23" spans="1:14" s="1" customFormat="1" ht="14.1" customHeight="1">
      <c r="A23" s="52">
        <v>11</v>
      </c>
      <c r="B23" s="36" t="s">
        <v>337</v>
      </c>
      <c r="C23" s="37"/>
      <c r="D23" s="76"/>
      <c r="E23" s="77"/>
      <c r="F23" s="77"/>
      <c r="G23" s="78"/>
      <c r="H23" s="27">
        <f>SUM(I23)-1</f>
        <v>19</v>
      </c>
      <c r="I23" s="27">
        <f>SUM(J23)-1</f>
        <v>20</v>
      </c>
      <c r="J23" s="41">
        <v>21</v>
      </c>
      <c r="K23" s="27">
        <f>SUM(J23)+1</f>
        <v>22</v>
      </c>
      <c r="L23" s="27">
        <f t="shared" ref="L23:M23" si="0">SUM(K23)+1</f>
        <v>23</v>
      </c>
      <c r="M23" s="62">
        <f t="shared" si="0"/>
        <v>24</v>
      </c>
      <c r="N23"/>
    </row>
    <row r="24" spans="1:14" s="1" customFormat="1" ht="14.1" customHeight="1">
      <c r="A24" s="53"/>
      <c r="B24" s="57" t="s">
        <v>338</v>
      </c>
      <c r="C24" s="58"/>
      <c r="D24" s="79" t="s">
        <v>336</v>
      </c>
      <c r="E24" s="80"/>
      <c r="F24" s="80"/>
      <c r="G24" s="81"/>
      <c r="H24" s="46"/>
      <c r="I24" s="46"/>
      <c r="J24" s="44"/>
      <c r="K24" s="46"/>
      <c r="L24" s="46"/>
      <c r="M24" s="48"/>
      <c r="N24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21.499999999999996</v>
      </c>
      <c r="I25" s="27">
        <f>SUM(J25)-1.1</f>
        <v>22.599999999999998</v>
      </c>
      <c r="J25" s="41">
        <v>23.7</v>
      </c>
      <c r="K25" s="27">
        <f>SUM(J25)+1.6</f>
        <v>25.3</v>
      </c>
      <c r="L25" s="27">
        <f>SUM(K25)+1.1</f>
        <v>26.400000000000002</v>
      </c>
      <c r="M25" s="202">
        <f>SUM(L25)+1.1</f>
        <v>27.500000000000004</v>
      </c>
      <c r="N25"/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203"/>
      <c r="N26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28.5</v>
      </c>
      <c r="I27" s="27">
        <f>SUM(J27)-1.3</f>
        <v>29.8</v>
      </c>
      <c r="J27" s="41">
        <v>31.1</v>
      </c>
      <c r="K27" s="27">
        <f>SUM(J27)+1.8</f>
        <v>32.9</v>
      </c>
      <c r="L27" s="27">
        <f>SUM(K27)+1.3</f>
        <v>34.199999999999996</v>
      </c>
      <c r="M27" s="202">
        <f>SUM(L27)+1.3</f>
        <v>35.499999999999993</v>
      </c>
      <c r="N27"/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203"/>
      <c r="N28"/>
    </row>
    <row r="29" spans="1:14" s="1" customFormat="1" ht="14.1" customHeight="1">
      <c r="A29" s="52">
        <v>14</v>
      </c>
      <c r="B29" s="36" t="s">
        <v>18</v>
      </c>
      <c r="C29" s="37"/>
      <c r="D29" s="76" t="s">
        <v>251</v>
      </c>
      <c r="E29" s="77"/>
      <c r="F29" s="77"/>
      <c r="G29" s="78"/>
      <c r="H29" s="27">
        <f>SUM(I29)-2.7</f>
        <v>46.3</v>
      </c>
      <c r="I29" s="27">
        <f>SUM(J29)-2.7</f>
        <v>49</v>
      </c>
      <c r="J29" s="41">
        <v>51.7</v>
      </c>
      <c r="K29" s="27">
        <f>SUM(J29)+2.5</f>
        <v>54.2</v>
      </c>
      <c r="L29" s="27">
        <f>SUM(K29)+2.6</f>
        <v>56.800000000000004</v>
      </c>
      <c r="M29" s="62">
        <f t="shared" ref="M29" si="1">SUM(L29)+2.6</f>
        <v>59.400000000000006</v>
      </c>
      <c r="N29"/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48"/>
      <c r="N30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27">
        <f>SUM(I31)-6</f>
        <v>32.4</v>
      </c>
      <c r="I31" s="27">
        <f>SUM(J31)-6</f>
        <v>38.4</v>
      </c>
      <c r="J31" s="41">
        <v>44.4</v>
      </c>
      <c r="K31" s="27">
        <f>SUM(J31)+4.5</f>
        <v>48.9</v>
      </c>
      <c r="L31" s="27">
        <f>SUM(K31)+5</f>
        <v>53.9</v>
      </c>
      <c r="M31" s="62">
        <f>SUM(L31)+5</f>
        <v>58.9</v>
      </c>
      <c r="N31"/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46"/>
      <c r="I32" s="46"/>
      <c r="J32" s="44"/>
      <c r="K32" s="46"/>
      <c r="L32" s="46"/>
      <c r="M32" s="48"/>
      <c r="N32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27">
        <f>SUM(I33)-2</f>
        <v>41.3</v>
      </c>
      <c r="I33" s="27">
        <f>SUM(J33)-2</f>
        <v>43.3</v>
      </c>
      <c r="J33" s="41">
        <v>45.3</v>
      </c>
      <c r="K33" s="27">
        <f>SUM(J33)+2</f>
        <v>47.3</v>
      </c>
      <c r="L33" s="27">
        <f t="shared" ref="L33:M33" si="2">SUM(K33)+2</f>
        <v>49.3</v>
      </c>
      <c r="M33" s="62">
        <f t="shared" si="2"/>
        <v>51.3</v>
      </c>
      <c r="N33"/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46"/>
      <c r="I34" s="46"/>
      <c r="J34" s="44"/>
      <c r="K34" s="46"/>
      <c r="L34" s="46"/>
      <c r="M34" s="48"/>
      <c r="N34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>
        <f>SUM(I35)-3.3</f>
        <v>33.100000000000009</v>
      </c>
      <c r="I35" s="27">
        <f>SUM(J35)-3.3</f>
        <v>36.400000000000006</v>
      </c>
      <c r="J35" s="41">
        <v>39.700000000000003</v>
      </c>
      <c r="K35" s="27">
        <f>SUM(J35)+3.2</f>
        <v>42.900000000000006</v>
      </c>
      <c r="L35" s="27">
        <f>SUM(K35)+2.9</f>
        <v>45.800000000000004</v>
      </c>
      <c r="M35" s="62">
        <f>SUM(L35)+2.9</f>
        <v>48.7</v>
      </c>
      <c r="N35"/>
    </row>
    <row r="36" spans="1:14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44"/>
      <c r="K36" s="46"/>
      <c r="L36" s="46"/>
      <c r="M36" s="48"/>
      <c r="N36"/>
    </row>
    <row r="37" spans="1:14" s="1" customFormat="1" ht="14.1" customHeight="1">
      <c r="A37" s="52">
        <v>18</v>
      </c>
      <c r="B37" s="36" t="s">
        <v>339</v>
      </c>
      <c r="C37" s="37"/>
      <c r="D37" s="76"/>
      <c r="E37" s="77"/>
      <c r="F37" s="77"/>
      <c r="G37" s="78"/>
      <c r="H37" s="27">
        <f>SUM(I37)-0.5</f>
        <v>10</v>
      </c>
      <c r="I37" s="27">
        <f>SUM(J37)-0.5</f>
        <v>10.5</v>
      </c>
      <c r="J37" s="125">
        <v>11</v>
      </c>
      <c r="K37" s="114">
        <f>SUM(J37)+0.5</f>
        <v>11.5</v>
      </c>
      <c r="L37" s="114">
        <f t="shared" ref="L37:M37" si="3">SUM(K37)+0.5</f>
        <v>12</v>
      </c>
      <c r="M37" s="162">
        <f t="shared" si="3"/>
        <v>12.5</v>
      </c>
      <c r="N37"/>
    </row>
    <row r="38" spans="1:14" s="1" customFormat="1" ht="14.1" customHeight="1">
      <c r="A38" s="53"/>
      <c r="B38" s="57" t="s">
        <v>340</v>
      </c>
      <c r="C38" s="58"/>
      <c r="D38" s="59"/>
      <c r="E38" s="60"/>
      <c r="F38" s="60"/>
      <c r="G38" s="61"/>
      <c r="H38" s="46"/>
      <c r="I38" s="46"/>
      <c r="J38" s="125"/>
      <c r="K38" s="114"/>
      <c r="L38" s="114"/>
      <c r="M38" s="162"/>
      <c r="N38"/>
    </row>
    <row r="39" spans="1:14" s="1" customFormat="1" ht="14.1" customHeight="1">
      <c r="A39" s="52">
        <v>19</v>
      </c>
      <c r="B39" s="36" t="s">
        <v>95</v>
      </c>
      <c r="C39" s="37"/>
      <c r="D39" s="124"/>
      <c r="E39" s="124"/>
      <c r="F39" s="124"/>
      <c r="G39" s="124"/>
      <c r="H39" s="27">
        <f>SUM(I39)-0.5</f>
        <v>10</v>
      </c>
      <c r="I39" s="27">
        <f>SUM(J39)-0.5</f>
        <v>10.5</v>
      </c>
      <c r="J39" s="41">
        <v>11</v>
      </c>
      <c r="K39" s="27">
        <f>SUM(J39)+0.5</f>
        <v>11.5</v>
      </c>
      <c r="L39" s="27">
        <f>SUM(K39)+0.5</f>
        <v>12</v>
      </c>
      <c r="M39" s="62">
        <f>SUM(L39)+0.5</f>
        <v>12.5</v>
      </c>
      <c r="N39"/>
    </row>
    <row r="40" spans="1:14" s="1" customFormat="1" ht="14.1" customHeight="1">
      <c r="A40" s="53"/>
      <c r="B40" s="127" t="s">
        <v>94</v>
      </c>
      <c r="C40" s="128"/>
      <c r="D40" s="79"/>
      <c r="E40" s="80"/>
      <c r="F40" s="80"/>
      <c r="G40" s="81"/>
      <c r="H40" s="46"/>
      <c r="I40" s="46"/>
      <c r="J40" s="44"/>
      <c r="K40" s="46"/>
      <c r="L40" s="46"/>
      <c r="M40" s="48"/>
      <c r="N40"/>
    </row>
    <row r="41" spans="1:14" s="1" customFormat="1" ht="14.1" customHeight="1">
      <c r="A41" s="52">
        <v>20</v>
      </c>
      <c r="B41" s="36" t="s">
        <v>93</v>
      </c>
      <c r="C41" s="37"/>
      <c r="D41" s="124"/>
      <c r="E41" s="124"/>
      <c r="F41" s="124"/>
      <c r="G41" s="124"/>
      <c r="H41" s="27">
        <f>SUM(I41)-0.5</f>
        <v>10</v>
      </c>
      <c r="I41" s="27">
        <f>SUM(J41)-0.5</f>
        <v>10.5</v>
      </c>
      <c r="J41" s="41">
        <v>11</v>
      </c>
      <c r="K41" s="27">
        <f>SUM(J41)+0.5</f>
        <v>11.5</v>
      </c>
      <c r="L41" s="27">
        <f>SUM(K41)+0.5</f>
        <v>12</v>
      </c>
      <c r="M41" s="62">
        <f>SUM(L41)+0.5</f>
        <v>12.5</v>
      </c>
      <c r="N41"/>
    </row>
    <row r="42" spans="1:14" s="1" customFormat="1" ht="14.1" customHeight="1">
      <c r="A42" s="53"/>
      <c r="B42" s="75" t="s">
        <v>92</v>
      </c>
      <c r="C42" s="75"/>
      <c r="D42" s="79"/>
      <c r="E42" s="80"/>
      <c r="F42" s="80"/>
      <c r="G42" s="81"/>
      <c r="H42" s="46"/>
      <c r="I42" s="46"/>
      <c r="J42" s="44"/>
      <c r="K42" s="46"/>
      <c r="L42" s="46"/>
      <c r="M42" s="48"/>
      <c r="N42"/>
    </row>
    <row r="43" spans="1:14" s="1" customFormat="1" ht="14.1" customHeight="1">
      <c r="A43" s="52">
        <v>21</v>
      </c>
      <c r="B43" s="36" t="s">
        <v>114</v>
      </c>
      <c r="C43" s="37"/>
      <c r="D43" s="124"/>
      <c r="E43" s="124"/>
      <c r="F43" s="124"/>
      <c r="G43" s="124"/>
      <c r="H43" s="27">
        <f>SUM(I43)-0.2</f>
        <v>3.0999999999999996</v>
      </c>
      <c r="I43" s="27">
        <f>SUM(J43)-0.2</f>
        <v>3.3</v>
      </c>
      <c r="J43" s="41">
        <v>3.5</v>
      </c>
      <c r="K43" s="27">
        <f>SUM(J43)+0.2</f>
        <v>3.7</v>
      </c>
      <c r="L43" s="27">
        <f t="shared" ref="L43:M43" si="4">SUM(K43)+0.2</f>
        <v>3.9000000000000004</v>
      </c>
      <c r="M43" s="62">
        <f t="shared" si="4"/>
        <v>4.1000000000000005</v>
      </c>
      <c r="N43"/>
    </row>
    <row r="44" spans="1:14" s="1" customFormat="1" ht="14.1" customHeight="1">
      <c r="A44" s="53"/>
      <c r="B44" s="127" t="s">
        <v>122</v>
      </c>
      <c r="C44" s="128"/>
      <c r="D44" s="79" t="s">
        <v>231</v>
      </c>
      <c r="E44" s="80"/>
      <c r="F44" s="80"/>
      <c r="G44" s="81"/>
      <c r="H44" s="46"/>
      <c r="I44" s="46"/>
      <c r="J44" s="44"/>
      <c r="K44" s="46"/>
      <c r="L44" s="46"/>
      <c r="M44" s="48"/>
      <c r="N44"/>
    </row>
    <row r="45" spans="1:14" s="1" customFormat="1" ht="14.1" customHeight="1">
      <c r="A45" s="52">
        <v>22</v>
      </c>
      <c r="B45" s="36"/>
      <c r="C45" s="37"/>
      <c r="D45" s="124"/>
      <c r="E45" s="124"/>
      <c r="F45" s="124"/>
      <c r="G45" s="124"/>
      <c r="H45" s="27"/>
      <c r="I45" s="27"/>
      <c r="J45" s="41"/>
      <c r="K45" s="27"/>
      <c r="L45" s="27"/>
      <c r="M45" s="62"/>
      <c r="N45"/>
    </row>
    <row r="46" spans="1:14" s="1" customFormat="1" ht="14.1" customHeight="1">
      <c r="A46" s="53"/>
      <c r="B46" s="127"/>
      <c r="C46" s="128"/>
      <c r="D46" s="79"/>
      <c r="E46" s="80"/>
      <c r="F46" s="80"/>
      <c r="G46" s="81"/>
      <c r="H46" s="46"/>
      <c r="I46" s="46"/>
      <c r="J46" s="44"/>
      <c r="K46" s="46"/>
      <c r="L46" s="46"/>
      <c r="M46" s="48"/>
      <c r="N46"/>
    </row>
    <row r="47" spans="1:14" s="1" customFormat="1" ht="14.1" customHeight="1">
      <c r="A47" s="52">
        <v>23</v>
      </c>
      <c r="B47" s="36"/>
      <c r="C47" s="37"/>
      <c r="D47" s="124"/>
      <c r="E47" s="124"/>
      <c r="F47" s="124"/>
      <c r="G47" s="124"/>
      <c r="H47" s="27"/>
      <c r="I47" s="27"/>
      <c r="J47" s="41"/>
      <c r="K47" s="27"/>
      <c r="L47" s="27"/>
      <c r="M47" s="62"/>
      <c r="N47"/>
    </row>
    <row r="48" spans="1:14" s="1" customFormat="1" ht="14.1" customHeight="1" thickBot="1">
      <c r="A48" s="35"/>
      <c r="B48" s="118"/>
      <c r="C48" s="118"/>
      <c r="D48" s="119"/>
      <c r="E48" s="120"/>
      <c r="F48" s="120"/>
      <c r="G48" s="121"/>
      <c r="H48" s="28"/>
      <c r="I48" s="28"/>
      <c r="J48" s="42"/>
      <c r="K48" s="28"/>
      <c r="L48" s="28"/>
      <c r="M48" s="160"/>
      <c r="N48"/>
    </row>
    <row r="49" spans="1:14" s="1" customFormat="1" ht="14.1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s="1" customFormat="1" ht="14.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s="1" customFormat="1" ht="14.1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s="1" customFormat="1" ht="14.1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</sheetData>
  <mergeCells count="256">
    <mergeCell ref="A1:M1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7D5A-E356-4FBB-B99F-CCB3F342B766}">
  <sheetPr codeName="Sheet47">
    <tabColor theme="5"/>
    <pageSetUpPr fitToPage="1"/>
  </sheetPr>
  <dimension ref="A1:N52"/>
  <sheetViews>
    <sheetView topLeftCell="A19" zoomScale="110" zoomScaleNormal="110" workbookViewId="0">
      <selection activeCell="A41" sqref="A41:M4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343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13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150">
        <f>SUM(L3)+3</f>
        <v>60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132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27"/>
      <c r="I5" s="27"/>
      <c r="J5" s="43"/>
      <c r="K5" s="45"/>
      <c r="L5" s="45"/>
      <c r="M5" s="151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46"/>
      <c r="I6" s="46"/>
      <c r="J6" s="44"/>
      <c r="K6" s="46"/>
      <c r="L6" s="46"/>
      <c r="M6" s="132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27"/>
      <c r="I7" s="27"/>
      <c r="J7" s="43"/>
      <c r="K7" s="45"/>
      <c r="L7" s="45"/>
      <c r="M7" s="151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46"/>
      <c r="I8" s="46"/>
      <c r="J8" s="44"/>
      <c r="K8" s="46"/>
      <c r="L8" s="46"/>
      <c r="M8" s="132"/>
    </row>
    <row r="9" spans="1:14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01">
        <f>SUM(I9)-2.2</f>
        <v>-4.4000000000000004</v>
      </c>
      <c r="I9" s="201">
        <f>SUM(J9)-2.2</f>
        <v>-2.2000000000000002</v>
      </c>
      <c r="J9" s="43"/>
      <c r="K9" s="196">
        <f>SUM(J9)+2.2</f>
        <v>2.2000000000000002</v>
      </c>
      <c r="L9" s="196">
        <f>SUM(K9)+2.2</f>
        <v>4.4000000000000004</v>
      </c>
      <c r="M9" s="204">
        <f>SUM(L9)+2.2</f>
        <v>6.6000000000000005</v>
      </c>
    </row>
    <row r="10" spans="1:14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197"/>
      <c r="I10" s="197"/>
      <c r="J10" s="44"/>
      <c r="K10" s="197"/>
      <c r="L10" s="197"/>
      <c r="M10" s="205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27">
        <f>SUM(I11)-3.5</f>
        <v>68</v>
      </c>
      <c r="I11" s="27">
        <f>SUM(J11)-3.5</f>
        <v>71.5</v>
      </c>
      <c r="J11" s="43">
        <v>75</v>
      </c>
      <c r="K11" s="27">
        <f>SUM(J11)+3.5</f>
        <v>78.5</v>
      </c>
      <c r="L11" s="27">
        <f>SUM(K11)+3.5</f>
        <v>82</v>
      </c>
      <c r="M11" s="29">
        <f>SUM(L11)+3.5</f>
        <v>85.5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46"/>
      <c r="I12" s="46"/>
      <c r="J12" s="44"/>
      <c r="K12" s="46"/>
      <c r="L12" s="46"/>
      <c r="M12" s="132"/>
    </row>
    <row r="13" spans="1:14" s="1" customFormat="1" ht="14.1" customHeight="1">
      <c r="A13" s="52">
        <v>6</v>
      </c>
      <c r="B13" s="36" t="s">
        <v>11</v>
      </c>
      <c r="C13" s="37"/>
      <c r="D13" s="76" t="s">
        <v>116</v>
      </c>
      <c r="E13" s="77"/>
      <c r="F13" s="77"/>
      <c r="G13" s="78"/>
      <c r="H13" s="27">
        <f>SUM(I13)-4</f>
        <v>72</v>
      </c>
      <c r="I13" s="27">
        <f>SUM(J13)-4</f>
        <v>76</v>
      </c>
      <c r="J13" s="41">
        <v>80</v>
      </c>
      <c r="K13" s="27">
        <f>SUM(J13)+4</f>
        <v>84</v>
      </c>
      <c r="L13" s="27">
        <f>SUM(K13)+4</f>
        <v>88</v>
      </c>
      <c r="M13" s="29">
        <f>SUM(L13)+4</f>
        <v>92</v>
      </c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46"/>
      <c r="I14" s="46"/>
      <c r="J14" s="44"/>
      <c r="K14" s="46"/>
      <c r="L14" s="46"/>
      <c r="M14" s="132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27">
        <f>SUM(I15)-0.7</f>
        <v>13.500000000000002</v>
      </c>
      <c r="I15" s="27">
        <f>SUM(J15)-0.7</f>
        <v>14.200000000000001</v>
      </c>
      <c r="J15" s="41">
        <v>14.9</v>
      </c>
      <c r="K15" s="27">
        <f>SUM(J15)+1.2</f>
        <v>16.100000000000001</v>
      </c>
      <c r="L15" s="27">
        <f>SUM(K15)+0.7</f>
        <v>16.8</v>
      </c>
      <c r="M15" s="29">
        <f t="shared" ref="M15" si="0">SUM(L15)+0.7</f>
        <v>17.5</v>
      </c>
    </row>
    <row r="16" spans="1:14" s="1" customFormat="1" ht="14.1" customHeight="1">
      <c r="A16" s="53"/>
      <c r="B16" s="57" t="s">
        <v>100</v>
      </c>
      <c r="C16" s="58"/>
      <c r="D16" s="82" t="s">
        <v>180</v>
      </c>
      <c r="E16" s="83"/>
      <c r="F16" s="83"/>
      <c r="G16" s="84"/>
      <c r="H16" s="46"/>
      <c r="I16" s="46"/>
      <c r="J16" s="44"/>
      <c r="K16" s="46"/>
      <c r="L16" s="46"/>
      <c r="M16" s="132"/>
    </row>
    <row r="17" spans="1:13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/>
      <c r="I17" s="27"/>
      <c r="J17" s="41"/>
      <c r="K17" s="27"/>
      <c r="L17" s="27"/>
      <c r="M17" s="29"/>
    </row>
    <row r="18" spans="1:13" s="1" customFormat="1" ht="14.1" customHeight="1">
      <c r="A18" s="53"/>
      <c r="B18" s="57" t="s">
        <v>120</v>
      </c>
      <c r="C18" s="58"/>
      <c r="D18" s="82" t="s">
        <v>180</v>
      </c>
      <c r="E18" s="83"/>
      <c r="F18" s="83"/>
      <c r="G18" s="84"/>
      <c r="H18" s="75"/>
      <c r="I18" s="46"/>
      <c r="J18" s="44"/>
      <c r="K18" s="46"/>
      <c r="L18" s="46"/>
      <c r="M18" s="132"/>
    </row>
    <row r="19" spans="1:13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/>
      <c r="I19" s="27"/>
      <c r="J19" s="41"/>
      <c r="K19" s="27"/>
      <c r="L19" s="27"/>
      <c r="M19" s="29"/>
    </row>
    <row r="20" spans="1:13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132"/>
    </row>
    <row r="21" spans="1:13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54.5</v>
      </c>
      <c r="I21" s="27">
        <f>SUM(J21)-7</f>
        <v>61.5</v>
      </c>
      <c r="J21" s="41">
        <v>68.5</v>
      </c>
      <c r="K21" s="27">
        <f>SUM(J21)+6</f>
        <v>74.5</v>
      </c>
      <c r="L21" s="27">
        <f>SUM(K21)+6</f>
        <v>80.5</v>
      </c>
      <c r="M21" s="29">
        <f>SUM(L21)+6</f>
        <v>86.5</v>
      </c>
    </row>
    <row r="22" spans="1:13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132"/>
    </row>
    <row r="23" spans="1:13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SUM(I23)-1</f>
        <v>20</v>
      </c>
      <c r="I23" s="27">
        <f>SUM(J23)-1</f>
        <v>21</v>
      </c>
      <c r="J23" s="41">
        <v>22</v>
      </c>
      <c r="K23" s="27">
        <f>SUM(J23)+1</f>
        <v>23</v>
      </c>
      <c r="L23" s="27">
        <f t="shared" ref="L23:M23" si="1">SUM(K23)+1</f>
        <v>24</v>
      </c>
      <c r="M23" s="29">
        <f t="shared" si="1"/>
        <v>25</v>
      </c>
    </row>
    <row r="24" spans="1:13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132"/>
    </row>
    <row r="25" spans="1:13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21.799999999999997</v>
      </c>
      <c r="I25" s="27">
        <f>SUM(J25)-1.1</f>
        <v>22.9</v>
      </c>
      <c r="J25" s="41">
        <v>24</v>
      </c>
      <c r="K25" s="27">
        <f>SUM(J25)+1.6</f>
        <v>25.6</v>
      </c>
      <c r="L25" s="27">
        <f>SUM(K25)+1.1</f>
        <v>26.700000000000003</v>
      </c>
      <c r="M25" s="29">
        <f>SUM(L25)+1.1</f>
        <v>27.800000000000004</v>
      </c>
    </row>
    <row r="26" spans="1:13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132"/>
    </row>
    <row r="27" spans="1:13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27.9</v>
      </c>
      <c r="I27" s="27">
        <f>SUM(J27)-1.3</f>
        <v>29.2</v>
      </c>
      <c r="J27" s="41">
        <v>30.5</v>
      </c>
      <c r="K27" s="27">
        <f>SUM(J27)+1.8</f>
        <v>32.299999999999997</v>
      </c>
      <c r="L27" s="27">
        <f>SUM(K27)+1.3</f>
        <v>33.599999999999994</v>
      </c>
      <c r="M27" s="29">
        <f>SUM(L27)+1.3</f>
        <v>34.899999999999991</v>
      </c>
    </row>
    <row r="28" spans="1:13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132"/>
    </row>
    <row r="29" spans="1:13" s="1" customFormat="1" ht="14.1" customHeight="1">
      <c r="A29" s="52">
        <v>14</v>
      </c>
      <c r="B29" s="36" t="s">
        <v>18</v>
      </c>
      <c r="C29" s="37"/>
      <c r="D29" s="76" t="s">
        <v>342</v>
      </c>
      <c r="E29" s="77"/>
      <c r="F29" s="77"/>
      <c r="G29" s="78"/>
      <c r="H29" s="27">
        <f>SUM(I29)-2.6</f>
        <v>45.099999999999994</v>
      </c>
      <c r="I29" s="27">
        <f>SUM(J29)-2.6</f>
        <v>47.699999999999996</v>
      </c>
      <c r="J29" s="41">
        <v>50.3</v>
      </c>
      <c r="K29" s="27">
        <f>SUM(J29)+2.6</f>
        <v>52.9</v>
      </c>
      <c r="L29" s="27">
        <f t="shared" ref="L29:M29" si="2">SUM(K29)+2.6</f>
        <v>55.5</v>
      </c>
      <c r="M29" s="29">
        <f t="shared" si="2"/>
        <v>58.1</v>
      </c>
    </row>
    <row r="30" spans="1:13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132"/>
    </row>
    <row r="31" spans="1:13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98">
        <f>SUM(I31)-6</f>
        <v>34</v>
      </c>
      <c r="I31" s="27">
        <f>SUM(J31)-6</f>
        <v>40</v>
      </c>
      <c r="J31" s="41">
        <v>46</v>
      </c>
      <c r="K31" s="27">
        <f>SUM(J31)+4.5</f>
        <v>50.5</v>
      </c>
      <c r="L31" s="27">
        <f>SUM(K31)+5</f>
        <v>55.5</v>
      </c>
      <c r="M31" s="29">
        <f>SUM(L31)+5</f>
        <v>60.5</v>
      </c>
    </row>
    <row r="32" spans="1:13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75"/>
      <c r="I32" s="46"/>
      <c r="J32" s="44"/>
      <c r="K32" s="46"/>
      <c r="L32" s="46"/>
      <c r="M32" s="132"/>
    </row>
    <row r="33" spans="1:13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27">
        <f>SUM(I33)-1.9</f>
        <v>40.800000000000004</v>
      </c>
      <c r="I33" s="27">
        <f>SUM(J33)-1.9</f>
        <v>42.7</v>
      </c>
      <c r="J33" s="41">
        <v>44.6</v>
      </c>
      <c r="K33" s="27">
        <f>SUM(J33)+1.9</f>
        <v>46.5</v>
      </c>
      <c r="L33" s="27">
        <f t="shared" ref="L33:M33" si="3">SUM(K33)+1.9</f>
        <v>48.4</v>
      </c>
      <c r="M33" s="29">
        <f t="shared" si="3"/>
        <v>50.3</v>
      </c>
    </row>
    <row r="34" spans="1:13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46"/>
      <c r="I34" s="46"/>
      <c r="J34" s="44"/>
      <c r="K34" s="46"/>
      <c r="L34" s="46"/>
      <c r="M34" s="132"/>
    </row>
    <row r="35" spans="1:13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>
        <f>SUM(I35)-3.4</f>
        <v>34.400000000000006</v>
      </c>
      <c r="I35" s="27">
        <f>SUM(J35)-3.4</f>
        <v>37.800000000000004</v>
      </c>
      <c r="J35" s="41">
        <v>41.2</v>
      </c>
      <c r="K35" s="27">
        <f>SUM(J35)+3.3</f>
        <v>44.5</v>
      </c>
      <c r="L35" s="27">
        <f>SUM(K35)+3</f>
        <v>47.5</v>
      </c>
      <c r="M35" s="29">
        <f t="shared" ref="M35" si="4">SUM(L35)+3</f>
        <v>50.5</v>
      </c>
    </row>
    <row r="36" spans="1:13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44"/>
      <c r="K36" s="46"/>
      <c r="L36" s="46"/>
      <c r="M36" s="132"/>
    </row>
    <row r="37" spans="1:13" s="1" customFormat="1" ht="14.1" customHeight="1">
      <c r="A37" s="52">
        <v>18</v>
      </c>
      <c r="B37" s="36" t="s">
        <v>99</v>
      </c>
      <c r="C37" s="37"/>
      <c r="D37" s="76" t="s">
        <v>22</v>
      </c>
      <c r="E37" s="77"/>
      <c r="F37" s="77"/>
      <c r="G37" s="78"/>
      <c r="H37" s="27">
        <f>SUM(I37)-0.2</f>
        <v>4.0999999999999996</v>
      </c>
      <c r="I37" s="27">
        <f>SUM(J37)-0.2</f>
        <v>4.3</v>
      </c>
      <c r="J37" s="41">
        <v>4.5</v>
      </c>
      <c r="K37" s="27">
        <f>SUM(J37)+0.2</f>
        <v>4.7</v>
      </c>
      <c r="L37" s="27">
        <f t="shared" ref="L37:M37" si="5">SUM(K37)+0.2</f>
        <v>4.9000000000000004</v>
      </c>
      <c r="M37" s="29">
        <f t="shared" si="5"/>
        <v>5.1000000000000005</v>
      </c>
    </row>
    <row r="38" spans="1:13" s="1" customFormat="1" ht="14.1" customHeight="1">
      <c r="A38" s="53"/>
      <c r="B38" s="57" t="s">
        <v>52</v>
      </c>
      <c r="C38" s="58"/>
      <c r="D38" s="59" t="s">
        <v>98</v>
      </c>
      <c r="E38" s="60"/>
      <c r="F38" s="60"/>
      <c r="G38" s="61"/>
      <c r="H38" s="45"/>
      <c r="I38" s="45"/>
      <c r="J38" s="43"/>
      <c r="K38" s="46"/>
      <c r="L38" s="45"/>
      <c r="M38" s="151"/>
    </row>
    <row r="39" spans="1:13" s="1" customFormat="1" ht="14.1" customHeight="1">
      <c r="A39" s="52">
        <v>19</v>
      </c>
      <c r="B39" s="36" t="s">
        <v>97</v>
      </c>
      <c r="C39" s="37"/>
      <c r="D39" s="76" t="s">
        <v>23</v>
      </c>
      <c r="E39" s="77"/>
      <c r="F39" s="77"/>
      <c r="G39" s="78"/>
      <c r="H39" s="27">
        <f>SUM(I39)-0.6</f>
        <v>9.3000000000000007</v>
      </c>
      <c r="I39" s="27">
        <f>SUM(J39)-0.6</f>
        <v>9.9</v>
      </c>
      <c r="J39" s="41">
        <v>10.5</v>
      </c>
      <c r="K39" s="27">
        <f>SUM(J39)+0.6</f>
        <v>11.1</v>
      </c>
      <c r="L39" s="27">
        <f t="shared" ref="L39:M39" si="6">SUM(K39)+0.6</f>
        <v>11.7</v>
      </c>
      <c r="M39" s="29">
        <f t="shared" si="6"/>
        <v>12.299999999999999</v>
      </c>
    </row>
    <row r="40" spans="1:13" s="1" customFormat="1" ht="14.1" customHeight="1">
      <c r="A40" s="53"/>
      <c r="B40" s="57" t="s">
        <v>51</v>
      </c>
      <c r="C40" s="58"/>
      <c r="D40" s="59" t="s">
        <v>96</v>
      </c>
      <c r="E40" s="60"/>
      <c r="F40" s="60"/>
      <c r="G40" s="61"/>
      <c r="H40" s="45"/>
      <c r="I40" s="45"/>
      <c r="J40" s="43"/>
      <c r="K40" s="45"/>
      <c r="L40" s="45"/>
      <c r="M40" s="132"/>
    </row>
    <row r="41" spans="1:13" s="1" customFormat="1" ht="14.1" customHeight="1">
      <c r="A41" s="52">
        <v>20</v>
      </c>
      <c r="B41" s="36" t="s">
        <v>95</v>
      </c>
      <c r="C41" s="37"/>
      <c r="D41" s="76"/>
      <c r="E41" s="77"/>
      <c r="F41" s="77"/>
      <c r="G41" s="78"/>
      <c r="H41" s="27">
        <f>SUM(I41)-0.5</f>
        <v>9</v>
      </c>
      <c r="I41" s="27">
        <f>SUM(J41)-0.5</f>
        <v>9.5</v>
      </c>
      <c r="J41" s="41">
        <v>10</v>
      </c>
      <c r="K41" s="27">
        <f>SUM(J41)+0.5</f>
        <v>10.5</v>
      </c>
      <c r="L41" s="27">
        <f>SUM(K41)+0.5</f>
        <v>11</v>
      </c>
      <c r="M41" s="29">
        <f>SUM(L41)+0.5</f>
        <v>11.5</v>
      </c>
    </row>
    <row r="42" spans="1:13" s="1" customFormat="1" ht="14.1" customHeight="1">
      <c r="A42" s="53"/>
      <c r="B42" s="127" t="s">
        <v>94</v>
      </c>
      <c r="C42" s="128"/>
      <c r="D42" s="59"/>
      <c r="E42" s="60"/>
      <c r="F42" s="60"/>
      <c r="G42" s="61"/>
      <c r="H42" s="46"/>
      <c r="I42" s="46"/>
      <c r="J42" s="44"/>
      <c r="K42" s="46"/>
      <c r="L42" s="46"/>
      <c r="M42" s="132"/>
    </row>
    <row r="43" spans="1:13" s="1" customFormat="1" ht="14.1" customHeight="1">
      <c r="A43" s="52">
        <v>21</v>
      </c>
      <c r="B43" s="36" t="s">
        <v>93</v>
      </c>
      <c r="C43" s="37"/>
      <c r="D43" s="124"/>
      <c r="E43" s="124"/>
      <c r="F43" s="124"/>
      <c r="G43" s="124"/>
      <c r="H43" s="27">
        <f>SUM(I43)-0.5</f>
        <v>9</v>
      </c>
      <c r="I43" s="27">
        <f>SUM(J43)-0.5</f>
        <v>9.5</v>
      </c>
      <c r="J43" s="41">
        <v>10</v>
      </c>
      <c r="K43" s="27">
        <f>SUM(J43)+0.5</f>
        <v>10.5</v>
      </c>
      <c r="L43" s="27">
        <f>SUM(K43)+0.5</f>
        <v>11</v>
      </c>
      <c r="M43" s="29">
        <f>SUM(L43)+0.5</f>
        <v>11.5</v>
      </c>
    </row>
    <row r="44" spans="1:13" s="1" customFormat="1" ht="14.1" customHeight="1">
      <c r="A44" s="53"/>
      <c r="B44" s="153" t="s">
        <v>92</v>
      </c>
      <c r="C44" s="153"/>
      <c r="D44" s="102"/>
      <c r="E44" s="103"/>
      <c r="F44" s="103"/>
      <c r="G44" s="104"/>
      <c r="H44" s="46"/>
      <c r="I44" s="46"/>
      <c r="J44" s="44"/>
      <c r="K44" s="46"/>
      <c r="L44" s="46"/>
      <c r="M44" s="132"/>
    </row>
    <row r="45" spans="1:13" s="1" customFormat="1" ht="14.1" customHeight="1">
      <c r="A45" s="52">
        <v>22</v>
      </c>
      <c r="B45" s="36" t="s">
        <v>114</v>
      </c>
      <c r="C45" s="37"/>
      <c r="D45" s="124"/>
      <c r="E45" s="124"/>
      <c r="F45" s="124"/>
      <c r="G45" s="124"/>
      <c r="H45" s="27">
        <f>SUM(I45)-0.2</f>
        <v>3.0999999999999996</v>
      </c>
      <c r="I45" s="27">
        <f>SUM(J45)-0.2</f>
        <v>3.3</v>
      </c>
      <c r="J45" s="41">
        <v>3.5</v>
      </c>
      <c r="K45" s="27">
        <f>SUM(J45)+0.2</f>
        <v>3.7</v>
      </c>
      <c r="L45" s="27">
        <f t="shared" ref="L45" si="7">SUM(K45)+0.2</f>
        <v>3.9000000000000004</v>
      </c>
      <c r="M45" s="29">
        <f t="shared" ref="M45" si="8">SUM(L45)+0.2</f>
        <v>4.1000000000000005</v>
      </c>
    </row>
    <row r="46" spans="1:13" ht="14.1" customHeight="1">
      <c r="A46" s="53"/>
      <c r="B46" s="127" t="s">
        <v>122</v>
      </c>
      <c r="C46" s="128"/>
      <c r="D46" s="79" t="s">
        <v>231</v>
      </c>
      <c r="E46" s="80"/>
      <c r="F46" s="80"/>
      <c r="G46" s="81"/>
      <c r="H46" s="46"/>
      <c r="I46" s="46"/>
      <c r="J46" s="44"/>
      <c r="K46" s="46"/>
      <c r="L46" s="46"/>
      <c r="M46" s="132"/>
    </row>
    <row r="47" spans="1:13" ht="14.1" customHeight="1">
      <c r="A47" s="159">
        <v>23</v>
      </c>
      <c r="B47" s="36"/>
      <c r="C47" s="37"/>
      <c r="D47" s="124"/>
      <c r="E47" s="124"/>
      <c r="F47" s="124"/>
      <c r="G47" s="124"/>
      <c r="H47" s="27"/>
      <c r="I47" s="27"/>
      <c r="J47" s="41"/>
      <c r="K47" s="27"/>
      <c r="L47" s="27"/>
      <c r="M47" s="29"/>
    </row>
    <row r="48" spans="1:13" ht="14.1" customHeight="1" thickBot="1">
      <c r="A48" s="158"/>
      <c r="B48" s="118"/>
      <c r="C48" s="118"/>
      <c r="D48" s="119"/>
      <c r="E48" s="120"/>
      <c r="F48" s="120"/>
      <c r="G48" s="121"/>
      <c r="H48" s="28"/>
      <c r="I48" s="28"/>
      <c r="J48" s="42"/>
      <c r="K48" s="28"/>
      <c r="L48" s="28"/>
      <c r="M48" s="30"/>
    </row>
    <row r="49" ht="14.1" customHeight="1"/>
    <row r="50" ht="14.1" customHeight="1"/>
    <row r="51" ht="14.1" customHeight="1"/>
    <row r="52" ht="13.5" customHeight="1"/>
  </sheetData>
  <mergeCells count="256">
    <mergeCell ref="A1:M1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7D8C-39FC-4C01-8182-A5E7042AEF53}">
  <sheetPr codeName="Sheet85">
    <tabColor theme="5"/>
    <pageSetUpPr fitToPage="1"/>
  </sheetPr>
  <dimension ref="A1:N52"/>
  <sheetViews>
    <sheetView topLeftCell="A16" zoomScale="110" zoomScaleNormal="110" workbookViewId="0">
      <selection activeCell="B45" sqref="B45:N4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583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134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6">
        <f>SUM(L3)+3</f>
        <v>60</v>
      </c>
      <c r="N3" s="97">
        <f>SUM(M3)+3</f>
        <v>63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6"/>
      <c r="N4" s="48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27"/>
      <c r="I5" s="27"/>
      <c r="J5" s="43"/>
      <c r="K5" s="45"/>
      <c r="L5" s="45"/>
      <c r="M5" s="45"/>
      <c r="N5" s="47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46"/>
      <c r="I6" s="46"/>
      <c r="J6" s="44"/>
      <c r="K6" s="46"/>
      <c r="L6" s="46"/>
      <c r="M6" s="46"/>
      <c r="N6" s="48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27"/>
      <c r="I7" s="27"/>
      <c r="J7" s="43"/>
      <c r="K7" s="45"/>
      <c r="L7" s="45"/>
      <c r="M7" s="45"/>
      <c r="N7" s="47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46"/>
      <c r="I8" s="46"/>
      <c r="J8" s="44"/>
      <c r="K8" s="46"/>
      <c r="L8" s="46"/>
      <c r="M8" s="46"/>
      <c r="N8" s="48"/>
    </row>
    <row r="9" spans="1:14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01">
        <f>SUM(I9)-2.2</f>
        <v>-4.4000000000000004</v>
      </c>
      <c r="I9" s="201">
        <f>SUM(J9)-2.2</f>
        <v>-2.2000000000000002</v>
      </c>
      <c r="J9" s="43"/>
      <c r="K9" s="196">
        <f>SUM(J9)+2.2</f>
        <v>2.2000000000000002</v>
      </c>
      <c r="L9" s="196">
        <f>SUM(K9)+2.2</f>
        <v>4.4000000000000004</v>
      </c>
      <c r="M9" s="196">
        <f>SUM(L9)+2.2</f>
        <v>6.6000000000000005</v>
      </c>
      <c r="N9" s="204">
        <f>SUM(M9)+2.2</f>
        <v>8.8000000000000007</v>
      </c>
    </row>
    <row r="10" spans="1:14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197"/>
      <c r="I10" s="197"/>
      <c r="J10" s="44"/>
      <c r="K10" s="197"/>
      <c r="L10" s="197"/>
      <c r="M10" s="197"/>
      <c r="N10" s="205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27">
        <f>SUM(I11)-3.5</f>
        <v>63.3</v>
      </c>
      <c r="I11" s="27">
        <f>SUM(J11)-3.5</f>
        <v>66.8</v>
      </c>
      <c r="J11" s="43">
        <v>70.3</v>
      </c>
      <c r="K11" s="27">
        <f>SUM(J11)+3.5</f>
        <v>73.8</v>
      </c>
      <c r="L11" s="27">
        <f>SUM(K11)+3.5</f>
        <v>77.3</v>
      </c>
      <c r="M11" s="27">
        <f>SUM(L11)+3.5</f>
        <v>80.8</v>
      </c>
      <c r="N11" s="62">
        <f>SUM(M11)+3.5</f>
        <v>84.3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46"/>
      <c r="I12" s="46"/>
      <c r="J12" s="44"/>
      <c r="K12" s="46"/>
      <c r="L12" s="46"/>
      <c r="M12" s="46"/>
      <c r="N12" s="48"/>
    </row>
    <row r="13" spans="1:14" s="1" customFormat="1" ht="14.1" customHeight="1">
      <c r="A13" s="52">
        <v>6</v>
      </c>
      <c r="B13" s="36" t="s">
        <v>11</v>
      </c>
      <c r="C13" s="37"/>
      <c r="D13" s="76" t="s">
        <v>116</v>
      </c>
      <c r="E13" s="77"/>
      <c r="F13" s="77"/>
      <c r="G13" s="78"/>
      <c r="H13" s="27">
        <f>SUM(I13)-4</f>
        <v>68.2</v>
      </c>
      <c r="I13" s="27">
        <f>SUM(J13)-4</f>
        <v>72.2</v>
      </c>
      <c r="J13" s="41">
        <v>76.2</v>
      </c>
      <c r="K13" s="27">
        <f>SUM(J13)+4</f>
        <v>80.2</v>
      </c>
      <c r="L13" s="27">
        <f>SUM(K13)+4</f>
        <v>84.2</v>
      </c>
      <c r="M13" s="27">
        <f>SUM(L13)+4</f>
        <v>88.2</v>
      </c>
      <c r="N13" s="62">
        <f>SUM(M13)+4</f>
        <v>92.2</v>
      </c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46"/>
      <c r="I14" s="46"/>
      <c r="J14" s="44"/>
      <c r="K14" s="46"/>
      <c r="L14" s="46"/>
      <c r="M14" s="46"/>
      <c r="N14" s="48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27">
        <f>SUM(I15)-0.7</f>
        <v>12.600000000000001</v>
      </c>
      <c r="I15" s="27">
        <f>SUM(J15)-0.7</f>
        <v>13.3</v>
      </c>
      <c r="J15" s="41">
        <v>14</v>
      </c>
      <c r="K15" s="27">
        <f>SUM(J15)+1.2</f>
        <v>15.2</v>
      </c>
      <c r="L15" s="27">
        <f>SUM(K15)+0.7</f>
        <v>15.899999999999999</v>
      </c>
      <c r="M15" s="27">
        <f>SUM(L15)+0.7</f>
        <v>16.599999999999998</v>
      </c>
      <c r="N15" s="62">
        <f>SUM(M15)+0.7</f>
        <v>17.299999999999997</v>
      </c>
    </row>
    <row r="16" spans="1:14" s="1" customFormat="1" ht="14.1" customHeight="1">
      <c r="A16" s="53"/>
      <c r="B16" s="57" t="s">
        <v>100</v>
      </c>
      <c r="C16" s="58"/>
      <c r="D16" s="82" t="s">
        <v>180</v>
      </c>
      <c r="E16" s="83"/>
      <c r="F16" s="83"/>
      <c r="G16" s="84"/>
      <c r="H16" s="46"/>
      <c r="I16" s="46"/>
      <c r="J16" s="44"/>
      <c r="K16" s="46"/>
      <c r="L16" s="46"/>
      <c r="M16" s="46"/>
      <c r="N16" s="48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/>
      <c r="I17" s="27"/>
      <c r="J17" s="41"/>
      <c r="K17" s="27"/>
      <c r="L17" s="27"/>
      <c r="M17" s="27"/>
      <c r="N17" s="62"/>
    </row>
    <row r="18" spans="1:14" s="1" customFormat="1" ht="14.1" customHeight="1">
      <c r="A18" s="53"/>
      <c r="B18" s="57" t="s">
        <v>120</v>
      </c>
      <c r="C18" s="58"/>
      <c r="D18" s="82" t="s">
        <v>180</v>
      </c>
      <c r="E18" s="83"/>
      <c r="F18" s="83"/>
      <c r="G18" s="84"/>
      <c r="H18" s="75"/>
      <c r="I18" s="46"/>
      <c r="J18" s="44"/>
      <c r="K18" s="46"/>
      <c r="L18" s="46"/>
      <c r="M18" s="46"/>
      <c r="N18" s="48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/>
      <c r="I19" s="27"/>
      <c r="J19" s="41"/>
      <c r="K19" s="27"/>
      <c r="L19" s="27"/>
      <c r="M19" s="27"/>
      <c r="N19" s="62"/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6"/>
      <c r="N20" s="48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51</v>
      </c>
      <c r="I21" s="27">
        <f>SUM(J21)-7</f>
        <v>58</v>
      </c>
      <c r="J21" s="41">
        <v>65</v>
      </c>
      <c r="K21" s="27">
        <f>SUM(J21)+6</f>
        <v>71</v>
      </c>
      <c r="L21" s="27">
        <f>SUM(K21)+6</f>
        <v>77</v>
      </c>
      <c r="M21" s="27">
        <f>SUM(L21)+6</f>
        <v>83</v>
      </c>
      <c r="N21" s="62">
        <f>SUM(M21)+6</f>
        <v>89</v>
      </c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6"/>
      <c r="N22" s="48"/>
    </row>
    <row r="23" spans="1:14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SUM(I23)-2</f>
        <v>38</v>
      </c>
      <c r="I23" s="27">
        <f>SUM(J23)-2</f>
        <v>40</v>
      </c>
      <c r="J23" s="41">
        <v>42</v>
      </c>
      <c r="K23" s="27">
        <f>SUM(J23)+2</f>
        <v>44</v>
      </c>
      <c r="L23" s="27">
        <f>SUM(K23)+2</f>
        <v>46</v>
      </c>
      <c r="M23" s="27">
        <f>SUM(L23)+2</f>
        <v>48</v>
      </c>
      <c r="N23" s="62">
        <f>SUM(M23)+2</f>
        <v>50</v>
      </c>
    </row>
    <row r="24" spans="1:14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46"/>
      <c r="N24" s="48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20.9</v>
      </c>
      <c r="I25" s="27">
        <f>SUM(J25)-1.1</f>
        <v>22</v>
      </c>
      <c r="J25" s="41">
        <v>23.1</v>
      </c>
      <c r="K25" s="27">
        <f>SUM(J25)+1.6</f>
        <v>24.700000000000003</v>
      </c>
      <c r="L25" s="27">
        <f>SUM(K25)+1.1</f>
        <v>25.800000000000004</v>
      </c>
      <c r="M25" s="27">
        <f>SUM(L25)+1.1</f>
        <v>26.900000000000006</v>
      </c>
      <c r="N25" s="62">
        <f>SUM(M25)+1.1</f>
        <v>28.000000000000007</v>
      </c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46"/>
      <c r="N26" s="48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28.7</v>
      </c>
      <c r="I27" s="27">
        <f>SUM(J27)-1.3</f>
        <v>30</v>
      </c>
      <c r="J27" s="41">
        <v>31.3</v>
      </c>
      <c r="K27" s="27">
        <f>SUM(J27)+1.8</f>
        <v>33.1</v>
      </c>
      <c r="L27" s="27">
        <f>SUM(K27)+1.3</f>
        <v>34.4</v>
      </c>
      <c r="M27" s="27">
        <f>SUM(L27)+1.3</f>
        <v>35.699999999999996</v>
      </c>
      <c r="N27" s="62">
        <f>SUM(M27)+1.3</f>
        <v>36.999999999999993</v>
      </c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46"/>
      <c r="N28" s="48"/>
    </row>
    <row r="29" spans="1:14" s="1" customFormat="1" ht="14.1" customHeight="1">
      <c r="A29" s="52">
        <v>14</v>
      </c>
      <c r="B29" s="36" t="s">
        <v>18</v>
      </c>
      <c r="C29" s="37"/>
      <c r="D29" s="76" t="s">
        <v>342</v>
      </c>
      <c r="E29" s="77"/>
      <c r="F29" s="77"/>
      <c r="G29" s="78"/>
      <c r="H29" s="27">
        <f>SUM(I29)-2.7</f>
        <v>44.199999999999996</v>
      </c>
      <c r="I29" s="27">
        <f>SUM(J29)-2.7</f>
        <v>46.9</v>
      </c>
      <c r="J29" s="41">
        <v>49.6</v>
      </c>
      <c r="K29" s="27">
        <f>SUM(J29)+2.6</f>
        <v>52.2</v>
      </c>
      <c r="L29" s="27">
        <f t="shared" ref="L29:N29" si="0">SUM(K29)+2.6</f>
        <v>54.800000000000004</v>
      </c>
      <c r="M29" s="27">
        <f t="shared" si="0"/>
        <v>57.400000000000006</v>
      </c>
      <c r="N29" s="62">
        <f t="shared" si="0"/>
        <v>60.000000000000007</v>
      </c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46"/>
      <c r="N30" s="48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98">
        <f>SUM(I31)-6</f>
        <v>31.299999999999997</v>
      </c>
      <c r="I31" s="27">
        <f>SUM(J31)-6</f>
        <v>37.299999999999997</v>
      </c>
      <c r="J31" s="41">
        <v>43.3</v>
      </c>
      <c r="K31" s="27">
        <f>SUM(J31)+4.5</f>
        <v>47.8</v>
      </c>
      <c r="L31" s="27">
        <f>SUM(K31)+5</f>
        <v>52.8</v>
      </c>
      <c r="M31" s="27">
        <f>SUM(L31)+5</f>
        <v>57.8</v>
      </c>
      <c r="N31" s="62">
        <f>SUM(M31)+5</f>
        <v>62.8</v>
      </c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75"/>
      <c r="I32" s="46"/>
      <c r="J32" s="44"/>
      <c r="K32" s="46"/>
      <c r="L32" s="46"/>
      <c r="M32" s="46"/>
      <c r="N32" s="48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27">
        <f>SUM(I33)-2.1</f>
        <v>40.9</v>
      </c>
      <c r="I33" s="27">
        <f>SUM(J33)-2.1</f>
        <v>43</v>
      </c>
      <c r="J33" s="41">
        <v>45.1</v>
      </c>
      <c r="K33" s="27">
        <f>SUM(J33)+2.1</f>
        <v>47.2</v>
      </c>
      <c r="L33" s="27">
        <f>SUM(K33)+2.1</f>
        <v>49.300000000000004</v>
      </c>
      <c r="M33" s="27">
        <f>SUM(L33)+2.1</f>
        <v>51.400000000000006</v>
      </c>
      <c r="N33" s="62">
        <f>SUM(M33)+2.1</f>
        <v>53.500000000000007</v>
      </c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46"/>
      <c r="I34" s="46"/>
      <c r="J34" s="44"/>
      <c r="K34" s="46"/>
      <c r="L34" s="46"/>
      <c r="M34" s="46"/>
      <c r="N34" s="48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>
        <f>SUM(I35)-3.4</f>
        <v>31.900000000000006</v>
      </c>
      <c r="I35" s="27">
        <f>SUM(J35)-3.4</f>
        <v>35.300000000000004</v>
      </c>
      <c r="J35" s="41">
        <v>38.700000000000003</v>
      </c>
      <c r="K35" s="27">
        <f>SUM(J35)+3.3</f>
        <v>42</v>
      </c>
      <c r="L35" s="27">
        <f>SUM(K35)+3</f>
        <v>45</v>
      </c>
      <c r="M35" s="27">
        <f>SUM(L35)+3</f>
        <v>48</v>
      </c>
      <c r="N35" s="62">
        <f>SUM(M35)+3</f>
        <v>51</v>
      </c>
    </row>
    <row r="36" spans="1:14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44"/>
      <c r="K36" s="46"/>
      <c r="L36" s="46"/>
      <c r="M36" s="46"/>
      <c r="N36" s="48"/>
    </row>
    <row r="37" spans="1:14" s="1" customFormat="1" ht="14.1" customHeight="1">
      <c r="A37" s="52">
        <v>18</v>
      </c>
      <c r="B37" s="36" t="s">
        <v>99</v>
      </c>
      <c r="C37" s="37"/>
      <c r="D37" s="76" t="s">
        <v>22</v>
      </c>
      <c r="E37" s="77"/>
      <c r="F37" s="77"/>
      <c r="G37" s="78"/>
      <c r="H37" s="27">
        <f>SUM(I37)-0.2</f>
        <v>3.0999999999999996</v>
      </c>
      <c r="I37" s="27">
        <f>SUM(J37)-0.2</f>
        <v>3.3</v>
      </c>
      <c r="J37" s="41">
        <v>3.5</v>
      </c>
      <c r="K37" s="27">
        <f>SUM(J37)+0.2</f>
        <v>3.7</v>
      </c>
      <c r="L37" s="27">
        <f t="shared" ref="L37:N37" si="1">SUM(K37)+0.2</f>
        <v>3.9000000000000004</v>
      </c>
      <c r="M37" s="27">
        <f t="shared" si="1"/>
        <v>4.1000000000000005</v>
      </c>
      <c r="N37" s="62">
        <f t="shared" si="1"/>
        <v>4.3000000000000007</v>
      </c>
    </row>
    <row r="38" spans="1:14" s="1" customFormat="1" ht="14.1" customHeight="1">
      <c r="A38" s="53"/>
      <c r="B38" s="57" t="s">
        <v>52</v>
      </c>
      <c r="C38" s="58"/>
      <c r="D38" s="59" t="s">
        <v>98</v>
      </c>
      <c r="E38" s="60"/>
      <c r="F38" s="60"/>
      <c r="G38" s="61"/>
      <c r="H38" s="45"/>
      <c r="I38" s="45"/>
      <c r="J38" s="43"/>
      <c r="K38" s="46"/>
      <c r="L38" s="45"/>
      <c r="M38" s="45"/>
      <c r="N38" s="47"/>
    </row>
    <row r="39" spans="1:14" s="1" customFormat="1" ht="14.1" customHeight="1">
      <c r="A39" s="52">
        <v>19</v>
      </c>
      <c r="B39" s="36" t="s">
        <v>97</v>
      </c>
      <c r="C39" s="37"/>
      <c r="D39" s="76" t="s">
        <v>23</v>
      </c>
      <c r="E39" s="77"/>
      <c r="F39" s="77"/>
      <c r="G39" s="78"/>
      <c r="H39" s="27">
        <f>SUM(I39)-0.6</f>
        <v>9.4</v>
      </c>
      <c r="I39" s="27">
        <f>SUM(J39)-0.6</f>
        <v>10</v>
      </c>
      <c r="J39" s="41">
        <v>10.6</v>
      </c>
      <c r="K39" s="27">
        <f>SUM(J39)+0.6</f>
        <v>11.2</v>
      </c>
      <c r="L39" s="27">
        <f t="shared" ref="L39:N39" si="2">SUM(K39)+0.6</f>
        <v>11.799999999999999</v>
      </c>
      <c r="M39" s="27">
        <f t="shared" si="2"/>
        <v>12.399999999999999</v>
      </c>
      <c r="N39" s="62">
        <f t="shared" si="2"/>
        <v>12.999999999999998</v>
      </c>
    </row>
    <row r="40" spans="1:14" s="1" customFormat="1" ht="14.1" customHeight="1">
      <c r="A40" s="53"/>
      <c r="B40" s="57" t="s">
        <v>51</v>
      </c>
      <c r="C40" s="58"/>
      <c r="D40" s="59" t="s">
        <v>96</v>
      </c>
      <c r="E40" s="60"/>
      <c r="F40" s="60"/>
      <c r="G40" s="61"/>
      <c r="H40" s="45"/>
      <c r="I40" s="45"/>
      <c r="J40" s="43"/>
      <c r="K40" s="45"/>
      <c r="L40" s="45"/>
      <c r="M40" s="45"/>
      <c r="N40" s="47"/>
    </row>
    <row r="41" spans="1:14" s="1" customFormat="1" ht="14.1" customHeight="1">
      <c r="A41" s="52">
        <v>20</v>
      </c>
      <c r="B41" s="36" t="s">
        <v>95</v>
      </c>
      <c r="C41" s="37"/>
      <c r="D41" s="76"/>
      <c r="E41" s="77"/>
      <c r="F41" s="77"/>
      <c r="G41" s="78"/>
      <c r="H41" s="27">
        <f>SUM(I41)-0.5</f>
        <v>11</v>
      </c>
      <c r="I41" s="27">
        <f>SUM(J41)-0.5</f>
        <v>11.5</v>
      </c>
      <c r="J41" s="41">
        <v>12</v>
      </c>
      <c r="K41" s="27">
        <f>SUM(J41)+0.5</f>
        <v>12.5</v>
      </c>
      <c r="L41" s="27">
        <f>SUM(K41)+0.5</f>
        <v>13</v>
      </c>
      <c r="M41" s="27">
        <f>SUM(L41)+0.5</f>
        <v>13.5</v>
      </c>
      <c r="N41" s="62">
        <f>SUM(M41)+0.5</f>
        <v>14</v>
      </c>
    </row>
    <row r="42" spans="1:14" s="1" customFormat="1" ht="14.1" customHeight="1">
      <c r="A42" s="53"/>
      <c r="B42" s="127" t="s">
        <v>94</v>
      </c>
      <c r="C42" s="128"/>
      <c r="D42" s="59"/>
      <c r="E42" s="60"/>
      <c r="F42" s="60"/>
      <c r="G42" s="61"/>
      <c r="H42" s="46"/>
      <c r="I42" s="46"/>
      <c r="J42" s="44"/>
      <c r="K42" s="46"/>
      <c r="L42" s="46"/>
      <c r="M42" s="46"/>
      <c r="N42" s="48"/>
    </row>
    <row r="43" spans="1:14" s="1" customFormat="1" ht="14.1" customHeight="1">
      <c r="A43" s="52">
        <v>21</v>
      </c>
      <c r="B43" s="36" t="s">
        <v>93</v>
      </c>
      <c r="C43" s="37"/>
      <c r="D43" s="124"/>
      <c r="E43" s="124"/>
      <c r="F43" s="124"/>
      <c r="G43" s="124"/>
      <c r="H43" s="27">
        <f>SUM(I43)-0.5</f>
        <v>11.5</v>
      </c>
      <c r="I43" s="27">
        <f>SUM(J43)-0.5</f>
        <v>12</v>
      </c>
      <c r="J43" s="41">
        <v>12.5</v>
      </c>
      <c r="K43" s="27">
        <f>SUM(J43)+0.5</f>
        <v>13</v>
      </c>
      <c r="L43" s="27">
        <f>SUM(K43)+0.5</f>
        <v>13.5</v>
      </c>
      <c r="M43" s="27">
        <f>SUM(L43)+0.5</f>
        <v>14</v>
      </c>
      <c r="N43" s="62">
        <f>SUM(M43)+0.5</f>
        <v>14.5</v>
      </c>
    </row>
    <row r="44" spans="1:14" s="1" customFormat="1" ht="14.1" customHeight="1">
      <c r="A44" s="53"/>
      <c r="B44" s="153" t="s">
        <v>92</v>
      </c>
      <c r="C44" s="153"/>
      <c r="D44" s="102"/>
      <c r="E44" s="103"/>
      <c r="F44" s="103"/>
      <c r="G44" s="104"/>
      <c r="H44" s="46"/>
      <c r="I44" s="46"/>
      <c r="J44" s="44"/>
      <c r="K44" s="46"/>
      <c r="L44" s="46"/>
      <c r="M44" s="46"/>
      <c r="N44" s="48"/>
    </row>
    <row r="45" spans="1:14" s="1" customFormat="1" ht="14.1" customHeight="1">
      <c r="A45" s="52">
        <v>22</v>
      </c>
      <c r="B45" s="36" t="s">
        <v>148</v>
      </c>
      <c r="C45" s="37"/>
      <c r="D45" s="76" t="s">
        <v>584</v>
      </c>
      <c r="E45" s="77"/>
      <c r="F45" s="77"/>
      <c r="G45" s="78"/>
      <c r="H45" s="27">
        <f>SUM(I45)</f>
        <v>40</v>
      </c>
      <c r="I45" s="27">
        <f>SUM(J45)</f>
        <v>40</v>
      </c>
      <c r="J45" s="41">
        <v>40</v>
      </c>
      <c r="K45" s="27">
        <f>SUM(J45)</f>
        <v>40</v>
      </c>
      <c r="L45" s="27">
        <f t="shared" ref="L45:N45" si="3">SUM(K45)</f>
        <v>40</v>
      </c>
      <c r="M45" s="27">
        <f t="shared" si="3"/>
        <v>40</v>
      </c>
      <c r="N45" s="62">
        <f t="shared" si="3"/>
        <v>40</v>
      </c>
    </row>
    <row r="46" spans="1:14" ht="14.1" customHeight="1">
      <c r="A46" s="53"/>
      <c r="B46" s="153" t="s">
        <v>149</v>
      </c>
      <c r="C46" s="153"/>
      <c r="D46" s="79" t="s">
        <v>581</v>
      </c>
      <c r="E46" s="80"/>
      <c r="F46" s="80"/>
      <c r="G46" s="81"/>
      <c r="H46" s="46"/>
      <c r="I46" s="46"/>
      <c r="J46" s="44"/>
      <c r="K46" s="46"/>
      <c r="L46" s="46"/>
      <c r="M46" s="46"/>
      <c r="N46" s="48"/>
    </row>
    <row r="47" spans="1:14" ht="14.1" customHeight="1">
      <c r="A47" s="159">
        <v>23</v>
      </c>
      <c r="B47" s="36"/>
      <c r="C47" s="37"/>
      <c r="D47" s="124"/>
      <c r="E47" s="124"/>
      <c r="F47" s="124"/>
      <c r="G47" s="124"/>
      <c r="H47" s="27"/>
      <c r="I47" s="27"/>
      <c r="J47" s="41"/>
      <c r="K47" s="27"/>
      <c r="L47" s="27"/>
      <c r="M47" s="27"/>
      <c r="N47" s="62"/>
    </row>
    <row r="48" spans="1:14" ht="14.1" customHeight="1" thickBot="1">
      <c r="A48" s="158"/>
      <c r="B48" s="118"/>
      <c r="C48" s="118"/>
      <c r="D48" s="119"/>
      <c r="E48" s="120"/>
      <c r="F48" s="120"/>
      <c r="G48" s="121"/>
      <c r="H48" s="28"/>
      <c r="I48" s="28"/>
      <c r="J48" s="42"/>
      <c r="K48" s="28"/>
      <c r="L48" s="28"/>
      <c r="M48" s="28"/>
      <c r="N48" s="160"/>
    </row>
    <row r="49" ht="14.1" customHeight="1"/>
    <row r="50" ht="14.1" customHeight="1"/>
    <row r="51" ht="14.1" customHeight="1"/>
    <row r="52" ht="13.5" customHeight="1"/>
  </sheetData>
  <mergeCells count="279"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0151-1221-47B4-A47A-90776FB1E408}">
  <sheetPr codeName="Sheet86">
    <tabColor theme="5"/>
    <pageSetUpPr fitToPage="1"/>
  </sheetPr>
  <dimension ref="A1:N52"/>
  <sheetViews>
    <sheetView zoomScale="110" zoomScaleNormal="110" workbookViewId="0">
      <selection sqref="A1:N4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585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6" t="s">
        <v>134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6">
        <f>SUM(L3)+3</f>
        <v>60</v>
      </c>
      <c r="N3" s="97">
        <f>SUM(M3)+3</f>
        <v>63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6"/>
      <c r="N4" s="48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27"/>
      <c r="I5" s="27"/>
      <c r="J5" s="43"/>
      <c r="K5" s="45"/>
      <c r="L5" s="45"/>
      <c r="M5" s="45"/>
      <c r="N5" s="47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46"/>
      <c r="I6" s="46"/>
      <c r="J6" s="44"/>
      <c r="K6" s="46"/>
      <c r="L6" s="46"/>
      <c r="M6" s="46"/>
      <c r="N6" s="48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27"/>
      <c r="I7" s="27"/>
      <c r="J7" s="43"/>
      <c r="K7" s="45"/>
      <c r="L7" s="45"/>
      <c r="M7" s="45"/>
      <c r="N7" s="47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46"/>
      <c r="I8" s="46"/>
      <c r="J8" s="44"/>
      <c r="K8" s="46"/>
      <c r="L8" s="46"/>
      <c r="M8" s="46"/>
      <c r="N8" s="48"/>
    </row>
    <row r="9" spans="1:14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01">
        <f>SUM(I9)-2.2</f>
        <v>-4.4000000000000004</v>
      </c>
      <c r="I9" s="201">
        <f>SUM(J9)-2.2</f>
        <v>-2.2000000000000002</v>
      </c>
      <c r="J9" s="43"/>
      <c r="K9" s="196">
        <f>SUM(J9)+2.2</f>
        <v>2.2000000000000002</v>
      </c>
      <c r="L9" s="196">
        <f>SUM(K9)+2.2</f>
        <v>4.4000000000000004</v>
      </c>
      <c r="M9" s="196">
        <f>SUM(L9)+2.2</f>
        <v>6.6000000000000005</v>
      </c>
      <c r="N9" s="204">
        <f>SUM(M9)+2.2</f>
        <v>8.8000000000000007</v>
      </c>
    </row>
    <row r="10" spans="1:14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197"/>
      <c r="I10" s="197"/>
      <c r="J10" s="44"/>
      <c r="K10" s="197"/>
      <c r="L10" s="197"/>
      <c r="M10" s="197"/>
      <c r="N10" s="205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27">
        <f>SUM(I11)-3.5</f>
        <v>66.8</v>
      </c>
      <c r="I11" s="27">
        <f>SUM(J11)-3.5</f>
        <v>70.3</v>
      </c>
      <c r="J11" s="43">
        <v>73.8</v>
      </c>
      <c r="K11" s="27">
        <f>SUM(J11)+3.5</f>
        <v>77.3</v>
      </c>
      <c r="L11" s="27">
        <f>SUM(K11)+3.5</f>
        <v>80.8</v>
      </c>
      <c r="M11" s="27">
        <f>SUM(L11)+3.5</f>
        <v>84.3</v>
      </c>
      <c r="N11" s="62">
        <f>SUM(M11)+3.5</f>
        <v>87.8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46"/>
      <c r="I12" s="46"/>
      <c r="J12" s="44"/>
      <c r="K12" s="46"/>
      <c r="L12" s="46"/>
      <c r="M12" s="46"/>
      <c r="N12" s="48"/>
    </row>
    <row r="13" spans="1:14" s="1" customFormat="1" ht="14.1" customHeight="1">
      <c r="A13" s="52">
        <v>6</v>
      </c>
      <c r="B13" s="36" t="s">
        <v>11</v>
      </c>
      <c r="C13" s="37"/>
      <c r="D13" s="76" t="s">
        <v>116</v>
      </c>
      <c r="E13" s="77"/>
      <c r="F13" s="77"/>
      <c r="G13" s="78"/>
      <c r="H13" s="27">
        <f>SUM(I13)-4</f>
        <v>71.900000000000006</v>
      </c>
      <c r="I13" s="27">
        <f>SUM(J13)-4</f>
        <v>75.900000000000006</v>
      </c>
      <c r="J13" s="41">
        <v>79.900000000000006</v>
      </c>
      <c r="K13" s="27">
        <f>SUM(J13)+4</f>
        <v>83.9</v>
      </c>
      <c r="L13" s="27">
        <f>SUM(K13)+4</f>
        <v>87.9</v>
      </c>
      <c r="M13" s="27">
        <f>SUM(L13)+4</f>
        <v>91.9</v>
      </c>
      <c r="N13" s="62">
        <f>SUM(M13)+4</f>
        <v>95.9</v>
      </c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46"/>
      <c r="I14" s="46"/>
      <c r="J14" s="44"/>
      <c r="K14" s="46"/>
      <c r="L14" s="46"/>
      <c r="M14" s="46"/>
      <c r="N14" s="48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27">
        <f>SUM(I15)-0.7</f>
        <v>12.600000000000001</v>
      </c>
      <c r="I15" s="27">
        <f>SUM(J15)-0.7</f>
        <v>13.3</v>
      </c>
      <c r="J15" s="41">
        <v>14</v>
      </c>
      <c r="K15" s="27">
        <f>SUM(J15)+1.2</f>
        <v>15.2</v>
      </c>
      <c r="L15" s="27">
        <f>SUM(K15)+0.7</f>
        <v>15.899999999999999</v>
      </c>
      <c r="M15" s="27">
        <f>SUM(L15)+0.7</f>
        <v>16.599999999999998</v>
      </c>
      <c r="N15" s="62">
        <f>SUM(M15)+0.7</f>
        <v>17.299999999999997</v>
      </c>
    </row>
    <row r="16" spans="1:14" s="1" customFormat="1" ht="14.1" customHeight="1">
      <c r="A16" s="53"/>
      <c r="B16" s="57" t="s">
        <v>100</v>
      </c>
      <c r="C16" s="58"/>
      <c r="D16" s="82" t="s">
        <v>180</v>
      </c>
      <c r="E16" s="83"/>
      <c r="F16" s="83"/>
      <c r="G16" s="84"/>
      <c r="H16" s="46"/>
      <c r="I16" s="46"/>
      <c r="J16" s="44"/>
      <c r="K16" s="46"/>
      <c r="L16" s="46"/>
      <c r="M16" s="46"/>
      <c r="N16" s="48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/>
      <c r="I17" s="27"/>
      <c r="J17" s="41"/>
      <c r="K17" s="27"/>
      <c r="L17" s="27"/>
      <c r="M17" s="27"/>
      <c r="N17" s="62"/>
    </row>
    <row r="18" spans="1:14" s="1" customFormat="1" ht="14.1" customHeight="1">
      <c r="A18" s="53"/>
      <c r="B18" s="57" t="s">
        <v>120</v>
      </c>
      <c r="C18" s="58"/>
      <c r="D18" s="82" t="s">
        <v>180</v>
      </c>
      <c r="E18" s="83"/>
      <c r="F18" s="83"/>
      <c r="G18" s="84"/>
      <c r="H18" s="75"/>
      <c r="I18" s="46"/>
      <c r="J18" s="44"/>
      <c r="K18" s="46"/>
      <c r="L18" s="46"/>
      <c r="M18" s="46"/>
      <c r="N18" s="48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/>
      <c r="I19" s="27"/>
      <c r="J19" s="41"/>
      <c r="K19" s="27"/>
      <c r="L19" s="27"/>
      <c r="M19" s="27"/>
      <c r="N19" s="62"/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6"/>
      <c r="N20" s="48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53.5</v>
      </c>
      <c r="I21" s="27">
        <f>SUM(J21)-7</f>
        <v>60.5</v>
      </c>
      <c r="J21" s="41">
        <v>67.5</v>
      </c>
      <c r="K21" s="27">
        <f>SUM(J21)+6</f>
        <v>73.5</v>
      </c>
      <c r="L21" s="27">
        <f>SUM(K21)+6</f>
        <v>79.5</v>
      </c>
      <c r="M21" s="27">
        <f>SUM(L21)+6</f>
        <v>85.5</v>
      </c>
      <c r="N21" s="62">
        <f>SUM(M21)+6</f>
        <v>91.5</v>
      </c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6"/>
      <c r="N22" s="48"/>
    </row>
    <row r="23" spans="1:14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SUM(I23)-1</f>
        <v>20</v>
      </c>
      <c r="I23" s="27">
        <f>SUM(J23)-1</f>
        <v>21</v>
      </c>
      <c r="J23" s="41">
        <v>22</v>
      </c>
      <c r="K23" s="27">
        <f>SUM(J23)+1</f>
        <v>23</v>
      </c>
      <c r="L23" s="27">
        <f t="shared" ref="L23:N23" si="0">SUM(K23)+1</f>
        <v>24</v>
      </c>
      <c r="M23" s="27">
        <f t="shared" si="0"/>
        <v>25</v>
      </c>
      <c r="N23" s="62">
        <f t="shared" si="0"/>
        <v>26</v>
      </c>
    </row>
    <row r="24" spans="1:14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46"/>
      <c r="N24" s="48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21.699999999999996</v>
      </c>
      <c r="I25" s="27">
        <f>SUM(J25)-1.1</f>
        <v>22.799999999999997</v>
      </c>
      <c r="J25" s="41">
        <v>23.9</v>
      </c>
      <c r="K25" s="27">
        <f>SUM(J25)+1.6</f>
        <v>25.5</v>
      </c>
      <c r="L25" s="27">
        <f>SUM(K25)+1.1</f>
        <v>26.6</v>
      </c>
      <c r="M25" s="27">
        <f>SUM(L25)+1.1</f>
        <v>27.700000000000003</v>
      </c>
      <c r="N25" s="62">
        <f>SUM(M25)+1.1</f>
        <v>28.800000000000004</v>
      </c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46"/>
      <c r="N26" s="48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28.7</v>
      </c>
      <c r="I27" s="27">
        <f>SUM(J27)-1.3</f>
        <v>30</v>
      </c>
      <c r="J27" s="41">
        <v>31.3</v>
      </c>
      <c r="K27" s="27">
        <f>SUM(J27)+1.8</f>
        <v>33.1</v>
      </c>
      <c r="L27" s="27">
        <f>SUM(K27)+1.3</f>
        <v>34.4</v>
      </c>
      <c r="M27" s="27">
        <f>SUM(L27)+1.3</f>
        <v>35.699999999999996</v>
      </c>
      <c r="N27" s="62">
        <f>SUM(M27)+1.3</f>
        <v>36.999999999999993</v>
      </c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46"/>
      <c r="N28" s="48"/>
    </row>
    <row r="29" spans="1:14" s="1" customFormat="1" ht="14.1" customHeight="1">
      <c r="A29" s="52">
        <v>14</v>
      </c>
      <c r="B29" s="36" t="s">
        <v>18</v>
      </c>
      <c r="C29" s="37"/>
      <c r="D29" s="76" t="s">
        <v>342</v>
      </c>
      <c r="E29" s="77"/>
      <c r="F29" s="77"/>
      <c r="G29" s="78"/>
      <c r="H29" s="27">
        <f>SUM(I29)-2.7</f>
        <v>46.099999999999994</v>
      </c>
      <c r="I29" s="27">
        <f>SUM(J29)-2.7</f>
        <v>48.8</v>
      </c>
      <c r="J29" s="41">
        <v>51.5</v>
      </c>
      <c r="K29" s="27">
        <f>SUM(J29)+2.7</f>
        <v>54.2</v>
      </c>
      <c r="L29" s="27">
        <f t="shared" ref="L29:N29" si="1">SUM(K29)+2.7</f>
        <v>56.900000000000006</v>
      </c>
      <c r="M29" s="27">
        <f t="shared" si="1"/>
        <v>59.600000000000009</v>
      </c>
      <c r="N29" s="62">
        <f t="shared" si="1"/>
        <v>62.300000000000011</v>
      </c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46"/>
      <c r="N30" s="48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98">
        <f>SUM(I31)-6</f>
        <v>33</v>
      </c>
      <c r="I31" s="27">
        <f>SUM(J31)-6</f>
        <v>39</v>
      </c>
      <c r="J31" s="41">
        <v>45</v>
      </c>
      <c r="K31" s="27">
        <f>SUM(J31)+4.5</f>
        <v>49.5</v>
      </c>
      <c r="L31" s="27">
        <f>SUM(K31)+5</f>
        <v>54.5</v>
      </c>
      <c r="M31" s="27">
        <f>SUM(L31)+5</f>
        <v>59.5</v>
      </c>
      <c r="N31" s="62">
        <f>SUM(M31)+5</f>
        <v>64.5</v>
      </c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75"/>
      <c r="I32" s="46"/>
      <c r="J32" s="44"/>
      <c r="K32" s="46"/>
      <c r="L32" s="46"/>
      <c r="M32" s="46"/>
      <c r="N32" s="48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27">
        <f>SUM(I33)-2.1</f>
        <v>42.9</v>
      </c>
      <c r="I33" s="27">
        <f>SUM(J33)-2.1</f>
        <v>45</v>
      </c>
      <c r="J33" s="41">
        <v>47.1</v>
      </c>
      <c r="K33" s="27">
        <f>SUM(J33)+2.1</f>
        <v>49.2</v>
      </c>
      <c r="L33" s="27">
        <f>SUM(K33)+2.1</f>
        <v>51.300000000000004</v>
      </c>
      <c r="M33" s="27">
        <f>SUM(L33)+2.1</f>
        <v>53.400000000000006</v>
      </c>
      <c r="N33" s="62">
        <f>SUM(M33)+2.1</f>
        <v>55.500000000000007</v>
      </c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46"/>
      <c r="I34" s="46"/>
      <c r="J34" s="44"/>
      <c r="K34" s="46"/>
      <c r="L34" s="46"/>
      <c r="M34" s="46"/>
      <c r="N34" s="48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>
        <f>SUM(I35)-3.4</f>
        <v>33.5</v>
      </c>
      <c r="I35" s="27">
        <f>SUM(J35)-3.4</f>
        <v>36.9</v>
      </c>
      <c r="J35" s="41">
        <v>40.299999999999997</v>
      </c>
      <c r="K35" s="27">
        <f>SUM(J35)+3.3</f>
        <v>43.599999999999994</v>
      </c>
      <c r="L35" s="27">
        <f>SUM(K35)+3</f>
        <v>46.599999999999994</v>
      </c>
      <c r="M35" s="27">
        <f>SUM(L35)+3</f>
        <v>49.599999999999994</v>
      </c>
      <c r="N35" s="62">
        <f>SUM(M35)+3</f>
        <v>52.599999999999994</v>
      </c>
    </row>
    <row r="36" spans="1:14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44"/>
      <c r="K36" s="46"/>
      <c r="L36" s="46"/>
      <c r="M36" s="46"/>
      <c r="N36" s="48"/>
    </row>
    <row r="37" spans="1:14" s="1" customFormat="1" ht="14.1" customHeight="1">
      <c r="A37" s="52">
        <v>18</v>
      </c>
      <c r="B37" s="36" t="s">
        <v>99</v>
      </c>
      <c r="C37" s="37"/>
      <c r="D37" s="76" t="s">
        <v>22</v>
      </c>
      <c r="E37" s="77"/>
      <c r="F37" s="77"/>
      <c r="G37" s="78"/>
      <c r="H37" s="27">
        <f>SUM(I37)-0.2</f>
        <v>4.0999999999999996</v>
      </c>
      <c r="I37" s="27">
        <f>SUM(J37)-0.2</f>
        <v>4.3</v>
      </c>
      <c r="J37" s="41">
        <v>4.5</v>
      </c>
      <c r="K37" s="27">
        <f>SUM(J37)+0.2</f>
        <v>4.7</v>
      </c>
      <c r="L37" s="27">
        <f t="shared" ref="L37:N37" si="2">SUM(K37)+0.2</f>
        <v>4.9000000000000004</v>
      </c>
      <c r="M37" s="27">
        <f t="shared" si="2"/>
        <v>5.1000000000000005</v>
      </c>
      <c r="N37" s="62">
        <f t="shared" si="2"/>
        <v>5.3000000000000007</v>
      </c>
    </row>
    <row r="38" spans="1:14" s="1" customFormat="1" ht="14.1" customHeight="1">
      <c r="A38" s="53"/>
      <c r="B38" s="57" t="s">
        <v>52</v>
      </c>
      <c r="C38" s="58"/>
      <c r="D38" s="59" t="s">
        <v>98</v>
      </c>
      <c r="E38" s="60"/>
      <c r="F38" s="60"/>
      <c r="G38" s="61"/>
      <c r="H38" s="45"/>
      <c r="I38" s="45"/>
      <c r="J38" s="43"/>
      <c r="K38" s="46"/>
      <c r="L38" s="45"/>
      <c r="M38" s="45"/>
      <c r="N38" s="47"/>
    </row>
    <row r="39" spans="1:14" s="1" customFormat="1" ht="14.1" customHeight="1">
      <c r="A39" s="52">
        <v>19</v>
      </c>
      <c r="B39" s="36" t="s">
        <v>97</v>
      </c>
      <c r="C39" s="37"/>
      <c r="D39" s="76" t="s">
        <v>23</v>
      </c>
      <c r="E39" s="77"/>
      <c r="F39" s="77"/>
      <c r="G39" s="78"/>
      <c r="H39" s="27">
        <f>SUM(I39)-0.6</f>
        <v>9.5</v>
      </c>
      <c r="I39" s="27">
        <f>SUM(J39)-0.6</f>
        <v>10.1</v>
      </c>
      <c r="J39" s="41">
        <v>10.7</v>
      </c>
      <c r="K39" s="27">
        <f>SUM(J39)+0.6</f>
        <v>11.299999999999999</v>
      </c>
      <c r="L39" s="27">
        <f t="shared" ref="L39:N39" si="3">SUM(K39)+0.6</f>
        <v>11.899999999999999</v>
      </c>
      <c r="M39" s="27">
        <f t="shared" si="3"/>
        <v>12.499999999999998</v>
      </c>
      <c r="N39" s="62">
        <f t="shared" si="3"/>
        <v>13.099999999999998</v>
      </c>
    </row>
    <row r="40" spans="1:14" s="1" customFormat="1" ht="14.1" customHeight="1">
      <c r="A40" s="53"/>
      <c r="B40" s="57" t="s">
        <v>51</v>
      </c>
      <c r="C40" s="58"/>
      <c r="D40" s="59" t="s">
        <v>96</v>
      </c>
      <c r="E40" s="60"/>
      <c r="F40" s="60"/>
      <c r="G40" s="61"/>
      <c r="H40" s="45"/>
      <c r="I40" s="45"/>
      <c r="J40" s="43"/>
      <c r="K40" s="45"/>
      <c r="L40" s="45"/>
      <c r="M40" s="45"/>
      <c r="N40" s="47"/>
    </row>
    <row r="41" spans="1:14" s="1" customFormat="1" ht="14.1" customHeight="1">
      <c r="A41" s="52">
        <v>20</v>
      </c>
      <c r="B41" s="36" t="s">
        <v>95</v>
      </c>
      <c r="C41" s="37"/>
      <c r="D41" s="76"/>
      <c r="E41" s="77"/>
      <c r="F41" s="77"/>
      <c r="G41" s="78"/>
      <c r="H41" s="27">
        <f>SUM(I41)-0.5</f>
        <v>10</v>
      </c>
      <c r="I41" s="27">
        <f>SUM(J41)-0.5</f>
        <v>10.5</v>
      </c>
      <c r="J41" s="41">
        <v>11</v>
      </c>
      <c r="K41" s="27">
        <f>SUM(J41)+0.5</f>
        <v>11.5</v>
      </c>
      <c r="L41" s="27">
        <f>SUM(K41)+0.5</f>
        <v>12</v>
      </c>
      <c r="M41" s="27">
        <f>SUM(L41)+0.5</f>
        <v>12.5</v>
      </c>
      <c r="N41" s="62">
        <f>SUM(M41)+0.5</f>
        <v>13</v>
      </c>
    </row>
    <row r="42" spans="1:14" s="1" customFormat="1" ht="14.1" customHeight="1">
      <c r="A42" s="53"/>
      <c r="B42" s="127" t="s">
        <v>94</v>
      </c>
      <c r="C42" s="128"/>
      <c r="D42" s="59"/>
      <c r="E42" s="60"/>
      <c r="F42" s="60"/>
      <c r="G42" s="61"/>
      <c r="H42" s="46"/>
      <c r="I42" s="46"/>
      <c r="J42" s="44"/>
      <c r="K42" s="46"/>
      <c r="L42" s="46"/>
      <c r="M42" s="46"/>
      <c r="N42" s="48"/>
    </row>
    <row r="43" spans="1:14" s="1" customFormat="1" ht="14.1" customHeight="1">
      <c r="A43" s="52">
        <v>21</v>
      </c>
      <c r="B43" s="36" t="s">
        <v>93</v>
      </c>
      <c r="C43" s="37"/>
      <c r="D43" s="124"/>
      <c r="E43" s="124"/>
      <c r="F43" s="124"/>
      <c r="G43" s="124"/>
      <c r="H43" s="27">
        <f>SUM(I43)-0.5</f>
        <v>11.2</v>
      </c>
      <c r="I43" s="27">
        <f>SUM(J43)-0.5</f>
        <v>11.7</v>
      </c>
      <c r="J43" s="41">
        <v>12.2</v>
      </c>
      <c r="K43" s="27">
        <f>SUM(J43)+0.5</f>
        <v>12.7</v>
      </c>
      <c r="L43" s="27">
        <f>SUM(K43)+0.5</f>
        <v>13.2</v>
      </c>
      <c r="M43" s="27">
        <f>SUM(L43)+0.5</f>
        <v>13.7</v>
      </c>
      <c r="N43" s="62">
        <f>SUM(M43)+0.5</f>
        <v>14.2</v>
      </c>
    </row>
    <row r="44" spans="1:14" s="1" customFormat="1" ht="14.1" customHeight="1">
      <c r="A44" s="53"/>
      <c r="B44" s="153" t="s">
        <v>92</v>
      </c>
      <c r="C44" s="153"/>
      <c r="D44" s="102"/>
      <c r="E44" s="103"/>
      <c r="F44" s="103"/>
      <c r="G44" s="104"/>
      <c r="H44" s="46"/>
      <c r="I44" s="46"/>
      <c r="J44" s="44"/>
      <c r="K44" s="46"/>
      <c r="L44" s="46"/>
      <c r="M44" s="46"/>
      <c r="N44" s="48"/>
    </row>
    <row r="45" spans="1:14" s="1" customFormat="1" ht="14.1" customHeight="1">
      <c r="A45" s="34">
        <v>22</v>
      </c>
      <c r="B45" s="36" t="s">
        <v>114</v>
      </c>
      <c r="C45" s="37"/>
      <c r="D45" s="76"/>
      <c r="E45" s="77"/>
      <c r="F45" s="77"/>
      <c r="G45" s="78"/>
      <c r="H45" s="27">
        <f>SUM(I45)-0.1</f>
        <v>3</v>
      </c>
      <c r="I45" s="27">
        <f>SUM(J45)-0.1</f>
        <v>3.1</v>
      </c>
      <c r="J45" s="41">
        <v>3.2</v>
      </c>
      <c r="K45" s="27">
        <f>SUM(J45)+0.1</f>
        <v>3.3000000000000003</v>
      </c>
      <c r="L45" s="27">
        <f t="shared" ref="L45:N45" si="4">SUM(K45)+0.1</f>
        <v>3.4000000000000004</v>
      </c>
      <c r="M45" s="27">
        <f t="shared" si="4"/>
        <v>3.5000000000000004</v>
      </c>
      <c r="N45" s="62">
        <f t="shared" si="4"/>
        <v>3.6000000000000005</v>
      </c>
    </row>
    <row r="46" spans="1:14" ht="14.1" customHeight="1">
      <c r="A46" s="53"/>
      <c r="B46" s="127" t="s">
        <v>122</v>
      </c>
      <c r="C46" s="128"/>
      <c r="D46" s="59" t="s">
        <v>231</v>
      </c>
      <c r="E46" s="60"/>
      <c r="F46" s="60"/>
      <c r="G46" s="61"/>
      <c r="H46" s="46"/>
      <c r="I46" s="46"/>
      <c r="J46" s="44"/>
      <c r="K46" s="46"/>
      <c r="L46" s="46"/>
      <c r="M46" s="46"/>
      <c r="N46" s="48"/>
    </row>
    <row r="47" spans="1:14" ht="14.1" customHeight="1">
      <c r="A47" s="152">
        <v>23</v>
      </c>
      <c r="B47" s="133"/>
      <c r="C47" s="134"/>
      <c r="D47" s="154"/>
      <c r="E47" s="154"/>
      <c r="F47" s="154"/>
      <c r="G47" s="154"/>
      <c r="H47" s="45"/>
      <c r="I47" s="45"/>
      <c r="J47" s="43"/>
      <c r="K47" s="45"/>
      <c r="L47" s="45"/>
      <c r="M47" s="45"/>
      <c r="N47" s="47"/>
    </row>
    <row r="48" spans="1:14" ht="14.1" customHeight="1" thickBot="1">
      <c r="A48" s="158"/>
      <c r="B48" s="118"/>
      <c r="C48" s="118"/>
      <c r="D48" s="119"/>
      <c r="E48" s="120"/>
      <c r="F48" s="120"/>
      <c r="G48" s="121"/>
      <c r="H48" s="28"/>
      <c r="I48" s="28"/>
      <c r="J48" s="42"/>
      <c r="K48" s="28"/>
      <c r="L48" s="28"/>
      <c r="M48" s="28"/>
      <c r="N48" s="160"/>
    </row>
    <row r="49" ht="14.1" customHeight="1"/>
    <row r="50" ht="14.1" customHeight="1"/>
    <row r="51" ht="14.1" customHeight="1"/>
    <row r="52" ht="13.5" customHeight="1"/>
  </sheetData>
  <mergeCells count="279"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1:N1"/>
    <mergeCell ref="N3:N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41:N42"/>
    <mergeCell ref="N43:N44"/>
    <mergeCell ref="N45:N46"/>
    <mergeCell ref="N47:N48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E1F9-CFF0-423C-B6DF-5CFD87F289E4}">
  <sheetPr codeName="Sheet87">
    <tabColor theme="5"/>
    <pageSetUpPr fitToPage="1"/>
  </sheetPr>
  <dimension ref="A1:M61"/>
  <sheetViews>
    <sheetView topLeftCell="A16" zoomScale="110" zoomScaleNormal="110" workbookViewId="0">
      <selection activeCell="B45" sqref="B45:N4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586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7"/>
    </row>
    <row r="4" spans="1:13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8"/>
    </row>
    <row r="5" spans="1:13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98"/>
      <c r="I5" s="27"/>
      <c r="J5" s="43"/>
      <c r="K5" s="45"/>
      <c r="L5" s="45"/>
      <c r="M5" s="47"/>
    </row>
    <row r="6" spans="1:13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75"/>
      <c r="I6" s="46"/>
      <c r="J6" s="44"/>
      <c r="K6" s="46"/>
      <c r="L6" s="46"/>
      <c r="M6" s="48"/>
    </row>
    <row r="7" spans="1:13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98"/>
      <c r="I7" s="27"/>
      <c r="J7" s="43"/>
      <c r="K7" s="45"/>
      <c r="L7" s="45"/>
      <c r="M7" s="47"/>
    </row>
    <row r="8" spans="1:13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75"/>
      <c r="I8" s="46"/>
      <c r="J8" s="44"/>
      <c r="K8" s="46"/>
      <c r="L8" s="46"/>
      <c r="M8" s="48"/>
    </row>
    <row r="9" spans="1:13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7"/>
      <c r="I9" s="27"/>
      <c r="J9" s="43"/>
      <c r="K9" s="45"/>
      <c r="L9" s="45"/>
      <c r="M9" s="47"/>
    </row>
    <row r="10" spans="1:13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46"/>
      <c r="I10" s="46"/>
      <c r="J10" s="44"/>
      <c r="K10" s="46"/>
      <c r="L10" s="46"/>
      <c r="M10" s="48"/>
    </row>
    <row r="11" spans="1:13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27">
        <f>SUM(I11)-3.5</f>
        <v>65</v>
      </c>
      <c r="I11" s="27">
        <f>SUM(J11)-3.5</f>
        <v>68.5</v>
      </c>
      <c r="J11" s="43">
        <v>72</v>
      </c>
      <c r="K11" s="27">
        <f>SUM(J11)+3.5</f>
        <v>75.5</v>
      </c>
      <c r="L11" s="27">
        <f>SUM(K11)+3.5</f>
        <v>79</v>
      </c>
      <c r="M11" s="62"/>
    </row>
    <row r="12" spans="1:13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46"/>
      <c r="I12" s="46"/>
      <c r="J12" s="44"/>
      <c r="K12" s="46"/>
      <c r="L12" s="46"/>
      <c r="M12" s="48"/>
    </row>
    <row r="13" spans="1:13" s="1" customFormat="1" ht="14.1" customHeight="1">
      <c r="A13" s="52">
        <v>6</v>
      </c>
      <c r="B13" s="36" t="s">
        <v>11</v>
      </c>
      <c r="C13" s="37"/>
      <c r="D13" s="76" t="s">
        <v>333</v>
      </c>
      <c r="E13" s="77"/>
      <c r="F13" s="77"/>
      <c r="G13" s="78"/>
      <c r="H13" s="27">
        <f>SUM(I13)-4</f>
        <v>70.099999999999994</v>
      </c>
      <c r="I13" s="27">
        <f>SUM(J13)-4</f>
        <v>74.099999999999994</v>
      </c>
      <c r="J13" s="41">
        <v>78.099999999999994</v>
      </c>
      <c r="K13" s="27">
        <f>SUM(J13)+4</f>
        <v>82.1</v>
      </c>
      <c r="L13" s="27">
        <f>SUM(K13)+4</f>
        <v>86.1</v>
      </c>
      <c r="M13" s="62"/>
    </row>
    <row r="14" spans="1:13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46"/>
      <c r="I14" s="46"/>
      <c r="J14" s="44"/>
      <c r="K14" s="46"/>
      <c r="L14" s="46"/>
      <c r="M14" s="48"/>
    </row>
    <row r="15" spans="1:13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98">
        <f>SUM(I15)-0.7</f>
        <v>12.600000000000001</v>
      </c>
      <c r="I15" s="27">
        <f>SUM(J15)-0.7</f>
        <v>13.3</v>
      </c>
      <c r="J15" s="41">
        <v>14</v>
      </c>
      <c r="K15" s="27">
        <f>SUM(J15)+1.2</f>
        <v>15.2</v>
      </c>
      <c r="L15" s="27">
        <f>SUM(K15)+0.7</f>
        <v>15.899999999999999</v>
      </c>
      <c r="M15" s="202"/>
    </row>
    <row r="16" spans="1:13" s="1" customFormat="1" ht="14.1" customHeight="1">
      <c r="A16" s="53"/>
      <c r="B16" s="57" t="s">
        <v>100</v>
      </c>
      <c r="C16" s="58"/>
      <c r="D16" s="82" t="s">
        <v>334</v>
      </c>
      <c r="E16" s="83"/>
      <c r="F16" s="83"/>
      <c r="G16" s="84"/>
      <c r="H16" s="75"/>
      <c r="I16" s="46"/>
      <c r="J16" s="44"/>
      <c r="K16" s="46"/>
      <c r="L16" s="46"/>
      <c r="M16" s="203"/>
    </row>
    <row r="17" spans="1:13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/>
      <c r="I17" s="27"/>
      <c r="J17" s="41"/>
      <c r="K17" s="27"/>
      <c r="L17" s="27"/>
      <c r="M17" s="202"/>
    </row>
    <row r="18" spans="1:13" s="1" customFormat="1" ht="14.1" customHeight="1">
      <c r="A18" s="53"/>
      <c r="B18" s="57" t="s">
        <v>120</v>
      </c>
      <c r="C18" s="58"/>
      <c r="D18" s="82" t="s">
        <v>121</v>
      </c>
      <c r="E18" s="83"/>
      <c r="F18" s="83"/>
      <c r="G18" s="84"/>
      <c r="H18" s="75"/>
      <c r="I18" s="46"/>
      <c r="J18" s="44"/>
      <c r="K18" s="46"/>
      <c r="L18" s="46"/>
      <c r="M18" s="203"/>
    </row>
    <row r="19" spans="1:13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/>
      <c r="I19" s="27"/>
      <c r="J19" s="41"/>
      <c r="K19" s="27"/>
      <c r="L19" s="27"/>
      <c r="M19" s="62"/>
    </row>
    <row r="20" spans="1:13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8"/>
    </row>
    <row r="21" spans="1:13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52.5</v>
      </c>
      <c r="I21" s="27">
        <f>SUM(J21)-7</f>
        <v>59.5</v>
      </c>
      <c r="J21" s="41">
        <v>66.5</v>
      </c>
      <c r="K21" s="27">
        <f>SUM(J21)+6</f>
        <v>72.5</v>
      </c>
      <c r="L21" s="27">
        <f>SUM(K21)+6</f>
        <v>78.5</v>
      </c>
      <c r="M21" s="62"/>
    </row>
    <row r="22" spans="1:13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8"/>
    </row>
    <row r="23" spans="1:13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SUM(I23)-1</f>
        <v>22</v>
      </c>
      <c r="I23" s="27">
        <f>SUM(J23)-1</f>
        <v>23</v>
      </c>
      <c r="J23" s="41">
        <v>24</v>
      </c>
      <c r="K23" s="27">
        <f>SUM(J23)+1</f>
        <v>25</v>
      </c>
      <c r="L23" s="27">
        <f t="shared" ref="L23" si="0">SUM(K23)+1</f>
        <v>26</v>
      </c>
      <c r="M23" s="62"/>
    </row>
    <row r="24" spans="1:13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48"/>
    </row>
    <row r="25" spans="1:13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20.9</v>
      </c>
      <c r="I25" s="27">
        <f>SUM(J25)-1.1</f>
        <v>22</v>
      </c>
      <c r="J25" s="41">
        <v>23.1</v>
      </c>
      <c r="K25" s="27">
        <f>SUM(J25)+1.6</f>
        <v>24.700000000000003</v>
      </c>
      <c r="L25" s="27">
        <f>SUM(K25)+1.1</f>
        <v>25.800000000000004</v>
      </c>
      <c r="M25" s="202"/>
    </row>
    <row r="26" spans="1:13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203"/>
    </row>
    <row r="27" spans="1:13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28.7</v>
      </c>
      <c r="I27" s="27">
        <f>SUM(J27)-1.3</f>
        <v>30</v>
      </c>
      <c r="J27" s="41">
        <v>31.3</v>
      </c>
      <c r="K27" s="27">
        <f>SUM(J27)+1.8</f>
        <v>33.1</v>
      </c>
      <c r="L27" s="27">
        <f>SUM(K27)+1.3</f>
        <v>34.4</v>
      </c>
      <c r="M27" s="202"/>
    </row>
    <row r="28" spans="1:13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203"/>
    </row>
    <row r="29" spans="1:13" s="1" customFormat="1" ht="14.1" customHeight="1">
      <c r="A29" s="52">
        <v>14</v>
      </c>
      <c r="B29" s="36" t="s">
        <v>18</v>
      </c>
      <c r="C29" s="37"/>
      <c r="D29" s="76" t="s">
        <v>19</v>
      </c>
      <c r="E29" s="77"/>
      <c r="F29" s="77"/>
      <c r="G29" s="78"/>
      <c r="H29" s="27">
        <f>SUM(I29)-2.5</f>
        <v>45.8</v>
      </c>
      <c r="I29" s="27">
        <f>SUM(J29)-2.5</f>
        <v>48.3</v>
      </c>
      <c r="J29" s="41">
        <v>50.8</v>
      </c>
      <c r="K29" s="27">
        <f>SUM(J29)+2.5</f>
        <v>53.3</v>
      </c>
      <c r="L29" s="27">
        <f t="shared" ref="L29" si="1">SUM(K29)+2.5</f>
        <v>55.8</v>
      </c>
      <c r="M29" s="62"/>
    </row>
    <row r="30" spans="1:13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48"/>
    </row>
    <row r="31" spans="1:13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27">
        <f>SUM(I31)-6</f>
        <v>32.9</v>
      </c>
      <c r="I31" s="27">
        <f>SUM(J31)-6</f>
        <v>38.9</v>
      </c>
      <c r="J31" s="41">
        <v>44.9</v>
      </c>
      <c r="K31" s="27">
        <f>SUM(J31)+4.5</f>
        <v>49.4</v>
      </c>
      <c r="L31" s="27">
        <f>SUM(K31)+5</f>
        <v>54.4</v>
      </c>
      <c r="M31" s="62"/>
    </row>
    <row r="32" spans="1:13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46"/>
      <c r="I32" s="46"/>
      <c r="J32" s="44"/>
      <c r="K32" s="46"/>
      <c r="L32" s="46"/>
      <c r="M32" s="48"/>
    </row>
    <row r="33" spans="1:13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27">
        <f>SUM(I33)-1.8</f>
        <v>43.2</v>
      </c>
      <c r="I33" s="27">
        <f>SUM(J33)-1.8</f>
        <v>45</v>
      </c>
      <c r="J33" s="41">
        <v>46.8</v>
      </c>
      <c r="K33" s="27">
        <f>SUM(J33)+1.8</f>
        <v>48.599999999999994</v>
      </c>
      <c r="L33" s="27">
        <f t="shared" ref="L33" si="2">SUM(K33)+1.8</f>
        <v>50.399999999999991</v>
      </c>
      <c r="M33" s="62"/>
    </row>
    <row r="34" spans="1:13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46"/>
      <c r="I34" s="46"/>
      <c r="J34" s="44"/>
      <c r="K34" s="46"/>
      <c r="L34" s="46"/>
      <c r="M34" s="48"/>
    </row>
    <row r="35" spans="1:13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>
        <f>SUM(I35)-3.3</f>
        <v>32.100000000000009</v>
      </c>
      <c r="I35" s="27">
        <f>SUM(J35)-3.3</f>
        <v>35.400000000000006</v>
      </c>
      <c r="J35" s="41">
        <v>38.700000000000003</v>
      </c>
      <c r="K35" s="27">
        <f>SUM(J35)+3.2</f>
        <v>41.900000000000006</v>
      </c>
      <c r="L35" s="27">
        <f>SUM(K35)+2.9</f>
        <v>44.800000000000004</v>
      </c>
      <c r="M35" s="62"/>
    </row>
    <row r="36" spans="1:13" s="1" customFormat="1" ht="14.1" customHeight="1">
      <c r="A36" s="53"/>
      <c r="B36" s="63" t="s">
        <v>77</v>
      </c>
      <c r="C36" s="64"/>
      <c r="D36" s="65" t="s">
        <v>111</v>
      </c>
      <c r="E36" s="66"/>
      <c r="F36" s="66"/>
      <c r="G36" s="67"/>
      <c r="H36" s="45"/>
      <c r="I36" s="45"/>
      <c r="J36" s="43"/>
      <c r="K36" s="45"/>
      <c r="L36" s="45"/>
      <c r="M36" s="47"/>
    </row>
    <row r="37" spans="1:13" s="1" customFormat="1" ht="14.1" customHeight="1">
      <c r="A37" s="159">
        <v>18</v>
      </c>
      <c r="B37" s="36" t="s">
        <v>99</v>
      </c>
      <c r="C37" s="37"/>
      <c r="D37" s="76" t="s">
        <v>22</v>
      </c>
      <c r="E37" s="77"/>
      <c r="F37" s="77"/>
      <c r="G37" s="78"/>
      <c r="H37" s="27">
        <f>SUM(I37)-0.2</f>
        <v>4.1999999999999993</v>
      </c>
      <c r="I37" s="27">
        <f>SUM(J37)-0.2</f>
        <v>4.3999999999999995</v>
      </c>
      <c r="J37" s="41">
        <v>4.5999999999999996</v>
      </c>
      <c r="K37" s="27">
        <f>SUM(J37)+0.2</f>
        <v>4.8</v>
      </c>
      <c r="L37" s="27">
        <f t="shared" ref="L37" si="3">SUM(K37)+0.2</f>
        <v>5</v>
      </c>
      <c r="M37" s="62"/>
    </row>
    <row r="38" spans="1:13" s="1" customFormat="1" ht="14.1" customHeight="1">
      <c r="A38" s="138"/>
      <c r="B38" s="57" t="s">
        <v>52</v>
      </c>
      <c r="C38" s="58"/>
      <c r="D38" s="59" t="s">
        <v>98</v>
      </c>
      <c r="E38" s="60"/>
      <c r="F38" s="60"/>
      <c r="G38" s="61"/>
      <c r="H38" s="45"/>
      <c r="I38" s="45"/>
      <c r="J38" s="43"/>
      <c r="K38" s="46"/>
      <c r="L38" s="45"/>
      <c r="M38" s="47"/>
    </row>
    <row r="39" spans="1:13" s="1" customFormat="1" ht="14.1" customHeight="1">
      <c r="A39" s="52">
        <v>19</v>
      </c>
      <c r="B39" s="36" t="s">
        <v>97</v>
      </c>
      <c r="C39" s="37"/>
      <c r="D39" s="76" t="s">
        <v>23</v>
      </c>
      <c r="E39" s="77"/>
      <c r="F39" s="77"/>
      <c r="G39" s="78"/>
      <c r="H39" s="27">
        <f>SUM(I39)-0.6</f>
        <v>9.3000000000000007</v>
      </c>
      <c r="I39" s="27">
        <f>SUM(J39)-0.6</f>
        <v>9.9</v>
      </c>
      <c r="J39" s="41">
        <v>10.5</v>
      </c>
      <c r="K39" s="27">
        <f>SUM(J39)+0.6</f>
        <v>11.1</v>
      </c>
      <c r="L39" s="27">
        <f t="shared" ref="L39" si="4">SUM(K39)+0.6</f>
        <v>11.7</v>
      </c>
      <c r="M39" s="62"/>
    </row>
    <row r="40" spans="1:13" s="1" customFormat="1" ht="14.1" customHeight="1">
      <c r="A40" s="53"/>
      <c r="B40" s="57" t="s">
        <v>51</v>
      </c>
      <c r="C40" s="58"/>
      <c r="D40" s="59" t="s">
        <v>96</v>
      </c>
      <c r="E40" s="60"/>
      <c r="F40" s="60"/>
      <c r="G40" s="61"/>
      <c r="H40" s="45"/>
      <c r="I40" s="45"/>
      <c r="J40" s="43"/>
      <c r="K40" s="45"/>
      <c r="L40" s="45"/>
      <c r="M40" s="47"/>
    </row>
    <row r="41" spans="1:13" s="1" customFormat="1" ht="14.1" customHeight="1">
      <c r="A41" s="52">
        <v>20</v>
      </c>
      <c r="B41" s="36"/>
      <c r="C41" s="37"/>
      <c r="D41" s="76"/>
      <c r="E41" s="77"/>
      <c r="F41" s="77"/>
      <c r="G41" s="78"/>
      <c r="H41" s="27"/>
      <c r="I41" s="27"/>
      <c r="J41" s="41"/>
      <c r="K41" s="27"/>
      <c r="L41" s="27"/>
      <c r="M41" s="62"/>
    </row>
    <row r="42" spans="1:13" s="1" customFormat="1" ht="14.1" customHeight="1">
      <c r="A42" s="53"/>
      <c r="B42" s="127"/>
      <c r="C42" s="128"/>
      <c r="D42" s="59"/>
      <c r="E42" s="60"/>
      <c r="F42" s="60"/>
      <c r="G42" s="61"/>
      <c r="H42" s="46"/>
      <c r="I42" s="46"/>
      <c r="J42" s="44"/>
      <c r="K42" s="46"/>
      <c r="L42" s="46"/>
      <c r="M42" s="48"/>
    </row>
    <row r="43" spans="1:13" s="1" customFormat="1" ht="14.1" customHeight="1">
      <c r="A43" s="52">
        <v>21</v>
      </c>
      <c r="B43" s="36"/>
      <c r="C43" s="37"/>
      <c r="D43" s="124"/>
      <c r="E43" s="124"/>
      <c r="F43" s="124"/>
      <c r="G43" s="124"/>
      <c r="H43" s="27"/>
      <c r="I43" s="27"/>
      <c r="J43" s="41"/>
      <c r="K43" s="27"/>
      <c r="L43" s="27"/>
      <c r="M43" s="62"/>
    </row>
    <row r="44" spans="1:13" s="1" customFormat="1" ht="13.5" customHeight="1" thickBot="1">
      <c r="A44" s="53"/>
      <c r="B44" s="153"/>
      <c r="C44" s="153"/>
      <c r="D44" s="102"/>
      <c r="E44" s="103"/>
      <c r="F44" s="103"/>
      <c r="G44" s="104"/>
      <c r="H44" s="46"/>
      <c r="I44" s="46"/>
      <c r="J44" s="44"/>
      <c r="K44" s="46"/>
      <c r="L44" s="46"/>
      <c r="M44" s="48"/>
    </row>
    <row r="45" spans="1:13" s="1" customFormat="1" ht="13.5" customHeight="1" thickTop="1">
      <c r="A45" s="68">
        <v>22</v>
      </c>
      <c r="B45" s="69" t="s">
        <v>457</v>
      </c>
      <c r="C45" s="70"/>
      <c r="D45" s="71"/>
      <c r="E45" s="72"/>
      <c r="F45" s="72"/>
      <c r="G45" s="73"/>
      <c r="H45" s="55">
        <f>SUM(I45)-1.2</f>
        <v>20.900000000000002</v>
      </c>
      <c r="I45" s="55">
        <f>SUM(J45)-1.2</f>
        <v>22.1</v>
      </c>
      <c r="J45" s="54">
        <v>23.3</v>
      </c>
      <c r="K45" s="55">
        <f>SUM(J45)+1.2</f>
        <v>24.5</v>
      </c>
      <c r="L45" s="55">
        <f t="shared" ref="L45" si="5">SUM(K45)+1.2</f>
        <v>25.7</v>
      </c>
      <c r="M45" s="56"/>
    </row>
    <row r="46" spans="1:13" s="1" customFormat="1" ht="13.5" customHeight="1">
      <c r="A46" s="53"/>
      <c r="B46" s="57" t="s">
        <v>587</v>
      </c>
      <c r="C46" s="58"/>
      <c r="D46" s="59" t="s">
        <v>334</v>
      </c>
      <c r="E46" s="60"/>
      <c r="F46" s="60"/>
      <c r="G46" s="61"/>
      <c r="H46" s="46"/>
      <c r="I46" s="46"/>
      <c r="J46" s="44"/>
      <c r="K46" s="46"/>
      <c r="L46" s="46"/>
      <c r="M46" s="48"/>
    </row>
    <row r="47" spans="1:13" s="1" customFormat="1" ht="13.5" customHeight="1">
      <c r="A47" s="52">
        <v>23</v>
      </c>
      <c r="B47" s="36" t="s">
        <v>212</v>
      </c>
      <c r="C47" s="37"/>
      <c r="D47" s="76"/>
      <c r="E47" s="77"/>
      <c r="F47" s="77"/>
      <c r="G47" s="78"/>
      <c r="H47" s="27">
        <f>SUM(I47)-0.6</f>
        <v>6.8000000000000007</v>
      </c>
      <c r="I47" s="27">
        <f>SUM(J47)-0.6</f>
        <v>7.4</v>
      </c>
      <c r="J47" s="125">
        <v>8</v>
      </c>
      <c r="K47" s="114">
        <f>SUM(J47)+0.1</f>
        <v>8.1</v>
      </c>
      <c r="L47" s="114">
        <f>SUM(K47)+0.6</f>
        <v>8.6999999999999993</v>
      </c>
      <c r="M47" s="162"/>
    </row>
    <row r="48" spans="1:13" s="1" customFormat="1" ht="13.5" customHeight="1">
      <c r="A48" s="53"/>
      <c r="B48" s="57" t="s">
        <v>588</v>
      </c>
      <c r="C48" s="58"/>
      <c r="D48" s="59" t="s">
        <v>589</v>
      </c>
      <c r="E48" s="60"/>
      <c r="F48" s="60"/>
      <c r="G48" s="61"/>
      <c r="H48" s="46"/>
      <c r="I48" s="46"/>
      <c r="J48" s="125"/>
      <c r="K48" s="114"/>
      <c r="L48" s="114"/>
      <c r="M48" s="162"/>
    </row>
    <row r="49" spans="1:13" s="1" customFormat="1" ht="13.5" customHeight="1">
      <c r="A49" s="52">
        <v>24</v>
      </c>
      <c r="B49" s="36" t="s">
        <v>214</v>
      </c>
      <c r="C49" s="37"/>
      <c r="D49" s="76"/>
      <c r="E49" s="77"/>
      <c r="F49" s="77"/>
      <c r="G49" s="78"/>
      <c r="H49" s="27">
        <f>SUM(I49)-0.6</f>
        <v>10.8</v>
      </c>
      <c r="I49" s="27">
        <f>SUM(J49)-0.6</f>
        <v>11.4</v>
      </c>
      <c r="J49" s="125">
        <v>12</v>
      </c>
      <c r="K49" s="114">
        <f>SUM(J49)+0.6</f>
        <v>12.6</v>
      </c>
      <c r="L49" s="114">
        <f t="shared" ref="L49" si="6">SUM(K49)+0.6</f>
        <v>13.2</v>
      </c>
      <c r="M49" s="162"/>
    </row>
    <row r="50" spans="1:13" s="1" customFormat="1" ht="13.5" customHeight="1">
      <c r="A50" s="53"/>
      <c r="B50" s="57" t="s">
        <v>590</v>
      </c>
      <c r="C50" s="58"/>
      <c r="D50" s="59" t="s">
        <v>589</v>
      </c>
      <c r="E50" s="60"/>
      <c r="F50" s="60"/>
      <c r="G50" s="61"/>
      <c r="H50" s="46"/>
      <c r="I50" s="46"/>
      <c r="J50" s="125"/>
      <c r="K50" s="114"/>
      <c r="L50" s="114"/>
      <c r="M50" s="162"/>
    </row>
    <row r="51" spans="1:13" s="1" customFormat="1" ht="13.5" customHeight="1">
      <c r="A51" s="52">
        <v>25</v>
      </c>
      <c r="B51" s="36"/>
      <c r="C51" s="37"/>
      <c r="D51" s="76"/>
      <c r="E51" s="77"/>
      <c r="F51" s="77"/>
      <c r="G51" s="78"/>
      <c r="H51" s="27"/>
      <c r="I51" s="27"/>
      <c r="J51" s="41"/>
      <c r="K51" s="27"/>
      <c r="L51" s="27"/>
      <c r="M51" s="62"/>
    </row>
    <row r="52" spans="1:13" s="1" customFormat="1" ht="13.5" customHeight="1">
      <c r="A52" s="53"/>
      <c r="B52" s="127"/>
      <c r="C52" s="128"/>
      <c r="D52" s="59"/>
      <c r="E52" s="60"/>
      <c r="F52" s="60"/>
      <c r="G52" s="61"/>
      <c r="H52" s="46"/>
      <c r="I52" s="46"/>
      <c r="J52" s="44"/>
      <c r="K52" s="46"/>
      <c r="L52" s="46"/>
      <c r="M52" s="48"/>
    </row>
    <row r="53" spans="1:13" ht="13.5" customHeight="1">
      <c r="A53" s="52">
        <v>26</v>
      </c>
      <c r="B53" s="36"/>
      <c r="C53" s="37"/>
      <c r="D53" s="124"/>
      <c r="E53" s="124"/>
      <c r="F53" s="124"/>
      <c r="G53" s="124"/>
      <c r="H53" s="27"/>
      <c r="I53" s="27"/>
      <c r="J53" s="41"/>
      <c r="K53" s="27"/>
      <c r="L53" s="27"/>
      <c r="M53" s="62"/>
    </row>
    <row r="54" spans="1:13" ht="13.5" customHeight="1" thickBot="1">
      <c r="A54" s="35"/>
      <c r="B54" s="118"/>
      <c r="C54" s="118"/>
      <c r="D54" s="119"/>
      <c r="E54" s="120"/>
      <c r="F54" s="120"/>
      <c r="G54" s="121"/>
      <c r="H54" s="28"/>
      <c r="I54" s="28"/>
      <c r="J54" s="42"/>
      <c r="K54" s="28"/>
      <c r="L54" s="28"/>
      <c r="M54" s="160"/>
    </row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89">
    <mergeCell ref="K53:K54"/>
    <mergeCell ref="L53:L54"/>
    <mergeCell ref="M53:M54"/>
    <mergeCell ref="B54:C54"/>
    <mergeCell ref="D54:G54"/>
    <mergeCell ref="A53:A54"/>
    <mergeCell ref="B53:C53"/>
    <mergeCell ref="D53:G53"/>
    <mergeCell ref="H53:H54"/>
    <mergeCell ref="I53:I54"/>
    <mergeCell ref="J53:J54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6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3109-898A-40E3-A304-85420F713ECE}">
  <sheetPr codeName="Sheet88">
    <tabColor theme="5"/>
    <pageSetUpPr fitToPage="1"/>
  </sheetPr>
  <dimension ref="A1:M61"/>
  <sheetViews>
    <sheetView topLeftCell="A7" zoomScale="110" zoomScaleNormal="110" workbookViewId="0">
      <selection activeCell="B45" sqref="B45:N4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85" t="s">
        <v>591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7"/>
    </row>
    <row r="4" spans="1:13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8"/>
    </row>
    <row r="5" spans="1:13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98"/>
      <c r="I5" s="27"/>
      <c r="J5" s="43"/>
      <c r="K5" s="45"/>
      <c r="L5" s="45"/>
      <c r="M5" s="47"/>
    </row>
    <row r="6" spans="1:13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75"/>
      <c r="I6" s="46"/>
      <c r="J6" s="44"/>
      <c r="K6" s="46"/>
      <c r="L6" s="46"/>
      <c r="M6" s="48"/>
    </row>
    <row r="7" spans="1:13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98"/>
      <c r="I7" s="27"/>
      <c r="J7" s="43"/>
      <c r="K7" s="45"/>
      <c r="L7" s="45"/>
      <c r="M7" s="47"/>
    </row>
    <row r="8" spans="1:13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75"/>
      <c r="I8" s="46"/>
      <c r="J8" s="44"/>
      <c r="K8" s="46"/>
      <c r="L8" s="46"/>
      <c r="M8" s="48"/>
    </row>
    <row r="9" spans="1:13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7"/>
      <c r="I9" s="27"/>
      <c r="J9" s="43"/>
      <c r="K9" s="45"/>
      <c r="L9" s="45"/>
      <c r="M9" s="47"/>
    </row>
    <row r="10" spans="1:13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46"/>
      <c r="I10" s="46"/>
      <c r="J10" s="44"/>
      <c r="K10" s="46"/>
      <c r="L10" s="46"/>
      <c r="M10" s="48"/>
    </row>
    <row r="11" spans="1:13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27">
        <f>SUM(I11)-3.5</f>
        <v>67</v>
      </c>
      <c r="I11" s="27">
        <f>SUM(J11)-3.5</f>
        <v>70.5</v>
      </c>
      <c r="J11" s="43">
        <v>74</v>
      </c>
      <c r="K11" s="27">
        <f>SUM(J11)+3.5</f>
        <v>77.5</v>
      </c>
      <c r="L11" s="27">
        <f>SUM(K11)+3.5</f>
        <v>81</v>
      </c>
      <c r="M11" s="62"/>
    </row>
    <row r="12" spans="1:13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46"/>
      <c r="I12" s="46"/>
      <c r="J12" s="44"/>
      <c r="K12" s="46"/>
      <c r="L12" s="46"/>
      <c r="M12" s="48"/>
    </row>
    <row r="13" spans="1:13" s="1" customFormat="1" ht="14.1" customHeight="1">
      <c r="A13" s="52">
        <v>6</v>
      </c>
      <c r="B13" s="36" t="s">
        <v>11</v>
      </c>
      <c r="C13" s="37"/>
      <c r="D13" s="76" t="s">
        <v>333</v>
      </c>
      <c r="E13" s="77"/>
      <c r="F13" s="77"/>
      <c r="G13" s="78"/>
      <c r="H13" s="27">
        <f>SUM(I13)-4</f>
        <v>72.099999999999994</v>
      </c>
      <c r="I13" s="27">
        <f>SUM(J13)-4</f>
        <v>76.099999999999994</v>
      </c>
      <c r="J13" s="41">
        <v>80.099999999999994</v>
      </c>
      <c r="K13" s="27">
        <f>SUM(J13)+4</f>
        <v>84.1</v>
      </c>
      <c r="L13" s="27">
        <f>SUM(K13)+4</f>
        <v>88.1</v>
      </c>
      <c r="M13" s="62"/>
    </row>
    <row r="14" spans="1:13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46"/>
      <c r="I14" s="46"/>
      <c r="J14" s="44"/>
      <c r="K14" s="46"/>
      <c r="L14" s="46"/>
      <c r="M14" s="48"/>
    </row>
    <row r="15" spans="1:13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98">
        <f>SUM(I15)-0.7</f>
        <v>12.900000000000002</v>
      </c>
      <c r="I15" s="27">
        <f>SUM(J15)-0.7</f>
        <v>13.600000000000001</v>
      </c>
      <c r="J15" s="41">
        <v>14.3</v>
      </c>
      <c r="K15" s="27">
        <f>SUM(J15)+1.2</f>
        <v>15.5</v>
      </c>
      <c r="L15" s="27">
        <f>SUM(K15)+0.7</f>
        <v>16.2</v>
      </c>
      <c r="M15" s="202"/>
    </row>
    <row r="16" spans="1:13" s="1" customFormat="1" ht="14.1" customHeight="1">
      <c r="A16" s="53"/>
      <c r="B16" s="57" t="s">
        <v>100</v>
      </c>
      <c r="C16" s="58"/>
      <c r="D16" s="82" t="s">
        <v>334</v>
      </c>
      <c r="E16" s="83"/>
      <c r="F16" s="83"/>
      <c r="G16" s="84"/>
      <c r="H16" s="75"/>
      <c r="I16" s="46"/>
      <c r="J16" s="44"/>
      <c r="K16" s="46"/>
      <c r="L16" s="46"/>
      <c r="M16" s="203"/>
    </row>
    <row r="17" spans="1:13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/>
      <c r="I17" s="27"/>
      <c r="J17" s="41"/>
      <c r="K17" s="27"/>
      <c r="L17" s="27"/>
      <c r="M17" s="202"/>
    </row>
    <row r="18" spans="1:13" s="1" customFormat="1" ht="14.1" customHeight="1">
      <c r="A18" s="53"/>
      <c r="B18" s="57" t="s">
        <v>120</v>
      </c>
      <c r="C18" s="58"/>
      <c r="D18" s="82" t="s">
        <v>121</v>
      </c>
      <c r="E18" s="83"/>
      <c r="F18" s="83"/>
      <c r="G18" s="84"/>
      <c r="H18" s="75"/>
      <c r="I18" s="46"/>
      <c r="J18" s="44"/>
      <c r="K18" s="46"/>
      <c r="L18" s="46"/>
      <c r="M18" s="203"/>
    </row>
    <row r="19" spans="1:13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/>
      <c r="I19" s="27"/>
      <c r="J19" s="41"/>
      <c r="K19" s="27"/>
      <c r="L19" s="27"/>
      <c r="M19" s="62"/>
    </row>
    <row r="20" spans="1:13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8"/>
    </row>
    <row r="21" spans="1:13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52.3</v>
      </c>
      <c r="I21" s="27">
        <f>SUM(J21)-7</f>
        <v>59.3</v>
      </c>
      <c r="J21" s="41">
        <v>66.3</v>
      </c>
      <c r="K21" s="27">
        <f>SUM(J21)+6</f>
        <v>72.3</v>
      </c>
      <c r="L21" s="27">
        <f>SUM(K21)+6</f>
        <v>78.3</v>
      </c>
      <c r="M21" s="62"/>
    </row>
    <row r="22" spans="1:13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8"/>
    </row>
    <row r="23" spans="1:13" s="1" customFormat="1" ht="14.1" customHeight="1">
      <c r="A23" s="52">
        <v>11</v>
      </c>
      <c r="B23" s="36" t="s">
        <v>592</v>
      </c>
      <c r="C23" s="37"/>
      <c r="D23" s="76"/>
      <c r="E23" s="77"/>
      <c r="F23" s="77"/>
      <c r="G23" s="78"/>
      <c r="H23" s="27">
        <f>SUM(I23)-1</f>
        <v>20</v>
      </c>
      <c r="I23" s="27">
        <f>SUM(J23)-1</f>
        <v>21</v>
      </c>
      <c r="J23" s="41">
        <v>22</v>
      </c>
      <c r="K23" s="27">
        <f>SUM(J23)+1</f>
        <v>23</v>
      </c>
      <c r="L23" s="27">
        <f t="shared" ref="L23" si="0">SUM(K23)+1</f>
        <v>24</v>
      </c>
      <c r="M23" s="62"/>
    </row>
    <row r="24" spans="1:13" s="1" customFormat="1" ht="14.1" customHeight="1">
      <c r="A24" s="53"/>
      <c r="B24" s="57" t="s">
        <v>593</v>
      </c>
      <c r="C24" s="58"/>
      <c r="D24" s="79" t="s">
        <v>420</v>
      </c>
      <c r="E24" s="80"/>
      <c r="F24" s="80"/>
      <c r="G24" s="81"/>
      <c r="H24" s="46"/>
      <c r="I24" s="46"/>
      <c r="J24" s="44"/>
      <c r="K24" s="46"/>
      <c r="L24" s="46"/>
      <c r="M24" s="48"/>
    </row>
    <row r="25" spans="1:13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20.399999999999999</v>
      </c>
      <c r="I25" s="27">
        <f>SUM(J25)-1.1</f>
        <v>21.5</v>
      </c>
      <c r="J25" s="41">
        <v>22.6</v>
      </c>
      <c r="K25" s="27">
        <f>SUM(J25)+1.6</f>
        <v>24.200000000000003</v>
      </c>
      <c r="L25" s="27">
        <f>SUM(K25)+1.1</f>
        <v>25.300000000000004</v>
      </c>
      <c r="M25" s="202"/>
    </row>
    <row r="26" spans="1:13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203"/>
    </row>
    <row r="27" spans="1:13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27.4</v>
      </c>
      <c r="I27" s="27">
        <f>SUM(J27)-1.3</f>
        <v>28.7</v>
      </c>
      <c r="J27" s="41">
        <v>30</v>
      </c>
      <c r="K27" s="27">
        <f>SUM(J27)+1.8</f>
        <v>31.8</v>
      </c>
      <c r="L27" s="27">
        <f>SUM(K27)+1.3</f>
        <v>33.1</v>
      </c>
      <c r="M27" s="202"/>
    </row>
    <row r="28" spans="1:13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203"/>
    </row>
    <row r="29" spans="1:13" s="1" customFormat="1" ht="14.1" customHeight="1">
      <c r="A29" s="52">
        <v>14</v>
      </c>
      <c r="B29" s="36" t="s">
        <v>18</v>
      </c>
      <c r="C29" s="37"/>
      <c r="D29" s="76" t="s">
        <v>19</v>
      </c>
      <c r="E29" s="77"/>
      <c r="F29" s="77"/>
      <c r="G29" s="78"/>
      <c r="H29" s="27">
        <f>SUM(I29)-2.7</f>
        <v>45.099999999999994</v>
      </c>
      <c r="I29" s="27">
        <f>SUM(J29)-2.7</f>
        <v>47.8</v>
      </c>
      <c r="J29" s="41">
        <v>50.5</v>
      </c>
      <c r="K29" s="27">
        <f>SUM(J29)+2.6</f>
        <v>53.1</v>
      </c>
      <c r="L29" s="27">
        <f>SUM(K29)+2.6</f>
        <v>55.7</v>
      </c>
      <c r="M29" s="62"/>
    </row>
    <row r="30" spans="1:13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48"/>
    </row>
    <row r="31" spans="1:13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27">
        <f>SUM(I31)-6</f>
        <v>32.299999999999997</v>
      </c>
      <c r="I31" s="27">
        <f>SUM(J31)-6</f>
        <v>38.299999999999997</v>
      </c>
      <c r="J31" s="41">
        <v>44.3</v>
      </c>
      <c r="K31" s="27">
        <f>SUM(J31)+4.5</f>
        <v>48.8</v>
      </c>
      <c r="L31" s="27">
        <f>SUM(K31)+5</f>
        <v>53.8</v>
      </c>
      <c r="M31" s="62"/>
    </row>
    <row r="32" spans="1:13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46"/>
      <c r="I32" s="46"/>
      <c r="J32" s="44"/>
      <c r="K32" s="46"/>
      <c r="L32" s="46"/>
      <c r="M32" s="48"/>
    </row>
    <row r="33" spans="1:13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27">
        <f>SUM(I33)-2</f>
        <v>41.4</v>
      </c>
      <c r="I33" s="27">
        <f>SUM(J33)-2</f>
        <v>43.4</v>
      </c>
      <c r="J33" s="41">
        <v>45.4</v>
      </c>
      <c r="K33" s="27">
        <f>SUM(J33)+2</f>
        <v>47.4</v>
      </c>
      <c r="L33" s="27">
        <f>SUM(K33)+2</f>
        <v>49.4</v>
      </c>
      <c r="M33" s="62"/>
    </row>
    <row r="34" spans="1:13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46"/>
      <c r="I34" s="46"/>
      <c r="J34" s="44"/>
      <c r="K34" s="46"/>
      <c r="L34" s="46"/>
      <c r="M34" s="48"/>
    </row>
    <row r="35" spans="1:13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>
        <f>SUM(I35)-3.3</f>
        <v>32.500000000000007</v>
      </c>
      <c r="I35" s="27">
        <f>SUM(J35)-3.3</f>
        <v>35.800000000000004</v>
      </c>
      <c r="J35" s="41">
        <v>39.1</v>
      </c>
      <c r="K35" s="27">
        <f>SUM(J35)+3.2</f>
        <v>42.300000000000004</v>
      </c>
      <c r="L35" s="27">
        <f>SUM(K35)+2.9</f>
        <v>45.2</v>
      </c>
      <c r="M35" s="62"/>
    </row>
    <row r="36" spans="1:13" s="1" customFormat="1" ht="14.1" customHeight="1">
      <c r="A36" s="53"/>
      <c r="B36" s="63" t="s">
        <v>77</v>
      </c>
      <c r="C36" s="64"/>
      <c r="D36" s="65" t="s">
        <v>111</v>
      </c>
      <c r="E36" s="66"/>
      <c r="F36" s="66"/>
      <c r="G36" s="67"/>
      <c r="H36" s="45"/>
      <c r="I36" s="45"/>
      <c r="J36" s="43"/>
      <c r="K36" s="45"/>
      <c r="L36" s="45"/>
      <c r="M36" s="47"/>
    </row>
    <row r="37" spans="1:13" s="1" customFormat="1" ht="14.1" customHeight="1">
      <c r="A37" s="159">
        <v>18</v>
      </c>
      <c r="B37" s="36"/>
      <c r="C37" s="37"/>
      <c r="D37" s="76"/>
      <c r="E37" s="77"/>
      <c r="F37" s="77"/>
      <c r="G37" s="78"/>
      <c r="H37" s="27"/>
      <c r="I37" s="27"/>
      <c r="J37" s="41"/>
      <c r="K37" s="27"/>
      <c r="L37" s="27"/>
      <c r="M37" s="62"/>
    </row>
    <row r="38" spans="1:13" s="1" customFormat="1" ht="14.1" customHeight="1">
      <c r="A38" s="138"/>
      <c r="B38" s="57"/>
      <c r="C38" s="58"/>
      <c r="D38" s="59"/>
      <c r="E38" s="60"/>
      <c r="F38" s="60"/>
      <c r="G38" s="61"/>
      <c r="H38" s="45"/>
      <c r="I38" s="45"/>
      <c r="J38" s="43"/>
      <c r="K38" s="46"/>
      <c r="L38" s="45"/>
      <c r="M38" s="47"/>
    </row>
    <row r="39" spans="1:13" s="1" customFormat="1" ht="14.1" customHeight="1">
      <c r="A39" s="52">
        <v>19</v>
      </c>
      <c r="B39" s="36"/>
      <c r="C39" s="37"/>
      <c r="D39" s="76"/>
      <c r="E39" s="77"/>
      <c r="F39" s="77"/>
      <c r="G39" s="78"/>
      <c r="H39" s="27"/>
      <c r="I39" s="27"/>
      <c r="J39" s="41"/>
      <c r="K39" s="27"/>
      <c r="L39" s="27"/>
      <c r="M39" s="62"/>
    </row>
    <row r="40" spans="1:13" s="1" customFormat="1" ht="14.1" customHeight="1" thickBot="1">
      <c r="A40" s="53"/>
      <c r="B40" s="57"/>
      <c r="C40" s="58"/>
      <c r="D40" s="59"/>
      <c r="E40" s="60"/>
      <c r="F40" s="60"/>
      <c r="G40" s="61"/>
      <c r="H40" s="45"/>
      <c r="I40" s="45"/>
      <c r="J40" s="43"/>
      <c r="K40" s="45"/>
      <c r="L40" s="45"/>
      <c r="M40" s="47"/>
    </row>
    <row r="41" spans="1:13" s="1" customFormat="1" ht="14.1" customHeight="1" thickTop="1">
      <c r="A41" s="68">
        <v>20</v>
      </c>
      <c r="B41" s="69" t="s">
        <v>457</v>
      </c>
      <c r="C41" s="70"/>
      <c r="D41" s="71"/>
      <c r="E41" s="72"/>
      <c r="F41" s="72"/>
      <c r="G41" s="73"/>
      <c r="H41" s="55">
        <f>SUM(I41)-0.8</f>
        <v>12.2</v>
      </c>
      <c r="I41" s="55">
        <f>SUM(J41)-0.8</f>
        <v>13</v>
      </c>
      <c r="J41" s="54">
        <v>13.8</v>
      </c>
      <c r="K41" s="55">
        <f>SUM(J41)+0.8</f>
        <v>14.600000000000001</v>
      </c>
      <c r="L41" s="55">
        <f>SUM(K41)+0.8</f>
        <v>15.400000000000002</v>
      </c>
      <c r="M41" s="56"/>
    </row>
    <row r="42" spans="1:13" s="1" customFormat="1" ht="14.1" customHeight="1">
      <c r="A42" s="53"/>
      <c r="B42" s="57" t="s">
        <v>587</v>
      </c>
      <c r="C42" s="58"/>
      <c r="D42" s="59" t="s">
        <v>334</v>
      </c>
      <c r="E42" s="60"/>
      <c r="F42" s="60"/>
      <c r="G42" s="61"/>
      <c r="H42" s="46"/>
      <c r="I42" s="46"/>
      <c r="J42" s="44"/>
      <c r="K42" s="46"/>
      <c r="L42" s="46"/>
      <c r="M42" s="48"/>
    </row>
    <row r="43" spans="1:13" s="1" customFormat="1" ht="14.1" customHeight="1">
      <c r="A43" s="52">
        <v>21</v>
      </c>
      <c r="B43" s="36" t="s">
        <v>212</v>
      </c>
      <c r="C43" s="37"/>
      <c r="D43" s="76"/>
      <c r="E43" s="77"/>
      <c r="F43" s="77"/>
      <c r="G43" s="78"/>
      <c r="H43" s="27">
        <f>SUM(I43)-0.6</f>
        <v>6.3000000000000007</v>
      </c>
      <c r="I43" s="27">
        <f>SUM(J43)-0.6</f>
        <v>6.9</v>
      </c>
      <c r="J43" s="125">
        <v>7.5</v>
      </c>
      <c r="K43" s="114">
        <f>SUM(J43)+0.1</f>
        <v>7.6</v>
      </c>
      <c r="L43" s="114">
        <f>SUM(K43)+0.6</f>
        <v>8.1999999999999993</v>
      </c>
      <c r="M43" s="162"/>
    </row>
    <row r="44" spans="1:13" s="1" customFormat="1" ht="13.5" customHeight="1">
      <c r="A44" s="53"/>
      <c r="B44" s="57" t="s">
        <v>588</v>
      </c>
      <c r="C44" s="58"/>
      <c r="D44" s="59" t="s">
        <v>283</v>
      </c>
      <c r="E44" s="60"/>
      <c r="F44" s="60"/>
      <c r="G44" s="61"/>
      <c r="H44" s="46"/>
      <c r="I44" s="46"/>
      <c r="J44" s="125"/>
      <c r="K44" s="114"/>
      <c r="L44" s="114"/>
      <c r="M44" s="162"/>
    </row>
    <row r="45" spans="1:13" s="1" customFormat="1" ht="13.5" customHeight="1">
      <c r="A45" s="52">
        <v>22</v>
      </c>
      <c r="B45" s="36" t="s">
        <v>214</v>
      </c>
      <c r="C45" s="37"/>
      <c r="D45" s="76"/>
      <c r="E45" s="77"/>
      <c r="F45" s="77"/>
      <c r="G45" s="78"/>
      <c r="H45" s="27">
        <f>SUM(I45)-0.8</f>
        <v>8.8999999999999986</v>
      </c>
      <c r="I45" s="27">
        <f>SUM(J45)-0.8</f>
        <v>9.6999999999999993</v>
      </c>
      <c r="J45" s="125">
        <v>10.5</v>
      </c>
      <c r="K45" s="114">
        <f>SUM(J45)+0.3</f>
        <v>10.8</v>
      </c>
      <c r="L45" s="114">
        <f>SUM(K45)+0.8</f>
        <v>11.600000000000001</v>
      </c>
      <c r="M45" s="162"/>
    </row>
    <row r="46" spans="1:13" s="1" customFormat="1" ht="13.5" customHeight="1">
      <c r="A46" s="53"/>
      <c r="B46" s="57" t="s">
        <v>590</v>
      </c>
      <c r="C46" s="58"/>
      <c r="D46" s="59" t="s">
        <v>283</v>
      </c>
      <c r="E46" s="60"/>
      <c r="F46" s="60"/>
      <c r="G46" s="61"/>
      <c r="H46" s="46"/>
      <c r="I46" s="46"/>
      <c r="J46" s="125"/>
      <c r="K46" s="114"/>
      <c r="L46" s="114"/>
      <c r="M46" s="162"/>
    </row>
    <row r="47" spans="1:13" s="1" customFormat="1" ht="13.5" customHeight="1">
      <c r="A47" s="52">
        <v>23</v>
      </c>
      <c r="B47" s="36"/>
      <c r="C47" s="37"/>
      <c r="D47" s="76"/>
      <c r="E47" s="77"/>
      <c r="F47" s="77"/>
      <c r="G47" s="78"/>
      <c r="H47" s="27"/>
      <c r="I47" s="27"/>
      <c r="J47" s="41"/>
      <c r="K47" s="27"/>
      <c r="L47" s="27"/>
      <c r="M47" s="62"/>
    </row>
    <row r="48" spans="1:13" s="1" customFormat="1" ht="13.5" customHeight="1">
      <c r="A48" s="53"/>
      <c r="B48" s="127"/>
      <c r="C48" s="128"/>
      <c r="D48" s="59"/>
      <c r="E48" s="60"/>
      <c r="F48" s="60"/>
      <c r="G48" s="61"/>
      <c r="H48" s="46"/>
      <c r="I48" s="46"/>
      <c r="J48" s="44"/>
      <c r="K48" s="46"/>
      <c r="L48" s="46"/>
      <c r="M48" s="48"/>
    </row>
    <row r="49" spans="1:13" s="1" customFormat="1" ht="13.5" customHeight="1">
      <c r="A49" s="52">
        <v>24</v>
      </c>
      <c r="B49" s="36"/>
      <c r="C49" s="37"/>
      <c r="D49" s="124"/>
      <c r="E49" s="124"/>
      <c r="F49" s="124"/>
      <c r="G49" s="124"/>
      <c r="H49" s="27"/>
      <c r="I49" s="27"/>
      <c r="J49" s="41"/>
      <c r="K49" s="27"/>
      <c r="L49" s="27"/>
      <c r="M49" s="62"/>
    </row>
    <row r="50" spans="1:13" s="1" customFormat="1" ht="13.5" customHeight="1" thickBot="1">
      <c r="A50" s="35"/>
      <c r="B50" s="118"/>
      <c r="C50" s="118"/>
      <c r="D50" s="119"/>
      <c r="E50" s="120"/>
      <c r="F50" s="120"/>
      <c r="G50" s="121"/>
      <c r="H50" s="28"/>
      <c r="I50" s="28"/>
      <c r="J50" s="42"/>
      <c r="K50" s="28"/>
      <c r="L50" s="28"/>
      <c r="M50" s="160"/>
    </row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67"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7660-C6FF-48FF-AE07-B464C07CE6BD}">
  <sheetPr codeName="Sheet89">
    <tabColor theme="5"/>
    <pageSetUpPr fitToPage="1"/>
  </sheetPr>
  <dimension ref="A1:N61"/>
  <sheetViews>
    <sheetView topLeftCell="A10" zoomScale="110" zoomScaleNormal="110" workbookViewId="0">
      <selection sqref="A1:N4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594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645</v>
      </c>
      <c r="I2" s="6" t="s">
        <v>60</v>
      </c>
      <c r="J2" s="6" t="s">
        <v>61</v>
      </c>
      <c r="K2" s="5" t="s">
        <v>62</v>
      </c>
      <c r="L2" s="6" t="s">
        <v>63</v>
      </c>
      <c r="M2" s="6" t="s">
        <v>125</v>
      </c>
      <c r="N2" s="10" t="s">
        <v>124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42</v>
      </c>
      <c r="I3" s="98">
        <f>SUM(J3)-3</f>
        <v>45</v>
      </c>
      <c r="J3" s="27">
        <f>SUM(K3)-3</f>
        <v>48</v>
      </c>
      <c r="K3" s="95">
        <v>51</v>
      </c>
      <c r="L3" s="96">
        <f>SUM(K3)+3</f>
        <v>54</v>
      </c>
      <c r="M3" s="96">
        <f>SUM(L3)+3</f>
        <v>57</v>
      </c>
      <c r="N3" s="97">
        <f>SUM(M3)+3</f>
        <v>60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75"/>
      <c r="J4" s="46"/>
      <c r="K4" s="44"/>
      <c r="L4" s="46"/>
      <c r="M4" s="46"/>
      <c r="N4" s="48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98"/>
      <c r="I5" s="98"/>
      <c r="J5" s="27"/>
      <c r="K5" s="43"/>
      <c r="L5" s="45"/>
      <c r="M5" s="45"/>
      <c r="N5" s="47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75"/>
      <c r="I6" s="75"/>
      <c r="J6" s="46"/>
      <c r="K6" s="44"/>
      <c r="L6" s="46"/>
      <c r="M6" s="46"/>
      <c r="N6" s="48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98"/>
      <c r="I7" s="98"/>
      <c r="J7" s="27"/>
      <c r="K7" s="43"/>
      <c r="L7" s="45"/>
      <c r="M7" s="45"/>
      <c r="N7" s="47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75"/>
      <c r="I8" s="75"/>
      <c r="J8" s="46"/>
      <c r="K8" s="44"/>
      <c r="L8" s="46"/>
      <c r="M8" s="46"/>
      <c r="N8" s="48"/>
    </row>
    <row r="9" spans="1:14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7"/>
      <c r="I9" s="27"/>
      <c r="J9" s="27"/>
      <c r="K9" s="43"/>
      <c r="L9" s="45"/>
      <c r="M9" s="45"/>
      <c r="N9" s="47"/>
    </row>
    <row r="10" spans="1:14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46"/>
      <c r="I10" s="46"/>
      <c r="J10" s="46"/>
      <c r="K10" s="44"/>
      <c r="L10" s="46"/>
      <c r="M10" s="46"/>
      <c r="N10" s="48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27">
        <f>SUM(I11)-3.5</f>
        <v>60.5</v>
      </c>
      <c r="I11" s="27">
        <f>SUM(J11)-3.5</f>
        <v>64</v>
      </c>
      <c r="J11" s="27">
        <f>SUM(K11)-3.5</f>
        <v>67.5</v>
      </c>
      <c r="K11" s="43">
        <v>71</v>
      </c>
      <c r="L11" s="27">
        <f>SUM(K11)+3.5</f>
        <v>74.5</v>
      </c>
      <c r="M11" s="27">
        <f>SUM(L11)+3.5</f>
        <v>78</v>
      </c>
      <c r="N11" s="62">
        <f>SUM(M11)+3.5</f>
        <v>81.5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46"/>
      <c r="I12" s="46"/>
      <c r="J12" s="46"/>
      <c r="K12" s="44"/>
      <c r="L12" s="46"/>
      <c r="M12" s="46"/>
      <c r="N12" s="48"/>
    </row>
    <row r="13" spans="1:14" s="1" customFormat="1" ht="14.1" customHeight="1">
      <c r="A13" s="52">
        <v>6</v>
      </c>
      <c r="B13" s="36" t="s">
        <v>11</v>
      </c>
      <c r="C13" s="37"/>
      <c r="D13" s="76" t="s">
        <v>333</v>
      </c>
      <c r="E13" s="77"/>
      <c r="F13" s="77"/>
      <c r="G13" s="78"/>
      <c r="H13" s="27">
        <f>SUM(I13)-4</f>
        <v>64</v>
      </c>
      <c r="I13" s="27">
        <f>SUM(J13)-4</f>
        <v>68</v>
      </c>
      <c r="J13" s="27">
        <f>SUM(K13)-4</f>
        <v>72</v>
      </c>
      <c r="K13" s="41">
        <v>76</v>
      </c>
      <c r="L13" s="27">
        <f>SUM(K13)+4</f>
        <v>80</v>
      </c>
      <c r="M13" s="27">
        <f>SUM(L13)+4</f>
        <v>84</v>
      </c>
      <c r="N13" s="62">
        <f>SUM(M13)+4</f>
        <v>88</v>
      </c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46"/>
      <c r="I14" s="46"/>
      <c r="J14" s="46"/>
      <c r="K14" s="44"/>
      <c r="L14" s="46"/>
      <c r="M14" s="46"/>
      <c r="N14" s="48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98">
        <f>SUM(I15)-0.7</f>
        <v>12.500000000000002</v>
      </c>
      <c r="I15" s="98">
        <f>SUM(J15)-0.7</f>
        <v>13.200000000000001</v>
      </c>
      <c r="J15" s="27">
        <f>SUM(K15)-0.7</f>
        <v>13.9</v>
      </c>
      <c r="K15" s="41">
        <v>14.6</v>
      </c>
      <c r="L15" s="27">
        <f>SUM(K15)+1.2</f>
        <v>15.799999999999999</v>
      </c>
      <c r="M15" s="27">
        <f>SUM(L15)+0.7</f>
        <v>16.5</v>
      </c>
      <c r="N15" s="62">
        <f>SUM(M15)+0.7</f>
        <v>17.2</v>
      </c>
    </row>
    <row r="16" spans="1:14" s="1" customFormat="1" ht="14.1" customHeight="1">
      <c r="A16" s="53"/>
      <c r="B16" s="57" t="s">
        <v>100</v>
      </c>
      <c r="C16" s="58"/>
      <c r="D16" s="82" t="s">
        <v>334</v>
      </c>
      <c r="E16" s="83"/>
      <c r="F16" s="83"/>
      <c r="G16" s="84"/>
      <c r="H16" s="75"/>
      <c r="I16" s="75"/>
      <c r="J16" s="46"/>
      <c r="K16" s="44"/>
      <c r="L16" s="46"/>
      <c r="M16" s="46"/>
      <c r="N16" s="48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/>
      <c r="I17" s="98"/>
      <c r="J17" s="27"/>
      <c r="K17" s="41"/>
      <c r="L17" s="27"/>
      <c r="M17" s="27"/>
      <c r="N17" s="62"/>
    </row>
    <row r="18" spans="1:14" s="1" customFormat="1" ht="14.1" customHeight="1">
      <c r="A18" s="53"/>
      <c r="B18" s="57" t="s">
        <v>120</v>
      </c>
      <c r="C18" s="58"/>
      <c r="D18" s="82" t="s">
        <v>121</v>
      </c>
      <c r="E18" s="83"/>
      <c r="F18" s="83"/>
      <c r="G18" s="84"/>
      <c r="H18" s="75"/>
      <c r="I18" s="75"/>
      <c r="J18" s="46"/>
      <c r="K18" s="44"/>
      <c r="L18" s="46"/>
      <c r="M18" s="46"/>
      <c r="N18" s="48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/>
      <c r="I19" s="27"/>
      <c r="J19" s="27"/>
      <c r="K19" s="41"/>
      <c r="L19" s="27"/>
      <c r="M19" s="27"/>
      <c r="N19" s="62"/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6"/>
      <c r="K20" s="44"/>
      <c r="L20" s="46"/>
      <c r="M20" s="46"/>
      <c r="N20" s="48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46</v>
      </c>
      <c r="I21" s="27">
        <f>SUM(J21)-7</f>
        <v>53</v>
      </c>
      <c r="J21" s="27">
        <f>SUM(K21)-7</f>
        <v>60</v>
      </c>
      <c r="K21" s="41">
        <v>67</v>
      </c>
      <c r="L21" s="27">
        <f>SUM(K21)+6</f>
        <v>73</v>
      </c>
      <c r="M21" s="27">
        <f>SUM(L21)+6</f>
        <v>79</v>
      </c>
      <c r="N21" s="62">
        <f>SUM(M21)+6</f>
        <v>85</v>
      </c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6"/>
      <c r="K22" s="44"/>
      <c r="L22" s="46"/>
      <c r="M22" s="46"/>
      <c r="N22" s="48"/>
    </row>
    <row r="23" spans="1:14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SUM(I23)-2</f>
        <v>37</v>
      </c>
      <c r="I23" s="27">
        <f>SUM(J23)-2</f>
        <v>39</v>
      </c>
      <c r="J23" s="27">
        <f>SUM(K23)-2</f>
        <v>41</v>
      </c>
      <c r="K23" s="41">
        <v>43</v>
      </c>
      <c r="L23" s="27">
        <f>SUM(K23)+2</f>
        <v>45</v>
      </c>
      <c r="M23" s="27">
        <f>SUM(L23)+2</f>
        <v>47</v>
      </c>
      <c r="N23" s="62">
        <f>SUM(M23)+2</f>
        <v>49</v>
      </c>
    </row>
    <row r="24" spans="1:14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6"/>
      <c r="K24" s="44"/>
      <c r="L24" s="46"/>
      <c r="M24" s="46"/>
      <c r="N24" s="48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20.099999999999994</v>
      </c>
      <c r="I25" s="98">
        <f>SUM(J25)-1.1</f>
        <v>21.199999999999996</v>
      </c>
      <c r="J25" s="27">
        <f>SUM(K25)-1.1</f>
        <v>22.299999999999997</v>
      </c>
      <c r="K25" s="41">
        <v>23.4</v>
      </c>
      <c r="L25" s="27">
        <f>SUM(K25)+1.6</f>
        <v>25</v>
      </c>
      <c r="M25" s="27">
        <f>SUM(L25)+1.1</f>
        <v>26.1</v>
      </c>
      <c r="N25" s="62">
        <f>SUM(M25)+1.1</f>
        <v>27.200000000000003</v>
      </c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75"/>
      <c r="J26" s="46"/>
      <c r="K26" s="44"/>
      <c r="L26" s="46"/>
      <c r="M26" s="46"/>
      <c r="N26" s="48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26.799999999999997</v>
      </c>
      <c r="I27" s="98">
        <f>SUM(J27)-1.3</f>
        <v>28.099999999999998</v>
      </c>
      <c r="J27" s="27">
        <f>SUM(K27)-1.3</f>
        <v>29.4</v>
      </c>
      <c r="K27" s="41">
        <v>30.7</v>
      </c>
      <c r="L27" s="27">
        <f>SUM(K27)+1.8</f>
        <v>32.5</v>
      </c>
      <c r="M27" s="27">
        <f>SUM(L27)+1.3</f>
        <v>33.799999999999997</v>
      </c>
      <c r="N27" s="62">
        <f>SUM(M27)+1.3</f>
        <v>35.099999999999994</v>
      </c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75"/>
      <c r="J28" s="46"/>
      <c r="K28" s="44"/>
      <c r="L28" s="46"/>
      <c r="M28" s="46"/>
      <c r="N28" s="48"/>
    </row>
    <row r="29" spans="1:14" s="1" customFormat="1" ht="14.1" customHeight="1">
      <c r="A29" s="52">
        <v>14</v>
      </c>
      <c r="B29" s="36" t="s">
        <v>18</v>
      </c>
      <c r="C29" s="37"/>
      <c r="D29" s="76" t="s">
        <v>19</v>
      </c>
      <c r="E29" s="77"/>
      <c r="F29" s="77"/>
      <c r="G29" s="78"/>
      <c r="H29" s="27">
        <f>SUM(I29)-2.6</f>
        <v>40.9</v>
      </c>
      <c r="I29" s="27">
        <f>SUM(J29)-2.6</f>
        <v>43.5</v>
      </c>
      <c r="J29" s="27">
        <f>SUM(K29)-2.6</f>
        <v>46.1</v>
      </c>
      <c r="K29" s="41">
        <v>48.7</v>
      </c>
      <c r="L29" s="27">
        <f>SUM(K29)+2.6</f>
        <v>51.300000000000004</v>
      </c>
      <c r="M29" s="27">
        <f>SUM(L29)+2.6</f>
        <v>53.900000000000006</v>
      </c>
      <c r="N29" s="62">
        <f>SUM(M29)+2.6</f>
        <v>56.500000000000007</v>
      </c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6"/>
      <c r="K30" s="44"/>
      <c r="L30" s="46"/>
      <c r="M30" s="46"/>
      <c r="N30" s="48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27">
        <f>SUM(I31)-6</f>
        <v>26.700000000000003</v>
      </c>
      <c r="I31" s="27">
        <f>SUM(J31)-6</f>
        <v>32.700000000000003</v>
      </c>
      <c r="J31" s="27">
        <f>SUM(K31)-6</f>
        <v>38.700000000000003</v>
      </c>
      <c r="K31" s="41">
        <v>44.7</v>
      </c>
      <c r="L31" s="27">
        <f>SUM(K31)+4.5</f>
        <v>49.2</v>
      </c>
      <c r="M31" s="27">
        <f>SUM(L31)+5</f>
        <v>54.2</v>
      </c>
      <c r="N31" s="62">
        <f>SUM(M31)+5</f>
        <v>59.2</v>
      </c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46"/>
      <c r="I32" s="46"/>
      <c r="J32" s="46"/>
      <c r="K32" s="44"/>
      <c r="L32" s="46"/>
      <c r="M32" s="46"/>
      <c r="N32" s="48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27">
        <f>SUM(I33)-2.1</f>
        <v>38.9</v>
      </c>
      <c r="I33" s="27">
        <f>SUM(J33)-2.1</f>
        <v>41</v>
      </c>
      <c r="J33" s="27">
        <f>SUM(K33)-2.1</f>
        <v>43.1</v>
      </c>
      <c r="K33" s="41">
        <v>45.2</v>
      </c>
      <c r="L33" s="27">
        <f>SUM(K33)+2.1</f>
        <v>47.300000000000004</v>
      </c>
      <c r="M33" s="27">
        <f>SUM(L33)+2.1</f>
        <v>49.400000000000006</v>
      </c>
      <c r="N33" s="62">
        <f>SUM(M33)+2.1</f>
        <v>51.500000000000007</v>
      </c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46"/>
      <c r="I34" s="46"/>
      <c r="J34" s="46"/>
      <c r="K34" s="44"/>
      <c r="L34" s="46"/>
      <c r="M34" s="46"/>
      <c r="N34" s="48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>
        <f t="shared" ref="H35:I35" si="0">SUM(I35)-3.5</f>
        <v>30.799999999999997</v>
      </c>
      <c r="I35" s="27">
        <f t="shared" si="0"/>
        <v>34.299999999999997</v>
      </c>
      <c r="J35" s="27">
        <f>SUM(K35)-3.5</f>
        <v>37.799999999999997</v>
      </c>
      <c r="K35" s="41">
        <v>41.3</v>
      </c>
      <c r="L35" s="27">
        <f>SUM(K35)+3.4</f>
        <v>44.699999999999996</v>
      </c>
      <c r="M35" s="27">
        <f>SUM(L35)+3.1</f>
        <v>47.8</v>
      </c>
      <c r="N35" s="62">
        <f>SUM(M35)+3.1</f>
        <v>50.9</v>
      </c>
    </row>
    <row r="36" spans="1:14" s="1" customFormat="1" ht="14.1" customHeight="1">
      <c r="A36" s="53"/>
      <c r="B36" s="63" t="s">
        <v>77</v>
      </c>
      <c r="C36" s="64"/>
      <c r="D36" s="65" t="s">
        <v>111</v>
      </c>
      <c r="E36" s="66"/>
      <c r="F36" s="66"/>
      <c r="G36" s="67"/>
      <c r="H36" s="45"/>
      <c r="I36" s="45"/>
      <c r="J36" s="45"/>
      <c r="K36" s="43"/>
      <c r="L36" s="45"/>
      <c r="M36" s="45"/>
      <c r="N36" s="47"/>
    </row>
    <row r="37" spans="1:14" s="1" customFormat="1" ht="14.1" customHeight="1">
      <c r="A37" s="159">
        <v>18</v>
      </c>
      <c r="B37" s="36" t="s">
        <v>561</v>
      </c>
      <c r="C37" s="37"/>
      <c r="D37" s="76"/>
      <c r="E37" s="77"/>
      <c r="F37" s="77"/>
      <c r="G37" s="78"/>
      <c r="H37" s="27">
        <f>SUM(I37)</f>
        <v>7</v>
      </c>
      <c r="I37" s="27">
        <f>SUM(J37)</f>
        <v>7</v>
      </c>
      <c r="J37" s="27">
        <f>SUM(K37)</f>
        <v>7</v>
      </c>
      <c r="K37" s="41">
        <v>7</v>
      </c>
      <c r="L37" s="27">
        <f>SUM(K37)</f>
        <v>7</v>
      </c>
      <c r="M37" s="27">
        <f>SUM(L37)</f>
        <v>7</v>
      </c>
      <c r="N37" s="62">
        <f>SUM(M37)</f>
        <v>7</v>
      </c>
    </row>
    <row r="38" spans="1:14" s="1" customFormat="1" ht="14.1" customHeight="1">
      <c r="A38" s="138"/>
      <c r="B38" s="57" t="s">
        <v>595</v>
      </c>
      <c r="C38" s="58"/>
      <c r="D38" s="59" t="s">
        <v>596</v>
      </c>
      <c r="E38" s="60"/>
      <c r="F38" s="60"/>
      <c r="G38" s="61"/>
      <c r="H38" s="46"/>
      <c r="I38" s="46"/>
      <c r="J38" s="46"/>
      <c r="K38" s="44"/>
      <c r="L38" s="46"/>
      <c r="M38" s="46"/>
      <c r="N38" s="48"/>
    </row>
    <row r="39" spans="1:14" s="1" customFormat="1" ht="14.1" customHeight="1">
      <c r="A39" s="52">
        <v>19</v>
      </c>
      <c r="B39" s="133" t="s">
        <v>597</v>
      </c>
      <c r="C39" s="134"/>
      <c r="D39" s="135"/>
      <c r="E39" s="136"/>
      <c r="F39" s="136"/>
      <c r="G39" s="137"/>
      <c r="H39" s="27">
        <f>SUM(I39)-2</f>
        <v>49</v>
      </c>
      <c r="I39" s="27">
        <f>SUM(J39)-2</f>
        <v>51</v>
      </c>
      <c r="J39" s="27">
        <f>SUM(K39)-2</f>
        <v>53</v>
      </c>
      <c r="K39" s="41">
        <v>55</v>
      </c>
      <c r="L39" s="27">
        <f>SUM(K39)+2</f>
        <v>57</v>
      </c>
      <c r="M39" s="27">
        <f>SUM(L39)+2</f>
        <v>59</v>
      </c>
      <c r="N39" s="62">
        <f>SUM(M39)+2</f>
        <v>61</v>
      </c>
    </row>
    <row r="40" spans="1:14" s="1" customFormat="1" ht="14.1" customHeight="1">
      <c r="A40" s="53"/>
      <c r="B40" s="133" t="s">
        <v>184</v>
      </c>
      <c r="C40" s="134"/>
      <c r="D40" s="206" t="s">
        <v>598</v>
      </c>
      <c r="E40" s="103"/>
      <c r="F40" s="103"/>
      <c r="G40" s="104"/>
      <c r="H40" s="46"/>
      <c r="I40" s="46"/>
      <c r="J40" s="46"/>
      <c r="K40" s="44"/>
      <c r="L40" s="46"/>
      <c r="M40" s="46"/>
      <c r="N40" s="48"/>
    </row>
    <row r="41" spans="1:14" s="1" customFormat="1" ht="14.1" customHeight="1">
      <c r="A41" s="52">
        <v>20</v>
      </c>
      <c r="B41" s="36"/>
      <c r="C41" s="37"/>
      <c r="D41" s="76"/>
      <c r="E41" s="77"/>
      <c r="F41" s="77"/>
      <c r="G41" s="78"/>
      <c r="H41" s="27"/>
      <c r="I41" s="27"/>
      <c r="J41" s="27"/>
      <c r="K41" s="41"/>
      <c r="L41" s="27"/>
      <c r="M41" s="27"/>
      <c r="N41" s="62"/>
    </row>
    <row r="42" spans="1:14" s="1" customFormat="1" ht="14.1" customHeight="1" thickBot="1">
      <c r="A42" s="35"/>
      <c r="B42" s="143"/>
      <c r="C42" s="144"/>
      <c r="D42" s="111"/>
      <c r="E42" s="112"/>
      <c r="F42" s="112"/>
      <c r="G42" s="113"/>
      <c r="H42" s="28"/>
      <c r="I42" s="28"/>
      <c r="J42" s="28"/>
      <c r="K42" s="42"/>
      <c r="L42" s="28"/>
      <c r="M42" s="28"/>
      <c r="N42" s="160"/>
    </row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4" s="1" customFormat="1" ht="13.5" customHeight="1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4" s="1" customFormat="1" ht="13.5" customHeight="1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4" s="1" customFormat="1" ht="13.5" customHeight="1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4" s="1" customFormat="1" ht="13.5" customHeight="1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4" s="1" customFormat="1" ht="13.5" customHeight="1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s="1" customFormat="1" ht="13.5" customHeight="1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s="1" customFormat="1" ht="13.5" customHeight="1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s="1" customFormat="1" ht="13.5" customHeight="1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s="1" customFormat="1" ht="13.5" customHeight="1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ht="13.5" customHeight="1"/>
    <row r="54" spans="1:13" ht="13.5" customHeight="1"/>
    <row r="55" spans="1:13" ht="13.5" customHeight="1"/>
    <row r="56" spans="1:13" ht="13.5" customHeight="1"/>
    <row r="57" spans="1:13" ht="13.5" customHeight="1"/>
    <row r="58" spans="1:13" ht="13.5" customHeight="1"/>
    <row r="59" spans="1:13" ht="13.5" customHeight="1"/>
    <row r="60" spans="1:13" ht="13.5" customHeight="1"/>
    <row r="61" spans="1:13" ht="13.5" customHeight="1"/>
  </sheetData>
  <mergeCells count="243">
    <mergeCell ref="L41:L42"/>
    <mergeCell ref="M41:M42"/>
    <mergeCell ref="N41:N42"/>
    <mergeCell ref="B42:C42"/>
    <mergeCell ref="D42:G42"/>
    <mergeCell ref="A41:A42"/>
    <mergeCell ref="B41:C41"/>
    <mergeCell ref="D41:G41"/>
    <mergeCell ref="I41:I42"/>
    <mergeCell ref="J41:J42"/>
    <mergeCell ref="K41:K42"/>
    <mergeCell ref="H41:H42"/>
    <mergeCell ref="K39:K40"/>
    <mergeCell ref="L39:L40"/>
    <mergeCell ref="M39:M40"/>
    <mergeCell ref="N39:N40"/>
    <mergeCell ref="B40:C40"/>
    <mergeCell ref="D40:G40"/>
    <mergeCell ref="L37:L38"/>
    <mergeCell ref="M37:M38"/>
    <mergeCell ref="N37:N38"/>
    <mergeCell ref="B38:C38"/>
    <mergeCell ref="D38:G38"/>
    <mergeCell ref="K37:K38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H37:H38"/>
    <mergeCell ref="H39:H40"/>
    <mergeCell ref="K35:K36"/>
    <mergeCell ref="L35:L36"/>
    <mergeCell ref="M35:M36"/>
    <mergeCell ref="N35:N36"/>
    <mergeCell ref="B36:C36"/>
    <mergeCell ref="D36:G36"/>
    <mergeCell ref="L33:L34"/>
    <mergeCell ref="M33:M34"/>
    <mergeCell ref="N33:N34"/>
    <mergeCell ref="B34:C34"/>
    <mergeCell ref="D34:G34"/>
    <mergeCell ref="K33:K34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31:K32"/>
    <mergeCell ref="L31:L32"/>
    <mergeCell ref="M31:M32"/>
    <mergeCell ref="N31:N32"/>
    <mergeCell ref="B32:C32"/>
    <mergeCell ref="D32:G32"/>
    <mergeCell ref="L29:L30"/>
    <mergeCell ref="M29:M30"/>
    <mergeCell ref="N29:N30"/>
    <mergeCell ref="B30:C30"/>
    <mergeCell ref="D30:G30"/>
    <mergeCell ref="K29:K30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27:K28"/>
    <mergeCell ref="L27:L28"/>
    <mergeCell ref="M27:M28"/>
    <mergeCell ref="N27:N28"/>
    <mergeCell ref="B28:C28"/>
    <mergeCell ref="D28:G28"/>
    <mergeCell ref="L25:L26"/>
    <mergeCell ref="M25:M26"/>
    <mergeCell ref="N25:N26"/>
    <mergeCell ref="B26:C26"/>
    <mergeCell ref="D26:G26"/>
    <mergeCell ref="K25:K26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3:K24"/>
    <mergeCell ref="L23:L24"/>
    <mergeCell ref="M23:M24"/>
    <mergeCell ref="N23:N24"/>
    <mergeCell ref="B24:C24"/>
    <mergeCell ref="D24:G24"/>
    <mergeCell ref="L21:L22"/>
    <mergeCell ref="M21:M22"/>
    <mergeCell ref="N21:N22"/>
    <mergeCell ref="B22:C22"/>
    <mergeCell ref="D22:G22"/>
    <mergeCell ref="K21:K22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19:K20"/>
    <mergeCell ref="L19:L20"/>
    <mergeCell ref="M19:M20"/>
    <mergeCell ref="N19:N20"/>
    <mergeCell ref="B20:C20"/>
    <mergeCell ref="D20:G20"/>
    <mergeCell ref="L17:L18"/>
    <mergeCell ref="M17:M18"/>
    <mergeCell ref="N17:N18"/>
    <mergeCell ref="B18:C18"/>
    <mergeCell ref="D18:G18"/>
    <mergeCell ref="K17:K18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5:K16"/>
    <mergeCell ref="L15:L16"/>
    <mergeCell ref="M15:M16"/>
    <mergeCell ref="N15:N16"/>
    <mergeCell ref="B16:C16"/>
    <mergeCell ref="D16:G16"/>
    <mergeCell ref="L13:L14"/>
    <mergeCell ref="M13:M14"/>
    <mergeCell ref="N13:N14"/>
    <mergeCell ref="B14:C14"/>
    <mergeCell ref="D14:G14"/>
    <mergeCell ref="K13:K14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1:K12"/>
    <mergeCell ref="L11:L12"/>
    <mergeCell ref="M11:M12"/>
    <mergeCell ref="N11:N12"/>
    <mergeCell ref="B12:C12"/>
    <mergeCell ref="D12:G12"/>
    <mergeCell ref="L9:L10"/>
    <mergeCell ref="M9:M10"/>
    <mergeCell ref="N9:N10"/>
    <mergeCell ref="B10:C10"/>
    <mergeCell ref="D10:G10"/>
    <mergeCell ref="K9:K10"/>
    <mergeCell ref="H9:H10"/>
    <mergeCell ref="H11:H12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M3:M4"/>
    <mergeCell ref="N3:N4"/>
    <mergeCell ref="B4:C4"/>
    <mergeCell ref="D4:G4"/>
    <mergeCell ref="H3:H4"/>
    <mergeCell ref="A1:N1"/>
    <mergeCell ref="K7:K8"/>
    <mergeCell ref="L7:L8"/>
    <mergeCell ref="M7:M8"/>
    <mergeCell ref="N7:N8"/>
    <mergeCell ref="B8:C8"/>
    <mergeCell ref="D8:G8"/>
    <mergeCell ref="L5:L6"/>
    <mergeCell ref="M5:M6"/>
    <mergeCell ref="N5:N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B2:C2"/>
    <mergeCell ref="D2:G2"/>
    <mergeCell ref="A3:A4"/>
    <mergeCell ref="B3:C3"/>
    <mergeCell ref="D3:G3"/>
    <mergeCell ref="I3:I4"/>
    <mergeCell ref="J3:J4"/>
    <mergeCell ref="K3:K4"/>
    <mergeCell ref="L3:L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32B6-D476-4924-AF96-6590761090B8}">
  <sheetPr codeName="Sheet48">
    <tabColor theme="5"/>
    <pageSetUpPr fitToPage="1"/>
  </sheetPr>
  <dimension ref="A1:N52"/>
  <sheetViews>
    <sheetView zoomScale="110" zoomScaleNormal="110" workbookViewId="0">
      <selection activeCell="R24" sqref="R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393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6">
        <f>SUM(L3)+3</f>
        <v>60</v>
      </c>
      <c r="N3" s="193">
        <f>SUM(M3)+3</f>
        <v>63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6"/>
      <c r="N4" s="173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98"/>
      <c r="I5" s="27"/>
      <c r="J5" s="43"/>
      <c r="K5" s="45"/>
      <c r="L5" s="45"/>
      <c r="M5" s="45"/>
      <c r="N5" s="189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75"/>
      <c r="I6" s="46"/>
      <c r="J6" s="44"/>
      <c r="K6" s="46"/>
      <c r="L6" s="46"/>
      <c r="M6" s="46"/>
      <c r="N6" s="173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98"/>
      <c r="I7" s="27"/>
      <c r="J7" s="43"/>
      <c r="K7" s="45"/>
      <c r="L7" s="45"/>
      <c r="M7" s="45"/>
      <c r="N7" s="189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75"/>
      <c r="I8" s="46"/>
      <c r="J8" s="44"/>
      <c r="K8" s="46"/>
      <c r="L8" s="46"/>
      <c r="M8" s="46"/>
      <c r="N8" s="173"/>
    </row>
    <row r="9" spans="1:14" s="1" customFormat="1" ht="14.1" customHeight="1">
      <c r="A9" s="52">
        <v>4</v>
      </c>
      <c r="B9" s="36" t="s">
        <v>113</v>
      </c>
      <c r="C9" s="37"/>
      <c r="D9" s="198" t="s">
        <v>373</v>
      </c>
      <c r="E9" s="199"/>
      <c r="F9" s="199"/>
      <c r="G9" s="200"/>
      <c r="H9" s="27">
        <f>SUM(I9)-2.2</f>
        <v>36.599999999999994</v>
      </c>
      <c r="I9" s="27">
        <f>SUM(J9)-2.2</f>
        <v>38.799999999999997</v>
      </c>
      <c r="J9" s="43">
        <v>41</v>
      </c>
      <c r="K9" s="45">
        <f>SUM(J9)+2.2</f>
        <v>43.2</v>
      </c>
      <c r="L9" s="45">
        <f>SUM(K9)+2.2</f>
        <v>45.400000000000006</v>
      </c>
      <c r="M9" s="45">
        <f>SUM(L9)+2.2</f>
        <v>47.600000000000009</v>
      </c>
      <c r="N9" s="47">
        <f>SUM(M9)+2.2</f>
        <v>49.800000000000011</v>
      </c>
    </row>
    <row r="10" spans="1:14" s="1" customFormat="1" ht="14.1" customHeight="1">
      <c r="A10" s="53"/>
      <c r="B10" s="57" t="s">
        <v>112</v>
      </c>
      <c r="C10" s="58"/>
      <c r="D10" s="49" t="s">
        <v>374</v>
      </c>
      <c r="E10" s="50"/>
      <c r="F10" s="50"/>
      <c r="G10" s="51"/>
      <c r="H10" s="46"/>
      <c r="I10" s="46"/>
      <c r="J10" s="44"/>
      <c r="K10" s="46"/>
      <c r="L10" s="46"/>
      <c r="M10" s="46"/>
      <c r="N10" s="48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SUM(I11)-4.5</f>
        <v>57</v>
      </c>
      <c r="I11" s="27">
        <f>SUM(J11)-4.5</f>
        <v>61.5</v>
      </c>
      <c r="J11" s="43">
        <v>66</v>
      </c>
      <c r="K11" s="45">
        <f>SUM(J11)+4.5</f>
        <v>70.5</v>
      </c>
      <c r="L11" s="45">
        <f>SUM(K11)+4.5</f>
        <v>75</v>
      </c>
      <c r="M11" s="45">
        <f>SUM(L11)+4.5</f>
        <v>79.5</v>
      </c>
      <c r="N11" s="189">
        <f>SUM(M11)+4.5</f>
        <v>84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46"/>
      <c r="N12" s="173"/>
    </row>
    <row r="13" spans="1:14" s="1" customFormat="1" ht="14.1" customHeight="1">
      <c r="A13" s="52">
        <v>6</v>
      </c>
      <c r="B13" s="36" t="s">
        <v>11</v>
      </c>
      <c r="C13" s="37"/>
      <c r="D13" s="76" t="s">
        <v>333</v>
      </c>
      <c r="E13" s="77"/>
      <c r="F13" s="77"/>
      <c r="G13" s="78"/>
      <c r="H13" s="98">
        <f>SUM(I13)-5</f>
        <v>58</v>
      </c>
      <c r="I13" s="27">
        <f>SUM(J13)-5</f>
        <v>63</v>
      </c>
      <c r="J13" s="41">
        <v>68</v>
      </c>
      <c r="K13" s="27">
        <f>SUM(J13)+5</f>
        <v>73</v>
      </c>
      <c r="L13" s="27">
        <f>SUM(K13)+5</f>
        <v>78</v>
      </c>
      <c r="M13" s="27">
        <f>SUM(L13)+5</f>
        <v>83</v>
      </c>
      <c r="N13" s="172">
        <f>SUM(M13)+5</f>
        <v>88</v>
      </c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75"/>
      <c r="I14" s="46"/>
      <c r="J14" s="44"/>
      <c r="K14" s="46"/>
      <c r="L14" s="46"/>
      <c r="M14" s="46"/>
      <c r="N14" s="173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98">
        <f>SUM(I15)-0.7</f>
        <v>9.1000000000000014</v>
      </c>
      <c r="I15" s="27">
        <f>SUM(J15)-0.7</f>
        <v>9.8000000000000007</v>
      </c>
      <c r="J15" s="41">
        <v>10.5</v>
      </c>
      <c r="K15" s="27">
        <f>SUM(J15)+0.7</f>
        <v>11.2</v>
      </c>
      <c r="L15" s="27">
        <f>SUM(K15)+0.7</f>
        <v>11.899999999999999</v>
      </c>
      <c r="M15" s="98">
        <f>SUM(L15)+0.7</f>
        <v>12.599999999999998</v>
      </c>
      <c r="N15" s="191">
        <f>SUM(M15)+0.7</f>
        <v>13.299999999999997</v>
      </c>
    </row>
    <row r="16" spans="1:14" s="1" customFormat="1" ht="14.1" customHeight="1">
      <c r="A16" s="53"/>
      <c r="B16" s="57" t="s">
        <v>100</v>
      </c>
      <c r="C16" s="58"/>
      <c r="D16" s="82" t="s">
        <v>132</v>
      </c>
      <c r="E16" s="83"/>
      <c r="F16" s="83"/>
      <c r="G16" s="84"/>
      <c r="H16" s="75"/>
      <c r="I16" s="46"/>
      <c r="J16" s="44"/>
      <c r="K16" s="46"/>
      <c r="L16" s="46"/>
      <c r="M16" s="75"/>
      <c r="N16" s="192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>
        <f>SUM(I17)-0.7</f>
        <v>9.1000000000000014</v>
      </c>
      <c r="I17" s="27">
        <f>SUM(J17)-0.7</f>
        <v>9.8000000000000007</v>
      </c>
      <c r="J17" s="41">
        <v>10.5</v>
      </c>
      <c r="K17" s="27">
        <f>SUM(J17)+0.7</f>
        <v>11.2</v>
      </c>
      <c r="L17" s="27">
        <f>SUM(K17)+0.7</f>
        <v>11.899999999999999</v>
      </c>
      <c r="M17" s="98">
        <f>SUM(L17)+0.7</f>
        <v>12.599999999999998</v>
      </c>
      <c r="N17" s="191">
        <f>SUM(M17)+0.7</f>
        <v>13.299999999999997</v>
      </c>
    </row>
    <row r="18" spans="1:14" s="1" customFormat="1" ht="14.1" customHeight="1">
      <c r="A18" s="53"/>
      <c r="B18" s="57" t="s">
        <v>120</v>
      </c>
      <c r="C18" s="58"/>
      <c r="D18" s="82" t="s">
        <v>121</v>
      </c>
      <c r="E18" s="83"/>
      <c r="F18" s="83"/>
      <c r="G18" s="84"/>
      <c r="H18" s="75"/>
      <c r="I18" s="46"/>
      <c r="J18" s="44"/>
      <c r="K18" s="46"/>
      <c r="L18" s="46"/>
      <c r="M18" s="75"/>
      <c r="N18" s="192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>
        <f>SUM(I19)-0</f>
        <v>2.8</v>
      </c>
      <c r="I19" s="27">
        <f>SUM(J19)-0</f>
        <v>2.8</v>
      </c>
      <c r="J19" s="41">
        <v>2.8</v>
      </c>
      <c r="K19" s="27">
        <f>SUM(J19)+0.5</f>
        <v>3.3</v>
      </c>
      <c r="L19" s="27">
        <f>SUM(K19)+0</f>
        <v>3.3</v>
      </c>
      <c r="M19" s="27">
        <f>SUM(L19)+0</f>
        <v>3.3</v>
      </c>
      <c r="N19" s="62">
        <f>SUM(M19)+0</f>
        <v>3.3</v>
      </c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6"/>
      <c r="N20" s="48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49</v>
      </c>
      <c r="I21" s="27">
        <f>SUM(J21)-7</f>
        <v>56</v>
      </c>
      <c r="J21" s="41">
        <v>63</v>
      </c>
      <c r="K21" s="27">
        <f>SUM(J21)+6</f>
        <v>69</v>
      </c>
      <c r="L21" s="27">
        <f>SUM(K21)+6</f>
        <v>75</v>
      </c>
      <c r="M21" s="27">
        <f>SUM(L21)+6</f>
        <v>81</v>
      </c>
      <c r="N21" s="62">
        <f>SUM(M21)+6</f>
        <v>87</v>
      </c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6"/>
      <c r="N22" s="48"/>
    </row>
    <row r="23" spans="1:14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SUM(I23)-2</f>
        <v>33</v>
      </c>
      <c r="I23" s="27">
        <f>SUM(J23)-2</f>
        <v>35</v>
      </c>
      <c r="J23" s="41">
        <v>37</v>
      </c>
      <c r="K23" s="27">
        <f>SUM(J23)+2</f>
        <v>39</v>
      </c>
      <c r="L23" s="27">
        <f>SUM(K23)+2</f>
        <v>41</v>
      </c>
      <c r="M23" s="27">
        <f>SUM(L23)+2</f>
        <v>43</v>
      </c>
      <c r="N23" s="62">
        <f>SUM(M23)+2</f>
        <v>45</v>
      </c>
    </row>
    <row r="24" spans="1:14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46"/>
      <c r="N24" s="48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19.799999999999997</v>
      </c>
      <c r="I25" s="27">
        <f>SUM(J25)-1.1</f>
        <v>20.9</v>
      </c>
      <c r="J25" s="41">
        <v>22</v>
      </c>
      <c r="K25" s="27">
        <f>SUM(J25)+1.6</f>
        <v>23.6</v>
      </c>
      <c r="L25" s="27">
        <f>SUM(K25)+1.1</f>
        <v>24.700000000000003</v>
      </c>
      <c r="M25" s="98">
        <f>SUM(L25)+1.1</f>
        <v>25.800000000000004</v>
      </c>
      <c r="N25" s="191">
        <f>SUM(M25)+1.1</f>
        <v>26.900000000000006</v>
      </c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75"/>
      <c r="N26" s="192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25.9</v>
      </c>
      <c r="I27" s="27">
        <f>SUM(J27)-1.3</f>
        <v>27.2</v>
      </c>
      <c r="J27" s="41">
        <v>28.5</v>
      </c>
      <c r="K27" s="27">
        <f>SUM(J27)+1.8</f>
        <v>30.3</v>
      </c>
      <c r="L27" s="27">
        <f>SUM(K27)+1.3</f>
        <v>31.6</v>
      </c>
      <c r="M27" s="98">
        <f>SUM(L27)+1.3</f>
        <v>32.9</v>
      </c>
      <c r="N27" s="191">
        <f>SUM(M27)+1.3</f>
        <v>34.199999999999996</v>
      </c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75"/>
      <c r="N28" s="192"/>
    </row>
    <row r="29" spans="1:14" s="1" customFormat="1" ht="14.1" customHeight="1">
      <c r="A29" s="52">
        <v>14</v>
      </c>
      <c r="B29" s="36" t="s">
        <v>18</v>
      </c>
      <c r="C29" s="37"/>
      <c r="D29" s="76" t="s">
        <v>19</v>
      </c>
      <c r="E29" s="77"/>
      <c r="F29" s="77"/>
      <c r="G29" s="78"/>
      <c r="H29" s="27"/>
      <c r="I29" s="27"/>
      <c r="J29" s="41">
        <v>38</v>
      </c>
      <c r="K29" s="27"/>
      <c r="L29" s="27"/>
      <c r="M29" s="27"/>
      <c r="N29" s="172"/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46"/>
      <c r="N30" s="173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27"/>
      <c r="I31" s="27"/>
      <c r="J31" s="41"/>
      <c r="K31" s="27"/>
      <c r="L31" s="27"/>
      <c r="M31" s="27"/>
      <c r="N31" s="62"/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46"/>
      <c r="I32" s="46"/>
      <c r="J32" s="44"/>
      <c r="K32" s="46"/>
      <c r="L32" s="46"/>
      <c r="M32" s="46"/>
      <c r="N32" s="48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98">
        <f>SUM(I33)-1.6</f>
        <v>26.199999999999996</v>
      </c>
      <c r="I33" s="27">
        <f>SUM(J33)-1.6</f>
        <v>27.799999999999997</v>
      </c>
      <c r="J33" s="41">
        <v>29.4</v>
      </c>
      <c r="K33" s="27">
        <f>SUM(J33)+1.6</f>
        <v>31</v>
      </c>
      <c r="L33" s="27">
        <f>SUM(K33)+1.6</f>
        <v>32.6</v>
      </c>
      <c r="M33" s="98">
        <f>SUM(L33)+1.6</f>
        <v>34.200000000000003</v>
      </c>
      <c r="N33" s="191">
        <f>SUM(M33)+1.6</f>
        <v>35.800000000000004</v>
      </c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75"/>
      <c r="I34" s="46"/>
      <c r="J34" s="44"/>
      <c r="K34" s="46"/>
      <c r="L34" s="46"/>
      <c r="M34" s="75"/>
      <c r="N34" s="192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/>
      <c r="I35" s="27"/>
      <c r="J35" s="41">
        <v>40</v>
      </c>
      <c r="K35" s="27"/>
      <c r="L35" s="27"/>
      <c r="M35" s="27"/>
      <c r="N35" s="172"/>
    </row>
    <row r="36" spans="1:14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44"/>
      <c r="K36" s="46"/>
      <c r="L36" s="46"/>
      <c r="M36" s="46"/>
      <c r="N36" s="173"/>
    </row>
    <row r="37" spans="1:14" s="1" customFormat="1" ht="14.1" customHeight="1">
      <c r="A37" s="52">
        <v>18</v>
      </c>
      <c r="B37" s="36" t="s">
        <v>99</v>
      </c>
      <c r="C37" s="37"/>
      <c r="D37" s="76" t="s">
        <v>22</v>
      </c>
      <c r="E37" s="77"/>
      <c r="F37" s="77"/>
      <c r="G37" s="78"/>
      <c r="H37" s="27">
        <f>SUM(I37)-0.5</f>
        <v>7</v>
      </c>
      <c r="I37" s="27">
        <f>SUM(J37)-0.5</f>
        <v>7.5</v>
      </c>
      <c r="J37" s="125">
        <v>8</v>
      </c>
      <c r="K37" s="114">
        <f>SUM(J37)+0.5</f>
        <v>8.5</v>
      </c>
      <c r="L37" s="114">
        <f>SUM(K37)+0.5</f>
        <v>9</v>
      </c>
      <c r="M37" s="114">
        <f>SUM(L37)+0.5</f>
        <v>9.5</v>
      </c>
      <c r="N37" s="162">
        <f>SUM(M37)+0.5</f>
        <v>10</v>
      </c>
    </row>
    <row r="38" spans="1:14" s="1" customFormat="1" ht="14.1" customHeight="1">
      <c r="A38" s="53"/>
      <c r="B38" s="57" t="s">
        <v>52</v>
      </c>
      <c r="C38" s="58"/>
      <c r="D38" s="59" t="s">
        <v>98</v>
      </c>
      <c r="E38" s="60"/>
      <c r="F38" s="60"/>
      <c r="G38" s="61"/>
      <c r="H38" s="46"/>
      <c r="I38" s="46"/>
      <c r="J38" s="125"/>
      <c r="K38" s="114"/>
      <c r="L38" s="114"/>
      <c r="M38" s="114"/>
      <c r="N38" s="162"/>
    </row>
    <row r="39" spans="1:14" s="1" customFormat="1" ht="14.1" customHeight="1">
      <c r="A39" s="52">
        <v>19</v>
      </c>
      <c r="B39" s="36" t="s">
        <v>97</v>
      </c>
      <c r="C39" s="37"/>
      <c r="D39" s="76" t="s">
        <v>23</v>
      </c>
      <c r="E39" s="77"/>
      <c r="F39" s="77"/>
      <c r="G39" s="78"/>
      <c r="H39" s="27">
        <f>SUM(I39)-0.3</f>
        <v>5.4</v>
      </c>
      <c r="I39" s="27">
        <f>SUM(J39)-0.3</f>
        <v>5.7</v>
      </c>
      <c r="J39" s="41">
        <v>6</v>
      </c>
      <c r="K39" s="27">
        <f>SUM(J39)+0.3</f>
        <v>6.3</v>
      </c>
      <c r="L39" s="27">
        <f>SUM(K39)+0.3</f>
        <v>6.6</v>
      </c>
      <c r="M39" s="27">
        <f>SUM(L39)+0.3</f>
        <v>6.8999999999999995</v>
      </c>
      <c r="N39" s="62">
        <f>SUM(M39)+0.3</f>
        <v>7.1999999999999993</v>
      </c>
    </row>
    <row r="40" spans="1:14" s="1" customFormat="1" ht="14.1" customHeight="1">
      <c r="A40" s="53"/>
      <c r="B40" s="57" t="s">
        <v>51</v>
      </c>
      <c r="C40" s="58"/>
      <c r="D40" s="59" t="s">
        <v>96</v>
      </c>
      <c r="E40" s="60"/>
      <c r="F40" s="60"/>
      <c r="G40" s="61"/>
      <c r="H40" s="46"/>
      <c r="I40" s="46"/>
      <c r="J40" s="44"/>
      <c r="K40" s="46"/>
      <c r="L40" s="46"/>
      <c r="M40" s="46"/>
      <c r="N40" s="48"/>
    </row>
    <row r="41" spans="1:14" s="1" customFormat="1" ht="14.1" customHeight="1">
      <c r="A41" s="52">
        <v>20</v>
      </c>
      <c r="B41" s="36" t="s">
        <v>95</v>
      </c>
      <c r="C41" s="37"/>
      <c r="D41" s="124"/>
      <c r="E41" s="124"/>
      <c r="F41" s="124"/>
      <c r="G41" s="124"/>
      <c r="H41" s="27">
        <f>SUM(I41)-0.5</f>
        <v>10</v>
      </c>
      <c r="I41" s="27">
        <f>SUM(J41)-0.5</f>
        <v>10.5</v>
      </c>
      <c r="J41" s="41">
        <v>11</v>
      </c>
      <c r="K41" s="27">
        <f>SUM(J41)+0.5</f>
        <v>11.5</v>
      </c>
      <c r="L41" s="27">
        <f>SUM(K41)+0.5</f>
        <v>12</v>
      </c>
      <c r="M41" s="27">
        <f>SUM(L41)+0.5</f>
        <v>12.5</v>
      </c>
      <c r="N41" s="172">
        <f>SUM(M41)+0.5</f>
        <v>13</v>
      </c>
    </row>
    <row r="42" spans="1:14" s="1" customFormat="1" ht="14.1" customHeight="1">
      <c r="A42" s="53"/>
      <c r="B42" s="127" t="s">
        <v>94</v>
      </c>
      <c r="C42" s="128"/>
      <c r="D42" s="79"/>
      <c r="E42" s="80"/>
      <c r="F42" s="80"/>
      <c r="G42" s="81"/>
      <c r="H42" s="46"/>
      <c r="I42" s="46"/>
      <c r="J42" s="44"/>
      <c r="K42" s="46"/>
      <c r="L42" s="46"/>
      <c r="M42" s="46"/>
      <c r="N42" s="173"/>
    </row>
    <row r="43" spans="1:14" s="1" customFormat="1" ht="14.1" customHeight="1">
      <c r="A43" s="52">
        <v>21</v>
      </c>
      <c r="B43" s="36" t="s">
        <v>93</v>
      </c>
      <c r="C43" s="37"/>
      <c r="D43" s="124"/>
      <c r="E43" s="124"/>
      <c r="F43" s="124"/>
      <c r="G43" s="124"/>
      <c r="H43" s="27">
        <f>SUM(I43)-0.5</f>
        <v>10.5</v>
      </c>
      <c r="I43" s="27">
        <f>SUM(J43)-0.5</f>
        <v>11</v>
      </c>
      <c r="J43" s="41">
        <v>11.5</v>
      </c>
      <c r="K43" s="27">
        <f>SUM(J43)+0.5</f>
        <v>12</v>
      </c>
      <c r="L43" s="27">
        <f>SUM(K43)+0.5</f>
        <v>12.5</v>
      </c>
      <c r="M43" s="27">
        <f>SUM(L43)+0.5</f>
        <v>13</v>
      </c>
      <c r="N43" s="172">
        <f>SUM(M43)+0.5</f>
        <v>13.5</v>
      </c>
    </row>
    <row r="44" spans="1:14" s="1" customFormat="1" ht="14.1" customHeight="1">
      <c r="A44" s="52"/>
      <c r="B44" s="153" t="s">
        <v>92</v>
      </c>
      <c r="C44" s="153"/>
      <c r="D44" s="102"/>
      <c r="E44" s="103"/>
      <c r="F44" s="103"/>
      <c r="G44" s="104"/>
      <c r="H44" s="45"/>
      <c r="I44" s="45"/>
      <c r="J44" s="43"/>
      <c r="K44" s="45"/>
      <c r="L44" s="45"/>
      <c r="M44" s="45"/>
      <c r="N44" s="189"/>
    </row>
    <row r="45" spans="1:14" s="1" customFormat="1" ht="14.1" customHeight="1">
      <c r="A45" s="34">
        <v>22</v>
      </c>
      <c r="B45" s="36" t="s">
        <v>394</v>
      </c>
      <c r="C45" s="37"/>
      <c r="D45" s="124"/>
      <c r="E45" s="124"/>
      <c r="F45" s="124"/>
      <c r="G45" s="124"/>
      <c r="H45" s="98">
        <f>SUM(I45)-4.5</f>
        <v>65</v>
      </c>
      <c r="I45" s="27">
        <f>SUM(J45)-4.5</f>
        <v>69.5</v>
      </c>
      <c r="J45" s="41">
        <v>74</v>
      </c>
      <c r="K45" s="27">
        <f>SUM(J45)+4.5</f>
        <v>78.5</v>
      </c>
      <c r="L45" s="27">
        <f>SUM(K45)+4.5</f>
        <v>83</v>
      </c>
      <c r="M45" s="27">
        <f>SUM(L45)+4.5</f>
        <v>87.5</v>
      </c>
      <c r="N45" s="172">
        <f>SUM(M45)+4.5</f>
        <v>92</v>
      </c>
    </row>
    <row r="46" spans="1:14" ht="14.1" customHeight="1">
      <c r="A46" s="53"/>
      <c r="B46" s="127" t="s">
        <v>395</v>
      </c>
      <c r="C46" s="128"/>
      <c r="D46" s="79"/>
      <c r="E46" s="80"/>
      <c r="F46" s="80"/>
      <c r="G46" s="81"/>
      <c r="H46" s="75"/>
      <c r="I46" s="46"/>
      <c r="J46" s="44"/>
      <c r="K46" s="46"/>
      <c r="L46" s="46"/>
      <c r="M46" s="46"/>
      <c r="N46" s="173"/>
    </row>
    <row r="47" spans="1:14" ht="14.1" customHeight="1">
      <c r="A47" s="52">
        <v>23</v>
      </c>
      <c r="B47" s="36"/>
      <c r="C47" s="37"/>
      <c r="D47" s="124"/>
      <c r="E47" s="124"/>
      <c r="F47" s="124"/>
      <c r="G47" s="124"/>
      <c r="H47" s="27"/>
      <c r="I47" s="27"/>
      <c r="J47" s="41"/>
      <c r="K47" s="27"/>
      <c r="L47" s="27"/>
      <c r="M47" s="207"/>
      <c r="N47" s="62"/>
    </row>
    <row r="48" spans="1:14" ht="14.1" customHeight="1">
      <c r="A48" s="53"/>
      <c r="B48" s="153"/>
      <c r="C48" s="153"/>
      <c r="D48" s="102"/>
      <c r="E48" s="103"/>
      <c r="F48" s="103"/>
      <c r="G48" s="104"/>
      <c r="H48" s="45"/>
      <c r="I48" s="45"/>
      <c r="J48" s="43"/>
      <c r="K48" s="45"/>
      <c r="L48" s="45"/>
      <c r="M48" s="63"/>
      <c r="N48" s="47"/>
    </row>
    <row r="49" spans="1:14" ht="14.1" customHeight="1">
      <c r="A49" s="52">
        <v>24</v>
      </c>
      <c r="B49" s="36"/>
      <c r="C49" s="37"/>
      <c r="D49" s="124"/>
      <c r="E49" s="124"/>
      <c r="F49" s="124"/>
      <c r="G49" s="124"/>
      <c r="H49" s="27"/>
      <c r="I49" s="27"/>
      <c r="J49" s="41"/>
      <c r="K49" s="27"/>
      <c r="L49" s="27"/>
      <c r="M49" s="207"/>
      <c r="N49" s="62"/>
    </row>
    <row r="50" spans="1:14" ht="14.1" customHeight="1">
      <c r="A50" s="52"/>
      <c r="B50" s="153"/>
      <c r="C50" s="153"/>
      <c r="D50" s="102"/>
      <c r="E50" s="103"/>
      <c r="F50" s="103"/>
      <c r="G50" s="104"/>
      <c r="H50" s="45"/>
      <c r="I50" s="45"/>
      <c r="J50" s="43"/>
      <c r="K50" s="45"/>
      <c r="L50" s="45"/>
      <c r="M50" s="63"/>
      <c r="N50" s="47"/>
    </row>
    <row r="51" spans="1:14" ht="14.1" customHeight="1">
      <c r="A51" s="34">
        <v>25</v>
      </c>
      <c r="B51" s="36"/>
      <c r="C51" s="37"/>
      <c r="D51" s="124"/>
      <c r="E51" s="124"/>
      <c r="F51" s="124"/>
      <c r="G51" s="124"/>
      <c r="H51" s="27"/>
      <c r="I51" s="27"/>
      <c r="J51" s="41"/>
      <c r="K51" s="27"/>
      <c r="L51" s="27"/>
      <c r="M51" s="207"/>
      <c r="N51" s="62"/>
    </row>
    <row r="52" spans="1:14" ht="13.5" customHeight="1" thickBot="1">
      <c r="A52" s="35"/>
      <c r="B52" s="118"/>
      <c r="C52" s="118"/>
      <c r="D52" s="119"/>
      <c r="E52" s="120"/>
      <c r="F52" s="120"/>
      <c r="G52" s="121"/>
      <c r="H52" s="28"/>
      <c r="I52" s="28"/>
      <c r="J52" s="42"/>
      <c r="K52" s="28"/>
      <c r="L52" s="28"/>
      <c r="M52" s="109"/>
      <c r="N52" s="160"/>
    </row>
  </sheetData>
  <mergeCells count="303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B332-C835-4212-A953-78F441C97520}">
  <sheetPr codeName="Sheet49">
    <tabColor theme="5"/>
    <pageSetUpPr fitToPage="1"/>
  </sheetPr>
  <dimension ref="A1:N52"/>
  <sheetViews>
    <sheetView zoomScale="110" zoomScaleNormal="110" workbookViewId="0">
      <selection activeCell="J23" sqref="J23:J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375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209">
        <f>SUM(L3)+3</f>
        <v>60</v>
      </c>
      <c r="N3" s="97">
        <f>SUM(M3)+3</f>
        <v>63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57"/>
      <c r="N4" s="48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98"/>
      <c r="I5" s="27"/>
      <c r="J5" s="43"/>
      <c r="K5" s="45"/>
      <c r="L5" s="45"/>
      <c r="M5" s="63"/>
      <c r="N5" s="47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75"/>
      <c r="I6" s="46"/>
      <c r="J6" s="44"/>
      <c r="K6" s="46"/>
      <c r="L6" s="46"/>
      <c r="M6" s="57"/>
      <c r="N6" s="48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98"/>
      <c r="I7" s="27"/>
      <c r="J7" s="43"/>
      <c r="K7" s="45"/>
      <c r="L7" s="45"/>
      <c r="M7" s="63"/>
      <c r="N7" s="47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75"/>
      <c r="I8" s="46"/>
      <c r="J8" s="44"/>
      <c r="K8" s="46"/>
      <c r="L8" s="46"/>
      <c r="M8" s="57"/>
      <c r="N8" s="48"/>
    </row>
    <row r="9" spans="1:14" s="1" customFormat="1" ht="14.1" customHeight="1">
      <c r="A9" s="52">
        <v>4</v>
      </c>
      <c r="B9" s="36" t="s">
        <v>113</v>
      </c>
      <c r="C9" s="37"/>
      <c r="D9" s="198" t="s">
        <v>373</v>
      </c>
      <c r="E9" s="199"/>
      <c r="F9" s="199"/>
      <c r="G9" s="200"/>
      <c r="H9" s="27">
        <f>SUM(I9)-2.2</f>
        <v>36.599999999999994</v>
      </c>
      <c r="I9" s="27">
        <f>SUM(J9)-2.2</f>
        <v>38.799999999999997</v>
      </c>
      <c r="J9" s="43">
        <v>41</v>
      </c>
      <c r="K9" s="45">
        <f>SUM(J9)+2.2</f>
        <v>43.2</v>
      </c>
      <c r="L9" s="45">
        <f>SUM(K9)+2.2</f>
        <v>45.400000000000006</v>
      </c>
      <c r="M9" s="207">
        <f>SUM(L9)+2.2</f>
        <v>47.600000000000009</v>
      </c>
      <c r="N9" s="62">
        <f>SUM(M9)+2.2</f>
        <v>49.800000000000011</v>
      </c>
    </row>
    <row r="10" spans="1:14" s="1" customFormat="1" ht="14.1" customHeight="1">
      <c r="A10" s="53"/>
      <c r="B10" s="57" t="s">
        <v>112</v>
      </c>
      <c r="C10" s="58"/>
      <c r="D10" s="49" t="s">
        <v>374</v>
      </c>
      <c r="E10" s="50"/>
      <c r="F10" s="50"/>
      <c r="G10" s="51"/>
      <c r="H10" s="46"/>
      <c r="I10" s="46"/>
      <c r="J10" s="44"/>
      <c r="K10" s="46"/>
      <c r="L10" s="46"/>
      <c r="M10" s="57"/>
      <c r="N10" s="48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SUM(I11)-4.5</f>
        <v>61</v>
      </c>
      <c r="I11" s="27">
        <f>SUM(J11)-4.5</f>
        <v>65.5</v>
      </c>
      <c r="J11" s="43">
        <v>70</v>
      </c>
      <c r="K11" s="45">
        <f>SUM(J11)+4.5</f>
        <v>74.5</v>
      </c>
      <c r="L11" s="45">
        <f>SUM(K11)+4.5</f>
        <v>79</v>
      </c>
      <c r="M11" s="63">
        <f>SUM(L11)+4.5</f>
        <v>83.5</v>
      </c>
      <c r="N11" s="47">
        <f>SUM(M11)+4.5</f>
        <v>88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57"/>
      <c r="N12" s="48"/>
    </row>
    <row r="13" spans="1:14" s="1" customFormat="1" ht="14.1" customHeight="1">
      <c r="A13" s="52">
        <v>6</v>
      </c>
      <c r="B13" s="36" t="s">
        <v>11</v>
      </c>
      <c r="C13" s="37"/>
      <c r="D13" s="76" t="s">
        <v>333</v>
      </c>
      <c r="E13" s="77"/>
      <c r="F13" s="77"/>
      <c r="G13" s="78"/>
      <c r="H13" s="98">
        <f>SUM(I13)-5</f>
        <v>66</v>
      </c>
      <c r="I13" s="27">
        <f>SUM(J13)-5</f>
        <v>71</v>
      </c>
      <c r="J13" s="41">
        <v>76</v>
      </c>
      <c r="K13" s="27">
        <f>SUM(J13)+5</f>
        <v>81</v>
      </c>
      <c r="L13" s="27">
        <f>SUM(K13)+5</f>
        <v>86</v>
      </c>
      <c r="M13" s="207">
        <f>SUM(L13)+5</f>
        <v>91</v>
      </c>
      <c r="N13" s="62">
        <f>SUM(M13)+5</f>
        <v>96</v>
      </c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75"/>
      <c r="I14" s="46"/>
      <c r="J14" s="44"/>
      <c r="K14" s="46"/>
      <c r="L14" s="46"/>
      <c r="M14" s="57"/>
      <c r="N14" s="48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98">
        <f>SUM(I15)-0.7</f>
        <v>9.1000000000000014</v>
      </c>
      <c r="I15" s="27">
        <f>SUM(J15)-0.7</f>
        <v>9.8000000000000007</v>
      </c>
      <c r="J15" s="41">
        <v>10.5</v>
      </c>
      <c r="K15" s="27">
        <f>SUM(J15)+0.7</f>
        <v>11.2</v>
      </c>
      <c r="L15" s="27">
        <f>SUM(K15)+0.7</f>
        <v>11.899999999999999</v>
      </c>
      <c r="M15" s="36">
        <f>SUM(L15)+0.7</f>
        <v>12.599999999999998</v>
      </c>
      <c r="N15" s="62">
        <f>SUM(M15)+0.7</f>
        <v>13.299999999999997</v>
      </c>
    </row>
    <row r="16" spans="1:14" s="1" customFormat="1" ht="14.1" customHeight="1">
      <c r="A16" s="53"/>
      <c r="B16" s="57" t="s">
        <v>100</v>
      </c>
      <c r="C16" s="58"/>
      <c r="D16" s="82" t="s">
        <v>132</v>
      </c>
      <c r="E16" s="83"/>
      <c r="F16" s="83"/>
      <c r="G16" s="84"/>
      <c r="H16" s="75"/>
      <c r="I16" s="46"/>
      <c r="J16" s="44"/>
      <c r="K16" s="46"/>
      <c r="L16" s="46"/>
      <c r="M16" s="127"/>
      <c r="N16" s="48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>
        <f>SUM(I17)-0.7</f>
        <v>9.1000000000000014</v>
      </c>
      <c r="I17" s="27">
        <f>SUM(J17)-0.7</f>
        <v>9.8000000000000007</v>
      </c>
      <c r="J17" s="41">
        <v>10.5</v>
      </c>
      <c r="K17" s="27">
        <f>SUM(J17)+0.7</f>
        <v>11.2</v>
      </c>
      <c r="L17" s="27">
        <f>SUM(K17)+0.7</f>
        <v>11.899999999999999</v>
      </c>
      <c r="M17" s="36">
        <f>SUM(L17)+0.7</f>
        <v>12.599999999999998</v>
      </c>
      <c r="N17" s="62">
        <f>SUM(M17)+0.7</f>
        <v>13.299999999999997</v>
      </c>
    </row>
    <row r="18" spans="1:14" s="1" customFormat="1" ht="14.1" customHeight="1">
      <c r="A18" s="53"/>
      <c r="B18" s="57" t="s">
        <v>120</v>
      </c>
      <c r="C18" s="58"/>
      <c r="D18" s="82" t="s">
        <v>121</v>
      </c>
      <c r="E18" s="83"/>
      <c r="F18" s="83"/>
      <c r="G18" s="84"/>
      <c r="H18" s="75"/>
      <c r="I18" s="46"/>
      <c r="J18" s="44"/>
      <c r="K18" s="46"/>
      <c r="L18" s="46"/>
      <c r="M18" s="127"/>
      <c r="N18" s="48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>
        <f>SUM(I19)-0</f>
        <v>2.8</v>
      </c>
      <c r="I19" s="27">
        <f>SUM(J19)-0</f>
        <v>2.8</v>
      </c>
      <c r="J19" s="41">
        <v>2.8</v>
      </c>
      <c r="K19" s="27">
        <f>SUM(J19)+0.5</f>
        <v>3.3</v>
      </c>
      <c r="L19" s="27">
        <f>SUM(K19)+0</f>
        <v>3.3</v>
      </c>
      <c r="M19" s="207">
        <f>SUM(L19)+0</f>
        <v>3.3</v>
      </c>
      <c r="N19" s="62">
        <f>SUM(M19)+0</f>
        <v>3.3</v>
      </c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57"/>
      <c r="N20" s="48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50</v>
      </c>
      <c r="I21" s="27">
        <f>SUM(J21)-7</f>
        <v>57</v>
      </c>
      <c r="J21" s="41">
        <v>64</v>
      </c>
      <c r="K21" s="27">
        <f>SUM(J21)+6</f>
        <v>70</v>
      </c>
      <c r="L21" s="27">
        <f>SUM(K21)+6</f>
        <v>76</v>
      </c>
      <c r="M21" s="207">
        <f>SUM(L21)+6</f>
        <v>82</v>
      </c>
      <c r="N21" s="62">
        <f>SUM(M21)+6</f>
        <v>88</v>
      </c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57"/>
      <c r="N22" s="48"/>
    </row>
    <row r="23" spans="1:14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SUM(I23)-2.2</f>
        <v>39.599999999999994</v>
      </c>
      <c r="I23" s="27">
        <f>SUM(J23)-2.2</f>
        <v>41.8</v>
      </c>
      <c r="J23" s="41">
        <v>44</v>
      </c>
      <c r="K23" s="27">
        <f>SUM(J23)+2.2</f>
        <v>46.2</v>
      </c>
      <c r="L23" s="27">
        <f>SUM(K23)+2.2</f>
        <v>48.400000000000006</v>
      </c>
      <c r="M23" s="207">
        <f>SUM(L23)+2.2</f>
        <v>50.600000000000009</v>
      </c>
      <c r="N23" s="62">
        <f>SUM(M23)+2.2</f>
        <v>52.800000000000011</v>
      </c>
    </row>
    <row r="24" spans="1:14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57"/>
      <c r="N24" s="48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20.299999999999997</v>
      </c>
      <c r="I25" s="27">
        <f>SUM(J25)-1.1</f>
        <v>21.4</v>
      </c>
      <c r="J25" s="41">
        <v>22.5</v>
      </c>
      <c r="K25" s="27">
        <f>SUM(J25)+1.6</f>
        <v>24.1</v>
      </c>
      <c r="L25" s="27">
        <f>SUM(K25)+1.1</f>
        <v>25.200000000000003</v>
      </c>
      <c r="M25" s="36">
        <f>SUM(L25)+1.1</f>
        <v>26.300000000000004</v>
      </c>
      <c r="N25" s="62">
        <f>SUM(M25)+1.1</f>
        <v>27.400000000000006</v>
      </c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127"/>
      <c r="N26" s="48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26.9</v>
      </c>
      <c r="I27" s="27">
        <f>SUM(J27)-1.3</f>
        <v>28.2</v>
      </c>
      <c r="J27" s="41">
        <v>29.5</v>
      </c>
      <c r="K27" s="27">
        <f>SUM(J27)+1.8</f>
        <v>31.3</v>
      </c>
      <c r="L27" s="27">
        <f>SUM(K27)+1.3</f>
        <v>32.6</v>
      </c>
      <c r="M27" s="36">
        <f>SUM(L27)+1.3</f>
        <v>33.9</v>
      </c>
      <c r="N27" s="62">
        <f>SUM(M27)+1.3</f>
        <v>35.199999999999996</v>
      </c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127"/>
      <c r="N28" s="48"/>
    </row>
    <row r="29" spans="1:14" s="1" customFormat="1" ht="14.1" customHeight="1">
      <c r="A29" s="52">
        <v>14</v>
      </c>
      <c r="B29" s="36" t="s">
        <v>18</v>
      </c>
      <c r="C29" s="37"/>
      <c r="D29" s="76" t="s">
        <v>19</v>
      </c>
      <c r="E29" s="77"/>
      <c r="F29" s="77"/>
      <c r="G29" s="78"/>
      <c r="H29" s="27"/>
      <c r="I29" s="27"/>
      <c r="J29" s="41"/>
      <c r="K29" s="27"/>
      <c r="L29" s="27"/>
      <c r="M29" s="207"/>
      <c r="N29" s="62"/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57"/>
      <c r="N30" s="48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27"/>
      <c r="I31" s="27"/>
      <c r="J31" s="41"/>
      <c r="K31" s="27"/>
      <c r="L31" s="27"/>
      <c r="M31" s="207"/>
      <c r="N31" s="62"/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46"/>
      <c r="I32" s="46"/>
      <c r="J32" s="44"/>
      <c r="K32" s="46"/>
      <c r="L32" s="46"/>
      <c r="M32" s="57"/>
      <c r="N32" s="48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27"/>
      <c r="I33" s="27"/>
      <c r="J33" s="125"/>
      <c r="K33" s="114"/>
      <c r="L33" s="114"/>
      <c r="M33" s="208"/>
      <c r="N33" s="162"/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46"/>
      <c r="I34" s="46"/>
      <c r="J34" s="125"/>
      <c r="K34" s="114"/>
      <c r="L34" s="114"/>
      <c r="M34" s="208"/>
      <c r="N34" s="162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/>
      <c r="I35" s="27"/>
      <c r="J35" s="41"/>
      <c r="K35" s="27"/>
      <c r="L35" s="27"/>
      <c r="M35" s="207"/>
      <c r="N35" s="62"/>
    </row>
    <row r="36" spans="1:14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44"/>
      <c r="K36" s="46"/>
      <c r="L36" s="46"/>
      <c r="M36" s="57"/>
      <c r="N36" s="48"/>
    </row>
    <row r="37" spans="1:14" s="1" customFormat="1" ht="14.1" customHeight="1">
      <c r="A37" s="52">
        <v>18</v>
      </c>
      <c r="B37" s="36" t="s">
        <v>376</v>
      </c>
      <c r="C37" s="37"/>
      <c r="D37" s="76"/>
      <c r="E37" s="77"/>
      <c r="F37" s="77"/>
      <c r="G37" s="78"/>
      <c r="H37" s="27"/>
      <c r="I37" s="27"/>
      <c r="J37" s="125">
        <v>30</v>
      </c>
      <c r="K37" s="114"/>
      <c r="L37" s="114"/>
      <c r="M37" s="208"/>
      <c r="N37" s="162"/>
    </row>
    <row r="38" spans="1:14" s="1" customFormat="1" ht="14.1" customHeight="1">
      <c r="A38" s="53"/>
      <c r="B38" s="57" t="s">
        <v>377</v>
      </c>
      <c r="C38" s="58"/>
      <c r="D38" s="59" t="s">
        <v>111</v>
      </c>
      <c r="E38" s="60"/>
      <c r="F38" s="60"/>
      <c r="G38" s="61"/>
      <c r="H38" s="46"/>
      <c r="I38" s="46"/>
      <c r="J38" s="125"/>
      <c r="K38" s="114"/>
      <c r="L38" s="114"/>
      <c r="M38" s="208"/>
      <c r="N38" s="162"/>
    </row>
    <row r="39" spans="1:14" s="1" customFormat="1" ht="14.1" customHeight="1">
      <c r="A39" s="52">
        <v>19</v>
      </c>
      <c r="B39" s="36" t="s">
        <v>99</v>
      </c>
      <c r="C39" s="37"/>
      <c r="D39" s="76" t="s">
        <v>22</v>
      </c>
      <c r="E39" s="77"/>
      <c r="F39" s="77"/>
      <c r="G39" s="78"/>
      <c r="H39" s="27">
        <f>SUM(I39)-0.5</f>
        <v>7</v>
      </c>
      <c r="I39" s="27">
        <f>SUM(J39)-0.5</f>
        <v>7.5</v>
      </c>
      <c r="J39" s="125">
        <v>8</v>
      </c>
      <c r="K39" s="114">
        <f>SUM(J39)+0.5</f>
        <v>8.5</v>
      </c>
      <c r="L39" s="114">
        <f>SUM(K39)+0.5</f>
        <v>9</v>
      </c>
      <c r="M39" s="208">
        <f>SUM(L39)+0.5</f>
        <v>9.5</v>
      </c>
      <c r="N39" s="162">
        <f>SUM(M39)+0.5</f>
        <v>10</v>
      </c>
    </row>
    <row r="40" spans="1:14" s="1" customFormat="1" ht="14.1" customHeight="1">
      <c r="A40" s="53"/>
      <c r="B40" s="57" t="s">
        <v>52</v>
      </c>
      <c r="C40" s="58"/>
      <c r="D40" s="59" t="s">
        <v>98</v>
      </c>
      <c r="E40" s="60"/>
      <c r="F40" s="60"/>
      <c r="G40" s="61"/>
      <c r="H40" s="46"/>
      <c r="I40" s="46"/>
      <c r="J40" s="125"/>
      <c r="K40" s="114"/>
      <c r="L40" s="114"/>
      <c r="M40" s="208"/>
      <c r="N40" s="162"/>
    </row>
    <row r="41" spans="1:14" s="1" customFormat="1" ht="14.1" customHeight="1">
      <c r="A41" s="52">
        <v>20</v>
      </c>
      <c r="B41" s="36" t="s">
        <v>97</v>
      </c>
      <c r="C41" s="37"/>
      <c r="D41" s="76" t="s">
        <v>23</v>
      </c>
      <c r="E41" s="77"/>
      <c r="F41" s="77"/>
      <c r="G41" s="78"/>
      <c r="H41" s="27">
        <f>SUM(I41)-0.3</f>
        <v>5.9</v>
      </c>
      <c r="I41" s="27">
        <f>SUM(J41)-0.3</f>
        <v>6.2</v>
      </c>
      <c r="J41" s="41">
        <v>6.5</v>
      </c>
      <c r="K41" s="27">
        <f>SUM(J41)+0.3</f>
        <v>6.8</v>
      </c>
      <c r="L41" s="27">
        <f>SUM(K41)+0.3</f>
        <v>7.1</v>
      </c>
      <c r="M41" s="207">
        <f>SUM(L41)+0.3</f>
        <v>7.3999999999999995</v>
      </c>
      <c r="N41" s="62">
        <f>SUM(M41)+0.3</f>
        <v>7.6999999999999993</v>
      </c>
    </row>
    <row r="42" spans="1:14" s="1" customFormat="1" ht="14.1" customHeight="1">
      <c r="A42" s="53"/>
      <c r="B42" s="57" t="s">
        <v>51</v>
      </c>
      <c r="C42" s="58"/>
      <c r="D42" s="59" t="s">
        <v>96</v>
      </c>
      <c r="E42" s="60"/>
      <c r="F42" s="60"/>
      <c r="G42" s="61"/>
      <c r="H42" s="46"/>
      <c r="I42" s="46"/>
      <c r="J42" s="44"/>
      <c r="K42" s="46"/>
      <c r="L42" s="46"/>
      <c r="M42" s="57"/>
      <c r="N42" s="48"/>
    </row>
    <row r="43" spans="1:14" s="1" customFormat="1" ht="14.1" customHeight="1">
      <c r="A43" s="52">
        <v>21</v>
      </c>
      <c r="B43" s="36" t="s">
        <v>95</v>
      </c>
      <c r="C43" s="37"/>
      <c r="D43" s="124"/>
      <c r="E43" s="124"/>
      <c r="F43" s="124"/>
      <c r="G43" s="124"/>
      <c r="H43" s="27">
        <f>SUM(I43)-0.5</f>
        <v>10</v>
      </c>
      <c r="I43" s="27">
        <f>SUM(J43)-0.5</f>
        <v>10.5</v>
      </c>
      <c r="J43" s="41">
        <v>11</v>
      </c>
      <c r="K43" s="27">
        <f>SUM(J43)+0.5</f>
        <v>11.5</v>
      </c>
      <c r="L43" s="27">
        <f>SUM(K43)+0.5</f>
        <v>12</v>
      </c>
      <c r="M43" s="207">
        <f>SUM(L43)+0.5</f>
        <v>12.5</v>
      </c>
      <c r="N43" s="62">
        <f>SUM(M43)+0.5</f>
        <v>13</v>
      </c>
    </row>
    <row r="44" spans="1:14" s="1" customFormat="1" ht="14.1" customHeight="1">
      <c r="A44" s="53"/>
      <c r="B44" s="127" t="s">
        <v>94</v>
      </c>
      <c r="C44" s="128"/>
      <c r="D44" s="79"/>
      <c r="E44" s="80"/>
      <c r="F44" s="80"/>
      <c r="G44" s="81"/>
      <c r="H44" s="46"/>
      <c r="I44" s="46"/>
      <c r="J44" s="44"/>
      <c r="K44" s="46"/>
      <c r="L44" s="46"/>
      <c r="M44" s="57"/>
      <c r="N44" s="48"/>
    </row>
    <row r="45" spans="1:14" s="1" customFormat="1" ht="14.1" customHeight="1">
      <c r="A45" s="52">
        <v>22</v>
      </c>
      <c r="B45" s="36" t="s">
        <v>93</v>
      </c>
      <c r="C45" s="37"/>
      <c r="D45" s="124"/>
      <c r="E45" s="124"/>
      <c r="F45" s="124"/>
      <c r="G45" s="124"/>
      <c r="H45" s="27">
        <f>SUM(I45)-0.5</f>
        <v>10.5</v>
      </c>
      <c r="I45" s="27">
        <f>SUM(J45)-0.5</f>
        <v>11</v>
      </c>
      <c r="J45" s="41">
        <v>11.5</v>
      </c>
      <c r="K45" s="27">
        <f>SUM(J45)+0.5</f>
        <v>12</v>
      </c>
      <c r="L45" s="27">
        <f>SUM(K45)+0.5</f>
        <v>12.5</v>
      </c>
      <c r="M45" s="207">
        <f>SUM(L45)+0.5</f>
        <v>13</v>
      </c>
      <c r="N45" s="62">
        <f>SUM(M45)+0.5</f>
        <v>13.5</v>
      </c>
    </row>
    <row r="46" spans="1:14" ht="14.1" customHeight="1">
      <c r="A46" s="52"/>
      <c r="B46" s="153" t="s">
        <v>92</v>
      </c>
      <c r="C46" s="153"/>
      <c r="D46" s="102"/>
      <c r="E46" s="103"/>
      <c r="F46" s="103"/>
      <c r="G46" s="104"/>
      <c r="H46" s="45"/>
      <c r="I46" s="45"/>
      <c r="J46" s="43"/>
      <c r="K46" s="45"/>
      <c r="L46" s="45"/>
      <c r="M46" s="63"/>
      <c r="N46" s="47"/>
    </row>
    <row r="47" spans="1:14" ht="14.1" customHeight="1">
      <c r="A47" s="34">
        <v>23</v>
      </c>
      <c r="B47" s="36"/>
      <c r="C47" s="37"/>
      <c r="D47" s="124"/>
      <c r="E47" s="124"/>
      <c r="F47" s="124"/>
      <c r="G47" s="124"/>
      <c r="H47" s="27"/>
      <c r="I47" s="27"/>
      <c r="J47" s="41"/>
      <c r="K47" s="27"/>
      <c r="L47" s="27"/>
      <c r="M47" s="207"/>
      <c r="N47" s="62"/>
    </row>
    <row r="48" spans="1:14" ht="14.1" customHeight="1" thickBot="1">
      <c r="A48" s="35"/>
      <c r="B48" s="118"/>
      <c r="C48" s="118"/>
      <c r="D48" s="119"/>
      <c r="E48" s="120"/>
      <c r="F48" s="120"/>
      <c r="G48" s="121"/>
      <c r="H48" s="28"/>
      <c r="I48" s="28"/>
      <c r="J48" s="42"/>
      <c r="K48" s="28"/>
      <c r="L48" s="28"/>
      <c r="M48" s="109"/>
      <c r="N48" s="160"/>
    </row>
    <row r="49" ht="14.1" customHeight="1"/>
    <row r="50" ht="14.1" customHeight="1"/>
    <row r="51" ht="14.1" customHeight="1"/>
    <row r="52" ht="13.5" customHeight="1"/>
  </sheetData>
  <mergeCells count="279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D8E9-50E2-40D1-95F1-0850423892C3}">
  <sheetPr codeName="Sheet50">
    <tabColor theme="5"/>
    <pageSetUpPr fitToPage="1"/>
  </sheetPr>
  <dimension ref="A1:N52"/>
  <sheetViews>
    <sheetView zoomScale="110" zoomScaleNormal="110" workbookViewId="0">
      <selection activeCell="R22" sqref="R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378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209">
        <f>SUM(L3)+3</f>
        <v>60</v>
      </c>
      <c r="N3" s="150">
        <f>SUM(M3)+3</f>
        <v>63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57"/>
      <c r="N4" s="132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98"/>
      <c r="I5" s="27"/>
      <c r="J5" s="43"/>
      <c r="K5" s="45"/>
      <c r="L5" s="45"/>
      <c r="M5" s="63"/>
      <c r="N5" s="151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75"/>
      <c r="I6" s="46"/>
      <c r="J6" s="44"/>
      <c r="K6" s="46"/>
      <c r="L6" s="46"/>
      <c r="M6" s="57"/>
      <c r="N6" s="132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98"/>
      <c r="I7" s="27"/>
      <c r="J7" s="43"/>
      <c r="K7" s="45"/>
      <c r="L7" s="45"/>
      <c r="M7" s="63"/>
      <c r="N7" s="151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75"/>
      <c r="I8" s="46"/>
      <c r="J8" s="44"/>
      <c r="K8" s="46"/>
      <c r="L8" s="46"/>
      <c r="M8" s="57"/>
      <c r="N8" s="132"/>
    </row>
    <row r="9" spans="1:14" s="1" customFormat="1" ht="14.1" customHeight="1">
      <c r="A9" s="52">
        <v>4</v>
      </c>
      <c r="B9" s="36" t="s">
        <v>113</v>
      </c>
      <c r="C9" s="37"/>
      <c r="D9" s="198" t="s">
        <v>373</v>
      </c>
      <c r="E9" s="199"/>
      <c r="F9" s="199"/>
      <c r="G9" s="200"/>
      <c r="H9" s="27">
        <f>SUM(I9)-2.2</f>
        <v>36.599999999999994</v>
      </c>
      <c r="I9" s="27">
        <f>SUM(J9)-2.2</f>
        <v>38.799999999999997</v>
      </c>
      <c r="J9" s="43">
        <v>41</v>
      </c>
      <c r="K9" s="45">
        <f>SUM(J9)+2.2</f>
        <v>43.2</v>
      </c>
      <c r="L9" s="45">
        <f>SUM(K9)+2.2</f>
        <v>45.400000000000006</v>
      </c>
      <c r="M9" s="207">
        <f>SUM(L9)+2.2</f>
        <v>47.600000000000009</v>
      </c>
      <c r="N9" s="29">
        <f>SUM(M9)+2.2</f>
        <v>49.800000000000011</v>
      </c>
    </row>
    <row r="10" spans="1:14" s="1" customFormat="1" ht="14.1" customHeight="1">
      <c r="A10" s="53"/>
      <c r="B10" s="57" t="s">
        <v>112</v>
      </c>
      <c r="C10" s="58"/>
      <c r="D10" s="49" t="s">
        <v>374</v>
      </c>
      <c r="E10" s="50"/>
      <c r="F10" s="50"/>
      <c r="G10" s="51"/>
      <c r="H10" s="46"/>
      <c r="I10" s="46"/>
      <c r="J10" s="44"/>
      <c r="K10" s="46"/>
      <c r="L10" s="46"/>
      <c r="M10" s="57"/>
      <c r="N10" s="132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SUM(I11)-4.5</f>
        <v>59</v>
      </c>
      <c r="I11" s="27">
        <f>SUM(J11)-4.5</f>
        <v>63.5</v>
      </c>
      <c r="J11" s="43">
        <v>68</v>
      </c>
      <c r="K11" s="45">
        <f>SUM(J11)+4.5</f>
        <v>72.5</v>
      </c>
      <c r="L11" s="45">
        <f>SUM(K11)+4.5</f>
        <v>77</v>
      </c>
      <c r="M11" s="63">
        <f>SUM(L11)+4.5</f>
        <v>81.5</v>
      </c>
      <c r="N11" s="151">
        <f>SUM(M11)+4.5</f>
        <v>86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57"/>
      <c r="N12" s="132"/>
    </row>
    <row r="13" spans="1:14" s="1" customFormat="1" ht="14.1" customHeight="1">
      <c r="A13" s="52">
        <v>6</v>
      </c>
      <c r="B13" s="36" t="s">
        <v>11</v>
      </c>
      <c r="C13" s="37"/>
      <c r="D13" s="76" t="s">
        <v>333</v>
      </c>
      <c r="E13" s="77"/>
      <c r="F13" s="77"/>
      <c r="G13" s="78"/>
      <c r="H13" s="98">
        <f>SUM(I13)-5</f>
        <v>65</v>
      </c>
      <c r="I13" s="27">
        <f>SUM(J13)-5</f>
        <v>70</v>
      </c>
      <c r="J13" s="41">
        <v>75</v>
      </c>
      <c r="K13" s="27">
        <f>SUM(J13)+5</f>
        <v>80</v>
      </c>
      <c r="L13" s="27">
        <f>SUM(K13)+5</f>
        <v>85</v>
      </c>
      <c r="M13" s="207">
        <f>SUM(L13)+5</f>
        <v>90</v>
      </c>
      <c r="N13" s="29">
        <f>SUM(M13)+5</f>
        <v>95</v>
      </c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75"/>
      <c r="I14" s="46"/>
      <c r="J14" s="44"/>
      <c r="K14" s="46"/>
      <c r="L14" s="46"/>
      <c r="M14" s="57"/>
      <c r="N14" s="132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98">
        <f>SUM(I15)-0.7</f>
        <v>9.1000000000000014</v>
      </c>
      <c r="I15" s="27">
        <f>SUM(J15)-0.7</f>
        <v>9.8000000000000007</v>
      </c>
      <c r="J15" s="41">
        <v>10.5</v>
      </c>
      <c r="K15" s="27">
        <f>SUM(J15)+0.7</f>
        <v>11.2</v>
      </c>
      <c r="L15" s="27">
        <f>SUM(K15)+0.7</f>
        <v>11.899999999999999</v>
      </c>
      <c r="M15" s="36">
        <f>SUM(L15)+0.7</f>
        <v>12.599999999999998</v>
      </c>
      <c r="N15" s="29">
        <f>SUM(M15)+0.7</f>
        <v>13.299999999999997</v>
      </c>
    </row>
    <row r="16" spans="1:14" s="1" customFormat="1" ht="14.1" customHeight="1">
      <c r="A16" s="53"/>
      <c r="B16" s="57" t="s">
        <v>100</v>
      </c>
      <c r="C16" s="58"/>
      <c r="D16" s="82" t="s">
        <v>132</v>
      </c>
      <c r="E16" s="83"/>
      <c r="F16" s="83"/>
      <c r="G16" s="84"/>
      <c r="H16" s="75"/>
      <c r="I16" s="46"/>
      <c r="J16" s="44"/>
      <c r="K16" s="46"/>
      <c r="L16" s="46"/>
      <c r="M16" s="127"/>
      <c r="N16" s="132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>
        <f>SUM(I17)-0.7</f>
        <v>9.1000000000000014</v>
      </c>
      <c r="I17" s="27">
        <f>SUM(J17)-0.7</f>
        <v>9.8000000000000007</v>
      </c>
      <c r="J17" s="41">
        <v>10.5</v>
      </c>
      <c r="K17" s="27">
        <f>SUM(J17)+0.7</f>
        <v>11.2</v>
      </c>
      <c r="L17" s="27">
        <f>SUM(K17)+0.7</f>
        <v>11.899999999999999</v>
      </c>
      <c r="M17" s="36">
        <f>SUM(L17)+0.7</f>
        <v>12.599999999999998</v>
      </c>
      <c r="N17" s="29">
        <f>SUM(M17)+0.7</f>
        <v>13.299999999999997</v>
      </c>
    </row>
    <row r="18" spans="1:14" s="1" customFormat="1" ht="14.1" customHeight="1">
      <c r="A18" s="53"/>
      <c r="B18" s="57" t="s">
        <v>120</v>
      </c>
      <c r="C18" s="58"/>
      <c r="D18" s="82" t="s">
        <v>121</v>
      </c>
      <c r="E18" s="83"/>
      <c r="F18" s="83"/>
      <c r="G18" s="84"/>
      <c r="H18" s="75"/>
      <c r="I18" s="46"/>
      <c r="J18" s="44"/>
      <c r="K18" s="46"/>
      <c r="L18" s="46"/>
      <c r="M18" s="127"/>
      <c r="N18" s="132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>
        <f>SUM(I19)-0</f>
        <v>2.8</v>
      </c>
      <c r="I19" s="27">
        <f>SUM(J19)-0</f>
        <v>2.8</v>
      </c>
      <c r="J19" s="41">
        <v>2.8</v>
      </c>
      <c r="K19" s="27">
        <f>SUM(J19)+0.5</f>
        <v>3.3</v>
      </c>
      <c r="L19" s="27">
        <f>SUM(K19)+0</f>
        <v>3.3</v>
      </c>
      <c r="M19" s="207">
        <f>SUM(L19)+0</f>
        <v>3.3</v>
      </c>
      <c r="N19" s="29">
        <f>SUM(M19)+0</f>
        <v>3.3</v>
      </c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57"/>
      <c r="N20" s="132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50</v>
      </c>
      <c r="I21" s="27">
        <f>SUM(J21)-7</f>
        <v>57</v>
      </c>
      <c r="J21" s="41">
        <v>64</v>
      </c>
      <c r="K21" s="27">
        <f>SUM(J21)+6</f>
        <v>70</v>
      </c>
      <c r="L21" s="27">
        <f>SUM(K21)+6</f>
        <v>76</v>
      </c>
      <c r="M21" s="207">
        <f>SUM(L21)+6</f>
        <v>82</v>
      </c>
      <c r="N21" s="29">
        <f>SUM(M21)+6</f>
        <v>88</v>
      </c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57"/>
      <c r="N22" s="132"/>
    </row>
    <row r="23" spans="1:14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SUM(I23)-2.2</f>
        <v>39.599999999999994</v>
      </c>
      <c r="I23" s="27">
        <f>SUM(J23)-2.2</f>
        <v>41.8</v>
      </c>
      <c r="J23" s="41">
        <v>44</v>
      </c>
      <c r="K23" s="27">
        <f>SUM(J23)+2.2</f>
        <v>46.2</v>
      </c>
      <c r="L23" s="27">
        <f>SUM(K23)+2.2</f>
        <v>48.400000000000006</v>
      </c>
      <c r="M23" s="207">
        <f>SUM(L23)+2.2</f>
        <v>50.600000000000009</v>
      </c>
      <c r="N23" s="29">
        <f>SUM(M23)+2.2</f>
        <v>52.800000000000011</v>
      </c>
    </row>
    <row r="24" spans="1:14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57"/>
      <c r="N24" s="132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20.799999999999997</v>
      </c>
      <c r="I25" s="27">
        <f>SUM(J25)-1.1</f>
        <v>21.9</v>
      </c>
      <c r="J25" s="41">
        <v>23</v>
      </c>
      <c r="K25" s="27">
        <f>SUM(J25)+1.6</f>
        <v>24.6</v>
      </c>
      <c r="L25" s="27">
        <f>SUM(K25)+1.1</f>
        <v>25.700000000000003</v>
      </c>
      <c r="M25" s="36">
        <f>SUM(L25)+1.1</f>
        <v>26.800000000000004</v>
      </c>
      <c r="N25" s="29">
        <f>SUM(M25)+1.1</f>
        <v>27.900000000000006</v>
      </c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127"/>
      <c r="N26" s="132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27.4</v>
      </c>
      <c r="I27" s="27">
        <f>SUM(J27)-1.3</f>
        <v>28.7</v>
      </c>
      <c r="J27" s="41">
        <v>30</v>
      </c>
      <c r="K27" s="27">
        <f>SUM(J27)+1.8</f>
        <v>31.8</v>
      </c>
      <c r="L27" s="27">
        <f>SUM(K27)+1.3</f>
        <v>33.1</v>
      </c>
      <c r="M27" s="36">
        <f>SUM(L27)+1.3</f>
        <v>34.4</v>
      </c>
      <c r="N27" s="29">
        <f>SUM(M27)+1.3</f>
        <v>35.699999999999996</v>
      </c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127"/>
      <c r="N28" s="132"/>
    </row>
    <row r="29" spans="1:14" s="1" customFormat="1" ht="14.1" customHeight="1">
      <c r="A29" s="52">
        <v>14</v>
      </c>
      <c r="B29" s="36" t="s">
        <v>18</v>
      </c>
      <c r="C29" s="37"/>
      <c r="D29" s="76" t="s">
        <v>19</v>
      </c>
      <c r="E29" s="77"/>
      <c r="F29" s="77"/>
      <c r="G29" s="78"/>
      <c r="H29" s="27"/>
      <c r="I29" s="27"/>
      <c r="J29" s="41"/>
      <c r="K29" s="27"/>
      <c r="L29" s="27"/>
      <c r="M29" s="207"/>
      <c r="N29" s="29"/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57"/>
      <c r="N30" s="132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27"/>
      <c r="I31" s="27"/>
      <c r="J31" s="41"/>
      <c r="K31" s="27"/>
      <c r="L31" s="27"/>
      <c r="M31" s="207"/>
      <c r="N31" s="29"/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46"/>
      <c r="I32" s="46"/>
      <c r="J32" s="44"/>
      <c r="K32" s="46"/>
      <c r="L32" s="46"/>
      <c r="M32" s="57"/>
      <c r="N32" s="132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98"/>
      <c r="I33" s="27"/>
      <c r="J33" s="41"/>
      <c r="K33" s="27"/>
      <c r="L33" s="27"/>
      <c r="M33" s="36"/>
      <c r="N33" s="29"/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75"/>
      <c r="I34" s="46"/>
      <c r="J34" s="44"/>
      <c r="K34" s="46"/>
      <c r="L34" s="46"/>
      <c r="M34" s="127"/>
      <c r="N34" s="132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/>
      <c r="I35" s="27"/>
      <c r="J35" s="125"/>
      <c r="K35" s="114"/>
      <c r="L35" s="114"/>
      <c r="M35" s="208"/>
      <c r="N35" s="116"/>
    </row>
    <row r="36" spans="1:14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125"/>
      <c r="K36" s="114"/>
      <c r="L36" s="114"/>
      <c r="M36" s="208"/>
      <c r="N36" s="116"/>
    </row>
    <row r="37" spans="1:14" s="1" customFormat="1" ht="14.1" customHeight="1">
      <c r="A37" s="52">
        <v>18</v>
      </c>
      <c r="B37" s="36" t="s">
        <v>99</v>
      </c>
      <c r="C37" s="37"/>
      <c r="D37" s="76" t="s">
        <v>22</v>
      </c>
      <c r="E37" s="77"/>
      <c r="F37" s="77"/>
      <c r="G37" s="78"/>
      <c r="H37" s="27">
        <f>SUM(I37)-0.5</f>
        <v>7</v>
      </c>
      <c r="I37" s="27">
        <f>SUM(J37)-0.5</f>
        <v>7.5</v>
      </c>
      <c r="J37" s="125">
        <v>8</v>
      </c>
      <c r="K37" s="114">
        <f>SUM(J37)+0.5</f>
        <v>8.5</v>
      </c>
      <c r="L37" s="114">
        <f>SUM(K37)+0.5</f>
        <v>9</v>
      </c>
      <c r="M37" s="208">
        <f>SUM(L37)+0.5</f>
        <v>9.5</v>
      </c>
      <c r="N37" s="116">
        <f>SUM(M37)+0.5</f>
        <v>10</v>
      </c>
    </row>
    <row r="38" spans="1:14" s="1" customFormat="1" ht="14.1" customHeight="1">
      <c r="A38" s="53"/>
      <c r="B38" s="57" t="s">
        <v>52</v>
      </c>
      <c r="C38" s="58"/>
      <c r="D38" s="59" t="s">
        <v>98</v>
      </c>
      <c r="E38" s="60"/>
      <c r="F38" s="60"/>
      <c r="G38" s="61"/>
      <c r="H38" s="46"/>
      <c r="I38" s="46"/>
      <c r="J38" s="125"/>
      <c r="K38" s="114"/>
      <c r="L38" s="114"/>
      <c r="M38" s="208"/>
      <c r="N38" s="116"/>
    </row>
    <row r="39" spans="1:14" s="1" customFormat="1" ht="14.1" customHeight="1">
      <c r="A39" s="52">
        <v>19</v>
      </c>
      <c r="B39" s="36" t="s">
        <v>97</v>
      </c>
      <c r="C39" s="37"/>
      <c r="D39" s="76" t="s">
        <v>23</v>
      </c>
      <c r="E39" s="77"/>
      <c r="F39" s="77"/>
      <c r="G39" s="78"/>
      <c r="H39" s="27">
        <f>SUM(I39)-0.3</f>
        <v>5.9</v>
      </c>
      <c r="I39" s="27">
        <f>SUM(J39)-0.3</f>
        <v>6.2</v>
      </c>
      <c r="J39" s="41">
        <v>6.5</v>
      </c>
      <c r="K39" s="27">
        <f>SUM(J39)+0.3</f>
        <v>6.8</v>
      </c>
      <c r="L39" s="27">
        <f>SUM(K39)+0.3</f>
        <v>7.1</v>
      </c>
      <c r="M39" s="207">
        <f>SUM(L39)+0.3</f>
        <v>7.3999999999999995</v>
      </c>
      <c r="N39" s="29">
        <f>SUM(M39)+0.3</f>
        <v>7.6999999999999993</v>
      </c>
    </row>
    <row r="40" spans="1:14" s="1" customFormat="1" ht="14.1" customHeight="1">
      <c r="A40" s="53"/>
      <c r="B40" s="57" t="s">
        <v>51</v>
      </c>
      <c r="C40" s="58"/>
      <c r="D40" s="59" t="s">
        <v>96</v>
      </c>
      <c r="E40" s="60"/>
      <c r="F40" s="60"/>
      <c r="G40" s="61"/>
      <c r="H40" s="46"/>
      <c r="I40" s="46"/>
      <c r="J40" s="44"/>
      <c r="K40" s="46"/>
      <c r="L40" s="46"/>
      <c r="M40" s="57"/>
      <c r="N40" s="132"/>
    </row>
    <row r="41" spans="1:14" s="1" customFormat="1" ht="14.1" customHeight="1">
      <c r="A41" s="52">
        <v>20</v>
      </c>
      <c r="B41" s="36" t="s">
        <v>379</v>
      </c>
      <c r="C41" s="37"/>
      <c r="D41" s="124"/>
      <c r="E41" s="124"/>
      <c r="F41" s="124"/>
      <c r="G41" s="124"/>
      <c r="H41" s="27">
        <f>SUM(I41)-0.5</f>
        <v>11</v>
      </c>
      <c r="I41" s="27">
        <f>SUM(J41)-0.5</f>
        <v>11.5</v>
      </c>
      <c r="J41" s="41">
        <v>12</v>
      </c>
      <c r="K41" s="27">
        <f>SUM(J41)+0.5</f>
        <v>12.5</v>
      </c>
      <c r="L41" s="27">
        <f>SUM(K41)+0.5</f>
        <v>13</v>
      </c>
      <c r="M41" s="207">
        <f>SUM(L41)+0.5</f>
        <v>13.5</v>
      </c>
      <c r="N41" s="29">
        <f>SUM(M41)+0.5</f>
        <v>14</v>
      </c>
    </row>
    <row r="42" spans="1:14" s="1" customFormat="1" ht="14.1" customHeight="1">
      <c r="A42" s="53"/>
      <c r="B42" s="127" t="s">
        <v>380</v>
      </c>
      <c r="C42" s="128"/>
      <c r="D42" s="79"/>
      <c r="E42" s="80"/>
      <c r="F42" s="80"/>
      <c r="G42" s="81"/>
      <c r="H42" s="46"/>
      <c r="I42" s="46"/>
      <c r="J42" s="44"/>
      <c r="K42" s="46"/>
      <c r="L42" s="46"/>
      <c r="M42" s="57"/>
      <c r="N42" s="132"/>
    </row>
    <row r="43" spans="1:14" s="1" customFormat="1" ht="14.1" customHeight="1">
      <c r="A43" s="52">
        <v>21</v>
      </c>
      <c r="B43" s="36" t="s">
        <v>381</v>
      </c>
      <c r="C43" s="37"/>
      <c r="D43" s="124"/>
      <c r="E43" s="124"/>
      <c r="F43" s="124"/>
      <c r="G43" s="124"/>
      <c r="H43" s="27">
        <f>SUM(I43)-0.5</f>
        <v>11.5</v>
      </c>
      <c r="I43" s="27">
        <f>SUM(J43)-0.5</f>
        <v>12</v>
      </c>
      <c r="J43" s="41">
        <v>12.5</v>
      </c>
      <c r="K43" s="27">
        <f>SUM(J43)+0.5</f>
        <v>13</v>
      </c>
      <c r="L43" s="27">
        <f>SUM(K43)+0.5</f>
        <v>13.5</v>
      </c>
      <c r="M43" s="207">
        <f>SUM(L43)+0.5</f>
        <v>14</v>
      </c>
      <c r="N43" s="29">
        <f>SUM(M43)+0.5</f>
        <v>14.5</v>
      </c>
    </row>
    <row r="44" spans="1:14" s="1" customFormat="1" ht="14.1" customHeight="1">
      <c r="A44" s="53"/>
      <c r="B44" s="127" t="s">
        <v>382</v>
      </c>
      <c r="C44" s="128"/>
      <c r="D44" s="102"/>
      <c r="E44" s="103"/>
      <c r="F44" s="103"/>
      <c r="G44" s="104"/>
      <c r="H44" s="45"/>
      <c r="I44" s="45"/>
      <c r="J44" s="43"/>
      <c r="K44" s="45"/>
      <c r="L44" s="45"/>
      <c r="M44" s="63"/>
      <c r="N44" s="151"/>
    </row>
    <row r="45" spans="1:14" s="1" customFormat="1" ht="14.1" customHeight="1">
      <c r="A45" s="52">
        <v>22</v>
      </c>
      <c r="B45" s="36" t="s">
        <v>95</v>
      </c>
      <c r="C45" s="37"/>
      <c r="D45" s="124"/>
      <c r="E45" s="124"/>
      <c r="F45" s="124"/>
      <c r="G45" s="124"/>
      <c r="H45" s="27">
        <f>SUM(I45)-0.5</f>
        <v>10.5</v>
      </c>
      <c r="I45" s="27">
        <f>SUM(J45)-0.5</f>
        <v>11</v>
      </c>
      <c r="J45" s="41">
        <v>11.5</v>
      </c>
      <c r="K45" s="27">
        <f>SUM(J45)+0.5</f>
        <v>12</v>
      </c>
      <c r="L45" s="27">
        <f>SUM(K45)+0.5</f>
        <v>12.5</v>
      </c>
      <c r="M45" s="207">
        <f>SUM(L45)+0.5</f>
        <v>13</v>
      </c>
      <c r="N45" s="29">
        <f>SUM(M45)+0.5</f>
        <v>13.5</v>
      </c>
    </row>
    <row r="46" spans="1:14" ht="14.1" customHeight="1">
      <c r="A46" s="53"/>
      <c r="B46" s="127" t="s">
        <v>94</v>
      </c>
      <c r="C46" s="128"/>
      <c r="D46" s="79"/>
      <c r="E46" s="80"/>
      <c r="F46" s="80"/>
      <c r="G46" s="81"/>
      <c r="H46" s="46"/>
      <c r="I46" s="46"/>
      <c r="J46" s="44"/>
      <c r="K46" s="46"/>
      <c r="L46" s="46"/>
      <c r="M46" s="57"/>
      <c r="N46" s="132"/>
    </row>
    <row r="47" spans="1:14" ht="14.1" customHeight="1">
      <c r="A47" s="52">
        <v>23</v>
      </c>
      <c r="B47" s="36" t="s">
        <v>93</v>
      </c>
      <c r="C47" s="37"/>
      <c r="D47" s="124"/>
      <c r="E47" s="124"/>
      <c r="F47" s="124"/>
      <c r="G47" s="124"/>
      <c r="H47" s="27">
        <f>SUM(I47)-0.5</f>
        <v>11</v>
      </c>
      <c r="I47" s="27">
        <f>SUM(J47)-0.5</f>
        <v>11.5</v>
      </c>
      <c r="J47" s="41">
        <v>12</v>
      </c>
      <c r="K47" s="27">
        <f>SUM(J47)+0.5</f>
        <v>12.5</v>
      </c>
      <c r="L47" s="27">
        <f>SUM(K47)+0.5</f>
        <v>13</v>
      </c>
      <c r="M47" s="207">
        <f>SUM(L47)+0.5</f>
        <v>13.5</v>
      </c>
      <c r="N47" s="29">
        <f>SUM(M47)+0.5</f>
        <v>14</v>
      </c>
    </row>
    <row r="48" spans="1:14" ht="14.1" customHeight="1">
      <c r="A48" s="53"/>
      <c r="B48" s="153" t="s">
        <v>92</v>
      </c>
      <c r="C48" s="153"/>
      <c r="D48" s="102"/>
      <c r="E48" s="103"/>
      <c r="F48" s="103"/>
      <c r="G48" s="104"/>
      <c r="H48" s="45"/>
      <c r="I48" s="45"/>
      <c r="J48" s="43"/>
      <c r="K48" s="45"/>
      <c r="L48" s="45"/>
      <c r="M48" s="63"/>
      <c r="N48" s="151"/>
    </row>
    <row r="49" spans="1:14" ht="14.1" customHeight="1">
      <c r="A49" s="52">
        <v>24</v>
      </c>
      <c r="B49" s="36"/>
      <c r="C49" s="37"/>
      <c r="D49" s="124"/>
      <c r="E49" s="124"/>
      <c r="F49" s="124"/>
      <c r="G49" s="124"/>
      <c r="H49" s="27"/>
      <c r="I49" s="27"/>
      <c r="J49" s="41"/>
      <c r="K49" s="27"/>
      <c r="L49" s="27"/>
      <c r="M49" s="207"/>
      <c r="N49" s="29"/>
    </row>
    <row r="50" spans="1:14" ht="14.1" customHeight="1">
      <c r="A50" s="52"/>
      <c r="B50" s="153"/>
      <c r="C50" s="153"/>
      <c r="D50" s="102"/>
      <c r="E50" s="103"/>
      <c r="F50" s="103"/>
      <c r="G50" s="104"/>
      <c r="H50" s="45"/>
      <c r="I50" s="45"/>
      <c r="J50" s="43"/>
      <c r="K50" s="45"/>
      <c r="L50" s="45"/>
      <c r="M50" s="63"/>
      <c r="N50" s="151"/>
    </row>
    <row r="51" spans="1:14" ht="14.1" customHeight="1">
      <c r="A51" s="34">
        <v>25</v>
      </c>
      <c r="B51" s="36"/>
      <c r="C51" s="37"/>
      <c r="D51" s="124"/>
      <c r="E51" s="124"/>
      <c r="F51" s="124"/>
      <c r="G51" s="124"/>
      <c r="H51" s="27"/>
      <c r="I51" s="27"/>
      <c r="J51" s="41"/>
      <c r="K51" s="27"/>
      <c r="L51" s="27"/>
      <c r="M51" s="207"/>
      <c r="N51" s="29"/>
    </row>
    <row r="52" spans="1:14" ht="13.5" customHeight="1" thickBot="1">
      <c r="A52" s="35"/>
      <c r="B52" s="118"/>
      <c r="C52" s="118"/>
      <c r="D52" s="119"/>
      <c r="E52" s="120"/>
      <c r="F52" s="120"/>
      <c r="G52" s="121"/>
      <c r="H52" s="28"/>
      <c r="I52" s="28"/>
      <c r="J52" s="42"/>
      <c r="K52" s="28"/>
      <c r="L52" s="28"/>
      <c r="M52" s="109"/>
      <c r="N52" s="30"/>
    </row>
  </sheetData>
  <mergeCells count="303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05AF-C7DE-4152-866A-01ACA81BFF29}">
  <sheetPr codeName="Sheet51">
    <tabColor theme="5"/>
    <pageSetUpPr fitToPage="1"/>
  </sheetPr>
  <dimension ref="A1:N52"/>
  <sheetViews>
    <sheetView topLeftCell="A13" zoomScale="110" zoomScaleNormal="110" workbookViewId="0">
      <selection activeCell="Q20" sqref="Q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441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6">
        <f>SUM(L3)+3</f>
        <v>60</v>
      </c>
      <c r="N3" s="193">
        <f>SUM(M3)+3</f>
        <v>63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6"/>
      <c r="N4" s="173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98"/>
      <c r="I5" s="27"/>
      <c r="J5" s="43"/>
      <c r="K5" s="45"/>
      <c r="L5" s="45"/>
      <c r="M5" s="45"/>
      <c r="N5" s="189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75"/>
      <c r="I6" s="46"/>
      <c r="J6" s="44"/>
      <c r="K6" s="46"/>
      <c r="L6" s="46"/>
      <c r="M6" s="46"/>
      <c r="N6" s="173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98"/>
      <c r="I7" s="27"/>
      <c r="J7" s="43"/>
      <c r="K7" s="45"/>
      <c r="L7" s="45"/>
      <c r="M7" s="45"/>
      <c r="N7" s="189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75"/>
      <c r="I8" s="46"/>
      <c r="J8" s="44"/>
      <c r="K8" s="46"/>
      <c r="L8" s="46"/>
      <c r="M8" s="46"/>
      <c r="N8" s="173"/>
    </row>
    <row r="9" spans="1:14" s="1" customFormat="1" ht="14.1" customHeight="1">
      <c r="A9" s="52">
        <v>4</v>
      </c>
      <c r="B9" s="36" t="s">
        <v>113</v>
      </c>
      <c r="C9" s="37"/>
      <c r="D9" s="198" t="s">
        <v>373</v>
      </c>
      <c r="E9" s="199"/>
      <c r="F9" s="199"/>
      <c r="G9" s="200"/>
      <c r="H9" s="27">
        <f>SUM(I9)-2.2</f>
        <v>36.599999999999994</v>
      </c>
      <c r="I9" s="27">
        <f>SUM(J9)-2.2</f>
        <v>38.799999999999997</v>
      </c>
      <c r="J9" s="43">
        <v>41</v>
      </c>
      <c r="K9" s="45">
        <f>SUM(J9)+2.2</f>
        <v>43.2</v>
      </c>
      <c r="L9" s="45">
        <f>SUM(K9)+2.2</f>
        <v>45.400000000000006</v>
      </c>
      <c r="M9" s="45">
        <f>SUM(L9)+2.2</f>
        <v>47.600000000000009</v>
      </c>
      <c r="N9" s="47">
        <f>SUM(M9)+2.2</f>
        <v>49.800000000000011</v>
      </c>
    </row>
    <row r="10" spans="1:14" s="1" customFormat="1" ht="14.1" customHeight="1">
      <c r="A10" s="53"/>
      <c r="B10" s="57" t="s">
        <v>112</v>
      </c>
      <c r="C10" s="58"/>
      <c r="D10" s="49" t="s">
        <v>374</v>
      </c>
      <c r="E10" s="50"/>
      <c r="F10" s="50"/>
      <c r="G10" s="51"/>
      <c r="H10" s="46"/>
      <c r="I10" s="46"/>
      <c r="J10" s="44"/>
      <c r="K10" s="46"/>
      <c r="L10" s="46"/>
      <c r="M10" s="46"/>
      <c r="N10" s="48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SUM(I11)-4.5</f>
        <v>59</v>
      </c>
      <c r="I11" s="27">
        <f>SUM(J11)-4.5</f>
        <v>63.5</v>
      </c>
      <c r="J11" s="43">
        <v>68</v>
      </c>
      <c r="K11" s="45">
        <f>SUM(J11)+4.5</f>
        <v>72.5</v>
      </c>
      <c r="L11" s="45">
        <f>SUM(K11)+4.5</f>
        <v>77</v>
      </c>
      <c r="M11" s="45">
        <f>SUM(L11)+4.5</f>
        <v>81.5</v>
      </c>
      <c r="N11" s="189">
        <f>SUM(M11)+4.5</f>
        <v>86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46"/>
      <c r="N12" s="173"/>
    </row>
    <row r="13" spans="1:14" s="1" customFormat="1" ht="14.1" customHeight="1">
      <c r="A13" s="52">
        <v>6</v>
      </c>
      <c r="B13" s="36" t="s">
        <v>11</v>
      </c>
      <c r="C13" s="37"/>
      <c r="D13" s="76" t="s">
        <v>333</v>
      </c>
      <c r="E13" s="77"/>
      <c r="F13" s="77"/>
      <c r="G13" s="78"/>
      <c r="H13" s="98">
        <f>SUM(I13)-5</f>
        <v>64</v>
      </c>
      <c r="I13" s="27">
        <f>SUM(J13)-5</f>
        <v>69</v>
      </c>
      <c r="J13" s="41">
        <v>74</v>
      </c>
      <c r="K13" s="27">
        <f>SUM(J13)+5</f>
        <v>79</v>
      </c>
      <c r="L13" s="27">
        <f>SUM(K13)+5</f>
        <v>84</v>
      </c>
      <c r="M13" s="27">
        <f>SUM(L13)+5</f>
        <v>89</v>
      </c>
      <c r="N13" s="172">
        <f>SUM(M13)+5</f>
        <v>94</v>
      </c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75"/>
      <c r="I14" s="46"/>
      <c r="J14" s="44"/>
      <c r="K14" s="46"/>
      <c r="L14" s="46"/>
      <c r="M14" s="46"/>
      <c r="N14" s="173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98">
        <f>SUM(I15)-0.7</f>
        <v>9.1000000000000014</v>
      </c>
      <c r="I15" s="27">
        <f>SUM(J15)-0.7</f>
        <v>9.8000000000000007</v>
      </c>
      <c r="J15" s="41">
        <v>10.5</v>
      </c>
      <c r="K15" s="27">
        <f>SUM(J15)+0.7</f>
        <v>11.2</v>
      </c>
      <c r="L15" s="27">
        <f>SUM(K15)+0.7</f>
        <v>11.899999999999999</v>
      </c>
      <c r="M15" s="98">
        <f>SUM(L15)+0.7</f>
        <v>12.599999999999998</v>
      </c>
      <c r="N15" s="191">
        <f>SUM(M15)+0.7</f>
        <v>13.299999999999997</v>
      </c>
    </row>
    <row r="16" spans="1:14" s="1" customFormat="1" ht="14.1" customHeight="1">
      <c r="A16" s="53"/>
      <c r="B16" s="57" t="s">
        <v>100</v>
      </c>
      <c r="C16" s="58"/>
      <c r="D16" s="82" t="s">
        <v>132</v>
      </c>
      <c r="E16" s="83"/>
      <c r="F16" s="83"/>
      <c r="G16" s="84"/>
      <c r="H16" s="75"/>
      <c r="I16" s="46"/>
      <c r="J16" s="44"/>
      <c r="K16" s="46"/>
      <c r="L16" s="46"/>
      <c r="M16" s="75"/>
      <c r="N16" s="192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>
        <f>SUM(I17)-0.7</f>
        <v>9.1000000000000014</v>
      </c>
      <c r="I17" s="27">
        <f>SUM(J17)-0.7</f>
        <v>9.8000000000000007</v>
      </c>
      <c r="J17" s="41">
        <v>10.5</v>
      </c>
      <c r="K17" s="27">
        <f>SUM(J17)+0.7</f>
        <v>11.2</v>
      </c>
      <c r="L17" s="27">
        <f>SUM(K17)+0.7</f>
        <v>11.899999999999999</v>
      </c>
      <c r="M17" s="98">
        <f>SUM(L17)+0.7</f>
        <v>12.599999999999998</v>
      </c>
      <c r="N17" s="191">
        <f>SUM(M17)+0.7</f>
        <v>13.299999999999997</v>
      </c>
    </row>
    <row r="18" spans="1:14" s="1" customFormat="1" ht="14.1" customHeight="1">
      <c r="A18" s="53"/>
      <c r="B18" s="57" t="s">
        <v>120</v>
      </c>
      <c r="C18" s="58"/>
      <c r="D18" s="82" t="s">
        <v>121</v>
      </c>
      <c r="E18" s="83"/>
      <c r="F18" s="83"/>
      <c r="G18" s="84"/>
      <c r="H18" s="75"/>
      <c r="I18" s="46"/>
      <c r="J18" s="44"/>
      <c r="K18" s="46"/>
      <c r="L18" s="46"/>
      <c r="M18" s="75"/>
      <c r="N18" s="192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>
        <f>SUM(I19)-0</f>
        <v>2.8</v>
      </c>
      <c r="I19" s="27">
        <f>SUM(J19)-0</f>
        <v>2.8</v>
      </c>
      <c r="J19" s="41">
        <v>2.8</v>
      </c>
      <c r="K19" s="27">
        <f>SUM(J19)+0.5</f>
        <v>3.3</v>
      </c>
      <c r="L19" s="27">
        <f>SUM(K19)+0</f>
        <v>3.3</v>
      </c>
      <c r="M19" s="27">
        <f>SUM(L19)+0</f>
        <v>3.3</v>
      </c>
      <c r="N19" s="62">
        <f>SUM(M19)+0</f>
        <v>3.3</v>
      </c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6"/>
      <c r="N20" s="48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52</v>
      </c>
      <c r="I21" s="27">
        <f>SUM(J21)-7</f>
        <v>59</v>
      </c>
      <c r="J21" s="41">
        <v>66</v>
      </c>
      <c r="K21" s="27">
        <f>SUM(J21)+6</f>
        <v>72</v>
      </c>
      <c r="L21" s="27">
        <f>SUM(K21)+6</f>
        <v>78</v>
      </c>
      <c r="M21" s="27">
        <f>SUM(L21)+6</f>
        <v>84</v>
      </c>
      <c r="N21" s="62">
        <f>SUM(M21)+6</f>
        <v>90</v>
      </c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6"/>
      <c r="N22" s="48"/>
    </row>
    <row r="23" spans="1:14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SUM(I23)-2.2</f>
        <v>37.599999999999994</v>
      </c>
      <c r="I23" s="27">
        <f>SUM(J23)-2.2</f>
        <v>39.799999999999997</v>
      </c>
      <c r="J23" s="41">
        <v>42</v>
      </c>
      <c r="K23" s="27">
        <f>SUM(J23)+2.2</f>
        <v>44.2</v>
      </c>
      <c r="L23" s="27">
        <f>SUM(K23)+2.2</f>
        <v>46.400000000000006</v>
      </c>
      <c r="M23" s="27">
        <f>SUM(L23)+2.2</f>
        <v>48.600000000000009</v>
      </c>
      <c r="N23" s="62">
        <f>SUM(M23)+2.2</f>
        <v>50.800000000000011</v>
      </c>
    </row>
    <row r="24" spans="1:14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46"/>
      <c r="N24" s="48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20.799999999999997</v>
      </c>
      <c r="I25" s="27">
        <f>SUM(J25)-1.1</f>
        <v>21.9</v>
      </c>
      <c r="J25" s="41">
        <v>23</v>
      </c>
      <c r="K25" s="27">
        <f>SUM(J25)+1.6</f>
        <v>24.6</v>
      </c>
      <c r="L25" s="27">
        <f>SUM(K25)+1.1</f>
        <v>25.700000000000003</v>
      </c>
      <c r="M25" s="98">
        <f>SUM(L25)+1.1</f>
        <v>26.800000000000004</v>
      </c>
      <c r="N25" s="191">
        <f>SUM(M25)+1.1</f>
        <v>27.900000000000006</v>
      </c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75"/>
      <c r="N26" s="192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27.4</v>
      </c>
      <c r="I27" s="27">
        <f>SUM(J27)-1.3</f>
        <v>28.7</v>
      </c>
      <c r="J27" s="41">
        <v>30</v>
      </c>
      <c r="K27" s="27">
        <f>SUM(J27)+1.8</f>
        <v>31.8</v>
      </c>
      <c r="L27" s="27">
        <f>SUM(K27)+1.3</f>
        <v>33.1</v>
      </c>
      <c r="M27" s="98">
        <f>SUM(L27)+1.3</f>
        <v>34.4</v>
      </c>
      <c r="N27" s="191">
        <f>SUM(M27)+1.3</f>
        <v>35.699999999999996</v>
      </c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75"/>
      <c r="N28" s="192"/>
    </row>
    <row r="29" spans="1:14" s="1" customFormat="1" ht="14.1" customHeight="1">
      <c r="A29" s="52">
        <v>14</v>
      </c>
      <c r="B29" s="36" t="s">
        <v>18</v>
      </c>
      <c r="C29" s="37"/>
      <c r="D29" s="76" t="s">
        <v>19</v>
      </c>
      <c r="E29" s="77"/>
      <c r="F29" s="77"/>
      <c r="G29" s="78"/>
      <c r="H29" s="27"/>
      <c r="I29" s="27"/>
      <c r="J29" s="41"/>
      <c r="K29" s="27"/>
      <c r="L29" s="27"/>
      <c r="M29" s="27"/>
      <c r="N29" s="172"/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46"/>
      <c r="N30" s="173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27"/>
      <c r="I31" s="27"/>
      <c r="J31" s="41"/>
      <c r="K31" s="27"/>
      <c r="L31" s="27"/>
      <c r="M31" s="27"/>
      <c r="N31" s="62"/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46"/>
      <c r="I32" s="46"/>
      <c r="J32" s="44"/>
      <c r="K32" s="46"/>
      <c r="L32" s="46"/>
      <c r="M32" s="46"/>
      <c r="N32" s="48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98"/>
      <c r="I33" s="27"/>
      <c r="J33" s="41"/>
      <c r="K33" s="27"/>
      <c r="L33" s="27"/>
      <c r="M33" s="98"/>
      <c r="N33" s="191"/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75"/>
      <c r="I34" s="46"/>
      <c r="J34" s="44"/>
      <c r="K34" s="46"/>
      <c r="L34" s="46"/>
      <c r="M34" s="75"/>
      <c r="N34" s="192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/>
      <c r="I35" s="27"/>
      <c r="J35" s="41"/>
      <c r="K35" s="27"/>
      <c r="L35" s="27"/>
      <c r="M35" s="27"/>
      <c r="N35" s="172"/>
    </row>
    <row r="36" spans="1:14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44"/>
      <c r="K36" s="46"/>
      <c r="L36" s="46"/>
      <c r="M36" s="46"/>
      <c r="N36" s="173"/>
    </row>
    <row r="37" spans="1:14" s="1" customFormat="1" ht="14.1" customHeight="1">
      <c r="A37" s="52">
        <v>18</v>
      </c>
      <c r="B37" s="36" t="s">
        <v>99</v>
      </c>
      <c r="C37" s="37"/>
      <c r="D37" s="76" t="s">
        <v>22</v>
      </c>
      <c r="E37" s="77"/>
      <c r="F37" s="77"/>
      <c r="G37" s="78"/>
      <c r="H37" s="27">
        <f>SUM(I37)-0.5</f>
        <v>7</v>
      </c>
      <c r="I37" s="27">
        <f>SUM(J37)-0.5</f>
        <v>7.5</v>
      </c>
      <c r="J37" s="125">
        <v>8</v>
      </c>
      <c r="K37" s="114">
        <f>SUM(J37)+0.5</f>
        <v>8.5</v>
      </c>
      <c r="L37" s="114">
        <f>SUM(K37)+0.5</f>
        <v>9</v>
      </c>
      <c r="M37" s="114">
        <f>SUM(L37)+0.5</f>
        <v>9.5</v>
      </c>
      <c r="N37" s="162">
        <f>SUM(M37)+0.5</f>
        <v>10</v>
      </c>
    </row>
    <row r="38" spans="1:14" s="1" customFormat="1" ht="14.1" customHeight="1">
      <c r="A38" s="53"/>
      <c r="B38" s="57" t="s">
        <v>52</v>
      </c>
      <c r="C38" s="58"/>
      <c r="D38" s="59" t="s">
        <v>98</v>
      </c>
      <c r="E38" s="60"/>
      <c r="F38" s="60"/>
      <c r="G38" s="61"/>
      <c r="H38" s="46"/>
      <c r="I38" s="46"/>
      <c r="J38" s="125"/>
      <c r="K38" s="114"/>
      <c r="L38" s="114"/>
      <c r="M38" s="114"/>
      <c r="N38" s="162"/>
    </row>
    <row r="39" spans="1:14" s="1" customFormat="1" ht="14.1" customHeight="1">
      <c r="A39" s="52">
        <v>19</v>
      </c>
      <c r="B39" s="36" t="s">
        <v>97</v>
      </c>
      <c r="C39" s="37"/>
      <c r="D39" s="76" t="s">
        <v>23</v>
      </c>
      <c r="E39" s="77"/>
      <c r="F39" s="77"/>
      <c r="G39" s="78"/>
      <c r="H39" s="27">
        <f>SUM(I39)-0.3</f>
        <v>5.9</v>
      </c>
      <c r="I39" s="27">
        <f>SUM(J39)-0.3</f>
        <v>6.2</v>
      </c>
      <c r="J39" s="41">
        <v>6.5</v>
      </c>
      <c r="K39" s="27">
        <f>SUM(J39)+0.3</f>
        <v>6.8</v>
      </c>
      <c r="L39" s="27">
        <f>SUM(K39)+0.3</f>
        <v>7.1</v>
      </c>
      <c r="M39" s="27">
        <f>SUM(L39)+0.3</f>
        <v>7.3999999999999995</v>
      </c>
      <c r="N39" s="62">
        <f>SUM(M39)+0.3</f>
        <v>7.6999999999999993</v>
      </c>
    </row>
    <row r="40" spans="1:14" s="1" customFormat="1" ht="14.1" customHeight="1">
      <c r="A40" s="53"/>
      <c r="B40" s="57" t="s">
        <v>51</v>
      </c>
      <c r="C40" s="58"/>
      <c r="D40" s="59" t="s">
        <v>96</v>
      </c>
      <c r="E40" s="60"/>
      <c r="F40" s="60"/>
      <c r="G40" s="61"/>
      <c r="H40" s="46"/>
      <c r="I40" s="46"/>
      <c r="J40" s="44"/>
      <c r="K40" s="46"/>
      <c r="L40" s="46"/>
      <c r="M40" s="46"/>
      <c r="N40" s="48"/>
    </row>
    <row r="41" spans="1:14" s="1" customFormat="1" ht="14.1" customHeight="1">
      <c r="A41" s="52">
        <v>20</v>
      </c>
      <c r="B41" s="36" t="s">
        <v>95</v>
      </c>
      <c r="C41" s="37"/>
      <c r="D41" s="124"/>
      <c r="E41" s="124"/>
      <c r="F41" s="124"/>
      <c r="G41" s="124"/>
      <c r="H41" s="27">
        <f>SUM(I41)-0.5</f>
        <v>10</v>
      </c>
      <c r="I41" s="27">
        <f>SUM(J41)-0.5</f>
        <v>10.5</v>
      </c>
      <c r="J41" s="41">
        <v>11</v>
      </c>
      <c r="K41" s="27">
        <f>SUM(J41)+0.5</f>
        <v>11.5</v>
      </c>
      <c r="L41" s="27">
        <f>SUM(K41)+0.5</f>
        <v>12</v>
      </c>
      <c r="M41" s="27">
        <f>SUM(L41)+0.5</f>
        <v>12.5</v>
      </c>
      <c r="N41" s="172">
        <f>SUM(M41)+0.5</f>
        <v>13</v>
      </c>
    </row>
    <row r="42" spans="1:14" s="1" customFormat="1" ht="14.1" customHeight="1">
      <c r="A42" s="53"/>
      <c r="B42" s="127" t="s">
        <v>94</v>
      </c>
      <c r="C42" s="128"/>
      <c r="D42" s="79"/>
      <c r="E42" s="80"/>
      <c r="F42" s="80"/>
      <c r="G42" s="81"/>
      <c r="H42" s="46"/>
      <c r="I42" s="46"/>
      <c r="J42" s="44"/>
      <c r="K42" s="46"/>
      <c r="L42" s="46"/>
      <c r="M42" s="46"/>
      <c r="N42" s="173"/>
    </row>
    <row r="43" spans="1:14" s="1" customFormat="1" ht="14.1" customHeight="1">
      <c r="A43" s="52">
        <v>21</v>
      </c>
      <c r="B43" s="36" t="s">
        <v>93</v>
      </c>
      <c r="C43" s="37"/>
      <c r="D43" s="124"/>
      <c r="E43" s="124"/>
      <c r="F43" s="124"/>
      <c r="G43" s="124"/>
      <c r="H43" s="27">
        <f>SUM(I43)-0.5</f>
        <v>10.5</v>
      </c>
      <c r="I43" s="27">
        <f>SUM(J43)-0.5</f>
        <v>11</v>
      </c>
      <c r="J43" s="41">
        <v>11.5</v>
      </c>
      <c r="K43" s="27">
        <f>SUM(J43)+0.5</f>
        <v>12</v>
      </c>
      <c r="L43" s="27">
        <f>SUM(K43)+0.5</f>
        <v>12.5</v>
      </c>
      <c r="M43" s="27">
        <f>SUM(L43)+0.5</f>
        <v>13</v>
      </c>
      <c r="N43" s="172">
        <f>SUM(M43)+0.5</f>
        <v>13.5</v>
      </c>
    </row>
    <row r="44" spans="1:14" s="1" customFormat="1" ht="14.1" customHeight="1">
      <c r="A44" s="52"/>
      <c r="B44" s="153" t="s">
        <v>92</v>
      </c>
      <c r="C44" s="153"/>
      <c r="D44" s="102"/>
      <c r="E44" s="103"/>
      <c r="F44" s="103"/>
      <c r="G44" s="104"/>
      <c r="H44" s="45"/>
      <c r="I44" s="45"/>
      <c r="J44" s="43"/>
      <c r="K44" s="45"/>
      <c r="L44" s="45"/>
      <c r="M44" s="45"/>
      <c r="N44" s="189"/>
    </row>
    <row r="45" spans="1:14" s="1" customFormat="1" ht="14.1" customHeight="1">
      <c r="A45" s="34">
        <v>22</v>
      </c>
      <c r="B45" s="36"/>
      <c r="C45" s="37"/>
      <c r="D45" s="124"/>
      <c r="E45" s="124"/>
      <c r="F45" s="124"/>
      <c r="G45" s="124"/>
      <c r="H45" s="98"/>
      <c r="I45" s="27"/>
      <c r="J45" s="41"/>
      <c r="K45" s="27"/>
      <c r="L45" s="27"/>
      <c r="M45" s="27"/>
      <c r="N45" s="172"/>
    </row>
    <row r="46" spans="1:14" ht="14.1" customHeight="1">
      <c r="A46" s="53"/>
      <c r="B46" s="127"/>
      <c r="C46" s="128"/>
      <c r="D46" s="79"/>
      <c r="E46" s="80"/>
      <c r="F46" s="80"/>
      <c r="G46" s="81"/>
      <c r="H46" s="75"/>
      <c r="I46" s="46"/>
      <c r="J46" s="44"/>
      <c r="K46" s="46"/>
      <c r="L46" s="46"/>
      <c r="M46" s="46"/>
      <c r="N46" s="173"/>
    </row>
    <row r="47" spans="1:14" ht="14.1" customHeight="1">
      <c r="A47" s="52">
        <v>23</v>
      </c>
      <c r="B47" s="36"/>
      <c r="C47" s="37"/>
      <c r="D47" s="124"/>
      <c r="E47" s="124"/>
      <c r="F47" s="124"/>
      <c r="G47" s="124"/>
      <c r="H47" s="27"/>
      <c r="I47" s="27"/>
      <c r="J47" s="41"/>
      <c r="K47" s="27"/>
      <c r="L47" s="27"/>
      <c r="M47" s="207"/>
      <c r="N47" s="62"/>
    </row>
    <row r="48" spans="1:14" ht="14.1" customHeight="1">
      <c r="A48" s="53"/>
      <c r="B48" s="153"/>
      <c r="C48" s="153"/>
      <c r="D48" s="102"/>
      <c r="E48" s="103"/>
      <c r="F48" s="103"/>
      <c r="G48" s="104"/>
      <c r="H48" s="45"/>
      <c r="I48" s="45"/>
      <c r="J48" s="43"/>
      <c r="K48" s="45"/>
      <c r="L48" s="45"/>
      <c r="M48" s="63"/>
      <c r="N48" s="47"/>
    </row>
    <row r="49" spans="1:14" ht="14.1" customHeight="1">
      <c r="A49" s="52">
        <v>24</v>
      </c>
      <c r="B49" s="36"/>
      <c r="C49" s="37"/>
      <c r="D49" s="124"/>
      <c r="E49" s="124"/>
      <c r="F49" s="124"/>
      <c r="G49" s="124"/>
      <c r="H49" s="27"/>
      <c r="I49" s="27"/>
      <c r="J49" s="41"/>
      <c r="K49" s="27"/>
      <c r="L49" s="27"/>
      <c r="M49" s="207"/>
      <c r="N49" s="62"/>
    </row>
    <row r="50" spans="1:14" ht="14.1" customHeight="1">
      <c r="A50" s="52"/>
      <c r="B50" s="153"/>
      <c r="C50" s="153"/>
      <c r="D50" s="102"/>
      <c r="E50" s="103"/>
      <c r="F50" s="103"/>
      <c r="G50" s="104"/>
      <c r="H50" s="45"/>
      <c r="I50" s="45"/>
      <c r="J50" s="43"/>
      <c r="K50" s="45"/>
      <c r="L50" s="45"/>
      <c r="M50" s="63"/>
      <c r="N50" s="47"/>
    </row>
    <row r="51" spans="1:14" ht="14.1" customHeight="1">
      <c r="A51" s="34">
        <v>25</v>
      </c>
      <c r="B51" s="36"/>
      <c r="C51" s="37"/>
      <c r="D51" s="124"/>
      <c r="E51" s="124"/>
      <c r="F51" s="124"/>
      <c r="G51" s="124"/>
      <c r="H51" s="27"/>
      <c r="I51" s="27"/>
      <c r="J51" s="41"/>
      <c r="K51" s="27"/>
      <c r="L51" s="27"/>
      <c r="M51" s="207"/>
      <c r="N51" s="62"/>
    </row>
    <row r="52" spans="1:14" ht="13.5" customHeight="1" thickBot="1">
      <c r="A52" s="35"/>
      <c r="B52" s="118"/>
      <c r="C52" s="118"/>
      <c r="D52" s="119"/>
      <c r="E52" s="120"/>
      <c r="F52" s="120"/>
      <c r="G52" s="121"/>
      <c r="H52" s="28"/>
      <c r="I52" s="28"/>
      <c r="J52" s="42"/>
      <c r="K52" s="28"/>
      <c r="L52" s="28"/>
      <c r="M52" s="109"/>
      <c r="N52" s="160"/>
    </row>
  </sheetData>
  <mergeCells count="303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986A-457A-4752-A481-2FB57AC994EE}">
  <sheetPr>
    <tabColor theme="5"/>
    <pageSetUpPr fitToPage="1"/>
  </sheetPr>
  <dimension ref="A1:P52"/>
  <sheetViews>
    <sheetView zoomScale="110" zoomScaleNormal="110" workbookViewId="0">
      <selection sqref="A1:M5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85" t="s">
        <v>615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13"/>
    </row>
    <row r="2" spans="1:16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6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7">
        <f>SUM(L3)+3</f>
        <v>60</v>
      </c>
    </row>
    <row r="4" spans="1:16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8"/>
    </row>
    <row r="5" spans="1:16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98"/>
      <c r="I5" s="27"/>
      <c r="J5" s="43"/>
      <c r="K5" s="45"/>
      <c r="L5" s="45"/>
      <c r="M5" s="47"/>
    </row>
    <row r="6" spans="1:16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75"/>
      <c r="I6" s="46"/>
      <c r="J6" s="44"/>
      <c r="K6" s="46"/>
      <c r="L6" s="46"/>
      <c r="M6" s="48"/>
    </row>
    <row r="7" spans="1:16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98"/>
      <c r="I7" s="27"/>
      <c r="J7" s="43"/>
      <c r="K7" s="45"/>
      <c r="L7" s="45"/>
      <c r="M7" s="47"/>
    </row>
    <row r="8" spans="1:16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75"/>
      <c r="I8" s="46"/>
      <c r="J8" s="44"/>
      <c r="K8" s="46"/>
      <c r="L8" s="46"/>
      <c r="M8" s="48"/>
    </row>
    <row r="9" spans="1:16" s="1" customFormat="1" ht="14.1" customHeight="1">
      <c r="A9" s="52">
        <v>4</v>
      </c>
      <c r="B9" s="36" t="s">
        <v>113</v>
      </c>
      <c r="C9" s="37"/>
      <c r="D9" s="198" t="s">
        <v>373</v>
      </c>
      <c r="E9" s="199"/>
      <c r="F9" s="199"/>
      <c r="G9" s="200"/>
      <c r="H9" s="27">
        <f>SUM(I9)-2.2</f>
        <v>36.599999999999994</v>
      </c>
      <c r="I9" s="27">
        <f>SUM(J9)-2.2</f>
        <v>38.799999999999997</v>
      </c>
      <c r="J9" s="43">
        <v>41</v>
      </c>
      <c r="K9" s="45">
        <f>SUM(J9)+2.2</f>
        <v>43.2</v>
      </c>
      <c r="L9" s="45">
        <f>SUM(K9)+2.2</f>
        <v>45.400000000000006</v>
      </c>
      <c r="M9" s="47">
        <f>SUM(L9)+2.2</f>
        <v>47.600000000000009</v>
      </c>
    </row>
    <row r="10" spans="1:16" s="1" customFormat="1" ht="14.1" customHeight="1">
      <c r="A10" s="53"/>
      <c r="B10" s="57" t="s">
        <v>112</v>
      </c>
      <c r="C10" s="58"/>
      <c r="D10" s="49" t="s">
        <v>374</v>
      </c>
      <c r="E10" s="50"/>
      <c r="F10" s="50"/>
      <c r="G10" s="51"/>
      <c r="H10" s="46"/>
      <c r="I10" s="46"/>
      <c r="J10" s="44"/>
      <c r="K10" s="46"/>
      <c r="L10" s="46"/>
      <c r="M10" s="48"/>
    </row>
    <row r="11" spans="1:16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SUM(I11)-4.5</f>
        <v>59</v>
      </c>
      <c r="I11" s="27">
        <f>SUM(J11)-4.5</f>
        <v>63.5</v>
      </c>
      <c r="J11" s="43">
        <v>68</v>
      </c>
      <c r="K11" s="45">
        <f>SUM(J11)+4.5</f>
        <v>72.5</v>
      </c>
      <c r="L11" s="45">
        <f>SUM(K11)+4.5</f>
        <v>77</v>
      </c>
      <c r="M11" s="47">
        <f>SUM(L11)+4.5</f>
        <v>81.5</v>
      </c>
    </row>
    <row r="12" spans="1:16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48"/>
    </row>
    <row r="13" spans="1:16" s="1" customFormat="1" ht="14.1" customHeight="1">
      <c r="A13" s="52">
        <v>6</v>
      </c>
      <c r="B13" s="36" t="s">
        <v>11</v>
      </c>
      <c r="C13" s="37"/>
      <c r="D13" s="76" t="s">
        <v>333</v>
      </c>
      <c r="E13" s="77"/>
      <c r="F13" s="77"/>
      <c r="G13" s="78"/>
      <c r="H13" s="98">
        <f>SUM(I13)-5</f>
        <v>65</v>
      </c>
      <c r="I13" s="27">
        <f>SUM(J13)-5</f>
        <v>70</v>
      </c>
      <c r="J13" s="41">
        <v>75</v>
      </c>
      <c r="K13" s="27">
        <f>SUM(J13)+5</f>
        <v>80</v>
      </c>
      <c r="L13" s="27">
        <f>SUM(K13)+5</f>
        <v>85</v>
      </c>
      <c r="M13" s="62">
        <f>SUM(L13)+5</f>
        <v>90</v>
      </c>
      <c r="P13" s="1" t="s">
        <v>162</v>
      </c>
    </row>
    <row r="14" spans="1:16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75"/>
      <c r="I14" s="46"/>
      <c r="J14" s="44"/>
      <c r="K14" s="46"/>
      <c r="L14" s="46"/>
      <c r="M14" s="48"/>
    </row>
    <row r="15" spans="1:16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98">
        <f>SUM(I15)-0.7</f>
        <v>9.6000000000000014</v>
      </c>
      <c r="I15" s="27">
        <f>SUM(J15)-0.7</f>
        <v>10.3</v>
      </c>
      <c r="J15" s="41">
        <v>11</v>
      </c>
      <c r="K15" s="27">
        <f>SUM(J15)+0.7</f>
        <v>11.7</v>
      </c>
      <c r="L15" s="27">
        <f>SUM(K15)+0.7</f>
        <v>12.399999999999999</v>
      </c>
      <c r="M15" s="202">
        <f>SUM(L15)+0.7</f>
        <v>13.099999999999998</v>
      </c>
    </row>
    <row r="16" spans="1:16" s="1" customFormat="1" ht="14.1" customHeight="1">
      <c r="A16" s="53"/>
      <c r="B16" s="57" t="s">
        <v>100</v>
      </c>
      <c r="C16" s="58"/>
      <c r="D16" s="82" t="s">
        <v>132</v>
      </c>
      <c r="E16" s="83"/>
      <c r="F16" s="83"/>
      <c r="G16" s="84"/>
      <c r="H16" s="75"/>
      <c r="I16" s="46"/>
      <c r="J16" s="44"/>
      <c r="K16" s="46"/>
      <c r="L16" s="46"/>
      <c r="M16" s="203"/>
    </row>
    <row r="17" spans="1:13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>
        <f>SUM(I17)-0.7</f>
        <v>9.6000000000000014</v>
      </c>
      <c r="I17" s="27">
        <f>SUM(J17)-0.7</f>
        <v>10.3</v>
      </c>
      <c r="J17" s="41">
        <v>11</v>
      </c>
      <c r="K17" s="27">
        <f>SUM(J17)+0.7</f>
        <v>11.7</v>
      </c>
      <c r="L17" s="27">
        <f>SUM(K17)+0.7</f>
        <v>12.399999999999999</v>
      </c>
      <c r="M17" s="202">
        <f>SUM(L17)+0.7</f>
        <v>13.099999999999998</v>
      </c>
    </row>
    <row r="18" spans="1:13" s="1" customFormat="1" ht="14.1" customHeight="1">
      <c r="A18" s="53"/>
      <c r="B18" s="57" t="s">
        <v>120</v>
      </c>
      <c r="C18" s="58"/>
      <c r="D18" s="82" t="s">
        <v>121</v>
      </c>
      <c r="E18" s="83"/>
      <c r="F18" s="83"/>
      <c r="G18" s="84"/>
      <c r="H18" s="75"/>
      <c r="I18" s="46"/>
      <c r="J18" s="44"/>
      <c r="K18" s="46"/>
      <c r="L18" s="46"/>
      <c r="M18" s="203"/>
    </row>
    <row r="19" spans="1:13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>
        <f>SUM(I19)-0</f>
        <v>2.8</v>
      </c>
      <c r="I19" s="27">
        <f>SUM(J19)-0</f>
        <v>2.8</v>
      </c>
      <c r="J19" s="41">
        <v>2.8</v>
      </c>
      <c r="K19" s="27">
        <f>SUM(J19)+0.5</f>
        <v>3.3</v>
      </c>
      <c r="L19" s="27">
        <f>SUM(K19)+0</f>
        <v>3.3</v>
      </c>
      <c r="M19" s="62">
        <f>SUM(L19)+0</f>
        <v>3.3</v>
      </c>
    </row>
    <row r="20" spans="1:13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8"/>
    </row>
    <row r="21" spans="1:13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49</v>
      </c>
      <c r="I21" s="27">
        <f>SUM(J21)-7</f>
        <v>56</v>
      </c>
      <c r="J21" s="41">
        <v>63</v>
      </c>
      <c r="K21" s="27">
        <f>SUM(J21)+6</f>
        <v>69</v>
      </c>
      <c r="L21" s="27">
        <f>SUM(K21)+6</f>
        <v>75</v>
      </c>
      <c r="M21" s="62">
        <f>SUM(L21)+6</f>
        <v>81</v>
      </c>
    </row>
    <row r="22" spans="1:13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8"/>
    </row>
    <row r="23" spans="1:13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SUM(I23)-2.2</f>
        <v>39.599999999999994</v>
      </c>
      <c r="I23" s="27">
        <f>SUM(J23)-2.2</f>
        <v>41.8</v>
      </c>
      <c r="J23" s="41">
        <v>44</v>
      </c>
      <c r="K23" s="27">
        <f>SUM(J23)+2.2</f>
        <v>46.2</v>
      </c>
      <c r="L23" s="27">
        <f>SUM(K23)+2.2</f>
        <v>48.400000000000006</v>
      </c>
      <c r="M23" s="62">
        <f>SUM(L23)+2.2</f>
        <v>50.600000000000009</v>
      </c>
    </row>
    <row r="24" spans="1:13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48"/>
    </row>
    <row r="25" spans="1:13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20.799999999999997</v>
      </c>
      <c r="I25" s="27">
        <f>SUM(J25)-1.1</f>
        <v>21.9</v>
      </c>
      <c r="J25" s="41">
        <v>23</v>
      </c>
      <c r="K25" s="27">
        <f>SUM(J25)+1.6</f>
        <v>24.6</v>
      </c>
      <c r="L25" s="27">
        <f>SUM(K25)+1.1</f>
        <v>25.700000000000003</v>
      </c>
      <c r="M25" s="202">
        <f>SUM(L25)+1.1</f>
        <v>26.800000000000004</v>
      </c>
    </row>
    <row r="26" spans="1:13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203"/>
    </row>
    <row r="27" spans="1:13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27.9</v>
      </c>
      <c r="I27" s="27">
        <f>SUM(J27)-1.3</f>
        <v>29.2</v>
      </c>
      <c r="J27" s="41">
        <v>30.5</v>
      </c>
      <c r="K27" s="27">
        <f>SUM(J27)+1.8</f>
        <v>32.299999999999997</v>
      </c>
      <c r="L27" s="27">
        <f>SUM(K27)+1.3</f>
        <v>33.599999999999994</v>
      </c>
      <c r="M27" s="202">
        <f>SUM(L27)+1.3</f>
        <v>34.899999999999991</v>
      </c>
    </row>
    <row r="28" spans="1:13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203"/>
    </row>
    <row r="29" spans="1:13" s="1" customFormat="1" ht="14.1" customHeight="1">
      <c r="A29" s="52">
        <v>14</v>
      </c>
      <c r="B29" s="36" t="s">
        <v>18</v>
      </c>
      <c r="C29" s="37"/>
      <c r="D29" s="76" t="s">
        <v>19</v>
      </c>
      <c r="E29" s="77"/>
      <c r="F29" s="77"/>
      <c r="G29" s="78"/>
      <c r="H29" s="27"/>
      <c r="I29" s="27"/>
      <c r="J29" s="41"/>
      <c r="K29" s="27"/>
      <c r="L29" s="27"/>
      <c r="M29" s="62"/>
    </row>
    <row r="30" spans="1:13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48"/>
    </row>
    <row r="31" spans="1:13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27"/>
      <c r="I31" s="27"/>
      <c r="J31" s="41"/>
      <c r="K31" s="27"/>
      <c r="L31" s="27"/>
      <c r="M31" s="62"/>
    </row>
    <row r="32" spans="1:13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46"/>
      <c r="I32" s="46"/>
      <c r="J32" s="44"/>
      <c r="K32" s="46"/>
      <c r="L32" s="46"/>
      <c r="M32" s="48"/>
    </row>
    <row r="33" spans="1:13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98"/>
      <c r="I33" s="27"/>
      <c r="J33" s="41"/>
      <c r="K33" s="27"/>
      <c r="L33" s="27"/>
      <c r="M33" s="202"/>
    </row>
    <row r="34" spans="1:13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75"/>
      <c r="I34" s="46"/>
      <c r="J34" s="44"/>
      <c r="K34" s="46"/>
      <c r="L34" s="46"/>
      <c r="M34" s="203"/>
    </row>
    <row r="35" spans="1:13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/>
      <c r="I35" s="27"/>
      <c r="J35" s="41"/>
      <c r="K35" s="27"/>
      <c r="L35" s="27"/>
      <c r="M35" s="62"/>
    </row>
    <row r="36" spans="1:13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44"/>
      <c r="K36" s="46"/>
      <c r="L36" s="46"/>
      <c r="M36" s="48"/>
    </row>
    <row r="37" spans="1:13" s="1" customFormat="1" ht="14.1" customHeight="1">
      <c r="A37" s="52">
        <v>18</v>
      </c>
      <c r="B37" s="36" t="s">
        <v>99</v>
      </c>
      <c r="C37" s="37"/>
      <c r="D37" s="76" t="s">
        <v>22</v>
      </c>
      <c r="E37" s="77"/>
      <c r="F37" s="77"/>
      <c r="G37" s="78"/>
      <c r="H37" s="27">
        <f>SUM(I37)-0.5</f>
        <v>7</v>
      </c>
      <c r="I37" s="27">
        <f>SUM(J37)-0.5</f>
        <v>7.5</v>
      </c>
      <c r="J37" s="125">
        <v>8</v>
      </c>
      <c r="K37" s="114">
        <f>SUM(J37)+0.5</f>
        <v>8.5</v>
      </c>
      <c r="L37" s="114">
        <f>SUM(K37)+0.5</f>
        <v>9</v>
      </c>
      <c r="M37" s="162">
        <f>SUM(L37)+0.5</f>
        <v>9.5</v>
      </c>
    </row>
    <row r="38" spans="1:13" s="1" customFormat="1" ht="14.1" customHeight="1">
      <c r="A38" s="53"/>
      <c r="B38" s="57" t="s">
        <v>52</v>
      </c>
      <c r="C38" s="58"/>
      <c r="D38" s="59" t="s">
        <v>98</v>
      </c>
      <c r="E38" s="60"/>
      <c r="F38" s="60"/>
      <c r="G38" s="61"/>
      <c r="H38" s="46"/>
      <c r="I38" s="46"/>
      <c r="J38" s="125"/>
      <c r="K38" s="114"/>
      <c r="L38" s="114"/>
      <c r="M38" s="162"/>
    </row>
    <row r="39" spans="1:13" s="1" customFormat="1" ht="14.1" customHeight="1">
      <c r="A39" s="52">
        <v>19</v>
      </c>
      <c r="B39" s="36" t="s">
        <v>97</v>
      </c>
      <c r="C39" s="37"/>
      <c r="D39" s="76" t="s">
        <v>23</v>
      </c>
      <c r="E39" s="77"/>
      <c r="F39" s="77"/>
      <c r="G39" s="78"/>
      <c r="H39" s="27">
        <f>SUM(I39)-0.3</f>
        <v>5.4</v>
      </c>
      <c r="I39" s="27">
        <f>SUM(J39)-0.3</f>
        <v>5.7</v>
      </c>
      <c r="J39" s="41">
        <v>6</v>
      </c>
      <c r="K39" s="27">
        <f>SUM(J39)+0.3</f>
        <v>6.3</v>
      </c>
      <c r="L39" s="27">
        <f>SUM(K39)+0.3</f>
        <v>6.6</v>
      </c>
      <c r="M39" s="62">
        <f>SUM(L39)+0.3</f>
        <v>6.8999999999999995</v>
      </c>
    </row>
    <row r="40" spans="1:13" s="1" customFormat="1" ht="14.1" customHeight="1">
      <c r="A40" s="53"/>
      <c r="B40" s="57" t="s">
        <v>51</v>
      </c>
      <c r="C40" s="58"/>
      <c r="D40" s="59" t="s">
        <v>96</v>
      </c>
      <c r="E40" s="60"/>
      <c r="F40" s="60"/>
      <c r="G40" s="61"/>
      <c r="H40" s="46"/>
      <c r="I40" s="46"/>
      <c r="J40" s="44"/>
      <c r="K40" s="46"/>
      <c r="L40" s="46"/>
      <c r="M40" s="48"/>
    </row>
    <row r="41" spans="1:13" s="1" customFormat="1" ht="14.1" customHeight="1">
      <c r="A41" s="52">
        <v>20</v>
      </c>
      <c r="B41" s="36" t="s">
        <v>95</v>
      </c>
      <c r="C41" s="37"/>
      <c r="D41" s="124"/>
      <c r="E41" s="124"/>
      <c r="F41" s="124"/>
      <c r="G41" s="124"/>
      <c r="H41" s="27">
        <f>SUM(I41)-0.5</f>
        <v>11</v>
      </c>
      <c r="I41" s="27">
        <f>SUM(J41)-0.5</f>
        <v>11.5</v>
      </c>
      <c r="J41" s="41">
        <v>12</v>
      </c>
      <c r="K41" s="27">
        <f>SUM(J41)+0.5</f>
        <v>12.5</v>
      </c>
      <c r="L41" s="27">
        <f>SUM(K41)+0.5</f>
        <v>13</v>
      </c>
      <c r="M41" s="62">
        <f>SUM(L41)+0.5</f>
        <v>13.5</v>
      </c>
    </row>
    <row r="42" spans="1:13" s="1" customFormat="1" ht="14.1" customHeight="1">
      <c r="A42" s="53"/>
      <c r="B42" s="127" t="s">
        <v>94</v>
      </c>
      <c r="C42" s="128"/>
      <c r="D42" s="79"/>
      <c r="E42" s="80"/>
      <c r="F42" s="80"/>
      <c r="G42" s="81"/>
      <c r="H42" s="46"/>
      <c r="I42" s="46"/>
      <c r="J42" s="44"/>
      <c r="K42" s="46"/>
      <c r="L42" s="46"/>
      <c r="M42" s="48"/>
    </row>
    <row r="43" spans="1:13" s="1" customFormat="1" ht="14.1" customHeight="1">
      <c r="A43" s="52">
        <v>21</v>
      </c>
      <c r="B43" s="36" t="s">
        <v>93</v>
      </c>
      <c r="C43" s="37"/>
      <c r="D43" s="124"/>
      <c r="E43" s="124"/>
      <c r="F43" s="124"/>
      <c r="G43" s="124"/>
      <c r="H43" s="27">
        <f>SUM(I43)-0.5</f>
        <v>11.5</v>
      </c>
      <c r="I43" s="27">
        <f>SUM(J43)-0.5</f>
        <v>12</v>
      </c>
      <c r="J43" s="41">
        <v>12.5</v>
      </c>
      <c r="K43" s="27">
        <f>SUM(J43)+0.5</f>
        <v>13</v>
      </c>
      <c r="L43" s="27">
        <f>SUM(K43)+0.5</f>
        <v>13.5</v>
      </c>
      <c r="M43" s="62">
        <f>SUM(L43)+0.5</f>
        <v>14</v>
      </c>
    </row>
    <row r="44" spans="1:13" s="1" customFormat="1" ht="14.1" customHeight="1">
      <c r="A44" s="52"/>
      <c r="B44" s="153" t="s">
        <v>92</v>
      </c>
      <c r="C44" s="153"/>
      <c r="D44" s="102"/>
      <c r="E44" s="103"/>
      <c r="F44" s="103"/>
      <c r="G44" s="104"/>
      <c r="H44" s="45"/>
      <c r="I44" s="45"/>
      <c r="J44" s="43"/>
      <c r="K44" s="45"/>
      <c r="L44" s="45"/>
      <c r="M44" s="47"/>
    </row>
    <row r="45" spans="1:13" s="1" customFormat="1" ht="14.1" customHeight="1">
      <c r="A45" s="34">
        <v>22</v>
      </c>
      <c r="B45" s="36"/>
      <c r="C45" s="37"/>
      <c r="D45" s="124"/>
      <c r="E45" s="124"/>
      <c r="F45" s="124"/>
      <c r="G45" s="124"/>
      <c r="H45" s="98"/>
      <c r="I45" s="27"/>
      <c r="J45" s="41"/>
      <c r="K45" s="27"/>
      <c r="L45" s="27"/>
      <c r="M45" s="62"/>
    </row>
    <row r="46" spans="1:13" ht="14.1" customHeight="1">
      <c r="A46" s="53"/>
      <c r="B46" s="127"/>
      <c r="C46" s="128"/>
      <c r="D46" s="79"/>
      <c r="E46" s="80"/>
      <c r="F46" s="80"/>
      <c r="G46" s="81"/>
      <c r="H46" s="75"/>
      <c r="I46" s="46"/>
      <c r="J46" s="44"/>
      <c r="K46" s="46"/>
      <c r="L46" s="46"/>
      <c r="M46" s="48"/>
    </row>
    <row r="47" spans="1:13" ht="14.1" customHeight="1">
      <c r="A47" s="52">
        <v>23</v>
      </c>
      <c r="B47" s="36"/>
      <c r="C47" s="37"/>
      <c r="D47" s="124"/>
      <c r="E47" s="124"/>
      <c r="F47" s="124"/>
      <c r="G47" s="124"/>
      <c r="H47" s="27"/>
      <c r="I47" s="27"/>
      <c r="J47" s="41"/>
      <c r="K47" s="27"/>
      <c r="L47" s="27"/>
      <c r="M47" s="62"/>
    </row>
    <row r="48" spans="1:13" ht="14.1" customHeight="1">
      <c r="A48" s="53"/>
      <c r="B48" s="153"/>
      <c r="C48" s="153"/>
      <c r="D48" s="102"/>
      <c r="E48" s="103"/>
      <c r="F48" s="103"/>
      <c r="G48" s="104"/>
      <c r="H48" s="45"/>
      <c r="I48" s="45"/>
      <c r="J48" s="43"/>
      <c r="K48" s="45"/>
      <c r="L48" s="45"/>
      <c r="M48" s="47"/>
    </row>
    <row r="49" spans="1:13" ht="14.1" customHeight="1">
      <c r="A49" s="52">
        <v>24</v>
      </c>
      <c r="B49" s="36"/>
      <c r="C49" s="37"/>
      <c r="D49" s="124"/>
      <c r="E49" s="124"/>
      <c r="F49" s="124"/>
      <c r="G49" s="124"/>
      <c r="H49" s="27"/>
      <c r="I49" s="27"/>
      <c r="J49" s="41"/>
      <c r="K49" s="27"/>
      <c r="L49" s="27"/>
      <c r="M49" s="62"/>
    </row>
    <row r="50" spans="1:13" ht="14.1" customHeight="1">
      <c r="A50" s="52"/>
      <c r="B50" s="153"/>
      <c r="C50" s="153"/>
      <c r="D50" s="102"/>
      <c r="E50" s="103"/>
      <c r="F50" s="103"/>
      <c r="G50" s="104"/>
      <c r="H50" s="45"/>
      <c r="I50" s="45"/>
      <c r="J50" s="43"/>
      <c r="K50" s="45"/>
      <c r="L50" s="45"/>
      <c r="M50" s="47"/>
    </row>
    <row r="51" spans="1:13" ht="14.1" customHeight="1">
      <c r="A51" s="34">
        <v>25</v>
      </c>
      <c r="B51" s="36"/>
      <c r="C51" s="37"/>
      <c r="D51" s="124"/>
      <c r="E51" s="124"/>
      <c r="F51" s="124"/>
      <c r="G51" s="124"/>
      <c r="H51" s="27"/>
      <c r="I51" s="27"/>
      <c r="J51" s="41"/>
      <c r="K51" s="27"/>
      <c r="L51" s="27"/>
      <c r="M51" s="62"/>
    </row>
    <row r="52" spans="1:13" ht="13.5" customHeight="1" thickBot="1">
      <c r="A52" s="35"/>
      <c r="B52" s="118"/>
      <c r="C52" s="118"/>
      <c r="D52" s="119"/>
      <c r="E52" s="120"/>
      <c r="F52" s="120"/>
      <c r="G52" s="121"/>
      <c r="H52" s="28"/>
      <c r="I52" s="28"/>
      <c r="J52" s="42"/>
      <c r="K52" s="28"/>
      <c r="L52" s="28"/>
      <c r="M52" s="160"/>
    </row>
  </sheetData>
  <mergeCells count="278">
    <mergeCell ref="K51:K52"/>
    <mergeCell ref="L51:L52"/>
    <mergeCell ref="M51:M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D4:G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A1:M1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B6:C6"/>
    <mergeCell ref="D6:G6"/>
    <mergeCell ref="L3:L4"/>
    <mergeCell ref="M3:M4"/>
    <mergeCell ref="B4:C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8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60EB-B05D-4ECF-8590-8DCAE10FD567}">
  <sheetPr codeName="Sheet52">
    <tabColor theme="5"/>
    <pageSetUpPr fitToPage="1"/>
  </sheetPr>
  <dimension ref="A1:N52"/>
  <sheetViews>
    <sheetView topLeftCell="A7" zoomScale="110" zoomScaleNormal="110" workbookViewId="0">
      <selection activeCell="Q45" sqref="Q4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445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6">
        <f>SUM(L3)+3</f>
        <v>60</v>
      </c>
      <c r="N3" s="193">
        <f>SUM(M3)+3</f>
        <v>63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6"/>
      <c r="N4" s="173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98"/>
      <c r="I5" s="27"/>
      <c r="J5" s="43"/>
      <c r="K5" s="45"/>
      <c r="L5" s="45"/>
      <c r="M5" s="45"/>
      <c r="N5" s="189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75"/>
      <c r="I6" s="46"/>
      <c r="J6" s="44"/>
      <c r="K6" s="46"/>
      <c r="L6" s="46"/>
      <c r="M6" s="46"/>
      <c r="N6" s="173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98"/>
      <c r="I7" s="27"/>
      <c r="J7" s="43"/>
      <c r="K7" s="45"/>
      <c r="L7" s="45"/>
      <c r="M7" s="45"/>
      <c r="N7" s="189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75"/>
      <c r="I8" s="46"/>
      <c r="J8" s="44"/>
      <c r="K8" s="46"/>
      <c r="L8" s="46"/>
      <c r="M8" s="46"/>
      <c r="N8" s="173"/>
    </row>
    <row r="9" spans="1:14" s="1" customFormat="1" ht="14.1" customHeight="1">
      <c r="A9" s="52">
        <v>4</v>
      </c>
      <c r="B9" s="36" t="s">
        <v>113</v>
      </c>
      <c r="C9" s="37"/>
      <c r="D9" s="198" t="s">
        <v>373</v>
      </c>
      <c r="E9" s="199"/>
      <c r="F9" s="199"/>
      <c r="G9" s="200"/>
      <c r="H9" s="27">
        <f>SUM(I9)-2.2</f>
        <v>36.599999999999994</v>
      </c>
      <c r="I9" s="27">
        <f>SUM(J9)-2.2</f>
        <v>38.799999999999997</v>
      </c>
      <c r="J9" s="43">
        <v>41</v>
      </c>
      <c r="K9" s="45">
        <f>SUM(J9)+2.2</f>
        <v>43.2</v>
      </c>
      <c r="L9" s="45">
        <f>SUM(K9)+2.2</f>
        <v>45.400000000000006</v>
      </c>
      <c r="M9" s="45">
        <f>SUM(L9)+2.2</f>
        <v>47.600000000000009</v>
      </c>
      <c r="N9" s="47">
        <f>SUM(M9)+2.2</f>
        <v>49.800000000000011</v>
      </c>
    </row>
    <row r="10" spans="1:14" s="1" customFormat="1" ht="14.1" customHeight="1">
      <c r="A10" s="53"/>
      <c r="B10" s="57" t="s">
        <v>112</v>
      </c>
      <c r="C10" s="58"/>
      <c r="D10" s="49" t="s">
        <v>374</v>
      </c>
      <c r="E10" s="50"/>
      <c r="F10" s="50"/>
      <c r="G10" s="51"/>
      <c r="H10" s="46"/>
      <c r="I10" s="46"/>
      <c r="J10" s="44"/>
      <c r="K10" s="46"/>
      <c r="L10" s="46"/>
      <c r="M10" s="46"/>
      <c r="N10" s="48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SUM(I11)-4.5</f>
        <v>59</v>
      </c>
      <c r="I11" s="27">
        <f>SUM(J11)-4.5</f>
        <v>63.5</v>
      </c>
      <c r="J11" s="43">
        <v>68</v>
      </c>
      <c r="K11" s="45">
        <f>SUM(J11)+4.5</f>
        <v>72.5</v>
      </c>
      <c r="L11" s="45">
        <f>SUM(K11)+4.5</f>
        <v>77</v>
      </c>
      <c r="M11" s="45">
        <f>SUM(L11)+4.5</f>
        <v>81.5</v>
      </c>
      <c r="N11" s="189">
        <f>SUM(M11)+4.5</f>
        <v>86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46"/>
      <c r="N12" s="173"/>
    </row>
    <row r="13" spans="1:14" s="1" customFormat="1" ht="14.1" customHeight="1">
      <c r="A13" s="52">
        <v>6</v>
      </c>
      <c r="B13" s="36" t="s">
        <v>11</v>
      </c>
      <c r="C13" s="37"/>
      <c r="D13" s="76" t="s">
        <v>333</v>
      </c>
      <c r="E13" s="77"/>
      <c r="F13" s="77"/>
      <c r="G13" s="78"/>
      <c r="H13" s="98">
        <f>SUM(I13)-5</f>
        <v>68</v>
      </c>
      <c r="I13" s="27">
        <f>SUM(J13)-5</f>
        <v>73</v>
      </c>
      <c r="J13" s="41">
        <v>78</v>
      </c>
      <c r="K13" s="27">
        <f>SUM(J13)+5</f>
        <v>83</v>
      </c>
      <c r="L13" s="27">
        <f>SUM(K13)+5</f>
        <v>88</v>
      </c>
      <c r="M13" s="27">
        <f>SUM(L13)+5</f>
        <v>93</v>
      </c>
      <c r="N13" s="172">
        <f>SUM(M13)+5</f>
        <v>98</v>
      </c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75"/>
      <c r="I14" s="46"/>
      <c r="J14" s="44"/>
      <c r="K14" s="46"/>
      <c r="L14" s="46"/>
      <c r="M14" s="46"/>
      <c r="N14" s="173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98">
        <f>SUM(I15)-0.7</f>
        <v>9.1000000000000014</v>
      </c>
      <c r="I15" s="27">
        <f>SUM(J15)-0.7</f>
        <v>9.8000000000000007</v>
      </c>
      <c r="J15" s="41">
        <v>10.5</v>
      </c>
      <c r="K15" s="27">
        <f>SUM(J15)+0.7</f>
        <v>11.2</v>
      </c>
      <c r="L15" s="27">
        <f>SUM(K15)+0.7</f>
        <v>11.899999999999999</v>
      </c>
      <c r="M15" s="98">
        <f>SUM(L15)+0.7</f>
        <v>12.599999999999998</v>
      </c>
      <c r="N15" s="191">
        <f>SUM(M15)+0.7</f>
        <v>13.299999999999997</v>
      </c>
    </row>
    <row r="16" spans="1:14" s="1" customFormat="1" ht="14.1" customHeight="1">
      <c r="A16" s="53"/>
      <c r="B16" s="57" t="s">
        <v>100</v>
      </c>
      <c r="C16" s="58"/>
      <c r="D16" s="82" t="s">
        <v>132</v>
      </c>
      <c r="E16" s="83"/>
      <c r="F16" s="83"/>
      <c r="G16" s="84"/>
      <c r="H16" s="75"/>
      <c r="I16" s="46"/>
      <c r="J16" s="44"/>
      <c r="K16" s="46"/>
      <c r="L16" s="46"/>
      <c r="M16" s="75"/>
      <c r="N16" s="192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>
        <f>SUM(I17)-0.7</f>
        <v>9.1000000000000014</v>
      </c>
      <c r="I17" s="27">
        <f>SUM(J17)-0.7</f>
        <v>9.8000000000000007</v>
      </c>
      <c r="J17" s="41">
        <v>10.5</v>
      </c>
      <c r="K17" s="27">
        <f>SUM(J17)+0.7</f>
        <v>11.2</v>
      </c>
      <c r="L17" s="27">
        <f>SUM(K17)+0.7</f>
        <v>11.899999999999999</v>
      </c>
      <c r="M17" s="98">
        <f>SUM(L17)+0.7</f>
        <v>12.599999999999998</v>
      </c>
      <c r="N17" s="191">
        <f>SUM(M17)+0.7</f>
        <v>13.299999999999997</v>
      </c>
    </row>
    <row r="18" spans="1:14" s="1" customFormat="1" ht="14.1" customHeight="1">
      <c r="A18" s="53"/>
      <c r="B18" s="57" t="s">
        <v>120</v>
      </c>
      <c r="C18" s="58"/>
      <c r="D18" s="82" t="s">
        <v>121</v>
      </c>
      <c r="E18" s="83"/>
      <c r="F18" s="83"/>
      <c r="G18" s="84"/>
      <c r="H18" s="75"/>
      <c r="I18" s="46"/>
      <c r="J18" s="44"/>
      <c r="K18" s="46"/>
      <c r="L18" s="46"/>
      <c r="M18" s="75"/>
      <c r="N18" s="192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>
        <f>SUM(I19)-0</f>
        <v>2.8</v>
      </c>
      <c r="I19" s="27">
        <f>SUM(J19)-0</f>
        <v>2.8</v>
      </c>
      <c r="J19" s="41">
        <v>2.8</v>
      </c>
      <c r="K19" s="27">
        <f>SUM(J19)+0.5</f>
        <v>3.3</v>
      </c>
      <c r="L19" s="27">
        <f>SUM(K19)+0</f>
        <v>3.3</v>
      </c>
      <c r="M19" s="27">
        <f>SUM(L19)+0</f>
        <v>3.3</v>
      </c>
      <c r="N19" s="62">
        <f>SUM(M19)+0</f>
        <v>3.3</v>
      </c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6"/>
      <c r="N20" s="48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52</v>
      </c>
      <c r="I21" s="27">
        <f>SUM(J21)-7</f>
        <v>59</v>
      </c>
      <c r="J21" s="41">
        <v>66</v>
      </c>
      <c r="K21" s="27">
        <f>SUM(J21)+6</f>
        <v>72</v>
      </c>
      <c r="L21" s="27">
        <f>SUM(K21)+6</f>
        <v>78</v>
      </c>
      <c r="M21" s="27">
        <f>SUM(L21)+6</f>
        <v>84</v>
      </c>
      <c r="N21" s="62">
        <f>SUM(M21)+6</f>
        <v>90</v>
      </c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6"/>
      <c r="N22" s="48"/>
    </row>
    <row r="23" spans="1:14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SUM(I23)-2.2</f>
        <v>41.599999999999994</v>
      </c>
      <c r="I23" s="27">
        <f>SUM(J23)-2.2</f>
        <v>43.8</v>
      </c>
      <c r="J23" s="41">
        <v>46</v>
      </c>
      <c r="K23" s="27">
        <f>SUM(J23)+2.2</f>
        <v>48.2</v>
      </c>
      <c r="L23" s="27">
        <f>SUM(K23)+2.2</f>
        <v>50.400000000000006</v>
      </c>
      <c r="M23" s="27">
        <f>SUM(L23)+2.2</f>
        <v>52.600000000000009</v>
      </c>
      <c r="N23" s="62">
        <f>SUM(M23)+2.2</f>
        <v>54.800000000000011</v>
      </c>
    </row>
    <row r="24" spans="1:14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46"/>
      <c r="N24" s="48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20.799999999999997</v>
      </c>
      <c r="I25" s="27">
        <f>SUM(J25)-1.1</f>
        <v>21.9</v>
      </c>
      <c r="J25" s="41">
        <v>23</v>
      </c>
      <c r="K25" s="27">
        <f>SUM(J25)+1.6</f>
        <v>24.6</v>
      </c>
      <c r="L25" s="27">
        <f>SUM(K25)+1.1</f>
        <v>25.700000000000003</v>
      </c>
      <c r="M25" s="98">
        <f>SUM(L25)+1.1</f>
        <v>26.800000000000004</v>
      </c>
      <c r="N25" s="191">
        <f>SUM(M25)+1.1</f>
        <v>27.900000000000006</v>
      </c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75"/>
      <c r="N26" s="192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27.9</v>
      </c>
      <c r="I27" s="27">
        <f>SUM(J27)-1.3</f>
        <v>29.2</v>
      </c>
      <c r="J27" s="41">
        <v>30.5</v>
      </c>
      <c r="K27" s="27">
        <f>SUM(J27)+1.8</f>
        <v>32.299999999999997</v>
      </c>
      <c r="L27" s="27">
        <f>SUM(K27)+1.3</f>
        <v>33.599999999999994</v>
      </c>
      <c r="M27" s="98">
        <f>SUM(L27)+1.3</f>
        <v>34.899999999999991</v>
      </c>
      <c r="N27" s="191">
        <f>SUM(M27)+1.3</f>
        <v>36.199999999999989</v>
      </c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75"/>
      <c r="N28" s="192"/>
    </row>
    <row r="29" spans="1:14" s="1" customFormat="1" ht="14.1" customHeight="1">
      <c r="A29" s="52">
        <v>14</v>
      </c>
      <c r="B29" s="36" t="s">
        <v>18</v>
      </c>
      <c r="C29" s="37"/>
      <c r="D29" s="76" t="s">
        <v>19</v>
      </c>
      <c r="E29" s="77"/>
      <c r="F29" s="77"/>
      <c r="G29" s="78"/>
      <c r="H29" s="27"/>
      <c r="I29" s="27"/>
      <c r="J29" s="41"/>
      <c r="K29" s="27"/>
      <c r="L29" s="27"/>
      <c r="M29" s="27"/>
      <c r="N29" s="172"/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46"/>
      <c r="N30" s="173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27"/>
      <c r="I31" s="27"/>
      <c r="J31" s="41"/>
      <c r="K31" s="27"/>
      <c r="L31" s="27"/>
      <c r="M31" s="27"/>
      <c r="N31" s="62"/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46"/>
      <c r="I32" s="46"/>
      <c r="J32" s="44"/>
      <c r="K32" s="46"/>
      <c r="L32" s="46"/>
      <c r="M32" s="46"/>
      <c r="N32" s="48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98"/>
      <c r="I33" s="27"/>
      <c r="J33" s="41"/>
      <c r="K33" s="27"/>
      <c r="L33" s="27"/>
      <c r="M33" s="98"/>
      <c r="N33" s="191"/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75"/>
      <c r="I34" s="46"/>
      <c r="J34" s="44"/>
      <c r="K34" s="46"/>
      <c r="L34" s="46"/>
      <c r="M34" s="75"/>
      <c r="N34" s="192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/>
      <c r="I35" s="27"/>
      <c r="J35" s="41"/>
      <c r="K35" s="27"/>
      <c r="L35" s="27"/>
      <c r="M35" s="27"/>
      <c r="N35" s="172"/>
    </row>
    <row r="36" spans="1:14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44"/>
      <c r="K36" s="46"/>
      <c r="L36" s="46"/>
      <c r="M36" s="46"/>
      <c r="N36" s="173"/>
    </row>
    <row r="37" spans="1:14" s="1" customFormat="1" ht="14.1" customHeight="1">
      <c r="A37" s="52">
        <v>18</v>
      </c>
      <c r="B37" s="36" t="s">
        <v>99</v>
      </c>
      <c r="C37" s="37"/>
      <c r="D37" s="76" t="s">
        <v>22</v>
      </c>
      <c r="E37" s="77"/>
      <c r="F37" s="77"/>
      <c r="G37" s="78"/>
      <c r="H37" s="27">
        <f>SUM(I37)-0.5</f>
        <v>7</v>
      </c>
      <c r="I37" s="27">
        <f>SUM(J37)-0.5</f>
        <v>7.5</v>
      </c>
      <c r="J37" s="125">
        <v>8</v>
      </c>
      <c r="K37" s="114">
        <f>SUM(J37)+0.5</f>
        <v>8.5</v>
      </c>
      <c r="L37" s="114">
        <f>SUM(K37)+0.5</f>
        <v>9</v>
      </c>
      <c r="M37" s="114">
        <f>SUM(L37)+0.5</f>
        <v>9.5</v>
      </c>
      <c r="N37" s="162">
        <f>SUM(M37)+0.5</f>
        <v>10</v>
      </c>
    </row>
    <row r="38" spans="1:14" s="1" customFormat="1" ht="14.1" customHeight="1">
      <c r="A38" s="53"/>
      <c r="B38" s="57" t="s">
        <v>52</v>
      </c>
      <c r="C38" s="58"/>
      <c r="D38" s="59" t="s">
        <v>98</v>
      </c>
      <c r="E38" s="60"/>
      <c r="F38" s="60"/>
      <c r="G38" s="61"/>
      <c r="H38" s="46"/>
      <c r="I38" s="46"/>
      <c r="J38" s="125"/>
      <c r="K38" s="114"/>
      <c r="L38" s="114"/>
      <c r="M38" s="114"/>
      <c r="N38" s="162"/>
    </row>
    <row r="39" spans="1:14" s="1" customFormat="1" ht="14.1" customHeight="1">
      <c r="A39" s="52">
        <v>19</v>
      </c>
      <c r="B39" s="36" t="s">
        <v>97</v>
      </c>
      <c r="C39" s="37"/>
      <c r="D39" s="76" t="s">
        <v>23</v>
      </c>
      <c r="E39" s="77"/>
      <c r="F39" s="77"/>
      <c r="G39" s="78"/>
      <c r="H39" s="27">
        <f>SUM(I39)-0.3</f>
        <v>5.4</v>
      </c>
      <c r="I39" s="27">
        <f>SUM(J39)-0.3</f>
        <v>5.7</v>
      </c>
      <c r="J39" s="41">
        <v>6</v>
      </c>
      <c r="K39" s="27">
        <f>SUM(J39)+0.3</f>
        <v>6.3</v>
      </c>
      <c r="L39" s="27">
        <f>SUM(K39)+0.3</f>
        <v>6.6</v>
      </c>
      <c r="M39" s="27">
        <f>SUM(L39)+0.3</f>
        <v>6.8999999999999995</v>
      </c>
      <c r="N39" s="62">
        <f>SUM(M39)+0.3</f>
        <v>7.1999999999999993</v>
      </c>
    </row>
    <row r="40" spans="1:14" s="1" customFormat="1" ht="14.1" customHeight="1">
      <c r="A40" s="53"/>
      <c r="B40" s="57" t="s">
        <v>51</v>
      </c>
      <c r="C40" s="58"/>
      <c r="D40" s="59" t="s">
        <v>96</v>
      </c>
      <c r="E40" s="60"/>
      <c r="F40" s="60"/>
      <c r="G40" s="61"/>
      <c r="H40" s="46"/>
      <c r="I40" s="46"/>
      <c r="J40" s="44"/>
      <c r="K40" s="46"/>
      <c r="L40" s="46"/>
      <c r="M40" s="46"/>
      <c r="N40" s="48"/>
    </row>
    <row r="41" spans="1:14" s="1" customFormat="1" ht="14.1" customHeight="1">
      <c r="A41" s="52">
        <v>20</v>
      </c>
      <c r="B41" s="36" t="s">
        <v>95</v>
      </c>
      <c r="C41" s="37"/>
      <c r="D41" s="124"/>
      <c r="E41" s="124"/>
      <c r="F41" s="124"/>
      <c r="G41" s="124"/>
      <c r="H41" s="27">
        <f>SUM(I41)-0.5</f>
        <v>10.5</v>
      </c>
      <c r="I41" s="27">
        <f>SUM(J41)-0.5</f>
        <v>11</v>
      </c>
      <c r="J41" s="41">
        <v>11.5</v>
      </c>
      <c r="K41" s="27">
        <f>SUM(J41)+0.5</f>
        <v>12</v>
      </c>
      <c r="L41" s="27">
        <f>SUM(K41)+0.5</f>
        <v>12.5</v>
      </c>
      <c r="M41" s="27">
        <f>SUM(L41)+0.5</f>
        <v>13</v>
      </c>
      <c r="N41" s="172">
        <f>SUM(M41)+0.5</f>
        <v>13.5</v>
      </c>
    </row>
    <row r="42" spans="1:14" s="1" customFormat="1" ht="14.1" customHeight="1">
      <c r="A42" s="53"/>
      <c r="B42" s="127" t="s">
        <v>94</v>
      </c>
      <c r="C42" s="128"/>
      <c r="D42" s="79"/>
      <c r="E42" s="80"/>
      <c r="F42" s="80"/>
      <c r="G42" s="81"/>
      <c r="H42" s="46"/>
      <c r="I42" s="46"/>
      <c r="J42" s="44"/>
      <c r="K42" s="46"/>
      <c r="L42" s="46"/>
      <c r="M42" s="46"/>
      <c r="N42" s="173"/>
    </row>
    <row r="43" spans="1:14" s="1" customFormat="1" ht="14.1" customHeight="1">
      <c r="A43" s="52">
        <v>21</v>
      </c>
      <c r="B43" s="36" t="s">
        <v>93</v>
      </c>
      <c r="C43" s="37"/>
      <c r="D43" s="124"/>
      <c r="E43" s="124"/>
      <c r="F43" s="124"/>
      <c r="G43" s="124"/>
      <c r="H43" s="27">
        <f>SUM(I43)-0.5</f>
        <v>11</v>
      </c>
      <c r="I43" s="27">
        <f>SUM(J43)-0.5</f>
        <v>11.5</v>
      </c>
      <c r="J43" s="41">
        <v>12</v>
      </c>
      <c r="K43" s="27">
        <f>SUM(J43)+0.5</f>
        <v>12.5</v>
      </c>
      <c r="L43" s="27">
        <f>SUM(K43)+0.5</f>
        <v>13</v>
      </c>
      <c r="M43" s="27">
        <f>SUM(L43)+0.5</f>
        <v>13.5</v>
      </c>
      <c r="N43" s="172">
        <f>SUM(M43)+0.5</f>
        <v>14</v>
      </c>
    </row>
    <row r="44" spans="1:14" s="1" customFormat="1" ht="14.1" customHeight="1">
      <c r="A44" s="52"/>
      <c r="B44" s="153" t="s">
        <v>92</v>
      </c>
      <c r="C44" s="153"/>
      <c r="D44" s="102"/>
      <c r="E44" s="103"/>
      <c r="F44" s="103"/>
      <c r="G44" s="104"/>
      <c r="H44" s="45"/>
      <c r="I44" s="45"/>
      <c r="J44" s="43"/>
      <c r="K44" s="45"/>
      <c r="L44" s="45"/>
      <c r="M44" s="45"/>
      <c r="N44" s="189"/>
    </row>
    <row r="45" spans="1:14" s="1" customFormat="1" ht="14.1" customHeight="1">
      <c r="A45" s="34">
        <v>22</v>
      </c>
      <c r="B45" s="36"/>
      <c r="C45" s="37"/>
      <c r="D45" s="124"/>
      <c r="E45" s="124"/>
      <c r="F45" s="124"/>
      <c r="G45" s="124"/>
      <c r="H45" s="98"/>
      <c r="I45" s="27"/>
      <c r="J45" s="41"/>
      <c r="K45" s="27"/>
      <c r="L45" s="27"/>
      <c r="M45" s="27"/>
      <c r="N45" s="172"/>
    </row>
    <row r="46" spans="1:14" ht="14.1" customHeight="1">
      <c r="A46" s="53"/>
      <c r="B46" s="127"/>
      <c r="C46" s="128"/>
      <c r="D46" s="79"/>
      <c r="E46" s="80"/>
      <c r="F46" s="80"/>
      <c r="G46" s="81"/>
      <c r="H46" s="75"/>
      <c r="I46" s="46"/>
      <c r="J46" s="44"/>
      <c r="K46" s="46"/>
      <c r="L46" s="46"/>
      <c r="M46" s="46"/>
      <c r="N46" s="173"/>
    </row>
    <row r="47" spans="1:14" ht="14.1" customHeight="1">
      <c r="A47" s="52">
        <v>23</v>
      </c>
      <c r="B47" s="36"/>
      <c r="C47" s="37"/>
      <c r="D47" s="124"/>
      <c r="E47" s="124"/>
      <c r="F47" s="124"/>
      <c r="G47" s="124"/>
      <c r="H47" s="27"/>
      <c r="I47" s="27"/>
      <c r="J47" s="41"/>
      <c r="K47" s="27"/>
      <c r="L47" s="27"/>
      <c r="M47" s="207"/>
      <c r="N47" s="62"/>
    </row>
    <row r="48" spans="1:14" ht="14.1" customHeight="1">
      <c r="A48" s="53"/>
      <c r="B48" s="153"/>
      <c r="C48" s="153"/>
      <c r="D48" s="102"/>
      <c r="E48" s="103"/>
      <c r="F48" s="103"/>
      <c r="G48" s="104"/>
      <c r="H48" s="45"/>
      <c r="I48" s="45"/>
      <c r="J48" s="43"/>
      <c r="K48" s="45"/>
      <c r="L48" s="45"/>
      <c r="M48" s="63"/>
      <c r="N48" s="47"/>
    </row>
    <row r="49" spans="1:14" ht="14.1" customHeight="1">
      <c r="A49" s="52">
        <v>24</v>
      </c>
      <c r="B49" s="36"/>
      <c r="C49" s="37"/>
      <c r="D49" s="124"/>
      <c r="E49" s="124"/>
      <c r="F49" s="124"/>
      <c r="G49" s="124"/>
      <c r="H49" s="27"/>
      <c r="I49" s="27"/>
      <c r="J49" s="41"/>
      <c r="K49" s="27"/>
      <c r="L49" s="27"/>
      <c r="M49" s="207"/>
      <c r="N49" s="62"/>
    </row>
    <row r="50" spans="1:14" ht="14.1" customHeight="1">
      <c r="A50" s="52"/>
      <c r="B50" s="153"/>
      <c r="C50" s="153"/>
      <c r="D50" s="102"/>
      <c r="E50" s="103"/>
      <c r="F50" s="103"/>
      <c r="G50" s="104"/>
      <c r="H50" s="45"/>
      <c r="I50" s="45"/>
      <c r="J50" s="43"/>
      <c r="K50" s="45"/>
      <c r="L50" s="45"/>
      <c r="M50" s="63"/>
      <c r="N50" s="47"/>
    </row>
    <row r="51" spans="1:14" ht="14.1" customHeight="1">
      <c r="A51" s="34">
        <v>25</v>
      </c>
      <c r="B51" s="36"/>
      <c r="C51" s="37"/>
      <c r="D51" s="124"/>
      <c r="E51" s="124"/>
      <c r="F51" s="124"/>
      <c r="G51" s="124"/>
      <c r="H51" s="27"/>
      <c r="I51" s="27"/>
      <c r="J51" s="41"/>
      <c r="K51" s="27"/>
      <c r="L51" s="27"/>
      <c r="M51" s="207"/>
      <c r="N51" s="62"/>
    </row>
    <row r="52" spans="1:14" ht="13.5" customHeight="1" thickBot="1">
      <c r="A52" s="35"/>
      <c r="B52" s="118"/>
      <c r="C52" s="118"/>
      <c r="D52" s="119"/>
      <c r="E52" s="120"/>
      <c r="F52" s="120"/>
      <c r="G52" s="121"/>
      <c r="H52" s="28"/>
      <c r="I52" s="28"/>
      <c r="J52" s="42"/>
      <c r="K52" s="28"/>
      <c r="L52" s="28"/>
      <c r="M52" s="109"/>
      <c r="N52" s="160"/>
    </row>
  </sheetData>
  <mergeCells count="303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2E7E-E85F-4A6B-B51E-5E01FA1E8CDF}">
  <sheetPr>
    <tabColor theme="5"/>
    <pageSetUpPr fitToPage="1"/>
  </sheetPr>
  <dimension ref="A1:N74"/>
  <sheetViews>
    <sheetView topLeftCell="A7" zoomScale="110" zoomScaleNormal="110" workbookViewId="0">
      <selection activeCell="P17" sqref="P1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85" t="s">
        <v>642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23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33" t="s">
        <v>104</v>
      </c>
      <c r="C3" s="134"/>
      <c r="D3" s="102" t="s">
        <v>67</v>
      </c>
      <c r="E3" s="103"/>
      <c r="F3" s="103"/>
      <c r="G3" s="104"/>
      <c r="H3" s="45">
        <f>SUM(I3)-3</f>
        <v>45</v>
      </c>
      <c r="I3" s="45">
        <f>SUM(J3)-3</f>
        <v>48</v>
      </c>
      <c r="J3" s="43">
        <v>51</v>
      </c>
      <c r="K3" s="45">
        <f>SUM(J3)+3</f>
        <v>54</v>
      </c>
      <c r="L3" s="45">
        <f t="shared" ref="L3:M3" si="0">SUM(K3)+3</f>
        <v>57</v>
      </c>
      <c r="M3" s="47">
        <f t="shared" si="0"/>
        <v>60</v>
      </c>
    </row>
    <row r="4" spans="1:14" s="1" customFormat="1" ht="14.1" customHeight="1">
      <c r="A4" s="122"/>
      <c r="B4" s="57" t="s">
        <v>75</v>
      </c>
      <c r="C4" s="58"/>
      <c r="D4" s="59" t="s">
        <v>68</v>
      </c>
      <c r="E4" s="60"/>
      <c r="F4" s="60"/>
      <c r="G4" s="61"/>
      <c r="H4" s="46"/>
      <c r="I4" s="46"/>
      <c r="J4" s="44"/>
      <c r="K4" s="46"/>
      <c r="L4" s="46"/>
      <c r="M4" s="48"/>
    </row>
    <row r="5" spans="1:14" s="1" customFormat="1" ht="14.1" customHeight="1">
      <c r="A5" s="138">
        <v>2</v>
      </c>
      <c r="B5" s="36" t="s">
        <v>108</v>
      </c>
      <c r="C5" s="37"/>
      <c r="D5" s="102"/>
      <c r="E5" s="103"/>
      <c r="F5" s="103"/>
      <c r="G5" s="104"/>
      <c r="H5" s="27">
        <f>SUM(I5)-3.5</f>
        <v>67.7</v>
      </c>
      <c r="I5" s="27">
        <f>SUM(J5)-3.5</f>
        <v>71.2</v>
      </c>
      <c r="J5" s="43">
        <v>74.7</v>
      </c>
      <c r="K5" s="45">
        <f>SUM(J5)+3.5</f>
        <v>78.2</v>
      </c>
      <c r="L5" s="45">
        <f>SUM(K5)+3.5</f>
        <v>81.7</v>
      </c>
      <c r="M5" s="47">
        <f>SUM(L5)+3.5</f>
        <v>85.2</v>
      </c>
    </row>
    <row r="6" spans="1:14" s="1" customFormat="1" ht="14.1" customHeight="1">
      <c r="A6" s="122"/>
      <c r="B6" s="57" t="s">
        <v>109</v>
      </c>
      <c r="C6" s="58"/>
      <c r="D6" s="59"/>
      <c r="E6" s="60"/>
      <c r="F6" s="60"/>
      <c r="G6" s="61"/>
      <c r="H6" s="46"/>
      <c r="I6" s="46"/>
      <c r="J6" s="44"/>
      <c r="K6" s="46"/>
      <c r="L6" s="46"/>
      <c r="M6" s="48"/>
    </row>
    <row r="7" spans="1:14" s="1" customFormat="1" ht="14.1" customHeight="1">
      <c r="A7" s="138">
        <v>3</v>
      </c>
      <c r="B7" s="36" t="s">
        <v>11</v>
      </c>
      <c r="C7" s="37"/>
      <c r="D7" s="76"/>
      <c r="E7" s="77"/>
      <c r="F7" s="77"/>
      <c r="G7" s="78"/>
      <c r="H7" s="27">
        <f>SUM(I7)-4</f>
        <v>73.3</v>
      </c>
      <c r="I7" s="27">
        <f>SUM(J7)-4</f>
        <v>77.3</v>
      </c>
      <c r="J7" s="41">
        <v>81.3</v>
      </c>
      <c r="K7" s="27">
        <f>SUM(J7)+4</f>
        <v>85.3</v>
      </c>
      <c r="L7" s="27">
        <f>SUM(K7)+4</f>
        <v>89.3</v>
      </c>
      <c r="M7" s="62">
        <f>SUM(L7)+4</f>
        <v>93.3</v>
      </c>
    </row>
    <row r="8" spans="1:14" s="1" customFormat="1" ht="14.1" customHeight="1">
      <c r="A8" s="122"/>
      <c r="B8" s="57" t="s">
        <v>48</v>
      </c>
      <c r="C8" s="58"/>
      <c r="D8" s="59" t="s">
        <v>480</v>
      </c>
      <c r="E8" s="60"/>
      <c r="F8" s="60"/>
      <c r="G8" s="61"/>
      <c r="H8" s="46"/>
      <c r="I8" s="46"/>
      <c r="J8" s="44"/>
      <c r="K8" s="46"/>
      <c r="L8" s="46"/>
      <c r="M8" s="48"/>
    </row>
    <row r="9" spans="1:14" s="1" customFormat="1" ht="14.1" customHeight="1">
      <c r="A9" s="138">
        <v>4</v>
      </c>
      <c r="B9" s="36" t="s">
        <v>101</v>
      </c>
      <c r="C9" s="37"/>
      <c r="D9" s="76"/>
      <c r="E9" s="77"/>
      <c r="F9" s="77"/>
      <c r="G9" s="78"/>
      <c r="H9" s="98">
        <f>SUM(I9)-0.7</f>
        <v>13.000000000000002</v>
      </c>
      <c r="I9" s="27">
        <f>SUM(J9)-0.7</f>
        <v>13.700000000000001</v>
      </c>
      <c r="J9" s="41">
        <v>14.4</v>
      </c>
      <c r="K9" s="27">
        <f>SUM(J9)+1.2</f>
        <v>15.6</v>
      </c>
      <c r="L9" s="27">
        <f t="shared" ref="L9:M9" si="1">SUM(K9)+0.7</f>
        <v>16.3</v>
      </c>
      <c r="M9" s="62">
        <f t="shared" si="1"/>
        <v>17</v>
      </c>
    </row>
    <row r="10" spans="1:14" s="1" customFormat="1" ht="14.1" customHeight="1">
      <c r="A10" s="122"/>
      <c r="B10" s="57" t="s">
        <v>100</v>
      </c>
      <c r="C10" s="58"/>
      <c r="D10" s="82" t="s">
        <v>132</v>
      </c>
      <c r="E10" s="83"/>
      <c r="F10" s="83"/>
      <c r="G10" s="84"/>
      <c r="H10" s="75"/>
      <c r="I10" s="46"/>
      <c r="J10" s="44"/>
      <c r="K10" s="46"/>
      <c r="L10" s="46"/>
      <c r="M10" s="48"/>
    </row>
    <row r="11" spans="1:14" s="1" customFormat="1" ht="14.1" customHeight="1">
      <c r="A11" s="138">
        <v>5</v>
      </c>
      <c r="B11" s="36" t="s">
        <v>119</v>
      </c>
      <c r="C11" s="37"/>
      <c r="D11" s="76"/>
      <c r="E11" s="77"/>
      <c r="F11" s="77"/>
      <c r="G11" s="78"/>
      <c r="H11" s="98"/>
      <c r="I11" s="27"/>
      <c r="J11" s="41"/>
      <c r="K11" s="27"/>
      <c r="L11" s="27"/>
      <c r="M11" s="62"/>
    </row>
    <row r="12" spans="1:14" s="1" customFormat="1" ht="14.1" customHeight="1">
      <c r="A12" s="122"/>
      <c r="B12" s="57" t="s">
        <v>120</v>
      </c>
      <c r="C12" s="58"/>
      <c r="D12" s="82" t="s">
        <v>121</v>
      </c>
      <c r="E12" s="83"/>
      <c r="F12" s="83"/>
      <c r="G12" s="84"/>
      <c r="H12" s="75"/>
      <c r="I12" s="46"/>
      <c r="J12" s="44"/>
      <c r="K12" s="46"/>
      <c r="L12" s="46"/>
      <c r="M12" s="48"/>
    </row>
    <row r="13" spans="1:14" s="1" customFormat="1" ht="14.1" customHeight="1">
      <c r="A13" s="138">
        <v>6</v>
      </c>
      <c r="B13" s="36" t="s">
        <v>131</v>
      </c>
      <c r="C13" s="37"/>
      <c r="D13" s="76"/>
      <c r="E13" s="77"/>
      <c r="F13" s="77"/>
      <c r="G13" s="78"/>
      <c r="H13" s="27"/>
      <c r="I13" s="27"/>
      <c r="J13" s="41"/>
      <c r="K13" s="27"/>
      <c r="L13" s="27"/>
      <c r="M13" s="62"/>
    </row>
    <row r="14" spans="1:14" s="1" customFormat="1" ht="14.1" customHeight="1">
      <c r="A14" s="122"/>
      <c r="B14" s="57" t="s">
        <v>130</v>
      </c>
      <c r="C14" s="58"/>
      <c r="D14" s="82"/>
      <c r="E14" s="83"/>
      <c r="F14" s="83"/>
      <c r="G14" s="84"/>
      <c r="H14" s="46"/>
      <c r="I14" s="46"/>
      <c r="J14" s="44"/>
      <c r="K14" s="46"/>
      <c r="L14" s="46"/>
      <c r="M14" s="48"/>
    </row>
    <row r="15" spans="1:14" s="1" customFormat="1" ht="14.1" customHeight="1">
      <c r="A15" s="138">
        <v>7</v>
      </c>
      <c r="B15" s="36" t="s">
        <v>9</v>
      </c>
      <c r="C15" s="37"/>
      <c r="D15" s="76" t="s">
        <v>69</v>
      </c>
      <c r="E15" s="77"/>
      <c r="F15" s="77"/>
      <c r="G15" s="78"/>
      <c r="H15" s="27">
        <f>SUM(I15)-7</f>
        <v>52.900000000000006</v>
      </c>
      <c r="I15" s="27">
        <f>SUM(J15)-7</f>
        <v>59.900000000000006</v>
      </c>
      <c r="J15" s="41">
        <v>66.900000000000006</v>
      </c>
      <c r="K15" s="27">
        <f>SUM(J15)+6</f>
        <v>72.900000000000006</v>
      </c>
      <c r="L15" s="27">
        <f>SUM(K15)+6</f>
        <v>78.900000000000006</v>
      </c>
      <c r="M15" s="62">
        <f>SUM(L15)+6</f>
        <v>84.9</v>
      </c>
    </row>
    <row r="16" spans="1:14" s="1" customFormat="1" ht="14.1" customHeight="1">
      <c r="A16" s="122"/>
      <c r="B16" s="57" t="s">
        <v>49</v>
      </c>
      <c r="C16" s="58"/>
      <c r="D16" s="59" t="s">
        <v>87</v>
      </c>
      <c r="E16" s="60"/>
      <c r="F16" s="60"/>
      <c r="G16" s="61"/>
      <c r="H16" s="46"/>
      <c r="I16" s="46"/>
      <c r="J16" s="44"/>
      <c r="K16" s="46"/>
      <c r="L16" s="46"/>
      <c r="M16" s="48"/>
    </row>
    <row r="17" spans="1:13" s="1" customFormat="1" ht="14.1" customHeight="1">
      <c r="A17" s="138">
        <v>8</v>
      </c>
      <c r="B17" s="36" t="s">
        <v>14</v>
      </c>
      <c r="C17" s="37"/>
      <c r="D17" s="76" t="s">
        <v>15</v>
      </c>
      <c r="E17" s="77"/>
      <c r="F17" s="77"/>
      <c r="G17" s="78"/>
      <c r="H17" s="27">
        <f>SUM(I17)-2</f>
        <v>42</v>
      </c>
      <c r="I17" s="27">
        <f>SUM(J17)-2</f>
        <v>44</v>
      </c>
      <c r="J17" s="41">
        <v>46</v>
      </c>
      <c r="K17" s="27">
        <f>SUM(J17)+2</f>
        <v>48</v>
      </c>
      <c r="L17" s="27">
        <f t="shared" ref="L17:M17" si="2">SUM(K17)+2</f>
        <v>50</v>
      </c>
      <c r="M17" s="62">
        <f t="shared" si="2"/>
        <v>52</v>
      </c>
    </row>
    <row r="18" spans="1:13" s="1" customFormat="1" ht="14.1" customHeight="1">
      <c r="A18" s="122"/>
      <c r="B18" s="57" t="s">
        <v>50</v>
      </c>
      <c r="C18" s="58"/>
      <c r="D18" s="79" t="s">
        <v>86</v>
      </c>
      <c r="E18" s="80"/>
      <c r="F18" s="80"/>
      <c r="G18" s="81"/>
      <c r="H18" s="46"/>
      <c r="I18" s="46"/>
      <c r="J18" s="44"/>
      <c r="K18" s="46"/>
      <c r="L18" s="46"/>
      <c r="M18" s="48"/>
    </row>
    <row r="19" spans="1:13" s="1" customFormat="1" ht="14.1" customHeight="1">
      <c r="A19" s="138">
        <v>9</v>
      </c>
      <c r="B19" s="36" t="s">
        <v>16</v>
      </c>
      <c r="C19" s="37"/>
      <c r="D19" s="76" t="s">
        <v>13</v>
      </c>
      <c r="E19" s="77"/>
      <c r="F19" s="77"/>
      <c r="G19" s="78"/>
      <c r="H19" s="98">
        <f>SUM(I19)-1.1</f>
        <v>21.099999999999998</v>
      </c>
      <c r="I19" s="27">
        <f>SUM(J19)-1.1</f>
        <v>22.2</v>
      </c>
      <c r="J19" s="41">
        <v>23.3</v>
      </c>
      <c r="K19" s="27">
        <f>SUM(J19)+1.6</f>
        <v>24.900000000000002</v>
      </c>
      <c r="L19" s="27">
        <f>SUM(K19)+1.1</f>
        <v>26.000000000000004</v>
      </c>
      <c r="M19" s="62">
        <f>SUM(L19)+1.1</f>
        <v>27.100000000000005</v>
      </c>
    </row>
    <row r="20" spans="1:13" s="1" customFormat="1" ht="14.1" customHeight="1">
      <c r="A20" s="122"/>
      <c r="B20" s="57" t="s">
        <v>56</v>
      </c>
      <c r="C20" s="58"/>
      <c r="D20" s="59" t="s">
        <v>85</v>
      </c>
      <c r="E20" s="60"/>
      <c r="F20" s="60"/>
      <c r="G20" s="61"/>
      <c r="H20" s="75"/>
      <c r="I20" s="46"/>
      <c r="J20" s="44"/>
      <c r="K20" s="46"/>
      <c r="L20" s="46"/>
      <c r="M20" s="48"/>
    </row>
    <row r="21" spans="1:13" s="1" customFormat="1" ht="14.1" customHeight="1">
      <c r="A21" s="138">
        <v>10</v>
      </c>
      <c r="B21" s="36" t="s">
        <v>17</v>
      </c>
      <c r="C21" s="37"/>
      <c r="D21" s="76" t="s">
        <v>13</v>
      </c>
      <c r="E21" s="77"/>
      <c r="F21" s="77"/>
      <c r="G21" s="78"/>
      <c r="H21" s="98">
        <f>SUM(I21)-1.3</f>
        <v>28.7</v>
      </c>
      <c r="I21" s="27">
        <f>SUM(J21)-1.3</f>
        <v>30</v>
      </c>
      <c r="J21" s="41">
        <v>31.3</v>
      </c>
      <c r="K21" s="27">
        <f>SUM(J21)+1.8</f>
        <v>33.1</v>
      </c>
      <c r="L21" s="27">
        <f>SUM(K21)+1.3</f>
        <v>34.4</v>
      </c>
      <c r="M21" s="62">
        <f>SUM(L21)+1.3</f>
        <v>35.699999999999996</v>
      </c>
    </row>
    <row r="22" spans="1:13" s="1" customFormat="1" ht="14.1" customHeight="1">
      <c r="A22" s="122"/>
      <c r="B22" s="57" t="s">
        <v>55</v>
      </c>
      <c r="C22" s="58"/>
      <c r="D22" s="59" t="s">
        <v>85</v>
      </c>
      <c r="E22" s="60"/>
      <c r="F22" s="60"/>
      <c r="G22" s="61"/>
      <c r="H22" s="75"/>
      <c r="I22" s="46"/>
      <c r="J22" s="44"/>
      <c r="K22" s="46"/>
      <c r="L22" s="46"/>
      <c r="M22" s="48"/>
    </row>
    <row r="23" spans="1:13" s="1" customFormat="1" ht="14.1" customHeight="1">
      <c r="A23" s="138">
        <v>11</v>
      </c>
      <c r="B23" s="36" t="s">
        <v>18</v>
      </c>
      <c r="C23" s="37"/>
      <c r="D23" s="76" t="s">
        <v>19</v>
      </c>
      <c r="E23" s="77"/>
      <c r="F23" s="77"/>
      <c r="G23" s="78"/>
      <c r="H23" s="27">
        <f>SUM(I23)-2.7</f>
        <v>46.899999999999991</v>
      </c>
      <c r="I23" s="27">
        <f>SUM(J23)-2.7</f>
        <v>49.599999999999994</v>
      </c>
      <c r="J23" s="41">
        <v>52.3</v>
      </c>
      <c r="K23" s="27">
        <f>SUM(J23)+2.6</f>
        <v>54.9</v>
      </c>
      <c r="L23" s="27">
        <f>SUM(K23)+2.6</f>
        <v>57.5</v>
      </c>
      <c r="M23" s="62">
        <f>SUM(L23)+2.6</f>
        <v>60.1</v>
      </c>
    </row>
    <row r="24" spans="1:13" s="1" customFormat="1" ht="14.1" customHeight="1">
      <c r="A24" s="122"/>
      <c r="B24" s="57" t="s">
        <v>54</v>
      </c>
      <c r="C24" s="58"/>
      <c r="D24" s="59" t="s">
        <v>84</v>
      </c>
      <c r="E24" s="60"/>
      <c r="F24" s="60"/>
      <c r="G24" s="61"/>
      <c r="H24" s="46"/>
      <c r="I24" s="46"/>
      <c r="J24" s="44"/>
      <c r="K24" s="46"/>
      <c r="L24" s="46"/>
      <c r="M24" s="48"/>
    </row>
    <row r="25" spans="1:13" s="1" customFormat="1" ht="14.1" customHeight="1">
      <c r="A25" s="138">
        <v>12</v>
      </c>
      <c r="B25" s="36" t="s">
        <v>20</v>
      </c>
      <c r="C25" s="37"/>
      <c r="D25" s="76" t="s">
        <v>21</v>
      </c>
      <c r="E25" s="77"/>
      <c r="F25" s="77"/>
      <c r="G25" s="78"/>
      <c r="H25" s="27">
        <f>SUM(I25)-6</f>
        <v>32.700000000000003</v>
      </c>
      <c r="I25" s="27">
        <f>SUM(J25)-6</f>
        <v>38.700000000000003</v>
      </c>
      <c r="J25" s="41">
        <v>44.7</v>
      </c>
      <c r="K25" s="27">
        <f>SUM(J25)+4.5</f>
        <v>49.2</v>
      </c>
      <c r="L25" s="27">
        <f>SUM(K25)+5</f>
        <v>54.2</v>
      </c>
      <c r="M25" s="62">
        <f>SUM(L25)+5</f>
        <v>59.2</v>
      </c>
    </row>
    <row r="26" spans="1:13" s="1" customFormat="1" ht="14.1" customHeight="1">
      <c r="A26" s="122"/>
      <c r="B26" s="57" t="s">
        <v>53</v>
      </c>
      <c r="C26" s="58"/>
      <c r="D26" s="59" t="s">
        <v>83</v>
      </c>
      <c r="E26" s="60"/>
      <c r="F26" s="60"/>
      <c r="G26" s="61"/>
      <c r="H26" s="46"/>
      <c r="I26" s="46"/>
      <c r="J26" s="44"/>
      <c r="K26" s="46"/>
      <c r="L26" s="46"/>
      <c r="M26" s="48"/>
    </row>
    <row r="27" spans="1:13" s="1" customFormat="1" ht="14.1" customHeight="1">
      <c r="A27" s="138">
        <v>13</v>
      </c>
      <c r="B27" s="36" t="s">
        <v>82</v>
      </c>
      <c r="C27" s="37"/>
      <c r="D27" s="76" t="s">
        <v>80</v>
      </c>
      <c r="E27" s="77"/>
      <c r="F27" s="77"/>
      <c r="G27" s="78"/>
      <c r="H27" s="27">
        <f>SUM(I27)-2.1</f>
        <v>44</v>
      </c>
      <c r="I27" s="27">
        <f>SUM(J27)-2.1</f>
        <v>46.1</v>
      </c>
      <c r="J27" s="41">
        <v>48.2</v>
      </c>
      <c r="K27" s="27">
        <f>SUM(J27)+2.1</f>
        <v>50.300000000000004</v>
      </c>
      <c r="L27" s="27">
        <f t="shared" ref="L27:M27" si="3">SUM(K27)+2.1</f>
        <v>52.400000000000006</v>
      </c>
      <c r="M27" s="62">
        <f t="shared" si="3"/>
        <v>54.500000000000007</v>
      </c>
    </row>
    <row r="28" spans="1:13" s="1" customFormat="1" ht="14.1" customHeight="1">
      <c r="A28" s="122"/>
      <c r="B28" s="57" t="s">
        <v>81</v>
      </c>
      <c r="C28" s="58"/>
      <c r="D28" s="59" t="s">
        <v>80</v>
      </c>
      <c r="E28" s="60"/>
      <c r="F28" s="60"/>
      <c r="G28" s="61"/>
      <c r="H28" s="46"/>
      <c r="I28" s="46"/>
      <c r="J28" s="44"/>
      <c r="K28" s="46"/>
      <c r="L28" s="46"/>
      <c r="M28" s="48"/>
    </row>
    <row r="29" spans="1:13" s="1" customFormat="1" ht="14.1" customHeight="1">
      <c r="A29" s="138">
        <v>14</v>
      </c>
      <c r="B29" s="36" t="s">
        <v>79</v>
      </c>
      <c r="C29" s="37"/>
      <c r="D29" s="76" t="s">
        <v>78</v>
      </c>
      <c r="E29" s="77"/>
      <c r="F29" s="77"/>
      <c r="G29" s="78"/>
      <c r="H29" s="27">
        <f>SUM(I29)-3.3</f>
        <v>32.500000000000007</v>
      </c>
      <c r="I29" s="27">
        <f>SUM(J29)-3.3</f>
        <v>35.800000000000004</v>
      </c>
      <c r="J29" s="41">
        <v>39.1</v>
      </c>
      <c r="K29" s="27">
        <f>SUM(J29)+3.2</f>
        <v>42.300000000000004</v>
      </c>
      <c r="L29" s="27">
        <f>SUM(K29)+2.9</f>
        <v>45.2</v>
      </c>
      <c r="M29" s="62">
        <f>SUM(L29)+2.9</f>
        <v>48.1</v>
      </c>
    </row>
    <row r="30" spans="1:13" s="1" customFormat="1" ht="14.1" customHeight="1">
      <c r="A30" s="122"/>
      <c r="B30" s="57" t="s">
        <v>77</v>
      </c>
      <c r="C30" s="58"/>
      <c r="D30" s="59" t="s">
        <v>111</v>
      </c>
      <c r="E30" s="60"/>
      <c r="F30" s="60"/>
      <c r="G30" s="61"/>
      <c r="H30" s="46"/>
      <c r="I30" s="46"/>
      <c r="J30" s="44"/>
      <c r="K30" s="46"/>
      <c r="L30" s="46"/>
      <c r="M30" s="48"/>
    </row>
    <row r="31" spans="1:13" ht="14.1" customHeight="1">
      <c r="A31" s="138">
        <v>15</v>
      </c>
      <c r="B31" s="36" t="s">
        <v>99</v>
      </c>
      <c r="C31" s="37"/>
      <c r="D31" s="76" t="s">
        <v>22</v>
      </c>
      <c r="E31" s="77"/>
      <c r="F31" s="77"/>
      <c r="G31" s="78"/>
      <c r="H31" s="27">
        <f>SUM(I31)-0.2</f>
        <v>4.1999999999999993</v>
      </c>
      <c r="I31" s="27">
        <f>SUM(J31)-0.2</f>
        <v>4.3999999999999995</v>
      </c>
      <c r="J31" s="125">
        <v>4.5999999999999996</v>
      </c>
      <c r="K31" s="114">
        <f>SUM(J31)+0.2</f>
        <v>4.8</v>
      </c>
      <c r="L31" s="114">
        <f t="shared" ref="L31:M31" si="4">SUM(K31)+0.2</f>
        <v>5</v>
      </c>
      <c r="M31" s="162">
        <f t="shared" si="4"/>
        <v>5.2</v>
      </c>
    </row>
    <row r="32" spans="1:13" ht="14.1" customHeight="1">
      <c r="A32" s="122"/>
      <c r="B32" s="57" t="s">
        <v>52</v>
      </c>
      <c r="C32" s="58"/>
      <c r="D32" s="59" t="s">
        <v>98</v>
      </c>
      <c r="E32" s="60"/>
      <c r="F32" s="60"/>
      <c r="G32" s="61"/>
      <c r="H32" s="46"/>
      <c r="I32" s="46"/>
      <c r="J32" s="125"/>
      <c r="K32" s="114"/>
      <c r="L32" s="114"/>
      <c r="M32" s="162"/>
    </row>
    <row r="33" spans="1:13" ht="14.1" customHeight="1">
      <c r="A33" s="138">
        <v>16</v>
      </c>
      <c r="B33" s="36" t="s">
        <v>97</v>
      </c>
      <c r="C33" s="37"/>
      <c r="D33" s="76" t="s">
        <v>23</v>
      </c>
      <c r="E33" s="77"/>
      <c r="F33" s="77"/>
      <c r="G33" s="78"/>
      <c r="H33" s="27">
        <f>SUM(I33)-0.6</f>
        <v>9.8000000000000007</v>
      </c>
      <c r="I33" s="27">
        <f>SUM(J33)-0.6</f>
        <v>10.4</v>
      </c>
      <c r="J33" s="125">
        <v>11</v>
      </c>
      <c r="K33" s="114">
        <f>SUM(J33)+0.6</f>
        <v>11.6</v>
      </c>
      <c r="L33" s="114">
        <f t="shared" ref="L33:M33" si="5">SUM(K33)+0.6</f>
        <v>12.2</v>
      </c>
      <c r="M33" s="162">
        <f t="shared" si="5"/>
        <v>12.799999999999999</v>
      </c>
    </row>
    <row r="34" spans="1:13" ht="14.1" customHeight="1">
      <c r="A34" s="122"/>
      <c r="B34" s="57" t="s">
        <v>51</v>
      </c>
      <c r="C34" s="58"/>
      <c r="D34" s="59" t="s">
        <v>96</v>
      </c>
      <c r="E34" s="60"/>
      <c r="F34" s="60"/>
      <c r="G34" s="61"/>
      <c r="H34" s="46"/>
      <c r="I34" s="46"/>
      <c r="J34" s="125"/>
      <c r="K34" s="114"/>
      <c r="L34" s="114"/>
      <c r="M34" s="162"/>
    </row>
    <row r="35" spans="1:13" ht="14.1" customHeight="1">
      <c r="A35" s="138">
        <v>17</v>
      </c>
      <c r="B35" s="36" t="s">
        <v>95</v>
      </c>
      <c r="C35" s="37"/>
      <c r="D35" s="124"/>
      <c r="E35" s="124"/>
      <c r="F35" s="124"/>
      <c r="G35" s="124"/>
      <c r="H35" s="27">
        <f>SUM(I35)-0.5</f>
        <v>10.5</v>
      </c>
      <c r="I35" s="27">
        <f>SUM(J35)-0.5</f>
        <v>11</v>
      </c>
      <c r="J35" s="41">
        <v>11.5</v>
      </c>
      <c r="K35" s="27">
        <f>SUM(J35)+0.5</f>
        <v>12</v>
      </c>
      <c r="L35" s="27">
        <f>SUM(K35)+0.5</f>
        <v>12.5</v>
      </c>
      <c r="M35" s="62">
        <f>SUM(L35)+0.5</f>
        <v>13</v>
      </c>
    </row>
    <row r="36" spans="1:13" ht="14.1" customHeight="1">
      <c r="A36" s="122"/>
      <c r="B36" s="127" t="s">
        <v>94</v>
      </c>
      <c r="C36" s="128"/>
      <c r="D36" s="79"/>
      <c r="E36" s="80"/>
      <c r="F36" s="80"/>
      <c r="G36" s="81"/>
      <c r="H36" s="46"/>
      <c r="I36" s="46"/>
      <c r="J36" s="44"/>
      <c r="K36" s="46"/>
      <c r="L36" s="46"/>
      <c r="M36" s="48"/>
    </row>
    <row r="37" spans="1:13" ht="14.1" customHeight="1">
      <c r="A37" s="138">
        <v>18</v>
      </c>
      <c r="B37" s="36" t="s">
        <v>93</v>
      </c>
      <c r="C37" s="37"/>
      <c r="D37" s="124"/>
      <c r="E37" s="124"/>
      <c r="F37" s="124"/>
      <c r="G37" s="124"/>
      <c r="H37" s="27">
        <f>SUM(I37)-0.5</f>
        <v>11</v>
      </c>
      <c r="I37" s="27">
        <f>SUM(J37)-0.5</f>
        <v>11.5</v>
      </c>
      <c r="J37" s="41">
        <v>12</v>
      </c>
      <c r="K37" s="27">
        <f>SUM(J37)+0.5</f>
        <v>12.5</v>
      </c>
      <c r="L37" s="27">
        <f>SUM(K37)+0.5</f>
        <v>13</v>
      </c>
      <c r="M37" s="62">
        <f>SUM(L37)+0.5</f>
        <v>13.5</v>
      </c>
    </row>
    <row r="38" spans="1:13" ht="14.1" customHeight="1">
      <c r="A38" s="122"/>
      <c r="B38" s="153" t="s">
        <v>92</v>
      </c>
      <c r="C38" s="153"/>
      <c r="D38" s="102"/>
      <c r="E38" s="103"/>
      <c r="F38" s="103"/>
      <c r="G38" s="104"/>
      <c r="H38" s="45"/>
      <c r="I38" s="45"/>
      <c r="J38" s="43"/>
      <c r="K38" s="45"/>
      <c r="L38" s="45"/>
      <c r="M38" s="47"/>
    </row>
    <row r="39" spans="1:13" ht="14.1" customHeight="1">
      <c r="A39" s="138">
        <v>19</v>
      </c>
      <c r="B39" s="36" t="s">
        <v>148</v>
      </c>
      <c r="C39" s="37"/>
      <c r="D39" s="124"/>
      <c r="E39" s="124"/>
      <c r="F39" s="124"/>
      <c r="G39" s="124"/>
      <c r="H39" s="27">
        <f>SUM(I39)-3</f>
        <v>81</v>
      </c>
      <c r="I39" s="27">
        <f>SUM(J39)-3</f>
        <v>84</v>
      </c>
      <c r="J39" s="41">
        <v>87</v>
      </c>
      <c r="K39" s="27">
        <f>SUM(J39)+3</f>
        <v>90</v>
      </c>
      <c r="L39" s="27">
        <f t="shared" ref="L39:M39" si="6">SUM(K39)+3</f>
        <v>93</v>
      </c>
      <c r="M39" s="62">
        <f t="shared" si="6"/>
        <v>96</v>
      </c>
    </row>
    <row r="40" spans="1:13" ht="14.1" customHeight="1">
      <c r="A40" s="122"/>
      <c r="B40" s="153" t="s">
        <v>149</v>
      </c>
      <c r="C40" s="153"/>
      <c r="D40" s="102" t="s">
        <v>581</v>
      </c>
      <c r="E40" s="103"/>
      <c r="F40" s="103"/>
      <c r="G40" s="104"/>
      <c r="H40" s="46"/>
      <c r="I40" s="46"/>
      <c r="J40" s="44"/>
      <c r="K40" s="46"/>
      <c r="L40" s="46"/>
      <c r="M40" s="48"/>
    </row>
    <row r="41" spans="1:13" ht="14.1" customHeight="1">
      <c r="A41" s="138">
        <v>20</v>
      </c>
      <c r="B41" s="36" t="s">
        <v>115</v>
      </c>
      <c r="C41" s="37"/>
      <c r="D41" s="76"/>
      <c r="E41" s="77"/>
      <c r="F41" s="77"/>
      <c r="G41" s="78"/>
      <c r="H41" s="27">
        <f>SUM(I41)-0.1</f>
        <v>3.8</v>
      </c>
      <c r="I41" s="27">
        <f>SUM(J41)-0.1</f>
        <v>3.9</v>
      </c>
      <c r="J41" s="41">
        <v>4</v>
      </c>
      <c r="K41" s="27">
        <f>SUM(J41)+0.1</f>
        <v>4.0999999999999996</v>
      </c>
      <c r="L41" s="27">
        <f t="shared" ref="L41:M41" si="7">SUM(K41)+0.1</f>
        <v>4.1999999999999993</v>
      </c>
      <c r="M41" s="62">
        <f t="shared" si="7"/>
        <v>4.2999999999999989</v>
      </c>
    </row>
    <row r="42" spans="1:13" ht="14.1" customHeight="1" thickBot="1">
      <c r="A42" s="123"/>
      <c r="B42" s="143" t="s">
        <v>123</v>
      </c>
      <c r="C42" s="144"/>
      <c r="D42" s="111" t="s">
        <v>231</v>
      </c>
      <c r="E42" s="112"/>
      <c r="F42" s="112"/>
      <c r="G42" s="113"/>
      <c r="H42" s="28"/>
      <c r="I42" s="28"/>
      <c r="J42" s="42"/>
      <c r="K42" s="28"/>
      <c r="L42" s="28"/>
      <c r="M42" s="160"/>
    </row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3.5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223">
    <mergeCell ref="J41:J42"/>
    <mergeCell ref="K41:K42"/>
    <mergeCell ref="L41:L42"/>
    <mergeCell ref="M41:M42"/>
    <mergeCell ref="B42:C42"/>
    <mergeCell ref="D42:G42"/>
    <mergeCell ref="K39:K40"/>
    <mergeCell ref="L39:L40"/>
    <mergeCell ref="M39:M40"/>
    <mergeCell ref="B40:C40"/>
    <mergeCell ref="D40:G40"/>
    <mergeCell ref="J39:J40"/>
    <mergeCell ref="A41:A42"/>
    <mergeCell ref="B41:C41"/>
    <mergeCell ref="D41:G41"/>
    <mergeCell ref="H41:H42"/>
    <mergeCell ref="I41:I42"/>
    <mergeCell ref="A39:A40"/>
    <mergeCell ref="B39:C39"/>
    <mergeCell ref="D39:G39"/>
    <mergeCell ref="H39:H40"/>
    <mergeCell ref="I39:I40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3:J14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K9:K10"/>
    <mergeCell ref="L9:L10"/>
    <mergeCell ref="M9:M10"/>
    <mergeCell ref="B10:C10"/>
    <mergeCell ref="D10:G10"/>
    <mergeCell ref="K7:K8"/>
    <mergeCell ref="L7:L8"/>
    <mergeCell ref="M7:M8"/>
    <mergeCell ref="B8:C8"/>
    <mergeCell ref="D8:G8"/>
    <mergeCell ref="J7:J8"/>
    <mergeCell ref="J3:J4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9:J10"/>
    <mergeCell ref="A1:M1"/>
    <mergeCell ref="B2:C2"/>
    <mergeCell ref="D2:G2"/>
    <mergeCell ref="A5:A6"/>
    <mergeCell ref="B5:C5"/>
    <mergeCell ref="D5:G5"/>
    <mergeCell ref="H5:H6"/>
    <mergeCell ref="I5:I6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480B-1662-4695-A3CE-1FA39FAC9D70}">
  <sheetPr>
    <tabColor theme="5"/>
    <pageSetUpPr fitToPage="1"/>
  </sheetPr>
  <dimension ref="A1:N52"/>
  <sheetViews>
    <sheetView topLeftCell="A16" zoomScale="110" zoomScaleNormal="110" workbookViewId="0">
      <selection activeCell="J33" sqref="J33:J3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600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6">
        <f>SUM(L3)+3</f>
        <v>60</v>
      </c>
      <c r="N3" s="193">
        <f>SUM(M3)+3</f>
        <v>63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6"/>
      <c r="N4" s="173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98"/>
      <c r="I5" s="27"/>
      <c r="J5" s="43"/>
      <c r="K5" s="45"/>
      <c r="L5" s="45"/>
      <c r="M5" s="45"/>
      <c r="N5" s="189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75"/>
      <c r="I6" s="46"/>
      <c r="J6" s="44"/>
      <c r="K6" s="46"/>
      <c r="L6" s="46"/>
      <c r="M6" s="46"/>
      <c r="N6" s="173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98"/>
      <c r="I7" s="27"/>
      <c r="J7" s="43"/>
      <c r="K7" s="45"/>
      <c r="L7" s="45"/>
      <c r="M7" s="45"/>
      <c r="N7" s="189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75"/>
      <c r="I8" s="46"/>
      <c r="J8" s="44"/>
      <c r="K8" s="46"/>
      <c r="L8" s="46"/>
      <c r="M8" s="46"/>
      <c r="N8" s="173"/>
    </row>
    <row r="9" spans="1:14" s="1" customFormat="1" ht="14.1" customHeight="1">
      <c r="A9" s="52">
        <v>4</v>
      </c>
      <c r="B9" s="36" t="s">
        <v>113</v>
      </c>
      <c r="C9" s="37"/>
      <c r="D9" s="198" t="s">
        <v>373</v>
      </c>
      <c r="E9" s="199"/>
      <c r="F9" s="199"/>
      <c r="G9" s="200"/>
      <c r="H9" s="27">
        <f>SUM(I9)-2.2</f>
        <v>36.599999999999994</v>
      </c>
      <c r="I9" s="27">
        <f>SUM(J9)-2.2</f>
        <v>38.799999999999997</v>
      </c>
      <c r="J9" s="43">
        <v>41</v>
      </c>
      <c r="K9" s="45">
        <f>SUM(J9)+2.2</f>
        <v>43.2</v>
      </c>
      <c r="L9" s="45">
        <f>SUM(K9)+2.2</f>
        <v>45.400000000000006</v>
      </c>
      <c r="M9" s="45">
        <f>SUM(L9)+2.2</f>
        <v>47.600000000000009</v>
      </c>
      <c r="N9" s="47">
        <f>SUM(M9)+2.2</f>
        <v>49.800000000000011</v>
      </c>
    </row>
    <row r="10" spans="1:14" s="1" customFormat="1" ht="14.1" customHeight="1">
      <c r="A10" s="53"/>
      <c r="B10" s="57" t="s">
        <v>112</v>
      </c>
      <c r="C10" s="58"/>
      <c r="D10" s="49" t="s">
        <v>374</v>
      </c>
      <c r="E10" s="50"/>
      <c r="F10" s="50"/>
      <c r="G10" s="51"/>
      <c r="H10" s="46"/>
      <c r="I10" s="46"/>
      <c r="J10" s="44"/>
      <c r="K10" s="46"/>
      <c r="L10" s="46"/>
      <c r="M10" s="46"/>
      <c r="N10" s="48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SUM(I11)-4.5</f>
        <v>63</v>
      </c>
      <c r="I11" s="27">
        <f>SUM(J11)-4.5</f>
        <v>67.5</v>
      </c>
      <c r="J11" s="43">
        <v>72</v>
      </c>
      <c r="K11" s="45">
        <f>SUM(J11)+4.5</f>
        <v>76.5</v>
      </c>
      <c r="L11" s="45">
        <f>SUM(K11)+4.5</f>
        <v>81</v>
      </c>
      <c r="M11" s="45">
        <f>SUM(L11)+4.5</f>
        <v>85.5</v>
      </c>
      <c r="N11" s="189">
        <f>SUM(M11)+4.5</f>
        <v>90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46"/>
      <c r="N12" s="173"/>
    </row>
    <row r="13" spans="1:14" s="1" customFormat="1" ht="14.1" customHeight="1">
      <c r="A13" s="52">
        <v>6</v>
      </c>
      <c r="B13" s="36" t="s">
        <v>11</v>
      </c>
      <c r="C13" s="37"/>
      <c r="D13" s="76" t="s">
        <v>333</v>
      </c>
      <c r="E13" s="77"/>
      <c r="F13" s="77"/>
      <c r="G13" s="78"/>
      <c r="H13" s="98">
        <f>SUM(I13)-5</f>
        <v>72</v>
      </c>
      <c r="I13" s="27">
        <f>SUM(J13)-5</f>
        <v>77</v>
      </c>
      <c r="J13" s="41">
        <v>82</v>
      </c>
      <c r="K13" s="27">
        <f>SUM(J13)+5</f>
        <v>87</v>
      </c>
      <c r="L13" s="27">
        <f>SUM(K13)+5</f>
        <v>92</v>
      </c>
      <c r="M13" s="27">
        <f>SUM(L13)+5</f>
        <v>97</v>
      </c>
      <c r="N13" s="172">
        <f>SUM(M13)+5</f>
        <v>102</v>
      </c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75"/>
      <c r="I14" s="46"/>
      <c r="J14" s="44"/>
      <c r="K14" s="46"/>
      <c r="L14" s="46"/>
      <c r="M14" s="46"/>
      <c r="N14" s="173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98">
        <f>SUM(I15)-0.7</f>
        <v>9.1000000000000014</v>
      </c>
      <c r="I15" s="27">
        <f>SUM(J15)-0.7</f>
        <v>9.8000000000000007</v>
      </c>
      <c r="J15" s="41">
        <v>10.5</v>
      </c>
      <c r="K15" s="27">
        <f>SUM(J15)+0.7</f>
        <v>11.2</v>
      </c>
      <c r="L15" s="27">
        <f>SUM(K15)+0.7</f>
        <v>11.899999999999999</v>
      </c>
      <c r="M15" s="98">
        <f>SUM(L15)+0.7</f>
        <v>12.599999999999998</v>
      </c>
      <c r="N15" s="191">
        <f>SUM(M15)+0.7</f>
        <v>13.299999999999997</v>
      </c>
    </row>
    <row r="16" spans="1:14" s="1" customFormat="1" ht="14.1" customHeight="1">
      <c r="A16" s="53"/>
      <c r="B16" s="57" t="s">
        <v>100</v>
      </c>
      <c r="C16" s="58"/>
      <c r="D16" s="82" t="s">
        <v>132</v>
      </c>
      <c r="E16" s="83"/>
      <c r="F16" s="83"/>
      <c r="G16" s="84"/>
      <c r="H16" s="75"/>
      <c r="I16" s="46"/>
      <c r="J16" s="44"/>
      <c r="K16" s="46"/>
      <c r="L16" s="46"/>
      <c r="M16" s="75"/>
      <c r="N16" s="192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>
        <f>SUM(I17)-0.7</f>
        <v>9.1000000000000014</v>
      </c>
      <c r="I17" s="27">
        <f>SUM(J17)-0.7</f>
        <v>9.8000000000000007</v>
      </c>
      <c r="J17" s="41">
        <v>10.5</v>
      </c>
      <c r="K17" s="27">
        <f>SUM(J17)+0.7</f>
        <v>11.2</v>
      </c>
      <c r="L17" s="27">
        <f>SUM(K17)+0.7</f>
        <v>11.899999999999999</v>
      </c>
      <c r="M17" s="98">
        <f>SUM(L17)+0.7</f>
        <v>12.599999999999998</v>
      </c>
      <c r="N17" s="191">
        <f>SUM(M17)+0.7</f>
        <v>13.299999999999997</v>
      </c>
    </row>
    <row r="18" spans="1:14" s="1" customFormat="1" ht="14.1" customHeight="1">
      <c r="A18" s="53"/>
      <c r="B18" s="57" t="s">
        <v>120</v>
      </c>
      <c r="C18" s="58"/>
      <c r="D18" s="82" t="s">
        <v>121</v>
      </c>
      <c r="E18" s="83"/>
      <c r="F18" s="83"/>
      <c r="G18" s="84"/>
      <c r="H18" s="75"/>
      <c r="I18" s="46"/>
      <c r="J18" s="44"/>
      <c r="K18" s="46"/>
      <c r="L18" s="46"/>
      <c r="M18" s="75"/>
      <c r="N18" s="192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>
        <f>SUM(I19)-0</f>
        <v>2.8</v>
      </c>
      <c r="I19" s="27">
        <f>SUM(J19)-0</f>
        <v>2.8</v>
      </c>
      <c r="J19" s="41">
        <v>2.8</v>
      </c>
      <c r="K19" s="27">
        <f>SUM(J19)+0.5</f>
        <v>3.3</v>
      </c>
      <c r="L19" s="27">
        <f>SUM(K19)+0</f>
        <v>3.3</v>
      </c>
      <c r="M19" s="27">
        <f>SUM(L19)+0</f>
        <v>3.3</v>
      </c>
      <c r="N19" s="62">
        <f>SUM(M19)+0</f>
        <v>3.3</v>
      </c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6"/>
      <c r="N20" s="48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52</v>
      </c>
      <c r="I21" s="27">
        <f>SUM(J21)-7</f>
        <v>59</v>
      </c>
      <c r="J21" s="41">
        <v>66</v>
      </c>
      <c r="K21" s="27">
        <f>SUM(J21)+6</f>
        <v>72</v>
      </c>
      <c r="L21" s="27">
        <f>SUM(K21)+6</f>
        <v>78</v>
      </c>
      <c r="M21" s="27">
        <f>SUM(L21)+6</f>
        <v>84</v>
      </c>
      <c r="N21" s="62">
        <f>SUM(M21)+6</f>
        <v>90</v>
      </c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6"/>
      <c r="N22" s="48"/>
    </row>
    <row r="23" spans="1:14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SUM(I23)-2</f>
        <v>31</v>
      </c>
      <c r="I23" s="27">
        <f>SUM(J23)-2</f>
        <v>33</v>
      </c>
      <c r="J23" s="41">
        <v>35</v>
      </c>
      <c r="K23" s="27">
        <f>SUM(J23)+2</f>
        <v>37</v>
      </c>
      <c r="L23" s="27">
        <f>SUM(K23)+2</f>
        <v>39</v>
      </c>
      <c r="M23" s="27">
        <f>SUM(L23)+2</f>
        <v>41</v>
      </c>
      <c r="N23" s="62">
        <f>SUM(M23)+2</f>
        <v>43</v>
      </c>
    </row>
    <row r="24" spans="1:14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46"/>
      <c r="N24" s="48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20.799999999999997</v>
      </c>
      <c r="I25" s="27">
        <f>SUM(J25)-1.1</f>
        <v>21.9</v>
      </c>
      <c r="J25" s="41">
        <v>23</v>
      </c>
      <c r="K25" s="27">
        <f>SUM(J25)+1.6</f>
        <v>24.6</v>
      </c>
      <c r="L25" s="27">
        <f>SUM(K25)+1.1</f>
        <v>25.700000000000003</v>
      </c>
      <c r="M25" s="98">
        <f>SUM(L25)+1.1</f>
        <v>26.800000000000004</v>
      </c>
      <c r="N25" s="191">
        <f>SUM(M25)+1.1</f>
        <v>27.900000000000006</v>
      </c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75"/>
      <c r="N26" s="192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28.4</v>
      </c>
      <c r="I27" s="27">
        <f>SUM(J27)-1.3</f>
        <v>29.7</v>
      </c>
      <c r="J27" s="41">
        <v>31</v>
      </c>
      <c r="K27" s="27">
        <f>SUM(J27)+1.8</f>
        <v>32.799999999999997</v>
      </c>
      <c r="L27" s="27">
        <f>SUM(K27)+1.3</f>
        <v>34.099999999999994</v>
      </c>
      <c r="M27" s="98">
        <f>SUM(L27)+1.3</f>
        <v>35.399999999999991</v>
      </c>
      <c r="N27" s="191">
        <f>SUM(M27)+1.3</f>
        <v>36.699999999999989</v>
      </c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75"/>
      <c r="N28" s="192"/>
    </row>
    <row r="29" spans="1:14" s="1" customFormat="1" ht="14.1" customHeight="1">
      <c r="A29" s="52">
        <v>14</v>
      </c>
      <c r="B29" s="36" t="s">
        <v>18</v>
      </c>
      <c r="C29" s="37"/>
      <c r="D29" s="76" t="s">
        <v>19</v>
      </c>
      <c r="E29" s="77"/>
      <c r="F29" s="77"/>
      <c r="G29" s="78"/>
      <c r="H29" s="27"/>
      <c r="I29" s="27"/>
      <c r="J29" s="41"/>
      <c r="K29" s="27"/>
      <c r="L29" s="27"/>
      <c r="M29" s="27"/>
      <c r="N29" s="172"/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46"/>
      <c r="N30" s="173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27"/>
      <c r="I31" s="27"/>
      <c r="J31" s="41"/>
      <c r="K31" s="27"/>
      <c r="L31" s="27"/>
      <c r="M31" s="27"/>
      <c r="N31" s="62"/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46"/>
      <c r="I32" s="46"/>
      <c r="J32" s="44"/>
      <c r="K32" s="46"/>
      <c r="L32" s="46"/>
      <c r="M32" s="46"/>
      <c r="N32" s="48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98"/>
      <c r="I33" s="27"/>
      <c r="J33" s="41">
        <v>51</v>
      </c>
      <c r="K33" s="27"/>
      <c r="L33" s="27"/>
      <c r="M33" s="98"/>
      <c r="N33" s="191"/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75"/>
      <c r="I34" s="46"/>
      <c r="J34" s="44"/>
      <c r="K34" s="46"/>
      <c r="L34" s="46"/>
      <c r="M34" s="75"/>
      <c r="N34" s="192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/>
      <c r="I35" s="27"/>
      <c r="J35" s="41">
        <v>37.5</v>
      </c>
      <c r="K35" s="27"/>
      <c r="L35" s="27"/>
      <c r="M35" s="27"/>
      <c r="N35" s="172"/>
    </row>
    <row r="36" spans="1:14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44"/>
      <c r="K36" s="46"/>
      <c r="L36" s="46"/>
      <c r="M36" s="46"/>
      <c r="N36" s="173"/>
    </row>
    <row r="37" spans="1:14" s="1" customFormat="1" ht="14.1" customHeight="1">
      <c r="A37" s="52">
        <v>18</v>
      </c>
      <c r="B37" s="36" t="s">
        <v>99</v>
      </c>
      <c r="C37" s="37"/>
      <c r="D37" s="76" t="s">
        <v>22</v>
      </c>
      <c r="E37" s="77"/>
      <c r="F37" s="77"/>
      <c r="G37" s="78"/>
      <c r="H37" s="27">
        <f>SUM(I37)-0.5</f>
        <v>7.5</v>
      </c>
      <c r="I37" s="27">
        <f>SUM(J37)-0.5</f>
        <v>8</v>
      </c>
      <c r="J37" s="125">
        <v>8.5</v>
      </c>
      <c r="K37" s="114">
        <f>SUM(J37)+0.5</f>
        <v>9</v>
      </c>
      <c r="L37" s="114">
        <f>SUM(K37)+0.5</f>
        <v>9.5</v>
      </c>
      <c r="M37" s="114">
        <f>SUM(L37)+0.5</f>
        <v>10</v>
      </c>
      <c r="N37" s="162">
        <f>SUM(M37)+0.5</f>
        <v>10.5</v>
      </c>
    </row>
    <row r="38" spans="1:14" s="1" customFormat="1" ht="14.1" customHeight="1">
      <c r="A38" s="53"/>
      <c r="B38" s="57" t="s">
        <v>52</v>
      </c>
      <c r="C38" s="58"/>
      <c r="D38" s="59" t="s">
        <v>98</v>
      </c>
      <c r="E38" s="60"/>
      <c r="F38" s="60"/>
      <c r="G38" s="61"/>
      <c r="H38" s="46"/>
      <c r="I38" s="46"/>
      <c r="J38" s="125"/>
      <c r="K38" s="114"/>
      <c r="L38" s="114"/>
      <c r="M38" s="114"/>
      <c r="N38" s="162"/>
    </row>
    <row r="39" spans="1:14" s="1" customFormat="1" ht="14.1" customHeight="1">
      <c r="A39" s="52">
        <v>19</v>
      </c>
      <c r="B39" s="36" t="s">
        <v>97</v>
      </c>
      <c r="C39" s="37"/>
      <c r="D39" s="76" t="s">
        <v>23</v>
      </c>
      <c r="E39" s="77"/>
      <c r="F39" s="77"/>
      <c r="G39" s="78"/>
      <c r="H39" s="27">
        <f>SUM(I39)-0.3</f>
        <v>4.9000000000000004</v>
      </c>
      <c r="I39" s="27">
        <f>SUM(J39)-0.3</f>
        <v>5.2</v>
      </c>
      <c r="J39" s="41">
        <v>5.5</v>
      </c>
      <c r="K39" s="27">
        <f>SUM(J39)+0.3</f>
        <v>5.8</v>
      </c>
      <c r="L39" s="27">
        <f>SUM(K39)+0.3</f>
        <v>6.1</v>
      </c>
      <c r="M39" s="27">
        <f>SUM(L39)+0.3</f>
        <v>6.3999999999999995</v>
      </c>
      <c r="N39" s="62">
        <f>SUM(M39)+0.3</f>
        <v>6.6999999999999993</v>
      </c>
    </row>
    <row r="40" spans="1:14" s="1" customFormat="1" ht="14.1" customHeight="1">
      <c r="A40" s="53"/>
      <c r="B40" s="57" t="s">
        <v>51</v>
      </c>
      <c r="C40" s="58"/>
      <c r="D40" s="59" t="s">
        <v>96</v>
      </c>
      <c r="E40" s="60"/>
      <c r="F40" s="60"/>
      <c r="G40" s="61"/>
      <c r="H40" s="46"/>
      <c r="I40" s="46"/>
      <c r="J40" s="44"/>
      <c r="K40" s="46"/>
      <c r="L40" s="46"/>
      <c r="M40" s="46"/>
      <c r="N40" s="48"/>
    </row>
    <row r="41" spans="1:14" s="1" customFormat="1" ht="14.1" customHeight="1">
      <c r="A41" s="52">
        <v>20</v>
      </c>
      <c r="B41" s="36" t="s">
        <v>95</v>
      </c>
      <c r="C41" s="37"/>
      <c r="D41" s="124"/>
      <c r="E41" s="124"/>
      <c r="F41" s="124"/>
      <c r="G41" s="124"/>
      <c r="H41" s="27">
        <f>SUM(I41)-0.5</f>
        <v>10</v>
      </c>
      <c r="I41" s="27">
        <f>SUM(J41)-0.5</f>
        <v>10.5</v>
      </c>
      <c r="J41" s="41">
        <v>11</v>
      </c>
      <c r="K41" s="27">
        <f>SUM(J41)+0.5</f>
        <v>11.5</v>
      </c>
      <c r="L41" s="27">
        <f>SUM(K41)+0.5</f>
        <v>12</v>
      </c>
      <c r="M41" s="27">
        <f>SUM(L41)+0.5</f>
        <v>12.5</v>
      </c>
      <c r="N41" s="172">
        <f>SUM(M41)+0.5</f>
        <v>13</v>
      </c>
    </row>
    <row r="42" spans="1:14" s="1" customFormat="1" ht="14.1" customHeight="1">
      <c r="A42" s="53"/>
      <c r="B42" s="127" t="s">
        <v>94</v>
      </c>
      <c r="C42" s="128"/>
      <c r="D42" s="79"/>
      <c r="E42" s="80"/>
      <c r="F42" s="80"/>
      <c r="G42" s="81"/>
      <c r="H42" s="46"/>
      <c r="I42" s="46"/>
      <c r="J42" s="44"/>
      <c r="K42" s="46"/>
      <c r="L42" s="46"/>
      <c r="M42" s="46"/>
      <c r="N42" s="173"/>
    </row>
    <row r="43" spans="1:14" s="1" customFormat="1" ht="14.1" customHeight="1">
      <c r="A43" s="52">
        <v>21</v>
      </c>
      <c r="B43" s="36" t="s">
        <v>93</v>
      </c>
      <c r="C43" s="37"/>
      <c r="D43" s="124"/>
      <c r="E43" s="124"/>
      <c r="F43" s="124"/>
      <c r="G43" s="124"/>
      <c r="H43" s="27">
        <f>SUM(I43)-0.5</f>
        <v>11</v>
      </c>
      <c r="I43" s="27">
        <f>SUM(J43)-0.5</f>
        <v>11.5</v>
      </c>
      <c r="J43" s="41">
        <v>12</v>
      </c>
      <c r="K43" s="27">
        <f>SUM(J43)+0.5</f>
        <v>12.5</v>
      </c>
      <c r="L43" s="27">
        <f>SUM(K43)+0.5</f>
        <v>13</v>
      </c>
      <c r="M43" s="27">
        <f>SUM(L43)+0.5</f>
        <v>13.5</v>
      </c>
      <c r="N43" s="172">
        <f>SUM(M43)+0.5</f>
        <v>14</v>
      </c>
    </row>
    <row r="44" spans="1:14" s="1" customFormat="1" ht="14.1" customHeight="1">
      <c r="A44" s="52"/>
      <c r="B44" s="153" t="s">
        <v>92</v>
      </c>
      <c r="C44" s="153"/>
      <c r="D44" s="102"/>
      <c r="E44" s="103"/>
      <c r="F44" s="103"/>
      <c r="G44" s="104"/>
      <c r="H44" s="45"/>
      <c r="I44" s="45"/>
      <c r="J44" s="43"/>
      <c r="K44" s="45"/>
      <c r="L44" s="45"/>
      <c r="M44" s="45"/>
      <c r="N44" s="189"/>
    </row>
    <row r="45" spans="1:14" s="1" customFormat="1" ht="14.1" customHeight="1">
      <c r="A45" s="34">
        <v>22</v>
      </c>
      <c r="B45" s="36"/>
      <c r="C45" s="37"/>
      <c r="D45" s="124"/>
      <c r="E45" s="124"/>
      <c r="F45" s="124"/>
      <c r="G45" s="124"/>
      <c r="H45" s="98"/>
      <c r="I45" s="27"/>
      <c r="J45" s="41"/>
      <c r="K45" s="27"/>
      <c r="L45" s="27"/>
      <c r="M45" s="27"/>
      <c r="N45" s="172"/>
    </row>
    <row r="46" spans="1:14" ht="14.1" customHeight="1">
      <c r="A46" s="53"/>
      <c r="B46" s="127"/>
      <c r="C46" s="128"/>
      <c r="D46" s="79"/>
      <c r="E46" s="80"/>
      <c r="F46" s="80"/>
      <c r="G46" s="81"/>
      <c r="H46" s="75"/>
      <c r="I46" s="46"/>
      <c r="J46" s="44"/>
      <c r="K46" s="46"/>
      <c r="L46" s="46"/>
      <c r="M46" s="46"/>
      <c r="N46" s="173"/>
    </row>
    <row r="47" spans="1:14" ht="14.1" customHeight="1">
      <c r="A47" s="52">
        <v>23</v>
      </c>
      <c r="B47" s="36"/>
      <c r="C47" s="37"/>
      <c r="D47" s="124"/>
      <c r="E47" s="124"/>
      <c r="F47" s="124"/>
      <c r="G47" s="124"/>
      <c r="H47" s="27"/>
      <c r="I47" s="27"/>
      <c r="J47" s="41"/>
      <c r="K47" s="27"/>
      <c r="L47" s="27"/>
      <c r="M47" s="207"/>
      <c r="N47" s="62"/>
    </row>
    <row r="48" spans="1:14" ht="14.1" customHeight="1">
      <c r="A48" s="53"/>
      <c r="B48" s="153"/>
      <c r="C48" s="153"/>
      <c r="D48" s="102"/>
      <c r="E48" s="103"/>
      <c r="F48" s="103"/>
      <c r="G48" s="104"/>
      <c r="H48" s="45"/>
      <c r="I48" s="45"/>
      <c r="J48" s="43"/>
      <c r="K48" s="45"/>
      <c r="L48" s="45"/>
      <c r="M48" s="63"/>
      <c r="N48" s="47"/>
    </row>
    <row r="49" spans="1:14" ht="14.1" customHeight="1">
      <c r="A49" s="52">
        <v>24</v>
      </c>
      <c r="B49" s="36"/>
      <c r="C49" s="37"/>
      <c r="D49" s="124"/>
      <c r="E49" s="124"/>
      <c r="F49" s="124"/>
      <c r="G49" s="124"/>
      <c r="H49" s="27"/>
      <c r="I49" s="27"/>
      <c r="J49" s="41"/>
      <c r="K49" s="27"/>
      <c r="L49" s="27"/>
      <c r="M49" s="207"/>
      <c r="N49" s="62"/>
    </row>
    <row r="50" spans="1:14" ht="14.1" customHeight="1">
      <c r="A50" s="52"/>
      <c r="B50" s="153"/>
      <c r="C50" s="153"/>
      <c r="D50" s="102"/>
      <c r="E50" s="103"/>
      <c r="F50" s="103"/>
      <c r="G50" s="104"/>
      <c r="H50" s="45"/>
      <c r="I50" s="45"/>
      <c r="J50" s="43"/>
      <c r="K50" s="45"/>
      <c r="L50" s="45"/>
      <c r="M50" s="63"/>
      <c r="N50" s="47"/>
    </row>
    <row r="51" spans="1:14" ht="14.1" customHeight="1">
      <c r="A51" s="34">
        <v>25</v>
      </c>
      <c r="B51" s="36"/>
      <c r="C51" s="37"/>
      <c r="D51" s="124"/>
      <c r="E51" s="124"/>
      <c r="F51" s="124"/>
      <c r="G51" s="124"/>
      <c r="H51" s="27"/>
      <c r="I51" s="27"/>
      <c r="J51" s="41"/>
      <c r="K51" s="27"/>
      <c r="L51" s="27"/>
      <c r="M51" s="207"/>
      <c r="N51" s="62"/>
    </row>
    <row r="52" spans="1:14" ht="13.5" customHeight="1" thickBot="1">
      <c r="A52" s="35"/>
      <c r="B52" s="118"/>
      <c r="C52" s="118"/>
      <c r="D52" s="119"/>
      <c r="E52" s="120"/>
      <c r="F52" s="120"/>
      <c r="G52" s="121"/>
      <c r="H52" s="28"/>
      <c r="I52" s="28"/>
      <c r="J52" s="42"/>
      <c r="K52" s="28"/>
      <c r="L52" s="28"/>
      <c r="M52" s="109"/>
      <c r="N52" s="160"/>
    </row>
  </sheetData>
  <mergeCells count="303"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2F26-609F-4856-9E1E-B418D56FB3C5}">
  <sheetPr>
    <tabColor theme="5"/>
    <pageSetUpPr fitToPage="1"/>
  </sheetPr>
  <dimension ref="A1:N52"/>
  <sheetViews>
    <sheetView zoomScale="110" zoomScaleNormal="110" workbookViewId="0">
      <selection activeCell="Q14" sqref="Q1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647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126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98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6">
        <f>SUM(L3)+3</f>
        <v>60</v>
      </c>
      <c r="N3" s="193">
        <f>SUM(M3)+3</f>
        <v>63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75"/>
      <c r="I4" s="46"/>
      <c r="J4" s="44"/>
      <c r="K4" s="46"/>
      <c r="L4" s="46"/>
      <c r="M4" s="46"/>
      <c r="N4" s="173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98"/>
      <c r="I5" s="27"/>
      <c r="J5" s="43"/>
      <c r="K5" s="45"/>
      <c r="L5" s="45"/>
      <c r="M5" s="45"/>
      <c r="N5" s="189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75"/>
      <c r="I6" s="46"/>
      <c r="J6" s="44"/>
      <c r="K6" s="46"/>
      <c r="L6" s="46"/>
      <c r="M6" s="46"/>
      <c r="N6" s="173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98"/>
      <c r="I7" s="27"/>
      <c r="J7" s="43"/>
      <c r="K7" s="45"/>
      <c r="L7" s="45"/>
      <c r="M7" s="45"/>
      <c r="N7" s="189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75"/>
      <c r="I8" s="46"/>
      <c r="J8" s="44"/>
      <c r="K8" s="46"/>
      <c r="L8" s="46"/>
      <c r="M8" s="46"/>
      <c r="N8" s="173"/>
    </row>
    <row r="9" spans="1:14" s="1" customFormat="1" ht="14.1" customHeight="1">
      <c r="A9" s="52">
        <v>4</v>
      </c>
      <c r="B9" s="36" t="s">
        <v>113</v>
      </c>
      <c r="C9" s="37"/>
      <c r="D9" s="198" t="s">
        <v>373</v>
      </c>
      <c r="E9" s="199"/>
      <c r="F9" s="199"/>
      <c r="G9" s="200"/>
      <c r="H9" s="27">
        <f>SUM(I9)-2.2</f>
        <v>36.599999999999994</v>
      </c>
      <c r="I9" s="27">
        <f>SUM(J9)-2.2</f>
        <v>38.799999999999997</v>
      </c>
      <c r="J9" s="43">
        <v>41</v>
      </c>
      <c r="K9" s="45">
        <f>SUM(J9)+2.2</f>
        <v>43.2</v>
      </c>
      <c r="L9" s="45">
        <f>SUM(K9)+2.2</f>
        <v>45.400000000000006</v>
      </c>
      <c r="M9" s="45">
        <f>SUM(L9)+2.2</f>
        <v>47.600000000000009</v>
      </c>
      <c r="N9" s="47">
        <f>SUM(M9)+2.2</f>
        <v>49.800000000000011</v>
      </c>
    </row>
    <row r="10" spans="1:14" s="1" customFormat="1" ht="14.1" customHeight="1">
      <c r="A10" s="53"/>
      <c r="B10" s="57" t="s">
        <v>112</v>
      </c>
      <c r="C10" s="58"/>
      <c r="D10" s="49" t="s">
        <v>374</v>
      </c>
      <c r="E10" s="50"/>
      <c r="F10" s="50"/>
      <c r="G10" s="51"/>
      <c r="H10" s="46"/>
      <c r="I10" s="46"/>
      <c r="J10" s="44"/>
      <c r="K10" s="46"/>
      <c r="L10" s="46"/>
      <c r="M10" s="46"/>
      <c r="N10" s="48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SUM(I11)-4.5</f>
        <v>63</v>
      </c>
      <c r="I11" s="27">
        <f>SUM(J11)-4.5</f>
        <v>67.5</v>
      </c>
      <c r="J11" s="43">
        <v>72</v>
      </c>
      <c r="K11" s="45">
        <f>SUM(J11)+4.5</f>
        <v>76.5</v>
      </c>
      <c r="L11" s="45">
        <f>SUM(K11)+4.5</f>
        <v>81</v>
      </c>
      <c r="M11" s="45">
        <f>SUM(L11)+4.5</f>
        <v>85.5</v>
      </c>
      <c r="N11" s="189">
        <f>SUM(M11)+4.5</f>
        <v>90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46"/>
      <c r="N12" s="173"/>
    </row>
    <row r="13" spans="1:14" s="1" customFormat="1" ht="14.1" customHeight="1">
      <c r="A13" s="52">
        <v>6</v>
      </c>
      <c r="B13" s="36" t="s">
        <v>11</v>
      </c>
      <c r="C13" s="37"/>
      <c r="D13" s="76" t="s">
        <v>333</v>
      </c>
      <c r="E13" s="77"/>
      <c r="F13" s="77"/>
      <c r="G13" s="78"/>
      <c r="H13" s="98">
        <f>SUM(I13)-5</f>
        <v>74</v>
      </c>
      <c r="I13" s="27">
        <f>SUM(J13)-5</f>
        <v>79</v>
      </c>
      <c r="J13" s="41">
        <v>84</v>
      </c>
      <c r="K13" s="27">
        <f>SUM(J13)+5</f>
        <v>89</v>
      </c>
      <c r="L13" s="27">
        <f>SUM(K13)+5</f>
        <v>94</v>
      </c>
      <c r="M13" s="27">
        <f>SUM(L13)+5</f>
        <v>99</v>
      </c>
      <c r="N13" s="172">
        <f>SUM(M13)+5</f>
        <v>104</v>
      </c>
    </row>
    <row r="14" spans="1:14" s="1" customFormat="1" ht="14.1" customHeight="1">
      <c r="A14" s="53"/>
      <c r="B14" s="57" t="s">
        <v>48</v>
      </c>
      <c r="C14" s="58"/>
      <c r="D14" s="59" t="s">
        <v>88</v>
      </c>
      <c r="E14" s="60"/>
      <c r="F14" s="60"/>
      <c r="G14" s="61"/>
      <c r="H14" s="75"/>
      <c r="I14" s="46"/>
      <c r="J14" s="44"/>
      <c r="K14" s="46"/>
      <c r="L14" s="46"/>
      <c r="M14" s="46"/>
      <c r="N14" s="173"/>
    </row>
    <row r="15" spans="1:14" s="1" customFormat="1" ht="14.1" customHeight="1">
      <c r="A15" s="52">
        <v>7</v>
      </c>
      <c r="B15" s="36" t="s">
        <v>101</v>
      </c>
      <c r="C15" s="37"/>
      <c r="D15" s="76"/>
      <c r="E15" s="77"/>
      <c r="F15" s="77"/>
      <c r="G15" s="78"/>
      <c r="H15" s="98">
        <f>SUM(I15)-0.7</f>
        <v>9.1000000000000014</v>
      </c>
      <c r="I15" s="27">
        <f>SUM(J15)-0.7</f>
        <v>9.8000000000000007</v>
      </c>
      <c r="J15" s="41">
        <v>10.5</v>
      </c>
      <c r="K15" s="27">
        <f>SUM(J15)+0.7</f>
        <v>11.2</v>
      </c>
      <c r="L15" s="27">
        <f>SUM(K15)+0.7</f>
        <v>11.899999999999999</v>
      </c>
      <c r="M15" s="98">
        <f>SUM(L15)+0.7</f>
        <v>12.599999999999998</v>
      </c>
      <c r="N15" s="191">
        <f>SUM(M15)+0.7</f>
        <v>13.299999999999997</v>
      </c>
    </row>
    <row r="16" spans="1:14" s="1" customFormat="1" ht="14.1" customHeight="1">
      <c r="A16" s="53"/>
      <c r="B16" s="57" t="s">
        <v>100</v>
      </c>
      <c r="C16" s="58"/>
      <c r="D16" s="82" t="s">
        <v>132</v>
      </c>
      <c r="E16" s="83"/>
      <c r="F16" s="83"/>
      <c r="G16" s="84"/>
      <c r="H16" s="75"/>
      <c r="I16" s="46"/>
      <c r="J16" s="44"/>
      <c r="K16" s="46"/>
      <c r="L16" s="46"/>
      <c r="M16" s="75"/>
      <c r="N16" s="192"/>
    </row>
    <row r="17" spans="1:14" s="1" customFormat="1" ht="14.1" customHeight="1">
      <c r="A17" s="52">
        <v>8</v>
      </c>
      <c r="B17" s="36" t="s">
        <v>119</v>
      </c>
      <c r="C17" s="37"/>
      <c r="D17" s="76"/>
      <c r="E17" s="77"/>
      <c r="F17" s="77"/>
      <c r="G17" s="78"/>
      <c r="H17" s="98">
        <f>SUM(I17)-0.7</f>
        <v>9.1000000000000014</v>
      </c>
      <c r="I17" s="27">
        <f>SUM(J17)-0.7</f>
        <v>9.8000000000000007</v>
      </c>
      <c r="J17" s="41">
        <v>10.5</v>
      </c>
      <c r="K17" s="27">
        <f>SUM(J17)+0.7</f>
        <v>11.2</v>
      </c>
      <c r="L17" s="27">
        <f>SUM(K17)+0.7</f>
        <v>11.899999999999999</v>
      </c>
      <c r="M17" s="98">
        <f>SUM(L17)+0.7</f>
        <v>12.599999999999998</v>
      </c>
      <c r="N17" s="191">
        <f>SUM(M17)+0.7</f>
        <v>13.299999999999997</v>
      </c>
    </row>
    <row r="18" spans="1:14" s="1" customFormat="1" ht="14.1" customHeight="1">
      <c r="A18" s="53"/>
      <c r="B18" s="57" t="s">
        <v>120</v>
      </c>
      <c r="C18" s="58"/>
      <c r="D18" s="82" t="s">
        <v>121</v>
      </c>
      <c r="E18" s="83"/>
      <c r="F18" s="83"/>
      <c r="G18" s="84"/>
      <c r="H18" s="75"/>
      <c r="I18" s="46"/>
      <c r="J18" s="44"/>
      <c r="K18" s="46"/>
      <c r="L18" s="46"/>
      <c r="M18" s="75"/>
      <c r="N18" s="192"/>
    </row>
    <row r="19" spans="1:14" s="1" customFormat="1" ht="14.1" customHeight="1">
      <c r="A19" s="52">
        <v>9</v>
      </c>
      <c r="B19" s="36" t="s">
        <v>131</v>
      </c>
      <c r="C19" s="37"/>
      <c r="D19" s="76"/>
      <c r="E19" s="77"/>
      <c r="F19" s="77"/>
      <c r="G19" s="78"/>
      <c r="H19" s="27">
        <f>SUM(I19)-0</f>
        <v>2.8</v>
      </c>
      <c r="I19" s="27">
        <f>SUM(J19)-0</f>
        <v>2.8</v>
      </c>
      <c r="J19" s="41">
        <v>2.8</v>
      </c>
      <c r="K19" s="27">
        <f>SUM(J19)+0.5</f>
        <v>3.3</v>
      </c>
      <c r="L19" s="27">
        <f>SUM(K19)+0</f>
        <v>3.3</v>
      </c>
      <c r="M19" s="27">
        <f>SUM(L19)+0</f>
        <v>3.3</v>
      </c>
      <c r="N19" s="62">
        <f>SUM(M19)+0</f>
        <v>3.3</v>
      </c>
    </row>
    <row r="20" spans="1:14" s="1" customFormat="1" ht="14.1" customHeight="1">
      <c r="A20" s="53"/>
      <c r="B20" s="57" t="s">
        <v>130</v>
      </c>
      <c r="C20" s="58"/>
      <c r="D20" s="82"/>
      <c r="E20" s="83"/>
      <c r="F20" s="83"/>
      <c r="G20" s="84"/>
      <c r="H20" s="46"/>
      <c r="I20" s="46"/>
      <c r="J20" s="44"/>
      <c r="K20" s="46"/>
      <c r="L20" s="46"/>
      <c r="M20" s="46"/>
      <c r="N20" s="48"/>
    </row>
    <row r="21" spans="1:14" s="1" customFormat="1" ht="14.1" customHeight="1">
      <c r="A21" s="52">
        <v>10</v>
      </c>
      <c r="B21" s="36" t="s">
        <v>9</v>
      </c>
      <c r="C21" s="37"/>
      <c r="D21" s="76" t="s">
        <v>69</v>
      </c>
      <c r="E21" s="77"/>
      <c r="F21" s="77"/>
      <c r="G21" s="78"/>
      <c r="H21" s="27">
        <f>SUM(I21)-7</f>
        <v>54</v>
      </c>
      <c r="I21" s="27">
        <f>SUM(J21)-7</f>
        <v>61</v>
      </c>
      <c r="J21" s="41">
        <v>68</v>
      </c>
      <c r="K21" s="27">
        <f>SUM(J21)+6</f>
        <v>74</v>
      </c>
      <c r="L21" s="27">
        <f>SUM(K21)+6</f>
        <v>80</v>
      </c>
      <c r="M21" s="27">
        <f>SUM(L21)+6</f>
        <v>86</v>
      </c>
      <c r="N21" s="62">
        <f>SUM(M21)+6</f>
        <v>92</v>
      </c>
    </row>
    <row r="22" spans="1:14" s="1" customFormat="1" ht="14.1" customHeight="1">
      <c r="A22" s="53"/>
      <c r="B22" s="57" t="s">
        <v>49</v>
      </c>
      <c r="C22" s="58"/>
      <c r="D22" s="59" t="s">
        <v>87</v>
      </c>
      <c r="E22" s="60"/>
      <c r="F22" s="60"/>
      <c r="G22" s="61"/>
      <c r="H22" s="46"/>
      <c r="I22" s="46"/>
      <c r="J22" s="44"/>
      <c r="K22" s="46"/>
      <c r="L22" s="46"/>
      <c r="M22" s="46"/>
      <c r="N22" s="48"/>
    </row>
    <row r="23" spans="1:14" s="1" customFormat="1" ht="14.1" customHeight="1">
      <c r="A23" s="52">
        <v>11</v>
      </c>
      <c r="B23" s="36" t="s">
        <v>14</v>
      </c>
      <c r="C23" s="37"/>
      <c r="D23" s="76" t="s">
        <v>15</v>
      </c>
      <c r="E23" s="77"/>
      <c r="F23" s="77"/>
      <c r="G23" s="78"/>
      <c r="H23" s="27">
        <f>SUM(I23)-2</f>
        <v>34</v>
      </c>
      <c r="I23" s="27">
        <f>SUM(J23)-2</f>
        <v>36</v>
      </c>
      <c r="J23" s="41">
        <v>38</v>
      </c>
      <c r="K23" s="27">
        <f>SUM(J23)+2</f>
        <v>40</v>
      </c>
      <c r="L23" s="27">
        <f>SUM(K23)+2</f>
        <v>42</v>
      </c>
      <c r="M23" s="27">
        <f>SUM(L23)+2</f>
        <v>44</v>
      </c>
      <c r="N23" s="62">
        <f>SUM(M23)+2</f>
        <v>46</v>
      </c>
    </row>
    <row r="24" spans="1:14" s="1" customFormat="1" ht="14.1" customHeight="1">
      <c r="A24" s="53"/>
      <c r="B24" s="57" t="s">
        <v>50</v>
      </c>
      <c r="C24" s="58"/>
      <c r="D24" s="79" t="s">
        <v>86</v>
      </c>
      <c r="E24" s="80"/>
      <c r="F24" s="80"/>
      <c r="G24" s="81"/>
      <c r="H24" s="46"/>
      <c r="I24" s="46"/>
      <c r="J24" s="44"/>
      <c r="K24" s="46"/>
      <c r="L24" s="46"/>
      <c r="M24" s="46"/>
      <c r="N24" s="48"/>
    </row>
    <row r="25" spans="1:14" s="1" customFormat="1" ht="14.1" customHeight="1">
      <c r="A25" s="52">
        <v>12</v>
      </c>
      <c r="B25" s="36" t="s">
        <v>16</v>
      </c>
      <c r="C25" s="37"/>
      <c r="D25" s="76" t="s">
        <v>13</v>
      </c>
      <c r="E25" s="77"/>
      <c r="F25" s="77"/>
      <c r="G25" s="78"/>
      <c r="H25" s="98">
        <f>SUM(I25)-1.1</f>
        <v>20.799999999999997</v>
      </c>
      <c r="I25" s="27">
        <f>SUM(J25)-1.1</f>
        <v>21.9</v>
      </c>
      <c r="J25" s="41">
        <v>23</v>
      </c>
      <c r="K25" s="27">
        <f>SUM(J25)+1.6</f>
        <v>24.6</v>
      </c>
      <c r="L25" s="27">
        <f>SUM(K25)+1.1</f>
        <v>25.700000000000003</v>
      </c>
      <c r="M25" s="98">
        <f>SUM(L25)+1.1</f>
        <v>26.800000000000004</v>
      </c>
      <c r="N25" s="191">
        <f>SUM(M25)+1.1</f>
        <v>27.900000000000006</v>
      </c>
    </row>
    <row r="26" spans="1:14" s="1" customFormat="1" ht="14.1" customHeight="1">
      <c r="A26" s="53"/>
      <c r="B26" s="57" t="s">
        <v>56</v>
      </c>
      <c r="C26" s="58"/>
      <c r="D26" s="59" t="s">
        <v>85</v>
      </c>
      <c r="E26" s="60"/>
      <c r="F26" s="60"/>
      <c r="G26" s="61"/>
      <c r="H26" s="75"/>
      <c r="I26" s="46"/>
      <c r="J26" s="44"/>
      <c r="K26" s="46"/>
      <c r="L26" s="46"/>
      <c r="M26" s="75"/>
      <c r="N26" s="192"/>
    </row>
    <row r="27" spans="1:14" s="1" customFormat="1" ht="14.1" customHeight="1">
      <c r="A27" s="52">
        <v>13</v>
      </c>
      <c r="B27" s="36" t="s">
        <v>17</v>
      </c>
      <c r="C27" s="37"/>
      <c r="D27" s="76" t="s">
        <v>13</v>
      </c>
      <c r="E27" s="77"/>
      <c r="F27" s="77"/>
      <c r="G27" s="78"/>
      <c r="H27" s="98">
        <f>SUM(I27)-1.3</f>
        <v>28.4</v>
      </c>
      <c r="I27" s="27">
        <f>SUM(J27)-1.3</f>
        <v>29.7</v>
      </c>
      <c r="J27" s="41">
        <v>31</v>
      </c>
      <c r="K27" s="27">
        <f>SUM(J27)+1.8</f>
        <v>32.799999999999997</v>
      </c>
      <c r="L27" s="27">
        <f>SUM(K27)+1.3</f>
        <v>34.099999999999994</v>
      </c>
      <c r="M27" s="98">
        <f>SUM(L27)+1.3</f>
        <v>35.399999999999991</v>
      </c>
      <c r="N27" s="191">
        <f>SUM(M27)+1.3</f>
        <v>36.699999999999989</v>
      </c>
    </row>
    <row r="28" spans="1:14" s="1" customFormat="1" ht="14.1" customHeight="1">
      <c r="A28" s="53"/>
      <c r="B28" s="57" t="s">
        <v>55</v>
      </c>
      <c r="C28" s="58"/>
      <c r="D28" s="59" t="s">
        <v>85</v>
      </c>
      <c r="E28" s="60"/>
      <c r="F28" s="60"/>
      <c r="G28" s="61"/>
      <c r="H28" s="75"/>
      <c r="I28" s="46"/>
      <c r="J28" s="44"/>
      <c r="K28" s="46"/>
      <c r="L28" s="46"/>
      <c r="M28" s="75"/>
      <c r="N28" s="192"/>
    </row>
    <row r="29" spans="1:14" s="1" customFormat="1" ht="14.1" customHeight="1">
      <c r="A29" s="52">
        <v>14</v>
      </c>
      <c r="B29" s="36" t="s">
        <v>18</v>
      </c>
      <c r="C29" s="37"/>
      <c r="D29" s="76" t="s">
        <v>19</v>
      </c>
      <c r="E29" s="77"/>
      <c r="F29" s="77"/>
      <c r="G29" s="78"/>
      <c r="H29" s="27"/>
      <c r="I29" s="27"/>
      <c r="J29" s="41"/>
      <c r="K29" s="27"/>
      <c r="L29" s="27"/>
      <c r="M29" s="27"/>
      <c r="N29" s="172"/>
    </row>
    <row r="30" spans="1:14" s="1" customFormat="1" ht="14.1" customHeight="1">
      <c r="A30" s="53"/>
      <c r="B30" s="57" t="s">
        <v>54</v>
      </c>
      <c r="C30" s="58"/>
      <c r="D30" s="59" t="s">
        <v>84</v>
      </c>
      <c r="E30" s="60"/>
      <c r="F30" s="60"/>
      <c r="G30" s="61"/>
      <c r="H30" s="46"/>
      <c r="I30" s="46"/>
      <c r="J30" s="44"/>
      <c r="K30" s="46"/>
      <c r="L30" s="46"/>
      <c r="M30" s="46"/>
      <c r="N30" s="173"/>
    </row>
    <row r="31" spans="1:14" s="1" customFormat="1" ht="14.1" customHeight="1">
      <c r="A31" s="52">
        <v>15</v>
      </c>
      <c r="B31" s="36" t="s">
        <v>20</v>
      </c>
      <c r="C31" s="37"/>
      <c r="D31" s="76" t="s">
        <v>21</v>
      </c>
      <c r="E31" s="77"/>
      <c r="F31" s="77"/>
      <c r="G31" s="78"/>
      <c r="H31" s="27"/>
      <c r="I31" s="27"/>
      <c r="J31" s="41"/>
      <c r="K31" s="27"/>
      <c r="L31" s="27"/>
      <c r="M31" s="27"/>
      <c r="N31" s="62"/>
    </row>
    <row r="32" spans="1:14" s="1" customFormat="1" ht="14.1" customHeight="1">
      <c r="A32" s="53"/>
      <c r="B32" s="57" t="s">
        <v>53</v>
      </c>
      <c r="C32" s="58"/>
      <c r="D32" s="59" t="s">
        <v>83</v>
      </c>
      <c r="E32" s="60"/>
      <c r="F32" s="60"/>
      <c r="G32" s="61"/>
      <c r="H32" s="46"/>
      <c r="I32" s="46"/>
      <c r="J32" s="44"/>
      <c r="K32" s="46"/>
      <c r="L32" s="46"/>
      <c r="M32" s="46"/>
      <c r="N32" s="48"/>
    </row>
    <row r="33" spans="1:14" s="1" customFormat="1" ht="14.1" customHeight="1">
      <c r="A33" s="52">
        <v>16</v>
      </c>
      <c r="B33" s="36" t="s">
        <v>82</v>
      </c>
      <c r="C33" s="37"/>
      <c r="D33" s="76" t="s">
        <v>80</v>
      </c>
      <c r="E33" s="77"/>
      <c r="F33" s="77"/>
      <c r="G33" s="78"/>
      <c r="H33" s="98"/>
      <c r="I33" s="27"/>
      <c r="J33" s="41">
        <v>47</v>
      </c>
      <c r="K33" s="27"/>
      <c r="L33" s="27"/>
      <c r="M33" s="98"/>
      <c r="N33" s="191"/>
    </row>
    <row r="34" spans="1:14" s="1" customFormat="1" ht="14.1" customHeight="1">
      <c r="A34" s="53"/>
      <c r="B34" s="57" t="s">
        <v>81</v>
      </c>
      <c r="C34" s="58"/>
      <c r="D34" s="59" t="s">
        <v>80</v>
      </c>
      <c r="E34" s="60"/>
      <c r="F34" s="60"/>
      <c r="G34" s="61"/>
      <c r="H34" s="75"/>
      <c r="I34" s="46"/>
      <c r="J34" s="44"/>
      <c r="K34" s="46"/>
      <c r="L34" s="46"/>
      <c r="M34" s="75"/>
      <c r="N34" s="192"/>
    </row>
    <row r="35" spans="1:14" s="1" customFormat="1" ht="14.1" customHeight="1">
      <c r="A35" s="52">
        <v>17</v>
      </c>
      <c r="B35" s="36" t="s">
        <v>79</v>
      </c>
      <c r="C35" s="37"/>
      <c r="D35" s="76" t="s">
        <v>78</v>
      </c>
      <c r="E35" s="77"/>
      <c r="F35" s="77"/>
      <c r="G35" s="78"/>
      <c r="H35" s="27"/>
      <c r="I35" s="27"/>
      <c r="J35" s="41">
        <v>37.5</v>
      </c>
      <c r="K35" s="27"/>
      <c r="L35" s="27"/>
      <c r="M35" s="27"/>
      <c r="N35" s="172"/>
    </row>
    <row r="36" spans="1:14" s="1" customFormat="1" ht="14.1" customHeight="1">
      <c r="A36" s="53"/>
      <c r="B36" s="57" t="s">
        <v>77</v>
      </c>
      <c r="C36" s="58"/>
      <c r="D36" s="59" t="s">
        <v>111</v>
      </c>
      <c r="E36" s="60"/>
      <c r="F36" s="60"/>
      <c r="G36" s="61"/>
      <c r="H36" s="46"/>
      <c r="I36" s="46"/>
      <c r="J36" s="44"/>
      <c r="K36" s="46"/>
      <c r="L36" s="46"/>
      <c r="M36" s="46"/>
      <c r="N36" s="173"/>
    </row>
    <row r="37" spans="1:14" s="1" customFormat="1" ht="14.1" customHeight="1">
      <c r="A37" s="52">
        <v>18</v>
      </c>
      <c r="B37" s="36" t="s">
        <v>99</v>
      </c>
      <c r="C37" s="37"/>
      <c r="D37" s="76" t="s">
        <v>22</v>
      </c>
      <c r="E37" s="77"/>
      <c r="F37" s="77"/>
      <c r="G37" s="78"/>
      <c r="H37" s="27">
        <f>SUM(I37)-0.5</f>
        <v>7</v>
      </c>
      <c r="I37" s="27">
        <f>SUM(J37)-0.5</f>
        <v>7.5</v>
      </c>
      <c r="J37" s="125">
        <v>8</v>
      </c>
      <c r="K37" s="114">
        <f>SUM(J37)+0.5</f>
        <v>8.5</v>
      </c>
      <c r="L37" s="114">
        <f>SUM(K37)+0.5</f>
        <v>9</v>
      </c>
      <c r="M37" s="114">
        <f>SUM(L37)+0.5</f>
        <v>9.5</v>
      </c>
      <c r="N37" s="162">
        <f>SUM(M37)+0.5</f>
        <v>10</v>
      </c>
    </row>
    <row r="38" spans="1:14" s="1" customFormat="1" ht="14.1" customHeight="1">
      <c r="A38" s="53"/>
      <c r="B38" s="57" t="s">
        <v>52</v>
      </c>
      <c r="C38" s="58"/>
      <c r="D38" s="59" t="s">
        <v>98</v>
      </c>
      <c r="E38" s="60"/>
      <c r="F38" s="60"/>
      <c r="G38" s="61"/>
      <c r="H38" s="46"/>
      <c r="I38" s="46"/>
      <c r="J38" s="125"/>
      <c r="K38" s="114"/>
      <c r="L38" s="114"/>
      <c r="M38" s="114"/>
      <c r="N38" s="162"/>
    </row>
    <row r="39" spans="1:14" s="1" customFormat="1" ht="14.1" customHeight="1">
      <c r="A39" s="52">
        <v>19</v>
      </c>
      <c r="B39" s="36" t="s">
        <v>97</v>
      </c>
      <c r="C39" s="37"/>
      <c r="D39" s="76" t="s">
        <v>23</v>
      </c>
      <c r="E39" s="77"/>
      <c r="F39" s="77"/>
      <c r="G39" s="78"/>
      <c r="H39" s="27">
        <f>SUM(I39)-0.3</f>
        <v>4.9000000000000004</v>
      </c>
      <c r="I39" s="27">
        <f>SUM(J39)-0.3</f>
        <v>5.2</v>
      </c>
      <c r="J39" s="41">
        <v>5.5</v>
      </c>
      <c r="K39" s="27">
        <f>SUM(J39)+0.3</f>
        <v>5.8</v>
      </c>
      <c r="L39" s="27">
        <f>SUM(K39)+0.3</f>
        <v>6.1</v>
      </c>
      <c r="M39" s="27">
        <f>SUM(L39)+0.3</f>
        <v>6.3999999999999995</v>
      </c>
      <c r="N39" s="62">
        <f>SUM(M39)+0.3</f>
        <v>6.6999999999999993</v>
      </c>
    </row>
    <row r="40" spans="1:14" s="1" customFormat="1" ht="14.1" customHeight="1">
      <c r="A40" s="53"/>
      <c r="B40" s="57" t="s">
        <v>51</v>
      </c>
      <c r="C40" s="58"/>
      <c r="D40" s="59" t="s">
        <v>96</v>
      </c>
      <c r="E40" s="60"/>
      <c r="F40" s="60"/>
      <c r="G40" s="61"/>
      <c r="H40" s="46"/>
      <c r="I40" s="46"/>
      <c r="J40" s="44"/>
      <c r="K40" s="46"/>
      <c r="L40" s="46"/>
      <c r="M40" s="46"/>
      <c r="N40" s="48"/>
    </row>
    <row r="41" spans="1:14" s="1" customFormat="1" ht="14.1" customHeight="1">
      <c r="A41" s="52">
        <v>20</v>
      </c>
      <c r="B41" s="36" t="s">
        <v>95</v>
      </c>
      <c r="C41" s="37"/>
      <c r="D41" s="124"/>
      <c r="E41" s="124"/>
      <c r="F41" s="124"/>
      <c r="G41" s="124"/>
      <c r="H41" s="27">
        <f>SUM(I41)-0.5</f>
        <v>10</v>
      </c>
      <c r="I41" s="27">
        <f>SUM(J41)-0.5</f>
        <v>10.5</v>
      </c>
      <c r="J41" s="41">
        <v>11</v>
      </c>
      <c r="K41" s="27">
        <f>SUM(J41)+0.5</f>
        <v>11.5</v>
      </c>
      <c r="L41" s="27">
        <f>SUM(K41)+0.5</f>
        <v>12</v>
      </c>
      <c r="M41" s="27">
        <f>SUM(L41)+0.5</f>
        <v>12.5</v>
      </c>
      <c r="N41" s="172">
        <f>SUM(M41)+0.5</f>
        <v>13</v>
      </c>
    </row>
    <row r="42" spans="1:14" s="1" customFormat="1" ht="14.1" customHeight="1">
      <c r="A42" s="53"/>
      <c r="B42" s="127" t="s">
        <v>94</v>
      </c>
      <c r="C42" s="128"/>
      <c r="D42" s="79"/>
      <c r="E42" s="80"/>
      <c r="F42" s="80"/>
      <c r="G42" s="81"/>
      <c r="H42" s="46"/>
      <c r="I42" s="46"/>
      <c r="J42" s="44"/>
      <c r="K42" s="46"/>
      <c r="L42" s="46"/>
      <c r="M42" s="46"/>
      <c r="N42" s="173"/>
    </row>
    <row r="43" spans="1:14" s="1" customFormat="1" ht="14.1" customHeight="1">
      <c r="A43" s="52">
        <v>21</v>
      </c>
      <c r="B43" s="36" t="s">
        <v>93</v>
      </c>
      <c r="C43" s="37"/>
      <c r="D43" s="124"/>
      <c r="E43" s="124"/>
      <c r="F43" s="124"/>
      <c r="G43" s="124"/>
      <c r="H43" s="27">
        <f>SUM(I43)-0.5</f>
        <v>11.5</v>
      </c>
      <c r="I43" s="27">
        <f>SUM(J43)-0.5</f>
        <v>12</v>
      </c>
      <c r="J43" s="41">
        <v>12.5</v>
      </c>
      <c r="K43" s="27">
        <f>SUM(J43)+0.5</f>
        <v>13</v>
      </c>
      <c r="L43" s="27">
        <f>SUM(K43)+0.5</f>
        <v>13.5</v>
      </c>
      <c r="M43" s="27">
        <f>SUM(L43)+0.5</f>
        <v>14</v>
      </c>
      <c r="N43" s="172">
        <f>SUM(M43)+0.5</f>
        <v>14.5</v>
      </c>
    </row>
    <row r="44" spans="1:14" s="1" customFormat="1" ht="14.1" customHeight="1">
      <c r="A44" s="52"/>
      <c r="B44" s="153" t="s">
        <v>92</v>
      </c>
      <c r="C44" s="153"/>
      <c r="D44" s="102"/>
      <c r="E44" s="103"/>
      <c r="F44" s="103"/>
      <c r="G44" s="104"/>
      <c r="H44" s="45"/>
      <c r="I44" s="45"/>
      <c r="J44" s="43"/>
      <c r="K44" s="45"/>
      <c r="L44" s="45"/>
      <c r="M44" s="45"/>
      <c r="N44" s="189"/>
    </row>
    <row r="45" spans="1:14" s="1" customFormat="1" ht="14.1" customHeight="1">
      <c r="A45" s="34">
        <v>22</v>
      </c>
      <c r="B45" s="36"/>
      <c r="C45" s="37"/>
      <c r="D45" s="124"/>
      <c r="E45" s="124"/>
      <c r="F45" s="124"/>
      <c r="G45" s="124"/>
      <c r="H45" s="98"/>
      <c r="I45" s="27"/>
      <c r="J45" s="41"/>
      <c r="K45" s="27"/>
      <c r="L45" s="27"/>
      <c r="M45" s="27"/>
      <c r="N45" s="172"/>
    </row>
    <row r="46" spans="1:14" ht="14.1" customHeight="1">
      <c r="A46" s="53"/>
      <c r="B46" s="127"/>
      <c r="C46" s="128"/>
      <c r="D46" s="79"/>
      <c r="E46" s="80"/>
      <c r="F46" s="80"/>
      <c r="G46" s="81"/>
      <c r="H46" s="75"/>
      <c r="I46" s="46"/>
      <c r="J46" s="44"/>
      <c r="K46" s="46"/>
      <c r="L46" s="46"/>
      <c r="M46" s="46"/>
      <c r="N46" s="173"/>
    </row>
    <row r="47" spans="1:14" ht="14.1" customHeight="1">
      <c r="A47" s="52">
        <v>23</v>
      </c>
      <c r="B47" s="36"/>
      <c r="C47" s="37"/>
      <c r="D47" s="124"/>
      <c r="E47" s="124"/>
      <c r="F47" s="124"/>
      <c r="G47" s="124"/>
      <c r="H47" s="27"/>
      <c r="I47" s="27"/>
      <c r="J47" s="41"/>
      <c r="K47" s="27"/>
      <c r="L47" s="27"/>
      <c r="M47" s="207"/>
      <c r="N47" s="62"/>
    </row>
    <row r="48" spans="1:14" ht="14.1" customHeight="1">
      <c r="A48" s="53"/>
      <c r="B48" s="153"/>
      <c r="C48" s="153"/>
      <c r="D48" s="102"/>
      <c r="E48" s="103"/>
      <c r="F48" s="103"/>
      <c r="G48" s="104"/>
      <c r="H48" s="45"/>
      <c r="I48" s="45"/>
      <c r="J48" s="43"/>
      <c r="K48" s="45"/>
      <c r="L48" s="45"/>
      <c r="M48" s="63"/>
      <c r="N48" s="47"/>
    </row>
    <row r="49" spans="1:14" ht="14.1" customHeight="1">
      <c r="A49" s="52">
        <v>24</v>
      </c>
      <c r="B49" s="36"/>
      <c r="C49" s="37"/>
      <c r="D49" s="124"/>
      <c r="E49" s="124"/>
      <c r="F49" s="124"/>
      <c r="G49" s="124"/>
      <c r="H49" s="27"/>
      <c r="I49" s="27"/>
      <c r="J49" s="41"/>
      <c r="K49" s="27"/>
      <c r="L49" s="27"/>
      <c r="M49" s="207"/>
      <c r="N49" s="62"/>
    </row>
    <row r="50" spans="1:14" ht="14.1" customHeight="1">
      <c r="A50" s="52"/>
      <c r="B50" s="153"/>
      <c r="C50" s="153"/>
      <c r="D50" s="102"/>
      <c r="E50" s="103"/>
      <c r="F50" s="103"/>
      <c r="G50" s="104"/>
      <c r="H50" s="45"/>
      <c r="I50" s="45"/>
      <c r="J50" s="43"/>
      <c r="K50" s="45"/>
      <c r="L50" s="45"/>
      <c r="M50" s="63"/>
      <c r="N50" s="47"/>
    </row>
    <row r="51" spans="1:14" ht="14.1" customHeight="1">
      <c r="A51" s="34">
        <v>25</v>
      </c>
      <c r="B51" s="36"/>
      <c r="C51" s="37"/>
      <c r="D51" s="124"/>
      <c r="E51" s="124"/>
      <c r="F51" s="124"/>
      <c r="G51" s="124"/>
      <c r="H51" s="27"/>
      <c r="I51" s="27"/>
      <c r="J51" s="41"/>
      <c r="K51" s="27"/>
      <c r="L51" s="27"/>
      <c r="M51" s="207"/>
      <c r="N51" s="62"/>
    </row>
    <row r="52" spans="1:14" ht="13.5" customHeight="1" thickBot="1">
      <c r="A52" s="35"/>
      <c r="B52" s="118"/>
      <c r="C52" s="118"/>
      <c r="D52" s="119"/>
      <c r="E52" s="120"/>
      <c r="F52" s="120"/>
      <c r="G52" s="121"/>
      <c r="H52" s="28"/>
      <c r="I52" s="28"/>
      <c r="J52" s="42"/>
      <c r="K52" s="28"/>
      <c r="L52" s="28"/>
      <c r="M52" s="109"/>
      <c r="N52" s="160"/>
    </row>
  </sheetData>
  <mergeCells count="303"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43:K44"/>
    <mergeCell ref="L43:L44"/>
    <mergeCell ref="M43:M44"/>
    <mergeCell ref="N43:N44"/>
    <mergeCell ref="B44:C44"/>
    <mergeCell ref="D44:G44"/>
    <mergeCell ref="A43:A44"/>
    <mergeCell ref="B43:C43"/>
    <mergeCell ref="D43:G43"/>
    <mergeCell ref="H43:H44"/>
    <mergeCell ref="I43:I44"/>
    <mergeCell ref="J43:J44"/>
    <mergeCell ref="K45:K46"/>
    <mergeCell ref="L45:L46"/>
    <mergeCell ref="M45:M46"/>
    <mergeCell ref="N45:N46"/>
    <mergeCell ref="B46:C46"/>
    <mergeCell ref="D46:G46"/>
    <mergeCell ref="A45:A46"/>
    <mergeCell ref="B45:C45"/>
    <mergeCell ref="D45:G45"/>
    <mergeCell ref="H45:H46"/>
    <mergeCell ref="I45:I46"/>
    <mergeCell ref="J45:J46"/>
    <mergeCell ref="K47:K48"/>
    <mergeCell ref="L47:L48"/>
    <mergeCell ref="M47:M48"/>
    <mergeCell ref="N47:N48"/>
    <mergeCell ref="B48:C48"/>
    <mergeCell ref="D48:G48"/>
    <mergeCell ref="A47:A48"/>
    <mergeCell ref="B47:C47"/>
    <mergeCell ref="D47:G47"/>
    <mergeCell ref="H47:H48"/>
    <mergeCell ref="I47:I48"/>
    <mergeCell ref="J47:J48"/>
    <mergeCell ref="K49:K50"/>
    <mergeCell ref="L49:L50"/>
    <mergeCell ref="M49:M50"/>
    <mergeCell ref="N49:N50"/>
    <mergeCell ref="B50:C50"/>
    <mergeCell ref="D50:G50"/>
    <mergeCell ref="A49:A50"/>
    <mergeCell ref="B49:C49"/>
    <mergeCell ref="D49:G49"/>
    <mergeCell ref="H49:H50"/>
    <mergeCell ref="I49:I50"/>
    <mergeCell ref="J49:J50"/>
    <mergeCell ref="K51:K52"/>
    <mergeCell ref="L51:L52"/>
    <mergeCell ref="M51:M52"/>
    <mergeCell ref="N51:N52"/>
    <mergeCell ref="B52:C52"/>
    <mergeCell ref="D52:G52"/>
    <mergeCell ref="A51:A52"/>
    <mergeCell ref="B51:C51"/>
    <mergeCell ref="D51:G51"/>
    <mergeCell ref="H51:H52"/>
    <mergeCell ref="I51:I52"/>
    <mergeCell ref="J51:J5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A029-3A09-458A-96AE-A5A1CE3AEFB8}">
  <sheetPr codeName="Sheet83">
    <tabColor theme="5"/>
    <pageSetUpPr fitToPage="1"/>
  </sheetPr>
  <dimension ref="A1:N74"/>
  <sheetViews>
    <sheetView topLeftCell="A13" zoomScale="110" zoomScaleNormal="110" workbookViewId="0">
      <selection activeCell="B67" sqref="B67:M6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85" t="s">
        <v>580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23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40</v>
      </c>
      <c r="I3" s="27">
        <f>SUM(J3)-3.5</f>
        <v>43.5</v>
      </c>
      <c r="J3" s="139">
        <v>47</v>
      </c>
      <c r="K3" s="140">
        <f>SUM(J3)+3</f>
        <v>50</v>
      </c>
      <c r="L3" s="140">
        <f t="shared" ref="L3:M3" si="0">SUM(K3)+3</f>
        <v>53</v>
      </c>
      <c r="M3" s="166">
        <f t="shared" si="0"/>
        <v>56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38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36.599999999999994</v>
      </c>
      <c r="I5" s="27">
        <f>SUM(J5)-2.2</f>
        <v>38.799999999999997</v>
      </c>
      <c r="J5" s="125">
        <v>41</v>
      </c>
      <c r="K5" s="114">
        <f>SUM(J5)+2</f>
        <v>43</v>
      </c>
      <c r="L5" s="114">
        <f t="shared" ref="L5:M5" si="1">SUM(K5)+2</f>
        <v>45</v>
      </c>
      <c r="M5" s="162">
        <f t="shared" si="1"/>
        <v>47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125"/>
      <c r="K6" s="114"/>
      <c r="L6" s="114"/>
      <c r="M6" s="162"/>
    </row>
    <row r="7" spans="1:14" s="1" customFormat="1" ht="14.1" customHeight="1">
      <c r="A7" s="138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38.5</v>
      </c>
      <c r="I7" s="27">
        <f>SUM(J7)-2.25</f>
        <v>40.75</v>
      </c>
      <c r="J7" s="41">
        <v>43</v>
      </c>
      <c r="K7" s="27">
        <f>SUM(J7)+2</f>
        <v>45</v>
      </c>
      <c r="L7" s="27">
        <f>SUM(K7)+2</f>
        <v>47</v>
      </c>
      <c r="M7" s="62">
        <f>SUM(L7)+2</f>
        <v>49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38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30.900000000000002</v>
      </c>
      <c r="I9" s="27">
        <f>SUM(J9)-1.8</f>
        <v>32.700000000000003</v>
      </c>
      <c r="J9" s="41">
        <v>34.5</v>
      </c>
      <c r="K9" s="27">
        <f>SUM(J9)+1.6</f>
        <v>36.1</v>
      </c>
      <c r="L9" s="27">
        <f t="shared" ref="L9:M9" si="2">SUM(K9)+1.6</f>
        <v>37.700000000000003</v>
      </c>
      <c r="M9" s="62">
        <f t="shared" si="2"/>
        <v>39.300000000000004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38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15.099999999999998</v>
      </c>
      <c r="I11" s="27">
        <f>SUM(J11)-0.8</f>
        <v>15.899999999999999</v>
      </c>
      <c r="J11" s="125">
        <v>16.7</v>
      </c>
      <c r="K11" s="27">
        <f>SUM(J11)+0.8</f>
        <v>17.5</v>
      </c>
      <c r="L11" s="27">
        <f t="shared" ref="L11:M11" si="3">SUM(K11)+0.8</f>
        <v>18.3</v>
      </c>
      <c r="M11" s="62">
        <f t="shared" si="3"/>
        <v>19.100000000000001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46"/>
      <c r="L12" s="46"/>
      <c r="M12" s="48"/>
    </row>
    <row r="13" spans="1:14" s="1" customFormat="1" ht="14.1" customHeight="1">
      <c r="A13" s="138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14.8</v>
      </c>
      <c r="I13" s="27">
        <f>SUM(J13)-0.6</f>
        <v>15.4</v>
      </c>
      <c r="J13" s="125">
        <v>16</v>
      </c>
      <c r="K13" s="114">
        <f>SUM(J13)+0.6</f>
        <v>16.600000000000001</v>
      </c>
      <c r="L13" s="114">
        <f>SUM(K13)+0.6</f>
        <v>17.200000000000003</v>
      </c>
      <c r="M13" s="162">
        <f>SUM(L13)+0.6</f>
        <v>17.800000000000004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38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5.8000000000000007</v>
      </c>
      <c r="I15" s="27">
        <f>SUM(J15)-0.3</f>
        <v>6.1000000000000005</v>
      </c>
      <c r="J15" s="125">
        <v>6.4</v>
      </c>
      <c r="K15" s="114">
        <f>SUM(J15)+0.3</f>
        <v>6.7</v>
      </c>
      <c r="L15" s="114">
        <f>SUM(K15)+0.3</f>
        <v>7</v>
      </c>
      <c r="M15" s="162">
        <f>SUM(L15)+0.3</f>
        <v>7.3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38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36.799999999999997</v>
      </c>
      <c r="I17" s="27">
        <f>SUM(J17)-1.6</f>
        <v>38.4</v>
      </c>
      <c r="J17" s="125">
        <v>40</v>
      </c>
      <c r="K17" s="114">
        <f>SUM(J17)+1.6</f>
        <v>41.6</v>
      </c>
      <c r="L17" s="114">
        <f>SUM(K17)+1.6</f>
        <v>43.2</v>
      </c>
      <c r="M17" s="162">
        <f>SUM(L17)+1.6</f>
        <v>44.800000000000004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38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27.6</v>
      </c>
      <c r="I19" s="27">
        <f>SUM(J19)-3.4</f>
        <v>31</v>
      </c>
      <c r="J19" s="125">
        <v>34.4</v>
      </c>
      <c r="K19" s="114">
        <f>SUM(J19)+3.5</f>
        <v>37.9</v>
      </c>
      <c r="L19" s="114">
        <f t="shared" ref="L19:M19" si="4">SUM(K19)+3.5</f>
        <v>41.4</v>
      </c>
      <c r="M19" s="162">
        <f t="shared" si="4"/>
        <v>44.9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38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29.799999999999997</v>
      </c>
      <c r="I21" s="27">
        <f>SUM(J21)-1.6</f>
        <v>31.4</v>
      </c>
      <c r="J21" s="125">
        <v>33</v>
      </c>
      <c r="K21" s="114">
        <f>SUM(J21)+1.6</f>
        <v>34.6</v>
      </c>
      <c r="L21" s="114">
        <f t="shared" ref="L21:M21" si="5">SUM(K21)+1.6</f>
        <v>36.200000000000003</v>
      </c>
      <c r="M21" s="162">
        <f t="shared" si="5"/>
        <v>37.800000000000004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38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>SUM(K23)+0.6</f>
        <v>16.399999999999999</v>
      </c>
      <c r="M23" s="162">
        <f>SUM(L23)+0.6</f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38">
        <v>12</v>
      </c>
      <c r="B25" s="36" t="s">
        <v>114</v>
      </c>
      <c r="C25" s="37"/>
      <c r="D25" s="76"/>
      <c r="E25" s="77"/>
      <c r="F25" s="77"/>
      <c r="G25" s="78"/>
      <c r="H25" s="27">
        <f>SUM(I25)-0.3</f>
        <v>3.9000000000000004</v>
      </c>
      <c r="I25" s="27">
        <f>SUM(J25)-0.3</f>
        <v>4.2</v>
      </c>
      <c r="J25" s="41">
        <v>4.5</v>
      </c>
      <c r="K25" s="27">
        <f>SUM(J25)+0.3</f>
        <v>4.8</v>
      </c>
      <c r="L25" s="27">
        <f>SUM(K25)+0.3</f>
        <v>5.0999999999999996</v>
      </c>
      <c r="M25" s="62">
        <f>SUM(L25)+0.3</f>
        <v>5.3999999999999995</v>
      </c>
    </row>
    <row r="26" spans="1:13" s="1" customFormat="1" ht="14.1" customHeight="1">
      <c r="A26" s="122"/>
      <c r="B26" s="127" t="s">
        <v>122</v>
      </c>
      <c r="C26" s="128"/>
      <c r="D26" s="59" t="s">
        <v>216</v>
      </c>
      <c r="E26" s="60"/>
      <c r="F26" s="60"/>
      <c r="G26" s="61"/>
      <c r="H26" s="46"/>
      <c r="I26" s="46"/>
      <c r="J26" s="44"/>
      <c r="K26" s="46"/>
      <c r="L26" s="46"/>
      <c r="M26" s="48"/>
    </row>
    <row r="27" spans="1:13" s="1" customFormat="1" ht="14.1" customHeight="1">
      <c r="A27" s="138">
        <v>13</v>
      </c>
      <c r="B27" s="133"/>
      <c r="C27" s="134"/>
      <c r="D27" s="135"/>
      <c r="E27" s="136"/>
      <c r="F27" s="136"/>
      <c r="G27" s="137"/>
      <c r="H27" s="45"/>
      <c r="I27" s="45"/>
      <c r="J27" s="44"/>
      <c r="K27" s="46"/>
      <c r="L27" s="46"/>
      <c r="M27" s="48"/>
    </row>
    <row r="28" spans="1:13" s="1" customFormat="1" ht="14.1" customHeight="1" thickBot="1">
      <c r="A28" s="159"/>
      <c r="B28" s="133"/>
      <c r="C28" s="134"/>
      <c r="D28" s="102"/>
      <c r="E28" s="103"/>
      <c r="F28" s="103"/>
      <c r="G28" s="104"/>
      <c r="H28" s="45"/>
      <c r="I28" s="45"/>
      <c r="J28" s="41"/>
      <c r="K28" s="27"/>
      <c r="L28" s="27"/>
      <c r="M28" s="62"/>
    </row>
    <row r="29" spans="1:13" s="1" customFormat="1" ht="14.1" customHeight="1" thickTop="1">
      <c r="A29" s="210">
        <v>14</v>
      </c>
      <c r="B29" s="69" t="s">
        <v>104</v>
      </c>
      <c r="C29" s="70"/>
      <c r="D29" s="71" t="s">
        <v>67</v>
      </c>
      <c r="E29" s="72"/>
      <c r="F29" s="72"/>
      <c r="G29" s="73"/>
      <c r="H29" s="55">
        <f>SUM(I29)-3</f>
        <v>45</v>
      </c>
      <c r="I29" s="55">
        <f>SUM(J29)-3</f>
        <v>48</v>
      </c>
      <c r="J29" s="54">
        <v>51</v>
      </c>
      <c r="K29" s="55">
        <f>SUM(J29)+3</f>
        <v>54</v>
      </c>
      <c r="L29" s="55">
        <f t="shared" ref="L29:M29" si="6">SUM(K29)+3</f>
        <v>57</v>
      </c>
      <c r="M29" s="56">
        <f t="shared" si="6"/>
        <v>60</v>
      </c>
    </row>
    <row r="30" spans="1:13" s="1" customFormat="1" ht="14.1" customHeight="1">
      <c r="A30" s="122"/>
      <c r="B30" s="57" t="s">
        <v>75</v>
      </c>
      <c r="C30" s="58"/>
      <c r="D30" s="59" t="s">
        <v>68</v>
      </c>
      <c r="E30" s="60"/>
      <c r="F30" s="60"/>
      <c r="G30" s="61"/>
      <c r="H30" s="46"/>
      <c r="I30" s="46"/>
      <c r="J30" s="44"/>
      <c r="K30" s="46"/>
      <c r="L30" s="46"/>
      <c r="M30" s="48"/>
    </row>
    <row r="31" spans="1:13" ht="14.1" customHeight="1">
      <c r="A31" s="138">
        <v>15</v>
      </c>
      <c r="B31" s="36" t="s">
        <v>108</v>
      </c>
      <c r="C31" s="37"/>
      <c r="D31" s="102"/>
      <c r="E31" s="103"/>
      <c r="F31" s="103"/>
      <c r="G31" s="104"/>
      <c r="H31" s="27">
        <f>SUM(I31)-3.5</f>
        <v>67.7</v>
      </c>
      <c r="I31" s="27">
        <f>SUM(J31)-3.5</f>
        <v>71.2</v>
      </c>
      <c r="J31" s="43">
        <v>74.7</v>
      </c>
      <c r="K31" s="45">
        <f>SUM(J31)+3.5</f>
        <v>78.2</v>
      </c>
      <c r="L31" s="45">
        <f>SUM(K31)+3.5</f>
        <v>81.7</v>
      </c>
      <c r="M31" s="47">
        <f>SUM(L31)+3.5</f>
        <v>85.2</v>
      </c>
    </row>
    <row r="32" spans="1:13" ht="14.1" customHeight="1">
      <c r="A32" s="122"/>
      <c r="B32" s="57" t="s">
        <v>109</v>
      </c>
      <c r="C32" s="58"/>
      <c r="D32" s="59"/>
      <c r="E32" s="60"/>
      <c r="F32" s="60"/>
      <c r="G32" s="61"/>
      <c r="H32" s="46"/>
      <c r="I32" s="46"/>
      <c r="J32" s="44"/>
      <c r="K32" s="46"/>
      <c r="L32" s="46"/>
      <c r="M32" s="48"/>
    </row>
    <row r="33" spans="1:13" ht="14.1" customHeight="1">
      <c r="A33" s="138">
        <v>16</v>
      </c>
      <c r="B33" s="36" t="s">
        <v>11</v>
      </c>
      <c r="C33" s="37"/>
      <c r="D33" s="76"/>
      <c r="E33" s="77"/>
      <c r="F33" s="77"/>
      <c r="G33" s="78"/>
      <c r="H33" s="27">
        <f>SUM(I33)-4</f>
        <v>73.3</v>
      </c>
      <c r="I33" s="27">
        <f>SUM(J33)-4</f>
        <v>77.3</v>
      </c>
      <c r="J33" s="41">
        <v>81.3</v>
      </c>
      <c r="K33" s="27">
        <f>SUM(J33)+4</f>
        <v>85.3</v>
      </c>
      <c r="L33" s="27">
        <f>SUM(K33)+4</f>
        <v>89.3</v>
      </c>
      <c r="M33" s="62">
        <f>SUM(L33)+4</f>
        <v>93.3</v>
      </c>
    </row>
    <row r="34" spans="1:13" ht="14.1" customHeight="1">
      <c r="A34" s="122"/>
      <c r="B34" s="57" t="s">
        <v>48</v>
      </c>
      <c r="C34" s="58"/>
      <c r="D34" s="59" t="s">
        <v>480</v>
      </c>
      <c r="E34" s="60"/>
      <c r="F34" s="60"/>
      <c r="G34" s="61"/>
      <c r="H34" s="46"/>
      <c r="I34" s="46"/>
      <c r="J34" s="44"/>
      <c r="K34" s="46"/>
      <c r="L34" s="46"/>
      <c r="M34" s="48"/>
    </row>
    <row r="35" spans="1:13" ht="14.1" customHeight="1">
      <c r="A35" s="138">
        <v>17</v>
      </c>
      <c r="B35" s="36" t="s">
        <v>101</v>
      </c>
      <c r="C35" s="37"/>
      <c r="D35" s="76"/>
      <c r="E35" s="77"/>
      <c r="F35" s="77"/>
      <c r="G35" s="78"/>
      <c r="H35" s="98">
        <f>SUM(I35)-0.7</f>
        <v>13.000000000000002</v>
      </c>
      <c r="I35" s="27">
        <f>SUM(J35)-0.7</f>
        <v>13.700000000000001</v>
      </c>
      <c r="J35" s="41">
        <v>14.4</v>
      </c>
      <c r="K35" s="27">
        <f>SUM(J35)+1.2</f>
        <v>15.6</v>
      </c>
      <c r="L35" s="27">
        <f t="shared" ref="L35:M35" si="7">SUM(K35)+0.7</f>
        <v>16.3</v>
      </c>
      <c r="M35" s="62">
        <f t="shared" si="7"/>
        <v>17</v>
      </c>
    </row>
    <row r="36" spans="1:13" ht="14.1" customHeight="1">
      <c r="A36" s="122"/>
      <c r="B36" s="57" t="s">
        <v>100</v>
      </c>
      <c r="C36" s="58"/>
      <c r="D36" s="82" t="s">
        <v>132</v>
      </c>
      <c r="E36" s="83"/>
      <c r="F36" s="83"/>
      <c r="G36" s="84"/>
      <c r="H36" s="75"/>
      <c r="I36" s="46"/>
      <c r="J36" s="44"/>
      <c r="K36" s="46"/>
      <c r="L36" s="46"/>
      <c r="M36" s="48"/>
    </row>
    <row r="37" spans="1:13" ht="14.1" customHeight="1">
      <c r="A37" s="138">
        <v>18</v>
      </c>
      <c r="B37" s="36" t="s">
        <v>119</v>
      </c>
      <c r="C37" s="37"/>
      <c r="D37" s="76"/>
      <c r="E37" s="77"/>
      <c r="F37" s="77"/>
      <c r="G37" s="78"/>
      <c r="H37" s="98"/>
      <c r="I37" s="27"/>
      <c r="J37" s="41"/>
      <c r="K37" s="27"/>
      <c r="L37" s="27"/>
      <c r="M37" s="62"/>
    </row>
    <row r="38" spans="1:13" ht="14.1" customHeight="1">
      <c r="A38" s="122"/>
      <c r="B38" s="57" t="s">
        <v>120</v>
      </c>
      <c r="C38" s="58"/>
      <c r="D38" s="82" t="s">
        <v>121</v>
      </c>
      <c r="E38" s="83"/>
      <c r="F38" s="83"/>
      <c r="G38" s="84"/>
      <c r="H38" s="75"/>
      <c r="I38" s="46"/>
      <c r="J38" s="44"/>
      <c r="K38" s="46"/>
      <c r="L38" s="46"/>
      <c r="M38" s="48"/>
    </row>
    <row r="39" spans="1:13" ht="14.1" customHeight="1">
      <c r="A39" s="138">
        <v>19</v>
      </c>
      <c r="B39" s="36" t="s">
        <v>131</v>
      </c>
      <c r="C39" s="37"/>
      <c r="D39" s="76"/>
      <c r="E39" s="77"/>
      <c r="F39" s="77"/>
      <c r="G39" s="78"/>
      <c r="H39" s="27"/>
      <c r="I39" s="27"/>
      <c r="J39" s="41"/>
      <c r="K39" s="27"/>
      <c r="L39" s="27"/>
      <c r="M39" s="62"/>
    </row>
    <row r="40" spans="1:13" ht="14.1" customHeight="1">
      <c r="A40" s="122"/>
      <c r="B40" s="57" t="s">
        <v>130</v>
      </c>
      <c r="C40" s="58"/>
      <c r="D40" s="82"/>
      <c r="E40" s="83"/>
      <c r="F40" s="83"/>
      <c r="G40" s="84"/>
      <c r="H40" s="46"/>
      <c r="I40" s="46"/>
      <c r="J40" s="44"/>
      <c r="K40" s="46"/>
      <c r="L40" s="46"/>
      <c r="M40" s="48"/>
    </row>
    <row r="41" spans="1:13" ht="14.1" customHeight="1">
      <c r="A41" s="138">
        <v>20</v>
      </c>
      <c r="B41" s="36" t="s">
        <v>9</v>
      </c>
      <c r="C41" s="37"/>
      <c r="D41" s="76" t="s">
        <v>69</v>
      </c>
      <c r="E41" s="77"/>
      <c r="F41" s="77"/>
      <c r="G41" s="78"/>
      <c r="H41" s="27">
        <f>SUM(I41)-7</f>
        <v>52.900000000000006</v>
      </c>
      <c r="I41" s="27">
        <f>SUM(J41)-7</f>
        <v>59.900000000000006</v>
      </c>
      <c r="J41" s="41">
        <v>66.900000000000006</v>
      </c>
      <c r="K41" s="27">
        <f>SUM(J41)+6</f>
        <v>72.900000000000006</v>
      </c>
      <c r="L41" s="27">
        <f>SUM(K41)+6</f>
        <v>78.900000000000006</v>
      </c>
      <c r="M41" s="62">
        <f>SUM(L41)+6</f>
        <v>84.9</v>
      </c>
    </row>
    <row r="42" spans="1:13" ht="14.1" customHeight="1">
      <c r="A42" s="122"/>
      <c r="B42" s="57" t="s">
        <v>49</v>
      </c>
      <c r="C42" s="58"/>
      <c r="D42" s="59" t="s">
        <v>87</v>
      </c>
      <c r="E42" s="60"/>
      <c r="F42" s="60"/>
      <c r="G42" s="61"/>
      <c r="H42" s="46"/>
      <c r="I42" s="46"/>
      <c r="J42" s="44"/>
      <c r="K42" s="46"/>
      <c r="L42" s="46"/>
      <c r="M42" s="48"/>
    </row>
    <row r="43" spans="1:13" ht="14.1" customHeight="1">
      <c r="A43" s="138">
        <v>21</v>
      </c>
      <c r="B43" s="36" t="s">
        <v>14</v>
      </c>
      <c r="C43" s="37"/>
      <c r="D43" s="76" t="s">
        <v>15</v>
      </c>
      <c r="E43" s="77"/>
      <c r="F43" s="77"/>
      <c r="G43" s="78"/>
      <c r="H43" s="27">
        <f>SUM(I43)-2</f>
        <v>42</v>
      </c>
      <c r="I43" s="27">
        <f>SUM(J43)-2</f>
        <v>44</v>
      </c>
      <c r="J43" s="41">
        <v>46</v>
      </c>
      <c r="K43" s="27">
        <f>SUM(J43)+2</f>
        <v>48</v>
      </c>
      <c r="L43" s="27">
        <f t="shared" ref="L43:M43" si="8">SUM(K43)+2</f>
        <v>50</v>
      </c>
      <c r="M43" s="62">
        <f t="shared" si="8"/>
        <v>52</v>
      </c>
    </row>
    <row r="44" spans="1:13" ht="14.1" customHeight="1">
      <c r="A44" s="122"/>
      <c r="B44" s="57" t="s">
        <v>50</v>
      </c>
      <c r="C44" s="58"/>
      <c r="D44" s="79" t="s">
        <v>86</v>
      </c>
      <c r="E44" s="80"/>
      <c r="F44" s="80"/>
      <c r="G44" s="81"/>
      <c r="H44" s="46"/>
      <c r="I44" s="46"/>
      <c r="J44" s="44"/>
      <c r="K44" s="46"/>
      <c r="L44" s="46"/>
      <c r="M44" s="48"/>
    </row>
    <row r="45" spans="1:13" ht="14.1" customHeight="1">
      <c r="A45" s="138">
        <v>22</v>
      </c>
      <c r="B45" s="36" t="s">
        <v>16</v>
      </c>
      <c r="C45" s="37"/>
      <c r="D45" s="76" t="s">
        <v>13</v>
      </c>
      <c r="E45" s="77"/>
      <c r="F45" s="77"/>
      <c r="G45" s="78"/>
      <c r="H45" s="98">
        <f>SUM(I45)-1.1</f>
        <v>21.099999999999998</v>
      </c>
      <c r="I45" s="27">
        <f>SUM(J45)-1.1</f>
        <v>22.2</v>
      </c>
      <c r="J45" s="41">
        <v>23.3</v>
      </c>
      <c r="K45" s="27">
        <f>SUM(J45)+1.6</f>
        <v>24.900000000000002</v>
      </c>
      <c r="L45" s="27">
        <f>SUM(K45)+1.1</f>
        <v>26.000000000000004</v>
      </c>
      <c r="M45" s="62">
        <f>SUM(L45)+1.1</f>
        <v>27.100000000000005</v>
      </c>
    </row>
    <row r="46" spans="1:13" ht="14.1" customHeight="1">
      <c r="A46" s="122"/>
      <c r="B46" s="57" t="s">
        <v>56</v>
      </c>
      <c r="C46" s="58"/>
      <c r="D46" s="59" t="s">
        <v>85</v>
      </c>
      <c r="E46" s="60"/>
      <c r="F46" s="60"/>
      <c r="G46" s="61"/>
      <c r="H46" s="75"/>
      <c r="I46" s="46"/>
      <c r="J46" s="44"/>
      <c r="K46" s="46"/>
      <c r="L46" s="46"/>
      <c r="M46" s="48"/>
    </row>
    <row r="47" spans="1:13" ht="14.1" customHeight="1">
      <c r="A47" s="138">
        <v>23</v>
      </c>
      <c r="B47" s="36" t="s">
        <v>17</v>
      </c>
      <c r="C47" s="37"/>
      <c r="D47" s="76" t="s">
        <v>13</v>
      </c>
      <c r="E47" s="77"/>
      <c r="F47" s="77"/>
      <c r="G47" s="78"/>
      <c r="H47" s="98">
        <f>SUM(I47)-1.3</f>
        <v>28.7</v>
      </c>
      <c r="I47" s="27">
        <f>SUM(J47)-1.3</f>
        <v>30</v>
      </c>
      <c r="J47" s="41">
        <v>31.3</v>
      </c>
      <c r="K47" s="27">
        <f>SUM(J47)+1.8</f>
        <v>33.1</v>
      </c>
      <c r="L47" s="27">
        <f>SUM(K47)+1.3</f>
        <v>34.4</v>
      </c>
      <c r="M47" s="62">
        <f>SUM(L47)+1.3</f>
        <v>35.699999999999996</v>
      </c>
    </row>
    <row r="48" spans="1:13" ht="14.1" customHeight="1">
      <c r="A48" s="122"/>
      <c r="B48" s="57" t="s">
        <v>55</v>
      </c>
      <c r="C48" s="58"/>
      <c r="D48" s="59" t="s">
        <v>85</v>
      </c>
      <c r="E48" s="60"/>
      <c r="F48" s="60"/>
      <c r="G48" s="61"/>
      <c r="H48" s="75"/>
      <c r="I48" s="46"/>
      <c r="J48" s="44"/>
      <c r="K48" s="46"/>
      <c r="L48" s="46"/>
      <c r="M48" s="48"/>
    </row>
    <row r="49" spans="1:13" ht="14.1" customHeight="1">
      <c r="A49" s="138">
        <v>24</v>
      </c>
      <c r="B49" s="36" t="s">
        <v>18</v>
      </c>
      <c r="C49" s="37"/>
      <c r="D49" s="76" t="s">
        <v>19</v>
      </c>
      <c r="E49" s="77"/>
      <c r="F49" s="77"/>
      <c r="G49" s="78"/>
      <c r="H49" s="27">
        <f>SUM(I49)-2.7</f>
        <v>46.899999999999991</v>
      </c>
      <c r="I49" s="27">
        <f>SUM(J49)-2.7</f>
        <v>49.599999999999994</v>
      </c>
      <c r="J49" s="41">
        <v>52.3</v>
      </c>
      <c r="K49" s="27">
        <f>SUM(J49)+2.6</f>
        <v>54.9</v>
      </c>
      <c r="L49" s="27">
        <f>SUM(K49)+2.6</f>
        <v>57.5</v>
      </c>
      <c r="M49" s="62">
        <f>SUM(L49)+2.6</f>
        <v>60.1</v>
      </c>
    </row>
    <row r="50" spans="1:13" ht="14.1" customHeight="1">
      <c r="A50" s="122"/>
      <c r="B50" s="57" t="s">
        <v>54</v>
      </c>
      <c r="C50" s="58"/>
      <c r="D50" s="59" t="s">
        <v>84</v>
      </c>
      <c r="E50" s="60"/>
      <c r="F50" s="60"/>
      <c r="G50" s="61"/>
      <c r="H50" s="46"/>
      <c r="I50" s="46"/>
      <c r="J50" s="44"/>
      <c r="K50" s="46"/>
      <c r="L50" s="46"/>
      <c r="M50" s="48"/>
    </row>
    <row r="51" spans="1:13" ht="14.1" customHeight="1">
      <c r="A51" s="138">
        <v>25</v>
      </c>
      <c r="B51" s="36" t="s">
        <v>20</v>
      </c>
      <c r="C51" s="37"/>
      <c r="D51" s="76" t="s">
        <v>21</v>
      </c>
      <c r="E51" s="77"/>
      <c r="F51" s="77"/>
      <c r="G51" s="78"/>
      <c r="H51" s="27">
        <f>SUM(I51)-6</f>
        <v>32.700000000000003</v>
      </c>
      <c r="I51" s="27">
        <f>SUM(J51)-6</f>
        <v>38.700000000000003</v>
      </c>
      <c r="J51" s="41">
        <v>44.7</v>
      </c>
      <c r="K51" s="27">
        <f>SUM(J51)+4.5</f>
        <v>49.2</v>
      </c>
      <c r="L51" s="27">
        <f>SUM(K51)+5</f>
        <v>54.2</v>
      </c>
      <c r="M51" s="62">
        <f>SUM(L51)+5</f>
        <v>59.2</v>
      </c>
    </row>
    <row r="52" spans="1:13" ht="13.5" customHeight="1">
      <c r="A52" s="122"/>
      <c r="B52" s="57" t="s">
        <v>53</v>
      </c>
      <c r="C52" s="58"/>
      <c r="D52" s="59" t="s">
        <v>83</v>
      </c>
      <c r="E52" s="60"/>
      <c r="F52" s="60"/>
      <c r="G52" s="61"/>
      <c r="H52" s="46"/>
      <c r="I52" s="46"/>
      <c r="J52" s="44"/>
      <c r="K52" s="46"/>
      <c r="L52" s="46"/>
      <c r="M52" s="48"/>
    </row>
    <row r="53" spans="1:13" ht="14.1" customHeight="1">
      <c r="A53" s="138">
        <v>26</v>
      </c>
      <c r="B53" s="36" t="s">
        <v>82</v>
      </c>
      <c r="C53" s="37"/>
      <c r="D53" s="76" t="s">
        <v>80</v>
      </c>
      <c r="E53" s="77"/>
      <c r="F53" s="77"/>
      <c r="G53" s="78"/>
      <c r="H53" s="27">
        <f>SUM(I53)-2.1</f>
        <v>44</v>
      </c>
      <c r="I53" s="27">
        <f>SUM(J53)-2.1</f>
        <v>46.1</v>
      </c>
      <c r="J53" s="41">
        <v>48.2</v>
      </c>
      <c r="K53" s="27">
        <f>SUM(J53)+2.1</f>
        <v>50.300000000000004</v>
      </c>
      <c r="L53" s="27">
        <f t="shared" ref="L53:M53" si="9">SUM(K53)+2.1</f>
        <v>52.400000000000006</v>
      </c>
      <c r="M53" s="62">
        <f t="shared" si="9"/>
        <v>54.500000000000007</v>
      </c>
    </row>
    <row r="54" spans="1:13" ht="14.1" customHeight="1">
      <c r="A54" s="122"/>
      <c r="B54" s="57" t="s">
        <v>81</v>
      </c>
      <c r="C54" s="58"/>
      <c r="D54" s="59" t="s">
        <v>80</v>
      </c>
      <c r="E54" s="60"/>
      <c r="F54" s="60"/>
      <c r="G54" s="61"/>
      <c r="H54" s="46"/>
      <c r="I54" s="46"/>
      <c r="J54" s="44"/>
      <c r="K54" s="46"/>
      <c r="L54" s="46"/>
      <c r="M54" s="48"/>
    </row>
    <row r="55" spans="1:13" ht="14.1" customHeight="1">
      <c r="A55" s="138">
        <v>27</v>
      </c>
      <c r="B55" s="36" t="s">
        <v>79</v>
      </c>
      <c r="C55" s="37"/>
      <c r="D55" s="76" t="s">
        <v>78</v>
      </c>
      <c r="E55" s="77"/>
      <c r="F55" s="77"/>
      <c r="G55" s="78"/>
      <c r="H55" s="27">
        <f>SUM(I55)-3.3</f>
        <v>32.500000000000007</v>
      </c>
      <c r="I55" s="27">
        <f>SUM(J55)-3.3</f>
        <v>35.800000000000004</v>
      </c>
      <c r="J55" s="41">
        <v>39.1</v>
      </c>
      <c r="K55" s="27">
        <f>SUM(J55)+3.2</f>
        <v>42.300000000000004</v>
      </c>
      <c r="L55" s="27">
        <f>SUM(K55)+2.9</f>
        <v>45.2</v>
      </c>
      <c r="M55" s="62">
        <f>SUM(L55)+2.9</f>
        <v>48.1</v>
      </c>
    </row>
    <row r="56" spans="1:13" ht="14.1" customHeight="1">
      <c r="A56" s="122"/>
      <c r="B56" s="57" t="s">
        <v>77</v>
      </c>
      <c r="C56" s="58"/>
      <c r="D56" s="59" t="s">
        <v>111</v>
      </c>
      <c r="E56" s="60"/>
      <c r="F56" s="60"/>
      <c r="G56" s="61"/>
      <c r="H56" s="46"/>
      <c r="I56" s="46"/>
      <c r="J56" s="44"/>
      <c r="K56" s="46"/>
      <c r="L56" s="46"/>
      <c r="M56" s="48"/>
    </row>
    <row r="57" spans="1:13" ht="14.1" customHeight="1">
      <c r="A57" s="138">
        <v>28</v>
      </c>
      <c r="B57" s="36" t="s">
        <v>99</v>
      </c>
      <c r="C57" s="37"/>
      <c r="D57" s="76" t="s">
        <v>22</v>
      </c>
      <c r="E57" s="77"/>
      <c r="F57" s="77"/>
      <c r="G57" s="78"/>
      <c r="H57" s="27">
        <f>SUM(I57)-0.2</f>
        <v>4.1999999999999993</v>
      </c>
      <c r="I57" s="27">
        <f>SUM(J57)-0.2</f>
        <v>4.3999999999999995</v>
      </c>
      <c r="J57" s="125">
        <v>4.5999999999999996</v>
      </c>
      <c r="K57" s="114">
        <f>SUM(J57)+0.2</f>
        <v>4.8</v>
      </c>
      <c r="L57" s="114">
        <f t="shared" ref="L57:M57" si="10">SUM(K57)+0.2</f>
        <v>5</v>
      </c>
      <c r="M57" s="162">
        <f t="shared" si="10"/>
        <v>5.2</v>
      </c>
    </row>
    <row r="58" spans="1:13" ht="14.1" customHeight="1">
      <c r="A58" s="122"/>
      <c r="B58" s="57" t="s">
        <v>52</v>
      </c>
      <c r="C58" s="58"/>
      <c r="D58" s="59" t="s">
        <v>98</v>
      </c>
      <c r="E58" s="60"/>
      <c r="F58" s="60"/>
      <c r="G58" s="61"/>
      <c r="H58" s="46"/>
      <c r="I58" s="46"/>
      <c r="J58" s="125"/>
      <c r="K58" s="114"/>
      <c r="L58" s="114"/>
      <c r="M58" s="162"/>
    </row>
    <row r="59" spans="1:13" ht="14.1" customHeight="1">
      <c r="A59" s="138">
        <v>28</v>
      </c>
      <c r="B59" s="36" t="s">
        <v>97</v>
      </c>
      <c r="C59" s="37"/>
      <c r="D59" s="76" t="s">
        <v>23</v>
      </c>
      <c r="E59" s="77"/>
      <c r="F59" s="77"/>
      <c r="G59" s="78"/>
      <c r="H59" s="27">
        <f>SUM(I59)-0.6</f>
        <v>9.8000000000000007</v>
      </c>
      <c r="I59" s="27">
        <f>SUM(J59)-0.6</f>
        <v>10.4</v>
      </c>
      <c r="J59" s="125">
        <v>11</v>
      </c>
      <c r="K59" s="114">
        <f>SUM(J59)+0.6</f>
        <v>11.6</v>
      </c>
      <c r="L59" s="114">
        <f t="shared" ref="L59:M59" si="11">SUM(K59)+0.6</f>
        <v>12.2</v>
      </c>
      <c r="M59" s="162">
        <f t="shared" si="11"/>
        <v>12.799999999999999</v>
      </c>
    </row>
    <row r="60" spans="1:13" ht="14.1" customHeight="1">
      <c r="A60" s="122"/>
      <c r="B60" s="57" t="s">
        <v>51</v>
      </c>
      <c r="C60" s="58"/>
      <c r="D60" s="59" t="s">
        <v>96</v>
      </c>
      <c r="E60" s="60"/>
      <c r="F60" s="60"/>
      <c r="G60" s="61"/>
      <c r="H60" s="46"/>
      <c r="I60" s="46"/>
      <c r="J60" s="125"/>
      <c r="K60" s="114"/>
      <c r="L60" s="114"/>
      <c r="M60" s="162"/>
    </row>
    <row r="61" spans="1:13" ht="14.1" customHeight="1">
      <c r="A61" s="138">
        <v>29</v>
      </c>
      <c r="B61" s="36" t="s">
        <v>95</v>
      </c>
      <c r="C61" s="37"/>
      <c r="D61" s="124"/>
      <c r="E61" s="124"/>
      <c r="F61" s="124"/>
      <c r="G61" s="124"/>
      <c r="H61" s="27">
        <f>SUM(I61)-0.5</f>
        <v>10.5</v>
      </c>
      <c r="I61" s="27">
        <f>SUM(J61)-0.5</f>
        <v>11</v>
      </c>
      <c r="J61" s="41">
        <v>11.5</v>
      </c>
      <c r="K61" s="27">
        <f>SUM(J61)+0.5</f>
        <v>12</v>
      </c>
      <c r="L61" s="27">
        <f>SUM(K61)+0.5</f>
        <v>12.5</v>
      </c>
      <c r="M61" s="62">
        <f>SUM(L61)+0.5</f>
        <v>13</v>
      </c>
    </row>
    <row r="62" spans="1:13" ht="14.1" customHeight="1">
      <c r="A62" s="122"/>
      <c r="B62" s="127" t="s">
        <v>94</v>
      </c>
      <c r="C62" s="128"/>
      <c r="D62" s="79"/>
      <c r="E62" s="80"/>
      <c r="F62" s="80"/>
      <c r="G62" s="81"/>
      <c r="H62" s="46"/>
      <c r="I62" s="46"/>
      <c r="J62" s="44"/>
      <c r="K62" s="46"/>
      <c r="L62" s="46"/>
      <c r="M62" s="48"/>
    </row>
    <row r="63" spans="1:13" ht="14.1" customHeight="1">
      <c r="A63" s="138">
        <v>30</v>
      </c>
      <c r="B63" s="36" t="s">
        <v>93</v>
      </c>
      <c r="C63" s="37"/>
      <c r="D63" s="124"/>
      <c r="E63" s="124"/>
      <c r="F63" s="124"/>
      <c r="G63" s="124"/>
      <c r="H63" s="27">
        <f>SUM(I63)-0.5</f>
        <v>11</v>
      </c>
      <c r="I63" s="27">
        <f>SUM(J63)-0.5</f>
        <v>11.5</v>
      </c>
      <c r="J63" s="41">
        <v>12</v>
      </c>
      <c r="K63" s="27">
        <f>SUM(J63)+0.5</f>
        <v>12.5</v>
      </c>
      <c r="L63" s="27">
        <f>SUM(K63)+0.5</f>
        <v>13</v>
      </c>
      <c r="M63" s="62">
        <f>SUM(L63)+0.5</f>
        <v>13.5</v>
      </c>
    </row>
    <row r="64" spans="1:13" ht="14.1" customHeight="1">
      <c r="A64" s="122"/>
      <c r="B64" s="153" t="s">
        <v>92</v>
      </c>
      <c r="C64" s="153"/>
      <c r="D64" s="102"/>
      <c r="E64" s="103"/>
      <c r="F64" s="103"/>
      <c r="G64" s="104"/>
      <c r="H64" s="45"/>
      <c r="I64" s="45"/>
      <c r="J64" s="43"/>
      <c r="K64" s="45"/>
      <c r="L64" s="45"/>
      <c r="M64" s="47"/>
    </row>
    <row r="65" spans="1:14" ht="14.1" customHeight="1">
      <c r="A65" s="138">
        <v>31</v>
      </c>
      <c r="B65" s="36" t="s">
        <v>148</v>
      </c>
      <c r="C65" s="37"/>
      <c r="D65" s="124"/>
      <c r="E65" s="124"/>
      <c r="F65" s="124"/>
      <c r="G65" s="124"/>
      <c r="H65" s="27">
        <f>SUM(I65)-3</f>
        <v>81</v>
      </c>
      <c r="I65" s="27">
        <f>SUM(J65)-3</f>
        <v>84</v>
      </c>
      <c r="J65" s="41">
        <v>87</v>
      </c>
      <c r="K65" s="27">
        <f>SUM(J65)+3</f>
        <v>90</v>
      </c>
      <c r="L65" s="27">
        <f t="shared" ref="L65:M65" si="12">SUM(K65)+3</f>
        <v>93</v>
      </c>
      <c r="M65" s="62">
        <f t="shared" si="12"/>
        <v>96</v>
      </c>
    </row>
    <row r="66" spans="1:14" ht="14.1" customHeight="1">
      <c r="A66" s="122"/>
      <c r="B66" s="153" t="s">
        <v>149</v>
      </c>
      <c r="C66" s="153"/>
      <c r="D66" s="102" t="s">
        <v>581</v>
      </c>
      <c r="E66" s="103"/>
      <c r="F66" s="103"/>
      <c r="G66" s="104"/>
      <c r="H66" s="46"/>
      <c r="I66" s="46"/>
      <c r="J66" s="44"/>
      <c r="K66" s="46"/>
      <c r="L66" s="46"/>
      <c r="M66" s="48"/>
    </row>
    <row r="67" spans="1:14" ht="14.1" customHeight="1">
      <c r="A67" s="138">
        <v>32</v>
      </c>
      <c r="B67" s="36" t="s">
        <v>115</v>
      </c>
      <c r="C67" s="37"/>
      <c r="D67" s="76"/>
      <c r="E67" s="77"/>
      <c r="F67" s="77"/>
      <c r="G67" s="78"/>
      <c r="H67" s="27">
        <f>SUM(I67)-0.1</f>
        <v>3.8</v>
      </c>
      <c r="I67" s="27">
        <f>SUM(J67)-0.1</f>
        <v>3.9</v>
      </c>
      <c r="J67" s="41">
        <v>4</v>
      </c>
      <c r="K67" s="27">
        <f>SUM(J67)+0.1</f>
        <v>4.0999999999999996</v>
      </c>
      <c r="L67" s="27">
        <f t="shared" ref="L67:M67" si="13">SUM(K67)+0.1</f>
        <v>4.1999999999999993</v>
      </c>
      <c r="M67" s="62">
        <f t="shared" si="13"/>
        <v>4.2999999999999989</v>
      </c>
    </row>
    <row r="68" spans="1:14" ht="14.1" customHeight="1" thickBot="1">
      <c r="A68" s="123"/>
      <c r="B68" s="143" t="s">
        <v>123</v>
      </c>
      <c r="C68" s="144"/>
      <c r="D68" s="111" t="s">
        <v>231</v>
      </c>
      <c r="E68" s="112"/>
      <c r="F68" s="112"/>
      <c r="G68" s="113"/>
      <c r="H68" s="28"/>
      <c r="I68" s="28"/>
      <c r="J68" s="42"/>
      <c r="K68" s="28"/>
      <c r="L68" s="28"/>
      <c r="M68" s="160"/>
    </row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366">
    <mergeCell ref="J67:J68"/>
    <mergeCell ref="K67:K68"/>
    <mergeCell ref="L67:L68"/>
    <mergeCell ref="M67:M68"/>
    <mergeCell ref="B68:C68"/>
    <mergeCell ref="D68:G68"/>
    <mergeCell ref="K65:K66"/>
    <mergeCell ref="L65:L66"/>
    <mergeCell ref="M65:M66"/>
    <mergeCell ref="B66:C66"/>
    <mergeCell ref="D66:G66"/>
    <mergeCell ref="J65:J66"/>
    <mergeCell ref="A67:A68"/>
    <mergeCell ref="B67:C67"/>
    <mergeCell ref="D67:G67"/>
    <mergeCell ref="H67:H68"/>
    <mergeCell ref="I67:I68"/>
    <mergeCell ref="A65:A66"/>
    <mergeCell ref="B65:C65"/>
    <mergeCell ref="D65:G65"/>
    <mergeCell ref="H65:H66"/>
    <mergeCell ref="I65:I66"/>
    <mergeCell ref="J63:J64"/>
    <mergeCell ref="K63:K64"/>
    <mergeCell ref="L63:L64"/>
    <mergeCell ref="M63:M64"/>
    <mergeCell ref="B64:C64"/>
    <mergeCell ref="D64:G64"/>
    <mergeCell ref="K61:K62"/>
    <mergeCell ref="L61:L62"/>
    <mergeCell ref="M61:M62"/>
    <mergeCell ref="B62:C62"/>
    <mergeCell ref="D62:G62"/>
    <mergeCell ref="J61:J62"/>
    <mergeCell ref="A63:A64"/>
    <mergeCell ref="B63:C63"/>
    <mergeCell ref="D63:G63"/>
    <mergeCell ref="H63:H64"/>
    <mergeCell ref="I63:I64"/>
    <mergeCell ref="A61:A62"/>
    <mergeCell ref="B61:C61"/>
    <mergeCell ref="D61:G61"/>
    <mergeCell ref="H61:H62"/>
    <mergeCell ref="I61:I62"/>
    <mergeCell ref="J59:J60"/>
    <mergeCell ref="K59:K60"/>
    <mergeCell ref="L59:L60"/>
    <mergeCell ref="M59:M60"/>
    <mergeCell ref="B60:C60"/>
    <mergeCell ref="D60:G60"/>
    <mergeCell ref="K57:K58"/>
    <mergeCell ref="L57:L58"/>
    <mergeCell ref="M57:M58"/>
    <mergeCell ref="B58:C58"/>
    <mergeCell ref="D58:G58"/>
    <mergeCell ref="J57:J58"/>
    <mergeCell ref="A59:A60"/>
    <mergeCell ref="B59:C59"/>
    <mergeCell ref="D59:G59"/>
    <mergeCell ref="H59:H60"/>
    <mergeCell ref="I59:I60"/>
    <mergeCell ref="A57:A58"/>
    <mergeCell ref="B57:C57"/>
    <mergeCell ref="D57:G57"/>
    <mergeCell ref="H57:H58"/>
    <mergeCell ref="I57:I58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75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4CFE-2985-4DC8-BFA0-DACB3E4952DD}">
  <sheetPr codeName="Sheet53">
    <tabColor theme="5"/>
    <pageSetUpPr fitToPage="1"/>
  </sheetPr>
  <dimension ref="A1:N74"/>
  <sheetViews>
    <sheetView topLeftCell="A34" zoomScale="110" zoomScaleNormal="110" workbookViewId="0">
      <selection activeCell="P41" sqref="P4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3" ht="16.5" customHeight="1" thickBot="1">
      <c r="A1" s="85" t="s">
        <v>370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36</v>
      </c>
      <c r="I3" s="27">
        <f>SUM(J3)-3.5</f>
        <v>39.5</v>
      </c>
      <c r="J3" s="139">
        <v>43</v>
      </c>
      <c r="K3" s="140">
        <f>SUM(J3)+3</f>
        <v>46</v>
      </c>
      <c r="L3" s="140">
        <f t="shared" ref="L3:M3" si="0">SUM(K3)+3</f>
        <v>49</v>
      </c>
      <c r="M3" s="166">
        <f t="shared" si="0"/>
        <v>52</v>
      </c>
    </row>
    <row r="4" spans="1:13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3" s="1" customFormat="1" ht="14.1" customHeight="1">
      <c r="A5" s="138">
        <v>2</v>
      </c>
      <c r="B5" s="36" t="s">
        <v>37</v>
      </c>
      <c r="C5" s="37"/>
      <c r="D5" s="76" t="s">
        <v>38</v>
      </c>
      <c r="E5" s="77"/>
      <c r="F5" s="77"/>
      <c r="G5" s="78"/>
      <c r="H5" s="27">
        <f>SUM(I5)-2.2</f>
        <v>35.599999999999994</v>
      </c>
      <c r="I5" s="27">
        <f>SUM(J5)-2.2</f>
        <v>37.799999999999997</v>
      </c>
      <c r="J5" s="125">
        <v>40</v>
      </c>
      <c r="K5" s="114">
        <f>SUM(J5)+2</f>
        <v>42</v>
      </c>
      <c r="L5" s="114">
        <f>SUM(K5)+2</f>
        <v>44</v>
      </c>
      <c r="M5" s="162">
        <f>SUM(L5)+2</f>
        <v>46</v>
      </c>
    </row>
    <row r="6" spans="1:13" s="1" customFormat="1" ht="14.1" customHeight="1">
      <c r="A6" s="122"/>
      <c r="B6" s="127" t="s">
        <v>24</v>
      </c>
      <c r="C6" s="128"/>
      <c r="D6" s="79" t="s">
        <v>42</v>
      </c>
      <c r="E6" s="80"/>
      <c r="F6" s="80"/>
      <c r="G6" s="81"/>
      <c r="H6" s="46"/>
      <c r="I6" s="46"/>
      <c r="J6" s="125"/>
      <c r="K6" s="114"/>
      <c r="L6" s="114"/>
      <c r="M6" s="162"/>
    </row>
    <row r="7" spans="1:13" s="1" customFormat="1" ht="14.1" customHeight="1">
      <c r="A7" s="138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36.5</v>
      </c>
      <c r="I7" s="27">
        <f>SUM(J7)-2.25</f>
        <v>38.75</v>
      </c>
      <c r="J7" s="41">
        <v>41</v>
      </c>
      <c r="K7" s="27">
        <f>SUM(J7)+2</f>
        <v>43</v>
      </c>
      <c r="L7" s="27">
        <f>SUM(K7)+2</f>
        <v>45</v>
      </c>
      <c r="M7" s="62">
        <f>SUM(L7)+2</f>
        <v>47</v>
      </c>
    </row>
    <row r="8" spans="1:13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3" s="1" customFormat="1" ht="14.1" customHeight="1">
      <c r="A9" s="138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SUM(I9)-1.9</f>
        <v>31.200000000000003</v>
      </c>
      <c r="I9" s="27">
        <f>SUM(J9)-1.9</f>
        <v>33.1</v>
      </c>
      <c r="J9" s="41">
        <v>35</v>
      </c>
      <c r="K9" s="27">
        <f>SUM(J9)+1.7</f>
        <v>36.700000000000003</v>
      </c>
      <c r="L9" s="27">
        <f>SUM(K9)+1.7</f>
        <v>38.400000000000006</v>
      </c>
      <c r="M9" s="62">
        <f>SUM(L9)+1.7</f>
        <v>40.100000000000009</v>
      </c>
    </row>
    <row r="10" spans="1:13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3" s="1" customFormat="1" ht="14.1" customHeight="1">
      <c r="A11" s="138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15.2</v>
      </c>
      <c r="I11" s="27">
        <f>SUM(J11)-0.8</f>
        <v>16</v>
      </c>
      <c r="J11" s="125">
        <v>16.8</v>
      </c>
      <c r="K11" s="114">
        <f>SUM(J11)+0.8</f>
        <v>17.600000000000001</v>
      </c>
      <c r="L11" s="114">
        <f t="shared" ref="L11:M11" si="1">SUM(K11)+0.8</f>
        <v>18.400000000000002</v>
      </c>
      <c r="M11" s="162">
        <f t="shared" si="1"/>
        <v>19.200000000000003</v>
      </c>
    </row>
    <row r="12" spans="1:13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3" s="1" customFormat="1" ht="14.1" customHeight="1">
      <c r="A13" s="138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15.4</v>
      </c>
      <c r="I13" s="27">
        <f>SUM(J13)-0.6</f>
        <v>16</v>
      </c>
      <c r="J13" s="125">
        <v>16.600000000000001</v>
      </c>
      <c r="K13" s="114">
        <f>SUM(J13)+0.6</f>
        <v>17.200000000000003</v>
      </c>
      <c r="L13" s="114">
        <f>SUM(K13)+0.6</f>
        <v>17.800000000000004</v>
      </c>
      <c r="M13" s="162">
        <f>SUM(L13)+0.6</f>
        <v>18.400000000000006</v>
      </c>
    </row>
    <row r="14" spans="1:13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3" s="1" customFormat="1" ht="14.1" customHeight="1">
      <c r="A15" s="138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</v>
      </c>
      <c r="I15" s="27">
        <f>SUM(J15)-0.3</f>
        <v>6.3</v>
      </c>
      <c r="J15" s="125">
        <v>6.6</v>
      </c>
      <c r="K15" s="114">
        <f>SUM(J15)+0.3</f>
        <v>6.8999999999999995</v>
      </c>
      <c r="L15" s="114">
        <f>SUM(K15)+0.3</f>
        <v>7.1999999999999993</v>
      </c>
      <c r="M15" s="162">
        <f>SUM(L15)+0.3</f>
        <v>7.4999999999999991</v>
      </c>
    </row>
    <row r="16" spans="1:13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38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39.799999999999997</v>
      </c>
      <c r="I17" s="27">
        <f>SUM(J17)-1.6</f>
        <v>41.4</v>
      </c>
      <c r="J17" s="125">
        <v>43</v>
      </c>
      <c r="K17" s="114">
        <f>SUM(J17)+1.6</f>
        <v>44.6</v>
      </c>
      <c r="L17" s="114">
        <f>SUM(K17)+1.6</f>
        <v>46.2</v>
      </c>
      <c r="M17" s="162">
        <f>SUM(L17)+1.6</f>
        <v>47.800000000000004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38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27.200000000000003</v>
      </c>
      <c r="I19" s="27">
        <f>SUM(J19)-3.4</f>
        <v>30.6</v>
      </c>
      <c r="J19" s="125">
        <v>34</v>
      </c>
      <c r="K19" s="114">
        <f>SUM(J19)+3.5</f>
        <v>37.5</v>
      </c>
      <c r="L19" s="114">
        <f>SUM(K19)+3.5</f>
        <v>41</v>
      </c>
      <c r="M19" s="162">
        <f>SUM(L19)+3.5</f>
        <v>44.5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38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SUM(I21)-1.5</f>
        <v>30</v>
      </c>
      <c r="I21" s="27">
        <f>SUM(J21)-1.5</f>
        <v>31.5</v>
      </c>
      <c r="J21" s="125">
        <v>33</v>
      </c>
      <c r="K21" s="114">
        <f>SUM(J21)+1.6</f>
        <v>34.6</v>
      </c>
      <c r="L21" s="114">
        <f t="shared" ref="L21:M21" si="2">SUM(K21)+1.6</f>
        <v>36.200000000000003</v>
      </c>
      <c r="M21" s="162">
        <f t="shared" si="2"/>
        <v>37.800000000000004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38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>SUM(K23)+0.6</f>
        <v>16.399999999999999</v>
      </c>
      <c r="M23" s="162">
        <f>SUM(L23)+0.6</f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38">
        <v>12</v>
      </c>
      <c r="B25" s="36" t="s">
        <v>114</v>
      </c>
      <c r="C25" s="37"/>
      <c r="D25" s="129" t="s">
        <v>197</v>
      </c>
      <c r="E25" s="130"/>
      <c r="F25" s="130"/>
      <c r="G25" s="131"/>
      <c r="H25" s="27">
        <f>SUM(I25)-0.3</f>
        <v>3.9000000000000004</v>
      </c>
      <c r="I25" s="27">
        <f>SUM(J25)-0.3</f>
        <v>4.2</v>
      </c>
      <c r="J25" s="125">
        <v>4.5</v>
      </c>
      <c r="K25" s="114">
        <f>SUM(J25)+0.3</f>
        <v>4.8</v>
      </c>
      <c r="L25" s="114">
        <f>SUM(K25)+0.3</f>
        <v>5.0999999999999996</v>
      </c>
      <c r="M25" s="162">
        <f>SUM(L25)+0.3</f>
        <v>5.3999999999999995</v>
      </c>
    </row>
    <row r="26" spans="1:13" s="1" customFormat="1" ht="14.1" customHeight="1">
      <c r="A26" s="122"/>
      <c r="B26" s="133" t="s">
        <v>122</v>
      </c>
      <c r="C26" s="134"/>
      <c r="D26" s="102" t="s">
        <v>229</v>
      </c>
      <c r="E26" s="103"/>
      <c r="F26" s="103"/>
      <c r="G26" s="104"/>
      <c r="H26" s="45"/>
      <c r="I26" s="45"/>
      <c r="J26" s="41"/>
      <c r="K26" s="27"/>
      <c r="L26" s="27"/>
      <c r="M26" s="62"/>
    </row>
    <row r="27" spans="1:13" s="1" customFormat="1" ht="14.1" customHeight="1">
      <c r="A27" s="138">
        <v>13</v>
      </c>
      <c r="B27" s="36"/>
      <c r="C27" s="37"/>
      <c r="D27" s="129"/>
      <c r="E27" s="130"/>
      <c r="F27" s="130"/>
      <c r="G27" s="131"/>
      <c r="H27" s="27"/>
      <c r="I27" s="27"/>
      <c r="J27" s="125"/>
      <c r="K27" s="114"/>
      <c r="L27" s="114"/>
      <c r="M27" s="162"/>
    </row>
    <row r="28" spans="1:13" s="1" customFormat="1" ht="14.1" customHeight="1" thickBot="1">
      <c r="A28" s="159"/>
      <c r="B28" s="133"/>
      <c r="C28" s="134"/>
      <c r="D28" s="102"/>
      <c r="E28" s="103"/>
      <c r="F28" s="103"/>
      <c r="G28" s="104"/>
      <c r="H28" s="45"/>
      <c r="I28" s="45"/>
      <c r="J28" s="41"/>
      <c r="K28" s="27"/>
      <c r="L28" s="27"/>
      <c r="M28" s="62"/>
    </row>
    <row r="29" spans="1:13" s="1" customFormat="1" ht="14.1" customHeight="1" thickTop="1">
      <c r="A29" s="210">
        <v>14</v>
      </c>
      <c r="B29" s="69" t="s">
        <v>104</v>
      </c>
      <c r="C29" s="70"/>
      <c r="D29" s="71" t="s">
        <v>67</v>
      </c>
      <c r="E29" s="72"/>
      <c r="F29" s="72"/>
      <c r="G29" s="73"/>
      <c r="H29" s="55">
        <f>SUM(I29)-3</f>
        <v>45</v>
      </c>
      <c r="I29" s="55">
        <f>SUM(J29)-3</f>
        <v>48</v>
      </c>
      <c r="J29" s="54">
        <v>51</v>
      </c>
      <c r="K29" s="55">
        <f>SUM(J29)+3</f>
        <v>54</v>
      </c>
      <c r="L29" s="55">
        <f t="shared" ref="L29:M29" si="3">SUM(K29)+3</f>
        <v>57</v>
      </c>
      <c r="M29" s="56">
        <f t="shared" si="3"/>
        <v>60</v>
      </c>
    </row>
    <row r="30" spans="1:13" s="1" customFormat="1" ht="14.1" customHeight="1">
      <c r="A30" s="122"/>
      <c r="B30" s="57" t="s">
        <v>75</v>
      </c>
      <c r="C30" s="58"/>
      <c r="D30" s="59" t="s">
        <v>68</v>
      </c>
      <c r="E30" s="60"/>
      <c r="F30" s="60"/>
      <c r="G30" s="61"/>
      <c r="H30" s="46"/>
      <c r="I30" s="46"/>
      <c r="J30" s="44"/>
      <c r="K30" s="46"/>
      <c r="L30" s="46"/>
      <c r="M30" s="48"/>
    </row>
    <row r="31" spans="1:13" ht="14.1" customHeight="1">
      <c r="A31" s="138">
        <v>15</v>
      </c>
      <c r="B31" s="36" t="s">
        <v>108</v>
      </c>
      <c r="C31" s="37"/>
      <c r="D31" s="102"/>
      <c r="E31" s="103"/>
      <c r="F31" s="103"/>
      <c r="G31" s="104"/>
      <c r="H31" s="27">
        <f>SUM(I31)-3.5</f>
        <v>65</v>
      </c>
      <c r="I31" s="27">
        <f>SUM(J31)-3.5</f>
        <v>68.5</v>
      </c>
      <c r="J31" s="43">
        <v>72</v>
      </c>
      <c r="K31" s="45">
        <f>SUM(J31)+3.5</f>
        <v>75.5</v>
      </c>
      <c r="L31" s="45">
        <f>SUM(K31)+3.5</f>
        <v>79</v>
      </c>
      <c r="M31" s="47">
        <f>SUM(L31)+3.5</f>
        <v>82.5</v>
      </c>
    </row>
    <row r="32" spans="1:13" ht="14.1" customHeight="1">
      <c r="A32" s="122"/>
      <c r="B32" s="57" t="s">
        <v>109</v>
      </c>
      <c r="C32" s="58"/>
      <c r="D32" s="59"/>
      <c r="E32" s="60"/>
      <c r="F32" s="60"/>
      <c r="G32" s="61"/>
      <c r="H32" s="46"/>
      <c r="I32" s="46"/>
      <c r="J32" s="44"/>
      <c r="K32" s="46"/>
      <c r="L32" s="46"/>
      <c r="M32" s="48"/>
    </row>
    <row r="33" spans="1:13" ht="14.1" customHeight="1">
      <c r="A33" s="138">
        <v>16</v>
      </c>
      <c r="B33" s="36" t="s">
        <v>11</v>
      </c>
      <c r="C33" s="37"/>
      <c r="D33" s="76"/>
      <c r="E33" s="77"/>
      <c r="F33" s="77"/>
      <c r="G33" s="78"/>
      <c r="H33" s="27">
        <f>SUM(I33)-4</f>
        <v>86</v>
      </c>
      <c r="I33" s="27">
        <f>SUM(J33)-4</f>
        <v>90</v>
      </c>
      <c r="J33" s="41">
        <v>94</v>
      </c>
      <c r="K33" s="27">
        <f>SUM(J33)+4</f>
        <v>98</v>
      </c>
      <c r="L33" s="27">
        <f>SUM(K33)+4</f>
        <v>102</v>
      </c>
      <c r="M33" s="62">
        <f>SUM(L33)+4</f>
        <v>106</v>
      </c>
    </row>
    <row r="34" spans="1:13" ht="14.1" customHeight="1">
      <c r="A34" s="122"/>
      <c r="B34" s="57" t="s">
        <v>48</v>
      </c>
      <c r="C34" s="58"/>
      <c r="D34" s="59" t="s">
        <v>230</v>
      </c>
      <c r="E34" s="60"/>
      <c r="F34" s="60"/>
      <c r="G34" s="61"/>
      <c r="H34" s="46"/>
      <c r="I34" s="46"/>
      <c r="J34" s="44"/>
      <c r="K34" s="46"/>
      <c r="L34" s="46"/>
      <c r="M34" s="48"/>
    </row>
    <row r="35" spans="1:13" ht="14.1" customHeight="1">
      <c r="A35" s="138">
        <v>17</v>
      </c>
      <c r="B35" s="36" t="s">
        <v>101</v>
      </c>
      <c r="C35" s="37"/>
      <c r="D35" s="76"/>
      <c r="E35" s="77"/>
      <c r="F35" s="77"/>
      <c r="G35" s="78"/>
      <c r="H35" s="98">
        <f>SUM(I35)-0.7</f>
        <v>12.600000000000001</v>
      </c>
      <c r="I35" s="27">
        <f>SUM(J35)-0.7</f>
        <v>13.3</v>
      </c>
      <c r="J35" s="41">
        <v>14</v>
      </c>
      <c r="K35" s="27">
        <f>SUM(J35)+1.2</f>
        <v>15.2</v>
      </c>
      <c r="L35" s="27">
        <f t="shared" ref="L35:M35" si="4">SUM(K35)+0.7</f>
        <v>15.899999999999999</v>
      </c>
      <c r="M35" s="62">
        <f t="shared" si="4"/>
        <v>16.599999999999998</v>
      </c>
    </row>
    <row r="36" spans="1:13" ht="14.1" customHeight="1">
      <c r="A36" s="122"/>
      <c r="B36" s="57" t="s">
        <v>100</v>
      </c>
      <c r="C36" s="58"/>
      <c r="D36" s="82" t="s">
        <v>180</v>
      </c>
      <c r="E36" s="83"/>
      <c r="F36" s="83"/>
      <c r="G36" s="84"/>
      <c r="H36" s="75"/>
      <c r="I36" s="46"/>
      <c r="J36" s="44"/>
      <c r="K36" s="46"/>
      <c r="L36" s="46"/>
      <c r="M36" s="48"/>
    </row>
    <row r="37" spans="1:13" ht="14.1" customHeight="1">
      <c r="A37" s="138">
        <v>18</v>
      </c>
      <c r="B37" s="36" t="s">
        <v>119</v>
      </c>
      <c r="C37" s="37"/>
      <c r="D37" s="76"/>
      <c r="E37" s="77"/>
      <c r="F37" s="77"/>
      <c r="G37" s="78"/>
      <c r="H37" s="98"/>
      <c r="I37" s="27"/>
      <c r="J37" s="41"/>
      <c r="K37" s="27"/>
      <c r="L37" s="27"/>
      <c r="M37" s="62"/>
    </row>
    <row r="38" spans="1:13" ht="14.1" customHeight="1">
      <c r="A38" s="122"/>
      <c r="B38" s="57" t="s">
        <v>120</v>
      </c>
      <c r="C38" s="58"/>
      <c r="D38" s="82" t="s">
        <v>180</v>
      </c>
      <c r="E38" s="83"/>
      <c r="F38" s="83"/>
      <c r="G38" s="84"/>
      <c r="H38" s="75"/>
      <c r="I38" s="46"/>
      <c r="J38" s="44"/>
      <c r="K38" s="46"/>
      <c r="L38" s="46"/>
      <c r="M38" s="48"/>
    </row>
    <row r="39" spans="1:13" ht="14.1" customHeight="1">
      <c r="A39" s="138">
        <v>19</v>
      </c>
      <c r="B39" s="36" t="s">
        <v>131</v>
      </c>
      <c r="C39" s="37"/>
      <c r="D39" s="76"/>
      <c r="E39" s="77"/>
      <c r="F39" s="77"/>
      <c r="G39" s="78"/>
      <c r="H39" s="27"/>
      <c r="I39" s="27"/>
      <c r="J39" s="41"/>
      <c r="K39" s="27"/>
      <c r="L39" s="27"/>
      <c r="M39" s="62"/>
    </row>
    <row r="40" spans="1:13" ht="14.1" customHeight="1">
      <c r="A40" s="122"/>
      <c r="B40" s="57" t="s">
        <v>130</v>
      </c>
      <c r="C40" s="58"/>
      <c r="D40" s="82"/>
      <c r="E40" s="83"/>
      <c r="F40" s="83"/>
      <c r="G40" s="84"/>
      <c r="H40" s="46"/>
      <c r="I40" s="46"/>
      <c r="J40" s="44"/>
      <c r="K40" s="46"/>
      <c r="L40" s="46"/>
      <c r="M40" s="48"/>
    </row>
    <row r="41" spans="1:13" ht="14.1" customHeight="1">
      <c r="A41" s="138">
        <v>20</v>
      </c>
      <c r="B41" s="36" t="s">
        <v>9</v>
      </c>
      <c r="C41" s="37"/>
      <c r="D41" s="76" t="s">
        <v>69</v>
      </c>
      <c r="E41" s="77"/>
      <c r="F41" s="77"/>
      <c r="G41" s="78"/>
      <c r="H41" s="27">
        <f>SUM(I41)-7</f>
        <v>52</v>
      </c>
      <c r="I41" s="27">
        <f>SUM(J41)-7</f>
        <v>59</v>
      </c>
      <c r="J41" s="41">
        <v>66</v>
      </c>
      <c r="K41" s="27">
        <f>SUM(J41)+6</f>
        <v>72</v>
      </c>
      <c r="L41" s="27">
        <f>SUM(K41)+6</f>
        <v>78</v>
      </c>
      <c r="M41" s="62">
        <f>SUM(L41)+6</f>
        <v>84</v>
      </c>
    </row>
    <row r="42" spans="1:13" ht="14.1" customHeight="1">
      <c r="A42" s="122"/>
      <c r="B42" s="57" t="s">
        <v>49</v>
      </c>
      <c r="C42" s="58"/>
      <c r="D42" s="59" t="s">
        <v>87</v>
      </c>
      <c r="E42" s="60"/>
      <c r="F42" s="60"/>
      <c r="G42" s="61"/>
      <c r="H42" s="46"/>
      <c r="I42" s="46"/>
      <c r="J42" s="44"/>
      <c r="K42" s="46"/>
      <c r="L42" s="46"/>
      <c r="M42" s="48"/>
    </row>
    <row r="43" spans="1:13" ht="14.1" customHeight="1">
      <c r="A43" s="138">
        <v>21</v>
      </c>
      <c r="B43" s="36" t="s">
        <v>14</v>
      </c>
      <c r="C43" s="37"/>
      <c r="D43" s="76" t="s">
        <v>15</v>
      </c>
      <c r="E43" s="77"/>
      <c r="F43" s="77"/>
      <c r="G43" s="78"/>
      <c r="H43" s="27">
        <f>SUM(I43)-2</f>
        <v>42</v>
      </c>
      <c r="I43" s="27">
        <f>SUM(J43)-2</f>
        <v>44</v>
      </c>
      <c r="J43" s="41">
        <v>46</v>
      </c>
      <c r="K43" s="27">
        <f>SUM(J43)+2</f>
        <v>48</v>
      </c>
      <c r="L43" s="27">
        <f>SUM(K43)+2</f>
        <v>50</v>
      </c>
      <c r="M43" s="62">
        <f>SUM(L43)+2</f>
        <v>52</v>
      </c>
    </row>
    <row r="44" spans="1:13" ht="14.1" customHeight="1">
      <c r="A44" s="122"/>
      <c r="B44" s="57" t="s">
        <v>50</v>
      </c>
      <c r="C44" s="58"/>
      <c r="D44" s="79" t="s">
        <v>86</v>
      </c>
      <c r="E44" s="80"/>
      <c r="F44" s="80"/>
      <c r="G44" s="81"/>
      <c r="H44" s="46"/>
      <c r="I44" s="46"/>
      <c r="J44" s="44"/>
      <c r="K44" s="46"/>
      <c r="L44" s="46"/>
      <c r="M44" s="48"/>
    </row>
    <row r="45" spans="1:13" ht="14.1" customHeight="1">
      <c r="A45" s="138">
        <v>22</v>
      </c>
      <c r="B45" s="36" t="s">
        <v>16</v>
      </c>
      <c r="C45" s="37"/>
      <c r="D45" s="76" t="s">
        <v>13</v>
      </c>
      <c r="E45" s="77"/>
      <c r="F45" s="77"/>
      <c r="G45" s="78"/>
      <c r="H45" s="98">
        <f>SUM(I45)-1.1</f>
        <v>20.9</v>
      </c>
      <c r="I45" s="27">
        <f>SUM(J45)-1.1</f>
        <v>22</v>
      </c>
      <c r="J45" s="41">
        <v>23.1</v>
      </c>
      <c r="K45" s="27">
        <f>SUM(J45)+1.6</f>
        <v>24.700000000000003</v>
      </c>
      <c r="L45" s="27">
        <f>SUM(K45)+1.1</f>
        <v>25.800000000000004</v>
      </c>
      <c r="M45" s="62">
        <f>SUM(L45)+1.1</f>
        <v>26.900000000000006</v>
      </c>
    </row>
    <row r="46" spans="1:13" ht="14.1" customHeight="1">
      <c r="A46" s="122"/>
      <c r="B46" s="57" t="s">
        <v>56</v>
      </c>
      <c r="C46" s="58"/>
      <c r="D46" s="59" t="s">
        <v>85</v>
      </c>
      <c r="E46" s="60"/>
      <c r="F46" s="60"/>
      <c r="G46" s="61"/>
      <c r="H46" s="75"/>
      <c r="I46" s="46"/>
      <c r="J46" s="44"/>
      <c r="K46" s="46"/>
      <c r="L46" s="46"/>
      <c r="M46" s="48"/>
    </row>
    <row r="47" spans="1:13" ht="14.1" customHeight="1">
      <c r="A47" s="138">
        <v>23</v>
      </c>
      <c r="B47" s="36" t="s">
        <v>17</v>
      </c>
      <c r="C47" s="37"/>
      <c r="D47" s="76" t="s">
        <v>13</v>
      </c>
      <c r="E47" s="77"/>
      <c r="F47" s="77"/>
      <c r="G47" s="78"/>
      <c r="H47" s="98">
        <f>SUM(I47)-1.3</f>
        <v>28.599999999999998</v>
      </c>
      <c r="I47" s="27">
        <f>SUM(J47)-1.3</f>
        <v>29.9</v>
      </c>
      <c r="J47" s="41">
        <v>31.2</v>
      </c>
      <c r="K47" s="27">
        <f>SUM(J47)+1.8</f>
        <v>33</v>
      </c>
      <c r="L47" s="27">
        <f>SUM(K47)+1.3</f>
        <v>34.299999999999997</v>
      </c>
      <c r="M47" s="62">
        <f>SUM(L47)+1.3</f>
        <v>35.599999999999994</v>
      </c>
    </row>
    <row r="48" spans="1:13" ht="14.1" customHeight="1">
      <c r="A48" s="122"/>
      <c r="B48" s="57" t="s">
        <v>55</v>
      </c>
      <c r="C48" s="58"/>
      <c r="D48" s="59" t="s">
        <v>85</v>
      </c>
      <c r="E48" s="60"/>
      <c r="F48" s="60"/>
      <c r="G48" s="61"/>
      <c r="H48" s="75"/>
      <c r="I48" s="46"/>
      <c r="J48" s="44"/>
      <c r="K48" s="46"/>
      <c r="L48" s="46"/>
      <c r="M48" s="48"/>
    </row>
    <row r="49" spans="1:13" ht="14.1" customHeight="1">
      <c r="A49" s="138">
        <v>24</v>
      </c>
      <c r="B49" s="36" t="s">
        <v>18</v>
      </c>
      <c r="C49" s="37"/>
      <c r="D49" s="76" t="s">
        <v>19</v>
      </c>
      <c r="E49" s="77"/>
      <c r="F49" s="77"/>
      <c r="G49" s="78"/>
      <c r="H49" s="27">
        <f>SUM(I49)-2.7</f>
        <v>52.399999999999991</v>
      </c>
      <c r="I49" s="27">
        <f>SUM(J49)-2.7</f>
        <v>55.099999999999994</v>
      </c>
      <c r="J49" s="41">
        <v>57.8</v>
      </c>
      <c r="K49" s="27">
        <f>SUM(J49)+2.6</f>
        <v>60.4</v>
      </c>
      <c r="L49" s="27">
        <f>SUM(K49)+2.6</f>
        <v>63</v>
      </c>
      <c r="M49" s="62">
        <f>SUM(L49)+2.6</f>
        <v>65.599999999999994</v>
      </c>
    </row>
    <row r="50" spans="1:13" ht="14.1" customHeight="1">
      <c r="A50" s="122"/>
      <c r="B50" s="57" t="s">
        <v>54</v>
      </c>
      <c r="C50" s="58"/>
      <c r="D50" s="59" t="s">
        <v>84</v>
      </c>
      <c r="E50" s="60"/>
      <c r="F50" s="60"/>
      <c r="G50" s="61"/>
      <c r="H50" s="46"/>
      <c r="I50" s="46"/>
      <c r="J50" s="44"/>
      <c r="K50" s="46"/>
      <c r="L50" s="46"/>
      <c r="M50" s="48"/>
    </row>
    <row r="51" spans="1:13" ht="14.1" customHeight="1">
      <c r="A51" s="138">
        <v>25</v>
      </c>
      <c r="B51" s="36" t="s">
        <v>20</v>
      </c>
      <c r="C51" s="37"/>
      <c r="D51" s="76" t="s">
        <v>21</v>
      </c>
      <c r="E51" s="77"/>
      <c r="F51" s="77"/>
      <c r="G51" s="78"/>
      <c r="H51" s="27">
        <f>SUM(I51)-6</f>
        <v>32.799999999999997</v>
      </c>
      <c r="I51" s="27">
        <f>SUM(J51)-6</f>
        <v>38.799999999999997</v>
      </c>
      <c r="J51" s="41">
        <v>44.8</v>
      </c>
      <c r="K51" s="27">
        <f>SUM(J51)+4.5</f>
        <v>49.3</v>
      </c>
      <c r="L51" s="27">
        <f>SUM(K51)+5</f>
        <v>54.3</v>
      </c>
      <c r="M51" s="62">
        <f>SUM(L51)+5</f>
        <v>59.3</v>
      </c>
    </row>
    <row r="52" spans="1:13" ht="13.5" customHeight="1">
      <c r="A52" s="122"/>
      <c r="B52" s="57" t="s">
        <v>53</v>
      </c>
      <c r="C52" s="58"/>
      <c r="D52" s="59" t="s">
        <v>83</v>
      </c>
      <c r="E52" s="60"/>
      <c r="F52" s="60"/>
      <c r="G52" s="61"/>
      <c r="H52" s="46"/>
      <c r="I52" s="46"/>
      <c r="J52" s="44"/>
      <c r="K52" s="46"/>
      <c r="L52" s="46"/>
      <c r="M52" s="48"/>
    </row>
    <row r="53" spans="1:13" ht="14.1" customHeight="1">
      <c r="A53" s="138">
        <v>26</v>
      </c>
      <c r="B53" s="36" t="s">
        <v>82</v>
      </c>
      <c r="C53" s="37"/>
      <c r="D53" s="76" t="s">
        <v>80</v>
      </c>
      <c r="E53" s="77"/>
      <c r="F53" s="77"/>
      <c r="G53" s="78"/>
      <c r="H53" s="27">
        <f>SUM(I53)-2</f>
        <v>48.7</v>
      </c>
      <c r="I53" s="27">
        <f>SUM(J53)-2</f>
        <v>50.7</v>
      </c>
      <c r="J53" s="41">
        <v>52.7</v>
      </c>
      <c r="K53" s="27">
        <f>SUM(J53)+2</f>
        <v>54.7</v>
      </c>
      <c r="L53" s="27">
        <f>SUM(K53)+2</f>
        <v>56.7</v>
      </c>
      <c r="M53" s="62">
        <f>SUM(L53)+2</f>
        <v>58.7</v>
      </c>
    </row>
    <row r="54" spans="1:13" ht="14.1" customHeight="1">
      <c r="A54" s="122"/>
      <c r="B54" s="57" t="s">
        <v>81</v>
      </c>
      <c r="C54" s="58"/>
      <c r="D54" s="59" t="s">
        <v>80</v>
      </c>
      <c r="E54" s="60"/>
      <c r="F54" s="60"/>
      <c r="G54" s="61"/>
      <c r="H54" s="46"/>
      <c r="I54" s="46"/>
      <c r="J54" s="44"/>
      <c r="K54" s="46"/>
      <c r="L54" s="46"/>
      <c r="M54" s="48"/>
    </row>
    <row r="55" spans="1:13" ht="14.1" customHeight="1">
      <c r="A55" s="138">
        <v>27</v>
      </c>
      <c r="B55" s="36" t="s">
        <v>79</v>
      </c>
      <c r="C55" s="37"/>
      <c r="D55" s="76" t="s">
        <v>78</v>
      </c>
      <c r="E55" s="77"/>
      <c r="F55" s="77"/>
      <c r="G55" s="78"/>
      <c r="H55" s="27">
        <f>SUM(I55)-3.3</f>
        <v>32.100000000000009</v>
      </c>
      <c r="I55" s="27">
        <f>SUM(J55)-3.3</f>
        <v>35.400000000000006</v>
      </c>
      <c r="J55" s="41">
        <v>38.700000000000003</v>
      </c>
      <c r="K55" s="27">
        <f>SUM(J55)+3.2</f>
        <v>41.900000000000006</v>
      </c>
      <c r="L55" s="27">
        <f>SUM(K55)+2.9</f>
        <v>44.800000000000004</v>
      </c>
      <c r="M55" s="62">
        <f>SUM(L55)+2.9</f>
        <v>47.7</v>
      </c>
    </row>
    <row r="56" spans="1:13" ht="14.1" customHeight="1">
      <c r="A56" s="122"/>
      <c r="B56" s="57" t="s">
        <v>77</v>
      </c>
      <c r="C56" s="58"/>
      <c r="D56" s="59" t="s">
        <v>111</v>
      </c>
      <c r="E56" s="60"/>
      <c r="F56" s="60"/>
      <c r="G56" s="61"/>
      <c r="H56" s="46"/>
      <c r="I56" s="46"/>
      <c r="J56" s="44"/>
      <c r="K56" s="46"/>
      <c r="L56" s="46"/>
      <c r="M56" s="48"/>
    </row>
    <row r="57" spans="1:13" ht="14.1" customHeight="1">
      <c r="A57" s="138">
        <v>28</v>
      </c>
      <c r="B57" s="36" t="s">
        <v>99</v>
      </c>
      <c r="C57" s="37"/>
      <c r="D57" s="76" t="s">
        <v>22</v>
      </c>
      <c r="E57" s="77"/>
      <c r="F57" s="77"/>
      <c r="G57" s="78"/>
      <c r="H57" s="27">
        <f>SUM(I57)-0.2</f>
        <v>4.6999999999999993</v>
      </c>
      <c r="I57" s="27">
        <f>SUM(J57)-0.2</f>
        <v>4.8999999999999995</v>
      </c>
      <c r="J57" s="41">
        <v>5.0999999999999996</v>
      </c>
      <c r="K57" s="27">
        <f>SUM(J57)+0.2</f>
        <v>5.3</v>
      </c>
      <c r="L57" s="27">
        <f>SUM(K57)+0.2</f>
        <v>5.5</v>
      </c>
      <c r="M57" s="62">
        <f>SUM(L57)+0.2</f>
        <v>5.7</v>
      </c>
    </row>
    <row r="58" spans="1:13" ht="14.1" customHeight="1">
      <c r="A58" s="122"/>
      <c r="B58" s="57" t="s">
        <v>52</v>
      </c>
      <c r="C58" s="58"/>
      <c r="D58" s="59" t="s">
        <v>98</v>
      </c>
      <c r="E58" s="60"/>
      <c r="F58" s="60"/>
      <c r="G58" s="61"/>
      <c r="H58" s="46"/>
      <c r="I58" s="46"/>
      <c r="J58" s="44"/>
      <c r="K58" s="46"/>
      <c r="L58" s="46"/>
      <c r="M58" s="48"/>
    </row>
    <row r="59" spans="1:13" ht="14.1" customHeight="1">
      <c r="A59" s="138">
        <v>29</v>
      </c>
      <c r="B59" s="36" t="s">
        <v>97</v>
      </c>
      <c r="C59" s="37"/>
      <c r="D59" s="76" t="s">
        <v>23</v>
      </c>
      <c r="E59" s="77"/>
      <c r="F59" s="77"/>
      <c r="G59" s="78"/>
      <c r="H59" s="27">
        <f>SUM(I59)-0.6</f>
        <v>9.9</v>
      </c>
      <c r="I59" s="27">
        <f>SUM(J59)-0.6</f>
        <v>10.5</v>
      </c>
      <c r="J59" s="41">
        <v>11.1</v>
      </c>
      <c r="K59" s="27">
        <f>SUM(J59)+0.6</f>
        <v>11.7</v>
      </c>
      <c r="L59" s="27">
        <f>SUM(K59)+0.6</f>
        <v>12.299999999999999</v>
      </c>
      <c r="M59" s="62">
        <f>SUM(L59)+0.6</f>
        <v>12.899999999999999</v>
      </c>
    </row>
    <row r="60" spans="1:13" ht="14.1" customHeight="1">
      <c r="A60" s="122"/>
      <c r="B60" s="57" t="s">
        <v>51</v>
      </c>
      <c r="C60" s="58"/>
      <c r="D60" s="59" t="s">
        <v>96</v>
      </c>
      <c r="E60" s="60"/>
      <c r="F60" s="60"/>
      <c r="G60" s="61"/>
      <c r="H60" s="46"/>
      <c r="I60" s="46"/>
      <c r="J60" s="44"/>
      <c r="K60" s="46"/>
      <c r="L60" s="46"/>
      <c r="M60" s="48"/>
    </row>
    <row r="61" spans="1:13" ht="14.1" customHeight="1">
      <c r="A61" s="138">
        <v>30</v>
      </c>
      <c r="B61" s="36"/>
      <c r="C61" s="37"/>
      <c r="D61" s="124"/>
      <c r="E61" s="124"/>
      <c r="F61" s="124"/>
      <c r="G61" s="124"/>
      <c r="H61" s="27"/>
      <c r="I61" s="27"/>
      <c r="J61" s="41"/>
      <c r="K61" s="27"/>
      <c r="L61" s="27"/>
      <c r="M61" s="62"/>
    </row>
    <row r="62" spans="1:13" ht="14.1" customHeight="1">
      <c r="A62" s="122"/>
      <c r="B62" s="153"/>
      <c r="C62" s="153"/>
      <c r="D62" s="102"/>
      <c r="E62" s="103"/>
      <c r="F62" s="103"/>
      <c r="G62" s="104"/>
      <c r="H62" s="46"/>
      <c r="I62" s="46"/>
      <c r="J62" s="44"/>
      <c r="K62" s="46"/>
      <c r="L62" s="46"/>
      <c r="M62" s="48"/>
    </row>
    <row r="63" spans="1:13" ht="14.1" customHeight="1">
      <c r="A63" s="138">
        <v>31</v>
      </c>
      <c r="B63" s="36"/>
      <c r="C63" s="37"/>
      <c r="D63" s="76"/>
      <c r="E63" s="77"/>
      <c r="F63" s="77"/>
      <c r="G63" s="78"/>
      <c r="H63" s="27"/>
      <c r="I63" s="27"/>
      <c r="J63" s="41"/>
      <c r="K63" s="27"/>
      <c r="L63" s="27"/>
      <c r="M63" s="62"/>
    </row>
    <row r="64" spans="1:13" ht="14.1" customHeight="1" thickBot="1">
      <c r="A64" s="123"/>
      <c r="B64" s="143"/>
      <c r="C64" s="144"/>
      <c r="D64" s="111"/>
      <c r="E64" s="112"/>
      <c r="F64" s="112"/>
      <c r="G64" s="113"/>
      <c r="H64" s="28"/>
      <c r="I64" s="28"/>
      <c r="J64" s="42"/>
      <c r="K64" s="28"/>
      <c r="L64" s="28"/>
      <c r="M64" s="160"/>
    </row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344">
    <mergeCell ref="A1:M1"/>
    <mergeCell ref="K63:K64"/>
    <mergeCell ref="L63:L64"/>
    <mergeCell ref="M63:M64"/>
    <mergeCell ref="B64:C64"/>
    <mergeCell ref="D64:G64"/>
    <mergeCell ref="A63:A64"/>
    <mergeCell ref="B63:C63"/>
    <mergeCell ref="D63:G63"/>
    <mergeCell ref="H63:H64"/>
    <mergeCell ref="I63:I64"/>
    <mergeCell ref="J63:J64"/>
    <mergeCell ref="K61:K62"/>
    <mergeCell ref="L61:L62"/>
    <mergeCell ref="M61:M62"/>
    <mergeCell ref="B62:C62"/>
    <mergeCell ref="D62:G62"/>
    <mergeCell ref="A61:A62"/>
    <mergeCell ref="B61:C61"/>
    <mergeCell ref="D61:G61"/>
    <mergeCell ref="H61:H62"/>
    <mergeCell ref="I61:I62"/>
    <mergeCell ref="J61:J62"/>
    <mergeCell ref="K59:K60"/>
    <mergeCell ref="L59:L60"/>
    <mergeCell ref="M59:M60"/>
    <mergeCell ref="B60:C60"/>
    <mergeCell ref="D60:G60"/>
    <mergeCell ref="A59:A60"/>
    <mergeCell ref="B59:C59"/>
    <mergeCell ref="D59:G59"/>
    <mergeCell ref="H59:H60"/>
    <mergeCell ref="I59:I60"/>
    <mergeCell ref="J59:J60"/>
    <mergeCell ref="K57:K58"/>
    <mergeCell ref="L57:L58"/>
    <mergeCell ref="M57:M58"/>
    <mergeCell ref="B58:C58"/>
    <mergeCell ref="D58:G58"/>
    <mergeCell ref="A57:A58"/>
    <mergeCell ref="B57:C57"/>
    <mergeCell ref="D57:G57"/>
    <mergeCell ref="H57:H58"/>
    <mergeCell ref="I57:I58"/>
    <mergeCell ref="J57:J58"/>
    <mergeCell ref="K55:K56"/>
    <mergeCell ref="L55:L56"/>
    <mergeCell ref="M55:M56"/>
    <mergeCell ref="B56:C56"/>
    <mergeCell ref="D56:G56"/>
    <mergeCell ref="A55:A56"/>
    <mergeCell ref="B55:C55"/>
    <mergeCell ref="D55:G55"/>
    <mergeCell ref="H55:H56"/>
    <mergeCell ref="I55:I56"/>
    <mergeCell ref="J55:J56"/>
    <mergeCell ref="K53:K54"/>
    <mergeCell ref="L53:L54"/>
    <mergeCell ref="M53:M54"/>
    <mergeCell ref="B54:C54"/>
    <mergeCell ref="D54:G54"/>
    <mergeCell ref="A53:A54"/>
    <mergeCell ref="B53:C53"/>
    <mergeCell ref="D53:G53"/>
    <mergeCell ref="H53:H54"/>
    <mergeCell ref="I53:I54"/>
    <mergeCell ref="J53:J54"/>
    <mergeCell ref="K51:K52"/>
    <mergeCell ref="L51:L52"/>
    <mergeCell ref="M51:M52"/>
    <mergeCell ref="B52:C52"/>
    <mergeCell ref="D52:G52"/>
    <mergeCell ref="A51:A52"/>
    <mergeCell ref="B51:C51"/>
    <mergeCell ref="D51:G51"/>
    <mergeCell ref="H51:H52"/>
    <mergeCell ref="I51:I52"/>
    <mergeCell ref="J51:J52"/>
    <mergeCell ref="K49:K50"/>
    <mergeCell ref="L49:L50"/>
    <mergeCell ref="M49:M50"/>
    <mergeCell ref="B50:C50"/>
    <mergeCell ref="D50:G50"/>
    <mergeCell ref="A49:A50"/>
    <mergeCell ref="B49:C49"/>
    <mergeCell ref="D49:G49"/>
    <mergeCell ref="H49:H50"/>
    <mergeCell ref="I49:I50"/>
    <mergeCell ref="J49:J50"/>
    <mergeCell ref="K47:K48"/>
    <mergeCell ref="L47:L48"/>
    <mergeCell ref="M47:M48"/>
    <mergeCell ref="B48:C48"/>
    <mergeCell ref="D48:G48"/>
    <mergeCell ref="A47:A48"/>
    <mergeCell ref="B47:C47"/>
    <mergeCell ref="D47:G47"/>
    <mergeCell ref="H47:H48"/>
    <mergeCell ref="I47:I48"/>
    <mergeCell ref="J47:J48"/>
    <mergeCell ref="K45:K46"/>
    <mergeCell ref="L45:L46"/>
    <mergeCell ref="M45:M46"/>
    <mergeCell ref="B46:C46"/>
    <mergeCell ref="D46:G46"/>
    <mergeCell ref="A45:A46"/>
    <mergeCell ref="B45:C45"/>
    <mergeCell ref="D45:G45"/>
    <mergeCell ref="H45:H46"/>
    <mergeCell ref="I45:I46"/>
    <mergeCell ref="J45:J46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4F52-238B-42F9-9376-943A2A86A291}">
  <sheetPr codeName="Sheet84">
    <tabColor theme="5"/>
    <pageSetUpPr fitToPage="1"/>
  </sheetPr>
  <dimension ref="A1:N74"/>
  <sheetViews>
    <sheetView topLeftCell="A28" zoomScale="110" zoomScaleNormal="110" workbookViewId="0">
      <selection activeCell="H45" sqref="H45:H4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85" t="s">
        <v>582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23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38</v>
      </c>
      <c r="I3" s="27">
        <f>SUM(J3)-3.5</f>
        <v>41.5</v>
      </c>
      <c r="J3" s="139">
        <v>45</v>
      </c>
      <c r="K3" s="140">
        <f>SUM(J3)+3</f>
        <v>48</v>
      </c>
      <c r="L3" s="140">
        <f t="shared" ref="L3:M3" si="0">SUM(K3)+3</f>
        <v>51</v>
      </c>
      <c r="M3" s="140">
        <f t="shared" si="0"/>
        <v>54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27"/>
    </row>
    <row r="5" spans="1:14" s="1" customFormat="1" ht="14.1" customHeight="1">
      <c r="A5" s="138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37.599999999999994</v>
      </c>
      <c r="I5" s="27">
        <f>SUM(J5)-2.2</f>
        <v>39.799999999999997</v>
      </c>
      <c r="J5" s="125">
        <v>42</v>
      </c>
      <c r="K5" s="114">
        <f>SUM(J5)+2</f>
        <v>44</v>
      </c>
      <c r="L5" s="114">
        <f t="shared" ref="L5:M5" si="1">SUM(K5)+2</f>
        <v>46</v>
      </c>
      <c r="M5" s="114">
        <f t="shared" si="1"/>
        <v>48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125"/>
      <c r="K6" s="114"/>
      <c r="L6" s="114"/>
      <c r="M6" s="114"/>
    </row>
    <row r="7" spans="1:14" s="1" customFormat="1" ht="14.1" customHeight="1">
      <c r="A7" s="138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39.5</v>
      </c>
      <c r="I7" s="27">
        <f>SUM(J7)-2.25</f>
        <v>41.75</v>
      </c>
      <c r="J7" s="41">
        <v>44</v>
      </c>
      <c r="K7" s="27">
        <f>SUM(J7)+2</f>
        <v>46</v>
      </c>
      <c r="L7" s="27">
        <f>SUM(K7)+2</f>
        <v>48</v>
      </c>
      <c r="M7" s="27">
        <f>SUM(L7)+2</f>
        <v>50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6"/>
    </row>
    <row r="9" spans="1:14" s="1" customFormat="1" ht="14.1" customHeight="1">
      <c r="A9" s="138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SUM(I9)-1.6</f>
        <v>29.299999999999997</v>
      </c>
      <c r="I9" s="27">
        <f>SUM(J9)-1.6</f>
        <v>30.9</v>
      </c>
      <c r="J9" s="41">
        <v>32.5</v>
      </c>
      <c r="K9" s="27">
        <f>SUM(J9)+1.4</f>
        <v>33.9</v>
      </c>
      <c r="L9" s="27">
        <f t="shared" ref="L9:M9" si="2">SUM(K9)+1.4</f>
        <v>35.299999999999997</v>
      </c>
      <c r="M9" s="27">
        <f t="shared" si="2"/>
        <v>36.699999999999996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6"/>
    </row>
    <row r="11" spans="1:14" s="1" customFormat="1" ht="14.1" customHeight="1">
      <c r="A11" s="138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15.399999999999999</v>
      </c>
      <c r="I11" s="27">
        <f>SUM(J11)-0.8</f>
        <v>16.2</v>
      </c>
      <c r="J11" s="125">
        <v>17</v>
      </c>
      <c r="K11" s="27">
        <f>SUM(J11)+0.8</f>
        <v>17.8</v>
      </c>
      <c r="L11" s="27">
        <f t="shared" ref="L11:M11" si="3">SUM(K11)+0.8</f>
        <v>18.600000000000001</v>
      </c>
      <c r="M11" s="27">
        <f t="shared" si="3"/>
        <v>19.400000000000002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46"/>
      <c r="L12" s="46"/>
      <c r="M12" s="46"/>
    </row>
    <row r="13" spans="1:14" s="1" customFormat="1" ht="14.1" customHeight="1">
      <c r="A13" s="138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14.8</v>
      </c>
      <c r="I13" s="27">
        <f>SUM(J13)-0.6</f>
        <v>15.4</v>
      </c>
      <c r="J13" s="125">
        <v>16</v>
      </c>
      <c r="K13" s="114">
        <f>SUM(J13)+0.6</f>
        <v>16.600000000000001</v>
      </c>
      <c r="L13" s="114">
        <f>SUM(K13)+0.6</f>
        <v>17.200000000000003</v>
      </c>
      <c r="M13" s="114">
        <f>SUM(L13)+0.6</f>
        <v>17.800000000000004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14"/>
    </row>
    <row r="15" spans="1:14" s="1" customFormat="1" ht="14.1" customHeight="1">
      <c r="A15" s="138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5.5</v>
      </c>
      <c r="I15" s="27">
        <f>SUM(J15)-0.3</f>
        <v>5.8</v>
      </c>
      <c r="J15" s="125">
        <v>6.1</v>
      </c>
      <c r="K15" s="114">
        <f>SUM(J15)+0.3</f>
        <v>6.3999999999999995</v>
      </c>
      <c r="L15" s="114">
        <f>SUM(K15)+0.3</f>
        <v>6.6999999999999993</v>
      </c>
      <c r="M15" s="114">
        <f>SUM(L15)+0.3</f>
        <v>6.9999999999999991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14"/>
    </row>
    <row r="17" spans="1:13" s="1" customFormat="1" ht="14.1" customHeight="1">
      <c r="A17" s="138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35.799999999999997</v>
      </c>
      <c r="I17" s="27">
        <f>SUM(J17)-1.6</f>
        <v>37.4</v>
      </c>
      <c r="J17" s="125">
        <v>39</v>
      </c>
      <c r="K17" s="114">
        <f>SUM(J17)+1.6</f>
        <v>40.6</v>
      </c>
      <c r="L17" s="114">
        <f>SUM(K17)+1.6</f>
        <v>42.2</v>
      </c>
      <c r="M17" s="114">
        <f>SUM(L17)+1.6</f>
        <v>43.800000000000004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14"/>
    </row>
    <row r="19" spans="1:13" s="1" customFormat="1" ht="14.1" customHeight="1">
      <c r="A19" s="138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26.200000000000003</v>
      </c>
      <c r="I19" s="27">
        <f>SUM(J19)-3.4</f>
        <v>29.6</v>
      </c>
      <c r="J19" s="125">
        <v>33</v>
      </c>
      <c r="K19" s="114">
        <f>SUM(J19)+3.5</f>
        <v>36.5</v>
      </c>
      <c r="L19" s="114">
        <f t="shared" ref="L19:M19" si="4">SUM(K19)+3.5</f>
        <v>40</v>
      </c>
      <c r="M19" s="114">
        <f t="shared" si="4"/>
        <v>43.5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4"/>
    </row>
    <row r="21" spans="1:13" s="1" customFormat="1" ht="14.1" customHeight="1">
      <c r="A21" s="138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30</v>
      </c>
      <c r="I21" s="27">
        <f>SUM(J21)-1.6</f>
        <v>31.6</v>
      </c>
      <c r="J21" s="125">
        <v>33.200000000000003</v>
      </c>
      <c r="K21" s="114">
        <f>SUM(J21)+1.6</f>
        <v>34.800000000000004</v>
      </c>
      <c r="L21" s="114">
        <f t="shared" ref="L21:M21" si="5">SUM(K21)+1.6</f>
        <v>36.400000000000006</v>
      </c>
      <c r="M21" s="114">
        <f t="shared" si="5"/>
        <v>38.000000000000007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4"/>
    </row>
    <row r="23" spans="1:13" s="1" customFormat="1" ht="14.1" customHeight="1">
      <c r="A23" s="138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15.799999999999999</v>
      </c>
      <c r="I23" s="27">
        <f>SUM(J23)-0.6</f>
        <v>16.399999999999999</v>
      </c>
      <c r="J23" s="125">
        <v>17</v>
      </c>
      <c r="K23" s="114">
        <f>SUM(J23)+0.6</f>
        <v>17.600000000000001</v>
      </c>
      <c r="L23" s="114">
        <f>SUM(K23)+0.6</f>
        <v>18.200000000000003</v>
      </c>
      <c r="M23" s="114">
        <f>SUM(L23)+0.6</f>
        <v>18.800000000000004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4"/>
    </row>
    <row r="25" spans="1:13" s="1" customFormat="1" ht="14.1" customHeight="1">
      <c r="A25" s="138">
        <v>12</v>
      </c>
      <c r="B25" s="36" t="s">
        <v>114</v>
      </c>
      <c r="C25" s="37"/>
      <c r="D25" s="76"/>
      <c r="E25" s="77"/>
      <c r="F25" s="77"/>
      <c r="G25" s="78"/>
      <c r="H25" s="27">
        <f>SUM(I25)-0.3</f>
        <v>4.9000000000000004</v>
      </c>
      <c r="I25" s="27">
        <f>SUM(J25)-0.3</f>
        <v>5.2</v>
      </c>
      <c r="J25" s="41">
        <v>5.5</v>
      </c>
      <c r="K25" s="27">
        <f>SUM(J25)+0.3</f>
        <v>5.8</v>
      </c>
      <c r="L25" s="27">
        <f>SUM(K25)+0.3</f>
        <v>6.1</v>
      </c>
      <c r="M25" s="27">
        <f>SUM(L25)+0.3</f>
        <v>6.3999999999999995</v>
      </c>
    </row>
    <row r="26" spans="1:13" s="1" customFormat="1" ht="14.1" customHeight="1">
      <c r="A26" s="122"/>
      <c r="B26" s="127" t="s">
        <v>122</v>
      </c>
      <c r="C26" s="128"/>
      <c r="D26" s="59" t="s">
        <v>216</v>
      </c>
      <c r="E26" s="60"/>
      <c r="F26" s="60"/>
      <c r="G26" s="61"/>
      <c r="H26" s="46"/>
      <c r="I26" s="46"/>
      <c r="J26" s="44"/>
      <c r="K26" s="46"/>
      <c r="L26" s="46"/>
      <c r="M26" s="46"/>
    </row>
    <row r="27" spans="1:13" s="1" customFormat="1" ht="14.1" customHeight="1">
      <c r="A27" s="138">
        <v>13</v>
      </c>
      <c r="B27" s="133"/>
      <c r="C27" s="134"/>
      <c r="D27" s="135"/>
      <c r="E27" s="136"/>
      <c r="F27" s="136"/>
      <c r="G27" s="137"/>
      <c r="H27" s="45"/>
      <c r="I27" s="45"/>
      <c r="J27" s="44"/>
      <c r="K27" s="46"/>
      <c r="L27" s="46"/>
      <c r="M27" s="46"/>
    </row>
    <row r="28" spans="1:13" s="1" customFormat="1" ht="14.1" customHeight="1" thickBot="1">
      <c r="A28" s="159"/>
      <c r="B28" s="133"/>
      <c r="C28" s="134"/>
      <c r="D28" s="102"/>
      <c r="E28" s="103"/>
      <c r="F28" s="103"/>
      <c r="G28" s="104"/>
      <c r="H28" s="45"/>
      <c r="I28" s="45"/>
      <c r="J28" s="41"/>
      <c r="K28" s="27"/>
      <c r="L28" s="27"/>
      <c r="M28" s="27"/>
    </row>
    <row r="29" spans="1:13" s="1" customFormat="1" ht="14.1" customHeight="1" thickTop="1">
      <c r="A29" s="210">
        <v>14</v>
      </c>
      <c r="B29" s="69" t="s">
        <v>104</v>
      </c>
      <c r="C29" s="70"/>
      <c r="D29" s="71" t="s">
        <v>67</v>
      </c>
      <c r="E29" s="72"/>
      <c r="F29" s="72"/>
      <c r="G29" s="73"/>
      <c r="H29" s="55">
        <f>SUM(I29)-3</f>
        <v>45</v>
      </c>
      <c r="I29" s="55">
        <f>SUM(J29)-3</f>
        <v>48</v>
      </c>
      <c r="J29" s="54">
        <v>51</v>
      </c>
      <c r="K29" s="55">
        <f>SUM(J29)+3</f>
        <v>54</v>
      </c>
      <c r="L29" s="55">
        <f t="shared" ref="L29:M29" si="6">SUM(K29)+3</f>
        <v>57</v>
      </c>
      <c r="M29" s="55">
        <f t="shared" si="6"/>
        <v>60</v>
      </c>
    </row>
    <row r="30" spans="1:13" s="1" customFormat="1" ht="14.1" customHeight="1">
      <c r="A30" s="122"/>
      <c r="B30" s="57" t="s">
        <v>75</v>
      </c>
      <c r="C30" s="58"/>
      <c r="D30" s="59" t="s">
        <v>68</v>
      </c>
      <c r="E30" s="60"/>
      <c r="F30" s="60"/>
      <c r="G30" s="61"/>
      <c r="H30" s="46"/>
      <c r="I30" s="46"/>
      <c r="J30" s="44"/>
      <c r="K30" s="46"/>
      <c r="L30" s="46"/>
      <c r="M30" s="46"/>
    </row>
    <row r="31" spans="1:13" ht="14.1" customHeight="1">
      <c r="A31" s="138">
        <v>15</v>
      </c>
      <c r="B31" s="36" t="s">
        <v>108</v>
      </c>
      <c r="C31" s="37"/>
      <c r="D31" s="102"/>
      <c r="E31" s="103"/>
      <c r="F31" s="103"/>
      <c r="G31" s="104"/>
      <c r="H31" s="27">
        <f>SUM(I31)-3.5</f>
        <v>65.400000000000006</v>
      </c>
      <c r="I31" s="27">
        <f>SUM(J31)-3.5</f>
        <v>68.900000000000006</v>
      </c>
      <c r="J31" s="43">
        <v>72.400000000000006</v>
      </c>
      <c r="K31" s="45">
        <f>SUM(J31)+3.5</f>
        <v>75.900000000000006</v>
      </c>
      <c r="L31" s="45">
        <f>SUM(K31)+3.5</f>
        <v>79.400000000000006</v>
      </c>
      <c r="M31" s="45">
        <f>SUM(L31)+3.5</f>
        <v>82.9</v>
      </c>
    </row>
    <row r="32" spans="1:13" ht="14.1" customHeight="1">
      <c r="A32" s="122"/>
      <c r="B32" s="57" t="s">
        <v>109</v>
      </c>
      <c r="C32" s="58"/>
      <c r="D32" s="59"/>
      <c r="E32" s="60"/>
      <c r="F32" s="60"/>
      <c r="G32" s="61"/>
      <c r="H32" s="46"/>
      <c r="I32" s="46"/>
      <c r="J32" s="44"/>
      <c r="K32" s="46"/>
      <c r="L32" s="46"/>
      <c r="M32" s="46"/>
    </row>
    <row r="33" spans="1:13" ht="14.1" customHeight="1">
      <c r="A33" s="138">
        <v>16</v>
      </c>
      <c r="B33" s="36" t="s">
        <v>11</v>
      </c>
      <c r="C33" s="37"/>
      <c r="D33" s="76" t="s">
        <v>116</v>
      </c>
      <c r="E33" s="77"/>
      <c r="F33" s="77"/>
      <c r="G33" s="78"/>
      <c r="H33" s="27">
        <f>SUM(I33)-4</f>
        <v>70.900000000000006</v>
      </c>
      <c r="I33" s="27">
        <f>SUM(J33)-4</f>
        <v>74.900000000000006</v>
      </c>
      <c r="J33" s="41">
        <v>78.900000000000006</v>
      </c>
      <c r="K33" s="27">
        <f>SUM(J33)+4</f>
        <v>82.9</v>
      </c>
      <c r="L33" s="27">
        <f>SUM(K33)+4</f>
        <v>86.9</v>
      </c>
      <c r="M33" s="27">
        <f>SUM(L33)+4</f>
        <v>90.9</v>
      </c>
    </row>
    <row r="34" spans="1:13" ht="14.1" customHeight="1">
      <c r="A34" s="122"/>
      <c r="B34" s="57" t="s">
        <v>48</v>
      </c>
      <c r="C34" s="58"/>
      <c r="D34" s="59" t="s">
        <v>88</v>
      </c>
      <c r="E34" s="60"/>
      <c r="F34" s="60"/>
      <c r="G34" s="61"/>
      <c r="H34" s="46"/>
      <c r="I34" s="46"/>
      <c r="J34" s="44"/>
      <c r="K34" s="46"/>
      <c r="L34" s="46"/>
      <c r="M34" s="46"/>
    </row>
    <row r="35" spans="1:13" ht="14.1" customHeight="1">
      <c r="A35" s="138">
        <v>17</v>
      </c>
      <c r="B35" s="36" t="s">
        <v>101</v>
      </c>
      <c r="C35" s="37"/>
      <c r="D35" s="76"/>
      <c r="E35" s="77"/>
      <c r="F35" s="77"/>
      <c r="G35" s="78"/>
      <c r="H35" s="98">
        <f>SUM(I35)-0.7</f>
        <v>12.500000000000002</v>
      </c>
      <c r="I35" s="27">
        <f>SUM(J35)-0.7</f>
        <v>13.200000000000001</v>
      </c>
      <c r="J35" s="41">
        <v>13.9</v>
      </c>
      <c r="K35" s="27">
        <f>SUM(J35)+1.2</f>
        <v>15.1</v>
      </c>
      <c r="L35" s="27">
        <f t="shared" ref="L35:M35" si="7">SUM(K35)+0.7</f>
        <v>15.799999999999999</v>
      </c>
      <c r="M35" s="27">
        <f t="shared" si="7"/>
        <v>16.5</v>
      </c>
    </row>
    <row r="36" spans="1:13" ht="14.1" customHeight="1">
      <c r="A36" s="122"/>
      <c r="B36" s="57" t="s">
        <v>100</v>
      </c>
      <c r="C36" s="58"/>
      <c r="D36" s="82" t="s">
        <v>132</v>
      </c>
      <c r="E36" s="83"/>
      <c r="F36" s="83"/>
      <c r="G36" s="84"/>
      <c r="H36" s="75"/>
      <c r="I36" s="46"/>
      <c r="J36" s="44"/>
      <c r="K36" s="46"/>
      <c r="L36" s="46"/>
      <c r="M36" s="46"/>
    </row>
    <row r="37" spans="1:13" ht="14.1" customHeight="1">
      <c r="A37" s="138">
        <v>18</v>
      </c>
      <c r="B37" s="36" t="s">
        <v>119</v>
      </c>
      <c r="C37" s="37"/>
      <c r="D37" s="76"/>
      <c r="E37" s="77"/>
      <c r="F37" s="77"/>
      <c r="G37" s="78"/>
      <c r="H37" s="98"/>
      <c r="I37" s="27"/>
      <c r="J37" s="41"/>
      <c r="K37" s="27"/>
      <c r="L37" s="27"/>
      <c r="M37" s="27"/>
    </row>
    <row r="38" spans="1:13" ht="14.1" customHeight="1">
      <c r="A38" s="122"/>
      <c r="B38" s="57" t="s">
        <v>120</v>
      </c>
      <c r="C38" s="58"/>
      <c r="D38" s="82" t="s">
        <v>121</v>
      </c>
      <c r="E38" s="83"/>
      <c r="F38" s="83"/>
      <c r="G38" s="84"/>
      <c r="H38" s="75"/>
      <c r="I38" s="46"/>
      <c r="J38" s="44"/>
      <c r="K38" s="46"/>
      <c r="L38" s="46"/>
      <c r="M38" s="46"/>
    </row>
    <row r="39" spans="1:13" ht="14.1" customHeight="1">
      <c r="A39" s="138">
        <v>19</v>
      </c>
      <c r="B39" s="36" t="s">
        <v>131</v>
      </c>
      <c r="C39" s="37"/>
      <c r="D39" s="76"/>
      <c r="E39" s="77"/>
      <c r="F39" s="77"/>
      <c r="G39" s="78"/>
      <c r="H39" s="27"/>
      <c r="I39" s="27"/>
      <c r="J39" s="41"/>
      <c r="K39" s="27"/>
      <c r="L39" s="27"/>
      <c r="M39" s="27"/>
    </row>
    <row r="40" spans="1:13" ht="14.1" customHeight="1">
      <c r="A40" s="122"/>
      <c r="B40" s="57" t="s">
        <v>130</v>
      </c>
      <c r="C40" s="58"/>
      <c r="D40" s="82"/>
      <c r="E40" s="83"/>
      <c r="F40" s="83"/>
      <c r="G40" s="84"/>
      <c r="H40" s="46"/>
      <c r="I40" s="46"/>
      <c r="J40" s="44"/>
      <c r="K40" s="46"/>
      <c r="L40" s="46"/>
      <c r="M40" s="46"/>
    </row>
    <row r="41" spans="1:13" ht="14.1" customHeight="1">
      <c r="A41" s="138">
        <v>20</v>
      </c>
      <c r="B41" s="36" t="s">
        <v>9</v>
      </c>
      <c r="C41" s="37"/>
      <c r="D41" s="76" t="s">
        <v>69</v>
      </c>
      <c r="E41" s="77"/>
      <c r="F41" s="77"/>
      <c r="G41" s="78"/>
      <c r="H41" s="27">
        <f>SUM(I41)-7</f>
        <v>53.5</v>
      </c>
      <c r="I41" s="27">
        <f>SUM(J41)-7</f>
        <v>60.5</v>
      </c>
      <c r="J41" s="41">
        <v>67.5</v>
      </c>
      <c r="K41" s="27">
        <f>SUM(J41)+6</f>
        <v>73.5</v>
      </c>
      <c r="L41" s="27">
        <f>SUM(K41)+6</f>
        <v>79.5</v>
      </c>
      <c r="M41" s="27">
        <f>SUM(L41)+6</f>
        <v>85.5</v>
      </c>
    </row>
    <row r="42" spans="1:13" ht="14.1" customHeight="1">
      <c r="A42" s="122"/>
      <c r="B42" s="57" t="s">
        <v>49</v>
      </c>
      <c r="C42" s="58"/>
      <c r="D42" s="59" t="s">
        <v>87</v>
      </c>
      <c r="E42" s="60"/>
      <c r="F42" s="60"/>
      <c r="G42" s="61"/>
      <c r="H42" s="46"/>
      <c r="I42" s="46"/>
      <c r="J42" s="44"/>
      <c r="K42" s="46"/>
      <c r="L42" s="46"/>
      <c r="M42" s="46"/>
    </row>
    <row r="43" spans="1:13" ht="14.1" customHeight="1">
      <c r="A43" s="138">
        <v>21</v>
      </c>
      <c r="B43" s="36" t="s">
        <v>14</v>
      </c>
      <c r="C43" s="37"/>
      <c r="D43" s="76" t="s">
        <v>15</v>
      </c>
      <c r="E43" s="77"/>
      <c r="F43" s="77"/>
      <c r="G43" s="78"/>
      <c r="H43" s="27">
        <f>SUM(I43)-1</f>
        <v>19</v>
      </c>
      <c r="I43" s="27">
        <f>SUM(J43)-1</f>
        <v>20</v>
      </c>
      <c r="J43" s="41">
        <v>21</v>
      </c>
      <c r="K43" s="27">
        <f>SUM(J43)+1</f>
        <v>22</v>
      </c>
      <c r="L43" s="27">
        <f t="shared" ref="L43:M43" si="8">SUM(K43)+1</f>
        <v>23</v>
      </c>
      <c r="M43" s="27">
        <f t="shared" si="8"/>
        <v>24</v>
      </c>
    </row>
    <row r="44" spans="1:13" ht="14.1" customHeight="1">
      <c r="A44" s="122"/>
      <c r="B44" s="57" t="s">
        <v>50</v>
      </c>
      <c r="C44" s="58"/>
      <c r="D44" s="79" t="s">
        <v>86</v>
      </c>
      <c r="E44" s="80"/>
      <c r="F44" s="80"/>
      <c r="G44" s="81"/>
      <c r="H44" s="46"/>
      <c r="I44" s="46"/>
      <c r="J44" s="44"/>
      <c r="K44" s="46"/>
      <c r="L44" s="46"/>
      <c r="M44" s="46"/>
    </row>
    <row r="45" spans="1:13" ht="14.1" customHeight="1">
      <c r="A45" s="138">
        <v>22</v>
      </c>
      <c r="B45" s="36" t="s">
        <v>16</v>
      </c>
      <c r="C45" s="37"/>
      <c r="D45" s="76" t="s">
        <v>13</v>
      </c>
      <c r="E45" s="77"/>
      <c r="F45" s="77"/>
      <c r="G45" s="78"/>
      <c r="H45" s="98">
        <f>SUM(I45)-1.1</f>
        <v>20.9</v>
      </c>
      <c r="I45" s="27">
        <f>SUM(J45)-1.1</f>
        <v>22</v>
      </c>
      <c r="J45" s="41">
        <v>23.1</v>
      </c>
      <c r="K45" s="27">
        <f>SUM(J45)+1.6</f>
        <v>24.700000000000003</v>
      </c>
      <c r="L45" s="27">
        <f>SUM(K45)+1.1</f>
        <v>25.800000000000004</v>
      </c>
      <c r="M45" s="27">
        <f>SUM(L45)+1.1</f>
        <v>26.900000000000006</v>
      </c>
    </row>
    <row r="46" spans="1:13" ht="14.1" customHeight="1">
      <c r="A46" s="122"/>
      <c r="B46" s="57" t="s">
        <v>56</v>
      </c>
      <c r="C46" s="58"/>
      <c r="D46" s="59" t="s">
        <v>85</v>
      </c>
      <c r="E46" s="60"/>
      <c r="F46" s="60"/>
      <c r="G46" s="61"/>
      <c r="H46" s="75"/>
      <c r="I46" s="46"/>
      <c r="J46" s="44"/>
      <c r="K46" s="46"/>
      <c r="L46" s="46"/>
      <c r="M46" s="46"/>
    </row>
    <row r="47" spans="1:13" ht="14.1" customHeight="1">
      <c r="A47" s="138">
        <v>23</v>
      </c>
      <c r="B47" s="36" t="s">
        <v>17</v>
      </c>
      <c r="C47" s="37"/>
      <c r="D47" s="76" t="s">
        <v>13</v>
      </c>
      <c r="E47" s="77"/>
      <c r="F47" s="77"/>
      <c r="G47" s="78"/>
      <c r="H47" s="98">
        <f>SUM(I47)-1.3</f>
        <v>28.099999999999998</v>
      </c>
      <c r="I47" s="27">
        <f>SUM(J47)-1.3</f>
        <v>29.4</v>
      </c>
      <c r="J47" s="41">
        <v>30.7</v>
      </c>
      <c r="K47" s="27">
        <f>SUM(J47)+1.8</f>
        <v>32.5</v>
      </c>
      <c r="L47" s="27">
        <f>SUM(K47)+1.3</f>
        <v>33.799999999999997</v>
      </c>
      <c r="M47" s="27">
        <f>SUM(L47)+1.3</f>
        <v>35.099999999999994</v>
      </c>
    </row>
    <row r="48" spans="1:13" ht="14.1" customHeight="1">
      <c r="A48" s="122"/>
      <c r="B48" s="57" t="s">
        <v>55</v>
      </c>
      <c r="C48" s="58"/>
      <c r="D48" s="59" t="s">
        <v>85</v>
      </c>
      <c r="E48" s="60"/>
      <c r="F48" s="60"/>
      <c r="G48" s="61"/>
      <c r="H48" s="75"/>
      <c r="I48" s="46"/>
      <c r="J48" s="44"/>
      <c r="K48" s="46"/>
      <c r="L48" s="46"/>
      <c r="M48" s="46"/>
    </row>
    <row r="49" spans="1:13" ht="14.1" customHeight="1">
      <c r="A49" s="138">
        <v>24</v>
      </c>
      <c r="B49" s="36" t="s">
        <v>18</v>
      </c>
      <c r="C49" s="37"/>
      <c r="D49" s="76" t="s">
        <v>19</v>
      </c>
      <c r="E49" s="77"/>
      <c r="F49" s="77"/>
      <c r="G49" s="78"/>
      <c r="H49" s="27">
        <f>SUM(I49)-2.7</f>
        <v>44.599999999999994</v>
      </c>
      <c r="I49" s="27">
        <f>SUM(J49)-2.7</f>
        <v>47.3</v>
      </c>
      <c r="J49" s="41">
        <v>50</v>
      </c>
      <c r="K49" s="27">
        <f>SUM(J49)+2.6</f>
        <v>52.6</v>
      </c>
      <c r="L49" s="27">
        <f>SUM(K49)+2.6</f>
        <v>55.2</v>
      </c>
      <c r="M49" s="27">
        <f>SUM(L49)+2.6</f>
        <v>57.800000000000004</v>
      </c>
    </row>
    <row r="50" spans="1:13" ht="14.1" customHeight="1">
      <c r="A50" s="122"/>
      <c r="B50" s="57" t="s">
        <v>54</v>
      </c>
      <c r="C50" s="58"/>
      <c r="D50" s="59" t="s">
        <v>84</v>
      </c>
      <c r="E50" s="60"/>
      <c r="F50" s="60"/>
      <c r="G50" s="61"/>
      <c r="H50" s="46"/>
      <c r="I50" s="46"/>
      <c r="J50" s="44"/>
      <c r="K50" s="46"/>
      <c r="L50" s="46"/>
      <c r="M50" s="46"/>
    </row>
    <row r="51" spans="1:13" ht="14.1" customHeight="1">
      <c r="A51" s="138">
        <v>25</v>
      </c>
      <c r="B51" s="36" t="s">
        <v>20</v>
      </c>
      <c r="C51" s="37"/>
      <c r="D51" s="76" t="s">
        <v>21</v>
      </c>
      <c r="E51" s="77"/>
      <c r="F51" s="77"/>
      <c r="G51" s="78"/>
      <c r="H51" s="27">
        <f>SUM(I51)-6</f>
        <v>33.5</v>
      </c>
      <c r="I51" s="27">
        <f>SUM(J51)-6</f>
        <v>39.5</v>
      </c>
      <c r="J51" s="41">
        <v>45.5</v>
      </c>
      <c r="K51" s="27">
        <f>SUM(J51)+4.5</f>
        <v>50</v>
      </c>
      <c r="L51" s="27">
        <f>SUM(K51)+5</f>
        <v>55</v>
      </c>
      <c r="M51" s="27">
        <f>SUM(L51)+5</f>
        <v>60</v>
      </c>
    </row>
    <row r="52" spans="1:13" ht="13.5" customHeight="1">
      <c r="A52" s="122"/>
      <c r="B52" s="57" t="s">
        <v>53</v>
      </c>
      <c r="C52" s="58"/>
      <c r="D52" s="59" t="s">
        <v>83</v>
      </c>
      <c r="E52" s="60"/>
      <c r="F52" s="60"/>
      <c r="G52" s="61"/>
      <c r="H52" s="46"/>
      <c r="I52" s="46"/>
      <c r="J52" s="44"/>
      <c r="K52" s="46"/>
      <c r="L52" s="46"/>
      <c r="M52" s="46"/>
    </row>
    <row r="53" spans="1:13" ht="14.1" customHeight="1">
      <c r="A53" s="138">
        <v>26</v>
      </c>
      <c r="B53" s="36" t="s">
        <v>82</v>
      </c>
      <c r="C53" s="37"/>
      <c r="D53" s="76" t="s">
        <v>80</v>
      </c>
      <c r="E53" s="77"/>
      <c r="F53" s="77"/>
      <c r="G53" s="78"/>
      <c r="H53" s="27">
        <f>SUM(I53)-2.2</f>
        <v>40.399999999999991</v>
      </c>
      <c r="I53" s="27">
        <f>SUM(J53)-2.2</f>
        <v>42.599999999999994</v>
      </c>
      <c r="J53" s="41">
        <v>44.8</v>
      </c>
      <c r="K53" s="27">
        <f>SUM(J53)+2.2</f>
        <v>47</v>
      </c>
      <c r="L53" s="27">
        <f t="shared" ref="L53:M53" si="9">SUM(K53)+2.2</f>
        <v>49.2</v>
      </c>
      <c r="M53" s="27">
        <f t="shared" si="9"/>
        <v>51.400000000000006</v>
      </c>
    </row>
    <row r="54" spans="1:13" ht="14.1" customHeight="1">
      <c r="A54" s="122"/>
      <c r="B54" s="57" t="s">
        <v>81</v>
      </c>
      <c r="C54" s="58"/>
      <c r="D54" s="59" t="s">
        <v>80</v>
      </c>
      <c r="E54" s="60"/>
      <c r="F54" s="60"/>
      <c r="G54" s="61"/>
      <c r="H54" s="46"/>
      <c r="I54" s="46"/>
      <c r="J54" s="44"/>
      <c r="K54" s="46"/>
      <c r="L54" s="46"/>
      <c r="M54" s="46"/>
    </row>
    <row r="55" spans="1:13" ht="14.1" customHeight="1">
      <c r="A55" s="138">
        <v>27</v>
      </c>
      <c r="B55" s="36" t="s">
        <v>79</v>
      </c>
      <c r="C55" s="37"/>
      <c r="D55" s="76" t="s">
        <v>78</v>
      </c>
      <c r="E55" s="77"/>
      <c r="F55" s="77"/>
      <c r="G55" s="78"/>
      <c r="H55" s="27">
        <f>SUM(I55)-2.7</f>
        <v>30.099999999999998</v>
      </c>
      <c r="I55" s="27">
        <f>SUM(J55)-2.7</f>
        <v>32.799999999999997</v>
      </c>
      <c r="J55" s="41">
        <v>35.5</v>
      </c>
      <c r="K55" s="27">
        <f>SUM(J55)+2.8</f>
        <v>38.299999999999997</v>
      </c>
      <c r="L55" s="27">
        <f>SUM(K55)+2.5</f>
        <v>40.799999999999997</v>
      </c>
      <c r="M55" s="27">
        <f>SUM(L55)+2.5</f>
        <v>43.3</v>
      </c>
    </row>
    <row r="56" spans="1:13" ht="14.1" customHeight="1">
      <c r="A56" s="122"/>
      <c r="B56" s="57" t="s">
        <v>77</v>
      </c>
      <c r="C56" s="58"/>
      <c r="D56" s="59" t="s">
        <v>111</v>
      </c>
      <c r="E56" s="60"/>
      <c r="F56" s="60"/>
      <c r="G56" s="61"/>
      <c r="H56" s="46"/>
      <c r="I56" s="46"/>
      <c r="J56" s="44"/>
      <c r="K56" s="46"/>
      <c r="L56" s="46"/>
      <c r="M56" s="46"/>
    </row>
    <row r="57" spans="1:13" ht="14.1" customHeight="1">
      <c r="A57" s="138">
        <v>28</v>
      </c>
      <c r="B57" s="36" t="s">
        <v>99</v>
      </c>
      <c r="C57" s="37"/>
      <c r="D57" s="76" t="s">
        <v>22</v>
      </c>
      <c r="E57" s="77"/>
      <c r="F57" s="77"/>
      <c r="G57" s="78"/>
      <c r="H57" s="27">
        <f>SUM(I57)-0.2</f>
        <v>4.0999999999999996</v>
      </c>
      <c r="I57" s="27">
        <f>SUM(J57)-0.2</f>
        <v>4.3</v>
      </c>
      <c r="J57" s="125">
        <v>4.5</v>
      </c>
      <c r="K57" s="114">
        <f>SUM(J57)+0.2</f>
        <v>4.7</v>
      </c>
      <c r="L57" s="114">
        <f t="shared" ref="L57:M57" si="10">SUM(K57)+0.2</f>
        <v>4.9000000000000004</v>
      </c>
      <c r="M57" s="114">
        <f t="shared" si="10"/>
        <v>5.1000000000000005</v>
      </c>
    </row>
    <row r="58" spans="1:13" ht="14.1" customHeight="1">
      <c r="A58" s="122"/>
      <c r="B58" s="57" t="s">
        <v>52</v>
      </c>
      <c r="C58" s="58"/>
      <c r="D58" s="59" t="s">
        <v>98</v>
      </c>
      <c r="E58" s="60"/>
      <c r="F58" s="60"/>
      <c r="G58" s="61"/>
      <c r="H58" s="46"/>
      <c r="I58" s="46"/>
      <c r="J58" s="125"/>
      <c r="K58" s="114"/>
      <c r="L58" s="114"/>
      <c r="M58" s="114"/>
    </row>
    <row r="59" spans="1:13" ht="14.1" customHeight="1">
      <c r="A59" s="138">
        <v>28</v>
      </c>
      <c r="B59" s="36" t="s">
        <v>97</v>
      </c>
      <c r="C59" s="37"/>
      <c r="D59" s="76" t="s">
        <v>23</v>
      </c>
      <c r="E59" s="77"/>
      <c r="F59" s="77"/>
      <c r="G59" s="78"/>
      <c r="H59" s="27">
        <f>SUM(I59)-0.6</f>
        <v>9.4</v>
      </c>
      <c r="I59" s="27">
        <f>SUM(J59)-0.6</f>
        <v>10</v>
      </c>
      <c r="J59" s="125">
        <v>10.6</v>
      </c>
      <c r="K59" s="114">
        <f>SUM(J59)+0.6</f>
        <v>11.2</v>
      </c>
      <c r="L59" s="114">
        <f t="shared" ref="L59:M59" si="11">SUM(K59)+0.6</f>
        <v>11.799999999999999</v>
      </c>
      <c r="M59" s="114">
        <f t="shared" si="11"/>
        <v>12.399999999999999</v>
      </c>
    </row>
    <row r="60" spans="1:13" ht="14.1" customHeight="1">
      <c r="A60" s="122"/>
      <c r="B60" s="57" t="s">
        <v>51</v>
      </c>
      <c r="C60" s="58"/>
      <c r="D60" s="59" t="s">
        <v>96</v>
      </c>
      <c r="E60" s="60"/>
      <c r="F60" s="60"/>
      <c r="G60" s="61"/>
      <c r="H60" s="46"/>
      <c r="I60" s="46"/>
      <c r="J60" s="125"/>
      <c r="K60" s="114"/>
      <c r="L60" s="114"/>
      <c r="M60" s="114"/>
    </row>
    <row r="61" spans="1:13" ht="14.1" customHeight="1">
      <c r="A61" s="138">
        <v>29</v>
      </c>
      <c r="B61" s="36"/>
      <c r="C61" s="37"/>
      <c r="D61" s="124"/>
      <c r="E61" s="124"/>
      <c r="F61" s="124"/>
      <c r="G61" s="124"/>
      <c r="H61" s="27"/>
      <c r="I61" s="27"/>
      <c r="J61" s="41"/>
      <c r="K61" s="27"/>
      <c r="L61" s="27"/>
      <c r="M61" s="27"/>
    </row>
    <row r="62" spans="1:13" ht="14.1" customHeight="1">
      <c r="A62" s="122"/>
      <c r="B62" s="127"/>
      <c r="C62" s="128"/>
      <c r="D62" s="79"/>
      <c r="E62" s="80"/>
      <c r="F62" s="80"/>
      <c r="G62" s="81"/>
      <c r="H62" s="46"/>
      <c r="I62" s="46"/>
      <c r="J62" s="44"/>
      <c r="K62" s="46"/>
      <c r="L62" s="46"/>
      <c r="M62" s="46"/>
    </row>
    <row r="63" spans="1:13" ht="14.1" customHeight="1">
      <c r="A63" s="138">
        <v>30</v>
      </c>
      <c r="B63" s="36"/>
      <c r="C63" s="37"/>
      <c r="D63" s="124"/>
      <c r="E63" s="124"/>
      <c r="F63" s="124"/>
      <c r="G63" s="124"/>
      <c r="H63" s="27"/>
      <c r="I63" s="27"/>
      <c r="J63" s="41"/>
      <c r="K63" s="27"/>
      <c r="L63" s="27"/>
      <c r="M63" s="27"/>
    </row>
    <row r="64" spans="1:13" ht="14.1" customHeight="1" thickBot="1">
      <c r="A64" s="123"/>
      <c r="B64" s="118"/>
      <c r="C64" s="118"/>
      <c r="D64" s="119"/>
      <c r="E64" s="120"/>
      <c r="F64" s="120"/>
      <c r="G64" s="121"/>
      <c r="H64" s="28"/>
      <c r="I64" s="28"/>
      <c r="J64" s="42"/>
      <c r="K64" s="28"/>
      <c r="L64" s="28"/>
      <c r="M64" s="28"/>
    </row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344">
    <mergeCell ref="J63:J64"/>
    <mergeCell ref="K63:K64"/>
    <mergeCell ref="L63:L64"/>
    <mergeCell ref="M63:M64"/>
    <mergeCell ref="B64:C64"/>
    <mergeCell ref="D64:G64"/>
    <mergeCell ref="K61:K62"/>
    <mergeCell ref="L61:L62"/>
    <mergeCell ref="M61:M62"/>
    <mergeCell ref="B62:C62"/>
    <mergeCell ref="D62:G62"/>
    <mergeCell ref="J61:J62"/>
    <mergeCell ref="A63:A64"/>
    <mergeCell ref="B63:C63"/>
    <mergeCell ref="D63:G63"/>
    <mergeCell ref="H63:H64"/>
    <mergeCell ref="I63:I64"/>
    <mergeCell ref="A61:A62"/>
    <mergeCell ref="B61:C61"/>
    <mergeCell ref="D61:G61"/>
    <mergeCell ref="H61:H62"/>
    <mergeCell ref="I61:I62"/>
    <mergeCell ref="J59:J60"/>
    <mergeCell ref="K59:K60"/>
    <mergeCell ref="L59:L60"/>
    <mergeCell ref="M59:M60"/>
    <mergeCell ref="B60:C60"/>
    <mergeCell ref="D60:G60"/>
    <mergeCell ref="K57:K58"/>
    <mergeCell ref="L57:L58"/>
    <mergeCell ref="M57:M58"/>
    <mergeCell ref="B58:C58"/>
    <mergeCell ref="D58:G58"/>
    <mergeCell ref="J57:J58"/>
    <mergeCell ref="A59:A60"/>
    <mergeCell ref="B59:C59"/>
    <mergeCell ref="D59:G59"/>
    <mergeCell ref="H59:H60"/>
    <mergeCell ref="I59:I60"/>
    <mergeCell ref="A57:A58"/>
    <mergeCell ref="B57:C57"/>
    <mergeCell ref="D57:G57"/>
    <mergeCell ref="H57:H58"/>
    <mergeCell ref="I57:I58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8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E46E-477A-48D3-AD86-8D2D77488B6F}">
  <sheetPr codeName="Sheet54">
    <tabColor theme="5"/>
    <pageSetUpPr fitToPage="1"/>
  </sheetPr>
  <dimension ref="A1:Q74"/>
  <sheetViews>
    <sheetView zoomScale="110" zoomScaleNormal="110" workbookViewId="0">
      <selection activeCell="P36" sqref="P3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3" ht="16.5" customHeight="1" thickBot="1">
      <c r="A1" s="85" t="s">
        <v>477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3" s="1" customFormat="1" ht="14.1" customHeight="1">
      <c r="A3" s="165">
        <v>1</v>
      </c>
      <c r="B3" s="148" t="s">
        <v>39</v>
      </c>
      <c r="C3" s="148"/>
      <c r="D3" s="149"/>
      <c r="E3" s="149"/>
      <c r="F3" s="149"/>
      <c r="G3" s="92"/>
      <c r="H3" s="96">
        <f>SUM(I3)-3.5</f>
        <v>42.5</v>
      </c>
      <c r="I3" s="96">
        <f>SUM(J3)-3.5</f>
        <v>46</v>
      </c>
      <c r="J3" s="139">
        <v>49.5</v>
      </c>
      <c r="K3" s="140">
        <f>SUM(J3)+3</f>
        <v>52.5</v>
      </c>
      <c r="L3" s="140">
        <f t="shared" ref="L3:M3" si="0">SUM(K3)+3</f>
        <v>55.5</v>
      </c>
      <c r="M3" s="141">
        <f t="shared" si="0"/>
        <v>58.5</v>
      </c>
    </row>
    <row r="4" spans="1:13" s="1" customFormat="1" ht="14.1" customHeight="1">
      <c r="A4" s="122"/>
      <c r="B4" s="75" t="s">
        <v>36</v>
      </c>
      <c r="C4" s="75"/>
      <c r="D4" s="82" t="s">
        <v>478</v>
      </c>
      <c r="E4" s="80"/>
      <c r="F4" s="80"/>
      <c r="G4" s="80"/>
      <c r="H4" s="46"/>
      <c r="I4" s="46"/>
      <c r="J4" s="125"/>
      <c r="K4" s="114"/>
      <c r="L4" s="114"/>
      <c r="M4" s="116"/>
    </row>
    <row r="5" spans="1:13" s="1" customFormat="1" ht="14.1" customHeight="1">
      <c r="A5" s="138">
        <v>2</v>
      </c>
      <c r="B5" s="153" t="s">
        <v>39</v>
      </c>
      <c r="C5" s="153"/>
      <c r="D5" s="154"/>
      <c r="E5" s="154"/>
      <c r="F5" s="154"/>
      <c r="G5" s="102"/>
      <c r="H5" s="45">
        <f>SUM(I5)-2.5</f>
        <v>32</v>
      </c>
      <c r="I5" s="45">
        <f>SUM(J5)-2.5</f>
        <v>34.5</v>
      </c>
      <c r="J5" s="44">
        <v>37</v>
      </c>
      <c r="K5" s="46">
        <f>SUM(J5)+2</f>
        <v>39</v>
      </c>
      <c r="L5" s="46">
        <f>SUM(K5)+2</f>
        <v>41</v>
      </c>
      <c r="M5" s="132">
        <f>SUM(L5)+2</f>
        <v>43</v>
      </c>
    </row>
    <row r="6" spans="1:13" s="1" customFormat="1" ht="14.1" customHeight="1">
      <c r="A6" s="122"/>
      <c r="B6" s="75" t="s">
        <v>36</v>
      </c>
      <c r="C6" s="75"/>
      <c r="D6" s="82" t="s">
        <v>479</v>
      </c>
      <c r="E6" s="80"/>
      <c r="F6" s="80"/>
      <c r="G6" s="80"/>
      <c r="H6" s="46"/>
      <c r="I6" s="46"/>
      <c r="J6" s="41"/>
      <c r="K6" s="27"/>
      <c r="L6" s="27"/>
      <c r="M6" s="29"/>
    </row>
    <row r="7" spans="1:13" s="1" customFormat="1" ht="14.1" customHeight="1">
      <c r="A7" s="138">
        <v>3</v>
      </c>
      <c r="B7" s="36" t="s">
        <v>37</v>
      </c>
      <c r="C7" s="37"/>
      <c r="D7" s="76" t="s">
        <v>38</v>
      </c>
      <c r="E7" s="77"/>
      <c r="F7" s="77"/>
      <c r="G7" s="78"/>
      <c r="H7" s="27">
        <f>SUM(I7)-1.6</f>
        <v>25.199999999999996</v>
      </c>
      <c r="I7" s="27">
        <f>SUM(J7)-1.6</f>
        <v>26.799999999999997</v>
      </c>
      <c r="J7" s="125">
        <v>28.4</v>
      </c>
      <c r="K7" s="114">
        <f>SUM(J7)+1.4</f>
        <v>29.799999999999997</v>
      </c>
      <c r="L7" s="114">
        <f>SUM(K7)+1.4</f>
        <v>31.199999999999996</v>
      </c>
      <c r="M7" s="116">
        <f>SUM(L7)+1.4</f>
        <v>32.599999999999994</v>
      </c>
    </row>
    <row r="8" spans="1:13" s="1" customFormat="1" ht="14.1" customHeight="1">
      <c r="A8" s="122"/>
      <c r="B8" s="127" t="s">
        <v>24</v>
      </c>
      <c r="C8" s="128"/>
      <c r="D8" s="79" t="s">
        <v>42</v>
      </c>
      <c r="E8" s="80"/>
      <c r="F8" s="80"/>
      <c r="G8" s="81"/>
      <c r="H8" s="46"/>
      <c r="I8" s="46"/>
      <c r="J8" s="125"/>
      <c r="K8" s="114"/>
      <c r="L8" s="114"/>
      <c r="M8" s="116"/>
    </row>
    <row r="9" spans="1:13" s="1" customFormat="1" ht="14.1" customHeight="1">
      <c r="A9" s="138">
        <v>4</v>
      </c>
      <c r="B9" s="98" t="s">
        <v>35</v>
      </c>
      <c r="C9" s="98"/>
      <c r="D9" s="124" t="s">
        <v>69</v>
      </c>
      <c r="E9" s="124"/>
      <c r="F9" s="124"/>
      <c r="G9" s="124"/>
      <c r="H9" s="27">
        <f>SUM(I9)-2.25</f>
        <v>33.5</v>
      </c>
      <c r="I9" s="27">
        <f>SUM(J9)-2.25</f>
        <v>35.75</v>
      </c>
      <c r="J9" s="41">
        <v>38</v>
      </c>
      <c r="K9" s="27">
        <f>SUM(J9)+2</f>
        <v>40</v>
      </c>
      <c r="L9" s="27">
        <f>SUM(K9)+2</f>
        <v>42</v>
      </c>
      <c r="M9" s="29">
        <f>SUM(L9)+2</f>
        <v>44</v>
      </c>
    </row>
    <row r="10" spans="1:13" s="1" customFormat="1" ht="14.1" customHeight="1">
      <c r="A10" s="122"/>
      <c r="B10" s="75" t="s">
        <v>40</v>
      </c>
      <c r="C10" s="75"/>
      <c r="D10" s="79" t="s">
        <v>43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3" s="1" customFormat="1" ht="14.1" customHeight="1">
      <c r="A11" s="138">
        <v>5</v>
      </c>
      <c r="B11" s="98" t="s">
        <v>41</v>
      </c>
      <c r="C11" s="98"/>
      <c r="D11" s="124" t="s">
        <v>8</v>
      </c>
      <c r="E11" s="124"/>
      <c r="F11" s="124"/>
      <c r="G11" s="124"/>
      <c r="H11" s="27">
        <f>SUM(I11)-1.9</f>
        <v>28.200000000000003</v>
      </c>
      <c r="I11" s="27">
        <f>SUM(J11)-1.9</f>
        <v>30.1</v>
      </c>
      <c r="J11" s="41">
        <v>32</v>
      </c>
      <c r="K11" s="27">
        <f>SUM(J11)+1.7</f>
        <v>33.700000000000003</v>
      </c>
      <c r="L11" s="27">
        <f>SUM(K11)+1.7</f>
        <v>35.400000000000006</v>
      </c>
      <c r="M11" s="29">
        <f>SUM(L11)+1.7</f>
        <v>37.100000000000009</v>
      </c>
    </row>
    <row r="12" spans="1:13" s="1" customFormat="1" ht="14.1" customHeight="1">
      <c r="A12" s="122"/>
      <c r="B12" s="75" t="s">
        <v>25</v>
      </c>
      <c r="C12" s="75"/>
      <c r="D12" s="79" t="s">
        <v>44</v>
      </c>
      <c r="E12" s="80"/>
      <c r="F12" s="80"/>
      <c r="G12" s="81"/>
      <c r="H12" s="46"/>
      <c r="I12" s="46"/>
      <c r="J12" s="44"/>
      <c r="K12" s="46"/>
      <c r="L12" s="46"/>
      <c r="M12" s="132"/>
    </row>
    <row r="13" spans="1:13" s="1" customFormat="1" ht="14.1" customHeight="1">
      <c r="A13" s="138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>
        <f>SUM(I13)-0.9</f>
        <v>14.1</v>
      </c>
      <c r="I13" s="27">
        <f>SUM(J13)-0.9</f>
        <v>15</v>
      </c>
      <c r="J13" s="125">
        <v>15.9</v>
      </c>
      <c r="K13" s="114">
        <f>SUM(J13)+0.9</f>
        <v>16.8</v>
      </c>
      <c r="L13" s="114">
        <f>SUM(K13)+0.9</f>
        <v>17.7</v>
      </c>
      <c r="M13" s="116">
        <f>SUM(L13)+0.9</f>
        <v>18.599999999999998</v>
      </c>
    </row>
    <row r="14" spans="1:13" s="1" customFormat="1" ht="14.1" customHeight="1">
      <c r="A14" s="122"/>
      <c r="B14" s="75" t="s">
        <v>26</v>
      </c>
      <c r="C14" s="75"/>
      <c r="D14" s="79" t="s">
        <v>45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3" s="1" customFormat="1" ht="14.1" customHeight="1">
      <c r="A15" s="138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15.4</v>
      </c>
      <c r="I15" s="27">
        <f>SUM(J15)-0.6</f>
        <v>16</v>
      </c>
      <c r="J15" s="125">
        <v>16.600000000000001</v>
      </c>
      <c r="K15" s="114">
        <f>SUM(J15)+0.6</f>
        <v>17.200000000000003</v>
      </c>
      <c r="L15" s="114">
        <f>SUM(K15)+0.6</f>
        <v>17.800000000000004</v>
      </c>
      <c r="M15" s="116">
        <f>SUM(L15)+0.6</f>
        <v>18.400000000000006</v>
      </c>
    </row>
    <row r="16" spans="1:13" s="1" customFormat="1" ht="14.1" customHeight="1">
      <c r="A16" s="122"/>
      <c r="B16" s="75" t="s">
        <v>27</v>
      </c>
      <c r="C16" s="75"/>
      <c r="D16" s="79" t="s">
        <v>105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7" s="1" customFormat="1" ht="14.1" customHeight="1">
      <c r="A17" s="138">
        <v>8</v>
      </c>
      <c r="B17" s="98" t="s">
        <v>2</v>
      </c>
      <c r="C17" s="98"/>
      <c r="D17" s="124" t="s">
        <v>3</v>
      </c>
      <c r="E17" s="124"/>
      <c r="F17" s="124"/>
      <c r="G17" s="124"/>
      <c r="H17" s="27">
        <f>SUM(I17)-0.3</f>
        <v>6</v>
      </c>
      <c r="I17" s="27">
        <f>SUM(J17)-0.3</f>
        <v>6.3</v>
      </c>
      <c r="J17" s="125">
        <v>6.6</v>
      </c>
      <c r="K17" s="114">
        <f>SUM(J17)+0.3</f>
        <v>6.8999999999999995</v>
      </c>
      <c r="L17" s="114">
        <f>SUM(K17)+0.3</f>
        <v>7.1999999999999993</v>
      </c>
      <c r="M17" s="116">
        <f>SUM(L17)+0.3</f>
        <v>7.4999999999999991</v>
      </c>
    </row>
    <row r="18" spans="1:17" s="1" customFormat="1" ht="14.1" customHeight="1">
      <c r="A18" s="122"/>
      <c r="B18" s="75" t="s">
        <v>28</v>
      </c>
      <c r="C18" s="75"/>
      <c r="D18" s="79" t="s">
        <v>106</v>
      </c>
      <c r="E18" s="80"/>
      <c r="F18" s="80"/>
      <c r="G18" s="81"/>
      <c r="H18" s="46"/>
      <c r="I18" s="46"/>
      <c r="J18" s="125"/>
      <c r="K18" s="114"/>
      <c r="L18" s="114"/>
      <c r="M18" s="116"/>
    </row>
    <row r="19" spans="1:17" s="1" customFormat="1" ht="14.1" customHeight="1">
      <c r="A19" s="138">
        <v>9</v>
      </c>
      <c r="B19" s="36" t="s">
        <v>70</v>
      </c>
      <c r="C19" s="37"/>
      <c r="D19" s="76" t="s">
        <v>71</v>
      </c>
      <c r="E19" s="77"/>
      <c r="F19" s="77"/>
      <c r="G19" s="78"/>
      <c r="H19" s="27">
        <f>SUM(I19)-1.6</f>
        <v>40.799999999999997</v>
      </c>
      <c r="I19" s="27">
        <f>SUM(J19)-1.6</f>
        <v>42.4</v>
      </c>
      <c r="J19" s="125">
        <v>44</v>
      </c>
      <c r="K19" s="114">
        <f>SUM(J19)+1.6</f>
        <v>45.6</v>
      </c>
      <c r="L19" s="114">
        <f>SUM(K19)+1.6</f>
        <v>47.2</v>
      </c>
      <c r="M19" s="116">
        <f>SUM(L19)+1.6</f>
        <v>48.800000000000004</v>
      </c>
      <c r="P19" s="1" t="s">
        <v>162</v>
      </c>
    </row>
    <row r="20" spans="1:17" s="1" customFormat="1" ht="14.1" customHeight="1">
      <c r="A20" s="122"/>
      <c r="B20" s="75" t="s">
        <v>33</v>
      </c>
      <c r="C20" s="75"/>
      <c r="D20" s="79" t="s">
        <v>107</v>
      </c>
      <c r="E20" s="80"/>
      <c r="F20" s="80"/>
      <c r="G20" s="81"/>
      <c r="H20" s="46"/>
      <c r="I20" s="46"/>
      <c r="J20" s="125"/>
      <c r="K20" s="114"/>
      <c r="L20" s="114"/>
      <c r="M20" s="116"/>
    </row>
    <row r="21" spans="1:17" s="1" customFormat="1" ht="14.1" customHeight="1">
      <c r="A21" s="138">
        <v>10</v>
      </c>
      <c r="B21" s="98" t="s">
        <v>4</v>
      </c>
      <c r="C21" s="98"/>
      <c r="D21" s="124" t="s">
        <v>5</v>
      </c>
      <c r="E21" s="124"/>
      <c r="F21" s="124"/>
      <c r="G21" s="124"/>
      <c r="H21" s="27">
        <f>SUM(I21)-3.7</f>
        <v>32.399999999999991</v>
      </c>
      <c r="I21" s="27">
        <f>SUM(J21)-3.7</f>
        <v>36.099999999999994</v>
      </c>
      <c r="J21" s="125">
        <v>39.799999999999997</v>
      </c>
      <c r="K21" s="114">
        <f>SUM(J21)+3.8</f>
        <v>43.599999999999994</v>
      </c>
      <c r="L21" s="114">
        <f>SUM(K21)+3.8</f>
        <v>47.399999999999991</v>
      </c>
      <c r="M21" s="116">
        <f>SUM(L21)+3.8</f>
        <v>51.199999999999989</v>
      </c>
    </row>
    <row r="22" spans="1:17" s="1" customFormat="1" ht="14.1" customHeight="1">
      <c r="A22" s="122"/>
      <c r="B22" s="75" t="s">
        <v>29</v>
      </c>
      <c r="C22" s="75"/>
      <c r="D22" s="79" t="s">
        <v>47</v>
      </c>
      <c r="E22" s="80"/>
      <c r="F22" s="80"/>
      <c r="G22" s="81"/>
      <c r="H22" s="46"/>
      <c r="I22" s="46"/>
      <c r="J22" s="125"/>
      <c r="K22" s="114"/>
      <c r="L22" s="114"/>
      <c r="M22" s="116"/>
    </row>
    <row r="23" spans="1:17" s="1" customFormat="1" ht="14.1" customHeight="1">
      <c r="A23" s="138">
        <v>11</v>
      </c>
      <c r="B23" s="98" t="s">
        <v>484</v>
      </c>
      <c r="C23" s="98"/>
      <c r="D23" s="76"/>
      <c r="E23" s="77"/>
      <c r="F23" s="77"/>
      <c r="G23" s="78"/>
      <c r="H23" s="27">
        <f>SUM(I23)-0.6</f>
        <v>8.8000000000000007</v>
      </c>
      <c r="I23" s="27">
        <f>SUM(J23)-0.6</f>
        <v>9.4</v>
      </c>
      <c r="J23" s="125">
        <v>10</v>
      </c>
      <c r="K23" s="114">
        <f>SUM(J23)+0.6</f>
        <v>10.6</v>
      </c>
      <c r="L23" s="114">
        <f>SUM(K23)+0.6</f>
        <v>11.2</v>
      </c>
      <c r="M23" s="116">
        <f>SUM(L23)+0.6</f>
        <v>11.799999999999999</v>
      </c>
      <c r="Q23" s="1" t="s">
        <v>352</v>
      </c>
    </row>
    <row r="24" spans="1:17" s="1" customFormat="1" ht="14.1" customHeight="1">
      <c r="A24" s="122"/>
      <c r="B24" s="75" t="s">
        <v>485</v>
      </c>
      <c r="C24" s="75"/>
      <c r="D24" s="79"/>
      <c r="E24" s="80"/>
      <c r="F24" s="80"/>
      <c r="G24" s="81"/>
      <c r="H24" s="46"/>
      <c r="I24" s="46"/>
      <c r="J24" s="125"/>
      <c r="K24" s="114"/>
      <c r="L24" s="114"/>
      <c r="M24" s="116"/>
      <c r="Q24" s="1">
        <f>SUM(H23+H23+I23+I23+J23+J23+K23+K23+L23+L23)</f>
        <v>100</v>
      </c>
    </row>
    <row r="25" spans="1:17" s="1" customFormat="1" ht="14.1" customHeight="1">
      <c r="A25" s="138">
        <v>12</v>
      </c>
      <c r="B25" s="36" t="s">
        <v>177</v>
      </c>
      <c r="C25" s="37"/>
      <c r="D25" s="124" t="s">
        <v>65</v>
      </c>
      <c r="E25" s="124"/>
      <c r="F25" s="124"/>
      <c r="G25" s="124"/>
      <c r="H25" s="27">
        <f>SUM(I25)-0.6</f>
        <v>14</v>
      </c>
      <c r="I25" s="27">
        <f>SUM(J25)-0.6</f>
        <v>14.6</v>
      </c>
      <c r="J25" s="125">
        <v>15.2</v>
      </c>
      <c r="K25" s="114">
        <f>SUM(J25)+0.6</f>
        <v>15.799999999999999</v>
      </c>
      <c r="L25" s="114">
        <f>SUM(K25)+0.6</f>
        <v>16.399999999999999</v>
      </c>
      <c r="M25" s="116">
        <f>SUM(L25)+0.6</f>
        <v>17</v>
      </c>
      <c r="Q25" s="1">
        <f>SUM(Q24/91.44/5*1.08)</f>
        <v>0.23622047244094491</v>
      </c>
    </row>
    <row r="26" spans="1:17" s="1" customFormat="1" ht="14.1" customHeight="1">
      <c r="A26" s="122"/>
      <c r="B26" s="75" t="s">
        <v>31</v>
      </c>
      <c r="C26" s="75"/>
      <c r="D26" s="79" t="s">
        <v>66</v>
      </c>
      <c r="E26" s="80"/>
      <c r="F26" s="80"/>
      <c r="G26" s="81"/>
      <c r="H26" s="46"/>
      <c r="I26" s="46"/>
      <c r="J26" s="125"/>
      <c r="K26" s="114"/>
      <c r="L26" s="114"/>
      <c r="M26" s="116"/>
    </row>
    <row r="27" spans="1:17" s="1" customFormat="1" ht="14.1" customHeight="1">
      <c r="A27" s="138">
        <v>13</v>
      </c>
      <c r="B27" s="36" t="s">
        <v>482</v>
      </c>
      <c r="C27" s="37"/>
      <c r="D27" s="129"/>
      <c r="E27" s="130"/>
      <c r="F27" s="130"/>
      <c r="G27" s="131"/>
      <c r="H27" s="27">
        <f>SUM(I27)-1</f>
        <v>15.5</v>
      </c>
      <c r="I27" s="27">
        <f>SUM(J27)-1</f>
        <v>16.5</v>
      </c>
      <c r="J27" s="125">
        <v>17.5</v>
      </c>
      <c r="K27" s="114">
        <f>SUM(J27)+1.5</f>
        <v>19</v>
      </c>
      <c r="L27" s="114">
        <f>SUM(K27)+1</f>
        <v>20</v>
      </c>
      <c r="M27" s="116">
        <f>SUM(L27)+1</f>
        <v>21</v>
      </c>
    </row>
    <row r="28" spans="1:17" s="1" customFormat="1" ht="14.1" customHeight="1">
      <c r="A28" s="122"/>
      <c r="B28" s="133" t="s">
        <v>483</v>
      </c>
      <c r="C28" s="134"/>
      <c r="D28" s="102"/>
      <c r="E28" s="103"/>
      <c r="F28" s="103"/>
      <c r="G28" s="104"/>
      <c r="H28" s="45"/>
      <c r="I28" s="45"/>
      <c r="J28" s="41"/>
      <c r="K28" s="27"/>
      <c r="L28" s="27"/>
      <c r="M28" s="29"/>
      <c r="Q28" s="1" t="s">
        <v>486</v>
      </c>
    </row>
    <row r="29" spans="1:17" s="1" customFormat="1" ht="14.1" customHeight="1">
      <c r="A29" s="138">
        <v>14</v>
      </c>
      <c r="B29" s="36" t="s">
        <v>114</v>
      </c>
      <c r="C29" s="37"/>
      <c r="D29" s="129" t="s">
        <v>197</v>
      </c>
      <c r="E29" s="130"/>
      <c r="F29" s="130"/>
      <c r="G29" s="131"/>
      <c r="H29" s="27">
        <f>SUM(I29)-0.3</f>
        <v>3.2</v>
      </c>
      <c r="I29" s="27">
        <f>SUM(J29)-0.3</f>
        <v>3.5</v>
      </c>
      <c r="J29" s="125">
        <v>3.8</v>
      </c>
      <c r="K29" s="114">
        <f>SUM(J29)+0.3</f>
        <v>4.0999999999999996</v>
      </c>
      <c r="L29" s="114">
        <f>SUM(K29)+0.3</f>
        <v>4.3999999999999995</v>
      </c>
      <c r="M29" s="116">
        <f>SUM(L29)+0.3</f>
        <v>4.6999999999999993</v>
      </c>
      <c r="Q29" s="1">
        <f>SUM(H47+H47+I47+I47+J47+J47+K47+K47+L47+L47)</f>
        <v>220</v>
      </c>
    </row>
    <row r="30" spans="1:17" s="1" customFormat="1" ht="14.1" customHeight="1">
      <c r="A30" s="122"/>
      <c r="B30" s="133" t="s">
        <v>122</v>
      </c>
      <c r="C30" s="134"/>
      <c r="D30" s="102" t="s">
        <v>229</v>
      </c>
      <c r="E30" s="103"/>
      <c r="F30" s="103"/>
      <c r="G30" s="104"/>
      <c r="H30" s="45"/>
      <c r="I30" s="45"/>
      <c r="J30" s="41"/>
      <c r="K30" s="27"/>
      <c r="L30" s="27"/>
      <c r="M30" s="29"/>
      <c r="Q30" s="1">
        <f>SUM(Q29/91.44/5*1.08)</f>
        <v>0.51968503937007882</v>
      </c>
    </row>
    <row r="31" spans="1:17" ht="14.1" customHeight="1">
      <c r="A31" s="138">
        <v>15</v>
      </c>
      <c r="B31" s="36"/>
      <c r="C31" s="37"/>
      <c r="D31" s="129"/>
      <c r="E31" s="130"/>
      <c r="F31" s="130"/>
      <c r="G31" s="131"/>
      <c r="H31" s="27"/>
      <c r="I31" s="27"/>
      <c r="J31" s="125"/>
      <c r="K31" s="114"/>
      <c r="L31" s="114"/>
      <c r="M31" s="116"/>
    </row>
    <row r="32" spans="1:17" ht="14.1" customHeight="1" thickBot="1">
      <c r="A32" s="159"/>
      <c r="B32" s="133"/>
      <c r="C32" s="134"/>
      <c r="D32" s="102"/>
      <c r="E32" s="103"/>
      <c r="F32" s="103"/>
      <c r="G32" s="104"/>
      <c r="H32" s="45"/>
      <c r="I32" s="45"/>
      <c r="J32" s="41"/>
      <c r="K32" s="27"/>
      <c r="L32" s="27"/>
      <c r="M32" s="29"/>
    </row>
    <row r="33" spans="1:13" ht="14.1" customHeight="1" thickTop="1">
      <c r="A33" s="210">
        <v>16</v>
      </c>
      <c r="B33" s="69" t="s">
        <v>104</v>
      </c>
      <c r="C33" s="70"/>
      <c r="D33" s="71" t="s">
        <v>67</v>
      </c>
      <c r="E33" s="72"/>
      <c r="F33" s="72"/>
      <c r="G33" s="73"/>
      <c r="H33" s="55">
        <f>SUM(I33)-3</f>
        <v>45</v>
      </c>
      <c r="I33" s="55">
        <f>SUM(J33)-3</f>
        <v>48</v>
      </c>
      <c r="J33" s="54">
        <v>51</v>
      </c>
      <c r="K33" s="55">
        <f>SUM(J33)+3</f>
        <v>54</v>
      </c>
      <c r="L33" s="55">
        <f t="shared" ref="L33:M33" si="1">SUM(K33)+3</f>
        <v>57</v>
      </c>
      <c r="M33" s="211">
        <f t="shared" si="1"/>
        <v>60</v>
      </c>
    </row>
    <row r="34" spans="1:13" ht="14.1" customHeight="1">
      <c r="A34" s="122"/>
      <c r="B34" s="57" t="s">
        <v>75</v>
      </c>
      <c r="C34" s="58"/>
      <c r="D34" s="59" t="s">
        <v>68</v>
      </c>
      <c r="E34" s="60"/>
      <c r="F34" s="60"/>
      <c r="G34" s="61"/>
      <c r="H34" s="46"/>
      <c r="I34" s="46"/>
      <c r="J34" s="44"/>
      <c r="K34" s="46"/>
      <c r="L34" s="46"/>
      <c r="M34" s="132"/>
    </row>
    <row r="35" spans="1:13" ht="14.1" customHeight="1">
      <c r="A35" s="138">
        <v>17</v>
      </c>
      <c r="B35" s="36" t="s">
        <v>108</v>
      </c>
      <c r="C35" s="37"/>
      <c r="D35" s="102"/>
      <c r="E35" s="103"/>
      <c r="F35" s="103"/>
      <c r="G35" s="104"/>
      <c r="H35" s="27">
        <f>SUM(I35)-3.5</f>
        <v>67</v>
      </c>
      <c r="I35" s="27">
        <f>SUM(J35)-3.5</f>
        <v>70.5</v>
      </c>
      <c r="J35" s="43">
        <v>74</v>
      </c>
      <c r="K35" s="45">
        <f>SUM(J35)+3.5</f>
        <v>77.5</v>
      </c>
      <c r="L35" s="45">
        <f>SUM(K35)+3.5</f>
        <v>81</v>
      </c>
      <c r="M35" s="151">
        <f>SUM(L35)+3.5</f>
        <v>84.5</v>
      </c>
    </row>
    <row r="36" spans="1:13" ht="14.1" customHeight="1">
      <c r="A36" s="122"/>
      <c r="B36" s="57" t="s">
        <v>109</v>
      </c>
      <c r="C36" s="58"/>
      <c r="D36" s="59"/>
      <c r="E36" s="60"/>
      <c r="F36" s="60"/>
      <c r="G36" s="61"/>
      <c r="H36" s="46"/>
      <c r="I36" s="46"/>
      <c r="J36" s="44"/>
      <c r="K36" s="46"/>
      <c r="L36" s="46"/>
      <c r="M36" s="132"/>
    </row>
    <row r="37" spans="1:13" ht="14.1" customHeight="1">
      <c r="A37" s="138">
        <v>18</v>
      </c>
      <c r="B37" s="36" t="s">
        <v>11</v>
      </c>
      <c r="C37" s="37"/>
      <c r="D37" s="76"/>
      <c r="E37" s="77"/>
      <c r="F37" s="77"/>
      <c r="G37" s="78"/>
      <c r="H37" s="27">
        <f>SUM(I37)-4</f>
        <v>71</v>
      </c>
      <c r="I37" s="27">
        <f>SUM(J37)-4</f>
        <v>75</v>
      </c>
      <c r="J37" s="41">
        <v>79</v>
      </c>
      <c r="K37" s="27">
        <f>SUM(J37)+4</f>
        <v>83</v>
      </c>
      <c r="L37" s="27">
        <f>SUM(K37)+4</f>
        <v>87</v>
      </c>
      <c r="M37" s="29">
        <f>SUM(L37)+4</f>
        <v>91</v>
      </c>
    </row>
    <row r="38" spans="1:13" ht="14.1" customHeight="1">
      <c r="A38" s="122"/>
      <c r="B38" s="57" t="s">
        <v>48</v>
      </c>
      <c r="C38" s="58"/>
      <c r="D38" s="59" t="s">
        <v>480</v>
      </c>
      <c r="E38" s="60"/>
      <c r="F38" s="60"/>
      <c r="G38" s="61"/>
      <c r="H38" s="46"/>
      <c r="I38" s="46"/>
      <c r="J38" s="44"/>
      <c r="K38" s="46"/>
      <c r="L38" s="46"/>
      <c r="M38" s="132"/>
    </row>
    <row r="39" spans="1:13" ht="14.1" customHeight="1">
      <c r="A39" s="138">
        <v>19</v>
      </c>
      <c r="B39" s="36" t="s">
        <v>101</v>
      </c>
      <c r="C39" s="37"/>
      <c r="D39" s="76"/>
      <c r="E39" s="77"/>
      <c r="F39" s="77"/>
      <c r="G39" s="78"/>
      <c r="H39" s="98">
        <f>SUM(I39)-0.7</f>
        <v>12.700000000000001</v>
      </c>
      <c r="I39" s="27">
        <f>SUM(J39)-0.7</f>
        <v>13.4</v>
      </c>
      <c r="J39" s="41">
        <v>14.1</v>
      </c>
      <c r="K39" s="27">
        <f>SUM(J39)+1.2</f>
        <v>15.299999999999999</v>
      </c>
      <c r="L39" s="27">
        <f t="shared" ref="L39:M39" si="2">SUM(K39)+0.7</f>
        <v>15.999999999999998</v>
      </c>
      <c r="M39" s="29">
        <f t="shared" si="2"/>
        <v>16.7</v>
      </c>
    </row>
    <row r="40" spans="1:13" ht="14.1" customHeight="1">
      <c r="A40" s="122"/>
      <c r="B40" s="57" t="s">
        <v>100</v>
      </c>
      <c r="C40" s="58"/>
      <c r="D40" s="82" t="s">
        <v>180</v>
      </c>
      <c r="E40" s="83"/>
      <c r="F40" s="83"/>
      <c r="G40" s="84"/>
      <c r="H40" s="75"/>
      <c r="I40" s="46"/>
      <c r="J40" s="44"/>
      <c r="K40" s="46"/>
      <c r="L40" s="46"/>
      <c r="M40" s="132"/>
    </row>
    <row r="41" spans="1:13" ht="14.1" customHeight="1">
      <c r="A41" s="138">
        <v>20</v>
      </c>
      <c r="B41" s="36" t="s">
        <v>119</v>
      </c>
      <c r="C41" s="37"/>
      <c r="D41" s="76"/>
      <c r="E41" s="77"/>
      <c r="F41" s="77"/>
      <c r="G41" s="78"/>
      <c r="H41" s="98"/>
      <c r="I41" s="27"/>
      <c r="J41" s="41"/>
      <c r="K41" s="27"/>
      <c r="L41" s="27"/>
      <c r="M41" s="29"/>
    </row>
    <row r="42" spans="1:13" ht="14.1" customHeight="1">
      <c r="A42" s="122"/>
      <c r="B42" s="57" t="s">
        <v>120</v>
      </c>
      <c r="C42" s="58"/>
      <c r="D42" s="82" t="s">
        <v>180</v>
      </c>
      <c r="E42" s="83"/>
      <c r="F42" s="83"/>
      <c r="G42" s="84"/>
      <c r="H42" s="75"/>
      <c r="I42" s="46"/>
      <c r="J42" s="44"/>
      <c r="K42" s="46"/>
      <c r="L42" s="46"/>
      <c r="M42" s="132"/>
    </row>
    <row r="43" spans="1:13" ht="14.1" customHeight="1">
      <c r="A43" s="138">
        <v>21</v>
      </c>
      <c r="B43" s="36" t="s">
        <v>131</v>
      </c>
      <c r="C43" s="37"/>
      <c r="D43" s="76"/>
      <c r="E43" s="77"/>
      <c r="F43" s="77"/>
      <c r="G43" s="78"/>
      <c r="H43" s="27"/>
      <c r="I43" s="27"/>
      <c r="J43" s="41"/>
      <c r="K43" s="27"/>
      <c r="L43" s="27"/>
      <c r="M43" s="29"/>
    </row>
    <row r="44" spans="1:13" ht="14.1" customHeight="1">
      <c r="A44" s="122"/>
      <c r="B44" s="57" t="s">
        <v>130</v>
      </c>
      <c r="C44" s="58"/>
      <c r="D44" s="82"/>
      <c r="E44" s="83"/>
      <c r="F44" s="83"/>
      <c r="G44" s="84"/>
      <c r="H44" s="46"/>
      <c r="I44" s="46"/>
      <c r="J44" s="44"/>
      <c r="K44" s="46"/>
      <c r="L44" s="46"/>
      <c r="M44" s="132"/>
    </row>
    <row r="45" spans="1:13" ht="14.1" customHeight="1">
      <c r="A45" s="138">
        <v>22</v>
      </c>
      <c r="B45" s="36" t="s">
        <v>9</v>
      </c>
      <c r="C45" s="37"/>
      <c r="D45" s="76" t="s">
        <v>69</v>
      </c>
      <c r="E45" s="77"/>
      <c r="F45" s="77"/>
      <c r="G45" s="78"/>
      <c r="H45" s="27">
        <f>SUM(I45)-7</f>
        <v>53</v>
      </c>
      <c r="I45" s="27">
        <f>SUM(J45)-7</f>
        <v>60</v>
      </c>
      <c r="J45" s="41">
        <v>67</v>
      </c>
      <c r="K45" s="27">
        <f>SUM(J45)+6</f>
        <v>73</v>
      </c>
      <c r="L45" s="27">
        <f>SUM(K45)+6</f>
        <v>79</v>
      </c>
      <c r="M45" s="29">
        <f>SUM(L45)+6</f>
        <v>85</v>
      </c>
    </row>
    <row r="46" spans="1:13" ht="14.1" customHeight="1">
      <c r="A46" s="122"/>
      <c r="B46" s="57" t="s">
        <v>49</v>
      </c>
      <c r="C46" s="58"/>
      <c r="D46" s="59" t="s">
        <v>87</v>
      </c>
      <c r="E46" s="60"/>
      <c r="F46" s="60"/>
      <c r="G46" s="61"/>
      <c r="H46" s="46"/>
      <c r="I46" s="46"/>
      <c r="J46" s="44"/>
      <c r="K46" s="46"/>
      <c r="L46" s="46"/>
      <c r="M46" s="132"/>
    </row>
    <row r="47" spans="1:13" ht="14.1" customHeight="1">
      <c r="A47" s="138">
        <v>23</v>
      </c>
      <c r="B47" s="36" t="s">
        <v>14</v>
      </c>
      <c r="C47" s="37"/>
      <c r="D47" s="76"/>
      <c r="E47" s="77"/>
      <c r="F47" s="77"/>
      <c r="G47" s="78"/>
      <c r="H47" s="27">
        <f>SUM(I47)-1</f>
        <v>20</v>
      </c>
      <c r="I47" s="27">
        <f>SUM(J47)-1</f>
        <v>21</v>
      </c>
      <c r="J47" s="41">
        <v>22</v>
      </c>
      <c r="K47" s="27">
        <f>SUM(J47)+1</f>
        <v>23</v>
      </c>
      <c r="L47" s="27">
        <f>SUM(K47)+1</f>
        <v>24</v>
      </c>
      <c r="M47" s="29">
        <f>SUM(L47)+1</f>
        <v>25</v>
      </c>
    </row>
    <row r="48" spans="1:13" ht="14.1" customHeight="1">
      <c r="A48" s="122"/>
      <c r="B48" s="57" t="s">
        <v>50</v>
      </c>
      <c r="C48" s="58"/>
      <c r="D48" s="79" t="s">
        <v>481</v>
      </c>
      <c r="E48" s="80"/>
      <c r="F48" s="80"/>
      <c r="G48" s="81"/>
      <c r="H48" s="46"/>
      <c r="I48" s="46"/>
      <c r="J48" s="44"/>
      <c r="K48" s="46"/>
      <c r="L48" s="46"/>
      <c r="M48" s="132"/>
    </row>
    <row r="49" spans="1:13" ht="14.1" customHeight="1">
      <c r="A49" s="138">
        <v>24</v>
      </c>
      <c r="B49" s="36" t="s">
        <v>16</v>
      </c>
      <c r="C49" s="37"/>
      <c r="D49" s="76" t="s">
        <v>13</v>
      </c>
      <c r="E49" s="77"/>
      <c r="F49" s="77"/>
      <c r="G49" s="78"/>
      <c r="H49" s="98">
        <f>SUM(I49)-1.1</f>
        <v>20.399999999999999</v>
      </c>
      <c r="I49" s="27">
        <f>SUM(J49)-1.1</f>
        <v>21.5</v>
      </c>
      <c r="J49" s="41">
        <v>22.6</v>
      </c>
      <c r="K49" s="27">
        <f>SUM(J49)+1.6</f>
        <v>24.200000000000003</v>
      </c>
      <c r="L49" s="27">
        <f>SUM(K49)+1.1</f>
        <v>25.300000000000004</v>
      </c>
      <c r="M49" s="29">
        <f>SUM(L49)+1.1</f>
        <v>26.400000000000006</v>
      </c>
    </row>
    <row r="50" spans="1:13" ht="14.1" customHeight="1">
      <c r="A50" s="122"/>
      <c r="B50" s="57" t="s">
        <v>56</v>
      </c>
      <c r="C50" s="58"/>
      <c r="D50" s="59" t="s">
        <v>85</v>
      </c>
      <c r="E50" s="60"/>
      <c r="F50" s="60"/>
      <c r="G50" s="61"/>
      <c r="H50" s="75"/>
      <c r="I50" s="46"/>
      <c r="J50" s="44"/>
      <c r="K50" s="46"/>
      <c r="L50" s="46"/>
      <c r="M50" s="132"/>
    </row>
    <row r="51" spans="1:13" ht="14.1" customHeight="1">
      <c r="A51" s="138">
        <v>25</v>
      </c>
      <c r="B51" s="36" t="s">
        <v>17</v>
      </c>
      <c r="C51" s="37"/>
      <c r="D51" s="76" t="s">
        <v>13</v>
      </c>
      <c r="E51" s="77"/>
      <c r="F51" s="77"/>
      <c r="G51" s="78"/>
      <c r="H51" s="98">
        <f>SUM(I51)-1.3</f>
        <v>27.7</v>
      </c>
      <c r="I51" s="27">
        <f>SUM(J51)-1.3</f>
        <v>29</v>
      </c>
      <c r="J51" s="41">
        <v>30.3</v>
      </c>
      <c r="K51" s="27">
        <f>SUM(J51)+1.8</f>
        <v>32.1</v>
      </c>
      <c r="L51" s="27">
        <f>SUM(K51)+1.3</f>
        <v>33.4</v>
      </c>
      <c r="M51" s="29">
        <f>SUM(L51)+1.3</f>
        <v>34.699999999999996</v>
      </c>
    </row>
    <row r="52" spans="1:13" ht="13.5" customHeight="1">
      <c r="A52" s="122"/>
      <c r="B52" s="57" t="s">
        <v>55</v>
      </c>
      <c r="C52" s="58"/>
      <c r="D52" s="59" t="s">
        <v>85</v>
      </c>
      <c r="E52" s="60"/>
      <c r="F52" s="60"/>
      <c r="G52" s="61"/>
      <c r="H52" s="75"/>
      <c r="I52" s="46"/>
      <c r="J52" s="44"/>
      <c r="K52" s="46"/>
      <c r="L52" s="46"/>
      <c r="M52" s="132"/>
    </row>
    <row r="53" spans="1:13" ht="14.1" customHeight="1">
      <c r="A53" s="138">
        <v>26</v>
      </c>
      <c r="B53" s="36" t="s">
        <v>18</v>
      </c>
      <c r="C53" s="37"/>
      <c r="D53" s="76" t="s">
        <v>19</v>
      </c>
      <c r="E53" s="77"/>
      <c r="F53" s="77"/>
      <c r="G53" s="78"/>
      <c r="H53" s="27">
        <f>SUM(I53)-2.7</f>
        <v>44.099999999999994</v>
      </c>
      <c r="I53" s="27">
        <f>SUM(J53)-2.7</f>
        <v>46.8</v>
      </c>
      <c r="J53" s="41">
        <v>49.5</v>
      </c>
      <c r="K53" s="27">
        <f>SUM(J53)+2.6</f>
        <v>52.1</v>
      </c>
      <c r="L53" s="27">
        <f>SUM(K53)+2.6</f>
        <v>54.7</v>
      </c>
      <c r="M53" s="29">
        <f>SUM(L53)+2.6</f>
        <v>57.300000000000004</v>
      </c>
    </row>
    <row r="54" spans="1:13" ht="14.1" customHeight="1">
      <c r="A54" s="122"/>
      <c r="B54" s="57" t="s">
        <v>54</v>
      </c>
      <c r="C54" s="58"/>
      <c r="D54" s="59" t="s">
        <v>84</v>
      </c>
      <c r="E54" s="60"/>
      <c r="F54" s="60"/>
      <c r="G54" s="61"/>
      <c r="H54" s="46"/>
      <c r="I54" s="46"/>
      <c r="J54" s="44"/>
      <c r="K54" s="46"/>
      <c r="L54" s="46"/>
      <c r="M54" s="132"/>
    </row>
    <row r="55" spans="1:13" ht="14.1" customHeight="1">
      <c r="A55" s="138">
        <v>27</v>
      </c>
      <c r="B55" s="36" t="s">
        <v>20</v>
      </c>
      <c r="C55" s="37"/>
      <c r="D55" s="76" t="s">
        <v>21</v>
      </c>
      <c r="E55" s="77"/>
      <c r="F55" s="77"/>
      <c r="G55" s="78"/>
      <c r="H55" s="27">
        <f>SUM(I55)-6</f>
        <v>33.4</v>
      </c>
      <c r="I55" s="27">
        <f>SUM(J55)-6</f>
        <v>39.4</v>
      </c>
      <c r="J55" s="41">
        <v>45.4</v>
      </c>
      <c r="K55" s="27">
        <f>SUM(J55)+4.5</f>
        <v>49.9</v>
      </c>
      <c r="L55" s="27">
        <f>SUM(K55)+5</f>
        <v>54.9</v>
      </c>
      <c r="M55" s="29">
        <f>SUM(L55)+5</f>
        <v>59.9</v>
      </c>
    </row>
    <row r="56" spans="1:13" ht="14.1" customHeight="1">
      <c r="A56" s="122"/>
      <c r="B56" s="57" t="s">
        <v>53</v>
      </c>
      <c r="C56" s="58"/>
      <c r="D56" s="59" t="s">
        <v>83</v>
      </c>
      <c r="E56" s="60"/>
      <c r="F56" s="60"/>
      <c r="G56" s="61"/>
      <c r="H56" s="46"/>
      <c r="I56" s="46"/>
      <c r="J56" s="44"/>
      <c r="K56" s="46"/>
      <c r="L56" s="46"/>
      <c r="M56" s="132"/>
    </row>
    <row r="57" spans="1:13" ht="14.1" customHeight="1">
      <c r="A57" s="138">
        <v>28</v>
      </c>
      <c r="B57" s="36" t="s">
        <v>82</v>
      </c>
      <c r="C57" s="37"/>
      <c r="D57" s="76" t="s">
        <v>80</v>
      </c>
      <c r="E57" s="77"/>
      <c r="F57" s="77"/>
      <c r="G57" s="78"/>
      <c r="H57" s="27">
        <f>SUM(I57)-2</f>
        <v>39</v>
      </c>
      <c r="I57" s="27">
        <f>SUM(J57)-2</f>
        <v>41</v>
      </c>
      <c r="J57" s="41">
        <v>43</v>
      </c>
      <c r="K57" s="27">
        <f>SUM(J57)+2</f>
        <v>45</v>
      </c>
      <c r="L57" s="27">
        <f>SUM(K57)+2</f>
        <v>47</v>
      </c>
      <c r="M57" s="29">
        <f>SUM(L57)+2</f>
        <v>49</v>
      </c>
    </row>
    <row r="58" spans="1:13" ht="14.1" customHeight="1">
      <c r="A58" s="122"/>
      <c r="B58" s="57" t="s">
        <v>81</v>
      </c>
      <c r="C58" s="58"/>
      <c r="D58" s="59" t="s">
        <v>80</v>
      </c>
      <c r="E58" s="60"/>
      <c r="F58" s="60"/>
      <c r="G58" s="61"/>
      <c r="H58" s="46"/>
      <c r="I58" s="46"/>
      <c r="J58" s="44"/>
      <c r="K58" s="46"/>
      <c r="L58" s="46"/>
      <c r="M58" s="132"/>
    </row>
    <row r="59" spans="1:13" ht="14.1" customHeight="1">
      <c r="A59" s="138">
        <v>29</v>
      </c>
      <c r="B59" s="36" t="s">
        <v>79</v>
      </c>
      <c r="C59" s="37"/>
      <c r="D59" s="76" t="s">
        <v>78</v>
      </c>
      <c r="E59" s="77"/>
      <c r="F59" s="77"/>
      <c r="G59" s="78"/>
      <c r="H59" s="27">
        <f>SUM(I59)-3.6</f>
        <v>34.199999999999996</v>
      </c>
      <c r="I59" s="27">
        <f>SUM(J59)-3.6</f>
        <v>37.799999999999997</v>
      </c>
      <c r="J59" s="41">
        <v>41.4</v>
      </c>
      <c r="K59" s="27">
        <f>SUM(J59)+3.4</f>
        <v>44.8</v>
      </c>
      <c r="L59" s="27">
        <f>SUM(K59)+3.2</f>
        <v>48</v>
      </c>
      <c r="M59" s="29">
        <f>SUM(L59)+3.2</f>
        <v>51.2</v>
      </c>
    </row>
    <row r="60" spans="1:13" ht="14.1" customHeight="1">
      <c r="A60" s="122"/>
      <c r="B60" s="57" t="s">
        <v>77</v>
      </c>
      <c r="C60" s="58"/>
      <c r="D60" s="59" t="s">
        <v>111</v>
      </c>
      <c r="E60" s="60"/>
      <c r="F60" s="60"/>
      <c r="G60" s="61"/>
      <c r="H60" s="46"/>
      <c r="I60" s="46"/>
      <c r="J60" s="44"/>
      <c r="K60" s="46"/>
      <c r="L60" s="46"/>
      <c r="M60" s="132"/>
    </row>
    <row r="61" spans="1:13" ht="14.1" customHeight="1">
      <c r="A61" s="138">
        <v>30</v>
      </c>
      <c r="B61" s="36" t="s">
        <v>99</v>
      </c>
      <c r="C61" s="37"/>
      <c r="D61" s="76" t="s">
        <v>22</v>
      </c>
      <c r="E61" s="77"/>
      <c r="F61" s="77"/>
      <c r="G61" s="78"/>
      <c r="H61" s="27">
        <f>SUM(I61)-0.2</f>
        <v>4.0999999999999996</v>
      </c>
      <c r="I61" s="27">
        <f>SUM(J61)-0.2</f>
        <v>4.3</v>
      </c>
      <c r="J61" s="41">
        <v>4.5</v>
      </c>
      <c r="K61" s="27">
        <f>SUM(J61)+0.2</f>
        <v>4.7</v>
      </c>
      <c r="L61" s="27">
        <f>SUM(K61)+0.2</f>
        <v>4.9000000000000004</v>
      </c>
      <c r="M61" s="29">
        <f>SUM(L61)+0.2</f>
        <v>5.1000000000000005</v>
      </c>
    </row>
    <row r="62" spans="1:13" ht="14.1" customHeight="1">
      <c r="A62" s="122"/>
      <c r="B62" s="57" t="s">
        <v>52</v>
      </c>
      <c r="C62" s="58"/>
      <c r="D62" s="59" t="s">
        <v>98</v>
      </c>
      <c r="E62" s="60"/>
      <c r="F62" s="60"/>
      <c r="G62" s="61"/>
      <c r="H62" s="46"/>
      <c r="I62" s="46"/>
      <c r="J62" s="44"/>
      <c r="K62" s="46"/>
      <c r="L62" s="46"/>
      <c r="M62" s="132"/>
    </row>
    <row r="63" spans="1:13" ht="14.1" customHeight="1">
      <c r="A63" s="138">
        <v>31</v>
      </c>
      <c r="B63" s="36" t="s">
        <v>97</v>
      </c>
      <c r="C63" s="37"/>
      <c r="D63" s="76" t="s">
        <v>23</v>
      </c>
      <c r="E63" s="77"/>
      <c r="F63" s="77"/>
      <c r="G63" s="78"/>
      <c r="H63" s="27">
        <f>SUM(I63)-0.6</f>
        <v>9.3000000000000007</v>
      </c>
      <c r="I63" s="27">
        <f>SUM(J63)-0.6</f>
        <v>9.9</v>
      </c>
      <c r="J63" s="41">
        <v>10.5</v>
      </c>
      <c r="K63" s="27">
        <f>SUM(J63)+0.6</f>
        <v>11.1</v>
      </c>
      <c r="L63" s="27">
        <f>SUM(K63)+0.6</f>
        <v>11.7</v>
      </c>
      <c r="M63" s="29">
        <f>SUM(L63)+0.6</f>
        <v>12.299999999999999</v>
      </c>
    </row>
    <row r="64" spans="1:13" ht="14.1" customHeight="1">
      <c r="A64" s="122"/>
      <c r="B64" s="57" t="s">
        <v>51</v>
      </c>
      <c r="C64" s="58"/>
      <c r="D64" s="59" t="s">
        <v>96</v>
      </c>
      <c r="E64" s="60"/>
      <c r="F64" s="60"/>
      <c r="G64" s="61"/>
      <c r="H64" s="46"/>
      <c r="I64" s="46"/>
      <c r="J64" s="44"/>
      <c r="K64" s="46"/>
      <c r="L64" s="46"/>
      <c r="M64" s="132"/>
    </row>
    <row r="65" spans="1:14" ht="14.1" customHeight="1">
      <c r="A65" s="52">
        <v>32</v>
      </c>
      <c r="B65" s="36" t="s">
        <v>95</v>
      </c>
      <c r="C65" s="37"/>
      <c r="D65" s="76"/>
      <c r="E65" s="77"/>
      <c r="F65" s="77"/>
      <c r="G65" s="78"/>
      <c r="H65" s="27">
        <f>SUM(I65)-0.5</f>
        <v>10</v>
      </c>
      <c r="I65" s="27">
        <f>SUM(J65)-0.5</f>
        <v>10.5</v>
      </c>
      <c r="J65" s="41">
        <v>11</v>
      </c>
      <c r="K65" s="27">
        <f>SUM(J65)+0.5</f>
        <v>11.5</v>
      </c>
      <c r="L65" s="27">
        <f>SUM(K65)+0.5</f>
        <v>12</v>
      </c>
      <c r="M65" s="29">
        <f>SUM(L65)+0.5</f>
        <v>12.5</v>
      </c>
    </row>
    <row r="66" spans="1:14" ht="14.1" customHeight="1">
      <c r="A66" s="53"/>
      <c r="B66" s="127" t="s">
        <v>94</v>
      </c>
      <c r="C66" s="128"/>
      <c r="D66" s="59"/>
      <c r="E66" s="60"/>
      <c r="F66" s="60"/>
      <c r="G66" s="61"/>
      <c r="H66" s="46"/>
      <c r="I66" s="46"/>
      <c r="J66" s="44"/>
      <c r="K66" s="46"/>
      <c r="L66" s="46"/>
      <c r="M66" s="132"/>
    </row>
    <row r="67" spans="1:14" ht="14.1" customHeight="1">
      <c r="A67" s="52">
        <v>33</v>
      </c>
      <c r="B67" s="36" t="s">
        <v>93</v>
      </c>
      <c r="C67" s="37"/>
      <c r="D67" s="124"/>
      <c r="E67" s="124"/>
      <c r="F67" s="124"/>
      <c r="G67" s="124"/>
      <c r="H67" s="27">
        <f>SUM(I67)-0.5</f>
        <v>10.5</v>
      </c>
      <c r="I67" s="27">
        <f>SUM(J67)-0.5</f>
        <v>11</v>
      </c>
      <c r="J67" s="41">
        <v>11.5</v>
      </c>
      <c r="K67" s="27">
        <f>SUM(J67)+0.5</f>
        <v>12</v>
      </c>
      <c r="L67" s="27">
        <f>SUM(K67)+0.5</f>
        <v>12.5</v>
      </c>
      <c r="M67" s="29">
        <f>SUM(L67)+0.5</f>
        <v>13</v>
      </c>
    </row>
    <row r="68" spans="1:14" ht="14.1" customHeight="1">
      <c r="A68" s="53"/>
      <c r="B68" s="153" t="s">
        <v>92</v>
      </c>
      <c r="C68" s="153"/>
      <c r="D68" s="102"/>
      <c r="E68" s="103"/>
      <c r="F68" s="103"/>
      <c r="G68" s="104"/>
      <c r="H68" s="46"/>
      <c r="I68" s="46"/>
      <c r="J68" s="44"/>
      <c r="K68" s="46"/>
      <c r="L68" s="46"/>
      <c r="M68" s="132"/>
    </row>
    <row r="69" spans="1:14" ht="14.1" customHeight="1">
      <c r="A69" s="138">
        <v>34</v>
      </c>
      <c r="B69" s="36"/>
      <c r="C69" s="37"/>
      <c r="D69" s="76"/>
      <c r="E69" s="77"/>
      <c r="F69" s="77"/>
      <c r="G69" s="78"/>
      <c r="H69" s="27"/>
      <c r="I69" s="27"/>
      <c r="J69" s="41"/>
      <c r="K69" s="27"/>
      <c r="L69" s="27"/>
      <c r="M69" s="29"/>
    </row>
    <row r="70" spans="1:14" ht="14.1" customHeight="1" thickBot="1">
      <c r="A70" s="123"/>
      <c r="B70" s="143"/>
      <c r="C70" s="144"/>
      <c r="D70" s="111"/>
      <c r="E70" s="112"/>
      <c r="F70" s="112"/>
      <c r="G70" s="113"/>
      <c r="H70" s="28"/>
      <c r="I70" s="28"/>
      <c r="J70" s="42"/>
      <c r="K70" s="28"/>
      <c r="L70" s="28"/>
      <c r="M70" s="30"/>
    </row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377">
    <mergeCell ref="K5:K6"/>
    <mergeCell ref="L5:L6"/>
    <mergeCell ref="M5:M6"/>
    <mergeCell ref="B6:C6"/>
    <mergeCell ref="D6:G6"/>
    <mergeCell ref="A5:A6"/>
    <mergeCell ref="B5:C5"/>
    <mergeCell ref="D5:G5"/>
    <mergeCell ref="H5:H6"/>
    <mergeCell ref="I5:I6"/>
    <mergeCell ref="J5:J6"/>
    <mergeCell ref="A69:A70"/>
    <mergeCell ref="B69:C69"/>
    <mergeCell ref="D69:G69"/>
    <mergeCell ref="H69:H70"/>
    <mergeCell ref="I69:I70"/>
    <mergeCell ref="J69:J70"/>
    <mergeCell ref="K69:K70"/>
    <mergeCell ref="L69:L70"/>
    <mergeCell ref="M69:M70"/>
    <mergeCell ref="B70:C70"/>
    <mergeCell ref="D70:G70"/>
    <mergeCell ref="J63:J64"/>
    <mergeCell ref="K63:K64"/>
    <mergeCell ref="L63:L64"/>
    <mergeCell ref="M63:M64"/>
    <mergeCell ref="B64:C64"/>
    <mergeCell ref="D64:G64"/>
    <mergeCell ref="K61:K62"/>
    <mergeCell ref="L61:L62"/>
    <mergeCell ref="M61:M62"/>
    <mergeCell ref="B62:C62"/>
    <mergeCell ref="D62:G62"/>
    <mergeCell ref="J61:J62"/>
    <mergeCell ref="A63:A64"/>
    <mergeCell ref="B63:C63"/>
    <mergeCell ref="D63:G63"/>
    <mergeCell ref="H63:H64"/>
    <mergeCell ref="I63:I64"/>
    <mergeCell ref="A61:A62"/>
    <mergeCell ref="B61:C61"/>
    <mergeCell ref="D61:G61"/>
    <mergeCell ref="H61:H62"/>
    <mergeCell ref="I61:I62"/>
    <mergeCell ref="J59:J60"/>
    <mergeCell ref="K59:K60"/>
    <mergeCell ref="L59:L60"/>
    <mergeCell ref="M59:M60"/>
    <mergeCell ref="B60:C60"/>
    <mergeCell ref="D60:G60"/>
    <mergeCell ref="K57:K58"/>
    <mergeCell ref="L57:L58"/>
    <mergeCell ref="M57:M58"/>
    <mergeCell ref="B58:C58"/>
    <mergeCell ref="D58:G58"/>
    <mergeCell ref="J57:J58"/>
    <mergeCell ref="A59:A60"/>
    <mergeCell ref="B59:C59"/>
    <mergeCell ref="D59:G59"/>
    <mergeCell ref="H59:H60"/>
    <mergeCell ref="I59:I60"/>
    <mergeCell ref="A57:A58"/>
    <mergeCell ref="B57:C57"/>
    <mergeCell ref="D57:G57"/>
    <mergeCell ref="H57:H58"/>
    <mergeCell ref="I57:I58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7:K28"/>
    <mergeCell ref="L27:L28"/>
    <mergeCell ref="M27:M28"/>
    <mergeCell ref="B28:C28"/>
    <mergeCell ref="D28:G28"/>
    <mergeCell ref="J27:J28"/>
    <mergeCell ref="J29:J30"/>
    <mergeCell ref="K29:K30"/>
    <mergeCell ref="L29:L30"/>
    <mergeCell ref="M29:M30"/>
    <mergeCell ref="A31:A32"/>
    <mergeCell ref="B31:C31"/>
    <mergeCell ref="D31:G31"/>
    <mergeCell ref="H31:H32"/>
    <mergeCell ref="I31:I32"/>
    <mergeCell ref="A27:A28"/>
    <mergeCell ref="B27:C27"/>
    <mergeCell ref="D27:G27"/>
    <mergeCell ref="H27:H28"/>
    <mergeCell ref="I27:I28"/>
    <mergeCell ref="A29:A30"/>
    <mergeCell ref="B29:C29"/>
    <mergeCell ref="D29:G29"/>
    <mergeCell ref="H29:H30"/>
    <mergeCell ref="I29:I30"/>
    <mergeCell ref="B30:C30"/>
    <mergeCell ref="D30:G30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K13:K14"/>
    <mergeCell ref="L13:L14"/>
    <mergeCell ref="M13:M14"/>
    <mergeCell ref="B14:C14"/>
    <mergeCell ref="D14:G14"/>
    <mergeCell ref="K11:K12"/>
    <mergeCell ref="L11:L12"/>
    <mergeCell ref="M11:M12"/>
    <mergeCell ref="B12:C12"/>
    <mergeCell ref="D12:G12"/>
    <mergeCell ref="J11:J12"/>
    <mergeCell ref="A7:A8"/>
    <mergeCell ref="B7:C7"/>
    <mergeCell ref="D7:G7"/>
    <mergeCell ref="H7:H8"/>
    <mergeCell ref="I7:I8"/>
    <mergeCell ref="J7:J8"/>
    <mergeCell ref="B8:C8"/>
    <mergeCell ref="D8:G8"/>
    <mergeCell ref="A13:A14"/>
    <mergeCell ref="B13:C13"/>
    <mergeCell ref="D13:G13"/>
    <mergeCell ref="H13:H14"/>
    <mergeCell ref="I13:I14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3:J14"/>
    <mergeCell ref="J9:J10"/>
    <mergeCell ref="K9:K10"/>
    <mergeCell ref="L9:L10"/>
    <mergeCell ref="M9:M10"/>
    <mergeCell ref="B10:C10"/>
    <mergeCell ref="D10:G10"/>
    <mergeCell ref="K7:K8"/>
    <mergeCell ref="L7:L8"/>
    <mergeCell ref="M7:M8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65:A66"/>
    <mergeCell ref="B65:C65"/>
    <mergeCell ref="D65:G65"/>
    <mergeCell ref="H65:H66"/>
    <mergeCell ref="I65:I66"/>
    <mergeCell ref="J65:J66"/>
    <mergeCell ref="K65:K66"/>
    <mergeCell ref="L65:L66"/>
    <mergeCell ref="M65:M66"/>
    <mergeCell ref="B66:C66"/>
    <mergeCell ref="D66:G66"/>
    <mergeCell ref="A67:A68"/>
    <mergeCell ref="B67:C67"/>
    <mergeCell ref="D67:G67"/>
    <mergeCell ref="H67:H68"/>
    <mergeCell ref="I67:I68"/>
    <mergeCell ref="J67:J68"/>
    <mergeCell ref="K67:K68"/>
    <mergeCell ref="L67:L68"/>
    <mergeCell ref="M67:M68"/>
    <mergeCell ref="B68:C68"/>
    <mergeCell ref="D68:G6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73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0E70-5E60-4764-86EC-44EE04E3563C}">
  <sheetPr codeName="Sheet11">
    <tabColor theme="5"/>
    <pageSetUpPr fitToPage="1"/>
  </sheetPr>
  <dimension ref="A1:M51"/>
  <sheetViews>
    <sheetView zoomScale="110" zoomScaleNormal="110" workbookViewId="0">
      <selection activeCell="G26" sqref="G26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3" width="5.5" customWidth="1"/>
  </cols>
  <sheetData>
    <row r="1" spans="1:13" ht="16.5" customHeight="1" thickBot="1">
      <c r="A1" s="85" t="s">
        <v>237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27">
        <f>SUM(I3)-2.5</f>
        <v>44</v>
      </c>
      <c r="I3" s="27">
        <f>SUM(J3)-2.5</f>
        <v>46.5</v>
      </c>
      <c r="J3" s="95">
        <v>49</v>
      </c>
      <c r="K3" s="96">
        <f>SUM(J3)+2.5</f>
        <v>51.5</v>
      </c>
      <c r="L3" s="96">
        <f t="shared" ref="L3" si="0">SUM(K3)+2.5</f>
        <v>54</v>
      </c>
      <c r="M3" s="97"/>
    </row>
    <row r="4" spans="1:13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46"/>
      <c r="I4" s="46"/>
      <c r="J4" s="44"/>
      <c r="K4" s="46"/>
      <c r="L4" s="46"/>
      <c r="M4" s="48"/>
    </row>
    <row r="5" spans="1:13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27"/>
      <c r="I5" s="27"/>
      <c r="J5" s="43"/>
      <c r="K5" s="45"/>
      <c r="L5" s="215"/>
      <c r="M5" s="151"/>
    </row>
    <row r="6" spans="1:13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46"/>
      <c r="I6" s="46"/>
      <c r="J6" s="44"/>
      <c r="K6" s="46"/>
      <c r="L6" s="164"/>
      <c r="M6" s="132"/>
    </row>
    <row r="7" spans="1:13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27"/>
      <c r="I7" s="27"/>
      <c r="J7" s="43"/>
      <c r="K7" s="45"/>
      <c r="L7" s="215"/>
      <c r="M7" s="151"/>
    </row>
    <row r="8" spans="1:13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46"/>
      <c r="I8" s="46"/>
      <c r="J8" s="44"/>
      <c r="K8" s="46"/>
      <c r="L8" s="164"/>
      <c r="M8" s="132"/>
    </row>
    <row r="9" spans="1:13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7"/>
      <c r="I9" s="27"/>
      <c r="J9" s="43"/>
      <c r="K9" s="45"/>
      <c r="L9" s="215"/>
      <c r="M9" s="151"/>
    </row>
    <row r="10" spans="1:13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46"/>
      <c r="I10" s="46"/>
      <c r="J10" s="44"/>
      <c r="K10" s="46"/>
      <c r="L10" s="164"/>
      <c r="M10" s="132"/>
    </row>
    <row r="11" spans="1:13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SUM(I11)-4.5</f>
        <v>63</v>
      </c>
      <c r="I11" s="27">
        <f>SUM(J11)-4.5</f>
        <v>67.5</v>
      </c>
      <c r="J11" s="43">
        <v>72</v>
      </c>
      <c r="K11" s="45">
        <f>SUM(J11)+4.5</f>
        <v>76.5</v>
      </c>
      <c r="L11" s="45">
        <f t="shared" ref="L11" si="1">SUM(K11)+4.5</f>
        <v>81</v>
      </c>
      <c r="M11" s="47"/>
    </row>
    <row r="12" spans="1:13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48"/>
    </row>
    <row r="13" spans="1:13" s="1" customFormat="1" ht="14.1" customHeight="1">
      <c r="A13" s="52">
        <v>6</v>
      </c>
      <c r="B13" s="36" t="s">
        <v>238</v>
      </c>
      <c r="C13" s="37"/>
      <c r="D13" s="38"/>
      <c r="E13" s="39"/>
      <c r="F13" s="39"/>
      <c r="G13" s="40"/>
      <c r="H13" s="27">
        <f>SUM(I13)-2.5</f>
        <v>21</v>
      </c>
      <c r="I13" s="27">
        <f>SUM(J13)-2.5</f>
        <v>23.5</v>
      </c>
      <c r="J13" s="43">
        <v>26</v>
      </c>
      <c r="K13" s="45">
        <f>SUM(J13)+2.5</f>
        <v>28.5</v>
      </c>
      <c r="L13" s="45">
        <f t="shared" ref="L13" si="2">SUM(K13)+2.5</f>
        <v>31</v>
      </c>
      <c r="M13" s="47"/>
    </row>
    <row r="14" spans="1:13" s="1" customFormat="1" ht="14.1" customHeight="1">
      <c r="A14" s="53"/>
      <c r="B14" s="57" t="s">
        <v>239</v>
      </c>
      <c r="C14" s="58"/>
      <c r="D14" s="212" t="s">
        <v>242</v>
      </c>
      <c r="E14" s="213"/>
      <c r="F14" s="213"/>
      <c r="G14" s="214"/>
      <c r="H14" s="46"/>
      <c r="I14" s="46"/>
      <c r="J14" s="44"/>
      <c r="K14" s="46"/>
      <c r="L14" s="46"/>
      <c r="M14" s="48"/>
    </row>
    <row r="15" spans="1:13" s="1" customFormat="1" ht="13.5" customHeight="1">
      <c r="A15" s="52">
        <v>7</v>
      </c>
      <c r="B15" s="36" t="s">
        <v>240</v>
      </c>
      <c r="C15" s="37"/>
      <c r="D15" s="38"/>
      <c r="E15" s="39"/>
      <c r="F15" s="39"/>
      <c r="G15" s="40"/>
      <c r="H15" s="27">
        <f>SUM(I15)-2.5</f>
        <v>24</v>
      </c>
      <c r="I15" s="27">
        <f>SUM(J15)-2.5</f>
        <v>26.5</v>
      </c>
      <c r="J15" s="43">
        <v>29</v>
      </c>
      <c r="K15" s="45">
        <f>SUM(J15)+2.5</f>
        <v>31.5</v>
      </c>
      <c r="L15" s="45">
        <f t="shared" ref="L15" si="3">SUM(K15)+2.5</f>
        <v>34</v>
      </c>
      <c r="M15" s="47"/>
    </row>
    <row r="16" spans="1:13" s="1" customFormat="1" ht="14.1" customHeight="1">
      <c r="A16" s="53"/>
      <c r="B16" s="46" t="s">
        <v>241</v>
      </c>
      <c r="C16" s="46"/>
      <c r="D16" s="212" t="s">
        <v>242</v>
      </c>
      <c r="E16" s="213"/>
      <c r="F16" s="213"/>
      <c r="G16" s="214"/>
      <c r="H16" s="46"/>
      <c r="I16" s="46"/>
      <c r="J16" s="44"/>
      <c r="K16" s="46"/>
      <c r="L16" s="46"/>
      <c r="M16" s="48"/>
    </row>
    <row r="17" spans="1:13" ht="14.1" customHeight="1">
      <c r="A17" s="52">
        <v>8</v>
      </c>
      <c r="B17" s="36"/>
      <c r="C17" s="37"/>
      <c r="D17" s="38"/>
      <c r="E17" s="39"/>
      <c r="F17" s="39"/>
      <c r="G17" s="40"/>
      <c r="H17" s="27"/>
      <c r="I17" s="27"/>
      <c r="J17" s="43"/>
      <c r="K17" s="45"/>
      <c r="L17" s="45"/>
      <c r="M17" s="47"/>
    </row>
    <row r="18" spans="1:13" ht="14.1" customHeight="1" thickBot="1">
      <c r="A18" s="35"/>
      <c r="B18" s="28"/>
      <c r="C18" s="28"/>
      <c r="D18" s="31"/>
      <c r="E18" s="32"/>
      <c r="F18" s="32"/>
      <c r="G18" s="33"/>
      <c r="H18" s="28"/>
      <c r="I18" s="28"/>
      <c r="J18" s="42"/>
      <c r="K18" s="28"/>
      <c r="L18" s="28"/>
      <c r="M18" s="160"/>
    </row>
    <row r="19" spans="1:13" ht="14.1" customHeight="1"/>
    <row r="20" spans="1:13" ht="14.1" customHeight="1"/>
    <row r="21" spans="1:13" ht="14.1" customHeight="1"/>
    <row r="22" spans="1:13" ht="14.1" customHeight="1"/>
    <row r="23" spans="1:13" ht="14.1" customHeight="1"/>
    <row r="24" spans="1:13" ht="14.1" customHeight="1"/>
    <row r="25" spans="1:13" ht="14.1" customHeight="1"/>
    <row r="26" spans="1:13" ht="14.1" customHeight="1"/>
    <row r="27" spans="1:13" ht="14.1" customHeight="1"/>
    <row r="28" spans="1:13" ht="14.1" customHeight="1"/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9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A7:A8"/>
    <mergeCell ref="B7:C7"/>
    <mergeCell ref="D7:G7"/>
    <mergeCell ref="H7:H8"/>
    <mergeCell ref="I7:I8"/>
    <mergeCell ref="K5:K6"/>
    <mergeCell ref="L5:L6"/>
    <mergeCell ref="M5:M6"/>
    <mergeCell ref="B6:C6"/>
    <mergeCell ref="D6:G6"/>
    <mergeCell ref="J5:J6"/>
    <mergeCell ref="K7:K8"/>
    <mergeCell ref="L7:L8"/>
    <mergeCell ref="M7:M8"/>
    <mergeCell ref="B8:C8"/>
    <mergeCell ref="D8:G8"/>
    <mergeCell ref="J7:J8"/>
    <mergeCell ref="A9:A10"/>
    <mergeCell ref="B9:C9"/>
    <mergeCell ref="D9:G9"/>
    <mergeCell ref="H9:H10"/>
    <mergeCell ref="I9:I10"/>
    <mergeCell ref="A11:A12"/>
    <mergeCell ref="B11:C11"/>
    <mergeCell ref="D11:G11"/>
    <mergeCell ref="H11:H12"/>
    <mergeCell ref="I11:I12"/>
    <mergeCell ref="K9:K10"/>
    <mergeCell ref="L9:L10"/>
    <mergeCell ref="M9:M10"/>
    <mergeCell ref="B10:C10"/>
    <mergeCell ref="D10:G10"/>
    <mergeCell ref="J9:J10"/>
    <mergeCell ref="J11:J12"/>
    <mergeCell ref="K11:K12"/>
    <mergeCell ref="L11:L12"/>
    <mergeCell ref="M11:M12"/>
    <mergeCell ref="B12:C12"/>
    <mergeCell ref="D12:G12"/>
    <mergeCell ref="A13:A14"/>
    <mergeCell ref="B13:C13"/>
    <mergeCell ref="D13:G13"/>
    <mergeCell ref="H13:H14"/>
    <mergeCell ref="I13:I14"/>
    <mergeCell ref="K13:K14"/>
    <mergeCell ref="L13:L14"/>
    <mergeCell ref="M13:M14"/>
    <mergeCell ref="B14:C14"/>
    <mergeCell ref="D14:G14"/>
    <mergeCell ref="J13:J14"/>
    <mergeCell ref="A17:A18"/>
    <mergeCell ref="B15:C15"/>
    <mergeCell ref="D15:G15"/>
    <mergeCell ref="H15:H16"/>
    <mergeCell ref="I15:I16"/>
    <mergeCell ref="A15:A16"/>
    <mergeCell ref="K15:K16"/>
    <mergeCell ref="L15:L16"/>
    <mergeCell ref="M15:M16"/>
    <mergeCell ref="B16:C16"/>
    <mergeCell ref="D16:G16"/>
    <mergeCell ref="J15:J16"/>
    <mergeCell ref="J17:J18"/>
    <mergeCell ref="K17:K18"/>
    <mergeCell ref="L17:L18"/>
    <mergeCell ref="M17:M18"/>
    <mergeCell ref="B18:C18"/>
    <mergeCell ref="D18:G18"/>
    <mergeCell ref="B17:C17"/>
    <mergeCell ref="D17:G17"/>
    <mergeCell ref="H17:H18"/>
    <mergeCell ref="I17:I1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B273-E4EB-401B-A925-BF8B4CA90AF1}">
  <sheetPr codeName="Sheet12">
    <tabColor theme="5"/>
    <pageSetUpPr fitToPage="1"/>
  </sheetPr>
  <dimension ref="A1:N51"/>
  <sheetViews>
    <sheetView zoomScale="110" zoomScaleNormal="110" workbookViewId="0">
      <selection sqref="A1:N16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4" width="5.5" customWidth="1"/>
  </cols>
  <sheetData>
    <row r="1" spans="1:14" ht="16.5" customHeight="1" thickBot="1">
      <c r="A1" s="175" t="s">
        <v>249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  <c r="N2" s="10" t="s">
        <v>134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27">
        <f>SUM(I3)-3</f>
        <v>47</v>
      </c>
      <c r="I3" s="27">
        <f>SUM(J3)-3</f>
        <v>50</v>
      </c>
      <c r="J3" s="95">
        <v>53</v>
      </c>
      <c r="K3" s="96">
        <f>SUM(J3)+3</f>
        <v>56</v>
      </c>
      <c r="L3" s="96">
        <f t="shared" ref="L3:N3" si="0">SUM(K3)+3</f>
        <v>59</v>
      </c>
      <c r="M3" s="96">
        <f t="shared" si="0"/>
        <v>62</v>
      </c>
      <c r="N3" s="97">
        <f t="shared" si="0"/>
        <v>65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46"/>
      <c r="I4" s="46"/>
      <c r="J4" s="44"/>
      <c r="K4" s="46"/>
      <c r="L4" s="46"/>
      <c r="M4" s="46"/>
      <c r="N4" s="48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27">
        <f>SUM(I5)-1</f>
        <v>13.5</v>
      </c>
      <c r="I5" s="27">
        <f>SUM(J5)-1</f>
        <v>14.5</v>
      </c>
      <c r="J5" s="43">
        <v>15.5</v>
      </c>
      <c r="K5" s="45">
        <f>SUM(J5)+1</f>
        <v>16.5</v>
      </c>
      <c r="L5" s="45">
        <f t="shared" ref="L5:N5" si="1">SUM(K5)+1</f>
        <v>17.5</v>
      </c>
      <c r="M5" s="45">
        <f t="shared" si="1"/>
        <v>18.5</v>
      </c>
      <c r="N5" s="47">
        <f t="shared" si="1"/>
        <v>19.5</v>
      </c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46"/>
      <c r="I6" s="46"/>
      <c r="J6" s="44"/>
      <c r="K6" s="46"/>
      <c r="L6" s="46"/>
      <c r="M6" s="46"/>
      <c r="N6" s="48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27">
        <f>SUM(I7)-2</f>
        <v>33.5</v>
      </c>
      <c r="I7" s="27">
        <f>SUM(J7)-2</f>
        <v>35.5</v>
      </c>
      <c r="J7" s="43">
        <v>37.5</v>
      </c>
      <c r="K7" s="45">
        <f>SUM(J7)+2</f>
        <v>39.5</v>
      </c>
      <c r="L7" s="45">
        <f t="shared" ref="L7:N7" si="2">SUM(K7)+2</f>
        <v>41.5</v>
      </c>
      <c r="M7" s="45">
        <f t="shared" si="2"/>
        <v>43.5</v>
      </c>
      <c r="N7" s="47">
        <f t="shared" si="2"/>
        <v>45.5</v>
      </c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46"/>
      <c r="I8" s="46"/>
      <c r="J8" s="44"/>
      <c r="K8" s="46"/>
      <c r="L8" s="46"/>
      <c r="M8" s="46"/>
      <c r="N8" s="48"/>
    </row>
    <row r="9" spans="1:14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7">
        <f>SUM(I9)-2</f>
        <v>37.5</v>
      </c>
      <c r="I9" s="27">
        <f>SUM(J9)-2</f>
        <v>39.5</v>
      </c>
      <c r="J9" s="43">
        <v>41.5</v>
      </c>
      <c r="K9" s="45">
        <f>SUM(J9)+2</f>
        <v>43.5</v>
      </c>
      <c r="L9" s="45">
        <f t="shared" ref="L9:N9" si="3">SUM(K9)+2</f>
        <v>45.5</v>
      </c>
      <c r="M9" s="45">
        <f t="shared" si="3"/>
        <v>47.5</v>
      </c>
      <c r="N9" s="47">
        <f t="shared" si="3"/>
        <v>49.5</v>
      </c>
    </row>
    <row r="10" spans="1:14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46"/>
      <c r="I10" s="46"/>
      <c r="J10" s="44"/>
      <c r="K10" s="46"/>
      <c r="L10" s="46"/>
      <c r="M10" s="46"/>
      <c r="N10" s="48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27">
        <f>SUM(I11)-4.5</f>
        <v>63</v>
      </c>
      <c r="I11" s="27">
        <f>SUM(J11)-4.5</f>
        <v>67.5</v>
      </c>
      <c r="J11" s="43">
        <v>72</v>
      </c>
      <c r="K11" s="45">
        <f>SUM(J11)+4.5</f>
        <v>76.5</v>
      </c>
      <c r="L11" s="45">
        <f t="shared" ref="L11:N11" si="4">SUM(K11)+4.5</f>
        <v>81</v>
      </c>
      <c r="M11" s="45">
        <f t="shared" si="4"/>
        <v>85.5</v>
      </c>
      <c r="N11" s="47">
        <f t="shared" si="4"/>
        <v>90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46"/>
      <c r="I12" s="46"/>
      <c r="J12" s="44"/>
      <c r="K12" s="46"/>
      <c r="L12" s="46"/>
      <c r="M12" s="46"/>
      <c r="N12" s="48"/>
    </row>
    <row r="13" spans="1:14" s="1" customFormat="1" ht="14.1" customHeight="1">
      <c r="A13" s="52">
        <v>6</v>
      </c>
      <c r="B13" s="36" t="s">
        <v>209</v>
      </c>
      <c r="C13" s="37"/>
      <c r="D13" s="38" t="s">
        <v>69</v>
      </c>
      <c r="E13" s="39"/>
      <c r="F13" s="39"/>
      <c r="G13" s="40"/>
      <c r="H13" s="27">
        <f>SUM(I13)-2.5</f>
        <v>23.7</v>
      </c>
      <c r="I13" s="27">
        <f>SUM(J13)-2.5</f>
        <v>26.2</v>
      </c>
      <c r="J13" s="41">
        <v>28.7</v>
      </c>
      <c r="K13" s="27">
        <f>SUM(J13)+2.5</f>
        <v>31.2</v>
      </c>
      <c r="L13" s="27">
        <f t="shared" ref="L13:N13" si="5">SUM(K13)+2.5</f>
        <v>33.700000000000003</v>
      </c>
      <c r="M13" s="27">
        <f t="shared" si="5"/>
        <v>36.200000000000003</v>
      </c>
      <c r="N13" s="62">
        <f t="shared" si="5"/>
        <v>38.700000000000003</v>
      </c>
    </row>
    <row r="14" spans="1:14" s="1" customFormat="1" ht="14.1" customHeight="1">
      <c r="A14" s="53"/>
      <c r="B14" s="57" t="s">
        <v>210</v>
      </c>
      <c r="C14" s="58"/>
      <c r="D14" s="49" t="s">
        <v>243</v>
      </c>
      <c r="E14" s="50"/>
      <c r="F14" s="50"/>
      <c r="G14" s="51"/>
      <c r="H14" s="46"/>
      <c r="I14" s="46"/>
      <c r="J14" s="44"/>
      <c r="K14" s="46"/>
      <c r="L14" s="46"/>
      <c r="M14" s="46"/>
      <c r="N14" s="48"/>
    </row>
    <row r="15" spans="1:14" s="1" customFormat="1" ht="14.1" customHeight="1">
      <c r="A15" s="52">
        <v>7</v>
      </c>
      <c r="B15" s="153"/>
      <c r="C15" s="153"/>
      <c r="D15" s="154"/>
      <c r="E15" s="154"/>
      <c r="F15" s="154"/>
      <c r="G15" s="154"/>
      <c r="H15" s="215"/>
      <c r="I15" s="45"/>
      <c r="J15" s="43"/>
      <c r="K15" s="45"/>
      <c r="L15" s="45"/>
      <c r="M15" s="45"/>
      <c r="N15" s="47"/>
    </row>
    <row r="16" spans="1:14" s="1" customFormat="1" ht="14.1" customHeight="1" thickBot="1">
      <c r="A16" s="35"/>
      <c r="B16" s="118"/>
      <c r="C16" s="118"/>
      <c r="D16" s="119"/>
      <c r="E16" s="120"/>
      <c r="F16" s="120"/>
      <c r="G16" s="121"/>
      <c r="H16" s="178"/>
      <c r="I16" s="28"/>
      <c r="J16" s="42"/>
      <c r="K16" s="28"/>
      <c r="L16" s="28"/>
      <c r="M16" s="28"/>
      <c r="N16" s="160"/>
    </row>
    <row r="17" ht="14.1" customHeight="1"/>
    <row r="18" ht="14.1" customHeight="1"/>
    <row r="19" ht="14.1" customHeight="1"/>
    <row r="20" ht="14.1" customHeight="1"/>
    <row r="21" ht="14.1" customHeight="1"/>
    <row r="22" ht="14.1" customHeight="1"/>
    <row r="23" ht="14.1" customHeight="1"/>
    <row r="24" ht="14.1" customHeight="1"/>
    <row r="25" ht="14.1" customHeight="1"/>
    <row r="26" ht="14.1" customHeight="1"/>
    <row r="27" ht="14.1" customHeight="1"/>
    <row r="28" ht="14.1" customHeight="1"/>
    <row r="29" ht="14.1" customHeight="1"/>
    <row r="30" ht="14.1" customHeight="1"/>
    <row r="31" ht="14.1" customHeight="1"/>
    <row r="32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87">
    <mergeCell ref="M3:M4"/>
    <mergeCell ref="B4:C4"/>
    <mergeCell ref="D4:G4"/>
    <mergeCell ref="H3:H4"/>
    <mergeCell ref="I3:I4"/>
    <mergeCell ref="J3:J4"/>
    <mergeCell ref="K3:K4"/>
    <mergeCell ref="L3:L4"/>
    <mergeCell ref="B2:C2"/>
    <mergeCell ref="D2:G2"/>
    <mergeCell ref="A3:A4"/>
    <mergeCell ref="B3:C3"/>
    <mergeCell ref="D3:G3"/>
    <mergeCell ref="A5:A6"/>
    <mergeCell ref="B5:C5"/>
    <mergeCell ref="D5:G5"/>
    <mergeCell ref="H5:H6"/>
    <mergeCell ref="I5:I6"/>
    <mergeCell ref="A7:A8"/>
    <mergeCell ref="B7:C7"/>
    <mergeCell ref="D7:G7"/>
    <mergeCell ref="H7:H8"/>
    <mergeCell ref="I7:I8"/>
    <mergeCell ref="K5:K6"/>
    <mergeCell ref="L5:L6"/>
    <mergeCell ref="M5:M6"/>
    <mergeCell ref="B6:C6"/>
    <mergeCell ref="D6:G6"/>
    <mergeCell ref="J5:J6"/>
    <mergeCell ref="K7:K8"/>
    <mergeCell ref="L7:L8"/>
    <mergeCell ref="M7:M8"/>
    <mergeCell ref="B8:C8"/>
    <mergeCell ref="D8:G8"/>
    <mergeCell ref="J7:J8"/>
    <mergeCell ref="A9:A10"/>
    <mergeCell ref="B9:C9"/>
    <mergeCell ref="D9:G9"/>
    <mergeCell ref="H9:H10"/>
    <mergeCell ref="I9:I10"/>
    <mergeCell ref="A11:A12"/>
    <mergeCell ref="B11:C11"/>
    <mergeCell ref="D11:G11"/>
    <mergeCell ref="H11:H12"/>
    <mergeCell ref="I11:I12"/>
    <mergeCell ref="K9:K10"/>
    <mergeCell ref="L9:L10"/>
    <mergeCell ref="M9:M10"/>
    <mergeCell ref="B10:C10"/>
    <mergeCell ref="D10:G10"/>
    <mergeCell ref="J9:J10"/>
    <mergeCell ref="J11:J12"/>
    <mergeCell ref="K11:K12"/>
    <mergeCell ref="L11:L12"/>
    <mergeCell ref="M11:M12"/>
    <mergeCell ref="B12:C12"/>
    <mergeCell ref="D12:G12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N9:N10"/>
    <mergeCell ref="N11:N12"/>
    <mergeCell ref="N13:N14"/>
    <mergeCell ref="N15:N16"/>
    <mergeCell ref="A1:N1"/>
    <mergeCell ref="N3:N4"/>
    <mergeCell ref="N5:N6"/>
    <mergeCell ref="N7:N8"/>
    <mergeCell ref="J15:J16"/>
    <mergeCell ref="K15:K16"/>
    <mergeCell ref="L15:L16"/>
    <mergeCell ref="M15:M16"/>
    <mergeCell ref="B16:C16"/>
    <mergeCell ref="D16:G16"/>
    <mergeCell ref="K13:K14"/>
    <mergeCell ref="L13:L1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E2A3-1E76-4D30-B219-178332B90A35}">
  <sheetPr codeName="Sheet13">
    <tabColor theme="5"/>
    <pageSetUpPr fitToPage="1"/>
  </sheetPr>
  <dimension ref="A1:M51"/>
  <sheetViews>
    <sheetView zoomScale="110" zoomScaleNormal="110" workbookViewId="0">
      <selection activeCell="P10" sqref="P10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3" width="5.5" customWidth="1"/>
  </cols>
  <sheetData>
    <row r="1" spans="1:13" ht="16.5" customHeight="1" thickBot="1">
      <c r="A1" s="85" t="s">
        <v>281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27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 t="shared" ref="L3:M3" si="0">SUM(K3)+3</f>
        <v>57</v>
      </c>
      <c r="M3" s="97">
        <f t="shared" si="0"/>
        <v>60</v>
      </c>
    </row>
    <row r="4" spans="1:13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46"/>
      <c r="I4" s="46"/>
      <c r="J4" s="44"/>
      <c r="K4" s="46"/>
      <c r="L4" s="46"/>
      <c r="M4" s="48"/>
    </row>
    <row r="5" spans="1:13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27"/>
      <c r="I5" s="27"/>
      <c r="J5" s="43"/>
      <c r="K5" s="45"/>
      <c r="L5" s="215"/>
      <c r="M5" s="151"/>
    </row>
    <row r="6" spans="1:13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46"/>
      <c r="I6" s="46"/>
      <c r="J6" s="44"/>
      <c r="K6" s="46"/>
      <c r="L6" s="164"/>
      <c r="M6" s="132"/>
    </row>
    <row r="7" spans="1:13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27"/>
      <c r="I7" s="27"/>
      <c r="J7" s="43"/>
      <c r="K7" s="45"/>
      <c r="L7" s="215"/>
      <c r="M7" s="151"/>
    </row>
    <row r="8" spans="1:13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46"/>
      <c r="I8" s="46"/>
      <c r="J8" s="44"/>
      <c r="K8" s="46"/>
      <c r="L8" s="164"/>
      <c r="M8" s="132"/>
    </row>
    <row r="9" spans="1:13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7"/>
      <c r="I9" s="27"/>
      <c r="J9" s="43"/>
      <c r="K9" s="45"/>
      <c r="L9" s="215"/>
      <c r="M9" s="151"/>
    </row>
    <row r="10" spans="1:13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46"/>
      <c r="I10" s="46"/>
      <c r="J10" s="44"/>
      <c r="K10" s="46"/>
      <c r="L10" s="164"/>
      <c r="M10" s="132"/>
    </row>
    <row r="11" spans="1:13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SUM(I11)-4.5</f>
        <v>65</v>
      </c>
      <c r="I11" s="27">
        <f>SUM(J11)-4.5</f>
        <v>69.5</v>
      </c>
      <c r="J11" s="43">
        <v>74</v>
      </c>
      <c r="K11" s="45">
        <f>SUM(J11)+4.5</f>
        <v>78.5</v>
      </c>
      <c r="L11" s="45">
        <f t="shared" ref="L11:M11" si="1">SUM(K11)+4.5</f>
        <v>83</v>
      </c>
      <c r="M11" s="47">
        <f t="shared" si="1"/>
        <v>87.5</v>
      </c>
    </row>
    <row r="12" spans="1:13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48"/>
    </row>
    <row r="13" spans="1:13" s="1" customFormat="1" ht="14.1" customHeight="1">
      <c r="A13" s="52">
        <v>6</v>
      </c>
      <c r="B13" s="36" t="s">
        <v>203</v>
      </c>
      <c r="C13" s="37"/>
      <c r="D13" s="38"/>
      <c r="E13" s="39"/>
      <c r="F13" s="39"/>
      <c r="G13" s="40"/>
      <c r="H13" s="27">
        <f>SUM(I13)-2.5</f>
        <v>25.3</v>
      </c>
      <c r="I13" s="27">
        <f>SUM(J13)-2.5</f>
        <v>27.8</v>
      </c>
      <c r="J13" s="43">
        <v>30.3</v>
      </c>
      <c r="K13" s="45">
        <f>SUM(J13)+2.5</f>
        <v>32.799999999999997</v>
      </c>
      <c r="L13" s="45">
        <f t="shared" ref="L13:M13" si="2">SUM(K13)+2.5</f>
        <v>35.299999999999997</v>
      </c>
      <c r="M13" s="47">
        <f t="shared" si="2"/>
        <v>37.799999999999997</v>
      </c>
    </row>
    <row r="14" spans="1:13" s="1" customFormat="1" ht="14.1" customHeight="1">
      <c r="A14" s="53"/>
      <c r="B14" s="46" t="s">
        <v>204</v>
      </c>
      <c r="C14" s="46"/>
      <c r="D14" s="49" t="s">
        <v>205</v>
      </c>
      <c r="E14" s="50"/>
      <c r="F14" s="50"/>
      <c r="G14" s="51"/>
      <c r="H14" s="46"/>
      <c r="I14" s="46"/>
      <c r="J14" s="44"/>
      <c r="K14" s="46"/>
      <c r="L14" s="46"/>
      <c r="M14" s="48"/>
    </row>
    <row r="15" spans="1:13" s="1" customFormat="1" ht="14.1" customHeight="1">
      <c r="A15" s="52">
        <v>7</v>
      </c>
      <c r="B15" s="36" t="s">
        <v>212</v>
      </c>
      <c r="C15" s="37"/>
      <c r="D15" s="38"/>
      <c r="E15" s="39"/>
      <c r="F15" s="39"/>
      <c r="G15" s="40"/>
      <c r="H15" s="27">
        <f>SUM(I15)-0.9</f>
        <v>6.1999999999999993</v>
      </c>
      <c r="I15" s="27">
        <f>SUM(J15)-0.9</f>
        <v>7.1</v>
      </c>
      <c r="J15" s="43">
        <v>8</v>
      </c>
      <c r="K15" s="45">
        <f>SUM(J15)+0.4</f>
        <v>8.4</v>
      </c>
      <c r="L15" s="45">
        <f t="shared" ref="L15:M15" si="3">SUM(K15)+0.9</f>
        <v>9.3000000000000007</v>
      </c>
      <c r="M15" s="47">
        <f t="shared" si="3"/>
        <v>10.200000000000001</v>
      </c>
    </row>
    <row r="16" spans="1:13" s="1" customFormat="1" ht="14.1" customHeight="1">
      <c r="A16" s="53"/>
      <c r="B16" s="46" t="s">
        <v>282</v>
      </c>
      <c r="C16" s="46"/>
      <c r="D16" s="49" t="s">
        <v>283</v>
      </c>
      <c r="E16" s="50"/>
      <c r="F16" s="50"/>
      <c r="G16" s="51"/>
      <c r="H16" s="46"/>
      <c r="I16" s="46"/>
      <c r="J16" s="44"/>
      <c r="K16" s="46"/>
      <c r="L16" s="46"/>
      <c r="M16" s="48"/>
    </row>
    <row r="17" spans="1:13" ht="14.1" customHeight="1">
      <c r="A17" s="52">
        <v>8</v>
      </c>
      <c r="B17" s="36" t="s">
        <v>214</v>
      </c>
      <c r="C17" s="37"/>
      <c r="D17" s="38"/>
      <c r="E17" s="39"/>
      <c r="F17" s="39"/>
      <c r="G17" s="40"/>
      <c r="H17" s="27">
        <f>SUM(I17)-0.8</f>
        <v>7.8999999999999995</v>
      </c>
      <c r="I17" s="27">
        <f>SUM(J17)-0.8</f>
        <v>8.6999999999999993</v>
      </c>
      <c r="J17" s="43">
        <v>9.5</v>
      </c>
      <c r="K17" s="45">
        <f>SUM(J17)+0.8</f>
        <v>10.3</v>
      </c>
      <c r="L17" s="45">
        <f>SUM(K17)+0.8</f>
        <v>11.100000000000001</v>
      </c>
      <c r="M17" s="47">
        <f>SUM(L17)+0.8</f>
        <v>11.900000000000002</v>
      </c>
    </row>
    <row r="18" spans="1:13" ht="14.1" customHeight="1">
      <c r="A18" s="53"/>
      <c r="B18" s="46" t="s">
        <v>284</v>
      </c>
      <c r="C18" s="46"/>
      <c r="D18" s="49" t="s">
        <v>285</v>
      </c>
      <c r="E18" s="50"/>
      <c r="F18" s="50"/>
      <c r="G18" s="51"/>
      <c r="H18" s="46"/>
      <c r="I18" s="46"/>
      <c r="J18" s="44"/>
      <c r="K18" s="46"/>
      <c r="L18" s="46"/>
      <c r="M18" s="48"/>
    </row>
    <row r="19" spans="1:13" ht="14.1" customHeight="1">
      <c r="A19" s="52">
        <v>9</v>
      </c>
      <c r="B19" s="36" t="s">
        <v>245</v>
      </c>
      <c r="C19" s="37"/>
      <c r="D19" s="38"/>
      <c r="E19" s="39"/>
      <c r="F19" s="39"/>
      <c r="G19" s="40"/>
      <c r="H19" s="27">
        <f>SUM(I19)-0.8</f>
        <v>7.8999999999999995</v>
      </c>
      <c r="I19" s="27">
        <f>SUM(J19)-0.8</f>
        <v>8.6999999999999993</v>
      </c>
      <c r="J19" s="43">
        <v>9.5</v>
      </c>
      <c r="K19" s="45">
        <f>SUM(J19)+0.8</f>
        <v>10.3</v>
      </c>
      <c r="L19" s="45">
        <f>SUM(K19)+0.8</f>
        <v>11.100000000000001</v>
      </c>
      <c r="M19" s="47">
        <f>SUM(L19)+0.8</f>
        <v>11.900000000000002</v>
      </c>
    </row>
    <row r="20" spans="1:13" ht="14.1" customHeight="1">
      <c r="A20" s="53"/>
      <c r="B20" s="46" t="s">
        <v>286</v>
      </c>
      <c r="C20" s="46"/>
      <c r="D20" s="49" t="s">
        <v>285</v>
      </c>
      <c r="E20" s="50"/>
      <c r="F20" s="50"/>
      <c r="G20" s="51"/>
      <c r="H20" s="46"/>
      <c r="I20" s="46"/>
      <c r="J20" s="44"/>
      <c r="K20" s="46"/>
      <c r="L20" s="46"/>
      <c r="M20" s="48"/>
    </row>
    <row r="21" spans="1:13" ht="14.1" customHeight="1">
      <c r="A21" s="34">
        <v>10</v>
      </c>
      <c r="B21" s="36"/>
      <c r="C21" s="37"/>
      <c r="D21" s="38"/>
      <c r="E21" s="39"/>
      <c r="F21" s="39"/>
      <c r="G21" s="40"/>
      <c r="H21" s="27"/>
      <c r="I21" s="27"/>
      <c r="J21" s="41"/>
      <c r="K21" s="27"/>
      <c r="L21" s="27"/>
      <c r="M21" s="62"/>
    </row>
    <row r="22" spans="1:13" ht="14.1" customHeight="1" thickBot="1">
      <c r="A22" s="35"/>
      <c r="B22" s="28"/>
      <c r="C22" s="28"/>
      <c r="D22" s="31"/>
      <c r="E22" s="32"/>
      <c r="F22" s="32"/>
      <c r="G22" s="33"/>
      <c r="H22" s="28"/>
      <c r="I22" s="28"/>
      <c r="J22" s="42"/>
      <c r="K22" s="28"/>
      <c r="L22" s="28"/>
      <c r="M22" s="160"/>
    </row>
    <row r="23" spans="1:13" ht="14.1" customHeight="1"/>
    <row r="24" spans="1:13" ht="14.1" customHeight="1"/>
    <row r="25" spans="1:13" ht="14.1" customHeight="1"/>
    <row r="26" spans="1:13" ht="14.1" customHeight="1"/>
    <row r="27" spans="1:13" ht="14.1" customHeight="1"/>
    <row r="28" spans="1:13" ht="14.1" customHeight="1"/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13">
    <mergeCell ref="J21:J22"/>
    <mergeCell ref="K21:K22"/>
    <mergeCell ref="L21:L22"/>
    <mergeCell ref="M21:M22"/>
    <mergeCell ref="B22:C22"/>
    <mergeCell ref="D22:G22"/>
    <mergeCell ref="K17:K18"/>
    <mergeCell ref="L17:L18"/>
    <mergeCell ref="M17:M18"/>
    <mergeCell ref="B18:C18"/>
    <mergeCell ref="D18:G18"/>
    <mergeCell ref="J17:J18"/>
    <mergeCell ref="K19:K20"/>
    <mergeCell ref="L19:L20"/>
    <mergeCell ref="M19:M20"/>
    <mergeCell ref="B20:C20"/>
    <mergeCell ref="D20:G20"/>
    <mergeCell ref="B19:C19"/>
    <mergeCell ref="D19:G19"/>
    <mergeCell ref="H19:H20"/>
    <mergeCell ref="I19:I20"/>
    <mergeCell ref="J19:J20"/>
    <mergeCell ref="A21:A22"/>
    <mergeCell ref="B21:C21"/>
    <mergeCell ref="D21:G21"/>
    <mergeCell ref="H21:H22"/>
    <mergeCell ref="I21:I22"/>
    <mergeCell ref="A17:A18"/>
    <mergeCell ref="B17:C17"/>
    <mergeCell ref="D17:G17"/>
    <mergeCell ref="H17:H18"/>
    <mergeCell ref="I17:I18"/>
    <mergeCell ref="A19:A20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E4F5-2C60-481E-BC20-C7DC2E3D9EBA}">
  <sheetPr codeName="Sheet14">
    <tabColor theme="5"/>
    <pageSetUpPr fitToPage="1"/>
  </sheetPr>
  <dimension ref="A1:N51"/>
  <sheetViews>
    <sheetView zoomScale="110" zoomScaleNormal="110" workbookViewId="0">
      <selection sqref="A1:N26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4" width="5.5" customWidth="1"/>
  </cols>
  <sheetData>
    <row r="1" spans="1:14" ht="16.5" customHeight="1" thickBot="1">
      <c r="A1" s="175" t="s">
        <v>271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26" t="s">
        <v>124</v>
      </c>
      <c r="N2" s="10" t="s">
        <v>134</v>
      </c>
    </row>
    <row r="3" spans="1:14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27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6">
        <f>SUM(L3)+3</f>
        <v>60</v>
      </c>
      <c r="N3" s="97">
        <f>SUM(M3)+3</f>
        <v>63</v>
      </c>
    </row>
    <row r="4" spans="1:14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46"/>
      <c r="I4" s="46"/>
      <c r="J4" s="44"/>
      <c r="K4" s="46"/>
      <c r="L4" s="46"/>
      <c r="M4" s="46"/>
      <c r="N4" s="48"/>
    </row>
    <row r="5" spans="1:14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27"/>
      <c r="I5" s="27"/>
      <c r="J5" s="43"/>
      <c r="K5" s="45"/>
      <c r="L5" s="45"/>
      <c r="M5" s="45"/>
      <c r="N5" s="47"/>
    </row>
    <row r="6" spans="1:14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46"/>
      <c r="I6" s="46"/>
      <c r="J6" s="44"/>
      <c r="K6" s="46"/>
      <c r="L6" s="46"/>
      <c r="M6" s="46"/>
      <c r="N6" s="48"/>
    </row>
    <row r="7" spans="1:14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27"/>
      <c r="I7" s="27"/>
      <c r="J7" s="43"/>
      <c r="K7" s="45"/>
      <c r="L7" s="45"/>
      <c r="M7" s="45"/>
      <c r="N7" s="47"/>
    </row>
    <row r="8" spans="1:14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46"/>
      <c r="I8" s="46"/>
      <c r="J8" s="44"/>
      <c r="K8" s="46"/>
      <c r="L8" s="46"/>
      <c r="M8" s="46"/>
      <c r="N8" s="48"/>
    </row>
    <row r="9" spans="1:14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7"/>
      <c r="I9" s="27"/>
      <c r="J9" s="43"/>
      <c r="K9" s="45"/>
      <c r="L9" s="45"/>
      <c r="M9" s="27"/>
      <c r="N9" s="62"/>
    </row>
    <row r="10" spans="1:14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46"/>
      <c r="I10" s="46"/>
      <c r="J10" s="44"/>
      <c r="K10" s="46"/>
      <c r="L10" s="46"/>
      <c r="M10" s="46"/>
      <c r="N10" s="48"/>
    </row>
    <row r="11" spans="1:14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</f>
        <v>46</v>
      </c>
      <c r="I11" s="27">
        <f>SUM(J11)-4</f>
        <v>50</v>
      </c>
      <c r="J11" s="43">
        <v>54</v>
      </c>
      <c r="K11" s="45">
        <f>SUM(J11)+4</f>
        <v>58</v>
      </c>
      <c r="L11" s="45">
        <f>SUM(K11)+4</f>
        <v>62</v>
      </c>
      <c r="M11" s="45">
        <f>SUM(L11)+4</f>
        <v>66</v>
      </c>
      <c r="N11" s="47">
        <f>SUM(M11)+4</f>
        <v>70</v>
      </c>
    </row>
    <row r="12" spans="1:14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46"/>
      <c r="N12" s="48"/>
    </row>
    <row r="13" spans="1:14" s="1" customFormat="1" ht="14.1" customHeight="1">
      <c r="A13" s="52">
        <v>6</v>
      </c>
      <c r="B13" s="36" t="s">
        <v>203</v>
      </c>
      <c r="C13" s="37"/>
      <c r="D13" s="38"/>
      <c r="E13" s="39"/>
      <c r="F13" s="39"/>
      <c r="G13" s="40"/>
      <c r="H13" s="27">
        <f>SUM(I13)-2.5</f>
        <v>24</v>
      </c>
      <c r="I13" s="27">
        <f>SUM(J13)-2.5</f>
        <v>26.5</v>
      </c>
      <c r="J13" s="43">
        <v>29</v>
      </c>
      <c r="K13" s="45">
        <f>SUM(J13)+2.5</f>
        <v>31.5</v>
      </c>
      <c r="L13" s="45">
        <f>SUM(K13)+2.5</f>
        <v>34</v>
      </c>
      <c r="M13" s="45">
        <f>SUM(L13)+2.5</f>
        <v>36.5</v>
      </c>
      <c r="N13" s="47">
        <f>SUM(M13)+2.5</f>
        <v>39</v>
      </c>
    </row>
    <row r="14" spans="1:14" s="1" customFormat="1" ht="14.1" customHeight="1">
      <c r="A14" s="53"/>
      <c r="B14" s="46" t="s">
        <v>204</v>
      </c>
      <c r="C14" s="46"/>
      <c r="D14" s="49"/>
      <c r="E14" s="50"/>
      <c r="F14" s="50"/>
      <c r="G14" s="51"/>
      <c r="H14" s="46"/>
      <c r="I14" s="46"/>
      <c r="J14" s="44"/>
      <c r="K14" s="46"/>
      <c r="L14" s="46"/>
      <c r="M14" s="46"/>
      <c r="N14" s="48"/>
    </row>
    <row r="15" spans="1:14" s="1" customFormat="1" ht="13.5" customHeight="1">
      <c r="A15" s="52">
        <v>7</v>
      </c>
      <c r="B15" s="36" t="s">
        <v>268</v>
      </c>
      <c r="C15" s="37"/>
      <c r="D15" s="38"/>
      <c r="E15" s="39"/>
      <c r="F15" s="39"/>
      <c r="G15" s="40"/>
      <c r="H15" s="27">
        <f>SUM(I15)-4.8</f>
        <v>56.400000000000006</v>
      </c>
      <c r="I15" s="27">
        <f>SUM(J15)-4.8</f>
        <v>61.2</v>
      </c>
      <c r="J15" s="43">
        <v>66</v>
      </c>
      <c r="K15" s="45">
        <f>SUM(J15)+4.8</f>
        <v>70.8</v>
      </c>
      <c r="L15" s="45">
        <f>SUM(K15)+4.8</f>
        <v>75.599999999999994</v>
      </c>
      <c r="M15" s="45">
        <f>SUM(L15)+4.8</f>
        <v>80.399999999999991</v>
      </c>
      <c r="N15" s="47">
        <f>SUM(M15)+4.8</f>
        <v>85.199999999999989</v>
      </c>
    </row>
    <row r="16" spans="1:14" s="1" customFormat="1" ht="14.1" customHeight="1">
      <c r="A16" s="53"/>
      <c r="B16" s="46" t="s">
        <v>269</v>
      </c>
      <c r="C16" s="46"/>
      <c r="D16" s="49" t="s">
        <v>270</v>
      </c>
      <c r="E16" s="50"/>
      <c r="F16" s="50"/>
      <c r="G16" s="51"/>
      <c r="H16" s="46"/>
      <c r="I16" s="46"/>
      <c r="J16" s="44"/>
      <c r="K16" s="46"/>
      <c r="L16" s="46"/>
      <c r="M16" s="46"/>
      <c r="N16" s="48"/>
    </row>
    <row r="17" spans="1:14" ht="14.1" customHeight="1">
      <c r="A17" s="52">
        <v>8</v>
      </c>
      <c r="B17" s="36" t="s">
        <v>272</v>
      </c>
      <c r="C17" s="37"/>
      <c r="D17" s="38"/>
      <c r="E17" s="39"/>
      <c r="F17" s="39"/>
      <c r="G17" s="40"/>
      <c r="H17" s="27">
        <f>SUM(I17)</f>
        <v>2</v>
      </c>
      <c r="I17" s="27">
        <f>SUM(J17)</f>
        <v>2</v>
      </c>
      <c r="J17" s="43">
        <v>2</v>
      </c>
      <c r="K17" s="45">
        <f>SUM(J17)</f>
        <v>2</v>
      </c>
      <c r="L17" s="45">
        <f>SUM(K17)</f>
        <v>2</v>
      </c>
      <c r="M17" s="45">
        <f>SUM(L17)</f>
        <v>2</v>
      </c>
      <c r="N17" s="47">
        <f>SUM(M17)</f>
        <v>2</v>
      </c>
    </row>
    <row r="18" spans="1:14" ht="14.1" customHeight="1">
      <c r="A18" s="53"/>
      <c r="B18" s="46" t="s">
        <v>273</v>
      </c>
      <c r="C18" s="46"/>
      <c r="D18" s="49"/>
      <c r="E18" s="50"/>
      <c r="F18" s="50"/>
      <c r="G18" s="51"/>
      <c r="H18" s="46"/>
      <c r="I18" s="46"/>
      <c r="J18" s="44"/>
      <c r="K18" s="46"/>
      <c r="L18" s="46"/>
      <c r="M18" s="46"/>
      <c r="N18" s="48"/>
    </row>
    <row r="19" spans="1:14" ht="14.1" customHeight="1">
      <c r="A19" s="52">
        <v>9</v>
      </c>
      <c r="B19" s="36"/>
      <c r="C19" s="37"/>
      <c r="D19" s="76"/>
      <c r="E19" s="77"/>
      <c r="F19" s="77"/>
      <c r="G19" s="78"/>
      <c r="H19" s="98"/>
      <c r="I19" s="27"/>
      <c r="J19" s="41"/>
      <c r="K19" s="27"/>
      <c r="L19" s="27"/>
      <c r="M19" s="98"/>
      <c r="N19" s="202"/>
    </row>
    <row r="20" spans="1:14" ht="14.1" customHeight="1">
      <c r="A20" s="53"/>
      <c r="B20" s="57"/>
      <c r="C20" s="58"/>
      <c r="D20" s="82"/>
      <c r="E20" s="83"/>
      <c r="F20" s="83"/>
      <c r="G20" s="84"/>
      <c r="H20" s="75"/>
      <c r="I20" s="46"/>
      <c r="J20" s="44"/>
      <c r="K20" s="46"/>
      <c r="L20" s="46"/>
      <c r="M20" s="75"/>
      <c r="N20" s="203"/>
    </row>
    <row r="21" spans="1:14" ht="14.1" customHeight="1">
      <c r="A21" s="52">
        <v>10</v>
      </c>
      <c r="B21" s="36"/>
      <c r="C21" s="37"/>
      <c r="D21" s="76"/>
      <c r="E21" s="77"/>
      <c r="F21" s="77"/>
      <c r="G21" s="78"/>
      <c r="H21" s="27"/>
      <c r="I21" s="27"/>
      <c r="J21" s="41"/>
      <c r="K21" s="27"/>
      <c r="L21" s="27"/>
      <c r="M21" s="27"/>
      <c r="N21" s="62"/>
    </row>
    <row r="22" spans="1:14" ht="14.1" customHeight="1">
      <c r="A22" s="53"/>
      <c r="B22" s="57"/>
      <c r="C22" s="58"/>
      <c r="D22" s="82"/>
      <c r="E22" s="83"/>
      <c r="F22" s="83"/>
      <c r="G22" s="84"/>
      <c r="H22" s="46"/>
      <c r="I22" s="46"/>
      <c r="J22" s="44"/>
      <c r="K22" s="46"/>
      <c r="L22" s="46"/>
      <c r="M22" s="46"/>
      <c r="N22" s="48"/>
    </row>
    <row r="23" spans="1:14" ht="14.1" customHeight="1">
      <c r="A23" s="52">
        <v>11</v>
      </c>
      <c r="B23" s="36"/>
      <c r="C23" s="37"/>
      <c r="D23" s="76"/>
      <c r="E23" s="77"/>
      <c r="F23" s="77"/>
      <c r="G23" s="78"/>
      <c r="H23" s="27"/>
      <c r="I23" s="27"/>
      <c r="J23" s="125"/>
      <c r="K23" s="114"/>
      <c r="L23" s="114"/>
      <c r="M23" s="145"/>
      <c r="N23" s="161"/>
    </row>
    <row r="24" spans="1:14" ht="14.1" customHeight="1">
      <c r="A24" s="52"/>
      <c r="B24" s="63"/>
      <c r="C24" s="64"/>
      <c r="D24" s="65"/>
      <c r="E24" s="66"/>
      <c r="F24" s="66"/>
      <c r="G24" s="67"/>
      <c r="H24" s="45"/>
      <c r="I24" s="45"/>
      <c r="J24" s="41"/>
      <c r="K24" s="27"/>
      <c r="L24" s="27"/>
      <c r="M24" s="98"/>
      <c r="N24" s="202"/>
    </row>
    <row r="25" spans="1:14" ht="14.1" customHeight="1">
      <c r="A25" s="34">
        <v>12</v>
      </c>
      <c r="B25" s="36"/>
      <c r="C25" s="37"/>
      <c r="D25" s="76"/>
      <c r="E25" s="77"/>
      <c r="F25" s="77"/>
      <c r="G25" s="78"/>
      <c r="H25" s="27"/>
      <c r="I25" s="27"/>
      <c r="J25" s="41"/>
      <c r="K25" s="27"/>
      <c r="L25" s="27"/>
      <c r="M25" s="27"/>
      <c r="N25" s="62"/>
    </row>
    <row r="26" spans="1:14" ht="14.1" customHeight="1" thickBot="1">
      <c r="A26" s="35"/>
      <c r="B26" s="109"/>
      <c r="C26" s="110"/>
      <c r="D26" s="111"/>
      <c r="E26" s="112"/>
      <c r="F26" s="112"/>
      <c r="G26" s="113"/>
      <c r="H26" s="28"/>
      <c r="I26" s="28"/>
      <c r="J26" s="42"/>
      <c r="K26" s="28"/>
      <c r="L26" s="28"/>
      <c r="M26" s="28"/>
      <c r="N26" s="160"/>
    </row>
    <row r="27" spans="1:14" ht="14.1" customHeight="1"/>
    <row r="28" spans="1:14" ht="14.1" customHeight="1"/>
    <row r="29" spans="1:14" ht="14.1" customHeight="1"/>
    <row r="30" spans="1:14" ht="14.1" customHeight="1"/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47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1:N1"/>
    <mergeCell ref="N3:N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N23:N24"/>
    <mergeCell ref="N25:N26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C638-B8B6-43D9-B2DC-1B492E371A18}">
  <sheetPr codeName="Sheet15">
    <tabColor theme="5"/>
    <pageSetUpPr fitToPage="1"/>
  </sheetPr>
  <dimension ref="A1:M51"/>
  <sheetViews>
    <sheetView zoomScale="110" zoomScaleNormal="110" workbookViewId="0">
      <selection activeCell="D11" sqref="D11:G11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3" width="5.5" customWidth="1"/>
  </cols>
  <sheetData>
    <row r="1" spans="1:13" ht="16.5" customHeight="1" thickBot="1">
      <c r="A1" s="85" t="s">
        <v>279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27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>SUM(K3)+3</f>
        <v>57</v>
      </c>
      <c r="M3" s="97">
        <f>SUM(L3)+3</f>
        <v>60</v>
      </c>
    </row>
    <row r="4" spans="1:13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46"/>
      <c r="I4" s="46"/>
      <c r="J4" s="44"/>
      <c r="K4" s="46"/>
      <c r="L4" s="46"/>
      <c r="M4" s="48"/>
    </row>
    <row r="5" spans="1:13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27"/>
      <c r="I5" s="27"/>
      <c r="J5" s="43"/>
      <c r="K5" s="45"/>
      <c r="L5" s="45"/>
      <c r="M5" s="47"/>
    </row>
    <row r="6" spans="1:13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46"/>
      <c r="I6" s="46"/>
      <c r="J6" s="44"/>
      <c r="K6" s="46"/>
      <c r="L6" s="46"/>
      <c r="M6" s="48"/>
    </row>
    <row r="7" spans="1:13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27"/>
      <c r="I7" s="27"/>
      <c r="J7" s="43"/>
      <c r="K7" s="45"/>
      <c r="L7" s="45"/>
      <c r="M7" s="47"/>
    </row>
    <row r="8" spans="1:13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46"/>
      <c r="I8" s="46"/>
      <c r="J8" s="44"/>
      <c r="K8" s="46"/>
      <c r="L8" s="46"/>
      <c r="M8" s="48"/>
    </row>
    <row r="9" spans="1:13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7"/>
      <c r="I9" s="27"/>
      <c r="J9" s="43"/>
      <c r="K9" s="45"/>
      <c r="L9" s="45"/>
      <c r="M9" s="62"/>
    </row>
    <row r="10" spans="1:13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46"/>
      <c r="I10" s="46"/>
      <c r="J10" s="44"/>
      <c r="K10" s="46"/>
      <c r="L10" s="46"/>
      <c r="M10" s="48"/>
    </row>
    <row r="11" spans="1:13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</f>
        <v>46</v>
      </c>
      <c r="I11" s="27">
        <f>SUM(J11)-4</f>
        <v>50</v>
      </c>
      <c r="J11" s="43">
        <v>54</v>
      </c>
      <c r="K11" s="45">
        <f>SUM(J11)+4</f>
        <v>58</v>
      </c>
      <c r="L11" s="45">
        <f>SUM(K11)+4</f>
        <v>62</v>
      </c>
      <c r="M11" s="47">
        <f>SUM(L11)+4</f>
        <v>66</v>
      </c>
    </row>
    <row r="12" spans="1:13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48"/>
    </row>
    <row r="13" spans="1:13" s="1" customFormat="1" ht="14.1" customHeight="1">
      <c r="A13" s="52">
        <v>6</v>
      </c>
      <c r="B13" s="36" t="s">
        <v>203</v>
      </c>
      <c r="C13" s="37"/>
      <c r="D13" s="38"/>
      <c r="E13" s="39"/>
      <c r="F13" s="39"/>
      <c r="G13" s="40"/>
      <c r="H13" s="27">
        <f>SUM(I13)-2.5</f>
        <v>24</v>
      </c>
      <c r="I13" s="27">
        <f>SUM(J13)-2.5</f>
        <v>26.5</v>
      </c>
      <c r="J13" s="43">
        <v>29</v>
      </c>
      <c r="K13" s="45">
        <f>SUM(J13)+2.5</f>
        <v>31.5</v>
      </c>
      <c r="L13" s="45">
        <f>SUM(K13)+2.5</f>
        <v>34</v>
      </c>
      <c r="M13" s="47">
        <f>SUM(L13)+2.5</f>
        <v>36.5</v>
      </c>
    </row>
    <row r="14" spans="1:13" s="1" customFormat="1" ht="14.1" customHeight="1">
      <c r="A14" s="53"/>
      <c r="B14" s="46" t="s">
        <v>204</v>
      </c>
      <c r="C14" s="46"/>
      <c r="D14" s="49"/>
      <c r="E14" s="50"/>
      <c r="F14" s="50"/>
      <c r="G14" s="51"/>
      <c r="H14" s="46"/>
      <c r="I14" s="46"/>
      <c r="J14" s="44"/>
      <c r="K14" s="46"/>
      <c r="L14" s="46"/>
      <c r="M14" s="48"/>
    </row>
    <row r="15" spans="1:13" s="1" customFormat="1" ht="13.5" customHeight="1">
      <c r="A15" s="52">
        <v>7</v>
      </c>
      <c r="B15" s="36" t="s">
        <v>268</v>
      </c>
      <c r="C15" s="37"/>
      <c r="D15" s="38"/>
      <c r="E15" s="39"/>
      <c r="F15" s="39"/>
      <c r="G15" s="40"/>
      <c r="H15" s="27">
        <f>SUM(I15)-4.6</f>
        <v>53.8</v>
      </c>
      <c r="I15" s="27">
        <f>SUM(J15)-4.6</f>
        <v>58.4</v>
      </c>
      <c r="J15" s="43">
        <v>63</v>
      </c>
      <c r="K15" s="45">
        <f>SUM(J15)+4.6</f>
        <v>67.599999999999994</v>
      </c>
      <c r="L15" s="45">
        <f>SUM(K15)+4.6</f>
        <v>72.199999999999989</v>
      </c>
      <c r="M15" s="47">
        <f>SUM(L15)+4.6</f>
        <v>76.799999999999983</v>
      </c>
    </row>
    <row r="16" spans="1:13" s="1" customFormat="1" ht="14.1" customHeight="1">
      <c r="A16" s="53"/>
      <c r="B16" s="46" t="s">
        <v>269</v>
      </c>
      <c r="C16" s="46"/>
      <c r="D16" s="49" t="s">
        <v>270</v>
      </c>
      <c r="E16" s="50"/>
      <c r="F16" s="50"/>
      <c r="G16" s="51"/>
      <c r="H16" s="46"/>
      <c r="I16" s="46"/>
      <c r="J16" s="44"/>
      <c r="K16" s="46"/>
      <c r="L16" s="46"/>
      <c r="M16" s="48"/>
    </row>
    <row r="17" spans="1:13" ht="14.1" customHeight="1">
      <c r="A17" s="52">
        <v>8</v>
      </c>
      <c r="B17" s="36" t="s">
        <v>206</v>
      </c>
      <c r="C17" s="37"/>
      <c r="D17" s="76"/>
      <c r="E17" s="77"/>
      <c r="F17" s="77"/>
      <c r="G17" s="78"/>
      <c r="H17" s="27">
        <f>SUM(I17)-1</f>
        <v>11</v>
      </c>
      <c r="I17" s="27">
        <f>SUM(J17)-1</f>
        <v>12</v>
      </c>
      <c r="J17" s="43">
        <v>13</v>
      </c>
      <c r="K17" s="45">
        <f>SUM(J17)+1</f>
        <v>14</v>
      </c>
      <c r="L17" s="45">
        <f>SUM(K17)+1</f>
        <v>15</v>
      </c>
      <c r="M17" s="47">
        <f>SUM(L17)+1</f>
        <v>16</v>
      </c>
    </row>
    <row r="18" spans="1:13" ht="14.1" customHeight="1">
      <c r="A18" s="53"/>
      <c r="B18" s="57" t="s">
        <v>207</v>
      </c>
      <c r="C18" s="58"/>
      <c r="D18" s="79" t="s">
        <v>205</v>
      </c>
      <c r="E18" s="83"/>
      <c r="F18" s="83"/>
      <c r="G18" s="84"/>
      <c r="H18" s="46"/>
      <c r="I18" s="46"/>
      <c r="J18" s="44"/>
      <c r="K18" s="46"/>
      <c r="L18" s="46"/>
      <c r="M18" s="48"/>
    </row>
    <row r="19" spans="1:13" ht="14.1" customHeight="1">
      <c r="A19" s="52">
        <v>9</v>
      </c>
      <c r="B19" s="36" t="s">
        <v>275</v>
      </c>
      <c r="C19" s="37"/>
      <c r="D19" s="76"/>
      <c r="E19" s="77"/>
      <c r="F19" s="77"/>
      <c r="G19" s="78"/>
      <c r="H19" s="27">
        <f>SUM(I19)-1.5</f>
        <v>13</v>
      </c>
      <c r="I19" s="27">
        <f>SUM(J19)-1.5</f>
        <v>14.5</v>
      </c>
      <c r="J19" s="43">
        <v>16</v>
      </c>
      <c r="K19" s="45">
        <f>SUM(J19)+1.5</f>
        <v>17.5</v>
      </c>
      <c r="L19" s="45">
        <f>SUM(K19)+1.5</f>
        <v>19</v>
      </c>
      <c r="M19" s="47">
        <f>SUM(L19)+1.5</f>
        <v>20.5</v>
      </c>
    </row>
    <row r="20" spans="1:13" ht="14.1" customHeight="1">
      <c r="A20" s="53"/>
      <c r="B20" s="57" t="s">
        <v>276</v>
      </c>
      <c r="C20" s="58"/>
      <c r="D20" s="79"/>
      <c r="E20" s="83"/>
      <c r="F20" s="83"/>
      <c r="G20" s="84"/>
      <c r="H20" s="46"/>
      <c r="I20" s="46"/>
      <c r="J20" s="44"/>
      <c r="K20" s="46"/>
      <c r="L20" s="46"/>
      <c r="M20" s="48"/>
    </row>
    <row r="21" spans="1:13" ht="14.1" customHeight="1">
      <c r="A21" s="52">
        <v>10</v>
      </c>
      <c r="B21" s="36" t="s">
        <v>277</v>
      </c>
      <c r="C21" s="37"/>
      <c r="D21" s="76"/>
      <c r="E21" s="77"/>
      <c r="F21" s="77"/>
      <c r="G21" s="78"/>
      <c r="H21" s="27">
        <f>SUM(I21)-0.5</f>
        <v>7</v>
      </c>
      <c r="I21" s="27">
        <f>SUM(J21)-0.5</f>
        <v>7.5</v>
      </c>
      <c r="J21" s="43">
        <v>8</v>
      </c>
      <c r="K21" s="45">
        <f>SUM(J21)+0.5</f>
        <v>8.5</v>
      </c>
      <c r="L21" s="45">
        <f>SUM(K21)+0.5</f>
        <v>9</v>
      </c>
      <c r="M21" s="47">
        <f>SUM(L21)+0.5</f>
        <v>9.5</v>
      </c>
    </row>
    <row r="22" spans="1:13" ht="14.1" customHeight="1">
      <c r="A22" s="53"/>
      <c r="B22" s="57" t="s">
        <v>278</v>
      </c>
      <c r="C22" s="58"/>
      <c r="D22" s="82"/>
      <c r="E22" s="83"/>
      <c r="F22" s="83"/>
      <c r="G22" s="84"/>
      <c r="H22" s="46"/>
      <c r="I22" s="46"/>
      <c r="J22" s="44"/>
      <c r="K22" s="46"/>
      <c r="L22" s="46"/>
      <c r="M22" s="48"/>
    </row>
    <row r="23" spans="1:13" ht="14.1" customHeight="1">
      <c r="A23" s="52">
        <v>11</v>
      </c>
      <c r="B23" s="36"/>
      <c r="C23" s="37"/>
      <c r="D23" s="76"/>
      <c r="E23" s="77"/>
      <c r="F23" s="77"/>
      <c r="G23" s="78"/>
      <c r="H23" s="27"/>
      <c r="I23" s="27"/>
      <c r="J23" s="125"/>
      <c r="K23" s="114"/>
      <c r="L23" s="114"/>
      <c r="M23" s="161"/>
    </row>
    <row r="24" spans="1:13" ht="14.1" customHeight="1">
      <c r="A24" s="52"/>
      <c r="B24" s="63"/>
      <c r="C24" s="64"/>
      <c r="D24" s="65"/>
      <c r="E24" s="66"/>
      <c r="F24" s="66"/>
      <c r="G24" s="67"/>
      <c r="H24" s="45"/>
      <c r="I24" s="45"/>
      <c r="J24" s="41"/>
      <c r="K24" s="27"/>
      <c r="L24" s="27"/>
      <c r="M24" s="202"/>
    </row>
    <row r="25" spans="1:13" ht="14.1" customHeight="1">
      <c r="A25" s="34">
        <v>12</v>
      </c>
      <c r="B25" s="36"/>
      <c r="C25" s="37"/>
      <c r="D25" s="76"/>
      <c r="E25" s="77"/>
      <c r="F25" s="77"/>
      <c r="G25" s="78"/>
      <c r="H25" s="27"/>
      <c r="I25" s="27"/>
      <c r="J25" s="41"/>
      <c r="K25" s="27"/>
      <c r="L25" s="27"/>
      <c r="M25" s="62"/>
    </row>
    <row r="26" spans="1:13" ht="14.1" customHeight="1" thickBot="1">
      <c r="A26" s="35"/>
      <c r="B26" s="109"/>
      <c r="C26" s="110"/>
      <c r="D26" s="111"/>
      <c r="E26" s="112"/>
      <c r="F26" s="112"/>
      <c r="G26" s="113"/>
      <c r="H26" s="28"/>
      <c r="I26" s="28"/>
      <c r="J26" s="42"/>
      <c r="K26" s="28"/>
      <c r="L26" s="28"/>
      <c r="M26" s="160"/>
    </row>
    <row r="27" spans="1:13" ht="14.1" customHeight="1"/>
    <row r="28" spans="1:13" ht="14.1" customHeight="1"/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35"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83FF-D8D8-47DA-9CC0-ED5C617CB4F1}">
  <sheetPr codeName="Sheet55">
    <tabColor theme="5"/>
    <pageSetUpPr fitToPage="1"/>
  </sheetPr>
  <dimension ref="A1:M51"/>
  <sheetViews>
    <sheetView zoomScale="110" zoomScaleNormal="110" workbookViewId="0">
      <selection sqref="A1:M24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3" width="5.5" customWidth="1"/>
  </cols>
  <sheetData>
    <row r="1" spans="1:13" ht="16.5" customHeight="1" thickBot="1">
      <c r="A1" s="85" t="s">
        <v>497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27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 t="shared" ref="L3:M3" si="0">SUM(K3)+3</f>
        <v>57</v>
      </c>
      <c r="M3" s="97">
        <f t="shared" si="0"/>
        <v>60</v>
      </c>
    </row>
    <row r="4" spans="1:13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46"/>
      <c r="I4" s="46"/>
      <c r="J4" s="44"/>
      <c r="K4" s="46"/>
      <c r="L4" s="46"/>
      <c r="M4" s="48"/>
    </row>
    <row r="5" spans="1:13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27"/>
      <c r="I5" s="27"/>
      <c r="J5" s="43"/>
      <c r="K5" s="45"/>
      <c r="L5" s="215"/>
      <c r="M5" s="151"/>
    </row>
    <row r="6" spans="1:13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46"/>
      <c r="I6" s="46"/>
      <c r="J6" s="44"/>
      <c r="K6" s="46"/>
      <c r="L6" s="164"/>
      <c r="M6" s="132"/>
    </row>
    <row r="7" spans="1:13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27"/>
      <c r="I7" s="27"/>
      <c r="J7" s="43"/>
      <c r="K7" s="45"/>
      <c r="L7" s="215"/>
      <c r="M7" s="151"/>
    </row>
    <row r="8" spans="1:13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46"/>
      <c r="I8" s="46"/>
      <c r="J8" s="44"/>
      <c r="K8" s="46"/>
      <c r="L8" s="164"/>
      <c r="M8" s="132"/>
    </row>
    <row r="9" spans="1:13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7"/>
      <c r="I9" s="27"/>
      <c r="J9" s="43"/>
      <c r="K9" s="45"/>
      <c r="L9" s="215"/>
      <c r="M9" s="151"/>
    </row>
    <row r="10" spans="1:13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46"/>
      <c r="I10" s="46"/>
      <c r="J10" s="44"/>
      <c r="K10" s="46"/>
      <c r="L10" s="164"/>
      <c r="M10" s="132"/>
    </row>
    <row r="11" spans="1:13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SUM(I11)-4.5</f>
        <v>65</v>
      </c>
      <c r="I11" s="27">
        <f>SUM(J11)-4.5</f>
        <v>69.5</v>
      </c>
      <c r="J11" s="43">
        <v>74</v>
      </c>
      <c r="K11" s="45">
        <f>SUM(J11)+4.5</f>
        <v>78.5</v>
      </c>
      <c r="L11" s="45">
        <f t="shared" ref="L11:M11" si="1">SUM(K11)+4.5</f>
        <v>83</v>
      </c>
      <c r="M11" s="47">
        <f t="shared" si="1"/>
        <v>87.5</v>
      </c>
    </row>
    <row r="12" spans="1:13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48"/>
    </row>
    <row r="13" spans="1:13" s="1" customFormat="1" ht="14.1" customHeight="1">
      <c r="A13" s="52">
        <v>6</v>
      </c>
      <c r="B13" s="36" t="s">
        <v>203</v>
      </c>
      <c r="C13" s="37"/>
      <c r="D13" s="38"/>
      <c r="E13" s="39"/>
      <c r="F13" s="39"/>
      <c r="G13" s="40"/>
      <c r="H13" s="27">
        <f>SUM(I13)-2.7</f>
        <v>26.3</v>
      </c>
      <c r="I13" s="27">
        <f>SUM(J13)-2.7</f>
        <v>29</v>
      </c>
      <c r="J13" s="43">
        <v>31.7</v>
      </c>
      <c r="K13" s="45">
        <f>SUM(J13)+2.7</f>
        <v>34.4</v>
      </c>
      <c r="L13" s="45">
        <f t="shared" ref="L13:M13" si="2">SUM(K13)+2.7</f>
        <v>37.1</v>
      </c>
      <c r="M13" s="47">
        <f t="shared" si="2"/>
        <v>39.800000000000004</v>
      </c>
    </row>
    <row r="14" spans="1:13" s="1" customFormat="1" ht="14.1" customHeight="1">
      <c r="A14" s="53"/>
      <c r="B14" s="46" t="s">
        <v>204</v>
      </c>
      <c r="C14" s="46"/>
      <c r="D14" s="49" t="s">
        <v>498</v>
      </c>
      <c r="E14" s="50"/>
      <c r="F14" s="50"/>
      <c r="G14" s="51"/>
      <c r="H14" s="46"/>
      <c r="I14" s="46"/>
      <c r="J14" s="44"/>
      <c r="K14" s="46"/>
      <c r="L14" s="46"/>
      <c r="M14" s="48"/>
    </row>
    <row r="15" spans="1:13" s="1" customFormat="1" ht="14.1" customHeight="1">
      <c r="A15" s="52">
        <v>7</v>
      </c>
      <c r="B15" s="36" t="s">
        <v>206</v>
      </c>
      <c r="C15" s="37"/>
      <c r="D15" s="76"/>
      <c r="E15" s="77"/>
      <c r="F15" s="77"/>
      <c r="G15" s="78"/>
      <c r="H15" s="27">
        <f>SUM(I15)-0.9</f>
        <v>9.8999999999999986</v>
      </c>
      <c r="I15" s="27">
        <f>SUM(J15)-0.9</f>
        <v>10.799999999999999</v>
      </c>
      <c r="J15" s="43">
        <v>11.7</v>
      </c>
      <c r="K15" s="45">
        <f>SUM(J15)+0.9</f>
        <v>12.6</v>
      </c>
      <c r="L15" s="45">
        <f t="shared" ref="L15:M15" si="3">SUM(K15)+0.9</f>
        <v>13.5</v>
      </c>
      <c r="M15" s="47">
        <f t="shared" si="3"/>
        <v>14.4</v>
      </c>
    </row>
    <row r="16" spans="1:13" s="1" customFormat="1" ht="14.1" customHeight="1">
      <c r="A16" s="53"/>
      <c r="B16" s="57" t="s">
        <v>207</v>
      </c>
      <c r="C16" s="58"/>
      <c r="D16" s="79" t="s">
        <v>499</v>
      </c>
      <c r="E16" s="83"/>
      <c r="F16" s="83"/>
      <c r="G16" s="84"/>
      <c r="H16" s="46"/>
      <c r="I16" s="46"/>
      <c r="J16" s="44"/>
      <c r="K16" s="46"/>
      <c r="L16" s="46"/>
      <c r="M16" s="48"/>
    </row>
    <row r="17" spans="1:13" ht="14.1" customHeight="1">
      <c r="A17" s="52">
        <v>7</v>
      </c>
      <c r="B17" s="36" t="s">
        <v>212</v>
      </c>
      <c r="C17" s="37"/>
      <c r="D17" s="38"/>
      <c r="E17" s="39"/>
      <c r="F17" s="39"/>
      <c r="G17" s="40"/>
      <c r="H17" s="27">
        <f>SUM(I17)-0.9</f>
        <v>8.1999999999999993</v>
      </c>
      <c r="I17" s="27">
        <f>SUM(J17)-0.9</f>
        <v>9.1</v>
      </c>
      <c r="J17" s="43">
        <v>10</v>
      </c>
      <c r="K17" s="45">
        <f>SUM(J17)+0.9</f>
        <v>10.9</v>
      </c>
      <c r="L17" s="45">
        <f t="shared" ref="L17:M17" si="4">SUM(K17)+0.9</f>
        <v>11.8</v>
      </c>
      <c r="M17" s="47">
        <f t="shared" si="4"/>
        <v>12.700000000000001</v>
      </c>
    </row>
    <row r="18" spans="1:13" ht="14.1" customHeight="1">
      <c r="A18" s="53"/>
      <c r="B18" s="46" t="s">
        <v>282</v>
      </c>
      <c r="C18" s="46"/>
      <c r="D18" s="49" t="s">
        <v>500</v>
      </c>
      <c r="E18" s="50"/>
      <c r="F18" s="50"/>
      <c r="G18" s="51"/>
      <c r="H18" s="46"/>
      <c r="I18" s="46"/>
      <c r="J18" s="44"/>
      <c r="K18" s="46"/>
      <c r="L18" s="46"/>
      <c r="M18" s="48"/>
    </row>
    <row r="19" spans="1:13" ht="14.1" customHeight="1">
      <c r="A19" s="52">
        <v>8</v>
      </c>
      <c r="B19" s="36" t="s">
        <v>214</v>
      </c>
      <c r="C19" s="37"/>
      <c r="D19" s="38"/>
      <c r="E19" s="39"/>
      <c r="F19" s="39"/>
      <c r="G19" s="40"/>
      <c r="H19" s="27">
        <f>SUM(I19)-0.9</f>
        <v>8.1999999999999993</v>
      </c>
      <c r="I19" s="27">
        <f>SUM(J19)-0.9</f>
        <v>9.1</v>
      </c>
      <c r="J19" s="43">
        <v>10</v>
      </c>
      <c r="K19" s="45">
        <f>SUM(J19)+0.9</f>
        <v>10.9</v>
      </c>
      <c r="L19" s="45">
        <f t="shared" ref="L19:M19" si="5">SUM(K19)+0.9</f>
        <v>11.8</v>
      </c>
      <c r="M19" s="47">
        <f t="shared" si="5"/>
        <v>12.700000000000001</v>
      </c>
    </row>
    <row r="20" spans="1:13" ht="14.1" customHeight="1">
      <c r="A20" s="53"/>
      <c r="B20" s="46" t="s">
        <v>284</v>
      </c>
      <c r="C20" s="46"/>
      <c r="D20" s="49" t="s">
        <v>500</v>
      </c>
      <c r="E20" s="50"/>
      <c r="F20" s="50"/>
      <c r="G20" s="51"/>
      <c r="H20" s="46"/>
      <c r="I20" s="46"/>
      <c r="J20" s="44"/>
      <c r="K20" s="46"/>
      <c r="L20" s="46"/>
      <c r="M20" s="48"/>
    </row>
    <row r="21" spans="1:13" ht="14.1" customHeight="1">
      <c r="A21" s="52">
        <v>9</v>
      </c>
      <c r="B21" s="36"/>
      <c r="C21" s="37"/>
      <c r="D21" s="38"/>
      <c r="E21" s="39"/>
      <c r="F21" s="39"/>
      <c r="G21" s="40"/>
      <c r="H21" s="27"/>
      <c r="I21" s="27"/>
      <c r="J21" s="43"/>
      <c r="K21" s="45"/>
      <c r="L21" s="45"/>
      <c r="M21" s="47"/>
    </row>
    <row r="22" spans="1:13" ht="14.1" customHeight="1">
      <c r="A22" s="53"/>
      <c r="B22" s="46"/>
      <c r="C22" s="46"/>
      <c r="D22" s="49"/>
      <c r="E22" s="50"/>
      <c r="F22" s="50"/>
      <c r="G22" s="51"/>
      <c r="H22" s="46"/>
      <c r="I22" s="46"/>
      <c r="J22" s="44"/>
      <c r="K22" s="46"/>
      <c r="L22" s="46"/>
      <c r="M22" s="48"/>
    </row>
    <row r="23" spans="1:13" ht="14.1" customHeight="1">
      <c r="A23" s="34">
        <v>10</v>
      </c>
      <c r="B23" s="36"/>
      <c r="C23" s="37"/>
      <c r="D23" s="38"/>
      <c r="E23" s="39"/>
      <c r="F23" s="39"/>
      <c r="G23" s="40"/>
      <c r="H23" s="27"/>
      <c r="I23" s="27"/>
      <c r="J23" s="41"/>
      <c r="K23" s="45"/>
      <c r="L23" s="45"/>
      <c r="M23" s="47"/>
    </row>
    <row r="24" spans="1:13" ht="14.1" customHeight="1" thickBot="1">
      <c r="A24" s="35"/>
      <c r="B24" s="28"/>
      <c r="C24" s="28"/>
      <c r="D24" s="31"/>
      <c r="E24" s="32"/>
      <c r="F24" s="32"/>
      <c r="G24" s="33"/>
      <c r="H24" s="28"/>
      <c r="I24" s="28"/>
      <c r="J24" s="42"/>
      <c r="K24" s="28"/>
      <c r="L24" s="28"/>
      <c r="M24" s="160"/>
    </row>
    <row r="25" spans="1:13" ht="14.1" customHeight="1"/>
    <row r="26" spans="1:13" ht="14.1" customHeight="1"/>
    <row r="27" spans="1:13" ht="14.1" customHeight="1"/>
    <row r="28" spans="1:13" ht="14.1" customHeight="1"/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24"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1C78-BF43-4A93-87A2-30B4C9CA9B14}">
  <sheetPr codeName="Sheet56">
    <tabColor theme="5"/>
    <pageSetUpPr fitToPage="1"/>
  </sheetPr>
  <dimension ref="A1:M51"/>
  <sheetViews>
    <sheetView zoomScale="110" zoomScaleNormal="110" workbookViewId="0">
      <selection sqref="A1:M22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8" width="5.5" style="11" customWidth="1"/>
    <col min="9" max="13" width="5.5" customWidth="1"/>
  </cols>
  <sheetData>
    <row r="1" spans="1:13" ht="16.5" customHeight="1" thickBot="1">
      <c r="A1" s="85" t="s">
        <v>501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3" t="s">
        <v>57</v>
      </c>
      <c r="B2" s="216" t="s">
        <v>58</v>
      </c>
      <c r="C2" s="217"/>
      <c r="D2" s="216" t="s">
        <v>59</v>
      </c>
      <c r="E2" s="218"/>
      <c r="F2" s="218"/>
      <c r="G2" s="217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89">
        <v>1</v>
      </c>
      <c r="B3" s="90" t="s">
        <v>104</v>
      </c>
      <c r="C3" s="91"/>
      <c r="D3" s="92" t="s">
        <v>67</v>
      </c>
      <c r="E3" s="93"/>
      <c r="F3" s="93"/>
      <c r="G3" s="94"/>
      <c r="H3" s="27">
        <f>SUM(I3)-3</f>
        <v>45</v>
      </c>
      <c r="I3" s="27">
        <f>SUM(J3)-3</f>
        <v>48</v>
      </c>
      <c r="J3" s="95">
        <v>51</v>
      </c>
      <c r="K3" s="96">
        <f>SUM(J3)+3</f>
        <v>54</v>
      </c>
      <c r="L3" s="96">
        <f t="shared" ref="L3:M3" si="0">SUM(K3)+3</f>
        <v>57</v>
      </c>
      <c r="M3" s="97">
        <f t="shared" si="0"/>
        <v>60</v>
      </c>
    </row>
    <row r="4" spans="1:13" s="1" customFormat="1" ht="14.1" customHeight="1">
      <c r="A4" s="53"/>
      <c r="B4" s="57" t="s">
        <v>75</v>
      </c>
      <c r="C4" s="58"/>
      <c r="D4" s="59" t="s">
        <v>68</v>
      </c>
      <c r="E4" s="60"/>
      <c r="F4" s="60"/>
      <c r="G4" s="61"/>
      <c r="H4" s="46"/>
      <c r="I4" s="46"/>
      <c r="J4" s="44"/>
      <c r="K4" s="46"/>
      <c r="L4" s="46"/>
      <c r="M4" s="48"/>
    </row>
    <row r="5" spans="1:13" s="1" customFormat="1" ht="14.1" customHeight="1">
      <c r="A5" s="52">
        <v>2</v>
      </c>
      <c r="B5" s="133" t="s">
        <v>118</v>
      </c>
      <c r="C5" s="134"/>
      <c r="D5" s="102"/>
      <c r="E5" s="103"/>
      <c r="F5" s="103"/>
      <c r="G5" s="104"/>
      <c r="H5" s="27"/>
      <c r="I5" s="27"/>
      <c r="J5" s="43"/>
      <c r="K5" s="45"/>
      <c r="L5" s="215"/>
      <c r="M5" s="151"/>
    </row>
    <row r="6" spans="1:13" s="1" customFormat="1" ht="14.1" customHeight="1">
      <c r="A6" s="53"/>
      <c r="B6" s="57" t="s">
        <v>117</v>
      </c>
      <c r="C6" s="58"/>
      <c r="D6" s="59"/>
      <c r="E6" s="60"/>
      <c r="F6" s="60"/>
      <c r="G6" s="61"/>
      <c r="H6" s="46"/>
      <c r="I6" s="46"/>
      <c r="J6" s="44"/>
      <c r="K6" s="46"/>
      <c r="L6" s="164"/>
      <c r="M6" s="132"/>
    </row>
    <row r="7" spans="1:13" s="1" customFormat="1" ht="14.1" customHeight="1">
      <c r="A7" s="52">
        <v>3</v>
      </c>
      <c r="B7" s="133" t="s">
        <v>103</v>
      </c>
      <c r="C7" s="134"/>
      <c r="D7" s="102"/>
      <c r="E7" s="103"/>
      <c r="F7" s="103"/>
      <c r="G7" s="104"/>
      <c r="H7" s="27"/>
      <c r="I7" s="27"/>
      <c r="J7" s="43"/>
      <c r="K7" s="45"/>
      <c r="L7" s="215"/>
      <c r="M7" s="151"/>
    </row>
    <row r="8" spans="1:13" s="1" customFormat="1" ht="14.1" customHeight="1">
      <c r="A8" s="53"/>
      <c r="B8" s="57" t="s">
        <v>102</v>
      </c>
      <c r="C8" s="58"/>
      <c r="D8" s="59"/>
      <c r="E8" s="60"/>
      <c r="F8" s="60"/>
      <c r="G8" s="61"/>
      <c r="H8" s="46"/>
      <c r="I8" s="46"/>
      <c r="J8" s="44"/>
      <c r="K8" s="46"/>
      <c r="L8" s="164"/>
      <c r="M8" s="132"/>
    </row>
    <row r="9" spans="1:13" s="1" customFormat="1" ht="14.1" customHeight="1">
      <c r="A9" s="52">
        <v>4</v>
      </c>
      <c r="B9" s="36" t="s">
        <v>113</v>
      </c>
      <c r="C9" s="37"/>
      <c r="D9" s="198"/>
      <c r="E9" s="199"/>
      <c r="F9" s="199"/>
      <c r="G9" s="200"/>
      <c r="H9" s="27"/>
      <c r="I9" s="27"/>
      <c r="J9" s="43"/>
      <c r="K9" s="45"/>
      <c r="L9" s="215"/>
      <c r="M9" s="151"/>
    </row>
    <row r="10" spans="1:13" s="1" customFormat="1" ht="14.1" customHeight="1">
      <c r="A10" s="53"/>
      <c r="B10" s="57" t="s">
        <v>112</v>
      </c>
      <c r="C10" s="58"/>
      <c r="D10" s="49"/>
      <c r="E10" s="50"/>
      <c r="F10" s="50"/>
      <c r="G10" s="51"/>
      <c r="H10" s="46"/>
      <c r="I10" s="46"/>
      <c r="J10" s="44"/>
      <c r="K10" s="46"/>
      <c r="L10" s="164"/>
      <c r="M10" s="132"/>
    </row>
    <row r="11" spans="1:13" s="1" customFormat="1" ht="14.1" customHeight="1">
      <c r="A11" s="52">
        <v>5</v>
      </c>
      <c r="B11" s="36" t="s">
        <v>108</v>
      </c>
      <c r="C11" s="37"/>
      <c r="D11" s="102"/>
      <c r="E11" s="103"/>
      <c r="F11" s="103"/>
      <c r="G11" s="104"/>
      <c r="H11" s="98">
        <f>SUM(I11)-4.5</f>
        <v>63</v>
      </c>
      <c r="I11" s="27">
        <f>SUM(J11)-4.5</f>
        <v>67.5</v>
      </c>
      <c r="J11" s="43">
        <v>72</v>
      </c>
      <c r="K11" s="45">
        <f>SUM(J11)+4.5</f>
        <v>76.5</v>
      </c>
      <c r="L11" s="45">
        <f t="shared" ref="L11:M11" si="1">SUM(K11)+4.5</f>
        <v>81</v>
      </c>
      <c r="M11" s="47">
        <f t="shared" si="1"/>
        <v>85.5</v>
      </c>
    </row>
    <row r="12" spans="1:13" s="1" customFormat="1" ht="14.1" customHeight="1">
      <c r="A12" s="53"/>
      <c r="B12" s="57" t="s">
        <v>109</v>
      </c>
      <c r="C12" s="58"/>
      <c r="D12" s="59"/>
      <c r="E12" s="60"/>
      <c r="F12" s="60"/>
      <c r="G12" s="61"/>
      <c r="H12" s="75"/>
      <c r="I12" s="46"/>
      <c r="J12" s="44"/>
      <c r="K12" s="46"/>
      <c r="L12" s="46"/>
      <c r="M12" s="48"/>
    </row>
    <row r="13" spans="1:13" s="1" customFormat="1" ht="14.1" customHeight="1">
      <c r="A13" s="52">
        <v>6</v>
      </c>
      <c r="B13" s="36" t="s">
        <v>203</v>
      </c>
      <c r="C13" s="37"/>
      <c r="D13" s="38"/>
      <c r="E13" s="39"/>
      <c r="F13" s="39"/>
      <c r="G13" s="40"/>
      <c r="H13" s="27">
        <f>SUM(I13)-5</f>
        <v>40</v>
      </c>
      <c r="I13" s="27">
        <f>SUM(J13)-5</f>
        <v>45</v>
      </c>
      <c r="J13" s="43">
        <v>50</v>
      </c>
      <c r="K13" s="45">
        <f>SUM(J13)+4</f>
        <v>54</v>
      </c>
      <c r="L13" s="45">
        <f t="shared" ref="L13:M13" si="2">SUM(K13)+4</f>
        <v>58</v>
      </c>
      <c r="M13" s="47">
        <f t="shared" si="2"/>
        <v>62</v>
      </c>
    </row>
    <row r="14" spans="1:13" s="1" customFormat="1" ht="14.1" customHeight="1">
      <c r="A14" s="53"/>
      <c r="B14" s="46" t="s">
        <v>204</v>
      </c>
      <c r="C14" s="46"/>
      <c r="D14" s="49" t="s">
        <v>502</v>
      </c>
      <c r="E14" s="50"/>
      <c r="F14" s="50"/>
      <c r="G14" s="51"/>
      <c r="H14" s="46"/>
      <c r="I14" s="46"/>
      <c r="J14" s="44"/>
      <c r="K14" s="46"/>
      <c r="L14" s="46"/>
      <c r="M14" s="48"/>
    </row>
    <row r="15" spans="1:13" s="1" customFormat="1" ht="14.1" customHeight="1">
      <c r="A15" s="52">
        <v>7</v>
      </c>
      <c r="B15" s="36" t="s">
        <v>212</v>
      </c>
      <c r="C15" s="37"/>
      <c r="D15" s="38"/>
      <c r="E15" s="39"/>
      <c r="F15" s="39"/>
      <c r="G15" s="40"/>
      <c r="H15" s="27">
        <f>SUM(I15)-1.7</f>
        <v>13.600000000000001</v>
      </c>
      <c r="I15" s="27">
        <f>SUM(J15)-1.7</f>
        <v>15.3</v>
      </c>
      <c r="J15" s="43">
        <v>17</v>
      </c>
      <c r="K15" s="45">
        <f>SUM(J15)+1.3</f>
        <v>18.3</v>
      </c>
      <c r="L15" s="45">
        <f t="shared" ref="L15:M15" si="3">SUM(K15)+1.3</f>
        <v>19.600000000000001</v>
      </c>
      <c r="M15" s="47">
        <f t="shared" si="3"/>
        <v>20.900000000000002</v>
      </c>
    </row>
    <row r="16" spans="1:13" s="1" customFormat="1" ht="14.1" customHeight="1">
      <c r="A16" s="53"/>
      <c r="B16" s="46" t="s">
        <v>282</v>
      </c>
      <c r="C16" s="46"/>
      <c r="D16" s="49" t="s">
        <v>205</v>
      </c>
      <c r="E16" s="50"/>
      <c r="F16" s="50"/>
      <c r="G16" s="51"/>
      <c r="H16" s="46"/>
      <c r="I16" s="46"/>
      <c r="J16" s="44"/>
      <c r="K16" s="46"/>
      <c r="L16" s="46"/>
      <c r="M16" s="48"/>
    </row>
    <row r="17" spans="1:13" ht="14.1" customHeight="1">
      <c r="A17" s="52">
        <v>8</v>
      </c>
      <c r="B17" s="36" t="s">
        <v>214</v>
      </c>
      <c r="C17" s="37"/>
      <c r="D17" s="38"/>
      <c r="E17" s="39"/>
      <c r="F17" s="39"/>
      <c r="G17" s="40"/>
      <c r="H17" s="27">
        <f>SUM(I17)-1.1</f>
        <v>8.8000000000000007</v>
      </c>
      <c r="I17" s="27">
        <f>SUM(J17)-1.1</f>
        <v>9.9</v>
      </c>
      <c r="J17" s="43">
        <v>11</v>
      </c>
      <c r="K17" s="45">
        <f>SUM(J17)+0.9</f>
        <v>11.9</v>
      </c>
      <c r="L17" s="45">
        <f t="shared" ref="L17:M17" si="4">SUM(K17)+0.9</f>
        <v>12.8</v>
      </c>
      <c r="M17" s="47">
        <f t="shared" si="4"/>
        <v>13.700000000000001</v>
      </c>
    </row>
    <row r="18" spans="1:13" ht="14.1" customHeight="1">
      <c r="A18" s="53"/>
      <c r="B18" s="46" t="s">
        <v>284</v>
      </c>
      <c r="C18" s="46"/>
      <c r="D18" s="49" t="s">
        <v>503</v>
      </c>
      <c r="E18" s="50"/>
      <c r="F18" s="50"/>
      <c r="G18" s="51"/>
      <c r="H18" s="46"/>
      <c r="I18" s="46"/>
      <c r="J18" s="44"/>
      <c r="K18" s="46"/>
      <c r="L18" s="46"/>
      <c r="M18" s="48"/>
    </row>
    <row r="19" spans="1:13" ht="14.1" customHeight="1">
      <c r="A19" s="52">
        <v>9</v>
      </c>
      <c r="B19" s="36" t="s">
        <v>245</v>
      </c>
      <c r="C19" s="37"/>
      <c r="D19" s="38"/>
      <c r="E19" s="39"/>
      <c r="F19" s="39"/>
      <c r="G19" s="40"/>
      <c r="H19" s="27">
        <f t="shared" ref="H19:I19" si="5">SUM(I19)-1.1</f>
        <v>8.8000000000000007</v>
      </c>
      <c r="I19" s="27">
        <f t="shared" si="5"/>
        <v>9.9</v>
      </c>
      <c r="J19" s="43">
        <v>11</v>
      </c>
      <c r="K19" s="45">
        <f t="shared" ref="K19:M19" si="6">SUM(J19)+0.9</f>
        <v>11.9</v>
      </c>
      <c r="L19" s="45">
        <f t="shared" si="6"/>
        <v>12.8</v>
      </c>
      <c r="M19" s="47">
        <f t="shared" si="6"/>
        <v>13.700000000000001</v>
      </c>
    </row>
    <row r="20" spans="1:13" ht="14.1" customHeight="1">
      <c r="A20" s="53"/>
      <c r="B20" s="46" t="s">
        <v>286</v>
      </c>
      <c r="C20" s="46"/>
      <c r="D20" s="49" t="s">
        <v>503</v>
      </c>
      <c r="E20" s="50"/>
      <c r="F20" s="50"/>
      <c r="G20" s="51"/>
      <c r="H20" s="46"/>
      <c r="I20" s="46"/>
      <c r="J20" s="44"/>
      <c r="K20" s="46"/>
      <c r="L20" s="46"/>
      <c r="M20" s="48"/>
    </row>
    <row r="21" spans="1:13" ht="14.1" customHeight="1">
      <c r="A21" s="34">
        <v>10</v>
      </c>
      <c r="B21" s="36" t="s">
        <v>504</v>
      </c>
      <c r="C21" s="37"/>
      <c r="D21" s="38"/>
      <c r="E21" s="39"/>
      <c r="F21" s="39"/>
      <c r="G21" s="40"/>
      <c r="H21" s="27">
        <f t="shared" ref="H21:I21" si="7">SUM(I21)-1.1</f>
        <v>8.8000000000000007</v>
      </c>
      <c r="I21" s="27">
        <f t="shared" si="7"/>
        <v>9.9</v>
      </c>
      <c r="J21" s="41">
        <v>11</v>
      </c>
      <c r="K21" s="45">
        <f t="shared" ref="K21:M21" si="8">SUM(J21)+0.9</f>
        <v>11.9</v>
      </c>
      <c r="L21" s="45">
        <f t="shared" si="8"/>
        <v>12.8</v>
      </c>
      <c r="M21" s="47">
        <f t="shared" si="8"/>
        <v>13.700000000000001</v>
      </c>
    </row>
    <row r="22" spans="1:13" ht="14.1" customHeight="1" thickBot="1">
      <c r="A22" s="35"/>
      <c r="B22" s="28" t="s">
        <v>505</v>
      </c>
      <c r="C22" s="28"/>
      <c r="D22" s="31" t="s">
        <v>503</v>
      </c>
      <c r="E22" s="32"/>
      <c r="F22" s="32"/>
      <c r="G22" s="33"/>
      <c r="H22" s="28"/>
      <c r="I22" s="28"/>
      <c r="J22" s="42"/>
      <c r="K22" s="28"/>
      <c r="L22" s="28"/>
      <c r="M22" s="160"/>
    </row>
    <row r="23" spans="1:13" ht="14.1" customHeight="1"/>
    <row r="24" spans="1:13" ht="14.1" customHeight="1"/>
    <row r="25" spans="1:13" ht="14.1" customHeight="1"/>
    <row r="26" spans="1:13" ht="14.1" customHeight="1"/>
    <row r="27" spans="1:13" ht="14.1" customHeight="1"/>
    <row r="28" spans="1:13" ht="14.1" customHeight="1"/>
    <row r="29" spans="1:13" ht="14.1" customHeight="1"/>
    <row r="30" spans="1:13" ht="14.1" customHeight="1"/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13"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3F97-68BE-4913-A306-F498E570CD11}">
  <sheetPr codeName="Sheet72">
    <tabColor theme="5"/>
    <pageSetUpPr fitToPage="1"/>
  </sheetPr>
  <dimension ref="A1:N51"/>
  <sheetViews>
    <sheetView zoomScale="110" zoomScaleNormal="110" workbookViewId="0">
      <selection activeCell="D4" sqref="D4:G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529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13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35.5</v>
      </c>
      <c r="I3" s="27">
        <f>SUM(J3)-3.5</f>
        <v>39</v>
      </c>
      <c r="J3" s="139">
        <v>42.5</v>
      </c>
      <c r="K3" s="140">
        <f>SUM(J3)+3</f>
        <v>45.5</v>
      </c>
      <c r="L3" s="140">
        <f t="shared" ref="L3:M3" si="0">SUM(K3)+3</f>
        <v>48.5</v>
      </c>
      <c r="M3" s="166">
        <f t="shared" si="0"/>
        <v>51.5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37.599999999999994</v>
      </c>
      <c r="I5" s="27">
        <f>SUM(J5)-2.2</f>
        <v>39.799999999999997</v>
      </c>
      <c r="J5" s="41">
        <v>42</v>
      </c>
      <c r="K5" s="27">
        <f>SUM(J5)+2</f>
        <v>44</v>
      </c>
      <c r="L5" s="27">
        <f t="shared" ref="L5:M5" si="1">SUM(K5)+2</f>
        <v>46</v>
      </c>
      <c r="M5" s="62">
        <f t="shared" si="1"/>
        <v>48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38.5</v>
      </c>
      <c r="I7" s="27">
        <f>SUM(J7)-2.25</f>
        <v>40.75</v>
      </c>
      <c r="J7" s="41">
        <v>43</v>
      </c>
      <c r="K7" s="27">
        <f>SUM(J7)+2</f>
        <v>45</v>
      </c>
      <c r="L7" s="27">
        <f t="shared" ref="L7:M7" si="2">SUM(K7)+2</f>
        <v>47</v>
      </c>
      <c r="M7" s="62">
        <f t="shared" si="2"/>
        <v>49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30.400000000000002</v>
      </c>
      <c r="I9" s="27">
        <f>SUM(J9)-1.8</f>
        <v>32.200000000000003</v>
      </c>
      <c r="J9" s="41">
        <v>34</v>
      </c>
      <c r="K9" s="27">
        <f>SUM(J9)+1.6</f>
        <v>35.6</v>
      </c>
      <c r="L9" s="27">
        <f t="shared" ref="L9:M9" si="3">SUM(K9)+1.6</f>
        <v>37.200000000000003</v>
      </c>
      <c r="M9" s="62">
        <f t="shared" si="3"/>
        <v>38.800000000000004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15.2</v>
      </c>
      <c r="I11" s="27">
        <f>SUM(J11)-0.8</f>
        <v>16</v>
      </c>
      <c r="J11" s="125">
        <v>16.8</v>
      </c>
      <c r="K11" s="114">
        <f>SUM(J11)+0.8</f>
        <v>17.600000000000001</v>
      </c>
      <c r="L11" s="114">
        <f t="shared" ref="L11:M11" si="4">SUM(K11)+0.8</f>
        <v>18.400000000000002</v>
      </c>
      <c r="M11" s="162">
        <f t="shared" si="4"/>
        <v>19.200000000000003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14.8</v>
      </c>
      <c r="I13" s="27">
        <f>SUM(J13)-0.6</f>
        <v>15.4</v>
      </c>
      <c r="J13" s="125">
        <v>16</v>
      </c>
      <c r="K13" s="114">
        <f>SUM(J13)+0.6</f>
        <v>16.600000000000001</v>
      </c>
      <c r="L13" s="114">
        <f>SUM(K13)+0.6</f>
        <v>17.200000000000003</v>
      </c>
      <c r="M13" s="162">
        <f>SUM(L13)+0.6</f>
        <v>17.800000000000004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6.4</v>
      </c>
      <c r="I15" s="27">
        <f>SUM(J15)-0.3</f>
        <v>6.7</v>
      </c>
      <c r="J15" s="125">
        <v>7</v>
      </c>
      <c r="K15" s="114">
        <f>SUM(J15)+0.3</f>
        <v>7.3</v>
      </c>
      <c r="L15" s="114">
        <f>SUM(K15)+0.3</f>
        <v>7.6</v>
      </c>
      <c r="M15" s="162">
        <f>SUM(L15)+0.3</f>
        <v>7.8999999999999995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39.799999999999997</v>
      </c>
      <c r="I17" s="27">
        <f>SUM(J17)-1.6</f>
        <v>41.4</v>
      </c>
      <c r="J17" s="125">
        <v>43</v>
      </c>
      <c r="K17" s="114">
        <f>SUM(J17)+1.6</f>
        <v>44.6</v>
      </c>
      <c r="L17" s="114">
        <f>SUM(K17)+1.6</f>
        <v>46.2</v>
      </c>
      <c r="M17" s="162">
        <f>SUM(L17)+1.6</f>
        <v>47.800000000000004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26.200000000000003</v>
      </c>
      <c r="I19" s="27">
        <f>SUM(J19)-3.4</f>
        <v>29.6</v>
      </c>
      <c r="J19" s="125">
        <v>33</v>
      </c>
      <c r="K19" s="114">
        <f>SUM(J19)+3.5</f>
        <v>36.5</v>
      </c>
      <c r="L19" s="114">
        <f t="shared" ref="L19:M19" si="5">SUM(K19)+3.5</f>
        <v>40</v>
      </c>
      <c r="M19" s="162">
        <f t="shared" si="5"/>
        <v>43.5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30.5</v>
      </c>
      <c r="I21" s="27">
        <f>SUM(J21)-1.6</f>
        <v>32.1</v>
      </c>
      <c r="J21" s="125">
        <v>33.700000000000003</v>
      </c>
      <c r="K21" s="114">
        <f>SUM(J21)+1.6</f>
        <v>35.300000000000004</v>
      </c>
      <c r="L21" s="114">
        <f t="shared" ref="L21:M21" si="6">SUM(K21)+1.6</f>
        <v>36.900000000000006</v>
      </c>
      <c r="M21" s="162">
        <f t="shared" si="6"/>
        <v>38.500000000000007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 t="shared" ref="L23:M23" si="7">SUM(K23)+0.6</f>
        <v>16.399999999999999</v>
      </c>
      <c r="M23" s="162">
        <f t="shared" si="7"/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SUM(I25)-0.4</f>
        <v>7.2999999999999989</v>
      </c>
      <c r="I25" s="27">
        <f>SUM(J25)-0.4</f>
        <v>7.6999999999999993</v>
      </c>
      <c r="J25" s="41">
        <v>8.1</v>
      </c>
      <c r="K25" s="27">
        <f>SUM(J25)+0.4</f>
        <v>8.5</v>
      </c>
      <c r="L25" s="27">
        <f t="shared" ref="L25:M25" si="8">SUM(K25)+0.4</f>
        <v>8.9</v>
      </c>
      <c r="M25" s="62">
        <f t="shared" si="8"/>
        <v>9.3000000000000007</v>
      </c>
    </row>
    <row r="26" spans="1:13" s="1" customFormat="1" ht="14.1" customHeight="1">
      <c r="A26" s="122"/>
      <c r="B26" s="127" t="s">
        <v>122</v>
      </c>
      <c r="C26" s="128"/>
      <c r="D26" s="79" t="s">
        <v>216</v>
      </c>
      <c r="E26" s="80"/>
      <c r="F26" s="80"/>
      <c r="G26" s="81"/>
      <c r="H26" s="46"/>
      <c r="I26" s="46"/>
      <c r="J26" s="44"/>
      <c r="K26" s="46"/>
      <c r="L26" s="46"/>
      <c r="M26" s="48"/>
    </row>
    <row r="27" spans="1:13" s="1" customFormat="1" ht="14.1" customHeight="1">
      <c r="A27" s="122">
        <v>13</v>
      </c>
      <c r="B27" s="36"/>
      <c r="C27" s="37"/>
      <c r="D27" s="129"/>
      <c r="E27" s="130"/>
      <c r="F27" s="130"/>
      <c r="G27" s="131"/>
      <c r="H27" s="27"/>
      <c r="I27" s="27"/>
      <c r="J27" s="41"/>
      <c r="K27" s="27"/>
      <c r="L27" s="27"/>
      <c r="M27" s="62"/>
    </row>
    <row r="28" spans="1:13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8"/>
    </row>
    <row r="29" spans="1:13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62"/>
    </row>
    <row r="30" spans="1:13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16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CFA2-B5B8-4955-BC92-C6F31D907884}">
  <sheetPr codeName="Sheet16">
    <tabColor theme="5"/>
    <pageSetUpPr fitToPage="1"/>
  </sheetPr>
  <dimension ref="A1:P51"/>
  <sheetViews>
    <sheetView zoomScale="110" zoomScaleNormal="110" workbookViewId="0">
      <selection activeCell="P22" sqref="P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85" t="s">
        <v>233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6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34.5</v>
      </c>
      <c r="I3" s="27">
        <f>SUM(J3)-3.5</f>
        <v>38</v>
      </c>
      <c r="J3" s="139">
        <v>41.5</v>
      </c>
      <c r="K3" s="140">
        <f>SUM(J3)+3</f>
        <v>44.5</v>
      </c>
      <c r="L3" s="140">
        <f t="shared" ref="L3:M3" si="0">SUM(K3)+3</f>
        <v>47.5</v>
      </c>
      <c r="M3" s="166">
        <f t="shared" si="0"/>
        <v>50.5</v>
      </c>
    </row>
    <row r="4" spans="1:16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6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</f>
        <v>34</v>
      </c>
      <c r="I5" s="27">
        <f>SUM(J5)-2</f>
        <v>36</v>
      </c>
      <c r="J5" s="41">
        <v>38</v>
      </c>
      <c r="K5" s="27">
        <f>SUM(J5)+1.8</f>
        <v>39.799999999999997</v>
      </c>
      <c r="L5" s="27">
        <f t="shared" ref="L5:M5" si="1">SUM(K5)+1.8</f>
        <v>41.599999999999994</v>
      </c>
      <c r="M5" s="62">
        <f t="shared" si="1"/>
        <v>43.399999999999991</v>
      </c>
    </row>
    <row r="6" spans="1:16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8"/>
    </row>
    <row r="7" spans="1:16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38.5</v>
      </c>
      <c r="I7" s="27">
        <f>SUM(J7)-2.25</f>
        <v>40.75</v>
      </c>
      <c r="J7" s="41">
        <v>43</v>
      </c>
      <c r="K7" s="27">
        <f>SUM(J7)+2</f>
        <v>45</v>
      </c>
      <c r="L7" s="27">
        <f>SUM(K7)+2</f>
        <v>47</v>
      </c>
      <c r="M7" s="62">
        <f>SUM(L7)+2</f>
        <v>49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6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SUM(I9)-1.6</f>
        <v>28.799999999999997</v>
      </c>
      <c r="I9" s="27">
        <f>SUM(J9)-1.6</f>
        <v>30.4</v>
      </c>
      <c r="J9" s="41">
        <v>32</v>
      </c>
      <c r="K9" s="27">
        <f>SUM(J9)+1.4</f>
        <v>33.4</v>
      </c>
      <c r="L9" s="27">
        <f t="shared" ref="L9:M9" si="2">SUM(K9)+1.4</f>
        <v>34.799999999999997</v>
      </c>
      <c r="M9" s="62">
        <f t="shared" si="2"/>
        <v>36.199999999999996</v>
      </c>
      <c r="O9" s="1" t="s">
        <v>162</v>
      </c>
    </row>
    <row r="10" spans="1:16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6" s="1" customFormat="1" ht="14.1" customHeight="1" thickBo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15.399999999999999</v>
      </c>
      <c r="I11" s="27">
        <f>SUM(J11)-0.8</f>
        <v>16.2</v>
      </c>
      <c r="J11" s="125">
        <v>17</v>
      </c>
      <c r="K11" s="114">
        <f>SUM(J11)+0.8</f>
        <v>17.8</v>
      </c>
      <c r="L11" s="114">
        <f t="shared" ref="L11:M11" si="3">SUM(K11)+0.8</f>
        <v>18.600000000000001</v>
      </c>
      <c r="M11" s="162">
        <f t="shared" si="3"/>
        <v>19.400000000000002</v>
      </c>
    </row>
    <row r="12" spans="1:16" s="1" customFormat="1" ht="14.1" customHeight="1" thickTop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  <c r="P12" s="7" t="s">
        <v>236</v>
      </c>
    </row>
    <row r="13" spans="1:16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14.8</v>
      </c>
      <c r="I13" s="27">
        <f>SUM(J13)-0.6</f>
        <v>15.4</v>
      </c>
      <c r="J13" s="125">
        <v>16</v>
      </c>
      <c r="K13" s="114">
        <f>SUM(J13)+0.6</f>
        <v>16.600000000000001</v>
      </c>
      <c r="L13" s="114">
        <f>SUM(K13)+0.6</f>
        <v>17.200000000000003</v>
      </c>
      <c r="M13" s="162">
        <f>SUM(L13)+0.6</f>
        <v>17.800000000000004</v>
      </c>
      <c r="P13" s="8">
        <f>SUM(H25+I25+J25+K25+L25+M25)</f>
        <v>159.29999999999998</v>
      </c>
    </row>
    <row r="14" spans="1:16" s="1" customFormat="1" ht="14.1" customHeight="1" thickBo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  <c r="P14" s="9">
        <f>SUM(P13/91.44/6*1.08)</f>
        <v>0.31358267716535432</v>
      </c>
    </row>
    <row r="15" spans="1:16" s="1" customFormat="1" ht="14.1" customHeight="1" thickTop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6.1000000000000005</v>
      </c>
      <c r="I15" s="27">
        <f>SUM(J15)-0.3</f>
        <v>6.4</v>
      </c>
      <c r="J15" s="125">
        <v>6.7</v>
      </c>
      <c r="K15" s="114">
        <f>SUM(J15)+0.3</f>
        <v>7</v>
      </c>
      <c r="L15" s="114">
        <f>SUM(K15)+0.3</f>
        <v>7.3</v>
      </c>
      <c r="M15" s="162">
        <f>SUM(L15)+0.3</f>
        <v>7.6</v>
      </c>
    </row>
    <row r="16" spans="1:16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36.799999999999997</v>
      </c>
      <c r="I17" s="27">
        <f>SUM(J17)-1.6</f>
        <v>38.4</v>
      </c>
      <c r="J17" s="125">
        <v>40</v>
      </c>
      <c r="K17" s="114">
        <f>SUM(J17)+1.6</f>
        <v>41.6</v>
      </c>
      <c r="L17" s="114">
        <f>SUM(K17)+1.6</f>
        <v>43.2</v>
      </c>
      <c r="M17" s="162">
        <f>SUM(L17)+1.6</f>
        <v>44.800000000000004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SUM(I19)-3.5</f>
        <v>28.9</v>
      </c>
      <c r="I19" s="27">
        <f>SUM(J19)-3.5</f>
        <v>32.4</v>
      </c>
      <c r="J19" s="125">
        <v>35.9</v>
      </c>
      <c r="K19" s="114">
        <f>SUM(J19)+3.6</f>
        <v>39.5</v>
      </c>
      <c r="L19" s="114">
        <f t="shared" ref="L19:M19" si="4">SUM(K19)+3.6</f>
        <v>43.1</v>
      </c>
      <c r="M19" s="162">
        <f t="shared" si="4"/>
        <v>46.7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SUM(I21)-1.5</f>
        <v>29</v>
      </c>
      <c r="I21" s="27">
        <f>SUM(J21)-1.5</f>
        <v>30.5</v>
      </c>
      <c r="J21" s="125">
        <v>32</v>
      </c>
      <c r="K21" s="114">
        <f>SUM(J21)+1.5</f>
        <v>33.5</v>
      </c>
      <c r="L21" s="114">
        <f t="shared" ref="L21:M21" si="5">SUM(K21)+1.5</f>
        <v>35</v>
      </c>
      <c r="M21" s="162">
        <f t="shared" si="5"/>
        <v>36.5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14.8</v>
      </c>
      <c r="I23" s="27">
        <f>SUM(J23)-0.6</f>
        <v>15.4</v>
      </c>
      <c r="J23" s="125">
        <v>16</v>
      </c>
      <c r="K23" s="114">
        <f>SUM(J23)+0.6</f>
        <v>16.600000000000001</v>
      </c>
      <c r="L23" s="114">
        <f t="shared" ref="L23:M23" si="6">SUM(K23)+0.6</f>
        <v>17.200000000000003</v>
      </c>
      <c r="M23" s="162">
        <f t="shared" si="6"/>
        <v>17.800000000000004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98" t="s">
        <v>234</v>
      </c>
      <c r="C25" s="98"/>
      <c r="D25" s="124"/>
      <c r="E25" s="124"/>
      <c r="F25" s="124"/>
      <c r="G25" s="124"/>
      <c r="H25" s="27">
        <f>SUM(I25)-1.3</f>
        <v>23.4</v>
      </c>
      <c r="I25" s="27">
        <f>SUM(J25)-1.3</f>
        <v>24.7</v>
      </c>
      <c r="J25" s="41">
        <v>26</v>
      </c>
      <c r="K25" s="27">
        <f>SUM(J25)+1.2</f>
        <v>27.2</v>
      </c>
      <c r="L25" s="27">
        <f t="shared" ref="L25:M25" si="7">SUM(K25)+1.2</f>
        <v>28.4</v>
      </c>
      <c r="M25" s="62">
        <f t="shared" si="7"/>
        <v>29.599999999999998</v>
      </c>
    </row>
    <row r="26" spans="1:13" s="1" customFormat="1" ht="14.1" customHeight="1">
      <c r="A26" s="122"/>
      <c r="B26" s="75" t="s">
        <v>235</v>
      </c>
      <c r="C26" s="75"/>
      <c r="D26" s="79"/>
      <c r="E26" s="80"/>
      <c r="F26" s="80"/>
      <c r="G26" s="81"/>
      <c r="H26" s="46"/>
      <c r="I26" s="46"/>
      <c r="J26" s="44"/>
      <c r="K26" s="46"/>
      <c r="L26" s="46"/>
      <c r="M26" s="48"/>
    </row>
    <row r="27" spans="1:13" s="1" customFormat="1" ht="14.1" customHeight="1">
      <c r="A27" s="122">
        <v>13</v>
      </c>
      <c r="B27" s="36"/>
      <c r="C27" s="37"/>
      <c r="D27" s="129"/>
      <c r="E27" s="130"/>
      <c r="F27" s="130"/>
      <c r="G27" s="131"/>
      <c r="H27" s="27"/>
      <c r="I27" s="27"/>
      <c r="J27" s="125"/>
      <c r="K27" s="114"/>
      <c r="L27" s="114"/>
      <c r="M27" s="162"/>
    </row>
    <row r="28" spans="1:13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125"/>
      <c r="K28" s="114"/>
      <c r="L28" s="114"/>
      <c r="M28" s="162"/>
    </row>
    <row r="29" spans="1:13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62"/>
    </row>
    <row r="30" spans="1:13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16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297A-E194-472C-81B3-86FDB1BB4478}">
  <sheetPr codeName="Sheet17">
    <tabColor theme="5"/>
    <pageSetUpPr fitToPage="1"/>
  </sheetPr>
  <dimension ref="A1:O51"/>
  <sheetViews>
    <sheetView zoomScale="110" zoomScaleNormal="110" workbookViewId="0">
      <selection activeCell="K3" sqref="K3:K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175" t="s">
        <v>280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5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126</v>
      </c>
    </row>
    <row r="3" spans="1:15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35</v>
      </c>
      <c r="I3" s="27">
        <f>SUM(J3)-3.5</f>
        <v>38.5</v>
      </c>
      <c r="J3" s="139">
        <v>42</v>
      </c>
      <c r="K3" s="140">
        <f>SUM(J3)+3</f>
        <v>45</v>
      </c>
      <c r="L3" s="140">
        <f t="shared" ref="L3:N3" si="0">SUM(K3)+3</f>
        <v>48</v>
      </c>
      <c r="M3" s="140">
        <f t="shared" si="0"/>
        <v>51</v>
      </c>
      <c r="N3" s="174">
        <f t="shared" si="0"/>
        <v>54</v>
      </c>
    </row>
    <row r="4" spans="1:15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27"/>
      <c r="N4" s="172"/>
    </row>
    <row r="5" spans="1:15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</f>
        <v>31</v>
      </c>
      <c r="I5" s="27">
        <f>SUM(J5)-2</f>
        <v>33</v>
      </c>
      <c r="J5" s="41">
        <v>35</v>
      </c>
      <c r="K5" s="27">
        <f>SUM(J5)+1.8</f>
        <v>36.799999999999997</v>
      </c>
      <c r="L5" s="27">
        <f t="shared" ref="L5:N5" si="1">SUM(K5)+1.8</f>
        <v>38.599999999999994</v>
      </c>
      <c r="M5" s="27">
        <f t="shared" si="1"/>
        <v>40.399999999999991</v>
      </c>
      <c r="N5" s="172">
        <f t="shared" si="1"/>
        <v>42.199999999999989</v>
      </c>
    </row>
    <row r="6" spans="1:15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6"/>
      <c r="N6" s="173"/>
    </row>
    <row r="7" spans="1:15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36.5</v>
      </c>
      <c r="I7" s="27">
        <f>SUM(J7)-2.25</f>
        <v>38.75</v>
      </c>
      <c r="J7" s="41">
        <v>41</v>
      </c>
      <c r="K7" s="27">
        <f>SUM(J7)+2</f>
        <v>43</v>
      </c>
      <c r="L7" s="27">
        <f>SUM(K7)+2</f>
        <v>45</v>
      </c>
      <c r="M7" s="27">
        <f>SUM(L7)+2</f>
        <v>47</v>
      </c>
      <c r="N7" s="172">
        <f>SUM(M7)+2</f>
        <v>49</v>
      </c>
    </row>
    <row r="8" spans="1:15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6"/>
      <c r="N8" s="173"/>
    </row>
    <row r="9" spans="1:15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29.4</v>
      </c>
      <c r="I9" s="27">
        <f>SUM(J9)-1.8</f>
        <v>31.2</v>
      </c>
      <c r="J9" s="41">
        <v>33</v>
      </c>
      <c r="K9" s="27">
        <f>SUM(J9)+1.6</f>
        <v>34.6</v>
      </c>
      <c r="L9" s="27">
        <f>SUM(K9)+1.6</f>
        <v>36.200000000000003</v>
      </c>
      <c r="M9" s="27">
        <f>SUM(L9)+1.6</f>
        <v>37.800000000000004</v>
      </c>
      <c r="N9" s="172">
        <f>SUM(M9)+1.6</f>
        <v>39.400000000000006</v>
      </c>
      <c r="O9" s="1" t="s">
        <v>162</v>
      </c>
    </row>
    <row r="10" spans="1:15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6"/>
      <c r="N10" s="173"/>
    </row>
    <row r="11" spans="1:15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15.2</v>
      </c>
      <c r="I11" s="27">
        <f>SUM(J11)-0.8</f>
        <v>16</v>
      </c>
      <c r="J11" s="125">
        <v>16.8</v>
      </c>
      <c r="K11" s="114">
        <f>SUM(J11)+0.8</f>
        <v>17.600000000000001</v>
      </c>
      <c r="L11" s="114">
        <f t="shared" ref="L11:N11" si="2">SUM(K11)+0.8</f>
        <v>18.400000000000002</v>
      </c>
      <c r="M11" s="114">
        <f t="shared" si="2"/>
        <v>19.200000000000003</v>
      </c>
      <c r="N11" s="170">
        <f t="shared" si="2"/>
        <v>20.000000000000004</v>
      </c>
    </row>
    <row r="12" spans="1:15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4"/>
      <c r="N12" s="170"/>
    </row>
    <row r="13" spans="1:15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15</v>
      </c>
      <c r="I13" s="27">
        <f>SUM(J13)-0.6</f>
        <v>15.6</v>
      </c>
      <c r="J13" s="125">
        <v>16.2</v>
      </c>
      <c r="K13" s="114">
        <f>SUM(J13)+0.6</f>
        <v>16.8</v>
      </c>
      <c r="L13" s="114">
        <f>SUM(K13)+0.6</f>
        <v>17.400000000000002</v>
      </c>
      <c r="M13" s="114">
        <f>SUM(L13)+0.6</f>
        <v>18.000000000000004</v>
      </c>
      <c r="N13" s="170">
        <f>SUM(M13)+0.6</f>
        <v>18.600000000000005</v>
      </c>
    </row>
    <row r="14" spans="1:15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14"/>
      <c r="N14" s="170"/>
    </row>
    <row r="15" spans="1:15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6.2</v>
      </c>
      <c r="I15" s="27">
        <f>SUM(J15)-0.3</f>
        <v>6.5</v>
      </c>
      <c r="J15" s="125">
        <v>6.8</v>
      </c>
      <c r="K15" s="114">
        <f>SUM(J15)+0.3</f>
        <v>7.1</v>
      </c>
      <c r="L15" s="114">
        <f>SUM(K15)+0.3</f>
        <v>7.3999999999999995</v>
      </c>
      <c r="M15" s="114">
        <f>SUM(L15)+0.3</f>
        <v>7.6999999999999993</v>
      </c>
      <c r="N15" s="170">
        <f>SUM(M15)+0.3</f>
        <v>7.9999999999999991</v>
      </c>
    </row>
    <row r="16" spans="1:15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14"/>
      <c r="N16" s="170"/>
    </row>
    <row r="17" spans="1:14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39.799999999999997</v>
      </c>
      <c r="I17" s="27">
        <f>SUM(J17)-1.6</f>
        <v>41.4</v>
      </c>
      <c r="J17" s="125">
        <v>43</v>
      </c>
      <c r="K17" s="114">
        <f>SUM(J17)+1.6</f>
        <v>44.6</v>
      </c>
      <c r="L17" s="114">
        <f>SUM(K17)+1.6</f>
        <v>46.2</v>
      </c>
      <c r="M17" s="114">
        <f>SUM(L17)+1.6</f>
        <v>47.800000000000004</v>
      </c>
      <c r="N17" s="170">
        <f>SUM(M17)+1.6</f>
        <v>49.400000000000006</v>
      </c>
    </row>
    <row r="18" spans="1:14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14"/>
      <c r="N18" s="170"/>
    </row>
    <row r="19" spans="1:14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SUM(I19)-3.5</f>
        <v>29.5</v>
      </c>
      <c r="I19" s="27">
        <f>SUM(J19)-3.5</f>
        <v>33</v>
      </c>
      <c r="J19" s="125">
        <v>36.5</v>
      </c>
      <c r="K19" s="114">
        <f>SUM(J19)+3.6</f>
        <v>40.1</v>
      </c>
      <c r="L19" s="114">
        <f t="shared" ref="L19:N19" si="3">SUM(K19)+3.6</f>
        <v>43.7</v>
      </c>
      <c r="M19" s="114">
        <f t="shared" si="3"/>
        <v>47.300000000000004</v>
      </c>
      <c r="N19" s="170">
        <f t="shared" si="3"/>
        <v>50.900000000000006</v>
      </c>
    </row>
    <row r="20" spans="1:14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4"/>
      <c r="N20" s="170"/>
    </row>
    <row r="21" spans="1:14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29.799999999999997</v>
      </c>
      <c r="I21" s="27">
        <f>SUM(J21)-1.6</f>
        <v>31.4</v>
      </c>
      <c r="J21" s="125">
        <v>33</v>
      </c>
      <c r="K21" s="114">
        <f>SUM(J21)+1.6</f>
        <v>34.6</v>
      </c>
      <c r="L21" s="114">
        <f>SUM(K21)+1.6</f>
        <v>36.200000000000003</v>
      </c>
      <c r="M21" s="114">
        <f>SUM(L21)+1.6</f>
        <v>37.800000000000004</v>
      </c>
      <c r="N21" s="170">
        <f>SUM(M21)+1.6</f>
        <v>39.400000000000006</v>
      </c>
    </row>
    <row r="22" spans="1:14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4"/>
      <c r="N22" s="170"/>
    </row>
    <row r="23" spans="1:14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 t="shared" ref="L23:N23" si="4">SUM(K23)+0.6</f>
        <v>16.399999999999999</v>
      </c>
      <c r="M23" s="114">
        <f t="shared" si="4"/>
        <v>17</v>
      </c>
      <c r="N23" s="170">
        <f t="shared" si="4"/>
        <v>17.600000000000001</v>
      </c>
    </row>
    <row r="24" spans="1:14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4"/>
      <c r="N24" s="170"/>
    </row>
    <row r="25" spans="1:14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SUM(I25)-0.4</f>
        <v>5.3999999999999995</v>
      </c>
      <c r="I25" s="27">
        <f>SUM(J25)-0.4</f>
        <v>5.8</v>
      </c>
      <c r="J25" s="41">
        <v>6.2</v>
      </c>
      <c r="K25" s="27">
        <f>SUM(J25)+0.4</f>
        <v>6.6000000000000005</v>
      </c>
      <c r="L25" s="27">
        <f>SUM(K25)+0.4</f>
        <v>7.0000000000000009</v>
      </c>
      <c r="M25" s="27">
        <f>SUM(L25)+0.4</f>
        <v>7.4000000000000012</v>
      </c>
      <c r="N25" s="172">
        <f>SUM(M25)+0.4</f>
        <v>7.8000000000000016</v>
      </c>
    </row>
    <row r="26" spans="1:14" s="1" customFormat="1" ht="14.1" customHeight="1">
      <c r="A26" s="122"/>
      <c r="B26" s="127" t="s">
        <v>122</v>
      </c>
      <c r="C26" s="128"/>
      <c r="D26" s="79"/>
      <c r="E26" s="80"/>
      <c r="F26" s="80"/>
      <c r="G26" s="81"/>
      <c r="H26" s="46"/>
      <c r="I26" s="46"/>
      <c r="J26" s="44"/>
      <c r="K26" s="46"/>
      <c r="L26" s="46"/>
      <c r="M26" s="46"/>
      <c r="N26" s="173"/>
    </row>
    <row r="27" spans="1:14" s="1" customFormat="1" ht="14.1" customHeight="1">
      <c r="A27" s="122">
        <v>13</v>
      </c>
      <c r="B27" s="36" t="s">
        <v>115</v>
      </c>
      <c r="C27" s="37"/>
      <c r="D27" s="129"/>
      <c r="E27" s="130"/>
      <c r="F27" s="130"/>
      <c r="G27" s="131"/>
      <c r="H27" s="27">
        <f>SUM(I27)-0.1</f>
        <v>3.8</v>
      </c>
      <c r="I27" s="27">
        <f>SUM(J27)-0.1</f>
        <v>3.9</v>
      </c>
      <c r="J27" s="41">
        <v>4</v>
      </c>
      <c r="K27" s="27">
        <f>SUM(J27)+0.1</f>
        <v>4.0999999999999996</v>
      </c>
      <c r="L27" s="27">
        <f>SUM(K27)+0.1</f>
        <v>4.1999999999999993</v>
      </c>
      <c r="M27" s="27">
        <f>SUM(L27)+0.1</f>
        <v>4.2999999999999989</v>
      </c>
      <c r="N27" s="172">
        <f>SUM(M27)+0.1</f>
        <v>4.3999999999999986</v>
      </c>
    </row>
    <row r="28" spans="1:14" s="1" customFormat="1" ht="14.1" customHeight="1">
      <c r="A28" s="122"/>
      <c r="B28" s="127" t="s">
        <v>123</v>
      </c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6"/>
      <c r="N28" s="173"/>
    </row>
    <row r="29" spans="1:14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27"/>
      <c r="N29" s="172"/>
    </row>
    <row r="30" spans="1:14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28"/>
      <c r="N30" s="190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71">
    <mergeCell ref="N23:N24"/>
    <mergeCell ref="N25:N26"/>
    <mergeCell ref="N27:N28"/>
    <mergeCell ref="N29:N30"/>
    <mergeCell ref="N11:N12"/>
    <mergeCell ref="N13:N14"/>
    <mergeCell ref="N15:N16"/>
    <mergeCell ref="N17:N18"/>
    <mergeCell ref="N19:N20"/>
    <mergeCell ref="N21:N22"/>
    <mergeCell ref="K29:K30"/>
    <mergeCell ref="L29:L30"/>
    <mergeCell ref="M29:M30"/>
    <mergeCell ref="B30:C30"/>
    <mergeCell ref="D30:G30"/>
    <mergeCell ref="A1:N1"/>
    <mergeCell ref="N3:N4"/>
    <mergeCell ref="N5:N6"/>
    <mergeCell ref="N7:N8"/>
    <mergeCell ref="N9:N1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2143-F641-462B-9971-AE2C51C09B77}">
  <sheetPr codeName="Sheet73">
    <tabColor theme="5"/>
    <pageSetUpPr fitToPage="1"/>
  </sheetPr>
  <dimension ref="A1:O51"/>
  <sheetViews>
    <sheetView zoomScale="110" zoomScaleNormal="110" workbookViewId="0">
      <selection activeCell="A31" sqref="A31:N3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>
      <c r="A1" s="85" t="s">
        <v>530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/>
    </row>
    <row r="2" spans="1:15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14" t="s">
        <v>134</v>
      </c>
    </row>
    <row r="3" spans="1:15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34.5</v>
      </c>
      <c r="I3" s="27">
        <f>SUM(J3)-3.5</f>
        <v>38</v>
      </c>
      <c r="J3" s="139">
        <v>41.5</v>
      </c>
      <c r="K3" s="140">
        <f>SUM(J3)+3</f>
        <v>44.5</v>
      </c>
      <c r="L3" s="140">
        <f>SUM(K3)+3</f>
        <v>47.5</v>
      </c>
      <c r="M3" s="140">
        <f>SUM(L3)+3</f>
        <v>50.5</v>
      </c>
      <c r="N3" s="174">
        <f>SUM(M3)+3</f>
        <v>53.5</v>
      </c>
    </row>
    <row r="4" spans="1:15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27"/>
      <c r="N4" s="172"/>
    </row>
    <row r="5" spans="1:15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</f>
        <v>36</v>
      </c>
      <c r="I5" s="27">
        <f>SUM(J5)-2</f>
        <v>38</v>
      </c>
      <c r="J5" s="41">
        <v>40</v>
      </c>
      <c r="K5" s="27">
        <f>SUM(J5)+1.8</f>
        <v>41.8</v>
      </c>
      <c r="L5" s="27">
        <f t="shared" ref="L5:N5" si="0">SUM(K5)+1.8</f>
        <v>43.599999999999994</v>
      </c>
      <c r="M5" s="27">
        <f t="shared" si="0"/>
        <v>45.399999999999991</v>
      </c>
      <c r="N5" s="62">
        <f t="shared" si="0"/>
        <v>47.199999999999989</v>
      </c>
    </row>
    <row r="6" spans="1:15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6"/>
      <c r="N6" s="48"/>
    </row>
    <row r="7" spans="1:15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38.5</v>
      </c>
      <c r="I7" s="27">
        <f>SUM(J7)-2.25</f>
        <v>40.75</v>
      </c>
      <c r="J7" s="41">
        <v>43</v>
      </c>
      <c r="K7" s="27">
        <f>SUM(J7)+2</f>
        <v>45</v>
      </c>
      <c r="L7" s="27">
        <f>SUM(K7)+2</f>
        <v>47</v>
      </c>
      <c r="M7" s="27">
        <f>SUM(L7)+2</f>
        <v>49</v>
      </c>
      <c r="N7" s="172">
        <f>SUM(M7)+2</f>
        <v>51</v>
      </c>
    </row>
    <row r="8" spans="1:15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6"/>
      <c r="N8" s="173"/>
    </row>
    <row r="9" spans="1:15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29.4</v>
      </c>
      <c r="I9" s="27">
        <f>SUM(J9)-1.8</f>
        <v>31.2</v>
      </c>
      <c r="J9" s="41">
        <v>33</v>
      </c>
      <c r="K9" s="27">
        <f>SUM(J9)+1.6</f>
        <v>34.6</v>
      </c>
      <c r="L9" s="27">
        <f>SUM(K9)+1.6</f>
        <v>36.200000000000003</v>
      </c>
      <c r="M9" s="27">
        <f>SUM(L9)+1.6</f>
        <v>37.800000000000004</v>
      </c>
      <c r="N9" s="172">
        <f>SUM(M9)+1.6</f>
        <v>39.400000000000006</v>
      </c>
      <c r="O9" s="1" t="s">
        <v>162</v>
      </c>
    </row>
    <row r="10" spans="1:15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6"/>
      <c r="N10" s="173"/>
    </row>
    <row r="11" spans="1:15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14.899999999999999</v>
      </c>
      <c r="I11" s="27">
        <f>SUM(J11)-0.8</f>
        <v>15.7</v>
      </c>
      <c r="J11" s="125">
        <v>16.5</v>
      </c>
      <c r="K11" s="114">
        <f>SUM(J11)+0.8</f>
        <v>17.3</v>
      </c>
      <c r="L11" s="114">
        <f>SUM(K11)+0.8</f>
        <v>18.100000000000001</v>
      </c>
      <c r="M11" s="114">
        <f>SUM(L11)+0.8</f>
        <v>18.900000000000002</v>
      </c>
      <c r="N11" s="170">
        <f>SUM(M11)+0.8</f>
        <v>19.700000000000003</v>
      </c>
    </row>
    <row r="12" spans="1:15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4"/>
      <c r="N12" s="170"/>
    </row>
    <row r="13" spans="1:15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12.100000000000001</v>
      </c>
      <c r="I13" s="27">
        <f>SUM(J13)-0.6</f>
        <v>12.700000000000001</v>
      </c>
      <c r="J13" s="125">
        <v>13.3</v>
      </c>
      <c r="K13" s="114">
        <f>SUM(J13)+0.6</f>
        <v>13.9</v>
      </c>
      <c r="L13" s="114">
        <f>SUM(K13)+0.6</f>
        <v>14.5</v>
      </c>
      <c r="M13" s="114">
        <f>SUM(L13)+0.6</f>
        <v>15.1</v>
      </c>
      <c r="N13" s="170">
        <f>SUM(M13)+0.6</f>
        <v>15.7</v>
      </c>
    </row>
    <row r="14" spans="1:15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14"/>
      <c r="N14" s="170"/>
    </row>
    <row r="15" spans="1:15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4.9000000000000004</v>
      </c>
      <c r="I15" s="27">
        <f>SUM(J15)-0.3</f>
        <v>5.2</v>
      </c>
      <c r="J15" s="125">
        <v>5.5</v>
      </c>
      <c r="K15" s="114">
        <f>SUM(J15)+0.3</f>
        <v>5.8</v>
      </c>
      <c r="L15" s="114">
        <f>SUM(K15)+0.3</f>
        <v>6.1</v>
      </c>
      <c r="M15" s="114">
        <f>SUM(L15)+0.3</f>
        <v>6.3999999999999995</v>
      </c>
      <c r="N15" s="170">
        <f>SUM(M15)+0.3</f>
        <v>6.6999999999999993</v>
      </c>
    </row>
    <row r="16" spans="1:15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14"/>
      <c r="N16" s="170"/>
    </row>
    <row r="17" spans="1:14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33.799999999999997</v>
      </c>
      <c r="I17" s="27">
        <f>SUM(J17)-1.6</f>
        <v>35.4</v>
      </c>
      <c r="J17" s="125">
        <v>37</v>
      </c>
      <c r="K17" s="114">
        <f>SUM(J17)+1.6</f>
        <v>38.6</v>
      </c>
      <c r="L17" s="114">
        <f>SUM(K17)+1.6</f>
        <v>40.200000000000003</v>
      </c>
      <c r="M17" s="114">
        <f>SUM(L17)+1.6</f>
        <v>41.800000000000004</v>
      </c>
      <c r="N17" s="170">
        <f>SUM(M17)+1.6</f>
        <v>43.400000000000006</v>
      </c>
    </row>
    <row r="18" spans="1:14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14"/>
      <c r="N18" s="170"/>
    </row>
    <row r="19" spans="1:14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SUM(I19)-3.5</f>
        <v>27</v>
      </c>
      <c r="I19" s="27">
        <f>SUM(J19)-3.5</f>
        <v>30.5</v>
      </c>
      <c r="J19" s="125">
        <v>34</v>
      </c>
      <c r="K19" s="114">
        <f>SUM(J19)+3.6</f>
        <v>37.6</v>
      </c>
      <c r="L19" s="114">
        <f t="shared" ref="L19:N19" si="1">SUM(K19)+3.6</f>
        <v>41.2</v>
      </c>
      <c r="M19" s="114">
        <f t="shared" si="1"/>
        <v>44.800000000000004</v>
      </c>
      <c r="N19" s="162">
        <f t="shared" si="1"/>
        <v>48.400000000000006</v>
      </c>
    </row>
    <row r="20" spans="1:14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4"/>
      <c r="N20" s="162"/>
    </row>
    <row r="21" spans="1:14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29.699999999999996</v>
      </c>
      <c r="I21" s="27">
        <f>SUM(J21)-1.6</f>
        <v>31.299999999999997</v>
      </c>
      <c r="J21" s="125">
        <v>32.9</v>
      </c>
      <c r="K21" s="114">
        <f>SUM(J21)+1.6</f>
        <v>34.5</v>
      </c>
      <c r="L21" s="114">
        <f t="shared" ref="L21:N21" si="2">SUM(K21)+1.6</f>
        <v>36.1</v>
      </c>
      <c r="M21" s="114">
        <f t="shared" si="2"/>
        <v>37.700000000000003</v>
      </c>
      <c r="N21" s="162">
        <f t="shared" si="2"/>
        <v>39.300000000000004</v>
      </c>
    </row>
    <row r="22" spans="1:14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4"/>
      <c r="N22" s="162"/>
    </row>
    <row r="23" spans="1:14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>SUM(K23)+0.6</f>
        <v>16.399999999999999</v>
      </c>
      <c r="M23" s="114">
        <f>SUM(L23)+0.6</f>
        <v>17</v>
      </c>
      <c r="N23" s="170">
        <f>SUM(M23)+0.6</f>
        <v>17.600000000000001</v>
      </c>
    </row>
    <row r="24" spans="1:14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4"/>
      <c r="N24" s="170"/>
    </row>
    <row r="25" spans="1:14" s="1" customFormat="1" ht="14.1" customHeight="1">
      <c r="A25" s="122">
        <v>12</v>
      </c>
      <c r="B25" s="36" t="s">
        <v>365</v>
      </c>
      <c r="C25" s="37"/>
      <c r="D25" s="129"/>
      <c r="E25" s="130"/>
      <c r="F25" s="130"/>
      <c r="G25" s="131"/>
      <c r="H25" s="27">
        <f>SUM(I25)</f>
        <v>3</v>
      </c>
      <c r="I25" s="27">
        <f>SUM(J25)</f>
        <v>3</v>
      </c>
      <c r="J25" s="125">
        <v>3</v>
      </c>
      <c r="K25" s="114">
        <f>SUM(J25)</f>
        <v>3</v>
      </c>
      <c r="L25" s="114">
        <f t="shared" ref="L25:N25" si="3">SUM(K25)</f>
        <v>3</v>
      </c>
      <c r="M25" s="114">
        <f t="shared" si="3"/>
        <v>3</v>
      </c>
      <c r="N25" s="162">
        <f t="shared" si="3"/>
        <v>3</v>
      </c>
    </row>
    <row r="26" spans="1:14" s="1" customFormat="1" ht="14.1" customHeight="1">
      <c r="A26" s="122"/>
      <c r="B26" s="127" t="s">
        <v>413</v>
      </c>
      <c r="C26" s="128"/>
      <c r="D26" s="79" t="s">
        <v>531</v>
      </c>
      <c r="E26" s="80"/>
      <c r="F26" s="80"/>
      <c r="G26" s="81"/>
      <c r="H26" s="46"/>
      <c r="I26" s="46"/>
      <c r="J26" s="125"/>
      <c r="K26" s="114"/>
      <c r="L26" s="114"/>
      <c r="M26" s="114"/>
      <c r="N26" s="162"/>
    </row>
    <row r="27" spans="1:14" s="1" customFormat="1" ht="14.1" customHeight="1">
      <c r="A27" s="122">
        <v>13</v>
      </c>
      <c r="B27" s="36" t="s">
        <v>414</v>
      </c>
      <c r="C27" s="37"/>
      <c r="D27" s="129"/>
      <c r="E27" s="130"/>
      <c r="F27" s="130"/>
      <c r="G27" s="131"/>
      <c r="H27" s="27">
        <f>SUM(I27)-0.2</f>
        <v>6.3999999999999995</v>
      </c>
      <c r="I27" s="27">
        <f>SUM(J27)-0.2</f>
        <v>6.6</v>
      </c>
      <c r="J27" s="125">
        <v>6.8</v>
      </c>
      <c r="K27" s="114">
        <f>SUM(J27)+0.2</f>
        <v>7</v>
      </c>
      <c r="L27" s="114">
        <f t="shared" ref="L27:N27" si="4">SUM(K27)+0.2</f>
        <v>7.2</v>
      </c>
      <c r="M27" s="114">
        <f t="shared" si="4"/>
        <v>7.4</v>
      </c>
      <c r="N27" s="162">
        <f t="shared" si="4"/>
        <v>7.6000000000000005</v>
      </c>
    </row>
    <row r="28" spans="1:14" s="1" customFormat="1" ht="14.1" customHeight="1">
      <c r="A28" s="122"/>
      <c r="B28" s="127" t="s">
        <v>415</v>
      </c>
      <c r="C28" s="128"/>
      <c r="D28" s="79" t="s">
        <v>532</v>
      </c>
      <c r="E28" s="80"/>
      <c r="F28" s="80"/>
      <c r="G28" s="81"/>
      <c r="H28" s="46"/>
      <c r="I28" s="46"/>
      <c r="J28" s="125"/>
      <c r="K28" s="114"/>
      <c r="L28" s="114"/>
      <c r="M28" s="114"/>
      <c r="N28" s="162"/>
    </row>
    <row r="29" spans="1:14" s="1" customFormat="1" ht="14.1" customHeight="1">
      <c r="A29" s="122">
        <v>14</v>
      </c>
      <c r="B29" s="36" t="s">
        <v>417</v>
      </c>
      <c r="C29" s="37"/>
      <c r="D29" s="129"/>
      <c r="E29" s="130"/>
      <c r="F29" s="130"/>
      <c r="G29" s="131"/>
      <c r="H29" s="27">
        <f>SUM(I29)-0.6</f>
        <v>16.999999999999996</v>
      </c>
      <c r="I29" s="27">
        <f>SUM(J29)-0.6</f>
        <v>17.599999999999998</v>
      </c>
      <c r="J29" s="125">
        <v>18.2</v>
      </c>
      <c r="K29" s="114">
        <f>SUM(J29)+0.6</f>
        <v>18.8</v>
      </c>
      <c r="L29" s="114">
        <f t="shared" ref="L29:N29" si="5">SUM(K29)+0.6</f>
        <v>19.400000000000002</v>
      </c>
      <c r="M29" s="114">
        <f t="shared" si="5"/>
        <v>20.000000000000004</v>
      </c>
      <c r="N29" s="162">
        <f t="shared" si="5"/>
        <v>20.600000000000005</v>
      </c>
    </row>
    <row r="30" spans="1:14" s="1" customFormat="1" ht="14.1" customHeight="1">
      <c r="A30" s="122"/>
      <c r="B30" s="127" t="s">
        <v>418</v>
      </c>
      <c r="C30" s="128"/>
      <c r="D30" s="79"/>
      <c r="E30" s="80"/>
      <c r="F30" s="80"/>
      <c r="G30" s="81"/>
      <c r="H30" s="46"/>
      <c r="I30" s="46"/>
      <c r="J30" s="125"/>
      <c r="K30" s="114"/>
      <c r="L30" s="114"/>
      <c r="M30" s="114"/>
      <c r="N30" s="162"/>
    </row>
    <row r="31" spans="1:14" ht="13.5" customHeight="1">
      <c r="A31" s="122">
        <v>15</v>
      </c>
      <c r="B31" s="36" t="s">
        <v>114</v>
      </c>
      <c r="C31" s="37"/>
      <c r="D31" s="129"/>
      <c r="E31" s="130"/>
      <c r="F31" s="130"/>
      <c r="G31" s="131"/>
      <c r="H31" s="27">
        <f>SUM(I31)-0.5</f>
        <v>5.4</v>
      </c>
      <c r="I31" s="27">
        <f>SUM(J31)-0.5</f>
        <v>5.9</v>
      </c>
      <c r="J31" s="125">
        <v>6.4</v>
      </c>
      <c r="K31" s="114">
        <f>SUM(J31)+0.4</f>
        <v>6.8000000000000007</v>
      </c>
      <c r="L31" s="114">
        <f t="shared" ref="L31:N31" si="6">SUM(K31)+0.4</f>
        <v>7.2000000000000011</v>
      </c>
      <c r="M31" s="114">
        <f t="shared" si="6"/>
        <v>7.6000000000000014</v>
      </c>
      <c r="N31" s="162">
        <f t="shared" si="6"/>
        <v>8.0000000000000018</v>
      </c>
    </row>
    <row r="32" spans="1:14" ht="14.1" customHeight="1">
      <c r="A32" s="122"/>
      <c r="B32" s="127" t="s">
        <v>122</v>
      </c>
      <c r="C32" s="128"/>
      <c r="D32" s="79" t="s">
        <v>533</v>
      </c>
      <c r="E32" s="80"/>
      <c r="F32" s="80"/>
      <c r="G32" s="81"/>
      <c r="H32" s="46"/>
      <c r="I32" s="46"/>
      <c r="J32" s="41"/>
      <c r="K32" s="114"/>
      <c r="L32" s="114"/>
      <c r="M32" s="114"/>
      <c r="N32" s="162"/>
    </row>
    <row r="33" spans="1:14" ht="14.1" customHeight="1">
      <c r="A33" s="122">
        <v>16</v>
      </c>
      <c r="B33" s="133" t="s">
        <v>115</v>
      </c>
      <c r="C33" s="134"/>
      <c r="D33" s="135"/>
      <c r="E33" s="136"/>
      <c r="F33" s="136"/>
      <c r="G33" s="137"/>
      <c r="H33" s="27">
        <f>SUM(I33)-0.3</f>
        <v>4.5</v>
      </c>
      <c r="I33" s="27">
        <f>SUM(J33)-0.3</f>
        <v>4.8</v>
      </c>
      <c r="J33" s="125">
        <v>5.0999999999999996</v>
      </c>
      <c r="K33" s="114">
        <f>SUM(J33)+0.3</f>
        <v>5.3999999999999995</v>
      </c>
      <c r="L33" s="114">
        <f t="shared" ref="L33:N33" si="7">SUM(K33)+0.3</f>
        <v>5.6999999999999993</v>
      </c>
      <c r="M33" s="114">
        <f t="shared" si="7"/>
        <v>5.9999999999999991</v>
      </c>
      <c r="N33" s="162">
        <f t="shared" si="7"/>
        <v>6.2999999999999989</v>
      </c>
    </row>
    <row r="34" spans="1:14" ht="14.1" customHeight="1" thickBot="1">
      <c r="A34" s="123"/>
      <c r="B34" s="143" t="s">
        <v>123</v>
      </c>
      <c r="C34" s="144"/>
      <c r="D34" s="119" t="s">
        <v>322</v>
      </c>
      <c r="E34" s="120"/>
      <c r="F34" s="120"/>
      <c r="G34" s="121"/>
      <c r="H34" s="28"/>
      <c r="I34" s="28"/>
      <c r="J34" s="126"/>
      <c r="K34" s="115"/>
      <c r="L34" s="115"/>
      <c r="M34" s="115"/>
      <c r="N34" s="142"/>
    </row>
    <row r="35" spans="1:14" ht="14.1" customHeight="1"/>
    <row r="36" spans="1:14" ht="14.1" customHeight="1"/>
    <row r="37" spans="1:14" ht="14.1" customHeight="1"/>
    <row r="38" spans="1:14" ht="14.1" customHeight="1"/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195"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BD0F-B602-411A-A3D4-D3E8996DC284}">
  <sheetPr codeName="Sheet32">
    <tabColor theme="5"/>
    <pageSetUpPr fitToPage="1"/>
  </sheetPr>
  <dimension ref="A1:N51"/>
  <sheetViews>
    <sheetView zoomScale="110" zoomScaleNormal="110" workbookViewId="0">
      <selection sqref="A1:M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443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13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38</v>
      </c>
      <c r="I3" s="27">
        <f>SUM(J3)-3.5</f>
        <v>41.5</v>
      </c>
      <c r="J3" s="139">
        <v>45</v>
      </c>
      <c r="K3" s="140">
        <f>SUM(J3)+3</f>
        <v>48</v>
      </c>
      <c r="L3" s="140">
        <f t="shared" ref="L3:M3" si="0">SUM(K3)+3</f>
        <v>51</v>
      </c>
      <c r="M3" s="141">
        <f t="shared" si="0"/>
        <v>54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29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37.599999999999994</v>
      </c>
      <c r="I5" s="27">
        <f>SUM(J5)-2.2</f>
        <v>39.799999999999997</v>
      </c>
      <c r="J5" s="41">
        <v>42</v>
      </c>
      <c r="K5" s="27">
        <f>SUM(J5)+2</f>
        <v>44</v>
      </c>
      <c r="L5" s="27">
        <f t="shared" ref="L5:M5" si="1">SUM(K5)+2</f>
        <v>46</v>
      </c>
      <c r="M5" s="29">
        <f t="shared" si="1"/>
        <v>48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132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38.5</v>
      </c>
      <c r="I7" s="27">
        <f>SUM(J7)-2.25</f>
        <v>40.75</v>
      </c>
      <c r="J7" s="41">
        <v>43</v>
      </c>
      <c r="K7" s="27">
        <f>SUM(J7)+2</f>
        <v>45</v>
      </c>
      <c r="L7" s="27">
        <f>SUM(K7)+2</f>
        <v>47</v>
      </c>
      <c r="M7" s="29">
        <f>SUM(L7)+2</f>
        <v>49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132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SUM(I9)-2.2</f>
        <v>35.599999999999994</v>
      </c>
      <c r="I9" s="27">
        <f>SUM(J9)-2.2</f>
        <v>37.799999999999997</v>
      </c>
      <c r="J9" s="41">
        <v>40</v>
      </c>
      <c r="K9" s="27">
        <f>SUM(J9)+2</f>
        <v>42</v>
      </c>
      <c r="L9" s="27">
        <f t="shared" ref="L9:M9" si="2">SUM(K9)+2</f>
        <v>44</v>
      </c>
      <c r="M9" s="29">
        <f t="shared" si="2"/>
        <v>46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14.899999999999999</v>
      </c>
      <c r="I11" s="27">
        <f>SUM(J11)-0.8</f>
        <v>15.7</v>
      </c>
      <c r="J11" s="125">
        <v>16.5</v>
      </c>
      <c r="K11" s="114">
        <f>SUM(J11)+0.8</f>
        <v>17.3</v>
      </c>
      <c r="L11" s="114">
        <f t="shared" ref="L11:M11" si="3">SUM(K11)+0.8</f>
        <v>18.100000000000001</v>
      </c>
      <c r="M11" s="116">
        <f t="shared" si="3"/>
        <v>18.900000000000002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6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15.100000000000001</v>
      </c>
      <c r="I13" s="27">
        <f>SUM(J13)-0.6</f>
        <v>15.700000000000001</v>
      </c>
      <c r="J13" s="125">
        <v>16.3</v>
      </c>
      <c r="K13" s="114">
        <f>SUM(J13)+0.6</f>
        <v>16.900000000000002</v>
      </c>
      <c r="L13" s="114">
        <f>SUM(K13)+0.6</f>
        <v>17.500000000000004</v>
      </c>
      <c r="M13" s="116">
        <f>SUM(L13)+0.6</f>
        <v>18.100000000000005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7.3000000000000007</v>
      </c>
      <c r="I15" s="27">
        <f>SUM(J15)-0.3</f>
        <v>7.6000000000000005</v>
      </c>
      <c r="J15" s="125">
        <v>7.9</v>
      </c>
      <c r="K15" s="114">
        <f>SUM(J15)+0.3</f>
        <v>8.2000000000000011</v>
      </c>
      <c r="L15" s="114">
        <f>SUM(K15)+0.3</f>
        <v>8.5000000000000018</v>
      </c>
      <c r="M15" s="116">
        <f>SUM(L15)+0.3</f>
        <v>8.8000000000000025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37.799999999999997</v>
      </c>
      <c r="I17" s="27">
        <f>SUM(J17)-1.6</f>
        <v>39.4</v>
      </c>
      <c r="J17" s="125">
        <v>41</v>
      </c>
      <c r="K17" s="114">
        <f>SUM(J17)+1.6</f>
        <v>42.6</v>
      </c>
      <c r="L17" s="114">
        <f>SUM(K17)+1.6</f>
        <v>44.2</v>
      </c>
      <c r="M17" s="116">
        <f>SUM(L17)+1.6</f>
        <v>45.800000000000004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16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27.200000000000003</v>
      </c>
      <c r="I19" s="27">
        <f>SUM(J19)-3.4</f>
        <v>30.6</v>
      </c>
      <c r="J19" s="125">
        <v>34</v>
      </c>
      <c r="K19" s="114">
        <f>SUM(J19)+3.5</f>
        <v>37.5</v>
      </c>
      <c r="L19" s="114">
        <f t="shared" ref="L19:M19" si="4">SUM(K19)+3.5</f>
        <v>41</v>
      </c>
      <c r="M19" s="116">
        <f t="shared" si="4"/>
        <v>44.5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6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116"/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6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14.8</v>
      </c>
      <c r="I23" s="27">
        <f>SUM(J23)-0.6</f>
        <v>15.4</v>
      </c>
      <c r="J23" s="125">
        <v>16</v>
      </c>
      <c r="K23" s="114">
        <f>SUM(J23)+0.6</f>
        <v>16.600000000000001</v>
      </c>
      <c r="L23" s="114">
        <f t="shared" ref="L23:M23" si="5">SUM(K23)+0.6</f>
        <v>17.200000000000003</v>
      </c>
      <c r="M23" s="116">
        <f t="shared" si="5"/>
        <v>17.800000000000004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6"/>
    </row>
    <row r="25" spans="1:13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SUM(I25)-0.3</f>
        <v>4.9000000000000004</v>
      </c>
      <c r="I25" s="27">
        <f>SUM(J25)-0.3</f>
        <v>5.2</v>
      </c>
      <c r="J25" s="41">
        <v>5.5</v>
      </c>
      <c r="K25" s="27">
        <f>SUM(J25)+0.3</f>
        <v>5.8</v>
      </c>
      <c r="L25" s="27">
        <f t="shared" ref="L25:M25" si="6">SUM(K25)+0.3</f>
        <v>6.1</v>
      </c>
      <c r="M25" s="29">
        <f t="shared" si="6"/>
        <v>6.3999999999999995</v>
      </c>
    </row>
    <row r="26" spans="1:13" s="1" customFormat="1" ht="14.1" customHeight="1">
      <c r="A26" s="122"/>
      <c r="B26" s="127" t="s">
        <v>122</v>
      </c>
      <c r="C26" s="128"/>
      <c r="D26" s="79" t="s">
        <v>216</v>
      </c>
      <c r="E26" s="80"/>
      <c r="F26" s="80"/>
      <c r="G26" s="81"/>
      <c r="H26" s="46"/>
      <c r="I26" s="46"/>
      <c r="J26" s="44"/>
      <c r="K26" s="46"/>
      <c r="L26" s="46"/>
      <c r="M26" s="132"/>
    </row>
    <row r="27" spans="1:13" s="1" customFormat="1" ht="14.1" customHeight="1">
      <c r="A27" s="122">
        <v>13</v>
      </c>
      <c r="B27" s="36"/>
      <c r="C27" s="37"/>
      <c r="D27" s="129"/>
      <c r="E27" s="130"/>
      <c r="F27" s="130"/>
      <c r="G27" s="131"/>
      <c r="H27" s="27"/>
      <c r="I27" s="27"/>
      <c r="J27" s="41"/>
      <c r="K27" s="27"/>
      <c r="L27" s="27"/>
      <c r="M27" s="62"/>
    </row>
    <row r="28" spans="1:13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8"/>
    </row>
    <row r="29" spans="1:13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62"/>
    </row>
    <row r="30" spans="1:13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16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J3:J4"/>
    <mergeCell ref="K3:K4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A1:M1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287-F678-42F1-B851-1F359B586F35}">
  <sheetPr codeName="Sheet18">
    <tabColor theme="5"/>
    <pageSetUpPr fitToPage="1"/>
  </sheetPr>
  <dimension ref="A1:N51"/>
  <sheetViews>
    <sheetView zoomScale="110" zoomScaleNormal="110" workbookViewId="0">
      <selection sqref="A1:M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287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163">
        <f>SUM(I3)-3.5</f>
        <v>38.5</v>
      </c>
      <c r="I3" s="27">
        <f>SUM(J3)-3.5</f>
        <v>42</v>
      </c>
      <c r="J3" s="139">
        <v>45.5</v>
      </c>
      <c r="K3" s="140">
        <f>SUM(J3)+3</f>
        <v>48.5</v>
      </c>
      <c r="L3" s="140">
        <f t="shared" ref="L3:M3" si="0">SUM(K3)+3</f>
        <v>51.5</v>
      </c>
      <c r="M3" s="166">
        <f t="shared" si="0"/>
        <v>54.5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164"/>
      <c r="I4" s="46"/>
      <c r="J4" s="41"/>
      <c r="K4" s="27"/>
      <c r="L4" s="27"/>
      <c r="M4" s="62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163">
        <f>SUM(I5)-2.2</f>
        <v>35.599999999999994</v>
      </c>
      <c r="I5" s="27">
        <f>SUM(J5)-2.2</f>
        <v>37.799999999999997</v>
      </c>
      <c r="J5" s="41">
        <v>40</v>
      </c>
      <c r="K5" s="27">
        <f>SUM(J5)+2</f>
        <v>42</v>
      </c>
      <c r="L5" s="27">
        <f t="shared" ref="L5:M5" si="1">SUM(K5)+2</f>
        <v>44</v>
      </c>
      <c r="M5" s="62">
        <f t="shared" si="1"/>
        <v>46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164"/>
      <c r="I6" s="46"/>
      <c r="J6" s="44"/>
      <c r="K6" s="46"/>
      <c r="L6" s="46"/>
      <c r="M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163">
        <f>SUM(I7)-2.25</f>
        <v>37.5</v>
      </c>
      <c r="I7" s="27">
        <f>SUM(J7)-2.25</f>
        <v>39.75</v>
      </c>
      <c r="J7" s="41">
        <v>42</v>
      </c>
      <c r="K7" s="27">
        <f>SUM(J7)+2</f>
        <v>44</v>
      </c>
      <c r="L7" s="27">
        <f>SUM(K7)+2</f>
        <v>46</v>
      </c>
      <c r="M7" s="62">
        <f>SUM(L7)+2</f>
        <v>48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164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163">
        <f>SUM(I9)-1.8</f>
        <v>28.4</v>
      </c>
      <c r="I9" s="27">
        <f>SUM(J9)-1.8</f>
        <v>30.2</v>
      </c>
      <c r="J9" s="41">
        <v>32</v>
      </c>
      <c r="K9" s="27">
        <f>SUM(J9)+1.6</f>
        <v>33.6</v>
      </c>
      <c r="L9" s="27">
        <f>SUM(K9)+1.6</f>
        <v>35.200000000000003</v>
      </c>
      <c r="M9" s="62">
        <f>SUM(L9)+1.6</f>
        <v>36.800000000000004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164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163">
        <f>SUM(I11)-0.8</f>
        <v>14.899999999999999</v>
      </c>
      <c r="I11" s="27">
        <f>SUM(J11)-0.8</f>
        <v>15.7</v>
      </c>
      <c r="J11" s="125">
        <v>16.5</v>
      </c>
      <c r="K11" s="114">
        <f>SUM(J11)+0.8</f>
        <v>17.3</v>
      </c>
      <c r="L11" s="114">
        <f t="shared" ref="L11:M11" si="2">SUM(K11)+0.8</f>
        <v>18.100000000000001</v>
      </c>
      <c r="M11" s="162">
        <f t="shared" si="2"/>
        <v>18.900000000000002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164"/>
      <c r="I12" s="46"/>
      <c r="J12" s="125"/>
      <c r="K12" s="114"/>
      <c r="L12" s="114"/>
      <c r="M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163">
        <f>SUM(I13)-0.6</f>
        <v>15.100000000000001</v>
      </c>
      <c r="I13" s="27">
        <f>SUM(J13)-0.6</f>
        <v>15.700000000000001</v>
      </c>
      <c r="J13" s="125">
        <v>16.3</v>
      </c>
      <c r="K13" s="114">
        <f>SUM(J13)+0.6</f>
        <v>16.900000000000002</v>
      </c>
      <c r="L13" s="114">
        <f>SUM(K13)+0.6</f>
        <v>17.500000000000004</v>
      </c>
      <c r="M13" s="162">
        <f>SUM(L13)+0.6</f>
        <v>18.100000000000005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164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163">
        <f>SUM(I15)-0.3</f>
        <v>8.0999999999999979</v>
      </c>
      <c r="I15" s="27">
        <f>SUM(J15)-0.3</f>
        <v>8.3999999999999986</v>
      </c>
      <c r="J15" s="125">
        <v>8.6999999999999993</v>
      </c>
      <c r="K15" s="114">
        <f>SUM(J15)+0.3</f>
        <v>9</v>
      </c>
      <c r="L15" s="114">
        <f>SUM(K15)+0.3</f>
        <v>9.3000000000000007</v>
      </c>
      <c r="M15" s="162">
        <f>SUM(L15)+0.3</f>
        <v>9.6000000000000014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164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163">
        <f>SUM(I17)-1.6</f>
        <v>40.799999999999997</v>
      </c>
      <c r="I17" s="27">
        <f>SUM(J17)-1.6</f>
        <v>42.4</v>
      </c>
      <c r="J17" s="125">
        <v>44</v>
      </c>
      <c r="K17" s="114">
        <f>SUM(J17)+1.6</f>
        <v>45.6</v>
      </c>
      <c r="L17" s="114">
        <f>SUM(K17)+1.6</f>
        <v>47.2</v>
      </c>
      <c r="M17" s="162">
        <f>SUM(L17)+1.6</f>
        <v>48.800000000000004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164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163">
        <f>SUM(I19)-3.4</f>
        <v>27.5</v>
      </c>
      <c r="I19" s="27">
        <f>SUM(J19)-3.4</f>
        <v>30.9</v>
      </c>
      <c r="J19" s="125">
        <v>34.299999999999997</v>
      </c>
      <c r="K19" s="114">
        <f>SUM(J19)+3.5</f>
        <v>37.799999999999997</v>
      </c>
      <c r="L19" s="114">
        <f t="shared" ref="L19:M19" si="3">SUM(K19)+3.5</f>
        <v>41.3</v>
      </c>
      <c r="M19" s="162">
        <f t="shared" si="3"/>
        <v>44.8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164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163"/>
      <c r="I21" s="27"/>
      <c r="J21" s="125"/>
      <c r="K21" s="114"/>
      <c r="L21" s="114"/>
      <c r="M21" s="162"/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164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163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 t="shared" ref="L23:M23" si="4">SUM(K23)+0.6</f>
        <v>16.399999999999999</v>
      </c>
      <c r="M23" s="162">
        <f t="shared" si="4"/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164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36"/>
      <c r="C25" s="37"/>
      <c r="D25" s="124"/>
      <c r="E25" s="124"/>
      <c r="F25" s="124"/>
      <c r="G25" s="124"/>
      <c r="H25" s="27"/>
      <c r="I25" s="27"/>
      <c r="J25" s="41"/>
      <c r="K25" s="27"/>
      <c r="L25" s="27"/>
      <c r="M25" s="62"/>
    </row>
    <row r="26" spans="1:13" s="1" customFormat="1" ht="14.1" customHeight="1">
      <c r="A26" s="122"/>
      <c r="B26" s="127"/>
      <c r="C26" s="128"/>
      <c r="D26" s="79"/>
      <c r="E26" s="80"/>
      <c r="F26" s="80"/>
      <c r="G26" s="81"/>
      <c r="H26" s="46"/>
      <c r="I26" s="46"/>
      <c r="J26" s="44"/>
      <c r="K26" s="46"/>
      <c r="L26" s="46"/>
      <c r="M26" s="48"/>
    </row>
    <row r="27" spans="1:13" s="1" customFormat="1" ht="14.1" customHeight="1">
      <c r="A27" s="122">
        <v>13</v>
      </c>
      <c r="B27" s="36"/>
      <c r="C27" s="37"/>
      <c r="D27" s="129"/>
      <c r="E27" s="130"/>
      <c r="F27" s="130"/>
      <c r="G27" s="131"/>
      <c r="H27" s="27"/>
      <c r="I27" s="27"/>
      <c r="J27" s="41"/>
      <c r="K27" s="27"/>
      <c r="L27" s="27"/>
      <c r="M27" s="62"/>
    </row>
    <row r="28" spans="1:13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8"/>
    </row>
    <row r="29" spans="1:13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62"/>
    </row>
    <row r="30" spans="1:13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16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J5:J6"/>
    <mergeCell ref="K5:K6"/>
    <mergeCell ref="L5:L6"/>
    <mergeCell ref="M5:M6"/>
    <mergeCell ref="B6:C6"/>
    <mergeCell ref="D6:G6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K9:K10"/>
    <mergeCell ref="L9:L10"/>
    <mergeCell ref="M9:M10"/>
    <mergeCell ref="B10:C10"/>
    <mergeCell ref="D10:G10"/>
    <mergeCell ref="A9:A10"/>
    <mergeCell ref="B9:C9"/>
    <mergeCell ref="D9:G9"/>
    <mergeCell ref="H9:H10"/>
    <mergeCell ref="I9:I10"/>
    <mergeCell ref="J9:J10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J7:J8"/>
    <mergeCell ref="K11:K12"/>
    <mergeCell ref="L11:L12"/>
    <mergeCell ref="M11:M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7148-DBD0-4F5A-8DC8-64A2AA5FDE22}">
  <sheetPr codeName="Sheet57">
    <tabColor theme="5"/>
    <pageSetUpPr fitToPage="1"/>
  </sheetPr>
  <dimension ref="A1:N51"/>
  <sheetViews>
    <sheetView zoomScale="110" zoomScaleNormal="110" workbookViewId="0">
      <selection activeCell="B5" sqref="B5:G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345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38</v>
      </c>
      <c r="I3" s="27">
        <f>SUM(J3)-3.5</f>
        <v>41.5</v>
      </c>
      <c r="J3" s="139">
        <v>45</v>
      </c>
      <c r="K3" s="140">
        <f>SUM(J3)+3</f>
        <v>48</v>
      </c>
      <c r="L3" s="140">
        <f t="shared" ref="L3:M3" si="0">SUM(K3)+3</f>
        <v>51</v>
      </c>
      <c r="M3" s="166">
        <f t="shared" si="0"/>
        <v>54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22">
        <v>2</v>
      </c>
      <c r="B5" s="168" t="s">
        <v>193</v>
      </c>
      <c r="C5" s="169"/>
      <c r="D5" s="102" t="s">
        <v>194</v>
      </c>
      <c r="E5" s="103"/>
      <c r="F5" s="103"/>
      <c r="G5" s="104"/>
      <c r="H5" s="27">
        <f>SUM(I5)-4.5</f>
        <v>46</v>
      </c>
      <c r="I5" s="27">
        <f>SUM(J5)-4.5</f>
        <v>50.5</v>
      </c>
      <c r="J5" s="125">
        <v>55</v>
      </c>
      <c r="K5" s="114">
        <f>SUM(J5)+4.5</f>
        <v>59.5</v>
      </c>
      <c r="L5" s="114">
        <f t="shared" ref="L5:M5" si="1">SUM(K5)+4.5</f>
        <v>64</v>
      </c>
      <c r="M5" s="162">
        <f t="shared" si="1"/>
        <v>68.5</v>
      </c>
    </row>
    <row r="6" spans="1:14" s="1" customFormat="1" ht="14.1" customHeight="1">
      <c r="A6" s="122"/>
      <c r="B6" s="127" t="s">
        <v>195</v>
      </c>
      <c r="C6" s="128"/>
      <c r="D6" s="79" t="s">
        <v>196</v>
      </c>
      <c r="E6" s="80"/>
      <c r="F6" s="80"/>
      <c r="G6" s="81"/>
      <c r="H6" s="46"/>
      <c r="I6" s="46"/>
      <c r="J6" s="125"/>
      <c r="K6" s="114"/>
      <c r="L6" s="114"/>
      <c r="M6" s="162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40.5</v>
      </c>
      <c r="I7" s="27">
        <f>SUM(J7)-2.25</f>
        <v>42.75</v>
      </c>
      <c r="J7" s="41">
        <v>45</v>
      </c>
      <c r="K7" s="27">
        <f>SUM(J7)+2</f>
        <v>47</v>
      </c>
      <c r="L7" s="27">
        <f>SUM(K7)+2</f>
        <v>49</v>
      </c>
      <c r="M7" s="62">
        <f>SUM(L7)+2</f>
        <v>51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SUM(I9)-1.6</f>
        <v>29.799999999999997</v>
      </c>
      <c r="I9" s="27">
        <f>SUM(J9)-1.6</f>
        <v>31.4</v>
      </c>
      <c r="J9" s="41">
        <v>33</v>
      </c>
      <c r="K9" s="27">
        <f>SUM(J9)+1.4</f>
        <v>34.4</v>
      </c>
      <c r="L9" s="27">
        <f t="shared" ref="L9:M9" si="2">SUM(K9)+1.4</f>
        <v>35.799999999999997</v>
      </c>
      <c r="M9" s="62">
        <f t="shared" si="2"/>
        <v>37.199999999999996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/>
      <c r="I11" s="27"/>
      <c r="J11" s="125"/>
      <c r="K11" s="114"/>
      <c r="L11" s="114"/>
      <c r="M11" s="162"/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15.799999999999999</v>
      </c>
      <c r="I13" s="27">
        <f>SUM(J13)-0.6</f>
        <v>16.399999999999999</v>
      </c>
      <c r="J13" s="125">
        <v>17</v>
      </c>
      <c r="K13" s="114">
        <f>SUM(J13)+0.6</f>
        <v>17.600000000000001</v>
      </c>
      <c r="L13" s="114">
        <f>SUM(K13)+0.6</f>
        <v>18.200000000000003</v>
      </c>
      <c r="M13" s="162">
        <f>SUM(L13)+0.6</f>
        <v>18.800000000000004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</v>
      </c>
      <c r="I15" s="27">
        <f>SUM(J15)-0.3</f>
        <v>6.3</v>
      </c>
      <c r="J15" s="125">
        <v>6.6</v>
      </c>
      <c r="K15" s="114">
        <f>SUM(J15)+0.3</f>
        <v>6.8999999999999995</v>
      </c>
      <c r="L15" s="114">
        <f>SUM(K15)+0.3</f>
        <v>7.1999999999999993</v>
      </c>
      <c r="M15" s="162">
        <f>SUM(L15)+0.3</f>
        <v>7.4999999999999991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39.799999999999997</v>
      </c>
      <c r="I17" s="27">
        <f>SUM(J17)-1.6</f>
        <v>41.4</v>
      </c>
      <c r="J17" s="125">
        <v>43</v>
      </c>
      <c r="K17" s="114">
        <f>SUM(J17)+1.6</f>
        <v>44.6</v>
      </c>
      <c r="L17" s="114">
        <f>SUM(K17)+1.6</f>
        <v>46.2</v>
      </c>
      <c r="M17" s="162">
        <f>SUM(L17)+1.6</f>
        <v>47.800000000000004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/>
      <c r="I19" s="27"/>
      <c r="J19" s="125"/>
      <c r="K19" s="114"/>
      <c r="L19" s="114"/>
      <c r="M19" s="162"/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SUM(I21)-1.7</f>
        <v>30.599999999999998</v>
      </c>
      <c r="I21" s="27">
        <f>SUM(J21)-1.7</f>
        <v>32.299999999999997</v>
      </c>
      <c r="J21" s="125">
        <v>34</v>
      </c>
      <c r="K21" s="114">
        <f>SUM(J21)+1.7</f>
        <v>35.700000000000003</v>
      </c>
      <c r="L21" s="114">
        <f t="shared" ref="L21:M21" si="3">SUM(K21)+1.7</f>
        <v>37.400000000000006</v>
      </c>
      <c r="M21" s="162">
        <f t="shared" si="3"/>
        <v>39.100000000000009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 t="shared" ref="L23:M23" si="4">SUM(K23)+0.6</f>
        <v>16.399999999999999</v>
      </c>
      <c r="M23" s="162">
        <f t="shared" si="4"/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SUM(I25)-0.3</f>
        <v>4.4000000000000004</v>
      </c>
      <c r="I25" s="27">
        <f>SUM(J25)-0.3</f>
        <v>4.7</v>
      </c>
      <c r="J25" s="41">
        <v>5</v>
      </c>
      <c r="K25" s="27">
        <f>SUM(J25)+0.3</f>
        <v>5.3</v>
      </c>
      <c r="L25" s="27">
        <f t="shared" ref="L25:M25" si="5">SUM(K25)+0.3</f>
        <v>5.6</v>
      </c>
      <c r="M25" s="62">
        <f t="shared" si="5"/>
        <v>5.8999999999999995</v>
      </c>
    </row>
    <row r="26" spans="1:13" s="1" customFormat="1" ht="14.1" customHeight="1">
      <c r="A26" s="122"/>
      <c r="B26" s="127" t="s">
        <v>122</v>
      </c>
      <c r="C26" s="128"/>
      <c r="D26" s="79" t="s">
        <v>216</v>
      </c>
      <c r="E26" s="80"/>
      <c r="F26" s="80"/>
      <c r="G26" s="81"/>
      <c r="H26" s="46"/>
      <c r="I26" s="46"/>
      <c r="J26" s="44"/>
      <c r="K26" s="46"/>
      <c r="L26" s="46"/>
      <c r="M26" s="48"/>
    </row>
    <row r="27" spans="1:13" s="1" customFormat="1" ht="14.1" customHeight="1">
      <c r="A27" s="122">
        <v>13</v>
      </c>
      <c r="B27" s="36"/>
      <c r="C27" s="37"/>
      <c r="D27" s="129"/>
      <c r="E27" s="130"/>
      <c r="F27" s="130"/>
      <c r="G27" s="131"/>
      <c r="H27" s="27"/>
      <c r="I27" s="27"/>
      <c r="J27" s="41"/>
      <c r="K27" s="27"/>
      <c r="L27" s="27"/>
      <c r="M27" s="62"/>
    </row>
    <row r="28" spans="1:13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8"/>
    </row>
    <row r="29" spans="1:13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62"/>
    </row>
    <row r="30" spans="1:13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16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0D28-D016-4DF8-994F-1E3D0F60A84E}">
  <sheetPr codeName="Sheet74">
    <tabColor theme="5"/>
    <pageSetUpPr fitToPage="1"/>
  </sheetPr>
  <dimension ref="A1:N51"/>
  <sheetViews>
    <sheetView zoomScale="110" zoomScaleNormal="110" workbookViewId="0">
      <selection activeCell="I23" sqref="I23:I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534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13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38</v>
      </c>
      <c r="I3" s="27">
        <f>SUM(J3)-3.5</f>
        <v>41.5</v>
      </c>
      <c r="J3" s="139">
        <v>45</v>
      </c>
      <c r="K3" s="140">
        <f>SUM(J3)+3</f>
        <v>48</v>
      </c>
      <c r="L3" s="140">
        <f t="shared" ref="L3:M3" si="0">SUM(K3)+3</f>
        <v>51</v>
      </c>
      <c r="M3" s="166">
        <f t="shared" si="0"/>
        <v>54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SUM(I5)-1.8</f>
        <v>22.4</v>
      </c>
      <c r="I5" s="27">
        <f>SUM(J5)-1.8</f>
        <v>24.2</v>
      </c>
      <c r="J5" s="41">
        <v>26</v>
      </c>
      <c r="K5" s="27">
        <f>SUM(J5)+1.6</f>
        <v>27.6</v>
      </c>
      <c r="L5" s="27">
        <f>SUM(K5)+1.6</f>
        <v>29.200000000000003</v>
      </c>
      <c r="M5" s="62">
        <f>SUM(L5)+1.6</f>
        <v>30.800000000000004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</f>
        <v>27</v>
      </c>
      <c r="I7" s="27">
        <f>SUM(J7)-2</f>
        <v>29</v>
      </c>
      <c r="J7" s="41">
        <v>31</v>
      </c>
      <c r="K7" s="27">
        <f>SUM(J7)+1.8</f>
        <v>32.799999999999997</v>
      </c>
      <c r="L7" s="27">
        <f t="shared" ref="L7:M7" si="1">SUM(K7)+1.8</f>
        <v>34.599999999999994</v>
      </c>
      <c r="M7" s="62">
        <f t="shared" si="1"/>
        <v>36.399999999999991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SUM(I9)-2</f>
        <v>27</v>
      </c>
      <c r="I9" s="27">
        <f>SUM(J9)-2</f>
        <v>29</v>
      </c>
      <c r="J9" s="41">
        <v>31</v>
      </c>
      <c r="K9" s="27">
        <f>SUM(J9)+1.8</f>
        <v>32.799999999999997</v>
      </c>
      <c r="L9" s="27">
        <f t="shared" ref="L9:M9" si="2">SUM(K9)+1.8</f>
        <v>34.599999999999994</v>
      </c>
      <c r="M9" s="62">
        <f t="shared" si="2"/>
        <v>36.399999999999991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12.399999999999999</v>
      </c>
      <c r="I11" s="27">
        <f>SUM(J11)-0.8</f>
        <v>13.2</v>
      </c>
      <c r="J11" s="125">
        <v>14</v>
      </c>
      <c r="K11" s="114">
        <f>SUM(J11)+0.8</f>
        <v>14.8</v>
      </c>
      <c r="L11" s="114">
        <f t="shared" ref="L11:M11" si="3">SUM(K11)+0.8</f>
        <v>15.600000000000001</v>
      </c>
      <c r="M11" s="162">
        <f t="shared" si="3"/>
        <v>16.400000000000002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14.100000000000001</v>
      </c>
      <c r="I13" s="27">
        <f>SUM(J13)-0.6</f>
        <v>14.700000000000001</v>
      </c>
      <c r="J13" s="125">
        <v>15.3</v>
      </c>
      <c r="K13" s="114">
        <f>SUM(J13)+0.6</f>
        <v>15.9</v>
      </c>
      <c r="L13" s="114">
        <f>SUM(K13)+0.6</f>
        <v>16.5</v>
      </c>
      <c r="M13" s="162">
        <f>SUM(L13)+0.6</f>
        <v>17.100000000000001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4.4000000000000004</v>
      </c>
      <c r="I15" s="27">
        <f>SUM(J15)-0.3</f>
        <v>4.7</v>
      </c>
      <c r="J15" s="125">
        <v>5</v>
      </c>
      <c r="K15" s="114">
        <f>SUM(J15)+0.3</f>
        <v>5.3</v>
      </c>
      <c r="L15" s="114">
        <f>SUM(K15)+0.3</f>
        <v>5.6</v>
      </c>
      <c r="M15" s="162">
        <f>SUM(L15)+0.3</f>
        <v>5.8999999999999995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32.799999999999997</v>
      </c>
      <c r="I17" s="27">
        <f>SUM(J17)-1.6</f>
        <v>34.4</v>
      </c>
      <c r="J17" s="125">
        <v>36</v>
      </c>
      <c r="K17" s="114">
        <f>SUM(J17)+1.6</f>
        <v>37.6</v>
      </c>
      <c r="L17" s="114">
        <f>SUM(K17)+1.6</f>
        <v>39.200000000000003</v>
      </c>
      <c r="M17" s="162">
        <f>SUM(L17)+1.6</f>
        <v>40.800000000000004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SUM(I19)-3.6</f>
        <v>32.799999999999997</v>
      </c>
      <c r="I19" s="27">
        <f>SUM(J19)-3.6</f>
        <v>36.4</v>
      </c>
      <c r="J19" s="125">
        <v>40</v>
      </c>
      <c r="K19" s="114">
        <f>SUM(J19)+3.7</f>
        <v>43.7</v>
      </c>
      <c r="L19" s="114">
        <f t="shared" ref="L19:M19" si="4">SUM(K19)+3.7</f>
        <v>47.400000000000006</v>
      </c>
      <c r="M19" s="162">
        <f t="shared" si="4"/>
        <v>51.100000000000009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162"/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SUM(I23)-0.7</f>
        <v>13.8</v>
      </c>
      <c r="I23" s="27">
        <f>SUM(J23)-0.7</f>
        <v>14.5</v>
      </c>
      <c r="J23" s="125">
        <v>15.2</v>
      </c>
      <c r="K23" s="114">
        <f>SUM(J23)+0.7</f>
        <v>15.899999999999999</v>
      </c>
      <c r="L23" s="114">
        <f t="shared" ref="L23:M23" si="5">SUM(K23)+0.7</f>
        <v>16.599999999999998</v>
      </c>
      <c r="M23" s="162">
        <f t="shared" si="5"/>
        <v>17.299999999999997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</f>
        <v>1.35</v>
      </c>
      <c r="I25" s="27">
        <f>SUM(J25)-0.15</f>
        <v>1.35</v>
      </c>
      <c r="J25" s="41">
        <v>1.5</v>
      </c>
      <c r="K25" s="27">
        <f>SUM(J25)</f>
        <v>1.5</v>
      </c>
      <c r="L25" s="27">
        <f>SUM(K25)+0.15</f>
        <v>1.65</v>
      </c>
      <c r="M25" s="62">
        <f>SUM(L25)</f>
        <v>1.65</v>
      </c>
    </row>
    <row r="26" spans="1:13" s="1" customFormat="1" ht="14.1" customHeight="1">
      <c r="A26" s="122"/>
      <c r="B26" s="127" t="s">
        <v>122</v>
      </c>
      <c r="C26" s="128"/>
      <c r="D26" s="79" t="s">
        <v>535</v>
      </c>
      <c r="E26" s="80"/>
      <c r="F26" s="80"/>
      <c r="G26" s="81"/>
      <c r="H26" s="46"/>
      <c r="I26" s="46"/>
      <c r="J26" s="44"/>
      <c r="K26" s="46"/>
      <c r="L26" s="46"/>
      <c r="M26" s="48"/>
    </row>
    <row r="27" spans="1:13" s="1" customFormat="1" ht="14.1" customHeight="1">
      <c r="A27" s="122">
        <v>13</v>
      </c>
      <c r="B27" s="36"/>
      <c r="C27" s="37"/>
      <c r="D27" s="129"/>
      <c r="E27" s="130"/>
      <c r="F27" s="130"/>
      <c r="G27" s="131"/>
      <c r="H27" s="27"/>
      <c r="I27" s="27"/>
      <c r="J27" s="41"/>
      <c r="K27" s="27"/>
      <c r="L27" s="27"/>
      <c r="M27" s="62"/>
    </row>
    <row r="28" spans="1:13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8"/>
    </row>
    <row r="29" spans="1:13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62"/>
    </row>
    <row r="30" spans="1:13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16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4599-61AB-4236-97FA-8ED9197D7A31}">
  <sheetPr codeName="Sheet19">
    <tabColor theme="5"/>
    <pageSetUpPr fitToPage="1"/>
  </sheetPr>
  <dimension ref="A1:P51"/>
  <sheetViews>
    <sheetView zoomScale="110" zoomScaleNormal="110" workbookViewId="0">
      <selection activeCell="I23" sqref="I23:I2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85" t="s">
        <v>266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6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38">
        <v>1</v>
      </c>
      <c r="B3" s="148" t="s">
        <v>39</v>
      </c>
      <c r="C3" s="148"/>
      <c r="D3" s="92" t="s">
        <v>217</v>
      </c>
      <c r="E3" s="93"/>
      <c r="F3" s="93"/>
      <c r="G3" s="94"/>
      <c r="H3" s="27">
        <f>SUM(I3)-3.5</f>
        <v>35.5</v>
      </c>
      <c r="I3" s="27">
        <f>SUM(J3)-3.5</f>
        <v>39</v>
      </c>
      <c r="J3" s="139">
        <v>42.5</v>
      </c>
      <c r="K3" s="96">
        <f>SUM(J3)+3</f>
        <v>45.5</v>
      </c>
      <c r="L3" s="96">
        <f>SUM(K3)+3</f>
        <v>48.5</v>
      </c>
      <c r="M3" s="97">
        <f>SUM(L3)+3</f>
        <v>51.5</v>
      </c>
    </row>
    <row r="4" spans="1:16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46"/>
      <c r="L4" s="46"/>
      <c r="M4" s="48"/>
    </row>
    <row r="5" spans="1:16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</f>
        <v>32</v>
      </c>
      <c r="I5" s="27">
        <f>SUM(J5)-2</f>
        <v>34</v>
      </c>
      <c r="J5" s="41">
        <v>36</v>
      </c>
      <c r="K5" s="27">
        <f>SUM(J5)+2</f>
        <v>38</v>
      </c>
      <c r="L5" s="27">
        <f>SUM(K5)+2</f>
        <v>40</v>
      </c>
      <c r="M5" s="62">
        <f>SUM(L5)+2</f>
        <v>42</v>
      </c>
    </row>
    <row r="6" spans="1:16" s="1" customFormat="1" ht="14.1" customHeight="1">
      <c r="A6" s="122"/>
      <c r="B6" s="75" t="s">
        <v>24</v>
      </c>
      <c r="C6" s="75"/>
      <c r="D6" s="79" t="s">
        <v>254</v>
      </c>
      <c r="E6" s="80"/>
      <c r="F6" s="80"/>
      <c r="G6" s="81"/>
      <c r="H6" s="46"/>
      <c r="I6" s="46"/>
      <c r="J6" s="44"/>
      <c r="K6" s="46"/>
      <c r="L6" s="46"/>
      <c r="M6" s="48"/>
    </row>
    <row r="7" spans="1:16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</f>
        <v>34</v>
      </c>
      <c r="I7" s="27">
        <f>SUM(J7)-2</f>
        <v>36</v>
      </c>
      <c r="J7" s="41">
        <v>38</v>
      </c>
      <c r="K7" s="27">
        <f>SUM(J7)+2</f>
        <v>40</v>
      </c>
      <c r="L7" s="27">
        <f>SUM(K7)+2</f>
        <v>42</v>
      </c>
      <c r="M7" s="62">
        <f>SUM(L7)+2</f>
        <v>44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6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31.400000000000002</v>
      </c>
      <c r="I9" s="27">
        <f>SUM(J9)-1.8</f>
        <v>33.200000000000003</v>
      </c>
      <c r="J9" s="41">
        <v>35</v>
      </c>
      <c r="K9" s="27">
        <f>SUM(J9)+1.8</f>
        <v>36.799999999999997</v>
      </c>
      <c r="L9" s="27">
        <f>SUM(K9)+1.8</f>
        <v>38.599999999999994</v>
      </c>
      <c r="M9" s="62">
        <f>SUM(L9)+1.8</f>
        <v>40.399999999999991</v>
      </c>
      <c r="O9" s="1" t="s">
        <v>162</v>
      </c>
    </row>
    <row r="10" spans="1:16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6" s="1" customFormat="1" ht="14.1" customHeight="1">
      <c r="A11" s="122">
        <v>5</v>
      </c>
      <c r="B11" s="98" t="s">
        <v>255</v>
      </c>
      <c r="C11" s="98"/>
      <c r="D11" s="124"/>
      <c r="E11" s="124"/>
      <c r="F11" s="124"/>
      <c r="G11" s="124"/>
      <c r="H11" s="27">
        <f>SUM(I11)-0</f>
        <v>6</v>
      </c>
      <c r="I11" s="27">
        <f>SUM(J11)-0</f>
        <v>6</v>
      </c>
      <c r="J11" s="41">
        <v>6</v>
      </c>
      <c r="K11" s="27">
        <f>SUM(J11)+0.5</f>
        <v>6.5</v>
      </c>
      <c r="L11" s="27">
        <f>SUM(K11)+0</f>
        <v>6.5</v>
      </c>
      <c r="M11" s="62">
        <f>SUM(L11)+0</f>
        <v>6.5</v>
      </c>
      <c r="P11" s="1" t="s">
        <v>162</v>
      </c>
    </row>
    <row r="12" spans="1:16" s="1" customFormat="1" ht="14.1" customHeight="1">
      <c r="A12" s="122"/>
      <c r="B12" s="75" t="s">
        <v>256</v>
      </c>
      <c r="C12" s="75"/>
      <c r="D12" s="79"/>
      <c r="E12" s="80"/>
      <c r="F12" s="80"/>
      <c r="G12" s="81"/>
      <c r="H12" s="46"/>
      <c r="I12" s="46"/>
      <c r="J12" s="44"/>
      <c r="K12" s="46"/>
      <c r="L12" s="46"/>
      <c r="M12" s="48"/>
    </row>
    <row r="13" spans="1:16" s="1" customFormat="1" ht="14.1" customHeight="1">
      <c r="A13" s="122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>
        <f>SUM(I13)-0.8</f>
        <v>15.399999999999999</v>
      </c>
      <c r="I13" s="27">
        <f>SUM(J13)-0.8</f>
        <v>16.2</v>
      </c>
      <c r="J13" s="125">
        <v>17</v>
      </c>
      <c r="K13" s="114">
        <f>SUM(J13)+0.8</f>
        <v>17.8</v>
      </c>
      <c r="L13" s="114">
        <f>SUM(K13)+0.8</f>
        <v>18.600000000000001</v>
      </c>
      <c r="M13" s="162">
        <f>SUM(L13)+0.8</f>
        <v>19.400000000000002</v>
      </c>
    </row>
    <row r="14" spans="1:16" s="1" customFormat="1" ht="14.1" customHeight="1">
      <c r="A14" s="122"/>
      <c r="B14" s="75" t="s">
        <v>26</v>
      </c>
      <c r="C14" s="75"/>
      <c r="D14" s="79" t="s">
        <v>45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6" s="1" customFormat="1" ht="14.1" customHeight="1">
      <c r="A15" s="122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14.8</v>
      </c>
      <c r="I15" s="27">
        <f>SUM(J15)-0.6</f>
        <v>15.4</v>
      </c>
      <c r="J15" s="125">
        <v>16</v>
      </c>
      <c r="K15" s="27">
        <f>SUM(J15)+0.6</f>
        <v>16.600000000000001</v>
      </c>
      <c r="L15" s="27">
        <f>SUM(K15)+0.6</f>
        <v>17.200000000000003</v>
      </c>
      <c r="M15" s="62">
        <f>SUM(L15)+0.6</f>
        <v>17.800000000000004</v>
      </c>
    </row>
    <row r="16" spans="1:16" s="1" customFormat="1" ht="14.1" customHeight="1">
      <c r="A16" s="122"/>
      <c r="B16" s="75" t="s">
        <v>27</v>
      </c>
      <c r="C16" s="75"/>
      <c r="D16" s="79" t="s">
        <v>46</v>
      </c>
      <c r="E16" s="80"/>
      <c r="F16" s="80"/>
      <c r="G16" s="81"/>
      <c r="H16" s="46"/>
      <c r="I16" s="46"/>
      <c r="J16" s="125"/>
      <c r="K16" s="46"/>
      <c r="L16" s="46"/>
      <c r="M16" s="48"/>
    </row>
    <row r="17" spans="1:13" s="1" customFormat="1" ht="14.1" customHeight="1">
      <c r="A17" s="122">
        <v>8</v>
      </c>
      <c r="B17" s="36" t="s">
        <v>2</v>
      </c>
      <c r="C17" s="37"/>
      <c r="D17" s="124" t="s">
        <v>3</v>
      </c>
      <c r="E17" s="124"/>
      <c r="F17" s="124"/>
      <c r="G17" s="124"/>
      <c r="H17" s="27">
        <f>SUM(I17)-0.3</f>
        <v>6.9</v>
      </c>
      <c r="I17" s="27">
        <f>SUM(J17)-0.3</f>
        <v>7.2</v>
      </c>
      <c r="J17" s="125">
        <v>7.5</v>
      </c>
      <c r="K17" s="114">
        <f>SUM(J17)+0.3</f>
        <v>7.8</v>
      </c>
      <c r="L17" s="114">
        <f>SUM(K17)+0.3</f>
        <v>8.1</v>
      </c>
      <c r="M17" s="161">
        <f>SUM(L17)+0.3</f>
        <v>8.4</v>
      </c>
    </row>
    <row r="18" spans="1:13" s="1" customFormat="1" ht="14.1" customHeight="1">
      <c r="A18" s="122"/>
      <c r="B18" s="127" t="s">
        <v>28</v>
      </c>
      <c r="C18" s="128"/>
      <c r="D18" s="79" t="s">
        <v>164</v>
      </c>
      <c r="E18" s="80"/>
      <c r="F18" s="80"/>
      <c r="G18" s="81"/>
      <c r="H18" s="46"/>
      <c r="I18" s="46"/>
      <c r="J18" s="125"/>
      <c r="K18" s="114"/>
      <c r="L18" s="114"/>
      <c r="M18" s="161"/>
    </row>
    <row r="19" spans="1:13" s="1" customFormat="1" ht="14.1" customHeight="1">
      <c r="A19" s="122">
        <v>9</v>
      </c>
      <c r="B19" s="36" t="s">
        <v>70</v>
      </c>
      <c r="C19" s="37"/>
      <c r="D19" s="76" t="s">
        <v>71</v>
      </c>
      <c r="E19" s="77"/>
      <c r="F19" s="77"/>
      <c r="G19" s="78"/>
      <c r="H19" s="27"/>
      <c r="I19" s="27"/>
      <c r="J19" s="125"/>
      <c r="K19" s="114"/>
      <c r="L19" s="114"/>
      <c r="M19" s="161"/>
    </row>
    <row r="20" spans="1:13" s="1" customFormat="1" ht="14.1" customHeight="1">
      <c r="A20" s="122"/>
      <c r="B20" s="75" t="s">
        <v>33</v>
      </c>
      <c r="C20" s="75"/>
      <c r="D20" s="79" t="s">
        <v>74</v>
      </c>
      <c r="E20" s="80"/>
      <c r="F20" s="80"/>
      <c r="G20" s="81"/>
      <c r="H20" s="46"/>
      <c r="I20" s="46"/>
      <c r="J20" s="125"/>
      <c r="K20" s="114"/>
      <c r="L20" s="114"/>
      <c r="M20" s="161"/>
    </row>
    <row r="21" spans="1:13" s="1" customFormat="1" ht="14.1" customHeight="1">
      <c r="A21" s="122">
        <v>10</v>
      </c>
      <c r="B21" s="36" t="s">
        <v>257</v>
      </c>
      <c r="C21" s="37"/>
      <c r="D21" s="76"/>
      <c r="E21" s="77"/>
      <c r="F21" s="77"/>
      <c r="G21" s="78"/>
      <c r="H21" s="27">
        <f>SUM(I21)</f>
        <v>3</v>
      </c>
      <c r="I21" s="27">
        <f>SUM(J21)</f>
        <v>3</v>
      </c>
      <c r="J21" s="41">
        <v>3</v>
      </c>
      <c r="K21" s="27">
        <f>SUM(J21)</f>
        <v>3</v>
      </c>
      <c r="L21" s="27">
        <f>SUM(K21)</f>
        <v>3</v>
      </c>
      <c r="M21" s="62">
        <f>SUM(L21)</f>
        <v>3</v>
      </c>
    </row>
    <row r="22" spans="1:13" s="1" customFormat="1" ht="14.1" customHeight="1">
      <c r="A22" s="122"/>
      <c r="B22" s="75" t="s">
        <v>267</v>
      </c>
      <c r="C22" s="75"/>
      <c r="D22" s="79"/>
      <c r="E22" s="80"/>
      <c r="F22" s="80"/>
      <c r="G22" s="81"/>
      <c r="H22" s="46"/>
      <c r="I22" s="46"/>
      <c r="J22" s="44"/>
      <c r="K22" s="46"/>
      <c r="L22" s="46"/>
      <c r="M22" s="48"/>
    </row>
    <row r="23" spans="1:13" s="1" customFormat="1" ht="14.1" customHeight="1">
      <c r="A23" s="122">
        <v>11</v>
      </c>
      <c r="B23" s="98" t="s">
        <v>4</v>
      </c>
      <c r="C23" s="98"/>
      <c r="D23" s="124" t="s">
        <v>5</v>
      </c>
      <c r="E23" s="124"/>
      <c r="F23" s="124"/>
      <c r="G23" s="124"/>
      <c r="H23" s="27">
        <f>SUM(I23)-3.5</f>
        <v>28</v>
      </c>
      <c r="I23" s="27">
        <f>SUM(J23)-3.5</f>
        <v>31.5</v>
      </c>
      <c r="J23" s="125">
        <v>35</v>
      </c>
      <c r="K23" s="114">
        <f>SUM(J23)+3.5</f>
        <v>38.5</v>
      </c>
      <c r="L23" s="114">
        <f>SUM(K23)+3.5</f>
        <v>42</v>
      </c>
      <c r="M23" s="161">
        <f>SUM(L23)+3.5</f>
        <v>45.5</v>
      </c>
    </row>
    <row r="24" spans="1:13" s="1" customFormat="1" ht="14.1" customHeight="1">
      <c r="A24" s="122"/>
      <c r="B24" s="75" t="s">
        <v>29</v>
      </c>
      <c r="C24" s="75"/>
      <c r="D24" s="79" t="s">
        <v>47</v>
      </c>
      <c r="E24" s="80"/>
      <c r="F24" s="80"/>
      <c r="G24" s="81"/>
      <c r="H24" s="46"/>
      <c r="I24" s="46"/>
      <c r="J24" s="125"/>
      <c r="K24" s="114"/>
      <c r="L24" s="114"/>
      <c r="M24" s="161"/>
    </row>
    <row r="25" spans="1:13" s="1" customFormat="1" ht="14.1" customHeight="1">
      <c r="A25" s="122">
        <v>12</v>
      </c>
      <c r="B25" s="98" t="s">
        <v>6</v>
      </c>
      <c r="C25" s="98"/>
      <c r="D25" s="76" t="s">
        <v>7</v>
      </c>
      <c r="E25" s="77"/>
      <c r="F25" s="77"/>
      <c r="G25" s="78"/>
      <c r="H25" s="27">
        <f>SUM(I25)-1.4</f>
        <v>27.200000000000003</v>
      </c>
      <c r="I25" s="27">
        <f>SUM(J25)-1.4</f>
        <v>28.6</v>
      </c>
      <c r="J25" s="125">
        <v>30</v>
      </c>
      <c r="K25" s="114">
        <f>SUM(J25)+1.4</f>
        <v>31.4</v>
      </c>
      <c r="L25" s="114">
        <f>SUM(K25)+1.4</f>
        <v>32.799999999999997</v>
      </c>
      <c r="M25" s="161">
        <f>SUM(L25)+1.4</f>
        <v>34.199999999999996</v>
      </c>
    </row>
    <row r="26" spans="1:13" s="1" customFormat="1" ht="14.1" customHeight="1">
      <c r="A26" s="122"/>
      <c r="B26" s="75" t="s">
        <v>30</v>
      </c>
      <c r="C26" s="75"/>
      <c r="D26" s="79" t="s">
        <v>64</v>
      </c>
      <c r="E26" s="80"/>
      <c r="F26" s="80"/>
      <c r="G26" s="81"/>
      <c r="H26" s="46"/>
      <c r="I26" s="46"/>
      <c r="J26" s="125"/>
      <c r="K26" s="114"/>
      <c r="L26" s="114"/>
      <c r="M26" s="161"/>
    </row>
    <row r="27" spans="1:13" s="1" customFormat="1" ht="14.1" customHeight="1">
      <c r="A27" s="122">
        <v>13</v>
      </c>
      <c r="B27" s="36" t="s">
        <v>260</v>
      </c>
      <c r="C27" s="37"/>
      <c r="D27" s="124" t="s">
        <v>65</v>
      </c>
      <c r="E27" s="124"/>
      <c r="F27" s="124"/>
      <c r="G27" s="124"/>
      <c r="H27" s="27">
        <f>SUM(I27)-0.6</f>
        <v>14.8</v>
      </c>
      <c r="I27" s="27">
        <f>SUM(J27)-0.6</f>
        <v>15.4</v>
      </c>
      <c r="J27" s="125">
        <v>16</v>
      </c>
      <c r="K27" s="27">
        <f>SUM(J27)+0.6</f>
        <v>16.600000000000001</v>
      </c>
      <c r="L27" s="27">
        <f>SUM(K27)+0.6</f>
        <v>17.200000000000003</v>
      </c>
      <c r="M27" s="62">
        <f>SUM(L27)+0.6</f>
        <v>17.800000000000004</v>
      </c>
    </row>
    <row r="28" spans="1:13" s="1" customFormat="1" ht="14.1" customHeight="1">
      <c r="A28" s="122"/>
      <c r="B28" s="75" t="s">
        <v>31</v>
      </c>
      <c r="C28" s="75"/>
      <c r="D28" s="79" t="s">
        <v>66</v>
      </c>
      <c r="E28" s="80"/>
      <c r="F28" s="80"/>
      <c r="G28" s="81"/>
      <c r="H28" s="46"/>
      <c r="I28" s="46"/>
      <c r="J28" s="125"/>
      <c r="K28" s="46"/>
      <c r="L28" s="46"/>
      <c r="M28" s="48"/>
    </row>
    <row r="29" spans="1:13" s="1" customFormat="1" ht="14.1" customHeight="1">
      <c r="A29" s="122">
        <v>14</v>
      </c>
      <c r="B29" s="36" t="s">
        <v>261</v>
      </c>
      <c r="C29" s="37"/>
      <c r="D29" s="124"/>
      <c r="E29" s="124"/>
      <c r="F29" s="124"/>
      <c r="G29" s="124"/>
      <c r="H29" s="27">
        <f>SUM(I29)-0</f>
        <v>6</v>
      </c>
      <c r="I29" s="27">
        <f>SUM(J29)-0</f>
        <v>6</v>
      </c>
      <c r="J29" s="41">
        <v>6</v>
      </c>
      <c r="K29" s="27">
        <f>SUM(J29)+0.5</f>
        <v>6.5</v>
      </c>
      <c r="L29" s="27">
        <f>SUM(K29)+0</f>
        <v>6.5</v>
      </c>
      <c r="M29" s="62">
        <f>SUM(L29)+0</f>
        <v>6.5</v>
      </c>
    </row>
    <row r="30" spans="1:13" s="1" customFormat="1" ht="14.1" customHeight="1">
      <c r="A30" s="122"/>
      <c r="B30" s="127" t="s">
        <v>262</v>
      </c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8"/>
    </row>
    <row r="31" spans="1:13" ht="14.1" customHeight="1">
      <c r="A31" s="122">
        <v>15</v>
      </c>
      <c r="B31" s="133"/>
      <c r="C31" s="134"/>
      <c r="D31" s="103"/>
      <c r="E31" s="103"/>
      <c r="F31" s="103"/>
      <c r="G31" s="103"/>
      <c r="H31" s="45"/>
      <c r="I31" s="45"/>
      <c r="J31" s="44"/>
      <c r="K31" s="46"/>
      <c r="L31" s="46"/>
      <c r="M31" s="48"/>
    </row>
    <row r="32" spans="1:13" ht="14.1" customHeight="1">
      <c r="A32" s="159"/>
      <c r="B32" s="153"/>
      <c r="C32" s="153"/>
      <c r="D32" s="102"/>
      <c r="E32" s="103"/>
      <c r="F32" s="103"/>
      <c r="G32" s="104"/>
      <c r="H32" s="45"/>
      <c r="I32" s="45"/>
      <c r="J32" s="41"/>
      <c r="K32" s="27"/>
      <c r="L32" s="27"/>
      <c r="M32" s="62"/>
    </row>
    <row r="33" spans="1:13" ht="14.1" customHeight="1">
      <c r="A33" s="159">
        <v>16</v>
      </c>
      <c r="B33" s="36"/>
      <c r="C33" s="37"/>
      <c r="D33" s="76"/>
      <c r="E33" s="77"/>
      <c r="F33" s="77"/>
      <c r="G33" s="78"/>
      <c r="H33" s="27"/>
      <c r="I33" s="27"/>
      <c r="J33" s="41"/>
      <c r="K33" s="27"/>
      <c r="L33" s="27"/>
      <c r="M33" s="62"/>
    </row>
    <row r="34" spans="1:13" ht="14.1" customHeight="1">
      <c r="A34" s="138"/>
      <c r="B34" s="127"/>
      <c r="C34" s="128"/>
      <c r="D34" s="79"/>
      <c r="E34" s="80"/>
      <c r="F34" s="80"/>
      <c r="G34" s="81"/>
      <c r="H34" s="46"/>
      <c r="I34" s="46"/>
      <c r="J34" s="44"/>
      <c r="K34" s="46"/>
      <c r="L34" s="46"/>
      <c r="M34" s="48"/>
    </row>
    <row r="35" spans="1:13" ht="14.1" customHeight="1">
      <c r="A35" s="159">
        <v>17</v>
      </c>
      <c r="B35" s="36"/>
      <c r="C35" s="37"/>
      <c r="D35" s="76"/>
      <c r="E35" s="77"/>
      <c r="F35" s="77"/>
      <c r="G35" s="78"/>
      <c r="H35" s="27"/>
      <c r="I35" s="27"/>
      <c r="J35" s="41"/>
      <c r="K35" s="27"/>
      <c r="L35" s="27"/>
      <c r="M35" s="62"/>
    </row>
    <row r="36" spans="1:13" ht="14.1" customHeight="1" thickBot="1">
      <c r="A36" s="158"/>
      <c r="B36" s="143"/>
      <c r="C36" s="144"/>
      <c r="D36" s="119"/>
      <c r="E36" s="120"/>
      <c r="F36" s="120"/>
      <c r="G36" s="121"/>
      <c r="H36" s="28"/>
      <c r="I36" s="28"/>
      <c r="J36" s="42"/>
      <c r="K36" s="28"/>
      <c r="L36" s="28"/>
      <c r="M36" s="160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0B75-6F14-4F74-AD38-743A25FCB71B}">
  <sheetPr codeName="Sheet58">
    <tabColor theme="5"/>
    <pageSetUpPr fitToPage="1"/>
  </sheetPr>
  <dimension ref="A1:N51"/>
  <sheetViews>
    <sheetView zoomScale="110" zoomScaleNormal="110" workbookViewId="0">
      <selection activeCell="P21" sqref="P2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371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36</v>
      </c>
      <c r="I3" s="27">
        <f>SUM(J3)-3.5</f>
        <v>39.5</v>
      </c>
      <c r="J3" s="139">
        <v>43</v>
      </c>
      <c r="K3" s="140">
        <f>SUM(J3)+3</f>
        <v>46</v>
      </c>
      <c r="L3" s="140">
        <f t="shared" ref="L3:M3" si="0">SUM(K3)+3</f>
        <v>49</v>
      </c>
      <c r="M3" s="141">
        <f t="shared" si="0"/>
        <v>52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29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37.599999999999994</v>
      </c>
      <c r="I5" s="27">
        <f>SUM(J5)-2.2</f>
        <v>39.799999999999997</v>
      </c>
      <c r="J5" s="41">
        <v>42</v>
      </c>
      <c r="K5" s="27">
        <f>SUM(J5)+2</f>
        <v>44</v>
      </c>
      <c r="L5" s="27">
        <f t="shared" ref="L5:M5" si="1">SUM(K5)+2</f>
        <v>46</v>
      </c>
      <c r="M5" s="29">
        <f t="shared" si="1"/>
        <v>48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132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38.5</v>
      </c>
      <c r="I7" s="27">
        <f>SUM(J7)-2.25</f>
        <v>40.75</v>
      </c>
      <c r="J7" s="41">
        <v>43</v>
      </c>
      <c r="K7" s="27">
        <f>SUM(J7)+2</f>
        <v>45</v>
      </c>
      <c r="L7" s="27">
        <f>SUM(K7)+2</f>
        <v>47</v>
      </c>
      <c r="M7" s="29">
        <f>SUM(L7)+2</f>
        <v>49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132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SUM(I9)-1.9</f>
        <v>31.200000000000003</v>
      </c>
      <c r="I9" s="27">
        <f>SUM(J9)-1.9</f>
        <v>33.1</v>
      </c>
      <c r="J9" s="41">
        <v>35</v>
      </c>
      <c r="K9" s="27">
        <f>SUM(J9)+1.7</f>
        <v>36.700000000000003</v>
      </c>
      <c r="L9" s="27">
        <f>SUM(K9)+1.7</f>
        <v>38.400000000000006</v>
      </c>
      <c r="M9" s="29">
        <f>SUM(L9)+1.7</f>
        <v>40.100000000000009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14.599999999999998</v>
      </c>
      <c r="I11" s="27">
        <f>SUM(J11)-0.8</f>
        <v>15.399999999999999</v>
      </c>
      <c r="J11" s="125">
        <v>16.2</v>
      </c>
      <c r="K11" s="114">
        <f>SUM(J11)+0.8</f>
        <v>17</v>
      </c>
      <c r="L11" s="114">
        <f t="shared" ref="L11:M11" si="2">SUM(K11)+0.8</f>
        <v>17.8</v>
      </c>
      <c r="M11" s="116">
        <f t="shared" si="2"/>
        <v>18.600000000000001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6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15.799999999999999</v>
      </c>
      <c r="I13" s="27">
        <f>SUM(J13)-0.6</f>
        <v>16.399999999999999</v>
      </c>
      <c r="J13" s="125">
        <v>17</v>
      </c>
      <c r="K13" s="114">
        <f>SUM(J13)+0.6</f>
        <v>17.600000000000001</v>
      </c>
      <c r="L13" s="114">
        <f>SUM(K13)+0.6</f>
        <v>18.200000000000003</v>
      </c>
      <c r="M13" s="116">
        <f>SUM(L13)+0.6</f>
        <v>18.800000000000004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6.4</v>
      </c>
      <c r="I15" s="27">
        <f>SUM(J15)-0.3</f>
        <v>6.7</v>
      </c>
      <c r="J15" s="125">
        <v>7</v>
      </c>
      <c r="K15" s="114">
        <f>SUM(J15)+0.3</f>
        <v>7.3</v>
      </c>
      <c r="L15" s="114">
        <f>SUM(K15)+0.3</f>
        <v>7.6</v>
      </c>
      <c r="M15" s="116">
        <f>SUM(L15)+0.3</f>
        <v>7.8999999999999995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40.799999999999997</v>
      </c>
      <c r="I17" s="27">
        <f>SUM(J17)-1.6</f>
        <v>42.4</v>
      </c>
      <c r="J17" s="125">
        <v>44</v>
      </c>
      <c r="K17" s="114">
        <f>SUM(J17)+1.6</f>
        <v>45.6</v>
      </c>
      <c r="L17" s="114">
        <f>SUM(K17)+1.6</f>
        <v>47.2</v>
      </c>
      <c r="M17" s="116">
        <f>SUM(L17)+1.6</f>
        <v>48.800000000000004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16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26.200000000000003</v>
      </c>
      <c r="I19" s="27">
        <f>SUM(J19)-3.4</f>
        <v>29.6</v>
      </c>
      <c r="J19" s="125">
        <v>33</v>
      </c>
      <c r="K19" s="114">
        <f>SUM(J19)+3.5</f>
        <v>36.5</v>
      </c>
      <c r="L19" s="114">
        <f t="shared" ref="L19:M19" si="3">SUM(K19)+3.5</f>
        <v>40</v>
      </c>
      <c r="M19" s="116">
        <f t="shared" si="3"/>
        <v>43.5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6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29.299999999999997</v>
      </c>
      <c r="I21" s="27">
        <f>SUM(J21)-1.6</f>
        <v>30.9</v>
      </c>
      <c r="J21" s="125">
        <v>32.5</v>
      </c>
      <c r="K21" s="114">
        <f>SUM(J21)+1.6</f>
        <v>34.1</v>
      </c>
      <c r="L21" s="114">
        <f>SUM(K21)+1.6</f>
        <v>35.700000000000003</v>
      </c>
      <c r="M21" s="116">
        <f>SUM(L21)+1.6</f>
        <v>37.300000000000004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6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 t="shared" ref="L23:M23" si="4">SUM(K23)+0.6</f>
        <v>16.399999999999999</v>
      </c>
      <c r="M23" s="116">
        <f t="shared" si="4"/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6"/>
    </row>
    <row r="25" spans="1:13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SUM(I25)-0.3</f>
        <v>5.9</v>
      </c>
      <c r="I25" s="27">
        <f>SUM(J25)-0.3</f>
        <v>6.2</v>
      </c>
      <c r="J25" s="41">
        <v>6.5</v>
      </c>
      <c r="K25" s="27">
        <f>SUM(J25)+0.3</f>
        <v>6.8</v>
      </c>
      <c r="L25" s="27">
        <f t="shared" ref="L25:M25" si="5">SUM(K25)+0.3</f>
        <v>7.1</v>
      </c>
      <c r="M25" s="29">
        <f t="shared" si="5"/>
        <v>7.3999999999999995</v>
      </c>
    </row>
    <row r="26" spans="1:13" s="1" customFormat="1" ht="14.1" customHeight="1">
      <c r="A26" s="122"/>
      <c r="B26" s="127" t="s">
        <v>122</v>
      </c>
      <c r="C26" s="128"/>
      <c r="D26" s="79" t="s">
        <v>372</v>
      </c>
      <c r="E26" s="80"/>
      <c r="F26" s="80"/>
      <c r="G26" s="81"/>
      <c r="H26" s="46"/>
      <c r="I26" s="46"/>
      <c r="J26" s="44"/>
      <c r="K26" s="46"/>
      <c r="L26" s="46"/>
      <c r="M26" s="132"/>
    </row>
    <row r="27" spans="1:13" s="1" customFormat="1" ht="14.1" customHeight="1">
      <c r="A27" s="122">
        <v>13</v>
      </c>
      <c r="B27" s="36"/>
      <c r="C27" s="37"/>
      <c r="D27" s="129"/>
      <c r="E27" s="130"/>
      <c r="F27" s="130"/>
      <c r="G27" s="131"/>
      <c r="H27" s="27"/>
      <c r="I27" s="27"/>
      <c r="J27" s="41"/>
      <c r="K27" s="27"/>
      <c r="L27" s="27"/>
      <c r="M27" s="62"/>
    </row>
    <row r="28" spans="1:13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8"/>
    </row>
    <row r="29" spans="1:13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62"/>
    </row>
    <row r="30" spans="1:13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16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7EDEB-51EA-4056-8FE3-F3A91EB3E736}">
  <sheetPr codeName="Sheet75">
    <tabColor theme="5"/>
    <pageSetUpPr fitToPage="1"/>
  </sheetPr>
  <dimension ref="A1:P79"/>
  <sheetViews>
    <sheetView zoomScale="110" zoomScaleNormal="110" workbookViewId="0">
      <selection sqref="A1:M3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6" ht="16.5" customHeight="1" thickBot="1">
      <c r="A1" s="85" t="s">
        <v>536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13"/>
    </row>
    <row r="2" spans="1:16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38">
        <v>1</v>
      </c>
      <c r="B3" s="148" t="s">
        <v>39</v>
      </c>
      <c r="C3" s="148"/>
      <c r="D3" s="149" t="s">
        <v>253</v>
      </c>
      <c r="E3" s="149"/>
      <c r="F3" s="149"/>
      <c r="G3" s="92"/>
      <c r="H3" s="27">
        <f>SUM(I3)-3.5</f>
        <v>36</v>
      </c>
      <c r="I3" s="27">
        <f>SUM(J3)-3.5</f>
        <v>39.5</v>
      </c>
      <c r="J3" s="139">
        <v>43</v>
      </c>
      <c r="K3" s="140">
        <f>SUM(J3)+3</f>
        <v>46</v>
      </c>
      <c r="L3" s="140">
        <f t="shared" ref="L3" si="0">SUM(K3)+3</f>
        <v>49</v>
      </c>
      <c r="M3" s="166">
        <f t="shared" ref="M3" si="1">SUM(L3)+3</f>
        <v>52</v>
      </c>
    </row>
    <row r="4" spans="1:16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6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SUM(I5)-1.6</f>
        <v>21.799999999999997</v>
      </c>
      <c r="I5" s="27">
        <f>SUM(J5)-1.6</f>
        <v>23.4</v>
      </c>
      <c r="J5" s="125">
        <v>25</v>
      </c>
      <c r="K5" s="114">
        <f>SUM(J5)+1.4</f>
        <v>26.4</v>
      </c>
      <c r="L5" s="114">
        <f t="shared" ref="L5:M5" si="2">SUM(K5)+1.4</f>
        <v>27.799999999999997</v>
      </c>
      <c r="M5" s="162">
        <f t="shared" si="2"/>
        <v>29.199999999999996</v>
      </c>
    </row>
    <row r="6" spans="1:16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125"/>
      <c r="K6" s="114"/>
      <c r="L6" s="114"/>
      <c r="M6" s="162"/>
    </row>
    <row r="7" spans="1:16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</f>
        <v>28</v>
      </c>
      <c r="I7" s="27">
        <f>SUM(J7)-2</f>
        <v>30</v>
      </c>
      <c r="J7" s="41">
        <v>32</v>
      </c>
      <c r="K7" s="27">
        <f>SUM(J7)+1.8</f>
        <v>33.799999999999997</v>
      </c>
      <c r="L7" s="27">
        <f t="shared" ref="L7:M7" si="3">SUM(K7)+1.8</f>
        <v>35.599999999999994</v>
      </c>
      <c r="M7" s="62">
        <f t="shared" si="3"/>
        <v>37.399999999999991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6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SUM(I9)-2</f>
        <v>28</v>
      </c>
      <c r="I9" s="27">
        <f>SUM(J9)-2</f>
        <v>30</v>
      </c>
      <c r="J9" s="41">
        <v>32</v>
      </c>
      <c r="K9" s="27">
        <f>SUM(J9)+1.8</f>
        <v>33.799999999999997</v>
      </c>
      <c r="L9" s="27">
        <f t="shared" ref="L9:M9" si="4">SUM(K9)+1.8</f>
        <v>35.599999999999994</v>
      </c>
      <c r="M9" s="62">
        <f t="shared" si="4"/>
        <v>37.399999999999991</v>
      </c>
    </row>
    <row r="10" spans="1:16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6" s="1" customFormat="1" ht="14.1" customHeight="1">
      <c r="A11" s="122">
        <v>5</v>
      </c>
      <c r="B11" s="98" t="s">
        <v>10</v>
      </c>
      <c r="C11" s="98"/>
      <c r="D11" s="124" t="s">
        <v>537</v>
      </c>
      <c r="E11" s="124"/>
      <c r="F11" s="124"/>
      <c r="G11" s="124"/>
      <c r="H11" s="27">
        <f>SUM(I11)-0.8</f>
        <v>12.999999999999998</v>
      </c>
      <c r="I11" s="27">
        <f>SUM(J11)-0.8</f>
        <v>13.799999999999999</v>
      </c>
      <c r="J11" s="125">
        <v>14.6</v>
      </c>
      <c r="K11" s="27">
        <f>SUM(J11)+0.8</f>
        <v>15.4</v>
      </c>
      <c r="L11" s="27">
        <f t="shared" ref="L11:M11" si="5">SUM(K11)+0.9</f>
        <v>16.3</v>
      </c>
      <c r="M11" s="62">
        <f t="shared" si="5"/>
        <v>17.2</v>
      </c>
    </row>
    <row r="12" spans="1:16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46"/>
      <c r="L12" s="46"/>
      <c r="M12" s="48"/>
    </row>
    <row r="13" spans="1:16" s="1" customFormat="1" ht="14.1" customHeight="1">
      <c r="A13" s="122">
        <v>6</v>
      </c>
      <c r="B13" s="98" t="s">
        <v>1</v>
      </c>
      <c r="C13" s="98"/>
      <c r="D13" s="124" t="s">
        <v>296</v>
      </c>
      <c r="E13" s="124"/>
      <c r="F13" s="124"/>
      <c r="G13" s="124"/>
      <c r="H13" s="27">
        <f>SUM(I13)-0.6</f>
        <v>13.8</v>
      </c>
      <c r="I13" s="27">
        <f>SUM(J13)-0.6</f>
        <v>14.4</v>
      </c>
      <c r="J13" s="125">
        <v>15</v>
      </c>
      <c r="K13" s="114">
        <f>SUM(J13)+0.6</f>
        <v>15.6</v>
      </c>
      <c r="L13" s="114">
        <f>SUM(K13)+0.6</f>
        <v>16.2</v>
      </c>
      <c r="M13" s="162">
        <f>SUM(L13)+0.6</f>
        <v>16.8</v>
      </c>
    </row>
    <row r="14" spans="1:16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6" s="1" customFormat="1" ht="14.1" customHeight="1" thickBo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4.4000000000000004</v>
      </c>
      <c r="I15" s="27">
        <f>SUM(J15)-0.3</f>
        <v>4.7</v>
      </c>
      <c r="J15" s="125">
        <v>5</v>
      </c>
      <c r="K15" s="114">
        <f>SUM(J15)+0.3</f>
        <v>5.3</v>
      </c>
      <c r="L15" s="114">
        <f>SUM(K15)+0.3</f>
        <v>5.6</v>
      </c>
      <c r="M15" s="162">
        <f>SUM(L15)+0.3</f>
        <v>5.8999999999999995</v>
      </c>
    </row>
    <row r="16" spans="1:16" s="1" customFormat="1" ht="14.1" customHeight="1" thickTop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  <c r="P16" s="7" t="s">
        <v>538</v>
      </c>
    </row>
    <row r="17" spans="1:16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30.799999999999997</v>
      </c>
      <c r="I17" s="27">
        <f>SUM(J17)-1.6</f>
        <v>32.4</v>
      </c>
      <c r="J17" s="125">
        <v>34</v>
      </c>
      <c r="K17" s="114">
        <f>SUM(J17)+1.6</f>
        <v>35.6</v>
      </c>
      <c r="L17" s="114">
        <f>SUM(K17)+1.6</f>
        <v>37.200000000000003</v>
      </c>
      <c r="M17" s="162">
        <f>SUM(L17)+1.6</f>
        <v>38.800000000000004</v>
      </c>
      <c r="P17" s="8">
        <f>SUM(H29++H29+I29+I29+J29+J29+K29+K29+L29+L29+M29+M29)</f>
        <v>222.60000000000002</v>
      </c>
    </row>
    <row r="18" spans="1:16" s="1" customFormat="1" ht="14.1" customHeight="1" thickBo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  <c r="P18" s="9">
        <f>SUM(P17/91.44/6*1.03)</f>
        <v>0.41790244969378837</v>
      </c>
    </row>
    <row r="19" spans="1:16" s="1" customFormat="1" ht="14.1" customHeight="1" thickTop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SUM(I19)-3.7</f>
        <v>33.099999999999994</v>
      </c>
      <c r="I19" s="27">
        <f>SUM(J19)-3.7</f>
        <v>36.799999999999997</v>
      </c>
      <c r="J19" s="125">
        <v>40.5</v>
      </c>
      <c r="K19" s="114">
        <f>SUM(J19)+3.8</f>
        <v>44.3</v>
      </c>
      <c r="L19" s="114">
        <f t="shared" ref="L19:M19" si="6">SUM(K19)+3.8</f>
        <v>48.099999999999994</v>
      </c>
      <c r="M19" s="162">
        <f t="shared" si="6"/>
        <v>51.899999999999991</v>
      </c>
    </row>
    <row r="20" spans="1:16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6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SUM(I21)-1.4</f>
        <v>21.200000000000003</v>
      </c>
      <c r="I21" s="27">
        <f>SUM(J21)-1.4</f>
        <v>22.6</v>
      </c>
      <c r="J21" s="125">
        <v>24</v>
      </c>
      <c r="K21" s="114">
        <f>SUM(J21)+1.4</f>
        <v>25.4</v>
      </c>
      <c r="L21" s="114">
        <f t="shared" ref="L21:M21" si="7">SUM(K21)+1.4</f>
        <v>26.799999999999997</v>
      </c>
      <c r="M21" s="162">
        <f t="shared" si="7"/>
        <v>28.199999999999996</v>
      </c>
    </row>
    <row r="22" spans="1:16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6" s="1" customFormat="1" ht="14.1" customHeight="1">
      <c r="A23" s="122">
        <v>11</v>
      </c>
      <c r="B23" s="36" t="s">
        <v>260</v>
      </c>
      <c r="C23" s="37"/>
      <c r="D23" s="124" t="s">
        <v>65</v>
      </c>
      <c r="E23" s="124"/>
      <c r="F23" s="124"/>
      <c r="G23" s="124"/>
      <c r="H23" s="27">
        <f>SUM(I23)-0.7</f>
        <v>13.8</v>
      </c>
      <c r="I23" s="27">
        <f>SUM(J23)-0.7</f>
        <v>14.5</v>
      </c>
      <c r="J23" s="125">
        <v>15.2</v>
      </c>
      <c r="K23" s="114">
        <f>SUM(J23)+0.7</f>
        <v>15.899999999999999</v>
      </c>
      <c r="L23" s="114">
        <f>SUM(K23)+0.7</f>
        <v>16.599999999999998</v>
      </c>
      <c r="M23" s="162">
        <f>SUM(L23)+0.7</f>
        <v>17.299999999999997</v>
      </c>
    </row>
    <row r="24" spans="1:16" s="1" customFormat="1" ht="14.1" customHeight="1" thickBot="1">
      <c r="A24" s="159"/>
      <c r="B24" s="153" t="s">
        <v>31</v>
      </c>
      <c r="C24" s="153"/>
      <c r="D24" s="102" t="s">
        <v>66</v>
      </c>
      <c r="E24" s="103"/>
      <c r="F24" s="103"/>
      <c r="G24" s="104"/>
      <c r="H24" s="45"/>
      <c r="I24" s="45"/>
      <c r="J24" s="41"/>
      <c r="K24" s="27"/>
      <c r="L24" s="27"/>
      <c r="M24" s="62"/>
    </row>
    <row r="25" spans="1:16" s="1" customFormat="1" ht="14.1" customHeight="1" thickTop="1">
      <c r="A25" s="210">
        <v>12</v>
      </c>
      <c r="B25" s="69" t="s">
        <v>365</v>
      </c>
      <c r="C25" s="70"/>
      <c r="D25" s="219"/>
      <c r="E25" s="220"/>
      <c r="F25" s="220"/>
      <c r="G25" s="221"/>
      <c r="H25" s="55">
        <f>SUM(I25)-1.6</f>
        <v>13.400000000000002</v>
      </c>
      <c r="I25" s="55">
        <f>SUM(J25)-1.6</f>
        <v>15.000000000000002</v>
      </c>
      <c r="J25" s="224">
        <v>16.600000000000001</v>
      </c>
      <c r="K25" s="222">
        <f>SUM(J25)+1.6</f>
        <v>18.200000000000003</v>
      </c>
      <c r="L25" s="222">
        <f t="shared" ref="L25:M25" si="8">SUM(K25)+1.6</f>
        <v>19.800000000000004</v>
      </c>
      <c r="M25" s="223">
        <f t="shared" si="8"/>
        <v>21.400000000000006</v>
      </c>
    </row>
    <row r="26" spans="1:16" s="1" customFormat="1" ht="14.1" customHeight="1">
      <c r="A26" s="122"/>
      <c r="B26" s="127" t="s">
        <v>413</v>
      </c>
      <c r="C26" s="128"/>
      <c r="D26" s="79" t="s">
        <v>146</v>
      </c>
      <c r="E26" s="80"/>
      <c r="F26" s="80"/>
      <c r="G26" s="81"/>
      <c r="H26" s="46"/>
      <c r="I26" s="46"/>
      <c r="J26" s="125"/>
      <c r="K26" s="114"/>
      <c r="L26" s="114"/>
      <c r="M26" s="162"/>
    </row>
    <row r="27" spans="1:16" s="1" customFormat="1" ht="14.1" customHeight="1">
      <c r="A27" s="122">
        <v>13</v>
      </c>
      <c r="B27" s="36" t="s">
        <v>414</v>
      </c>
      <c r="C27" s="37"/>
      <c r="D27" s="129"/>
      <c r="E27" s="130"/>
      <c r="F27" s="130"/>
      <c r="G27" s="131"/>
      <c r="H27" s="27">
        <f>SUM(I27)-1.7</f>
        <v>15.700000000000003</v>
      </c>
      <c r="I27" s="27">
        <f>SUM(J27)-1.7</f>
        <v>17.400000000000002</v>
      </c>
      <c r="J27" s="41">
        <v>19.100000000000001</v>
      </c>
      <c r="K27" s="27">
        <f>SUM(J27)+1.7</f>
        <v>20.8</v>
      </c>
      <c r="L27" s="27">
        <f t="shared" ref="L27:M27" si="9">SUM(K27)+1.7</f>
        <v>22.5</v>
      </c>
      <c r="M27" s="62">
        <f t="shared" si="9"/>
        <v>24.2</v>
      </c>
    </row>
    <row r="28" spans="1:16" s="1" customFormat="1" ht="14.1" customHeight="1">
      <c r="A28" s="122"/>
      <c r="B28" s="127" t="s">
        <v>415</v>
      </c>
      <c r="C28" s="128"/>
      <c r="D28" s="79" t="s">
        <v>416</v>
      </c>
      <c r="E28" s="80"/>
      <c r="F28" s="80"/>
      <c r="G28" s="81"/>
      <c r="H28" s="46"/>
      <c r="I28" s="46"/>
      <c r="J28" s="44"/>
      <c r="K28" s="46"/>
      <c r="L28" s="46"/>
      <c r="M28" s="48"/>
    </row>
    <row r="29" spans="1:16" s="1" customFormat="1" ht="14.1" customHeight="1">
      <c r="A29" s="122">
        <v>13</v>
      </c>
      <c r="B29" s="98" t="s">
        <v>139</v>
      </c>
      <c r="C29" s="98"/>
      <c r="D29" s="124"/>
      <c r="E29" s="124"/>
      <c r="F29" s="124"/>
      <c r="G29" s="124"/>
      <c r="H29" s="27">
        <f>SUM(I29)-0.9</f>
        <v>16.200000000000003</v>
      </c>
      <c r="I29" s="27">
        <f>SUM(J29)-0.9</f>
        <v>17.100000000000001</v>
      </c>
      <c r="J29" s="41">
        <v>18</v>
      </c>
      <c r="K29" s="27">
        <f>SUM(J29)+1</f>
        <v>19</v>
      </c>
      <c r="L29" s="27">
        <f t="shared" ref="L29:M29" si="10">SUM(K29)+1</f>
        <v>20</v>
      </c>
      <c r="M29" s="62">
        <f t="shared" si="10"/>
        <v>21</v>
      </c>
    </row>
    <row r="30" spans="1:16" s="1" customFormat="1" ht="14.1" customHeight="1">
      <c r="A30" s="122"/>
      <c r="B30" s="75" t="s">
        <v>135</v>
      </c>
      <c r="C30" s="75"/>
      <c r="D30" s="79" t="s">
        <v>420</v>
      </c>
      <c r="E30" s="80"/>
      <c r="F30" s="80"/>
      <c r="G30" s="81"/>
      <c r="H30" s="46"/>
      <c r="I30" s="46"/>
      <c r="J30" s="44"/>
      <c r="K30" s="46"/>
      <c r="L30" s="46"/>
      <c r="M30" s="48"/>
    </row>
    <row r="31" spans="1:16" s="1" customFormat="1" ht="14.1" customHeight="1">
      <c r="A31" s="122">
        <v>14</v>
      </c>
      <c r="B31" s="36" t="s">
        <v>539</v>
      </c>
      <c r="C31" s="37"/>
      <c r="D31" s="76"/>
      <c r="E31" s="77"/>
      <c r="F31" s="77"/>
      <c r="G31" s="78"/>
      <c r="H31" s="27">
        <f>SUM(I31)-0.8</f>
        <v>12.999999999999998</v>
      </c>
      <c r="I31" s="27">
        <f>SUM(J31)-0.8</f>
        <v>13.799999999999999</v>
      </c>
      <c r="J31" s="41">
        <v>14.6</v>
      </c>
      <c r="K31" s="27">
        <f>SUM(J31)+0.6</f>
        <v>15.2</v>
      </c>
      <c r="L31" s="27">
        <f t="shared" ref="L31:M31" si="11">SUM(K31)+0.6</f>
        <v>15.799999999999999</v>
      </c>
      <c r="M31" s="62">
        <f t="shared" si="11"/>
        <v>16.399999999999999</v>
      </c>
    </row>
    <row r="32" spans="1:16" s="1" customFormat="1" ht="14.1" customHeight="1">
      <c r="A32" s="122"/>
      <c r="B32" s="75" t="s">
        <v>540</v>
      </c>
      <c r="C32" s="75"/>
      <c r="D32" s="79" t="s">
        <v>140</v>
      </c>
      <c r="E32" s="80"/>
      <c r="F32" s="80"/>
      <c r="G32" s="81"/>
      <c r="H32" s="46"/>
      <c r="I32" s="46"/>
      <c r="J32" s="44"/>
      <c r="K32" s="46"/>
      <c r="L32" s="46"/>
      <c r="M32" s="48"/>
    </row>
    <row r="33" spans="1:14" s="1" customFormat="1" ht="14.1" customHeight="1">
      <c r="A33" s="122">
        <v>15</v>
      </c>
      <c r="B33" s="98" t="s">
        <v>35</v>
      </c>
      <c r="C33" s="98"/>
      <c r="D33" s="124"/>
      <c r="E33" s="124"/>
      <c r="F33" s="124"/>
      <c r="G33" s="124"/>
      <c r="H33" s="27">
        <f>SUM(I33)-2</f>
        <v>32</v>
      </c>
      <c r="I33" s="27">
        <f>SUM(J33)-2</f>
        <v>34</v>
      </c>
      <c r="J33" s="41">
        <v>36</v>
      </c>
      <c r="K33" s="27">
        <f>SUM(J33)+1.8</f>
        <v>37.799999999999997</v>
      </c>
      <c r="L33" s="27">
        <f t="shared" ref="L33:M33" si="12">SUM(K33)+1.8</f>
        <v>39.599999999999994</v>
      </c>
      <c r="M33" s="62">
        <f t="shared" si="12"/>
        <v>41.399999999999991</v>
      </c>
    </row>
    <row r="34" spans="1:14" s="1" customFormat="1" ht="14.1" customHeight="1">
      <c r="A34" s="122"/>
      <c r="B34" s="75" t="s">
        <v>40</v>
      </c>
      <c r="C34" s="75"/>
      <c r="D34" s="79"/>
      <c r="E34" s="80"/>
      <c r="F34" s="80"/>
      <c r="G34" s="81"/>
      <c r="H34" s="46"/>
      <c r="I34" s="46"/>
      <c r="J34" s="44"/>
      <c r="K34" s="46"/>
      <c r="L34" s="46"/>
      <c r="M34" s="48"/>
    </row>
    <row r="35" spans="1:14" s="1" customFormat="1" ht="14.1" customHeight="1">
      <c r="A35" s="122">
        <v>16</v>
      </c>
      <c r="B35" s="133"/>
      <c r="C35" s="134"/>
      <c r="D35" s="129"/>
      <c r="E35" s="130"/>
      <c r="F35" s="130"/>
      <c r="G35" s="131"/>
      <c r="H35" s="27"/>
      <c r="I35" s="27"/>
      <c r="J35" s="125"/>
      <c r="K35" s="114"/>
      <c r="L35" s="114"/>
      <c r="M35" s="162"/>
    </row>
    <row r="36" spans="1:14" s="1" customFormat="1" ht="14.1" customHeight="1" thickBot="1">
      <c r="A36" s="123"/>
      <c r="B36" s="143"/>
      <c r="C36" s="144"/>
      <c r="D36" s="119"/>
      <c r="E36" s="120"/>
      <c r="F36" s="120"/>
      <c r="G36" s="121"/>
      <c r="H36" s="28"/>
      <c r="I36" s="28"/>
      <c r="J36" s="126"/>
      <c r="K36" s="115"/>
      <c r="L36" s="115"/>
      <c r="M36" s="142"/>
    </row>
    <row r="37" spans="1:14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4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4" ht="14.1" customHeight="1">
      <c r="N39" s="1"/>
    </row>
    <row r="40" spans="1:14" ht="14.1" customHeight="1">
      <c r="N40" s="1"/>
    </row>
    <row r="41" spans="1:14" ht="14.1" customHeight="1"/>
    <row r="42" spans="1:14" ht="14.1" customHeight="1"/>
    <row r="43" spans="1:14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ht="14.1" customHeight="1">
      <c r="N45" s="1"/>
    </row>
    <row r="46" spans="1:14" ht="14.1" customHeight="1">
      <c r="N46" s="1"/>
    </row>
    <row r="47" spans="1:14" ht="14.1" customHeight="1"/>
    <row r="48" spans="1:14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7" right="0.7" top="0.75" bottom="0.75" header="0.3" footer="0.3"/>
  <pageSetup paperSize="9" scale="93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A651-09A2-41A5-9E7B-49C64D5102A5}">
  <sheetPr codeName="Sheet76">
    <tabColor theme="5"/>
    <pageSetUpPr fitToPage="1"/>
  </sheetPr>
  <dimension ref="A1:S51"/>
  <sheetViews>
    <sheetView zoomScale="110" zoomScaleNormal="110" workbookViewId="0">
      <selection sqref="A1:N3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8" ht="16.5" customHeight="1" thickBot="1">
      <c r="A1" s="85" t="s">
        <v>541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/>
    </row>
    <row r="2" spans="1:18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6" t="s">
        <v>134</v>
      </c>
    </row>
    <row r="3" spans="1:18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36</v>
      </c>
      <c r="I3" s="27">
        <f>SUM(J3)-3.5</f>
        <v>39.5</v>
      </c>
      <c r="J3" s="139">
        <v>43</v>
      </c>
      <c r="K3" s="140">
        <f>SUM(J3)+3</f>
        <v>46</v>
      </c>
      <c r="L3" s="140">
        <f>SUM(K3)+3</f>
        <v>49</v>
      </c>
      <c r="M3" s="140">
        <f>SUM(L3)+3</f>
        <v>52</v>
      </c>
      <c r="N3" s="166">
        <f>SUM(M3)+3</f>
        <v>55</v>
      </c>
    </row>
    <row r="4" spans="1:18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27"/>
      <c r="N4" s="62"/>
    </row>
    <row r="5" spans="1:18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SUM(I5)-1.6</f>
        <v>22.799999999999997</v>
      </c>
      <c r="I5" s="27">
        <f>SUM(J5)-1.6</f>
        <v>24.4</v>
      </c>
      <c r="J5" s="41">
        <v>26</v>
      </c>
      <c r="K5" s="27">
        <f>SUM(J5)+1.4</f>
        <v>27.4</v>
      </c>
      <c r="L5" s="27">
        <f t="shared" ref="L5:N5" si="0">SUM(K5)+1.4</f>
        <v>28.799999999999997</v>
      </c>
      <c r="M5" s="27">
        <f t="shared" si="0"/>
        <v>30.199999999999996</v>
      </c>
      <c r="N5" s="62">
        <f t="shared" si="0"/>
        <v>31.599999999999994</v>
      </c>
    </row>
    <row r="6" spans="1:18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6"/>
      <c r="N6" s="48"/>
    </row>
    <row r="7" spans="1:18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</f>
        <v>29</v>
      </c>
      <c r="I7" s="27">
        <f>SUM(J7)-2</f>
        <v>31</v>
      </c>
      <c r="J7" s="41">
        <v>33</v>
      </c>
      <c r="K7" s="27">
        <f>SUM(J7)+1.8</f>
        <v>34.799999999999997</v>
      </c>
      <c r="L7" s="27">
        <f t="shared" ref="L7:M7" si="1">SUM(K7)+1.8</f>
        <v>36.599999999999994</v>
      </c>
      <c r="M7" s="27">
        <f t="shared" si="1"/>
        <v>38.399999999999991</v>
      </c>
      <c r="N7" s="62">
        <f t="shared" ref="N7" si="2">SUM(M7)+1.8</f>
        <v>40.199999999999989</v>
      </c>
    </row>
    <row r="8" spans="1:18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6"/>
      <c r="N8" s="48"/>
    </row>
    <row r="9" spans="1:18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SUM(I9)-2</f>
        <v>29</v>
      </c>
      <c r="I9" s="27">
        <f>SUM(J9)-2</f>
        <v>31</v>
      </c>
      <c r="J9" s="41">
        <v>33</v>
      </c>
      <c r="K9" s="27">
        <f>SUM(J9)+1.8</f>
        <v>34.799999999999997</v>
      </c>
      <c r="L9" s="27">
        <f t="shared" ref="L9:M9" si="3">SUM(K9)+1.8</f>
        <v>36.599999999999994</v>
      </c>
      <c r="M9" s="27">
        <f t="shared" si="3"/>
        <v>38.399999999999991</v>
      </c>
      <c r="N9" s="62">
        <f t="shared" ref="N9" si="4">SUM(M9)+1.8</f>
        <v>40.199999999999989</v>
      </c>
      <c r="O9" s="1" t="s">
        <v>162</v>
      </c>
    </row>
    <row r="10" spans="1:18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6"/>
      <c r="N10" s="48"/>
    </row>
    <row r="11" spans="1:18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13.299999999999999</v>
      </c>
      <c r="I11" s="27">
        <f>SUM(J11)-0.8</f>
        <v>14.1</v>
      </c>
      <c r="J11" s="125">
        <v>14.9</v>
      </c>
      <c r="K11" s="114">
        <f>SUM(J11)+0.9</f>
        <v>15.8</v>
      </c>
      <c r="L11" s="114">
        <f t="shared" ref="L11:N11" si="5">SUM(K11)+0.9</f>
        <v>16.7</v>
      </c>
      <c r="M11" s="114">
        <f t="shared" si="5"/>
        <v>17.599999999999998</v>
      </c>
      <c r="N11" s="162">
        <f t="shared" si="5"/>
        <v>18.499999999999996</v>
      </c>
    </row>
    <row r="12" spans="1:18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4"/>
      <c r="N12" s="162"/>
    </row>
    <row r="13" spans="1:18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14.8</v>
      </c>
      <c r="I13" s="27">
        <f>SUM(J13)-0.6</f>
        <v>15.4</v>
      </c>
      <c r="J13" s="125">
        <v>16</v>
      </c>
      <c r="K13" s="114">
        <f>SUM(J13)+0.6</f>
        <v>16.600000000000001</v>
      </c>
      <c r="L13" s="114">
        <f>SUM(K13)+0.6</f>
        <v>17.200000000000003</v>
      </c>
      <c r="M13" s="114">
        <f>SUM(L13)+0.6</f>
        <v>17.800000000000004</v>
      </c>
      <c r="N13" s="162">
        <f>SUM(M13)+0.6</f>
        <v>18.400000000000006</v>
      </c>
    </row>
    <row r="14" spans="1:18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14"/>
      <c r="N14" s="162"/>
    </row>
    <row r="15" spans="1:18" s="1" customFormat="1" ht="14.1" customHeight="1" thickBo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5.4</v>
      </c>
      <c r="I15" s="27">
        <f>SUM(J15)-0.3</f>
        <v>5.7</v>
      </c>
      <c r="J15" s="125">
        <v>6</v>
      </c>
      <c r="K15" s="114">
        <f>SUM(J15)+0.3</f>
        <v>6.3</v>
      </c>
      <c r="L15" s="114">
        <f>SUM(K15)+0.3</f>
        <v>6.6</v>
      </c>
      <c r="M15" s="114">
        <f>SUM(L15)+0.3</f>
        <v>6.8999999999999995</v>
      </c>
      <c r="N15" s="162">
        <f>SUM(M15)+0.3</f>
        <v>7.1999999999999993</v>
      </c>
    </row>
    <row r="16" spans="1:18" s="1" customFormat="1" ht="14.1" customHeight="1" thickTop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14"/>
      <c r="N16" s="162"/>
      <c r="R16" s="7" t="s">
        <v>542</v>
      </c>
    </row>
    <row r="17" spans="1:19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35.799999999999997</v>
      </c>
      <c r="I17" s="27">
        <f>SUM(J17)-1.6</f>
        <v>37.4</v>
      </c>
      <c r="J17" s="125">
        <v>39</v>
      </c>
      <c r="K17" s="114">
        <f>SUM(J17)+1.6</f>
        <v>40.6</v>
      </c>
      <c r="L17" s="114">
        <f>SUM(K17)+1.6</f>
        <v>42.2</v>
      </c>
      <c r="M17" s="114">
        <f>SUM(L17)+1.6</f>
        <v>43.800000000000004</v>
      </c>
      <c r="N17" s="162">
        <f>SUM(M17)+1.6</f>
        <v>45.400000000000006</v>
      </c>
      <c r="R17" s="8">
        <f>SUM(H29+I29+J29+K29+L29+M29+N29)</f>
        <v>206.2</v>
      </c>
    </row>
    <row r="18" spans="1:19" s="1" customFormat="1" ht="14.1" customHeight="1" thickBo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14"/>
      <c r="N18" s="162"/>
      <c r="R18" s="8">
        <f>SUM(R17/91.44/7*1.08)</f>
        <v>0.34791901012373455</v>
      </c>
    </row>
    <row r="19" spans="1:19" s="1" customFormat="1" ht="14.1" customHeight="1" thickTop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SUM(I19)-3.7</f>
        <v>32.599999999999994</v>
      </c>
      <c r="I19" s="27">
        <f>SUM(J19)-3.7</f>
        <v>36.299999999999997</v>
      </c>
      <c r="J19" s="125">
        <v>40</v>
      </c>
      <c r="K19" s="114">
        <f>SUM(J19)+3.8</f>
        <v>43.8</v>
      </c>
      <c r="L19" s="114">
        <f t="shared" ref="L19:N19" si="6">SUM(K19)+3.8</f>
        <v>47.599999999999994</v>
      </c>
      <c r="M19" s="114">
        <f t="shared" si="6"/>
        <v>51.399999999999991</v>
      </c>
      <c r="N19" s="162">
        <f t="shared" si="6"/>
        <v>55.199999999999989</v>
      </c>
      <c r="R19" s="17" t="s">
        <v>538</v>
      </c>
      <c r="S19" s="18" t="s">
        <v>543</v>
      </c>
    </row>
    <row r="20" spans="1:19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4"/>
      <c r="N20" s="162"/>
      <c r="R20" s="19">
        <f>SUM(H41+H41+I41+I41+J41+J41+K41+K41+L41+L41+N41+N41+M41+M41)</f>
        <v>432.6</v>
      </c>
      <c r="S20" s="20">
        <v>38</v>
      </c>
    </row>
    <row r="21" spans="1:19" s="1" customFormat="1" ht="14.1" customHeight="1" thickBo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SUM(I21)-1.4</f>
        <v>21.6</v>
      </c>
      <c r="I21" s="27">
        <f>SUM(J21)-1.4</f>
        <v>23</v>
      </c>
      <c r="J21" s="125">
        <v>24.4</v>
      </c>
      <c r="K21" s="114">
        <f>SUM(J21)+1.4</f>
        <v>25.799999999999997</v>
      </c>
      <c r="L21" s="114">
        <f t="shared" ref="L21:N21" si="7">SUM(K21)+1.4</f>
        <v>27.199999999999996</v>
      </c>
      <c r="M21" s="114">
        <f t="shared" si="7"/>
        <v>28.599999999999994</v>
      </c>
      <c r="N21" s="162">
        <f t="shared" si="7"/>
        <v>29.999999999999993</v>
      </c>
      <c r="R21" s="21">
        <f>SUM(R20/91.44/7*1.03)</f>
        <v>0.69612860892388462</v>
      </c>
      <c r="S21" s="22">
        <f>SUM(S20/91.44*1.03)</f>
        <v>0.42804024496937881</v>
      </c>
    </row>
    <row r="22" spans="1:19" s="1" customFormat="1" ht="14.1" customHeight="1" thickTop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4"/>
      <c r="N22" s="162"/>
      <c r="R22" s="1">
        <f>SUM(R21+S21)</f>
        <v>1.1241688538932635</v>
      </c>
    </row>
    <row r="23" spans="1:19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SUM(I23)-0.7</f>
        <v>14.600000000000001</v>
      </c>
      <c r="I23" s="27">
        <f>SUM(J23)-0.7</f>
        <v>15.3</v>
      </c>
      <c r="J23" s="125">
        <v>16</v>
      </c>
      <c r="K23" s="114">
        <f>SUM(J23)+0.7</f>
        <v>16.7</v>
      </c>
      <c r="L23" s="114">
        <f t="shared" ref="L23:N23" si="8">SUM(K23)+0.7</f>
        <v>17.399999999999999</v>
      </c>
      <c r="M23" s="114">
        <f t="shared" si="8"/>
        <v>18.099999999999998</v>
      </c>
      <c r="N23" s="162">
        <f t="shared" si="8"/>
        <v>18.799999999999997</v>
      </c>
    </row>
    <row r="24" spans="1:19" s="1" customFormat="1" ht="14.1" customHeight="1">
      <c r="A24" s="159"/>
      <c r="B24" s="153" t="s">
        <v>31</v>
      </c>
      <c r="C24" s="153"/>
      <c r="D24" s="102" t="s">
        <v>66</v>
      </c>
      <c r="E24" s="103"/>
      <c r="F24" s="103"/>
      <c r="G24" s="104"/>
      <c r="H24" s="45"/>
      <c r="I24" s="45"/>
      <c r="J24" s="41"/>
      <c r="K24" s="27"/>
      <c r="L24" s="27"/>
      <c r="M24" s="27"/>
      <c r="N24" s="62"/>
    </row>
    <row r="25" spans="1:19" s="1" customFormat="1" ht="14.1" customHeight="1">
      <c r="A25" s="122">
        <v>12</v>
      </c>
      <c r="B25" s="36" t="s">
        <v>544</v>
      </c>
      <c r="C25" s="37"/>
      <c r="D25" s="124"/>
      <c r="E25" s="124"/>
      <c r="F25" s="124"/>
      <c r="G25" s="124"/>
      <c r="H25" s="27">
        <f>SUM(I25)-0.1</f>
        <v>1.7999999999999998</v>
      </c>
      <c r="I25" s="27">
        <f>SUM(J25)-0.1</f>
        <v>1.9</v>
      </c>
      <c r="J25" s="125">
        <v>2</v>
      </c>
      <c r="K25" s="114">
        <f>SUM(J25)+0.1</f>
        <v>2.1</v>
      </c>
      <c r="L25" s="114">
        <f t="shared" ref="L25:N25" si="9">SUM(K25)+0.1</f>
        <v>2.2000000000000002</v>
      </c>
      <c r="M25" s="114">
        <f t="shared" si="9"/>
        <v>2.3000000000000003</v>
      </c>
      <c r="N25" s="162">
        <f t="shared" si="9"/>
        <v>2.4000000000000004</v>
      </c>
    </row>
    <row r="26" spans="1:19" s="1" customFormat="1" ht="14.1" customHeight="1" thickBot="1">
      <c r="A26" s="159"/>
      <c r="B26" s="153" t="s">
        <v>545</v>
      </c>
      <c r="C26" s="153"/>
      <c r="D26" s="102" t="s">
        <v>416</v>
      </c>
      <c r="E26" s="103"/>
      <c r="F26" s="103"/>
      <c r="G26" s="104"/>
      <c r="H26" s="45"/>
      <c r="I26" s="45"/>
      <c r="J26" s="41"/>
      <c r="K26" s="27"/>
      <c r="L26" s="27"/>
      <c r="M26" s="27"/>
      <c r="N26" s="62"/>
    </row>
    <row r="27" spans="1:19" s="1" customFormat="1" ht="14.1" customHeight="1" thickTop="1">
      <c r="A27" s="210">
        <v>13</v>
      </c>
      <c r="B27" s="69" t="s">
        <v>384</v>
      </c>
      <c r="C27" s="70"/>
      <c r="D27" s="71"/>
      <c r="E27" s="72"/>
      <c r="F27" s="72"/>
      <c r="G27" s="73"/>
      <c r="H27" s="55">
        <f>SUM(I27)-1</f>
        <v>14</v>
      </c>
      <c r="I27" s="55">
        <f>SUM(J27)-1</f>
        <v>15</v>
      </c>
      <c r="J27" s="224">
        <v>16</v>
      </c>
      <c r="K27" s="222">
        <f>SUM(J27)+0.8</f>
        <v>16.8</v>
      </c>
      <c r="L27" s="222">
        <f t="shared" ref="L27:M27" si="10">SUM(K27)+0.8</f>
        <v>17.600000000000001</v>
      </c>
      <c r="M27" s="222">
        <f t="shared" si="10"/>
        <v>18.400000000000002</v>
      </c>
      <c r="N27" s="223">
        <f t="shared" ref="N27" si="11">SUM(M27)+0.8</f>
        <v>19.200000000000003</v>
      </c>
    </row>
    <row r="28" spans="1:19" s="1" customFormat="1" ht="14.1" customHeight="1">
      <c r="A28" s="159"/>
      <c r="B28" s="153" t="s">
        <v>385</v>
      </c>
      <c r="C28" s="153"/>
      <c r="D28" s="102" t="s">
        <v>140</v>
      </c>
      <c r="E28" s="103"/>
      <c r="F28" s="103"/>
      <c r="G28" s="104"/>
      <c r="H28" s="45"/>
      <c r="I28" s="45"/>
      <c r="J28" s="41"/>
      <c r="K28" s="27"/>
      <c r="L28" s="27"/>
      <c r="M28" s="27"/>
      <c r="N28" s="62"/>
    </row>
    <row r="29" spans="1:19" s="1" customFormat="1" ht="14.1" customHeight="1">
      <c r="A29" s="122">
        <v>14</v>
      </c>
      <c r="B29" s="36" t="s">
        <v>546</v>
      </c>
      <c r="C29" s="37"/>
      <c r="D29" s="76"/>
      <c r="E29" s="77"/>
      <c r="F29" s="77"/>
      <c r="G29" s="78"/>
      <c r="H29" s="27">
        <f>SUM(I29)-1.6</f>
        <v>24.799999999999997</v>
      </c>
      <c r="I29" s="27">
        <f>SUM(J29)-1.6</f>
        <v>26.4</v>
      </c>
      <c r="J29" s="125">
        <v>28</v>
      </c>
      <c r="K29" s="114">
        <f>SUM(J29)+1.5</f>
        <v>29.5</v>
      </c>
      <c r="L29" s="114">
        <f t="shared" ref="L29:N29" si="12">SUM(K29)+1.5</f>
        <v>31</v>
      </c>
      <c r="M29" s="114">
        <f t="shared" si="12"/>
        <v>32.5</v>
      </c>
      <c r="N29" s="162">
        <f t="shared" si="12"/>
        <v>34</v>
      </c>
    </row>
    <row r="30" spans="1:19" s="1" customFormat="1" ht="14.1" customHeight="1">
      <c r="A30" s="122"/>
      <c r="B30" s="75" t="s">
        <v>547</v>
      </c>
      <c r="C30" s="75"/>
      <c r="D30" s="79" t="s">
        <v>201</v>
      </c>
      <c r="E30" s="80"/>
      <c r="F30" s="80"/>
      <c r="G30" s="81"/>
      <c r="H30" s="46"/>
      <c r="I30" s="46"/>
      <c r="J30" s="125"/>
      <c r="K30" s="114"/>
      <c r="L30" s="114"/>
      <c r="M30" s="114"/>
      <c r="N30" s="162"/>
    </row>
    <row r="31" spans="1:19" ht="14.1" customHeight="1">
      <c r="A31" s="122">
        <v>15</v>
      </c>
      <c r="B31" s="98" t="s">
        <v>548</v>
      </c>
      <c r="C31" s="98"/>
      <c r="D31" s="124" t="s">
        <v>69</v>
      </c>
      <c r="E31" s="124"/>
      <c r="F31" s="124"/>
      <c r="G31" s="124"/>
      <c r="H31" s="27">
        <f>SUM(I31)-2</f>
        <v>30</v>
      </c>
      <c r="I31" s="27">
        <f>SUM(J31)-2</f>
        <v>32</v>
      </c>
      <c r="J31" s="41">
        <v>34</v>
      </c>
      <c r="K31" s="27">
        <f>SUM(J31)+1.8</f>
        <v>35.799999999999997</v>
      </c>
      <c r="L31" s="27">
        <f t="shared" ref="L31" si="13">SUM(K31)+1.8</f>
        <v>37.599999999999994</v>
      </c>
      <c r="M31" s="27">
        <f>SUM(L31)+1.8</f>
        <v>39.399999999999991</v>
      </c>
      <c r="N31" s="62">
        <f>SUM(M31)+1.8</f>
        <v>41.199999999999989</v>
      </c>
    </row>
    <row r="32" spans="1:19" ht="14.1" customHeight="1">
      <c r="A32" s="122"/>
      <c r="B32" s="75" t="s">
        <v>549</v>
      </c>
      <c r="C32" s="75"/>
      <c r="D32" s="79" t="s">
        <v>43</v>
      </c>
      <c r="E32" s="80"/>
      <c r="F32" s="80"/>
      <c r="G32" s="81"/>
      <c r="H32" s="46"/>
      <c r="I32" s="46"/>
      <c r="J32" s="44"/>
      <c r="K32" s="46"/>
      <c r="L32" s="46"/>
      <c r="M32" s="46"/>
      <c r="N32" s="48"/>
    </row>
    <row r="33" spans="1:14" ht="14.1" customHeight="1">
      <c r="A33" s="122">
        <v>16</v>
      </c>
      <c r="B33" s="36" t="s">
        <v>365</v>
      </c>
      <c r="C33" s="37"/>
      <c r="D33" s="129"/>
      <c r="E33" s="130"/>
      <c r="F33" s="130"/>
      <c r="G33" s="131"/>
      <c r="H33" s="27">
        <f>SUM(I33)-1</f>
        <v>10.3</v>
      </c>
      <c r="I33" s="27">
        <f>SUM(J33)-1</f>
        <v>11.3</v>
      </c>
      <c r="J33" s="125">
        <v>12.3</v>
      </c>
      <c r="K33" s="114">
        <f>SUM(J33)+0.9</f>
        <v>13.200000000000001</v>
      </c>
      <c r="L33" s="114">
        <f t="shared" ref="L33:M33" si="14">SUM(K33)+0.9</f>
        <v>14.100000000000001</v>
      </c>
      <c r="M33" s="114">
        <f t="shared" si="14"/>
        <v>15.000000000000002</v>
      </c>
      <c r="N33" s="162">
        <f t="shared" ref="N33" si="15">SUM(M33)+0.9</f>
        <v>15.900000000000002</v>
      </c>
    </row>
    <row r="34" spans="1:14" ht="14.1" customHeight="1">
      <c r="A34" s="122"/>
      <c r="B34" s="127" t="s">
        <v>413</v>
      </c>
      <c r="C34" s="128"/>
      <c r="D34" s="79" t="s">
        <v>146</v>
      </c>
      <c r="E34" s="80"/>
      <c r="F34" s="80"/>
      <c r="G34" s="81"/>
      <c r="H34" s="46"/>
      <c r="I34" s="46"/>
      <c r="J34" s="125"/>
      <c r="K34" s="114"/>
      <c r="L34" s="114"/>
      <c r="M34" s="114"/>
      <c r="N34" s="162"/>
    </row>
    <row r="35" spans="1:14" ht="14.1" customHeight="1">
      <c r="A35" s="122">
        <v>17</v>
      </c>
      <c r="B35" s="36" t="s">
        <v>414</v>
      </c>
      <c r="C35" s="37"/>
      <c r="D35" s="129"/>
      <c r="E35" s="130"/>
      <c r="F35" s="130"/>
      <c r="G35" s="131"/>
      <c r="H35" s="27">
        <f>SUM(I35)-0.7</f>
        <v>5.6</v>
      </c>
      <c r="I35" s="27">
        <f>SUM(J35)-0.7</f>
        <v>6.3</v>
      </c>
      <c r="J35" s="125">
        <v>7</v>
      </c>
      <c r="K35" s="114">
        <f>SUM(J35)+0.6</f>
        <v>7.6</v>
      </c>
      <c r="L35" s="114">
        <f t="shared" ref="L35:N35" si="16">SUM(K35)+0.6</f>
        <v>8.1999999999999993</v>
      </c>
      <c r="M35" s="114">
        <f t="shared" si="16"/>
        <v>8.7999999999999989</v>
      </c>
      <c r="N35" s="162">
        <f t="shared" si="16"/>
        <v>9.3999999999999986</v>
      </c>
    </row>
    <row r="36" spans="1:14" ht="14.1" customHeight="1">
      <c r="A36" s="122"/>
      <c r="B36" s="127" t="s">
        <v>415</v>
      </c>
      <c r="C36" s="128"/>
      <c r="D36" s="79" t="s">
        <v>416</v>
      </c>
      <c r="E36" s="80"/>
      <c r="F36" s="80"/>
      <c r="G36" s="81"/>
      <c r="H36" s="46"/>
      <c r="I36" s="46"/>
      <c r="J36" s="125"/>
      <c r="K36" s="114"/>
      <c r="L36" s="114"/>
      <c r="M36" s="114"/>
      <c r="N36" s="162"/>
    </row>
    <row r="37" spans="1:14" ht="14.1" customHeight="1">
      <c r="A37" s="122">
        <v>18</v>
      </c>
      <c r="B37" s="98" t="s">
        <v>188</v>
      </c>
      <c r="C37" s="98"/>
      <c r="D37" s="124"/>
      <c r="E37" s="124"/>
      <c r="F37" s="124"/>
      <c r="G37" s="124"/>
      <c r="H37" s="27">
        <f>SUM(I37)-1.6</f>
        <v>12.8</v>
      </c>
      <c r="I37" s="27">
        <f>SUM(J37)-1.6</f>
        <v>14.4</v>
      </c>
      <c r="J37" s="41">
        <v>16</v>
      </c>
      <c r="K37" s="27">
        <f>SUM(J37)+1.2</f>
        <v>17.2</v>
      </c>
      <c r="L37" s="27">
        <f t="shared" ref="L37:N37" si="17">SUM(K37)+1.2</f>
        <v>18.399999999999999</v>
      </c>
      <c r="M37" s="27">
        <f t="shared" si="17"/>
        <v>19.599999999999998</v>
      </c>
      <c r="N37" s="62">
        <f t="shared" si="17"/>
        <v>20.799999999999997</v>
      </c>
    </row>
    <row r="38" spans="1:14" ht="14.1" customHeight="1">
      <c r="A38" s="122"/>
      <c r="B38" s="75" t="s">
        <v>189</v>
      </c>
      <c r="C38" s="75"/>
      <c r="D38" s="79"/>
      <c r="E38" s="80"/>
      <c r="F38" s="80"/>
      <c r="G38" s="81"/>
      <c r="H38" s="46"/>
      <c r="I38" s="46"/>
      <c r="J38" s="44"/>
      <c r="K38" s="46"/>
      <c r="L38" s="46"/>
      <c r="M38" s="46"/>
      <c r="N38" s="48"/>
    </row>
    <row r="39" spans="1:14" ht="14.1" customHeight="1">
      <c r="A39" s="122">
        <v>19</v>
      </c>
      <c r="B39" s="36" t="s">
        <v>190</v>
      </c>
      <c r="C39" s="37"/>
      <c r="D39" s="76"/>
      <c r="E39" s="77"/>
      <c r="F39" s="77"/>
      <c r="G39" s="78"/>
      <c r="H39" s="27">
        <f>SUM(I39)-6.3</f>
        <v>73.400000000000006</v>
      </c>
      <c r="I39" s="27">
        <f>SUM(J39)-6.3</f>
        <v>79.7</v>
      </c>
      <c r="J39" s="41">
        <v>86</v>
      </c>
      <c r="K39" s="27">
        <f>SUM(J39)+5.3</f>
        <v>91.3</v>
      </c>
      <c r="L39" s="27">
        <f t="shared" ref="L39:N39" si="18">SUM(K39)+5.3</f>
        <v>96.6</v>
      </c>
      <c r="M39" s="27">
        <f t="shared" si="18"/>
        <v>101.89999999999999</v>
      </c>
      <c r="N39" s="62">
        <f t="shared" si="18"/>
        <v>107.19999999999999</v>
      </c>
    </row>
    <row r="40" spans="1:14" ht="14.1" customHeight="1">
      <c r="A40" s="122"/>
      <c r="B40" s="153" t="s">
        <v>191</v>
      </c>
      <c r="C40" s="153"/>
      <c r="D40" s="102" t="s">
        <v>192</v>
      </c>
      <c r="E40" s="103"/>
      <c r="F40" s="103"/>
      <c r="G40" s="104"/>
      <c r="H40" s="45"/>
      <c r="I40" s="45"/>
      <c r="J40" s="43"/>
      <c r="K40" s="45"/>
      <c r="L40" s="45"/>
      <c r="M40" s="45"/>
      <c r="N40" s="47"/>
    </row>
    <row r="41" spans="1:14" ht="14.1" customHeight="1">
      <c r="A41" s="122">
        <v>20</v>
      </c>
      <c r="B41" s="36" t="s">
        <v>417</v>
      </c>
      <c r="C41" s="37"/>
      <c r="D41" s="129"/>
      <c r="E41" s="130"/>
      <c r="F41" s="130"/>
      <c r="G41" s="131"/>
      <c r="H41" s="27">
        <f>SUM(I41)-1.4</f>
        <v>26.700000000000003</v>
      </c>
      <c r="I41" s="27">
        <f>SUM(J41)-1.4</f>
        <v>28.1</v>
      </c>
      <c r="J41" s="125">
        <v>29.5</v>
      </c>
      <c r="K41" s="114">
        <f>SUM(J41)+1.4</f>
        <v>30.9</v>
      </c>
      <c r="L41" s="114">
        <f t="shared" ref="L41:N41" si="19">SUM(K41)+1.4</f>
        <v>32.299999999999997</v>
      </c>
      <c r="M41" s="114">
        <f t="shared" si="19"/>
        <v>33.699999999999996</v>
      </c>
      <c r="N41" s="162">
        <f t="shared" si="19"/>
        <v>35.099999999999994</v>
      </c>
    </row>
    <row r="42" spans="1:14" ht="14.1" customHeight="1" thickBot="1">
      <c r="A42" s="123"/>
      <c r="B42" s="143" t="s">
        <v>418</v>
      </c>
      <c r="C42" s="144"/>
      <c r="D42" s="119"/>
      <c r="E42" s="120"/>
      <c r="F42" s="120"/>
      <c r="G42" s="121"/>
      <c r="H42" s="28"/>
      <c r="I42" s="28"/>
      <c r="J42" s="126"/>
      <c r="K42" s="115"/>
      <c r="L42" s="115"/>
      <c r="M42" s="115"/>
      <c r="N42" s="142"/>
    </row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43">
    <mergeCell ref="K41:K42"/>
    <mergeCell ref="L41:L42"/>
    <mergeCell ref="M41:M42"/>
    <mergeCell ref="N41:N42"/>
    <mergeCell ref="B42:C42"/>
    <mergeCell ref="D42:G42"/>
    <mergeCell ref="A41:A42"/>
    <mergeCell ref="B41:C41"/>
    <mergeCell ref="D41:G41"/>
    <mergeCell ref="H41:H42"/>
    <mergeCell ref="I41:I42"/>
    <mergeCell ref="J41:J42"/>
    <mergeCell ref="K39:K40"/>
    <mergeCell ref="L39:L40"/>
    <mergeCell ref="M39:M40"/>
    <mergeCell ref="N39:N40"/>
    <mergeCell ref="B40:C40"/>
    <mergeCell ref="D40:G40"/>
    <mergeCell ref="A39:A40"/>
    <mergeCell ref="B39:C39"/>
    <mergeCell ref="D39:G39"/>
    <mergeCell ref="H39:H40"/>
    <mergeCell ref="I39:I40"/>
    <mergeCell ref="J39:J40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27AC-F6B8-48A9-846E-B53C42273303}">
  <sheetPr codeName="Sheet59">
    <tabColor theme="5"/>
    <pageSetUpPr fitToPage="1"/>
  </sheetPr>
  <dimension ref="A1:N51"/>
  <sheetViews>
    <sheetView zoomScale="110" zoomScaleNormal="110" workbookViewId="0">
      <selection activeCell="B5" sqref="B5:G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344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13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40</v>
      </c>
      <c r="I3" s="27">
        <f>SUM(J3)-3.5</f>
        <v>43.5</v>
      </c>
      <c r="J3" s="139">
        <v>47</v>
      </c>
      <c r="K3" s="140">
        <f>SUM(J3)+3</f>
        <v>50</v>
      </c>
      <c r="L3" s="140">
        <f t="shared" ref="L3:M3" si="0">SUM(K3)+3</f>
        <v>53</v>
      </c>
      <c r="M3" s="166">
        <f t="shared" si="0"/>
        <v>56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</f>
        <v>36</v>
      </c>
      <c r="I5" s="27">
        <f>SUM(J5)-2</f>
        <v>38</v>
      </c>
      <c r="J5" s="41">
        <v>40</v>
      </c>
      <c r="K5" s="27">
        <f>SUM(J5)+1.8</f>
        <v>41.8</v>
      </c>
      <c r="L5" s="27">
        <f t="shared" ref="L5:M5" si="1">SUM(K5)+1.8</f>
        <v>43.599999999999994</v>
      </c>
      <c r="M5" s="62">
        <f t="shared" si="1"/>
        <v>45.399999999999991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38</v>
      </c>
      <c r="I7" s="27">
        <f>SUM(J7)-2.25</f>
        <v>40.25</v>
      </c>
      <c r="J7" s="41">
        <v>42.5</v>
      </c>
      <c r="K7" s="27">
        <f>SUM(J7)+2</f>
        <v>44.5</v>
      </c>
      <c r="L7" s="27">
        <f>SUM(K7)+2</f>
        <v>46.5</v>
      </c>
      <c r="M7" s="62">
        <f>SUM(L7)+2</f>
        <v>48.5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31.400000000000002</v>
      </c>
      <c r="I9" s="27">
        <f>SUM(J9)-1.8</f>
        <v>33.200000000000003</v>
      </c>
      <c r="J9" s="41">
        <v>35</v>
      </c>
      <c r="K9" s="27">
        <f>SUM(J9)+1.6</f>
        <v>36.6</v>
      </c>
      <c r="L9" s="27">
        <f t="shared" ref="L9:M9" si="2">SUM(K9)+1.6</f>
        <v>38.200000000000003</v>
      </c>
      <c r="M9" s="62">
        <f t="shared" si="2"/>
        <v>39.800000000000004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15</v>
      </c>
      <c r="I11" s="27">
        <f>SUM(J11)-0.8</f>
        <v>15.8</v>
      </c>
      <c r="J11" s="125">
        <v>16.600000000000001</v>
      </c>
      <c r="K11" s="114">
        <f>SUM(J11)+0.8</f>
        <v>17.400000000000002</v>
      </c>
      <c r="L11" s="114">
        <f t="shared" ref="L11:M11" si="3">SUM(K11)+0.8</f>
        <v>18.200000000000003</v>
      </c>
      <c r="M11" s="162">
        <f t="shared" si="3"/>
        <v>19.000000000000004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15.799999999999999</v>
      </c>
      <c r="I13" s="27">
        <f>SUM(J13)-0.6</f>
        <v>16.399999999999999</v>
      </c>
      <c r="J13" s="125">
        <v>17</v>
      </c>
      <c r="K13" s="114">
        <f>SUM(J13)+0.6</f>
        <v>17.600000000000001</v>
      </c>
      <c r="L13" s="114">
        <f>SUM(K13)+0.6</f>
        <v>18.200000000000003</v>
      </c>
      <c r="M13" s="162">
        <f>SUM(L13)+0.6</f>
        <v>18.800000000000004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7</v>
      </c>
      <c r="I15" s="27">
        <f>SUM(J15)-0.3</f>
        <v>7.3</v>
      </c>
      <c r="J15" s="125">
        <v>7.6</v>
      </c>
      <c r="K15" s="114">
        <f>SUM(J15)+0.3</f>
        <v>7.8999999999999995</v>
      </c>
      <c r="L15" s="114">
        <f>SUM(K15)+0.3</f>
        <v>8.1999999999999993</v>
      </c>
      <c r="M15" s="162">
        <f>SUM(L15)+0.3</f>
        <v>8.5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39.799999999999997</v>
      </c>
      <c r="I17" s="27">
        <f>SUM(J17)-1.6</f>
        <v>41.4</v>
      </c>
      <c r="J17" s="125">
        <v>43</v>
      </c>
      <c r="K17" s="114">
        <f>SUM(J17)+1.6</f>
        <v>44.6</v>
      </c>
      <c r="L17" s="114">
        <f>SUM(K17)+1.6</f>
        <v>46.2</v>
      </c>
      <c r="M17" s="162">
        <f>SUM(L17)+1.6</f>
        <v>47.800000000000004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SUM(I19)-3.5</f>
        <v>27</v>
      </c>
      <c r="I19" s="27">
        <f>SUM(J19)-3.5</f>
        <v>30.5</v>
      </c>
      <c r="J19" s="125">
        <v>34</v>
      </c>
      <c r="K19" s="114">
        <f>SUM(J19)+3.6</f>
        <v>37.6</v>
      </c>
      <c r="L19" s="114">
        <f t="shared" ref="L19:M19" si="4">SUM(K19)+3.6</f>
        <v>41.2</v>
      </c>
      <c r="M19" s="162">
        <f t="shared" si="4"/>
        <v>44.800000000000004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SUM(I21)-1.5</f>
        <v>29</v>
      </c>
      <c r="I21" s="27">
        <f>SUM(J21)-1.5</f>
        <v>30.5</v>
      </c>
      <c r="J21" s="125">
        <v>32</v>
      </c>
      <c r="K21" s="114">
        <f>SUM(J21)+1.5</f>
        <v>33.5</v>
      </c>
      <c r="L21" s="114">
        <f t="shared" ref="L21:M21" si="5">SUM(K21)+1.5</f>
        <v>35</v>
      </c>
      <c r="M21" s="162">
        <f t="shared" si="5"/>
        <v>36.5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 t="shared" ref="L23:M23" si="6">SUM(K23)+0.6</f>
        <v>16.399999999999999</v>
      </c>
      <c r="M23" s="162">
        <f t="shared" si="6"/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SUM(I25)-0.2</f>
        <v>3.5999999999999996</v>
      </c>
      <c r="I25" s="27">
        <f>SUM(J25)-0.2</f>
        <v>3.8</v>
      </c>
      <c r="J25" s="41">
        <v>4</v>
      </c>
      <c r="K25" s="27">
        <f>SUM(J25)+0.2</f>
        <v>4.2</v>
      </c>
      <c r="L25" s="27">
        <f t="shared" ref="L25:M25" si="7">SUM(K25)+0.2</f>
        <v>4.4000000000000004</v>
      </c>
      <c r="M25" s="62">
        <f t="shared" si="7"/>
        <v>4.6000000000000005</v>
      </c>
    </row>
    <row r="26" spans="1:13" s="1" customFormat="1" ht="14.1" customHeight="1">
      <c r="A26" s="122"/>
      <c r="B26" s="127" t="s">
        <v>122</v>
      </c>
      <c r="C26" s="128"/>
      <c r="D26" s="79" t="s">
        <v>216</v>
      </c>
      <c r="E26" s="80"/>
      <c r="F26" s="80"/>
      <c r="G26" s="81"/>
      <c r="H26" s="46"/>
      <c r="I26" s="46"/>
      <c r="J26" s="44"/>
      <c r="K26" s="46"/>
      <c r="L26" s="46"/>
      <c r="M26" s="48"/>
    </row>
    <row r="27" spans="1:13" s="1" customFormat="1" ht="14.1" customHeight="1">
      <c r="A27" s="122">
        <v>13</v>
      </c>
      <c r="B27" s="36"/>
      <c r="C27" s="37"/>
      <c r="D27" s="129"/>
      <c r="E27" s="130"/>
      <c r="F27" s="130"/>
      <c r="G27" s="131"/>
      <c r="H27" s="27"/>
      <c r="I27" s="27"/>
      <c r="J27" s="41"/>
      <c r="K27" s="27"/>
      <c r="L27" s="27"/>
      <c r="M27" s="62"/>
    </row>
    <row r="28" spans="1:13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8"/>
    </row>
    <row r="29" spans="1:13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62"/>
    </row>
    <row r="30" spans="1:13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16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5EA1-521D-4491-9A4B-6002A53E5598}">
  <sheetPr codeName="Sheet77">
    <tabColor theme="5"/>
    <pageSetUpPr fitToPage="1"/>
  </sheetPr>
  <dimension ref="A1:N79"/>
  <sheetViews>
    <sheetView zoomScale="110" zoomScaleNormal="110" workbookViewId="0">
      <selection sqref="A1:M1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4" ht="16.5" customHeight="1" thickBot="1">
      <c r="A1" s="85" t="s">
        <v>550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13"/>
    </row>
    <row r="2" spans="1:14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253</v>
      </c>
      <c r="E3" s="149"/>
      <c r="F3" s="149"/>
      <c r="G3" s="92"/>
      <c r="H3" s="27">
        <f>SUM(I3)-3.5</f>
        <v>34.4</v>
      </c>
      <c r="I3" s="27">
        <f>SUM(J3)-3.5</f>
        <v>37.9</v>
      </c>
      <c r="J3" s="139">
        <v>41.4</v>
      </c>
      <c r="K3" s="140">
        <f>SUM(J3)+3</f>
        <v>44.4</v>
      </c>
      <c r="L3" s="140">
        <f t="shared" ref="L3:M3" si="0">SUM(K3)+3</f>
        <v>47.4</v>
      </c>
      <c r="M3" s="166">
        <f t="shared" si="0"/>
        <v>50.4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SUM(I5)-1.8</f>
        <v>23.599999999999998</v>
      </c>
      <c r="I5" s="27">
        <f>SUM(J5)-1.8</f>
        <v>25.4</v>
      </c>
      <c r="J5" s="125">
        <v>27.2</v>
      </c>
      <c r="K5" s="114">
        <f>SUM(J5)+1.6</f>
        <v>28.8</v>
      </c>
      <c r="L5" s="114">
        <f>SUM(K5)+1.6</f>
        <v>30.400000000000002</v>
      </c>
      <c r="M5" s="162">
        <f>SUM(L5)+1.6</f>
        <v>32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125"/>
      <c r="K6" s="114"/>
      <c r="L6" s="114"/>
      <c r="M6" s="162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30</v>
      </c>
      <c r="I7" s="27">
        <f>SUM(J7)-2.25</f>
        <v>32.25</v>
      </c>
      <c r="J7" s="41">
        <v>34.5</v>
      </c>
      <c r="K7" s="27">
        <f>SUM(J7)+2</f>
        <v>36.5</v>
      </c>
      <c r="L7" s="27">
        <f>SUM(K7)+2</f>
        <v>38.5</v>
      </c>
      <c r="M7" s="62">
        <f>SUM(L7)+2</f>
        <v>40.5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SUM(I9)-2.25</f>
        <v>30</v>
      </c>
      <c r="I9" s="27">
        <f>SUM(J9)-2.25</f>
        <v>32.25</v>
      </c>
      <c r="J9" s="41">
        <v>34.5</v>
      </c>
      <c r="K9" s="27">
        <f>SUM(J9)+2</f>
        <v>36.5</v>
      </c>
      <c r="L9" s="27">
        <f>SUM(K9)+2</f>
        <v>38.5</v>
      </c>
      <c r="M9" s="62">
        <f>SUM(L9)+2</f>
        <v>40.5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537</v>
      </c>
      <c r="E11" s="124"/>
      <c r="F11" s="124"/>
      <c r="G11" s="124"/>
      <c r="H11" s="27">
        <f>SUM(I11)-0.8</f>
        <v>13.299999999999999</v>
      </c>
      <c r="I11" s="27">
        <f>SUM(J11)-0.8</f>
        <v>14.1</v>
      </c>
      <c r="J11" s="125">
        <v>14.9</v>
      </c>
      <c r="K11" s="27">
        <f>SUM(J11)+0.8</f>
        <v>15.700000000000001</v>
      </c>
      <c r="L11" s="27">
        <f t="shared" ref="L11:M11" si="1">SUM(K11)+0.8</f>
        <v>16.5</v>
      </c>
      <c r="M11" s="62">
        <f t="shared" si="1"/>
        <v>17.3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46"/>
      <c r="L12" s="46"/>
      <c r="M12" s="48"/>
    </row>
    <row r="13" spans="1:14" s="1" customFormat="1" ht="14.1" customHeight="1">
      <c r="A13" s="122">
        <v>6</v>
      </c>
      <c r="B13" s="98" t="s">
        <v>1</v>
      </c>
      <c r="C13" s="98"/>
      <c r="D13" s="124" t="s">
        <v>296</v>
      </c>
      <c r="E13" s="124"/>
      <c r="F13" s="124"/>
      <c r="G13" s="124"/>
      <c r="H13" s="27">
        <f>SUM(I13)-0.6</f>
        <v>14.5</v>
      </c>
      <c r="I13" s="27">
        <f>SUM(J13)-0.6</f>
        <v>15.1</v>
      </c>
      <c r="J13" s="125">
        <v>15.7</v>
      </c>
      <c r="K13" s="114">
        <f>SUM(J13)+0.6</f>
        <v>16.3</v>
      </c>
      <c r="L13" s="114">
        <f>SUM(K13)+0.6</f>
        <v>16.900000000000002</v>
      </c>
      <c r="M13" s="162">
        <f>SUM(L13)+0.6</f>
        <v>17.500000000000004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5.6000000000000005</v>
      </c>
      <c r="I15" s="27">
        <f>SUM(J15)-0.3</f>
        <v>5.9</v>
      </c>
      <c r="J15" s="125">
        <v>6.2</v>
      </c>
      <c r="K15" s="114">
        <f>SUM(J15)+0.3</f>
        <v>6.5</v>
      </c>
      <c r="L15" s="114">
        <f>SUM(K15)+0.3</f>
        <v>6.8</v>
      </c>
      <c r="M15" s="162">
        <f>SUM(L15)+0.3</f>
        <v>7.1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37.599999999999994</v>
      </c>
      <c r="I17" s="27">
        <f>SUM(J17)-1.6</f>
        <v>39.199999999999996</v>
      </c>
      <c r="J17" s="125">
        <v>40.799999999999997</v>
      </c>
      <c r="K17" s="114">
        <f>SUM(J17)+1.6</f>
        <v>42.4</v>
      </c>
      <c r="L17" s="114">
        <f>SUM(K17)+1.6</f>
        <v>44</v>
      </c>
      <c r="M17" s="162">
        <f>SUM(L17)+1.6</f>
        <v>45.6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551</v>
      </c>
      <c r="C19" s="98"/>
      <c r="D19" s="124" t="s">
        <v>5</v>
      </c>
      <c r="E19" s="124"/>
      <c r="F19" s="124"/>
      <c r="G19" s="124"/>
      <c r="H19" s="27">
        <f>SUM(I19)-3.6</f>
        <v>32.599999999999994</v>
      </c>
      <c r="I19" s="27">
        <f>SUM(J19)-3.6</f>
        <v>36.199999999999996</v>
      </c>
      <c r="J19" s="125">
        <v>39.799999999999997</v>
      </c>
      <c r="K19" s="114">
        <f>SUM(J19)+3.7</f>
        <v>43.5</v>
      </c>
      <c r="L19" s="114">
        <f>SUM(K19)+3.7</f>
        <v>47.2</v>
      </c>
      <c r="M19" s="162">
        <f>SUM(L19)+3.7</f>
        <v>50.900000000000006</v>
      </c>
    </row>
    <row r="20" spans="1:13" s="1" customFormat="1" ht="14.1" customHeight="1">
      <c r="A20" s="122"/>
      <c r="B20" s="75" t="s">
        <v>552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SUM(I21)-1.4</f>
        <v>24.200000000000003</v>
      </c>
      <c r="I21" s="27">
        <f>SUM(J21)-1.4</f>
        <v>25.6</v>
      </c>
      <c r="J21" s="125">
        <v>27</v>
      </c>
      <c r="K21" s="114">
        <f>SUM(J21)+1.4</f>
        <v>28.4</v>
      </c>
      <c r="L21" s="114">
        <f t="shared" ref="L21:M21" si="2">SUM(K21)+1.4</f>
        <v>29.799999999999997</v>
      </c>
      <c r="M21" s="162">
        <f t="shared" si="2"/>
        <v>31.199999999999996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260</v>
      </c>
      <c r="C23" s="37"/>
      <c r="D23" s="124" t="s">
        <v>65</v>
      </c>
      <c r="E23" s="124"/>
      <c r="F23" s="124"/>
      <c r="G23" s="124"/>
      <c r="H23" s="27">
        <f>SUM(I23)-0.7</f>
        <v>16.600000000000001</v>
      </c>
      <c r="I23" s="27">
        <f>SUM(J23)-0.7</f>
        <v>17.3</v>
      </c>
      <c r="J23" s="125">
        <v>18</v>
      </c>
      <c r="K23" s="114">
        <f>SUM(J23)+0.7</f>
        <v>18.7</v>
      </c>
      <c r="L23" s="114">
        <f>SUM(K23)+0.7</f>
        <v>19.399999999999999</v>
      </c>
      <c r="M23" s="162">
        <f>SUM(L23)+0.7</f>
        <v>20.099999999999998</v>
      </c>
    </row>
    <row r="24" spans="1:13" s="1" customFormat="1" ht="14.1" customHeight="1" thickBot="1">
      <c r="A24" s="159"/>
      <c r="B24" s="153" t="s">
        <v>31</v>
      </c>
      <c r="C24" s="153"/>
      <c r="D24" s="102" t="s">
        <v>66</v>
      </c>
      <c r="E24" s="103"/>
      <c r="F24" s="103"/>
      <c r="G24" s="104"/>
      <c r="H24" s="45"/>
      <c r="I24" s="45"/>
      <c r="J24" s="41"/>
      <c r="K24" s="27"/>
      <c r="L24" s="27"/>
      <c r="M24" s="62"/>
    </row>
    <row r="25" spans="1:13" s="1" customFormat="1" ht="14.1" customHeight="1" thickTop="1">
      <c r="A25" s="225">
        <v>12</v>
      </c>
      <c r="B25" s="69" t="s">
        <v>553</v>
      </c>
      <c r="C25" s="70"/>
      <c r="D25" s="226" t="s">
        <v>253</v>
      </c>
      <c r="E25" s="226"/>
      <c r="F25" s="226"/>
      <c r="G25" s="226"/>
      <c r="H25" s="55">
        <f>SUM(I25)-3.2</f>
        <v>31.499999999999996</v>
      </c>
      <c r="I25" s="55">
        <f>SUM(J25)-3.2</f>
        <v>34.699999999999996</v>
      </c>
      <c r="J25" s="54">
        <v>37.9</v>
      </c>
      <c r="K25" s="55">
        <f>SUM(J25)+2.7</f>
        <v>40.6</v>
      </c>
      <c r="L25" s="55">
        <f t="shared" ref="L25:M25" si="3">SUM(K25)+2.7</f>
        <v>43.300000000000004</v>
      </c>
      <c r="M25" s="56">
        <f t="shared" si="3"/>
        <v>46.000000000000007</v>
      </c>
    </row>
    <row r="26" spans="1:13" s="1" customFormat="1" ht="14.1" customHeight="1">
      <c r="A26" s="138"/>
      <c r="B26" s="127" t="s">
        <v>554</v>
      </c>
      <c r="C26" s="128"/>
      <c r="D26" s="79" t="s">
        <v>73</v>
      </c>
      <c r="E26" s="80"/>
      <c r="F26" s="80"/>
      <c r="G26" s="81"/>
      <c r="H26" s="46"/>
      <c r="I26" s="46"/>
      <c r="J26" s="44"/>
      <c r="K26" s="46"/>
      <c r="L26" s="46"/>
      <c r="M26" s="48"/>
    </row>
    <row r="27" spans="1:13" s="1" customFormat="1" ht="14.1" customHeight="1">
      <c r="A27" s="159">
        <v>13</v>
      </c>
      <c r="B27" s="98" t="s">
        <v>555</v>
      </c>
      <c r="C27" s="98"/>
      <c r="D27" s="124" t="s">
        <v>5</v>
      </c>
      <c r="E27" s="124"/>
      <c r="F27" s="124"/>
      <c r="G27" s="124"/>
      <c r="H27" s="27">
        <f>SUM(I27)-1.1</f>
        <v>11.100000000000001</v>
      </c>
      <c r="I27" s="27">
        <f>SUM(J27)-1.1</f>
        <v>12.200000000000001</v>
      </c>
      <c r="J27" s="125">
        <v>13.3</v>
      </c>
      <c r="K27" s="114">
        <f>SUM(J27)+1.2</f>
        <v>14.5</v>
      </c>
      <c r="L27" s="114">
        <f t="shared" ref="L27:M27" si="4">SUM(K27)+1.2</f>
        <v>15.7</v>
      </c>
      <c r="M27" s="162">
        <f t="shared" si="4"/>
        <v>16.899999999999999</v>
      </c>
    </row>
    <row r="28" spans="1:13" s="1" customFormat="1" ht="14.1" customHeight="1">
      <c r="A28" s="138"/>
      <c r="B28" s="75" t="s">
        <v>556</v>
      </c>
      <c r="C28" s="75"/>
      <c r="D28" s="79" t="s">
        <v>47</v>
      </c>
      <c r="E28" s="80"/>
      <c r="F28" s="80"/>
      <c r="G28" s="81"/>
      <c r="H28" s="46"/>
      <c r="I28" s="46"/>
      <c r="J28" s="125"/>
      <c r="K28" s="114"/>
      <c r="L28" s="114"/>
      <c r="M28" s="162"/>
    </row>
    <row r="29" spans="1:13" s="1" customFormat="1" ht="14.1" customHeight="1">
      <c r="A29" s="159">
        <v>14</v>
      </c>
      <c r="B29" s="36" t="s">
        <v>557</v>
      </c>
      <c r="C29" s="37"/>
      <c r="D29" s="124" t="s">
        <v>65</v>
      </c>
      <c r="E29" s="124"/>
      <c r="F29" s="124"/>
      <c r="G29" s="124"/>
      <c r="H29" s="27">
        <f>SUM(I29)-1.3</f>
        <v>23.099999999999998</v>
      </c>
      <c r="I29" s="27">
        <f>SUM(J29)-1.3</f>
        <v>24.4</v>
      </c>
      <c r="J29" s="125">
        <v>25.7</v>
      </c>
      <c r="K29" s="114">
        <f>SUM(J29)+1.2</f>
        <v>26.9</v>
      </c>
      <c r="L29" s="114">
        <f t="shared" ref="L29:M29" si="5">SUM(K29)+1.2</f>
        <v>28.099999999999998</v>
      </c>
      <c r="M29" s="162">
        <f t="shared" si="5"/>
        <v>29.299999999999997</v>
      </c>
    </row>
    <row r="30" spans="1:13" s="1" customFormat="1" ht="14.1" customHeight="1">
      <c r="A30" s="138"/>
      <c r="B30" s="153" t="s">
        <v>558</v>
      </c>
      <c r="C30" s="153"/>
      <c r="D30" s="102" t="s">
        <v>66</v>
      </c>
      <c r="E30" s="103"/>
      <c r="F30" s="103"/>
      <c r="G30" s="104"/>
      <c r="H30" s="45"/>
      <c r="I30" s="45"/>
      <c r="J30" s="41"/>
      <c r="K30" s="27"/>
      <c r="L30" s="27"/>
      <c r="M30" s="62"/>
    </row>
    <row r="31" spans="1:13" s="1" customFormat="1" ht="14.1" customHeight="1">
      <c r="A31" s="159">
        <v>15</v>
      </c>
      <c r="B31" s="98"/>
      <c r="C31" s="98"/>
      <c r="D31" s="124"/>
      <c r="E31" s="124"/>
      <c r="F31" s="124"/>
      <c r="G31" s="124"/>
      <c r="H31" s="27"/>
      <c r="I31" s="27"/>
      <c r="J31" s="41"/>
      <c r="K31" s="27"/>
      <c r="L31" s="27"/>
      <c r="M31" s="62"/>
    </row>
    <row r="32" spans="1:13" s="1" customFormat="1" ht="14.1" customHeight="1">
      <c r="A32" s="138"/>
      <c r="B32" s="75"/>
      <c r="C32" s="75"/>
      <c r="D32" s="79"/>
      <c r="E32" s="80"/>
      <c r="F32" s="80"/>
      <c r="G32" s="81"/>
      <c r="H32" s="46"/>
      <c r="I32" s="46"/>
      <c r="J32" s="44"/>
      <c r="K32" s="46"/>
      <c r="L32" s="46"/>
      <c r="M32" s="48"/>
    </row>
    <row r="33" spans="1:13" s="1" customFormat="1" ht="14.1" customHeight="1">
      <c r="A33" s="159">
        <v>16</v>
      </c>
      <c r="B33" s="98"/>
      <c r="C33" s="98"/>
      <c r="D33" s="124"/>
      <c r="E33" s="124"/>
      <c r="F33" s="124"/>
      <c r="G33" s="124"/>
      <c r="H33" s="27"/>
      <c r="I33" s="27"/>
      <c r="J33" s="41"/>
      <c r="K33" s="27"/>
      <c r="L33" s="27"/>
      <c r="M33" s="62"/>
    </row>
    <row r="34" spans="1:13" s="1" customFormat="1" ht="14.1" customHeight="1" thickBot="1">
      <c r="A34" s="158"/>
      <c r="B34" s="118"/>
      <c r="C34" s="118"/>
      <c r="D34" s="119"/>
      <c r="E34" s="120"/>
      <c r="F34" s="120"/>
      <c r="G34" s="121"/>
      <c r="H34" s="28"/>
      <c r="I34" s="28"/>
      <c r="J34" s="42"/>
      <c r="K34" s="28"/>
      <c r="L34" s="28"/>
      <c r="M34" s="160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s="1" customFormat="1" ht="14.1" customHeight="1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s="1" customFormat="1" ht="14.1" customHeight="1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ht="14.1" customHeight="1"/>
    <row r="40" spans="1:13" ht="14.1" customHeight="1"/>
    <row r="41" spans="1:13" ht="14.1" customHeight="1"/>
    <row r="42" spans="1:13" ht="14.1" customHeight="1"/>
    <row r="43" spans="1:13" s="1" customFormat="1" ht="14.1" customHeight="1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1" customFormat="1" ht="14.1" customHeight="1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7" right="0.7" top="0.75" bottom="0.75" header="0.3" footer="0.3"/>
  <pageSetup paperSize="9" scale="93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D3D4-0E0A-4952-8ECC-0C79C2D7E711}">
  <sheetPr codeName="Sheet20">
    <tabColor theme="5"/>
    <pageSetUpPr fitToPage="1"/>
  </sheetPr>
  <dimension ref="A1:P51"/>
  <sheetViews>
    <sheetView zoomScale="110" zoomScaleNormal="110" workbookViewId="0">
      <selection activeCell="M3" sqref="M3:M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85" t="s">
        <v>328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6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38">
        <v>1</v>
      </c>
      <c r="B3" s="148" t="s">
        <v>39</v>
      </c>
      <c r="C3" s="148"/>
      <c r="D3" s="92" t="s">
        <v>217</v>
      </c>
      <c r="E3" s="93"/>
      <c r="F3" s="93"/>
      <c r="G3" s="94"/>
      <c r="H3" s="27">
        <f>SUM(I3)-3</f>
        <v>31</v>
      </c>
      <c r="I3" s="27">
        <f>SUM(J3)-3</f>
        <v>34</v>
      </c>
      <c r="J3" s="139">
        <v>37</v>
      </c>
      <c r="K3" s="96">
        <f>SUM(J3)+2.5</f>
        <v>39.5</v>
      </c>
      <c r="L3" s="96">
        <f>SUM(K3)+2.5</f>
        <v>42</v>
      </c>
      <c r="M3" s="97">
        <f>SUM(L3)+2.5</f>
        <v>44.5</v>
      </c>
    </row>
    <row r="4" spans="1:16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46"/>
      <c r="L4" s="46"/>
      <c r="M4" s="48"/>
    </row>
    <row r="5" spans="1:16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SUM(I5)-1.6</f>
        <v>26.799999999999997</v>
      </c>
      <c r="I5" s="27">
        <f>SUM(J5)-1.6</f>
        <v>28.4</v>
      </c>
      <c r="J5" s="41">
        <v>30</v>
      </c>
      <c r="K5" s="27">
        <f>SUM(J5)+1.6</f>
        <v>31.6</v>
      </c>
      <c r="L5" s="27">
        <f>SUM(K5)+1.6</f>
        <v>33.200000000000003</v>
      </c>
      <c r="M5" s="62">
        <f>SUM(L5)+1.6</f>
        <v>34.800000000000004</v>
      </c>
    </row>
    <row r="6" spans="1:16" s="1" customFormat="1" ht="14.1" customHeight="1">
      <c r="A6" s="122"/>
      <c r="B6" s="75" t="s">
        <v>329</v>
      </c>
      <c r="C6" s="75"/>
      <c r="D6" s="79" t="s">
        <v>254</v>
      </c>
      <c r="E6" s="80"/>
      <c r="F6" s="80"/>
      <c r="G6" s="81"/>
      <c r="H6" s="46"/>
      <c r="I6" s="46"/>
      <c r="J6" s="44"/>
      <c r="K6" s="46"/>
      <c r="L6" s="46"/>
      <c r="M6" s="48"/>
    </row>
    <row r="7" spans="1:16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</f>
        <v>34</v>
      </c>
      <c r="I7" s="27">
        <f>SUM(J7)-2</f>
        <v>36</v>
      </c>
      <c r="J7" s="41">
        <v>38</v>
      </c>
      <c r="K7" s="27">
        <f>SUM(J7)+2</f>
        <v>40</v>
      </c>
      <c r="L7" s="27">
        <f>SUM(K7)+2</f>
        <v>42</v>
      </c>
      <c r="M7" s="62">
        <f>SUM(L7)+2</f>
        <v>44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6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SUM(I9)-2</f>
        <v>32</v>
      </c>
      <c r="I9" s="27">
        <f>SUM(J9)-2</f>
        <v>34</v>
      </c>
      <c r="J9" s="41">
        <v>36</v>
      </c>
      <c r="K9" s="27">
        <f>SUM(J9)+2</f>
        <v>38</v>
      </c>
      <c r="L9" s="27">
        <f>SUM(K9)+2</f>
        <v>40</v>
      </c>
      <c r="M9" s="62">
        <f>SUM(L9)+2</f>
        <v>42</v>
      </c>
      <c r="O9" s="1" t="s">
        <v>162</v>
      </c>
    </row>
    <row r="10" spans="1:16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6" s="1" customFormat="1" ht="14.1" customHeight="1">
      <c r="A11" s="122">
        <v>5</v>
      </c>
      <c r="B11" s="98" t="s">
        <v>255</v>
      </c>
      <c r="C11" s="98"/>
      <c r="D11" s="124"/>
      <c r="E11" s="124"/>
      <c r="F11" s="124"/>
      <c r="G11" s="124"/>
      <c r="H11" s="27">
        <f>SUM(I11)-0</f>
        <v>5.5</v>
      </c>
      <c r="I11" s="27">
        <f>SUM(J11)-0</f>
        <v>5.5</v>
      </c>
      <c r="J11" s="41">
        <v>5.5</v>
      </c>
      <c r="K11" s="27">
        <f>SUM(J11)+0.5</f>
        <v>6</v>
      </c>
      <c r="L11" s="27">
        <f>SUM(K11)+0</f>
        <v>6</v>
      </c>
      <c r="M11" s="62">
        <f>SUM(L11)+0</f>
        <v>6</v>
      </c>
      <c r="P11" s="1" t="s">
        <v>162</v>
      </c>
    </row>
    <row r="12" spans="1:16" s="1" customFormat="1" ht="14.1" customHeight="1">
      <c r="A12" s="122"/>
      <c r="B12" s="75" t="s">
        <v>256</v>
      </c>
      <c r="C12" s="75"/>
      <c r="D12" s="79"/>
      <c r="E12" s="80"/>
      <c r="F12" s="80"/>
      <c r="G12" s="81"/>
      <c r="H12" s="46"/>
      <c r="I12" s="46"/>
      <c r="J12" s="44"/>
      <c r="K12" s="46"/>
      <c r="L12" s="46"/>
      <c r="M12" s="48"/>
    </row>
    <row r="13" spans="1:16" s="1" customFormat="1" ht="14.1" customHeight="1">
      <c r="A13" s="122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>
        <f>SUM(I13)-0.8</f>
        <v>20.399999999999999</v>
      </c>
      <c r="I13" s="27">
        <f>SUM(J13)-0.8</f>
        <v>21.2</v>
      </c>
      <c r="J13" s="125">
        <v>22</v>
      </c>
      <c r="K13" s="114">
        <f>SUM(J13)+0.8</f>
        <v>22.8</v>
      </c>
      <c r="L13" s="114">
        <f>SUM(K13)+0.8</f>
        <v>23.6</v>
      </c>
      <c r="M13" s="162">
        <f>SUM(L13)+0.8</f>
        <v>24.400000000000002</v>
      </c>
    </row>
    <row r="14" spans="1:16" s="1" customFormat="1" ht="14.1" customHeight="1">
      <c r="A14" s="122"/>
      <c r="B14" s="75" t="s">
        <v>26</v>
      </c>
      <c r="C14" s="75"/>
      <c r="D14" s="79" t="s">
        <v>330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6" s="1" customFormat="1" ht="14.1" customHeight="1">
      <c r="A15" s="122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15.799999999999999</v>
      </c>
      <c r="I15" s="27">
        <f>SUM(J15)-0.6</f>
        <v>16.399999999999999</v>
      </c>
      <c r="J15" s="125">
        <v>17</v>
      </c>
      <c r="K15" s="27">
        <f>SUM(J15)+0.6</f>
        <v>17.600000000000001</v>
      </c>
      <c r="L15" s="27">
        <f>SUM(K15)+0.6</f>
        <v>18.200000000000003</v>
      </c>
      <c r="M15" s="62">
        <f>SUM(L15)+0.6</f>
        <v>18.800000000000004</v>
      </c>
    </row>
    <row r="16" spans="1:16" s="1" customFormat="1" ht="14.1" customHeight="1">
      <c r="A16" s="122"/>
      <c r="B16" s="75" t="s">
        <v>27</v>
      </c>
      <c r="C16" s="75"/>
      <c r="D16" s="79" t="s">
        <v>46</v>
      </c>
      <c r="E16" s="80"/>
      <c r="F16" s="80"/>
      <c r="G16" s="81"/>
      <c r="H16" s="46"/>
      <c r="I16" s="46"/>
      <c r="J16" s="125"/>
      <c r="K16" s="46"/>
      <c r="L16" s="46"/>
      <c r="M16" s="48"/>
    </row>
    <row r="17" spans="1:13" s="1" customFormat="1" ht="14.1" customHeight="1">
      <c r="A17" s="122">
        <v>8</v>
      </c>
      <c r="B17" s="36" t="s">
        <v>2</v>
      </c>
      <c r="C17" s="37"/>
      <c r="D17" s="124" t="s">
        <v>3</v>
      </c>
      <c r="E17" s="124"/>
      <c r="F17" s="124"/>
      <c r="G17" s="124"/>
      <c r="H17" s="27">
        <f>SUM(I17)-0.3</f>
        <v>7.8999999999999995</v>
      </c>
      <c r="I17" s="27">
        <f>SUM(J17)-0.3</f>
        <v>8.1999999999999993</v>
      </c>
      <c r="J17" s="125">
        <v>8.5</v>
      </c>
      <c r="K17" s="114">
        <f>SUM(J17)+0.3</f>
        <v>8.8000000000000007</v>
      </c>
      <c r="L17" s="114">
        <f>SUM(K17)+0.3</f>
        <v>9.1000000000000014</v>
      </c>
      <c r="M17" s="161">
        <f>SUM(L17)+0.3</f>
        <v>9.4000000000000021</v>
      </c>
    </row>
    <row r="18" spans="1:13" s="1" customFormat="1" ht="14.1" customHeight="1">
      <c r="A18" s="122"/>
      <c r="B18" s="127" t="s">
        <v>28</v>
      </c>
      <c r="C18" s="128"/>
      <c r="D18" s="79" t="s">
        <v>164</v>
      </c>
      <c r="E18" s="80"/>
      <c r="F18" s="80"/>
      <c r="G18" s="81"/>
      <c r="H18" s="46"/>
      <c r="I18" s="46"/>
      <c r="J18" s="125"/>
      <c r="K18" s="114"/>
      <c r="L18" s="114"/>
      <c r="M18" s="161"/>
    </row>
    <row r="19" spans="1:13" s="1" customFormat="1" ht="14.1" customHeight="1">
      <c r="A19" s="122">
        <v>9</v>
      </c>
      <c r="B19" s="36" t="s">
        <v>70</v>
      </c>
      <c r="C19" s="37"/>
      <c r="D19" s="76" t="s">
        <v>71</v>
      </c>
      <c r="E19" s="77"/>
      <c r="F19" s="77"/>
      <c r="G19" s="78"/>
      <c r="H19" s="27"/>
      <c r="I19" s="27"/>
      <c r="J19" s="125"/>
      <c r="K19" s="114"/>
      <c r="L19" s="114"/>
      <c r="M19" s="161"/>
    </row>
    <row r="20" spans="1:13" s="1" customFormat="1" ht="14.1" customHeight="1">
      <c r="A20" s="122"/>
      <c r="B20" s="75" t="s">
        <v>33</v>
      </c>
      <c r="C20" s="75"/>
      <c r="D20" s="79" t="s">
        <v>74</v>
      </c>
      <c r="E20" s="80"/>
      <c r="F20" s="80"/>
      <c r="G20" s="81"/>
      <c r="H20" s="46"/>
      <c r="I20" s="46"/>
      <c r="J20" s="125"/>
      <c r="K20" s="114"/>
      <c r="L20" s="114"/>
      <c r="M20" s="161"/>
    </row>
    <row r="21" spans="1:13" s="1" customFormat="1" ht="14.1" customHeight="1">
      <c r="A21" s="122">
        <v>10</v>
      </c>
      <c r="B21" s="36" t="s">
        <v>257</v>
      </c>
      <c r="C21" s="37"/>
      <c r="D21" s="76"/>
      <c r="E21" s="77"/>
      <c r="F21" s="77"/>
      <c r="G21" s="78"/>
      <c r="H21" s="27">
        <f>SUM(I21)</f>
        <v>2.2000000000000002</v>
      </c>
      <c r="I21" s="27">
        <f>SUM(J21)</f>
        <v>2.2000000000000002</v>
      </c>
      <c r="J21" s="41">
        <v>2.2000000000000002</v>
      </c>
      <c r="K21" s="27">
        <f>SUM(J21)+0.3</f>
        <v>2.5</v>
      </c>
      <c r="L21" s="27">
        <f>SUM(K21)</f>
        <v>2.5</v>
      </c>
      <c r="M21" s="62">
        <f>SUM(L21)</f>
        <v>2.5</v>
      </c>
    </row>
    <row r="22" spans="1:13" s="1" customFormat="1" ht="14.1" customHeight="1">
      <c r="A22" s="122"/>
      <c r="B22" s="75" t="s">
        <v>267</v>
      </c>
      <c r="C22" s="75"/>
      <c r="D22" s="79"/>
      <c r="E22" s="80"/>
      <c r="F22" s="80"/>
      <c r="G22" s="81"/>
      <c r="H22" s="46"/>
      <c r="I22" s="46"/>
      <c r="J22" s="44"/>
      <c r="K22" s="46"/>
      <c r="L22" s="46"/>
      <c r="M22" s="48"/>
    </row>
    <row r="23" spans="1:13" s="1" customFormat="1" ht="14.1" customHeight="1">
      <c r="A23" s="122">
        <v>11</v>
      </c>
      <c r="B23" s="98" t="s">
        <v>4</v>
      </c>
      <c r="C23" s="98"/>
      <c r="D23" s="124" t="s">
        <v>5</v>
      </c>
      <c r="E23" s="124"/>
      <c r="F23" s="124"/>
      <c r="G23" s="124"/>
      <c r="H23" s="27"/>
      <c r="I23" s="27"/>
      <c r="J23" s="125"/>
      <c r="K23" s="114"/>
      <c r="L23" s="114"/>
      <c r="M23" s="161"/>
    </row>
    <row r="24" spans="1:13" s="1" customFormat="1" ht="14.1" customHeight="1">
      <c r="A24" s="122"/>
      <c r="B24" s="75" t="s">
        <v>29</v>
      </c>
      <c r="C24" s="75"/>
      <c r="D24" s="79" t="s">
        <v>47</v>
      </c>
      <c r="E24" s="80"/>
      <c r="F24" s="80"/>
      <c r="G24" s="81"/>
      <c r="H24" s="46"/>
      <c r="I24" s="46"/>
      <c r="J24" s="125"/>
      <c r="K24" s="114"/>
      <c r="L24" s="114"/>
      <c r="M24" s="161"/>
    </row>
    <row r="25" spans="1:13" s="1" customFormat="1" ht="14.1" customHeight="1">
      <c r="A25" s="122">
        <v>12</v>
      </c>
      <c r="B25" s="98" t="s">
        <v>6</v>
      </c>
      <c r="C25" s="98"/>
      <c r="D25" s="76" t="s">
        <v>7</v>
      </c>
      <c r="E25" s="77"/>
      <c r="F25" s="77"/>
      <c r="G25" s="78"/>
      <c r="H25" s="27"/>
      <c r="I25" s="27"/>
      <c r="J25" s="125"/>
      <c r="K25" s="114"/>
      <c r="L25" s="114"/>
      <c r="M25" s="161"/>
    </row>
    <row r="26" spans="1:13" s="1" customFormat="1" ht="14.1" customHeight="1">
      <c r="A26" s="122"/>
      <c r="B26" s="75" t="s">
        <v>30</v>
      </c>
      <c r="C26" s="75"/>
      <c r="D26" s="79" t="s">
        <v>64</v>
      </c>
      <c r="E26" s="80"/>
      <c r="F26" s="80"/>
      <c r="G26" s="81"/>
      <c r="H26" s="46"/>
      <c r="I26" s="46"/>
      <c r="J26" s="125"/>
      <c r="K26" s="114"/>
      <c r="L26" s="114"/>
      <c r="M26" s="161"/>
    </row>
    <row r="27" spans="1:13" s="1" customFormat="1" ht="14.1" customHeight="1">
      <c r="A27" s="122">
        <v>13</v>
      </c>
      <c r="B27" s="36" t="s">
        <v>260</v>
      </c>
      <c r="C27" s="37"/>
      <c r="D27" s="124" t="s">
        <v>65</v>
      </c>
      <c r="E27" s="124"/>
      <c r="F27" s="124"/>
      <c r="G27" s="124"/>
      <c r="H27" s="27"/>
      <c r="I27" s="27"/>
      <c r="J27" s="125"/>
      <c r="K27" s="27"/>
      <c r="L27" s="27"/>
      <c r="M27" s="62"/>
    </row>
    <row r="28" spans="1:13" s="1" customFormat="1" ht="14.1" customHeight="1">
      <c r="A28" s="122"/>
      <c r="B28" s="75" t="s">
        <v>31</v>
      </c>
      <c r="C28" s="75"/>
      <c r="D28" s="79" t="s">
        <v>66</v>
      </c>
      <c r="E28" s="80"/>
      <c r="F28" s="80"/>
      <c r="G28" s="81"/>
      <c r="H28" s="46"/>
      <c r="I28" s="46"/>
      <c r="J28" s="125"/>
      <c r="K28" s="46"/>
      <c r="L28" s="46"/>
      <c r="M28" s="48"/>
    </row>
    <row r="29" spans="1:13" s="1" customFormat="1" ht="14.1" customHeight="1">
      <c r="A29" s="122">
        <v>14</v>
      </c>
      <c r="B29" s="36" t="s">
        <v>331</v>
      </c>
      <c r="C29" s="37"/>
      <c r="D29" s="124"/>
      <c r="E29" s="124"/>
      <c r="F29" s="124"/>
      <c r="G29" s="124"/>
      <c r="H29" s="27">
        <f>SUM(I29)-0</f>
        <v>2.2000000000000002</v>
      </c>
      <c r="I29" s="27">
        <f>SUM(J29)-0</f>
        <v>2.2000000000000002</v>
      </c>
      <c r="J29" s="41">
        <v>2.2000000000000002</v>
      </c>
      <c r="K29" s="27">
        <f>SUM(J29)+0.3</f>
        <v>2.5</v>
      </c>
      <c r="L29" s="27">
        <f>SUM(K29)+0</f>
        <v>2.5</v>
      </c>
      <c r="M29" s="62">
        <f>SUM(L29)+0</f>
        <v>2.5</v>
      </c>
    </row>
    <row r="30" spans="1:13" s="1" customFormat="1" ht="14.1" customHeight="1">
      <c r="A30" s="122"/>
      <c r="B30" s="127" t="s">
        <v>332</v>
      </c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8"/>
    </row>
    <row r="31" spans="1:13" ht="14.1" customHeight="1">
      <c r="A31" s="122">
        <v>15</v>
      </c>
      <c r="B31" s="36" t="s">
        <v>114</v>
      </c>
      <c r="C31" s="37"/>
      <c r="D31" s="103"/>
      <c r="E31" s="103"/>
      <c r="F31" s="103"/>
      <c r="G31" s="103"/>
      <c r="H31" s="27">
        <f>SUM(I31)-0.1</f>
        <v>2.5999999999999996</v>
      </c>
      <c r="I31" s="27">
        <f>SUM(J31)-0.1</f>
        <v>2.6999999999999997</v>
      </c>
      <c r="J31" s="41">
        <v>2.8</v>
      </c>
      <c r="K31" s="27">
        <f>SUM(J31)-0.1</f>
        <v>2.6999999999999997</v>
      </c>
      <c r="L31" s="27">
        <f>SUM(K31)+0.1</f>
        <v>2.8</v>
      </c>
      <c r="M31" s="62">
        <f>SUM(L31)+0.1</f>
        <v>2.9</v>
      </c>
    </row>
    <row r="32" spans="1:13" ht="14.1" customHeight="1">
      <c r="A32" s="159"/>
      <c r="B32" s="127" t="s">
        <v>122</v>
      </c>
      <c r="C32" s="128"/>
      <c r="D32" s="102"/>
      <c r="E32" s="103"/>
      <c r="F32" s="103"/>
      <c r="G32" s="104"/>
      <c r="H32" s="46"/>
      <c r="I32" s="46"/>
      <c r="J32" s="44"/>
      <c r="K32" s="46"/>
      <c r="L32" s="46"/>
      <c r="M32" s="48"/>
    </row>
    <row r="33" spans="1:13" ht="14.1" customHeight="1">
      <c r="A33" s="159">
        <v>16</v>
      </c>
      <c r="B33" s="36"/>
      <c r="C33" s="37"/>
      <c r="D33" s="76"/>
      <c r="E33" s="77"/>
      <c r="F33" s="77"/>
      <c r="G33" s="78"/>
      <c r="H33" s="27"/>
      <c r="I33" s="27"/>
      <c r="J33" s="41"/>
      <c r="K33" s="27"/>
      <c r="L33" s="27"/>
      <c r="M33" s="62"/>
    </row>
    <row r="34" spans="1:13" ht="14.1" customHeight="1">
      <c r="A34" s="138"/>
      <c r="B34" s="127"/>
      <c r="C34" s="128"/>
      <c r="D34" s="79"/>
      <c r="E34" s="80"/>
      <c r="F34" s="80"/>
      <c r="G34" s="81"/>
      <c r="H34" s="46"/>
      <c r="I34" s="46"/>
      <c r="J34" s="44"/>
      <c r="K34" s="46"/>
      <c r="L34" s="46"/>
      <c r="M34" s="48"/>
    </row>
    <row r="35" spans="1:13" ht="14.1" customHeight="1">
      <c r="A35" s="159">
        <v>17</v>
      </c>
      <c r="B35" s="36"/>
      <c r="C35" s="37"/>
      <c r="D35" s="76"/>
      <c r="E35" s="77"/>
      <c r="F35" s="77"/>
      <c r="G35" s="78"/>
      <c r="H35" s="27"/>
      <c r="I35" s="27"/>
      <c r="J35" s="41"/>
      <c r="K35" s="27"/>
      <c r="L35" s="27"/>
      <c r="M35" s="62"/>
    </row>
    <row r="36" spans="1:13" ht="14.1" customHeight="1" thickBot="1">
      <c r="A36" s="158"/>
      <c r="B36" s="143"/>
      <c r="C36" s="144"/>
      <c r="D36" s="119"/>
      <c r="E36" s="120"/>
      <c r="F36" s="120"/>
      <c r="G36" s="121"/>
      <c r="H36" s="28"/>
      <c r="I36" s="28"/>
      <c r="J36" s="42"/>
      <c r="K36" s="28"/>
      <c r="L36" s="28"/>
      <c r="M36" s="160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3CD2-CB8B-4E85-92CA-C23BD6A2FBC1}">
  <sheetPr codeName="Sheet60">
    <tabColor theme="5"/>
    <pageSetUpPr fitToPage="1"/>
  </sheetPr>
  <dimension ref="A1:N51"/>
  <sheetViews>
    <sheetView zoomScale="110" zoomScaleNormal="110" workbookViewId="0">
      <selection activeCell="K21" sqref="K21:M22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444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13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36.5</v>
      </c>
      <c r="I3" s="27">
        <f>SUM(J3)-3.5</f>
        <v>40</v>
      </c>
      <c r="J3" s="139">
        <v>43.5</v>
      </c>
      <c r="K3" s="140">
        <f>SUM(J3)+3</f>
        <v>46.5</v>
      </c>
      <c r="L3" s="140">
        <f t="shared" ref="L3:M3" si="0">SUM(K3)+3</f>
        <v>49.5</v>
      </c>
      <c r="M3" s="166">
        <f t="shared" si="0"/>
        <v>52.5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35.599999999999994</v>
      </c>
      <c r="I5" s="27">
        <f>SUM(J5)-2.2</f>
        <v>37.799999999999997</v>
      </c>
      <c r="J5" s="41">
        <v>40</v>
      </c>
      <c r="K5" s="27">
        <f>SUM(J5)+2</f>
        <v>42</v>
      </c>
      <c r="L5" s="27">
        <f t="shared" ref="L5:M5" si="1">SUM(K5)+2</f>
        <v>44</v>
      </c>
      <c r="M5" s="62">
        <f t="shared" si="1"/>
        <v>46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37.5</v>
      </c>
      <c r="I7" s="27">
        <f>SUM(J7)-2.25</f>
        <v>39.75</v>
      </c>
      <c r="J7" s="41">
        <v>42</v>
      </c>
      <c r="K7" s="27">
        <f>SUM(J7)+2</f>
        <v>44</v>
      </c>
      <c r="L7" s="27">
        <f>SUM(K7)+2</f>
        <v>46</v>
      </c>
      <c r="M7" s="62">
        <f>SUM(L7)+2</f>
        <v>48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29.9</v>
      </c>
      <c r="I9" s="27">
        <f>SUM(J9)-1.8</f>
        <v>31.7</v>
      </c>
      <c r="J9" s="41">
        <v>33.5</v>
      </c>
      <c r="K9" s="27">
        <f>SUM(J9)+1.6</f>
        <v>35.1</v>
      </c>
      <c r="L9" s="27">
        <f t="shared" ref="L9:M9" si="2">SUM(K9)+1.6</f>
        <v>36.700000000000003</v>
      </c>
      <c r="M9" s="62">
        <f t="shared" si="2"/>
        <v>38.300000000000004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14.899999999999999</v>
      </c>
      <c r="I11" s="27">
        <f>SUM(J11)-0.8</f>
        <v>15.7</v>
      </c>
      <c r="J11" s="125">
        <v>16.5</v>
      </c>
      <c r="K11" s="114">
        <f>SUM(J11)+0.8</f>
        <v>17.3</v>
      </c>
      <c r="L11" s="114">
        <f t="shared" ref="L11:M11" si="3">SUM(K11)+0.8</f>
        <v>18.100000000000001</v>
      </c>
      <c r="M11" s="162">
        <f t="shared" si="3"/>
        <v>18.900000000000002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14.8</v>
      </c>
      <c r="I13" s="27">
        <f>SUM(J13)-0.6</f>
        <v>15.4</v>
      </c>
      <c r="J13" s="125">
        <v>16</v>
      </c>
      <c r="K13" s="114">
        <f>SUM(J13)+0.6</f>
        <v>16.600000000000001</v>
      </c>
      <c r="L13" s="114">
        <f>SUM(K13)+0.6</f>
        <v>17.200000000000003</v>
      </c>
      <c r="M13" s="162">
        <f>SUM(L13)+0.6</f>
        <v>17.800000000000004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6.4</v>
      </c>
      <c r="I15" s="27">
        <f>SUM(J15)-0.3</f>
        <v>6.7</v>
      </c>
      <c r="J15" s="125">
        <v>7</v>
      </c>
      <c r="K15" s="114">
        <f>SUM(J15)+0.3</f>
        <v>7.3</v>
      </c>
      <c r="L15" s="114">
        <f>SUM(K15)+0.3</f>
        <v>7.6</v>
      </c>
      <c r="M15" s="162">
        <f>SUM(L15)+0.3</f>
        <v>7.8999999999999995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37.799999999999997</v>
      </c>
      <c r="I17" s="27">
        <f>SUM(J17)-1.6</f>
        <v>39.4</v>
      </c>
      <c r="J17" s="125">
        <v>41</v>
      </c>
      <c r="K17" s="114">
        <f>SUM(J17)+1.6</f>
        <v>42.6</v>
      </c>
      <c r="L17" s="114">
        <f>SUM(K17)+1.6</f>
        <v>44.2</v>
      </c>
      <c r="M17" s="162">
        <f>SUM(L17)+1.6</f>
        <v>45.800000000000004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27.200000000000003</v>
      </c>
      <c r="I19" s="27">
        <f>SUM(J19)-3.4</f>
        <v>30.6</v>
      </c>
      <c r="J19" s="125">
        <v>34</v>
      </c>
      <c r="K19" s="114">
        <f>SUM(J19)+3.5</f>
        <v>37.5</v>
      </c>
      <c r="L19" s="114">
        <f t="shared" ref="L19:M19" si="4">SUM(K19)+3.5</f>
        <v>41</v>
      </c>
      <c r="M19" s="114">
        <f t="shared" si="4"/>
        <v>44.5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4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29.4</v>
      </c>
      <c r="I21" s="27">
        <f>SUM(J21)-1.6</f>
        <v>31</v>
      </c>
      <c r="J21" s="125">
        <v>32.6</v>
      </c>
      <c r="K21" s="114">
        <f>SUM(J21)+1.6</f>
        <v>34.200000000000003</v>
      </c>
      <c r="L21" s="114">
        <f t="shared" ref="L21:M21" si="5">SUM(K21)+1.6</f>
        <v>35.800000000000004</v>
      </c>
      <c r="M21" s="114">
        <f t="shared" si="5"/>
        <v>37.400000000000006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4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 t="shared" ref="L23:M23" si="6">SUM(K23)+0.6</f>
        <v>16.399999999999999</v>
      </c>
      <c r="M23" s="162">
        <f t="shared" si="6"/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SUM(I25)-0.3</f>
        <v>3.9000000000000004</v>
      </c>
      <c r="I25" s="27">
        <f>SUM(J25)-0.3</f>
        <v>4.2</v>
      </c>
      <c r="J25" s="41">
        <v>4.5</v>
      </c>
      <c r="K25" s="27">
        <f>SUM(J25)+0.3</f>
        <v>4.8</v>
      </c>
      <c r="L25" s="27">
        <f t="shared" ref="L25:M25" si="7">SUM(K25)+0.3</f>
        <v>5.0999999999999996</v>
      </c>
      <c r="M25" s="62">
        <f t="shared" si="7"/>
        <v>5.3999999999999995</v>
      </c>
    </row>
    <row r="26" spans="1:13" s="1" customFormat="1" ht="14.1" customHeight="1">
      <c r="A26" s="122"/>
      <c r="B26" s="127" t="s">
        <v>122</v>
      </c>
      <c r="C26" s="128"/>
      <c r="D26" s="79" t="s">
        <v>216</v>
      </c>
      <c r="E26" s="80"/>
      <c r="F26" s="80"/>
      <c r="G26" s="81"/>
      <c r="H26" s="46"/>
      <c r="I26" s="46"/>
      <c r="J26" s="44"/>
      <c r="K26" s="46"/>
      <c r="L26" s="46"/>
      <c r="M26" s="48"/>
    </row>
    <row r="27" spans="1:13" s="1" customFormat="1" ht="14.1" customHeight="1">
      <c r="A27" s="122">
        <v>13</v>
      </c>
      <c r="B27" s="36"/>
      <c r="C27" s="37"/>
      <c r="D27" s="129"/>
      <c r="E27" s="130"/>
      <c r="F27" s="130"/>
      <c r="G27" s="131"/>
      <c r="H27" s="27"/>
      <c r="I27" s="27"/>
      <c r="J27" s="41"/>
      <c r="K27" s="27"/>
      <c r="L27" s="27"/>
      <c r="M27" s="62"/>
    </row>
    <row r="28" spans="1:13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8"/>
    </row>
    <row r="29" spans="1:13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62"/>
    </row>
    <row r="30" spans="1:13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16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7D91-9E10-4C88-860D-814214F757D7}">
  <sheetPr codeName="Sheet78">
    <tabColor theme="5"/>
    <pageSetUpPr fitToPage="1"/>
  </sheetPr>
  <dimension ref="A1:N51"/>
  <sheetViews>
    <sheetView zoomScale="110" zoomScaleNormal="110" workbookViewId="0">
      <selection activeCell="B25" sqref="B25:N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559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14" t="s">
        <v>134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38.9</v>
      </c>
      <c r="I3" s="27">
        <f>SUM(J3)-3.5</f>
        <v>42.4</v>
      </c>
      <c r="J3" s="139">
        <v>45.9</v>
      </c>
      <c r="K3" s="140">
        <f>SUM(J3)+3</f>
        <v>48.9</v>
      </c>
      <c r="L3" s="140">
        <f t="shared" ref="L3:N3" si="0">SUM(K3)+3</f>
        <v>51.9</v>
      </c>
      <c r="M3" s="140">
        <f t="shared" si="0"/>
        <v>54.9</v>
      </c>
      <c r="N3" s="174">
        <f t="shared" si="0"/>
        <v>57.9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27"/>
      <c r="N4" s="172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37.599999999999994</v>
      </c>
      <c r="I5" s="27">
        <f>SUM(J5)-2.2</f>
        <v>39.799999999999997</v>
      </c>
      <c r="J5" s="41">
        <v>42</v>
      </c>
      <c r="K5" s="27">
        <f>SUM(J5)+2</f>
        <v>44</v>
      </c>
      <c r="L5" s="27">
        <f t="shared" ref="L5:N5" si="1">SUM(K5)+2</f>
        <v>46</v>
      </c>
      <c r="M5" s="27">
        <f t="shared" si="1"/>
        <v>48</v>
      </c>
      <c r="N5" s="172">
        <f t="shared" si="1"/>
        <v>50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6"/>
      <c r="N6" s="173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39.5</v>
      </c>
      <c r="I7" s="27">
        <f>SUM(J7)-2.25</f>
        <v>41.75</v>
      </c>
      <c r="J7" s="41">
        <v>44</v>
      </c>
      <c r="K7" s="27">
        <f>SUM(J7)+2</f>
        <v>46</v>
      </c>
      <c r="L7" s="27">
        <f t="shared" ref="L7:N7" si="2">SUM(K7)+2</f>
        <v>48</v>
      </c>
      <c r="M7" s="27">
        <f t="shared" si="2"/>
        <v>50</v>
      </c>
      <c r="N7" s="172">
        <f t="shared" si="2"/>
        <v>52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6"/>
      <c r="N8" s="173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31.400000000000002</v>
      </c>
      <c r="I9" s="27">
        <f>SUM(J9)-1.8</f>
        <v>33.200000000000003</v>
      </c>
      <c r="J9" s="41">
        <v>35</v>
      </c>
      <c r="K9" s="27">
        <f>SUM(J9)+1.6</f>
        <v>36.6</v>
      </c>
      <c r="L9" s="27">
        <f t="shared" ref="L9:N9" si="3">SUM(K9)+1.6</f>
        <v>38.200000000000003</v>
      </c>
      <c r="M9" s="27">
        <f t="shared" si="3"/>
        <v>39.800000000000004</v>
      </c>
      <c r="N9" s="172">
        <f t="shared" si="3"/>
        <v>41.400000000000006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6"/>
      <c r="N10" s="173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14.599999999999998</v>
      </c>
      <c r="I11" s="27">
        <f>SUM(J11)-0.8</f>
        <v>15.399999999999999</v>
      </c>
      <c r="J11" s="125">
        <v>16.2</v>
      </c>
      <c r="K11" s="114">
        <f>SUM(J11)+0.8</f>
        <v>17</v>
      </c>
      <c r="L11" s="114">
        <f t="shared" ref="L11:N11" si="4">SUM(K11)+0.8</f>
        <v>17.8</v>
      </c>
      <c r="M11" s="114">
        <f t="shared" si="4"/>
        <v>18.600000000000001</v>
      </c>
      <c r="N11" s="170">
        <f t="shared" si="4"/>
        <v>19.400000000000002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4"/>
      <c r="N12" s="170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15.799999999999999</v>
      </c>
      <c r="I13" s="27">
        <f>SUM(J13)-0.6</f>
        <v>16.399999999999999</v>
      </c>
      <c r="J13" s="125">
        <v>17</v>
      </c>
      <c r="K13" s="114">
        <f>SUM(J13)+0.6</f>
        <v>17.600000000000001</v>
      </c>
      <c r="L13" s="114">
        <f>SUM(K13)+0.6</f>
        <v>18.200000000000003</v>
      </c>
      <c r="M13" s="114">
        <f>SUM(L13)+0.6</f>
        <v>18.800000000000004</v>
      </c>
      <c r="N13" s="170">
        <f>SUM(M13)+0.6</f>
        <v>19.400000000000006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14"/>
      <c r="N14" s="170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7.2</v>
      </c>
      <c r="I15" s="27">
        <f>SUM(J15)-0.3</f>
        <v>7.5</v>
      </c>
      <c r="J15" s="125">
        <v>7.8</v>
      </c>
      <c r="K15" s="114">
        <f>SUM(J15)+0.3</f>
        <v>8.1</v>
      </c>
      <c r="L15" s="114">
        <f>SUM(K15)+0.3</f>
        <v>8.4</v>
      </c>
      <c r="M15" s="114">
        <f>SUM(L15)+0.3</f>
        <v>8.7000000000000011</v>
      </c>
      <c r="N15" s="170">
        <f>SUM(M15)+0.3</f>
        <v>9.0000000000000018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14"/>
      <c r="N16" s="170"/>
    </row>
    <row r="17" spans="1:14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39.299999999999997</v>
      </c>
      <c r="I17" s="27">
        <f>SUM(J17)-1.6</f>
        <v>40.9</v>
      </c>
      <c r="J17" s="125">
        <v>42.5</v>
      </c>
      <c r="K17" s="114">
        <f>SUM(J17)+1.6</f>
        <v>44.1</v>
      </c>
      <c r="L17" s="114">
        <f>SUM(K17)+1.6</f>
        <v>45.7</v>
      </c>
      <c r="M17" s="114">
        <f>SUM(L17)+1.6</f>
        <v>47.300000000000004</v>
      </c>
      <c r="N17" s="170">
        <f>SUM(M17)+1.6</f>
        <v>48.900000000000006</v>
      </c>
    </row>
    <row r="18" spans="1:14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14"/>
      <c r="N18" s="170"/>
    </row>
    <row r="19" spans="1:14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26.200000000000003</v>
      </c>
      <c r="I19" s="27">
        <f>SUM(J19)-3.4</f>
        <v>29.6</v>
      </c>
      <c r="J19" s="125">
        <v>33</v>
      </c>
      <c r="K19" s="114">
        <f>SUM(J19)+3.5</f>
        <v>36.5</v>
      </c>
      <c r="L19" s="114">
        <f t="shared" ref="L19:N19" si="5">SUM(K19)+3.5</f>
        <v>40</v>
      </c>
      <c r="M19" s="114">
        <f t="shared" si="5"/>
        <v>43.5</v>
      </c>
      <c r="N19" s="170">
        <f t="shared" si="5"/>
        <v>47</v>
      </c>
    </row>
    <row r="20" spans="1:14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4"/>
      <c r="N20" s="170"/>
    </row>
    <row r="21" spans="1:14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SUM(I21)-1.5</f>
        <v>28.2</v>
      </c>
      <c r="I21" s="27">
        <f>SUM(J21)-1.5</f>
        <v>29.7</v>
      </c>
      <c r="J21" s="125">
        <v>31.2</v>
      </c>
      <c r="K21" s="114">
        <f>SUM(J21)+1.5</f>
        <v>32.700000000000003</v>
      </c>
      <c r="L21" s="114">
        <f t="shared" ref="L21:N21" si="6">SUM(K21)+1.5</f>
        <v>34.200000000000003</v>
      </c>
      <c r="M21" s="114">
        <f t="shared" si="6"/>
        <v>35.700000000000003</v>
      </c>
      <c r="N21" s="170">
        <f t="shared" si="6"/>
        <v>37.200000000000003</v>
      </c>
    </row>
    <row r="22" spans="1:14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4"/>
      <c r="N22" s="170"/>
    </row>
    <row r="23" spans="1:14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 t="shared" ref="L23:N23" si="7">SUM(K23)+0.6</f>
        <v>16.399999999999999</v>
      </c>
      <c r="M23" s="114">
        <f t="shared" si="7"/>
        <v>17</v>
      </c>
      <c r="N23" s="170">
        <f t="shared" si="7"/>
        <v>17.600000000000001</v>
      </c>
    </row>
    <row r="24" spans="1:14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4"/>
      <c r="N24" s="170"/>
    </row>
    <row r="25" spans="1:14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SUM(I25)-0.2</f>
        <v>4.0999999999999996</v>
      </c>
      <c r="I25" s="27">
        <f>SUM(J25)-0.2</f>
        <v>4.3</v>
      </c>
      <c r="J25" s="41">
        <v>4.5</v>
      </c>
      <c r="K25" s="27">
        <f>SUM(J25)+0.2</f>
        <v>4.7</v>
      </c>
      <c r="L25" s="27">
        <f t="shared" ref="L25:N25" si="8">SUM(K25)+0.2</f>
        <v>4.9000000000000004</v>
      </c>
      <c r="M25" s="27">
        <f t="shared" si="8"/>
        <v>5.1000000000000005</v>
      </c>
      <c r="N25" s="172">
        <f t="shared" si="8"/>
        <v>5.3000000000000007</v>
      </c>
    </row>
    <row r="26" spans="1:14" s="1" customFormat="1" ht="14.1" customHeight="1">
      <c r="A26" s="122"/>
      <c r="B26" s="127" t="s">
        <v>122</v>
      </c>
      <c r="C26" s="128"/>
      <c r="D26" s="79" t="s">
        <v>216</v>
      </c>
      <c r="E26" s="80"/>
      <c r="F26" s="80"/>
      <c r="G26" s="81"/>
      <c r="H26" s="46"/>
      <c r="I26" s="46"/>
      <c r="J26" s="44"/>
      <c r="K26" s="46"/>
      <c r="L26" s="46"/>
      <c r="M26" s="46"/>
      <c r="N26" s="173"/>
    </row>
    <row r="27" spans="1:14" s="1" customFormat="1" ht="14.1" customHeight="1">
      <c r="A27" s="122">
        <v>13</v>
      </c>
      <c r="B27" s="36"/>
      <c r="C27" s="37"/>
      <c r="D27" s="129"/>
      <c r="E27" s="130"/>
      <c r="F27" s="130"/>
      <c r="G27" s="131"/>
      <c r="H27" s="27"/>
      <c r="I27" s="27"/>
      <c r="J27" s="41"/>
      <c r="K27" s="27"/>
      <c r="L27" s="27"/>
      <c r="M27" s="27"/>
      <c r="N27" s="172"/>
    </row>
    <row r="28" spans="1:14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6"/>
      <c r="N28" s="173"/>
    </row>
    <row r="29" spans="1:14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27"/>
      <c r="N29" s="172"/>
    </row>
    <row r="30" spans="1:14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28"/>
      <c r="N30" s="190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71"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N9:N10"/>
    <mergeCell ref="B10:C10"/>
    <mergeCell ref="D10:G10"/>
    <mergeCell ref="A9:A10"/>
    <mergeCell ref="B9:C9"/>
    <mergeCell ref="D9:G9"/>
    <mergeCell ref="H9:H10"/>
    <mergeCell ref="I9:I10"/>
    <mergeCell ref="J9:J10"/>
    <mergeCell ref="A7:A8"/>
    <mergeCell ref="B7:C7"/>
    <mergeCell ref="D7:G7"/>
    <mergeCell ref="H7:H8"/>
    <mergeCell ref="I7:I8"/>
    <mergeCell ref="J7:J8"/>
    <mergeCell ref="K9:K10"/>
    <mergeCell ref="L9:L10"/>
    <mergeCell ref="M9:M10"/>
    <mergeCell ref="N3:N4"/>
    <mergeCell ref="B4:C4"/>
    <mergeCell ref="D4:G4"/>
    <mergeCell ref="K7:K8"/>
    <mergeCell ref="L7:L8"/>
    <mergeCell ref="M7:M8"/>
    <mergeCell ref="N7:N8"/>
    <mergeCell ref="B8:C8"/>
    <mergeCell ref="D8:G8"/>
    <mergeCell ref="A5:A6"/>
    <mergeCell ref="B5:C5"/>
    <mergeCell ref="D5:G5"/>
    <mergeCell ref="H5:H6"/>
    <mergeCell ref="I5:I6"/>
    <mergeCell ref="A1:N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J5:J6"/>
    <mergeCell ref="K5:K6"/>
    <mergeCell ref="L5:L6"/>
    <mergeCell ref="M5:M6"/>
    <mergeCell ref="N5:N6"/>
    <mergeCell ref="B6:C6"/>
    <mergeCell ref="D6:G6"/>
    <mergeCell ref="L3:L4"/>
    <mergeCell ref="M3:M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940A-453B-4B13-A0EB-597E03AC16E4}">
  <sheetPr codeName="Sheet61">
    <tabColor theme="5"/>
    <pageSetUpPr fitToPage="1"/>
  </sheetPr>
  <dimension ref="A1:N51"/>
  <sheetViews>
    <sheetView zoomScale="110" zoomScaleNormal="110" workbookViewId="0">
      <selection activeCell="B27" sqref="B27:C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406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35</v>
      </c>
      <c r="I3" s="27">
        <f>SUM(J3)-3.5</f>
        <v>38.5</v>
      </c>
      <c r="J3" s="139">
        <v>42</v>
      </c>
      <c r="K3" s="140">
        <f>SUM(J3)+3</f>
        <v>45</v>
      </c>
      <c r="L3" s="140">
        <f t="shared" ref="L3:M3" si="0">SUM(K3)+3</f>
        <v>48</v>
      </c>
      <c r="M3" s="166">
        <f t="shared" si="0"/>
        <v>51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22">
        <v>2</v>
      </c>
      <c r="B5" s="168" t="s">
        <v>193</v>
      </c>
      <c r="C5" s="169"/>
      <c r="D5" s="102" t="s">
        <v>194</v>
      </c>
      <c r="E5" s="103"/>
      <c r="F5" s="103"/>
      <c r="G5" s="104"/>
      <c r="H5" s="27">
        <f>SUM(I5)-4.5</f>
        <v>45</v>
      </c>
      <c r="I5" s="27">
        <f>SUM(J5)-4.5</f>
        <v>49.5</v>
      </c>
      <c r="J5" s="125">
        <v>54</v>
      </c>
      <c r="K5" s="114">
        <f>SUM(J5)+4.5</f>
        <v>58.5</v>
      </c>
      <c r="L5" s="114">
        <f t="shared" ref="L5:M5" si="1">SUM(K5)+4.5</f>
        <v>63</v>
      </c>
      <c r="M5" s="162">
        <f t="shared" si="1"/>
        <v>67.5</v>
      </c>
    </row>
    <row r="6" spans="1:14" s="1" customFormat="1" ht="14.1" customHeight="1">
      <c r="A6" s="122"/>
      <c r="B6" s="127" t="s">
        <v>195</v>
      </c>
      <c r="C6" s="128"/>
      <c r="D6" s="79" t="s">
        <v>196</v>
      </c>
      <c r="E6" s="80"/>
      <c r="F6" s="80"/>
      <c r="G6" s="81"/>
      <c r="H6" s="46"/>
      <c r="I6" s="46"/>
      <c r="J6" s="125"/>
      <c r="K6" s="114"/>
      <c r="L6" s="114"/>
      <c r="M6" s="162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34</v>
      </c>
      <c r="I7" s="27">
        <f>SUM(J7)-2.25</f>
        <v>36.25</v>
      </c>
      <c r="J7" s="41">
        <v>38.5</v>
      </c>
      <c r="K7" s="27">
        <f>SUM(J7)+2</f>
        <v>40.5</v>
      </c>
      <c r="L7" s="27">
        <f>SUM(K7)+2</f>
        <v>42.5</v>
      </c>
      <c r="M7" s="62">
        <f>SUM(L7)+2</f>
        <v>44.5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SUM(I9)-1.9</f>
        <v>28.200000000000003</v>
      </c>
      <c r="I9" s="27">
        <f>SUM(J9)-1.9</f>
        <v>30.1</v>
      </c>
      <c r="J9" s="41">
        <v>32</v>
      </c>
      <c r="K9" s="27">
        <f>SUM(J9)+1.7</f>
        <v>33.700000000000003</v>
      </c>
      <c r="L9" s="27">
        <f>SUM(K9)+1.7</f>
        <v>35.400000000000006</v>
      </c>
      <c r="M9" s="62">
        <f>SUM(L9)+1.7</f>
        <v>37.100000000000009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/>
      <c r="I11" s="27"/>
      <c r="J11" s="125"/>
      <c r="K11" s="114"/>
      <c r="L11" s="114"/>
      <c r="M11" s="162"/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14.3</v>
      </c>
      <c r="I13" s="27">
        <f>SUM(J13)-0.6</f>
        <v>14.9</v>
      </c>
      <c r="J13" s="125">
        <v>15.5</v>
      </c>
      <c r="K13" s="114">
        <f>SUM(J13)+0.6</f>
        <v>16.100000000000001</v>
      </c>
      <c r="L13" s="114">
        <f>SUM(K13)+0.6</f>
        <v>16.700000000000003</v>
      </c>
      <c r="M13" s="162">
        <f>SUM(L13)+0.6</f>
        <v>17.300000000000004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6.9</v>
      </c>
      <c r="I15" s="27">
        <f>SUM(J15)-0.3</f>
        <v>7.2</v>
      </c>
      <c r="J15" s="125">
        <v>7.5</v>
      </c>
      <c r="K15" s="114">
        <f>SUM(J15)+0.3</f>
        <v>7.8</v>
      </c>
      <c r="L15" s="114">
        <f>SUM(K15)+0.3</f>
        <v>8.1</v>
      </c>
      <c r="M15" s="162">
        <f>SUM(L15)+0.3</f>
        <v>8.4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40.799999999999997</v>
      </c>
      <c r="I17" s="27">
        <f>SUM(J17)-1.6</f>
        <v>42.4</v>
      </c>
      <c r="J17" s="125">
        <v>44</v>
      </c>
      <c r="K17" s="114">
        <f>SUM(J17)+1.6</f>
        <v>45.6</v>
      </c>
      <c r="L17" s="114">
        <f>SUM(K17)+1.6</f>
        <v>47.2</v>
      </c>
      <c r="M17" s="162">
        <f>SUM(L17)+1.6</f>
        <v>48.800000000000004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/>
      <c r="I19" s="27"/>
      <c r="J19" s="125"/>
      <c r="K19" s="114"/>
      <c r="L19" s="114"/>
      <c r="M19" s="162"/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SUM(I21)-1.7</f>
        <v>29.6</v>
      </c>
      <c r="I21" s="27">
        <f>SUM(J21)-1.7</f>
        <v>31.3</v>
      </c>
      <c r="J21" s="125">
        <v>33</v>
      </c>
      <c r="K21" s="114">
        <f>SUM(J21)+1.7</f>
        <v>34.700000000000003</v>
      </c>
      <c r="L21" s="114">
        <f t="shared" ref="L21:M21" si="2">SUM(K21)+1.7</f>
        <v>36.400000000000006</v>
      </c>
      <c r="M21" s="162">
        <f t="shared" si="2"/>
        <v>38.100000000000009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16.799999999999997</v>
      </c>
      <c r="I23" s="27">
        <f>SUM(J23)-0.6</f>
        <v>17.399999999999999</v>
      </c>
      <c r="J23" s="125">
        <v>18</v>
      </c>
      <c r="K23" s="114">
        <f>SUM(J23)+0.6</f>
        <v>18.600000000000001</v>
      </c>
      <c r="L23" s="114">
        <f t="shared" ref="L23:M23" si="3">SUM(K23)+0.6</f>
        <v>19.200000000000003</v>
      </c>
      <c r="M23" s="162">
        <f t="shared" si="3"/>
        <v>19.800000000000004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36" t="s">
        <v>408</v>
      </c>
      <c r="C25" s="37"/>
      <c r="D25" s="124"/>
      <c r="E25" s="124"/>
      <c r="F25" s="124"/>
      <c r="G25" s="124"/>
      <c r="H25" s="27">
        <f>SUM(I25)</f>
        <v>9.5</v>
      </c>
      <c r="I25" s="27">
        <f>SUM(J25)</f>
        <v>9.5</v>
      </c>
      <c r="J25" s="125">
        <v>9.5</v>
      </c>
      <c r="K25" s="114">
        <f>SUM(J25)+0.2</f>
        <v>9.6999999999999993</v>
      </c>
      <c r="L25" s="114">
        <f>SUM(K25)+0.2</f>
        <v>9.8999999999999986</v>
      </c>
      <c r="M25" s="162">
        <f>SUM(L25)+0.2</f>
        <v>10.099999999999998</v>
      </c>
    </row>
    <row r="26" spans="1:13" s="1" customFormat="1" ht="14.1" customHeight="1">
      <c r="A26" s="122"/>
      <c r="B26" s="75" t="s">
        <v>409</v>
      </c>
      <c r="C26" s="75"/>
      <c r="D26" s="79" t="s">
        <v>410</v>
      </c>
      <c r="E26" s="80"/>
      <c r="F26" s="80"/>
      <c r="G26" s="81"/>
      <c r="H26" s="46"/>
      <c r="I26" s="46"/>
      <c r="J26" s="125"/>
      <c r="K26" s="114"/>
      <c r="L26" s="114"/>
      <c r="M26" s="162"/>
    </row>
    <row r="27" spans="1:13" s="1" customFormat="1" ht="14.1" customHeight="1">
      <c r="A27" s="122">
        <v>13</v>
      </c>
      <c r="B27" s="36" t="s">
        <v>114</v>
      </c>
      <c r="C27" s="37"/>
      <c r="D27" s="124"/>
      <c r="E27" s="124"/>
      <c r="F27" s="124"/>
      <c r="G27" s="124"/>
      <c r="H27" s="27">
        <f>SUM(I27)-0.4</f>
        <v>6.1999999999999993</v>
      </c>
      <c r="I27" s="27">
        <f>SUM(J27)-0.4</f>
        <v>6.6</v>
      </c>
      <c r="J27" s="41">
        <v>7</v>
      </c>
      <c r="K27" s="27">
        <f>SUM(J27)+0.4</f>
        <v>7.4</v>
      </c>
      <c r="L27" s="27">
        <f>SUM(K27)+0.4</f>
        <v>7.8000000000000007</v>
      </c>
      <c r="M27" s="62">
        <f>SUM(L27)+0.4</f>
        <v>8.2000000000000011</v>
      </c>
    </row>
    <row r="28" spans="1:13" s="1" customFormat="1" ht="14.1" customHeight="1">
      <c r="A28" s="122"/>
      <c r="B28" s="127" t="s">
        <v>122</v>
      </c>
      <c r="C28" s="128"/>
      <c r="D28" s="79" t="s">
        <v>407</v>
      </c>
      <c r="E28" s="80"/>
      <c r="F28" s="80"/>
      <c r="G28" s="81"/>
      <c r="H28" s="46"/>
      <c r="I28" s="46"/>
      <c r="J28" s="44"/>
      <c r="K28" s="46"/>
      <c r="L28" s="46"/>
      <c r="M28" s="48"/>
    </row>
    <row r="29" spans="1:13" s="1" customFormat="1" ht="14.1" customHeight="1">
      <c r="A29" s="122">
        <v>14</v>
      </c>
      <c r="B29" s="36" t="s">
        <v>115</v>
      </c>
      <c r="C29" s="37"/>
      <c r="D29" s="129"/>
      <c r="E29" s="130"/>
      <c r="F29" s="130"/>
      <c r="G29" s="131"/>
      <c r="H29" s="27">
        <f>SUM(I29)-0.4</f>
        <v>6.1999999999999993</v>
      </c>
      <c r="I29" s="27">
        <f>SUM(J29)-0.4</f>
        <v>6.6</v>
      </c>
      <c r="J29" s="41">
        <v>7</v>
      </c>
      <c r="K29" s="27">
        <f>SUM(J29)+0.4</f>
        <v>7.4</v>
      </c>
      <c r="L29" s="27">
        <f>SUM(K29)+0.4</f>
        <v>7.8000000000000007</v>
      </c>
      <c r="M29" s="62">
        <f>SUM(L29)+0.4</f>
        <v>8.2000000000000011</v>
      </c>
    </row>
    <row r="30" spans="1:13" s="1" customFormat="1" ht="14.1" customHeight="1">
      <c r="A30" s="122"/>
      <c r="B30" s="127" t="s">
        <v>123</v>
      </c>
      <c r="C30" s="128"/>
      <c r="D30" s="79" t="s">
        <v>146</v>
      </c>
      <c r="E30" s="80"/>
      <c r="F30" s="80"/>
      <c r="G30" s="81"/>
      <c r="H30" s="46"/>
      <c r="I30" s="46"/>
      <c r="J30" s="44"/>
      <c r="K30" s="46"/>
      <c r="L30" s="46"/>
      <c r="M30" s="48"/>
    </row>
    <row r="31" spans="1:13" ht="14.1" customHeight="1">
      <c r="A31" s="122">
        <v>15</v>
      </c>
      <c r="B31" s="133"/>
      <c r="C31" s="134"/>
      <c r="D31" s="135"/>
      <c r="E31" s="136"/>
      <c r="F31" s="136"/>
      <c r="G31" s="137"/>
      <c r="H31" s="27"/>
      <c r="I31" s="27"/>
      <c r="J31" s="41"/>
      <c r="K31" s="27"/>
      <c r="L31" s="27"/>
      <c r="M31" s="62"/>
    </row>
    <row r="32" spans="1:13" ht="14.1" customHeight="1" thickBot="1">
      <c r="A32" s="123"/>
      <c r="B32" s="143"/>
      <c r="C32" s="144"/>
      <c r="D32" s="119"/>
      <c r="E32" s="120"/>
      <c r="F32" s="120"/>
      <c r="G32" s="121"/>
      <c r="H32" s="28"/>
      <c r="I32" s="28"/>
      <c r="J32" s="42"/>
      <c r="K32" s="28"/>
      <c r="L32" s="28"/>
      <c r="M32" s="160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J25:J26"/>
    <mergeCell ref="K25:K26"/>
    <mergeCell ref="L25:L26"/>
    <mergeCell ref="M25:M26"/>
    <mergeCell ref="B26:C26"/>
    <mergeCell ref="D26:G26"/>
    <mergeCell ref="K31:K32"/>
    <mergeCell ref="L31:L32"/>
    <mergeCell ref="M31:M32"/>
    <mergeCell ref="B32:C32"/>
    <mergeCell ref="D32:G32"/>
    <mergeCell ref="J31:J32"/>
    <mergeCell ref="J29:J30"/>
    <mergeCell ref="K29:K30"/>
    <mergeCell ref="L29:L30"/>
    <mergeCell ref="M29:M30"/>
    <mergeCell ref="K27:K28"/>
    <mergeCell ref="L27:L28"/>
    <mergeCell ref="M27:M28"/>
    <mergeCell ref="J27:J28"/>
    <mergeCell ref="A25:A26"/>
    <mergeCell ref="B25:C25"/>
    <mergeCell ref="D25:G25"/>
    <mergeCell ref="H25:H26"/>
    <mergeCell ref="I25:I26"/>
    <mergeCell ref="A31:A32"/>
    <mergeCell ref="B31:C31"/>
    <mergeCell ref="D31:G31"/>
    <mergeCell ref="H31:H32"/>
    <mergeCell ref="I31:I32"/>
    <mergeCell ref="B30:C30"/>
    <mergeCell ref="D30:G30"/>
    <mergeCell ref="B28:C28"/>
    <mergeCell ref="D28:G28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A103-1F1E-4BE5-AE0D-DE8096F3D523}">
  <sheetPr codeName="Sheet62">
    <tabColor theme="5"/>
    <pageSetUpPr fitToPage="1"/>
  </sheetPr>
  <dimension ref="A1:N51"/>
  <sheetViews>
    <sheetView zoomScale="110" zoomScaleNormal="110" workbookViewId="0">
      <selection activeCell="P15" sqref="P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411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37</v>
      </c>
      <c r="I3" s="27">
        <f>SUM(J3)-3.5</f>
        <v>40.5</v>
      </c>
      <c r="J3" s="139">
        <v>44</v>
      </c>
      <c r="K3" s="140">
        <f>SUM(J3)+3</f>
        <v>47</v>
      </c>
      <c r="L3" s="140">
        <f t="shared" ref="L3:M3" si="0">SUM(K3)+3</f>
        <v>50</v>
      </c>
      <c r="M3" s="166">
        <f t="shared" si="0"/>
        <v>53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22">
        <v>2</v>
      </c>
      <c r="B5" s="168" t="s">
        <v>193</v>
      </c>
      <c r="C5" s="169"/>
      <c r="D5" s="102" t="s">
        <v>194</v>
      </c>
      <c r="E5" s="103"/>
      <c r="F5" s="103"/>
      <c r="G5" s="104"/>
      <c r="H5" s="27">
        <f>SUM(I5)-4.5</f>
        <v>45</v>
      </c>
      <c r="I5" s="27">
        <f>SUM(J5)-4.5</f>
        <v>49.5</v>
      </c>
      <c r="J5" s="125">
        <v>54</v>
      </c>
      <c r="K5" s="114">
        <f>SUM(J5)+4.5</f>
        <v>58.5</v>
      </c>
      <c r="L5" s="114">
        <f t="shared" ref="L5:M5" si="1">SUM(K5)+4.5</f>
        <v>63</v>
      </c>
      <c r="M5" s="162">
        <f t="shared" si="1"/>
        <v>67.5</v>
      </c>
    </row>
    <row r="6" spans="1:14" s="1" customFormat="1" ht="14.1" customHeight="1">
      <c r="A6" s="122"/>
      <c r="B6" s="127" t="s">
        <v>195</v>
      </c>
      <c r="C6" s="128"/>
      <c r="D6" s="79" t="s">
        <v>196</v>
      </c>
      <c r="E6" s="80"/>
      <c r="F6" s="80"/>
      <c r="G6" s="81"/>
      <c r="H6" s="46"/>
      <c r="I6" s="46"/>
      <c r="J6" s="125"/>
      <c r="K6" s="114"/>
      <c r="L6" s="114"/>
      <c r="M6" s="162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37.5</v>
      </c>
      <c r="I7" s="27">
        <f>SUM(J7)-2.25</f>
        <v>39.75</v>
      </c>
      <c r="J7" s="41">
        <v>42</v>
      </c>
      <c r="K7" s="27">
        <f>SUM(J7)+2</f>
        <v>44</v>
      </c>
      <c r="L7" s="27">
        <f>SUM(K7)+2</f>
        <v>46</v>
      </c>
      <c r="M7" s="62">
        <f>SUM(L7)+2</f>
        <v>48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31.400000000000002</v>
      </c>
      <c r="I9" s="27">
        <f>SUM(J9)-1.8</f>
        <v>33.200000000000003</v>
      </c>
      <c r="J9" s="41">
        <v>35</v>
      </c>
      <c r="K9" s="27">
        <f>SUM(J9)+1.6</f>
        <v>36.6</v>
      </c>
      <c r="L9" s="27">
        <f>SUM(K9)+1.6</f>
        <v>38.200000000000003</v>
      </c>
      <c r="M9" s="62">
        <f>SUM(L9)+1.6</f>
        <v>39.800000000000004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/>
      <c r="I11" s="27"/>
      <c r="J11" s="125"/>
      <c r="K11" s="114"/>
      <c r="L11" s="114"/>
      <c r="M11" s="162"/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15.2</v>
      </c>
      <c r="I13" s="27">
        <f>SUM(J13)-0.6</f>
        <v>15.799999999999999</v>
      </c>
      <c r="J13" s="125">
        <v>16.399999999999999</v>
      </c>
      <c r="K13" s="114">
        <f>SUM(J13)+0.6</f>
        <v>17</v>
      </c>
      <c r="L13" s="114">
        <f>SUM(K13)+0.6</f>
        <v>17.600000000000001</v>
      </c>
      <c r="M13" s="162">
        <f>SUM(L13)+0.6</f>
        <v>18.200000000000003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6.7</v>
      </c>
      <c r="I15" s="27">
        <f>SUM(J15)-0.3</f>
        <v>7</v>
      </c>
      <c r="J15" s="125">
        <v>7.3</v>
      </c>
      <c r="K15" s="114">
        <f>SUM(J15)+0.3</f>
        <v>7.6</v>
      </c>
      <c r="L15" s="114">
        <f>SUM(K15)+0.3</f>
        <v>7.8999999999999995</v>
      </c>
      <c r="M15" s="162">
        <f>SUM(L15)+0.3</f>
        <v>8.1999999999999993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39.799999999999997</v>
      </c>
      <c r="I17" s="27">
        <f>SUM(J17)-1.6</f>
        <v>41.4</v>
      </c>
      <c r="J17" s="125">
        <v>43</v>
      </c>
      <c r="K17" s="114">
        <f>SUM(J17)+1.6</f>
        <v>44.6</v>
      </c>
      <c r="L17" s="114">
        <f>SUM(K17)+1.6</f>
        <v>46.2</v>
      </c>
      <c r="M17" s="162">
        <f>SUM(L17)+1.6</f>
        <v>47.800000000000004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/>
      <c r="I19" s="27"/>
      <c r="J19" s="125"/>
      <c r="K19" s="114"/>
      <c r="L19" s="114"/>
      <c r="M19" s="162"/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SUM(I21)-1.7</f>
        <v>34.599999999999994</v>
      </c>
      <c r="I21" s="27">
        <f>SUM(J21)-1.7</f>
        <v>36.299999999999997</v>
      </c>
      <c r="J21" s="125">
        <v>38</v>
      </c>
      <c r="K21" s="114">
        <f>SUM(J21)+1.7</f>
        <v>39.700000000000003</v>
      </c>
      <c r="L21" s="114">
        <f t="shared" ref="L21:M21" si="2">SUM(K21)+1.7</f>
        <v>41.400000000000006</v>
      </c>
      <c r="M21" s="162">
        <f t="shared" si="2"/>
        <v>43.100000000000009</v>
      </c>
    </row>
    <row r="22" spans="1:13" s="1" customFormat="1" ht="14.1" customHeight="1">
      <c r="A22" s="122"/>
      <c r="B22" s="75" t="s">
        <v>30</v>
      </c>
      <c r="C22" s="75"/>
      <c r="D22" s="79" t="s">
        <v>412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 t="shared" ref="L23:M23" si="3">SUM(K23)+0.6</f>
        <v>16.399999999999999</v>
      </c>
      <c r="M23" s="162">
        <f t="shared" si="3"/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SUM(I25)-0.3</f>
        <v>3.8000000000000007</v>
      </c>
      <c r="I25" s="27">
        <f>SUM(J25)-0.3</f>
        <v>4.1000000000000005</v>
      </c>
      <c r="J25" s="41">
        <v>4.4000000000000004</v>
      </c>
      <c r="K25" s="27">
        <f>SUM(J25)+0.3</f>
        <v>4.7</v>
      </c>
      <c r="L25" s="27">
        <f>SUM(K25)+0.3</f>
        <v>5</v>
      </c>
      <c r="M25" s="62">
        <f>SUM(L25)+0.3</f>
        <v>5.3</v>
      </c>
    </row>
    <row r="26" spans="1:13" s="1" customFormat="1" ht="14.1" customHeight="1">
      <c r="A26" s="122"/>
      <c r="B26" s="127" t="s">
        <v>122</v>
      </c>
      <c r="C26" s="128"/>
      <c r="D26" s="79" t="s">
        <v>407</v>
      </c>
      <c r="E26" s="80"/>
      <c r="F26" s="80"/>
      <c r="G26" s="81"/>
      <c r="H26" s="46"/>
      <c r="I26" s="46"/>
      <c r="J26" s="44"/>
      <c r="K26" s="46"/>
      <c r="L26" s="46"/>
      <c r="M26" s="48"/>
    </row>
    <row r="27" spans="1:13" s="1" customFormat="1" ht="14.1" customHeight="1">
      <c r="A27" s="122">
        <v>13</v>
      </c>
      <c r="B27" s="36"/>
      <c r="C27" s="37"/>
      <c r="D27" s="124"/>
      <c r="E27" s="124"/>
      <c r="F27" s="124"/>
      <c r="G27" s="124"/>
      <c r="H27" s="27"/>
      <c r="I27" s="27"/>
      <c r="J27" s="41"/>
      <c r="K27" s="27"/>
      <c r="L27" s="27"/>
      <c r="M27" s="62"/>
    </row>
    <row r="28" spans="1:13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8"/>
    </row>
    <row r="29" spans="1:13" s="1" customFormat="1" ht="14.1" customHeight="1">
      <c r="A29" s="122">
        <v>14</v>
      </c>
      <c r="B29" s="36"/>
      <c r="C29" s="37"/>
      <c r="D29" s="129"/>
      <c r="E29" s="130"/>
      <c r="F29" s="130"/>
      <c r="G29" s="131"/>
      <c r="H29" s="27"/>
      <c r="I29" s="27"/>
      <c r="J29" s="41"/>
      <c r="K29" s="27"/>
      <c r="L29" s="27"/>
      <c r="M29" s="62"/>
    </row>
    <row r="30" spans="1:13" s="1" customFormat="1" ht="14.1" customHeight="1">
      <c r="A30" s="122"/>
      <c r="B30" s="127"/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8"/>
    </row>
    <row r="31" spans="1:13" ht="14.1" customHeight="1">
      <c r="A31" s="122">
        <v>15</v>
      </c>
      <c r="B31" s="133"/>
      <c r="C31" s="134"/>
      <c r="D31" s="135"/>
      <c r="E31" s="136"/>
      <c r="F31" s="136"/>
      <c r="G31" s="137"/>
      <c r="H31" s="27"/>
      <c r="I31" s="27"/>
      <c r="J31" s="41"/>
      <c r="K31" s="27"/>
      <c r="L31" s="27"/>
      <c r="M31" s="62"/>
    </row>
    <row r="32" spans="1:13" ht="14.1" customHeight="1" thickBot="1">
      <c r="A32" s="123"/>
      <c r="B32" s="143"/>
      <c r="C32" s="144"/>
      <c r="D32" s="119"/>
      <c r="E32" s="120"/>
      <c r="F32" s="120"/>
      <c r="G32" s="121"/>
      <c r="H32" s="28"/>
      <c r="I32" s="28"/>
      <c r="J32" s="42"/>
      <c r="K32" s="28"/>
      <c r="L32" s="28"/>
      <c r="M32" s="160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1C21-D0C2-4385-8233-5402DDC7E4B9}">
  <sheetPr codeName="Sheet79">
    <tabColor theme="5"/>
    <pageSetUpPr fitToPage="1"/>
  </sheetPr>
  <dimension ref="A1:N51"/>
  <sheetViews>
    <sheetView zoomScale="110" zoomScaleNormal="110" workbookViewId="0">
      <selection sqref="A1:N3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175" t="s">
        <v>560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6" t="s">
        <v>134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35</v>
      </c>
      <c r="I3" s="27">
        <f>SUM(J3)-3.5</f>
        <v>38.5</v>
      </c>
      <c r="J3" s="139">
        <v>42</v>
      </c>
      <c r="K3" s="140">
        <f>SUM(J3)+3</f>
        <v>45</v>
      </c>
      <c r="L3" s="140">
        <f t="shared" ref="L3:N3" si="0">SUM(K3)+3</f>
        <v>48</v>
      </c>
      <c r="M3" s="140">
        <f t="shared" si="0"/>
        <v>51</v>
      </c>
      <c r="N3" s="166">
        <f t="shared" si="0"/>
        <v>54</v>
      </c>
    </row>
    <row r="4" spans="1:14" s="1" customFormat="1" ht="14.1" customHeight="1">
      <c r="A4" s="122"/>
      <c r="B4" s="75" t="s">
        <v>36</v>
      </c>
      <c r="C4" s="75"/>
      <c r="D4" s="79" t="s">
        <v>599</v>
      </c>
      <c r="E4" s="80"/>
      <c r="F4" s="80"/>
      <c r="G4" s="80"/>
      <c r="H4" s="46"/>
      <c r="I4" s="46"/>
      <c r="J4" s="41"/>
      <c r="K4" s="27"/>
      <c r="L4" s="27"/>
      <c r="M4" s="27"/>
      <c r="N4" s="62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SUM(I5)-1.6</f>
        <v>24.699999999999996</v>
      </c>
      <c r="I5" s="27">
        <f>SUM(J5)-1.6</f>
        <v>26.299999999999997</v>
      </c>
      <c r="J5" s="41">
        <v>27.9</v>
      </c>
      <c r="K5" s="27">
        <f>SUM(J5)+1.4</f>
        <v>29.299999999999997</v>
      </c>
      <c r="L5" s="27">
        <f t="shared" ref="L5:N5" si="1">SUM(K5)+1.4</f>
        <v>30.699999999999996</v>
      </c>
      <c r="M5" s="27">
        <f t="shared" si="1"/>
        <v>32.099999999999994</v>
      </c>
      <c r="N5" s="62">
        <f t="shared" si="1"/>
        <v>33.499999999999993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6"/>
      <c r="N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33.5</v>
      </c>
      <c r="I7" s="27">
        <f>SUM(J7)-2.25</f>
        <v>35.75</v>
      </c>
      <c r="J7" s="41">
        <v>38</v>
      </c>
      <c r="K7" s="27">
        <f>SUM(J7)+2</f>
        <v>40</v>
      </c>
      <c r="L7" s="27">
        <f t="shared" ref="L7:N7" si="2">SUM(K7)+2</f>
        <v>42</v>
      </c>
      <c r="M7" s="27">
        <f t="shared" si="2"/>
        <v>44</v>
      </c>
      <c r="N7" s="62">
        <f t="shared" si="2"/>
        <v>46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6"/>
      <c r="N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25.9</v>
      </c>
      <c r="I9" s="27">
        <f>SUM(J9)-1.8</f>
        <v>27.7</v>
      </c>
      <c r="J9" s="41">
        <v>29.5</v>
      </c>
      <c r="K9" s="27">
        <f>SUM(J9)+1.6</f>
        <v>31.1</v>
      </c>
      <c r="L9" s="27">
        <f t="shared" ref="L9:N9" si="3">SUM(K9)+1.6</f>
        <v>32.700000000000003</v>
      </c>
      <c r="M9" s="27">
        <f t="shared" si="3"/>
        <v>34.300000000000004</v>
      </c>
      <c r="N9" s="62">
        <f t="shared" si="3"/>
        <v>35.900000000000006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6"/>
      <c r="N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SUM(I11)-0.9</f>
        <v>14.899999999999999</v>
      </c>
      <c r="I11" s="27">
        <f>SUM(J11)-0.9</f>
        <v>15.799999999999999</v>
      </c>
      <c r="J11" s="125">
        <v>16.7</v>
      </c>
      <c r="K11" s="114">
        <f>SUM(J11)+0.9</f>
        <v>17.599999999999998</v>
      </c>
      <c r="L11" s="114">
        <f t="shared" ref="L11:N11" si="4">SUM(K11)+0.9</f>
        <v>18.499999999999996</v>
      </c>
      <c r="M11" s="114">
        <f t="shared" si="4"/>
        <v>19.399999999999995</v>
      </c>
      <c r="N11" s="162">
        <f t="shared" si="4"/>
        <v>20.299999999999994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4"/>
      <c r="N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14.8</v>
      </c>
      <c r="I13" s="27">
        <f>SUM(J13)-0.6</f>
        <v>15.4</v>
      </c>
      <c r="J13" s="125">
        <v>16</v>
      </c>
      <c r="K13" s="114">
        <f>SUM(J13)+0.6</f>
        <v>16.600000000000001</v>
      </c>
      <c r="L13" s="114">
        <f>SUM(K13)+0.6</f>
        <v>17.200000000000003</v>
      </c>
      <c r="M13" s="114">
        <f>SUM(L13)+0.6</f>
        <v>17.800000000000004</v>
      </c>
      <c r="N13" s="162">
        <f>SUM(M13)+0.6</f>
        <v>18.400000000000006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14"/>
      <c r="N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6.9</v>
      </c>
      <c r="I15" s="27">
        <f>SUM(J15)-0.3</f>
        <v>7.2</v>
      </c>
      <c r="J15" s="125">
        <v>7.5</v>
      </c>
      <c r="K15" s="114">
        <f>SUM(J15)+0.3</f>
        <v>7.8</v>
      </c>
      <c r="L15" s="114">
        <f>SUM(K15)+0.3</f>
        <v>8.1</v>
      </c>
      <c r="M15" s="114">
        <f>SUM(L15)+0.3</f>
        <v>8.4</v>
      </c>
      <c r="N15" s="162">
        <f>SUM(M15)+0.3</f>
        <v>8.7000000000000011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14"/>
      <c r="N16" s="162"/>
    </row>
    <row r="17" spans="1:14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38.799999999999997</v>
      </c>
      <c r="I17" s="27">
        <f>SUM(J17)-1.6</f>
        <v>40.4</v>
      </c>
      <c r="J17" s="125">
        <v>42</v>
      </c>
      <c r="K17" s="114">
        <f>SUM(J17)+1.6</f>
        <v>43.6</v>
      </c>
      <c r="L17" s="114">
        <f>SUM(K17)+1.6</f>
        <v>45.2</v>
      </c>
      <c r="M17" s="114">
        <f>SUM(L17)+1.6</f>
        <v>46.800000000000004</v>
      </c>
      <c r="N17" s="162">
        <f>SUM(M17)+1.6</f>
        <v>48.400000000000006</v>
      </c>
    </row>
    <row r="18" spans="1:14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14"/>
      <c r="N18" s="162"/>
    </row>
    <row r="19" spans="1:14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SUM(I19)-3.7</f>
        <v>32.799999999999997</v>
      </c>
      <c r="I19" s="27">
        <f>SUM(J19)-3.7</f>
        <v>36.5</v>
      </c>
      <c r="J19" s="125">
        <v>40.200000000000003</v>
      </c>
      <c r="K19" s="114">
        <f>SUM(J19)+3.8</f>
        <v>44</v>
      </c>
      <c r="L19" s="114">
        <f t="shared" ref="L19" si="5">SUM(K19)+3.8</f>
        <v>47.8</v>
      </c>
      <c r="M19" s="114">
        <f>SUM(L19)+3.8</f>
        <v>51.599999999999994</v>
      </c>
      <c r="N19" s="162">
        <f>SUM(M19)+3.8</f>
        <v>55.399999999999991</v>
      </c>
    </row>
    <row r="20" spans="1:14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14"/>
      <c r="N20" s="162"/>
    </row>
    <row r="21" spans="1:14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114"/>
      <c r="N21" s="162"/>
    </row>
    <row r="22" spans="1:14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14"/>
      <c r="N22" s="162"/>
    </row>
    <row r="23" spans="1:14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 t="shared" ref="L23:N23" si="6">SUM(K23)+0.6</f>
        <v>16.399999999999999</v>
      </c>
      <c r="M23" s="114">
        <f t="shared" si="6"/>
        <v>17</v>
      </c>
      <c r="N23" s="162">
        <f t="shared" si="6"/>
        <v>17.600000000000001</v>
      </c>
    </row>
    <row r="24" spans="1:14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4"/>
      <c r="N24" s="162"/>
    </row>
    <row r="25" spans="1:14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SUM(I25)-0.2</f>
        <v>2.0999999999999996</v>
      </c>
      <c r="I25" s="27">
        <f>SUM(J25)-0.2</f>
        <v>2.2999999999999998</v>
      </c>
      <c r="J25" s="41">
        <v>2.5</v>
      </c>
      <c r="K25" s="27">
        <f>SUM(J25)+0.2</f>
        <v>2.7</v>
      </c>
      <c r="L25" s="27">
        <f t="shared" ref="L25:N25" si="7">SUM(K25)+0.2</f>
        <v>2.9000000000000004</v>
      </c>
      <c r="M25" s="27">
        <f t="shared" si="7"/>
        <v>3.1000000000000005</v>
      </c>
      <c r="N25" s="62">
        <f t="shared" si="7"/>
        <v>3.3000000000000007</v>
      </c>
    </row>
    <row r="26" spans="1:14" s="1" customFormat="1" ht="14.1" customHeight="1">
      <c r="A26" s="122"/>
      <c r="B26" s="127" t="s">
        <v>122</v>
      </c>
      <c r="C26" s="128"/>
      <c r="D26" s="79" t="s">
        <v>216</v>
      </c>
      <c r="E26" s="80"/>
      <c r="F26" s="80"/>
      <c r="G26" s="81"/>
      <c r="H26" s="46"/>
      <c r="I26" s="46"/>
      <c r="J26" s="44"/>
      <c r="K26" s="46"/>
      <c r="L26" s="46"/>
      <c r="M26" s="46"/>
      <c r="N26" s="48"/>
    </row>
    <row r="27" spans="1:14" s="1" customFormat="1" ht="14.1" customHeight="1">
      <c r="A27" s="122">
        <v>13</v>
      </c>
      <c r="B27" s="36"/>
      <c r="C27" s="37"/>
      <c r="D27" s="76"/>
      <c r="E27" s="77"/>
      <c r="F27" s="77"/>
      <c r="G27" s="78"/>
      <c r="H27" s="27"/>
      <c r="I27" s="27"/>
      <c r="J27" s="41"/>
      <c r="K27" s="27"/>
      <c r="L27" s="27"/>
      <c r="M27" s="27"/>
      <c r="N27" s="62"/>
    </row>
    <row r="28" spans="1:14" s="1" customFormat="1" ht="14.1" customHeight="1">
      <c r="A28" s="122"/>
      <c r="B28" s="127"/>
      <c r="C28" s="128"/>
      <c r="D28" s="82"/>
      <c r="E28" s="80"/>
      <c r="F28" s="80"/>
      <c r="G28" s="81"/>
      <c r="H28" s="46"/>
      <c r="I28" s="46"/>
      <c r="J28" s="44"/>
      <c r="K28" s="46"/>
      <c r="L28" s="46"/>
      <c r="M28" s="46"/>
      <c r="N28" s="48"/>
    </row>
    <row r="29" spans="1:14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27"/>
      <c r="N29" s="62"/>
    </row>
    <row r="30" spans="1:14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28"/>
      <c r="N30" s="160"/>
    </row>
    <row r="31" spans="1:14" ht="14.1" customHeight="1"/>
    <row r="32" spans="1:14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71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1:N1"/>
    <mergeCell ref="N3:N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7:A8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N23:N24"/>
    <mergeCell ref="N25:N26"/>
    <mergeCell ref="N27:N28"/>
    <mergeCell ref="N29:N30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00DE-5B4B-4611-ADA9-4E1C7D7D3299}">
  <sheetPr codeName="Sheet80">
    <tabColor theme="5"/>
    <pageSetUpPr fitToPage="1"/>
  </sheetPr>
  <dimension ref="A1:N51"/>
  <sheetViews>
    <sheetView zoomScale="110" zoomScaleNormal="110" workbookViewId="0">
      <selection activeCell="H3" sqref="H3:M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562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13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36</v>
      </c>
      <c r="I3" s="27">
        <f>SUM(J3)-3.5</f>
        <v>39.5</v>
      </c>
      <c r="J3" s="139">
        <v>43</v>
      </c>
      <c r="K3" s="140">
        <f>SUM(J3)+3</f>
        <v>46</v>
      </c>
      <c r="L3" s="140">
        <f t="shared" ref="L3:M3" si="0">SUM(K3)+3</f>
        <v>49</v>
      </c>
      <c r="M3" s="166">
        <f t="shared" si="0"/>
        <v>52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</f>
        <v>37</v>
      </c>
      <c r="I5" s="27">
        <f>SUM(J5)-2</f>
        <v>39</v>
      </c>
      <c r="J5" s="41">
        <v>41</v>
      </c>
      <c r="K5" s="27">
        <f>SUM(J5)+1.8</f>
        <v>42.8</v>
      </c>
      <c r="L5" s="27">
        <f t="shared" ref="L5:M5" si="1">SUM(K5)+1.8</f>
        <v>44.599999999999994</v>
      </c>
      <c r="M5" s="62">
        <f t="shared" si="1"/>
        <v>46.399999999999991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39.5</v>
      </c>
      <c r="I7" s="27">
        <f>SUM(J7)-2.25</f>
        <v>41.75</v>
      </c>
      <c r="J7" s="41">
        <v>44</v>
      </c>
      <c r="K7" s="27">
        <f>SUM(J7)+2</f>
        <v>46</v>
      </c>
      <c r="L7" s="27">
        <f t="shared" ref="L7:M7" si="2">SUM(K7)+2</f>
        <v>48</v>
      </c>
      <c r="M7" s="62">
        <f t="shared" si="2"/>
        <v>50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29.9</v>
      </c>
      <c r="I9" s="27">
        <f>SUM(J9)-1.8</f>
        <v>31.7</v>
      </c>
      <c r="J9" s="41">
        <v>33.5</v>
      </c>
      <c r="K9" s="27">
        <f>SUM(J9)+1.6</f>
        <v>35.1</v>
      </c>
      <c r="L9" s="27">
        <f t="shared" ref="L9:M9" si="3">SUM(K9)+1.6</f>
        <v>36.700000000000003</v>
      </c>
      <c r="M9" s="62">
        <f t="shared" si="3"/>
        <v>38.300000000000004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15.399999999999999</v>
      </c>
      <c r="I11" s="27">
        <f>SUM(J11)-0.8</f>
        <v>16.2</v>
      </c>
      <c r="J11" s="125">
        <v>17</v>
      </c>
      <c r="K11" s="114">
        <f>SUM(J11)+0.8</f>
        <v>17.8</v>
      </c>
      <c r="L11" s="114">
        <f t="shared" ref="L11:M11" si="4">SUM(K11)+0.8</f>
        <v>18.600000000000001</v>
      </c>
      <c r="M11" s="162">
        <f t="shared" si="4"/>
        <v>19.400000000000002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14.3</v>
      </c>
      <c r="I13" s="27">
        <f>SUM(J13)-0.6</f>
        <v>14.9</v>
      </c>
      <c r="J13" s="125">
        <v>15.5</v>
      </c>
      <c r="K13" s="114">
        <f>SUM(J13)+0.6</f>
        <v>16.100000000000001</v>
      </c>
      <c r="L13" s="114">
        <f>SUM(K13)+0.6</f>
        <v>16.700000000000003</v>
      </c>
      <c r="M13" s="162">
        <f>SUM(L13)+0.6</f>
        <v>17.300000000000004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5.9</v>
      </c>
      <c r="I15" s="27">
        <f>SUM(J15)-0.3</f>
        <v>6.2</v>
      </c>
      <c r="J15" s="125">
        <v>6.5</v>
      </c>
      <c r="K15" s="114">
        <f>SUM(J15)+0.3</f>
        <v>6.8</v>
      </c>
      <c r="L15" s="114">
        <f>SUM(K15)+0.3</f>
        <v>7.1</v>
      </c>
      <c r="M15" s="162">
        <f>SUM(L15)+0.3</f>
        <v>7.3999999999999995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36.799999999999997</v>
      </c>
      <c r="I17" s="27">
        <f>SUM(J17)-1.6</f>
        <v>38.4</v>
      </c>
      <c r="J17" s="125">
        <v>40</v>
      </c>
      <c r="K17" s="114">
        <f>SUM(J17)+1.6</f>
        <v>41.6</v>
      </c>
      <c r="L17" s="114">
        <f>SUM(K17)+1.6</f>
        <v>43.2</v>
      </c>
      <c r="M17" s="162">
        <f>SUM(L17)+1.6</f>
        <v>44.800000000000004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SUM(I19)-3.5</f>
        <v>26.9</v>
      </c>
      <c r="I19" s="27">
        <f>SUM(J19)-3.5</f>
        <v>30.4</v>
      </c>
      <c r="J19" s="125">
        <v>33.9</v>
      </c>
      <c r="K19" s="114">
        <f>SUM(J19)+3.6</f>
        <v>37.5</v>
      </c>
      <c r="L19" s="114">
        <f t="shared" ref="L19:M19" si="5">SUM(K19)+3.6</f>
        <v>41.1</v>
      </c>
      <c r="M19" s="162">
        <f t="shared" si="5"/>
        <v>44.7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162"/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 t="shared" ref="L23:M23" si="6">SUM(K23)+0.6</f>
        <v>16.399999999999999</v>
      </c>
      <c r="M23" s="162">
        <f t="shared" si="6"/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SUM(I25)-0.3</f>
        <v>5.4</v>
      </c>
      <c r="I25" s="27">
        <f>SUM(J25)-0.3</f>
        <v>5.7</v>
      </c>
      <c r="J25" s="41">
        <v>6</v>
      </c>
      <c r="K25" s="27">
        <f>SUM(J25)+0.3</f>
        <v>6.3</v>
      </c>
      <c r="L25" s="27">
        <f t="shared" ref="L25:M25" si="7">SUM(K25)+0.3</f>
        <v>6.6</v>
      </c>
      <c r="M25" s="62">
        <f t="shared" si="7"/>
        <v>6.8999999999999995</v>
      </c>
    </row>
    <row r="26" spans="1:13" s="1" customFormat="1" ht="14.1" customHeight="1">
      <c r="A26" s="122"/>
      <c r="B26" s="127" t="s">
        <v>122</v>
      </c>
      <c r="C26" s="128"/>
      <c r="D26" s="79" t="s">
        <v>216</v>
      </c>
      <c r="E26" s="80"/>
      <c r="F26" s="80"/>
      <c r="G26" s="81"/>
      <c r="H26" s="46"/>
      <c r="I26" s="46"/>
      <c r="J26" s="44"/>
      <c r="K26" s="46"/>
      <c r="L26" s="46"/>
      <c r="M26" s="48"/>
    </row>
    <row r="27" spans="1:13" s="1" customFormat="1" ht="14.1" customHeight="1">
      <c r="A27" s="122">
        <v>13</v>
      </c>
      <c r="B27" s="36"/>
      <c r="C27" s="37"/>
      <c r="D27" s="129"/>
      <c r="E27" s="130"/>
      <c r="F27" s="130"/>
      <c r="G27" s="131"/>
      <c r="H27" s="27"/>
      <c r="I27" s="27"/>
      <c r="J27" s="41"/>
      <c r="K27" s="27"/>
      <c r="L27" s="27"/>
      <c r="M27" s="62"/>
    </row>
    <row r="28" spans="1:13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8"/>
    </row>
    <row r="29" spans="1:13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41"/>
      <c r="K29" s="27"/>
      <c r="L29" s="27"/>
      <c r="M29" s="62"/>
    </row>
    <row r="30" spans="1:13" s="1" customFormat="1" ht="14.1" customHeight="1" thickBot="1">
      <c r="A30" s="123"/>
      <c r="B30" s="143"/>
      <c r="C30" s="144"/>
      <c r="D30" s="119"/>
      <c r="E30" s="120"/>
      <c r="F30" s="120"/>
      <c r="G30" s="121"/>
      <c r="H30" s="28"/>
      <c r="I30" s="28"/>
      <c r="J30" s="42"/>
      <c r="K30" s="28"/>
      <c r="L30" s="28"/>
      <c r="M30" s="16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57"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D4C0-A81D-451A-B487-CC1A8ED22150}">
  <sheetPr codeName="Sheet63">
    <tabColor theme="5"/>
    <pageSetUpPr fitToPage="1"/>
  </sheetPr>
  <dimension ref="A1:N51"/>
  <sheetViews>
    <sheetView zoomScale="110" zoomScaleNormal="110" workbookViewId="0">
      <selection activeCell="D7" sqref="D7:G7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425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38</v>
      </c>
      <c r="I3" s="27">
        <f>SUM(J3)-3.5</f>
        <v>41.5</v>
      </c>
      <c r="J3" s="139">
        <v>45</v>
      </c>
      <c r="K3" s="140">
        <f>SUM(J3)+3</f>
        <v>48</v>
      </c>
      <c r="L3" s="140">
        <f t="shared" ref="L3:M3" si="0">SUM(K3)+3</f>
        <v>51</v>
      </c>
      <c r="M3" s="166">
        <f t="shared" si="0"/>
        <v>54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</f>
        <v>32</v>
      </c>
      <c r="I5" s="27">
        <f>SUM(J5)-2</f>
        <v>34</v>
      </c>
      <c r="J5" s="125">
        <v>36</v>
      </c>
      <c r="K5" s="114">
        <f>SUM(J5)+1.8</f>
        <v>37.799999999999997</v>
      </c>
      <c r="L5" s="114">
        <f t="shared" ref="L5:M5" si="1">SUM(K5)+1.8</f>
        <v>39.599999999999994</v>
      </c>
      <c r="M5" s="162">
        <f t="shared" si="1"/>
        <v>41.399999999999991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125"/>
      <c r="K6" s="114"/>
      <c r="L6" s="114"/>
      <c r="M6" s="162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37</v>
      </c>
      <c r="I7" s="27">
        <f>SUM(J7)-2.25</f>
        <v>39.25</v>
      </c>
      <c r="J7" s="41">
        <v>41.5</v>
      </c>
      <c r="K7" s="27">
        <f>SUM(J7)+2</f>
        <v>43.5</v>
      </c>
      <c r="L7" s="27">
        <f>SUM(K7)+2</f>
        <v>45.5</v>
      </c>
      <c r="M7" s="62">
        <f>SUM(L7)+2</f>
        <v>47.5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29.4</v>
      </c>
      <c r="I9" s="27">
        <f>SUM(J9)-1.8</f>
        <v>31.2</v>
      </c>
      <c r="J9" s="41">
        <v>33</v>
      </c>
      <c r="K9" s="27">
        <f>SUM(J9)+1.6</f>
        <v>34.6</v>
      </c>
      <c r="L9" s="27">
        <f>SUM(K9)+1.6</f>
        <v>36.200000000000003</v>
      </c>
      <c r="M9" s="62">
        <f>SUM(L9)+1.6</f>
        <v>37.800000000000004</v>
      </c>
      <c r="N9" s="1" t="s">
        <v>162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14.899999999999999</v>
      </c>
      <c r="I11" s="27">
        <f>SUM(J11)-0.8</f>
        <v>15.7</v>
      </c>
      <c r="J11" s="125">
        <v>16.5</v>
      </c>
      <c r="K11" s="114">
        <f>SUM(J11)+0.8</f>
        <v>17.3</v>
      </c>
      <c r="L11" s="114">
        <f t="shared" ref="L11:M11" si="2">SUM(K11)+0.8</f>
        <v>18.100000000000001</v>
      </c>
      <c r="M11" s="162">
        <f t="shared" si="2"/>
        <v>18.900000000000002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14.8</v>
      </c>
      <c r="I13" s="27">
        <f>SUM(J13)-0.6</f>
        <v>15.4</v>
      </c>
      <c r="J13" s="125">
        <v>16</v>
      </c>
      <c r="K13" s="114">
        <f>SUM(J13)+0.6</f>
        <v>16.600000000000001</v>
      </c>
      <c r="L13" s="114">
        <f>SUM(K13)+0.6</f>
        <v>17.200000000000003</v>
      </c>
      <c r="M13" s="162">
        <f>SUM(L13)+0.6</f>
        <v>17.800000000000004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6.4</v>
      </c>
      <c r="I15" s="27">
        <f>SUM(J15)-0.3</f>
        <v>6.7</v>
      </c>
      <c r="J15" s="125">
        <v>7</v>
      </c>
      <c r="K15" s="114">
        <f>SUM(J15)+0.3</f>
        <v>7.3</v>
      </c>
      <c r="L15" s="114">
        <f>SUM(K15)+0.3</f>
        <v>7.6</v>
      </c>
      <c r="M15" s="162">
        <f>SUM(L15)+0.3</f>
        <v>7.8999999999999995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37.799999999999997</v>
      </c>
      <c r="I17" s="27">
        <f>SUM(J17)-1.6</f>
        <v>39.4</v>
      </c>
      <c r="J17" s="125">
        <v>41</v>
      </c>
      <c r="K17" s="114">
        <f>SUM(J17)+1.6</f>
        <v>42.6</v>
      </c>
      <c r="L17" s="114">
        <f>SUM(K17)+1.6</f>
        <v>44.2</v>
      </c>
      <c r="M17" s="162">
        <f>SUM(L17)+1.6</f>
        <v>45.800000000000004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SUM(I19)-3.5</f>
        <v>29</v>
      </c>
      <c r="I19" s="27">
        <f>SUM(J19)-3.5</f>
        <v>32.5</v>
      </c>
      <c r="J19" s="125">
        <v>36</v>
      </c>
      <c r="K19" s="114">
        <f>SUM(J19)+3.6</f>
        <v>39.6</v>
      </c>
      <c r="L19" s="114">
        <f t="shared" ref="L19:M19" si="3">SUM(K19)+3.6</f>
        <v>43.2</v>
      </c>
      <c r="M19" s="162">
        <f t="shared" si="3"/>
        <v>46.800000000000004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28.799999999999997</v>
      </c>
      <c r="I21" s="27">
        <f>SUM(J21)-1.6</f>
        <v>30.4</v>
      </c>
      <c r="J21" s="125">
        <v>32</v>
      </c>
      <c r="K21" s="114">
        <f>SUM(J21)+1.6</f>
        <v>33.6</v>
      </c>
      <c r="L21" s="114">
        <f t="shared" ref="L21:M21" si="4">SUM(K21)+1.6</f>
        <v>35.200000000000003</v>
      </c>
      <c r="M21" s="162">
        <f t="shared" si="4"/>
        <v>36.800000000000004</v>
      </c>
    </row>
    <row r="22" spans="1:13" s="1" customFormat="1" ht="14.1" customHeight="1">
      <c r="A22" s="122"/>
      <c r="B22" s="75" t="s">
        <v>30</v>
      </c>
      <c r="C22" s="75"/>
      <c r="D22" s="79" t="s">
        <v>412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 t="shared" ref="L23:M23" si="5">SUM(K23)+0.6</f>
        <v>16.399999999999999</v>
      </c>
      <c r="M23" s="162">
        <f t="shared" si="5"/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36" t="s">
        <v>114</v>
      </c>
      <c r="C25" s="37"/>
      <c r="D25" s="124"/>
      <c r="E25" s="124"/>
      <c r="F25" s="124"/>
      <c r="G25" s="124"/>
      <c r="H25" s="27">
        <f>SUM(I25)-0.3</f>
        <v>4.4000000000000004</v>
      </c>
      <c r="I25" s="27">
        <f>SUM(J25)-0.3</f>
        <v>4.7</v>
      </c>
      <c r="J25" s="41">
        <v>5</v>
      </c>
      <c r="K25" s="27">
        <f>SUM(J25)+0.3</f>
        <v>5.3</v>
      </c>
      <c r="L25" s="27">
        <f>SUM(K25)+0.3</f>
        <v>5.6</v>
      </c>
      <c r="M25" s="62">
        <f>SUM(L25)+0.3</f>
        <v>5.8999999999999995</v>
      </c>
    </row>
    <row r="26" spans="1:13" s="1" customFormat="1" ht="14.1" customHeight="1">
      <c r="A26" s="122"/>
      <c r="B26" s="127" t="s">
        <v>122</v>
      </c>
      <c r="C26" s="128"/>
      <c r="D26" s="79" t="s">
        <v>216</v>
      </c>
      <c r="E26" s="80"/>
      <c r="F26" s="80"/>
      <c r="G26" s="81"/>
      <c r="H26" s="46"/>
      <c r="I26" s="46"/>
      <c r="J26" s="44"/>
      <c r="K26" s="46"/>
      <c r="L26" s="46"/>
      <c r="M26" s="48"/>
    </row>
    <row r="27" spans="1:13" s="1" customFormat="1" ht="14.1" customHeight="1">
      <c r="A27" s="122">
        <v>13</v>
      </c>
      <c r="B27" s="36"/>
      <c r="C27" s="37"/>
      <c r="D27" s="124"/>
      <c r="E27" s="124"/>
      <c r="F27" s="124"/>
      <c r="G27" s="124"/>
      <c r="H27" s="27"/>
      <c r="I27" s="27"/>
      <c r="J27" s="41"/>
      <c r="K27" s="27"/>
      <c r="L27" s="27"/>
      <c r="M27" s="62"/>
    </row>
    <row r="28" spans="1:13" s="1" customFormat="1" ht="14.1" customHeight="1">
      <c r="A28" s="122"/>
      <c r="B28" s="127"/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8"/>
    </row>
    <row r="29" spans="1:13" s="1" customFormat="1" ht="14.1" customHeight="1">
      <c r="A29" s="122">
        <v>14</v>
      </c>
      <c r="B29" s="36"/>
      <c r="C29" s="37"/>
      <c r="D29" s="129"/>
      <c r="E29" s="130"/>
      <c r="F29" s="130"/>
      <c r="G29" s="131"/>
      <c r="H29" s="27"/>
      <c r="I29" s="27"/>
      <c r="J29" s="41"/>
      <c r="K29" s="27"/>
      <c r="L29" s="27"/>
      <c r="M29" s="62"/>
    </row>
    <row r="30" spans="1:13" s="1" customFormat="1" ht="14.1" customHeight="1">
      <c r="A30" s="122"/>
      <c r="B30" s="127"/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8"/>
    </row>
    <row r="31" spans="1:13" ht="14.1" customHeight="1">
      <c r="A31" s="122">
        <v>15</v>
      </c>
      <c r="B31" s="133"/>
      <c r="C31" s="134"/>
      <c r="D31" s="135"/>
      <c r="E31" s="136"/>
      <c r="F31" s="136"/>
      <c r="G31" s="137"/>
      <c r="H31" s="27"/>
      <c r="I31" s="27"/>
      <c r="J31" s="41"/>
      <c r="K31" s="27"/>
      <c r="L31" s="27"/>
      <c r="M31" s="62"/>
    </row>
    <row r="32" spans="1:13" ht="14.1" customHeight="1" thickBot="1">
      <c r="A32" s="123"/>
      <c r="B32" s="143"/>
      <c r="C32" s="144"/>
      <c r="D32" s="119"/>
      <c r="E32" s="120"/>
      <c r="F32" s="120"/>
      <c r="G32" s="121"/>
      <c r="H32" s="28"/>
      <c r="I32" s="28"/>
      <c r="J32" s="42"/>
      <c r="K32" s="28"/>
      <c r="L32" s="28"/>
      <c r="M32" s="160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606C-DF8C-48A4-B43B-2095B6E23051}">
  <sheetPr codeName="Sheet81">
    <tabColor theme="5"/>
    <pageSetUpPr fitToPage="1"/>
  </sheetPr>
  <dimension ref="A1:R51"/>
  <sheetViews>
    <sheetView zoomScale="110" zoomScaleNormal="110" workbookViewId="0">
      <selection sqref="A1:M38"/>
    </sheetView>
  </sheetViews>
  <sheetFormatPr defaultColWidth="8.75" defaultRowHeight="16.5"/>
  <cols>
    <col min="1" max="1" width="3" bestFit="1" customWidth="1"/>
    <col min="2" max="3" width="8.75" customWidth="1"/>
    <col min="4" max="7" width="8.125" customWidth="1"/>
    <col min="8" max="14" width="5.5" customWidth="1"/>
  </cols>
  <sheetData>
    <row r="1" spans="1:18" ht="16.5" customHeight="1" thickBot="1">
      <c r="A1" s="85" t="s">
        <v>563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23"/>
    </row>
    <row r="2" spans="1:18" ht="16.5" customHeight="1" thickBot="1">
      <c r="A2" s="2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645</v>
      </c>
      <c r="I2" s="6" t="s">
        <v>60</v>
      </c>
      <c r="J2" s="6" t="s">
        <v>61</v>
      </c>
      <c r="K2" s="5" t="s">
        <v>62</v>
      </c>
      <c r="L2" s="6" t="s">
        <v>63</v>
      </c>
      <c r="M2" s="6" t="s">
        <v>125</v>
      </c>
    </row>
    <row r="3" spans="1:18" s="1" customFormat="1" ht="14.1" customHeight="1">
      <c r="A3" s="165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34.5</v>
      </c>
      <c r="I3" s="27">
        <f>SUM(J3)-3.5</f>
        <v>38</v>
      </c>
      <c r="J3" s="27">
        <f>SUM(K3)-3.5</f>
        <v>41.5</v>
      </c>
      <c r="K3" s="139">
        <v>45</v>
      </c>
      <c r="L3" s="140">
        <f>SUM(K3)+3</f>
        <v>48</v>
      </c>
      <c r="M3" s="141">
        <f t="shared" ref="M3" si="0">SUM(L3)+3</f>
        <v>51</v>
      </c>
    </row>
    <row r="4" spans="1:18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6"/>
      <c r="K4" s="41"/>
      <c r="L4" s="27"/>
      <c r="M4" s="29"/>
    </row>
    <row r="5" spans="1:18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36.499999999999993</v>
      </c>
      <c r="I5" s="27">
        <f>SUM(J5)-2.2</f>
        <v>38.699999999999996</v>
      </c>
      <c r="J5" s="27">
        <f>SUM(K5)-2.2</f>
        <v>40.9</v>
      </c>
      <c r="K5" s="41">
        <v>43.1</v>
      </c>
      <c r="L5" s="27">
        <f>SUM(K5)+2</f>
        <v>45.1</v>
      </c>
      <c r="M5" s="29">
        <f t="shared" ref="M5" si="1">SUM(L5)+2</f>
        <v>47.1</v>
      </c>
    </row>
    <row r="6" spans="1:18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6"/>
      <c r="K6" s="44"/>
      <c r="L6" s="46"/>
      <c r="M6" s="132"/>
    </row>
    <row r="7" spans="1:18" s="1" customFormat="1" ht="14.1" customHeight="1">
      <c r="A7" s="122">
        <v>3</v>
      </c>
      <c r="B7" s="36" t="s">
        <v>35</v>
      </c>
      <c r="C7" s="37"/>
      <c r="D7" s="76" t="s">
        <v>186</v>
      </c>
      <c r="E7" s="77"/>
      <c r="F7" s="77"/>
      <c r="G7" s="78"/>
      <c r="H7" s="27">
        <f>SUM(I7)-2.25</f>
        <v>38.25</v>
      </c>
      <c r="I7" s="27">
        <f>SUM(J7)-2.25</f>
        <v>40.5</v>
      </c>
      <c r="J7" s="27">
        <f>SUM(K7)-2.25</f>
        <v>42.75</v>
      </c>
      <c r="K7" s="41">
        <v>45</v>
      </c>
      <c r="L7" s="27">
        <f>SUM(K7)+2</f>
        <v>47</v>
      </c>
      <c r="M7" s="29">
        <f>SUM(L7)+2</f>
        <v>49</v>
      </c>
    </row>
    <row r="8" spans="1:18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6"/>
      <c r="K8" s="44"/>
      <c r="L8" s="46"/>
      <c r="M8" s="132"/>
    </row>
    <row r="9" spans="1:18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28.6</v>
      </c>
      <c r="I9" s="27">
        <f>SUM(J9)-1.8</f>
        <v>30.400000000000002</v>
      </c>
      <c r="J9" s="27">
        <f>SUM(K9)-1.8</f>
        <v>32.200000000000003</v>
      </c>
      <c r="K9" s="41">
        <v>34</v>
      </c>
      <c r="L9" s="27">
        <f>SUM(K9)+1.6</f>
        <v>35.6</v>
      </c>
      <c r="M9" s="29">
        <f t="shared" ref="M9" si="2">SUM(L9)+1.6</f>
        <v>37.200000000000003</v>
      </c>
    </row>
    <row r="10" spans="1:18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6"/>
      <c r="K10" s="44"/>
      <c r="L10" s="46"/>
      <c r="M10" s="132"/>
    </row>
    <row r="11" spans="1:18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15.099999999999998</v>
      </c>
      <c r="I11" s="27">
        <f>SUM(J11)-0.8</f>
        <v>15.899999999999999</v>
      </c>
      <c r="J11" s="27">
        <f>SUM(K11)-0.8</f>
        <v>16.7</v>
      </c>
      <c r="K11" s="125">
        <v>17.5</v>
      </c>
      <c r="L11" s="114">
        <f>SUM(K11)+0.8</f>
        <v>18.3</v>
      </c>
      <c r="M11" s="116">
        <f t="shared" ref="M11" si="3">SUM(L11)+0.8</f>
        <v>19.100000000000001</v>
      </c>
    </row>
    <row r="12" spans="1:18" s="1" customFormat="1" ht="14.1" customHeight="1" thickBo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46"/>
      <c r="K12" s="125"/>
      <c r="L12" s="114"/>
      <c r="M12" s="116"/>
    </row>
    <row r="13" spans="1:18" s="1" customFormat="1" ht="14.1" customHeight="1" thickTop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</f>
        <v>16.299999999999997</v>
      </c>
      <c r="I13" s="27">
        <f>SUM(J13)-0.6</f>
        <v>16.299999999999997</v>
      </c>
      <c r="J13" s="27">
        <f>SUM(K13)-0.6</f>
        <v>16.899999999999999</v>
      </c>
      <c r="K13" s="125">
        <v>17.5</v>
      </c>
      <c r="L13" s="114">
        <f>SUM(K13)+0.6</f>
        <v>18.100000000000001</v>
      </c>
      <c r="M13" s="116">
        <f>SUM(L13)+0.6</f>
        <v>18.700000000000003</v>
      </c>
      <c r="R13" s="7" t="s">
        <v>564</v>
      </c>
    </row>
    <row r="14" spans="1:18" s="1" customFormat="1" ht="14.1" customHeight="1">
      <c r="A14" s="122"/>
      <c r="B14" s="75" t="s">
        <v>27</v>
      </c>
      <c r="C14" s="75"/>
      <c r="D14" s="79" t="s">
        <v>136</v>
      </c>
      <c r="E14" s="80"/>
      <c r="F14" s="80"/>
      <c r="G14" s="81"/>
      <c r="H14" s="46"/>
      <c r="I14" s="46"/>
      <c r="J14" s="46"/>
      <c r="K14" s="125"/>
      <c r="L14" s="114"/>
      <c r="M14" s="116"/>
      <c r="R14" s="8">
        <f>SUM(H29+H29+I29+I29+J29+J29+K29+K29+L29+L29)</f>
        <v>96.999999999999986</v>
      </c>
    </row>
    <row r="15" spans="1:18" s="1" customFormat="1" ht="14.1" customHeight="1" thickBo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</f>
        <v>6.6000000000000005</v>
      </c>
      <c r="I15" s="27">
        <f>SUM(J15)-0.3</f>
        <v>6.6000000000000005</v>
      </c>
      <c r="J15" s="27">
        <f>SUM(K15)-0.3</f>
        <v>6.9</v>
      </c>
      <c r="K15" s="125">
        <v>7.2</v>
      </c>
      <c r="L15" s="114">
        <f>SUM(K15)+0.3</f>
        <v>7.5</v>
      </c>
      <c r="M15" s="116">
        <f>SUM(L15)+0.3</f>
        <v>7.8</v>
      </c>
      <c r="R15" s="9">
        <f>SUM(R14/91.44/5*1.08)</f>
        <v>0.22913385826771654</v>
      </c>
    </row>
    <row r="16" spans="1:18" s="1" customFormat="1" ht="14.1" customHeight="1" thickTop="1">
      <c r="A16" s="122"/>
      <c r="B16" s="75" t="s">
        <v>28</v>
      </c>
      <c r="C16" s="75"/>
      <c r="D16" s="79" t="s">
        <v>164</v>
      </c>
      <c r="E16" s="80"/>
      <c r="F16" s="80"/>
      <c r="G16" s="81"/>
      <c r="H16" s="46"/>
      <c r="I16" s="46"/>
      <c r="J16" s="46"/>
      <c r="K16" s="125"/>
      <c r="L16" s="114"/>
      <c r="M16" s="116"/>
    </row>
    <row r="17" spans="1:13" s="1" customFormat="1" ht="14.1" customHeight="1">
      <c r="A17" s="122">
        <v>8</v>
      </c>
      <c r="B17" s="36" t="s">
        <v>70</v>
      </c>
      <c r="C17" s="37"/>
      <c r="D17" s="76" t="s">
        <v>211</v>
      </c>
      <c r="E17" s="77"/>
      <c r="F17" s="77"/>
      <c r="G17" s="78"/>
      <c r="H17" s="27">
        <f>SUM(I17)</f>
        <v>41.199999999999996</v>
      </c>
      <c r="I17" s="27">
        <f>SUM(J17)-1.6</f>
        <v>41.199999999999996</v>
      </c>
      <c r="J17" s="27">
        <f>SUM(K17)-1.6</f>
        <v>42.8</v>
      </c>
      <c r="K17" s="125">
        <v>44.4</v>
      </c>
      <c r="L17" s="114">
        <f>SUM(K17)+1.6</f>
        <v>46</v>
      </c>
      <c r="M17" s="116">
        <f>SUM(L17)+1.6</f>
        <v>47.6</v>
      </c>
    </row>
    <row r="18" spans="1:13" s="1" customFormat="1" ht="14.1" customHeight="1">
      <c r="A18" s="122"/>
      <c r="B18" s="75" t="s">
        <v>33</v>
      </c>
      <c r="C18" s="75"/>
      <c r="D18" s="79" t="s">
        <v>74</v>
      </c>
      <c r="E18" s="80"/>
      <c r="F18" s="80"/>
      <c r="G18" s="81"/>
      <c r="H18" s="46"/>
      <c r="I18" s="46"/>
      <c r="J18" s="46"/>
      <c r="K18" s="125"/>
      <c r="L18" s="114"/>
      <c r="M18" s="116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22.300000000000004</v>
      </c>
      <c r="I19" s="27">
        <f>SUM(J19)-3.4</f>
        <v>25.700000000000003</v>
      </c>
      <c r="J19" s="27">
        <f>SUM(K19)-3.4</f>
        <v>29.1</v>
      </c>
      <c r="K19" s="125">
        <v>32.5</v>
      </c>
      <c r="L19" s="114">
        <f>SUM(K19)+3.5</f>
        <v>36</v>
      </c>
      <c r="M19" s="116">
        <f t="shared" ref="M19" si="4">SUM(L19)+3.5</f>
        <v>39.5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46"/>
      <c r="K20" s="125"/>
      <c r="L20" s="114"/>
      <c r="M20" s="116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29.599999999999994</v>
      </c>
      <c r="I21" s="27">
        <f>SUM(J21)-1.6</f>
        <v>31.199999999999996</v>
      </c>
      <c r="J21" s="27">
        <f>SUM(K21)-1.6</f>
        <v>32.799999999999997</v>
      </c>
      <c r="K21" s="125">
        <v>34.4</v>
      </c>
      <c r="L21" s="114">
        <f>SUM(K21)+1.6</f>
        <v>36</v>
      </c>
      <c r="M21" s="116">
        <f t="shared" ref="M21" si="5">SUM(L21)+1.6</f>
        <v>37.6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46"/>
      <c r="K22" s="125"/>
      <c r="L22" s="114"/>
      <c r="M22" s="116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13.600000000000001</v>
      </c>
      <c r="I23" s="27">
        <f>SUM(J23)-0.6</f>
        <v>14.200000000000001</v>
      </c>
      <c r="J23" s="27">
        <f>SUM(K23)-0.6</f>
        <v>14.8</v>
      </c>
      <c r="K23" s="125">
        <v>15.4</v>
      </c>
      <c r="L23" s="114">
        <f>SUM(K23)+0.6</f>
        <v>16</v>
      </c>
      <c r="M23" s="116">
        <f>SUM(L23)+0.6</f>
        <v>16.600000000000001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46"/>
      <c r="K24" s="125"/>
      <c r="L24" s="114"/>
      <c r="M24" s="116"/>
    </row>
    <row r="25" spans="1:13" s="1" customFormat="1" ht="14.1" customHeight="1">
      <c r="A25" s="122">
        <v>12</v>
      </c>
      <c r="B25" s="36" t="s">
        <v>172</v>
      </c>
      <c r="C25" s="37"/>
      <c r="D25" s="227" t="s">
        <v>565</v>
      </c>
      <c r="E25" s="124"/>
      <c r="F25" s="124"/>
      <c r="G25" s="124"/>
      <c r="H25" s="27">
        <f>SUM(I25)-2</f>
        <v>22</v>
      </c>
      <c r="I25" s="27">
        <f>SUM(J25)-2</f>
        <v>24</v>
      </c>
      <c r="J25" s="27">
        <f>SUM(K25)-2</f>
        <v>26</v>
      </c>
      <c r="K25" s="41">
        <v>28</v>
      </c>
      <c r="L25" s="114">
        <f>SUM(K25)+2</f>
        <v>30</v>
      </c>
      <c r="M25" s="116">
        <f t="shared" ref="M25" si="6">SUM(L25)+2</f>
        <v>32</v>
      </c>
    </row>
    <row r="26" spans="1:13" s="1" customFormat="1" ht="14.1" customHeight="1">
      <c r="A26" s="122"/>
      <c r="B26" s="127" t="s">
        <v>173</v>
      </c>
      <c r="C26" s="128"/>
      <c r="D26" s="79" t="s">
        <v>198</v>
      </c>
      <c r="E26" s="80"/>
      <c r="F26" s="80"/>
      <c r="G26" s="81"/>
      <c r="H26" s="46"/>
      <c r="I26" s="46"/>
      <c r="J26" s="46"/>
      <c r="K26" s="44"/>
      <c r="L26" s="114"/>
      <c r="M26" s="116"/>
    </row>
    <row r="27" spans="1:13" s="1" customFormat="1" ht="14.1" customHeight="1">
      <c r="A27" s="122">
        <v>13</v>
      </c>
      <c r="B27" s="36" t="s">
        <v>174</v>
      </c>
      <c r="C27" s="37"/>
      <c r="D27" s="77"/>
      <c r="E27" s="77"/>
      <c r="F27" s="77"/>
      <c r="G27" s="78"/>
      <c r="H27" s="27">
        <f>SUM(I27)-1</f>
        <v>11.5</v>
      </c>
      <c r="I27" s="27">
        <f>SUM(J27)-1</f>
        <v>12.5</v>
      </c>
      <c r="J27" s="27">
        <f>SUM(K27)-1</f>
        <v>13.5</v>
      </c>
      <c r="K27" s="125">
        <v>14.5</v>
      </c>
      <c r="L27" s="114">
        <f>SUM(K27)+1</f>
        <v>15.5</v>
      </c>
      <c r="M27" s="116">
        <f t="shared" ref="M27" si="7">SUM(L27)+1</f>
        <v>16.5</v>
      </c>
    </row>
    <row r="28" spans="1:13" s="1" customFormat="1" ht="14.1" customHeight="1">
      <c r="A28" s="122"/>
      <c r="B28" s="127" t="s">
        <v>175</v>
      </c>
      <c r="C28" s="128"/>
      <c r="D28" s="79"/>
      <c r="E28" s="80"/>
      <c r="F28" s="80"/>
      <c r="G28" s="81"/>
      <c r="H28" s="46"/>
      <c r="I28" s="46"/>
      <c r="J28" s="46"/>
      <c r="K28" s="41"/>
      <c r="L28" s="114"/>
      <c r="M28" s="116"/>
    </row>
    <row r="29" spans="1:13" s="1" customFormat="1" ht="14.1" customHeight="1">
      <c r="A29" s="122">
        <v>14</v>
      </c>
      <c r="B29" s="36" t="s">
        <v>566</v>
      </c>
      <c r="C29" s="37"/>
      <c r="D29" s="76"/>
      <c r="E29" s="77"/>
      <c r="F29" s="77"/>
      <c r="G29" s="78"/>
      <c r="H29" s="27">
        <f>SUM(I29)-0.8</f>
        <v>8.0999999999999979</v>
      </c>
      <c r="I29" s="27">
        <f>SUM(J29)-0.8</f>
        <v>8.8999999999999986</v>
      </c>
      <c r="J29" s="27">
        <f>SUM(K29)-0.8</f>
        <v>9.6999999999999993</v>
      </c>
      <c r="K29" s="125">
        <v>10.5</v>
      </c>
      <c r="L29" s="114">
        <f>SUM(K29)+0.8</f>
        <v>11.3</v>
      </c>
      <c r="M29" s="116">
        <f t="shared" ref="M29" si="8">SUM(L29)+0.8</f>
        <v>12.100000000000001</v>
      </c>
    </row>
    <row r="30" spans="1:13" s="1" customFormat="1" ht="14.1" customHeight="1">
      <c r="A30" s="122"/>
      <c r="B30" s="127" t="s">
        <v>567</v>
      </c>
      <c r="C30" s="128"/>
      <c r="D30" s="79" t="s">
        <v>420</v>
      </c>
      <c r="E30" s="80"/>
      <c r="F30" s="80"/>
      <c r="G30" s="81"/>
      <c r="H30" s="46"/>
      <c r="I30" s="46"/>
      <c r="J30" s="46"/>
      <c r="K30" s="125"/>
      <c r="L30" s="114"/>
      <c r="M30" s="116"/>
    </row>
    <row r="31" spans="1:13" s="1" customFormat="1" ht="14.1" customHeight="1">
      <c r="A31" s="122">
        <v>15</v>
      </c>
      <c r="B31" s="98" t="s">
        <v>151</v>
      </c>
      <c r="C31" s="98"/>
      <c r="D31" s="76" t="s">
        <v>568</v>
      </c>
      <c r="E31" s="77"/>
      <c r="F31" s="77"/>
      <c r="G31" s="78"/>
      <c r="H31" s="27">
        <f>SUM(I31)</f>
        <v>30.1</v>
      </c>
      <c r="I31" s="27">
        <f>SUM(J31)-1</f>
        <v>30.1</v>
      </c>
      <c r="J31" s="27">
        <f>SUM(K31)-1</f>
        <v>31.1</v>
      </c>
      <c r="K31" s="125">
        <v>32.1</v>
      </c>
      <c r="L31" s="114">
        <f>SUM(K31)+1</f>
        <v>33.1</v>
      </c>
      <c r="M31" s="116">
        <f>SUM(L31)+1</f>
        <v>34.1</v>
      </c>
    </row>
    <row r="32" spans="1:13" s="1" customFormat="1" ht="14.1" customHeight="1">
      <c r="A32" s="122"/>
      <c r="B32" s="75" t="s">
        <v>153</v>
      </c>
      <c r="C32" s="75"/>
      <c r="D32" s="79" t="s">
        <v>154</v>
      </c>
      <c r="E32" s="80"/>
      <c r="F32" s="80"/>
      <c r="G32" s="81"/>
      <c r="H32" s="46"/>
      <c r="I32" s="46"/>
      <c r="J32" s="46"/>
      <c r="K32" s="125"/>
      <c r="L32" s="114"/>
      <c r="M32" s="116"/>
    </row>
    <row r="33" spans="1:14" s="1" customFormat="1" ht="14.1" customHeight="1">
      <c r="A33" s="122">
        <v>16</v>
      </c>
      <c r="B33" s="98" t="s">
        <v>155</v>
      </c>
      <c r="C33" s="98"/>
      <c r="D33" s="76" t="s">
        <v>156</v>
      </c>
      <c r="E33" s="77"/>
      <c r="F33" s="77"/>
      <c r="G33" s="78"/>
      <c r="H33" s="27">
        <f>SUM(I33)</f>
        <v>18.899999999999999</v>
      </c>
      <c r="I33" s="27">
        <f>SUM(J33)-0.8</f>
        <v>18.899999999999999</v>
      </c>
      <c r="J33" s="27">
        <f>SUM(K33)-0.8</f>
        <v>19.7</v>
      </c>
      <c r="K33" s="125">
        <v>20.5</v>
      </c>
      <c r="L33" s="114">
        <f>SUM(K33)+0.8</f>
        <v>21.3</v>
      </c>
      <c r="M33" s="116">
        <f>SUM(L33)+0.8</f>
        <v>22.1</v>
      </c>
    </row>
    <row r="34" spans="1:14" s="1" customFormat="1" ht="14.1" customHeight="1">
      <c r="A34" s="122"/>
      <c r="B34" s="75" t="s">
        <v>157</v>
      </c>
      <c r="C34" s="75"/>
      <c r="D34" s="79" t="s">
        <v>569</v>
      </c>
      <c r="E34" s="80"/>
      <c r="F34" s="80"/>
      <c r="G34" s="81"/>
      <c r="H34" s="46"/>
      <c r="I34" s="46"/>
      <c r="J34" s="46"/>
      <c r="K34" s="125"/>
      <c r="L34" s="114"/>
      <c r="M34" s="116"/>
    </row>
    <row r="35" spans="1:14" s="1" customFormat="1" ht="14.1" customHeight="1">
      <c r="A35" s="122">
        <v>17</v>
      </c>
      <c r="B35" s="36" t="s">
        <v>114</v>
      </c>
      <c r="C35" s="37"/>
      <c r="D35" s="124"/>
      <c r="E35" s="124"/>
      <c r="F35" s="124"/>
      <c r="G35" s="124"/>
      <c r="H35" s="27">
        <f>SUM(I35)-0.2</f>
        <v>3.3999999999999995</v>
      </c>
      <c r="I35" s="27">
        <f>SUM(J35)-0.2</f>
        <v>3.5999999999999996</v>
      </c>
      <c r="J35" s="27">
        <f>SUM(K35)-0.2</f>
        <v>3.8</v>
      </c>
      <c r="K35" s="41">
        <v>4</v>
      </c>
      <c r="L35" s="27">
        <f>SUM(K35)+0.2</f>
        <v>4.2</v>
      </c>
      <c r="M35" s="29">
        <f t="shared" ref="M35" si="9">SUM(L35)+0.2</f>
        <v>4.4000000000000004</v>
      </c>
    </row>
    <row r="36" spans="1:14" ht="14.1" customHeight="1">
      <c r="A36" s="122"/>
      <c r="B36" s="127" t="s">
        <v>122</v>
      </c>
      <c r="C36" s="128"/>
      <c r="D36" s="79" t="s">
        <v>216</v>
      </c>
      <c r="E36" s="80"/>
      <c r="F36" s="80"/>
      <c r="G36" s="81"/>
      <c r="H36" s="46"/>
      <c r="I36" s="46"/>
      <c r="J36" s="46"/>
      <c r="K36" s="44"/>
      <c r="L36" s="46"/>
      <c r="M36" s="132"/>
    </row>
    <row r="37" spans="1:14" ht="14.1" customHeight="1">
      <c r="A37" s="122">
        <v>18</v>
      </c>
      <c r="B37" s="133"/>
      <c r="C37" s="134"/>
      <c r="D37" s="103"/>
      <c r="E37" s="103"/>
      <c r="F37" s="103"/>
      <c r="G37" s="103"/>
      <c r="H37" s="27"/>
      <c r="I37" s="27"/>
      <c r="J37" s="27"/>
      <c r="K37" s="125"/>
      <c r="L37" s="114"/>
      <c r="M37" s="116"/>
    </row>
    <row r="38" spans="1:14" ht="14.1" customHeight="1" thickBot="1">
      <c r="A38" s="123"/>
      <c r="B38" s="118"/>
      <c r="C38" s="118"/>
      <c r="D38" s="119"/>
      <c r="E38" s="120"/>
      <c r="F38" s="120"/>
      <c r="G38" s="121"/>
      <c r="H38" s="28"/>
      <c r="I38" s="28"/>
      <c r="J38" s="28"/>
      <c r="K38" s="126"/>
      <c r="L38" s="115"/>
      <c r="M38" s="117"/>
    </row>
    <row r="39" spans="1:14" ht="14.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4" ht="14.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4" ht="14.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4" ht="14.1" customHeight="1"/>
    <row r="43" spans="1:14" ht="14.1" customHeight="1">
      <c r="N43" s="1"/>
    </row>
    <row r="44" spans="1:14" ht="14.1" customHeight="1">
      <c r="N44" s="1"/>
    </row>
    <row r="45" spans="1:14" ht="14.1" customHeight="1">
      <c r="N45" s="1"/>
    </row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01">
    <mergeCell ref="L37:L38"/>
    <mergeCell ref="M37:M38"/>
    <mergeCell ref="B38:C38"/>
    <mergeCell ref="D38:G38"/>
    <mergeCell ref="A37:A38"/>
    <mergeCell ref="B37:C37"/>
    <mergeCell ref="D37:G37"/>
    <mergeCell ref="I37:I38"/>
    <mergeCell ref="J37:J38"/>
    <mergeCell ref="K37:K38"/>
    <mergeCell ref="H37:H38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EB9A-FD6A-4F7C-BD6B-48C850ADCB98}">
  <sheetPr codeName="Sheet82">
    <tabColor theme="5"/>
    <pageSetUpPr fitToPage="1"/>
  </sheetPr>
  <dimension ref="A1:N51"/>
  <sheetViews>
    <sheetView zoomScale="110" zoomScaleNormal="110" workbookViewId="0">
      <selection activeCell="M3" sqref="M3:M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570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13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24" t="s">
        <v>60</v>
      </c>
      <c r="I2" s="24" t="s">
        <v>61</v>
      </c>
      <c r="J2" s="25" t="s">
        <v>62</v>
      </c>
      <c r="K2" s="24" t="s">
        <v>63</v>
      </c>
      <c r="L2" s="24" t="s">
        <v>125</v>
      </c>
      <c r="M2" s="24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96">
        <f>SUM(I3)-2.8</f>
        <v>28.4</v>
      </c>
      <c r="I3" s="96">
        <f>SUM(J3)-2.8</f>
        <v>31.2</v>
      </c>
      <c r="J3" s="139">
        <v>34</v>
      </c>
      <c r="K3" s="140">
        <f>SUM(J3)+2.4</f>
        <v>36.4</v>
      </c>
      <c r="L3" s="140">
        <f t="shared" ref="L3:M3" si="0">SUM(K3)+2.4</f>
        <v>38.799999999999997</v>
      </c>
      <c r="M3" s="166">
        <f t="shared" si="0"/>
        <v>41.199999999999996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125"/>
      <c r="K4" s="114"/>
      <c r="L4" s="114"/>
      <c r="M4" s="162"/>
    </row>
    <row r="5" spans="1:14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38.599999999999994</v>
      </c>
      <c r="I5" s="27">
        <f>SUM(J5)-2.2</f>
        <v>40.799999999999997</v>
      </c>
      <c r="J5" s="41">
        <v>43</v>
      </c>
      <c r="K5" s="27">
        <f>SUM(J5)+2</f>
        <v>45</v>
      </c>
      <c r="L5" s="27">
        <f t="shared" ref="L5:M5" si="1">SUM(K5)+2</f>
        <v>47</v>
      </c>
      <c r="M5" s="62">
        <f t="shared" si="1"/>
        <v>49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8"/>
    </row>
    <row r="7" spans="1:14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105">
        <f>SUM(I7)-2.25</f>
        <v>37.5</v>
      </c>
      <c r="I7" s="27">
        <f>SUM(J7)-2.25</f>
        <v>39.75</v>
      </c>
      <c r="J7" s="41">
        <v>42</v>
      </c>
      <c r="K7" s="27">
        <f>SUM(J7)+2</f>
        <v>44</v>
      </c>
      <c r="L7" s="27">
        <f>SUM(K7)+2</f>
        <v>46</v>
      </c>
      <c r="M7" s="62">
        <f>SUM(L7)+2</f>
        <v>48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10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SUM(I9)-2.25</f>
        <v>35.5</v>
      </c>
      <c r="I9" s="27">
        <f>SUM(J9)-2.25</f>
        <v>37.75</v>
      </c>
      <c r="J9" s="41">
        <v>40</v>
      </c>
      <c r="K9" s="27">
        <f>SUM(J9)+2</f>
        <v>42</v>
      </c>
      <c r="L9" s="27">
        <f t="shared" ref="L9:M9" si="2">SUM(K9)+2</f>
        <v>44</v>
      </c>
      <c r="M9" s="62">
        <f t="shared" si="2"/>
        <v>46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15.399999999999999</v>
      </c>
      <c r="I11" s="27">
        <f>SUM(J11)-0.8</f>
        <v>16.2</v>
      </c>
      <c r="J11" s="125">
        <v>17</v>
      </c>
      <c r="K11" s="114">
        <f>SUM(J11)+0.8</f>
        <v>17.8</v>
      </c>
      <c r="L11" s="114">
        <f t="shared" ref="L11:M11" si="3">SUM(K11)+0.8</f>
        <v>18.600000000000001</v>
      </c>
      <c r="M11" s="162">
        <f t="shared" si="3"/>
        <v>19.400000000000002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4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15.3</v>
      </c>
      <c r="I13" s="27">
        <f>SUM(J13)-0.6</f>
        <v>15.9</v>
      </c>
      <c r="J13" s="125">
        <v>16.5</v>
      </c>
      <c r="K13" s="114">
        <f>SUM(J13)+0.6</f>
        <v>17.100000000000001</v>
      </c>
      <c r="L13" s="114">
        <f>SUM(K13)+0.6</f>
        <v>17.700000000000003</v>
      </c>
      <c r="M13" s="162">
        <f t="shared" ref="M13" si="4">SUM(L13)+0.6</f>
        <v>18.300000000000004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6.6000000000000005</v>
      </c>
      <c r="I15" s="27">
        <f>SUM(J15)-0.3</f>
        <v>6.9</v>
      </c>
      <c r="J15" s="125">
        <v>7.2</v>
      </c>
      <c r="K15" s="114">
        <f>SUM(J15)+0.3</f>
        <v>7.5</v>
      </c>
      <c r="L15" s="114">
        <f t="shared" ref="L15:M15" si="5">SUM(K15)+0.3</f>
        <v>7.8</v>
      </c>
      <c r="M15" s="162">
        <f t="shared" si="5"/>
        <v>8.1</v>
      </c>
    </row>
    <row r="16" spans="1:14" s="1" customFormat="1" ht="14.1" customHeight="1">
      <c r="A16" s="122"/>
      <c r="B16" s="75" t="s">
        <v>571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39.799999999999997</v>
      </c>
      <c r="I17" s="27">
        <f>SUM(J17)-1.6</f>
        <v>41.4</v>
      </c>
      <c r="J17" s="125">
        <v>43</v>
      </c>
      <c r="K17" s="114">
        <f>SUM(J17)+1.6</f>
        <v>44.6</v>
      </c>
      <c r="L17" s="114">
        <f t="shared" ref="L17:M17" si="6">SUM(K17)+1.6</f>
        <v>46.2</v>
      </c>
      <c r="M17" s="162">
        <f t="shared" si="6"/>
        <v>47.800000000000004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25.700000000000003</v>
      </c>
      <c r="I19" s="27">
        <f>SUM(J19)-3.4</f>
        <v>29.1</v>
      </c>
      <c r="J19" s="125">
        <v>32.5</v>
      </c>
      <c r="K19" s="114">
        <f>SUM(J19)+3.5</f>
        <v>36</v>
      </c>
      <c r="L19" s="114">
        <f t="shared" ref="L19:M19" si="7">SUM(K19)+3.5</f>
        <v>39.5</v>
      </c>
      <c r="M19" s="162">
        <f t="shared" si="7"/>
        <v>43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29.799999999999997</v>
      </c>
      <c r="I21" s="27">
        <f>SUM(J21)-1.6</f>
        <v>31.4</v>
      </c>
      <c r="J21" s="125">
        <v>33</v>
      </c>
      <c r="K21" s="114">
        <f>SUM(J21)+1.6</f>
        <v>34.6</v>
      </c>
      <c r="L21" s="114">
        <f t="shared" ref="L21:M21" si="8">SUM(K21)+1.6</f>
        <v>36.200000000000003</v>
      </c>
      <c r="M21" s="162">
        <f t="shared" si="8"/>
        <v>37.800000000000004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105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>SUM(K23)+0.6</f>
        <v>16.399999999999999</v>
      </c>
      <c r="M23" s="162">
        <f>SUM(L23)+0.6</f>
        <v>17</v>
      </c>
    </row>
    <row r="24" spans="1:13" s="1" customFormat="1" ht="14.1" customHeight="1">
      <c r="A24" s="159"/>
      <c r="B24" s="153" t="s">
        <v>31</v>
      </c>
      <c r="C24" s="153"/>
      <c r="D24" s="102" t="s">
        <v>66</v>
      </c>
      <c r="E24" s="103"/>
      <c r="F24" s="103"/>
      <c r="G24" s="104"/>
      <c r="H24" s="228"/>
      <c r="I24" s="45"/>
      <c r="J24" s="41"/>
      <c r="K24" s="27"/>
      <c r="L24" s="27"/>
      <c r="M24" s="62"/>
    </row>
    <row r="25" spans="1:13" s="1" customFormat="1" ht="14.1" customHeight="1">
      <c r="A25" s="122">
        <v>12</v>
      </c>
      <c r="B25" s="36" t="s">
        <v>114</v>
      </c>
      <c r="C25" s="37"/>
      <c r="D25" s="129"/>
      <c r="E25" s="130"/>
      <c r="F25" s="130"/>
      <c r="G25" s="131"/>
      <c r="H25" s="27">
        <f>SUM(I25)-0.6</f>
        <v>11.8</v>
      </c>
      <c r="I25" s="27">
        <f>SUM(J25)-0.6</f>
        <v>12.4</v>
      </c>
      <c r="J25" s="125">
        <v>13</v>
      </c>
      <c r="K25" s="114">
        <f>SUM(J25)+0.6</f>
        <v>13.6</v>
      </c>
      <c r="L25" s="114">
        <f t="shared" ref="L25:M25" si="9">SUM(K25)+0.6</f>
        <v>14.2</v>
      </c>
      <c r="M25" s="162">
        <f t="shared" si="9"/>
        <v>14.799999999999999</v>
      </c>
    </row>
    <row r="26" spans="1:13" s="1" customFormat="1" ht="14.1" customHeight="1">
      <c r="A26" s="159"/>
      <c r="B26" s="127" t="s">
        <v>122</v>
      </c>
      <c r="C26" s="128"/>
      <c r="D26" s="79" t="s">
        <v>572</v>
      </c>
      <c r="E26" s="80"/>
      <c r="F26" s="80"/>
      <c r="G26" s="81"/>
      <c r="H26" s="46"/>
      <c r="I26" s="46"/>
      <c r="J26" s="41"/>
      <c r="K26" s="114"/>
      <c r="L26" s="114"/>
      <c r="M26" s="162"/>
    </row>
    <row r="27" spans="1:13" s="1" customFormat="1" ht="14.1" customHeight="1">
      <c r="A27" s="122">
        <v>13</v>
      </c>
      <c r="B27" s="133" t="s">
        <v>115</v>
      </c>
      <c r="C27" s="134"/>
      <c r="D27" s="135"/>
      <c r="E27" s="136"/>
      <c r="F27" s="136"/>
      <c r="G27" s="137"/>
      <c r="H27" s="27">
        <f>SUM(I27)-0.5</f>
        <v>8</v>
      </c>
      <c r="I27" s="27">
        <f>SUM(J27)-0.5</f>
        <v>8.5</v>
      </c>
      <c r="J27" s="125">
        <v>9</v>
      </c>
      <c r="K27" s="114">
        <f>SUM(J27)+0.4</f>
        <v>9.4</v>
      </c>
      <c r="L27" s="114">
        <f t="shared" ref="L27:M27" si="10">SUM(K27)+0.4</f>
        <v>9.8000000000000007</v>
      </c>
      <c r="M27" s="162">
        <f t="shared" si="10"/>
        <v>10.200000000000001</v>
      </c>
    </row>
    <row r="28" spans="1:13" s="1" customFormat="1" ht="14.1" customHeight="1" thickBot="1">
      <c r="A28" s="159"/>
      <c r="B28" s="143" t="s">
        <v>123</v>
      </c>
      <c r="C28" s="144"/>
      <c r="D28" s="119" t="s">
        <v>533</v>
      </c>
      <c r="E28" s="120"/>
      <c r="F28" s="120"/>
      <c r="G28" s="121"/>
      <c r="H28" s="28"/>
      <c r="I28" s="28"/>
      <c r="J28" s="126"/>
      <c r="K28" s="115"/>
      <c r="L28" s="115"/>
      <c r="M28" s="142"/>
    </row>
    <row r="29" spans="1:13" s="1" customFormat="1" ht="14.1" customHeight="1" thickTop="1">
      <c r="A29" s="210">
        <v>14</v>
      </c>
      <c r="B29" s="69" t="s">
        <v>573</v>
      </c>
      <c r="C29" s="70"/>
      <c r="D29" s="226"/>
      <c r="E29" s="226"/>
      <c r="F29" s="226"/>
      <c r="G29" s="71"/>
      <c r="H29" s="55">
        <f>SUM(I29)-3.5</f>
        <v>36</v>
      </c>
      <c r="I29" s="55">
        <f>SUM(J29)-3.5</f>
        <v>39.5</v>
      </c>
      <c r="J29" s="224">
        <v>43</v>
      </c>
      <c r="K29" s="222">
        <f>SUM(J29)+3</f>
        <v>46</v>
      </c>
      <c r="L29" s="222">
        <f t="shared" ref="L29" si="11">SUM(K29)+3</f>
        <v>49</v>
      </c>
      <c r="M29" s="223">
        <f>SUM(L29)+3</f>
        <v>52</v>
      </c>
    </row>
    <row r="30" spans="1:13" s="1" customFormat="1" ht="14.1" customHeight="1">
      <c r="A30" s="122"/>
      <c r="B30" s="127" t="s">
        <v>574</v>
      </c>
      <c r="C30" s="128"/>
      <c r="D30" s="79" t="s">
        <v>575</v>
      </c>
      <c r="E30" s="80"/>
      <c r="F30" s="80"/>
      <c r="G30" s="80"/>
      <c r="H30" s="46"/>
      <c r="I30" s="46"/>
      <c r="J30" s="125"/>
      <c r="K30" s="114"/>
      <c r="L30" s="114"/>
      <c r="M30" s="162"/>
    </row>
    <row r="31" spans="1:13" ht="14.1" customHeight="1">
      <c r="A31" s="122">
        <v>15</v>
      </c>
      <c r="B31" s="36" t="s">
        <v>576</v>
      </c>
      <c r="C31" s="37"/>
      <c r="D31" s="124" t="s">
        <v>69</v>
      </c>
      <c r="E31" s="124"/>
      <c r="F31" s="124"/>
      <c r="G31" s="124"/>
      <c r="H31" s="27">
        <f>SUM(I31)-2.25</f>
        <v>28.5</v>
      </c>
      <c r="I31" s="27">
        <f>SUM(J31)-2.25</f>
        <v>30.75</v>
      </c>
      <c r="J31" s="41">
        <v>33</v>
      </c>
      <c r="K31" s="27">
        <f>SUM(J31)+2</f>
        <v>35</v>
      </c>
      <c r="L31" s="27">
        <f t="shared" ref="L31" si="12">SUM(K31)+2</f>
        <v>37</v>
      </c>
      <c r="M31" s="62">
        <f t="shared" ref="M31" si="13">SUM(L31)+2</f>
        <v>39</v>
      </c>
    </row>
    <row r="32" spans="1:13" ht="14.1" customHeight="1">
      <c r="A32" s="159"/>
      <c r="B32" s="127" t="s">
        <v>577</v>
      </c>
      <c r="C32" s="128"/>
      <c r="D32" s="79" t="s">
        <v>43</v>
      </c>
      <c r="E32" s="80"/>
      <c r="F32" s="80"/>
      <c r="G32" s="81"/>
      <c r="H32" s="46"/>
      <c r="I32" s="46"/>
      <c r="J32" s="44"/>
      <c r="K32" s="46"/>
      <c r="L32" s="46"/>
      <c r="M32" s="48"/>
    </row>
    <row r="33" spans="1:13" ht="14.1" customHeight="1">
      <c r="A33" s="122">
        <v>16</v>
      </c>
      <c r="B33" s="98" t="s">
        <v>578</v>
      </c>
      <c r="C33" s="98"/>
      <c r="D33" s="124" t="s">
        <v>8</v>
      </c>
      <c r="E33" s="124"/>
      <c r="F33" s="124"/>
      <c r="G33" s="124"/>
      <c r="H33" s="27">
        <f>SUM(I33)-2.25</f>
        <v>28.5</v>
      </c>
      <c r="I33" s="27">
        <f>SUM(J33)-2.25</f>
        <v>30.75</v>
      </c>
      <c r="J33" s="41">
        <v>33</v>
      </c>
      <c r="K33" s="27">
        <f>SUM(J33)+2</f>
        <v>35</v>
      </c>
      <c r="L33" s="27">
        <f t="shared" ref="L33" si="14">SUM(K33)+2</f>
        <v>37</v>
      </c>
      <c r="M33" s="62">
        <f t="shared" ref="M33" si="15">SUM(L33)+2</f>
        <v>39</v>
      </c>
    </row>
    <row r="34" spans="1:13" ht="14.1" customHeight="1">
      <c r="A34" s="159"/>
      <c r="B34" s="75" t="s">
        <v>579</v>
      </c>
      <c r="C34" s="75"/>
      <c r="D34" s="79" t="s">
        <v>44</v>
      </c>
      <c r="E34" s="80"/>
      <c r="F34" s="80"/>
      <c r="G34" s="81"/>
      <c r="H34" s="46"/>
      <c r="I34" s="46"/>
      <c r="J34" s="44"/>
      <c r="K34" s="46"/>
      <c r="L34" s="46"/>
      <c r="M34" s="48"/>
    </row>
    <row r="35" spans="1:13" ht="14.1" customHeight="1">
      <c r="A35" s="122">
        <v>17</v>
      </c>
      <c r="B35" s="36"/>
      <c r="C35" s="37"/>
      <c r="D35" s="129"/>
      <c r="E35" s="130"/>
      <c r="F35" s="130"/>
      <c r="G35" s="131"/>
      <c r="H35" s="27"/>
      <c r="I35" s="27"/>
      <c r="J35" s="125"/>
      <c r="K35" s="114"/>
      <c r="L35" s="114"/>
      <c r="M35" s="162"/>
    </row>
    <row r="36" spans="1:13" ht="14.1" customHeight="1">
      <c r="A36" s="159"/>
      <c r="B36" s="127"/>
      <c r="C36" s="128"/>
      <c r="D36" s="79"/>
      <c r="E36" s="80"/>
      <c r="F36" s="80"/>
      <c r="G36" s="81"/>
      <c r="H36" s="46"/>
      <c r="I36" s="46"/>
      <c r="J36" s="41"/>
      <c r="K36" s="114"/>
      <c r="L36" s="114"/>
      <c r="M36" s="162"/>
    </row>
    <row r="37" spans="1:13" ht="14.1" customHeight="1">
      <c r="A37" s="122">
        <v>18</v>
      </c>
      <c r="B37" s="133"/>
      <c r="C37" s="134"/>
      <c r="D37" s="135"/>
      <c r="E37" s="136"/>
      <c r="F37" s="136"/>
      <c r="G37" s="137"/>
      <c r="H37" s="27"/>
      <c r="I37" s="27"/>
      <c r="J37" s="125"/>
      <c r="K37" s="114"/>
      <c r="L37" s="114"/>
      <c r="M37" s="162"/>
    </row>
    <row r="38" spans="1:13" ht="14.1" customHeight="1" thickBot="1">
      <c r="A38" s="123"/>
      <c r="B38" s="143"/>
      <c r="C38" s="144"/>
      <c r="D38" s="119"/>
      <c r="E38" s="120"/>
      <c r="F38" s="120"/>
      <c r="G38" s="121"/>
      <c r="H38" s="28"/>
      <c r="I38" s="28"/>
      <c r="J38" s="126"/>
      <c r="K38" s="115"/>
      <c r="L38" s="115"/>
      <c r="M38" s="142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DF78-ED32-43AF-9384-73795FDA2C53}">
  <sheetPr codeName="Sheet64">
    <tabColor theme="5"/>
    <pageSetUpPr fitToPage="1"/>
  </sheetPr>
  <dimension ref="A1:P51"/>
  <sheetViews>
    <sheetView zoomScale="110" zoomScaleNormal="110" workbookViewId="0">
      <selection activeCell="P20" sqref="P2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75" t="s">
        <v>419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6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126</v>
      </c>
    </row>
    <row r="3" spans="1:16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163">
        <f>SUM(I3)-3</f>
        <v>35</v>
      </c>
      <c r="I3" s="27">
        <f>SUM(J3)-3</f>
        <v>38</v>
      </c>
      <c r="J3" s="139">
        <v>41</v>
      </c>
      <c r="K3" s="140">
        <f>SUM(J3)+2.5</f>
        <v>43.5</v>
      </c>
      <c r="L3" s="140">
        <f t="shared" ref="L3" si="0">SUM(K3)+2.5</f>
        <v>46</v>
      </c>
      <c r="M3" s="140">
        <f t="shared" ref="M3" si="1">SUM(L3)+2.5</f>
        <v>48.5</v>
      </c>
      <c r="N3" s="166">
        <f t="shared" ref="N3" si="2">SUM(M3)+2.5</f>
        <v>51</v>
      </c>
    </row>
    <row r="4" spans="1:16" s="1" customFormat="1" ht="14.1" customHeight="1">
      <c r="A4" s="122"/>
      <c r="B4" s="153" t="s">
        <v>36</v>
      </c>
      <c r="C4" s="153"/>
      <c r="D4" s="102" t="s">
        <v>422</v>
      </c>
      <c r="E4" s="103"/>
      <c r="F4" s="103"/>
      <c r="G4" s="103"/>
      <c r="H4" s="215"/>
      <c r="I4" s="45"/>
      <c r="J4" s="41"/>
      <c r="K4" s="27"/>
      <c r="L4" s="27"/>
      <c r="M4" s="27"/>
      <c r="N4" s="62"/>
    </row>
    <row r="5" spans="1:16" s="1" customFormat="1" ht="14.1" customHeight="1">
      <c r="A5" s="138">
        <v>2</v>
      </c>
      <c r="B5" s="98" t="s">
        <v>39</v>
      </c>
      <c r="C5" s="98"/>
      <c r="D5" s="124" t="s">
        <v>176</v>
      </c>
      <c r="E5" s="124"/>
      <c r="F5" s="124"/>
      <c r="G5" s="76"/>
      <c r="H5" s="163">
        <f>SUM(I5)-1.7</f>
        <v>15.600000000000001</v>
      </c>
      <c r="I5" s="27">
        <f>SUM(J5)-1.7</f>
        <v>17.3</v>
      </c>
      <c r="J5" s="125">
        <v>19</v>
      </c>
      <c r="K5" s="114">
        <f>SUM(J5)+1.3</f>
        <v>20.3</v>
      </c>
      <c r="L5" s="114">
        <f t="shared" ref="L5:N5" si="3">SUM(K5)+1.3</f>
        <v>21.6</v>
      </c>
      <c r="M5" s="114">
        <f t="shared" si="3"/>
        <v>22.900000000000002</v>
      </c>
      <c r="N5" s="162">
        <f t="shared" si="3"/>
        <v>24.200000000000003</v>
      </c>
    </row>
    <row r="6" spans="1:16" s="1" customFormat="1" ht="14.1" customHeight="1">
      <c r="A6" s="122"/>
      <c r="B6" s="75" t="s">
        <v>423</v>
      </c>
      <c r="C6" s="75"/>
      <c r="D6" s="79" t="s">
        <v>424</v>
      </c>
      <c r="E6" s="80"/>
      <c r="F6" s="80"/>
      <c r="G6" s="80"/>
      <c r="H6" s="164"/>
      <c r="I6" s="46"/>
      <c r="J6" s="125"/>
      <c r="K6" s="114"/>
      <c r="L6" s="114"/>
      <c r="M6" s="114"/>
      <c r="N6" s="162"/>
    </row>
    <row r="7" spans="1:16" s="1" customFormat="1" ht="14.1" customHeight="1">
      <c r="A7" s="138">
        <v>3</v>
      </c>
      <c r="B7" s="98" t="s">
        <v>37</v>
      </c>
      <c r="C7" s="98"/>
      <c r="D7" s="124" t="s">
        <v>38</v>
      </c>
      <c r="E7" s="124"/>
      <c r="F7" s="124"/>
      <c r="G7" s="124"/>
      <c r="H7" s="163">
        <f>SUM(I7)-1.6</f>
        <v>22.799999999999997</v>
      </c>
      <c r="I7" s="27">
        <f>SUM(J7)-1.6</f>
        <v>24.4</v>
      </c>
      <c r="J7" s="41">
        <v>26</v>
      </c>
      <c r="K7" s="27">
        <f>SUM(J7)+1.4</f>
        <v>27.4</v>
      </c>
      <c r="L7" s="27">
        <f t="shared" ref="L7:N7" si="4">SUM(K7)+1.4</f>
        <v>28.799999999999997</v>
      </c>
      <c r="M7" s="27">
        <f t="shared" si="4"/>
        <v>30.199999999999996</v>
      </c>
      <c r="N7" s="62">
        <f t="shared" si="4"/>
        <v>31.599999999999994</v>
      </c>
    </row>
    <row r="8" spans="1:16" s="1" customFormat="1" ht="14.1" customHeight="1">
      <c r="A8" s="122"/>
      <c r="B8" s="75" t="s">
        <v>24</v>
      </c>
      <c r="C8" s="75"/>
      <c r="D8" s="79" t="s">
        <v>42</v>
      </c>
      <c r="E8" s="80"/>
      <c r="F8" s="80"/>
      <c r="G8" s="81"/>
      <c r="H8" s="164"/>
      <c r="I8" s="46"/>
      <c r="J8" s="44"/>
      <c r="K8" s="46"/>
      <c r="L8" s="46"/>
      <c r="M8" s="46"/>
      <c r="N8" s="48"/>
    </row>
    <row r="9" spans="1:16" s="1" customFormat="1" ht="14.1" customHeight="1">
      <c r="A9" s="138">
        <v>4</v>
      </c>
      <c r="B9" s="98" t="s">
        <v>35</v>
      </c>
      <c r="C9" s="98"/>
      <c r="D9" s="124" t="s">
        <v>69</v>
      </c>
      <c r="E9" s="124"/>
      <c r="F9" s="124"/>
      <c r="G9" s="124"/>
      <c r="H9" s="163">
        <f>SUM(I9)-2</f>
        <v>29</v>
      </c>
      <c r="I9" s="27">
        <f>SUM(J9)-2</f>
        <v>31</v>
      </c>
      <c r="J9" s="41">
        <v>33</v>
      </c>
      <c r="K9" s="27">
        <f>SUM(J9)+1.8</f>
        <v>34.799999999999997</v>
      </c>
      <c r="L9" s="27">
        <f t="shared" ref="L9:N9" si="5">SUM(K9)+1.8</f>
        <v>36.599999999999994</v>
      </c>
      <c r="M9" s="27">
        <f t="shared" si="5"/>
        <v>38.399999999999991</v>
      </c>
      <c r="N9" s="62">
        <f t="shared" si="5"/>
        <v>40.199999999999989</v>
      </c>
      <c r="P9" s="1" t="s">
        <v>162</v>
      </c>
    </row>
    <row r="10" spans="1:16" s="1" customFormat="1" ht="14.1" customHeight="1">
      <c r="A10" s="122"/>
      <c r="B10" s="75" t="s">
        <v>40</v>
      </c>
      <c r="C10" s="75"/>
      <c r="D10" s="79" t="s">
        <v>43</v>
      </c>
      <c r="E10" s="80"/>
      <c r="F10" s="80"/>
      <c r="G10" s="81"/>
      <c r="H10" s="164"/>
      <c r="I10" s="46"/>
      <c r="J10" s="44"/>
      <c r="K10" s="46"/>
      <c r="L10" s="46"/>
      <c r="M10" s="46"/>
      <c r="N10" s="48"/>
    </row>
    <row r="11" spans="1:16" s="1" customFormat="1" ht="14.1" customHeight="1">
      <c r="A11" s="138">
        <v>5</v>
      </c>
      <c r="B11" s="98" t="s">
        <v>41</v>
      </c>
      <c r="C11" s="98"/>
      <c r="D11" s="124" t="s">
        <v>8</v>
      </c>
      <c r="E11" s="124"/>
      <c r="F11" s="124"/>
      <c r="G11" s="124"/>
      <c r="H11" s="163">
        <f>SUM(I11)-2</f>
        <v>28</v>
      </c>
      <c r="I11" s="27">
        <f>SUM(J11)-2</f>
        <v>30</v>
      </c>
      <c r="J11" s="41">
        <v>32</v>
      </c>
      <c r="K11" s="27">
        <f>SUM(J11)+1.8</f>
        <v>33.799999999999997</v>
      </c>
      <c r="L11" s="27">
        <f t="shared" ref="L11:N11" si="6">SUM(K11)+1.8</f>
        <v>35.599999999999994</v>
      </c>
      <c r="M11" s="27">
        <f t="shared" si="6"/>
        <v>37.399999999999991</v>
      </c>
      <c r="N11" s="62">
        <f t="shared" si="6"/>
        <v>39.199999999999989</v>
      </c>
    </row>
    <row r="12" spans="1:16" s="1" customFormat="1" ht="14.1" customHeight="1">
      <c r="A12" s="122"/>
      <c r="B12" s="75" t="s">
        <v>25</v>
      </c>
      <c r="C12" s="75"/>
      <c r="D12" s="79" t="s">
        <v>44</v>
      </c>
      <c r="E12" s="80"/>
      <c r="F12" s="80"/>
      <c r="G12" s="81"/>
      <c r="H12" s="164"/>
      <c r="I12" s="46"/>
      <c r="J12" s="44"/>
      <c r="K12" s="46"/>
      <c r="L12" s="46"/>
      <c r="M12" s="46"/>
      <c r="N12" s="48"/>
    </row>
    <row r="13" spans="1:16" s="1" customFormat="1" ht="14.1" customHeight="1">
      <c r="A13" s="138">
        <v>6</v>
      </c>
      <c r="B13" s="98" t="s">
        <v>10</v>
      </c>
      <c r="C13" s="98"/>
      <c r="D13" s="124" t="s">
        <v>0</v>
      </c>
      <c r="E13" s="124"/>
      <c r="F13" s="124"/>
      <c r="G13" s="124"/>
      <c r="H13" s="163">
        <f>SUM(I13)-0.8</f>
        <v>13.899999999999999</v>
      </c>
      <c r="I13" s="27">
        <f>SUM(J13)-0.8</f>
        <v>14.7</v>
      </c>
      <c r="J13" s="125">
        <v>15.5</v>
      </c>
      <c r="K13" s="114">
        <f>SUM(J13)+0.8</f>
        <v>16.3</v>
      </c>
      <c r="L13" s="114">
        <f t="shared" ref="L13:N13" si="7">SUM(K13)+0.9</f>
        <v>17.2</v>
      </c>
      <c r="M13" s="114">
        <f t="shared" si="7"/>
        <v>18.099999999999998</v>
      </c>
      <c r="N13" s="162">
        <f t="shared" si="7"/>
        <v>18.999999999999996</v>
      </c>
    </row>
    <row r="14" spans="1:16" s="1" customFormat="1" ht="14.1" customHeight="1">
      <c r="A14" s="122"/>
      <c r="B14" s="75" t="s">
        <v>26</v>
      </c>
      <c r="C14" s="75"/>
      <c r="D14" s="79" t="s">
        <v>45</v>
      </c>
      <c r="E14" s="80"/>
      <c r="F14" s="80"/>
      <c r="G14" s="81"/>
      <c r="H14" s="164"/>
      <c r="I14" s="46"/>
      <c r="J14" s="125"/>
      <c r="K14" s="114"/>
      <c r="L14" s="114"/>
      <c r="M14" s="114"/>
      <c r="N14" s="162"/>
    </row>
    <row r="15" spans="1:16" s="1" customFormat="1" ht="14.1" customHeight="1">
      <c r="A15" s="138">
        <v>7</v>
      </c>
      <c r="B15" s="98" t="s">
        <v>1</v>
      </c>
      <c r="C15" s="98"/>
      <c r="D15" s="124" t="s">
        <v>133</v>
      </c>
      <c r="E15" s="124"/>
      <c r="F15" s="124"/>
      <c r="G15" s="124"/>
      <c r="H15" s="163">
        <f>SUM(I15)-0.6</f>
        <v>13.8</v>
      </c>
      <c r="I15" s="27">
        <f>SUM(J15)-0.6</f>
        <v>14.4</v>
      </c>
      <c r="J15" s="125">
        <v>15</v>
      </c>
      <c r="K15" s="114">
        <f>SUM(J15)+0.6</f>
        <v>15.6</v>
      </c>
      <c r="L15" s="114">
        <f>SUM(K15)+0.6</f>
        <v>16.2</v>
      </c>
      <c r="M15" s="114">
        <f>SUM(L15)+0.6</f>
        <v>16.8</v>
      </c>
      <c r="N15" s="170">
        <f>SUM(M15)+0.6</f>
        <v>17.400000000000002</v>
      </c>
    </row>
    <row r="16" spans="1:16" s="1" customFormat="1" ht="14.1" customHeight="1">
      <c r="A16" s="122"/>
      <c r="B16" s="75" t="s">
        <v>27</v>
      </c>
      <c r="C16" s="75"/>
      <c r="D16" s="79" t="s">
        <v>105</v>
      </c>
      <c r="E16" s="80"/>
      <c r="F16" s="80"/>
      <c r="G16" s="81"/>
      <c r="H16" s="164"/>
      <c r="I16" s="46"/>
      <c r="J16" s="125"/>
      <c r="K16" s="114"/>
      <c r="L16" s="114"/>
      <c r="M16" s="114"/>
      <c r="N16" s="170"/>
    </row>
    <row r="17" spans="1:14" s="1" customFormat="1" ht="14.1" customHeight="1">
      <c r="A17" s="138">
        <v>8</v>
      </c>
      <c r="B17" s="98" t="s">
        <v>2</v>
      </c>
      <c r="C17" s="98"/>
      <c r="D17" s="124" t="s">
        <v>3</v>
      </c>
      <c r="E17" s="124"/>
      <c r="F17" s="124"/>
      <c r="G17" s="124"/>
      <c r="H17" s="163">
        <f>SUM(I17)-0.3</f>
        <v>5.4</v>
      </c>
      <c r="I17" s="27">
        <f>SUM(J17)-0.3</f>
        <v>5.7</v>
      </c>
      <c r="J17" s="125">
        <v>6</v>
      </c>
      <c r="K17" s="114">
        <f>SUM(J17)+0.3</f>
        <v>6.3</v>
      </c>
      <c r="L17" s="114">
        <f>SUM(K17)+0.3</f>
        <v>6.6</v>
      </c>
      <c r="M17" s="114">
        <f>SUM(L17)+0.3</f>
        <v>6.8999999999999995</v>
      </c>
      <c r="N17" s="170">
        <f>SUM(M17)+0.3</f>
        <v>7.1999999999999993</v>
      </c>
    </row>
    <row r="18" spans="1:14" s="1" customFormat="1" ht="14.1" customHeight="1">
      <c r="A18" s="122"/>
      <c r="B18" s="75" t="s">
        <v>28</v>
      </c>
      <c r="C18" s="75"/>
      <c r="D18" s="79" t="s">
        <v>106</v>
      </c>
      <c r="E18" s="80"/>
      <c r="F18" s="80"/>
      <c r="G18" s="81"/>
      <c r="H18" s="164"/>
      <c r="I18" s="46"/>
      <c r="J18" s="125"/>
      <c r="K18" s="114"/>
      <c r="L18" s="114"/>
      <c r="M18" s="114"/>
      <c r="N18" s="170"/>
    </row>
    <row r="19" spans="1:14" s="1" customFormat="1" ht="14.1" customHeight="1">
      <c r="A19" s="138">
        <v>9</v>
      </c>
      <c r="B19" s="36" t="s">
        <v>70</v>
      </c>
      <c r="C19" s="37"/>
      <c r="D19" s="76" t="s">
        <v>71</v>
      </c>
      <c r="E19" s="77"/>
      <c r="F19" s="77"/>
      <c r="G19" s="78"/>
      <c r="H19" s="163">
        <f>SUM(I19)-1.6</f>
        <v>31.799999999999997</v>
      </c>
      <c r="I19" s="27">
        <f>SUM(J19)-1.6</f>
        <v>33.4</v>
      </c>
      <c r="J19" s="125">
        <v>35</v>
      </c>
      <c r="K19" s="114">
        <f>SUM(J19)+1.6</f>
        <v>36.6</v>
      </c>
      <c r="L19" s="114">
        <f>SUM(K19)+1.6</f>
        <v>38.200000000000003</v>
      </c>
      <c r="M19" s="114">
        <f>SUM(L19)+1.6</f>
        <v>39.800000000000004</v>
      </c>
      <c r="N19" s="170">
        <f>SUM(M19)+1.6</f>
        <v>41.400000000000006</v>
      </c>
    </row>
    <row r="20" spans="1:14" s="1" customFormat="1" ht="14.1" customHeight="1">
      <c r="A20" s="122"/>
      <c r="B20" s="75" t="s">
        <v>33</v>
      </c>
      <c r="C20" s="75"/>
      <c r="D20" s="79" t="s">
        <v>107</v>
      </c>
      <c r="E20" s="80"/>
      <c r="F20" s="80"/>
      <c r="G20" s="81"/>
      <c r="H20" s="164"/>
      <c r="I20" s="46"/>
      <c r="J20" s="125"/>
      <c r="K20" s="114"/>
      <c r="L20" s="114"/>
      <c r="M20" s="114"/>
      <c r="N20" s="170"/>
    </row>
    <row r="21" spans="1:14" s="1" customFormat="1" ht="14.1" customHeight="1">
      <c r="A21" s="138">
        <v>10</v>
      </c>
      <c r="B21" s="98" t="s">
        <v>4</v>
      </c>
      <c r="C21" s="98"/>
      <c r="D21" s="124" t="s">
        <v>5</v>
      </c>
      <c r="E21" s="124"/>
      <c r="F21" s="124"/>
      <c r="G21" s="124"/>
      <c r="H21" s="163">
        <f>SUM(I21)-3.7</f>
        <v>33.599999999999994</v>
      </c>
      <c r="I21" s="27">
        <f>SUM(J21)-3.7</f>
        <v>37.299999999999997</v>
      </c>
      <c r="J21" s="125">
        <v>41</v>
      </c>
      <c r="K21" s="114">
        <f>SUM(J21)+3.8</f>
        <v>44.8</v>
      </c>
      <c r="L21" s="114">
        <f t="shared" ref="L21:N21" si="8">SUM(K21)+3.8</f>
        <v>48.599999999999994</v>
      </c>
      <c r="M21" s="114">
        <f t="shared" si="8"/>
        <v>52.399999999999991</v>
      </c>
      <c r="N21" s="162">
        <f t="shared" si="8"/>
        <v>56.199999999999989</v>
      </c>
    </row>
    <row r="22" spans="1:14" s="1" customFormat="1" ht="14.1" customHeight="1">
      <c r="A22" s="122"/>
      <c r="B22" s="75" t="s">
        <v>29</v>
      </c>
      <c r="C22" s="75"/>
      <c r="D22" s="79" t="s">
        <v>47</v>
      </c>
      <c r="E22" s="80"/>
      <c r="F22" s="80"/>
      <c r="G22" s="81"/>
      <c r="H22" s="164"/>
      <c r="I22" s="46"/>
      <c r="J22" s="125"/>
      <c r="K22" s="114"/>
      <c r="L22" s="114"/>
      <c r="M22" s="114"/>
      <c r="N22" s="162"/>
    </row>
    <row r="23" spans="1:14" s="1" customFormat="1" ht="14.1" customHeight="1">
      <c r="A23" s="138">
        <v>11</v>
      </c>
      <c r="B23" s="98" t="s">
        <v>6</v>
      </c>
      <c r="C23" s="98"/>
      <c r="D23" s="76" t="s">
        <v>7</v>
      </c>
      <c r="E23" s="77"/>
      <c r="F23" s="77"/>
      <c r="G23" s="78"/>
      <c r="H23" s="163">
        <f>SUM(I23)-1.5</f>
        <v>23.3</v>
      </c>
      <c r="I23" s="27">
        <f>SUM(J23)-1.5</f>
        <v>24.8</v>
      </c>
      <c r="J23" s="125">
        <v>26.3</v>
      </c>
      <c r="K23" s="114">
        <f>SUM(J23)+1.5</f>
        <v>27.8</v>
      </c>
      <c r="L23" s="114">
        <f>SUM(K23)+1.5</f>
        <v>29.3</v>
      </c>
      <c r="M23" s="114">
        <f>SUM(L23)+1.5</f>
        <v>30.8</v>
      </c>
      <c r="N23" s="170">
        <f>SUM(M23)+1.5</f>
        <v>32.299999999999997</v>
      </c>
    </row>
    <row r="24" spans="1:14" s="1" customFormat="1" ht="14.1" customHeight="1">
      <c r="A24" s="122"/>
      <c r="B24" s="75" t="s">
        <v>30</v>
      </c>
      <c r="C24" s="75"/>
      <c r="D24" s="79" t="s">
        <v>64</v>
      </c>
      <c r="E24" s="80"/>
      <c r="F24" s="80"/>
      <c r="G24" s="81"/>
      <c r="H24" s="164"/>
      <c r="I24" s="46"/>
      <c r="J24" s="125"/>
      <c r="K24" s="114"/>
      <c r="L24" s="114"/>
      <c r="M24" s="114"/>
      <c r="N24" s="170"/>
    </row>
    <row r="25" spans="1:14" s="1" customFormat="1" ht="14.1" customHeight="1">
      <c r="A25" s="138">
        <v>12</v>
      </c>
      <c r="B25" s="36" t="s">
        <v>177</v>
      </c>
      <c r="C25" s="37"/>
      <c r="D25" s="124" t="s">
        <v>65</v>
      </c>
      <c r="E25" s="124"/>
      <c r="F25" s="124"/>
      <c r="G25" s="124"/>
      <c r="H25" s="163">
        <f>SUM(I25)-0.7</f>
        <v>16.100000000000001</v>
      </c>
      <c r="I25" s="27">
        <f>SUM(J25)-0.7</f>
        <v>16.8</v>
      </c>
      <c r="J25" s="125">
        <v>17.5</v>
      </c>
      <c r="K25" s="114">
        <f>SUM(J25)+0.7</f>
        <v>18.2</v>
      </c>
      <c r="L25" s="114">
        <f t="shared" ref="L25:M25" si="9">SUM(K25)+0.7</f>
        <v>18.899999999999999</v>
      </c>
      <c r="M25" s="114">
        <f t="shared" si="9"/>
        <v>19.599999999999998</v>
      </c>
      <c r="N25" s="162">
        <f t="shared" ref="N25" si="10">SUM(M25)+0.7</f>
        <v>20.299999999999997</v>
      </c>
    </row>
    <row r="26" spans="1:14" s="1" customFormat="1" ht="14.1" customHeight="1">
      <c r="A26" s="122"/>
      <c r="B26" s="75" t="s">
        <v>31</v>
      </c>
      <c r="C26" s="75"/>
      <c r="D26" s="79" t="s">
        <v>66</v>
      </c>
      <c r="E26" s="80"/>
      <c r="F26" s="80"/>
      <c r="G26" s="81"/>
      <c r="H26" s="164"/>
      <c r="I26" s="46"/>
      <c r="J26" s="125"/>
      <c r="K26" s="114"/>
      <c r="L26" s="114"/>
      <c r="M26" s="114"/>
      <c r="N26" s="162"/>
    </row>
    <row r="27" spans="1:14" s="1" customFormat="1" ht="14.1" customHeight="1">
      <c r="A27" s="138">
        <v>13</v>
      </c>
      <c r="B27" s="36" t="s">
        <v>365</v>
      </c>
      <c r="C27" s="37"/>
      <c r="D27" s="129"/>
      <c r="E27" s="130"/>
      <c r="F27" s="130"/>
      <c r="G27" s="131"/>
      <c r="H27" s="163">
        <f>SUM(I27)-0.4</f>
        <v>4.6999999999999993</v>
      </c>
      <c r="I27" s="27">
        <f>SUM(J27)-0.4</f>
        <v>5.0999999999999996</v>
      </c>
      <c r="J27" s="125">
        <v>5.5</v>
      </c>
      <c r="K27" s="114">
        <f>SUM(J27)+0.4</f>
        <v>5.9</v>
      </c>
      <c r="L27" s="114">
        <f t="shared" ref="L27:N27" si="11">SUM(K27)+0.4</f>
        <v>6.3000000000000007</v>
      </c>
      <c r="M27" s="114">
        <f t="shared" si="11"/>
        <v>6.7000000000000011</v>
      </c>
      <c r="N27" s="162">
        <f t="shared" si="11"/>
        <v>7.1000000000000014</v>
      </c>
    </row>
    <row r="28" spans="1:14" s="1" customFormat="1" ht="14.1" customHeight="1">
      <c r="A28" s="122"/>
      <c r="B28" s="127" t="s">
        <v>413</v>
      </c>
      <c r="C28" s="128"/>
      <c r="D28" s="79" t="s">
        <v>146</v>
      </c>
      <c r="E28" s="80"/>
      <c r="F28" s="80"/>
      <c r="G28" s="81"/>
      <c r="H28" s="164"/>
      <c r="I28" s="46"/>
      <c r="J28" s="125"/>
      <c r="K28" s="114"/>
      <c r="L28" s="114"/>
      <c r="M28" s="114"/>
      <c r="N28" s="162"/>
    </row>
    <row r="29" spans="1:14" s="1" customFormat="1" ht="14.1" customHeight="1">
      <c r="A29" s="138">
        <v>14</v>
      </c>
      <c r="B29" s="36" t="s">
        <v>414</v>
      </c>
      <c r="C29" s="37"/>
      <c r="D29" s="129"/>
      <c r="E29" s="130"/>
      <c r="F29" s="130"/>
      <c r="G29" s="131"/>
      <c r="H29" s="163">
        <f>SUM(I29)-0.6</f>
        <v>8.4</v>
      </c>
      <c r="I29" s="27">
        <f>SUM(J29)-0.6</f>
        <v>9</v>
      </c>
      <c r="J29" s="125">
        <v>9.6</v>
      </c>
      <c r="K29" s="114">
        <f>SUM(J29)+0.6</f>
        <v>10.199999999999999</v>
      </c>
      <c r="L29" s="114">
        <f t="shared" ref="L29:M29" si="12">SUM(K29)+0.6</f>
        <v>10.799999999999999</v>
      </c>
      <c r="M29" s="114">
        <f t="shared" si="12"/>
        <v>11.399999999999999</v>
      </c>
      <c r="N29" s="162">
        <f t="shared" ref="N29" si="13">SUM(M29)+0.6</f>
        <v>11.999999999999998</v>
      </c>
    </row>
    <row r="30" spans="1:14" s="1" customFormat="1" ht="14.1" customHeight="1">
      <c r="A30" s="122"/>
      <c r="B30" s="127" t="s">
        <v>415</v>
      </c>
      <c r="C30" s="128"/>
      <c r="D30" s="79" t="s">
        <v>416</v>
      </c>
      <c r="E30" s="80"/>
      <c r="F30" s="80"/>
      <c r="G30" s="81"/>
      <c r="H30" s="164"/>
      <c r="I30" s="46"/>
      <c r="J30" s="125"/>
      <c r="K30" s="114"/>
      <c r="L30" s="114"/>
      <c r="M30" s="114"/>
      <c r="N30" s="162"/>
    </row>
    <row r="31" spans="1:14" ht="14.1" customHeight="1">
      <c r="A31" s="138">
        <v>15</v>
      </c>
      <c r="B31" s="36" t="s">
        <v>417</v>
      </c>
      <c r="C31" s="37"/>
      <c r="D31" s="129"/>
      <c r="E31" s="130"/>
      <c r="F31" s="130"/>
      <c r="G31" s="131"/>
      <c r="H31" s="163">
        <f>SUM(I31)-1.2</f>
        <v>19</v>
      </c>
      <c r="I31" s="27">
        <f>SUM(J31)-1.2</f>
        <v>20.2</v>
      </c>
      <c r="J31" s="125">
        <v>21.4</v>
      </c>
      <c r="K31" s="114">
        <f>SUM(J31)+1.3</f>
        <v>22.7</v>
      </c>
      <c r="L31" s="114">
        <f t="shared" ref="L31:N31" si="14">SUM(K31)+1.3</f>
        <v>24</v>
      </c>
      <c r="M31" s="114">
        <f t="shared" si="14"/>
        <v>25.3</v>
      </c>
      <c r="N31" s="62">
        <f t="shared" si="14"/>
        <v>26.6</v>
      </c>
    </row>
    <row r="32" spans="1:14" ht="14.1" customHeight="1">
      <c r="A32" s="122"/>
      <c r="B32" s="127" t="s">
        <v>418</v>
      </c>
      <c r="C32" s="128"/>
      <c r="D32" s="79"/>
      <c r="E32" s="80"/>
      <c r="F32" s="80"/>
      <c r="G32" s="81"/>
      <c r="H32" s="164"/>
      <c r="I32" s="46"/>
      <c r="J32" s="125"/>
      <c r="K32" s="114"/>
      <c r="L32" s="114"/>
      <c r="M32" s="114"/>
      <c r="N32" s="48"/>
    </row>
    <row r="33" spans="1:14" ht="14.1" customHeight="1">
      <c r="A33" s="138">
        <v>16</v>
      </c>
      <c r="B33" s="36" t="s">
        <v>421</v>
      </c>
      <c r="C33" s="37"/>
      <c r="D33" s="129"/>
      <c r="E33" s="130"/>
      <c r="F33" s="130"/>
      <c r="G33" s="131"/>
      <c r="H33" s="163">
        <f>SUM(I33)-0.4</f>
        <v>4.1999999999999993</v>
      </c>
      <c r="I33" s="27">
        <f>SUM(J33)-0.4</f>
        <v>4.5999999999999996</v>
      </c>
      <c r="J33" s="125">
        <v>5</v>
      </c>
      <c r="K33" s="114">
        <f>SUM(J33)+0.4</f>
        <v>5.4</v>
      </c>
      <c r="L33" s="114">
        <f t="shared" ref="L33:N33" si="15">SUM(K33)+0.4</f>
        <v>5.8000000000000007</v>
      </c>
      <c r="M33" s="114">
        <f t="shared" si="15"/>
        <v>6.2000000000000011</v>
      </c>
      <c r="N33" s="162">
        <f t="shared" si="15"/>
        <v>6.6000000000000014</v>
      </c>
    </row>
    <row r="34" spans="1:14" ht="14.1" customHeight="1">
      <c r="A34" s="122"/>
      <c r="B34" s="127" t="s">
        <v>404</v>
      </c>
      <c r="C34" s="128"/>
      <c r="D34" s="79" t="s">
        <v>420</v>
      </c>
      <c r="E34" s="80"/>
      <c r="F34" s="80"/>
      <c r="G34" s="81"/>
      <c r="H34" s="164"/>
      <c r="I34" s="46"/>
      <c r="J34" s="125"/>
      <c r="K34" s="114"/>
      <c r="L34" s="114"/>
      <c r="M34" s="114"/>
      <c r="N34" s="162"/>
    </row>
    <row r="35" spans="1:14" ht="14.1" customHeight="1">
      <c r="A35" s="138">
        <v>17</v>
      </c>
      <c r="B35" s="36" t="s">
        <v>114</v>
      </c>
      <c r="C35" s="37"/>
      <c r="D35" s="129"/>
      <c r="E35" s="130"/>
      <c r="F35" s="130"/>
      <c r="G35" s="131"/>
      <c r="H35" s="163">
        <f>SUM(I35)-0.2</f>
        <v>2.4999999999999996</v>
      </c>
      <c r="I35" s="27">
        <f>SUM(J35)-0.2</f>
        <v>2.6999999999999997</v>
      </c>
      <c r="J35" s="125">
        <v>2.9</v>
      </c>
      <c r="K35" s="114">
        <f>SUM(J35)+0.2</f>
        <v>3.1</v>
      </c>
      <c r="L35" s="114">
        <f t="shared" ref="L35:N35" si="16">SUM(K35)+0.2</f>
        <v>3.3000000000000003</v>
      </c>
      <c r="M35" s="114">
        <f t="shared" si="16"/>
        <v>3.5000000000000004</v>
      </c>
      <c r="N35" s="162">
        <f t="shared" si="16"/>
        <v>3.7000000000000006</v>
      </c>
    </row>
    <row r="36" spans="1:14" ht="14.1" customHeight="1">
      <c r="A36" s="122"/>
      <c r="B36" s="127" t="s">
        <v>122</v>
      </c>
      <c r="C36" s="128"/>
      <c r="D36" s="79"/>
      <c r="E36" s="80"/>
      <c r="F36" s="80"/>
      <c r="G36" s="81"/>
      <c r="H36" s="164"/>
      <c r="I36" s="46"/>
      <c r="J36" s="125"/>
      <c r="K36" s="114"/>
      <c r="L36" s="114"/>
      <c r="M36" s="114"/>
      <c r="N36" s="162"/>
    </row>
    <row r="37" spans="1:14" ht="14.1" customHeight="1">
      <c r="A37" s="122">
        <v>18</v>
      </c>
      <c r="B37" s="36" t="s">
        <v>115</v>
      </c>
      <c r="C37" s="37"/>
      <c r="D37" s="129"/>
      <c r="E37" s="130"/>
      <c r="F37" s="130"/>
      <c r="G37" s="131"/>
      <c r="H37" s="163">
        <f>SUM(I37)-0.2</f>
        <v>2.5999999999999996</v>
      </c>
      <c r="I37" s="27">
        <f>SUM(J37)-0.2</f>
        <v>2.8</v>
      </c>
      <c r="J37" s="125">
        <v>3</v>
      </c>
      <c r="K37" s="114">
        <f>SUM(J37)+0.2</f>
        <v>3.2</v>
      </c>
      <c r="L37" s="114">
        <f t="shared" ref="L37:N37" si="17">SUM(K37)+0.2</f>
        <v>3.4000000000000004</v>
      </c>
      <c r="M37" s="114">
        <f t="shared" si="17"/>
        <v>3.6000000000000005</v>
      </c>
      <c r="N37" s="162">
        <f t="shared" si="17"/>
        <v>3.8000000000000007</v>
      </c>
    </row>
    <row r="38" spans="1:14" ht="14.1" customHeight="1" thickBot="1">
      <c r="A38" s="123"/>
      <c r="B38" s="143" t="s">
        <v>123</v>
      </c>
      <c r="C38" s="144"/>
      <c r="D38" s="119"/>
      <c r="E38" s="120"/>
      <c r="F38" s="120"/>
      <c r="G38" s="121"/>
      <c r="H38" s="178"/>
      <c r="I38" s="28"/>
      <c r="J38" s="126"/>
      <c r="K38" s="115"/>
      <c r="L38" s="115"/>
      <c r="M38" s="115"/>
      <c r="N38" s="142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A7:A8"/>
    <mergeCell ref="B7:C7"/>
    <mergeCell ref="D7:G7"/>
    <mergeCell ref="H7:H8"/>
    <mergeCell ref="I7:I8"/>
    <mergeCell ref="A1:N1"/>
    <mergeCell ref="B2:C2"/>
    <mergeCell ref="D2:G2"/>
    <mergeCell ref="A5:A6"/>
    <mergeCell ref="B5:C5"/>
    <mergeCell ref="D5:G5"/>
    <mergeCell ref="H5:H6"/>
    <mergeCell ref="I5:I6"/>
    <mergeCell ref="J5:J6"/>
    <mergeCell ref="K5:K6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N3:N4"/>
    <mergeCell ref="B4:C4"/>
    <mergeCell ref="D4:G4"/>
    <mergeCell ref="K9:K10"/>
    <mergeCell ref="L9:L10"/>
    <mergeCell ref="M9:M10"/>
    <mergeCell ref="N9:N10"/>
    <mergeCell ref="B10:C10"/>
    <mergeCell ref="D10:G10"/>
    <mergeCell ref="J7:J8"/>
    <mergeCell ref="K7:K8"/>
    <mergeCell ref="L7:L8"/>
    <mergeCell ref="M7:M8"/>
    <mergeCell ref="N7:N8"/>
    <mergeCell ref="B8:C8"/>
    <mergeCell ref="D8:G8"/>
    <mergeCell ref="L5:L6"/>
    <mergeCell ref="M5:M6"/>
    <mergeCell ref="N5:N6"/>
    <mergeCell ref="B6:C6"/>
    <mergeCell ref="D6:G6"/>
    <mergeCell ref="A9:A10"/>
    <mergeCell ref="B9:C9"/>
    <mergeCell ref="D9:G9"/>
    <mergeCell ref="H9:H10"/>
    <mergeCell ref="I9:I10"/>
    <mergeCell ref="J9:J10"/>
    <mergeCell ref="K11:K12"/>
    <mergeCell ref="L11:L12"/>
    <mergeCell ref="M11:M12"/>
    <mergeCell ref="N11:N12"/>
    <mergeCell ref="B12:C12"/>
    <mergeCell ref="D12:G12"/>
    <mergeCell ref="A11:A12"/>
    <mergeCell ref="B11:C11"/>
    <mergeCell ref="D11:G11"/>
    <mergeCell ref="H11:H12"/>
    <mergeCell ref="I11:I12"/>
    <mergeCell ref="J11:J12"/>
    <mergeCell ref="K13:K14"/>
    <mergeCell ref="L13:L14"/>
    <mergeCell ref="M13:M14"/>
    <mergeCell ref="N13:N14"/>
    <mergeCell ref="B14:C14"/>
    <mergeCell ref="D14:G14"/>
    <mergeCell ref="A13:A14"/>
    <mergeCell ref="B13:C13"/>
    <mergeCell ref="D13:G13"/>
    <mergeCell ref="H13:H14"/>
    <mergeCell ref="I13:I14"/>
    <mergeCell ref="J13:J14"/>
    <mergeCell ref="K15:K16"/>
    <mergeCell ref="L15:L16"/>
    <mergeCell ref="M15:M16"/>
    <mergeCell ref="N15:N16"/>
    <mergeCell ref="B16:C16"/>
    <mergeCell ref="D16:G16"/>
    <mergeCell ref="A15:A16"/>
    <mergeCell ref="B15:C15"/>
    <mergeCell ref="D15:G15"/>
    <mergeCell ref="H15:H16"/>
    <mergeCell ref="I15:I16"/>
    <mergeCell ref="J15:J16"/>
    <mergeCell ref="K17:K18"/>
    <mergeCell ref="L17:L18"/>
    <mergeCell ref="M17:M18"/>
    <mergeCell ref="N17:N18"/>
    <mergeCell ref="B18:C18"/>
    <mergeCell ref="D18:G18"/>
    <mergeCell ref="A17:A18"/>
    <mergeCell ref="B17:C17"/>
    <mergeCell ref="D17:G17"/>
    <mergeCell ref="H17:H18"/>
    <mergeCell ref="I17:I18"/>
    <mergeCell ref="J17:J18"/>
    <mergeCell ref="K19:K20"/>
    <mergeCell ref="L19:L20"/>
    <mergeCell ref="M19:M20"/>
    <mergeCell ref="N19:N20"/>
    <mergeCell ref="B20:C20"/>
    <mergeCell ref="D20:G20"/>
    <mergeCell ref="A19:A20"/>
    <mergeCell ref="B19:C19"/>
    <mergeCell ref="D19:G19"/>
    <mergeCell ref="H19:H20"/>
    <mergeCell ref="I19:I20"/>
    <mergeCell ref="J19:J20"/>
    <mergeCell ref="K21:K22"/>
    <mergeCell ref="L21:L22"/>
    <mergeCell ref="M21:M22"/>
    <mergeCell ref="N21:N22"/>
    <mergeCell ref="B22:C22"/>
    <mergeCell ref="D22:G22"/>
    <mergeCell ref="A21:A22"/>
    <mergeCell ref="B21:C21"/>
    <mergeCell ref="D21:G21"/>
    <mergeCell ref="H21:H22"/>
    <mergeCell ref="I21:I22"/>
    <mergeCell ref="J21:J22"/>
    <mergeCell ref="K23:K24"/>
    <mergeCell ref="L23:L24"/>
    <mergeCell ref="M23:M24"/>
    <mergeCell ref="N23:N24"/>
    <mergeCell ref="B24:C24"/>
    <mergeCell ref="D24:G24"/>
    <mergeCell ref="A23:A24"/>
    <mergeCell ref="B23:C23"/>
    <mergeCell ref="D23:G23"/>
    <mergeCell ref="H23:H24"/>
    <mergeCell ref="I23:I24"/>
    <mergeCell ref="J23:J24"/>
    <mergeCell ref="K25:K26"/>
    <mergeCell ref="L25:L26"/>
    <mergeCell ref="M25:M26"/>
    <mergeCell ref="N25:N26"/>
    <mergeCell ref="B26:C26"/>
    <mergeCell ref="D26:G26"/>
    <mergeCell ref="A25:A26"/>
    <mergeCell ref="B25:C25"/>
    <mergeCell ref="D25:G25"/>
    <mergeCell ref="H25:H26"/>
    <mergeCell ref="I25:I26"/>
    <mergeCell ref="J25:J26"/>
    <mergeCell ref="K27:K28"/>
    <mergeCell ref="L27:L28"/>
    <mergeCell ref="M27:M28"/>
    <mergeCell ref="N27:N28"/>
    <mergeCell ref="B28:C28"/>
    <mergeCell ref="D28:G28"/>
    <mergeCell ref="A27:A28"/>
    <mergeCell ref="B27:C27"/>
    <mergeCell ref="D27:G27"/>
    <mergeCell ref="H27:H28"/>
    <mergeCell ref="I27:I28"/>
    <mergeCell ref="J27:J28"/>
    <mergeCell ref="K29:K30"/>
    <mergeCell ref="L29:L30"/>
    <mergeCell ref="M29:M30"/>
    <mergeCell ref="N29:N30"/>
    <mergeCell ref="B30:C30"/>
    <mergeCell ref="D30:G30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N31:N32"/>
    <mergeCell ref="B32:C32"/>
    <mergeCell ref="D32:G32"/>
    <mergeCell ref="A31:A32"/>
    <mergeCell ref="B31:C31"/>
    <mergeCell ref="D31:G31"/>
    <mergeCell ref="H31:H32"/>
    <mergeCell ref="I31:I32"/>
    <mergeCell ref="J31:J32"/>
    <mergeCell ref="K33:K34"/>
    <mergeCell ref="L33:L34"/>
    <mergeCell ref="M33:M34"/>
    <mergeCell ref="N33:N34"/>
    <mergeCell ref="B34:C34"/>
    <mergeCell ref="D34:G34"/>
    <mergeCell ref="A33:A34"/>
    <mergeCell ref="B33:C33"/>
    <mergeCell ref="D33:G33"/>
    <mergeCell ref="H33:H34"/>
    <mergeCell ref="I33:I34"/>
    <mergeCell ref="J33:J34"/>
    <mergeCell ref="K35:K36"/>
    <mergeCell ref="L35:L36"/>
    <mergeCell ref="M35:M36"/>
    <mergeCell ref="N35:N36"/>
    <mergeCell ref="B36:C36"/>
    <mergeCell ref="D36:G36"/>
    <mergeCell ref="A35:A36"/>
    <mergeCell ref="B35:C35"/>
    <mergeCell ref="D35:G35"/>
    <mergeCell ref="H35:H36"/>
    <mergeCell ref="I35:I36"/>
    <mergeCell ref="J35:J36"/>
    <mergeCell ref="K37:K38"/>
    <mergeCell ref="L37:L38"/>
    <mergeCell ref="M37:M38"/>
    <mergeCell ref="N37:N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F2BE-BD66-403F-A7C5-73CE3F612004}">
  <sheetPr codeName="Sheet65">
    <tabColor theme="5"/>
    <pageSetUpPr fitToPage="1"/>
  </sheetPr>
  <dimension ref="A1:P51"/>
  <sheetViews>
    <sheetView zoomScale="110" zoomScaleNormal="110" workbookViewId="0">
      <selection activeCell="S15" sqref="S15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426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37</v>
      </c>
      <c r="I3" s="27">
        <f>SUM(J3)-3.5</f>
        <v>40.5</v>
      </c>
      <c r="J3" s="139">
        <v>44</v>
      </c>
      <c r="K3" s="140">
        <f>SUM(J3)+3</f>
        <v>47</v>
      </c>
      <c r="L3" s="140">
        <f>SUM(K3)+3</f>
        <v>50</v>
      </c>
      <c r="M3" s="166">
        <f>SUM(L3)+3</f>
        <v>53</v>
      </c>
    </row>
    <row r="4" spans="1:14" s="1" customFormat="1" ht="14.1" customHeight="1">
      <c r="A4" s="122"/>
      <c r="B4" s="75" t="s">
        <v>36</v>
      </c>
      <c r="C4" s="75"/>
      <c r="D4" s="79" t="s">
        <v>398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22">
        <v>2</v>
      </c>
      <c r="B5" s="98" t="s">
        <v>427</v>
      </c>
      <c r="C5" s="98"/>
      <c r="D5" s="124"/>
      <c r="E5" s="124"/>
      <c r="F5" s="124"/>
      <c r="G5" s="124"/>
      <c r="H5" s="27">
        <f>SUM(I5)-2.4</f>
        <v>23.000000000000004</v>
      </c>
      <c r="I5" s="27">
        <f>SUM(J5)-2.4</f>
        <v>25.400000000000002</v>
      </c>
      <c r="J5" s="41">
        <v>27.8</v>
      </c>
      <c r="K5" s="27">
        <f>SUM(J5)+1.9</f>
        <v>29.7</v>
      </c>
      <c r="L5" s="27">
        <f>SUM(K5)+1.9</f>
        <v>31.599999999999998</v>
      </c>
      <c r="M5" s="62">
        <f>SUM(L5)+1.9</f>
        <v>33.5</v>
      </c>
    </row>
    <row r="6" spans="1:14" s="1" customFormat="1" ht="14.1" customHeight="1">
      <c r="A6" s="122"/>
      <c r="B6" s="75" t="s">
        <v>428</v>
      </c>
      <c r="C6" s="75"/>
      <c r="D6" s="79" t="s">
        <v>429</v>
      </c>
      <c r="E6" s="80"/>
      <c r="F6" s="80"/>
      <c r="G6" s="81"/>
      <c r="H6" s="46"/>
      <c r="I6" s="46"/>
      <c r="J6" s="44"/>
      <c r="K6" s="46"/>
      <c r="L6" s="46"/>
      <c r="M6" s="48"/>
    </row>
    <row r="7" spans="1:14" s="1" customFormat="1" ht="14.1" customHeight="1">
      <c r="A7" s="122">
        <v>3</v>
      </c>
      <c r="B7" s="98" t="s">
        <v>37</v>
      </c>
      <c r="C7" s="98"/>
      <c r="D7" s="124" t="s">
        <v>38</v>
      </c>
      <c r="E7" s="124"/>
      <c r="F7" s="124"/>
      <c r="G7" s="124"/>
      <c r="H7" s="27">
        <f>SUM(I7)-1.8</f>
        <v>21.4</v>
      </c>
      <c r="I7" s="27">
        <f>SUM(J7)-1.8</f>
        <v>23.2</v>
      </c>
      <c r="J7" s="41">
        <v>25</v>
      </c>
      <c r="K7" s="27">
        <f>SUM(J7)+1.6</f>
        <v>26.6</v>
      </c>
      <c r="L7" s="27">
        <f>SUM(K7)+1.6</f>
        <v>28.200000000000003</v>
      </c>
      <c r="M7" s="62">
        <f>SUM(L7)+1.6</f>
        <v>29.800000000000004</v>
      </c>
    </row>
    <row r="8" spans="1:14" s="1" customFormat="1" ht="14.1" customHeight="1">
      <c r="A8" s="122"/>
      <c r="B8" s="75" t="s">
        <v>24</v>
      </c>
      <c r="C8" s="75"/>
      <c r="D8" s="79" t="s">
        <v>42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22">
        <v>4</v>
      </c>
      <c r="B9" s="98" t="s">
        <v>35</v>
      </c>
      <c r="C9" s="98"/>
      <c r="D9" s="124" t="s">
        <v>69</v>
      </c>
      <c r="E9" s="124"/>
      <c r="F9" s="124"/>
      <c r="G9" s="124"/>
      <c r="H9" s="27">
        <f>SUM(I9)-2.25</f>
        <v>28.5</v>
      </c>
      <c r="I9" s="27">
        <f>SUM(J9)-2.25</f>
        <v>30.75</v>
      </c>
      <c r="J9" s="41">
        <v>33</v>
      </c>
      <c r="K9" s="27">
        <f>SUM(J9)+2</f>
        <v>35</v>
      </c>
      <c r="L9" s="27">
        <f>SUM(K9)+2</f>
        <v>37</v>
      </c>
      <c r="M9" s="62">
        <f>SUM(L9)+2</f>
        <v>39</v>
      </c>
      <c r="N9" s="1" t="s">
        <v>162</v>
      </c>
    </row>
    <row r="10" spans="1:14" s="1" customFormat="1" ht="14.1" customHeight="1">
      <c r="A10" s="122"/>
      <c r="B10" s="75" t="s">
        <v>40</v>
      </c>
      <c r="C10" s="75"/>
      <c r="D10" s="79" t="s">
        <v>43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22">
        <v>5</v>
      </c>
      <c r="B11" s="98" t="s">
        <v>41</v>
      </c>
      <c r="C11" s="98"/>
      <c r="D11" s="124" t="s">
        <v>8</v>
      </c>
      <c r="E11" s="124"/>
      <c r="F11" s="124"/>
      <c r="G11" s="124"/>
      <c r="H11" s="27">
        <f>SUM(I11)-2.25</f>
        <v>28.5</v>
      </c>
      <c r="I11" s="27">
        <f>SUM(J11)-2.25</f>
        <v>30.75</v>
      </c>
      <c r="J11" s="41">
        <v>33</v>
      </c>
      <c r="K11" s="27">
        <f>SUM(J11)+2</f>
        <v>35</v>
      </c>
      <c r="L11" s="27">
        <f>SUM(K11)+2</f>
        <v>37</v>
      </c>
      <c r="M11" s="62">
        <f>SUM(L11)+2</f>
        <v>39</v>
      </c>
    </row>
    <row r="12" spans="1:14" s="1" customFormat="1" ht="14.1" customHeight="1">
      <c r="A12" s="122"/>
      <c r="B12" s="75" t="s">
        <v>25</v>
      </c>
      <c r="C12" s="75"/>
      <c r="D12" s="79" t="s">
        <v>44</v>
      </c>
      <c r="E12" s="80"/>
      <c r="F12" s="80"/>
      <c r="G12" s="81"/>
      <c r="H12" s="46"/>
      <c r="I12" s="46"/>
      <c r="J12" s="44"/>
      <c r="K12" s="46"/>
      <c r="L12" s="46"/>
      <c r="M12" s="48"/>
    </row>
    <row r="13" spans="1:14" s="1" customFormat="1" ht="14.1" customHeight="1">
      <c r="A13" s="122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>
        <f>SUM(I13)-0.9</f>
        <v>13.5</v>
      </c>
      <c r="I13" s="27">
        <f>SUM(J13)-0.9</f>
        <v>14.4</v>
      </c>
      <c r="J13" s="125">
        <v>15.3</v>
      </c>
      <c r="K13" s="114">
        <f>SUM(J13)+0.8</f>
        <v>16.100000000000001</v>
      </c>
      <c r="L13" s="114">
        <f>SUM(K13)+0.9</f>
        <v>17</v>
      </c>
      <c r="M13" s="162">
        <f>SUM(L13)+0.9</f>
        <v>17.899999999999999</v>
      </c>
    </row>
    <row r="14" spans="1:14" s="1" customFormat="1" ht="14.1" customHeight="1">
      <c r="A14" s="122"/>
      <c r="B14" s="75" t="s">
        <v>26</v>
      </c>
      <c r="C14" s="75"/>
      <c r="D14" s="79" t="s">
        <v>45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22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13.600000000000001</v>
      </c>
      <c r="I15" s="27">
        <f>SUM(J15)-0.6</f>
        <v>14.200000000000001</v>
      </c>
      <c r="J15" s="125">
        <v>14.8</v>
      </c>
      <c r="K15" s="114">
        <f>SUM(J15)+0.6</f>
        <v>15.4</v>
      </c>
      <c r="L15" s="114">
        <f>SUM(K15)+0.6</f>
        <v>16</v>
      </c>
      <c r="M15" s="162">
        <f>SUM(L15)+0.6</f>
        <v>16.600000000000001</v>
      </c>
    </row>
    <row r="16" spans="1:14" s="1" customFormat="1" ht="14.1" customHeight="1">
      <c r="A16" s="122"/>
      <c r="B16" s="75" t="s">
        <v>27</v>
      </c>
      <c r="C16" s="75"/>
      <c r="D16" s="79" t="s">
        <v>105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6" s="1" customFormat="1" ht="14.1" customHeight="1">
      <c r="A17" s="122">
        <v>8</v>
      </c>
      <c r="B17" s="98" t="s">
        <v>2</v>
      </c>
      <c r="C17" s="98"/>
      <c r="D17" s="124" t="s">
        <v>3</v>
      </c>
      <c r="E17" s="124"/>
      <c r="F17" s="124"/>
      <c r="G17" s="124"/>
      <c r="H17" s="27">
        <f>SUM(I17)-0.3</f>
        <v>5.9</v>
      </c>
      <c r="I17" s="27">
        <f>SUM(J17)-0.3</f>
        <v>6.2</v>
      </c>
      <c r="J17" s="125">
        <v>6.5</v>
      </c>
      <c r="K17" s="114">
        <f>SUM(J17)+0.3</f>
        <v>6.8</v>
      </c>
      <c r="L17" s="114">
        <f>SUM(K17)+0.3</f>
        <v>7.1</v>
      </c>
      <c r="M17" s="162">
        <f>SUM(L17)+0.3</f>
        <v>7.3999999999999995</v>
      </c>
    </row>
    <row r="18" spans="1:16" s="1" customFormat="1" ht="14.1" customHeight="1">
      <c r="A18" s="122"/>
      <c r="B18" s="75" t="s">
        <v>28</v>
      </c>
      <c r="C18" s="75"/>
      <c r="D18" s="79" t="s">
        <v>106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6" s="1" customFormat="1" ht="14.1" customHeight="1">
      <c r="A19" s="122">
        <v>9</v>
      </c>
      <c r="B19" s="36" t="s">
        <v>70</v>
      </c>
      <c r="C19" s="37"/>
      <c r="D19" s="76" t="s">
        <v>71</v>
      </c>
      <c r="E19" s="77"/>
      <c r="F19" s="77"/>
      <c r="G19" s="78"/>
      <c r="H19" s="27">
        <f>SUM(I19)-1.6</f>
        <v>36.799999999999997</v>
      </c>
      <c r="I19" s="27">
        <f>SUM(J19)-1.6</f>
        <v>38.4</v>
      </c>
      <c r="J19" s="125">
        <v>40</v>
      </c>
      <c r="K19" s="114">
        <f>SUM(J19)+1.6</f>
        <v>41.6</v>
      </c>
      <c r="L19" s="114">
        <f>SUM(K19)+1.6</f>
        <v>43.2</v>
      </c>
      <c r="M19" s="162">
        <f>SUM(L19)+1.6</f>
        <v>44.800000000000004</v>
      </c>
    </row>
    <row r="20" spans="1:16" s="1" customFormat="1" ht="14.1" customHeight="1">
      <c r="A20" s="122"/>
      <c r="B20" s="75" t="s">
        <v>33</v>
      </c>
      <c r="C20" s="75"/>
      <c r="D20" s="79" t="s">
        <v>107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6" s="1" customFormat="1" ht="14.1" customHeight="1">
      <c r="A21" s="122">
        <v>10</v>
      </c>
      <c r="B21" s="98" t="s">
        <v>4</v>
      </c>
      <c r="C21" s="98"/>
      <c r="D21" s="124" t="s">
        <v>5</v>
      </c>
      <c r="E21" s="124"/>
      <c r="F21" s="124"/>
      <c r="G21" s="124"/>
      <c r="H21" s="27">
        <f>SUM(I21)-3.6</f>
        <v>34.099999999999994</v>
      </c>
      <c r="I21" s="27">
        <f>SUM(J21)-3.6</f>
        <v>37.699999999999996</v>
      </c>
      <c r="J21" s="125">
        <v>41.3</v>
      </c>
      <c r="K21" s="114">
        <f>SUM(J21)+3.7</f>
        <v>45</v>
      </c>
      <c r="L21" s="114">
        <f>SUM(K21)+3.7</f>
        <v>48.7</v>
      </c>
      <c r="M21" s="162">
        <f>SUM(L21)+3.7</f>
        <v>52.400000000000006</v>
      </c>
    </row>
    <row r="22" spans="1:16" s="1" customFormat="1" ht="14.1" customHeight="1">
      <c r="A22" s="122"/>
      <c r="B22" s="75" t="s">
        <v>29</v>
      </c>
      <c r="C22" s="75"/>
      <c r="D22" s="79" t="s">
        <v>47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6" s="1" customFormat="1" ht="14.1" customHeight="1">
      <c r="A23" s="122">
        <v>11</v>
      </c>
      <c r="B23" s="98" t="s">
        <v>6</v>
      </c>
      <c r="C23" s="98"/>
      <c r="D23" s="76" t="s">
        <v>7</v>
      </c>
      <c r="E23" s="77"/>
      <c r="F23" s="77"/>
      <c r="G23" s="78"/>
      <c r="H23" s="27"/>
      <c r="I23" s="27"/>
      <c r="J23" s="125"/>
      <c r="K23" s="114"/>
      <c r="L23" s="114"/>
      <c r="M23" s="162"/>
    </row>
    <row r="24" spans="1:16" s="1" customFormat="1" ht="14.1" customHeight="1">
      <c r="A24" s="122"/>
      <c r="B24" s="75" t="s">
        <v>30</v>
      </c>
      <c r="C24" s="75"/>
      <c r="D24" s="79" t="s">
        <v>64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6" s="1" customFormat="1" ht="14.1" customHeight="1">
      <c r="A25" s="122">
        <v>12</v>
      </c>
      <c r="B25" s="36" t="s">
        <v>177</v>
      </c>
      <c r="C25" s="37"/>
      <c r="D25" s="124" t="s">
        <v>65</v>
      </c>
      <c r="E25" s="124"/>
      <c r="F25" s="124"/>
      <c r="G25" s="124"/>
      <c r="H25" s="27">
        <f>SUM(I25)-0.6</f>
        <v>13.8</v>
      </c>
      <c r="I25" s="27">
        <f>SUM(J25)-0.6</f>
        <v>14.4</v>
      </c>
      <c r="J25" s="125">
        <v>15</v>
      </c>
      <c r="K25" s="114">
        <f>SUM(J25)+0.6</f>
        <v>15.6</v>
      </c>
      <c r="L25" s="114">
        <f t="shared" ref="L25:M25" si="0">SUM(K25)+0.6</f>
        <v>16.2</v>
      </c>
      <c r="M25" s="162">
        <f t="shared" si="0"/>
        <v>16.8</v>
      </c>
      <c r="P25" s="1" t="s">
        <v>405</v>
      </c>
    </row>
    <row r="26" spans="1:16" s="1" customFormat="1" ht="14.1" customHeight="1">
      <c r="A26" s="122"/>
      <c r="B26" s="75" t="s">
        <v>31</v>
      </c>
      <c r="C26" s="75"/>
      <c r="D26" s="79" t="s">
        <v>66</v>
      </c>
      <c r="E26" s="80"/>
      <c r="F26" s="80"/>
      <c r="G26" s="81"/>
      <c r="H26" s="46"/>
      <c r="I26" s="46"/>
      <c r="J26" s="125"/>
      <c r="K26" s="114"/>
      <c r="L26" s="114"/>
      <c r="M26" s="162"/>
      <c r="P26" s="1">
        <f>SUM(H27+I27+J27+K27+L27+M27)</f>
        <v>173.25</v>
      </c>
    </row>
    <row r="27" spans="1:16" s="1" customFormat="1" ht="14.1" customHeight="1">
      <c r="A27" s="122">
        <v>13</v>
      </c>
      <c r="B27" s="36" t="s">
        <v>430</v>
      </c>
      <c r="C27" s="37"/>
      <c r="D27" s="124"/>
      <c r="E27" s="124"/>
      <c r="F27" s="124"/>
      <c r="G27" s="124"/>
      <c r="H27" s="27">
        <f>SUM(I27)-2.25</f>
        <v>23.5</v>
      </c>
      <c r="I27" s="27">
        <f>SUM(J27)-2.25</f>
        <v>25.75</v>
      </c>
      <c r="J27" s="41">
        <v>28</v>
      </c>
      <c r="K27" s="27">
        <f>SUM(J27)+2</f>
        <v>30</v>
      </c>
      <c r="L27" s="27">
        <f>SUM(K27)+2</f>
        <v>32</v>
      </c>
      <c r="M27" s="62">
        <f>SUM(L27)+2</f>
        <v>34</v>
      </c>
      <c r="P27" s="1">
        <f>SUM(P26/91.44/6*1.08)</f>
        <v>0.34104330708661418</v>
      </c>
    </row>
    <row r="28" spans="1:16" s="1" customFormat="1" ht="14.1" customHeight="1">
      <c r="A28" s="122"/>
      <c r="B28" s="127" t="s">
        <v>431</v>
      </c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48"/>
    </row>
    <row r="29" spans="1:16" s="1" customFormat="1" ht="14.1" customHeight="1">
      <c r="A29" s="122">
        <v>14</v>
      </c>
      <c r="B29" s="36" t="s">
        <v>432</v>
      </c>
      <c r="C29" s="37"/>
      <c r="D29" s="124"/>
      <c r="E29" s="124"/>
      <c r="F29" s="124"/>
      <c r="G29" s="124"/>
      <c r="H29" s="27">
        <f>SUM(I29)-2.25</f>
        <v>23.5</v>
      </c>
      <c r="I29" s="27">
        <f>SUM(J29)-2.25</f>
        <v>25.75</v>
      </c>
      <c r="J29" s="41">
        <v>28</v>
      </c>
      <c r="K29" s="27">
        <f>SUM(J29)+2</f>
        <v>30</v>
      </c>
      <c r="L29" s="27">
        <f>SUM(K29)+2</f>
        <v>32</v>
      </c>
      <c r="M29" s="62">
        <f>SUM(L29)+2</f>
        <v>34</v>
      </c>
    </row>
    <row r="30" spans="1:16" s="1" customFormat="1" ht="14.1" customHeight="1">
      <c r="A30" s="122"/>
      <c r="B30" s="127" t="s">
        <v>433</v>
      </c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8"/>
    </row>
    <row r="31" spans="1:16" ht="14.1" customHeight="1">
      <c r="A31" s="122">
        <v>15</v>
      </c>
      <c r="B31" s="36" t="s">
        <v>437</v>
      </c>
      <c r="C31" s="37"/>
      <c r="D31" s="124"/>
      <c r="E31" s="124"/>
      <c r="F31" s="124"/>
      <c r="G31" s="124"/>
      <c r="H31" s="27">
        <f>SUM(I31)-2.2</f>
        <v>16.200000000000003</v>
      </c>
      <c r="I31" s="27">
        <f>SUM(J31)-2.2</f>
        <v>18.400000000000002</v>
      </c>
      <c r="J31" s="41">
        <v>20.6</v>
      </c>
      <c r="K31" s="27">
        <f>SUM(J31)+1.7</f>
        <v>22.3</v>
      </c>
      <c r="L31" s="27">
        <f>SUM(K31)+1.7</f>
        <v>24</v>
      </c>
      <c r="M31" s="62">
        <f>SUM(L31)+1.7</f>
        <v>25.7</v>
      </c>
    </row>
    <row r="32" spans="1:16" ht="14.1" customHeight="1">
      <c r="A32" s="122"/>
      <c r="B32" s="127" t="s">
        <v>438</v>
      </c>
      <c r="C32" s="128"/>
      <c r="D32" s="79" t="s">
        <v>439</v>
      </c>
      <c r="E32" s="80"/>
      <c r="F32" s="80"/>
      <c r="G32" s="81"/>
      <c r="H32" s="46"/>
      <c r="I32" s="46"/>
      <c r="J32" s="44"/>
      <c r="K32" s="46"/>
      <c r="L32" s="46"/>
      <c r="M32" s="48"/>
    </row>
    <row r="33" spans="1:13" ht="14.1" customHeight="1">
      <c r="A33" s="122">
        <v>16</v>
      </c>
      <c r="B33" s="36" t="s">
        <v>386</v>
      </c>
      <c r="C33" s="37"/>
      <c r="D33" s="124"/>
      <c r="E33" s="124"/>
      <c r="F33" s="124"/>
      <c r="G33" s="124"/>
      <c r="H33" s="27">
        <f>SUM(I33)-0.5</f>
        <v>4.9000000000000004</v>
      </c>
      <c r="I33" s="27">
        <f>SUM(J33)-0.5</f>
        <v>5.4</v>
      </c>
      <c r="J33" s="41">
        <v>5.9</v>
      </c>
      <c r="K33" s="27">
        <f>SUM(J33)+0.5</f>
        <v>6.4</v>
      </c>
      <c r="L33" s="27">
        <f>SUM(K33)+0.5</f>
        <v>6.9</v>
      </c>
      <c r="M33" s="62">
        <f>SUM(L33)+0.5</f>
        <v>7.4</v>
      </c>
    </row>
    <row r="34" spans="1:13" ht="14.1" customHeight="1">
      <c r="A34" s="122"/>
      <c r="B34" s="127" t="s">
        <v>387</v>
      </c>
      <c r="C34" s="128"/>
      <c r="D34" s="79" t="s">
        <v>436</v>
      </c>
      <c r="E34" s="80"/>
      <c r="F34" s="80"/>
      <c r="G34" s="81"/>
      <c r="H34" s="46"/>
      <c r="I34" s="46"/>
      <c r="J34" s="44"/>
      <c r="K34" s="46"/>
      <c r="L34" s="46"/>
      <c r="M34" s="48"/>
    </row>
    <row r="35" spans="1:13" ht="14.1" customHeight="1">
      <c r="A35" s="122">
        <v>17</v>
      </c>
      <c r="B35" s="36" t="s">
        <v>434</v>
      </c>
      <c r="C35" s="37"/>
      <c r="D35" s="124"/>
      <c r="E35" s="124"/>
      <c r="F35" s="124"/>
      <c r="G35" s="124"/>
      <c r="H35" s="27">
        <f>SUM(I35)</f>
        <v>9.5</v>
      </c>
      <c r="I35" s="27">
        <f>SUM(J35)</f>
        <v>9.5</v>
      </c>
      <c r="J35" s="41">
        <v>9.5</v>
      </c>
      <c r="K35" s="27">
        <f>SUM(J35)+0.2</f>
        <v>9.6999999999999993</v>
      </c>
      <c r="L35" s="27">
        <f>SUM(K35)+0.2</f>
        <v>9.8999999999999986</v>
      </c>
      <c r="M35" s="62">
        <f>SUM(L35)+0.2</f>
        <v>10.099999999999998</v>
      </c>
    </row>
    <row r="36" spans="1:13" ht="14.1" customHeight="1">
      <c r="A36" s="122"/>
      <c r="B36" s="127" t="s">
        <v>409</v>
      </c>
      <c r="C36" s="128"/>
      <c r="D36" s="79" t="s">
        <v>435</v>
      </c>
      <c r="E36" s="80"/>
      <c r="F36" s="80"/>
      <c r="G36" s="81"/>
      <c r="H36" s="46"/>
      <c r="I36" s="46"/>
      <c r="J36" s="44"/>
      <c r="K36" s="46"/>
      <c r="L36" s="46"/>
      <c r="M36" s="48"/>
    </row>
    <row r="37" spans="1:13" ht="14.1" customHeight="1">
      <c r="A37" s="122">
        <v>18</v>
      </c>
      <c r="B37" s="133"/>
      <c r="C37" s="134"/>
      <c r="D37" s="135"/>
      <c r="E37" s="136"/>
      <c r="F37" s="136"/>
      <c r="G37" s="137"/>
      <c r="H37" s="27"/>
      <c r="I37" s="27"/>
      <c r="J37" s="41"/>
      <c r="K37" s="27"/>
      <c r="L37" s="27"/>
      <c r="M37" s="62"/>
    </row>
    <row r="38" spans="1:13" ht="14.1" customHeight="1" thickBot="1">
      <c r="A38" s="123"/>
      <c r="B38" s="143"/>
      <c r="C38" s="144"/>
      <c r="D38" s="119"/>
      <c r="E38" s="120"/>
      <c r="F38" s="120"/>
      <c r="G38" s="121"/>
      <c r="H38" s="28"/>
      <c r="I38" s="28"/>
      <c r="J38" s="42"/>
      <c r="K38" s="28"/>
      <c r="L38" s="28"/>
      <c r="M38" s="160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33:A34"/>
    <mergeCell ref="B33:C33"/>
    <mergeCell ref="D33:G33"/>
    <mergeCell ref="H33:H34"/>
    <mergeCell ref="I33:I34"/>
    <mergeCell ref="J33:J34"/>
    <mergeCell ref="K33:K34"/>
    <mergeCell ref="L33:L34"/>
    <mergeCell ref="M33:M34"/>
    <mergeCell ref="B34:C34"/>
    <mergeCell ref="D34:G34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7:A38"/>
    <mergeCell ref="B37:C37"/>
    <mergeCell ref="D37:G37"/>
    <mergeCell ref="H37:H38"/>
    <mergeCell ref="I37:I38"/>
    <mergeCell ref="A35:A36"/>
    <mergeCell ref="B35:C35"/>
    <mergeCell ref="D35:G35"/>
    <mergeCell ref="H35:H36"/>
    <mergeCell ref="I35:I36"/>
    <mergeCell ref="J37:J38"/>
    <mergeCell ref="K37:K38"/>
    <mergeCell ref="L37:L38"/>
    <mergeCell ref="M37:M38"/>
    <mergeCell ref="B38:C38"/>
    <mergeCell ref="D38:G38"/>
    <mergeCell ref="K35:K36"/>
    <mergeCell ref="L35:L36"/>
    <mergeCell ref="M35:M36"/>
    <mergeCell ref="B36:C36"/>
    <mergeCell ref="D36:G36"/>
    <mergeCell ref="J35:J3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4A49-A4DB-4850-BDBE-4512EE435C31}">
  <sheetPr codeName="Sheet66">
    <tabColor theme="5"/>
    <pageSetUpPr fitToPage="1"/>
  </sheetPr>
  <dimension ref="A1:P51"/>
  <sheetViews>
    <sheetView zoomScale="110" zoomScaleNormal="110" workbookViewId="0">
      <selection activeCell="Q19" sqref="Q19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4" ht="16.5" customHeight="1" thickBot="1">
      <c r="A1" s="85" t="s">
        <v>442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SUM(I3)-4</f>
        <v>43</v>
      </c>
      <c r="I3" s="27">
        <f>SUM(J3)-4</f>
        <v>47</v>
      </c>
      <c r="J3" s="139">
        <v>51</v>
      </c>
      <c r="K3" s="140">
        <f>SUM(J3)+3.5</f>
        <v>54.5</v>
      </c>
      <c r="L3" s="140">
        <f>SUM(K3)+3.5</f>
        <v>58</v>
      </c>
      <c r="M3" s="141">
        <f>SUM(L3)+3.5</f>
        <v>61.5</v>
      </c>
    </row>
    <row r="4" spans="1:14" s="1" customFormat="1" ht="14.1" customHeight="1">
      <c r="A4" s="122"/>
      <c r="B4" s="75" t="s">
        <v>36</v>
      </c>
      <c r="C4" s="75"/>
      <c r="D4" s="79" t="s">
        <v>398</v>
      </c>
      <c r="E4" s="80"/>
      <c r="F4" s="80"/>
      <c r="G4" s="80"/>
      <c r="H4" s="46"/>
      <c r="I4" s="46"/>
      <c r="J4" s="41"/>
      <c r="K4" s="27"/>
      <c r="L4" s="27"/>
      <c r="M4" s="29"/>
    </row>
    <row r="5" spans="1:14" s="1" customFormat="1" ht="14.1" customHeight="1">
      <c r="A5" s="122">
        <v>2</v>
      </c>
      <c r="B5" s="98" t="s">
        <v>396</v>
      </c>
      <c r="C5" s="98"/>
      <c r="D5" s="124"/>
      <c r="E5" s="124"/>
      <c r="F5" s="124"/>
      <c r="G5" s="124"/>
      <c r="H5" s="27">
        <f>SUM(I5)-3</f>
        <v>32</v>
      </c>
      <c r="I5" s="27">
        <f>SUM(J5)-3</f>
        <v>35</v>
      </c>
      <c r="J5" s="41">
        <v>38</v>
      </c>
      <c r="K5" s="27">
        <f>SUM(J5)+2.5</f>
        <v>40.5</v>
      </c>
      <c r="L5" s="27">
        <f>SUM(K5)+2.5</f>
        <v>43</v>
      </c>
      <c r="M5" s="29">
        <f>SUM(L5)+2.5</f>
        <v>45.5</v>
      </c>
    </row>
    <row r="6" spans="1:14" s="1" customFormat="1" ht="14.1" customHeight="1">
      <c r="A6" s="122"/>
      <c r="B6" s="75" t="s">
        <v>397</v>
      </c>
      <c r="C6" s="75"/>
      <c r="D6" s="79"/>
      <c r="E6" s="80"/>
      <c r="F6" s="80"/>
      <c r="G6" s="81"/>
      <c r="H6" s="46"/>
      <c r="I6" s="46"/>
      <c r="J6" s="44"/>
      <c r="K6" s="46"/>
      <c r="L6" s="46"/>
      <c r="M6" s="132"/>
    </row>
    <row r="7" spans="1:14" s="1" customFormat="1" ht="14.1" customHeight="1">
      <c r="A7" s="122">
        <v>3</v>
      </c>
      <c r="B7" s="98" t="s">
        <v>37</v>
      </c>
      <c r="C7" s="98"/>
      <c r="D7" s="124" t="s">
        <v>38</v>
      </c>
      <c r="E7" s="124"/>
      <c r="F7" s="124"/>
      <c r="G7" s="124"/>
      <c r="H7" s="27">
        <f>SUM(I7)-1.8</f>
        <v>21.4</v>
      </c>
      <c r="I7" s="27">
        <f>SUM(J7)-1.8</f>
        <v>23.2</v>
      </c>
      <c r="J7" s="41">
        <v>25</v>
      </c>
      <c r="K7" s="27">
        <f>SUM(J7)+1.6</f>
        <v>26.6</v>
      </c>
      <c r="L7" s="27">
        <f>SUM(K7)+1.6</f>
        <v>28.200000000000003</v>
      </c>
      <c r="M7" s="29">
        <f>SUM(L7)+1.6</f>
        <v>29.800000000000004</v>
      </c>
    </row>
    <row r="8" spans="1:14" s="1" customFormat="1" ht="14.1" customHeight="1">
      <c r="A8" s="122"/>
      <c r="B8" s="75" t="s">
        <v>24</v>
      </c>
      <c r="C8" s="75"/>
      <c r="D8" s="79" t="s">
        <v>42</v>
      </c>
      <c r="E8" s="80"/>
      <c r="F8" s="80"/>
      <c r="G8" s="81"/>
      <c r="H8" s="46"/>
      <c r="I8" s="46"/>
      <c r="J8" s="44"/>
      <c r="K8" s="46"/>
      <c r="L8" s="46"/>
      <c r="M8" s="132"/>
    </row>
    <row r="9" spans="1:14" s="1" customFormat="1" ht="14.1" customHeight="1">
      <c r="A9" s="122">
        <v>4</v>
      </c>
      <c r="B9" s="98" t="s">
        <v>35</v>
      </c>
      <c r="C9" s="98"/>
      <c r="D9" s="124" t="s">
        <v>69</v>
      </c>
      <c r="E9" s="124"/>
      <c r="F9" s="124"/>
      <c r="G9" s="124"/>
      <c r="H9" s="27">
        <f>SUM(I9)-2</f>
        <v>27</v>
      </c>
      <c r="I9" s="27">
        <f>SUM(J9)-2</f>
        <v>29</v>
      </c>
      <c r="J9" s="41">
        <v>31</v>
      </c>
      <c r="K9" s="27">
        <f>SUM(J9)+1.8</f>
        <v>32.799999999999997</v>
      </c>
      <c r="L9" s="27">
        <f>SUM(K9)+1.8</f>
        <v>34.599999999999994</v>
      </c>
      <c r="M9" s="29">
        <f>SUM(L9)+1.8</f>
        <v>36.399999999999991</v>
      </c>
      <c r="N9" s="1" t="s">
        <v>162</v>
      </c>
    </row>
    <row r="10" spans="1:14" s="1" customFormat="1" ht="14.1" customHeight="1">
      <c r="A10" s="122"/>
      <c r="B10" s="75" t="s">
        <v>40</v>
      </c>
      <c r="C10" s="75"/>
      <c r="D10" s="79" t="s">
        <v>43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4" s="1" customFormat="1" ht="14.1" customHeight="1">
      <c r="A11" s="122">
        <v>5</v>
      </c>
      <c r="B11" s="98" t="s">
        <v>41</v>
      </c>
      <c r="C11" s="98"/>
      <c r="D11" s="124" t="s">
        <v>8</v>
      </c>
      <c r="E11" s="124"/>
      <c r="F11" s="124"/>
      <c r="G11" s="124"/>
      <c r="H11" s="27">
        <f>SUM(I11)-2</f>
        <v>27</v>
      </c>
      <c r="I11" s="27">
        <f>SUM(J11)-2</f>
        <v>29</v>
      </c>
      <c r="J11" s="41">
        <v>31</v>
      </c>
      <c r="K11" s="27">
        <f>SUM(J11)+1.8</f>
        <v>32.799999999999997</v>
      </c>
      <c r="L11" s="27">
        <f>SUM(K11)+1.8</f>
        <v>34.599999999999994</v>
      </c>
      <c r="M11" s="29">
        <f>SUM(L11)+1.8</f>
        <v>36.399999999999991</v>
      </c>
    </row>
    <row r="12" spans="1:14" s="1" customFormat="1" ht="14.1" customHeight="1">
      <c r="A12" s="122"/>
      <c r="B12" s="75" t="s">
        <v>25</v>
      </c>
      <c r="C12" s="75"/>
      <c r="D12" s="79" t="s">
        <v>44</v>
      </c>
      <c r="E12" s="80"/>
      <c r="F12" s="80"/>
      <c r="G12" s="81"/>
      <c r="H12" s="46"/>
      <c r="I12" s="46"/>
      <c r="J12" s="44"/>
      <c r="K12" s="46"/>
      <c r="L12" s="46"/>
      <c r="M12" s="132"/>
    </row>
    <row r="13" spans="1:14" s="1" customFormat="1" ht="14.1" customHeight="1">
      <c r="A13" s="122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>
        <f>SUM(I13)-0.8</f>
        <v>12.799999999999999</v>
      </c>
      <c r="I13" s="27">
        <f>SUM(J13)-0.8</f>
        <v>13.6</v>
      </c>
      <c r="J13" s="125">
        <v>14.4</v>
      </c>
      <c r="K13" s="114">
        <f>SUM(J13)+0.8</f>
        <v>15.200000000000001</v>
      </c>
      <c r="L13" s="114">
        <f t="shared" ref="L13:M13" si="0">SUM(K13)+0.8</f>
        <v>16</v>
      </c>
      <c r="M13" s="116">
        <f t="shared" si="0"/>
        <v>16.8</v>
      </c>
    </row>
    <row r="14" spans="1:14" s="1" customFormat="1" ht="14.1" customHeight="1">
      <c r="A14" s="122"/>
      <c r="B14" s="75" t="s">
        <v>26</v>
      </c>
      <c r="C14" s="75"/>
      <c r="D14" s="79" t="s">
        <v>45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4" s="1" customFormat="1" ht="14.1" customHeight="1">
      <c r="A15" s="122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13.8</v>
      </c>
      <c r="I15" s="27">
        <f>SUM(J15)-0.6</f>
        <v>14.4</v>
      </c>
      <c r="J15" s="125">
        <v>15</v>
      </c>
      <c r="K15" s="114">
        <f>SUM(J15)+0.6</f>
        <v>15.6</v>
      </c>
      <c r="L15" s="114">
        <f>SUM(K15)+0.6</f>
        <v>16.2</v>
      </c>
      <c r="M15" s="116">
        <f>SUM(L15)+0.6</f>
        <v>16.8</v>
      </c>
    </row>
    <row r="16" spans="1:14" s="1" customFormat="1" ht="14.1" customHeight="1">
      <c r="A16" s="122"/>
      <c r="B16" s="75" t="s">
        <v>27</v>
      </c>
      <c r="C16" s="75"/>
      <c r="D16" s="79" t="s">
        <v>105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6" s="1" customFormat="1" ht="14.1" customHeight="1">
      <c r="A17" s="122">
        <v>8</v>
      </c>
      <c r="B17" s="98" t="s">
        <v>2</v>
      </c>
      <c r="C17" s="98"/>
      <c r="D17" s="124" t="s">
        <v>3</v>
      </c>
      <c r="E17" s="124"/>
      <c r="F17" s="124"/>
      <c r="G17" s="124"/>
      <c r="H17" s="27">
        <f>SUM(I17)-0.3</f>
        <v>5.4</v>
      </c>
      <c r="I17" s="27">
        <f>SUM(J17)-0.3</f>
        <v>5.7</v>
      </c>
      <c r="J17" s="125">
        <v>6</v>
      </c>
      <c r="K17" s="114">
        <f>SUM(J17)+0.3</f>
        <v>6.3</v>
      </c>
      <c r="L17" s="114">
        <f>SUM(K17)+0.3</f>
        <v>6.6</v>
      </c>
      <c r="M17" s="116">
        <f>SUM(L17)+0.3</f>
        <v>6.8999999999999995</v>
      </c>
    </row>
    <row r="18" spans="1:16" s="1" customFormat="1" ht="14.1" customHeight="1">
      <c r="A18" s="122"/>
      <c r="B18" s="75" t="s">
        <v>28</v>
      </c>
      <c r="C18" s="75"/>
      <c r="D18" s="79" t="s">
        <v>106</v>
      </c>
      <c r="E18" s="80"/>
      <c r="F18" s="80"/>
      <c r="G18" s="81"/>
      <c r="H18" s="46"/>
      <c r="I18" s="46"/>
      <c r="J18" s="125"/>
      <c r="K18" s="114"/>
      <c r="L18" s="114"/>
      <c r="M18" s="116"/>
    </row>
    <row r="19" spans="1:16" s="1" customFormat="1" ht="14.1" customHeight="1">
      <c r="A19" s="122">
        <v>9</v>
      </c>
      <c r="B19" s="36" t="s">
        <v>70</v>
      </c>
      <c r="C19" s="37"/>
      <c r="D19" s="76" t="s">
        <v>71</v>
      </c>
      <c r="E19" s="77"/>
      <c r="F19" s="77"/>
      <c r="G19" s="78"/>
      <c r="H19" s="27">
        <f>SUM(I19)-1.6</f>
        <v>36.799999999999997</v>
      </c>
      <c r="I19" s="27">
        <f>SUM(J19)-1.6</f>
        <v>38.4</v>
      </c>
      <c r="J19" s="125">
        <v>40</v>
      </c>
      <c r="K19" s="114">
        <f>SUM(J19)+1.6</f>
        <v>41.6</v>
      </c>
      <c r="L19" s="114">
        <f>SUM(K19)+1.6</f>
        <v>43.2</v>
      </c>
      <c r="M19" s="116">
        <f>SUM(L19)+1.6</f>
        <v>44.800000000000004</v>
      </c>
    </row>
    <row r="20" spans="1:16" s="1" customFormat="1" ht="14.1" customHeight="1">
      <c r="A20" s="122"/>
      <c r="B20" s="75" t="s">
        <v>33</v>
      </c>
      <c r="C20" s="75"/>
      <c r="D20" s="79" t="s">
        <v>107</v>
      </c>
      <c r="E20" s="80"/>
      <c r="F20" s="80"/>
      <c r="G20" s="81"/>
      <c r="H20" s="46"/>
      <c r="I20" s="46"/>
      <c r="J20" s="125"/>
      <c r="K20" s="114"/>
      <c r="L20" s="114"/>
      <c r="M20" s="116"/>
    </row>
    <row r="21" spans="1:16" s="1" customFormat="1" ht="14.1" customHeight="1">
      <c r="A21" s="122">
        <v>10</v>
      </c>
      <c r="B21" s="98" t="s">
        <v>4</v>
      </c>
      <c r="C21" s="98"/>
      <c r="D21" s="124" t="s">
        <v>5</v>
      </c>
      <c r="E21" s="124"/>
      <c r="F21" s="124"/>
      <c r="G21" s="124"/>
      <c r="H21" s="27">
        <f>SUM(I21)-3.6</f>
        <v>33.299999999999997</v>
      </c>
      <c r="I21" s="27">
        <f>SUM(J21)-3.6</f>
        <v>36.9</v>
      </c>
      <c r="J21" s="125">
        <v>40.5</v>
      </c>
      <c r="K21" s="114">
        <f>SUM(J21)+3.7</f>
        <v>44.2</v>
      </c>
      <c r="L21" s="114">
        <f>SUM(K21)+3.7</f>
        <v>47.900000000000006</v>
      </c>
      <c r="M21" s="116">
        <f>SUM(L21)+3.7</f>
        <v>51.600000000000009</v>
      </c>
    </row>
    <row r="22" spans="1:16" s="1" customFormat="1" ht="14.1" customHeight="1">
      <c r="A22" s="122"/>
      <c r="B22" s="75" t="s">
        <v>29</v>
      </c>
      <c r="C22" s="75"/>
      <c r="D22" s="79" t="s">
        <v>47</v>
      </c>
      <c r="E22" s="80"/>
      <c r="F22" s="80"/>
      <c r="G22" s="81"/>
      <c r="H22" s="46"/>
      <c r="I22" s="46"/>
      <c r="J22" s="125"/>
      <c r="K22" s="114"/>
      <c r="L22" s="114"/>
      <c r="M22" s="116"/>
    </row>
    <row r="23" spans="1:16" s="1" customFormat="1" ht="14.1" customHeight="1">
      <c r="A23" s="122">
        <v>11</v>
      </c>
      <c r="B23" s="98" t="s">
        <v>6</v>
      </c>
      <c r="C23" s="98"/>
      <c r="D23" s="76" t="s">
        <v>7</v>
      </c>
      <c r="E23" s="77"/>
      <c r="F23" s="77"/>
      <c r="G23" s="78"/>
      <c r="H23" s="27">
        <f>SUM(I23)-1.3</f>
        <v>21.4</v>
      </c>
      <c r="I23" s="27">
        <f>SUM(J23)-1.3</f>
        <v>22.7</v>
      </c>
      <c r="J23" s="125">
        <v>24</v>
      </c>
      <c r="K23" s="114">
        <f>SUM(J23)+1.3</f>
        <v>25.3</v>
      </c>
      <c r="L23" s="114">
        <f>SUM(K23)+1.3</f>
        <v>26.6</v>
      </c>
      <c r="M23" s="116">
        <f>SUM(L23)+1.3</f>
        <v>27.900000000000002</v>
      </c>
    </row>
    <row r="24" spans="1:16" s="1" customFormat="1" ht="14.1" customHeight="1">
      <c r="A24" s="122"/>
      <c r="B24" s="75" t="s">
        <v>30</v>
      </c>
      <c r="C24" s="75"/>
      <c r="D24" s="79" t="s">
        <v>64</v>
      </c>
      <c r="E24" s="80"/>
      <c r="F24" s="80"/>
      <c r="G24" s="81"/>
      <c r="H24" s="46"/>
      <c r="I24" s="46"/>
      <c r="J24" s="125"/>
      <c r="K24" s="114"/>
      <c r="L24" s="114"/>
      <c r="M24" s="116"/>
    </row>
    <row r="25" spans="1:16" s="1" customFormat="1" ht="14.1" customHeight="1">
      <c r="A25" s="122">
        <v>12</v>
      </c>
      <c r="B25" s="36" t="s">
        <v>177</v>
      </c>
      <c r="C25" s="37"/>
      <c r="D25" s="124" t="s">
        <v>65</v>
      </c>
      <c r="E25" s="124"/>
      <c r="F25" s="124"/>
      <c r="G25" s="124"/>
      <c r="H25" s="27">
        <f>SUM(I25)-0.6</f>
        <v>14</v>
      </c>
      <c r="I25" s="27">
        <f>SUM(J25)-0.6</f>
        <v>14.6</v>
      </c>
      <c r="J25" s="125">
        <v>15.2</v>
      </c>
      <c r="K25" s="114">
        <f>SUM(J25)+0.6</f>
        <v>15.799999999999999</v>
      </c>
      <c r="L25" s="114">
        <f t="shared" ref="L25:M25" si="1">SUM(K25)+0.6</f>
        <v>16.399999999999999</v>
      </c>
      <c r="M25" s="116">
        <f t="shared" si="1"/>
        <v>17</v>
      </c>
      <c r="P25" s="1" t="s">
        <v>405</v>
      </c>
    </row>
    <row r="26" spans="1:16" s="1" customFormat="1" ht="14.1" customHeight="1">
      <c r="A26" s="122"/>
      <c r="B26" s="75" t="s">
        <v>31</v>
      </c>
      <c r="C26" s="75"/>
      <c r="D26" s="79" t="s">
        <v>66</v>
      </c>
      <c r="E26" s="80"/>
      <c r="F26" s="80"/>
      <c r="G26" s="81"/>
      <c r="H26" s="46"/>
      <c r="I26" s="46"/>
      <c r="J26" s="125"/>
      <c r="K26" s="114"/>
      <c r="L26" s="114"/>
      <c r="M26" s="116"/>
      <c r="P26" s="1">
        <f>SUM(H27+I27+J27+K27+L27)</f>
        <v>265</v>
      </c>
    </row>
    <row r="27" spans="1:16" s="1" customFormat="1" ht="14.1" customHeight="1">
      <c r="A27" s="122">
        <v>13</v>
      </c>
      <c r="B27" s="36" t="s">
        <v>403</v>
      </c>
      <c r="C27" s="37"/>
      <c r="D27" s="124"/>
      <c r="E27" s="124"/>
      <c r="F27" s="124"/>
      <c r="G27" s="124"/>
      <c r="H27" s="27">
        <f>SUM(I27)-3</f>
        <v>47</v>
      </c>
      <c r="I27" s="27">
        <f>SUM(J27)-3</f>
        <v>50</v>
      </c>
      <c r="J27" s="41">
        <v>53</v>
      </c>
      <c r="K27" s="27">
        <f>SUM(J27)+3</f>
        <v>56</v>
      </c>
      <c r="L27" s="27">
        <f>SUM(K27)+3</f>
        <v>59</v>
      </c>
      <c r="M27" s="29">
        <f>SUM(L27)+3</f>
        <v>62</v>
      </c>
      <c r="P27" s="1">
        <f>SUM(P26/91.44/5*1.08)</f>
        <v>0.62598425196850394</v>
      </c>
    </row>
    <row r="28" spans="1:16" s="1" customFormat="1" ht="14.1" customHeight="1">
      <c r="A28" s="122"/>
      <c r="B28" s="127" t="s">
        <v>404</v>
      </c>
      <c r="C28" s="128"/>
      <c r="D28" s="79"/>
      <c r="E28" s="80"/>
      <c r="F28" s="80"/>
      <c r="G28" s="81"/>
      <c r="H28" s="46"/>
      <c r="I28" s="46"/>
      <c r="J28" s="44"/>
      <c r="K28" s="46"/>
      <c r="L28" s="46"/>
      <c r="M28" s="132"/>
    </row>
    <row r="29" spans="1:16" s="1" customFormat="1" ht="14.1" customHeight="1">
      <c r="A29" s="122">
        <v>14</v>
      </c>
      <c r="B29" s="36" t="s">
        <v>399</v>
      </c>
      <c r="C29" s="37"/>
      <c r="D29" s="124"/>
      <c r="E29" s="124"/>
      <c r="F29" s="124"/>
      <c r="G29" s="124"/>
      <c r="H29" s="27">
        <f>SUM(I29)-0.9</f>
        <v>10.199999999999999</v>
      </c>
      <c r="I29" s="27">
        <f>SUM(J29)-0.9</f>
        <v>11.1</v>
      </c>
      <c r="J29" s="41">
        <v>12</v>
      </c>
      <c r="K29" s="27">
        <f>SUM(J29)+0.7</f>
        <v>12.7</v>
      </c>
      <c r="L29" s="27">
        <f>SUM(K29)+0.7</f>
        <v>13.399999999999999</v>
      </c>
      <c r="M29" s="29">
        <f>SUM(L29)+0.7</f>
        <v>14.099999999999998</v>
      </c>
    </row>
    <row r="30" spans="1:16" s="1" customFormat="1" ht="14.1" customHeight="1">
      <c r="A30" s="122"/>
      <c r="B30" s="127" t="s">
        <v>400</v>
      </c>
      <c r="C30" s="128"/>
      <c r="D30" s="79" t="s">
        <v>349</v>
      </c>
      <c r="E30" s="80"/>
      <c r="F30" s="80"/>
      <c r="G30" s="81"/>
      <c r="H30" s="46"/>
      <c r="I30" s="46"/>
      <c r="J30" s="44"/>
      <c r="K30" s="46"/>
      <c r="L30" s="46"/>
      <c r="M30" s="132"/>
    </row>
    <row r="31" spans="1:16" ht="14.1" customHeight="1">
      <c r="A31" s="122">
        <v>15</v>
      </c>
      <c r="B31" s="36" t="s">
        <v>401</v>
      </c>
      <c r="C31" s="37"/>
      <c r="D31" s="124"/>
      <c r="E31" s="124"/>
      <c r="F31" s="124"/>
      <c r="G31" s="124"/>
      <c r="H31" s="27">
        <f>SUM(I31)-1.1</f>
        <v>14.3</v>
      </c>
      <c r="I31" s="27">
        <f>SUM(J31)-1.1</f>
        <v>15.4</v>
      </c>
      <c r="J31" s="41">
        <v>16.5</v>
      </c>
      <c r="K31" s="27">
        <f>SUM(J31)+0.8</f>
        <v>17.3</v>
      </c>
      <c r="L31" s="27">
        <f>SUM(K31)+0.8</f>
        <v>18.100000000000001</v>
      </c>
      <c r="M31" s="29">
        <f>SUM(L31)+0.8</f>
        <v>18.900000000000002</v>
      </c>
    </row>
    <row r="32" spans="1:16" ht="14.1" customHeight="1">
      <c r="A32" s="122"/>
      <c r="B32" s="127" t="s">
        <v>402</v>
      </c>
      <c r="C32" s="128"/>
      <c r="D32" s="79" t="s">
        <v>349</v>
      </c>
      <c r="E32" s="80"/>
      <c r="F32" s="80"/>
      <c r="G32" s="81"/>
      <c r="H32" s="46"/>
      <c r="I32" s="46"/>
      <c r="J32" s="44"/>
      <c r="K32" s="46"/>
      <c r="L32" s="46"/>
      <c r="M32" s="132"/>
    </row>
    <row r="33" spans="1:13" ht="14.1" customHeight="1">
      <c r="A33" s="122">
        <v>16</v>
      </c>
      <c r="B33" s="36" t="s">
        <v>114</v>
      </c>
      <c r="C33" s="37"/>
      <c r="D33" s="124"/>
      <c r="E33" s="124"/>
      <c r="F33" s="124"/>
      <c r="G33" s="124"/>
      <c r="H33" s="27">
        <f>SUM(I33)-0.2</f>
        <v>4.0999999999999996</v>
      </c>
      <c r="I33" s="27">
        <f>SUM(J33)-0.2</f>
        <v>4.3</v>
      </c>
      <c r="J33" s="41">
        <v>4.5</v>
      </c>
      <c r="K33" s="27">
        <f>SUM(J33)+0.2</f>
        <v>4.7</v>
      </c>
      <c r="L33" s="27">
        <f>SUM(K33)+0.2</f>
        <v>4.9000000000000004</v>
      </c>
      <c r="M33" s="29">
        <f>SUM(L33)+0.2</f>
        <v>5.1000000000000005</v>
      </c>
    </row>
    <row r="34" spans="1:13" ht="14.1" customHeight="1">
      <c r="A34" s="122"/>
      <c r="B34" s="127" t="s">
        <v>122</v>
      </c>
      <c r="C34" s="128"/>
      <c r="D34" s="79"/>
      <c r="E34" s="80"/>
      <c r="F34" s="80"/>
      <c r="G34" s="81"/>
      <c r="H34" s="46"/>
      <c r="I34" s="46"/>
      <c r="J34" s="44"/>
      <c r="K34" s="46"/>
      <c r="L34" s="46"/>
      <c r="M34" s="132"/>
    </row>
    <row r="35" spans="1:13" ht="14.1" customHeight="1">
      <c r="A35" s="122">
        <v>17</v>
      </c>
      <c r="B35" s="133"/>
      <c r="C35" s="134"/>
      <c r="D35" s="135"/>
      <c r="E35" s="136"/>
      <c r="F35" s="136"/>
      <c r="G35" s="137"/>
      <c r="H35" s="27"/>
      <c r="I35" s="27"/>
      <c r="J35" s="41"/>
      <c r="K35" s="27"/>
      <c r="L35" s="27"/>
      <c r="M35" s="62"/>
    </row>
    <row r="36" spans="1:13" ht="14.1" customHeight="1" thickBot="1">
      <c r="A36" s="123"/>
      <c r="B36" s="143"/>
      <c r="C36" s="144"/>
      <c r="D36" s="119"/>
      <c r="E36" s="120"/>
      <c r="F36" s="120"/>
      <c r="G36" s="121"/>
      <c r="H36" s="28"/>
      <c r="I36" s="28"/>
      <c r="J36" s="42"/>
      <c r="K36" s="28"/>
      <c r="L36" s="28"/>
      <c r="M36" s="160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190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1A4A-0DAC-4821-9459-231E9DBD66FF}">
  <sheetPr codeName="Sheet67">
    <tabColor theme="5"/>
    <pageSetUpPr fitToPage="1"/>
  </sheetPr>
  <dimension ref="A1:P51"/>
  <sheetViews>
    <sheetView zoomScale="110" zoomScaleNormal="110" workbookViewId="0">
      <selection activeCell="I25" sqref="I25:I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85" t="s">
        <v>383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6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38">
        <v>1</v>
      </c>
      <c r="B3" s="148" t="s">
        <v>39</v>
      </c>
      <c r="C3" s="148"/>
      <c r="D3" s="92" t="s">
        <v>217</v>
      </c>
      <c r="E3" s="93"/>
      <c r="F3" s="93"/>
      <c r="G3" s="94"/>
      <c r="H3" s="27">
        <f>SUM(I3)-3.5</f>
        <v>35</v>
      </c>
      <c r="I3" s="27">
        <f>SUM(J3)-3.5</f>
        <v>38.5</v>
      </c>
      <c r="J3" s="139">
        <v>42</v>
      </c>
      <c r="K3" s="96">
        <f>SUM(J3)+3</f>
        <v>45</v>
      </c>
      <c r="L3" s="96">
        <f>SUM(K3)+3</f>
        <v>48</v>
      </c>
      <c r="M3" s="97">
        <f>SUM(L3)+3</f>
        <v>51</v>
      </c>
    </row>
    <row r="4" spans="1:16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46"/>
      <c r="L4" s="46"/>
      <c r="M4" s="48"/>
    </row>
    <row r="5" spans="1:16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</f>
        <v>35</v>
      </c>
      <c r="I5" s="27">
        <f>SUM(J5)-2</f>
        <v>37</v>
      </c>
      <c r="J5" s="41">
        <v>39</v>
      </c>
      <c r="K5" s="27">
        <f>SUM(J5)+2</f>
        <v>41</v>
      </c>
      <c r="L5" s="27">
        <f>SUM(K5)+2</f>
        <v>43</v>
      </c>
      <c r="M5" s="62">
        <f>SUM(L5)+2</f>
        <v>45</v>
      </c>
    </row>
    <row r="6" spans="1:16" s="1" customFormat="1" ht="14.1" customHeight="1">
      <c r="A6" s="122"/>
      <c r="B6" s="75" t="s">
        <v>24</v>
      </c>
      <c r="C6" s="75"/>
      <c r="D6" s="79" t="s">
        <v>254</v>
      </c>
      <c r="E6" s="80"/>
      <c r="F6" s="80"/>
      <c r="G6" s="81"/>
      <c r="H6" s="46"/>
      <c r="I6" s="46"/>
      <c r="J6" s="44"/>
      <c r="K6" s="46"/>
      <c r="L6" s="46"/>
      <c r="M6" s="48"/>
    </row>
    <row r="7" spans="1:16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</f>
        <v>35</v>
      </c>
      <c r="I7" s="27">
        <f>SUM(J7)-2</f>
        <v>37</v>
      </c>
      <c r="J7" s="41">
        <v>39</v>
      </c>
      <c r="K7" s="27">
        <f>SUM(J7)+2</f>
        <v>41</v>
      </c>
      <c r="L7" s="27">
        <f>SUM(K7)+2</f>
        <v>43</v>
      </c>
      <c r="M7" s="62">
        <f>SUM(L7)+2</f>
        <v>45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6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30.400000000000002</v>
      </c>
      <c r="I9" s="27">
        <f>SUM(J9)-1.8</f>
        <v>32.200000000000003</v>
      </c>
      <c r="J9" s="41">
        <v>34</v>
      </c>
      <c r="K9" s="27">
        <f>SUM(J9)+1.8</f>
        <v>35.799999999999997</v>
      </c>
      <c r="L9" s="27">
        <f>SUM(K9)+1.8</f>
        <v>37.599999999999994</v>
      </c>
      <c r="M9" s="62">
        <f>SUM(L9)+1.8</f>
        <v>39.399999999999991</v>
      </c>
      <c r="O9" s="1" t="s">
        <v>162</v>
      </c>
    </row>
    <row r="10" spans="1:16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6" s="1" customFormat="1" ht="14.1" customHeight="1">
      <c r="A11" s="122">
        <v>5</v>
      </c>
      <c r="B11" s="98" t="s">
        <v>255</v>
      </c>
      <c r="C11" s="98"/>
      <c r="D11" s="124"/>
      <c r="E11" s="124"/>
      <c r="F11" s="124"/>
      <c r="G11" s="124"/>
      <c r="H11" s="27">
        <f>SUM(I11)-0</f>
        <v>5</v>
      </c>
      <c r="I11" s="27">
        <f>SUM(J11)-0</f>
        <v>5</v>
      </c>
      <c r="J11" s="41">
        <v>5</v>
      </c>
      <c r="K11" s="27">
        <f>SUM(J11)+0.5</f>
        <v>5.5</v>
      </c>
      <c r="L11" s="27">
        <f>SUM(K11)+0</f>
        <v>5.5</v>
      </c>
      <c r="M11" s="62">
        <f>SUM(L11)+0</f>
        <v>5.5</v>
      </c>
      <c r="P11" s="1" t="s">
        <v>162</v>
      </c>
    </row>
    <row r="12" spans="1:16" s="1" customFormat="1" ht="14.1" customHeight="1">
      <c r="A12" s="122"/>
      <c r="B12" s="75" t="s">
        <v>256</v>
      </c>
      <c r="C12" s="75"/>
      <c r="D12" s="79"/>
      <c r="E12" s="80"/>
      <c r="F12" s="80"/>
      <c r="G12" s="81"/>
      <c r="H12" s="46"/>
      <c r="I12" s="46"/>
      <c r="J12" s="44"/>
      <c r="K12" s="46"/>
      <c r="L12" s="46"/>
      <c r="M12" s="48"/>
    </row>
    <row r="13" spans="1:16" s="1" customFormat="1" ht="14.1" customHeight="1">
      <c r="A13" s="122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>
        <f>SUM(I13)-0.8</f>
        <v>15.399999999999999</v>
      </c>
      <c r="I13" s="27">
        <f>SUM(J13)-0.8</f>
        <v>16.2</v>
      </c>
      <c r="J13" s="125">
        <v>17</v>
      </c>
      <c r="K13" s="114">
        <f>SUM(J13)+0.8</f>
        <v>17.8</v>
      </c>
      <c r="L13" s="114">
        <f>SUM(K13)+0.8</f>
        <v>18.600000000000001</v>
      </c>
      <c r="M13" s="162">
        <f>SUM(L13)+0.8</f>
        <v>19.400000000000002</v>
      </c>
    </row>
    <row r="14" spans="1:16" s="1" customFormat="1" ht="14.1" customHeight="1">
      <c r="A14" s="122"/>
      <c r="B14" s="75" t="s">
        <v>26</v>
      </c>
      <c r="C14" s="75"/>
      <c r="D14" s="79" t="s">
        <v>45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6" s="1" customFormat="1" ht="14.1" customHeight="1">
      <c r="A15" s="122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15.3</v>
      </c>
      <c r="I15" s="27">
        <f>SUM(J15)-0.6</f>
        <v>15.9</v>
      </c>
      <c r="J15" s="125">
        <v>16.5</v>
      </c>
      <c r="K15" s="27">
        <f>SUM(J15)+0.6</f>
        <v>17.100000000000001</v>
      </c>
      <c r="L15" s="27">
        <f>SUM(K15)+0.6</f>
        <v>17.700000000000003</v>
      </c>
      <c r="M15" s="62">
        <f>SUM(L15)+0.6</f>
        <v>18.300000000000004</v>
      </c>
    </row>
    <row r="16" spans="1:16" s="1" customFormat="1" ht="14.1" customHeight="1">
      <c r="A16" s="122"/>
      <c r="B16" s="75" t="s">
        <v>27</v>
      </c>
      <c r="C16" s="75"/>
      <c r="D16" s="79" t="s">
        <v>46</v>
      </c>
      <c r="E16" s="80"/>
      <c r="F16" s="80"/>
      <c r="G16" s="81"/>
      <c r="H16" s="46"/>
      <c r="I16" s="46"/>
      <c r="J16" s="125"/>
      <c r="K16" s="46"/>
      <c r="L16" s="46"/>
      <c r="M16" s="48"/>
    </row>
    <row r="17" spans="1:13" s="1" customFormat="1" ht="14.1" customHeight="1">
      <c r="A17" s="122">
        <v>8</v>
      </c>
      <c r="B17" s="36" t="s">
        <v>2</v>
      </c>
      <c r="C17" s="37"/>
      <c r="D17" s="124" t="s">
        <v>3</v>
      </c>
      <c r="E17" s="124"/>
      <c r="F17" s="124"/>
      <c r="G17" s="124"/>
      <c r="H17" s="27">
        <f>SUM(I17)-0.3</f>
        <v>6.4</v>
      </c>
      <c r="I17" s="27">
        <f>SUM(J17)-0.3</f>
        <v>6.7</v>
      </c>
      <c r="J17" s="125">
        <v>7</v>
      </c>
      <c r="K17" s="114">
        <f>SUM(J17)+0.3</f>
        <v>7.3</v>
      </c>
      <c r="L17" s="114">
        <f>SUM(K17)+0.3</f>
        <v>7.6</v>
      </c>
      <c r="M17" s="161">
        <f>SUM(L17)+0.3</f>
        <v>7.8999999999999995</v>
      </c>
    </row>
    <row r="18" spans="1:13" s="1" customFormat="1" ht="14.1" customHeight="1">
      <c r="A18" s="122"/>
      <c r="B18" s="127" t="s">
        <v>28</v>
      </c>
      <c r="C18" s="128"/>
      <c r="D18" s="79" t="s">
        <v>164</v>
      </c>
      <c r="E18" s="80"/>
      <c r="F18" s="80"/>
      <c r="G18" s="81"/>
      <c r="H18" s="46"/>
      <c r="I18" s="46"/>
      <c r="J18" s="125"/>
      <c r="K18" s="114"/>
      <c r="L18" s="114"/>
      <c r="M18" s="161"/>
    </row>
    <row r="19" spans="1:13" s="1" customFormat="1" ht="14.1" customHeight="1">
      <c r="A19" s="122">
        <v>9</v>
      </c>
      <c r="B19" s="36" t="s">
        <v>70</v>
      </c>
      <c r="C19" s="37"/>
      <c r="D19" s="76" t="s">
        <v>71</v>
      </c>
      <c r="E19" s="77"/>
      <c r="F19" s="77"/>
      <c r="G19" s="78"/>
      <c r="H19" s="27"/>
      <c r="I19" s="27"/>
      <c r="J19" s="125"/>
      <c r="K19" s="114"/>
      <c r="L19" s="114"/>
      <c r="M19" s="161"/>
    </row>
    <row r="20" spans="1:13" s="1" customFormat="1" ht="14.1" customHeight="1">
      <c r="A20" s="122"/>
      <c r="B20" s="75" t="s">
        <v>33</v>
      </c>
      <c r="C20" s="75"/>
      <c r="D20" s="79" t="s">
        <v>74</v>
      </c>
      <c r="E20" s="80"/>
      <c r="F20" s="80"/>
      <c r="G20" s="81"/>
      <c r="H20" s="46"/>
      <c r="I20" s="46"/>
      <c r="J20" s="125"/>
      <c r="K20" s="114"/>
      <c r="L20" s="114"/>
      <c r="M20" s="161"/>
    </row>
    <row r="21" spans="1:13" s="1" customFormat="1" ht="14.1" customHeight="1">
      <c r="A21" s="122">
        <v>10</v>
      </c>
      <c r="B21" s="36" t="s">
        <v>257</v>
      </c>
      <c r="C21" s="37"/>
      <c r="D21" s="76"/>
      <c r="E21" s="77"/>
      <c r="F21" s="77"/>
      <c r="G21" s="78"/>
      <c r="H21" s="27">
        <f>SUM(I21)</f>
        <v>2.5</v>
      </c>
      <c r="I21" s="27">
        <f>SUM(J21)</f>
        <v>2.5</v>
      </c>
      <c r="J21" s="41">
        <v>2.5</v>
      </c>
      <c r="K21" s="27">
        <f>SUM(J21)</f>
        <v>2.5</v>
      </c>
      <c r="L21" s="27">
        <f>SUM(K21)</f>
        <v>2.5</v>
      </c>
      <c r="M21" s="62">
        <f>SUM(L21)</f>
        <v>2.5</v>
      </c>
    </row>
    <row r="22" spans="1:13" s="1" customFormat="1" ht="14.1" customHeight="1">
      <c r="A22" s="122"/>
      <c r="B22" s="75" t="s">
        <v>267</v>
      </c>
      <c r="C22" s="75"/>
      <c r="D22" s="79"/>
      <c r="E22" s="80"/>
      <c r="F22" s="80"/>
      <c r="G22" s="81"/>
      <c r="H22" s="46"/>
      <c r="I22" s="46"/>
      <c r="J22" s="44"/>
      <c r="K22" s="46"/>
      <c r="L22" s="46"/>
      <c r="M22" s="48"/>
    </row>
    <row r="23" spans="1:13" s="1" customFormat="1" ht="14.1" customHeight="1">
      <c r="A23" s="122">
        <v>11</v>
      </c>
      <c r="B23" s="98" t="s">
        <v>4</v>
      </c>
      <c r="C23" s="98"/>
      <c r="D23" s="124" t="s">
        <v>5</v>
      </c>
      <c r="E23" s="124"/>
      <c r="F23" s="124"/>
      <c r="G23" s="124"/>
      <c r="H23" s="27">
        <f>SUM(I23)-3.5</f>
        <v>27</v>
      </c>
      <c r="I23" s="27">
        <f>SUM(J23)-3.5</f>
        <v>30.5</v>
      </c>
      <c r="J23" s="125">
        <v>34</v>
      </c>
      <c r="K23" s="114">
        <f>SUM(J23)+3.5</f>
        <v>37.5</v>
      </c>
      <c r="L23" s="114">
        <f>SUM(K23)+3.5</f>
        <v>41</v>
      </c>
      <c r="M23" s="161">
        <f>SUM(L23)+3.5</f>
        <v>44.5</v>
      </c>
    </row>
    <row r="24" spans="1:13" s="1" customFormat="1" ht="14.1" customHeight="1">
      <c r="A24" s="122"/>
      <c r="B24" s="75" t="s">
        <v>29</v>
      </c>
      <c r="C24" s="75"/>
      <c r="D24" s="79" t="s">
        <v>47</v>
      </c>
      <c r="E24" s="80"/>
      <c r="F24" s="80"/>
      <c r="G24" s="81"/>
      <c r="H24" s="46"/>
      <c r="I24" s="46"/>
      <c r="J24" s="125"/>
      <c r="K24" s="114"/>
      <c r="L24" s="114"/>
      <c r="M24" s="161"/>
    </row>
    <row r="25" spans="1:13" s="1" customFormat="1" ht="14.1" customHeight="1">
      <c r="A25" s="122">
        <v>12</v>
      </c>
      <c r="B25" s="98" t="s">
        <v>6</v>
      </c>
      <c r="C25" s="98"/>
      <c r="D25" s="76" t="s">
        <v>7</v>
      </c>
      <c r="E25" s="77"/>
      <c r="F25" s="77"/>
      <c r="G25" s="78"/>
      <c r="H25" s="27">
        <f>SUM(I25)-1.6</f>
        <v>30.799999999999997</v>
      </c>
      <c r="I25" s="27">
        <f>SUM(J25)-1.6</f>
        <v>32.4</v>
      </c>
      <c r="J25" s="125">
        <v>34</v>
      </c>
      <c r="K25" s="114">
        <f>SUM(J25)+1.6</f>
        <v>35.6</v>
      </c>
      <c r="L25" s="114">
        <f>SUM(K25)+1.6</f>
        <v>37.200000000000003</v>
      </c>
      <c r="M25" s="161">
        <f>SUM(L25)+1.6</f>
        <v>38.800000000000004</v>
      </c>
    </row>
    <row r="26" spans="1:13" s="1" customFormat="1" ht="14.1" customHeight="1">
      <c r="A26" s="122"/>
      <c r="B26" s="75" t="s">
        <v>30</v>
      </c>
      <c r="C26" s="75"/>
      <c r="D26" s="79" t="s">
        <v>64</v>
      </c>
      <c r="E26" s="80"/>
      <c r="F26" s="80"/>
      <c r="G26" s="81"/>
      <c r="H26" s="46"/>
      <c r="I26" s="46"/>
      <c r="J26" s="125"/>
      <c r="K26" s="114"/>
      <c r="L26" s="114"/>
      <c r="M26" s="161"/>
    </row>
    <row r="27" spans="1:13" s="1" customFormat="1" ht="14.1" customHeight="1">
      <c r="A27" s="122">
        <v>13</v>
      </c>
      <c r="B27" s="36" t="s">
        <v>260</v>
      </c>
      <c r="C27" s="37"/>
      <c r="D27" s="124" t="s">
        <v>65</v>
      </c>
      <c r="E27" s="124"/>
      <c r="F27" s="124"/>
      <c r="G27" s="124"/>
      <c r="H27" s="27">
        <f>SUM(I27)-0.6</f>
        <v>14.8</v>
      </c>
      <c r="I27" s="27">
        <f>SUM(J27)-0.6</f>
        <v>15.4</v>
      </c>
      <c r="J27" s="125">
        <v>16</v>
      </c>
      <c r="K27" s="27">
        <f>SUM(J27)+0.6</f>
        <v>16.600000000000001</v>
      </c>
      <c r="L27" s="27">
        <f>SUM(K27)+0.6</f>
        <v>17.200000000000003</v>
      </c>
      <c r="M27" s="62">
        <f>SUM(L27)+0.6</f>
        <v>17.800000000000004</v>
      </c>
    </row>
    <row r="28" spans="1:13" s="1" customFormat="1" ht="14.1" customHeight="1">
      <c r="A28" s="122"/>
      <c r="B28" s="75" t="s">
        <v>31</v>
      </c>
      <c r="C28" s="75"/>
      <c r="D28" s="79" t="s">
        <v>66</v>
      </c>
      <c r="E28" s="80"/>
      <c r="F28" s="80"/>
      <c r="G28" s="81"/>
      <c r="H28" s="46"/>
      <c r="I28" s="46"/>
      <c r="J28" s="125"/>
      <c r="K28" s="46"/>
      <c r="L28" s="46"/>
      <c r="M28" s="48"/>
    </row>
    <row r="29" spans="1:13" s="1" customFormat="1" ht="14.1" customHeight="1">
      <c r="A29" s="122">
        <v>14</v>
      </c>
      <c r="B29" s="36" t="s">
        <v>261</v>
      </c>
      <c r="C29" s="37"/>
      <c r="D29" s="124"/>
      <c r="E29" s="124"/>
      <c r="F29" s="124"/>
      <c r="G29" s="124"/>
      <c r="H29" s="27">
        <f>SUM(I29)-0</f>
        <v>5</v>
      </c>
      <c r="I29" s="27">
        <f>SUM(J29)-0</f>
        <v>5</v>
      </c>
      <c r="J29" s="41">
        <v>5</v>
      </c>
      <c r="K29" s="27">
        <f>SUM(J29)+0.5</f>
        <v>5.5</v>
      </c>
      <c r="L29" s="27">
        <f>SUM(K29)+0</f>
        <v>5.5</v>
      </c>
      <c r="M29" s="62">
        <f>SUM(L29)+0</f>
        <v>5.5</v>
      </c>
    </row>
    <row r="30" spans="1:13" s="1" customFormat="1" ht="14.1" customHeight="1">
      <c r="A30" s="122"/>
      <c r="B30" s="127" t="s">
        <v>262</v>
      </c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8"/>
    </row>
    <row r="31" spans="1:13" ht="14.1" customHeight="1">
      <c r="A31" s="122">
        <v>15</v>
      </c>
      <c r="B31" s="36" t="s">
        <v>384</v>
      </c>
      <c r="C31" s="37"/>
      <c r="D31" s="103"/>
      <c r="E31" s="103"/>
      <c r="F31" s="103"/>
      <c r="G31" s="103"/>
      <c r="H31" s="27">
        <f>SUM(I31)-0.8</f>
        <v>14.399999999999999</v>
      </c>
      <c r="I31" s="27">
        <f>SUM(J31)-0.8</f>
        <v>15.2</v>
      </c>
      <c r="J31" s="41">
        <v>16</v>
      </c>
      <c r="K31" s="27">
        <f>SUM(J31)+0.8</f>
        <v>16.8</v>
      </c>
      <c r="L31" s="27">
        <f>SUM(K31)+8</f>
        <v>24.8</v>
      </c>
      <c r="M31" s="62">
        <f>SUM(L31)+8</f>
        <v>32.799999999999997</v>
      </c>
    </row>
    <row r="32" spans="1:13" ht="14.1" customHeight="1">
      <c r="A32" s="159"/>
      <c r="B32" s="75" t="s">
        <v>385</v>
      </c>
      <c r="C32" s="75"/>
      <c r="D32" s="102"/>
      <c r="E32" s="103"/>
      <c r="F32" s="103"/>
      <c r="G32" s="104"/>
      <c r="H32" s="46"/>
      <c r="I32" s="46"/>
      <c r="J32" s="44"/>
      <c r="K32" s="46"/>
      <c r="L32" s="46"/>
      <c r="M32" s="48"/>
    </row>
    <row r="33" spans="1:13" ht="14.1" customHeight="1">
      <c r="A33" s="159">
        <v>16</v>
      </c>
      <c r="B33" s="36" t="s">
        <v>386</v>
      </c>
      <c r="C33" s="37"/>
      <c r="D33" s="76"/>
      <c r="E33" s="77"/>
      <c r="F33" s="77"/>
      <c r="G33" s="78"/>
      <c r="H33" s="27">
        <f>SUM(I33)-0.2</f>
        <v>2.5999999999999996</v>
      </c>
      <c r="I33" s="27">
        <f>SUM(J33)-0.2</f>
        <v>2.8</v>
      </c>
      <c r="J33" s="41">
        <v>3</v>
      </c>
      <c r="K33" s="27">
        <f>SUM(J33)+0.2</f>
        <v>3.2</v>
      </c>
      <c r="L33" s="27">
        <f>SUM(K33)+0.2</f>
        <v>3.4000000000000004</v>
      </c>
      <c r="M33" s="62">
        <f>SUM(L33)+0.2</f>
        <v>3.6000000000000005</v>
      </c>
    </row>
    <row r="34" spans="1:13" ht="14.1" customHeight="1">
      <c r="A34" s="138"/>
      <c r="B34" s="127" t="s">
        <v>387</v>
      </c>
      <c r="C34" s="128"/>
      <c r="D34" s="79" t="s">
        <v>388</v>
      </c>
      <c r="E34" s="80"/>
      <c r="F34" s="80"/>
      <c r="G34" s="81"/>
      <c r="H34" s="46"/>
      <c r="I34" s="46"/>
      <c r="J34" s="44"/>
      <c r="K34" s="46"/>
      <c r="L34" s="46"/>
      <c r="M34" s="48"/>
    </row>
    <row r="35" spans="1:13" ht="14.1" customHeight="1">
      <c r="A35" s="159">
        <v>17</v>
      </c>
      <c r="B35" s="36" t="s">
        <v>114</v>
      </c>
      <c r="C35" s="37"/>
      <c r="D35" s="76"/>
      <c r="E35" s="77"/>
      <c r="F35" s="77"/>
      <c r="G35" s="78"/>
      <c r="H35" s="27">
        <f>SUM(I35)-0.4</f>
        <v>6.1999999999999993</v>
      </c>
      <c r="I35" s="27">
        <f>SUM(J35)-0.4</f>
        <v>6.6</v>
      </c>
      <c r="J35" s="41">
        <v>7</v>
      </c>
      <c r="K35" s="27">
        <f>SUM(J35)+0.4</f>
        <v>7.4</v>
      </c>
      <c r="L35" s="27">
        <f>SUM(K35)+0.4</f>
        <v>7.8000000000000007</v>
      </c>
      <c r="M35" s="62">
        <f>SUM(L35)+0.4</f>
        <v>8.2000000000000011</v>
      </c>
    </row>
    <row r="36" spans="1:13" ht="14.1" customHeight="1">
      <c r="A36" s="138"/>
      <c r="B36" s="127" t="s">
        <v>122</v>
      </c>
      <c r="C36" s="128"/>
      <c r="D36" s="79" t="s">
        <v>388</v>
      </c>
      <c r="E36" s="80"/>
      <c r="F36" s="80"/>
      <c r="G36" s="81"/>
      <c r="H36" s="46"/>
      <c r="I36" s="46"/>
      <c r="J36" s="44"/>
      <c r="K36" s="46"/>
      <c r="L36" s="46"/>
      <c r="M36" s="48"/>
    </row>
    <row r="37" spans="1:13" ht="14.1" customHeight="1">
      <c r="A37" s="159">
        <v>18</v>
      </c>
      <c r="B37" s="36"/>
      <c r="C37" s="37"/>
      <c r="D37" s="76"/>
      <c r="E37" s="77"/>
      <c r="F37" s="77"/>
      <c r="G37" s="78"/>
      <c r="H37" s="27"/>
      <c r="I37" s="27"/>
      <c r="J37" s="41"/>
      <c r="K37" s="27"/>
      <c r="L37" s="27"/>
      <c r="M37" s="62"/>
    </row>
    <row r="38" spans="1:13" ht="14.1" customHeight="1" thickBot="1">
      <c r="A38" s="158"/>
      <c r="B38" s="143"/>
      <c r="C38" s="144"/>
      <c r="D38" s="119"/>
      <c r="E38" s="120"/>
      <c r="F38" s="120"/>
      <c r="G38" s="121"/>
      <c r="H38" s="28"/>
      <c r="I38" s="28"/>
      <c r="J38" s="42"/>
      <c r="K38" s="28"/>
      <c r="L38" s="28"/>
      <c r="M38" s="160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7:A38"/>
    <mergeCell ref="B37:C37"/>
    <mergeCell ref="D37:G37"/>
    <mergeCell ref="H37:H38"/>
    <mergeCell ref="I37:I38"/>
    <mergeCell ref="A33:A34"/>
    <mergeCell ref="B33:C33"/>
    <mergeCell ref="D33:G33"/>
    <mergeCell ref="H33:H34"/>
    <mergeCell ref="I33:I34"/>
    <mergeCell ref="A35:A36"/>
    <mergeCell ref="J37:J38"/>
    <mergeCell ref="K37:K38"/>
    <mergeCell ref="L37:L38"/>
    <mergeCell ref="M37:M38"/>
    <mergeCell ref="B38:C38"/>
    <mergeCell ref="D38:G38"/>
    <mergeCell ref="K33:K34"/>
    <mergeCell ref="L33:L34"/>
    <mergeCell ref="M33:M34"/>
    <mergeCell ref="B34:C34"/>
    <mergeCell ref="D34:G34"/>
    <mergeCell ref="J33:J34"/>
    <mergeCell ref="K35:K36"/>
    <mergeCell ref="L35:L36"/>
    <mergeCell ref="M35:M36"/>
    <mergeCell ref="B36:C36"/>
    <mergeCell ref="D36:G36"/>
    <mergeCell ref="B35:C35"/>
    <mergeCell ref="D35:G35"/>
    <mergeCell ref="H35:H36"/>
    <mergeCell ref="I35:I36"/>
    <mergeCell ref="J35:J36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39DE-2A58-4DD1-AB73-8AEF02E7F851}">
  <sheetPr codeName="Sheet68">
    <tabColor theme="5"/>
    <pageSetUpPr fitToPage="1"/>
  </sheetPr>
  <dimension ref="A1:P51"/>
  <sheetViews>
    <sheetView zoomScale="110" zoomScaleNormal="110" workbookViewId="0">
      <selection activeCell="I3" sqref="I3:I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85" t="s">
        <v>440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6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38">
        <v>1</v>
      </c>
      <c r="B3" s="148" t="s">
        <v>39</v>
      </c>
      <c r="C3" s="148"/>
      <c r="D3" s="92" t="s">
        <v>217</v>
      </c>
      <c r="E3" s="93"/>
      <c r="F3" s="93"/>
      <c r="G3" s="94"/>
      <c r="H3" s="27">
        <f>SUM(I3)-3.5</f>
        <v>36</v>
      </c>
      <c r="I3" s="27">
        <f>SUM(J3)-3.5</f>
        <v>39.5</v>
      </c>
      <c r="J3" s="139">
        <v>43</v>
      </c>
      <c r="K3" s="96">
        <f>SUM(J3)+3</f>
        <v>46</v>
      </c>
      <c r="L3" s="96">
        <f>SUM(K3)+3</f>
        <v>49</v>
      </c>
      <c r="M3" s="97">
        <f>SUM(L3)+3</f>
        <v>52</v>
      </c>
    </row>
    <row r="4" spans="1:16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46"/>
      <c r="L4" s="46"/>
      <c r="M4" s="48"/>
    </row>
    <row r="5" spans="1:16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</f>
        <v>36</v>
      </c>
      <c r="I5" s="27">
        <f>SUM(J5)-2</f>
        <v>38</v>
      </c>
      <c r="J5" s="41">
        <v>40</v>
      </c>
      <c r="K5" s="27">
        <f>SUM(J5)+2</f>
        <v>42</v>
      </c>
      <c r="L5" s="27">
        <f>SUM(K5)+2</f>
        <v>44</v>
      </c>
      <c r="M5" s="62">
        <f>SUM(L5)+2</f>
        <v>46</v>
      </c>
    </row>
    <row r="6" spans="1:16" s="1" customFormat="1" ht="14.1" customHeight="1">
      <c r="A6" s="122"/>
      <c r="B6" s="75" t="s">
        <v>24</v>
      </c>
      <c r="C6" s="75"/>
      <c r="D6" s="79" t="s">
        <v>254</v>
      </c>
      <c r="E6" s="80"/>
      <c r="F6" s="80"/>
      <c r="G6" s="81"/>
      <c r="H6" s="46"/>
      <c r="I6" s="46"/>
      <c r="J6" s="44"/>
      <c r="K6" s="46"/>
      <c r="L6" s="46"/>
      <c r="M6" s="48"/>
    </row>
    <row r="7" spans="1:16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</f>
        <v>38</v>
      </c>
      <c r="I7" s="27">
        <f>SUM(J7)-2</f>
        <v>40</v>
      </c>
      <c r="J7" s="41">
        <v>42</v>
      </c>
      <c r="K7" s="27">
        <f>SUM(J7)+2</f>
        <v>44</v>
      </c>
      <c r="L7" s="27">
        <f>SUM(K7)+2</f>
        <v>46</v>
      </c>
      <c r="M7" s="62">
        <f>SUM(L7)+2</f>
        <v>48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6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SUM(I9)-1.7</f>
        <v>32.599999999999994</v>
      </c>
      <c r="I9" s="27">
        <f>SUM(J9)-1.7</f>
        <v>34.299999999999997</v>
      </c>
      <c r="J9" s="41">
        <v>36</v>
      </c>
      <c r="K9" s="27">
        <f>SUM(J9)+1.7</f>
        <v>37.700000000000003</v>
      </c>
      <c r="L9" s="27">
        <f>SUM(K9)+1.7</f>
        <v>39.400000000000006</v>
      </c>
      <c r="M9" s="62">
        <f>SUM(L9)+1.7</f>
        <v>41.100000000000009</v>
      </c>
      <c r="O9" s="1" t="s">
        <v>162</v>
      </c>
    </row>
    <row r="10" spans="1:16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6" s="1" customFormat="1" ht="14.1" customHeight="1">
      <c r="A11" s="122">
        <v>5</v>
      </c>
      <c r="B11" s="98" t="s">
        <v>255</v>
      </c>
      <c r="C11" s="98"/>
      <c r="D11" s="124"/>
      <c r="E11" s="124"/>
      <c r="F11" s="124"/>
      <c r="G11" s="124"/>
      <c r="H11" s="27">
        <f>SUM(I11)-0</f>
        <v>5</v>
      </c>
      <c r="I11" s="27">
        <f>SUM(J11)-0</f>
        <v>5</v>
      </c>
      <c r="J11" s="41">
        <v>5</v>
      </c>
      <c r="K11" s="27">
        <f>SUM(J11)+0.5</f>
        <v>5.5</v>
      </c>
      <c r="L11" s="27">
        <f>SUM(K11)+0</f>
        <v>5.5</v>
      </c>
      <c r="M11" s="62">
        <f>SUM(L11)+0</f>
        <v>5.5</v>
      </c>
      <c r="P11" s="1" t="s">
        <v>162</v>
      </c>
    </row>
    <row r="12" spans="1:16" s="1" customFormat="1" ht="14.1" customHeight="1">
      <c r="A12" s="122"/>
      <c r="B12" s="75" t="s">
        <v>256</v>
      </c>
      <c r="C12" s="75"/>
      <c r="D12" s="79"/>
      <c r="E12" s="80"/>
      <c r="F12" s="80"/>
      <c r="G12" s="81"/>
      <c r="H12" s="46"/>
      <c r="I12" s="46"/>
      <c r="J12" s="44"/>
      <c r="K12" s="46"/>
      <c r="L12" s="46"/>
      <c r="M12" s="48"/>
    </row>
    <row r="13" spans="1:16" s="1" customFormat="1" ht="14.1" customHeight="1">
      <c r="A13" s="122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>
        <f>SUM(I13)-0.8</f>
        <v>15.899999999999999</v>
      </c>
      <c r="I13" s="27">
        <f>SUM(J13)-0.8</f>
        <v>16.7</v>
      </c>
      <c r="J13" s="125">
        <v>17.5</v>
      </c>
      <c r="K13" s="114">
        <f>SUM(J13)+0.8</f>
        <v>18.3</v>
      </c>
      <c r="L13" s="114">
        <f>SUM(K13)+0.8</f>
        <v>19.100000000000001</v>
      </c>
      <c r="M13" s="162">
        <f>SUM(L13)+0.8</f>
        <v>19.900000000000002</v>
      </c>
    </row>
    <row r="14" spans="1:16" s="1" customFormat="1" ht="14.1" customHeight="1">
      <c r="A14" s="122"/>
      <c r="B14" s="75" t="s">
        <v>26</v>
      </c>
      <c r="C14" s="75"/>
      <c r="D14" s="79" t="s">
        <v>45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6" s="1" customFormat="1" ht="14.1" customHeight="1">
      <c r="A15" s="122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15.3</v>
      </c>
      <c r="I15" s="27">
        <f>SUM(J15)-0.6</f>
        <v>15.9</v>
      </c>
      <c r="J15" s="125">
        <v>16.5</v>
      </c>
      <c r="K15" s="27">
        <f>SUM(J15)+0.6</f>
        <v>17.100000000000001</v>
      </c>
      <c r="L15" s="27">
        <f>SUM(K15)+0.6</f>
        <v>17.700000000000003</v>
      </c>
      <c r="M15" s="62">
        <f>SUM(L15)+0.6</f>
        <v>18.300000000000004</v>
      </c>
    </row>
    <row r="16" spans="1:16" s="1" customFormat="1" ht="14.1" customHeight="1">
      <c r="A16" s="122"/>
      <c r="B16" s="75" t="s">
        <v>27</v>
      </c>
      <c r="C16" s="75"/>
      <c r="D16" s="79" t="s">
        <v>46</v>
      </c>
      <c r="E16" s="80"/>
      <c r="F16" s="80"/>
      <c r="G16" s="81"/>
      <c r="H16" s="46"/>
      <c r="I16" s="46"/>
      <c r="J16" s="125"/>
      <c r="K16" s="46"/>
      <c r="L16" s="46"/>
      <c r="M16" s="48"/>
    </row>
    <row r="17" spans="1:13" s="1" customFormat="1" ht="14.1" customHeight="1">
      <c r="A17" s="122">
        <v>8</v>
      </c>
      <c r="B17" s="36" t="s">
        <v>2</v>
      </c>
      <c r="C17" s="37"/>
      <c r="D17" s="124" t="s">
        <v>3</v>
      </c>
      <c r="E17" s="124"/>
      <c r="F17" s="124"/>
      <c r="G17" s="124"/>
      <c r="H17" s="27">
        <f>SUM(I17)-0.3</f>
        <v>5.9</v>
      </c>
      <c r="I17" s="27">
        <f>SUM(J17)-0.3</f>
        <v>6.2</v>
      </c>
      <c r="J17" s="125">
        <v>6.5</v>
      </c>
      <c r="K17" s="114">
        <f>SUM(J17)+0.3</f>
        <v>6.8</v>
      </c>
      <c r="L17" s="114">
        <f>SUM(K17)+0.3</f>
        <v>7.1</v>
      </c>
      <c r="M17" s="161">
        <f>SUM(L17)+0.3</f>
        <v>7.3999999999999995</v>
      </c>
    </row>
    <row r="18" spans="1:13" s="1" customFormat="1" ht="14.1" customHeight="1">
      <c r="A18" s="122"/>
      <c r="B18" s="127" t="s">
        <v>28</v>
      </c>
      <c r="C18" s="128"/>
      <c r="D18" s="79" t="s">
        <v>164</v>
      </c>
      <c r="E18" s="80"/>
      <c r="F18" s="80"/>
      <c r="G18" s="81"/>
      <c r="H18" s="46"/>
      <c r="I18" s="46"/>
      <c r="J18" s="125"/>
      <c r="K18" s="114"/>
      <c r="L18" s="114"/>
      <c r="M18" s="161"/>
    </row>
    <row r="19" spans="1:13" s="1" customFormat="1" ht="14.1" customHeight="1">
      <c r="A19" s="122">
        <v>9</v>
      </c>
      <c r="B19" s="36" t="s">
        <v>70</v>
      </c>
      <c r="C19" s="37"/>
      <c r="D19" s="76" t="s">
        <v>71</v>
      </c>
      <c r="E19" s="77"/>
      <c r="F19" s="77"/>
      <c r="G19" s="78"/>
      <c r="H19" s="27"/>
      <c r="I19" s="27"/>
      <c r="J19" s="125"/>
      <c r="K19" s="114"/>
      <c r="L19" s="114"/>
      <c r="M19" s="161"/>
    </row>
    <row r="20" spans="1:13" s="1" customFormat="1" ht="14.1" customHeight="1">
      <c r="A20" s="122"/>
      <c r="B20" s="75" t="s">
        <v>33</v>
      </c>
      <c r="C20" s="75"/>
      <c r="D20" s="79" t="s">
        <v>74</v>
      </c>
      <c r="E20" s="80"/>
      <c r="F20" s="80"/>
      <c r="G20" s="81"/>
      <c r="H20" s="46"/>
      <c r="I20" s="46"/>
      <c r="J20" s="125"/>
      <c r="K20" s="114"/>
      <c r="L20" s="114"/>
      <c r="M20" s="161"/>
    </row>
    <row r="21" spans="1:13" s="1" customFormat="1" ht="14.1" customHeight="1">
      <c r="A21" s="122">
        <v>10</v>
      </c>
      <c r="B21" s="36" t="s">
        <v>257</v>
      </c>
      <c r="C21" s="37"/>
      <c r="D21" s="76"/>
      <c r="E21" s="77"/>
      <c r="F21" s="77"/>
      <c r="G21" s="78"/>
      <c r="H21" s="27">
        <f>SUM(I21)</f>
        <v>2.5</v>
      </c>
      <c r="I21" s="27">
        <f>SUM(J21)</f>
        <v>2.5</v>
      </c>
      <c r="J21" s="41">
        <v>2.5</v>
      </c>
      <c r="K21" s="27">
        <f>SUM(J21)</f>
        <v>2.5</v>
      </c>
      <c r="L21" s="27">
        <f>SUM(K21)</f>
        <v>2.5</v>
      </c>
      <c r="M21" s="62">
        <f>SUM(L21)</f>
        <v>2.5</v>
      </c>
    </row>
    <row r="22" spans="1:13" s="1" customFormat="1" ht="14.1" customHeight="1">
      <c r="A22" s="122"/>
      <c r="B22" s="75" t="s">
        <v>267</v>
      </c>
      <c r="C22" s="75"/>
      <c r="D22" s="79"/>
      <c r="E22" s="80"/>
      <c r="F22" s="80"/>
      <c r="G22" s="81"/>
      <c r="H22" s="46"/>
      <c r="I22" s="46"/>
      <c r="J22" s="44"/>
      <c r="K22" s="46"/>
      <c r="L22" s="46"/>
      <c r="M22" s="48"/>
    </row>
    <row r="23" spans="1:13" s="1" customFormat="1" ht="14.1" customHeight="1">
      <c r="A23" s="122">
        <v>11</v>
      </c>
      <c r="B23" s="98" t="s">
        <v>4</v>
      </c>
      <c r="C23" s="98"/>
      <c r="D23" s="124" t="s">
        <v>5</v>
      </c>
      <c r="E23" s="124"/>
      <c r="F23" s="124"/>
      <c r="G23" s="124"/>
      <c r="H23" s="27">
        <f>SUM(I23)-3.5</f>
        <v>27</v>
      </c>
      <c r="I23" s="27">
        <f>SUM(J23)-3.5</f>
        <v>30.5</v>
      </c>
      <c r="J23" s="125">
        <v>34</v>
      </c>
      <c r="K23" s="114">
        <f>SUM(J23)+3.5</f>
        <v>37.5</v>
      </c>
      <c r="L23" s="114">
        <f>SUM(K23)+3.5</f>
        <v>41</v>
      </c>
      <c r="M23" s="161">
        <f>SUM(L23)+3.5</f>
        <v>44.5</v>
      </c>
    </row>
    <row r="24" spans="1:13" s="1" customFormat="1" ht="14.1" customHeight="1">
      <c r="A24" s="122"/>
      <c r="B24" s="75" t="s">
        <v>29</v>
      </c>
      <c r="C24" s="75"/>
      <c r="D24" s="79" t="s">
        <v>47</v>
      </c>
      <c r="E24" s="80"/>
      <c r="F24" s="80"/>
      <c r="G24" s="81"/>
      <c r="H24" s="46"/>
      <c r="I24" s="46"/>
      <c r="J24" s="125"/>
      <c r="K24" s="114"/>
      <c r="L24" s="114"/>
      <c r="M24" s="161"/>
    </row>
    <row r="25" spans="1:13" s="1" customFormat="1" ht="14.1" customHeight="1">
      <c r="A25" s="122">
        <v>12</v>
      </c>
      <c r="B25" s="98" t="s">
        <v>6</v>
      </c>
      <c r="C25" s="98"/>
      <c r="D25" s="76" t="s">
        <v>7</v>
      </c>
      <c r="E25" s="77"/>
      <c r="F25" s="77"/>
      <c r="G25" s="78"/>
      <c r="H25" s="27">
        <f>SUM(I25)-1.4</f>
        <v>28.200000000000003</v>
      </c>
      <c r="I25" s="27">
        <f>SUM(J25)-1.4</f>
        <v>29.6</v>
      </c>
      <c r="J25" s="125">
        <v>31</v>
      </c>
      <c r="K25" s="114">
        <f>SUM(J25)+1.4</f>
        <v>32.4</v>
      </c>
      <c r="L25" s="114">
        <f>SUM(K25)+1.4</f>
        <v>33.799999999999997</v>
      </c>
      <c r="M25" s="161">
        <f>SUM(L25)+1.4</f>
        <v>35.199999999999996</v>
      </c>
    </row>
    <row r="26" spans="1:13" s="1" customFormat="1" ht="14.1" customHeight="1">
      <c r="A26" s="122"/>
      <c r="B26" s="75" t="s">
        <v>30</v>
      </c>
      <c r="C26" s="75"/>
      <c r="D26" s="79" t="s">
        <v>64</v>
      </c>
      <c r="E26" s="80"/>
      <c r="F26" s="80"/>
      <c r="G26" s="81"/>
      <c r="H26" s="46"/>
      <c r="I26" s="46"/>
      <c r="J26" s="125"/>
      <c r="K26" s="114"/>
      <c r="L26" s="114"/>
      <c r="M26" s="161"/>
    </row>
    <row r="27" spans="1:13" s="1" customFormat="1" ht="14.1" customHeight="1">
      <c r="A27" s="122">
        <v>13</v>
      </c>
      <c r="B27" s="36" t="s">
        <v>260</v>
      </c>
      <c r="C27" s="37"/>
      <c r="D27" s="124" t="s">
        <v>65</v>
      </c>
      <c r="E27" s="124"/>
      <c r="F27" s="124"/>
      <c r="G27" s="124"/>
      <c r="H27" s="27">
        <f>SUM(I27)-0.6</f>
        <v>14.8</v>
      </c>
      <c r="I27" s="27">
        <f>SUM(J27)-0.6</f>
        <v>15.4</v>
      </c>
      <c r="J27" s="125">
        <v>16</v>
      </c>
      <c r="K27" s="27">
        <f>SUM(J27)+0.6</f>
        <v>16.600000000000001</v>
      </c>
      <c r="L27" s="27">
        <f>SUM(K27)+0.6</f>
        <v>17.200000000000003</v>
      </c>
      <c r="M27" s="62">
        <f>SUM(L27)+0.6</f>
        <v>17.800000000000004</v>
      </c>
    </row>
    <row r="28" spans="1:13" s="1" customFormat="1" ht="14.1" customHeight="1">
      <c r="A28" s="122"/>
      <c r="B28" s="75" t="s">
        <v>31</v>
      </c>
      <c r="C28" s="75"/>
      <c r="D28" s="79" t="s">
        <v>66</v>
      </c>
      <c r="E28" s="80"/>
      <c r="F28" s="80"/>
      <c r="G28" s="81"/>
      <c r="H28" s="46"/>
      <c r="I28" s="46"/>
      <c r="J28" s="125"/>
      <c r="K28" s="46"/>
      <c r="L28" s="46"/>
      <c r="M28" s="48"/>
    </row>
    <row r="29" spans="1:13" s="1" customFormat="1" ht="14.1" customHeight="1">
      <c r="A29" s="122">
        <v>14</v>
      </c>
      <c r="B29" s="36" t="s">
        <v>261</v>
      </c>
      <c r="C29" s="37"/>
      <c r="D29" s="124"/>
      <c r="E29" s="124"/>
      <c r="F29" s="124"/>
      <c r="G29" s="124"/>
      <c r="H29" s="27">
        <f>SUM(I29)-0</f>
        <v>5</v>
      </c>
      <c r="I29" s="27">
        <f>SUM(J29)-0</f>
        <v>5</v>
      </c>
      <c r="J29" s="41">
        <v>5</v>
      </c>
      <c r="K29" s="27">
        <f>SUM(J29)+0.5</f>
        <v>5.5</v>
      </c>
      <c r="L29" s="27">
        <f>SUM(K29)+0</f>
        <v>5.5</v>
      </c>
      <c r="M29" s="62">
        <f>SUM(L29)+0</f>
        <v>5.5</v>
      </c>
    </row>
    <row r="30" spans="1:13" s="1" customFormat="1" ht="14.1" customHeight="1">
      <c r="A30" s="122"/>
      <c r="B30" s="127" t="s">
        <v>262</v>
      </c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8"/>
    </row>
    <row r="31" spans="1:13" ht="14.1" customHeight="1">
      <c r="A31" s="122">
        <v>15</v>
      </c>
      <c r="B31" s="36" t="s">
        <v>114</v>
      </c>
      <c r="C31" s="37"/>
      <c r="D31" s="76"/>
      <c r="E31" s="77"/>
      <c r="F31" s="77"/>
      <c r="G31" s="78"/>
      <c r="H31" s="27">
        <f>SUM(I31)-0.2</f>
        <v>3.0999999999999996</v>
      </c>
      <c r="I31" s="27">
        <f>SUM(J31)-0.2</f>
        <v>3.3</v>
      </c>
      <c r="J31" s="41">
        <v>3.5</v>
      </c>
      <c r="K31" s="27">
        <f>SUM(J31)+0.2</f>
        <v>3.7</v>
      </c>
      <c r="L31" s="27">
        <f>SUM(K31)+0.2</f>
        <v>3.9000000000000004</v>
      </c>
      <c r="M31" s="62">
        <f>SUM(L31)+0.2</f>
        <v>4.1000000000000005</v>
      </c>
    </row>
    <row r="32" spans="1:13" ht="14.1" customHeight="1">
      <c r="A32" s="159"/>
      <c r="B32" s="127" t="s">
        <v>122</v>
      </c>
      <c r="C32" s="128"/>
      <c r="D32" s="79" t="s">
        <v>388</v>
      </c>
      <c r="E32" s="80"/>
      <c r="F32" s="80"/>
      <c r="G32" s="81"/>
      <c r="H32" s="46"/>
      <c r="I32" s="46"/>
      <c r="J32" s="44"/>
      <c r="K32" s="46"/>
      <c r="L32" s="46"/>
      <c r="M32" s="48"/>
    </row>
    <row r="33" spans="1:13" ht="14.1" customHeight="1">
      <c r="A33" s="159">
        <v>16</v>
      </c>
      <c r="B33" s="36"/>
      <c r="C33" s="37"/>
      <c r="D33" s="76"/>
      <c r="E33" s="77"/>
      <c r="F33" s="77"/>
      <c r="G33" s="78"/>
      <c r="H33" s="27"/>
      <c r="I33" s="27"/>
      <c r="J33" s="41"/>
      <c r="K33" s="27"/>
      <c r="L33" s="27"/>
      <c r="M33" s="62"/>
    </row>
    <row r="34" spans="1:13" ht="14.1" customHeight="1">
      <c r="A34" s="138"/>
      <c r="B34" s="127"/>
      <c r="C34" s="128"/>
      <c r="D34" s="79"/>
      <c r="E34" s="80"/>
      <c r="F34" s="80"/>
      <c r="G34" s="81"/>
      <c r="H34" s="46"/>
      <c r="I34" s="46"/>
      <c r="J34" s="44"/>
      <c r="K34" s="46"/>
      <c r="L34" s="46"/>
      <c r="M34" s="48"/>
    </row>
    <row r="35" spans="1:13" ht="14.1" customHeight="1">
      <c r="A35" s="159">
        <v>17</v>
      </c>
      <c r="B35" s="36"/>
      <c r="C35" s="37"/>
      <c r="D35" s="76"/>
      <c r="E35" s="77"/>
      <c r="F35" s="77"/>
      <c r="G35" s="78"/>
      <c r="H35" s="27"/>
      <c r="I35" s="27"/>
      <c r="J35" s="41"/>
      <c r="K35" s="27"/>
      <c r="L35" s="27"/>
      <c r="M35" s="62"/>
    </row>
    <row r="36" spans="1:13" ht="14.1" customHeight="1">
      <c r="A36" s="138"/>
      <c r="B36" s="127"/>
      <c r="C36" s="128"/>
      <c r="D36" s="79"/>
      <c r="E36" s="80"/>
      <c r="F36" s="80"/>
      <c r="G36" s="81"/>
      <c r="H36" s="46"/>
      <c r="I36" s="46"/>
      <c r="J36" s="44"/>
      <c r="K36" s="46"/>
      <c r="L36" s="46"/>
      <c r="M36" s="48"/>
    </row>
    <row r="37" spans="1:13" ht="14.1" customHeight="1">
      <c r="A37" s="159">
        <v>18</v>
      </c>
      <c r="B37" s="36"/>
      <c r="C37" s="37"/>
      <c r="D37" s="76"/>
      <c r="E37" s="77"/>
      <c r="F37" s="77"/>
      <c r="G37" s="78"/>
      <c r="H37" s="27"/>
      <c r="I37" s="27"/>
      <c r="J37" s="41"/>
      <c r="K37" s="27"/>
      <c r="L37" s="27"/>
      <c r="M37" s="62"/>
    </row>
    <row r="38" spans="1:13" ht="14.1" customHeight="1" thickBot="1">
      <c r="A38" s="158"/>
      <c r="B38" s="143"/>
      <c r="C38" s="144"/>
      <c r="D38" s="119"/>
      <c r="E38" s="120"/>
      <c r="F38" s="120"/>
      <c r="G38" s="121"/>
      <c r="H38" s="28"/>
      <c r="I38" s="28"/>
      <c r="J38" s="42"/>
      <c r="K38" s="28"/>
      <c r="L38" s="28"/>
      <c r="M38" s="160"/>
    </row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6072-30E3-40CD-A315-D69252FD83DE}">
  <sheetPr>
    <tabColor theme="5"/>
    <pageSetUpPr fitToPage="1"/>
  </sheetPr>
  <dimension ref="A1:N74"/>
  <sheetViews>
    <sheetView zoomScale="110" zoomScaleNormal="110" workbookViewId="0">
      <selection sqref="A1:M2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3" width="5.5" customWidth="1"/>
    <col min="14" max="14" width="5.375" customWidth="1"/>
  </cols>
  <sheetData>
    <row r="1" spans="1:14" ht="16.5" customHeight="1" thickBot="1">
      <c r="A1" s="85" t="s">
        <v>643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23"/>
    </row>
    <row r="2" spans="1:14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4" s="1" customFormat="1" ht="14.1" customHeight="1">
      <c r="A3" s="138">
        <v>1</v>
      </c>
      <c r="B3" s="148" t="s">
        <v>39</v>
      </c>
      <c r="C3" s="148"/>
      <c r="D3" s="149" t="s">
        <v>176</v>
      </c>
      <c r="E3" s="149"/>
      <c r="F3" s="149"/>
      <c r="G3" s="92"/>
      <c r="H3" s="27">
        <f>SUM(I3)-3.5</f>
        <v>40</v>
      </c>
      <c r="I3" s="27">
        <f>SUM(J3)-3.5</f>
        <v>43.5</v>
      </c>
      <c r="J3" s="139">
        <v>47</v>
      </c>
      <c r="K3" s="140">
        <f>SUM(J3)+3</f>
        <v>50</v>
      </c>
      <c r="L3" s="140">
        <f t="shared" ref="L3:M3" si="0">SUM(K3)+3</f>
        <v>53</v>
      </c>
      <c r="M3" s="166">
        <f t="shared" si="0"/>
        <v>56</v>
      </c>
    </row>
    <row r="4" spans="1:14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27"/>
      <c r="L4" s="27"/>
      <c r="M4" s="62"/>
    </row>
    <row r="5" spans="1:14" s="1" customFormat="1" ht="14.1" customHeight="1">
      <c r="A5" s="138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36.599999999999994</v>
      </c>
      <c r="I5" s="27">
        <f>SUM(J5)-2.2</f>
        <v>38.799999999999997</v>
      </c>
      <c r="J5" s="125">
        <v>41</v>
      </c>
      <c r="K5" s="114">
        <f>SUM(J5)+2</f>
        <v>43</v>
      </c>
      <c r="L5" s="114">
        <f t="shared" ref="L5:M5" si="1">SUM(K5)+2</f>
        <v>45</v>
      </c>
      <c r="M5" s="162">
        <f t="shared" si="1"/>
        <v>47</v>
      </c>
    </row>
    <row r="6" spans="1:14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125"/>
      <c r="K6" s="114"/>
      <c r="L6" s="114"/>
      <c r="M6" s="162"/>
    </row>
    <row r="7" spans="1:14" s="1" customFormat="1" ht="14.1" customHeight="1">
      <c r="A7" s="138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38.5</v>
      </c>
      <c r="I7" s="27">
        <f>SUM(J7)-2.25</f>
        <v>40.75</v>
      </c>
      <c r="J7" s="41">
        <v>43</v>
      </c>
      <c r="K7" s="27">
        <f>SUM(J7)+2</f>
        <v>45</v>
      </c>
      <c r="L7" s="27">
        <f>SUM(K7)+2</f>
        <v>47</v>
      </c>
      <c r="M7" s="62">
        <f>SUM(L7)+2</f>
        <v>49</v>
      </c>
    </row>
    <row r="8" spans="1:14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4" s="1" customFormat="1" ht="14.1" customHeight="1">
      <c r="A9" s="138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30.900000000000002</v>
      </c>
      <c r="I9" s="27">
        <f>SUM(J9)-1.8</f>
        <v>32.700000000000003</v>
      </c>
      <c r="J9" s="41">
        <v>34.5</v>
      </c>
      <c r="K9" s="27">
        <f>SUM(J9)+1.6</f>
        <v>36.1</v>
      </c>
      <c r="L9" s="27">
        <f t="shared" ref="L9:M9" si="2">SUM(K9)+1.6</f>
        <v>37.700000000000003</v>
      </c>
      <c r="M9" s="62">
        <f t="shared" si="2"/>
        <v>39.300000000000004</v>
      </c>
    </row>
    <row r="10" spans="1:14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4" s="1" customFormat="1" ht="14.1" customHeight="1">
      <c r="A11" s="138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15.099999999999998</v>
      </c>
      <c r="I11" s="27">
        <f>SUM(J11)-0.8</f>
        <v>15.899999999999999</v>
      </c>
      <c r="J11" s="125">
        <v>16.7</v>
      </c>
      <c r="K11" s="27">
        <f>SUM(J11)+0.8</f>
        <v>17.5</v>
      </c>
      <c r="L11" s="27">
        <f t="shared" ref="L11:M11" si="3">SUM(K11)+0.8</f>
        <v>18.3</v>
      </c>
      <c r="M11" s="62">
        <f t="shared" si="3"/>
        <v>19.100000000000001</v>
      </c>
    </row>
    <row r="12" spans="1:14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46"/>
      <c r="L12" s="46"/>
      <c r="M12" s="48"/>
    </row>
    <row r="13" spans="1:14" s="1" customFormat="1" ht="14.1" customHeight="1">
      <c r="A13" s="138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14.8</v>
      </c>
      <c r="I13" s="27">
        <f>SUM(J13)-0.6</f>
        <v>15.4</v>
      </c>
      <c r="J13" s="125">
        <v>16</v>
      </c>
      <c r="K13" s="114">
        <f>SUM(J13)+0.6</f>
        <v>16.600000000000001</v>
      </c>
      <c r="L13" s="114">
        <f>SUM(K13)+0.6</f>
        <v>17.200000000000003</v>
      </c>
      <c r="M13" s="162">
        <f>SUM(L13)+0.6</f>
        <v>17.800000000000004</v>
      </c>
    </row>
    <row r="14" spans="1:14" s="1" customFormat="1" ht="14.1" customHeight="1">
      <c r="A14" s="122"/>
      <c r="B14" s="75" t="s">
        <v>27</v>
      </c>
      <c r="C14" s="75"/>
      <c r="D14" s="79" t="s">
        <v>105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4" s="1" customFormat="1" ht="14.1" customHeight="1">
      <c r="A15" s="138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5.8000000000000007</v>
      </c>
      <c r="I15" s="27">
        <f>SUM(J15)-0.3</f>
        <v>6.1000000000000005</v>
      </c>
      <c r="J15" s="125">
        <v>6.4</v>
      </c>
      <c r="K15" s="114">
        <f>SUM(J15)+0.3</f>
        <v>6.7</v>
      </c>
      <c r="L15" s="114">
        <f>SUM(K15)+0.3</f>
        <v>7</v>
      </c>
      <c r="M15" s="162">
        <f>SUM(L15)+0.3</f>
        <v>7.3</v>
      </c>
    </row>
    <row r="16" spans="1:14" s="1" customFormat="1" ht="14.1" customHeight="1">
      <c r="A16" s="122"/>
      <c r="B16" s="75" t="s">
        <v>28</v>
      </c>
      <c r="C16" s="75"/>
      <c r="D16" s="79" t="s">
        <v>106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38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36.799999999999997</v>
      </c>
      <c r="I17" s="27">
        <f>SUM(J17)-1.6</f>
        <v>38.4</v>
      </c>
      <c r="J17" s="125">
        <v>40</v>
      </c>
      <c r="K17" s="114">
        <f>SUM(J17)+1.6</f>
        <v>41.6</v>
      </c>
      <c r="L17" s="114">
        <f>SUM(K17)+1.6</f>
        <v>43.2</v>
      </c>
      <c r="M17" s="162">
        <f>SUM(L17)+1.6</f>
        <v>44.800000000000004</v>
      </c>
    </row>
    <row r="18" spans="1:13" s="1" customFormat="1" ht="14.1" customHeight="1">
      <c r="A18" s="122"/>
      <c r="B18" s="75" t="s">
        <v>33</v>
      </c>
      <c r="C18" s="75"/>
      <c r="D18" s="79" t="s">
        <v>107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38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SUM(I19)-3.4</f>
        <v>27.6</v>
      </c>
      <c r="I19" s="27">
        <f>SUM(J19)-3.4</f>
        <v>31</v>
      </c>
      <c r="J19" s="125">
        <v>34.4</v>
      </c>
      <c r="K19" s="114">
        <f>SUM(J19)+3.5</f>
        <v>37.9</v>
      </c>
      <c r="L19" s="114">
        <f t="shared" ref="L19:M19" si="4">SUM(K19)+3.5</f>
        <v>41.4</v>
      </c>
      <c r="M19" s="162">
        <f t="shared" si="4"/>
        <v>44.9</v>
      </c>
    </row>
    <row r="20" spans="1:13" s="1" customFormat="1" ht="14.1" customHeight="1">
      <c r="A20" s="122"/>
      <c r="B20" s="75" t="s">
        <v>29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38">
        <v>10</v>
      </c>
      <c r="B21" s="98" t="s">
        <v>6</v>
      </c>
      <c r="C21" s="98"/>
      <c r="D21" s="76" t="s">
        <v>7</v>
      </c>
      <c r="E21" s="77"/>
      <c r="F21" s="77"/>
      <c r="G21" s="78"/>
      <c r="H21" s="27">
        <f>SUM(I21)-1.6</f>
        <v>29.799999999999997</v>
      </c>
      <c r="I21" s="27">
        <f>SUM(J21)-1.6</f>
        <v>31.4</v>
      </c>
      <c r="J21" s="125">
        <v>33</v>
      </c>
      <c r="K21" s="114">
        <f>SUM(J21)+1.6</f>
        <v>34.6</v>
      </c>
      <c r="L21" s="114">
        <f t="shared" ref="L21:M21" si="5">SUM(K21)+1.6</f>
        <v>36.200000000000003</v>
      </c>
      <c r="M21" s="162">
        <f t="shared" si="5"/>
        <v>37.800000000000004</v>
      </c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38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>SUM(K23)+0.6</f>
        <v>16.399999999999999</v>
      </c>
      <c r="M23" s="162">
        <f>SUM(L23)+0.6</f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38">
        <v>12</v>
      </c>
      <c r="B25" s="36" t="s">
        <v>114</v>
      </c>
      <c r="C25" s="37"/>
      <c r="D25" s="76"/>
      <c r="E25" s="77"/>
      <c r="F25" s="77"/>
      <c r="G25" s="78"/>
      <c r="H25" s="27">
        <f>SUM(I25)-0.3</f>
        <v>3.9000000000000004</v>
      </c>
      <c r="I25" s="27">
        <f>SUM(J25)-0.3</f>
        <v>4.2</v>
      </c>
      <c r="J25" s="41">
        <v>4.5</v>
      </c>
      <c r="K25" s="27">
        <f>SUM(J25)+0.3</f>
        <v>4.8</v>
      </c>
      <c r="L25" s="27">
        <f>SUM(K25)+0.3</f>
        <v>5.0999999999999996</v>
      </c>
      <c r="M25" s="62">
        <f>SUM(L25)+0.3</f>
        <v>5.3999999999999995</v>
      </c>
    </row>
    <row r="26" spans="1:13" s="1" customFormat="1" ht="14.1" customHeight="1">
      <c r="A26" s="122"/>
      <c r="B26" s="127" t="s">
        <v>122</v>
      </c>
      <c r="C26" s="128"/>
      <c r="D26" s="59" t="s">
        <v>644</v>
      </c>
      <c r="E26" s="60"/>
      <c r="F26" s="60"/>
      <c r="G26" s="61"/>
      <c r="H26" s="46"/>
      <c r="I26" s="46"/>
      <c r="J26" s="44"/>
      <c r="K26" s="46"/>
      <c r="L26" s="46"/>
      <c r="M26" s="48"/>
    </row>
    <row r="27" spans="1:13" s="1" customFormat="1" ht="14.1" customHeight="1">
      <c r="A27" s="138">
        <v>13</v>
      </c>
      <c r="B27" s="133"/>
      <c r="C27" s="134"/>
      <c r="D27" s="135"/>
      <c r="E27" s="136"/>
      <c r="F27" s="136"/>
      <c r="G27" s="137"/>
      <c r="H27" s="45"/>
      <c r="I27" s="45"/>
      <c r="J27" s="44"/>
      <c r="K27" s="46"/>
      <c r="L27" s="46"/>
      <c r="M27" s="48"/>
    </row>
    <row r="28" spans="1:13" s="1" customFormat="1" ht="14.1" customHeight="1" thickBot="1">
      <c r="A28" s="123"/>
      <c r="B28" s="143"/>
      <c r="C28" s="144"/>
      <c r="D28" s="119"/>
      <c r="E28" s="120"/>
      <c r="F28" s="120"/>
      <c r="G28" s="121"/>
      <c r="H28" s="28"/>
      <c r="I28" s="28"/>
      <c r="J28" s="126"/>
      <c r="K28" s="115"/>
      <c r="L28" s="115"/>
      <c r="M28" s="142"/>
    </row>
    <row r="29" spans="1:13" s="1" customFormat="1" ht="14.1" customHeight="1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s="1" customFormat="1" ht="14.1" customHeight="1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1" customHeight="1"/>
    <row r="32" spans="1:13" ht="14.1" customHeight="1"/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  <row r="52" ht="13.5" customHeight="1"/>
    <row r="53" ht="14.1" customHeight="1"/>
    <row r="54" ht="14.1" customHeight="1"/>
    <row r="55" ht="14.1" customHeight="1"/>
    <row r="56" ht="14.1" customHeight="1"/>
    <row r="57" ht="14.1" customHeight="1"/>
    <row r="58" ht="14.1" customHeight="1"/>
    <row r="59" ht="14.1" customHeight="1"/>
    <row r="60" ht="14.1" customHeight="1"/>
    <row r="61" ht="14.1" customHeight="1"/>
    <row r="62" ht="14.1" customHeight="1"/>
    <row r="63" ht="14.1" customHeight="1"/>
    <row r="64" ht="14.1" customHeight="1"/>
    <row r="65" spans="1:14" ht="14.1" customHeight="1"/>
    <row r="66" spans="1:14" ht="14.1" customHeight="1"/>
    <row r="67" spans="1:14" ht="14.1" customHeight="1"/>
    <row r="68" spans="1:14" ht="14.1" customHeight="1"/>
    <row r="69" spans="1:14" ht="14.1" customHeight="1"/>
    <row r="70" spans="1:14" ht="14.1" customHeight="1"/>
    <row r="71" spans="1:14" ht="14.1" customHeight="1">
      <c r="N71" s="1"/>
    </row>
    <row r="72" spans="1:14" ht="14.1" customHeight="1">
      <c r="N72" s="1"/>
    </row>
    <row r="73" spans="1:14" s="1" customFormat="1" ht="14.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s="1" customFormat="1" ht="14.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</sheetData>
  <mergeCells count="146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F2F5-5AEF-40F6-B69A-24013C647BFA}">
  <sheetPr codeName="Sheet69">
    <tabColor theme="5"/>
    <pageSetUpPr fitToPage="1"/>
  </sheetPr>
  <dimension ref="A1:P51"/>
  <sheetViews>
    <sheetView zoomScale="110" zoomScaleNormal="110" workbookViewId="0">
      <selection activeCell="B9" sqref="B9:G10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85" t="s">
        <v>487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6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</row>
    <row r="3" spans="1:16" s="1" customFormat="1" ht="14.1" customHeight="1">
      <c r="A3" s="138">
        <v>1</v>
      </c>
      <c r="B3" s="133" t="s">
        <v>91</v>
      </c>
      <c r="C3" s="134"/>
      <c r="D3" s="102" t="s">
        <v>90</v>
      </c>
      <c r="E3" s="103"/>
      <c r="F3" s="103"/>
      <c r="G3" s="104"/>
      <c r="H3" s="27">
        <f>SUM(I3)-3.4</f>
        <v>36.200000000000003</v>
      </c>
      <c r="I3" s="27">
        <f>SUM(J3)-3.4</f>
        <v>39.6</v>
      </c>
      <c r="J3" s="139">
        <v>43</v>
      </c>
      <c r="K3" s="140">
        <f>SUM(J3)+2.9</f>
        <v>45.9</v>
      </c>
      <c r="L3" s="140">
        <f>SUM(K3)+2.9</f>
        <v>48.8</v>
      </c>
      <c r="M3" s="166">
        <f>SUM(L3)+2.9</f>
        <v>51.699999999999996</v>
      </c>
    </row>
    <row r="4" spans="1:16" s="1" customFormat="1" ht="14.1" customHeight="1">
      <c r="A4" s="122"/>
      <c r="B4" s="75" t="s">
        <v>32</v>
      </c>
      <c r="C4" s="75"/>
      <c r="D4" s="79" t="s">
        <v>89</v>
      </c>
      <c r="E4" s="80"/>
      <c r="F4" s="80"/>
      <c r="G4" s="80"/>
      <c r="H4" s="46"/>
      <c r="I4" s="46"/>
      <c r="J4" s="41"/>
      <c r="K4" s="27"/>
      <c r="L4" s="27"/>
      <c r="M4" s="62"/>
    </row>
    <row r="5" spans="1:16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SUM(I5)-1.8</f>
        <v>21.599999999999998</v>
      </c>
      <c r="I5" s="27">
        <f>SUM(J5)-1.8</f>
        <v>23.4</v>
      </c>
      <c r="J5" s="41">
        <v>25.2</v>
      </c>
      <c r="K5" s="27">
        <f>SUM(J5)+1.6</f>
        <v>26.8</v>
      </c>
      <c r="L5" s="27">
        <f>SUM(K5)+1.6</f>
        <v>28.400000000000002</v>
      </c>
      <c r="M5" s="62">
        <f>SUM(L5)+1.6</f>
        <v>30.000000000000004</v>
      </c>
    </row>
    <row r="6" spans="1:16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48"/>
    </row>
    <row r="7" spans="1:16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29</v>
      </c>
      <c r="I7" s="27">
        <f>SUM(J7)-2.25</f>
        <v>31.25</v>
      </c>
      <c r="J7" s="41">
        <v>33.5</v>
      </c>
      <c r="K7" s="27">
        <f>SUM(J7)+2</f>
        <v>35.5</v>
      </c>
      <c r="L7" s="27">
        <f>SUM(K7)+2</f>
        <v>37.5</v>
      </c>
      <c r="M7" s="62">
        <f>SUM(L7)+2</f>
        <v>39.5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8"/>
    </row>
    <row r="9" spans="1:16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SUM(I9)-2.25</f>
        <v>29</v>
      </c>
      <c r="I9" s="27">
        <f>SUM(J9)-2.25</f>
        <v>31.25</v>
      </c>
      <c r="J9" s="41">
        <v>33.5</v>
      </c>
      <c r="K9" s="27">
        <f>SUM(J9)+2</f>
        <v>35.5</v>
      </c>
      <c r="L9" s="27">
        <f>SUM(K9)+2</f>
        <v>37.5</v>
      </c>
      <c r="M9" s="62">
        <f>SUM(L9)+2</f>
        <v>39.5</v>
      </c>
      <c r="P9" s="1" t="s">
        <v>162</v>
      </c>
    </row>
    <row r="10" spans="1:16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8"/>
    </row>
    <row r="11" spans="1:16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13.599999999999998</v>
      </c>
      <c r="I11" s="27">
        <f>SUM(J11)-0.8</f>
        <v>14.399999999999999</v>
      </c>
      <c r="J11" s="125">
        <v>15.2</v>
      </c>
      <c r="K11" s="114">
        <f>SUM(J11)+0.8</f>
        <v>16</v>
      </c>
      <c r="L11" s="114">
        <f>SUM(K11)+0.8</f>
        <v>16.8</v>
      </c>
      <c r="M11" s="162">
        <f>SUM(L11)+0.8</f>
        <v>17.600000000000001</v>
      </c>
    </row>
    <row r="12" spans="1:16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62"/>
    </row>
    <row r="13" spans="1:16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11.8</v>
      </c>
      <c r="I13" s="27">
        <f>SUM(J13)-0.6</f>
        <v>12.4</v>
      </c>
      <c r="J13" s="125">
        <v>13</v>
      </c>
      <c r="K13" s="114">
        <f>SUM(J13)+0.6</f>
        <v>13.6</v>
      </c>
      <c r="L13" s="114">
        <f>SUM(K13)+0.6</f>
        <v>14.2</v>
      </c>
      <c r="M13" s="162">
        <f>SUM(L13)+0.6</f>
        <v>14.799999999999999</v>
      </c>
    </row>
    <row r="14" spans="1:16" s="1" customFormat="1" ht="14.1" customHeight="1">
      <c r="A14" s="122"/>
      <c r="B14" s="75" t="s">
        <v>27</v>
      </c>
      <c r="C14" s="75"/>
      <c r="D14" s="79" t="s">
        <v>136</v>
      </c>
      <c r="E14" s="80"/>
      <c r="F14" s="80"/>
      <c r="G14" s="81"/>
      <c r="H14" s="46"/>
      <c r="I14" s="46"/>
      <c r="J14" s="125"/>
      <c r="K14" s="114"/>
      <c r="L14" s="114"/>
      <c r="M14" s="162"/>
    </row>
    <row r="15" spans="1:16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5.6000000000000005</v>
      </c>
      <c r="I15" s="27">
        <f>SUM(J15)-0.3</f>
        <v>5.9</v>
      </c>
      <c r="J15" s="125">
        <v>6.2</v>
      </c>
      <c r="K15" s="114">
        <f>SUM(J15)+0.3</f>
        <v>6.5</v>
      </c>
      <c r="L15" s="114">
        <f>SUM(K15)+0.3</f>
        <v>6.8</v>
      </c>
      <c r="M15" s="162">
        <f>SUM(L15)+0.3</f>
        <v>7.1</v>
      </c>
    </row>
    <row r="16" spans="1:16" s="1" customFormat="1" ht="14.1" customHeight="1">
      <c r="A16" s="122"/>
      <c r="B16" s="75" t="s">
        <v>28</v>
      </c>
      <c r="C16" s="75"/>
      <c r="D16" s="79" t="s">
        <v>137</v>
      </c>
      <c r="E16" s="80"/>
      <c r="F16" s="80"/>
      <c r="G16" s="81"/>
      <c r="H16" s="46"/>
      <c r="I16" s="46"/>
      <c r="J16" s="125"/>
      <c r="K16" s="114"/>
      <c r="L16" s="114"/>
      <c r="M16" s="162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27">
        <f>SUM(I17)-1.6</f>
        <v>30.699999999999996</v>
      </c>
      <c r="I17" s="27">
        <f>SUM(J17)-1.6</f>
        <v>32.299999999999997</v>
      </c>
      <c r="J17" s="125">
        <v>33.9</v>
      </c>
      <c r="K17" s="114">
        <f>SUM(J17)+1.6</f>
        <v>35.5</v>
      </c>
      <c r="L17" s="114">
        <f>SUM(K17)+1.6</f>
        <v>37.1</v>
      </c>
      <c r="M17" s="162">
        <f>SUM(L17)+1.6</f>
        <v>38.700000000000003</v>
      </c>
    </row>
    <row r="18" spans="1:13" s="1" customFormat="1" ht="14.1" customHeight="1">
      <c r="A18" s="122"/>
      <c r="B18" s="75" t="s">
        <v>33</v>
      </c>
      <c r="C18" s="75"/>
      <c r="D18" s="79" t="s">
        <v>74</v>
      </c>
      <c r="E18" s="80"/>
      <c r="F18" s="80"/>
      <c r="G18" s="81"/>
      <c r="H18" s="46"/>
      <c r="I18" s="46"/>
      <c r="J18" s="125"/>
      <c r="K18" s="114"/>
      <c r="L18" s="114"/>
      <c r="M18" s="162"/>
    </row>
    <row r="19" spans="1:13" s="1" customFormat="1" ht="14.1" customHeight="1">
      <c r="A19" s="122">
        <v>9</v>
      </c>
      <c r="B19" s="98" t="s">
        <v>4</v>
      </c>
      <c r="C19" s="98"/>
      <c r="D19" s="124" t="s">
        <v>5</v>
      </c>
      <c r="E19" s="124"/>
      <c r="F19" s="124"/>
      <c r="G19" s="124"/>
      <c r="H19" s="27">
        <f>SUM(I19)-3.6</f>
        <v>34.299999999999997</v>
      </c>
      <c r="I19" s="27">
        <f>SUM(J19)-3.6</f>
        <v>37.9</v>
      </c>
      <c r="J19" s="125">
        <v>41.5</v>
      </c>
      <c r="K19" s="114">
        <f>SUM(J19)+3.7</f>
        <v>45.2</v>
      </c>
      <c r="L19" s="114">
        <f>SUM(K19)+3.7</f>
        <v>48.900000000000006</v>
      </c>
      <c r="M19" s="162">
        <f>SUM(L19)+3.7</f>
        <v>52.600000000000009</v>
      </c>
    </row>
    <row r="20" spans="1:13" s="1" customFormat="1" ht="14.1" customHeight="1">
      <c r="A20" s="122"/>
      <c r="B20" s="75" t="s">
        <v>200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14"/>
      <c r="L20" s="114"/>
      <c r="M20" s="162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162"/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62"/>
    </row>
    <row r="23" spans="1:13" s="1" customFormat="1" ht="14.1" customHeight="1">
      <c r="A23" s="122">
        <v>11</v>
      </c>
      <c r="B23" s="36" t="s">
        <v>260</v>
      </c>
      <c r="C23" s="37"/>
      <c r="D23" s="124" t="s">
        <v>65</v>
      </c>
      <c r="E23" s="124"/>
      <c r="F23" s="124"/>
      <c r="G23" s="124"/>
      <c r="H23" s="27">
        <f>SUM(I23)-0.7</f>
        <v>15.600000000000001</v>
      </c>
      <c r="I23" s="27">
        <f>SUM(J23)-0.7</f>
        <v>16.3</v>
      </c>
      <c r="J23" s="125">
        <v>17</v>
      </c>
      <c r="K23" s="114">
        <f>SUM(J23)+0.7</f>
        <v>17.7</v>
      </c>
      <c r="L23" s="114">
        <f>SUM(K23)+0.7</f>
        <v>18.399999999999999</v>
      </c>
      <c r="M23" s="162">
        <f>SUM(L23)+0.7</f>
        <v>19.099999999999998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62"/>
    </row>
    <row r="25" spans="1:13" s="1" customFormat="1" ht="14.1" customHeight="1">
      <c r="A25" s="122">
        <v>12</v>
      </c>
      <c r="B25" s="36" t="s">
        <v>178</v>
      </c>
      <c r="C25" s="37"/>
      <c r="D25" s="129"/>
      <c r="E25" s="130"/>
      <c r="F25" s="130"/>
      <c r="G25" s="131"/>
      <c r="H25" s="27">
        <f>SUM(I25)</f>
        <v>10.5</v>
      </c>
      <c r="I25" s="27">
        <f>SUM(J25)</f>
        <v>10.5</v>
      </c>
      <c r="J25" s="125">
        <v>10.5</v>
      </c>
      <c r="K25" s="114">
        <f>SUM(J25)+0.2</f>
        <v>10.7</v>
      </c>
      <c r="L25" s="114">
        <f>SUM(K25)+0.2</f>
        <v>10.899999999999999</v>
      </c>
      <c r="M25" s="162">
        <f>SUM(L25)+0.2</f>
        <v>11.099999999999998</v>
      </c>
    </row>
    <row r="26" spans="1:13" s="1" customFormat="1" ht="14.1" customHeight="1">
      <c r="A26" s="122"/>
      <c r="B26" s="127" t="s">
        <v>179</v>
      </c>
      <c r="C26" s="128"/>
      <c r="D26" s="79"/>
      <c r="E26" s="80"/>
      <c r="F26" s="80"/>
      <c r="G26" s="81"/>
      <c r="H26" s="46"/>
      <c r="I26" s="46"/>
      <c r="J26" s="125"/>
      <c r="K26" s="114"/>
      <c r="L26" s="114"/>
      <c r="M26" s="162"/>
    </row>
    <row r="27" spans="1:13" s="1" customFormat="1" ht="14.1" customHeight="1">
      <c r="A27" s="122">
        <v>13</v>
      </c>
      <c r="B27" s="36" t="s">
        <v>202</v>
      </c>
      <c r="C27" s="37"/>
      <c r="D27" s="124"/>
      <c r="E27" s="124"/>
      <c r="F27" s="124"/>
      <c r="G27" s="124"/>
      <c r="H27" s="27">
        <f>SUM(I27)-0.2</f>
        <v>4.3999999999999995</v>
      </c>
      <c r="I27" s="27">
        <f>SUM(J27)-0.2</f>
        <v>4.5999999999999996</v>
      </c>
      <c r="J27" s="125">
        <v>4.8</v>
      </c>
      <c r="K27" s="114">
        <f>SUM(J27)+0.2</f>
        <v>5</v>
      </c>
      <c r="L27" s="114">
        <f t="shared" ref="L27:M27" si="0">SUM(K27)+0.2</f>
        <v>5.2</v>
      </c>
      <c r="M27" s="162">
        <f t="shared" si="0"/>
        <v>5.4</v>
      </c>
    </row>
    <row r="28" spans="1:13" s="1" customFormat="1" ht="14.1" customHeight="1">
      <c r="A28" s="122"/>
      <c r="B28" s="127" t="s">
        <v>34</v>
      </c>
      <c r="C28" s="128"/>
      <c r="D28" s="82" t="s">
        <v>488</v>
      </c>
      <c r="E28" s="80"/>
      <c r="F28" s="80"/>
      <c r="G28" s="81"/>
      <c r="H28" s="46"/>
      <c r="I28" s="46"/>
      <c r="J28" s="41"/>
      <c r="K28" s="114"/>
      <c r="L28" s="114"/>
      <c r="M28" s="162"/>
    </row>
    <row r="29" spans="1:13" s="1" customFormat="1" ht="14.1" customHeight="1">
      <c r="A29" s="122">
        <v>14</v>
      </c>
      <c r="B29" s="133"/>
      <c r="C29" s="134"/>
      <c r="D29" s="135"/>
      <c r="E29" s="136"/>
      <c r="F29" s="136"/>
      <c r="G29" s="137"/>
      <c r="H29" s="27"/>
      <c r="I29" s="27"/>
      <c r="J29" s="125"/>
      <c r="K29" s="114"/>
      <c r="L29" s="114"/>
      <c r="M29" s="162"/>
    </row>
    <row r="30" spans="1:13" s="1" customFormat="1" ht="14.1" customHeight="1">
      <c r="A30" s="122"/>
      <c r="B30" s="127"/>
      <c r="C30" s="128"/>
      <c r="D30" s="79"/>
      <c r="E30" s="80"/>
      <c r="F30" s="80"/>
      <c r="G30" s="81"/>
      <c r="H30" s="46"/>
      <c r="I30" s="46"/>
      <c r="J30" s="125"/>
      <c r="K30" s="114"/>
      <c r="L30" s="114"/>
      <c r="M30" s="162"/>
    </row>
    <row r="31" spans="1:13" ht="14.1" customHeight="1">
      <c r="A31" s="122">
        <v>15</v>
      </c>
      <c r="B31" s="133"/>
      <c r="C31" s="134"/>
      <c r="D31" s="135"/>
      <c r="E31" s="136"/>
      <c r="F31" s="136"/>
      <c r="G31" s="137"/>
      <c r="H31" s="27"/>
      <c r="I31" s="27"/>
      <c r="J31" s="41"/>
      <c r="K31" s="27"/>
      <c r="L31" s="27"/>
      <c r="M31" s="62"/>
    </row>
    <row r="32" spans="1:13" ht="14.1" customHeight="1" thickBot="1">
      <c r="A32" s="123"/>
      <c r="B32" s="143"/>
      <c r="C32" s="144"/>
      <c r="D32" s="119"/>
      <c r="E32" s="120"/>
      <c r="F32" s="120"/>
      <c r="G32" s="121"/>
      <c r="H32" s="28"/>
      <c r="I32" s="28"/>
      <c r="J32" s="42"/>
      <c r="K32" s="28"/>
      <c r="L32" s="28"/>
      <c r="M32" s="160"/>
    </row>
    <row r="33" ht="14.1" customHeight="1"/>
    <row r="34" ht="14.1" customHeight="1"/>
    <row r="35" ht="14.1" customHeight="1"/>
    <row r="36" ht="14.1" customHeight="1"/>
    <row r="37" ht="14.1" customHeight="1"/>
    <row r="38" ht="14.1" customHeight="1"/>
    <row r="39" ht="14.1" customHeight="1"/>
    <row r="40" ht="14.1" customHeight="1"/>
    <row r="41" ht="14.1" customHeight="1"/>
    <row r="42" ht="14.1" customHeight="1"/>
    <row r="43" ht="14.1" customHeight="1"/>
    <row r="44" ht="14.1" customHeight="1"/>
    <row r="45" ht="14.1" customHeight="1"/>
    <row r="46" ht="14.1" customHeight="1"/>
    <row r="47" ht="14.1" customHeight="1"/>
    <row r="48" ht="14.1" customHeight="1"/>
    <row r="49" ht="14.1" customHeight="1"/>
    <row r="50" ht="14.1" customHeight="1"/>
    <row r="51" ht="14.1" customHeight="1"/>
  </sheetData>
  <mergeCells count="168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070F-5916-481A-9F72-2D20EA04BEC1}">
  <sheetPr codeName="Sheet70">
    <tabColor theme="5"/>
    <pageSetUpPr fitToPage="1"/>
  </sheetPr>
  <dimension ref="A1:P51"/>
  <sheetViews>
    <sheetView zoomScale="110" zoomScaleNormal="110" workbookViewId="0">
      <selection activeCell="N25" sqref="N25:N26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75" t="s">
        <v>461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6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6" t="s">
        <v>124</v>
      </c>
      <c r="N2" s="6" t="s">
        <v>126</v>
      </c>
    </row>
    <row r="3" spans="1:16" s="1" customFormat="1" ht="14.1" customHeight="1">
      <c r="A3" s="138">
        <v>1</v>
      </c>
      <c r="B3" s="148" t="s">
        <v>39</v>
      </c>
      <c r="C3" s="148"/>
      <c r="D3" s="92" t="s">
        <v>217</v>
      </c>
      <c r="E3" s="93"/>
      <c r="F3" s="93"/>
      <c r="G3" s="94"/>
      <c r="H3" s="27">
        <f>SUM(I3)-3.5</f>
        <v>38</v>
      </c>
      <c r="I3" s="27">
        <f>SUM(J3)-3.5</f>
        <v>41.5</v>
      </c>
      <c r="J3" s="139">
        <v>45</v>
      </c>
      <c r="K3" s="96">
        <f>SUM(J3)+3</f>
        <v>48</v>
      </c>
      <c r="L3" s="96">
        <f>SUM(K3)+3</f>
        <v>51</v>
      </c>
      <c r="M3" s="96">
        <f>SUM(L3)+3</f>
        <v>54</v>
      </c>
      <c r="N3" s="193">
        <f>SUM(M3)+3</f>
        <v>57</v>
      </c>
    </row>
    <row r="4" spans="1:16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46"/>
      <c r="L4" s="46"/>
      <c r="M4" s="46"/>
      <c r="N4" s="173"/>
    </row>
    <row r="5" spans="1:16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SUM(I5)-1.6</f>
        <v>29.799999999999997</v>
      </c>
      <c r="I5" s="27">
        <f>SUM(J5)-1.6</f>
        <v>31.4</v>
      </c>
      <c r="J5" s="41">
        <v>33</v>
      </c>
      <c r="K5" s="27">
        <f>SUM(J5)+1.6</f>
        <v>34.6</v>
      </c>
      <c r="L5" s="27">
        <f>SUM(K5)+1.6</f>
        <v>36.200000000000003</v>
      </c>
      <c r="M5" s="27">
        <f>SUM(L5)+1.6</f>
        <v>37.800000000000004</v>
      </c>
      <c r="N5" s="172">
        <f>SUM(M5)+1.6</f>
        <v>39.400000000000006</v>
      </c>
    </row>
    <row r="6" spans="1:16" s="1" customFormat="1" ht="14.1" customHeight="1">
      <c r="A6" s="122"/>
      <c r="B6" s="75" t="s">
        <v>24</v>
      </c>
      <c r="C6" s="75"/>
      <c r="D6" s="79" t="s">
        <v>254</v>
      </c>
      <c r="E6" s="80"/>
      <c r="F6" s="80"/>
      <c r="G6" s="81"/>
      <c r="H6" s="46"/>
      <c r="I6" s="46"/>
      <c r="J6" s="44"/>
      <c r="K6" s="46"/>
      <c r="L6" s="46"/>
      <c r="M6" s="46"/>
      <c r="N6" s="173"/>
    </row>
    <row r="7" spans="1:16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</f>
        <v>36</v>
      </c>
      <c r="I7" s="27">
        <f>SUM(J7)-2</f>
        <v>38</v>
      </c>
      <c r="J7" s="41">
        <v>40</v>
      </c>
      <c r="K7" s="27">
        <f>SUM(J7)+2</f>
        <v>42</v>
      </c>
      <c r="L7" s="27">
        <f>SUM(K7)+2</f>
        <v>44</v>
      </c>
      <c r="M7" s="27">
        <f>SUM(L7)+2</f>
        <v>46</v>
      </c>
      <c r="N7" s="172">
        <f>SUM(M7)+2</f>
        <v>48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6"/>
      <c r="N8" s="173"/>
    </row>
    <row r="9" spans="1:16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SUM(I9)-1.6</f>
        <v>29.299999999999997</v>
      </c>
      <c r="I9" s="27">
        <f>SUM(J9)-1.6</f>
        <v>30.9</v>
      </c>
      <c r="J9" s="41">
        <v>32.5</v>
      </c>
      <c r="K9" s="27">
        <f>SUM(J9)+1.6</f>
        <v>34.1</v>
      </c>
      <c r="L9" s="27">
        <f>SUM(K9)+1.6</f>
        <v>35.700000000000003</v>
      </c>
      <c r="M9" s="27">
        <f>SUM(L9)+1.6</f>
        <v>37.300000000000004</v>
      </c>
      <c r="N9" s="172">
        <f>SUM(M9)+1.6</f>
        <v>38.900000000000006</v>
      </c>
      <c r="O9" s="1" t="s">
        <v>162</v>
      </c>
    </row>
    <row r="10" spans="1:16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6"/>
      <c r="N10" s="173"/>
    </row>
    <row r="11" spans="1:16" s="1" customFormat="1" ht="14.1" customHeight="1">
      <c r="A11" s="122">
        <v>5</v>
      </c>
      <c r="B11" s="98" t="s">
        <v>255</v>
      </c>
      <c r="C11" s="98"/>
      <c r="D11" s="124"/>
      <c r="E11" s="124"/>
      <c r="F11" s="124"/>
      <c r="G11" s="124"/>
      <c r="H11" s="27">
        <f>SUM(I11)-0</f>
        <v>5.5</v>
      </c>
      <c r="I11" s="27">
        <f>SUM(J11)-0</f>
        <v>5.5</v>
      </c>
      <c r="J11" s="41">
        <v>5.5</v>
      </c>
      <c r="K11" s="27">
        <f>SUM(J11)+0.5</f>
        <v>6</v>
      </c>
      <c r="L11" s="27">
        <f>SUM(K11)+0</f>
        <v>6</v>
      </c>
      <c r="M11" s="27">
        <f>SUM(L11)+0</f>
        <v>6</v>
      </c>
      <c r="N11" s="172">
        <f>SUM(M11)+0</f>
        <v>6</v>
      </c>
      <c r="P11" s="1" t="s">
        <v>162</v>
      </c>
    </row>
    <row r="12" spans="1:16" s="1" customFormat="1" ht="14.1" customHeight="1">
      <c r="A12" s="122"/>
      <c r="B12" s="75" t="s">
        <v>256</v>
      </c>
      <c r="C12" s="75"/>
      <c r="D12" s="79"/>
      <c r="E12" s="80"/>
      <c r="F12" s="80"/>
      <c r="G12" s="81"/>
      <c r="H12" s="46"/>
      <c r="I12" s="46"/>
      <c r="J12" s="44"/>
      <c r="K12" s="46"/>
      <c r="L12" s="46"/>
      <c r="M12" s="46"/>
      <c r="N12" s="173"/>
    </row>
    <row r="13" spans="1:16" s="1" customFormat="1" ht="14.1" customHeight="1">
      <c r="A13" s="122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>
        <f>SUM(I13)-0.8</f>
        <v>17.399999999999999</v>
      </c>
      <c r="I13" s="27">
        <f>SUM(J13)-0.8</f>
        <v>18.2</v>
      </c>
      <c r="J13" s="125">
        <v>19</v>
      </c>
      <c r="K13" s="114">
        <f>SUM(J13)+0.8</f>
        <v>19.8</v>
      </c>
      <c r="L13" s="114">
        <f>SUM(K13)+0.8</f>
        <v>20.6</v>
      </c>
      <c r="M13" s="114">
        <f>SUM(L13)+0.8</f>
        <v>21.400000000000002</v>
      </c>
      <c r="N13" s="170">
        <f>SUM(M13)+0.8</f>
        <v>22.200000000000003</v>
      </c>
    </row>
    <row r="14" spans="1:16" s="1" customFormat="1" ht="14.1" customHeight="1">
      <c r="A14" s="122"/>
      <c r="B14" s="75" t="s">
        <v>26</v>
      </c>
      <c r="C14" s="75"/>
      <c r="D14" s="79" t="s">
        <v>45</v>
      </c>
      <c r="E14" s="80"/>
      <c r="F14" s="80"/>
      <c r="G14" s="81"/>
      <c r="H14" s="46"/>
      <c r="I14" s="46"/>
      <c r="J14" s="125"/>
      <c r="K14" s="114"/>
      <c r="L14" s="114"/>
      <c r="M14" s="114"/>
      <c r="N14" s="170"/>
    </row>
    <row r="15" spans="1:16" s="1" customFormat="1" ht="14.1" customHeight="1">
      <c r="A15" s="122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15.799999999999999</v>
      </c>
      <c r="I15" s="27">
        <f>SUM(J15)-0.6</f>
        <v>16.399999999999999</v>
      </c>
      <c r="J15" s="125">
        <v>17</v>
      </c>
      <c r="K15" s="27">
        <f>SUM(J15)+0.6</f>
        <v>17.600000000000001</v>
      </c>
      <c r="L15" s="27">
        <f>SUM(K15)+0.6</f>
        <v>18.200000000000003</v>
      </c>
      <c r="M15" s="27">
        <f>SUM(L15)+0.6</f>
        <v>18.800000000000004</v>
      </c>
      <c r="N15" s="172">
        <f>SUM(M15)+0.6</f>
        <v>19.400000000000006</v>
      </c>
    </row>
    <row r="16" spans="1:16" s="1" customFormat="1" ht="14.1" customHeight="1">
      <c r="A16" s="122"/>
      <c r="B16" s="75" t="s">
        <v>27</v>
      </c>
      <c r="C16" s="75"/>
      <c r="D16" s="79" t="s">
        <v>46</v>
      </c>
      <c r="E16" s="80"/>
      <c r="F16" s="80"/>
      <c r="G16" s="81"/>
      <c r="H16" s="46"/>
      <c r="I16" s="46"/>
      <c r="J16" s="125"/>
      <c r="K16" s="46"/>
      <c r="L16" s="46"/>
      <c r="M16" s="46"/>
      <c r="N16" s="173"/>
    </row>
    <row r="17" spans="1:14" s="1" customFormat="1" ht="14.1" customHeight="1">
      <c r="A17" s="122">
        <v>8</v>
      </c>
      <c r="B17" s="36" t="s">
        <v>2</v>
      </c>
      <c r="C17" s="37"/>
      <c r="D17" s="124" t="s">
        <v>3</v>
      </c>
      <c r="E17" s="124"/>
      <c r="F17" s="124"/>
      <c r="G17" s="124"/>
      <c r="H17" s="27">
        <f>SUM(I17)-0.3</f>
        <v>6.9</v>
      </c>
      <c r="I17" s="27">
        <f>SUM(J17)-0.3</f>
        <v>7.2</v>
      </c>
      <c r="J17" s="125">
        <v>7.5</v>
      </c>
      <c r="K17" s="114">
        <f>SUM(J17)+0.3</f>
        <v>7.8</v>
      </c>
      <c r="L17" s="114">
        <f>SUM(K17)+0.3</f>
        <v>8.1</v>
      </c>
      <c r="M17" s="145">
        <f>SUM(L17)+0.3</f>
        <v>8.4</v>
      </c>
      <c r="N17" s="180">
        <f>SUM(M17)+0.3</f>
        <v>8.7000000000000011</v>
      </c>
    </row>
    <row r="18" spans="1:14" s="1" customFormat="1" ht="14.1" customHeight="1">
      <c r="A18" s="122"/>
      <c r="B18" s="127" t="s">
        <v>28</v>
      </c>
      <c r="C18" s="128"/>
      <c r="D18" s="79" t="s">
        <v>164</v>
      </c>
      <c r="E18" s="80"/>
      <c r="F18" s="80"/>
      <c r="G18" s="81"/>
      <c r="H18" s="46"/>
      <c r="I18" s="46"/>
      <c r="J18" s="125"/>
      <c r="K18" s="114"/>
      <c r="L18" s="114"/>
      <c r="M18" s="145"/>
      <c r="N18" s="180"/>
    </row>
    <row r="19" spans="1:14" s="1" customFormat="1" ht="14.1" customHeight="1">
      <c r="A19" s="122">
        <v>9</v>
      </c>
      <c r="B19" s="36" t="s">
        <v>70</v>
      </c>
      <c r="C19" s="37"/>
      <c r="D19" s="76" t="s">
        <v>71</v>
      </c>
      <c r="E19" s="77"/>
      <c r="F19" s="77"/>
      <c r="G19" s="78"/>
      <c r="H19" s="27"/>
      <c r="I19" s="27"/>
      <c r="J19" s="125"/>
      <c r="K19" s="114"/>
      <c r="L19" s="114"/>
      <c r="M19" s="145"/>
      <c r="N19" s="180"/>
    </row>
    <row r="20" spans="1:14" s="1" customFormat="1" ht="14.1" customHeight="1">
      <c r="A20" s="122"/>
      <c r="B20" s="75" t="s">
        <v>33</v>
      </c>
      <c r="C20" s="75"/>
      <c r="D20" s="79" t="s">
        <v>74</v>
      </c>
      <c r="E20" s="80"/>
      <c r="F20" s="80"/>
      <c r="G20" s="81"/>
      <c r="H20" s="46"/>
      <c r="I20" s="46"/>
      <c r="J20" s="125"/>
      <c r="K20" s="114"/>
      <c r="L20" s="114"/>
      <c r="M20" s="145"/>
      <c r="N20" s="180"/>
    </row>
    <row r="21" spans="1:14" s="1" customFormat="1" ht="14.1" customHeight="1">
      <c r="A21" s="122">
        <v>10</v>
      </c>
      <c r="B21" s="36" t="s">
        <v>257</v>
      </c>
      <c r="C21" s="37"/>
      <c r="D21" s="76"/>
      <c r="E21" s="77"/>
      <c r="F21" s="77"/>
      <c r="G21" s="78"/>
      <c r="H21" s="27">
        <f>SUM(I21)</f>
        <v>2.5</v>
      </c>
      <c r="I21" s="27">
        <f>SUM(J21)</f>
        <v>2.5</v>
      </c>
      <c r="J21" s="41">
        <v>2.5</v>
      </c>
      <c r="K21" s="27">
        <f>SUM(J21)</f>
        <v>2.5</v>
      </c>
      <c r="L21" s="27">
        <f>SUM(K21)</f>
        <v>2.5</v>
      </c>
      <c r="M21" s="27">
        <f>SUM(L21)</f>
        <v>2.5</v>
      </c>
      <c r="N21" s="172">
        <f>SUM(M21)</f>
        <v>2.5</v>
      </c>
    </row>
    <row r="22" spans="1:14" s="1" customFormat="1" ht="14.1" customHeight="1">
      <c r="A22" s="122"/>
      <c r="B22" s="75" t="s">
        <v>267</v>
      </c>
      <c r="C22" s="75"/>
      <c r="D22" s="79"/>
      <c r="E22" s="80"/>
      <c r="F22" s="80"/>
      <c r="G22" s="81"/>
      <c r="H22" s="46"/>
      <c r="I22" s="46"/>
      <c r="J22" s="44"/>
      <c r="K22" s="46"/>
      <c r="L22" s="46"/>
      <c r="M22" s="46"/>
      <c r="N22" s="173"/>
    </row>
    <row r="23" spans="1:14" s="1" customFormat="1" ht="14.1" customHeight="1">
      <c r="A23" s="122">
        <v>11</v>
      </c>
      <c r="B23" s="98" t="s">
        <v>4</v>
      </c>
      <c r="C23" s="98"/>
      <c r="D23" s="124" t="s">
        <v>5</v>
      </c>
      <c r="E23" s="124"/>
      <c r="F23" s="124"/>
      <c r="G23" s="124"/>
      <c r="H23" s="27">
        <f>SUM(I23)-3.5</f>
        <v>30.5</v>
      </c>
      <c r="I23" s="27">
        <f>SUM(J23)-3.5</f>
        <v>34</v>
      </c>
      <c r="J23" s="125">
        <v>37.5</v>
      </c>
      <c r="K23" s="114">
        <f>SUM(J23)+3.5</f>
        <v>41</v>
      </c>
      <c r="L23" s="114">
        <f>SUM(K23)+3.5</f>
        <v>44.5</v>
      </c>
      <c r="M23" s="145">
        <f>SUM(L23)+3.5</f>
        <v>48</v>
      </c>
      <c r="N23" s="180">
        <f>SUM(M23)+3.5</f>
        <v>51.5</v>
      </c>
    </row>
    <row r="24" spans="1:14" s="1" customFormat="1" ht="14.1" customHeight="1">
      <c r="A24" s="122"/>
      <c r="B24" s="75" t="s">
        <v>29</v>
      </c>
      <c r="C24" s="75"/>
      <c r="D24" s="79" t="s">
        <v>47</v>
      </c>
      <c r="E24" s="80"/>
      <c r="F24" s="80"/>
      <c r="G24" s="81"/>
      <c r="H24" s="46"/>
      <c r="I24" s="46"/>
      <c r="J24" s="125"/>
      <c r="K24" s="114"/>
      <c r="L24" s="114"/>
      <c r="M24" s="145"/>
      <c r="N24" s="180"/>
    </row>
    <row r="25" spans="1:14" s="1" customFormat="1" ht="14.1" customHeight="1">
      <c r="A25" s="122">
        <v>12</v>
      </c>
      <c r="B25" s="98" t="s">
        <v>6</v>
      </c>
      <c r="C25" s="98"/>
      <c r="D25" s="76" t="s">
        <v>7</v>
      </c>
      <c r="E25" s="77"/>
      <c r="F25" s="77"/>
      <c r="G25" s="78"/>
      <c r="H25" s="27">
        <f>SUM(I25)-1.4</f>
        <v>29.200000000000003</v>
      </c>
      <c r="I25" s="27">
        <f>SUM(J25)-1.4</f>
        <v>30.6</v>
      </c>
      <c r="J25" s="125">
        <v>32</v>
      </c>
      <c r="K25" s="114">
        <f>SUM(J25)+1.4</f>
        <v>33.4</v>
      </c>
      <c r="L25" s="114">
        <f>SUM(K25)+1.4</f>
        <v>34.799999999999997</v>
      </c>
      <c r="M25" s="145">
        <f>SUM(L25)+1.4</f>
        <v>36.199999999999996</v>
      </c>
      <c r="N25" s="180">
        <f>SUM(M25)+1.4</f>
        <v>37.599999999999994</v>
      </c>
    </row>
    <row r="26" spans="1:14" s="1" customFormat="1" ht="14.1" customHeight="1">
      <c r="A26" s="122"/>
      <c r="B26" s="75" t="s">
        <v>30</v>
      </c>
      <c r="C26" s="75"/>
      <c r="D26" s="79" t="s">
        <v>64</v>
      </c>
      <c r="E26" s="80"/>
      <c r="F26" s="80"/>
      <c r="G26" s="81"/>
      <c r="H26" s="46"/>
      <c r="I26" s="46"/>
      <c r="J26" s="125"/>
      <c r="K26" s="114"/>
      <c r="L26" s="114"/>
      <c r="M26" s="145"/>
      <c r="N26" s="180"/>
    </row>
    <row r="27" spans="1:14" s="1" customFormat="1" ht="14.1" customHeight="1">
      <c r="A27" s="122">
        <v>13</v>
      </c>
      <c r="B27" s="36" t="s">
        <v>260</v>
      </c>
      <c r="C27" s="37"/>
      <c r="D27" s="124" t="s">
        <v>65</v>
      </c>
      <c r="E27" s="124"/>
      <c r="F27" s="124"/>
      <c r="G27" s="124"/>
      <c r="H27" s="27">
        <f>SUM(I27)-0.6</f>
        <v>14.8</v>
      </c>
      <c r="I27" s="27">
        <f>SUM(J27)-0.6</f>
        <v>15.4</v>
      </c>
      <c r="J27" s="125">
        <v>16</v>
      </c>
      <c r="K27" s="27">
        <f>SUM(J27)+0.6</f>
        <v>16.600000000000001</v>
      </c>
      <c r="L27" s="27">
        <f>SUM(K27)+0.6</f>
        <v>17.200000000000003</v>
      </c>
      <c r="M27" s="27">
        <f>SUM(L27)+0.6</f>
        <v>17.800000000000004</v>
      </c>
      <c r="N27" s="172">
        <f>SUM(M27)+0.6</f>
        <v>18.400000000000006</v>
      </c>
    </row>
    <row r="28" spans="1:14" s="1" customFormat="1" ht="14.1" customHeight="1">
      <c r="A28" s="122"/>
      <c r="B28" s="75" t="s">
        <v>31</v>
      </c>
      <c r="C28" s="75"/>
      <c r="D28" s="79" t="s">
        <v>66</v>
      </c>
      <c r="E28" s="80"/>
      <c r="F28" s="80"/>
      <c r="G28" s="81"/>
      <c r="H28" s="46"/>
      <c r="I28" s="46"/>
      <c r="J28" s="125"/>
      <c r="K28" s="46"/>
      <c r="L28" s="46"/>
      <c r="M28" s="46"/>
      <c r="N28" s="173"/>
    </row>
    <row r="29" spans="1:14" s="1" customFormat="1" ht="14.1" customHeight="1">
      <c r="A29" s="122">
        <v>14</v>
      </c>
      <c r="B29" s="36" t="s">
        <v>261</v>
      </c>
      <c r="C29" s="37"/>
      <c r="D29" s="124"/>
      <c r="E29" s="124"/>
      <c r="F29" s="124"/>
      <c r="G29" s="124"/>
      <c r="H29" s="27">
        <f>SUM(I29)-0</f>
        <v>5.5</v>
      </c>
      <c r="I29" s="27">
        <f>SUM(J29)-0</f>
        <v>5.5</v>
      </c>
      <c r="J29" s="41">
        <v>5.5</v>
      </c>
      <c r="K29" s="27">
        <f>SUM(J29)+0.5</f>
        <v>6</v>
      </c>
      <c r="L29" s="27">
        <f>SUM(K29)+0</f>
        <v>6</v>
      </c>
      <c r="M29" s="27">
        <f>SUM(L29)+0</f>
        <v>6</v>
      </c>
      <c r="N29" s="172">
        <f>SUM(M29)+0</f>
        <v>6</v>
      </c>
    </row>
    <row r="30" spans="1:14" s="1" customFormat="1" ht="14.1" customHeight="1">
      <c r="A30" s="122"/>
      <c r="B30" s="127" t="s">
        <v>262</v>
      </c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6"/>
      <c r="N30" s="173"/>
    </row>
    <row r="31" spans="1:14" ht="14.1" customHeight="1">
      <c r="A31" s="122">
        <v>15</v>
      </c>
      <c r="B31" s="36" t="s">
        <v>114</v>
      </c>
      <c r="C31" s="37"/>
      <c r="D31" s="76"/>
      <c r="E31" s="77"/>
      <c r="F31" s="77"/>
      <c r="G31" s="78"/>
      <c r="H31" s="27">
        <f>SUM(I31)-0.3</f>
        <v>3.4000000000000004</v>
      </c>
      <c r="I31" s="27">
        <f>SUM(J31)-0.3</f>
        <v>3.7</v>
      </c>
      <c r="J31" s="41">
        <v>4</v>
      </c>
      <c r="K31" s="27">
        <f>SUM(J31)+0.3</f>
        <v>4.3</v>
      </c>
      <c r="L31" s="27">
        <f>SUM(K31)+0.3</f>
        <v>4.5999999999999996</v>
      </c>
      <c r="M31" s="27">
        <f>SUM(L31)+0.3</f>
        <v>4.8999999999999995</v>
      </c>
      <c r="N31" s="172">
        <f>SUM(M31)+0.3</f>
        <v>5.1999999999999993</v>
      </c>
    </row>
    <row r="32" spans="1:14" ht="14.1" customHeight="1">
      <c r="A32" s="159"/>
      <c r="B32" s="127" t="s">
        <v>122</v>
      </c>
      <c r="C32" s="128"/>
      <c r="D32" s="79" t="s">
        <v>388</v>
      </c>
      <c r="E32" s="80"/>
      <c r="F32" s="80"/>
      <c r="G32" s="81"/>
      <c r="H32" s="46"/>
      <c r="I32" s="46"/>
      <c r="J32" s="44"/>
      <c r="K32" s="46"/>
      <c r="L32" s="46"/>
      <c r="M32" s="46"/>
      <c r="N32" s="173"/>
    </row>
    <row r="33" spans="1:14" ht="14.1" customHeight="1">
      <c r="A33" s="159">
        <v>16</v>
      </c>
      <c r="B33" s="36"/>
      <c r="C33" s="37"/>
      <c r="D33" s="76"/>
      <c r="E33" s="77"/>
      <c r="F33" s="77"/>
      <c r="G33" s="78"/>
      <c r="H33" s="27"/>
      <c r="I33" s="27"/>
      <c r="J33" s="41"/>
      <c r="K33" s="27"/>
      <c r="L33" s="27"/>
      <c r="M33" s="27"/>
      <c r="N33" s="172"/>
    </row>
    <row r="34" spans="1:14" ht="14.1" customHeight="1">
      <c r="A34" s="138"/>
      <c r="B34" s="127"/>
      <c r="C34" s="128"/>
      <c r="D34" s="79"/>
      <c r="E34" s="80"/>
      <c r="F34" s="80"/>
      <c r="G34" s="81"/>
      <c r="H34" s="46"/>
      <c r="I34" s="46"/>
      <c r="J34" s="44"/>
      <c r="K34" s="46"/>
      <c r="L34" s="46"/>
      <c r="M34" s="46"/>
      <c r="N34" s="173"/>
    </row>
    <row r="35" spans="1:14" ht="14.1" customHeight="1">
      <c r="A35" s="159">
        <v>17</v>
      </c>
      <c r="B35" s="36"/>
      <c r="C35" s="37"/>
      <c r="D35" s="76"/>
      <c r="E35" s="77"/>
      <c r="F35" s="77"/>
      <c r="G35" s="78"/>
      <c r="H35" s="27"/>
      <c r="I35" s="27"/>
      <c r="J35" s="41"/>
      <c r="K35" s="27"/>
      <c r="L35" s="27"/>
      <c r="M35" s="27"/>
      <c r="N35" s="172"/>
    </row>
    <row r="36" spans="1:14" ht="14.1" customHeight="1">
      <c r="A36" s="138"/>
      <c r="B36" s="127"/>
      <c r="C36" s="128"/>
      <c r="D36" s="79"/>
      <c r="E36" s="80"/>
      <c r="F36" s="80"/>
      <c r="G36" s="81"/>
      <c r="H36" s="46"/>
      <c r="I36" s="46"/>
      <c r="J36" s="44"/>
      <c r="K36" s="46"/>
      <c r="L36" s="46"/>
      <c r="M36" s="46"/>
      <c r="N36" s="173"/>
    </row>
    <row r="37" spans="1:14" ht="14.1" customHeight="1">
      <c r="A37" s="159">
        <v>18</v>
      </c>
      <c r="B37" s="36"/>
      <c r="C37" s="37"/>
      <c r="D37" s="76"/>
      <c r="E37" s="77"/>
      <c r="F37" s="77"/>
      <c r="G37" s="78"/>
      <c r="H37" s="27"/>
      <c r="I37" s="27"/>
      <c r="J37" s="41"/>
      <c r="K37" s="27"/>
      <c r="L37" s="27"/>
      <c r="M37" s="27"/>
      <c r="N37" s="172"/>
    </row>
    <row r="38" spans="1:14" ht="14.1" customHeight="1" thickBot="1">
      <c r="A38" s="158"/>
      <c r="B38" s="143"/>
      <c r="C38" s="144"/>
      <c r="D38" s="119"/>
      <c r="E38" s="120"/>
      <c r="F38" s="120"/>
      <c r="G38" s="121"/>
      <c r="H38" s="28"/>
      <c r="I38" s="28"/>
      <c r="J38" s="42"/>
      <c r="K38" s="28"/>
      <c r="L38" s="28"/>
      <c r="M38" s="28"/>
      <c r="N38" s="190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N35:N36"/>
    <mergeCell ref="N37:N38"/>
    <mergeCell ref="N23:N24"/>
    <mergeCell ref="N25:N26"/>
    <mergeCell ref="N27:N28"/>
    <mergeCell ref="N29:N30"/>
    <mergeCell ref="N31:N32"/>
    <mergeCell ref="N33:N34"/>
    <mergeCell ref="N11:N12"/>
    <mergeCell ref="N13:N14"/>
    <mergeCell ref="N15:N16"/>
    <mergeCell ref="N17:N18"/>
    <mergeCell ref="N19:N20"/>
    <mergeCell ref="N21:N22"/>
    <mergeCell ref="K37:K38"/>
    <mergeCell ref="L37:L38"/>
    <mergeCell ref="M37:M38"/>
    <mergeCell ref="B38:C38"/>
    <mergeCell ref="D38:G38"/>
    <mergeCell ref="A1:N1"/>
    <mergeCell ref="N3:N4"/>
    <mergeCell ref="N5:N6"/>
    <mergeCell ref="N7:N8"/>
    <mergeCell ref="N9:N10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33B9-54A9-4355-8613-9CACEEB5EF89}">
  <sheetPr>
    <tabColor theme="5"/>
    <pageSetUpPr fitToPage="1"/>
  </sheetPr>
  <dimension ref="A1:P51"/>
  <sheetViews>
    <sheetView zoomScale="110" zoomScaleNormal="110" workbookViewId="0">
      <selection sqref="A1:N38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>
      <c r="A1" s="175" t="s">
        <v>646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7"/>
    </row>
    <row r="2" spans="1:16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2" t="s">
        <v>124</v>
      </c>
      <c r="N2" s="6" t="s">
        <v>134</v>
      </c>
    </row>
    <row r="3" spans="1:16" s="1" customFormat="1" ht="14.1" customHeight="1">
      <c r="A3" s="138">
        <v>1</v>
      </c>
      <c r="B3" s="148" t="s">
        <v>39</v>
      </c>
      <c r="C3" s="148"/>
      <c r="D3" s="92" t="s">
        <v>217</v>
      </c>
      <c r="E3" s="93"/>
      <c r="F3" s="93"/>
      <c r="G3" s="94"/>
      <c r="H3" s="27">
        <f>SUM(I3)-3.5</f>
        <v>35</v>
      </c>
      <c r="I3" s="27">
        <f>SUM(J3)-3.5</f>
        <v>38.5</v>
      </c>
      <c r="J3" s="139">
        <v>42</v>
      </c>
      <c r="K3" s="96">
        <f>SUM(J3)+3</f>
        <v>45</v>
      </c>
      <c r="L3" s="96">
        <f>SUM(K3)+3</f>
        <v>48</v>
      </c>
      <c r="M3" s="96">
        <f>SUM(L3)+3</f>
        <v>51</v>
      </c>
      <c r="N3" s="97">
        <f>SUM(M3)+3</f>
        <v>54</v>
      </c>
    </row>
    <row r="4" spans="1:16" s="1" customFormat="1" ht="14.1" customHeight="1">
      <c r="A4" s="122"/>
      <c r="B4" s="75" t="s">
        <v>36</v>
      </c>
      <c r="C4" s="75"/>
      <c r="D4" s="79" t="s">
        <v>73</v>
      </c>
      <c r="E4" s="80"/>
      <c r="F4" s="80"/>
      <c r="G4" s="80"/>
      <c r="H4" s="46"/>
      <c r="I4" s="46"/>
      <c r="J4" s="41"/>
      <c r="K4" s="46"/>
      <c r="L4" s="46"/>
      <c r="M4" s="46"/>
      <c r="N4" s="48"/>
    </row>
    <row r="5" spans="1:16" s="1" customFormat="1" ht="14.1" customHeight="1">
      <c r="A5" s="122">
        <v>2</v>
      </c>
      <c r="B5" s="168" t="s">
        <v>193</v>
      </c>
      <c r="C5" s="169"/>
      <c r="D5" s="102" t="s">
        <v>194</v>
      </c>
      <c r="E5" s="103"/>
      <c r="F5" s="103"/>
      <c r="G5" s="104"/>
      <c r="H5" s="27">
        <f>SUM(I5)-4.5</f>
        <v>45</v>
      </c>
      <c r="I5" s="27">
        <f>SUM(J5)-4.5</f>
        <v>49.5</v>
      </c>
      <c r="J5" s="41">
        <v>54</v>
      </c>
      <c r="K5" s="27">
        <f>SUM(J5)+4.5</f>
        <v>58.5</v>
      </c>
      <c r="L5" s="27">
        <f t="shared" ref="L5:N5" si="0">SUM(K5)+4.5</f>
        <v>63</v>
      </c>
      <c r="M5" s="27">
        <f t="shared" si="0"/>
        <v>67.5</v>
      </c>
      <c r="N5" s="62">
        <f t="shared" si="0"/>
        <v>72</v>
      </c>
    </row>
    <row r="6" spans="1:16" s="1" customFormat="1" ht="14.1" customHeight="1">
      <c r="A6" s="122"/>
      <c r="B6" s="127" t="s">
        <v>195</v>
      </c>
      <c r="C6" s="128"/>
      <c r="D6" s="79" t="s">
        <v>196</v>
      </c>
      <c r="E6" s="80"/>
      <c r="F6" s="80"/>
      <c r="G6" s="81"/>
      <c r="H6" s="46"/>
      <c r="I6" s="46"/>
      <c r="J6" s="44"/>
      <c r="K6" s="46"/>
      <c r="L6" s="46"/>
      <c r="M6" s="46"/>
      <c r="N6" s="48"/>
    </row>
    <row r="7" spans="1:16" s="1" customFormat="1" ht="14.1" customHeight="1">
      <c r="A7" s="122">
        <v>3</v>
      </c>
      <c r="B7" s="98" t="s">
        <v>35</v>
      </c>
      <c r="C7" s="98"/>
      <c r="D7" s="124" t="s">
        <v>186</v>
      </c>
      <c r="E7" s="124"/>
      <c r="F7" s="124"/>
      <c r="G7" s="124"/>
      <c r="H7" s="27">
        <f>SUM(I7)-2</f>
        <v>33.5</v>
      </c>
      <c r="I7" s="27">
        <f>SUM(J7)-2</f>
        <v>35.5</v>
      </c>
      <c r="J7" s="41">
        <v>37.5</v>
      </c>
      <c r="K7" s="27">
        <f>SUM(J7)+2</f>
        <v>39.5</v>
      </c>
      <c r="L7" s="27">
        <f>SUM(K7)+2</f>
        <v>41.5</v>
      </c>
      <c r="M7" s="27">
        <f>SUM(L7)+2</f>
        <v>43.5</v>
      </c>
      <c r="N7" s="62">
        <f>SUM(M7)+2</f>
        <v>45.5</v>
      </c>
    </row>
    <row r="8" spans="1:16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46"/>
      <c r="N8" s="48"/>
    </row>
    <row r="9" spans="1:16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30.400000000000002</v>
      </c>
      <c r="I9" s="27">
        <f>SUM(J9)-1.8</f>
        <v>32.200000000000003</v>
      </c>
      <c r="J9" s="41">
        <v>34</v>
      </c>
      <c r="K9" s="27">
        <f>SUM(J9)+1.8</f>
        <v>35.799999999999997</v>
      </c>
      <c r="L9" s="27">
        <f t="shared" ref="L9:N9" si="1">SUM(K9)+1.8</f>
        <v>37.599999999999994</v>
      </c>
      <c r="M9" s="27">
        <f t="shared" si="1"/>
        <v>39.399999999999991</v>
      </c>
      <c r="N9" s="62">
        <f t="shared" si="1"/>
        <v>41.199999999999989</v>
      </c>
      <c r="O9" s="1" t="s">
        <v>162</v>
      </c>
    </row>
    <row r="10" spans="1:16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46"/>
      <c r="N10" s="48"/>
    </row>
    <row r="11" spans="1:16" s="1" customFormat="1" ht="14.1" customHeight="1">
      <c r="A11" s="122">
        <v>5</v>
      </c>
      <c r="B11" s="98" t="s">
        <v>255</v>
      </c>
      <c r="C11" s="98"/>
      <c r="D11" s="124"/>
      <c r="E11" s="124"/>
      <c r="F11" s="124"/>
      <c r="G11" s="124"/>
      <c r="H11" s="27">
        <f>SUM(I11)-0</f>
        <v>5.5</v>
      </c>
      <c r="I11" s="27">
        <f>SUM(J11)-0</f>
        <v>5.5</v>
      </c>
      <c r="J11" s="41">
        <v>5.5</v>
      </c>
      <c r="K11" s="27">
        <f>SUM(J11)+0.5</f>
        <v>6</v>
      </c>
      <c r="L11" s="27">
        <f>SUM(K11)+0</f>
        <v>6</v>
      </c>
      <c r="M11" s="27">
        <f>SUM(L11)+0</f>
        <v>6</v>
      </c>
      <c r="N11" s="62">
        <f>SUM(M11)+0</f>
        <v>6</v>
      </c>
      <c r="P11" s="1" t="s">
        <v>162</v>
      </c>
    </row>
    <row r="12" spans="1:16" s="1" customFormat="1" ht="14.1" customHeight="1">
      <c r="A12" s="122"/>
      <c r="B12" s="75" t="s">
        <v>256</v>
      </c>
      <c r="C12" s="75"/>
      <c r="D12" s="79"/>
      <c r="E12" s="80"/>
      <c r="F12" s="80"/>
      <c r="G12" s="81"/>
      <c r="H12" s="46"/>
      <c r="I12" s="46"/>
      <c r="J12" s="44"/>
      <c r="K12" s="46"/>
      <c r="L12" s="46"/>
      <c r="M12" s="46"/>
      <c r="N12" s="48"/>
    </row>
    <row r="13" spans="1:16" s="1" customFormat="1" ht="14.1" customHeight="1">
      <c r="A13" s="122">
        <v>6</v>
      </c>
      <c r="B13" s="98" t="s">
        <v>10</v>
      </c>
      <c r="C13" s="98"/>
      <c r="D13" s="124" t="s">
        <v>0</v>
      </c>
      <c r="E13" s="124"/>
      <c r="F13" s="124"/>
      <c r="G13" s="124"/>
      <c r="H13" s="27"/>
      <c r="I13" s="27"/>
      <c r="J13" s="231"/>
      <c r="K13" s="114"/>
      <c r="L13" s="114"/>
      <c r="M13" s="114"/>
      <c r="N13" s="162"/>
    </row>
    <row r="14" spans="1:16" s="1" customFormat="1" ht="14.1" customHeight="1">
      <c r="A14" s="122"/>
      <c r="B14" s="75" t="s">
        <v>26</v>
      </c>
      <c r="C14" s="75"/>
      <c r="D14" s="79" t="s">
        <v>45</v>
      </c>
      <c r="E14" s="80"/>
      <c r="F14" s="80"/>
      <c r="G14" s="81"/>
      <c r="H14" s="46"/>
      <c r="I14" s="46"/>
      <c r="J14" s="231"/>
      <c r="K14" s="114"/>
      <c r="L14" s="114"/>
      <c r="M14" s="114"/>
      <c r="N14" s="162"/>
    </row>
    <row r="15" spans="1:16" s="1" customFormat="1" ht="14.1" customHeight="1">
      <c r="A15" s="122">
        <v>7</v>
      </c>
      <c r="B15" s="98" t="s">
        <v>1</v>
      </c>
      <c r="C15" s="98"/>
      <c r="D15" s="124" t="s">
        <v>133</v>
      </c>
      <c r="E15" s="124"/>
      <c r="F15" s="124"/>
      <c r="G15" s="124"/>
      <c r="H15" s="27">
        <f>SUM(I15)-0.6</f>
        <v>16.799999999999997</v>
      </c>
      <c r="I15" s="27">
        <f>SUM(J15)-0.6</f>
        <v>17.399999999999999</v>
      </c>
      <c r="J15" s="125">
        <v>18</v>
      </c>
      <c r="K15" s="27">
        <f>SUM(J15)+0.6</f>
        <v>18.600000000000001</v>
      </c>
      <c r="L15" s="27">
        <f>SUM(K15)+0.6</f>
        <v>19.200000000000003</v>
      </c>
      <c r="M15" s="27">
        <f>SUM(L15)+0.6</f>
        <v>19.800000000000004</v>
      </c>
      <c r="N15" s="62">
        <f>SUM(M15)+0.6</f>
        <v>20.400000000000006</v>
      </c>
    </row>
    <row r="16" spans="1:16" s="1" customFormat="1" ht="14.1" customHeight="1">
      <c r="A16" s="122"/>
      <c r="B16" s="75" t="s">
        <v>27</v>
      </c>
      <c r="C16" s="75"/>
      <c r="D16" s="79" t="s">
        <v>46</v>
      </c>
      <c r="E16" s="80"/>
      <c r="F16" s="80"/>
      <c r="G16" s="81"/>
      <c r="H16" s="46"/>
      <c r="I16" s="46"/>
      <c r="J16" s="125"/>
      <c r="K16" s="46"/>
      <c r="L16" s="46"/>
      <c r="M16" s="46"/>
      <c r="N16" s="48"/>
    </row>
    <row r="17" spans="1:14" s="1" customFormat="1" ht="14.1" customHeight="1">
      <c r="A17" s="122">
        <v>8</v>
      </c>
      <c r="B17" s="36" t="s">
        <v>2</v>
      </c>
      <c r="C17" s="37"/>
      <c r="D17" s="124" t="s">
        <v>3</v>
      </c>
      <c r="E17" s="124"/>
      <c r="F17" s="124"/>
      <c r="G17" s="124"/>
      <c r="H17" s="27">
        <f>SUM(I17)-0.3</f>
        <v>7.2</v>
      </c>
      <c r="I17" s="27">
        <f>SUM(J17)-0.3</f>
        <v>7.5</v>
      </c>
      <c r="J17" s="125">
        <v>7.8</v>
      </c>
      <c r="K17" s="114">
        <f>SUM(J17)+0.3</f>
        <v>8.1</v>
      </c>
      <c r="L17" s="114">
        <f>SUM(K17)+0.3</f>
        <v>8.4</v>
      </c>
      <c r="M17" s="145">
        <f>SUM(L17)+0.3</f>
        <v>8.7000000000000011</v>
      </c>
      <c r="N17" s="161">
        <f>SUM(M17)+0.3</f>
        <v>9.0000000000000018</v>
      </c>
    </row>
    <row r="18" spans="1:14" s="1" customFormat="1" ht="14.1" customHeight="1">
      <c r="A18" s="122"/>
      <c r="B18" s="127" t="s">
        <v>28</v>
      </c>
      <c r="C18" s="128"/>
      <c r="D18" s="79" t="s">
        <v>164</v>
      </c>
      <c r="E18" s="80"/>
      <c r="F18" s="80"/>
      <c r="G18" s="81"/>
      <c r="H18" s="46"/>
      <c r="I18" s="46"/>
      <c r="J18" s="125"/>
      <c r="K18" s="114"/>
      <c r="L18" s="114"/>
      <c r="M18" s="145"/>
      <c r="N18" s="161"/>
    </row>
    <row r="19" spans="1:14" s="1" customFormat="1" ht="14.1" customHeight="1">
      <c r="A19" s="122">
        <v>9</v>
      </c>
      <c r="B19" s="36" t="s">
        <v>70</v>
      </c>
      <c r="C19" s="37"/>
      <c r="D19" s="76" t="s">
        <v>71</v>
      </c>
      <c r="E19" s="77"/>
      <c r="F19" s="77"/>
      <c r="G19" s="78"/>
      <c r="H19" s="27"/>
      <c r="I19" s="27"/>
      <c r="J19" s="231"/>
      <c r="K19" s="114"/>
      <c r="L19" s="114"/>
      <c r="M19" s="145"/>
      <c r="N19" s="161"/>
    </row>
    <row r="20" spans="1:14" s="1" customFormat="1" ht="14.1" customHeight="1">
      <c r="A20" s="122"/>
      <c r="B20" s="75" t="s">
        <v>33</v>
      </c>
      <c r="C20" s="75"/>
      <c r="D20" s="79" t="s">
        <v>74</v>
      </c>
      <c r="E20" s="80"/>
      <c r="F20" s="80"/>
      <c r="G20" s="81"/>
      <c r="H20" s="46"/>
      <c r="I20" s="46"/>
      <c r="J20" s="231"/>
      <c r="K20" s="114"/>
      <c r="L20" s="114"/>
      <c r="M20" s="145"/>
      <c r="N20" s="161"/>
    </row>
    <row r="21" spans="1:14" s="1" customFormat="1" ht="14.1" customHeight="1">
      <c r="A21" s="122">
        <v>10</v>
      </c>
      <c r="B21" s="36" t="s">
        <v>257</v>
      </c>
      <c r="C21" s="37"/>
      <c r="D21" s="76"/>
      <c r="E21" s="77"/>
      <c r="F21" s="77"/>
      <c r="G21" s="78"/>
      <c r="H21" s="27">
        <f>SUM(I21)</f>
        <v>3</v>
      </c>
      <c r="I21" s="27">
        <f>SUM(J21)</f>
        <v>3</v>
      </c>
      <c r="J21" s="41">
        <v>3</v>
      </c>
      <c r="K21" s="27">
        <f>SUM(J21)</f>
        <v>3</v>
      </c>
      <c r="L21" s="27">
        <f>SUM(K21)</f>
        <v>3</v>
      </c>
      <c r="M21" s="27">
        <f>SUM(L21)</f>
        <v>3</v>
      </c>
      <c r="N21" s="62">
        <f>SUM(M21)</f>
        <v>3</v>
      </c>
    </row>
    <row r="22" spans="1:14" s="1" customFormat="1" ht="14.1" customHeight="1">
      <c r="A22" s="122"/>
      <c r="B22" s="75" t="s">
        <v>267</v>
      </c>
      <c r="C22" s="75"/>
      <c r="D22" s="79"/>
      <c r="E22" s="80"/>
      <c r="F22" s="80"/>
      <c r="G22" s="81"/>
      <c r="H22" s="46"/>
      <c r="I22" s="46"/>
      <c r="J22" s="44"/>
      <c r="K22" s="46"/>
      <c r="L22" s="46"/>
      <c r="M22" s="46"/>
      <c r="N22" s="48"/>
    </row>
    <row r="23" spans="1:14" s="1" customFormat="1" ht="14.1" customHeight="1">
      <c r="A23" s="122">
        <v>11</v>
      </c>
      <c r="B23" s="98" t="s">
        <v>4</v>
      </c>
      <c r="C23" s="98"/>
      <c r="D23" s="124" t="s">
        <v>5</v>
      </c>
      <c r="E23" s="124"/>
      <c r="F23" s="124"/>
      <c r="G23" s="124"/>
      <c r="H23" s="27"/>
      <c r="I23" s="27"/>
      <c r="J23" s="231"/>
      <c r="K23" s="114"/>
      <c r="L23" s="114"/>
      <c r="M23" s="145"/>
      <c r="N23" s="161"/>
    </row>
    <row r="24" spans="1:14" s="1" customFormat="1" ht="14.1" customHeight="1">
      <c r="A24" s="122"/>
      <c r="B24" s="75" t="s">
        <v>29</v>
      </c>
      <c r="C24" s="75"/>
      <c r="D24" s="79" t="s">
        <v>47</v>
      </c>
      <c r="E24" s="80"/>
      <c r="F24" s="80"/>
      <c r="G24" s="81"/>
      <c r="H24" s="46"/>
      <c r="I24" s="46"/>
      <c r="J24" s="231"/>
      <c r="K24" s="114"/>
      <c r="L24" s="114"/>
      <c r="M24" s="145"/>
      <c r="N24" s="161"/>
    </row>
    <row r="25" spans="1:14" s="1" customFormat="1" ht="14.1" customHeight="1">
      <c r="A25" s="122">
        <v>12</v>
      </c>
      <c r="B25" s="98" t="s">
        <v>6</v>
      </c>
      <c r="C25" s="98"/>
      <c r="D25" s="76" t="s">
        <v>7</v>
      </c>
      <c r="E25" s="77"/>
      <c r="F25" s="77"/>
      <c r="G25" s="78"/>
      <c r="H25" s="27">
        <f>SUM(I25)-1.4</f>
        <v>26.200000000000003</v>
      </c>
      <c r="I25" s="27">
        <f>SUM(J25)-1.4</f>
        <v>27.6</v>
      </c>
      <c r="J25" s="125">
        <v>29</v>
      </c>
      <c r="K25" s="114">
        <f>SUM(J25)+1.4</f>
        <v>30.4</v>
      </c>
      <c r="L25" s="114">
        <f>SUM(K25)+1.4</f>
        <v>31.799999999999997</v>
      </c>
      <c r="M25" s="145">
        <f>SUM(L25)+1.4</f>
        <v>33.199999999999996</v>
      </c>
      <c r="N25" s="161">
        <f>SUM(M25)+1.4</f>
        <v>34.599999999999994</v>
      </c>
    </row>
    <row r="26" spans="1:14" s="1" customFormat="1" ht="14.1" customHeight="1">
      <c r="A26" s="122"/>
      <c r="B26" s="75" t="s">
        <v>30</v>
      </c>
      <c r="C26" s="75"/>
      <c r="D26" s="79" t="s">
        <v>64</v>
      </c>
      <c r="E26" s="80"/>
      <c r="F26" s="80"/>
      <c r="G26" s="81"/>
      <c r="H26" s="46"/>
      <c r="I26" s="46"/>
      <c r="J26" s="125"/>
      <c r="K26" s="114"/>
      <c r="L26" s="114"/>
      <c r="M26" s="145"/>
      <c r="N26" s="161"/>
    </row>
    <row r="27" spans="1:14" s="1" customFormat="1" ht="14.1" customHeight="1">
      <c r="A27" s="122">
        <v>13</v>
      </c>
      <c r="B27" s="36" t="s">
        <v>260</v>
      </c>
      <c r="C27" s="37"/>
      <c r="D27" s="124" t="s">
        <v>65</v>
      </c>
      <c r="E27" s="124"/>
      <c r="F27" s="124"/>
      <c r="G27" s="124"/>
      <c r="H27" s="27">
        <f>SUM(I27)-0.6</f>
        <v>14.8</v>
      </c>
      <c r="I27" s="27">
        <f>SUM(J27)-0.6</f>
        <v>15.4</v>
      </c>
      <c r="J27" s="125">
        <v>16</v>
      </c>
      <c r="K27" s="27">
        <f>SUM(J27)+0.6</f>
        <v>16.600000000000001</v>
      </c>
      <c r="L27" s="27">
        <f>SUM(K27)+0.6</f>
        <v>17.200000000000003</v>
      </c>
      <c r="M27" s="27">
        <f>SUM(L27)+0.6</f>
        <v>17.800000000000004</v>
      </c>
      <c r="N27" s="62">
        <f>SUM(M27)+0.6</f>
        <v>18.400000000000006</v>
      </c>
    </row>
    <row r="28" spans="1:14" s="1" customFormat="1" ht="14.1" customHeight="1">
      <c r="A28" s="122"/>
      <c r="B28" s="75" t="s">
        <v>31</v>
      </c>
      <c r="C28" s="75"/>
      <c r="D28" s="79" t="s">
        <v>66</v>
      </c>
      <c r="E28" s="80"/>
      <c r="F28" s="80"/>
      <c r="G28" s="81"/>
      <c r="H28" s="46"/>
      <c r="I28" s="46"/>
      <c r="J28" s="125"/>
      <c r="K28" s="46"/>
      <c r="L28" s="46"/>
      <c r="M28" s="46"/>
      <c r="N28" s="48"/>
    </row>
    <row r="29" spans="1:14" s="1" customFormat="1" ht="14.1" customHeight="1">
      <c r="A29" s="122">
        <v>14</v>
      </c>
      <c r="B29" s="36" t="s">
        <v>261</v>
      </c>
      <c r="C29" s="37"/>
      <c r="D29" s="124"/>
      <c r="E29" s="124"/>
      <c r="F29" s="124"/>
      <c r="G29" s="124"/>
      <c r="H29" s="27">
        <f>SUM(I29)-0</f>
        <v>5</v>
      </c>
      <c r="I29" s="27">
        <f>SUM(J29)-0</f>
        <v>5</v>
      </c>
      <c r="J29" s="41">
        <v>5</v>
      </c>
      <c r="K29" s="27">
        <f>SUM(J29)+0.5</f>
        <v>5.5</v>
      </c>
      <c r="L29" s="27">
        <f>SUM(K29)+0</f>
        <v>5.5</v>
      </c>
      <c r="M29" s="27">
        <f>SUM(L29)+0</f>
        <v>5.5</v>
      </c>
      <c r="N29" s="62">
        <f>SUM(M29)+0</f>
        <v>5.5</v>
      </c>
    </row>
    <row r="30" spans="1:14" s="1" customFormat="1" ht="14.1" customHeight="1">
      <c r="A30" s="122"/>
      <c r="B30" s="127" t="s">
        <v>262</v>
      </c>
      <c r="C30" s="128"/>
      <c r="D30" s="79"/>
      <c r="E30" s="80"/>
      <c r="F30" s="80"/>
      <c r="G30" s="81"/>
      <c r="H30" s="46"/>
      <c r="I30" s="46"/>
      <c r="J30" s="44"/>
      <c r="K30" s="46"/>
      <c r="L30" s="46"/>
      <c r="M30" s="46"/>
      <c r="N30" s="48"/>
    </row>
    <row r="31" spans="1:14" ht="14.1" customHeight="1">
      <c r="A31" s="122">
        <v>15</v>
      </c>
      <c r="B31" s="36"/>
      <c r="C31" s="37"/>
      <c r="D31" s="76"/>
      <c r="E31" s="77"/>
      <c r="F31" s="77"/>
      <c r="G31" s="78"/>
      <c r="H31" s="27"/>
      <c r="I31" s="27"/>
      <c r="J31" s="229"/>
      <c r="K31" s="27"/>
      <c r="L31" s="27"/>
      <c r="M31" s="27"/>
      <c r="N31" s="62"/>
    </row>
    <row r="32" spans="1:14" ht="14.1" customHeight="1">
      <c r="A32" s="159"/>
      <c r="B32" s="127"/>
      <c r="C32" s="128"/>
      <c r="D32" s="79"/>
      <c r="E32" s="80"/>
      <c r="F32" s="80"/>
      <c r="G32" s="81"/>
      <c r="H32" s="46"/>
      <c r="I32" s="46"/>
      <c r="J32" s="230"/>
      <c r="K32" s="46"/>
      <c r="L32" s="46"/>
      <c r="M32" s="46"/>
      <c r="N32" s="48"/>
    </row>
    <row r="33" spans="1:14" ht="14.1" customHeight="1">
      <c r="A33" s="159">
        <v>16</v>
      </c>
      <c r="B33" s="36"/>
      <c r="C33" s="37"/>
      <c r="D33" s="76"/>
      <c r="E33" s="77"/>
      <c r="F33" s="77"/>
      <c r="G33" s="78"/>
      <c r="H33" s="27"/>
      <c r="I33" s="27"/>
      <c r="J33" s="41"/>
      <c r="K33" s="27"/>
      <c r="L33" s="27"/>
      <c r="M33" s="27"/>
      <c r="N33" s="62"/>
    </row>
    <row r="34" spans="1:14" ht="14.1" customHeight="1">
      <c r="A34" s="138"/>
      <c r="B34" s="127"/>
      <c r="C34" s="128"/>
      <c r="D34" s="79"/>
      <c r="E34" s="80"/>
      <c r="F34" s="80"/>
      <c r="G34" s="81"/>
      <c r="H34" s="46"/>
      <c r="I34" s="46"/>
      <c r="J34" s="44"/>
      <c r="K34" s="46"/>
      <c r="L34" s="46"/>
      <c r="M34" s="46"/>
      <c r="N34" s="48"/>
    </row>
    <row r="35" spans="1:14" ht="14.1" customHeight="1">
      <c r="A35" s="159">
        <v>17</v>
      </c>
      <c r="B35" s="36"/>
      <c r="C35" s="37"/>
      <c r="D35" s="76"/>
      <c r="E35" s="77"/>
      <c r="F35" s="77"/>
      <c r="G35" s="78"/>
      <c r="H35" s="27"/>
      <c r="I35" s="27"/>
      <c r="J35" s="41"/>
      <c r="K35" s="27"/>
      <c r="L35" s="27"/>
      <c r="M35" s="27"/>
      <c r="N35" s="62"/>
    </row>
    <row r="36" spans="1:14" ht="14.1" customHeight="1">
      <c r="A36" s="138"/>
      <c r="B36" s="127"/>
      <c r="C36" s="128"/>
      <c r="D36" s="79"/>
      <c r="E36" s="80"/>
      <c r="F36" s="80"/>
      <c r="G36" s="81"/>
      <c r="H36" s="46"/>
      <c r="I36" s="46"/>
      <c r="J36" s="44"/>
      <c r="K36" s="46"/>
      <c r="L36" s="46"/>
      <c r="M36" s="46"/>
      <c r="N36" s="48"/>
    </row>
    <row r="37" spans="1:14" ht="14.1" customHeight="1">
      <c r="A37" s="159">
        <v>18</v>
      </c>
      <c r="B37" s="36"/>
      <c r="C37" s="37"/>
      <c r="D37" s="76"/>
      <c r="E37" s="77"/>
      <c r="F37" s="77"/>
      <c r="G37" s="78"/>
      <c r="H37" s="27"/>
      <c r="I37" s="27"/>
      <c r="J37" s="41"/>
      <c r="K37" s="27"/>
      <c r="L37" s="27"/>
      <c r="M37" s="27"/>
      <c r="N37" s="62"/>
    </row>
    <row r="38" spans="1:14" ht="14.1" customHeight="1" thickBot="1">
      <c r="A38" s="158"/>
      <c r="B38" s="143"/>
      <c r="C38" s="144"/>
      <c r="D38" s="119"/>
      <c r="E38" s="120"/>
      <c r="F38" s="120"/>
      <c r="G38" s="121"/>
      <c r="H38" s="28"/>
      <c r="I38" s="28"/>
      <c r="J38" s="42"/>
      <c r="K38" s="28"/>
      <c r="L38" s="28"/>
      <c r="M38" s="28"/>
      <c r="N38" s="160"/>
    </row>
    <row r="39" spans="1:14" ht="14.1" customHeight="1"/>
    <row r="40" spans="1:14" ht="14.1" customHeight="1"/>
    <row r="41" spans="1:14" ht="14.1" customHeight="1"/>
    <row r="42" spans="1:14" ht="14.1" customHeight="1"/>
    <row r="43" spans="1:14" ht="14.1" customHeight="1"/>
    <row r="44" spans="1:14" ht="14.1" customHeight="1"/>
    <row r="45" spans="1:14" ht="14.1" customHeight="1"/>
    <row r="46" spans="1:14" ht="14.1" customHeight="1"/>
    <row r="47" spans="1:14" ht="14.1" customHeight="1"/>
    <row r="48" spans="1:14" ht="14.1" customHeight="1"/>
    <row r="49" ht="14.1" customHeight="1"/>
    <row r="50" ht="14.1" customHeight="1"/>
    <row r="51" ht="14.1" customHeight="1"/>
  </sheetData>
  <mergeCells count="219">
    <mergeCell ref="A1:N1"/>
    <mergeCell ref="N3:N4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N23:N24"/>
    <mergeCell ref="N25:N26"/>
    <mergeCell ref="N27:N28"/>
    <mergeCell ref="N29:N30"/>
    <mergeCell ref="N31:N32"/>
    <mergeCell ref="N33:N34"/>
    <mergeCell ref="N35:N36"/>
    <mergeCell ref="N37:N38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AFF5-996B-425C-9BBB-12B070154A05}">
  <sheetPr>
    <tabColor theme="5"/>
    <pageSetUpPr fitToPage="1"/>
  </sheetPr>
  <dimension ref="A1:M55"/>
  <sheetViews>
    <sheetView zoomScale="110" zoomScaleNormal="110" workbookViewId="0">
      <selection activeCell="I3" sqref="I3:I4"/>
    </sheetView>
  </sheetViews>
  <sheetFormatPr defaultColWidth="8.75" defaultRowHeight="16.5"/>
  <cols>
    <col min="1" max="1" width="3.25" bestFit="1" customWidth="1"/>
    <col min="2" max="3" width="8.75" customWidth="1"/>
    <col min="4" max="7" width="8.125" customWidth="1"/>
    <col min="8" max="12" width="5.5" customWidth="1"/>
    <col min="13" max="13" width="5.5" style="11" customWidth="1"/>
  </cols>
  <sheetData>
    <row r="1" spans="1:13" ht="16.5" customHeight="1" thickBot="1">
      <c r="A1" s="85" t="s">
        <v>648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ht="16.5" customHeight="1" thickBot="1">
      <c r="A2" s="4" t="s">
        <v>57</v>
      </c>
      <c r="B2" s="88" t="s">
        <v>58</v>
      </c>
      <c r="C2" s="88"/>
      <c r="D2" s="88" t="s">
        <v>59</v>
      </c>
      <c r="E2" s="88"/>
      <c r="F2" s="88"/>
      <c r="G2" s="88"/>
      <c r="H2" s="6" t="s">
        <v>60</v>
      </c>
      <c r="I2" s="6" t="s">
        <v>61</v>
      </c>
      <c r="J2" s="5" t="s">
        <v>62</v>
      </c>
      <c r="K2" s="6" t="s">
        <v>63</v>
      </c>
      <c r="L2" s="6" t="s">
        <v>125</v>
      </c>
      <c r="M2" s="10" t="s">
        <v>124</v>
      </c>
    </row>
    <row r="3" spans="1:13" s="1" customFormat="1" ht="14.1" customHeight="1">
      <c r="A3" s="147">
        <v>1</v>
      </c>
      <c r="B3" s="90" t="s">
        <v>39</v>
      </c>
      <c r="C3" s="91"/>
      <c r="D3" s="92" t="s">
        <v>217</v>
      </c>
      <c r="E3" s="93"/>
      <c r="F3" s="93"/>
      <c r="G3" s="94"/>
      <c r="H3" s="27">
        <f>SUM(I3)-3.5</f>
        <v>38</v>
      </c>
      <c r="I3" s="27">
        <f>SUM(J3)-3.5</f>
        <v>41.5</v>
      </c>
      <c r="J3" s="41">
        <v>45</v>
      </c>
      <c r="K3" s="27">
        <f>SUM(J3)+3</f>
        <v>48</v>
      </c>
      <c r="L3" s="27">
        <f>SUM(K3)+3</f>
        <v>51</v>
      </c>
      <c r="M3" s="29">
        <f>SUM(L3)+3</f>
        <v>54</v>
      </c>
    </row>
    <row r="4" spans="1:13" s="1" customFormat="1" ht="14.1" customHeight="1">
      <c r="A4" s="138"/>
      <c r="B4" s="127" t="s">
        <v>36</v>
      </c>
      <c r="C4" s="128"/>
      <c r="D4" s="79" t="s">
        <v>73</v>
      </c>
      <c r="E4" s="80"/>
      <c r="F4" s="80"/>
      <c r="G4" s="81"/>
      <c r="H4" s="46"/>
      <c r="I4" s="46"/>
      <c r="J4" s="44"/>
      <c r="K4" s="46"/>
      <c r="L4" s="46"/>
      <c r="M4" s="132"/>
    </row>
    <row r="5" spans="1:13" s="1" customFormat="1" ht="14.1" customHeight="1">
      <c r="A5" s="122">
        <v>2</v>
      </c>
      <c r="B5" s="98" t="s">
        <v>37</v>
      </c>
      <c r="C5" s="98"/>
      <c r="D5" s="124" t="s">
        <v>38</v>
      </c>
      <c r="E5" s="124"/>
      <c r="F5" s="124"/>
      <c r="G5" s="124"/>
      <c r="H5" s="27">
        <f>SUM(I5)-2.2</f>
        <v>35.599999999999994</v>
      </c>
      <c r="I5" s="27">
        <f>SUM(J5)-2.2</f>
        <v>37.799999999999997</v>
      </c>
      <c r="J5" s="41">
        <v>40</v>
      </c>
      <c r="K5" s="27">
        <f>SUM(J5)+2</f>
        <v>42</v>
      </c>
      <c r="L5" s="27">
        <f>SUM(K5)+2</f>
        <v>44</v>
      </c>
      <c r="M5" s="29">
        <f>SUM(L5)+2</f>
        <v>46</v>
      </c>
    </row>
    <row r="6" spans="1:13" s="1" customFormat="1" ht="14.1" customHeight="1">
      <c r="A6" s="122"/>
      <c r="B6" s="75" t="s">
        <v>24</v>
      </c>
      <c r="C6" s="75"/>
      <c r="D6" s="79" t="s">
        <v>42</v>
      </c>
      <c r="E6" s="80"/>
      <c r="F6" s="80"/>
      <c r="G6" s="81"/>
      <c r="H6" s="46"/>
      <c r="I6" s="46"/>
      <c r="J6" s="44"/>
      <c r="K6" s="46"/>
      <c r="L6" s="46"/>
      <c r="M6" s="132"/>
    </row>
    <row r="7" spans="1:13" s="1" customFormat="1" ht="14.1" customHeight="1">
      <c r="A7" s="122">
        <v>3</v>
      </c>
      <c r="B7" s="98" t="s">
        <v>35</v>
      </c>
      <c r="C7" s="98"/>
      <c r="D7" s="124" t="s">
        <v>69</v>
      </c>
      <c r="E7" s="124"/>
      <c r="F7" s="124"/>
      <c r="G7" s="124"/>
      <c r="H7" s="27">
        <f>SUM(I7)-2.25</f>
        <v>37.5</v>
      </c>
      <c r="I7" s="27">
        <f>SUM(J7)-2.25</f>
        <v>39.75</v>
      </c>
      <c r="J7" s="41">
        <v>42</v>
      </c>
      <c r="K7" s="27">
        <f>SUM(J7)+2</f>
        <v>44</v>
      </c>
      <c r="L7" s="27">
        <f>SUM(K7)+2</f>
        <v>46</v>
      </c>
      <c r="M7" s="29">
        <f>SUM(L7)+2</f>
        <v>48</v>
      </c>
    </row>
    <row r="8" spans="1:13" s="1" customFormat="1" ht="14.1" customHeight="1">
      <c r="A8" s="122"/>
      <c r="B8" s="75" t="s">
        <v>40</v>
      </c>
      <c r="C8" s="75"/>
      <c r="D8" s="79" t="s">
        <v>43</v>
      </c>
      <c r="E8" s="80"/>
      <c r="F8" s="80"/>
      <c r="G8" s="81"/>
      <c r="H8" s="46"/>
      <c r="I8" s="46"/>
      <c r="J8" s="44"/>
      <c r="K8" s="46"/>
      <c r="L8" s="46"/>
      <c r="M8" s="132"/>
    </row>
    <row r="9" spans="1:13" s="1" customFormat="1" ht="14.1" customHeight="1">
      <c r="A9" s="122">
        <v>4</v>
      </c>
      <c r="B9" s="98" t="s">
        <v>41</v>
      </c>
      <c r="C9" s="98"/>
      <c r="D9" s="124" t="s">
        <v>8</v>
      </c>
      <c r="E9" s="124"/>
      <c r="F9" s="124"/>
      <c r="G9" s="124"/>
      <c r="H9" s="27">
        <f>SUM(I9)-1.8</f>
        <v>30.400000000000002</v>
      </c>
      <c r="I9" s="27">
        <f>SUM(J9)-1.8</f>
        <v>32.200000000000003</v>
      </c>
      <c r="J9" s="41">
        <v>34</v>
      </c>
      <c r="K9" s="27">
        <f>SUM(J9)+1.6</f>
        <v>35.6</v>
      </c>
      <c r="L9" s="27">
        <f>SUM(K9)+1.6</f>
        <v>37.200000000000003</v>
      </c>
      <c r="M9" s="29">
        <f>SUM(L9)+1.6</f>
        <v>38.800000000000004</v>
      </c>
    </row>
    <row r="10" spans="1:13" s="1" customFormat="1" ht="14.1" customHeight="1">
      <c r="A10" s="122"/>
      <c r="B10" s="75" t="s">
        <v>25</v>
      </c>
      <c r="C10" s="75"/>
      <c r="D10" s="79" t="s">
        <v>44</v>
      </c>
      <c r="E10" s="80"/>
      <c r="F10" s="80"/>
      <c r="G10" s="81"/>
      <c r="H10" s="46"/>
      <c r="I10" s="46"/>
      <c r="J10" s="44"/>
      <c r="K10" s="46"/>
      <c r="L10" s="46"/>
      <c r="M10" s="132"/>
    </row>
    <row r="11" spans="1:13" s="1" customFormat="1" ht="14.1" customHeight="1">
      <c r="A11" s="122">
        <v>5</v>
      </c>
      <c r="B11" s="98" t="s">
        <v>10</v>
      </c>
      <c r="C11" s="98"/>
      <c r="D11" s="124" t="s">
        <v>0</v>
      </c>
      <c r="E11" s="124"/>
      <c r="F11" s="124"/>
      <c r="G11" s="124"/>
      <c r="H11" s="27">
        <f>SUM(I11)-0.8</f>
        <v>14.5</v>
      </c>
      <c r="I11" s="27">
        <f>SUM(J11)-0.8</f>
        <v>15.3</v>
      </c>
      <c r="J11" s="125">
        <v>16.100000000000001</v>
      </c>
      <c r="K11" s="114">
        <f>SUM(J11)+0.8</f>
        <v>16.900000000000002</v>
      </c>
      <c r="L11" s="114">
        <f>SUM(K11)+0.8</f>
        <v>17.700000000000003</v>
      </c>
      <c r="M11" s="116">
        <f>SUM(L11)+0.8</f>
        <v>18.500000000000004</v>
      </c>
    </row>
    <row r="12" spans="1:13" s="1" customFormat="1" ht="14.1" customHeight="1">
      <c r="A12" s="122"/>
      <c r="B12" s="75" t="s">
        <v>26</v>
      </c>
      <c r="C12" s="75"/>
      <c r="D12" s="79" t="s">
        <v>45</v>
      </c>
      <c r="E12" s="80"/>
      <c r="F12" s="80"/>
      <c r="G12" s="81"/>
      <c r="H12" s="46"/>
      <c r="I12" s="46"/>
      <c r="J12" s="125"/>
      <c r="K12" s="114"/>
      <c r="L12" s="114"/>
      <c r="M12" s="116"/>
    </row>
    <row r="13" spans="1:13" s="1" customFormat="1" ht="14.1" customHeight="1">
      <c r="A13" s="122">
        <v>6</v>
      </c>
      <c r="B13" s="98" t="s">
        <v>1</v>
      </c>
      <c r="C13" s="98"/>
      <c r="D13" s="124" t="s">
        <v>133</v>
      </c>
      <c r="E13" s="124"/>
      <c r="F13" s="124"/>
      <c r="G13" s="124"/>
      <c r="H13" s="27">
        <f>SUM(I13)-0.6</f>
        <v>15.6</v>
      </c>
      <c r="I13" s="27">
        <f>SUM(J13)-0.6</f>
        <v>16.2</v>
      </c>
      <c r="J13" s="125">
        <v>16.8</v>
      </c>
      <c r="K13" s="114">
        <f>SUM(J13)+0.6</f>
        <v>17.400000000000002</v>
      </c>
      <c r="L13" s="114">
        <f>SUM(K13)+0.6</f>
        <v>18.000000000000004</v>
      </c>
      <c r="M13" s="116">
        <f>SUM(L13)+0.6</f>
        <v>18.600000000000005</v>
      </c>
    </row>
    <row r="14" spans="1:13" s="1" customFormat="1" ht="14.1" customHeight="1">
      <c r="A14" s="122"/>
      <c r="B14" s="75" t="s">
        <v>27</v>
      </c>
      <c r="C14" s="75"/>
      <c r="D14" s="79" t="s">
        <v>456</v>
      </c>
      <c r="E14" s="80"/>
      <c r="F14" s="80"/>
      <c r="G14" s="81"/>
      <c r="H14" s="46"/>
      <c r="I14" s="46"/>
      <c r="J14" s="125"/>
      <c r="K14" s="114"/>
      <c r="L14" s="114"/>
      <c r="M14" s="116"/>
    </row>
    <row r="15" spans="1:13" s="1" customFormat="1" ht="14.1" customHeight="1">
      <c r="A15" s="122">
        <v>7</v>
      </c>
      <c r="B15" s="98" t="s">
        <v>2</v>
      </c>
      <c r="C15" s="98"/>
      <c r="D15" s="124" t="s">
        <v>3</v>
      </c>
      <c r="E15" s="124"/>
      <c r="F15" s="124"/>
      <c r="G15" s="124"/>
      <c r="H15" s="27">
        <f>SUM(I15)-0.3</f>
        <v>6.2</v>
      </c>
      <c r="I15" s="27">
        <f>SUM(J15)-0.3</f>
        <v>6.5</v>
      </c>
      <c r="J15" s="125">
        <v>6.8</v>
      </c>
      <c r="K15" s="114">
        <f>SUM(J15)+0.3</f>
        <v>7.1</v>
      </c>
      <c r="L15" s="114">
        <f>SUM(K15)+0.3</f>
        <v>7.3999999999999995</v>
      </c>
      <c r="M15" s="116">
        <f>SUM(L15)+0.3</f>
        <v>7.6999999999999993</v>
      </c>
    </row>
    <row r="16" spans="1:13" s="1" customFormat="1" ht="14.1" customHeight="1">
      <c r="A16" s="122"/>
      <c r="B16" s="75" t="s">
        <v>28</v>
      </c>
      <c r="C16" s="75"/>
      <c r="D16" s="79" t="s">
        <v>455</v>
      </c>
      <c r="E16" s="80"/>
      <c r="F16" s="80"/>
      <c r="G16" s="81"/>
      <c r="H16" s="46"/>
      <c r="I16" s="46"/>
      <c r="J16" s="125"/>
      <c r="K16" s="114"/>
      <c r="L16" s="114"/>
      <c r="M16" s="116"/>
    </row>
    <row r="17" spans="1:13" s="1" customFormat="1" ht="14.1" customHeight="1">
      <c r="A17" s="122">
        <v>8</v>
      </c>
      <c r="B17" s="36" t="s">
        <v>70</v>
      </c>
      <c r="C17" s="37"/>
      <c r="D17" s="76" t="s">
        <v>71</v>
      </c>
      <c r="E17" s="77"/>
      <c r="F17" s="77"/>
      <c r="G17" s="78"/>
      <c r="H17" s="98">
        <f>SUM(I17)-1.6</f>
        <v>40.799999999999997</v>
      </c>
      <c r="I17" s="98">
        <f>SUM(J17)-1.6</f>
        <v>42.4</v>
      </c>
      <c r="J17" s="146">
        <v>44</v>
      </c>
      <c r="K17" s="145">
        <f>SUM(J17)+1.6</f>
        <v>45.6</v>
      </c>
      <c r="L17" s="145">
        <f>SUM(K17)+1.6</f>
        <v>47.2</v>
      </c>
      <c r="M17" s="116">
        <f>SUM(L17)+1.6</f>
        <v>48.800000000000004</v>
      </c>
    </row>
    <row r="18" spans="1:13" s="1" customFormat="1" ht="14.1" customHeight="1">
      <c r="A18" s="122"/>
      <c r="B18" s="75" t="s">
        <v>33</v>
      </c>
      <c r="C18" s="75"/>
      <c r="D18" s="79" t="s">
        <v>454</v>
      </c>
      <c r="E18" s="80"/>
      <c r="F18" s="80"/>
      <c r="G18" s="81"/>
      <c r="H18" s="75"/>
      <c r="I18" s="75"/>
      <c r="J18" s="146"/>
      <c r="K18" s="145"/>
      <c r="L18" s="145"/>
      <c r="M18" s="116"/>
    </row>
    <row r="19" spans="1:13" s="1" customFormat="1" ht="14.1" customHeight="1">
      <c r="A19" s="122">
        <v>9</v>
      </c>
      <c r="B19" s="98" t="s">
        <v>218</v>
      </c>
      <c r="C19" s="98"/>
      <c r="D19" s="124" t="s">
        <v>5</v>
      </c>
      <c r="E19" s="124"/>
      <c r="F19" s="124"/>
      <c r="G19" s="124"/>
      <c r="H19" s="27">
        <f>SUM(I19)-3.4</f>
        <v>27.200000000000003</v>
      </c>
      <c r="I19" s="27">
        <f>SUM(J19)-3.4</f>
        <v>30.6</v>
      </c>
      <c r="J19" s="125">
        <v>34</v>
      </c>
      <c r="K19" s="145">
        <f>SUM(J19)+3.5</f>
        <v>37.5</v>
      </c>
      <c r="L19" s="114">
        <f>SUM(K19)+3.5</f>
        <v>41</v>
      </c>
      <c r="M19" s="116">
        <f>SUM(L19)+3.5</f>
        <v>44.5</v>
      </c>
    </row>
    <row r="20" spans="1:13" s="1" customFormat="1" ht="14.1" customHeight="1">
      <c r="A20" s="122"/>
      <c r="B20" s="75" t="s">
        <v>187</v>
      </c>
      <c r="C20" s="75"/>
      <c r="D20" s="79" t="s">
        <v>47</v>
      </c>
      <c r="E20" s="80"/>
      <c r="F20" s="80"/>
      <c r="G20" s="81"/>
      <c r="H20" s="46"/>
      <c r="I20" s="46"/>
      <c r="J20" s="125"/>
      <c r="K20" s="145"/>
      <c r="L20" s="114"/>
      <c r="M20" s="116"/>
    </row>
    <row r="21" spans="1:13" s="1" customFormat="1" ht="14.1" customHeight="1">
      <c r="A21" s="122">
        <v>10</v>
      </c>
      <c r="B21" s="98" t="s">
        <v>6</v>
      </c>
      <c r="C21" s="98"/>
      <c r="D21" s="76" t="s">
        <v>7</v>
      </c>
      <c r="E21" s="77"/>
      <c r="F21" s="77"/>
      <c r="G21" s="78"/>
      <c r="H21" s="27"/>
      <c r="I21" s="27"/>
      <c r="J21" s="125"/>
      <c r="K21" s="114"/>
      <c r="L21" s="114"/>
      <c r="M21" s="29"/>
    </row>
    <row r="22" spans="1:13" s="1" customFormat="1" ht="14.1" customHeight="1">
      <c r="A22" s="122"/>
      <c r="B22" s="75" t="s">
        <v>30</v>
      </c>
      <c r="C22" s="75"/>
      <c r="D22" s="79" t="s">
        <v>64</v>
      </c>
      <c r="E22" s="80"/>
      <c r="F22" s="80"/>
      <c r="G22" s="81"/>
      <c r="H22" s="46"/>
      <c r="I22" s="46"/>
      <c r="J22" s="125"/>
      <c r="K22" s="114"/>
      <c r="L22" s="114"/>
      <c r="M22" s="132"/>
    </row>
    <row r="23" spans="1:13" s="1" customFormat="1" ht="14.1" customHeight="1">
      <c r="A23" s="122">
        <v>11</v>
      </c>
      <c r="B23" s="36" t="s">
        <v>177</v>
      </c>
      <c r="C23" s="37"/>
      <c r="D23" s="124" t="s">
        <v>65</v>
      </c>
      <c r="E23" s="124"/>
      <c r="F23" s="124"/>
      <c r="G23" s="124"/>
      <c r="H23" s="27">
        <f>SUM(I23)-0.6</f>
        <v>14</v>
      </c>
      <c r="I23" s="27">
        <f>SUM(J23)-0.6</f>
        <v>14.6</v>
      </c>
      <c r="J23" s="125">
        <v>15.2</v>
      </c>
      <c r="K23" s="114">
        <f>SUM(J23)+0.6</f>
        <v>15.799999999999999</v>
      </c>
      <c r="L23" s="114">
        <f>SUM(K23)+0.6</f>
        <v>16.399999999999999</v>
      </c>
      <c r="M23" s="116">
        <f>SUM(L23)+0.6</f>
        <v>17</v>
      </c>
    </row>
    <row r="24" spans="1:13" s="1" customFormat="1" ht="14.1" customHeight="1">
      <c r="A24" s="122"/>
      <c r="B24" s="75" t="s">
        <v>31</v>
      </c>
      <c r="C24" s="75"/>
      <c r="D24" s="79" t="s">
        <v>66</v>
      </c>
      <c r="E24" s="80"/>
      <c r="F24" s="80"/>
      <c r="G24" s="81"/>
      <c r="H24" s="46"/>
      <c r="I24" s="46"/>
      <c r="J24" s="125"/>
      <c r="K24" s="114"/>
      <c r="L24" s="114"/>
      <c r="M24" s="116"/>
    </row>
    <row r="25" spans="1:13" s="1" customFormat="1" ht="14.1" customHeight="1">
      <c r="A25" s="122">
        <v>12</v>
      </c>
      <c r="B25" s="36" t="s">
        <v>114</v>
      </c>
      <c r="C25" s="37"/>
      <c r="D25" s="38"/>
      <c r="E25" s="39"/>
      <c r="F25" s="39"/>
      <c r="G25" s="40"/>
      <c r="H25" s="27">
        <f>SUM(I25)-0.2</f>
        <v>3.5999999999999996</v>
      </c>
      <c r="I25" s="27">
        <f>SUM(J25)-0.2</f>
        <v>3.8</v>
      </c>
      <c r="J25" s="41">
        <v>4</v>
      </c>
      <c r="K25" s="27">
        <f>SUM(J25)+0.2</f>
        <v>4.2</v>
      </c>
      <c r="L25" s="27">
        <f>SUM(K25)+0.2</f>
        <v>4.4000000000000004</v>
      </c>
      <c r="M25" s="29">
        <f>SUM(L25)+0.2</f>
        <v>4.6000000000000005</v>
      </c>
    </row>
    <row r="26" spans="1:13" s="1" customFormat="1" ht="14.1" customHeight="1">
      <c r="A26" s="122"/>
      <c r="B26" s="127" t="s">
        <v>122</v>
      </c>
      <c r="C26" s="128"/>
      <c r="D26" s="49"/>
      <c r="E26" s="50"/>
      <c r="F26" s="50"/>
      <c r="G26" s="51"/>
      <c r="H26" s="46"/>
      <c r="I26" s="46"/>
      <c r="J26" s="44"/>
      <c r="K26" s="46"/>
      <c r="L26" s="46"/>
      <c r="M26" s="132"/>
    </row>
    <row r="27" spans="1:13" s="1" customFormat="1" ht="14.1" customHeight="1">
      <c r="A27" s="122">
        <v>13</v>
      </c>
      <c r="B27" s="36"/>
      <c r="C27" s="37"/>
      <c r="D27" s="38"/>
      <c r="E27" s="39"/>
      <c r="F27" s="39"/>
      <c r="G27" s="40"/>
      <c r="H27" s="27"/>
      <c r="I27" s="27"/>
      <c r="J27" s="41"/>
      <c r="K27" s="27"/>
      <c r="L27" s="27"/>
      <c r="M27" s="29"/>
    </row>
    <row r="28" spans="1:13" s="1" customFormat="1" ht="14.1" customHeight="1">
      <c r="A28" s="122"/>
      <c r="B28" s="46"/>
      <c r="C28" s="46"/>
      <c r="D28" s="79"/>
      <c r="E28" s="80"/>
      <c r="F28" s="80"/>
      <c r="G28" s="81"/>
      <c r="H28" s="46"/>
      <c r="I28" s="46"/>
      <c r="J28" s="44"/>
      <c r="K28" s="46"/>
      <c r="L28" s="46"/>
      <c r="M28" s="132"/>
    </row>
    <row r="29" spans="1:13" s="1" customFormat="1" ht="14.1" customHeight="1">
      <c r="A29" s="122">
        <v>14</v>
      </c>
      <c r="B29" s="36"/>
      <c r="C29" s="37"/>
      <c r="D29" s="38"/>
      <c r="E29" s="39"/>
      <c r="F29" s="39"/>
      <c r="G29" s="40"/>
      <c r="H29" s="27"/>
      <c r="I29" s="27"/>
      <c r="J29" s="41"/>
      <c r="K29" s="27"/>
      <c r="L29" s="27"/>
      <c r="M29" s="29"/>
    </row>
    <row r="30" spans="1:13" s="1" customFormat="1" ht="14.1" customHeight="1">
      <c r="A30" s="122"/>
      <c r="B30" s="46"/>
      <c r="C30" s="46"/>
      <c r="D30" s="49"/>
      <c r="E30" s="50"/>
      <c r="F30" s="50"/>
      <c r="G30" s="51"/>
      <c r="H30" s="46"/>
      <c r="I30" s="46"/>
      <c r="J30" s="44"/>
      <c r="K30" s="46"/>
      <c r="L30" s="46"/>
      <c r="M30" s="132"/>
    </row>
    <row r="31" spans="1:13" s="1" customFormat="1" ht="14.1" customHeight="1">
      <c r="A31" s="122">
        <v>15</v>
      </c>
      <c r="B31" s="36"/>
      <c r="C31" s="37"/>
      <c r="D31" s="38"/>
      <c r="E31" s="39"/>
      <c r="F31" s="39"/>
      <c r="G31" s="40"/>
      <c r="H31" s="27"/>
      <c r="I31" s="27"/>
      <c r="J31" s="41"/>
      <c r="K31" s="27"/>
      <c r="L31" s="27"/>
      <c r="M31" s="29"/>
    </row>
    <row r="32" spans="1:13" s="1" customFormat="1" ht="14.1" customHeight="1">
      <c r="A32" s="122"/>
      <c r="B32" s="127"/>
      <c r="C32" s="128"/>
      <c r="D32" s="49"/>
      <c r="E32" s="50"/>
      <c r="F32" s="50"/>
      <c r="G32" s="51"/>
      <c r="H32" s="46"/>
      <c r="I32" s="46"/>
      <c r="J32" s="44"/>
      <c r="K32" s="46"/>
      <c r="L32" s="46"/>
      <c r="M32" s="132"/>
    </row>
    <row r="33" spans="1:13" s="1" customFormat="1" ht="14.1" customHeight="1">
      <c r="A33" s="122">
        <v>16</v>
      </c>
      <c r="B33" s="133"/>
      <c r="C33" s="134"/>
      <c r="D33" s="135"/>
      <c r="E33" s="136"/>
      <c r="F33" s="136"/>
      <c r="G33" s="137"/>
      <c r="H33" s="45"/>
      <c r="I33" s="45"/>
      <c r="J33" s="44"/>
      <c r="K33" s="46"/>
      <c r="L33" s="46"/>
      <c r="M33" s="48"/>
    </row>
    <row r="34" spans="1:13" s="1" customFormat="1" ht="14.1" customHeight="1" thickBot="1">
      <c r="A34" s="123"/>
      <c r="B34" s="143"/>
      <c r="C34" s="144"/>
      <c r="D34" s="119"/>
      <c r="E34" s="120"/>
      <c r="F34" s="120"/>
      <c r="G34" s="121"/>
      <c r="H34" s="28"/>
      <c r="I34" s="28"/>
      <c r="J34" s="126"/>
      <c r="K34" s="115"/>
      <c r="L34" s="115"/>
      <c r="M34" s="142"/>
    </row>
    <row r="35" spans="1:13" s="1" customFormat="1" ht="14.1" customHeight="1">
      <c r="A35"/>
      <c r="B35"/>
      <c r="C35"/>
      <c r="D35"/>
      <c r="E35"/>
      <c r="F35"/>
      <c r="G35"/>
      <c r="H35"/>
      <c r="I35"/>
      <c r="J35"/>
      <c r="K35"/>
      <c r="L35"/>
      <c r="M35" s="11"/>
    </row>
    <row r="36" spans="1:13" s="1" customFormat="1" ht="14.1" customHeight="1">
      <c r="A36"/>
      <c r="B36"/>
      <c r="C36"/>
      <c r="D36"/>
      <c r="E36"/>
      <c r="F36"/>
      <c r="G36"/>
      <c r="H36"/>
      <c r="I36"/>
      <c r="J36"/>
      <c r="K36"/>
      <c r="L36"/>
      <c r="M36" s="11"/>
    </row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4.1" customHeight="1"/>
    <row r="53" ht="14.1" customHeight="1"/>
    <row r="54" ht="14.1" customHeight="1"/>
    <row r="55" ht="14.1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8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90</vt:i4>
      </vt:variant>
      <vt:variant>
        <vt:lpstr>이름 지정된 범위</vt:lpstr>
      </vt:variant>
      <vt:variant>
        <vt:i4>90</vt:i4>
      </vt:variant>
    </vt:vector>
  </HeadingPairs>
  <TitlesOfParts>
    <vt:vector size="180" baseType="lpstr">
      <vt:lpstr>LE01</vt:lpstr>
      <vt:lpstr>LE02</vt:lpstr>
      <vt:lpstr>LE03</vt:lpstr>
      <vt:lpstr>OP01</vt:lpstr>
      <vt:lpstr>OP02</vt:lpstr>
      <vt:lpstr>OP03</vt:lpstr>
      <vt:lpstr>OP04</vt:lpstr>
      <vt:lpstr>OP05</vt:lpstr>
      <vt:lpstr>OP06</vt:lpstr>
      <vt:lpstr>OP07</vt:lpstr>
      <vt:lpstr>OP08</vt:lpstr>
      <vt:lpstr>OP09</vt:lpstr>
      <vt:lpstr>OP10</vt:lpstr>
      <vt:lpstr>OP11(니트)</vt:lpstr>
      <vt:lpstr>OU01</vt:lpstr>
      <vt:lpstr>OU02(패턴)</vt:lpstr>
      <vt:lpstr>OU02(제품)</vt:lpstr>
      <vt:lpstr>OU03</vt:lpstr>
      <vt:lpstr>OU04</vt:lpstr>
      <vt:lpstr>OU05</vt:lpstr>
      <vt:lpstr>OU06(니트)</vt:lpstr>
      <vt:lpstr>OU07(니트)</vt:lpstr>
      <vt:lpstr>OU08</vt:lpstr>
      <vt:lpstr>OU09</vt:lpstr>
      <vt:lpstr>OU10(니트)</vt:lpstr>
      <vt:lpstr>OU11</vt:lpstr>
      <vt:lpstr>OU12</vt:lpstr>
      <vt:lpstr>PT01</vt:lpstr>
      <vt:lpstr>PT02</vt:lpstr>
      <vt:lpstr>PT03</vt:lpstr>
      <vt:lpstr>PT04</vt:lpstr>
      <vt:lpstr>PT05</vt:lpstr>
      <vt:lpstr>PT06</vt:lpstr>
      <vt:lpstr>PT07</vt:lpstr>
      <vt:lpstr>PT08</vt:lpstr>
      <vt:lpstr>PT09</vt:lpstr>
      <vt:lpstr>PT10(완사입)</vt:lpstr>
      <vt:lpstr>PT11(완사입)</vt:lpstr>
      <vt:lpstr>PT12(완사입)</vt:lpstr>
      <vt:lpstr>PT13(완사입)</vt:lpstr>
      <vt:lpstr>PT14(완사입)</vt:lpstr>
      <vt:lpstr>PT17(완사입)</vt:lpstr>
      <vt:lpstr>PT18</vt:lpstr>
      <vt:lpstr>PT19(완사입)</vt:lpstr>
      <vt:lpstr>PT20(완사입)</vt:lpstr>
      <vt:lpstr>SE01</vt:lpstr>
      <vt:lpstr>SE02</vt:lpstr>
      <vt:lpstr>SE03</vt:lpstr>
      <vt:lpstr>SE04</vt:lpstr>
      <vt:lpstr>SK01</vt:lpstr>
      <vt:lpstr>SK02</vt:lpstr>
      <vt:lpstr>SK03</vt:lpstr>
      <vt:lpstr>SK04(니트)</vt:lpstr>
      <vt:lpstr>SK05(니트)</vt:lpstr>
      <vt:lpstr>SK06</vt:lpstr>
      <vt:lpstr>SK07</vt:lpstr>
      <vt:lpstr>TO01</vt:lpstr>
      <vt:lpstr>TO02</vt:lpstr>
      <vt:lpstr>TO03</vt:lpstr>
      <vt:lpstr>TO04</vt:lpstr>
      <vt:lpstr>TO05</vt:lpstr>
      <vt:lpstr>TO06</vt:lpstr>
      <vt:lpstr>TO07</vt:lpstr>
      <vt:lpstr>TO08</vt:lpstr>
      <vt:lpstr>TO09(니트)</vt:lpstr>
      <vt:lpstr>TO10</vt:lpstr>
      <vt:lpstr>TO11</vt:lpstr>
      <vt:lpstr>TO12</vt:lpstr>
      <vt:lpstr>TO13</vt:lpstr>
      <vt:lpstr>TO14</vt:lpstr>
      <vt:lpstr>TO15(니트) </vt:lpstr>
      <vt:lpstr>TO16</vt:lpstr>
      <vt:lpstr>TO17</vt:lpstr>
      <vt:lpstr>TO18</vt:lpstr>
      <vt:lpstr>TO19</vt:lpstr>
      <vt:lpstr>TO20</vt:lpstr>
      <vt:lpstr>TO21</vt:lpstr>
      <vt:lpstr>TO22</vt:lpstr>
      <vt:lpstr>TO23</vt:lpstr>
      <vt:lpstr>TO24</vt:lpstr>
      <vt:lpstr>TO25</vt:lpstr>
      <vt:lpstr>TO26</vt:lpstr>
      <vt:lpstr>TO27</vt:lpstr>
      <vt:lpstr>TO28(니트)</vt:lpstr>
      <vt:lpstr>TO29(니트)</vt:lpstr>
      <vt:lpstr>TO31</vt:lpstr>
      <vt:lpstr>TO32</vt:lpstr>
      <vt:lpstr>TO33(니트)</vt:lpstr>
      <vt:lpstr>TO34(니트)</vt:lpstr>
      <vt:lpstr>TO35</vt:lpstr>
      <vt:lpstr>'LE01'!Print_Area</vt:lpstr>
      <vt:lpstr>'LE02'!Print_Area</vt:lpstr>
      <vt:lpstr>'LE03'!Print_Area</vt:lpstr>
      <vt:lpstr>'OP01'!Print_Area</vt:lpstr>
      <vt:lpstr>'OP02'!Print_Area</vt:lpstr>
      <vt:lpstr>'OP03'!Print_Area</vt:lpstr>
      <vt:lpstr>'OP04'!Print_Area</vt:lpstr>
      <vt:lpstr>'OP05'!Print_Area</vt:lpstr>
      <vt:lpstr>'OP06'!Print_Area</vt:lpstr>
      <vt:lpstr>'OP07'!Print_Area</vt:lpstr>
      <vt:lpstr>'OP08'!Print_Area</vt:lpstr>
      <vt:lpstr>'OP09'!Print_Area</vt:lpstr>
      <vt:lpstr>'OP10'!Print_Area</vt:lpstr>
      <vt:lpstr>'OP11(니트)'!Print_Area</vt:lpstr>
      <vt:lpstr>'OU01'!Print_Area</vt:lpstr>
      <vt:lpstr>'OU02(제품)'!Print_Area</vt:lpstr>
      <vt:lpstr>'OU02(패턴)'!Print_Area</vt:lpstr>
      <vt:lpstr>'OU03'!Print_Area</vt:lpstr>
      <vt:lpstr>'OU04'!Print_Area</vt:lpstr>
      <vt:lpstr>'OU05'!Print_Area</vt:lpstr>
      <vt:lpstr>'OU06(니트)'!Print_Area</vt:lpstr>
      <vt:lpstr>'OU07(니트)'!Print_Area</vt:lpstr>
      <vt:lpstr>'OU08'!Print_Area</vt:lpstr>
      <vt:lpstr>'OU09'!Print_Area</vt:lpstr>
      <vt:lpstr>'OU10(니트)'!Print_Area</vt:lpstr>
      <vt:lpstr>'OU11'!Print_Area</vt:lpstr>
      <vt:lpstr>'OU12'!Print_Area</vt:lpstr>
      <vt:lpstr>'PT01'!Print_Area</vt:lpstr>
      <vt:lpstr>'PT02'!Print_Area</vt:lpstr>
      <vt:lpstr>'PT03'!Print_Area</vt:lpstr>
      <vt:lpstr>'PT04'!Print_Area</vt:lpstr>
      <vt:lpstr>'PT05'!Print_Area</vt:lpstr>
      <vt:lpstr>'PT06'!Print_Area</vt:lpstr>
      <vt:lpstr>'PT07'!Print_Area</vt:lpstr>
      <vt:lpstr>'PT08'!Print_Area</vt:lpstr>
      <vt:lpstr>'PT09'!Print_Area</vt:lpstr>
      <vt:lpstr>'PT10(완사입)'!Print_Area</vt:lpstr>
      <vt:lpstr>'PT11(완사입)'!Print_Area</vt:lpstr>
      <vt:lpstr>'PT12(완사입)'!Print_Area</vt:lpstr>
      <vt:lpstr>'PT13(완사입)'!Print_Area</vt:lpstr>
      <vt:lpstr>'PT14(완사입)'!Print_Area</vt:lpstr>
      <vt:lpstr>'PT17(완사입)'!Print_Area</vt:lpstr>
      <vt:lpstr>'PT18'!Print_Area</vt:lpstr>
      <vt:lpstr>'PT19(완사입)'!Print_Area</vt:lpstr>
      <vt:lpstr>'PT20(완사입)'!Print_Area</vt:lpstr>
      <vt:lpstr>'SE01'!Print_Area</vt:lpstr>
      <vt:lpstr>'SE02'!Print_Area</vt:lpstr>
      <vt:lpstr>'SE03'!Print_Area</vt:lpstr>
      <vt:lpstr>'SE04'!Print_Area</vt:lpstr>
      <vt:lpstr>'SK01'!Print_Area</vt:lpstr>
      <vt:lpstr>'SK02'!Print_Area</vt:lpstr>
      <vt:lpstr>'SK03'!Print_Area</vt:lpstr>
      <vt:lpstr>'SK04(니트)'!Print_Area</vt:lpstr>
      <vt:lpstr>'SK05(니트)'!Print_Area</vt:lpstr>
      <vt:lpstr>'SK06'!Print_Area</vt:lpstr>
      <vt:lpstr>'SK07'!Print_Area</vt:lpstr>
      <vt:lpstr>'TO01'!Print_Area</vt:lpstr>
      <vt:lpstr>'TO02'!Print_Area</vt:lpstr>
      <vt:lpstr>'TO03'!Print_Area</vt:lpstr>
      <vt:lpstr>'TO04'!Print_Area</vt:lpstr>
      <vt:lpstr>'TO05'!Print_Area</vt:lpstr>
      <vt:lpstr>'TO06'!Print_Area</vt:lpstr>
      <vt:lpstr>'TO07'!Print_Area</vt:lpstr>
      <vt:lpstr>'TO08'!Print_Area</vt:lpstr>
      <vt:lpstr>'TO09(니트)'!Print_Area</vt:lpstr>
      <vt:lpstr>'TO10'!Print_Area</vt:lpstr>
      <vt:lpstr>'TO11'!Print_Area</vt:lpstr>
      <vt:lpstr>'TO12'!Print_Area</vt:lpstr>
      <vt:lpstr>'TO13'!Print_Area</vt:lpstr>
      <vt:lpstr>'TO14'!Print_Area</vt:lpstr>
      <vt:lpstr>'TO15(니트) '!Print_Area</vt:lpstr>
      <vt:lpstr>'TO16'!Print_Area</vt:lpstr>
      <vt:lpstr>'TO17'!Print_Area</vt:lpstr>
      <vt:lpstr>'TO18'!Print_Area</vt:lpstr>
      <vt:lpstr>'TO19'!Print_Area</vt:lpstr>
      <vt:lpstr>'TO20'!Print_Area</vt:lpstr>
      <vt:lpstr>'TO21'!Print_Area</vt:lpstr>
      <vt:lpstr>'TO22'!Print_Area</vt:lpstr>
      <vt:lpstr>'TO23'!Print_Area</vt:lpstr>
      <vt:lpstr>'TO24'!Print_Area</vt:lpstr>
      <vt:lpstr>'TO25'!Print_Area</vt:lpstr>
      <vt:lpstr>'TO26'!Print_Area</vt:lpstr>
      <vt:lpstr>'TO27'!Print_Area</vt:lpstr>
      <vt:lpstr>'TO28(니트)'!Print_Area</vt:lpstr>
      <vt:lpstr>'TO29(니트)'!Print_Area</vt:lpstr>
      <vt:lpstr>'TO31'!Print_Area</vt:lpstr>
      <vt:lpstr>'TO32'!Print_Area</vt:lpstr>
      <vt:lpstr>'TO33(니트)'!Print_Area</vt:lpstr>
      <vt:lpstr>'TO34(니트)'!Print_Area</vt:lpstr>
      <vt:lpstr>'TO35'!Print_Area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2026-06-10T05:07:05Z</cp:lastPrinted>
  <dcterms:created xsi:type="dcterms:W3CDTF">2018-05-14T06:17:18Z</dcterms:created>
  <dcterms:modified xsi:type="dcterms:W3CDTF">2026-06-10T09:27:44Z</dcterms:modified>
</cp:coreProperties>
</file>