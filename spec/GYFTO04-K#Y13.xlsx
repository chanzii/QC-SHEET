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5월28일\"/>
    </mc:Choice>
  </mc:AlternateContent>
  <xr:revisionPtr revIDLastSave="0" documentId="8_{6CCA405F-D87A-4E61-BD58-2B6D24D42216}" xr6:coauthVersionLast="47" xr6:coauthVersionMax="47" xr10:uidLastSave="{00000000-0000-0000-0000-000000000000}"/>
  <bookViews>
    <workbookView xWindow="28680" yWindow="-120" windowWidth="29040" windowHeight="15720" xr2:uid="{F056FECD-094B-46FD-B80C-67994495C0FA}"/>
  </bookViews>
  <sheets>
    <sheet name="TO04" sheetId="1" r:id="rId1"/>
  </sheets>
  <definedNames>
    <definedName name="_xlnm.Print_Area" localSheetId="0">'TO04'!$A$1:$M$34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J27" i="1" s="1"/>
  <c r="J25" i="1"/>
  <c r="I25" i="1"/>
  <c r="I23" i="1"/>
  <c r="J23" i="1" s="1"/>
  <c r="I21" i="1"/>
  <c r="J21" i="1" s="1"/>
  <c r="I17" i="1"/>
  <c r="J17" i="1" s="1"/>
  <c r="I15" i="1"/>
  <c r="J15" i="1" s="1"/>
  <c r="I13" i="1"/>
  <c r="J13" i="1" s="1"/>
  <c r="I9" i="1"/>
  <c r="J9" i="1" s="1"/>
  <c r="I7" i="1"/>
  <c r="J7" i="1" s="1"/>
  <c r="I5" i="1"/>
  <c r="J5" i="1" s="1"/>
  <c r="I3" i="1"/>
  <c r="J3" i="1" s="1"/>
</calcChain>
</file>

<file path=xl/sharedStrings.xml><?xml version="1.0" encoding="utf-8"?>
<sst xmlns="http://schemas.openxmlformats.org/spreadsheetml/2006/main" count="60" uniqueCount="60">
  <si>
    <t>STYLE NO: GYFTO04-K#Y13</t>
    <phoneticPr fontId="3" type="noConversion"/>
  </si>
  <si>
    <t>NO.</t>
    <phoneticPr fontId="3" type="noConversion"/>
  </si>
  <si>
    <t xml:space="preserve">LIST </t>
    <phoneticPr fontId="5" type="noConversion"/>
  </si>
  <si>
    <t xml:space="preserve">MEASURMENT METHOD </t>
    <phoneticPr fontId="5" type="noConversion"/>
  </si>
  <si>
    <t>S</t>
    <phoneticPr fontId="3" type="noConversion"/>
  </si>
  <si>
    <t>M</t>
    <phoneticPr fontId="3" type="noConversion"/>
  </si>
  <si>
    <t>L</t>
    <phoneticPr fontId="3" type="noConversion"/>
  </si>
  <si>
    <t>TOTAL LENGTH</t>
    <phoneticPr fontId="5" type="noConversion"/>
  </si>
  <si>
    <t>HPS TO BOTTOM EDGE</t>
    <phoneticPr fontId="5" type="noConversion"/>
  </si>
  <si>
    <t>총기장(옆목)</t>
    <phoneticPr fontId="5" type="noConversion"/>
  </si>
  <si>
    <t>옆목점에서 밑단까지의 직선길이</t>
    <phoneticPr fontId="3" type="noConversion"/>
  </si>
  <si>
    <t xml:space="preserve">CENTER BACK SLEEVE LENGTH </t>
    <phoneticPr fontId="3" type="noConversion"/>
  </si>
  <si>
    <t>FROM CENTER BACK BODY TO EDGE TO SLEEVE CUFFS</t>
    <phoneticPr fontId="3" type="noConversion"/>
  </si>
  <si>
    <t>화장</t>
    <phoneticPr fontId="5" type="noConversion"/>
  </si>
  <si>
    <t>뒷목중심점에서 소매부리(밑단)까지 잰 길이</t>
    <phoneticPr fontId="3" type="noConversion"/>
  </si>
  <si>
    <t>CHEST (1/2)</t>
    <phoneticPr fontId="5" type="noConversion"/>
  </si>
  <si>
    <t>START ARM HOLE JOINING POINT TO POINT(1/2)</t>
    <phoneticPr fontId="3" type="noConversion"/>
  </si>
  <si>
    <t>가슴(상동)</t>
    <phoneticPr fontId="3" type="noConversion"/>
  </si>
  <si>
    <t>암홀 겨드랑이 지점에서 수평으로 잰 길이</t>
    <phoneticPr fontId="3" type="noConversion"/>
  </si>
  <si>
    <t>BOTTOM SWEEP (1/2)</t>
    <phoneticPr fontId="5" type="noConversion"/>
  </si>
  <si>
    <t>STRIGHT (1/2)</t>
    <phoneticPr fontId="5" type="noConversion"/>
  </si>
  <si>
    <t>밑단둘레(반품)</t>
  </si>
  <si>
    <t>와끼선의 밑단 양끝점을 수평으로 잰 길이</t>
    <phoneticPr fontId="3" type="noConversion"/>
  </si>
  <si>
    <t xml:space="preserve">ARMHOLE </t>
  </si>
  <si>
    <t xml:space="preserve">STRIGHT </t>
    <phoneticPr fontId="5" type="noConversion"/>
  </si>
  <si>
    <t>암홀길이(직선)</t>
  </si>
  <si>
    <t>어깨끝점과 겨드랑이 점을 직선으로 잰 길이</t>
    <phoneticPr fontId="3" type="noConversion"/>
  </si>
  <si>
    <t>NECK WIDTH</t>
    <phoneticPr fontId="5" type="noConversion"/>
  </si>
  <si>
    <t>WITHOUT NECK BAND</t>
    <phoneticPr fontId="5" type="noConversion"/>
  </si>
  <si>
    <t>옆목너비</t>
  </si>
  <si>
    <t xml:space="preserve">옆목점을 수평으로 잰 길이 </t>
    <phoneticPr fontId="3" type="noConversion"/>
  </si>
  <si>
    <t xml:space="preserve">FRONT NECK DROP </t>
    <phoneticPr fontId="5" type="noConversion"/>
  </si>
  <si>
    <t xml:space="preserve">MAKE IMAGE LINE TO CENTER NECK FRONT </t>
    <phoneticPr fontId="5" type="noConversion"/>
  </si>
  <si>
    <t>앞목깊이</t>
  </si>
  <si>
    <t>옆목점에서 앞목중심의 수직 길이</t>
    <phoneticPr fontId="3" type="noConversion"/>
  </si>
  <si>
    <t>NECK</t>
    <phoneticPr fontId="5" type="noConversion"/>
  </si>
  <si>
    <t xml:space="preserve">ROUND ,@ NECK SEWING  LINE </t>
    <phoneticPr fontId="3" type="noConversion"/>
  </si>
  <si>
    <t>목둘레</t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</si>
  <si>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(지퍼포함)</t>
    </r>
    <phoneticPr fontId="3" type="noConversion"/>
  </si>
  <si>
    <t>SLEEVE LENGTH</t>
    <phoneticPr fontId="5" type="noConversion"/>
  </si>
  <si>
    <t xml:space="preserve">FROM SHOULDER POINT TO EDGE </t>
    <phoneticPr fontId="5" type="noConversion"/>
  </si>
  <si>
    <t>소매기장</t>
  </si>
  <si>
    <t>어깨 끝점에서 소매 부리(밑단) 끝까지의 직선 길이</t>
    <phoneticPr fontId="3" type="noConversion"/>
  </si>
  <si>
    <t>BICEP</t>
    <phoneticPr fontId="5" type="noConversion"/>
  </si>
  <si>
    <t>FROM ARMHOLE JOINING POINT ,CIRCLE ROUND</t>
    <phoneticPr fontId="5" type="noConversion"/>
  </si>
  <si>
    <t>소매통</t>
  </si>
  <si>
    <t>암홀 겨드랑이 지점에서 소매중심의 수직 길이(둘레)</t>
    <phoneticPr fontId="3" type="noConversion"/>
  </si>
  <si>
    <t xml:space="preserve">CUFFS OPENING </t>
    <phoneticPr fontId="5" type="noConversion"/>
  </si>
  <si>
    <t xml:space="preserve">CIRCLE ROUND </t>
    <phoneticPr fontId="5" type="noConversion"/>
  </si>
  <si>
    <t>소매부리</t>
  </si>
  <si>
    <t>소매 밑단(시보리 밑단)의 둘레 길이</t>
    <phoneticPr fontId="3" type="noConversion"/>
  </si>
  <si>
    <t>POINT A</t>
    <phoneticPr fontId="3" type="noConversion"/>
  </si>
  <si>
    <t>위치 A</t>
    <phoneticPr fontId="3" type="noConversion"/>
  </si>
  <si>
    <t>와끼에서 수평으로</t>
    <phoneticPr fontId="3" type="noConversion"/>
  </si>
  <si>
    <t>POINT B</t>
    <phoneticPr fontId="3" type="noConversion"/>
  </si>
  <si>
    <t>위치 B</t>
    <phoneticPr fontId="3" type="noConversion"/>
  </si>
  <si>
    <t xml:space="preserve">밑단에서 수직으로 </t>
    <phoneticPr fontId="3" type="noConversion"/>
  </si>
  <si>
    <t>FRONT ZIPPER LENGTH</t>
    <phoneticPr fontId="3" type="noConversion"/>
  </si>
  <si>
    <t>앞지퍼길이</t>
    <phoneticPr fontId="3" type="noConversion"/>
  </si>
  <si>
    <t xml:space="preserve"> YKK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</si>
</sst>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6" fillId="2" borderId="36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DB3C-2A9E-4E7F-B9EE-06B4E16ECA0A}">
  <sheetPr>
    <tabColor theme="7"/>
  </sheetPr>
  <dimension ref="A1:M59"/>
  <sheetViews>
    <sheetView tabSelected="1" zoomScale="110" zoomScaleNormal="110" zoomScalePageLayoutView="110" workbookViewId="0">
      <selection sqref="A1:M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customHeight="1" thickBot="1" x14ac:dyDescent="0.35">
      <c r="A2" s="4" t="s">
        <v>1</v>
      </c>
      <c r="B2" s="5" t="s">
        <v>2</v>
      </c>
      <c r="C2" s="5"/>
      <c r="D2" s="5" t="s">
        <v>3</v>
      </c>
      <c r="E2" s="5"/>
      <c r="F2" s="5"/>
      <c r="G2" s="5"/>
      <c r="H2" s="6" t="s">
        <v>4</v>
      </c>
      <c r="I2" s="7" t="s">
        <v>5</v>
      </c>
      <c r="J2" s="7" t="s">
        <v>6</v>
      </c>
      <c r="K2" s="7"/>
      <c r="L2" s="7"/>
      <c r="M2" s="7"/>
    </row>
    <row r="3" spans="1:13" s="16" customFormat="1" ht="14.1" customHeight="1" x14ac:dyDescent="0.3">
      <c r="A3" s="8">
        <v>1</v>
      </c>
      <c r="B3" s="9" t="s">
        <v>7</v>
      </c>
      <c r="C3" s="9"/>
      <c r="D3" s="10" t="s">
        <v>8</v>
      </c>
      <c r="E3" s="10"/>
      <c r="F3" s="10"/>
      <c r="G3" s="11"/>
      <c r="H3" s="12">
        <v>49</v>
      </c>
      <c r="I3" s="13">
        <f>SUM(H3)+3</f>
        <v>52</v>
      </c>
      <c r="J3" s="13">
        <f>SUM(I3)+3</f>
        <v>55</v>
      </c>
      <c r="K3" s="14"/>
      <c r="L3" s="14"/>
      <c r="M3" s="15"/>
    </row>
    <row r="4" spans="1:13" s="16" customFormat="1" ht="14.1" customHeight="1" x14ac:dyDescent="0.3">
      <c r="A4" s="17"/>
      <c r="B4" s="18" t="s">
        <v>9</v>
      </c>
      <c r="C4" s="18"/>
      <c r="D4" s="19" t="s">
        <v>10</v>
      </c>
      <c r="E4" s="20"/>
      <c r="F4" s="20"/>
      <c r="G4" s="20"/>
      <c r="H4" s="21"/>
      <c r="I4" s="22"/>
      <c r="J4" s="22"/>
      <c r="K4" s="23"/>
      <c r="L4" s="23"/>
      <c r="M4" s="24"/>
    </row>
    <row r="5" spans="1:13" s="16" customFormat="1" ht="14.1" customHeight="1" x14ac:dyDescent="0.3">
      <c r="A5" s="17">
        <v>2</v>
      </c>
      <c r="B5" s="25" t="s">
        <v>11</v>
      </c>
      <c r="C5" s="26"/>
      <c r="D5" s="27" t="s">
        <v>12</v>
      </c>
      <c r="E5" s="28"/>
      <c r="F5" s="28"/>
      <c r="G5" s="29"/>
      <c r="H5" s="30">
        <v>71.3</v>
      </c>
      <c r="I5" s="31">
        <f>SUM(H5)+4</f>
        <v>75.3</v>
      </c>
      <c r="J5" s="31">
        <f>SUM(I5)+4</f>
        <v>79.3</v>
      </c>
      <c r="K5" s="22"/>
      <c r="L5" s="22"/>
      <c r="M5" s="32"/>
    </row>
    <row r="6" spans="1:13" s="16" customFormat="1" ht="14.1" customHeight="1" x14ac:dyDescent="0.3">
      <c r="A6" s="17"/>
      <c r="B6" s="33" t="s">
        <v>13</v>
      </c>
      <c r="C6" s="34"/>
      <c r="D6" s="19" t="s">
        <v>14</v>
      </c>
      <c r="E6" s="20"/>
      <c r="F6" s="20"/>
      <c r="G6" s="35"/>
      <c r="H6" s="36"/>
      <c r="I6" s="23"/>
      <c r="J6" s="23"/>
      <c r="K6" s="22"/>
      <c r="L6" s="22"/>
      <c r="M6" s="32"/>
    </row>
    <row r="7" spans="1:13" s="16" customFormat="1" ht="14.1" customHeight="1" x14ac:dyDescent="0.3">
      <c r="A7" s="17">
        <v>3</v>
      </c>
      <c r="B7" s="37" t="s">
        <v>15</v>
      </c>
      <c r="C7" s="37"/>
      <c r="D7" s="38" t="s">
        <v>16</v>
      </c>
      <c r="E7" s="38"/>
      <c r="F7" s="38"/>
      <c r="G7" s="38"/>
      <c r="H7" s="30">
        <v>40</v>
      </c>
      <c r="I7" s="31">
        <f>SUM(H7)+3</f>
        <v>43</v>
      </c>
      <c r="J7" s="31">
        <f>SUM(I7)+3</f>
        <v>46</v>
      </c>
      <c r="K7" s="22"/>
      <c r="L7" s="22"/>
      <c r="M7" s="32"/>
    </row>
    <row r="8" spans="1:13" s="16" customFormat="1" ht="14.1" customHeight="1" x14ac:dyDescent="0.3">
      <c r="A8" s="17"/>
      <c r="B8" s="18" t="s">
        <v>17</v>
      </c>
      <c r="C8" s="18"/>
      <c r="D8" s="19" t="s">
        <v>18</v>
      </c>
      <c r="E8" s="20"/>
      <c r="F8" s="20"/>
      <c r="G8" s="35"/>
      <c r="H8" s="36"/>
      <c r="I8" s="23"/>
      <c r="J8" s="23"/>
      <c r="K8" s="22"/>
      <c r="L8" s="22"/>
      <c r="M8" s="32"/>
    </row>
    <row r="9" spans="1:13" s="16" customFormat="1" ht="14.1" customHeight="1" x14ac:dyDescent="0.3">
      <c r="A9" s="17">
        <v>4</v>
      </c>
      <c r="B9" s="37" t="s">
        <v>19</v>
      </c>
      <c r="C9" s="37"/>
      <c r="D9" s="38" t="s">
        <v>20</v>
      </c>
      <c r="E9" s="38"/>
      <c r="F9" s="38"/>
      <c r="G9" s="38"/>
      <c r="H9" s="30">
        <v>39.6</v>
      </c>
      <c r="I9" s="31">
        <f>SUM(H9)+3</f>
        <v>42.6</v>
      </c>
      <c r="J9" s="31">
        <f>SUM(I9)+3</f>
        <v>45.6</v>
      </c>
      <c r="K9" s="22"/>
      <c r="L9" s="22"/>
      <c r="M9" s="32"/>
    </row>
    <row r="10" spans="1:13" s="16" customFormat="1" ht="14.1" customHeight="1" x14ac:dyDescent="0.3">
      <c r="A10" s="17"/>
      <c r="B10" s="18" t="s">
        <v>21</v>
      </c>
      <c r="C10" s="18"/>
      <c r="D10" s="19" t="s">
        <v>22</v>
      </c>
      <c r="E10" s="20"/>
      <c r="F10" s="20"/>
      <c r="G10" s="35"/>
      <c r="H10" s="36"/>
      <c r="I10" s="23"/>
      <c r="J10" s="23"/>
      <c r="K10" s="22"/>
      <c r="L10" s="22"/>
      <c r="M10" s="32"/>
    </row>
    <row r="11" spans="1:13" s="16" customFormat="1" ht="14.1" customHeight="1" x14ac:dyDescent="0.3">
      <c r="A11" s="17">
        <v>5</v>
      </c>
      <c r="B11" s="37" t="s">
        <v>23</v>
      </c>
      <c r="C11" s="37"/>
      <c r="D11" s="38" t="s">
        <v>24</v>
      </c>
      <c r="E11" s="38"/>
      <c r="F11" s="38"/>
      <c r="G11" s="38"/>
      <c r="H11" s="21"/>
      <c r="I11" s="22"/>
      <c r="J11" s="22"/>
      <c r="K11" s="22"/>
      <c r="L11" s="22"/>
      <c r="M11" s="32"/>
    </row>
    <row r="12" spans="1:13" s="16" customFormat="1" ht="14.1" customHeight="1" x14ac:dyDescent="0.3">
      <c r="A12" s="17"/>
      <c r="B12" s="18" t="s">
        <v>25</v>
      </c>
      <c r="C12" s="18"/>
      <c r="D12" s="19" t="s">
        <v>26</v>
      </c>
      <c r="E12" s="20"/>
      <c r="F12" s="20"/>
      <c r="G12" s="35"/>
      <c r="H12" s="21"/>
      <c r="I12" s="22"/>
      <c r="J12" s="22"/>
      <c r="K12" s="22"/>
      <c r="L12" s="22"/>
      <c r="M12" s="32"/>
    </row>
    <row r="13" spans="1:13" s="16" customFormat="1" ht="14.1" customHeight="1" x14ac:dyDescent="0.3">
      <c r="A13" s="17">
        <v>6</v>
      </c>
      <c r="B13" s="37" t="s">
        <v>27</v>
      </c>
      <c r="C13" s="37"/>
      <c r="D13" s="38" t="s">
        <v>28</v>
      </c>
      <c r="E13" s="38"/>
      <c r="F13" s="38"/>
      <c r="G13" s="38"/>
      <c r="H13" s="21">
        <v>17.7</v>
      </c>
      <c r="I13" s="22">
        <f>SUM(H13)+0.6</f>
        <v>18.3</v>
      </c>
      <c r="J13" s="22">
        <f>SUM(I13)+0.6</f>
        <v>18.900000000000002</v>
      </c>
      <c r="K13" s="22"/>
      <c r="L13" s="22"/>
      <c r="M13" s="32"/>
    </row>
    <row r="14" spans="1:13" s="16" customFormat="1" ht="14.1" customHeight="1" x14ac:dyDescent="0.3">
      <c r="A14" s="17"/>
      <c r="B14" s="18" t="s">
        <v>29</v>
      </c>
      <c r="C14" s="18"/>
      <c r="D14" s="19" t="s">
        <v>30</v>
      </c>
      <c r="E14" s="20"/>
      <c r="F14" s="20"/>
      <c r="G14" s="35"/>
      <c r="H14" s="21"/>
      <c r="I14" s="22"/>
      <c r="J14" s="22"/>
      <c r="K14" s="22"/>
      <c r="L14" s="22"/>
      <c r="M14" s="32"/>
    </row>
    <row r="15" spans="1:13" s="16" customFormat="1" ht="14.1" customHeight="1" x14ac:dyDescent="0.3">
      <c r="A15" s="17">
        <v>7</v>
      </c>
      <c r="B15" s="37" t="s">
        <v>31</v>
      </c>
      <c r="C15" s="37"/>
      <c r="D15" s="38" t="s">
        <v>32</v>
      </c>
      <c r="E15" s="38"/>
      <c r="F15" s="38"/>
      <c r="G15" s="38"/>
      <c r="H15" s="21">
        <v>8</v>
      </c>
      <c r="I15" s="22">
        <f>SUM(H15)+0.3</f>
        <v>8.3000000000000007</v>
      </c>
      <c r="J15" s="22">
        <f>SUM(I15)+0.3</f>
        <v>8.6000000000000014</v>
      </c>
      <c r="K15" s="22"/>
      <c r="L15" s="22"/>
      <c r="M15" s="32"/>
    </row>
    <row r="16" spans="1:13" s="16" customFormat="1" ht="14.1" customHeight="1" x14ac:dyDescent="0.3">
      <c r="A16" s="17"/>
      <c r="B16" s="18" t="s">
        <v>33</v>
      </c>
      <c r="C16" s="18"/>
      <c r="D16" s="19" t="s">
        <v>34</v>
      </c>
      <c r="E16" s="20"/>
      <c r="F16" s="20"/>
      <c r="G16" s="35"/>
      <c r="H16" s="21"/>
      <c r="I16" s="22"/>
      <c r="J16" s="22"/>
      <c r="K16" s="22"/>
      <c r="L16" s="22"/>
      <c r="M16" s="32"/>
    </row>
    <row r="17" spans="1:13" s="16" customFormat="1" ht="14.1" customHeight="1" x14ac:dyDescent="0.3">
      <c r="A17" s="17">
        <v>8</v>
      </c>
      <c r="B17" s="39" t="s">
        <v>35</v>
      </c>
      <c r="C17" s="40"/>
      <c r="D17" s="41" t="s">
        <v>36</v>
      </c>
      <c r="E17" s="42"/>
      <c r="F17" s="42"/>
      <c r="G17" s="43"/>
      <c r="H17" s="21">
        <v>45.2</v>
      </c>
      <c r="I17" s="22">
        <f>SUM(H17)+1.6</f>
        <v>46.800000000000004</v>
      </c>
      <c r="J17" s="22">
        <f>SUM(I17)+1.6</f>
        <v>48.400000000000006</v>
      </c>
      <c r="K17" s="22"/>
      <c r="L17" s="22"/>
      <c r="M17" s="32"/>
    </row>
    <row r="18" spans="1:13" s="16" customFormat="1" ht="14.1" customHeight="1" x14ac:dyDescent="0.3">
      <c r="A18" s="17"/>
      <c r="B18" s="18" t="s">
        <v>37</v>
      </c>
      <c r="C18" s="18"/>
      <c r="D18" s="19" t="s">
        <v>38</v>
      </c>
      <c r="E18" s="20"/>
      <c r="F18" s="20"/>
      <c r="G18" s="35"/>
      <c r="H18" s="21"/>
      <c r="I18" s="22"/>
      <c r="J18" s="22"/>
      <c r="K18" s="22"/>
      <c r="L18" s="22"/>
      <c r="M18" s="32"/>
    </row>
    <row r="19" spans="1:13" s="16" customFormat="1" ht="14.1" customHeight="1" x14ac:dyDescent="0.3">
      <c r="A19" s="17">
        <v>9</v>
      </c>
      <c r="B19" s="37" t="s">
        <v>39</v>
      </c>
      <c r="C19" s="37"/>
      <c r="D19" s="38" t="s">
        <v>40</v>
      </c>
      <c r="E19" s="38"/>
      <c r="F19" s="38"/>
      <c r="G19" s="38"/>
      <c r="H19" s="21"/>
      <c r="I19" s="22"/>
      <c r="J19" s="22"/>
      <c r="K19" s="22"/>
      <c r="L19" s="22"/>
      <c r="M19" s="32"/>
    </row>
    <row r="20" spans="1:13" s="16" customFormat="1" ht="14.1" customHeight="1" x14ac:dyDescent="0.3">
      <c r="A20" s="17"/>
      <c r="B20" s="18" t="s">
        <v>41</v>
      </c>
      <c r="C20" s="18"/>
      <c r="D20" s="19" t="s">
        <v>42</v>
      </c>
      <c r="E20" s="20"/>
      <c r="F20" s="20"/>
      <c r="G20" s="35"/>
      <c r="H20" s="21"/>
      <c r="I20" s="22"/>
      <c r="J20" s="22"/>
      <c r="K20" s="22"/>
      <c r="L20" s="22"/>
      <c r="M20" s="32"/>
    </row>
    <row r="21" spans="1:13" s="16" customFormat="1" ht="14.1" customHeight="1" x14ac:dyDescent="0.3">
      <c r="A21" s="17">
        <v>10</v>
      </c>
      <c r="B21" s="37" t="s">
        <v>43</v>
      </c>
      <c r="C21" s="37"/>
      <c r="D21" s="41" t="s">
        <v>44</v>
      </c>
      <c r="E21" s="42"/>
      <c r="F21" s="42"/>
      <c r="G21" s="43"/>
      <c r="H21" s="21">
        <v>30</v>
      </c>
      <c r="I21" s="22">
        <f>SUM(H21)+1.5</f>
        <v>31.5</v>
      </c>
      <c r="J21" s="22">
        <f>SUM(I21)+1.5</f>
        <v>33</v>
      </c>
      <c r="K21" s="22"/>
      <c r="L21" s="22"/>
      <c r="M21" s="32"/>
    </row>
    <row r="22" spans="1:13" s="16" customFormat="1" ht="14.1" customHeight="1" x14ac:dyDescent="0.3">
      <c r="A22" s="17"/>
      <c r="B22" s="18" t="s">
        <v>45</v>
      </c>
      <c r="C22" s="18"/>
      <c r="D22" s="19" t="s">
        <v>46</v>
      </c>
      <c r="E22" s="20"/>
      <c r="F22" s="20"/>
      <c r="G22" s="35"/>
      <c r="H22" s="21"/>
      <c r="I22" s="22"/>
      <c r="J22" s="22"/>
      <c r="K22" s="22"/>
      <c r="L22" s="22"/>
      <c r="M22" s="32"/>
    </row>
    <row r="23" spans="1:13" s="16" customFormat="1" ht="14.1" customHeight="1" x14ac:dyDescent="0.3">
      <c r="A23" s="17">
        <v>11</v>
      </c>
      <c r="B23" s="39" t="s">
        <v>47</v>
      </c>
      <c r="C23" s="40"/>
      <c r="D23" s="38" t="s">
        <v>48</v>
      </c>
      <c r="E23" s="38"/>
      <c r="F23" s="38"/>
      <c r="G23" s="38"/>
      <c r="H23" s="21">
        <v>21</v>
      </c>
      <c r="I23" s="22">
        <f>SUM(H23)+1</f>
        <v>22</v>
      </c>
      <c r="J23" s="22">
        <f>SUM(I23)+1</f>
        <v>23</v>
      </c>
      <c r="K23" s="22"/>
      <c r="L23" s="22"/>
      <c r="M23" s="32"/>
    </row>
    <row r="24" spans="1:13" s="16" customFormat="1" ht="14.1" customHeight="1" x14ac:dyDescent="0.3">
      <c r="A24" s="17"/>
      <c r="B24" s="18" t="s">
        <v>49</v>
      </c>
      <c r="C24" s="18"/>
      <c r="D24" s="19" t="s">
        <v>50</v>
      </c>
      <c r="E24" s="20"/>
      <c r="F24" s="20"/>
      <c r="G24" s="35"/>
      <c r="H24" s="21"/>
      <c r="I24" s="22"/>
      <c r="J24" s="22"/>
      <c r="K24" s="22"/>
      <c r="L24" s="22"/>
      <c r="M24" s="32"/>
    </row>
    <row r="25" spans="1:13" s="16" customFormat="1" ht="14.1" customHeight="1" x14ac:dyDescent="0.3">
      <c r="A25" s="17">
        <v>12</v>
      </c>
      <c r="B25" s="39" t="s">
        <v>51</v>
      </c>
      <c r="C25" s="40"/>
      <c r="D25" s="44"/>
      <c r="E25" s="45"/>
      <c r="F25" s="45"/>
      <c r="G25" s="46"/>
      <c r="H25" s="21">
        <v>4.8</v>
      </c>
      <c r="I25" s="22">
        <f>SUM(H25)+0.5</f>
        <v>5.3</v>
      </c>
      <c r="J25" s="22">
        <f>SUM(I25)+0.5</f>
        <v>5.8</v>
      </c>
      <c r="K25" s="31"/>
      <c r="L25" s="31"/>
      <c r="M25" s="47"/>
    </row>
    <row r="26" spans="1:13" s="16" customFormat="1" ht="14.1" customHeight="1" x14ac:dyDescent="0.3">
      <c r="A26" s="17"/>
      <c r="B26" s="48" t="s">
        <v>52</v>
      </c>
      <c r="C26" s="49"/>
      <c r="D26" s="27" t="s">
        <v>53</v>
      </c>
      <c r="E26" s="28"/>
      <c r="F26" s="28"/>
      <c r="G26" s="29"/>
      <c r="H26" s="30"/>
      <c r="I26" s="31"/>
      <c r="J26" s="31"/>
      <c r="K26" s="50"/>
      <c r="L26" s="50"/>
      <c r="M26" s="51"/>
    </row>
    <row r="27" spans="1:13" s="16" customFormat="1" ht="14.1" customHeight="1" x14ac:dyDescent="0.3">
      <c r="A27" s="17">
        <v>13</v>
      </c>
      <c r="B27" s="39" t="s">
        <v>54</v>
      </c>
      <c r="C27" s="40"/>
      <c r="D27" s="38"/>
      <c r="E27" s="38"/>
      <c r="F27" s="38"/>
      <c r="G27" s="38"/>
      <c r="H27" s="21">
        <v>2.2000000000000002</v>
      </c>
      <c r="I27" s="22">
        <f>SUM(H27)+0.2</f>
        <v>2.4000000000000004</v>
      </c>
      <c r="J27" s="22">
        <f>SUM(I27)+0.2</f>
        <v>2.6000000000000005</v>
      </c>
      <c r="K27" s="22"/>
      <c r="L27" s="22"/>
      <c r="M27" s="52"/>
    </row>
    <row r="28" spans="1:13" s="16" customFormat="1" ht="14.1" customHeight="1" x14ac:dyDescent="0.3">
      <c r="A28" s="17"/>
      <c r="B28" s="48" t="s">
        <v>55</v>
      </c>
      <c r="C28" s="49"/>
      <c r="D28" s="19" t="s">
        <v>56</v>
      </c>
      <c r="E28" s="20"/>
      <c r="F28" s="20"/>
      <c r="G28" s="20"/>
      <c r="H28" s="30"/>
      <c r="I28" s="31"/>
      <c r="J28" s="31"/>
      <c r="K28" s="22"/>
      <c r="L28" s="22"/>
      <c r="M28" s="52"/>
    </row>
    <row r="29" spans="1:13" s="16" customFormat="1" ht="14.1" customHeight="1" x14ac:dyDescent="0.3">
      <c r="A29" s="17">
        <v>14</v>
      </c>
      <c r="B29" s="39" t="s">
        <v>57</v>
      </c>
      <c r="C29" s="40"/>
      <c r="D29" s="44"/>
      <c r="E29" s="45"/>
      <c r="F29" s="45"/>
      <c r="G29" s="46"/>
      <c r="H29" s="21">
        <v>10.5</v>
      </c>
      <c r="I29" s="22">
        <v>11</v>
      </c>
      <c r="J29" s="22">
        <v>11.5</v>
      </c>
      <c r="K29" s="31"/>
      <c r="L29" s="31"/>
      <c r="M29" s="53"/>
    </row>
    <row r="30" spans="1:13" s="16" customFormat="1" ht="14.1" customHeight="1" x14ac:dyDescent="0.3">
      <c r="A30" s="17"/>
      <c r="B30" s="33" t="s">
        <v>58</v>
      </c>
      <c r="C30" s="34"/>
      <c r="D30" s="19" t="s">
        <v>59</v>
      </c>
      <c r="E30" s="20"/>
      <c r="F30" s="20"/>
      <c r="G30" s="35"/>
      <c r="H30" s="21"/>
      <c r="I30" s="22"/>
      <c r="J30" s="22"/>
      <c r="K30" s="23"/>
      <c r="L30" s="23"/>
      <c r="M30" s="54"/>
    </row>
    <row r="31" spans="1:13" ht="14.1" customHeight="1" x14ac:dyDescent="0.3">
      <c r="A31" s="17">
        <v>15</v>
      </c>
      <c r="B31" s="48"/>
      <c r="C31" s="49"/>
      <c r="D31" s="55"/>
      <c r="E31" s="56"/>
      <c r="F31" s="56"/>
      <c r="G31" s="57"/>
      <c r="H31" s="36"/>
      <c r="I31" s="23"/>
      <c r="J31" s="23"/>
      <c r="K31" s="50"/>
      <c r="L31" s="50"/>
      <c r="M31" s="58"/>
    </row>
    <row r="32" spans="1:13" ht="14.1" customHeight="1" x14ac:dyDescent="0.3">
      <c r="A32" s="17"/>
      <c r="B32" s="33"/>
      <c r="C32" s="34"/>
      <c r="D32" s="19"/>
      <c r="E32" s="20"/>
      <c r="F32" s="20"/>
      <c r="G32" s="35"/>
      <c r="H32" s="21"/>
      <c r="I32" s="22"/>
      <c r="J32" s="22"/>
      <c r="K32" s="23"/>
      <c r="L32" s="23"/>
      <c r="M32" s="54"/>
    </row>
    <row r="33" spans="1:13" ht="14.1" customHeight="1" x14ac:dyDescent="0.3">
      <c r="A33" s="59">
        <v>16</v>
      </c>
      <c r="B33" s="48"/>
      <c r="C33" s="49"/>
      <c r="D33" s="55"/>
      <c r="E33" s="56"/>
      <c r="F33" s="56"/>
      <c r="G33" s="57"/>
      <c r="H33" s="36"/>
      <c r="I33" s="60"/>
      <c r="J33" s="23"/>
      <c r="K33" s="50"/>
      <c r="L33" s="50"/>
      <c r="M33" s="58"/>
    </row>
    <row r="34" spans="1:13" ht="14.1" customHeight="1" thickBot="1" x14ac:dyDescent="0.35">
      <c r="A34" s="61"/>
      <c r="B34" s="62"/>
      <c r="C34" s="63"/>
      <c r="D34" s="64"/>
      <c r="E34" s="65"/>
      <c r="F34" s="65"/>
      <c r="G34" s="66"/>
      <c r="H34" s="67"/>
      <c r="I34" s="68"/>
      <c r="J34" s="69"/>
      <c r="K34" s="70"/>
      <c r="L34" s="70"/>
      <c r="M34" s="71"/>
    </row>
    <row r="35" spans="1:13" s="16" customFormat="1" ht="14.1" customHeight="1" x14ac:dyDescent="0.3"/>
    <row r="36" spans="1:13" s="16" customFormat="1" ht="14.1" customHeight="1" x14ac:dyDescent="0.3"/>
    <row r="37" spans="1:13" s="16" customFormat="1" ht="14.1" customHeight="1" x14ac:dyDescent="0.3"/>
    <row r="38" spans="1:13" s="16" customFormat="1" ht="14.1" customHeight="1" x14ac:dyDescent="0.3"/>
    <row r="39" spans="1:13" s="16" customFormat="1" ht="14.1" customHeight="1" x14ac:dyDescent="0.3"/>
    <row r="40" spans="1:13" s="16" customFormat="1" ht="14.1" customHeight="1" x14ac:dyDescent="0.3"/>
    <row r="41" spans="1:13" s="16" customFormat="1" ht="14.1" customHeight="1" x14ac:dyDescent="0.3"/>
    <row r="42" spans="1:13" s="16" customFormat="1" ht="14.1" customHeight="1" x14ac:dyDescent="0.3"/>
    <row r="43" spans="1:13" s="16" customFormat="1" ht="14.1" customHeight="1" x14ac:dyDescent="0.3"/>
    <row r="44" spans="1:13" s="16" customFormat="1" ht="14.1" customHeight="1" x14ac:dyDescent="0.3"/>
    <row r="45" spans="1:13" s="16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16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16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6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>
      <c r="B53" s="72"/>
      <c r="C53" s="72"/>
      <c r="D53" s="72"/>
      <c r="E53" s="72"/>
      <c r="F53" s="72"/>
      <c r="G53" s="72"/>
    </row>
    <row r="54" spans="2:7" ht="14.1" customHeight="1" x14ac:dyDescent="0.3">
      <c r="B54" s="72"/>
      <c r="C54" s="72"/>
      <c r="D54" s="72"/>
      <c r="E54" s="72"/>
      <c r="F54" s="72"/>
      <c r="G54" s="72"/>
    </row>
    <row r="55" spans="2:7" ht="14.1" customHeight="1" x14ac:dyDescent="0.3">
      <c r="B55" s="72"/>
      <c r="C55" s="72"/>
      <c r="D55" s="72"/>
      <c r="E55" s="72"/>
      <c r="F55" s="72"/>
      <c r="G55" s="72"/>
    </row>
    <row r="56" spans="2:7" ht="14.1" customHeight="1" x14ac:dyDescent="0.3">
      <c r="B56" s="72"/>
      <c r="C56" s="72"/>
      <c r="D56" s="72"/>
      <c r="E56" s="72"/>
      <c r="F56" s="72"/>
      <c r="G56" s="72"/>
    </row>
    <row r="57" spans="2:7" ht="14.1" customHeight="1" x14ac:dyDescent="0.3"/>
    <row r="58" spans="2:7" ht="14.1" customHeight="1" x14ac:dyDescent="0.3"/>
    <row r="59" spans="2:7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TO04</vt:lpstr>
      <vt:lpstr>'TO04'!Print_Area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sc240610</dc:creator>
  <cp:lastModifiedBy>sc240610</cp:lastModifiedBy>
  <dcterms:created xsi:type="dcterms:W3CDTF">2026-05-28T06:27:34Z</dcterms:created>
  <dcterms:modified xsi:type="dcterms:W3CDTF">2026-05-28T06:27:49Z</dcterms:modified>
</cp:coreProperties>
</file>