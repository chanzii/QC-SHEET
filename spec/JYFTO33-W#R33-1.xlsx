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6\07월09일\"/>
    </mc:Choice>
  </mc:AlternateContent>
  <xr:revisionPtr revIDLastSave="0" documentId="13_ncr:1_{1F0C53BD-FDCC-4DA2-BF56-FCEEEEDBBF20}" xr6:coauthVersionLast="47" xr6:coauthVersionMax="47" xr10:uidLastSave="{00000000-0000-0000-0000-000000000000}"/>
  <bookViews>
    <workbookView xWindow="35130" yWindow="390" windowWidth="19635" windowHeight="14145" tabRatio="772" xr2:uid="{248B8E69-6C34-46C8-9649-87D2B01A7065}"/>
  </bookViews>
  <sheets>
    <sheet name="TO33" sheetId="2714" r:id="rId1"/>
  </sheets>
  <definedNames>
    <definedName name="_xlnm.Print_Area" localSheetId="0">'TO33'!$A$1:$N$26</definedName>
  </definedNames>
  <calcPr calcId="191029"/>
</workbook>
</file>

<file path=xl/calcChain.xml><?xml version="1.0" encoding="utf-8"?>
<calcChain xmlns="http://schemas.openxmlformats.org/spreadsheetml/2006/main">
  <c r="M3" i="2714" l="1"/>
  <c r="K3" i="2714"/>
  <c r="H3" i="2714"/>
  <c r="I3" i="2714"/>
  <c r="N15" i="2714" l="1"/>
  <c r="M15" i="2714"/>
  <c r="L15" i="2714"/>
  <c r="K15" i="2714"/>
  <c r="H15" i="2714"/>
  <c r="I15" i="2714"/>
  <c r="H13" i="2714"/>
  <c r="I13" i="2714"/>
  <c r="H7" i="2714"/>
  <c r="I7" i="2714"/>
  <c r="N7" i="2714"/>
  <c r="M7" i="2714"/>
  <c r="L7" i="2714"/>
  <c r="K7" i="2714"/>
  <c r="K5" i="2714"/>
  <c r="L5" i="2714" s="1"/>
  <c r="M5" i="2714" s="1"/>
  <c r="N5" i="2714" s="1"/>
  <c r="I5" i="2714"/>
  <c r="H5" i="2714" s="1"/>
  <c r="L3" i="2714"/>
  <c r="N3" i="2714" s="1"/>
  <c r="K13" i="2714"/>
  <c r="L13" i="2714" s="1"/>
  <c r="M13" i="2714" s="1"/>
  <c r="N13" i="2714" s="1"/>
  <c r="K11" i="2714"/>
  <c r="L11" i="2714" s="1"/>
  <c r="M11" i="2714" s="1"/>
  <c r="N11" i="2714" s="1"/>
  <c r="I11" i="2714"/>
  <c r="H11" i="2714" s="1"/>
  <c r="K9" i="2714"/>
  <c r="L9" i="2714" s="1"/>
  <c r="M9" i="2714" s="1"/>
  <c r="N9" i="2714" s="1"/>
  <c r="I9" i="2714"/>
  <c r="H9" i="2714" s="1"/>
</calcChain>
</file>

<file path=xl/sharedStrings.xml><?xml version="1.0" encoding="utf-8"?>
<sst xmlns="http://schemas.openxmlformats.org/spreadsheetml/2006/main" count="34" uniqueCount="34">
  <si>
    <t>STRIGHT (1/2)</t>
    <phoneticPr fontId="2" type="noConversion"/>
  </si>
  <si>
    <t>CHEST (1/2)</t>
    <phoneticPr fontId="2" type="noConversion"/>
  </si>
  <si>
    <t>가슴(상동)</t>
    <phoneticPr fontId="1" type="noConversion"/>
  </si>
  <si>
    <t>BOTTOM SWEEP (1/2)</t>
    <phoneticPr fontId="2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</si>
  <si>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</si>
  <si>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</si>
  <si>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</si>
  <si>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</si>
  <si>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</si>
  <si>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</si>
  <si>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</si>
  <si>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</si>
  <si>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</si>
  <si>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3XL</t>
    <phoneticPr fontId="1" type="noConversion"/>
  </si>
  <si>
    <t>2XL</t>
    <phoneticPr fontId="1" type="noConversion"/>
  </si>
  <si>
    <t>4XL</t>
    <phoneticPr fontId="1" type="noConversion"/>
  </si>
  <si>
    <t>FRONT LENGTH</t>
    <phoneticPr fontId="2" type="noConversion"/>
  </si>
  <si>
    <t>BACK LENGTH</t>
    <phoneticPr fontId="2" type="noConversion"/>
  </si>
  <si>
    <t xml:space="preserve"> </t>
    <phoneticPr fontId="11" type="noConversion"/>
  </si>
  <si>
    <t>START ARM HOLE JOINING POINT TO POINT(1/2)</t>
    <phoneticPr fontId="1" type="noConversion"/>
  </si>
  <si>
    <t>앞기장</t>
    <phoneticPr fontId="1" type="noConversion"/>
  </si>
  <si>
    <t>뒷기장</t>
    <phoneticPr fontId="1" type="noConversion"/>
  </si>
  <si>
    <t>뒤바대끝에서 밑단까지 길이</t>
    <phoneticPr fontId="1" type="noConversion"/>
  </si>
  <si>
    <t xml:space="preserve">SHOULDER STRAP </t>
    <phoneticPr fontId="2" type="noConversion"/>
  </si>
  <si>
    <t>어깨끈</t>
    <phoneticPr fontId="1" type="noConversion"/>
  </si>
  <si>
    <t>FRONT UPPER CHEST WIDTH</t>
    <phoneticPr fontId="2" type="noConversion"/>
  </si>
  <si>
    <t>앞바대폭</t>
    <phoneticPr fontId="1" type="noConversion"/>
  </si>
  <si>
    <t>상단측정</t>
    <phoneticPr fontId="1" type="noConversion"/>
  </si>
  <si>
    <t>밑단둘레(반품)</t>
    <phoneticPr fontId="11" type="noConversion"/>
  </si>
  <si>
    <t>STYLE NO: JYFTO33-W#R33</t>
    <phoneticPr fontId="1" type="noConversion"/>
  </si>
  <si>
    <t>앞바데중심에서 밑단제일긴쪽 까지 길이</t>
    <phoneticPr fontId="1" type="noConversion"/>
  </si>
  <si>
    <t>BACK UPPER CHEST 6G BAND</t>
    <phoneticPr fontId="2" type="noConversion"/>
  </si>
  <si>
    <t>뒤바대6골고무줄</t>
    <phoneticPr fontId="1" type="noConversion"/>
  </si>
  <si>
    <t>완성길이 ( 여유분 간격 5cm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</si>
</sst>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55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</cellXfs>
  <cellStyles count="3">
    <cellStyle name="표준" xfId="0" builtinId="0"/>
    <cellStyle name="표준 2" xfId="1" xr:uid="{295B05F4-427B-4D93-A848-6F90FFE8D4FF}"/>
    <cellStyle name="표준 2 2" xfId="2" xr:uid="{5CF24E8C-E018-477E-BB21-E1DFA9C0B6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060D-C7BC-4C2A-9256-B05414DCC4A4}">
  <sheetPr>
    <tabColor theme="8"/>
    <pageSetUpPr fitToPage="1"/>
  </sheetPr>
  <dimension ref="A1:O51"/>
  <sheetViews>
    <sheetView tabSelected="1" zoomScale="110" zoomScaleNormal="110" workbookViewId="0">
      <selection activeCell="Q17" sqref="Q16:Q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5" ht="16.5" customHeight="1" thickBot="1" x14ac:dyDescent="0.35">
      <c r="A1" s="51" t="s">
        <v>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5" ht="16.5" customHeight="1" thickBot="1" x14ac:dyDescent="0.35">
      <c r="A2" s="2" t="s">
        <v>6</v>
      </c>
      <c r="B2" s="29" t="s">
        <v>7</v>
      </c>
      <c r="C2" s="29"/>
      <c r="D2" s="29" t="s">
        <v>8</v>
      </c>
      <c r="E2" s="29"/>
      <c r="F2" s="29"/>
      <c r="G2" s="29"/>
      <c r="H2" s="4" t="s">
        <v>9</v>
      </c>
      <c r="I2" s="4" t="s">
        <v>10</v>
      </c>
      <c r="J2" s="3" t="s">
        <v>11</v>
      </c>
      <c r="K2" s="4" t="s">
        <v>12</v>
      </c>
      <c r="L2" s="4" t="s">
        <v>14</v>
      </c>
      <c r="M2" s="4" t="s">
        <v>13</v>
      </c>
      <c r="N2" s="4" t="s">
        <v>15</v>
      </c>
    </row>
    <row r="3" spans="1:15" s="1" customFormat="1" ht="14.1" customHeight="1" x14ac:dyDescent="0.3">
      <c r="A3" s="46">
        <v>1</v>
      </c>
      <c r="B3" s="31" t="s">
        <v>16</v>
      </c>
      <c r="C3" s="32"/>
      <c r="D3" s="33"/>
      <c r="E3" s="34"/>
      <c r="F3" s="34"/>
      <c r="G3" s="35"/>
      <c r="H3" s="36">
        <f>SUM(I3)-1.5</f>
        <v>17</v>
      </c>
      <c r="I3" s="36">
        <f>SUM(J3)-1.6</f>
        <v>18.5</v>
      </c>
      <c r="J3" s="37">
        <v>20.100000000000001</v>
      </c>
      <c r="K3" s="36">
        <f>SUM(J3)+1.6</f>
        <v>21.700000000000003</v>
      </c>
      <c r="L3" s="36">
        <f>SUM(K3)+1.5</f>
        <v>23.200000000000003</v>
      </c>
      <c r="M3" s="36">
        <f>SUM(L3)+1.6</f>
        <v>24.800000000000004</v>
      </c>
      <c r="N3" s="50">
        <f>SUM(M3)+1.5</f>
        <v>26.300000000000004</v>
      </c>
    </row>
    <row r="4" spans="1:15" s="1" customFormat="1" ht="14.1" customHeight="1" x14ac:dyDescent="0.3">
      <c r="A4" s="8"/>
      <c r="B4" s="19" t="s">
        <v>20</v>
      </c>
      <c r="C4" s="19"/>
      <c r="D4" s="5" t="s">
        <v>30</v>
      </c>
      <c r="E4" s="6"/>
      <c r="F4" s="6"/>
      <c r="G4" s="6"/>
      <c r="H4" s="26"/>
      <c r="I4" s="26"/>
      <c r="J4" s="28"/>
      <c r="K4" s="26"/>
      <c r="L4" s="26"/>
      <c r="M4" s="26"/>
      <c r="N4" s="49"/>
    </row>
    <row r="5" spans="1:15" s="1" customFormat="1" ht="14.1" customHeight="1" x14ac:dyDescent="0.3">
      <c r="A5" s="30">
        <v>2</v>
      </c>
      <c r="B5" s="14" t="s">
        <v>17</v>
      </c>
      <c r="C5" s="15"/>
      <c r="D5" s="16"/>
      <c r="E5" s="17"/>
      <c r="F5" s="17"/>
      <c r="G5" s="18"/>
      <c r="H5" s="12">
        <f>SUM(I5)-1.2</f>
        <v>12.100000000000001</v>
      </c>
      <c r="I5" s="12">
        <f>SUM(J5)-1.2</f>
        <v>13.3</v>
      </c>
      <c r="J5" s="38">
        <v>14.5</v>
      </c>
      <c r="K5" s="12">
        <f>SUM(J5)+1.2</f>
        <v>15.7</v>
      </c>
      <c r="L5" s="12">
        <f>SUM(K5)+1.2</f>
        <v>16.899999999999999</v>
      </c>
      <c r="M5" s="12">
        <f>SUM(L5)+1.2</f>
        <v>18.099999999999998</v>
      </c>
      <c r="N5" s="54">
        <f>SUM(M5)+1.2</f>
        <v>19.299999999999997</v>
      </c>
    </row>
    <row r="6" spans="1:15" s="1" customFormat="1" ht="14.1" customHeight="1" x14ac:dyDescent="0.3">
      <c r="A6" s="8"/>
      <c r="B6" s="19" t="s">
        <v>21</v>
      </c>
      <c r="C6" s="19"/>
      <c r="D6" s="5" t="s">
        <v>22</v>
      </c>
      <c r="E6" s="6"/>
      <c r="F6" s="6"/>
      <c r="G6" s="6"/>
      <c r="H6" s="26"/>
      <c r="I6" s="26"/>
      <c r="J6" s="28"/>
      <c r="K6" s="26"/>
      <c r="L6" s="26"/>
      <c r="M6" s="26"/>
      <c r="N6" s="49"/>
    </row>
    <row r="7" spans="1:15" s="1" customFormat="1" ht="14.1" customHeight="1" x14ac:dyDescent="0.3">
      <c r="A7" s="30">
        <v>3</v>
      </c>
      <c r="B7" s="27" t="s">
        <v>23</v>
      </c>
      <c r="C7" s="27"/>
      <c r="D7" s="25"/>
      <c r="E7" s="25"/>
      <c r="F7" s="25"/>
      <c r="G7" s="25"/>
      <c r="H7" s="11">
        <f>SUM(I7)-1.7</f>
        <v>21.6</v>
      </c>
      <c r="I7" s="11">
        <f>SUM(J7)-1.7</f>
        <v>23.3</v>
      </c>
      <c r="J7" s="13">
        <v>25</v>
      </c>
      <c r="K7" s="11">
        <f>SUM(J7)+1.7</f>
        <v>26.7</v>
      </c>
      <c r="L7" s="11">
        <f>SUM(K7)+1.7</f>
        <v>28.4</v>
      </c>
      <c r="M7" s="11">
        <f>SUM(L7)+1.7</f>
        <v>30.099999999999998</v>
      </c>
      <c r="N7" s="47">
        <f>SUM(M7)+1.7</f>
        <v>31.799999999999997</v>
      </c>
    </row>
    <row r="8" spans="1:15" s="1" customFormat="1" ht="14.1" customHeight="1" x14ac:dyDescent="0.3">
      <c r="A8" s="8"/>
      <c r="B8" s="19" t="s">
        <v>24</v>
      </c>
      <c r="C8" s="19"/>
      <c r="D8" s="5" t="s">
        <v>33</v>
      </c>
      <c r="E8" s="6"/>
      <c r="F8" s="6"/>
      <c r="G8" s="7"/>
      <c r="H8" s="26"/>
      <c r="I8" s="26"/>
      <c r="J8" s="28"/>
      <c r="K8" s="26"/>
      <c r="L8" s="26"/>
      <c r="M8" s="26"/>
      <c r="N8" s="49"/>
    </row>
    <row r="9" spans="1:15" s="1" customFormat="1" ht="14.1" customHeight="1" x14ac:dyDescent="0.3">
      <c r="A9" s="30">
        <v>4</v>
      </c>
      <c r="B9" s="27" t="s">
        <v>25</v>
      </c>
      <c r="C9" s="27"/>
      <c r="D9" s="25"/>
      <c r="E9" s="25"/>
      <c r="F9" s="25"/>
      <c r="G9" s="25"/>
      <c r="H9" s="11">
        <f>SUM(I9)-1</f>
        <v>14</v>
      </c>
      <c r="I9" s="11">
        <f>SUM(J9)-1</f>
        <v>15</v>
      </c>
      <c r="J9" s="13">
        <v>16</v>
      </c>
      <c r="K9" s="11">
        <f>SUM(J9)+1</f>
        <v>17</v>
      </c>
      <c r="L9" s="11">
        <f>SUM(K9)+1</f>
        <v>18</v>
      </c>
      <c r="M9" s="11">
        <f>SUM(L9)+1</f>
        <v>19</v>
      </c>
      <c r="N9" s="47">
        <f>SUM(M9)+1</f>
        <v>20</v>
      </c>
      <c r="O9" s="1" t="s">
        <v>18</v>
      </c>
    </row>
    <row r="10" spans="1:15" s="1" customFormat="1" ht="14.1" customHeight="1" x14ac:dyDescent="0.3">
      <c r="A10" s="8"/>
      <c r="B10" s="19" t="s">
        <v>26</v>
      </c>
      <c r="C10" s="19"/>
      <c r="D10" s="5" t="s">
        <v>27</v>
      </c>
      <c r="E10" s="6"/>
      <c r="F10" s="6"/>
      <c r="G10" s="7"/>
      <c r="H10" s="26"/>
      <c r="I10" s="26"/>
      <c r="J10" s="28"/>
      <c r="K10" s="26"/>
      <c r="L10" s="26"/>
      <c r="M10" s="26"/>
      <c r="N10" s="49"/>
    </row>
    <row r="11" spans="1:15" s="1" customFormat="1" ht="14.1" customHeight="1" x14ac:dyDescent="0.3">
      <c r="A11" s="30">
        <v>5</v>
      </c>
      <c r="B11" s="27" t="s">
        <v>31</v>
      </c>
      <c r="C11" s="27"/>
      <c r="D11" s="25"/>
      <c r="E11" s="25"/>
      <c r="F11" s="25"/>
      <c r="G11" s="25"/>
      <c r="H11" s="11">
        <f>SUM(I11)-0.8</f>
        <v>13.399999999999999</v>
      </c>
      <c r="I11" s="11">
        <f>SUM(J11)-0.8</f>
        <v>14.2</v>
      </c>
      <c r="J11" s="13">
        <v>15</v>
      </c>
      <c r="K11" s="11">
        <f>SUM(J11)+0.8</f>
        <v>15.8</v>
      </c>
      <c r="L11" s="11">
        <f>SUM(K11)+0.8</f>
        <v>16.600000000000001</v>
      </c>
      <c r="M11" s="11">
        <f>SUM(L11)+0.8</f>
        <v>17.400000000000002</v>
      </c>
      <c r="N11" s="47">
        <f>SUM(M11)+0.8</f>
        <v>18.200000000000003</v>
      </c>
    </row>
    <row r="12" spans="1:15" s="1" customFormat="1" ht="14.1" customHeight="1" x14ac:dyDescent="0.3">
      <c r="A12" s="8"/>
      <c r="B12" s="19" t="s">
        <v>32</v>
      </c>
      <c r="C12" s="19"/>
      <c r="D12" s="5"/>
      <c r="E12" s="6"/>
      <c r="F12" s="6"/>
      <c r="G12" s="7"/>
      <c r="H12" s="26"/>
      <c r="I12" s="26"/>
      <c r="J12" s="28"/>
      <c r="K12" s="26"/>
      <c r="L12" s="26"/>
      <c r="M12" s="26"/>
      <c r="N12" s="49"/>
    </row>
    <row r="13" spans="1:15" s="1" customFormat="1" ht="14.1" customHeight="1" x14ac:dyDescent="0.3">
      <c r="A13" s="30">
        <v>6</v>
      </c>
      <c r="B13" s="27" t="s">
        <v>1</v>
      </c>
      <c r="C13" s="27"/>
      <c r="D13" s="25" t="s">
        <v>19</v>
      </c>
      <c r="E13" s="25"/>
      <c r="F13" s="25"/>
      <c r="G13" s="25"/>
      <c r="H13" s="11">
        <f>SUM(I13)-2.25</f>
        <v>29.5</v>
      </c>
      <c r="I13" s="11">
        <f>SUM(J13)-2.25</f>
        <v>31.75</v>
      </c>
      <c r="J13" s="13">
        <v>34</v>
      </c>
      <c r="K13" s="11">
        <f>SUM(J13)+2</f>
        <v>36</v>
      </c>
      <c r="L13" s="11">
        <f>SUM(K13)+2</f>
        <v>38</v>
      </c>
      <c r="M13" s="11">
        <f>SUM(L13)+2</f>
        <v>40</v>
      </c>
      <c r="N13" s="47">
        <f>SUM(M13)+2</f>
        <v>42</v>
      </c>
    </row>
    <row r="14" spans="1:15" s="1" customFormat="1" ht="14.1" customHeight="1" x14ac:dyDescent="0.3">
      <c r="A14" s="8"/>
      <c r="B14" s="19" t="s">
        <v>2</v>
      </c>
      <c r="C14" s="19"/>
      <c r="D14" s="5" t="s">
        <v>4</v>
      </c>
      <c r="E14" s="6"/>
      <c r="F14" s="6"/>
      <c r="G14" s="7"/>
      <c r="H14" s="26"/>
      <c r="I14" s="26"/>
      <c r="J14" s="28"/>
      <c r="K14" s="26"/>
      <c r="L14" s="26"/>
      <c r="M14" s="26"/>
      <c r="N14" s="49"/>
    </row>
    <row r="15" spans="1:15" s="1" customFormat="1" ht="14.1" customHeight="1" x14ac:dyDescent="0.3">
      <c r="A15" s="30">
        <v>7</v>
      </c>
      <c r="B15" s="27" t="s">
        <v>3</v>
      </c>
      <c r="C15" s="27"/>
      <c r="D15" s="25" t="s">
        <v>0</v>
      </c>
      <c r="E15" s="25"/>
      <c r="F15" s="25"/>
      <c r="G15" s="25"/>
      <c r="H15" s="27">
        <f>SUM(I15)-2.1</f>
        <v>27.799999999999997</v>
      </c>
      <c r="I15" s="11">
        <f>SUM(J15)-2.1</f>
        <v>29.9</v>
      </c>
      <c r="J15" s="38">
        <v>32</v>
      </c>
      <c r="K15" s="12">
        <f>SUM(J15)+1.9</f>
        <v>33.9</v>
      </c>
      <c r="L15" s="12">
        <f>SUM(K15)+1.9</f>
        <v>35.799999999999997</v>
      </c>
      <c r="M15" s="12">
        <f>SUM(L15)+1.9</f>
        <v>37.699999999999996</v>
      </c>
      <c r="N15" s="54">
        <f>SUM(M15)+1.9</f>
        <v>39.599999999999994</v>
      </c>
    </row>
    <row r="16" spans="1:15" s="1" customFormat="1" ht="14.1" customHeight="1" x14ac:dyDescent="0.3">
      <c r="A16" s="8"/>
      <c r="B16" s="19" t="s">
        <v>28</v>
      </c>
      <c r="C16" s="19"/>
      <c r="D16" s="5" t="s">
        <v>5</v>
      </c>
      <c r="E16" s="6"/>
      <c r="F16" s="6"/>
      <c r="G16" s="7"/>
      <c r="H16" s="19"/>
      <c r="I16" s="26"/>
      <c r="J16" s="28"/>
      <c r="K16" s="26"/>
      <c r="L16" s="26"/>
      <c r="M16" s="26"/>
      <c r="N16" s="49"/>
    </row>
    <row r="17" spans="1:14" s="1" customFormat="1" ht="14.1" customHeight="1" x14ac:dyDescent="0.3">
      <c r="A17" s="30">
        <v>8</v>
      </c>
      <c r="B17" s="27"/>
      <c r="C17" s="27"/>
      <c r="D17" s="25"/>
      <c r="E17" s="25"/>
      <c r="F17" s="25"/>
      <c r="G17" s="25"/>
      <c r="H17" s="27"/>
      <c r="I17" s="11"/>
      <c r="J17" s="38"/>
      <c r="K17" s="12"/>
      <c r="L17" s="12"/>
      <c r="M17" s="12"/>
      <c r="N17" s="54"/>
    </row>
    <row r="18" spans="1:14" s="1" customFormat="1" ht="14.1" customHeight="1" x14ac:dyDescent="0.3">
      <c r="A18" s="8"/>
      <c r="B18" s="19"/>
      <c r="C18" s="19"/>
      <c r="D18" s="5"/>
      <c r="E18" s="6"/>
      <c r="F18" s="6"/>
      <c r="G18" s="7"/>
      <c r="H18" s="19"/>
      <c r="I18" s="26"/>
      <c r="J18" s="28"/>
      <c r="K18" s="26"/>
      <c r="L18" s="26"/>
      <c r="M18" s="26"/>
      <c r="N18" s="49"/>
    </row>
    <row r="19" spans="1:14" s="1" customFormat="1" ht="14.1" customHeight="1" x14ac:dyDescent="0.3">
      <c r="A19" s="30">
        <v>9</v>
      </c>
      <c r="B19" s="27"/>
      <c r="C19" s="27"/>
      <c r="D19" s="25"/>
      <c r="E19" s="25"/>
      <c r="F19" s="25"/>
      <c r="G19" s="25"/>
      <c r="H19" s="27"/>
      <c r="I19" s="11"/>
      <c r="J19" s="38"/>
      <c r="K19" s="12"/>
      <c r="L19" s="12"/>
      <c r="M19" s="12"/>
      <c r="N19" s="54"/>
    </row>
    <row r="20" spans="1:14" s="1" customFormat="1" ht="14.1" customHeight="1" x14ac:dyDescent="0.3">
      <c r="A20" s="8"/>
      <c r="B20" s="19"/>
      <c r="C20" s="19"/>
      <c r="D20" s="5"/>
      <c r="E20" s="6"/>
      <c r="F20" s="6"/>
      <c r="G20" s="7"/>
      <c r="H20" s="19"/>
      <c r="I20" s="26"/>
      <c r="J20" s="28"/>
      <c r="K20" s="26"/>
      <c r="L20" s="26"/>
      <c r="M20" s="26"/>
      <c r="N20" s="49"/>
    </row>
    <row r="21" spans="1:14" s="1" customFormat="1" ht="14.1" customHeight="1" x14ac:dyDescent="0.3">
      <c r="A21" s="30">
        <v>10</v>
      </c>
      <c r="B21" s="27"/>
      <c r="C21" s="27"/>
      <c r="D21" s="25"/>
      <c r="E21" s="25"/>
      <c r="F21" s="25"/>
      <c r="G21" s="25"/>
      <c r="H21" s="11"/>
      <c r="I21" s="11"/>
      <c r="J21" s="13"/>
      <c r="K21" s="11"/>
      <c r="L21" s="11"/>
      <c r="M21" s="11"/>
      <c r="N21" s="47"/>
    </row>
    <row r="22" spans="1:14" s="1" customFormat="1" ht="14.1" customHeight="1" x14ac:dyDescent="0.3">
      <c r="A22" s="8"/>
      <c r="B22" s="19"/>
      <c r="C22" s="19"/>
      <c r="D22" s="5"/>
      <c r="E22" s="6"/>
      <c r="F22" s="6"/>
      <c r="G22" s="7"/>
      <c r="H22" s="26"/>
      <c r="I22" s="26"/>
      <c r="J22" s="28"/>
      <c r="K22" s="26"/>
      <c r="L22" s="26"/>
      <c r="M22" s="26"/>
      <c r="N22" s="49"/>
    </row>
    <row r="23" spans="1:14" s="1" customFormat="1" ht="14.1" customHeight="1" x14ac:dyDescent="0.3">
      <c r="A23" s="30">
        <v>11</v>
      </c>
      <c r="B23" s="9"/>
      <c r="C23" s="10"/>
      <c r="D23" s="22"/>
      <c r="E23" s="20"/>
      <c r="F23" s="20"/>
      <c r="G23" s="23"/>
      <c r="H23" s="11"/>
      <c r="I23" s="11"/>
      <c r="J23" s="13"/>
      <c r="K23" s="11"/>
      <c r="L23" s="11"/>
      <c r="M23" s="11"/>
      <c r="N23" s="47"/>
    </row>
    <row r="24" spans="1:14" s="1" customFormat="1" ht="14.1" customHeight="1" x14ac:dyDescent="0.3">
      <c r="A24" s="8"/>
      <c r="B24" s="19"/>
      <c r="C24" s="19"/>
      <c r="D24" s="5"/>
      <c r="E24" s="6"/>
      <c r="F24" s="6"/>
      <c r="G24" s="7"/>
      <c r="H24" s="26"/>
      <c r="I24" s="26"/>
      <c r="J24" s="28"/>
      <c r="K24" s="26"/>
      <c r="L24" s="26"/>
      <c r="M24" s="26"/>
      <c r="N24" s="49"/>
    </row>
    <row r="25" spans="1:14" s="1" customFormat="1" ht="14.1" customHeight="1" x14ac:dyDescent="0.3">
      <c r="A25" s="30">
        <v>12</v>
      </c>
      <c r="B25" s="9"/>
      <c r="C25" s="10"/>
      <c r="D25" s="40"/>
      <c r="E25" s="41"/>
      <c r="F25" s="41"/>
      <c r="G25" s="42"/>
      <c r="H25" s="11"/>
      <c r="I25" s="11"/>
      <c r="J25" s="13"/>
      <c r="K25" s="11"/>
      <c r="L25" s="11"/>
      <c r="M25" s="11"/>
      <c r="N25" s="47"/>
    </row>
    <row r="26" spans="1:14" s="1" customFormat="1" ht="14.1" customHeight="1" thickBot="1" x14ac:dyDescent="0.35">
      <c r="A26" s="21"/>
      <c r="B26" s="24"/>
      <c r="C26" s="24"/>
      <c r="D26" s="43"/>
      <c r="E26" s="44"/>
      <c r="F26" s="44"/>
      <c r="G26" s="45"/>
      <c r="H26" s="24"/>
      <c r="I26" s="24"/>
      <c r="J26" s="39"/>
      <c r="K26" s="24"/>
      <c r="L26" s="24"/>
      <c r="M26" s="24"/>
      <c r="N26" s="48"/>
    </row>
    <row r="27" spans="1:14" s="1" customFormat="1" ht="14.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4" s="1" customFormat="1" ht="14.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4" s="1" customFormat="1" ht="14.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4" s="1" customFormat="1" ht="14.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4" ht="14.1" customHeight="1" x14ac:dyDescent="0.3"/>
    <row r="32" spans="1:14" ht="14.1" customHeight="1" x14ac:dyDescent="0.3"/>
    <row r="33" ht="14.1" customHeight="1" x14ac:dyDescent="0.3"/>
    <row r="34" ht="14.1" customHeight="1" x14ac:dyDescent="0.3"/>
    <row r="35" ht="14.1" customHeight="1" x14ac:dyDescent="0.3"/>
    <row r="36" ht="14.1" customHeight="1" x14ac:dyDescent="0.3"/>
    <row r="37" ht="14.1" customHeight="1" x14ac:dyDescent="0.3"/>
    <row r="38" ht="14.1" customHeight="1" x14ac:dyDescent="0.3"/>
    <row r="39" ht="14.1" customHeight="1" x14ac:dyDescent="0.3"/>
    <row r="40" ht="14.1" customHeight="1" x14ac:dyDescent="0.3"/>
    <row r="41" ht="14.1" customHeight="1" x14ac:dyDescent="0.3"/>
    <row r="42" ht="14.1" customHeight="1" x14ac:dyDescent="0.3"/>
    <row r="43" ht="14.1" customHeight="1" x14ac:dyDescent="0.3"/>
    <row r="44" ht="14.1" customHeight="1" x14ac:dyDescent="0.3"/>
    <row r="45" ht="14.1" customHeight="1" x14ac:dyDescent="0.3"/>
    <row r="46" ht="14.1" customHeight="1" x14ac:dyDescent="0.3"/>
    <row r="47" ht="14.1" customHeight="1" x14ac:dyDescent="0.3"/>
    <row r="48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7">
    <mergeCell ref="N23:N24"/>
    <mergeCell ref="N25:N26"/>
    <mergeCell ref="N11:N12"/>
    <mergeCell ref="N13:N14"/>
    <mergeCell ref="N15:N16"/>
    <mergeCell ref="N17:N18"/>
    <mergeCell ref="N19:N20"/>
    <mergeCell ref="N21:N22"/>
    <mergeCell ref="K25:K26"/>
    <mergeCell ref="L25:L26"/>
    <mergeCell ref="M25:M26"/>
    <mergeCell ref="B26:C26"/>
    <mergeCell ref="D26:G26"/>
    <mergeCell ref="A1:N1"/>
    <mergeCell ref="N3:N4"/>
    <mergeCell ref="N5:N6"/>
    <mergeCell ref="N7:N8"/>
    <mergeCell ref="N9:N10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B6:C6"/>
    <mergeCell ref="D6:G6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1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TO33</vt:lpstr>
      <vt:lpstr>'TO33'!Print_Area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2026-07-09T05:02:32Z</cp:lastPrinted>
  <dcterms:created xsi:type="dcterms:W3CDTF">2018-05-14T06:17:18Z</dcterms:created>
  <dcterms:modified xsi:type="dcterms:W3CDTF">2026-07-09T05:04:04Z</dcterms:modified>
</cp:coreProperties>
</file>