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중국풀패턴\작지싸이즈스펙\2027\"/>
    </mc:Choice>
  </mc:AlternateContent>
  <xr:revisionPtr revIDLastSave="0" documentId="13_ncr:1_{44FE2180-EAFA-4DBD-97A1-26D536AFA3F6}" xr6:coauthVersionLast="47" xr6:coauthVersionMax="47" xr10:uidLastSave="{00000000-0000-0000-0000-000000000000}"/>
  <bookViews>
    <workbookView xWindow="28680" yWindow="-120" windowWidth="29040" windowHeight="15720" tabRatio="776" firstSheet="3" activeTab="4" xr2:uid="{3359282B-7569-4BC7-A037-9A98D8DF6EA5}"/>
  </bookViews>
  <sheets>
    <sheet name="OU01" sheetId="1010" r:id="rId1"/>
    <sheet name="OU02" sheetId="1021" r:id="rId2"/>
    <sheet name="OU03" sheetId="1029" r:id="rId3"/>
    <sheet name="OU04(니트)" sheetId="1026" r:id="rId4"/>
    <sheet name="OU05(니트)" sheetId="1027" r:id="rId5"/>
    <sheet name="TO01" sheetId="1023" r:id="rId6"/>
    <sheet name="TO02" sheetId="1009" r:id="rId7"/>
    <sheet name="TO03" sheetId="1008" r:id="rId8"/>
    <sheet name="TO04" sheetId="1037" r:id="rId9"/>
    <sheet name="TO05" sheetId="1038" r:id="rId10"/>
    <sheet name="TO06" sheetId="1039" r:id="rId11"/>
    <sheet name="TO07" sheetId="1014" r:id="rId12"/>
    <sheet name="TO08" sheetId="1040" r:id="rId13"/>
    <sheet name="TO09" sheetId="1041" r:id="rId14"/>
    <sheet name="TO10" sheetId="1018" r:id="rId15"/>
    <sheet name="TO11" sheetId="1028" r:id="rId16"/>
    <sheet name="TO12" sheetId="1034" r:id="rId17"/>
    <sheet name="TO13" sheetId="1030" r:id="rId18"/>
    <sheet name="TO14" sheetId="1042" r:id="rId19"/>
    <sheet name="TO15" sheetId="1031" r:id="rId20"/>
    <sheet name="PT01" sheetId="1020" r:id="rId21"/>
    <sheet name="PT02(완사입)" sheetId="1011" r:id="rId22"/>
    <sheet name="PT03" sheetId="1033" r:id="rId23"/>
    <sheet name="PT04(완사입) " sheetId="1013" r:id="rId24"/>
    <sheet name="PT05(완사입)" sheetId="1012" r:id="rId25"/>
    <sheet name="PT06(완사입)" sheetId="1032" r:id="rId26"/>
    <sheet name="PT07" sheetId="1036" r:id="rId27"/>
    <sheet name="PT08" sheetId="1016" r:id="rId28"/>
  </sheets>
  <definedNames>
    <definedName name="_xlnm.Print_Area" localSheetId="0">'OU01'!$A$1:$M$40</definedName>
    <definedName name="_xlnm.Print_Area" localSheetId="1">'OU02'!$A$1:$M$40</definedName>
    <definedName name="_xlnm.Print_Area" localSheetId="2">'OU03'!$A$1:$M$36</definedName>
    <definedName name="_xlnm.Print_Area" localSheetId="3">'OU04(니트)'!$A$1:$M$36</definedName>
    <definedName name="_xlnm.Print_Area" localSheetId="4">'OU05(니트)'!$A$1:$M$40</definedName>
    <definedName name="_xlnm.Print_Area" localSheetId="20">'PT01'!$A$1:$M$48</definedName>
    <definedName name="_xlnm.Print_Area" localSheetId="21">'PT02(완사입)'!$A$1:$M$44</definedName>
    <definedName name="_xlnm.Print_Area" localSheetId="22">'PT03'!$A$1:$M$44</definedName>
    <definedName name="_xlnm.Print_Area" localSheetId="23">'PT04(완사입) '!$A$1:$M$44</definedName>
    <definedName name="_xlnm.Print_Area" localSheetId="24">'PT05(완사입)'!$A$1:$M$44</definedName>
    <definedName name="_xlnm.Print_Area" localSheetId="25">'PT06(완사입)'!$A$1:$M$44</definedName>
    <definedName name="_xlnm.Print_Area" localSheetId="26">'PT07'!$A$1:$M$50</definedName>
    <definedName name="_xlnm.Print_Area" localSheetId="27">'PT08'!$A$1:$M$48</definedName>
    <definedName name="_xlnm.Print_Area" localSheetId="5">'TO01'!$A$1:$M$38</definedName>
    <definedName name="_xlnm.Print_Area" localSheetId="6">'TO02'!$A$1:$M$30</definedName>
    <definedName name="_xlnm.Print_Area" localSheetId="7">'TO03'!$A$1:$M$36</definedName>
    <definedName name="_xlnm.Print_Area" localSheetId="8">'TO04'!$A$1:$M$36</definedName>
    <definedName name="_xlnm.Print_Area" localSheetId="9">'TO05'!$A$1:$M$36</definedName>
    <definedName name="_xlnm.Print_Area" localSheetId="10">'TO06'!$A$1:$M$36</definedName>
    <definedName name="_xlnm.Print_Area" localSheetId="11">'TO07'!$A$1:$M$36</definedName>
    <definedName name="_xlnm.Print_Area" localSheetId="12">'TO08'!$A$1:$M$36</definedName>
    <definedName name="_xlnm.Print_Area" localSheetId="13">'TO09'!$A$1:$M$38</definedName>
    <definedName name="_xlnm.Print_Area" localSheetId="14">'TO10'!$A$1:$M$36</definedName>
    <definedName name="_xlnm.Print_Area" localSheetId="15">'TO11'!$A$1:$M$42</definedName>
    <definedName name="_xlnm.Print_Area" localSheetId="16">'TO12'!$A$1:$M$32</definedName>
    <definedName name="_xlnm.Print_Area" localSheetId="17">'TO13'!$A$1:$M$30</definedName>
    <definedName name="_xlnm.Print_Area" localSheetId="18">'TO14'!$A$1:$M$38</definedName>
    <definedName name="_xlnm.Print_Area" localSheetId="19">'TO15'!$A$1:$M$36</definedName>
  </definedNames>
  <calcPr calcId="191029"/>
</workbook>
</file>

<file path=xl/calcChain.xml><?xml version="1.0" encoding="utf-8"?>
<calcChain xmlns="http://schemas.openxmlformats.org/spreadsheetml/2006/main">
  <c r="H29" i="1027" l="1"/>
  <c r="H27" i="1027"/>
  <c r="H25" i="1027"/>
  <c r="H21" i="1027"/>
  <c r="H19" i="1027"/>
  <c r="H17" i="1027"/>
  <c r="H15" i="1027"/>
  <c r="H11" i="1027"/>
  <c r="H9" i="1027"/>
  <c r="H7" i="1027"/>
  <c r="H5" i="1027"/>
  <c r="H3" i="1027"/>
  <c r="H25" i="1026"/>
  <c r="H23" i="1026"/>
  <c r="H21" i="1026"/>
  <c r="H19" i="1026"/>
  <c r="H17" i="1026"/>
  <c r="H15" i="1026"/>
  <c r="H13" i="1026"/>
  <c r="H9" i="1026"/>
  <c r="H7" i="1026"/>
  <c r="H5" i="1026"/>
  <c r="H3" i="1026"/>
  <c r="J19" i="1042"/>
  <c r="H19" i="1042"/>
  <c r="J27" i="1042"/>
  <c r="H27" i="1042"/>
  <c r="J35" i="1042"/>
  <c r="H35" i="1042"/>
  <c r="J33" i="1042"/>
  <c r="H33" i="1042"/>
  <c r="J15" i="1042"/>
  <c r="H15" i="1042"/>
  <c r="J17" i="1042"/>
  <c r="H17" i="1042"/>
  <c r="H49" i="1036"/>
  <c r="H47" i="1036"/>
  <c r="H43" i="1036"/>
  <c r="H41" i="1036"/>
  <c r="H39" i="1036"/>
  <c r="H37" i="1036"/>
  <c r="H35" i="1036"/>
  <c r="H33" i="1036"/>
  <c r="H31" i="1036"/>
  <c r="H29" i="1036"/>
  <c r="H27" i="1036" l="1"/>
  <c r="H25" i="1036"/>
  <c r="H23" i="1036"/>
  <c r="H21" i="1036"/>
  <c r="H15" i="1036"/>
  <c r="H13" i="1036"/>
  <c r="H11" i="1036"/>
  <c r="H3" i="1036"/>
  <c r="H47" i="1016"/>
  <c r="H45" i="1016"/>
  <c r="H43" i="1016"/>
  <c r="H41" i="1016"/>
  <c r="H39" i="1016"/>
  <c r="H37" i="1016"/>
  <c r="H31" i="1016"/>
  <c r="H29" i="1016"/>
  <c r="H27" i="1016"/>
  <c r="H25" i="1016"/>
  <c r="H23" i="1016"/>
  <c r="H21" i="1016"/>
  <c r="H15" i="1016"/>
  <c r="H13" i="1016"/>
  <c r="H11" i="1016"/>
  <c r="H3" i="1016"/>
  <c r="H43" i="1032"/>
  <c r="H41" i="1032"/>
  <c r="H39" i="1032"/>
  <c r="H37" i="1032"/>
  <c r="H27" i="1032"/>
  <c r="H25" i="1032"/>
  <c r="H23" i="1032"/>
  <c r="H21" i="1032"/>
  <c r="H17" i="1032"/>
  <c r="H15" i="1032"/>
  <c r="H13" i="1032"/>
  <c r="H11" i="1032"/>
  <c r="H9" i="1032"/>
  <c r="H7" i="1032"/>
  <c r="H5" i="1032"/>
  <c r="H3" i="1032"/>
  <c r="H43" i="1012"/>
  <c r="H41" i="1012"/>
  <c r="H39" i="1012"/>
  <c r="H37" i="1012"/>
  <c r="H27" i="1012"/>
  <c r="H25" i="1012"/>
  <c r="H23" i="1012"/>
  <c r="H21" i="1012"/>
  <c r="J17" i="1012"/>
  <c r="H17" i="1012"/>
  <c r="H15" i="1012"/>
  <c r="H13" i="1012"/>
  <c r="H11" i="1012"/>
  <c r="H9" i="1012"/>
  <c r="H7" i="1012"/>
  <c r="H5" i="1012"/>
  <c r="H3" i="1012"/>
  <c r="H43" i="1011"/>
  <c r="H41" i="1011"/>
  <c r="H39" i="1011"/>
  <c r="H37" i="1011"/>
  <c r="H27" i="1011"/>
  <c r="H25" i="1011"/>
  <c r="H23" i="1011"/>
  <c r="H21" i="1011"/>
  <c r="J17" i="1011"/>
  <c r="H17" i="1011"/>
  <c r="H15" i="1011"/>
  <c r="H13" i="1011"/>
  <c r="H11" i="1011"/>
  <c r="H9" i="1011"/>
  <c r="H7" i="1011"/>
  <c r="H5" i="1011"/>
  <c r="H3" i="1011"/>
  <c r="J29" i="1014"/>
  <c r="H29" i="1014"/>
  <c r="H27" i="1014"/>
  <c r="H25" i="1014"/>
  <c r="H23" i="1014"/>
  <c r="H21" i="1014"/>
  <c r="H19" i="1014"/>
  <c r="H17" i="1014"/>
  <c r="H15" i="1014"/>
  <c r="H13" i="1014"/>
  <c r="H11" i="1014"/>
  <c r="H9" i="1014"/>
  <c r="H7" i="1014"/>
  <c r="H5" i="1014"/>
  <c r="H3" i="1014"/>
  <c r="J17" i="1030"/>
  <c r="H17" i="1030"/>
  <c r="H15" i="1030"/>
  <c r="H13" i="1030"/>
  <c r="H11" i="1030"/>
  <c r="H9" i="1030"/>
  <c r="H7" i="1030"/>
  <c r="H5" i="1030"/>
  <c r="H3" i="1030"/>
  <c r="J27" i="1034"/>
  <c r="H27" i="1034"/>
  <c r="H29" i="1034"/>
  <c r="H23" i="1034"/>
  <c r="H21" i="1034"/>
  <c r="H19" i="1034"/>
  <c r="H17" i="1034"/>
  <c r="H15" i="1034"/>
  <c r="H13" i="1034"/>
  <c r="H11" i="1034"/>
  <c r="H9" i="1034"/>
  <c r="H7" i="1034"/>
  <c r="H5" i="1034"/>
  <c r="H3" i="1034"/>
  <c r="H39" i="1028"/>
  <c r="H37" i="1028"/>
  <c r="H35" i="1028"/>
  <c r="H33" i="1028"/>
  <c r="H31" i="1028"/>
  <c r="H29" i="1028"/>
  <c r="H27" i="1028"/>
  <c r="H23" i="1028"/>
  <c r="H21" i="1028"/>
  <c r="H19" i="1028"/>
  <c r="H17" i="1028"/>
  <c r="H15" i="1028"/>
  <c r="H13" i="1028"/>
  <c r="H11" i="1028"/>
  <c r="H9" i="1028"/>
  <c r="H7" i="1028"/>
  <c r="H5" i="1028"/>
  <c r="H3" i="1028"/>
  <c r="J31" i="1042"/>
  <c r="H31" i="1042"/>
  <c r="J29" i="1042"/>
  <c r="H29" i="1042"/>
  <c r="J25" i="1042"/>
  <c r="H25" i="1042"/>
  <c r="J23" i="1042"/>
  <c r="H23" i="1042"/>
  <c r="J21" i="1042"/>
  <c r="H21" i="1042"/>
  <c r="J13" i="1042"/>
  <c r="H13" i="1042"/>
  <c r="J11" i="1042"/>
  <c r="H11" i="1042"/>
  <c r="J9" i="1042"/>
  <c r="H9" i="1042"/>
  <c r="J7" i="1042"/>
  <c r="H7" i="1042"/>
  <c r="J5" i="1042"/>
  <c r="H5" i="1042"/>
  <c r="J3" i="1042"/>
  <c r="H3" i="1042"/>
  <c r="J37" i="1041"/>
  <c r="H37" i="1041"/>
  <c r="J35" i="1041"/>
  <c r="H35" i="1041"/>
  <c r="J33" i="1041"/>
  <c r="H33" i="1041"/>
  <c r="J31" i="1041"/>
  <c r="H31" i="1041"/>
  <c r="J29" i="1041"/>
  <c r="H29" i="1041"/>
  <c r="J27" i="1041"/>
  <c r="H27" i="1041"/>
  <c r="J25" i="1041"/>
  <c r="H25" i="1041"/>
  <c r="J23" i="1041"/>
  <c r="H23" i="1041"/>
  <c r="J21" i="1041"/>
  <c r="H21" i="1041"/>
  <c r="J19" i="1041"/>
  <c r="H19" i="1041"/>
  <c r="J17" i="1041"/>
  <c r="H17" i="1041"/>
  <c r="J15" i="1041"/>
  <c r="H15" i="1041"/>
  <c r="J13" i="1041"/>
  <c r="H13" i="1041"/>
  <c r="J11" i="1041"/>
  <c r="H11" i="1041"/>
  <c r="J9" i="1041"/>
  <c r="H9" i="1041"/>
  <c r="J7" i="1041"/>
  <c r="H7" i="1041"/>
  <c r="J5" i="1041"/>
  <c r="H5" i="1041"/>
  <c r="J3" i="1041"/>
  <c r="H3" i="1041"/>
  <c r="J25" i="1040"/>
  <c r="H25" i="1040"/>
  <c r="J23" i="1040"/>
  <c r="H23" i="1040"/>
  <c r="J21" i="1040"/>
  <c r="H21" i="1040"/>
  <c r="J19" i="1040"/>
  <c r="H19" i="1040"/>
  <c r="J17" i="1040"/>
  <c r="H17" i="1040"/>
  <c r="J15" i="1040"/>
  <c r="H15" i="1040"/>
  <c r="J13" i="1040"/>
  <c r="H13" i="1040"/>
  <c r="J11" i="1040"/>
  <c r="H11" i="1040"/>
  <c r="J9" i="1040"/>
  <c r="H9" i="1040"/>
  <c r="J7" i="1040"/>
  <c r="H7" i="1040"/>
  <c r="J5" i="1040"/>
  <c r="H5" i="1040"/>
  <c r="J3" i="1040"/>
  <c r="H3" i="1040"/>
  <c r="J25" i="1039"/>
  <c r="H25" i="1039"/>
  <c r="J23" i="1039"/>
  <c r="H23" i="1039"/>
  <c r="J21" i="1039"/>
  <c r="H21" i="1039"/>
  <c r="J19" i="1039"/>
  <c r="H19" i="1039"/>
  <c r="J17" i="1039"/>
  <c r="H17" i="1039"/>
  <c r="J15" i="1039"/>
  <c r="H15" i="1039"/>
  <c r="J13" i="1039"/>
  <c r="H13" i="1039"/>
  <c r="J11" i="1039"/>
  <c r="H11" i="1039"/>
  <c r="J9" i="1039"/>
  <c r="H9" i="1039"/>
  <c r="J7" i="1039"/>
  <c r="H7" i="1039"/>
  <c r="J5" i="1039"/>
  <c r="H5" i="1039"/>
  <c r="J3" i="1039"/>
  <c r="H3" i="1039"/>
  <c r="J33" i="1038"/>
  <c r="H33" i="1038"/>
  <c r="J31" i="1038"/>
  <c r="H31" i="1038"/>
  <c r="J29" i="1038"/>
  <c r="H29" i="1038"/>
  <c r="J27" i="1038"/>
  <c r="H27" i="1038"/>
  <c r="J25" i="1038"/>
  <c r="H25" i="1038"/>
  <c r="J23" i="1038"/>
  <c r="H23" i="1038"/>
  <c r="J21" i="1038"/>
  <c r="H21" i="1038"/>
  <c r="J19" i="1038"/>
  <c r="H19" i="1038"/>
  <c r="J17" i="1038"/>
  <c r="H17" i="1038"/>
  <c r="J15" i="1038"/>
  <c r="H15" i="1038"/>
  <c r="J13" i="1038"/>
  <c r="H13" i="1038"/>
  <c r="J11" i="1038"/>
  <c r="H11" i="1038"/>
  <c r="J9" i="1038"/>
  <c r="H9" i="1038"/>
  <c r="J7" i="1038"/>
  <c r="H7" i="1038"/>
  <c r="J5" i="1038"/>
  <c r="H5" i="1038"/>
  <c r="J3" i="1038"/>
  <c r="H3" i="1038"/>
  <c r="J25" i="1037"/>
  <c r="H25" i="1037"/>
  <c r="J23" i="1037"/>
  <c r="H23" i="1037"/>
  <c r="J21" i="1037"/>
  <c r="H21" i="1037"/>
  <c r="J19" i="1037"/>
  <c r="H19" i="1037"/>
  <c r="J17" i="1037"/>
  <c r="H17" i="1037"/>
  <c r="J15" i="1037"/>
  <c r="H15" i="1037"/>
  <c r="J13" i="1037"/>
  <c r="H13" i="1037"/>
  <c r="J11" i="1037"/>
  <c r="H11" i="1037"/>
  <c r="J9" i="1037"/>
  <c r="H9" i="1037"/>
  <c r="J7" i="1037"/>
  <c r="H7" i="1037"/>
  <c r="J5" i="1037"/>
  <c r="H5" i="1037"/>
  <c r="J3" i="1037"/>
  <c r="H3" i="1037"/>
  <c r="P29" i="1018" l="1"/>
  <c r="P28" i="1018"/>
  <c r="H29" i="1018"/>
  <c r="H27" i="1018"/>
  <c r="H25" i="1018"/>
  <c r="H23" i="1018"/>
  <c r="H21" i="1018"/>
  <c r="H19" i="1018"/>
  <c r="H17" i="1018"/>
  <c r="H15" i="1018"/>
  <c r="H13" i="1018"/>
  <c r="H11" i="1018"/>
  <c r="H7" i="1018"/>
  <c r="H5" i="1018"/>
  <c r="H3" i="1018"/>
  <c r="H25" i="1031"/>
  <c r="H23" i="1031"/>
  <c r="H21" i="1031"/>
  <c r="H19" i="1031"/>
  <c r="H17" i="1031"/>
  <c r="H15" i="1031"/>
  <c r="H13" i="1031"/>
  <c r="H11" i="1031"/>
  <c r="H9" i="1031"/>
  <c r="H7" i="1031"/>
  <c r="H5" i="1031"/>
  <c r="H3" i="1031"/>
  <c r="H27" i="1009"/>
  <c r="H25" i="1009"/>
  <c r="H23" i="1009"/>
  <c r="H21" i="1009"/>
  <c r="H19" i="1009"/>
  <c r="H17" i="1009"/>
  <c r="H15" i="1009"/>
  <c r="H13" i="1009"/>
  <c r="H11" i="1009"/>
  <c r="H9" i="1009"/>
  <c r="J9" i="1009"/>
  <c r="H7" i="1009"/>
  <c r="H5" i="1009"/>
  <c r="H3" i="1009"/>
  <c r="H23" i="1023"/>
  <c r="H31" i="1023" l="1"/>
  <c r="H29" i="1023"/>
  <c r="H27" i="1023"/>
  <c r="H25" i="1023"/>
  <c r="H21" i="1023"/>
  <c r="H19" i="1023"/>
  <c r="H17" i="1023"/>
  <c r="H15" i="1023"/>
  <c r="H13" i="1023"/>
  <c r="H11" i="1023"/>
  <c r="H9" i="1023"/>
  <c r="H7" i="1023"/>
  <c r="H5" i="1023"/>
  <c r="H3" i="1023"/>
  <c r="H27" i="1008"/>
  <c r="H25" i="1008"/>
  <c r="H23" i="1008"/>
  <c r="H21" i="1008"/>
  <c r="H19" i="1008"/>
  <c r="H17" i="1008"/>
  <c r="H15" i="1008"/>
  <c r="H13" i="1008"/>
  <c r="H11" i="1008"/>
  <c r="H9" i="1008"/>
  <c r="H7" i="1008"/>
  <c r="H5" i="1008"/>
  <c r="H3" i="1008"/>
  <c r="P28" i="1020"/>
  <c r="H43" i="1020"/>
  <c r="H41" i="1020"/>
  <c r="H39" i="1020"/>
  <c r="H37" i="1020"/>
  <c r="H35" i="1020"/>
  <c r="H33" i="1020"/>
  <c r="H31" i="1020"/>
  <c r="H29" i="1020"/>
  <c r="H27" i="1020"/>
  <c r="H25" i="1020"/>
  <c r="H23" i="1020"/>
  <c r="H21" i="1020"/>
  <c r="H15" i="1020"/>
  <c r="H13" i="1020"/>
  <c r="H11" i="1020"/>
  <c r="H3" i="1020"/>
  <c r="P14" i="1010"/>
  <c r="P12" i="1010"/>
  <c r="J29" i="1010"/>
  <c r="H29" i="1010"/>
  <c r="H39" i="1010"/>
  <c r="H37" i="1010"/>
  <c r="H33" i="1010"/>
  <c r="H31" i="1010"/>
  <c r="H27" i="1010"/>
  <c r="H25" i="1010"/>
  <c r="H23" i="1010"/>
  <c r="H21" i="1010"/>
  <c r="H19" i="1010"/>
  <c r="H17" i="1010"/>
  <c r="H15" i="1010"/>
  <c r="H13" i="1010"/>
  <c r="H11" i="1010"/>
  <c r="H9" i="1010"/>
  <c r="H7" i="1010"/>
  <c r="H5" i="1010"/>
  <c r="H3" i="1010"/>
  <c r="P10" i="1010"/>
  <c r="H39" i="1021"/>
  <c r="H37" i="1021"/>
  <c r="H33" i="1021"/>
  <c r="H31" i="1021"/>
  <c r="H29" i="1021"/>
  <c r="H27" i="1021"/>
  <c r="H25" i="1021"/>
  <c r="H23" i="1021"/>
  <c r="H21" i="1021"/>
  <c r="H19" i="1021"/>
  <c r="H17" i="1021"/>
  <c r="H15" i="1021"/>
  <c r="H13" i="1021"/>
  <c r="H11" i="1021"/>
  <c r="H9" i="1021"/>
  <c r="H7" i="1021"/>
  <c r="H5" i="1021"/>
  <c r="H3" i="1021"/>
  <c r="H3" i="1029"/>
  <c r="H5" i="1029"/>
  <c r="H7" i="1029"/>
  <c r="H9" i="1029"/>
  <c r="H11" i="1029"/>
  <c r="H13" i="1029"/>
  <c r="H15" i="1029"/>
  <c r="H17" i="1029"/>
  <c r="H19" i="1029"/>
  <c r="H21" i="1029"/>
  <c r="H23" i="1029"/>
  <c r="H27" i="1029"/>
  <c r="H29" i="1029"/>
  <c r="H43" i="1013" l="1"/>
  <c r="H41" i="1013"/>
  <c r="H39" i="1013"/>
  <c r="H37" i="1013"/>
  <c r="H27" i="1013"/>
  <c r="H25" i="1013"/>
  <c r="H23" i="1013"/>
  <c r="H21" i="1013"/>
  <c r="H17" i="1013"/>
  <c r="H15" i="1013"/>
  <c r="H13" i="1013"/>
  <c r="H11" i="1013"/>
  <c r="H9" i="1013"/>
  <c r="H7" i="1013"/>
  <c r="H5" i="1013"/>
  <c r="H3" i="1013"/>
  <c r="J3" i="1013"/>
  <c r="J5" i="1013"/>
  <c r="J7" i="1013"/>
  <c r="J9" i="1013"/>
  <c r="J11" i="1013"/>
  <c r="J13" i="1013"/>
  <c r="J15" i="1013"/>
  <c r="J17" i="1013"/>
  <c r="J21" i="1013"/>
  <c r="J23" i="1013"/>
  <c r="J25" i="1013"/>
  <c r="J27" i="1013"/>
  <c r="J37" i="1013"/>
  <c r="J39" i="1013"/>
  <c r="J41" i="1013"/>
  <c r="J43" i="1013"/>
  <c r="J49" i="1036"/>
  <c r="J45" i="1036"/>
  <c r="J35" i="1036"/>
  <c r="J33" i="1036"/>
  <c r="J31" i="1036"/>
  <c r="J23" i="1036"/>
  <c r="J21" i="1036"/>
  <c r="J47" i="1036"/>
  <c r="J43" i="1036"/>
  <c r="J41" i="1036"/>
  <c r="J39" i="1036"/>
  <c r="J37" i="1036"/>
  <c r="J29" i="1036"/>
  <c r="J27" i="1036"/>
  <c r="J25" i="1036"/>
  <c r="J15" i="1036"/>
  <c r="J13" i="1036"/>
  <c r="J11" i="1036"/>
  <c r="J3" i="1036"/>
  <c r="J29" i="1034" l="1"/>
  <c r="J23" i="1034"/>
  <c r="J21" i="1034"/>
  <c r="J19" i="1034"/>
  <c r="J9" i="1034"/>
  <c r="J7" i="1034"/>
  <c r="J5" i="1034"/>
  <c r="J17" i="1034"/>
  <c r="J15" i="1034"/>
  <c r="J13" i="1034"/>
  <c r="J11" i="1034"/>
  <c r="J3" i="1034"/>
  <c r="I35" i="1033"/>
  <c r="J35" i="1033" s="1"/>
  <c r="I41" i="1033"/>
  <c r="J41" i="1033" s="1"/>
  <c r="I39" i="1033"/>
  <c r="J39" i="1033" s="1"/>
  <c r="I37" i="1033"/>
  <c r="J37" i="1033" s="1"/>
  <c r="I33" i="1033"/>
  <c r="J33" i="1033" s="1"/>
  <c r="I29" i="1033"/>
  <c r="J29" i="1033" s="1"/>
  <c r="I23" i="1033"/>
  <c r="J23" i="1033" s="1"/>
  <c r="I11" i="1033"/>
  <c r="J11" i="1033" s="1"/>
  <c r="P28" i="1033"/>
  <c r="I31" i="1033"/>
  <c r="J31" i="1033" s="1"/>
  <c r="I27" i="1033"/>
  <c r="J27" i="1033" s="1"/>
  <c r="I25" i="1033"/>
  <c r="J25" i="1033" s="1"/>
  <c r="I21" i="1033"/>
  <c r="J21" i="1033" s="1"/>
  <c r="I15" i="1033"/>
  <c r="J15" i="1033" s="1"/>
  <c r="I13" i="1033"/>
  <c r="J13" i="1033" s="1"/>
  <c r="I3" i="1033"/>
  <c r="J3" i="1033" s="1"/>
  <c r="J23" i="1032"/>
  <c r="J43" i="1032"/>
  <c r="J41" i="1032"/>
  <c r="J39" i="1032"/>
  <c r="J37" i="1032"/>
  <c r="J27" i="1032"/>
  <c r="J25" i="1032"/>
  <c r="J21" i="1032"/>
  <c r="J17" i="1032"/>
  <c r="J15" i="1032"/>
  <c r="J13" i="1032"/>
  <c r="J11" i="1032"/>
  <c r="J9" i="1032"/>
  <c r="J7" i="1032"/>
  <c r="J5" i="1032"/>
  <c r="J3" i="1032"/>
  <c r="J25" i="1031"/>
  <c r="J19" i="1031"/>
  <c r="J9" i="1031"/>
  <c r="J7" i="1031"/>
  <c r="J5" i="1031"/>
  <c r="J23" i="1031"/>
  <c r="J21" i="1031"/>
  <c r="J17" i="1031"/>
  <c r="J15" i="1031"/>
  <c r="J13" i="1031"/>
  <c r="J11" i="1031"/>
  <c r="J3" i="1031"/>
  <c r="J5" i="1030"/>
  <c r="J15" i="1030"/>
  <c r="J13" i="1030"/>
  <c r="J11" i="1030"/>
  <c r="J9" i="1030"/>
  <c r="J7" i="1030"/>
  <c r="J3" i="1030"/>
  <c r="J29" i="1029"/>
  <c r="J27" i="1029"/>
  <c r="J21" i="1029"/>
  <c r="J9" i="1029"/>
  <c r="J7" i="1029"/>
  <c r="J5" i="1029"/>
  <c r="J23" i="1029"/>
  <c r="J19" i="1029"/>
  <c r="J17" i="1029"/>
  <c r="J15" i="1029"/>
  <c r="J13" i="1029"/>
  <c r="J11" i="1029"/>
  <c r="J3" i="1029"/>
  <c r="J39" i="1028"/>
  <c r="J37" i="1028"/>
  <c r="J35" i="1028"/>
  <c r="J33" i="1028"/>
  <c r="J31" i="1028"/>
  <c r="J29" i="1028"/>
  <c r="J27" i="1028"/>
  <c r="J23" i="1028"/>
  <c r="J21" i="1028"/>
  <c r="J19" i="1028"/>
  <c r="J9" i="1028"/>
  <c r="J7" i="1028"/>
  <c r="J5" i="1028"/>
  <c r="J17" i="1028" l="1"/>
  <c r="J15" i="1028"/>
  <c r="J13" i="1028"/>
  <c r="J11" i="1028"/>
  <c r="J3" i="1028"/>
  <c r="J29" i="1027"/>
  <c r="J21" i="1027"/>
  <c r="J19" i="1027"/>
  <c r="J11" i="1027"/>
  <c r="J9" i="1027"/>
  <c r="J7" i="1027"/>
  <c r="J5" i="1027"/>
  <c r="J3" i="1027"/>
  <c r="J27" i="1027"/>
  <c r="J25" i="1027"/>
  <c r="J17" i="1027"/>
  <c r="J15" i="1027"/>
  <c r="J23" i="1026"/>
  <c r="J19" i="1026" l="1"/>
  <c r="J21" i="1026"/>
  <c r="J9" i="1026"/>
  <c r="J5" i="1026"/>
  <c r="J7" i="1026"/>
  <c r="J3" i="1026"/>
  <c r="J25" i="1026"/>
  <c r="J17" i="1026"/>
  <c r="J15" i="1026"/>
  <c r="J13" i="1026"/>
  <c r="J9" i="1023"/>
  <c r="J13" i="1023"/>
  <c r="J11" i="1023"/>
  <c r="J31" i="1023"/>
  <c r="J29" i="1023"/>
  <c r="J27" i="1023"/>
  <c r="J25" i="1023"/>
  <c r="J23" i="1023"/>
  <c r="J21" i="1023"/>
  <c r="J19" i="1023"/>
  <c r="J17" i="1023"/>
  <c r="J15" i="1023"/>
  <c r="J7" i="1023"/>
  <c r="J5" i="1023"/>
  <c r="J3" i="1023"/>
  <c r="J27" i="1008"/>
  <c r="J19" i="1008"/>
  <c r="J9" i="1008"/>
  <c r="J7" i="1008"/>
  <c r="J5" i="1008"/>
  <c r="J39" i="1021" l="1"/>
  <c r="J37" i="1021"/>
  <c r="I33" i="1021"/>
  <c r="J33" i="1021" s="1"/>
  <c r="J31" i="1021" l="1"/>
  <c r="J29" i="1021"/>
  <c r="J27" i="1021"/>
  <c r="J25" i="1021"/>
  <c r="J23" i="1021"/>
  <c r="J19" i="1021"/>
  <c r="J17" i="1021"/>
  <c r="J21" i="1021"/>
  <c r="J15" i="1021"/>
  <c r="J13" i="1021"/>
  <c r="J11" i="1021"/>
  <c r="J9" i="1021"/>
  <c r="J5" i="1021"/>
  <c r="J7" i="1021" l="1"/>
  <c r="J3" i="1021"/>
  <c r="J43" i="1020"/>
  <c r="J41" i="1020"/>
  <c r="J39" i="1020"/>
  <c r="J37" i="1020"/>
  <c r="J35" i="1020"/>
  <c r="J33" i="1020"/>
  <c r="J31" i="1020"/>
  <c r="J29" i="1020"/>
  <c r="J25" i="1020"/>
  <c r="J23" i="1020"/>
  <c r="J21" i="1020"/>
  <c r="J27" i="1020" l="1"/>
  <c r="J15" i="1020"/>
  <c r="J13" i="1020"/>
  <c r="J11" i="1020"/>
  <c r="J3" i="1020"/>
  <c r="J27" i="1018" l="1"/>
  <c r="J25" i="1018"/>
  <c r="J19" i="1018"/>
  <c r="J7" i="1018"/>
  <c r="J5" i="1018"/>
  <c r="J3" i="1018"/>
  <c r="J29" i="1018"/>
  <c r="J23" i="1018" l="1"/>
  <c r="J21" i="1018"/>
  <c r="J17" i="1018"/>
  <c r="J15" i="1018"/>
  <c r="J13" i="1018"/>
  <c r="J11" i="1018"/>
  <c r="J45" i="1016"/>
  <c r="J47" i="1016"/>
  <c r="J39" i="1016" l="1"/>
  <c r="J37" i="1016"/>
  <c r="J31" i="1016"/>
  <c r="J29" i="1016"/>
  <c r="J23" i="1016" l="1"/>
  <c r="J21" i="1016"/>
  <c r="J43" i="1016" l="1"/>
  <c r="J41" i="1016"/>
  <c r="J27" i="1016"/>
  <c r="J25" i="1016"/>
  <c r="J15" i="1016"/>
  <c r="J13" i="1016"/>
  <c r="J11" i="1016"/>
  <c r="J19" i="1014"/>
  <c r="J27" i="1014"/>
  <c r="J25" i="1014"/>
  <c r="J21" i="1014"/>
  <c r="J5" i="1014"/>
  <c r="J23" i="1014"/>
  <c r="J17" i="1014"/>
  <c r="J15" i="1014"/>
  <c r="J13" i="1014"/>
  <c r="J11" i="1014"/>
  <c r="J9" i="1014"/>
  <c r="J7" i="1014"/>
  <c r="J3" i="1014"/>
  <c r="J39" i="1012"/>
  <c r="J37" i="1012"/>
  <c r="J23" i="1012"/>
  <c r="J21" i="1012"/>
  <c r="J7" i="1012"/>
  <c r="J5" i="1012"/>
  <c r="J43" i="1012"/>
  <c r="J41" i="1012"/>
  <c r="J27" i="1012"/>
  <c r="J25" i="1012"/>
  <c r="J15" i="1012"/>
  <c r="J13" i="1012"/>
  <c r="J11" i="1012"/>
  <c r="J9" i="1012"/>
  <c r="J3" i="1012"/>
  <c r="J39" i="1011"/>
  <c r="J37" i="1011"/>
  <c r="J43" i="1011" l="1"/>
  <c r="J41" i="1011"/>
  <c r="J27" i="1011"/>
  <c r="J25" i="1011"/>
  <c r="J23" i="1011"/>
  <c r="J21" i="1011"/>
  <c r="J15" i="1011"/>
  <c r="J13" i="1011"/>
  <c r="J11" i="1011"/>
  <c r="J9" i="1011"/>
  <c r="J7" i="1011"/>
  <c r="J5" i="1011"/>
  <c r="J3" i="1011"/>
  <c r="J31" i="1010"/>
  <c r="J37" i="1010"/>
  <c r="J39" i="1010"/>
  <c r="J9" i="1010" l="1"/>
  <c r="J7" i="1010"/>
  <c r="J33" i="1010"/>
  <c r="J21" i="1010" l="1"/>
  <c r="J19" i="1010"/>
  <c r="J11" i="1010"/>
  <c r="J5" i="1010"/>
  <c r="J27" i="1010"/>
  <c r="J25" i="1010"/>
  <c r="J23" i="1010"/>
  <c r="J17" i="1010"/>
  <c r="J15" i="1010"/>
  <c r="J13" i="1010"/>
  <c r="J3" i="1010"/>
  <c r="J27" i="1009"/>
  <c r="J23" i="1009"/>
  <c r="J21" i="1009"/>
  <c r="J19" i="1009"/>
  <c r="J7" i="1009"/>
  <c r="J5" i="1009"/>
  <c r="J25" i="1009"/>
  <c r="J17" i="1009"/>
  <c r="J15" i="1009"/>
  <c r="J13" i="1009"/>
  <c r="J11" i="1009"/>
  <c r="J3" i="1009"/>
  <c r="J25" i="1008"/>
  <c r="J23" i="1008"/>
  <c r="J21" i="1008"/>
  <c r="J17" i="1008"/>
  <c r="J15" i="1008"/>
  <c r="J13" i="1008"/>
  <c r="J11" i="1008"/>
  <c r="J3" i="1008"/>
  <c r="J3" i="1016"/>
</calcChain>
</file>

<file path=xl/sharedStrings.xml><?xml version="1.0" encoding="utf-8"?>
<sst xmlns="http://schemas.openxmlformats.org/spreadsheetml/2006/main" count="1867" uniqueCount="333">
  <si>
    <t xml:space="preserve">STRIGHT </t>
    <phoneticPr fontId="2" type="noConversion"/>
  </si>
  <si>
    <t>NECK WIDTH</t>
    <phoneticPr fontId="2" type="noConversion"/>
  </si>
  <si>
    <t>WITHOUT NECK BAND (INSIDE)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</si>
  <si>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</si>
  <si>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</si>
  <si>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</si>
  <si>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</si>
  <si>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</si>
  <si>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</si>
  <si>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</si>
  <si>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</si>
  <si>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START ARM HOLE JOINING POINT TO POINT(1/2)</t>
    <phoneticPr fontId="1" type="noConversion"/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</si>
  <si>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</si>
  <si>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</si>
  <si>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</si>
  <si>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</si>
  <si>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</si>
  <si>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</si>
  <si>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</si>
  <si>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소매부리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</si>
  <si>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</si>
  <si>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</si>
  <si>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</si>
  <si>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</si>
  <si>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</si>
  <si>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</si>
  <si>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</si>
  <si>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</si>
  <si>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</si>
  <si>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</si>
  <si>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</si>
  <si>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</si>
  <si>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</si>
  <si>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</si>
  <si>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</si>
  <si>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</si>
  <si>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</si>
  <si>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</si>
  <si>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</si>
  <si>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GRAPHIC POINT A</t>
    <phoneticPr fontId="1" type="noConversion"/>
  </si>
  <si>
    <t>나염위치 A</t>
    <phoneticPr fontId="1" type="noConversion"/>
  </si>
  <si>
    <t xml:space="preserve">HIP </t>
  </si>
  <si>
    <t>엉덩이둘레</t>
  </si>
  <si>
    <t xml:space="preserve">TOTAL LENGTH </t>
  </si>
  <si>
    <t>바지기장</t>
  </si>
  <si>
    <t xml:space="preserve">FRONT RISE </t>
  </si>
  <si>
    <t xml:space="preserve">INCLUDE WAIST BAND TO EDGE </t>
  </si>
  <si>
    <t>앞밑위</t>
  </si>
  <si>
    <t>BACK RISE</t>
  </si>
  <si>
    <t>뒤밑위</t>
  </si>
  <si>
    <t xml:space="preserve">TIGHT </t>
  </si>
  <si>
    <t xml:space="preserve">FROM CROCH  3cm BELOW . WIDE STRIGHT </t>
  </si>
  <si>
    <t>허벅지둘레</t>
  </si>
  <si>
    <t>INSEAM</t>
  </si>
  <si>
    <t xml:space="preserve">CROCH TO EDGE </t>
  </si>
  <si>
    <t>인심길이</t>
  </si>
  <si>
    <t>NECK</t>
    <phoneticPr fontId="2" type="noConversion"/>
  </si>
  <si>
    <t>목둘레</t>
  </si>
  <si>
    <t xml:space="preserve">ROUND ,@ NECK SEWING  LINE </t>
    <phoneticPr fontId="1" type="noConversion"/>
  </si>
  <si>
    <t xml:space="preserve">CUFFS OPENING </t>
    <phoneticPr fontId="2" type="noConversion"/>
  </si>
  <si>
    <t>총기장(뒷목)</t>
  </si>
  <si>
    <t>옆목점에서 밑단까지의 직선길이</t>
    <phoneticPr fontId="1" type="noConversion"/>
  </si>
  <si>
    <t>총기장(옆목)</t>
    <phoneticPr fontId="2" type="noConversion"/>
  </si>
  <si>
    <t>HPS TO BOTTOM EDGE</t>
    <phoneticPr fontId="2" type="noConversion"/>
  </si>
  <si>
    <t>TOTAL LENGTH</t>
    <phoneticPr fontId="2" type="noConversion"/>
  </si>
  <si>
    <t xml:space="preserve"> </t>
    <phoneticPr fontId="1" type="noConversion"/>
  </si>
  <si>
    <t>무릎둘레</t>
    <phoneticPr fontId="1" type="noConversion"/>
  </si>
  <si>
    <t>KNEE</t>
    <phoneticPr fontId="1" type="noConversion"/>
  </si>
  <si>
    <t>바지 안 쪽에서 봉제선을 따라 바지밑단 끝까지의 길이</t>
    <phoneticPr fontId="1" type="noConversion"/>
  </si>
  <si>
    <t>인심 시작점에서 3cm 밑을 기준점으로 양쪽 수평 길이</t>
    <phoneticPr fontId="1" type="noConversion"/>
  </si>
  <si>
    <t>오비끝에서 인심 시작점까지의 길이(오비 포함)</t>
    <phoneticPr fontId="1" type="noConversion"/>
  </si>
  <si>
    <t>와끼선을 기준으로 오비끝에서 바지 밑단 끝까지의 길이</t>
    <phoneticPr fontId="1" type="noConversion"/>
  </si>
  <si>
    <t xml:space="preserve">INCLUDE WAIST BAND TO EDGE </t>
    <phoneticPr fontId="1" type="noConversion"/>
  </si>
  <si>
    <t>BACK WAIST E-BAND</t>
    <phoneticPr fontId="1" type="noConversion"/>
  </si>
  <si>
    <t>오비를 일자 상태로 만든 후 수평으로 잰 길이</t>
    <phoneticPr fontId="1" type="noConversion"/>
  </si>
  <si>
    <t xml:space="preserve">FLAT,FRONT AND BACK WAIST LINE MATCH STRIGHT </t>
    <phoneticPr fontId="1" type="noConversion"/>
  </si>
  <si>
    <t>앞 댕고 스테치를 기준점으로 하여 양쪽 수평선의 길이</t>
    <phoneticPr fontId="1" type="noConversion"/>
  </si>
  <si>
    <t>BACK POCKET WIDTH</t>
    <phoneticPr fontId="2" type="noConversion"/>
  </si>
  <si>
    <t>뒤주머니너비</t>
    <phoneticPr fontId="1" type="noConversion"/>
  </si>
  <si>
    <t>BACK POCKET HEIGHT</t>
    <phoneticPr fontId="2" type="noConversion"/>
  </si>
  <si>
    <t>뒤주머니높이</t>
    <phoneticPr fontId="1" type="noConversion"/>
  </si>
  <si>
    <t>바지 밑단의 둘레길이</t>
    <phoneticPr fontId="2" type="noConversion"/>
  </si>
  <si>
    <t>바지부리</t>
  </si>
  <si>
    <t xml:space="preserve">CIRCLE ROUND </t>
  </si>
  <si>
    <t xml:space="preserve">BOTTOM OPENING </t>
  </si>
  <si>
    <t>WAIST SIZE</t>
    <phoneticPr fontId="1" type="noConversion"/>
  </si>
  <si>
    <t>GRAPHIC POINT B</t>
    <phoneticPr fontId="1" type="noConversion"/>
  </si>
  <si>
    <t>나염위치 B</t>
    <phoneticPr fontId="1" type="noConversion"/>
  </si>
  <si>
    <t>뒤중심</t>
    <phoneticPr fontId="1" type="noConversion"/>
  </si>
  <si>
    <t>카라폭</t>
    <phoneticPr fontId="1" type="noConversion"/>
  </si>
  <si>
    <t>COLLARS WIDTH</t>
    <phoneticPr fontId="1" type="noConversion"/>
  </si>
  <si>
    <t>옆목점에서 앞목중심의 수직 길이</t>
    <phoneticPr fontId="1" type="noConversion"/>
  </si>
  <si>
    <t>옆목점을 수평으로 잰 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</si>
  <si>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</si>
  <si>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</si>
  <si>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</si>
  <si>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 xml:space="preserve"> (지퍼제외)</t>
    </r>
    <phoneticPr fontId="1" type="noConversion"/>
  </si>
  <si>
    <t>앞지퍼길이</t>
    <phoneticPr fontId="1" type="noConversion"/>
  </si>
  <si>
    <t>FRONT ZIPPER LENGTH</t>
    <phoneticPr fontId="1" type="noConversion"/>
  </si>
  <si>
    <t>허리에서 수직으로 (오비포함)</t>
    <phoneticPr fontId="1" type="noConversion"/>
  </si>
  <si>
    <t>무릎위치</t>
    <phoneticPr fontId="1" type="noConversion"/>
  </si>
  <si>
    <t>VERTICALLY AT THE WAIST</t>
    <phoneticPr fontId="1" type="noConversion"/>
  </si>
  <si>
    <t>KNEE POINT</t>
    <phoneticPr fontId="1" type="noConversion"/>
  </si>
  <si>
    <t>오비제외</t>
    <phoneticPr fontId="1" type="noConversion"/>
  </si>
  <si>
    <t>뎅고스티치길이</t>
    <phoneticPr fontId="1" type="noConversion"/>
  </si>
  <si>
    <t>J STITCH LENGTH</t>
    <phoneticPr fontId="1" type="noConversion"/>
  </si>
  <si>
    <t>엉덩이 위치</t>
    <phoneticPr fontId="1" type="noConversion"/>
  </si>
  <si>
    <t>HIP POINT</t>
    <phoneticPr fontId="1" type="noConversion"/>
  </si>
  <si>
    <t>몸판 허리 둘레</t>
    <phoneticPr fontId="1" type="noConversion"/>
  </si>
  <si>
    <t>나나밴드</t>
    <phoneticPr fontId="1" type="noConversion"/>
  </si>
  <si>
    <t>ADIJUSTABLE BAND</t>
    <phoneticPr fontId="1" type="noConversion"/>
  </si>
  <si>
    <t>뒤 허리 고무줄 완성</t>
    <phoneticPr fontId="1" type="noConversion"/>
  </si>
  <si>
    <t>앞허리완성</t>
    <phoneticPr fontId="1" type="noConversion"/>
  </si>
  <si>
    <t>FRONT WAIST</t>
    <phoneticPr fontId="1" type="noConversion"/>
  </si>
  <si>
    <t>허리완성사이즈</t>
    <phoneticPr fontId="1" type="noConversion"/>
  </si>
  <si>
    <t>TOTAL WAIST</t>
    <phoneticPr fontId="1" type="noConversion"/>
  </si>
  <si>
    <t>BASED ON ZIPPER FLY OUT LINE ,STRIGHT</t>
    <phoneticPr fontId="1" type="noConversion"/>
  </si>
  <si>
    <t>오비 와끼끝에서 주머니입구 까지의 세로길이</t>
    <phoneticPr fontId="1" type="noConversion"/>
  </si>
  <si>
    <t>앞주머니세로</t>
  </si>
  <si>
    <t xml:space="preserve">FROM SIDE SEAM TO STRIGHT </t>
  </si>
  <si>
    <t xml:space="preserve">FRONT POCKET VERTICAL </t>
    <phoneticPr fontId="1" type="noConversion"/>
  </si>
  <si>
    <t>오비 와끼끝에서 주머니입구 까지의 가로길이</t>
    <phoneticPr fontId="1" type="noConversion"/>
  </si>
  <si>
    <t>앞주머니가로</t>
  </si>
  <si>
    <t xml:space="preserve">FROM EDGE STITCHES </t>
  </si>
  <si>
    <t xml:space="preserve">FRONT POCKET WIDE </t>
    <phoneticPr fontId="1" type="noConversion"/>
  </si>
  <si>
    <t>오비제외 앞뎅고 기준</t>
    <phoneticPr fontId="1" type="noConversion"/>
  </si>
  <si>
    <t>앞목쪽 카라 길이</t>
  </si>
  <si>
    <t>카라포인트길이</t>
  </si>
  <si>
    <t xml:space="preserve">COLLAR WIDTH AT EDGE </t>
  </si>
  <si>
    <t>COLLAR POINT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</si>
  <si>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</si>
  <si>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</si>
  <si>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</si>
  <si>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J STITCH WIDTH</t>
    <phoneticPr fontId="1" type="noConversion"/>
  </si>
  <si>
    <t>뎅고스티치 폭</t>
    <phoneticPr fontId="1" type="noConversion"/>
  </si>
  <si>
    <t>위치 A</t>
    <phoneticPr fontId="1" type="noConversion"/>
  </si>
  <si>
    <t>POINT A</t>
    <phoneticPr fontId="1" type="noConversion"/>
  </si>
  <si>
    <t>WITHOUT NECK BAND</t>
    <phoneticPr fontId="2" type="noConversion"/>
  </si>
  <si>
    <t>목라인(NECK LINE)을 따라 잰 곡선의 둘레길이</t>
    <phoneticPr fontId="1" type="noConversion"/>
  </si>
  <si>
    <t>주머니높이</t>
    <phoneticPr fontId="1" type="noConversion"/>
  </si>
  <si>
    <t>POCKET HEIGHT</t>
    <phoneticPr fontId="2" type="noConversion"/>
  </si>
  <si>
    <t>주머니너비</t>
    <phoneticPr fontId="1" type="noConversion"/>
  </si>
  <si>
    <t>POCKET WIDTH</t>
    <phoneticPr fontId="2" type="noConversion"/>
  </si>
  <si>
    <t>모자의 가장 돌출된 부위를 수평으로 잰 길이</t>
    <phoneticPr fontId="1" type="noConversion"/>
  </si>
  <si>
    <t>후드폭(모자폭)</t>
  </si>
  <si>
    <t xml:space="preserve">HALF FOLDING ,MAXIMUM DEEP POINT </t>
    <phoneticPr fontId="2" type="noConversion"/>
  </si>
  <si>
    <t xml:space="preserve">HOOD WIDTH </t>
    <phoneticPr fontId="2" type="noConversion"/>
  </si>
  <si>
    <t>모자 앞 중심을 기준으로 양 끝점을 수직으로 잰 길이</t>
    <phoneticPr fontId="1" type="noConversion"/>
  </si>
  <si>
    <t>후드장(모자길이)</t>
  </si>
  <si>
    <t xml:space="preserve">FROM CENTER LENGTH TO EDGE </t>
    <phoneticPr fontId="2" type="noConversion"/>
  </si>
  <si>
    <t>HOOD LENGTH</t>
    <phoneticPr fontId="2" type="noConversion"/>
  </si>
  <si>
    <t xml:space="preserve"> YKK</t>
    <phoneticPr fontId="5" type="noConversion"/>
  </si>
  <si>
    <t>BOTTOM RIB WIDTH</t>
    <phoneticPr fontId="2" type="noConversion"/>
  </si>
  <si>
    <t>밑단립 폭</t>
    <phoneticPr fontId="1" type="noConversion"/>
  </si>
  <si>
    <t>앞옆목에서 수직으로</t>
    <phoneticPr fontId="6" type="noConversion"/>
  </si>
  <si>
    <t xml:space="preserve">CENTER BACK SLEEVE LENGTH </t>
    <phoneticPr fontId="1" type="noConversion"/>
  </si>
  <si>
    <t>FROM CENTER BACK BODY TO EDGE TO SLEEVE CUFFS</t>
    <phoneticPr fontId="1" type="noConversion"/>
  </si>
  <si>
    <t>화장</t>
    <phoneticPr fontId="2" type="noConversion"/>
  </si>
  <si>
    <t>뒷목중심점에서 소매부리(밑단)까지 잰 길이</t>
    <phoneticPr fontId="1" type="noConversion"/>
  </si>
  <si>
    <t>앞중심에서</t>
    <phoneticPr fontId="7" type="noConversion"/>
  </si>
  <si>
    <t>BOTTOM STRING</t>
    <phoneticPr fontId="1" type="noConversion"/>
  </si>
  <si>
    <t>밑단스트링</t>
    <phoneticPr fontId="1" type="noConversion"/>
  </si>
  <si>
    <t>SLEEVE BAND</t>
    <phoneticPr fontId="2" type="noConversion"/>
  </si>
  <si>
    <t>SLEEVE RIB WIDTH</t>
    <phoneticPr fontId="17" type="noConversion"/>
  </si>
  <si>
    <t>소매립 폭</t>
    <phoneticPr fontId="17" type="noConversion"/>
  </si>
  <si>
    <t>앞주머니입구</t>
    <phoneticPr fontId="17" type="noConversion"/>
  </si>
  <si>
    <t>POINT B</t>
    <phoneticPr fontId="1" type="noConversion"/>
  </si>
  <si>
    <t>위치 B</t>
    <phoneticPr fontId="1" type="noConversion"/>
  </si>
  <si>
    <t>OUTSIDE TOTAL LENGTH</t>
  </si>
  <si>
    <t>앞중심에서 밑단까지</t>
  </si>
  <si>
    <t>SHOULDER STRAP</t>
  </si>
  <si>
    <t>어깨끈길이</t>
  </si>
  <si>
    <t>끈에서 끈 직선길이</t>
  </si>
  <si>
    <t>겉앞-총장</t>
    <phoneticPr fontId="17" type="noConversion"/>
  </si>
  <si>
    <t>겉뒤-총장</t>
    <phoneticPr fontId="17" type="noConversion"/>
  </si>
  <si>
    <t>뒤중심에서 밑단까지</t>
    <phoneticPr fontId="17" type="noConversion"/>
  </si>
  <si>
    <t>OUTSIDE TOTAL LENGTH</t>
    <phoneticPr fontId="17" type="noConversion"/>
  </si>
  <si>
    <t>FRONT UPPER CHEST</t>
    <phoneticPr fontId="17" type="noConversion"/>
  </si>
  <si>
    <t>앞바대 폭</t>
    <phoneticPr fontId="17" type="noConversion"/>
  </si>
  <si>
    <t>뒤바대 폭</t>
    <phoneticPr fontId="17" type="noConversion"/>
  </si>
  <si>
    <t>BACK UPPER CHEST</t>
    <phoneticPr fontId="17" type="noConversion"/>
  </si>
  <si>
    <t>끈에서 끈 직선길이</t>
    <phoneticPr fontId="17" type="noConversion"/>
  </si>
  <si>
    <t xml:space="preserve"> </t>
    <phoneticPr fontId="17" type="noConversion"/>
  </si>
  <si>
    <t>STYLE NO: GZSTO03-K#H29</t>
    <phoneticPr fontId="1" type="noConversion"/>
  </si>
  <si>
    <t>옆목에서 수직</t>
    <phoneticPr fontId="17" type="noConversion"/>
  </si>
  <si>
    <t>앞중심에서 수평</t>
    <phoneticPr fontId="17" type="noConversion"/>
  </si>
  <si>
    <r>
      <t>옆목점에서 밑단까지의 직선길이</t>
    </r>
    <r>
      <rPr>
        <sz val="7.5"/>
        <color rgb="FFFF0000"/>
        <rFont val="맑은 고딕"/>
        <family val="3"/>
        <charset val="129"/>
        <scheme val="minor"/>
      </rPr>
      <t>(와끼부분)</t>
    </r>
    <phoneticPr fontId="1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</si>
  <si>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(뒤판)</t>
    </r>
    <phoneticPr fontId="1" type="noConversion"/>
  </si>
  <si>
    <t>STYLE NO: GZSTO02-K#H28</t>
    <phoneticPr fontId="1" type="noConversion"/>
  </si>
  <si>
    <t>STYLE NO: GZSOU01-W#R26</t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</si>
  <si>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 xml:space="preserve"> (지퍼포함)</t>
    </r>
    <phoneticPr fontId="1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</si>
  <si>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 xml:space="preserve"> (지퍼포함)</t>
    </r>
    <phoneticPr fontId="1" type="noConversion"/>
  </si>
  <si>
    <t>소매단 고무줄</t>
    <phoneticPr fontId="7" type="noConversion"/>
  </si>
  <si>
    <t>20mm-BAND</t>
    <phoneticPr fontId="17" type="noConversion"/>
  </si>
  <si>
    <t>POCKET 4G-BAND</t>
    <phoneticPr fontId="2" type="noConversion"/>
  </si>
  <si>
    <t>앞주머니 4골밴드</t>
    <phoneticPr fontId="1" type="noConversion"/>
  </si>
  <si>
    <t>완성사이즈</t>
    <phoneticPr fontId="17" type="noConversion"/>
  </si>
  <si>
    <r>
      <t>앞중심에서</t>
    </r>
    <r>
      <rPr>
        <sz val="7.5"/>
        <color rgb="FFFF0000"/>
        <rFont val="맑은 고딕"/>
        <family val="3"/>
        <charset val="129"/>
        <scheme val="minor"/>
      </rPr>
      <t xml:space="preserve"> (지퍼제외)</t>
    </r>
    <phoneticPr fontId="6" type="noConversion"/>
  </si>
  <si>
    <t>노출길이=좌/우 12cm 포함 (총:24cm)</t>
    <phoneticPr fontId="17" type="noConversion"/>
  </si>
  <si>
    <t>FRONT YOKE LENGTH</t>
    <phoneticPr fontId="1" type="noConversion"/>
  </si>
  <si>
    <t>앞요크길이</t>
    <phoneticPr fontId="1" type="noConversion"/>
  </si>
  <si>
    <t>BACK YOKE LENGTH</t>
    <phoneticPr fontId="1" type="noConversion"/>
  </si>
  <si>
    <t>뒤요크길이</t>
    <phoneticPr fontId="1" type="noConversion"/>
  </si>
  <si>
    <t>COLLARS 4G-BAND</t>
    <phoneticPr fontId="1" type="noConversion"/>
  </si>
  <si>
    <t>카라 4골밴드</t>
    <phoneticPr fontId="1" type="noConversion"/>
  </si>
  <si>
    <t>20MM</t>
    <phoneticPr fontId="17" type="noConversion"/>
  </si>
  <si>
    <t>4G</t>
    <phoneticPr fontId="17" type="noConversion"/>
  </si>
  <si>
    <t>스트링</t>
    <phoneticPr fontId="17" type="noConversion"/>
  </si>
  <si>
    <t>STYLE NO: GZSPT02-D#R32(완사입)</t>
    <phoneticPr fontId="1" type="noConversion"/>
  </si>
  <si>
    <t>S사이즈=나나단추간격 = 16cm</t>
    <phoneticPr fontId="17" type="noConversion"/>
  </si>
  <si>
    <t>여유분= 4cm</t>
    <phoneticPr fontId="17" type="noConversion"/>
  </si>
  <si>
    <t>STYLE NO: GZSPT05-D#H32(완사입)</t>
    <phoneticPr fontId="1" type="noConversion"/>
  </si>
  <si>
    <t>밴드 안들어가는부분</t>
    <phoneticPr fontId="17" type="noConversion"/>
  </si>
  <si>
    <t>STYLE NO: GZSPT04-D#H31(완사입)</t>
    <phoneticPr fontId="1" type="noConversion"/>
  </si>
  <si>
    <t>엉덩이둘레( 와끼주름펴서)</t>
    <phoneticPr fontId="17" type="noConversion"/>
  </si>
  <si>
    <t>STYLE NO: GZSTO07-K#R36</t>
    <phoneticPr fontId="1" type="noConversion"/>
  </si>
  <si>
    <t>POINT C</t>
    <phoneticPr fontId="1" type="noConversion"/>
  </si>
  <si>
    <t>위치 C</t>
    <phoneticPr fontId="1" type="noConversion"/>
  </si>
  <si>
    <r>
      <t xml:space="preserve">소매단에서 수직으로 잰 길이 </t>
    </r>
    <r>
      <rPr>
        <sz val="7.5"/>
        <color rgb="FFFF0000"/>
        <rFont val="맑은 고딕"/>
        <family val="3"/>
        <charset val="129"/>
        <scheme val="minor"/>
      </rPr>
      <t>(립제외)</t>
    </r>
    <phoneticPr fontId="17" type="noConversion"/>
  </si>
  <si>
    <t>STYLE NO: GZSTO06-K#R35</t>
    <phoneticPr fontId="1" type="noConversion"/>
  </si>
  <si>
    <t>앞중심</t>
    <phoneticPr fontId="17" type="noConversion"/>
  </si>
  <si>
    <r>
      <t xml:space="preserve">BASED ON ZIPPER FLY OUT LINE ,STRIGHT </t>
    </r>
    <r>
      <rPr>
        <sz val="7.5"/>
        <color rgb="FFFF0000"/>
        <rFont val="맑은 고딕"/>
        <family val="3"/>
        <charset val="129"/>
        <scheme val="minor"/>
      </rPr>
      <t>(턱펼친상태)</t>
    </r>
    <phoneticPr fontId="1" type="noConversion"/>
  </si>
  <si>
    <t>STYLE NO: GZSPT08-K#H38</t>
    <phoneticPr fontId="1" type="noConversion"/>
  </si>
  <si>
    <t>앞주머니</t>
    <phoneticPr fontId="17" type="noConversion"/>
  </si>
  <si>
    <t>WAIST STRING</t>
    <phoneticPr fontId="1" type="noConversion"/>
  </si>
  <si>
    <t>허리스트링</t>
    <phoneticPr fontId="1" type="noConversion"/>
  </si>
  <si>
    <t>노출길이=좌/우 20cm 포함</t>
    <phoneticPr fontId="1" type="noConversion"/>
  </si>
  <si>
    <t>STYLE NO: GZSTO08-K#H35</t>
    <phoneticPr fontId="1" type="noConversion"/>
  </si>
  <si>
    <t>STYLE NO: GZSTO10-K#H36</t>
    <phoneticPr fontId="1" type="noConversion"/>
  </si>
  <si>
    <t>SIDESEAM 4G BAND</t>
    <phoneticPr fontId="1" type="noConversion"/>
  </si>
  <si>
    <t>와끼4골고무줄</t>
    <phoneticPr fontId="1" type="noConversion"/>
  </si>
  <si>
    <t xml:space="preserve">옆목점에서 밑단튀어나온끝점까지의 직선길이 </t>
    <phoneticPr fontId="1" type="noConversion"/>
  </si>
  <si>
    <t xml:space="preserve">NECK BAND CENTER HIGHT </t>
    <phoneticPr fontId="2" type="noConversion"/>
  </si>
  <si>
    <t xml:space="preserve">AT CENTER BACK HIGHT </t>
    <phoneticPr fontId="1" type="noConversion"/>
  </si>
  <si>
    <t>고시폭</t>
  </si>
  <si>
    <t>뒷목 중심에서 고시 수직으로 잰 길이</t>
    <phoneticPr fontId="17" type="noConversion"/>
  </si>
  <si>
    <t>COLLARD WIDTH</t>
    <phoneticPr fontId="17" type="noConversion"/>
  </si>
  <si>
    <t>카라 폭</t>
    <phoneticPr fontId="17" type="noConversion"/>
  </si>
  <si>
    <t>중심</t>
    <phoneticPr fontId="17" type="noConversion"/>
  </si>
  <si>
    <t xml:space="preserve">CUFF OPENING </t>
    <phoneticPr fontId="2" type="noConversion"/>
  </si>
  <si>
    <t>소매부리(단추채웠을때)</t>
    <phoneticPr fontId="1" type="noConversion"/>
  </si>
  <si>
    <t>앞주머니</t>
    <phoneticPr fontId="1" type="noConversion"/>
  </si>
  <si>
    <t>STYLE NO: GZSTO09-W#H37</t>
    <phoneticPr fontId="1" type="noConversion"/>
  </si>
  <si>
    <t xml:space="preserve">옆목점을 수평으로 잰 길이 </t>
    <phoneticPr fontId="1" type="noConversion"/>
  </si>
  <si>
    <t>STYLE NO: GZSPT01-K#R30</t>
    <phoneticPr fontId="1" type="noConversion"/>
  </si>
  <si>
    <t>앞댕고끝점 기준으로 양쪽 수평선의 길이</t>
    <phoneticPr fontId="1" type="noConversion"/>
  </si>
  <si>
    <t>오비포함 와끼 기준</t>
    <phoneticPr fontId="1" type="noConversion"/>
  </si>
  <si>
    <t>FRONT POCKET LENGTH</t>
    <phoneticPr fontId="17" type="noConversion"/>
  </si>
  <si>
    <t>WAIST STRING LENGTH</t>
    <phoneticPr fontId="17" type="noConversion"/>
  </si>
  <si>
    <t>장식스트링</t>
    <phoneticPr fontId="17" type="noConversion"/>
  </si>
  <si>
    <t>허리스트링길이</t>
    <phoneticPr fontId="17" type="noConversion"/>
  </si>
  <si>
    <t>BOTTOM STRING LENGTH</t>
    <phoneticPr fontId="17" type="noConversion"/>
  </si>
  <si>
    <t>밑단스트링길이</t>
    <phoneticPr fontId="17" type="noConversion"/>
  </si>
  <si>
    <t>밑단둘레+고정노출(12cm)</t>
    <phoneticPr fontId="17" type="noConversion"/>
  </si>
  <si>
    <t>노출길이=양쪽 각18cm</t>
    <phoneticPr fontId="17" type="noConversion"/>
  </si>
  <si>
    <t>STYLE NO: GZSOU02-K#R33</t>
    <phoneticPr fontId="1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</si>
  <si>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</si>
  <si>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F-BOTTOM RIB WLDTH</t>
    <phoneticPr fontId="2" type="noConversion"/>
  </si>
  <si>
    <t>앞밑단 립 폭</t>
    <phoneticPr fontId="17" type="noConversion"/>
  </si>
  <si>
    <r>
      <t>앞중심기준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7" type="noConversion"/>
  </si>
  <si>
    <t>B-BOTTOM RIB WLDTH</t>
    <phoneticPr fontId="2" type="noConversion"/>
  </si>
  <si>
    <t>뒤밑단 립 폭</t>
    <phoneticPr fontId="17" type="noConversion"/>
  </si>
  <si>
    <t>뒤중심기준</t>
    <phoneticPr fontId="17" type="noConversion"/>
  </si>
  <si>
    <t>YKK</t>
    <phoneticPr fontId="1" type="noConversion"/>
  </si>
  <si>
    <t>옆목점에서 수직</t>
    <phoneticPr fontId="17" type="noConversion"/>
  </si>
  <si>
    <r>
      <t>앞중심에서</t>
    </r>
    <r>
      <rPr>
        <sz val="7.5"/>
        <color rgb="FFFF0000"/>
        <rFont val="맑은 고딕"/>
        <family val="3"/>
        <charset val="129"/>
        <scheme val="minor"/>
      </rPr>
      <t xml:space="preserve"> (지퍼제외)</t>
    </r>
    <phoneticPr fontId="17" type="noConversion"/>
  </si>
  <si>
    <r>
      <t>목라인(NECK LINE)을 따라 잰 곡선의 둘레길이</t>
    </r>
    <r>
      <rPr>
        <sz val="7.5"/>
        <color rgb="FFFF0000"/>
        <rFont val="맑은 고딕"/>
        <family val="3"/>
        <charset val="129"/>
        <scheme val="minor"/>
      </rPr>
      <t>(지퍼제외)</t>
    </r>
    <phoneticPr fontId="1" type="noConversion"/>
  </si>
  <si>
    <t>HOOD STRING</t>
    <phoneticPr fontId="2" type="noConversion"/>
  </si>
  <si>
    <t>후드 스트링</t>
    <phoneticPr fontId="17" type="noConversion"/>
  </si>
  <si>
    <t>노출길이=좌/우 20cm 포함 (총:40cm)</t>
    <phoneticPr fontId="17" type="noConversion"/>
  </si>
  <si>
    <t>STYLE NO: GZSTO01-K#H27</t>
    <phoneticPr fontId="1" type="noConversion"/>
  </si>
  <si>
    <r>
      <t>앞중심에서</t>
    </r>
    <r>
      <rPr>
        <sz val="7.5"/>
        <color rgb="FFFF0000"/>
        <rFont val="맑은 고딕"/>
        <family val="3"/>
        <charset val="129"/>
        <scheme val="minor"/>
      </rPr>
      <t xml:space="preserve"> </t>
    </r>
    <phoneticPr fontId="17" type="noConversion"/>
  </si>
  <si>
    <t>BOTTOM LENGTH</t>
    <phoneticPr fontId="2" type="noConversion"/>
  </si>
  <si>
    <t>밑단배색 기장</t>
    <phoneticPr fontId="17" type="noConversion"/>
  </si>
  <si>
    <t>보이는부분</t>
    <phoneticPr fontId="17" type="noConversion"/>
  </si>
  <si>
    <t>F-NECK LENGTH</t>
    <phoneticPr fontId="2" type="noConversion"/>
  </si>
  <si>
    <t>앞넥 배색 기장</t>
    <phoneticPr fontId="17" type="noConversion"/>
  </si>
  <si>
    <r>
      <t>옆목점에서 앞목중심</t>
    </r>
    <r>
      <rPr>
        <sz val="7.5"/>
        <color rgb="FFFF0000"/>
        <rFont val="맑은 고딕"/>
        <family val="3"/>
        <charset val="129"/>
        <scheme val="minor"/>
      </rPr>
      <t>(배색랍빠선)</t>
    </r>
    <r>
      <rPr>
        <sz val="7.5"/>
        <rFont val="맑은 고딕"/>
        <family val="3"/>
        <charset val="129"/>
        <scheme val="minor"/>
      </rPr>
      <t xml:space="preserve">의 수직 길이 </t>
    </r>
    <r>
      <rPr>
        <sz val="7.5"/>
        <color indexed="10"/>
        <rFont val="맑은 고딕"/>
        <family val="3"/>
        <charset val="129"/>
      </rPr>
      <t>(샘플사이즈)</t>
    </r>
    <phoneticPr fontId="1" type="noConversion"/>
  </si>
  <si>
    <t>STYLE NO: GZSTO05-K#R34</t>
    <phoneticPr fontId="1" type="noConversion"/>
  </si>
  <si>
    <r>
      <t xml:space="preserve">보이는부분 </t>
    </r>
    <r>
      <rPr>
        <sz val="7.5"/>
        <color rgb="FFFF0000"/>
        <rFont val="맑은 고딕"/>
        <family val="3"/>
        <charset val="129"/>
        <scheme val="minor"/>
      </rPr>
      <t>(중심)</t>
    </r>
    <phoneticPr fontId="17" type="noConversion"/>
  </si>
  <si>
    <t xml:space="preserve">옆목점에서 앞목중심의 수직 길이 </t>
    <phoneticPr fontId="1" type="noConversion"/>
  </si>
  <si>
    <t>STYLE NO: GZSTO04-K#R29</t>
    <phoneticPr fontId="1" type="noConversion"/>
  </si>
  <si>
    <t>STYLE NO: GZSOU04-S#H41(니트)</t>
    <phoneticPr fontId="1" type="noConversion"/>
  </si>
  <si>
    <t>COLLARS RIB WIDTH</t>
    <phoneticPr fontId="2" type="noConversion"/>
  </si>
  <si>
    <t>카라립 폭</t>
    <phoneticPr fontId="17" type="noConversion"/>
  </si>
  <si>
    <t>FRONT ZIPPER LENGTH</t>
    <phoneticPr fontId="17" type="noConversion"/>
  </si>
  <si>
    <t>앞지퍼길이</t>
    <phoneticPr fontId="17" type="noConversion"/>
  </si>
  <si>
    <t>STYLE NO: GZSOU05-S#R41(니트)</t>
    <phoneticPr fontId="1" type="noConversion"/>
  </si>
  <si>
    <t>HOOD STRING LENGTH</t>
    <phoneticPr fontId="17" type="noConversion"/>
  </si>
  <si>
    <t>후드흐트링길이</t>
    <phoneticPr fontId="17" type="noConversion"/>
  </si>
  <si>
    <t>노출길이= 18cm</t>
    <phoneticPr fontId="17" type="noConversion"/>
  </si>
  <si>
    <t>STYLE NO: GZSTO11-K#H42</t>
    <phoneticPr fontId="1" type="noConversion"/>
  </si>
  <si>
    <t>STYLE NO: GZSOU03-K#H40</t>
    <phoneticPr fontId="1" type="noConversion"/>
  </si>
  <si>
    <t xml:space="preserve">앞중심에서 </t>
    <phoneticPr fontId="17" type="noConversion"/>
  </si>
  <si>
    <t>STYLE NO: GZSTO13-K#H47</t>
    <phoneticPr fontId="1" type="noConversion"/>
  </si>
  <si>
    <r>
      <t>어깨 양끝점을 수평으로 잰 길이</t>
    </r>
    <r>
      <rPr>
        <sz val="7.5"/>
        <color rgb="FFFF0000"/>
        <rFont val="맑은 고딕"/>
        <family val="3"/>
        <charset val="129"/>
        <scheme val="minor"/>
      </rPr>
      <t>(랍빠양쪽끝)</t>
    </r>
    <phoneticPr fontId="1" type="noConversion"/>
  </si>
  <si>
    <r>
      <t xml:space="preserve">옆목점을 수평으로 잰 길이 </t>
    </r>
    <r>
      <rPr>
        <sz val="7.5"/>
        <color indexed="10"/>
        <rFont val="맑은 고딕"/>
        <family val="3"/>
        <charset val="129"/>
      </rPr>
      <t>(샘플사이즈-랍빠양쪽끝)</t>
    </r>
    <phoneticPr fontId="1" type="noConversion"/>
  </si>
  <si>
    <r>
      <t xml:space="preserve">옆목점에서 앞목중심의 수직 길이 </t>
    </r>
    <r>
      <rPr>
        <sz val="7.5"/>
        <color indexed="10"/>
        <rFont val="맑은 고딕"/>
        <family val="3"/>
        <charset val="129"/>
      </rPr>
      <t>(샘플사이즈-랍빠끝)</t>
    </r>
    <phoneticPr fontId="1" type="noConversion"/>
  </si>
  <si>
    <r>
      <t xml:space="preserve">ROUND ,@ NECK SEWING  LINE </t>
    </r>
    <r>
      <rPr>
        <sz val="7.5"/>
        <color rgb="FFFF0000"/>
        <rFont val="맑은 고딕"/>
        <family val="3"/>
        <charset val="129"/>
        <scheme val="minor"/>
      </rPr>
      <t>(랍빠끝둘레)</t>
    </r>
    <phoneticPr fontId="1" type="noConversion"/>
  </si>
  <si>
    <t>STYLE NO: GZSTO15-K#R38</t>
    <phoneticPr fontId="1" type="noConversion"/>
  </si>
  <si>
    <r>
      <t xml:space="preserve">옆목점에서 밑단까지의 직선길이 </t>
    </r>
    <r>
      <rPr>
        <sz val="7.5"/>
        <color rgb="FFFF0000"/>
        <rFont val="맑은 고딕"/>
        <family val="3"/>
        <charset val="129"/>
        <scheme val="minor"/>
      </rPr>
      <t>(뒷판기준)</t>
    </r>
    <phoneticPr fontId="1" type="noConversion"/>
  </si>
  <si>
    <t>STYLE NO: GZSPT06-D#R42(완사입)</t>
    <phoneticPr fontId="1" type="noConversion"/>
  </si>
  <si>
    <t>STYLE NO: GZSPT03-K#H39</t>
    <phoneticPr fontId="1" type="noConversion"/>
  </si>
  <si>
    <t>노출길이=좌/우 20cm 포함</t>
    <phoneticPr fontId="17" type="noConversion"/>
  </si>
  <si>
    <t>STYLE NO: GZSTO12-K#H43</t>
    <phoneticPr fontId="1" type="noConversion"/>
  </si>
  <si>
    <t>겉-총장</t>
    <phoneticPr fontId="17" type="noConversion"/>
  </si>
  <si>
    <t>STYLE NO: GZSTO14-K#R39</t>
    <phoneticPr fontId="1" type="noConversion"/>
  </si>
  <si>
    <r>
      <t>와끼선의 밑단 양끝점을 수평으로 잰 길이</t>
    </r>
    <r>
      <rPr>
        <sz val="7.5"/>
        <color rgb="FFFF0000"/>
        <rFont val="맑은 고딕"/>
        <family val="3"/>
        <charset val="129"/>
        <scheme val="minor"/>
      </rPr>
      <t>(배색B)</t>
    </r>
    <phoneticPr fontId="1" type="noConversion"/>
  </si>
  <si>
    <t>BOTTOM 6G BAND</t>
    <phoneticPr fontId="2" type="noConversion"/>
  </si>
  <si>
    <t>밑단6골밴드</t>
    <phoneticPr fontId="17" type="noConversion"/>
  </si>
  <si>
    <t>완성사이즈 (주원단)</t>
    <phoneticPr fontId="17" type="noConversion"/>
  </si>
  <si>
    <t>앞넥중심에서 수직</t>
    <phoneticPr fontId="17" type="noConversion"/>
  </si>
  <si>
    <t>어깨끈길이</t>
    <phoneticPr fontId="17" type="noConversion"/>
  </si>
  <si>
    <t>BOTTOM TOTAL LENGTH</t>
    <phoneticPr fontId="17" type="noConversion"/>
  </si>
  <si>
    <t>밑단 기장</t>
    <phoneticPr fontId="17" type="noConversion"/>
  </si>
  <si>
    <r>
      <t xml:space="preserve">와끼기준 </t>
    </r>
    <r>
      <rPr>
        <sz val="7.5"/>
        <color rgb="FFFF0000"/>
        <rFont val="맑은 고딕"/>
        <family val="3"/>
        <charset val="129"/>
        <scheme val="minor"/>
      </rPr>
      <t>(배색B)</t>
    </r>
    <phoneticPr fontId="17" type="noConversion"/>
  </si>
  <si>
    <t>STYLE NO: GZSPT07-K#R40</t>
    <phoneticPr fontId="1" type="noConversion"/>
  </si>
  <si>
    <t>노출길이=좌/우 18cm 포함</t>
    <phoneticPr fontId="1" type="noConversion"/>
  </si>
  <si>
    <t>앞옆넥에서 요크절개선까지 수직으로 잰 길이</t>
    <phoneticPr fontId="17" type="noConversion"/>
  </si>
  <si>
    <t>뒷옆넥에서 요크절개선까지 수직으로 잰 길이</t>
    <phoneticPr fontId="17" type="noConversion"/>
  </si>
  <si>
    <t>S</t>
    <phoneticPr fontId="17" type="noConversion"/>
  </si>
  <si>
    <t>단작끝에서</t>
    <phoneticPr fontId="17" type="noConversion"/>
  </si>
  <si>
    <t>4골고무줄</t>
    <phoneticPr fontId="17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</si>
  <si>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(배색)</t>
    </r>
    <phoneticPr fontId="1" type="noConversion"/>
  </si>
  <si>
    <r>
      <t xml:space="preserve">암홀 겨드랑이 지점에서 수평으로 잰 길이 </t>
    </r>
    <r>
      <rPr>
        <sz val="7.5"/>
        <color rgb="FFFF0000"/>
        <rFont val="맑은 고딕"/>
        <family val="3"/>
        <charset val="129"/>
        <scheme val="minor"/>
      </rPr>
      <t>(앞판)</t>
    </r>
    <phoneticPr fontId="1" type="noConversion"/>
  </si>
  <si>
    <r>
      <t xml:space="preserve">와끼선의 밑단 양끝점을 수평으로 잰 길이 </t>
    </r>
    <r>
      <rPr>
        <sz val="7.5"/>
        <color rgb="FFFF0000"/>
        <rFont val="맑은 고딕"/>
        <family val="3"/>
        <charset val="129"/>
        <scheme val="minor"/>
      </rPr>
      <t>(앞판)</t>
    </r>
    <phoneticPr fontId="1" type="noConversion"/>
  </si>
  <si>
    <t>에리립옆목점에서 배색밑단까지의 직선길이</t>
    <phoneticPr fontId="1" type="noConversion"/>
  </si>
  <si>
    <t>SHOULDER STRAP LENGTH</t>
    <phoneticPr fontId="17" type="noConversion"/>
  </si>
  <si>
    <t>짧은쪽-보이는부분</t>
    <phoneticPr fontId="17" type="noConversion"/>
  </si>
  <si>
    <t>긴쪽-보이는부분</t>
    <phoneticPr fontId="17" type="noConversion"/>
  </si>
  <si>
    <t>M사이즈=나나단추간격 = 16cm</t>
    <phoneticPr fontId="17" type="noConversion"/>
  </si>
  <si>
    <t>엉덩이둘레(주름펴서)</t>
    <phoneticPr fontId="17" type="noConversion"/>
  </si>
  <si>
    <t>M사이즈=나나단추간격 = 20cm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</si>
</sst>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7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color theme="0" tint="-4.9989318521683403E-2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8" fillId="0" borderId="0">
      <alignment vertical="center"/>
    </xf>
  </cellStyleXfs>
  <cellXfs count="14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9" fillId="0" borderId="3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3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9" fillId="3" borderId="8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9" fillId="3" borderId="10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34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3" borderId="48" xfId="0" applyFont="1" applyFill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12" fillId="0" borderId="45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45" xfId="0" applyFont="1" applyBorder="1" applyAlignment="1">
      <alignment horizontal="left" vertical="center" wrapText="1"/>
    </xf>
    <xf numFmtId="0" fontId="12" fillId="0" borderId="47" xfId="0" applyFont="1" applyBorder="1" applyAlignment="1">
      <alignment horizontal="left" vertical="center" wrapText="1"/>
    </xf>
    <xf numFmtId="0" fontId="12" fillId="0" borderId="46" xfId="0" applyFont="1" applyBorder="1" applyAlignment="1">
      <alignment horizontal="left" vertical="center" wrapText="1"/>
    </xf>
    <xf numFmtId="0" fontId="9" fillId="2" borderId="48" xfId="0" applyFont="1" applyFill="1" applyBorder="1" applyAlignment="1">
      <alignment horizontal="center" vertical="center"/>
    </xf>
    <xf numFmtId="0" fontId="12" fillId="0" borderId="49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9" fillId="0" borderId="38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left" vertical="center"/>
    </xf>
    <xf numFmtId="0" fontId="15" fillId="0" borderId="21" xfId="0" applyFont="1" applyBorder="1" applyAlignment="1">
      <alignment horizontal="left" vertical="center"/>
    </xf>
    <xf numFmtId="0" fontId="15" fillId="0" borderId="20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13" fillId="0" borderId="27" xfId="0" applyFont="1" applyBorder="1" applyAlignment="1">
      <alignment horizontal="left" vertical="center"/>
    </xf>
    <xf numFmtId="0" fontId="13" fillId="0" borderId="29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</cellXfs>
  <cellStyles count="3">
    <cellStyle name="표준" xfId="0" builtinId="0"/>
    <cellStyle name="표준 2" xfId="1" xr:uid="{CD8A8543-CAE2-4172-95C6-682EBB052837}"/>
    <cellStyle name="표준 2 2" xfId="2" xr:uid="{4513A2C9-5C13-40EA-B412-56D1200336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188A-3F18-437E-B29D-0DAA7EFD8866}">
  <sheetPr>
    <tabColor rgb="FF92D050"/>
    <pageSetUpPr fitToPage="1"/>
  </sheetPr>
  <dimension ref="A1:P190"/>
  <sheetViews>
    <sheetView zoomScale="110" zoomScaleNormal="110" zoomScalePageLayoutView="30" workbookViewId="0">
      <selection activeCell="Q22" sqref="Q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54" t="s">
        <v>189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6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6" s="2" customFormat="1" ht="13.5" customHeight="1" x14ac:dyDescent="0.3">
      <c r="A3" s="58">
        <v>1</v>
      </c>
      <c r="B3" s="20" t="s">
        <v>95</v>
      </c>
      <c r="C3" s="21"/>
      <c r="D3" s="22" t="s">
        <v>94</v>
      </c>
      <c r="E3" s="23"/>
      <c r="F3" s="23"/>
      <c r="G3" s="24"/>
      <c r="H3" s="60">
        <f>SUM(I3)-2.9</f>
        <v>46.6</v>
      </c>
      <c r="I3" s="59">
        <v>49.5</v>
      </c>
      <c r="J3" s="60">
        <f>SUM(I3)+2.9</f>
        <v>52.4</v>
      </c>
      <c r="K3" s="60"/>
      <c r="L3" s="60"/>
      <c r="M3" s="61"/>
    </row>
    <row r="4" spans="1:16" s="2" customFormat="1" ht="13.5" customHeight="1" x14ac:dyDescent="0.3">
      <c r="A4" s="26"/>
      <c r="B4" s="47" t="s">
        <v>60</v>
      </c>
      <c r="C4" s="47"/>
      <c r="D4" s="44" t="s">
        <v>93</v>
      </c>
      <c r="E4" s="41"/>
      <c r="F4" s="41"/>
      <c r="G4" s="41"/>
      <c r="H4" s="10"/>
      <c r="I4" s="33"/>
      <c r="J4" s="10"/>
      <c r="K4" s="10"/>
      <c r="L4" s="8"/>
      <c r="M4" s="37"/>
    </row>
    <row r="5" spans="1:16" s="2" customFormat="1" ht="13.5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8">
        <f>SUM(I5)-2.4</f>
        <v>53.6</v>
      </c>
      <c r="I5" s="35">
        <v>56</v>
      </c>
      <c r="J5" s="8">
        <f>SUM(I5)+2.4</f>
        <v>58.4</v>
      </c>
      <c r="K5" s="8"/>
      <c r="L5" s="10"/>
      <c r="M5" s="46"/>
    </row>
    <row r="6" spans="1:16" s="2" customFormat="1" ht="13.5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6" s="2" customFormat="1" ht="13.5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8">
        <f>SUM(I7)-2.5</f>
        <v>55.5</v>
      </c>
      <c r="I7" s="35">
        <v>58</v>
      </c>
      <c r="J7" s="8">
        <f>SUM(I7)+2.5</f>
        <v>60.5</v>
      </c>
      <c r="K7" s="8"/>
      <c r="L7" s="10"/>
      <c r="M7" s="53"/>
    </row>
    <row r="8" spans="1:16" s="2" customFormat="1" ht="13.5" customHeight="1" x14ac:dyDescent="0.3">
      <c r="A8" s="26"/>
      <c r="B8" s="47" t="s">
        <v>23</v>
      </c>
      <c r="C8" s="47"/>
      <c r="D8" s="44" t="s">
        <v>190</v>
      </c>
      <c r="E8" s="41"/>
      <c r="F8" s="41"/>
      <c r="G8" s="42"/>
      <c r="H8" s="36"/>
      <c r="I8" s="43"/>
      <c r="J8" s="36"/>
      <c r="K8" s="36"/>
      <c r="L8" s="10"/>
      <c r="M8" s="53"/>
    </row>
    <row r="9" spans="1:16" s="2" customFormat="1" ht="13.5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SUM(I9)-2.5</f>
        <v>55.5</v>
      </c>
      <c r="I9" s="35">
        <v>58</v>
      </c>
      <c r="J9" s="8">
        <f>SUM(I9)+2.5</f>
        <v>60.5</v>
      </c>
      <c r="K9" s="8"/>
      <c r="L9" s="10"/>
      <c r="M9" s="46"/>
      <c r="P9" s="6" t="s">
        <v>205</v>
      </c>
    </row>
    <row r="10" spans="1:16" s="2" customFormat="1" ht="13.5" customHeight="1" x14ac:dyDescent="0.3">
      <c r="A10" s="26"/>
      <c r="B10" s="47" t="s">
        <v>13</v>
      </c>
      <c r="C10" s="47"/>
      <c r="D10" s="44" t="s">
        <v>191</v>
      </c>
      <c r="E10" s="41"/>
      <c r="F10" s="41"/>
      <c r="G10" s="42"/>
      <c r="H10" s="36"/>
      <c r="I10" s="43"/>
      <c r="J10" s="36"/>
      <c r="K10" s="36"/>
      <c r="L10" s="10"/>
      <c r="M10" s="46"/>
      <c r="P10" s="6">
        <f>SUM(H23+H23+I23+I23+J23+J23)/91.44/3*1.08</f>
        <v>0.44881889763779537</v>
      </c>
    </row>
    <row r="11" spans="1:16" s="2" customFormat="1" ht="13.5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8">
        <f>SUM(I11)-1</f>
        <v>22.4</v>
      </c>
      <c r="I11" s="33">
        <v>23.4</v>
      </c>
      <c r="J11" s="8">
        <f>SUM(I11)+1</f>
        <v>24.4</v>
      </c>
      <c r="K11" s="8"/>
      <c r="L11" s="10"/>
      <c r="M11" s="46"/>
      <c r="P11" s="6" t="s">
        <v>206</v>
      </c>
    </row>
    <row r="12" spans="1:16" s="2" customFormat="1" ht="13.5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36"/>
      <c r="I12" s="33"/>
      <c r="J12" s="36"/>
      <c r="K12" s="36"/>
      <c r="L12" s="10"/>
      <c r="M12" s="46"/>
      <c r="P12" s="6">
        <f>SUM(H25+H25+I25+I25+J25+J25+H29+I29+J29)/91.44/3*1.08</f>
        <v>0.81496062992125984</v>
      </c>
    </row>
    <row r="13" spans="1:16" s="2" customFormat="1" ht="13.5" customHeight="1" x14ac:dyDescent="0.3">
      <c r="A13" s="26">
        <v>6</v>
      </c>
      <c r="B13" s="48" t="s">
        <v>1</v>
      </c>
      <c r="C13" s="48"/>
      <c r="D13" s="49" t="s">
        <v>2</v>
      </c>
      <c r="E13" s="49"/>
      <c r="F13" s="49"/>
      <c r="G13" s="49"/>
      <c r="H13" s="10">
        <f>SUM(I13)-0.6</f>
        <v>18.7</v>
      </c>
      <c r="I13" s="33">
        <v>19.3</v>
      </c>
      <c r="J13" s="10">
        <f>SUM(I13)+0.6</f>
        <v>19.900000000000002</v>
      </c>
      <c r="K13" s="10"/>
      <c r="L13" s="10"/>
      <c r="M13" s="46"/>
      <c r="P13" s="6" t="s">
        <v>207</v>
      </c>
    </row>
    <row r="14" spans="1:16" s="2" customFormat="1" ht="13.5" customHeight="1" x14ac:dyDescent="0.3">
      <c r="A14" s="26"/>
      <c r="B14" s="47" t="s">
        <v>15</v>
      </c>
      <c r="C14" s="47"/>
      <c r="D14" s="44" t="s">
        <v>92</v>
      </c>
      <c r="E14" s="41"/>
      <c r="F14" s="41"/>
      <c r="G14" s="42"/>
      <c r="H14" s="10"/>
      <c r="I14" s="33"/>
      <c r="J14" s="10"/>
      <c r="K14" s="10"/>
      <c r="L14" s="10"/>
      <c r="M14" s="46"/>
      <c r="P14" s="6">
        <f>SUM(H33+I33+J33)/91.44/3*1.08</f>
        <v>1.6417322834645671</v>
      </c>
    </row>
    <row r="15" spans="1:16" s="2" customFormat="1" ht="13.5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10">
        <f>SUM(I15)-0.3</f>
        <v>7.7</v>
      </c>
      <c r="I15" s="33">
        <v>8</v>
      </c>
      <c r="J15" s="10">
        <f>SUM(I15)+0.3</f>
        <v>8.3000000000000007</v>
      </c>
      <c r="K15" s="10"/>
      <c r="L15" s="10"/>
      <c r="M15" s="46"/>
    </row>
    <row r="16" spans="1:16" s="2" customFormat="1" ht="13.5" customHeight="1" x14ac:dyDescent="0.3">
      <c r="A16" s="26"/>
      <c r="B16" s="47" t="s">
        <v>16</v>
      </c>
      <c r="C16" s="47"/>
      <c r="D16" s="44" t="s">
        <v>91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4" s="2" customFormat="1" ht="13.5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10">
        <f>SUM(I17)-1.6</f>
        <v>47.1</v>
      </c>
      <c r="I17" s="33">
        <v>48.7</v>
      </c>
      <c r="J17" s="10">
        <f>SUM(I17)+1.6</f>
        <v>50.300000000000004</v>
      </c>
      <c r="K17" s="10"/>
      <c r="L17" s="10"/>
      <c r="M17" s="46"/>
    </row>
    <row r="18" spans="1:14" s="2" customFormat="1" ht="13.5" customHeight="1" x14ac:dyDescent="0.3">
      <c r="A18" s="26"/>
      <c r="B18" s="47" t="s">
        <v>57</v>
      </c>
      <c r="C18" s="47"/>
      <c r="D18" s="44" t="s">
        <v>96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4" s="2" customFormat="1" ht="13.5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10">
        <f>SUM(I19)-2.8</f>
        <v>42.7</v>
      </c>
      <c r="I19" s="33">
        <v>45.5</v>
      </c>
      <c r="J19" s="10">
        <f>SUM(I19)+2.8</f>
        <v>48.3</v>
      </c>
      <c r="K19" s="10"/>
      <c r="L19" s="10"/>
      <c r="M19" s="46"/>
    </row>
    <row r="20" spans="1:14" s="2" customFormat="1" ht="13.5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10"/>
      <c r="I20" s="33"/>
      <c r="J20" s="10"/>
      <c r="K20" s="10"/>
      <c r="L20" s="10"/>
      <c r="M20" s="46"/>
    </row>
    <row r="21" spans="1:14" s="2" customFormat="1" ht="13.5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10">
        <f>SUM(I21)-1.9</f>
        <v>42.300000000000004</v>
      </c>
      <c r="I21" s="33">
        <v>44.2</v>
      </c>
      <c r="J21" s="10">
        <f>SUM(I21)+1.9</f>
        <v>46.1</v>
      </c>
      <c r="K21" s="10"/>
      <c r="L21" s="10"/>
      <c r="M21" s="46"/>
    </row>
    <row r="22" spans="1:14" s="2" customFormat="1" ht="13.5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4" s="2" customFormat="1" ht="13.5" customHeight="1" x14ac:dyDescent="0.3">
      <c r="A23" s="26">
        <v>11</v>
      </c>
      <c r="B23" s="28" t="s">
        <v>162</v>
      </c>
      <c r="C23" s="29"/>
      <c r="D23" s="49"/>
      <c r="E23" s="49"/>
      <c r="F23" s="49"/>
      <c r="G23" s="49"/>
      <c r="H23" s="10">
        <f>SUM(I23)-0.8</f>
        <v>18.2</v>
      </c>
      <c r="I23" s="33">
        <v>19</v>
      </c>
      <c r="J23" s="10">
        <f>SUM(I23)+0.8</f>
        <v>19.8</v>
      </c>
      <c r="K23" s="10"/>
      <c r="L23" s="10"/>
      <c r="M23" s="46"/>
    </row>
    <row r="24" spans="1:14" s="2" customFormat="1" ht="13.5" customHeight="1" x14ac:dyDescent="0.3">
      <c r="A24" s="26"/>
      <c r="B24" s="47" t="s">
        <v>192</v>
      </c>
      <c r="C24" s="47"/>
      <c r="D24" s="44" t="s">
        <v>193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4" ht="13.5" customHeight="1" x14ac:dyDescent="0.3">
      <c r="A25" s="26">
        <v>12</v>
      </c>
      <c r="B25" s="28" t="s">
        <v>194</v>
      </c>
      <c r="C25" s="29"/>
      <c r="D25" s="49"/>
      <c r="E25" s="49"/>
      <c r="F25" s="49"/>
      <c r="G25" s="49"/>
      <c r="H25" s="8">
        <f>SUM(I25)-0.5</f>
        <v>13.5</v>
      </c>
      <c r="I25" s="35">
        <v>14</v>
      </c>
      <c r="J25" s="8">
        <f>SUM(I25)+0.5</f>
        <v>14.5</v>
      </c>
      <c r="K25" s="8"/>
      <c r="L25" s="8"/>
      <c r="M25" s="12"/>
    </row>
    <row r="26" spans="1:14" ht="13.5" customHeight="1" x14ac:dyDescent="0.3">
      <c r="A26" s="26"/>
      <c r="B26" s="38" t="s">
        <v>195</v>
      </c>
      <c r="C26" s="39"/>
      <c r="D26" s="40" t="s">
        <v>196</v>
      </c>
      <c r="E26" s="41"/>
      <c r="F26" s="41"/>
      <c r="G26" s="42"/>
      <c r="H26" s="36"/>
      <c r="I26" s="43"/>
      <c r="J26" s="36"/>
      <c r="K26" s="36"/>
      <c r="L26" s="36"/>
      <c r="M26" s="37"/>
    </row>
    <row r="27" spans="1:14" ht="13.5" customHeight="1" x14ac:dyDescent="0.3">
      <c r="A27" s="26">
        <v>13</v>
      </c>
      <c r="B27" s="48" t="s">
        <v>90</v>
      </c>
      <c r="C27" s="48"/>
      <c r="D27" s="49"/>
      <c r="E27" s="49"/>
      <c r="F27" s="49"/>
      <c r="G27" s="49"/>
      <c r="H27" s="45">
        <f>SUM(I27)-0.2</f>
        <v>6.8</v>
      </c>
      <c r="I27" s="33">
        <v>7</v>
      </c>
      <c r="J27" s="45">
        <f>SUM(I27)+0.2</f>
        <v>7.2</v>
      </c>
      <c r="K27" s="45"/>
      <c r="L27" s="10"/>
      <c r="M27" s="46"/>
    </row>
    <row r="28" spans="1:14" ht="13.5" customHeight="1" x14ac:dyDescent="0.3">
      <c r="A28" s="26"/>
      <c r="B28" s="47" t="s">
        <v>89</v>
      </c>
      <c r="C28" s="47"/>
      <c r="D28" s="44" t="s">
        <v>88</v>
      </c>
      <c r="E28" s="41"/>
      <c r="F28" s="41"/>
      <c r="G28" s="42"/>
      <c r="H28" s="45"/>
      <c r="I28" s="33"/>
      <c r="J28" s="45"/>
      <c r="K28" s="45"/>
      <c r="L28" s="10"/>
      <c r="M28" s="46"/>
    </row>
    <row r="29" spans="1:14" s="2" customFormat="1" ht="13.5" customHeight="1" x14ac:dyDescent="0.3">
      <c r="A29" s="26">
        <v>14</v>
      </c>
      <c r="B29" s="48" t="s">
        <v>203</v>
      </c>
      <c r="C29" s="48"/>
      <c r="D29" s="49"/>
      <c r="E29" s="49"/>
      <c r="F29" s="49"/>
      <c r="G29" s="49"/>
      <c r="H29" s="8">
        <f>SUM(I29)-1.5</f>
        <v>39.5</v>
      </c>
      <c r="I29" s="35">
        <v>41</v>
      </c>
      <c r="J29" s="8">
        <f>SUM(I29)+1.5</f>
        <v>42.5</v>
      </c>
      <c r="K29" s="8"/>
      <c r="L29" s="8"/>
      <c r="M29" s="12"/>
      <c r="N29"/>
    </row>
    <row r="30" spans="1:14" s="2" customFormat="1" ht="13.5" customHeight="1" x14ac:dyDescent="0.3">
      <c r="A30" s="26"/>
      <c r="B30" s="47" t="s">
        <v>204</v>
      </c>
      <c r="C30" s="47"/>
      <c r="D30" s="40" t="s">
        <v>196</v>
      </c>
      <c r="E30" s="41"/>
      <c r="F30" s="41"/>
      <c r="G30" s="42"/>
      <c r="H30" s="36"/>
      <c r="I30" s="43"/>
      <c r="J30" s="36"/>
      <c r="K30" s="36"/>
      <c r="L30" s="36"/>
      <c r="M30" s="37"/>
      <c r="N30"/>
    </row>
    <row r="31" spans="1:14" s="2" customFormat="1" ht="13.5" customHeight="1" x14ac:dyDescent="0.3">
      <c r="A31" s="26">
        <v>15</v>
      </c>
      <c r="B31" s="28" t="s">
        <v>136</v>
      </c>
      <c r="C31" s="29"/>
      <c r="D31" s="30"/>
      <c r="E31" s="31"/>
      <c r="F31" s="31"/>
      <c r="G31" s="32"/>
      <c r="H31" s="8">
        <f>SUM(I31)-0.4</f>
        <v>8.1</v>
      </c>
      <c r="I31" s="35">
        <v>8.5</v>
      </c>
      <c r="J31" s="8">
        <f>SUM(I31)+0.4</f>
        <v>8.9</v>
      </c>
      <c r="K31" s="8"/>
      <c r="L31" s="8"/>
      <c r="M31" s="12"/>
    </row>
    <row r="32" spans="1:14" s="2" customFormat="1" ht="13.5" customHeight="1" x14ac:dyDescent="0.3">
      <c r="A32" s="26"/>
      <c r="B32" s="38" t="s">
        <v>135</v>
      </c>
      <c r="C32" s="39"/>
      <c r="D32" s="44" t="s">
        <v>197</v>
      </c>
      <c r="E32" s="41"/>
      <c r="F32" s="41"/>
      <c r="G32" s="42"/>
      <c r="H32" s="36"/>
      <c r="I32" s="43"/>
      <c r="J32" s="36"/>
      <c r="K32" s="36"/>
      <c r="L32" s="36"/>
      <c r="M32" s="37"/>
    </row>
    <row r="33" spans="1:14" s="2" customFormat="1" ht="13.5" customHeight="1" x14ac:dyDescent="0.3">
      <c r="A33" s="26">
        <v>16</v>
      </c>
      <c r="B33" s="28" t="s">
        <v>160</v>
      </c>
      <c r="C33" s="29"/>
      <c r="D33" s="30"/>
      <c r="E33" s="31"/>
      <c r="F33" s="31"/>
      <c r="G33" s="32"/>
      <c r="H33" s="8">
        <f>SUM(I33)-5</f>
        <v>134</v>
      </c>
      <c r="I33" s="35">
        <v>139</v>
      </c>
      <c r="J33" s="8">
        <f>SUM(I33)+5</f>
        <v>144</v>
      </c>
      <c r="K33" s="8"/>
      <c r="L33" s="8"/>
      <c r="M33" s="12"/>
    </row>
    <row r="34" spans="1:14" s="2" customFormat="1" ht="13.5" customHeight="1" x14ac:dyDescent="0.3">
      <c r="A34" s="26"/>
      <c r="B34" s="38" t="s">
        <v>161</v>
      </c>
      <c r="C34" s="39"/>
      <c r="D34" s="40" t="s">
        <v>198</v>
      </c>
      <c r="E34" s="41"/>
      <c r="F34" s="41"/>
      <c r="G34" s="42"/>
      <c r="H34" s="25"/>
      <c r="I34" s="43"/>
      <c r="J34" s="25"/>
      <c r="K34" s="25"/>
      <c r="L34" s="36"/>
      <c r="M34" s="37"/>
    </row>
    <row r="35" spans="1:14" s="2" customFormat="1" ht="13.5" customHeight="1" x14ac:dyDescent="0.3">
      <c r="A35" s="26">
        <v>17</v>
      </c>
      <c r="B35" s="28" t="s">
        <v>98</v>
      </c>
      <c r="C35" s="29"/>
      <c r="D35" s="30"/>
      <c r="E35" s="31"/>
      <c r="F35" s="31"/>
      <c r="G35" s="32"/>
      <c r="H35" s="10">
        <v>48</v>
      </c>
      <c r="I35" s="33">
        <v>51</v>
      </c>
      <c r="J35" s="10">
        <v>54</v>
      </c>
      <c r="K35" s="10"/>
      <c r="L35" s="8"/>
      <c r="M35" s="12"/>
    </row>
    <row r="36" spans="1:14" s="2" customFormat="1" ht="13.5" customHeight="1" x14ac:dyDescent="0.3">
      <c r="A36" s="26"/>
      <c r="B36" s="20" t="s">
        <v>97</v>
      </c>
      <c r="C36" s="21"/>
      <c r="D36" s="22" t="s">
        <v>151</v>
      </c>
      <c r="E36" s="23"/>
      <c r="F36" s="23"/>
      <c r="G36" s="24"/>
      <c r="H36" s="10"/>
      <c r="I36" s="35"/>
      <c r="J36" s="10"/>
      <c r="K36" s="10"/>
      <c r="L36" s="25"/>
      <c r="M36" s="19"/>
    </row>
    <row r="37" spans="1:14" s="2" customFormat="1" ht="13.5" customHeight="1" x14ac:dyDescent="0.3">
      <c r="A37" s="26">
        <v>18</v>
      </c>
      <c r="B37" s="28" t="s">
        <v>199</v>
      </c>
      <c r="C37" s="29"/>
      <c r="D37" s="30"/>
      <c r="E37" s="31"/>
      <c r="F37" s="31"/>
      <c r="G37" s="32"/>
      <c r="H37" s="8">
        <f>SUM(I37)-0.6</f>
        <v>16.2</v>
      </c>
      <c r="I37" s="33">
        <v>16.8</v>
      </c>
      <c r="J37" s="8">
        <f>SUM(I37)+0.6</f>
        <v>17.400000000000002</v>
      </c>
      <c r="K37" s="8"/>
      <c r="L37" s="10"/>
      <c r="M37" s="12"/>
    </row>
    <row r="38" spans="1:14" s="2" customFormat="1" ht="13.5" customHeight="1" x14ac:dyDescent="0.3">
      <c r="A38" s="26"/>
      <c r="B38" s="20" t="s">
        <v>200</v>
      </c>
      <c r="C38" s="21"/>
      <c r="D38" s="22" t="s">
        <v>318</v>
      </c>
      <c r="E38" s="23"/>
      <c r="F38" s="23"/>
      <c r="G38" s="24"/>
      <c r="H38" s="25"/>
      <c r="I38" s="35"/>
      <c r="J38" s="25"/>
      <c r="K38" s="25"/>
      <c r="L38" s="8"/>
      <c r="M38" s="19"/>
    </row>
    <row r="39" spans="1:14" ht="13.5" customHeight="1" x14ac:dyDescent="0.3">
      <c r="A39" s="26">
        <v>19</v>
      </c>
      <c r="B39" s="28" t="s">
        <v>201</v>
      </c>
      <c r="C39" s="29"/>
      <c r="D39" s="30"/>
      <c r="E39" s="31"/>
      <c r="F39" s="31"/>
      <c r="G39" s="32"/>
      <c r="H39" s="8">
        <f>SUM(I39)-0.6</f>
        <v>18.2</v>
      </c>
      <c r="I39" s="33">
        <v>18.8</v>
      </c>
      <c r="J39" s="8">
        <f>SUM(I39)+0.6</f>
        <v>19.400000000000002</v>
      </c>
      <c r="K39" s="8"/>
      <c r="L39" s="10"/>
      <c r="M39" s="12"/>
      <c r="N39" s="2"/>
    </row>
    <row r="40" spans="1:14" ht="13.5" customHeight="1" thickBot="1" x14ac:dyDescent="0.35">
      <c r="A40" s="27"/>
      <c r="B40" s="14" t="s">
        <v>202</v>
      </c>
      <c r="C40" s="15"/>
      <c r="D40" s="16" t="s">
        <v>319</v>
      </c>
      <c r="E40" s="17"/>
      <c r="F40" s="17"/>
      <c r="G40" s="18"/>
      <c r="H40" s="9"/>
      <c r="I40" s="34"/>
      <c r="J40" s="9"/>
      <c r="K40" s="9"/>
      <c r="L40" s="11"/>
      <c r="M40" s="13"/>
      <c r="N40" s="2"/>
    </row>
    <row r="41" spans="1:14" ht="16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4" ht="16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4" ht="16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4" ht="16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4" ht="16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4" ht="16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 ht="16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 ht="16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7" ht="16.5" customHeight="1" x14ac:dyDescent="0.3"/>
    <row r="50" spans="2:7" ht="16.5" customHeight="1" x14ac:dyDescent="0.3"/>
    <row r="51" spans="2:7" ht="16.5" customHeight="1" x14ac:dyDescent="0.3"/>
    <row r="52" spans="2:7" ht="16.5" customHeight="1" x14ac:dyDescent="0.3"/>
    <row r="53" spans="2:7" ht="16.5" customHeight="1" x14ac:dyDescent="0.3"/>
    <row r="54" spans="2:7" ht="16.5" customHeight="1" x14ac:dyDescent="0.3"/>
    <row r="55" spans="2:7" ht="16.5" customHeight="1" x14ac:dyDescent="0.3"/>
    <row r="56" spans="2:7" ht="16.5" customHeight="1" x14ac:dyDescent="0.3"/>
    <row r="57" spans="2:7" ht="16.5" customHeight="1" x14ac:dyDescent="0.3">
      <c r="B57" s="1"/>
      <c r="C57" s="1"/>
      <c r="D57" s="1"/>
      <c r="E57" s="1"/>
      <c r="F57" s="1"/>
      <c r="G57" s="1"/>
    </row>
    <row r="58" spans="2:7" ht="16.5" customHeight="1" x14ac:dyDescent="0.3">
      <c r="B58" s="1"/>
      <c r="C58" s="1"/>
      <c r="D58" s="1"/>
      <c r="E58" s="1"/>
      <c r="F58" s="1"/>
      <c r="G58" s="1"/>
    </row>
    <row r="59" spans="2:7" ht="16.5" customHeight="1" x14ac:dyDescent="0.3">
      <c r="B59" s="1"/>
      <c r="C59" s="1"/>
      <c r="D59" s="1"/>
      <c r="E59" s="1"/>
      <c r="F59" s="1"/>
      <c r="G59" s="1"/>
    </row>
    <row r="60" spans="2:7" ht="16.5" customHeight="1" x14ac:dyDescent="0.3">
      <c r="B60" s="1"/>
      <c r="C60" s="1"/>
      <c r="D60" s="1"/>
      <c r="E60" s="1"/>
      <c r="F60" s="1"/>
      <c r="G60" s="1"/>
    </row>
    <row r="61" spans="2:7" ht="16.5" customHeight="1" x14ac:dyDescent="0.3"/>
    <row r="62" spans="2:7" ht="16.5" customHeight="1" x14ac:dyDescent="0.3"/>
    <row r="63" spans="2:7" ht="16.5" customHeight="1" x14ac:dyDescent="0.3"/>
    <row r="64" spans="2:7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</sheetData>
  <mergeCells count="212">
    <mergeCell ref="A29:A30"/>
    <mergeCell ref="B29:C29"/>
    <mergeCell ref="D29:G29"/>
    <mergeCell ref="I29:I30"/>
    <mergeCell ref="J29:J30"/>
    <mergeCell ref="K29:K30"/>
    <mergeCell ref="L29:L30"/>
    <mergeCell ref="M29:M30"/>
    <mergeCell ref="B30:C30"/>
    <mergeCell ref="D30:G30"/>
    <mergeCell ref="H29:H30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H17:H18"/>
    <mergeCell ref="H19:H20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H21:H22"/>
    <mergeCell ref="H23:H24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H25:H26"/>
    <mergeCell ref="H27:H28"/>
    <mergeCell ref="L31:L32"/>
    <mergeCell ref="M31:M32"/>
    <mergeCell ref="B32:C32"/>
    <mergeCell ref="D32:G32"/>
    <mergeCell ref="A31:A32"/>
    <mergeCell ref="B31:C31"/>
    <mergeCell ref="D31:G31"/>
    <mergeCell ref="I31:I32"/>
    <mergeCell ref="J31:J32"/>
    <mergeCell ref="K31:K32"/>
    <mergeCell ref="H31:H32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H33:H34"/>
    <mergeCell ref="H35:H36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9:K40"/>
    <mergeCell ref="L39:L40"/>
    <mergeCell ref="M39:M40"/>
    <mergeCell ref="B40:C40"/>
    <mergeCell ref="D40:G40"/>
    <mergeCell ref="L37:L38"/>
    <mergeCell ref="M37:M38"/>
    <mergeCell ref="B38:C38"/>
    <mergeCell ref="D38:G38"/>
    <mergeCell ref="K37:K38"/>
    <mergeCell ref="H37:H38"/>
    <mergeCell ref="H39:H40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80DA-6E9D-4E6B-A8EB-4CB611E1CB75}">
  <sheetPr>
    <tabColor rgb="FF92D050"/>
    <pageSetUpPr fitToPage="1"/>
  </sheetPr>
  <dimension ref="A1:P190"/>
  <sheetViews>
    <sheetView zoomScale="110" zoomScaleNormal="110" zoomScalePageLayoutView="30" workbookViewId="0">
      <selection activeCell="Q29" sqref="Q2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54" t="s">
        <v>255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6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6" s="2" customFormat="1" ht="13.5" customHeight="1" x14ac:dyDescent="0.3">
      <c r="A3" s="58">
        <v>1</v>
      </c>
      <c r="B3" s="20" t="s">
        <v>95</v>
      </c>
      <c r="C3" s="21"/>
      <c r="D3" s="22" t="s">
        <v>94</v>
      </c>
      <c r="E3" s="23"/>
      <c r="F3" s="23"/>
      <c r="G3" s="24"/>
      <c r="H3" s="60">
        <f>SUM(I3)-2.9</f>
        <v>42.1</v>
      </c>
      <c r="I3" s="59">
        <v>45</v>
      </c>
      <c r="J3" s="60">
        <f>SUM(I3)+2.9</f>
        <v>47.9</v>
      </c>
      <c r="K3" s="60"/>
      <c r="L3" s="60"/>
      <c r="M3" s="61"/>
    </row>
    <row r="4" spans="1:16" s="2" customFormat="1" ht="13.5" customHeight="1" x14ac:dyDescent="0.3">
      <c r="A4" s="26"/>
      <c r="B4" s="47" t="s">
        <v>60</v>
      </c>
      <c r="C4" s="47"/>
      <c r="D4" s="44" t="s">
        <v>93</v>
      </c>
      <c r="E4" s="41"/>
      <c r="F4" s="41"/>
      <c r="G4" s="41"/>
      <c r="H4" s="10"/>
      <c r="I4" s="33"/>
      <c r="J4" s="10"/>
      <c r="K4" s="10"/>
      <c r="L4" s="8"/>
      <c r="M4" s="37"/>
    </row>
    <row r="5" spans="1:16" s="2" customFormat="1" ht="13.5" customHeight="1" x14ac:dyDescent="0.3">
      <c r="A5" s="26">
        <v>2</v>
      </c>
      <c r="B5" s="48" t="s">
        <v>21</v>
      </c>
      <c r="C5" s="48"/>
      <c r="D5" s="49" t="s">
        <v>22</v>
      </c>
      <c r="E5" s="49"/>
      <c r="F5" s="49"/>
      <c r="G5" s="49"/>
      <c r="H5" s="8">
        <f>SUM(I5)-2.6</f>
        <v>53.4</v>
      </c>
      <c r="I5" s="35">
        <v>56</v>
      </c>
      <c r="J5" s="8">
        <f>SUM(I5)+2.6</f>
        <v>58.6</v>
      </c>
      <c r="K5" s="8"/>
      <c r="L5" s="10"/>
      <c r="M5" s="46"/>
    </row>
    <row r="6" spans="1:16" s="2" customFormat="1" ht="13.5" customHeight="1" x14ac:dyDescent="0.3">
      <c r="A6" s="26"/>
      <c r="B6" s="47" t="s">
        <v>12</v>
      </c>
      <c r="C6" s="47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6" s="2" customFormat="1" ht="13.5" customHeight="1" x14ac:dyDescent="0.3">
      <c r="A7" s="26">
        <v>3</v>
      </c>
      <c r="B7" s="48" t="s">
        <v>20</v>
      </c>
      <c r="C7" s="48"/>
      <c r="D7" s="49" t="s">
        <v>72</v>
      </c>
      <c r="E7" s="49"/>
      <c r="F7" s="49"/>
      <c r="G7" s="49"/>
      <c r="H7" s="8">
        <f>SUM(I7)-2.5</f>
        <v>52.5</v>
      </c>
      <c r="I7" s="35">
        <v>55</v>
      </c>
      <c r="J7" s="8">
        <f>SUM(I7)+2.5</f>
        <v>57.5</v>
      </c>
      <c r="K7" s="8"/>
      <c r="L7" s="10"/>
      <c r="M7" s="53"/>
    </row>
    <row r="8" spans="1:16" s="2" customFormat="1" ht="13.5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10"/>
      <c r="M8" s="53"/>
    </row>
    <row r="9" spans="1:16" s="2" customFormat="1" ht="13.5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SUM(I9)-1.8</f>
        <v>36.700000000000003</v>
      </c>
      <c r="I9" s="35">
        <v>38.5</v>
      </c>
      <c r="J9" s="8">
        <f>SUM(I9)+1.8</f>
        <v>40.299999999999997</v>
      </c>
      <c r="K9" s="8"/>
      <c r="L9" s="10"/>
      <c r="M9" s="46"/>
      <c r="P9" s="6"/>
    </row>
    <row r="10" spans="1:16" s="2" customFormat="1" ht="13.5" customHeight="1" x14ac:dyDescent="0.3">
      <c r="A10" s="26"/>
      <c r="B10" s="47" t="s">
        <v>13</v>
      </c>
      <c r="C10" s="47"/>
      <c r="D10" s="44" t="s">
        <v>256</v>
      </c>
      <c r="E10" s="41"/>
      <c r="F10" s="41"/>
      <c r="G10" s="42"/>
      <c r="H10" s="36"/>
      <c r="I10" s="43"/>
      <c r="J10" s="36"/>
      <c r="K10" s="36"/>
      <c r="L10" s="10"/>
      <c r="M10" s="46"/>
      <c r="P10" s="6"/>
    </row>
    <row r="11" spans="1:16" s="2" customFormat="1" ht="13.5" customHeight="1" x14ac:dyDescent="0.3">
      <c r="A11" s="26">
        <v>5</v>
      </c>
      <c r="B11" s="48" t="s">
        <v>257</v>
      </c>
      <c r="C11" s="48"/>
      <c r="D11" s="49"/>
      <c r="E11" s="49"/>
      <c r="F11" s="49"/>
      <c r="G11" s="49"/>
      <c r="H11" s="8">
        <f>SUM(I11)-0.8</f>
        <v>11.7</v>
      </c>
      <c r="I11" s="33">
        <v>12.5</v>
      </c>
      <c r="J11" s="8">
        <f>SUM(I11)+0.8</f>
        <v>13.3</v>
      </c>
      <c r="K11" s="8"/>
      <c r="L11" s="10"/>
      <c r="M11" s="46"/>
      <c r="P11" s="6"/>
    </row>
    <row r="12" spans="1:16" s="2" customFormat="1" ht="13.5" customHeight="1" x14ac:dyDescent="0.3">
      <c r="A12" s="26"/>
      <c r="B12" s="47" t="s">
        <v>258</v>
      </c>
      <c r="C12" s="47"/>
      <c r="D12" s="44" t="s">
        <v>259</v>
      </c>
      <c r="E12" s="41"/>
      <c r="F12" s="41"/>
      <c r="G12" s="42"/>
      <c r="H12" s="36"/>
      <c r="I12" s="33"/>
      <c r="J12" s="36"/>
      <c r="K12" s="36"/>
      <c r="L12" s="10"/>
      <c r="M12" s="46"/>
      <c r="P12" s="6"/>
    </row>
    <row r="13" spans="1:16" s="2" customFormat="1" ht="13.5" customHeight="1" x14ac:dyDescent="0.3">
      <c r="A13" s="26">
        <v>6</v>
      </c>
      <c r="B13" s="48" t="s">
        <v>260</v>
      </c>
      <c r="C13" s="48"/>
      <c r="D13" s="49"/>
      <c r="E13" s="49"/>
      <c r="F13" s="49"/>
      <c r="G13" s="49"/>
      <c r="H13" s="10">
        <f>SUM(I13)-0.6</f>
        <v>8.9</v>
      </c>
      <c r="I13" s="33">
        <v>9.5</v>
      </c>
      <c r="J13" s="10">
        <f>SUM(I13)+0.6</f>
        <v>10.1</v>
      </c>
      <c r="K13" s="10"/>
      <c r="L13" s="10"/>
      <c r="M13" s="46"/>
      <c r="P13" s="6"/>
    </row>
    <row r="14" spans="1:16" s="2" customFormat="1" ht="13.5" customHeight="1" x14ac:dyDescent="0.3">
      <c r="A14" s="26"/>
      <c r="B14" s="47" t="s">
        <v>261</v>
      </c>
      <c r="C14" s="47"/>
      <c r="D14" s="44" t="s">
        <v>262</v>
      </c>
      <c r="E14" s="41"/>
      <c r="F14" s="41"/>
      <c r="G14" s="42"/>
      <c r="H14" s="10"/>
      <c r="I14" s="33"/>
      <c r="J14" s="10"/>
      <c r="K14" s="10"/>
      <c r="L14" s="10"/>
      <c r="M14" s="46"/>
      <c r="P14" s="6"/>
    </row>
    <row r="15" spans="1:16" s="2" customFormat="1" ht="13.5" customHeight="1" x14ac:dyDescent="0.3">
      <c r="A15" s="26">
        <v>7</v>
      </c>
      <c r="B15" s="48" t="s">
        <v>10</v>
      </c>
      <c r="C15" s="48"/>
      <c r="D15" s="49" t="s">
        <v>0</v>
      </c>
      <c r="E15" s="49"/>
      <c r="F15" s="49"/>
      <c r="G15" s="49"/>
      <c r="H15" s="10">
        <f>SUM(I15)-1</f>
        <v>22</v>
      </c>
      <c r="I15" s="33">
        <v>23</v>
      </c>
      <c r="J15" s="10">
        <f>SUM(I15)+1</f>
        <v>24</v>
      </c>
      <c r="K15" s="10"/>
      <c r="L15" s="10"/>
      <c r="M15" s="46"/>
    </row>
    <row r="16" spans="1:16" s="2" customFormat="1" ht="13.5" customHeight="1" x14ac:dyDescent="0.3">
      <c r="A16" s="26"/>
      <c r="B16" s="47" t="s">
        <v>14</v>
      </c>
      <c r="C16" s="47"/>
      <c r="D16" s="44" t="s">
        <v>28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4" s="2" customFormat="1" ht="13.5" customHeight="1" x14ac:dyDescent="0.3">
      <c r="A17" s="26">
        <v>8</v>
      </c>
      <c r="B17" s="48" t="s">
        <v>1</v>
      </c>
      <c r="C17" s="48"/>
      <c r="D17" s="50" t="s">
        <v>137</v>
      </c>
      <c r="E17" s="51"/>
      <c r="F17" s="51"/>
      <c r="G17" s="52"/>
      <c r="H17" s="10">
        <f>SUM(I17)-0.6</f>
        <v>17.399999999999999</v>
      </c>
      <c r="I17" s="33">
        <v>18</v>
      </c>
      <c r="J17" s="10">
        <f>SUM(I17)+0.6</f>
        <v>18.600000000000001</v>
      </c>
      <c r="K17" s="10"/>
      <c r="L17" s="10"/>
      <c r="M17" s="46"/>
    </row>
    <row r="18" spans="1:14" s="2" customFormat="1" ht="13.5" customHeight="1" x14ac:dyDescent="0.3">
      <c r="A18" s="26"/>
      <c r="B18" s="47" t="s">
        <v>15</v>
      </c>
      <c r="C18" s="47"/>
      <c r="D18" s="44" t="s">
        <v>243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4" s="2" customFormat="1" ht="13.5" customHeight="1" x14ac:dyDescent="0.3">
      <c r="A19" s="26">
        <v>9</v>
      </c>
      <c r="B19" s="48" t="s">
        <v>3</v>
      </c>
      <c r="C19" s="48"/>
      <c r="D19" s="49" t="s">
        <v>4</v>
      </c>
      <c r="E19" s="49"/>
      <c r="F19" s="49"/>
      <c r="G19" s="49"/>
      <c r="H19" s="10">
        <f>SUM(I19)-0.3</f>
        <v>7.3</v>
      </c>
      <c r="I19" s="33">
        <v>7.6</v>
      </c>
      <c r="J19" s="10">
        <f>SUM(I19)+0.3</f>
        <v>7.8999999999999995</v>
      </c>
      <c r="K19" s="10"/>
      <c r="L19" s="10"/>
      <c r="M19" s="46"/>
    </row>
    <row r="20" spans="1:14" s="2" customFormat="1" ht="13.5" customHeight="1" x14ac:dyDescent="0.3">
      <c r="A20" s="26"/>
      <c r="B20" s="47" t="s">
        <v>16</v>
      </c>
      <c r="C20" s="47"/>
      <c r="D20" s="44" t="s">
        <v>91</v>
      </c>
      <c r="E20" s="41"/>
      <c r="F20" s="41"/>
      <c r="G20" s="42"/>
      <c r="H20" s="10"/>
      <c r="I20" s="33"/>
      <c r="J20" s="10"/>
      <c r="K20" s="10"/>
      <c r="L20" s="10"/>
      <c r="M20" s="46"/>
    </row>
    <row r="21" spans="1:14" s="2" customFormat="1" ht="13.5" customHeight="1" x14ac:dyDescent="0.3">
      <c r="A21" s="26">
        <v>10</v>
      </c>
      <c r="B21" s="28" t="s">
        <v>56</v>
      </c>
      <c r="C21" s="29"/>
      <c r="D21" s="50" t="s">
        <v>58</v>
      </c>
      <c r="E21" s="51"/>
      <c r="F21" s="51"/>
      <c r="G21" s="52"/>
      <c r="H21" s="10">
        <f>SUM(I21)-1.6</f>
        <v>43.4</v>
      </c>
      <c r="I21" s="33">
        <v>45</v>
      </c>
      <c r="J21" s="10">
        <f>SUM(I21)+1.6</f>
        <v>46.6</v>
      </c>
      <c r="K21" s="10"/>
      <c r="L21" s="10"/>
      <c r="M21" s="46"/>
    </row>
    <row r="22" spans="1:14" s="2" customFormat="1" ht="13.5" customHeight="1" x14ac:dyDescent="0.3">
      <c r="A22" s="26"/>
      <c r="B22" s="47" t="s">
        <v>57</v>
      </c>
      <c r="C22" s="47"/>
      <c r="D22" s="44" t="s">
        <v>266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4" s="2" customFormat="1" ht="13.5" customHeight="1" x14ac:dyDescent="0.3">
      <c r="A23" s="26">
        <v>11</v>
      </c>
      <c r="B23" s="48" t="s">
        <v>5</v>
      </c>
      <c r="C23" s="48"/>
      <c r="D23" s="49" t="s">
        <v>6</v>
      </c>
      <c r="E23" s="49"/>
      <c r="F23" s="49"/>
      <c r="G23" s="49"/>
      <c r="H23" s="10">
        <f>SUM(I23)-3.2</f>
        <v>42.4</v>
      </c>
      <c r="I23" s="33">
        <v>45.6</v>
      </c>
      <c r="J23" s="10">
        <f>SUM(I23)+3.2</f>
        <v>48.800000000000004</v>
      </c>
      <c r="K23" s="10"/>
      <c r="L23" s="10"/>
      <c r="M23" s="46"/>
    </row>
    <row r="24" spans="1:14" s="2" customFormat="1" ht="13.5" customHeight="1" x14ac:dyDescent="0.3">
      <c r="A24" s="26"/>
      <c r="B24" s="47" t="s">
        <v>17</v>
      </c>
      <c r="C24" s="47"/>
      <c r="D24" s="44" t="s">
        <v>29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4" ht="13.5" customHeight="1" x14ac:dyDescent="0.3">
      <c r="A25" s="26">
        <v>12</v>
      </c>
      <c r="B25" s="48" t="s">
        <v>7</v>
      </c>
      <c r="C25" s="48"/>
      <c r="D25" s="50" t="s">
        <v>8</v>
      </c>
      <c r="E25" s="51"/>
      <c r="F25" s="51"/>
      <c r="G25" s="52"/>
      <c r="H25" s="8">
        <f>SUM(I25)-2</f>
        <v>43.8</v>
      </c>
      <c r="I25" s="35">
        <v>45.8</v>
      </c>
      <c r="J25" s="8">
        <f>SUM(I25)+2</f>
        <v>47.8</v>
      </c>
      <c r="K25" s="8"/>
      <c r="L25" s="8"/>
      <c r="M25" s="12"/>
    </row>
    <row r="26" spans="1:14" ht="13.5" customHeight="1" x14ac:dyDescent="0.3">
      <c r="A26" s="26"/>
      <c r="B26" s="47" t="s">
        <v>18</v>
      </c>
      <c r="C26" s="47"/>
      <c r="D26" s="44" t="s">
        <v>36</v>
      </c>
      <c r="E26" s="41"/>
      <c r="F26" s="41"/>
      <c r="G26" s="42"/>
      <c r="H26" s="36"/>
      <c r="I26" s="43"/>
      <c r="J26" s="36"/>
      <c r="K26" s="36"/>
      <c r="L26" s="36"/>
      <c r="M26" s="37"/>
    </row>
    <row r="27" spans="1:14" ht="13.5" customHeight="1" x14ac:dyDescent="0.3">
      <c r="A27" s="26">
        <v>13</v>
      </c>
      <c r="B27" s="28" t="s">
        <v>239</v>
      </c>
      <c r="C27" s="29"/>
      <c r="D27" s="49" t="s">
        <v>37</v>
      </c>
      <c r="E27" s="49"/>
      <c r="F27" s="49"/>
      <c r="G27" s="49"/>
      <c r="H27" s="45">
        <f>SUM(I27)-0.8</f>
        <v>18.2</v>
      </c>
      <c r="I27" s="33">
        <v>19</v>
      </c>
      <c r="J27" s="45">
        <f>SUM(I27)+0.8</f>
        <v>19.8</v>
      </c>
      <c r="K27" s="45"/>
      <c r="L27" s="10"/>
      <c r="M27" s="46"/>
    </row>
    <row r="28" spans="1:14" ht="13.5" customHeight="1" x14ac:dyDescent="0.3">
      <c r="A28" s="26"/>
      <c r="B28" s="47" t="s">
        <v>19</v>
      </c>
      <c r="C28" s="47"/>
      <c r="D28" s="44" t="s">
        <v>38</v>
      </c>
      <c r="E28" s="41"/>
      <c r="F28" s="41"/>
      <c r="G28" s="42"/>
      <c r="H28" s="45"/>
      <c r="I28" s="33"/>
      <c r="J28" s="45"/>
      <c r="K28" s="45"/>
      <c r="L28" s="10"/>
      <c r="M28" s="46"/>
    </row>
    <row r="29" spans="1:14" s="2" customFormat="1" ht="13.5" customHeight="1" x14ac:dyDescent="0.3">
      <c r="A29" s="26">
        <v>14</v>
      </c>
      <c r="B29" s="48" t="s">
        <v>150</v>
      </c>
      <c r="C29" s="48"/>
      <c r="D29" s="50" t="s">
        <v>149</v>
      </c>
      <c r="E29" s="51"/>
      <c r="F29" s="51"/>
      <c r="G29" s="52"/>
      <c r="H29" s="8">
        <f>SUM(I29)-1</f>
        <v>36</v>
      </c>
      <c r="I29" s="35">
        <v>37</v>
      </c>
      <c r="J29" s="8">
        <f>SUM(I29)+1</f>
        <v>38</v>
      </c>
      <c r="K29" s="8"/>
      <c r="L29" s="8"/>
      <c r="M29" s="12"/>
      <c r="N29"/>
    </row>
    <row r="30" spans="1:14" s="2" customFormat="1" ht="13.5" customHeight="1" x14ac:dyDescent="0.3">
      <c r="A30" s="26"/>
      <c r="B30" s="47" t="s">
        <v>148</v>
      </c>
      <c r="C30" s="47"/>
      <c r="D30" s="44" t="s">
        <v>147</v>
      </c>
      <c r="E30" s="41"/>
      <c r="F30" s="41"/>
      <c r="G30" s="42"/>
      <c r="H30" s="36"/>
      <c r="I30" s="43"/>
      <c r="J30" s="36"/>
      <c r="K30" s="36"/>
      <c r="L30" s="36"/>
      <c r="M30" s="37"/>
      <c r="N30"/>
    </row>
    <row r="31" spans="1:14" s="2" customFormat="1" ht="13.5" customHeight="1" x14ac:dyDescent="0.3">
      <c r="A31" s="26">
        <v>15</v>
      </c>
      <c r="B31" s="48" t="s">
        <v>146</v>
      </c>
      <c r="C31" s="48"/>
      <c r="D31" s="50" t="s">
        <v>145</v>
      </c>
      <c r="E31" s="51"/>
      <c r="F31" s="51"/>
      <c r="G31" s="52"/>
      <c r="H31" s="8">
        <f>SUM(I31)-0.8</f>
        <v>23.9</v>
      </c>
      <c r="I31" s="35">
        <v>24.7</v>
      </c>
      <c r="J31" s="8">
        <f>SUM(I31)+0.8</f>
        <v>25.5</v>
      </c>
      <c r="K31" s="8"/>
      <c r="L31" s="8"/>
      <c r="M31" s="12"/>
    </row>
    <row r="32" spans="1:14" s="2" customFormat="1" ht="13.5" customHeight="1" x14ac:dyDescent="0.3">
      <c r="A32" s="26"/>
      <c r="B32" s="47" t="s">
        <v>144</v>
      </c>
      <c r="C32" s="47"/>
      <c r="D32" s="44" t="s">
        <v>143</v>
      </c>
      <c r="E32" s="41"/>
      <c r="F32" s="41"/>
      <c r="G32" s="42"/>
      <c r="H32" s="36"/>
      <c r="I32" s="43"/>
      <c r="J32" s="36"/>
      <c r="K32" s="36"/>
      <c r="L32" s="36"/>
      <c r="M32" s="37"/>
    </row>
    <row r="33" spans="1:14" s="2" customFormat="1" ht="13.5" customHeight="1" x14ac:dyDescent="0.3">
      <c r="A33" s="26">
        <v>16</v>
      </c>
      <c r="B33" s="48" t="s">
        <v>267</v>
      </c>
      <c r="C33" s="48"/>
      <c r="D33" s="50"/>
      <c r="E33" s="51"/>
      <c r="F33" s="51"/>
      <c r="G33" s="52"/>
      <c r="H33" s="8">
        <f>SUM(I33)-2</f>
        <v>112</v>
      </c>
      <c r="I33" s="35">
        <f>SUM(I29+I29)+40</f>
        <v>114</v>
      </c>
      <c r="J33" s="8">
        <f>SUM(I33)+2</f>
        <v>116</v>
      </c>
      <c r="K33" s="8"/>
      <c r="L33" s="8"/>
      <c r="M33" s="12"/>
    </row>
    <row r="34" spans="1:14" s="2" customFormat="1" ht="13.5" customHeight="1" x14ac:dyDescent="0.3">
      <c r="A34" s="26"/>
      <c r="B34" s="47" t="s">
        <v>268</v>
      </c>
      <c r="C34" s="47"/>
      <c r="D34" s="40" t="s">
        <v>269</v>
      </c>
      <c r="E34" s="41"/>
      <c r="F34" s="41"/>
      <c r="G34" s="42"/>
      <c r="H34" s="36"/>
      <c r="I34" s="43"/>
      <c r="J34" s="36"/>
      <c r="K34" s="36"/>
      <c r="L34" s="36"/>
      <c r="M34" s="37"/>
    </row>
    <row r="35" spans="1:14" s="2" customFormat="1" ht="13.5" customHeight="1" x14ac:dyDescent="0.3">
      <c r="A35" s="26">
        <v>17</v>
      </c>
      <c r="B35" s="28" t="s">
        <v>98</v>
      </c>
      <c r="C35" s="29"/>
      <c r="D35" s="30"/>
      <c r="E35" s="31"/>
      <c r="F35" s="31"/>
      <c r="G35" s="32"/>
      <c r="H35" s="8">
        <v>36.5</v>
      </c>
      <c r="I35" s="33">
        <v>39</v>
      </c>
      <c r="J35" s="8">
        <v>42</v>
      </c>
      <c r="K35" s="8"/>
      <c r="L35" s="8"/>
      <c r="M35" s="12"/>
    </row>
    <row r="36" spans="1:14" s="2" customFormat="1" ht="13.5" customHeight="1" x14ac:dyDescent="0.3">
      <c r="A36" s="26"/>
      <c r="B36" s="20" t="s">
        <v>97</v>
      </c>
      <c r="C36" s="21"/>
      <c r="D36" s="22" t="s">
        <v>263</v>
      </c>
      <c r="E36" s="23"/>
      <c r="F36" s="23"/>
      <c r="G36" s="24"/>
      <c r="H36" s="36"/>
      <c r="I36" s="35"/>
      <c r="J36" s="36"/>
      <c r="K36" s="36"/>
      <c r="L36" s="25"/>
      <c r="M36" s="19"/>
    </row>
    <row r="37" spans="1:14" s="2" customFormat="1" ht="13.5" customHeight="1" x14ac:dyDescent="0.3">
      <c r="A37" s="26">
        <v>18</v>
      </c>
      <c r="B37" s="28" t="s">
        <v>136</v>
      </c>
      <c r="C37" s="29"/>
      <c r="D37" s="51"/>
      <c r="E37" s="51"/>
      <c r="F37" s="51"/>
      <c r="G37" s="51"/>
      <c r="H37" s="8">
        <f>SUM(I37)-0.5</f>
        <v>12.5</v>
      </c>
      <c r="I37" s="33">
        <v>13</v>
      </c>
      <c r="J37" s="8">
        <f>SUM(I37)+0.5</f>
        <v>13.5</v>
      </c>
      <c r="K37" s="8"/>
      <c r="L37" s="10"/>
      <c r="M37" s="12"/>
    </row>
    <row r="38" spans="1:14" s="2" customFormat="1" ht="13.5" customHeight="1" x14ac:dyDescent="0.3">
      <c r="A38" s="26"/>
      <c r="B38" s="38" t="s">
        <v>135</v>
      </c>
      <c r="C38" s="39"/>
      <c r="D38" s="44" t="s">
        <v>264</v>
      </c>
      <c r="E38" s="41"/>
      <c r="F38" s="41"/>
      <c r="G38" s="42"/>
      <c r="H38" s="25"/>
      <c r="I38" s="35"/>
      <c r="J38" s="25"/>
      <c r="K38" s="25"/>
      <c r="L38" s="8"/>
      <c r="M38" s="19"/>
    </row>
    <row r="39" spans="1:14" ht="13.5" customHeight="1" x14ac:dyDescent="0.3">
      <c r="A39" s="26">
        <v>19</v>
      </c>
      <c r="B39" s="28" t="s">
        <v>166</v>
      </c>
      <c r="C39" s="29"/>
      <c r="D39" s="50"/>
      <c r="E39" s="51"/>
      <c r="F39" s="51"/>
      <c r="G39" s="52"/>
      <c r="H39" s="8">
        <f>SUM(I39)-0.4</f>
        <v>5.6</v>
      </c>
      <c r="I39" s="33">
        <v>6</v>
      </c>
      <c r="J39" s="8">
        <f>SUM(I39)+0.4</f>
        <v>6.4</v>
      </c>
      <c r="K39" s="8"/>
      <c r="L39" s="10"/>
      <c r="M39" s="12"/>
      <c r="N39" s="2"/>
    </row>
    <row r="40" spans="1:14" ht="13.5" customHeight="1" thickBot="1" x14ac:dyDescent="0.35">
      <c r="A40" s="27"/>
      <c r="B40" s="14" t="s">
        <v>167</v>
      </c>
      <c r="C40" s="15"/>
      <c r="D40" s="16" t="s">
        <v>265</v>
      </c>
      <c r="E40" s="17"/>
      <c r="F40" s="17"/>
      <c r="G40" s="18"/>
      <c r="H40" s="9"/>
      <c r="I40" s="34"/>
      <c r="J40" s="9"/>
      <c r="K40" s="9"/>
      <c r="L40" s="11"/>
      <c r="M40" s="13"/>
      <c r="N40" s="2"/>
    </row>
    <row r="41" spans="1:14" ht="16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4" ht="16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4" ht="16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4" ht="16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4" ht="16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4" ht="16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4" ht="16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4" ht="16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7" ht="16.5" customHeight="1" x14ac:dyDescent="0.3"/>
    <row r="50" spans="2:7" ht="16.5" customHeight="1" x14ac:dyDescent="0.3"/>
    <row r="51" spans="2:7" ht="16.5" customHeight="1" x14ac:dyDescent="0.3"/>
    <row r="52" spans="2:7" ht="16.5" customHeight="1" x14ac:dyDescent="0.3"/>
    <row r="53" spans="2:7" ht="16.5" customHeight="1" x14ac:dyDescent="0.3"/>
    <row r="54" spans="2:7" ht="16.5" customHeight="1" x14ac:dyDescent="0.3"/>
    <row r="55" spans="2:7" ht="16.5" customHeight="1" x14ac:dyDescent="0.3"/>
    <row r="56" spans="2:7" ht="16.5" customHeight="1" x14ac:dyDescent="0.3"/>
    <row r="57" spans="2:7" ht="16.5" customHeight="1" x14ac:dyDescent="0.3">
      <c r="B57" s="1"/>
      <c r="C57" s="1"/>
      <c r="D57" s="1"/>
      <c r="E57" s="1"/>
      <c r="F57" s="1"/>
      <c r="G57" s="1"/>
    </row>
    <row r="58" spans="2:7" ht="16.5" customHeight="1" x14ac:dyDescent="0.3">
      <c r="B58" s="1"/>
      <c r="C58" s="1"/>
      <c r="D58" s="1"/>
      <c r="E58" s="1"/>
      <c r="F58" s="1"/>
      <c r="G58" s="1"/>
    </row>
    <row r="59" spans="2:7" ht="16.5" customHeight="1" x14ac:dyDescent="0.3">
      <c r="B59" s="1"/>
      <c r="C59" s="1"/>
      <c r="D59" s="1"/>
      <c r="E59" s="1"/>
      <c r="F59" s="1"/>
      <c r="G59" s="1"/>
    </row>
    <row r="60" spans="2:7" ht="16.5" customHeight="1" x14ac:dyDescent="0.3">
      <c r="B60" s="1"/>
      <c r="C60" s="1"/>
      <c r="D60" s="1"/>
      <c r="E60" s="1"/>
      <c r="F60" s="1"/>
      <c r="G60" s="1"/>
    </row>
    <row r="61" spans="2:7" ht="16.5" customHeight="1" x14ac:dyDescent="0.3"/>
    <row r="62" spans="2:7" ht="16.5" customHeight="1" x14ac:dyDescent="0.3"/>
    <row r="63" spans="2:7" ht="16.5" customHeight="1" x14ac:dyDescent="0.3"/>
    <row r="64" spans="2:7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</sheetData>
  <mergeCells count="212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H17:H18"/>
    <mergeCell ref="H19:H20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H21:H22"/>
    <mergeCell ref="H23:H24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H25:H26"/>
    <mergeCell ref="H27:H28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H29:H30"/>
    <mergeCell ref="H31:H32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H33:H34"/>
    <mergeCell ref="H35:H36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9:K40"/>
    <mergeCell ref="L39:L40"/>
    <mergeCell ref="M39:M40"/>
    <mergeCell ref="B40:C40"/>
    <mergeCell ref="D40:G40"/>
    <mergeCell ref="L37:L38"/>
    <mergeCell ref="M37:M38"/>
    <mergeCell ref="B38:C38"/>
    <mergeCell ref="D38:G38"/>
    <mergeCell ref="K37:K38"/>
    <mergeCell ref="H37:H38"/>
    <mergeCell ref="H39:H40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F876-1812-4E60-9038-E0AA9DBB906D}">
  <sheetPr>
    <tabColor rgb="FF92D050"/>
    <pageSetUpPr fitToPage="1"/>
  </sheetPr>
  <dimension ref="A1:P190"/>
  <sheetViews>
    <sheetView zoomScale="110" zoomScaleNormal="110" zoomScalePageLayoutView="30" workbookViewId="0">
      <selection activeCell="P22" sqref="P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54" t="s">
        <v>292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6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6" s="2" customFormat="1" ht="13.5" customHeight="1" x14ac:dyDescent="0.3">
      <c r="A3" s="58">
        <v>1</v>
      </c>
      <c r="B3" s="20" t="s">
        <v>95</v>
      </c>
      <c r="C3" s="21"/>
      <c r="D3" s="22" t="s">
        <v>94</v>
      </c>
      <c r="E3" s="23"/>
      <c r="F3" s="23"/>
      <c r="G3" s="24"/>
      <c r="H3" s="62">
        <f>SUM(I3)-2.9</f>
        <v>38.4</v>
      </c>
      <c r="I3" s="59">
        <v>41.3</v>
      </c>
      <c r="J3" s="60">
        <f>SUM(I3)+2.9</f>
        <v>44.199999999999996</v>
      </c>
      <c r="K3" s="60"/>
      <c r="L3" s="60"/>
      <c r="M3" s="61"/>
    </row>
    <row r="4" spans="1:16" s="2" customFormat="1" ht="13.5" customHeight="1" x14ac:dyDescent="0.3">
      <c r="A4" s="26"/>
      <c r="B4" s="47" t="s">
        <v>60</v>
      </c>
      <c r="C4" s="47"/>
      <c r="D4" s="44" t="s">
        <v>93</v>
      </c>
      <c r="E4" s="41"/>
      <c r="F4" s="41"/>
      <c r="G4" s="41"/>
      <c r="H4" s="36"/>
      <c r="I4" s="33"/>
      <c r="J4" s="10"/>
      <c r="K4" s="10"/>
      <c r="L4" s="8"/>
      <c r="M4" s="37"/>
    </row>
    <row r="5" spans="1:16" s="2" customFormat="1" ht="13.5" customHeight="1" x14ac:dyDescent="0.3">
      <c r="A5" s="26">
        <v>2</v>
      </c>
      <c r="B5" s="48" t="s">
        <v>21</v>
      </c>
      <c r="C5" s="48"/>
      <c r="D5" s="49" t="s">
        <v>22</v>
      </c>
      <c r="E5" s="49"/>
      <c r="F5" s="49"/>
      <c r="G5" s="49"/>
      <c r="H5" s="8">
        <f>SUM(I5)-1.6</f>
        <v>31.4</v>
      </c>
      <c r="I5" s="35">
        <v>33</v>
      </c>
      <c r="J5" s="8">
        <f>SUM(I5)+1.6</f>
        <v>34.6</v>
      </c>
      <c r="K5" s="8"/>
      <c r="L5" s="10"/>
      <c r="M5" s="46"/>
    </row>
    <row r="6" spans="1:16" s="2" customFormat="1" ht="13.5" customHeight="1" x14ac:dyDescent="0.3">
      <c r="A6" s="26"/>
      <c r="B6" s="47" t="s">
        <v>12</v>
      </c>
      <c r="C6" s="47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6" s="2" customFormat="1" ht="13.5" customHeight="1" x14ac:dyDescent="0.3">
      <c r="A7" s="26">
        <v>3</v>
      </c>
      <c r="B7" s="48" t="s">
        <v>20</v>
      </c>
      <c r="C7" s="48"/>
      <c r="D7" s="49" t="s">
        <v>72</v>
      </c>
      <c r="E7" s="49"/>
      <c r="F7" s="49"/>
      <c r="G7" s="49"/>
      <c r="H7" s="8">
        <f>SUM(I7)-2</f>
        <v>38</v>
      </c>
      <c r="I7" s="35">
        <v>40</v>
      </c>
      <c r="J7" s="8">
        <f>SUM(I7)+2</f>
        <v>42</v>
      </c>
      <c r="K7" s="8"/>
      <c r="L7" s="10"/>
      <c r="M7" s="53"/>
    </row>
    <row r="8" spans="1:16" s="2" customFormat="1" ht="13.5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10"/>
      <c r="M8" s="53"/>
    </row>
    <row r="9" spans="1:16" s="2" customFormat="1" ht="13.5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SUM(I9)-2</f>
        <v>38</v>
      </c>
      <c r="I9" s="35">
        <v>40</v>
      </c>
      <c r="J9" s="8">
        <f>SUM(I9)+2</f>
        <v>42</v>
      </c>
      <c r="K9" s="8"/>
      <c r="L9" s="10"/>
      <c r="M9" s="46"/>
      <c r="P9" s="6"/>
    </row>
    <row r="10" spans="1:16" s="2" customFormat="1" ht="13.5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36"/>
      <c r="I10" s="43"/>
      <c r="J10" s="36"/>
      <c r="K10" s="36"/>
      <c r="L10" s="10"/>
      <c r="M10" s="46"/>
      <c r="P10" s="6"/>
    </row>
    <row r="11" spans="1:16" s="2" customFormat="1" ht="13.5" customHeight="1" x14ac:dyDescent="0.3">
      <c r="A11" s="26">
        <v>5</v>
      </c>
      <c r="B11" s="28" t="s">
        <v>10</v>
      </c>
      <c r="C11" s="29"/>
      <c r="D11" s="50" t="s">
        <v>0</v>
      </c>
      <c r="E11" s="51"/>
      <c r="F11" s="51"/>
      <c r="G11" s="52"/>
      <c r="H11" s="8">
        <f>SUM(I11)-1</f>
        <v>17.5</v>
      </c>
      <c r="I11" s="33">
        <v>18.5</v>
      </c>
      <c r="J11" s="10">
        <f>SUM(I11)+1</f>
        <v>19.5</v>
      </c>
      <c r="K11" s="10"/>
      <c r="L11" s="10"/>
      <c r="M11" s="46"/>
      <c r="P11" s="6"/>
    </row>
    <row r="12" spans="1:16" s="2" customFormat="1" ht="13.5" customHeight="1" x14ac:dyDescent="0.3">
      <c r="A12" s="26"/>
      <c r="B12" s="38" t="s">
        <v>14</v>
      </c>
      <c r="C12" s="39"/>
      <c r="D12" s="44" t="s">
        <v>28</v>
      </c>
      <c r="E12" s="41"/>
      <c r="F12" s="41"/>
      <c r="G12" s="42"/>
      <c r="H12" s="36"/>
      <c r="I12" s="33"/>
      <c r="J12" s="10"/>
      <c r="K12" s="10"/>
      <c r="L12" s="10"/>
      <c r="M12" s="46"/>
      <c r="P12" s="6"/>
    </row>
    <row r="13" spans="1:16" s="2" customFormat="1" ht="13.5" customHeight="1" x14ac:dyDescent="0.3">
      <c r="A13" s="26">
        <v>6</v>
      </c>
      <c r="B13" s="28" t="s">
        <v>1</v>
      </c>
      <c r="C13" s="29"/>
      <c r="D13" s="50" t="s">
        <v>137</v>
      </c>
      <c r="E13" s="51"/>
      <c r="F13" s="51"/>
      <c r="G13" s="52"/>
      <c r="H13" s="8">
        <f>SUM(I13)-0.6</f>
        <v>14.700000000000001</v>
      </c>
      <c r="I13" s="33">
        <v>15.3</v>
      </c>
      <c r="J13" s="10">
        <f>SUM(I13)+0.6</f>
        <v>15.9</v>
      </c>
      <c r="K13" s="10"/>
      <c r="L13" s="10"/>
      <c r="M13" s="46"/>
      <c r="P13" s="6"/>
    </row>
    <row r="14" spans="1:16" s="2" customFormat="1" ht="13.5" customHeight="1" x14ac:dyDescent="0.3">
      <c r="A14" s="26"/>
      <c r="B14" s="38" t="s">
        <v>15</v>
      </c>
      <c r="C14" s="39"/>
      <c r="D14" s="44" t="s">
        <v>243</v>
      </c>
      <c r="E14" s="41"/>
      <c r="F14" s="41"/>
      <c r="G14" s="42"/>
      <c r="H14" s="36"/>
      <c r="I14" s="33"/>
      <c r="J14" s="10"/>
      <c r="K14" s="10"/>
      <c r="L14" s="10"/>
      <c r="M14" s="46"/>
      <c r="P14" s="6"/>
    </row>
    <row r="15" spans="1:16" s="2" customFormat="1" ht="13.5" customHeight="1" x14ac:dyDescent="0.3">
      <c r="A15" s="26">
        <v>7</v>
      </c>
      <c r="B15" s="28" t="s">
        <v>3</v>
      </c>
      <c r="C15" s="29"/>
      <c r="D15" s="50" t="s">
        <v>4</v>
      </c>
      <c r="E15" s="51"/>
      <c r="F15" s="51"/>
      <c r="G15" s="52"/>
      <c r="H15" s="8">
        <f>SUM(I15)-0.3</f>
        <v>7.5</v>
      </c>
      <c r="I15" s="33">
        <v>7.8</v>
      </c>
      <c r="J15" s="10">
        <f>SUM(I15)+0.3</f>
        <v>8.1</v>
      </c>
      <c r="K15" s="10"/>
      <c r="L15" s="10"/>
      <c r="M15" s="46"/>
    </row>
    <row r="16" spans="1:16" s="2" customFormat="1" ht="13.5" customHeight="1" x14ac:dyDescent="0.3">
      <c r="A16" s="26"/>
      <c r="B16" s="38" t="s">
        <v>16</v>
      </c>
      <c r="C16" s="39"/>
      <c r="D16" s="44" t="s">
        <v>91</v>
      </c>
      <c r="E16" s="41"/>
      <c r="F16" s="41"/>
      <c r="G16" s="42"/>
      <c r="H16" s="36"/>
      <c r="I16" s="33"/>
      <c r="J16" s="10"/>
      <c r="K16" s="10"/>
      <c r="L16" s="10"/>
      <c r="M16" s="46"/>
    </row>
    <row r="17" spans="1:14" s="2" customFormat="1" ht="13.5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8">
        <f>SUM(I17)-1.6</f>
        <v>38.299999999999997</v>
      </c>
      <c r="I17" s="33">
        <v>39.9</v>
      </c>
      <c r="J17" s="10">
        <f>SUM(I17)+1.6</f>
        <v>41.5</v>
      </c>
      <c r="K17" s="10"/>
      <c r="L17" s="10"/>
      <c r="M17" s="46"/>
    </row>
    <row r="18" spans="1:14" s="2" customFormat="1" ht="13.5" customHeight="1" x14ac:dyDescent="0.3">
      <c r="A18" s="26"/>
      <c r="B18" s="38" t="s">
        <v>57</v>
      </c>
      <c r="C18" s="39"/>
      <c r="D18" s="44" t="s">
        <v>266</v>
      </c>
      <c r="E18" s="41"/>
      <c r="F18" s="41"/>
      <c r="G18" s="42"/>
      <c r="H18" s="36"/>
      <c r="I18" s="33"/>
      <c r="J18" s="10"/>
      <c r="K18" s="10"/>
      <c r="L18" s="10"/>
      <c r="M18" s="46"/>
    </row>
    <row r="19" spans="1:14" s="2" customFormat="1" ht="13.5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8">
        <f>SUM(I19)-3.2</f>
        <v>53.8</v>
      </c>
      <c r="I19" s="33">
        <v>57</v>
      </c>
      <c r="J19" s="10">
        <f>SUM(I19)+3.2</f>
        <v>60.2</v>
      </c>
      <c r="K19" s="10"/>
      <c r="L19" s="10"/>
      <c r="M19" s="46"/>
    </row>
    <row r="20" spans="1:14" s="2" customFormat="1" ht="13.5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36"/>
      <c r="I20" s="33"/>
      <c r="J20" s="10"/>
      <c r="K20" s="10"/>
      <c r="L20" s="10"/>
      <c r="M20" s="46"/>
    </row>
    <row r="21" spans="1:14" s="2" customFormat="1" ht="13.5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8">
        <f>SUM(I21)-1.5</f>
        <v>26.5</v>
      </c>
      <c r="I21" s="35">
        <v>28</v>
      </c>
      <c r="J21" s="8">
        <f>SUM(I21)+1.5</f>
        <v>29.5</v>
      </c>
      <c r="K21" s="8"/>
      <c r="L21" s="8"/>
      <c r="M21" s="12"/>
    </row>
    <row r="22" spans="1:14" s="2" customFormat="1" ht="13.5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36"/>
      <c r="I22" s="43"/>
      <c r="J22" s="36"/>
      <c r="K22" s="36"/>
      <c r="L22" s="36"/>
      <c r="M22" s="37"/>
    </row>
    <row r="23" spans="1:14" s="2" customFormat="1" ht="13.5" customHeight="1" x14ac:dyDescent="0.3">
      <c r="A23" s="26">
        <v>11</v>
      </c>
      <c r="B23" s="28" t="s">
        <v>239</v>
      </c>
      <c r="C23" s="29"/>
      <c r="D23" s="49" t="s">
        <v>37</v>
      </c>
      <c r="E23" s="49"/>
      <c r="F23" s="49"/>
      <c r="G23" s="49"/>
      <c r="H23" s="63">
        <f>SUM(I23)-0.8</f>
        <v>17.2</v>
      </c>
      <c r="I23" s="33">
        <v>18</v>
      </c>
      <c r="J23" s="45">
        <f>SUM(I23)+0.8</f>
        <v>18.8</v>
      </c>
      <c r="K23" s="45"/>
      <c r="L23" s="10"/>
      <c r="M23" s="46"/>
    </row>
    <row r="24" spans="1:14" s="2" customFormat="1" ht="13.5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64"/>
      <c r="I24" s="33"/>
      <c r="J24" s="45"/>
      <c r="K24" s="45"/>
      <c r="L24" s="10"/>
      <c r="M24" s="46"/>
    </row>
    <row r="25" spans="1:14" ht="13.5" customHeight="1" x14ac:dyDescent="0.3">
      <c r="A25" s="26">
        <v>12</v>
      </c>
      <c r="B25" s="28" t="s">
        <v>98</v>
      </c>
      <c r="C25" s="29"/>
      <c r="D25" s="30"/>
      <c r="E25" s="31"/>
      <c r="F25" s="31"/>
      <c r="G25" s="32"/>
      <c r="H25" s="8">
        <v>32</v>
      </c>
      <c r="I25" s="33">
        <v>35</v>
      </c>
      <c r="J25" s="8">
        <v>37.5</v>
      </c>
      <c r="K25" s="8"/>
      <c r="L25" s="8"/>
      <c r="M25" s="12"/>
    </row>
    <row r="26" spans="1:14" ht="13.5" customHeight="1" x14ac:dyDescent="0.3">
      <c r="A26" s="26"/>
      <c r="B26" s="20" t="s">
        <v>97</v>
      </c>
      <c r="C26" s="21"/>
      <c r="D26" s="22" t="s">
        <v>263</v>
      </c>
      <c r="E26" s="23"/>
      <c r="F26" s="23"/>
      <c r="G26" s="24"/>
      <c r="H26" s="36"/>
      <c r="I26" s="35"/>
      <c r="J26" s="36"/>
      <c r="K26" s="36"/>
      <c r="L26" s="36"/>
      <c r="M26" s="37"/>
    </row>
    <row r="27" spans="1:14" ht="13.5" customHeight="1" x14ac:dyDescent="0.3">
      <c r="A27" s="26">
        <v>13</v>
      </c>
      <c r="B27" s="28" t="s">
        <v>136</v>
      </c>
      <c r="C27" s="29"/>
      <c r="D27" s="50"/>
      <c r="E27" s="51"/>
      <c r="F27" s="51"/>
      <c r="G27" s="52"/>
      <c r="H27" s="63">
        <f>SUM(I27)-0.7</f>
        <v>12.8</v>
      </c>
      <c r="I27" s="33">
        <v>13.5</v>
      </c>
      <c r="J27" s="45">
        <f>SUM(I27)+0.7</f>
        <v>14.2</v>
      </c>
      <c r="K27" s="45"/>
      <c r="L27" s="8"/>
      <c r="M27" s="12"/>
    </row>
    <row r="28" spans="1:14" ht="13.5" customHeight="1" x14ac:dyDescent="0.3">
      <c r="A28" s="26"/>
      <c r="B28" s="38" t="s">
        <v>135</v>
      </c>
      <c r="C28" s="39"/>
      <c r="D28" s="44" t="s">
        <v>264</v>
      </c>
      <c r="E28" s="41"/>
      <c r="F28" s="41"/>
      <c r="G28" s="42"/>
      <c r="H28" s="64"/>
      <c r="I28" s="33"/>
      <c r="J28" s="45"/>
      <c r="K28" s="45"/>
      <c r="L28" s="36"/>
      <c r="M28" s="37"/>
    </row>
    <row r="29" spans="1:14" s="2" customFormat="1" ht="13.5" customHeight="1" x14ac:dyDescent="0.3">
      <c r="A29" s="26">
        <v>14</v>
      </c>
      <c r="B29" s="28" t="s">
        <v>166</v>
      </c>
      <c r="C29" s="29"/>
      <c r="D29" s="50"/>
      <c r="E29" s="51"/>
      <c r="F29" s="51"/>
      <c r="G29" s="52"/>
      <c r="H29" s="63">
        <f>SUM(I29)-0.4</f>
        <v>6.6</v>
      </c>
      <c r="I29" s="33">
        <v>7</v>
      </c>
      <c r="J29" s="45">
        <f>SUM(I29)+0.4</f>
        <v>7.4</v>
      </c>
      <c r="K29" s="45"/>
      <c r="L29" s="8"/>
      <c r="M29" s="12"/>
      <c r="N29"/>
    </row>
    <row r="30" spans="1:14" s="2" customFormat="1" ht="13.5" customHeight="1" x14ac:dyDescent="0.3">
      <c r="A30" s="26"/>
      <c r="B30" s="38" t="s">
        <v>167</v>
      </c>
      <c r="C30" s="39"/>
      <c r="D30" s="44" t="s">
        <v>293</v>
      </c>
      <c r="E30" s="41"/>
      <c r="F30" s="41"/>
      <c r="G30" s="42"/>
      <c r="H30" s="64"/>
      <c r="I30" s="33"/>
      <c r="J30" s="45"/>
      <c r="K30" s="45"/>
      <c r="L30" s="36"/>
      <c r="M30" s="37"/>
      <c r="N30"/>
    </row>
    <row r="31" spans="1:14" s="2" customFormat="1" ht="13.5" customHeight="1" x14ac:dyDescent="0.3">
      <c r="A31" s="26">
        <v>15</v>
      </c>
      <c r="B31" s="28"/>
      <c r="C31" s="29"/>
      <c r="D31" s="30"/>
      <c r="E31" s="31"/>
      <c r="F31" s="31"/>
      <c r="G31" s="32"/>
      <c r="H31" s="8"/>
      <c r="I31" s="33"/>
      <c r="J31" s="8"/>
      <c r="K31" s="8"/>
      <c r="L31" s="8"/>
      <c r="M31" s="12"/>
    </row>
    <row r="32" spans="1:14" s="2" customFormat="1" ht="13.5" customHeight="1" x14ac:dyDescent="0.3">
      <c r="A32" s="26"/>
      <c r="B32" s="20"/>
      <c r="C32" s="21"/>
      <c r="D32" s="22"/>
      <c r="E32" s="23"/>
      <c r="F32" s="23"/>
      <c r="G32" s="24"/>
      <c r="H32" s="36"/>
      <c r="I32" s="35"/>
      <c r="J32" s="36"/>
      <c r="K32" s="36"/>
      <c r="L32" s="25"/>
      <c r="M32" s="19"/>
    </row>
    <row r="33" spans="1:14" s="2" customFormat="1" ht="13.5" customHeight="1" x14ac:dyDescent="0.3">
      <c r="A33" s="26">
        <v>16</v>
      </c>
      <c r="B33" s="28"/>
      <c r="C33" s="29"/>
      <c r="D33" s="50"/>
      <c r="E33" s="51"/>
      <c r="F33" s="51"/>
      <c r="G33" s="52"/>
      <c r="H33" s="8"/>
      <c r="I33" s="33"/>
      <c r="J33" s="8"/>
      <c r="K33" s="8"/>
      <c r="L33" s="10"/>
      <c r="M33" s="12"/>
    </row>
    <row r="34" spans="1:14" s="2" customFormat="1" ht="13.5" customHeight="1" x14ac:dyDescent="0.3">
      <c r="A34" s="26"/>
      <c r="B34" s="38"/>
      <c r="C34" s="39"/>
      <c r="D34" s="44"/>
      <c r="E34" s="41"/>
      <c r="F34" s="41"/>
      <c r="G34" s="42"/>
      <c r="H34" s="25"/>
      <c r="I34" s="35"/>
      <c r="J34" s="25"/>
      <c r="K34" s="25"/>
      <c r="L34" s="8"/>
      <c r="M34" s="19"/>
    </row>
    <row r="35" spans="1:14" s="2" customFormat="1" ht="13.5" customHeight="1" x14ac:dyDescent="0.3">
      <c r="A35" s="26">
        <v>17</v>
      </c>
      <c r="B35" s="28"/>
      <c r="C35" s="29"/>
      <c r="D35" s="50"/>
      <c r="E35" s="51"/>
      <c r="F35" s="51"/>
      <c r="G35" s="52"/>
      <c r="H35" s="8"/>
      <c r="I35" s="33"/>
      <c r="J35" s="8"/>
      <c r="K35" s="8"/>
      <c r="L35" s="10"/>
      <c r="M35" s="12"/>
    </row>
    <row r="36" spans="1:14" s="2" customFormat="1" ht="13.5" customHeight="1" thickBot="1" x14ac:dyDescent="0.35">
      <c r="A36" s="27"/>
      <c r="B36" s="14"/>
      <c r="C36" s="15"/>
      <c r="D36" s="16"/>
      <c r="E36" s="17"/>
      <c r="F36" s="17"/>
      <c r="G36" s="18"/>
      <c r="H36" s="9"/>
      <c r="I36" s="34"/>
      <c r="J36" s="9"/>
      <c r="K36" s="9"/>
      <c r="L36" s="11"/>
      <c r="M36" s="13"/>
    </row>
    <row r="37" spans="1:14" s="2" customFormat="1" ht="13.5" customHeight="1" x14ac:dyDescent="0.3"/>
    <row r="38" spans="1:14" s="2" customFormat="1" ht="13.5" customHeight="1" x14ac:dyDescent="0.3"/>
    <row r="39" spans="1:14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6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4" ht="16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4" ht="16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4" ht="16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4" ht="16.5" customHeight="1" x14ac:dyDescent="0.3"/>
    <row r="46" spans="1:14" ht="16.5" customHeight="1" x14ac:dyDescent="0.3"/>
    <row r="47" spans="1:14" ht="16.5" customHeight="1" x14ac:dyDescent="0.3"/>
    <row r="48" spans="1:14" ht="16.5" customHeight="1" x14ac:dyDescent="0.3"/>
    <row r="49" spans="2:7" ht="16.5" customHeight="1" x14ac:dyDescent="0.3"/>
    <row r="50" spans="2:7" ht="16.5" customHeight="1" x14ac:dyDescent="0.3"/>
    <row r="51" spans="2:7" ht="16.5" customHeight="1" x14ac:dyDescent="0.3"/>
    <row r="52" spans="2:7" ht="16.5" customHeight="1" x14ac:dyDescent="0.3"/>
    <row r="53" spans="2:7" ht="16.5" customHeight="1" x14ac:dyDescent="0.3">
      <c r="B53" s="1"/>
      <c r="C53" s="1"/>
      <c r="D53" s="1"/>
      <c r="E53" s="1"/>
      <c r="F53" s="1"/>
      <c r="G53" s="1"/>
    </row>
    <row r="54" spans="2:7" ht="16.5" customHeight="1" x14ac:dyDescent="0.3">
      <c r="B54" s="1"/>
      <c r="C54" s="1"/>
      <c r="D54" s="1"/>
      <c r="E54" s="1"/>
      <c r="F54" s="1"/>
      <c r="G54" s="1"/>
    </row>
    <row r="55" spans="2:7" ht="16.5" customHeight="1" x14ac:dyDescent="0.3">
      <c r="B55" s="1"/>
      <c r="C55" s="1"/>
      <c r="D55" s="1"/>
      <c r="E55" s="1"/>
      <c r="F55" s="1"/>
      <c r="G55" s="1"/>
    </row>
    <row r="56" spans="2:7" ht="16.5" customHeight="1" x14ac:dyDescent="0.3">
      <c r="B56" s="1"/>
      <c r="C56" s="1"/>
      <c r="D56" s="1"/>
      <c r="E56" s="1"/>
      <c r="F56" s="1"/>
      <c r="G56" s="1"/>
    </row>
    <row r="57" spans="2:7" ht="16.5" customHeight="1" x14ac:dyDescent="0.3"/>
    <row r="58" spans="2:7" ht="16.5" customHeight="1" x14ac:dyDescent="0.3"/>
    <row r="59" spans="2:7" ht="16.5" customHeight="1" x14ac:dyDescent="0.3"/>
    <row r="60" spans="2:7" ht="16.5" customHeight="1" x14ac:dyDescent="0.3"/>
    <row r="61" spans="2:7" ht="16.5" customHeight="1" x14ac:dyDescent="0.3"/>
    <row r="62" spans="2:7" ht="16.5" customHeight="1" x14ac:dyDescent="0.3"/>
    <row r="63" spans="2:7" ht="16.5" customHeight="1" x14ac:dyDescent="0.3"/>
    <row r="64" spans="2:7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</sheetData>
  <mergeCells count="190"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1:K12"/>
    <mergeCell ref="L11:L12"/>
    <mergeCell ref="M11:M12"/>
    <mergeCell ref="B12:C12"/>
    <mergeCell ref="D12:G12"/>
    <mergeCell ref="A11:A12"/>
    <mergeCell ref="B11:C11"/>
    <mergeCell ref="D11:G11"/>
    <mergeCell ref="I11:I12"/>
    <mergeCell ref="J11:J12"/>
    <mergeCell ref="H11:H12"/>
    <mergeCell ref="A7:A8"/>
    <mergeCell ref="B7:C7"/>
    <mergeCell ref="D7:G7"/>
    <mergeCell ref="I7:I8"/>
    <mergeCell ref="J7:J8"/>
    <mergeCell ref="K7:K8"/>
    <mergeCell ref="L7:L8"/>
    <mergeCell ref="M7:M8"/>
    <mergeCell ref="B8:C8"/>
    <mergeCell ref="D8:G8"/>
    <mergeCell ref="H7:H8"/>
    <mergeCell ref="L9:L10"/>
    <mergeCell ref="M9:M10"/>
    <mergeCell ref="B10:C10"/>
    <mergeCell ref="D10:G10"/>
    <mergeCell ref="A9:A10"/>
    <mergeCell ref="B9:C9"/>
    <mergeCell ref="D9:G9"/>
    <mergeCell ref="I9:I10"/>
    <mergeCell ref="J9:J10"/>
    <mergeCell ref="K9:K10"/>
    <mergeCell ref="H9:H10"/>
    <mergeCell ref="A5:A6"/>
    <mergeCell ref="B5:C5"/>
    <mergeCell ref="D5:G5"/>
    <mergeCell ref="I5:I6"/>
    <mergeCell ref="J5:J6"/>
    <mergeCell ref="K5:K6"/>
    <mergeCell ref="L5:L6"/>
    <mergeCell ref="M5:M6"/>
    <mergeCell ref="B6:C6"/>
    <mergeCell ref="D6:G6"/>
    <mergeCell ref="H5:H6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C6D9-E333-4793-B800-D5712386503F}">
  <sheetPr>
    <tabColor rgb="FF92D050"/>
  </sheetPr>
  <dimension ref="A1:P52"/>
  <sheetViews>
    <sheetView zoomScale="110" zoomScaleNormal="110" zoomScalePageLayoutView="110" workbookViewId="0">
      <selection sqref="A1:M36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54" t="s">
        <v>282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6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6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60">
        <f>SUM(I3)-2.5</f>
        <v>40.5</v>
      </c>
      <c r="I3" s="59">
        <v>43</v>
      </c>
      <c r="J3" s="60">
        <f>SUM(I3)+2.5</f>
        <v>45.5</v>
      </c>
      <c r="K3" s="60"/>
      <c r="L3" s="60"/>
      <c r="M3" s="61"/>
    </row>
    <row r="4" spans="1:16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10"/>
      <c r="I4" s="33"/>
      <c r="J4" s="10"/>
      <c r="K4" s="10"/>
      <c r="L4" s="8"/>
      <c r="M4" s="37"/>
    </row>
    <row r="5" spans="1:16" s="2" customFormat="1" ht="14.1" customHeight="1" x14ac:dyDescent="0.3">
      <c r="A5" s="68">
        <v>2</v>
      </c>
      <c r="B5" s="28" t="s">
        <v>21</v>
      </c>
      <c r="C5" s="29"/>
      <c r="D5" s="50" t="s">
        <v>22</v>
      </c>
      <c r="E5" s="51"/>
      <c r="F5" s="51"/>
      <c r="G5" s="52"/>
      <c r="H5" s="8">
        <f>SUM(I5)-1.6</f>
        <v>28.4</v>
      </c>
      <c r="I5" s="35">
        <v>30</v>
      </c>
      <c r="J5" s="8">
        <f>SUM(I5)+1.6</f>
        <v>31.6</v>
      </c>
      <c r="K5" s="8"/>
      <c r="L5" s="8"/>
      <c r="M5" s="12"/>
    </row>
    <row r="6" spans="1:16" s="2" customFormat="1" ht="14.1" customHeight="1" x14ac:dyDescent="0.3">
      <c r="A6" s="69"/>
      <c r="B6" s="38" t="s">
        <v>12</v>
      </c>
      <c r="C6" s="39"/>
      <c r="D6" s="44" t="s">
        <v>25</v>
      </c>
      <c r="E6" s="41"/>
      <c r="F6" s="41"/>
      <c r="G6" s="42"/>
      <c r="H6" s="36"/>
      <c r="I6" s="43"/>
      <c r="J6" s="36"/>
      <c r="K6" s="36"/>
      <c r="L6" s="36"/>
      <c r="M6" s="37"/>
    </row>
    <row r="7" spans="1:16" s="2" customFormat="1" ht="14.1" customHeight="1" x14ac:dyDescent="0.3">
      <c r="A7" s="68">
        <v>3</v>
      </c>
      <c r="B7" s="48" t="s">
        <v>20</v>
      </c>
      <c r="C7" s="48"/>
      <c r="D7" s="49" t="s">
        <v>11</v>
      </c>
      <c r="E7" s="49"/>
      <c r="F7" s="49"/>
      <c r="G7" s="49"/>
      <c r="H7" s="8">
        <f>SUM(I7)-2</f>
        <v>35</v>
      </c>
      <c r="I7" s="35">
        <v>37</v>
      </c>
      <c r="J7" s="8">
        <f>SUM(I7)+2</f>
        <v>39</v>
      </c>
      <c r="K7" s="8"/>
      <c r="L7" s="10"/>
      <c r="M7" s="46"/>
    </row>
    <row r="8" spans="1:16" s="2" customFormat="1" ht="14.1" customHeight="1" x14ac:dyDescent="0.3">
      <c r="A8" s="69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10"/>
      <c r="M8" s="46"/>
    </row>
    <row r="9" spans="1:16" s="2" customFormat="1" ht="14.1" customHeight="1" x14ac:dyDescent="0.3">
      <c r="A9" s="68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SUM(I9)-1.7</f>
        <v>29.3</v>
      </c>
      <c r="I9" s="35">
        <v>31</v>
      </c>
      <c r="J9" s="8">
        <f>SUM(I9)+1.7</f>
        <v>32.700000000000003</v>
      </c>
      <c r="K9" s="8"/>
      <c r="L9" s="10"/>
      <c r="M9" s="46"/>
      <c r="O9" s="2" t="s">
        <v>182</v>
      </c>
    </row>
    <row r="10" spans="1:16" s="2" customFormat="1" ht="14.1" customHeight="1" x14ac:dyDescent="0.3">
      <c r="A10" s="69"/>
      <c r="B10" s="47" t="s">
        <v>13</v>
      </c>
      <c r="C10" s="47"/>
      <c r="D10" s="44" t="s">
        <v>27</v>
      </c>
      <c r="E10" s="41"/>
      <c r="F10" s="41"/>
      <c r="G10" s="42"/>
      <c r="H10" s="36"/>
      <c r="I10" s="43"/>
      <c r="J10" s="36"/>
      <c r="K10" s="36"/>
      <c r="L10" s="10"/>
      <c r="M10" s="46"/>
    </row>
    <row r="11" spans="1:16" s="2" customFormat="1" ht="14.1" customHeight="1" x14ac:dyDescent="0.3">
      <c r="A11" s="68">
        <v>5</v>
      </c>
      <c r="B11" s="48" t="s">
        <v>152</v>
      </c>
      <c r="C11" s="48"/>
      <c r="D11" s="49"/>
      <c r="E11" s="49"/>
      <c r="F11" s="49"/>
      <c r="G11" s="49"/>
      <c r="H11" s="10"/>
      <c r="I11" s="33"/>
      <c r="J11" s="10"/>
      <c r="K11" s="10"/>
      <c r="L11" s="8"/>
      <c r="M11" s="12"/>
      <c r="P11" s="2" t="s">
        <v>182</v>
      </c>
    </row>
    <row r="12" spans="1:16" s="2" customFormat="1" ht="14.1" customHeight="1" x14ac:dyDescent="0.3">
      <c r="A12" s="69"/>
      <c r="B12" s="47" t="s">
        <v>153</v>
      </c>
      <c r="C12" s="47"/>
      <c r="D12" s="44"/>
      <c r="E12" s="41"/>
      <c r="F12" s="41"/>
      <c r="G12" s="42"/>
      <c r="H12" s="10"/>
      <c r="I12" s="33"/>
      <c r="J12" s="10"/>
      <c r="K12" s="10"/>
      <c r="L12" s="36"/>
      <c r="M12" s="37"/>
    </row>
    <row r="13" spans="1:16" s="2" customFormat="1" ht="14.1" customHeight="1" x14ac:dyDescent="0.3">
      <c r="A13" s="68">
        <v>6</v>
      </c>
      <c r="B13" s="48" t="s">
        <v>10</v>
      </c>
      <c r="C13" s="48"/>
      <c r="D13" s="49" t="s">
        <v>0</v>
      </c>
      <c r="E13" s="49"/>
      <c r="F13" s="49"/>
      <c r="G13" s="49"/>
      <c r="H13" s="10">
        <f>SUM(I13)-1</f>
        <v>17</v>
      </c>
      <c r="I13" s="33">
        <v>18</v>
      </c>
      <c r="J13" s="10">
        <f>SUM(I13)+1</f>
        <v>19</v>
      </c>
      <c r="K13" s="10"/>
      <c r="L13" s="10"/>
      <c r="M13" s="46"/>
    </row>
    <row r="14" spans="1:16" s="2" customFormat="1" ht="14.1" customHeight="1" x14ac:dyDescent="0.3">
      <c r="A14" s="69"/>
      <c r="B14" s="47" t="s">
        <v>14</v>
      </c>
      <c r="C14" s="47"/>
      <c r="D14" s="44" t="s">
        <v>28</v>
      </c>
      <c r="E14" s="41"/>
      <c r="F14" s="41"/>
      <c r="G14" s="42"/>
      <c r="H14" s="10"/>
      <c r="I14" s="33"/>
      <c r="J14" s="10"/>
      <c r="K14" s="10"/>
      <c r="L14" s="10"/>
      <c r="M14" s="46"/>
    </row>
    <row r="15" spans="1:16" s="2" customFormat="1" ht="14.1" customHeight="1" x14ac:dyDescent="0.3">
      <c r="A15" s="68">
        <v>7</v>
      </c>
      <c r="B15" s="48" t="s">
        <v>1</v>
      </c>
      <c r="C15" s="48"/>
      <c r="D15" s="49" t="s">
        <v>137</v>
      </c>
      <c r="E15" s="49"/>
      <c r="F15" s="49"/>
      <c r="G15" s="49"/>
      <c r="H15" s="10">
        <f>SUM(I15)-0.6</f>
        <v>18.399999999999999</v>
      </c>
      <c r="I15" s="33">
        <v>19</v>
      </c>
      <c r="J15" s="10">
        <f>SUM(I15)+0.6</f>
        <v>19.600000000000001</v>
      </c>
      <c r="K15" s="10"/>
      <c r="L15" s="10"/>
      <c r="M15" s="46"/>
    </row>
    <row r="16" spans="1:16" s="2" customFormat="1" ht="14.1" customHeight="1" x14ac:dyDescent="0.3">
      <c r="A16" s="69"/>
      <c r="B16" s="47" t="s">
        <v>15</v>
      </c>
      <c r="C16" s="47"/>
      <c r="D16" s="44" t="s">
        <v>92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3" s="2" customFormat="1" ht="12.95" customHeight="1" x14ac:dyDescent="0.3">
      <c r="A17" s="68">
        <v>8</v>
      </c>
      <c r="B17" s="48" t="s">
        <v>3</v>
      </c>
      <c r="C17" s="48"/>
      <c r="D17" s="49" t="s">
        <v>4</v>
      </c>
      <c r="E17" s="49"/>
      <c r="F17" s="49"/>
      <c r="G17" s="49"/>
      <c r="H17" s="10">
        <f>SUM(I17)-0.3</f>
        <v>7.2</v>
      </c>
      <c r="I17" s="33">
        <v>7.5</v>
      </c>
      <c r="J17" s="10">
        <f>SUM(I17)+0.3</f>
        <v>7.8</v>
      </c>
      <c r="K17" s="10"/>
      <c r="L17" s="10"/>
      <c r="M17" s="46"/>
    </row>
    <row r="18" spans="1:13" s="2" customFormat="1" ht="12.95" customHeight="1" x14ac:dyDescent="0.3">
      <c r="A18" s="69"/>
      <c r="B18" s="47" t="s">
        <v>16</v>
      </c>
      <c r="C18" s="47"/>
      <c r="D18" s="44" t="s">
        <v>91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3" s="2" customFormat="1" ht="14.1" customHeight="1" x14ac:dyDescent="0.3">
      <c r="A19" s="68">
        <v>9</v>
      </c>
      <c r="B19" s="28" t="s">
        <v>283</v>
      </c>
      <c r="C19" s="29"/>
      <c r="D19" s="50"/>
      <c r="E19" s="51"/>
      <c r="F19" s="51"/>
      <c r="G19" s="52"/>
      <c r="H19" s="10">
        <f>SUM(I19)-0.2</f>
        <v>8.3000000000000007</v>
      </c>
      <c r="I19" s="33">
        <v>8.5</v>
      </c>
      <c r="J19" s="10">
        <f>SUM(I19)+0.2</f>
        <v>8.6999999999999993</v>
      </c>
      <c r="K19" s="10"/>
      <c r="L19" s="10"/>
      <c r="M19" s="46"/>
    </row>
    <row r="20" spans="1:13" s="2" customFormat="1" ht="14.1" customHeight="1" x14ac:dyDescent="0.3">
      <c r="A20" s="69"/>
      <c r="B20" s="47" t="s">
        <v>284</v>
      </c>
      <c r="C20" s="47"/>
      <c r="D20" s="44"/>
      <c r="E20" s="41"/>
      <c r="F20" s="41"/>
      <c r="G20" s="42"/>
      <c r="H20" s="10"/>
      <c r="I20" s="33"/>
      <c r="J20" s="10"/>
      <c r="K20" s="10"/>
      <c r="L20" s="10"/>
      <c r="M20" s="46"/>
    </row>
    <row r="21" spans="1:13" s="2" customFormat="1" ht="14.1" customHeight="1" x14ac:dyDescent="0.3">
      <c r="A21" s="68">
        <v>10</v>
      </c>
      <c r="B21" s="48" t="s">
        <v>5</v>
      </c>
      <c r="C21" s="48"/>
      <c r="D21" s="49" t="s">
        <v>6</v>
      </c>
      <c r="E21" s="49"/>
      <c r="F21" s="49"/>
      <c r="G21" s="49"/>
      <c r="H21" s="10">
        <f>SUM(I21)-3.2</f>
        <v>49.8</v>
      </c>
      <c r="I21" s="33">
        <v>53</v>
      </c>
      <c r="J21" s="10">
        <f>SUM(I21)+3.2</f>
        <v>56.2</v>
      </c>
      <c r="K21" s="10"/>
      <c r="L21" s="10"/>
      <c r="M21" s="46"/>
    </row>
    <row r="22" spans="1:13" s="2" customFormat="1" ht="14.1" customHeight="1" x14ac:dyDescent="0.3">
      <c r="A22" s="69"/>
      <c r="B22" s="47" t="s">
        <v>17</v>
      </c>
      <c r="C22" s="47"/>
      <c r="D22" s="44" t="s">
        <v>29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3" s="2" customFormat="1" ht="14.1" customHeight="1" x14ac:dyDescent="0.3">
      <c r="A23" s="68">
        <v>11</v>
      </c>
      <c r="B23" s="48" t="s">
        <v>7</v>
      </c>
      <c r="C23" s="48"/>
      <c r="D23" s="50" t="s">
        <v>8</v>
      </c>
      <c r="E23" s="51"/>
      <c r="F23" s="51"/>
      <c r="G23" s="52"/>
      <c r="H23" s="10">
        <f>SUM(I23)-1.6</f>
        <v>26.4</v>
      </c>
      <c r="I23" s="33">
        <v>28</v>
      </c>
      <c r="J23" s="10">
        <f>SUM(I23)+1.6</f>
        <v>29.6</v>
      </c>
      <c r="K23" s="10"/>
      <c r="L23" s="10"/>
      <c r="M23" s="46"/>
    </row>
    <row r="24" spans="1:13" s="2" customFormat="1" ht="14.1" customHeight="1" x14ac:dyDescent="0.3">
      <c r="A24" s="69"/>
      <c r="B24" s="47" t="s">
        <v>18</v>
      </c>
      <c r="C24" s="47"/>
      <c r="D24" s="44" t="s">
        <v>36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3" s="2" customFormat="1" ht="14.1" customHeight="1" x14ac:dyDescent="0.3">
      <c r="A25" s="68">
        <v>12</v>
      </c>
      <c r="B25" s="28" t="s">
        <v>59</v>
      </c>
      <c r="C25" s="29"/>
      <c r="D25" s="49" t="s">
        <v>37</v>
      </c>
      <c r="E25" s="49"/>
      <c r="F25" s="49"/>
      <c r="G25" s="49"/>
      <c r="H25" s="10">
        <f>SUM(I25)-0.8</f>
        <v>17.2</v>
      </c>
      <c r="I25" s="33">
        <v>18</v>
      </c>
      <c r="J25" s="10">
        <f>SUM(I25)+0.8</f>
        <v>18.8</v>
      </c>
      <c r="K25" s="10"/>
      <c r="L25" s="10"/>
      <c r="M25" s="46"/>
    </row>
    <row r="26" spans="1:13" s="2" customFormat="1" ht="14.1" customHeight="1" x14ac:dyDescent="0.3">
      <c r="A26" s="69"/>
      <c r="B26" s="47" t="s">
        <v>19</v>
      </c>
      <c r="C26" s="47"/>
      <c r="D26" s="44" t="s">
        <v>38</v>
      </c>
      <c r="E26" s="41"/>
      <c r="F26" s="41"/>
      <c r="G26" s="42"/>
      <c r="H26" s="8"/>
      <c r="I26" s="35"/>
      <c r="J26" s="8"/>
      <c r="K26" s="8"/>
      <c r="L26" s="10"/>
      <c r="M26" s="46"/>
    </row>
    <row r="27" spans="1:13" s="2" customFormat="1" ht="14.1" customHeight="1" x14ac:dyDescent="0.3">
      <c r="A27" s="68">
        <v>13</v>
      </c>
      <c r="B27" s="70" t="s">
        <v>163</v>
      </c>
      <c r="C27" s="70"/>
      <c r="D27" s="22"/>
      <c r="E27" s="140"/>
      <c r="F27" s="140"/>
      <c r="G27" s="24"/>
      <c r="H27" s="10"/>
      <c r="I27" s="33"/>
      <c r="J27" s="10"/>
      <c r="K27" s="10"/>
      <c r="L27" s="36"/>
      <c r="M27" s="37"/>
    </row>
    <row r="28" spans="1:13" s="2" customFormat="1" ht="14.1" customHeight="1" x14ac:dyDescent="0.3">
      <c r="A28" s="69"/>
      <c r="B28" s="47" t="s">
        <v>164</v>
      </c>
      <c r="C28" s="47"/>
      <c r="D28" s="44"/>
      <c r="E28" s="41"/>
      <c r="F28" s="41"/>
      <c r="G28" s="42"/>
      <c r="H28" s="10"/>
      <c r="I28" s="33"/>
      <c r="J28" s="10"/>
      <c r="K28" s="10"/>
      <c r="L28" s="10"/>
      <c r="M28" s="46"/>
    </row>
    <row r="29" spans="1:13" s="2" customFormat="1" ht="14.1" customHeight="1" x14ac:dyDescent="0.3">
      <c r="A29" s="26">
        <v>14</v>
      </c>
      <c r="B29" s="28" t="s">
        <v>39</v>
      </c>
      <c r="C29" s="29"/>
      <c r="D29" s="30"/>
      <c r="E29" s="31"/>
      <c r="F29" s="31"/>
      <c r="G29" s="32"/>
      <c r="H29" s="10"/>
      <c r="I29" s="33">
        <v>15</v>
      </c>
      <c r="J29" s="10"/>
      <c r="K29" s="10"/>
      <c r="L29" s="8"/>
      <c r="M29" s="46"/>
    </row>
    <row r="30" spans="1:13" s="2" customFormat="1" ht="14.1" customHeight="1" x14ac:dyDescent="0.3">
      <c r="A30" s="26"/>
      <c r="B30" s="38" t="s">
        <v>40</v>
      </c>
      <c r="C30" s="39"/>
      <c r="D30" s="44" t="s">
        <v>154</v>
      </c>
      <c r="E30" s="41"/>
      <c r="F30" s="41"/>
      <c r="G30" s="42"/>
      <c r="H30" s="10"/>
      <c r="I30" s="33"/>
      <c r="J30" s="10"/>
      <c r="K30" s="10"/>
      <c r="L30" s="36"/>
      <c r="M30" s="46"/>
    </row>
    <row r="31" spans="1:13" s="2" customFormat="1" ht="14.1" customHeight="1" x14ac:dyDescent="0.3">
      <c r="A31" s="26">
        <v>15</v>
      </c>
      <c r="B31" s="28" t="s">
        <v>86</v>
      </c>
      <c r="C31" s="29"/>
      <c r="D31" s="30"/>
      <c r="E31" s="31"/>
      <c r="F31" s="31"/>
      <c r="G31" s="32"/>
      <c r="H31" s="10"/>
      <c r="I31" s="33">
        <v>7.5</v>
      </c>
      <c r="J31" s="10"/>
      <c r="K31" s="10"/>
      <c r="L31" s="8"/>
      <c r="M31" s="12"/>
    </row>
    <row r="32" spans="1:13" s="2" customFormat="1" ht="14.1" customHeight="1" x14ac:dyDescent="0.3">
      <c r="A32" s="26"/>
      <c r="B32" s="38" t="s">
        <v>87</v>
      </c>
      <c r="C32" s="39"/>
      <c r="D32" s="44" t="s">
        <v>159</v>
      </c>
      <c r="E32" s="41"/>
      <c r="F32" s="41"/>
      <c r="G32" s="42"/>
      <c r="H32" s="10"/>
      <c r="I32" s="33"/>
      <c r="J32" s="10"/>
      <c r="K32" s="10"/>
      <c r="L32" s="36"/>
      <c r="M32" s="37"/>
    </row>
    <row r="33" spans="1:13" s="2" customFormat="1" ht="14.1" customHeight="1" x14ac:dyDescent="0.3">
      <c r="A33" s="68">
        <v>16</v>
      </c>
      <c r="B33" s="28" t="s">
        <v>285</v>
      </c>
      <c r="C33" s="29"/>
      <c r="D33" s="50"/>
      <c r="E33" s="51"/>
      <c r="F33" s="51"/>
      <c r="G33" s="52"/>
      <c r="H33" s="10"/>
      <c r="I33" s="33"/>
      <c r="J33" s="10"/>
      <c r="K33" s="10"/>
      <c r="L33" s="8"/>
      <c r="M33" s="12"/>
    </row>
    <row r="34" spans="1:13" s="2" customFormat="1" ht="14.1" customHeight="1" x14ac:dyDescent="0.3">
      <c r="A34" s="69"/>
      <c r="B34" s="38" t="s">
        <v>286</v>
      </c>
      <c r="C34" s="39"/>
      <c r="D34" s="44"/>
      <c r="E34" s="41"/>
      <c r="F34" s="41"/>
      <c r="G34" s="42"/>
      <c r="H34" s="10"/>
      <c r="I34" s="33"/>
      <c r="J34" s="10"/>
      <c r="K34" s="10"/>
      <c r="L34" s="36"/>
      <c r="M34" s="37"/>
    </row>
    <row r="35" spans="1:13" s="2" customFormat="1" ht="14.1" customHeight="1" x14ac:dyDescent="0.3">
      <c r="A35" s="68">
        <v>17</v>
      </c>
      <c r="B35" s="28"/>
      <c r="C35" s="29"/>
      <c r="D35" s="30"/>
      <c r="E35" s="31"/>
      <c r="F35" s="31"/>
      <c r="G35" s="32"/>
      <c r="H35" s="45"/>
      <c r="I35" s="33"/>
      <c r="J35" s="45"/>
      <c r="K35" s="45"/>
      <c r="L35" s="10"/>
      <c r="M35" s="46"/>
    </row>
    <row r="36" spans="1:13" s="2" customFormat="1" ht="14.1" customHeight="1" thickBot="1" x14ac:dyDescent="0.35">
      <c r="A36" s="71"/>
      <c r="B36" s="14"/>
      <c r="C36" s="15"/>
      <c r="D36" s="16"/>
      <c r="E36" s="17"/>
      <c r="F36" s="17"/>
      <c r="G36" s="18"/>
      <c r="H36" s="72"/>
      <c r="I36" s="34"/>
      <c r="J36" s="72"/>
      <c r="K36" s="72"/>
      <c r="L36" s="11"/>
      <c r="M36" s="73"/>
    </row>
    <row r="37" spans="1:13" s="2" customFormat="1" ht="14.1" customHeight="1" x14ac:dyDescent="0.3"/>
    <row r="38" spans="1:13" s="2" customFormat="1" ht="14.1" customHeight="1" x14ac:dyDescent="0.3"/>
    <row r="39" spans="1:13" ht="14.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14.1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9" spans="2:7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  <row r="51" spans="2:7" x14ac:dyDescent="0.3">
      <c r="B51" s="1"/>
      <c r="C51" s="1"/>
      <c r="D51" s="1"/>
      <c r="E51" s="1"/>
      <c r="F51" s="1"/>
      <c r="G51" s="1"/>
    </row>
    <row r="52" spans="2:7" x14ac:dyDescent="0.3">
      <c r="B52" s="1"/>
      <c r="C52" s="1"/>
      <c r="D52" s="1"/>
      <c r="E52" s="1"/>
      <c r="F52" s="1"/>
      <c r="G52" s="1"/>
    </row>
  </sheetData>
  <mergeCells count="190"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H33:H34"/>
    <mergeCell ref="H35:H36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H29:H30"/>
    <mergeCell ref="H31:H32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H25:H26"/>
    <mergeCell ref="H27:H28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H21:H22"/>
    <mergeCell ref="H23:H24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H17:H18"/>
    <mergeCell ref="H19:H20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ageMargins left="0.46875" right="0.46875" top="0.75" bottom="0.75" header="0.3" footer="0.3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5B4A-38F6-4E3D-B104-A9D9392195ED}">
  <sheetPr>
    <tabColor rgb="FF92D050"/>
  </sheetPr>
  <dimension ref="A1:P56"/>
  <sheetViews>
    <sheetView tabSelected="1" zoomScale="110" zoomScaleNormal="110" zoomScalePageLayoutView="110" workbookViewId="0">
      <selection sqref="A1:M4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6" ht="16.5" customHeight="1" thickBot="1" x14ac:dyDescent="0.35">
      <c r="A1" s="54" t="s">
        <v>287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6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6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60">
        <f>SUM(I3)-3</f>
        <v>43</v>
      </c>
      <c r="I3" s="59">
        <v>46</v>
      </c>
      <c r="J3" s="60">
        <f>SUM(I3)+3</f>
        <v>49</v>
      </c>
      <c r="K3" s="60"/>
      <c r="L3" s="60"/>
      <c r="M3" s="61"/>
    </row>
    <row r="4" spans="1:16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10"/>
      <c r="I4" s="33"/>
      <c r="J4" s="10"/>
      <c r="K4" s="10"/>
      <c r="L4" s="8"/>
      <c r="M4" s="37"/>
    </row>
    <row r="5" spans="1:16" s="2" customFormat="1" ht="14.1" customHeight="1" x14ac:dyDescent="0.3">
      <c r="A5" s="68">
        <v>2</v>
      </c>
      <c r="B5" s="74" t="s">
        <v>155</v>
      </c>
      <c r="C5" s="75"/>
      <c r="D5" s="22" t="s">
        <v>156</v>
      </c>
      <c r="E5" s="140"/>
      <c r="F5" s="140"/>
      <c r="G5" s="24"/>
      <c r="H5" s="8">
        <f>SUM(I5)-4</f>
        <v>68</v>
      </c>
      <c r="I5" s="35">
        <v>72</v>
      </c>
      <c r="J5" s="8">
        <f>SUM(I5)+4</f>
        <v>76</v>
      </c>
      <c r="K5" s="8"/>
      <c r="L5" s="8"/>
      <c r="M5" s="12"/>
    </row>
    <row r="6" spans="1:16" s="2" customFormat="1" ht="14.1" customHeight="1" x14ac:dyDescent="0.3">
      <c r="A6" s="69"/>
      <c r="B6" s="38" t="s">
        <v>157</v>
      </c>
      <c r="C6" s="39"/>
      <c r="D6" s="44" t="s">
        <v>158</v>
      </c>
      <c r="E6" s="41"/>
      <c r="F6" s="41"/>
      <c r="G6" s="42"/>
      <c r="H6" s="36"/>
      <c r="I6" s="43"/>
      <c r="J6" s="36"/>
      <c r="K6" s="36"/>
      <c r="L6" s="36"/>
      <c r="M6" s="37"/>
    </row>
    <row r="7" spans="1:16" s="2" customFormat="1" ht="14.1" customHeight="1" x14ac:dyDescent="0.3">
      <c r="A7" s="68">
        <v>3</v>
      </c>
      <c r="B7" s="48" t="s">
        <v>20</v>
      </c>
      <c r="C7" s="48"/>
      <c r="D7" s="49" t="s">
        <v>11</v>
      </c>
      <c r="E7" s="49"/>
      <c r="F7" s="49"/>
      <c r="G7" s="49"/>
      <c r="H7" s="8">
        <f>SUM(I7)-2.5</f>
        <v>49.5</v>
      </c>
      <c r="I7" s="35">
        <v>52</v>
      </c>
      <c r="J7" s="8">
        <f>SUM(I7)+2.5</f>
        <v>54.5</v>
      </c>
      <c r="K7" s="8"/>
      <c r="L7" s="10"/>
      <c r="M7" s="46"/>
    </row>
    <row r="8" spans="1:16" s="2" customFormat="1" ht="14.1" customHeight="1" x14ac:dyDescent="0.3">
      <c r="A8" s="69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10"/>
      <c r="M8" s="46"/>
    </row>
    <row r="9" spans="1:16" s="2" customFormat="1" ht="14.1" customHeight="1" x14ac:dyDescent="0.3">
      <c r="A9" s="68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SUM(I9)-1.8</f>
        <v>36.200000000000003</v>
      </c>
      <c r="I9" s="35">
        <v>38</v>
      </c>
      <c r="J9" s="8">
        <f>SUM(I9)+1.8</f>
        <v>39.799999999999997</v>
      </c>
      <c r="K9" s="8"/>
      <c r="L9" s="10"/>
      <c r="M9" s="46"/>
      <c r="O9" s="2" t="s">
        <v>182</v>
      </c>
    </row>
    <row r="10" spans="1:16" s="2" customFormat="1" ht="14.1" customHeight="1" x14ac:dyDescent="0.3">
      <c r="A10" s="69"/>
      <c r="B10" s="47" t="s">
        <v>13</v>
      </c>
      <c r="C10" s="47"/>
      <c r="D10" s="44" t="s">
        <v>27</v>
      </c>
      <c r="E10" s="41"/>
      <c r="F10" s="41"/>
      <c r="G10" s="42"/>
      <c r="H10" s="36"/>
      <c r="I10" s="43"/>
      <c r="J10" s="36"/>
      <c r="K10" s="36"/>
      <c r="L10" s="10"/>
      <c r="M10" s="46"/>
    </row>
    <row r="11" spans="1:16" s="2" customFormat="1" ht="14.1" customHeight="1" x14ac:dyDescent="0.3">
      <c r="A11" s="68">
        <v>5</v>
      </c>
      <c r="B11" s="48" t="s">
        <v>152</v>
      </c>
      <c r="C11" s="48"/>
      <c r="D11" s="49"/>
      <c r="E11" s="49"/>
      <c r="F11" s="49"/>
      <c r="G11" s="49"/>
      <c r="H11" s="10">
        <f>SUM(I11)</f>
        <v>6</v>
      </c>
      <c r="I11" s="33">
        <v>6</v>
      </c>
      <c r="J11" s="10">
        <f>SUM(I11)</f>
        <v>6</v>
      </c>
      <c r="K11" s="10"/>
      <c r="L11" s="8"/>
      <c r="M11" s="12"/>
      <c r="P11" s="2" t="s">
        <v>182</v>
      </c>
    </row>
    <row r="12" spans="1:16" s="2" customFormat="1" ht="14.1" customHeight="1" x14ac:dyDescent="0.3">
      <c r="A12" s="69"/>
      <c r="B12" s="47" t="s">
        <v>153</v>
      </c>
      <c r="C12" s="47"/>
      <c r="D12" s="44"/>
      <c r="E12" s="41"/>
      <c r="F12" s="41"/>
      <c r="G12" s="42"/>
      <c r="H12" s="10"/>
      <c r="I12" s="33"/>
      <c r="J12" s="10"/>
      <c r="K12" s="10"/>
      <c r="L12" s="36"/>
      <c r="M12" s="37"/>
    </row>
    <row r="13" spans="1:16" s="2" customFormat="1" ht="14.1" customHeight="1" x14ac:dyDescent="0.3">
      <c r="A13" s="68">
        <v>6</v>
      </c>
      <c r="B13" s="48" t="s">
        <v>10</v>
      </c>
      <c r="C13" s="48"/>
      <c r="D13" s="49" t="s">
        <v>0</v>
      </c>
      <c r="E13" s="49"/>
      <c r="F13" s="49"/>
      <c r="G13" s="49"/>
      <c r="H13" s="10"/>
      <c r="I13" s="33"/>
      <c r="J13" s="10"/>
      <c r="K13" s="10"/>
      <c r="L13" s="10"/>
      <c r="M13" s="46"/>
    </row>
    <row r="14" spans="1:16" s="2" customFormat="1" ht="14.1" customHeight="1" x14ac:dyDescent="0.3">
      <c r="A14" s="69"/>
      <c r="B14" s="47" t="s">
        <v>14</v>
      </c>
      <c r="C14" s="47"/>
      <c r="D14" s="44" t="s">
        <v>28</v>
      </c>
      <c r="E14" s="41"/>
      <c r="F14" s="41"/>
      <c r="G14" s="42"/>
      <c r="H14" s="10"/>
      <c r="I14" s="33"/>
      <c r="J14" s="10"/>
      <c r="K14" s="10"/>
      <c r="L14" s="10"/>
      <c r="M14" s="46"/>
    </row>
    <row r="15" spans="1:16" s="2" customFormat="1" ht="14.1" customHeight="1" x14ac:dyDescent="0.3">
      <c r="A15" s="68">
        <v>7</v>
      </c>
      <c r="B15" s="48" t="s">
        <v>1</v>
      </c>
      <c r="C15" s="48"/>
      <c r="D15" s="49" t="s">
        <v>137</v>
      </c>
      <c r="E15" s="49"/>
      <c r="F15" s="49"/>
      <c r="G15" s="49"/>
      <c r="H15" s="10">
        <f>SUM(I15)-0.6</f>
        <v>19.399999999999999</v>
      </c>
      <c r="I15" s="33">
        <v>20</v>
      </c>
      <c r="J15" s="10">
        <f>SUM(I15)+0.6</f>
        <v>20.6</v>
      </c>
      <c r="K15" s="10"/>
      <c r="L15" s="10"/>
      <c r="M15" s="46"/>
    </row>
    <row r="16" spans="1:16" s="2" customFormat="1" ht="14.1" customHeight="1" x14ac:dyDescent="0.3">
      <c r="A16" s="69"/>
      <c r="B16" s="47" t="s">
        <v>15</v>
      </c>
      <c r="C16" s="47"/>
      <c r="D16" s="44" t="s">
        <v>92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3" s="2" customFormat="1" ht="12.95" customHeight="1" x14ac:dyDescent="0.3">
      <c r="A17" s="68">
        <v>8</v>
      </c>
      <c r="B17" s="48" t="s">
        <v>3</v>
      </c>
      <c r="C17" s="48"/>
      <c r="D17" s="49" t="s">
        <v>4</v>
      </c>
      <c r="E17" s="49"/>
      <c r="F17" s="49"/>
      <c r="G17" s="49"/>
      <c r="H17" s="10">
        <f>SUM(I17)-0.3</f>
        <v>6.7</v>
      </c>
      <c r="I17" s="33">
        <v>7</v>
      </c>
      <c r="J17" s="10">
        <f>SUM(I17)+0.3</f>
        <v>7.3</v>
      </c>
      <c r="K17" s="10"/>
      <c r="L17" s="10"/>
      <c r="M17" s="46"/>
    </row>
    <row r="18" spans="1:13" s="2" customFormat="1" ht="12.95" customHeight="1" x14ac:dyDescent="0.3">
      <c r="A18" s="69"/>
      <c r="B18" s="47" t="s">
        <v>16</v>
      </c>
      <c r="C18" s="47"/>
      <c r="D18" s="44" t="s">
        <v>91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3" s="2" customFormat="1" ht="14.1" customHeight="1" x14ac:dyDescent="0.3">
      <c r="A19" s="68">
        <v>9</v>
      </c>
      <c r="B19" s="48" t="s">
        <v>150</v>
      </c>
      <c r="C19" s="48"/>
      <c r="D19" s="50" t="s">
        <v>149</v>
      </c>
      <c r="E19" s="51"/>
      <c r="F19" s="51"/>
      <c r="G19" s="52"/>
      <c r="H19" s="10">
        <f>SUM(I19)-1</f>
        <v>34</v>
      </c>
      <c r="I19" s="33">
        <v>35</v>
      </c>
      <c r="J19" s="10">
        <f>SUM(I19)+1</f>
        <v>36</v>
      </c>
      <c r="K19" s="10"/>
      <c r="L19" s="10"/>
      <c r="M19" s="46"/>
    </row>
    <row r="20" spans="1:13" s="2" customFormat="1" ht="14.1" customHeight="1" x14ac:dyDescent="0.3">
      <c r="A20" s="69"/>
      <c r="B20" s="47" t="s">
        <v>148</v>
      </c>
      <c r="C20" s="47"/>
      <c r="D20" s="44" t="s">
        <v>147</v>
      </c>
      <c r="E20" s="41"/>
      <c r="F20" s="41"/>
      <c r="G20" s="42"/>
      <c r="H20" s="10"/>
      <c r="I20" s="33"/>
      <c r="J20" s="10"/>
      <c r="K20" s="10"/>
      <c r="L20" s="10"/>
      <c r="M20" s="46"/>
    </row>
    <row r="21" spans="1:13" s="2" customFormat="1" ht="14.1" customHeight="1" x14ac:dyDescent="0.3">
      <c r="A21" s="68">
        <v>10</v>
      </c>
      <c r="B21" s="48" t="s">
        <v>146</v>
      </c>
      <c r="C21" s="48"/>
      <c r="D21" s="50" t="s">
        <v>145</v>
      </c>
      <c r="E21" s="51"/>
      <c r="F21" s="51"/>
      <c r="G21" s="52"/>
      <c r="H21" s="10">
        <f>SUM(I21)-0.8</f>
        <v>23.7</v>
      </c>
      <c r="I21" s="33">
        <v>24.5</v>
      </c>
      <c r="J21" s="10">
        <f>SUM(I21)+0.8</f>
        <v>25.3</v>
      </c>
      <c r="K21" s="10"/>
      <c r="L21" s="10"/>
      <c r="M21" s="46"/>
    </row>
    <row r="22" spans="1:13" s="2" customFormat="1" ht="14.1" customHeight="1" x14ac:dyDescent="0.3">
      <c r="A22" s="69"/>
      <c r="B22" s="47" t="s">
        <v>144</v>
      </c>
      <c r="C22" s="47"/>
      <c r="D22" s="44" t="s">
        <v>143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3" s="2" customFormat="1" ht="14.1" customHeight="1" x14ac:dyDescent="0.3">
      <c r="A23" s="68">
        <v>11</v>
      </c>
      <c r="B23" s="48" t="s">
        <v>5</v>
      </c>
      <c r="C23" s="48"/>
      <c r="D23" s="49" t="s">
        <v>6</v>
      </c>
      <c r="E23" s="49"/>
      <c r="F23" s="49"/>
      <c r="G23" s="49"/>
      <c r="H23" s="10"/>
      <c r="I23" s="33"/>
      <c r="J23" s="10"/>
      <c r="K23" s="10"/>
      <c r="L23" s="10"/>
      <c r="M23" s="46"/>
    </row>
    <row r="24" spans="1:13" s="2" customFormat="1" ht="14.1" customHeight="1" x14ac:dyDescent="0.3">
      <c r="A24" s="69"/>
      <c r="B24" s="47" t="s">
        <v>17</v>
      </c>
      <c r="C24" s="47"/>
      <c r="D24" s="44" t="s">
        <v>29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3" s="2" customFormat="1" ht="14.1" customHeight="1" x14ac:dyDescent="0.3">
      <c r="A25" s="68">
        <v>12</v>
      </c>
      <c r="B25" s="48" t="s">
        <v>7</v>
      </c>
      <c r="C25" s="48"/>
      <c r="D25" s="50" t="s">
        <v>8</v>
      </c>
      <c r="E25" s="51"/>
      <c r="F25" s="51"/>
      <c r="G25" s="52"/>
      <c r="H25" s="10">
        <f>SUM(I25)-1.6</f>
        <v>30.4</v>
      </c>
      <c r="I25" s="33">
        <v>32</v>
      </c>
      <c r="J25" s="10">
        <f>SUM(I25)+1.6</f>
        <v>33.6</v>
      </c>
      <c r="K25" s="10"/>
      <c r="L25" s="10"/>
      <c r="M25" s="46"/>
    </row>
    <row r="26" spans="1:13" s="2" customFormat="1" ht="14.1" customHeight="1" x14ac:dyDescent="0.3">
      <c r="A26" s="69"/>
      <c r="B26" s="47" t="s">
        <v>18</v>
      </c>
      <c r="C26" s="47"/>
      <c r="D26" s="44" t="s">
        <v>36</v>
      </c>
      <c r="E26" s="41"/>
      <c r="F26" s="41"/>
      <c r="G26" s="42"/>
      <c r="H26" s="10"/>
      <c r="I26" s="33"/>
      <c r="J26" s="10"/>
      <c r="K26" s="10"/>
      <c r="L26" s="10"/>
      <c r="M26" s="46"/>
    </row>
    <row r="27" spans="1:13" s="2" customFormat="1" ht="14.1" customHeight="1" x14ac:dyDescent="0.3">
      <c r="A27" s="68">
        <v>13</v>
      </c>
      <c r="B27" s="28" t="s">
        <v>59</v>
      </c>
      <c r="C27" s="29"/>
      <c r="D27" s="49" t="s">
        <v>37</v>
      </c>
      <c r="E27" s="49"/>
      <c r="F27" s="49"/>
      <c r="G27" s="49"/>
      <c r="H27" s="10">
        <f>SUM(I27)-0.8</f>
        <v>18.2</v>
      </c>
      <c r="I27" s="33">
        <v>19</v>
      </c>
      <c r="J27" s="10">
        <f>SUM(I27)+0.8</f>
        <v>19.8</v>
      </c>
      <c r="K27" s="10"/>
      <c r="L27" s="10"/>
      <c r="M27" s="46"/>
    </row>
    <row r="28" spans="1:13" s="2" customFormat="1" ht="14.1" customHeight="1" x14ac:dyDescent="0.3">
      <c r="A28" s="69"/>
      <c r="B28" s="47" t="s">
        <v>19</v>
      </c>
      <c r="C28" s="47"/>
      <c r="D28" s="44" t="s">
        <v>38</v>
      </c>
      <c r="E28" s="41"/>
      <c r="F28" s="41"/>
      <c r="G28" s="42"/>
      <c r="H28" s="8"/>
      <c r="I28" s="35"/>
      <c r="J28" s="8"/>
      <c r="K28" s="8"/>
      <c r="L28" s="10"/>
      <c r="M28" s="46"/>
    </row>
    <row r="29" spans="1:13" s="2" customFormat="1" ht="14.1" customHeight="1" x14ac:dyDescent="0.3">
      <c r="A29" s="68">
        <v>14</v>
      </c>
      <c r="B29" s="70" t="s">
        <v>163</v>
      </c>
      <c r="C29" s="70"/>
      <c r="D29" s="22"/>
      <c r="E29" s="140"/>
      <c r="F29" s="140"/>
      <c r="G29" s="24"/>
      <c r="H29" s="10">
        <f>SUM(I29)</f>
        <v>5.5</v>
      </c>
      <c r="I29" s="33">
        <v>5.5</v>
      </c>
      <c r="J29" s="10">
        <f>SUM(I29)</f>
        <v>5.5</v>
      </c>
      <c r="K29" s="10"/>
      <c r="L29" s="36"/>
      <c r="M29" s="37"/>
    </row>
    <row r="30" spans="1:13" s="2" customFormat="1" ht="14.1" customHeight="1" x14ac:dyDescent="0.3">
      <c r="A30" s="69"/>
      <c r="B30" s="47" t="s">
        <v>164</v>
      </c>
      <c r="C30" s="47"/>
      <c r="D30" s="44"/>
      <c r="E30" s="41"/>
      <c r="F30" s="41"/>
      <c r="G30" s="42"/>
      <c r="H30" s="10"/>
      <c r="I30" s="33"/>
      <c r="J30" s="10"/>
      <c r="K30" s="10"/>
      <c r="L30" s="10"/>
      <c r="M30" s="46"/>
    </row>
    <row r="31" spans="1:13" s="2" customFormat="1" ht="14.1" customHeight="1" x14ac:dyDescent="0.3">
      <c r="A31" s="26">
        <v>15</v>
      </c>
      <c r="B31" s="28" t="s">
        <v>39</v>
      </c>
      <c r="C31" s="29"/>
      <c r="D31" s="30"/>
      <c r="E31" s="31"/>
      <c r="F31" s="31"/>
      <c r="G31" s="32"/>
      <c r="H31" s="10"/>
      <c r="I31" s="33">
        <v>14.5</v>
      </c>
      <c r="J31" s="10"/>
      <c r="K31" s="10"/>
      <c r="L31" s="8"/>
      <c r="M31" s="46"/>
    </row>
    <row r="32" spans="1:13" s="2" customFormat="1" ht="14.1" customHeight="1" x14ac:dyDescent="0.3">
      <c r="A32" s="26"/>
      <c r="B32" s="38" t="s">
        <v>40</v>
      </c>
      <c r="C32" s="39"/>
      <c r="D32" s="44" t="s">
        <v>154</v>
      </c>
      <c r="E32" s="41"/>
      <c r="F32" s="41"/>
      <c r="G32" s="42"/>
      <c r="H32" s="10"/>
      <c r="I32" s="33"/>
      <c r="J32" s="10"/>
      <c r="K32" s="10"/>
      <c r="L32" s="36"/>
      <c r="M32" s="46"/>
    </row>
    <row r="33" spans="1:13" s="2" customFormat="1" ht="14.1" customHeight="1" x14ac:dyDescent="0.3">
      <c r="A33" s="26">
        <v>16</v>
      </c>
      <c r="B33" s="28" t="s">
        <v>86</v>
      </c>
      <c r="C33" s="29"/>
      <c r="D33" s="30"/>
      <c r="E33" s="31"/>
      <c r="F33" s="31"/>
      <c r="G33" s="32"/>
      <c r="H33" s="10"/>
      <c r="I33" s="33">
        <v>7.6</v>
      </c>
      <c r="J33" s="10"/>
      <c r="K33" s="10"/>
      <c r="L33" s="8"/>
      <c r="M33" s="12"/>
    </row>
    <row r="34" spans="1:13" s="2" customFormat="1" ht="14.1" customHeight="1" x14ac:dyDescent="0.3">
      <c r="A34" s="26"/>
      <c r="B34" s="38" t="s">
        <v>87</v>
      </c>
      <c r="C34" s="39"/>
      <c r="D34" s="44" t="s">
        <v>159</v>
      </c>
      <c r="E34" s="41"/>
      <c r="F34" s="41"/>
      <c r="G34" s="42"/>
      <c r="H34" s="10"/>
      <c r="I34" s="33"/>
      <c r="J34" s="10"/>
      <c r="K34" s="10"/>
      <c r="L34" s="36"/>
      <c r="M34" s="37"/>
    </row>
    <row r="35" spans="1:13" s="2" customFormat="1" ht="14.1" customHeight="1" x14ac:dyDescent="0.3">
      <c r="A35" s="68">
        <v>17</v>
      </c>
      <c r="B35" s="28" t="s">
        <v>288</v>
      </c>
      <c r="C35" s="29"/>
      <c r="D35" s="50"/>
      <c r="E35" s="51"/>
      <c r="F35" s="51"/>
      <c r="G35" s="52"/>
      <c r="H35" s="10"/>
      <c r="I35" s="33"/>
      <c r="J35" s="10"/>
      <c r="K35" s="10"/>
      <c r="L35" s="8"/>
      <c r="M35" s="12"/>
    </row>
    <row r="36" spans="1:13" s="2" customFormat="1" ht="14.1" customHeight="1" x14ac:dyDescent="0.3">
      <c r="A36" s="69"/>
      <c r="B36" s="38" t="s">
        <v>289</v>
      </c>
      <c r="C36" s="39"/>
      <c r="D36" s="44" t="s">
        <v>290</v>
      </c>
      <c r="E36" s="41"/>
      <c r="F36" s="41"/>
      <c r="G36" s="42"/>
      <c r="H36" s="10"/>
      <c r="I36" s="33"/>
      <c r="J36" s="10"/>
      <c r="K36" s="10"/>
      <c r="L36" s="36"/>
      <c r="M36" s="37"/>
    </row>
    <row r="37" spans="1:13" s="2" customFormat="1" ht="14.1" customHeight="1" x14ac:dyDescent="0.3">
      <c r="A37" s="68">
        <v>18</v>
      </c>
      <c r="B37" s="28" t="s">
        <v>285</v>
      </c>
      <c r="C37" s="29"/>
      <c r="D37" s="50"/>
      <c r="E37" s="51"/>
      <c r="F37" s="51"/>
      <c r="G37" s="52"/>
      <c r="H37" s="10"/>
      <c r="I37" s="33"/>
      <c r="J37" s="10"/>
      <c r="K37" s="10"/>
      <c r="L37" s="8"/>
      <c r="M37" s="12"/>
    </row>
    <row r="38" spans="1:13" s="2" customFormat="1" ht="14.1" customHeight="1" x14ac:dyDescent="0.3">
      <c r="A38" s="69"/>
      <c r="B38" s="38" t="s">
        <v>286</v>
      </c>
      <c r="C38" s="39"/>
      <c r="D38" s="44"/>
      <c r="E38" s="41"/>
      <c r="F38" s="41"/>
      <c r="G38" s="42"/>
      <c r="H38" s="10"/>
      <c r="I38" s="33"/>
      <c r="J38" s="10"/>
      <c r="K38" s="10"/>
      <c r="L38" s="36"/>
      <c r="M38" s="37"/>
    </row>
    <row r="39" spans="1:13" ht="14.1" customHeight="1" x14ac:dyDescent="0.3">
      <c r="A39" s="68">
        <v>19</v>
      </c>
      <c r="B39" s="28"/>
      <c r="C39" s="29"/>
      <c r="D39" s="30"/>
      <c r="E39" s="31"/>
      <c r="F39" s="31"/>
      <c r="G39" s="32"/>
      <c r="H39" s="45"/>
      <c r="I39" s="33"/>
      <c r="J39" s="45"/>
      <c r="K39" s="45"/>
      <c r="L39" s="10"/>
      <c r="M39" s="46"/>
    </row>
    <row r="40" spans="1:13" ht="14.1" customHeight="1" thickBot="1" x14ac:dyDescent="0.35">
      <c r="A40" s="71"/>
      <c r="B40" s="14"/>
      <c r="C40" s="15"/>
      <c r="D40" s="16"/>
      <c r="E40" s="17"/>
      <c r="F40" s="17"/>
      <c r="G40" s="18"/>
      <c r="H40" s="72"/>
      <c r="I40" s="34"/>
      <c r="J40" s="72"/>
      <c r="K40" s="72"/>
      <c r="L40" s="11"/>
      <c r="M40" s="73"/>
    </row>
    <row r="41" spans="1:13" ht="14.1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14.1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ht="14.1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14.1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4.1" customHeight="1" x14ac:dyDescent="0.3"/>
    <row r="46" spans="1:13" ht="14.1" customHeight="1" x14ac:dyDescent="0.3"/>
    <row r="47" spans="1:13" ht="14.1" customHeight="1" x14ac:dyDescent="0.3"/>
    <row r="53" spans="2:7" x14ac:dyDescent="0.3">
      <c r="B53" s="1"/>
      <c r="C53" s="1"/>
      <c r="D53" s="1"/>
      <c r="E53" s="1"/>
      <c r="F53" s="1"/>
      <c r="G53" s="1"/>
    </row>
    <row r="54" spans="2:7" x14ac:dyDescent="0.3">
      <c r="B54" s="1"/>
      <c r="C54" s="1"/>
      <c r="D54" s="1"/>
      <c r="E54" s="1"/>
      <c r="F54" s="1"/>
      <c r="G54" s="1"/>
    </row>
    <row r="55" spans="2:7" x14ac:dyDescent="0.3">
      <c r="B55" s="1"/>
      <c r="C55" s="1"/>
      <c r="D55" s="1"/>
      <c r="E55" s="1"/>
      <c r="F55" s="1"/>
      <c r="G55" s="1"/>
    </row>
    <row r="56" spans="2:7" x14ac:dyDescent="0.3">
      <c r="B56" s="1"/>
      <c r="C56" s="1"/>
      <c r="D56" s="1"/>
      <c r="E56" s="1"/>
      <c r="F56" s="1"/>
      <c r="G56" s="1"/>
    </row>
  </sheetData>
  <mergeCells count="212">
    <mergeCell ref="M27:M28"/>
    <mergeCell ref="B29:C29"/>
    <mergeCell ref="D29:G29"/>
    <mergeCell ref="I29:I30"/>
    <mergeCell ref="I27:I28"/>
    <mergeCell ref="J27:J28"/>
    <mergeCell ref="K27:K28"/>
    <mergeCell ref="B34:C34"/>
    <mergeCell ref="D34:G34"/>
    <mergeCell ref="B32:C32"/>
    <mergeCell ref="D32:G32"/>
    <mergeCell ref="J29:J30"/>
    <mergeCell ref="B30:C30"/>
    <mergeCell ref="D30:G30"/>
    <mergeCell ref="I33:I34"/>
    <mergeCell ref="J33:J34"/>
    <mergeCell ref="K29:K30"/>
    <mergeCell ref="L29:L30"/>
    <mergeCell ref="M29:M30"/>
    <mergeCell ref="H27:H28"/>
    <mergeCell ref="H29:H30"/>
    <mergeCell ref="H31:H32"/>
    <mergeCell ref="A31:A32"/>
    <mergeCell ref="B31:C31"/>
    <mergeCell ref="D31:G31"/>
    <mergeCell ref="I31:I32"/>
    <mergeCell ref="J31:J32"/>
    <mergeCell ref="B38:C38"/>
    <mergeCell ref="D38:G38"/>
    <mergeCell ref="K33:K34"/>
    <mergeCell ref="L33:L34"/>
    <mergeCell ref="M33:M34"/>
    <mergeCell ref="L31:L32"/>
    <mergeCell ref="M31:M32"/>
    <mergeCell ref="K31:K32"/>
    <mergeCell ref="H33:H34"/>
    <mergeCell ref="H35:H36"/>
    <mergeCell ref="H37:H38"/>
    <mergeCell ref="K39:K40"/>
    <mergeCell ref="L39:L40"/>
    <mergeCell ref="A33:A34"/>
    <mergeCell ref="B33:C33"/>
    <mergeCell ref="D33:G33"/>
    <mergeCell ref="A29:A30"/>
    <mergeCell ref="L27:L28"/>
    <mergeCell ref="M39:M40"/>
    <mergeCell ref="B40:C40"/>
    <mergeCell ref="D40:G40"/>
    <mergeCell ref="L35:L36"/>
    <mergeCell ref="M35:M36"/>
    <mergeCell ref="B36:C36"/>
    <mergeCell ref="D36:G36"/>
    <mergeCell ref="K35:K36"/>
    <mergeCell ref="B37:C37"/>
    <mergeCell ref="D37:G37"/>
    <mergeCell ref="I37:I38"/>
    <mergeCell ref="J37:J38"/>
    <mergeCell ref="K37:K38"/>
    <mergeCell ref="L37:L38"/>
    <mergeCell ref="M37:M38"/>
    <mergeCell ref="A39:A40"/>
    <mergeCell ref="B39:C39"/>
    <mergeCell ref="D39:G39"/>
    <mergeCell ref="I39:I40"/>
    <mergeCell ref="J39:J40"/>
    <mergeCell ref="A35:A36"/>
    <mergeCell ref="B35:C35"/>
    <mergeCell ref="D35:G35"/>
    <mergeCell ref="I35:I36"/>
    <mergeCell ref="J35:J36"/>
    <mergeCell ref="A37:A38"/>
    <mergeCell ref="H39:H40"/>
    <mergeCell ref="M25:M26"/>
    <mergeCell ref="B26:C26"/>
    <mergeCell ref="D26:G26"/>
    <mergeCell ref="L23:L24"/>
    <mergeCell ref="M23:M24"/>
    <mergeCell ref="B24:C24"/>
    <mergeCell ref="D24:G24"/>
    <mergeCell ref="K23:K24"/>
    <mergeCell ref="B25:C25"/>
    <mergeCell ref="D25:G25"/>
    <mergeCell ref="I25:I26"/>
    <mergeCell ref="J25:J26"/>
    <mergeCell ref="K25:K26"/>
    <mergeCell ref="L25:L26"/>
    <mergeCell ref="H23:H24"/>
    <mergeCell ref="H25:H26"/>
    <mergeCell ref="A23:A24"/>
    <mergeCell ref="B23:C23"/>
    <mergeCell ref="D23:G23"/>
    <mergeCell ref="I23:I24"/>
    <mergeCell ref="J23:J24"/>
    <mergeCell ref="A27:A28"/>
    <mergeCell ref="B27:C27"/>
    <mergeCell ref="D27:G27"/>
    <mergeCell ref="A21:A22"/>
    <mergeCell ref="B21:C21"/>
    <mergeCell ref="D21:G21"/>
    <mergeCell ref="I21:I22"/>
    <mergeCell ref="J21:J22"/>
    <mergeCell ref="A25:A26"/>
    <mergeCell ref="B28:C28"/>
    <mergeCell ref="D28:G28"/>
    <mergeCell ref="H21:H22"/>
    <mergeCell ref="L21:L22"/>
    <mergeCell ref="M21:M22"/>
    <mergeCell ref="B22:C22"/>
    <mergeCell ref="D22:G22"/>
    <mergeCell ref="K21:K22"/>
    <mergeCell ref="L17:L18"/>
    <mergeCell ref="M17:M18"/>
    <mergeCell ref="B18:C18"/>
    <mergeCell ref="D18:G18"/>
    <mergeCell ref="K17:K18"/>
    <mergeCell ref="K19:K20"/>
    <mergeCell ref="L19:L20"/>
    <mergeCell ref="M19:M20"/>
    <mergeCell ref="H17:H18"/>
    <mergeCell ref="H19:H20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B20:C20"/>
    <mergeCell ref="D20:G20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ageMargins left="0.46875" right="0.46875" top="0.75" bottom="0.75" header="0.3" footer="0.3"/>
  <pageSetup paperSize="9" scale="9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4088-EF62-46B5-963C-7297013E810D}">
  <sheetPr>
    <tabColor rgb="FF92D050"/>
  </sheetPr>
  <dimension ref="A1:M50"/>
  <sheetViews>
    <sheetView zoomScale="110" zoomScaleNormal="110" zoomScalePageLayoutView="110" workbookViewId="0">
      <selection activeCell="P9" sqref="P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270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76">
        <f>SUM(I3-3)</f>
        <v>47.2</v>
      </c>
      <c r="I3" s="59">
        <v>50.2</v>
      </c>
      <c r="J3" s="60">
        <f>SUM(I3)+3</f>
        <v>53.2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45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63">
        <f>SUM(I5-2)</f>
        <v>31.6</v>
      </c>
      <c r="I5" s="35">
        <v>33.6</v>
      </c>
      <c r="J5" s="8">
        <f>SUM(I5)+2</f>
        <v>35.6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64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63">
        <f>SUM(I7-2.5)</f>
        <v>37.5</v>
      </c>
      <c r="I7" s="35">
        <v>40</v>
      </c>
      <c r="J7" s="8">
        <f>SUM(I7)+2.5</f>
        <v>42.5</v>
      </c>
      <c r="K7" s="8"/>
      <c r="L7" s="10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64"/>
      <c r="I8" s="43"/>
      <c r="J8" s="36"/>
      <c r="K8" s="36"/>
      <c r="L8" s="10"/>
      <c r="M8" s="46"/>
    </row>
    <row r="9" spans="1:13" s="2" customFormat="1" ht="14.1" customHeight="1" x14ac:dyDescent="0.3">
      <c r="A9" s="26">
        <v>4</v>
      </c>
      <c r="B9" s="48" t="s">
        <v>275</v>
      </c>
      <c r="C9" s="48"/>
      <c r="D9" s="49"/>
      <c r="E9" s="49"/>
      <c r="F9" s="49"/>
      <c r="G9" s="49"/>
      <c r="H9" s="63">
        <f>SUM(I9)</f>
        <v>2</v>
      </c>
      <c r="I9" s="35">
        <v>2</v>
      </c>
      <c r="J9" s="8">
        <f>SUM(I9)</f>
        <v>2</v>
      </c>
      <c r="K9" s="8"/>
      <c r="L9" s="10"/>
      <c r="M9" s="46"/>
    </row>
    <row r="10" spans="1:13" s="2" customFormat="1" ht="14.1" customHeight="1" x14ac:dyDescent="0.3">
      <c r="A10" s="26"/>
      <c r="B10" s="47" t="s">
        <v>276</v>
      </c>
      <c r="C10" s="47"/>
      <c r="D10" s="44" t="s">
        <v>274</v>
      </c>
      <c r="E10" s="41"/>
      <c r="F10" s="41"/>
      <c r="G10" s="42"/>
      <c r="H10" s="64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24</v>
      </c>
      <c r="C11" s="48"/>
      <c r="D11" s="49" t="s">
        <v>9</v>
      </c>
      <c r="E11" s="49"/>
      <c r="F11" s="49"/>
      <c r="G11" s="49"/>
      <c r="H11" s="63">
        <f>SUM(I11-2.5)</f>
        <v>37.5</v>
      </c>
      <c r="I11" s="35">
        <v>40</v>
      </c>
      <c r="J11" s="8">
        <f>SUM(I11)+2.5</f>
        <v>42.5</v>
      </c>
      <c r="K11" s="8"/>
      <c r="L11" s="10"/>
      <c r="M11" s="46"/>
    </row>
    <row r="12" spans="1:13" s="2" customFormat="1" ht="14.1" customHeight="1" x14ac:dyDescent="0.3">
      <c r="A12" s="26"/>
      <c r="B12" s="47" t="s">
        <v>13</v>
      </c>
      <c r="C12" s="47"/>
      <c r="D12" s="44" t="s">
        <v>27</v>
      </c>
      <c r="E12" s="41"/>
      <c r="F12" s="41"/>
      <c r="G12" s="42"/>
      <c r="H12" s="64"/>
      <c r="I12" s="43"/>
      <c r="J12" s="36"/>
      <c r="K12" s="36"/>
      <c r="L12" s="10"/>
      <c r="M12" s="46"/>
    </row>
    <row r="13" spans="1:13" s="2" customFormat="1" ht="14.1" customHeight="1" x14ac:dyDescent="0.3">
      <c r="A13" s="26">
        <v>6</v>
      </c>
      <c r="B13" s="48" t="s">
        <v>272</v>
      </c>
      <c r="C13" s="48"/>
      <c r="D13" s="49"/>
      <c r="E13" s="49"/>
      <c r="F13" s="49"/>
      <c r="G13" s="49"/>
      <c r="H13" s="63">
        <f>SUM(I13)</f>
        <v>3.5</v>
      </c>
      <c r="I13" s="35">
        <v>3.5</v>
      </c>
      <c r="J13" s="8">
        <f>SUM(I13)</f>
        <v>3.5</v>
      </c>
      <c r="K13" s="8"/>
      <c r="L13" s="10"/>
      <c r="M13" s="46"/>
    </row>
    <row r="14" spans="1:13" s="2" customFormat="1" ht="14.1" customHeight="1" x14ac:dyDescent="0.3">
      <c r="A14" s="26"/>
      <c r="B14" s="47" t="s">
        <v>273</v>
      </c>
      <c r="C14" s="47"/>
      <c r="D14" s="44" t="s">
        <v>274</v>
      </c>
      <c r="E14" s="41"/>
      <c r="F14" s="41"/>
      <c r="G14" s="42"/>
      <c r="H14" s="64"/>
      <c r="I14" s="43"/>
      <c r="J14" s="36"/>
      <c r="K14" s="36"/>
      <c r="L14" s="10"/>
      <c r="M14" s="46"/>
    </row>
    <row r="15" spans="1:13" s="2" customFormat="1" ht="14.1" customHeight="1" x14ac:dyDescent="0.3">
      <c r="A15" s="26">
        <v>7</v>
      </c>
      <c r="B15" s="48" t="s">
        <v>10</v>
      </c>
      <c r="C15" s="48"/>
      <c r="D15" s="49" t="s">
        <v>0</v>
      </c>
      <c r="E15" s="49"/>
      <c r="F15" s="49"/>
      <c r="G15" s="49"/>
      <c r="H15" s="45">
        <f>SUM(I15-1)</f>
        <v>15.5</v>
      </c>
      <c r="I15" s="33">
        <v>16.5</v>
      </c>
      <c r="J15" s="10">
        <f>SUM(I15)+1</f>
        <v>17.5</v>
      </c>
      <c r="K15" s="10"/>
      <c r="L15" s="10"/>
      <c r="M15" s="46"/>
    </row>
    <row r="16" spans="1:13" s="2" customFormat="1" ht="14.1" customHeight="1" x14ac:dyDescent="0.3">
      <c r="A16" s="26"/>
      <c r="B16" s="47" t="s">
        <v>14</v>
      </c>
      <c r="C16" s="47"/>
      <c r="D16" s="44" t="s">
        <v>28</v>
      </c>
      <c r="E16" s="41"/>
      <c r="F16" s="41"/>
      <c r="G16" s="42"/>
      <c r="H16" s="45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48" t="s">
        <v>1</v>
      </c>
      <c r="C17" s="48"/>
      <c r="D17" s="49" t="s">
        <v>137</v>
      </c>
      <c r="E17" s="49"/>
      <c r="F17" s="49"/>
      <c r="G17" s="49"/>
      <c r="H17" s="45">
        <f>SUM(I17-0.6)</f>
        <v>15.9</v>
      </c>
      <c r="I17" s="33">
        <v>16.5</v>
      </c>
      <c r="J17" s="10">
        <f>SUM(I17)+0.6</f>
        <v>17.100000000000001</v>
      </c>
      <c r="K17" s="10"/>
      <c r="L17" s="10"/>
      <c r="M17" s="46"/>
    </row>
    <row r="18" spans="1:13" s="2" customFormat="1" ht="14.1" customHeight="1" x14ac:dyDescent="0.3">
      <c r="A18" s="26"/>
      <c r="B18" s="47" t="s">
        <v>15</v>
      </c>
      <c r="C18" s="47"/>
      <c r="D18" s="44" t="s">
        <v>132</v>
      </c>
      <c r="E18" s="41"/>
      <c r="F18" s="41"/>
      <c r="G18" s="42"/>
      <c r="H18" s="45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3</v>
      </c>
      <c r="C19" s="48"/>
      <c r="D19" s="49" t="s">
        <v>4</v>
      </c>
      <c r="E19" s="49"/>
      <c r="F19" s="49"/>
      <c r="G19" s="49"/>
      <c r="H19" s="45">
        <f>SUM(I19-0.3)</f>
        <v>8.1999999999999993</v>
      </c>
      <c r="I19" s="33">
        <v>8.5</v>
      </c>
      <c r="J19" s="10">
        <f>SUM(I19)+0.3</f>
        <v>8.8000000000000007</v>
      </c>
      <c r="K19" s="10"/>
      <c r="L19" s="10"/>
      <c r="M19" s="46"/>
    </row>
    <row r="20" spans="1:13" s="2" customFormat="1" ht="14.1" customHeight="1" x14ac:dyDescent="0.3">
      <c r="A20" s="26"/>
      <c r="B20" s="47" t="s">
        <v>16</v>
      </c>
      <c r="C20" s="47"/>
      <c r="D20" s="44" t="s">
        <v>277</v>
      </c>
      <c r="E20" s="41"/>
      <c r="F20" s="41"/>
      <c r="G20" s="42"/>
      <c r="H20" s="45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28" t="s">
        <v>56</v>
      </c>
      <c r="C21" s="29"/>
      <c r="D21" s="50" t="s">
        <v>58</v>
      </c>
      <c r="E21" s="51"/>
      <c r="F21" s="51"/>
      <c r="G21" s="52"/>
      <c r="H21" s="45">
        <f>SUM(I21-1.6)</f>
        <v>46.9</v>
      </c>
      <c r="I21" s="33">
        <v>48.5</v>
      </c>
      <c r="J21" s="10">
        <f>SUM(I21)+1.6</f>
        <v>50.1</v>
      </c>
      <c r="K21" s="10"/>
      <c r="L21" s="10"/>
      <c r="M21" s="46"/>
    </row>
    <row r="22" spans="1:13" s="2" customFormat="1" ht="14.1" customHeight="1" x14ac:dyDescent="0.3">
      <c r="A22" s="26"/>
      <c r="B22" s="47" t="s">
        <v>57</v>
      </c>
      <c r="C22" s="47"/>
      <c r="D22" s="44" t="s">
        <v>130</v>
      </c>
      <c r="E22" s="41"/>
      <c r="F22" s="41"/>
      <c r="G22" s="42"/>
      <c r="H22" s="45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48" t="s">
        <v>5</v>
      </c>
      <c r="C23" s="48"/>
      <c r="D23" s="49" t="s">
        <v>6</v>
      </c>
      <c r="E23" s="49"/>
      <c r="F23" s="49"/>
      <c r="G23" s="49"/>
      <c r="H23" s="45">
        <f>SUM(I23-3)</f>
        <v>50.6</v>
      </c>
      <c r="I23" s="33">
        <v>53.6</v>
      </c>
      <c r="J23" s="10">
        <f>SUM(I23)+3</f>
        <v>56.6</v>
      </c>
      <c r="K23" s="10"/>
      <c r="L23" s="10"/>
      <c r="M23" s="46"/>
    </row>
    <row r="24" spans="1:13" s="2" customFormat="1" ht="14.1" customHeight="1" x14ac:dyDescent="0.3">
      <c r="A24" s="26"/>
      <c r="B24" s="47" t="s">
        <v>17</v>
      </c>
      <c r="C24" s="47"/>
      <c r="D24" s="44" t="s">
        <v>29</v>
      </c>
      <c r="E24" s="41"/>
      <c r="F24" s="41"/>
      <c r="G24" s="42"/>
      <c r="H24" s="45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48" t="s">
        <v>7</v>
      </c>
      <c r="C25" s="48"/>
      <c r="D25" s="50" t="s">
        <v>8</v>
      </c>
      <c r="E25" s="51"/>
      <c r="F25" s="51"/>
      <c r="G25" s="52"/>
      <c r="H25" s="45">
        <f>SUM(I25-1.7)</f>
        <v>25.6</v>
      </c>
      <c r="I25" s="33">
        <v>27.3</v>
      </c>
      <c r="J25" s="10">
        <f>SUM(I25)+1.7</f>
        <v>29</v>
      </c>
      <c r="K25" s="10"/>
      <c r="L25" s="10"/>
      <c r="M25" s="46"/>
    </row>
    <row r="26" spans="1:13" s="2" customFormat="1" ht="14.1" customHeight="1" x14ac:dyDescent="0.3">
      <c r="A26" s="26"/>
      <c r="B26" s="47" t="s">
        <v>18</v>
      </c>
      <c r="C26" s="47"/>
      <c r="D26" s="44" t="s">
        <v>36</v>
      </c>
      <c r="E26" s="41"/>
      <c r="F26" s="41"/>
      <c r="G26" s="42"/>
      <c r="H26" s="45"/>
      <c r="I26" s="33"/>
      <c r="J26" s="10"/>
      <c r="K26" s="10"/>
      <c r="L26" s="10"/>
      <c r="M26" s="46"/>
    </row>
    <row r="27" spans="1:13" s="2" customFormat="1" ht="14.1" customHeight="1" x14ac:dyDescent="0.3">
      <c r="A27" s="26">
        <v>13</v>
      </c>
      <c r="B27" s="28" t="s">
        <v>59</v>
      </c>
      <c r="C27" s="29"/>
      <c r="D27" s="49" t="s">
        <v>37</v>
      </c>
      <c r="E27" s="49"/>
      <c r="F27" s="49"/>
      <c r="G27" s="49"/>
      <c r="H27" s="45">
        <f>SUM(I27-1)</f>
        <v>17</v>
      </c>
      <c r="I27" s="33">
        <v>18</v>
      </c>
      <c r="J27" s="10">
        <f>SUM(I27)+1</f>
        <v>19</v>
      </c>
      <c r="K27" s="10"/>
      <c r="L27" s="10"/>
      <c r="M27" s="46"/>
    </row>
    <row r="28" spans="1:13" s="2" customFormat="1" ht="14.1" customHeight="1" x14ac:dyDescent="0.3">
      <c r="A28" s="26"/>
      <c r="B28" s="47" t="s">
        <v>19</v>
      </c>
      <c r="C28" s="47"/>
      <c r="D28" s="44" t="s">
        <v>38</v>
      </c>
      <c r="E28" s="41"/>
      <c r="F28" s="41"/>
      <c r="G28" s="42"/>
      <c r="H28" s="45"/>
      <c r="I28" s="33"/>
      <c r="J28" s="10"/>
      <c r="K28" s="10"/>
      <c r="L28" s="10"/>
      <c r="M28" s="46"/>
    </row>
    <row r="29" spans="1:13" s="2" customFormat="1" ht="14.1" customHeight="1" x14ac:dyDescent="0.3">
      <c r="A29" s="26">
        <v>14</v>
      </c>
      <c r="B29" s="28" t="s">
        <v>136</v>
      </c>
      <c r="C29" s="29"/>
      <c r="D29" s="51"/>
      <c r="E29" s="51"/>
      <c r="F29" s="51"/>
      <c r="G29" s="51"/>
      <c r="H29" s="45">
        <f>SUM(I29-0.7)</f>
        <v>13.3</v>
      </c>
      <c r="I29" s="33">
        <v>14</v>
      </c>
      <c r="J29" s="8">
        <f>SUM(I29)+0.7</f>
        <v>14.7</v>
      </c>
      <c r="K29" s="8"/>
      <c r="L29" s="8"/>
      <c r="M29" s="12"/>
    </row>
    <row r="30" spans="1:13" s="2" customFormat="1" ht="14.1" customHeight="1" x14ac:dyDescent="0.3">
      <c r="A30" s="26"/>
      <c r="B30" s="38" t="s">
        <v>135</v>
      </c>
      <c r="C30" s="39"/>
      <c r="D30" s="44" t="s">
        <v>264</v>
      </c>
      <c r="E30" s="41"/>
      <c r="F30" s="41"/>
      <c r="G30" s="42"/>
      <c r="H30" s="63"/>
      <c r="I30" s="35"/>
      <c r="J30" s="25"/>
      <c r="K30" s="25"/>
      <c r="L30" s="25"/>
      <c r="M30" s="19"/>
    </row>
    <row r="31" spans="1:13" s="2" customFormat="1" ht="14.1" customHeight="1" x14ac:dyDescent="0.3">
      <c r="A31" s="26">
        <v>15</v>
      </c>
      <c r="B31" s="28" t="s">
        <v>166</v>
      </c>
      <c r="C31" s="29"/>
      <c r="D31" s="50"/>
      <c r="E31" s="51"/>
      <c r="F31" s="51"/>
      <c r="G31" s="52"/>
      <c r="H31" s="45">
        <f>SUM(I31-0.5)</f>
        <v>5</v>
      </c>
      <c r="I31" s="33">
        <v>5.5</v>
      </c>
      <c r="J31" s="8">
        <f>SUM(I31)+0.5</f>
        <v>6</v>
      </c>
      <c r="K31" s="8"/>
      <c r="L31" s="8"/>
      <c r="M31" s="12"/>
    </row>
    <row r="32" spans="1:13" s="2" customFormat="1" ht="14.1" customHeight="1" x14ac:dyDescent="0.3">
      <c r="A32" s="26"/>
      <c r="B32" s="38" t="s">
        <v>167</v>
      </c>
      <c r="C32" s="39"/>
      <c r="D32" s="44" t="s">
        <v>321</v>
      </c>
      <c r="E32" s="41"/>
      <c r="F32" s="41"/>
      <c r="G32" s="42"/>
      <c r="H32" s="45"/>
      <c r="I32" s="33"/>
      <c r="J32" s="36"/>
      <c r="K32" s="36"/>
      <c r="L32" s="25"/>
      <c r="M32" s="19"/>
    </row>
    <row r="33" spans="1:13" s="2" customFormat="1" ht="14.1" customHeight="1" x14ac:dyDescent="0.3">
      <c r="A33" s="26">
        <v>16</v>
      </c>
      <c r="B33" s="28"/>
      <c r="C33" s="29"/>
      <c r="D33" s="30"/>
      <c r="E33" s="31"/>
      <c r="F33" s="31"/>
      <c r="G33" s="32"/>
      <c r="H33" s="64"/>
      <c r="I33" s="43"/>
      <c r="J33" s="36"/>
      <c r="K33" s="36"/>
      <c r="L33" s="8"/>
      <c r="M33" s="12"/>
    </row>
    <row r="34" spans="1:13" s="2" customFormat="1" ht="14.1" customHeight="1" x14ac:dyDescent="0.3">
      <c r="A34" s="26"/>
      <c r="B34" s="38"/>
      <c r="C34" s="39"/>
      <c r="D34" s="44"/>
      <c r="E34" s="41"/>
      <c r="F34" s="41"/>
      <c r="G34" s="42"/>
      <c r="H34" s="45"/>
      <c r="I34" s="33"/>
      <c r="J34" s="10"/>
      <c r="K34" s="10"/>
      <c r="L34" s="36"/>
      <c r="M34" s="37"/>
    </row>
    <row r="35" spans="1:13" s="2" customFormat="1" ht="14.1" customHeight="1" x14ac:dyDescent="0.3">
      <c r="A35" s="26">
        <v>17</v>
      </c>
      <c r="B35" s="28"/>
      <c r="C35" s="29"/>
      <c r="D35" s="50"/>
      <c r="E35" s="51"/>
      <c r="F35" s="51"/>
      <c r="G35" s="52"/>
      <c r="H35" s="45"/>
      <c r="I35" s="33"/>
      <c r="J35" s="10"/>
      <c r="K35" s="10"/>
      <c r="L35" s="8"/>
      <c r="M35" s="12"/>
    </row>
    <row r="36" spans="1:13" s="2" customFormat="1" ht="14.1" customHeight="1" x14ac:dyDescent="0.3">
      <c r="A36" s="26"/>
      <c r="B36" s="20"/>
      <c r="C36" s="21"/>
      <c r="D36" s="44"/>
      <c r="E36" s="41"/>
      <c r="F36" s="41"/>
      <c r="G36" s="42"/>
      <c r="H36" s="45"/>
      <c r="I36" s="33"/>
      <c r="J36" s="10"/>
      <c r="K36" s="10"/>
      <c r="L36" s="36"/>
      <c r="M36" s="37"/>
    </row>
    <row r="37" spans="1:13" ht="14.1" customHeight="1" x14ac:dyDescent="0.3">
      <c r="A37" s="26">
        <v>18</v>
      </c>
      <c r="B37" s="28"/>
      <c r="C37" s="29"/>
      <c r="D37" s="50"/>
      <c r="E37" s="51"/>
      <c r="F37" s="51"/>
      <c r="G37" s="52"/>
      <c r="H37" s="64"/>
      <c r="I37" s="43"/>
      <c r="J37" s="10"/>
      <c r="K37" s="10"/>
      <c r="L37" s="25"/>
      <c r="M37" s="19"/>
    </row>
    <row r="38" spans="1:13" ht="14.1" customHeight="1" thickBot="1" x14ac:dyDescent="0.35">
      <c r="A38" s="27"/>
      <c r="B38" s="14"/>
      <c r="C38" s="15"/>
      <c r="D38" s="16"/>
      <c r="E38" s="17"/>
      <c r="F38" s="17"/>
      <c r="G38" s="18"/>
      <c r="H38" s="72"/>
      <c r="I38" s="34"/>
      <c r="J38" s="11"/>
      <c r="K38" s="11"/>
      <c r="L38" s="9"/>
      <c r="M38" s="13"/>
    </row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  <row r="49" spans="2:7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201">
    <mergeCell ref="H37:H38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H3:H4"/>
    <mergeCell ref="D7:G7"/>
    <mergeCell ref="I7:I8"/>
    <mergeCell ref="J7:J8"/>
    <mergeCell ref="M3:M4"/>
    <mergeCell ref="B4:C4"/>
    <mergeCell ref="D4:G4"/>
    <mergeCell ref="A5:A6"/>
    <mergeCell ref="B5:C5"/>
    <mergeCell ref="D5:G5"/>
    <mergeCell ref="I5:I6"/>
    <mergeCell ref="J5:J6"/>
    <mergeCell ref="K5:K6"/>
    <mergeCell ref="K7:K8"/>
    <mergeCell ref="L7:L8"/>
    <mergeCell ref="M7:M8"/>
    <mergeCell ref="B8:C8"/>
    <mergeCell ref="D8:G8"/>
    <mergeCell ref="L5:L6"/>
    <mergeCell ref="M5:M6"/>
    <mergeCell ref="B6:C6"/>
    <mergeCell ref="D6:G6"/>
    <mergeCell ref="A7:A8"/>
    <mergeCell ref="B7:C7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A9:A10"/>
    <mergeCell ref="B9:C9"/>
    <mergeCell ref="D9:G9"/>
    <mergeCell ref="I9:I10"/>
    <mergeCell ref="J9:J10"/>
    <mergeCell ref="A11:A12"/>
    <mergeCell ref="B11:C11"/>
    <mergeCell ref="D11:G11"/>
    <mergeCell ref="I11:I12"/>
    <mergeCell ref="J11:J12"/>
    <mergeCell ref="D12:G12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K9:K10"/>
    <mergeCell ref="L9:L10"/>
    <mergeCell ref="M9:M10"/>
    <mergeCell ref="B10:C10"/>
    <mergeCell ref="D10:G10"/>
    <mergeCell ref="L11:L12"/>
    <mergeCell ref="M11:M12"/>
    <mergeCell ref="B12:C12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3:H24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11:K12"/>
    <mergeCell ref="L37:L38"/>
    <mergeCell ref="M37:M38"/>
    <mergeCell ref="B38:C38"/>
    <mergeCell ref="D38:G38"/>
    <mergeCell ref="A37:A38"/>
    <mergeCell ref="B37:C37"/>
    <mergeCell ref="D37:G37"/>
    <mergeCell ref="I37:I38"/>
    <mergeCell ref="J37:J38"/>
    <mergeCell ref="K37:K38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A35:A36"/>
    <mergeCell ref="B35:C35"/>
    <mergeCell ref="D35:G35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6BAC-BE0B-4E4A-B3AC-36BBDF14C8EE}">
  <sheetPr>
    <tabColor rgb="FF92D050"/>
  </sheetPr>
  <dimension ref="A1:M50"/>
  <sheetViews>
    <sheetView zoomScale="110" zoomScaleNormal="110" zoomScalePageLayoutView="110" workbookViewId="0">
      <selection activeCell="P12" sqref="P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188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76">
        <f>SUM(I3-3)</f>
        <v>40.5</v>
      </c>
      <c r="I3" s="59">
        <v>43.5</v>
      </c>
      <c r="J3" s="60">
        <f>SUM(I3)+3</f>
        <v>46.5</v>
      </c>
      <c r="K3" s="60"/>
      <c r="L3" s="60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186</v>
      </c>
      <c r="E4" s="41"/>
      <c r="F4" s="41"/>
      <c r="G4" s="41"/>
      <c r="H4" s="45"/>
      <c r="I4" s="33"/>
      <c r="J4" s="10"/>
      <c r="K4" s="10"/>
      <c r="L4" s="8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63">
        <f>SUM(I5-2.2)</f>
        <v>39.799999999999997</v>
      </c>
      <c r="I5" s="35">
        <v>42</v>
      </c>
      <c r="J5" s="8">
        <f>SUM(I5)+2.2</f>
        <v>44.2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64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63">
        <f>SUM(I7-2.5)</f>
        <v>45.5</v>
      </c>
      <c r="I7" s="35">
        <v>48</v>
      </c>
      <c r="J7" s="8">
        <f>SUM(I7)+2.5</f>
        <v>50.5</v>
      </c>
      <c r="K7" s="8"/>
      <c r="L7" s="10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64"/>
      <c r="I8" s="43"/>
      <c r="J8" s="36"/>
      <c r="K8" s="36"/>
      <c r="L8" s="10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63">
        <f>SUM(I9-2.3)</f>
        <v>42.400000000000006</v>
      </c>
      <c r="I9" s="35">
        <v>44.7</v>
      </c>
      <c r="J9" s="8">
        <f>SUM(I9)+2.3</f>
        <v>47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187</v>
      </c>
      <c r="E10" s="41"/>
      <c r="F10" s="41"/>
      <c r="G10" s="42"/>
      <c r="H10" s="64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45">
        <f>SUM(I11-1)</f>
        <v>18.5</v>
      </c>
      <c r="I11" s="33">
        <v>19.5</v>
      </c>
      <c r="J11" s="10">
        <f>SUM(I11)+1</f>
        <v>20.5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45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50" t="s">
        <v>137</v>
      </c>
      <c r="E13" s="51"/>
      <c r="F13" s="51"/>
      <c r="G13" s="52"/>
      <c r="H13" s="45">
        <f>SUM(I13-0.6)</f>
        <v>18.899999999999999</v>
      </c>
      <c r="I13" s="33">
        <v>19.5</v>
      </c>
      <c r="J13" s="10">
        <f>SUM(I13)+0.6</f>
        <v>20.100000000000001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45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45">
        <f>SUM(I15-0.3)</f>
        <v>7.4</v>
      </c>
      <c r="I15" s="33">
        <v>7.7</v>
      </c>
      <c r="J15" s="10">
        <f>SUM(I15)+0.3</f>
        <v>8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45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45">
        <f>SUM(I17-1.6)</f>
        <v>47.4</v>
      </c>
      <c r="I17" s="33">
        <v>49</v>
      </c>
      <c r="J17" s="10">
        <f>SUM(I17)+1.6</f>
        <v>50.6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45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45">
        <f>SUM(I19-2.9)</f>
        <v>47.1</v>
      </c>
      <c r="I19" s="33">
        <v>50</v>
      </c>
      <c r="J19" s="10">
        <f>SUM(I19)+2.9</f>
        <v>52.9</v>
      </c>
      <c r="K19" s="10"/>
      <c r="L19" s="10"/>
      <c r="M19" s="46"/>
    </row>
    <row r="20" spans="1:13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45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45">
        <f>SUM(I21-1.8)</f>
        <v>33.400000000000006</v>
      </c>
      <c r="I21" s="33">
        <v>35.200000000000003</v>
      </c>
      <c r="J21" s="10">
        <f>SUM(I21)+1.8</f>
        <v>37</v>
      </c>
      <c r="K21" s="10"/>
      <c r="L21" s="10"/>
      <c r="M21" s="46"/>
    </row>
    <row r="22" spans="1:13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45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45">
        <f>SUM(I23-1)</f>
        <v>20</v>
      </c>
      <c r="I23" s="33">
        <v>21</v>
      </c>
      <c r="J23" s="10">
        <f>SUM(I23)+1</f>
        <v>22</v>
      </c>
      <c r="K23" s="10"/>
      <c r="L23" s="10"/>
      <c r="M23" s="46"/>
    </row>
    <row r="24" spans="1:13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45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 t="s">
        <v>136</v>
      </c>
      <c r="C25" s="29"/>
      <c r="D25" s="30"/>
      <c r="E25" s="31"/>
      <c r="F25" s="31"/>
      <c r="G25" s="32"/>
      <c r="H25" s="45">
        <f>SUM(I25-0.6)</f>
        <v>13.9</v>
      </c>
      <c r="I25" s="33">
        <v>14.5</v>
      </c>
      <c r="J25" s="10">
        <f>SUM(I25)+0.6</f>
        <v>15.1</v>
      </c>
      <c r="K25" s="10"/>
      <c r="L25" s="8"/>
      <c r="M25" s="12"/>
    </row>
    <row r="26" spans="1:13" s="2" customFormat="1" ht="14.1" customHeight="1" x14ac:dyDescent="0.3">
      <c r="A26" s="68"/>
      <c r="B26" s="20" t="s">
        <v>135</v>
      </c>
      <c r="C26" s="21"/>
      <c r="D26" s="22"/>
      <c r="E26" s="23"/>
      <c r="F26" s="23"/>
      <c r="G26" s="24"/>
      <c r="H26" s="63"/>
      <c r="I26" s="35"/>
      <c r="J26" s="8"/>
      <c r="K26" s="8"/>
      <c r="L26" s="25"/>
      <c r="M26" s="19"/>
    </row>
    <row r="27" spans="1:13" s="2" customFormat="1" ht="14.1" customHeight="1" x14ac:dyDescent="0.3">
      <c r="A27" s="26">
        <v>13</v>
      </c>
      <c r="B27" s="28" t="s">
        <v>166</v>
      </c>
      <c r="C27" s="29"/>
      <c r="D27" s="30"/>
      <c r="E27" s="31"/>
      <c r="F27" s="31"/>
      <c r="G27" s="32"/>
      <c r="H27" s="45">
        <f>SUM(I27-0.5)</f>
        <v>5.5</v>
      </c>
      <c r="I27" s="33">
        <v>6</v>
      </c>
      <c r="J27" s="10">
        <f>SUM(I27)+0.5</f>
        <v>6.5</v>
      </c>
      <c r="K27" s="10"/>
      <c r="L27" s="8"/>
      <c r="M27" s="12"/>
    </row>
    <row r="28" spans="1:13" s="2" customFormat="1" ht="14.1" customHeight="1" x14ac:dyDescent="0.3">
      <c r="A28" s="26"/>
      <c r="B28" s="38" t="s">
        <v>167</v>
      </c>
      <c r="C28" s="39"/>
      <c r="D28" s="44"/>
      <c r="E28" s="41"/>
      <c r="F28" s="41"/>
      <c r="G28" s="42"/>
      <c r="H28" s="45"/>
      <c r="I28" s="33"/>
      <c r="J28" s="10"/>
      <c r="K28" s="10"/>
      <c r="L28" s="36"/>
      <c r="M28" s="37"/>
    </row>
    <row r="29" spans="1:13" s="2" customFormat="1" ht="14.1" customHeight="1" x14ac:dyDescent="0.3">
      <c r="A29" s="69">
        <v>14</v>
      </c>
      <c r="B29" s="20"/>
      <c r="C29" s="21"/>
      <c r="D29" s="77"/>
      <c r="E29" s="78"/>
      <c r="F29" s="78"/>
      <c r="G29" s="79"/>
      <c r="H29" s="64"/>
      <c r="I29" s="43"/>
      <c r="J29" s="36"/>
      <c r="K29" s="36"/>
      <c r="L29" s="25"/>
      <c r="M29" s="19"/>
    </row>
    <row r="30" spans="1:13" s="2" customFormat="1" ht="14.1" customHeight="1" thickBot="1" x14ac:dyDescent="0.35">
      <c r="A30" s="27"/>
      <c r="B30" s="14"/>
      <c r="C30" s="15"/>
      <c r="D30" s="16"/>
      <c r="E30" s="17"/>
      <c r="F30" s="17"/>
      <c r="G30" s="18"/>
      <c r="H30" s="72"/>
      <c r="I30" s="34"/>
      <c r="J30" s="11"/>
      <c r="K30" s="11"/>
      <c r="L30" s="9"/>
      <c r="M30" s="13"/>
    </row>
    <row r="31" spans="1:13" s="2" customFormat="1" ht="14.1" customHeight="1" x14ac:dyDescent="0.3"/>
    <row r="32" spans="1:13" s="2" customFormat="1" ht="14.1" customHeight="1" x14ac:dyDescent="0.3"/>
    <row r="33" spans="2:7" s="2" customFormat="1" ht="14.1" customHeight="1" x14ac:dyDescent="0.3"/>
    <row r="34" spans="2:7" s="2" customFormat="1" ht="14.1" customHeight="1" x14ac:dyDescent="0.3"/>
    <row r="35" spans="2:7" s="2" customFormat="1" ht="14.1" customHeight="1" x14ac:dyDescent="0.3"/>
    <row r="36" spans="2:7" s="2" customFormat="1" ht="14.1" customHeight="1" x14ac:dyDescent="0.3"/>
    <row r="37" spans="2:7" s="2" customFormat="1" ht="14.1" customHeight="1" x14ac:dyDescent="0.3"/>
    <row r="38" spans="2:7" s="2" customFormat="1" ht="14.1" customHeight="1" x14ac:dyDescent="0.3"/>
    <row r="39" spans="2:7" ht="14.1" customHeight="1" x14ac:dyDescent="0.3"/>
    <row r="40" spans="2:7" ht="14.1" customHeight="1" x14ac:dyDescent="0.3"/>
    <row r="41" spans="2:7" ht="14.1" customHeight="1" x14ac:dyDescent="0.3"/>
    <row r="42" spans="2:7" ht="14.1" customHeight="1" x14ac:dyDescent="0.3"/>
    <row r="43" spans="2:7" ht="14.1" customHeight="1" x14ac:dyDescent="0.3"/>
    <row r="44" spans="2:7" ht="14.1" customHeight="1" x14ac:dyDescent="0.3"/>
    <row r="45" spans="2:7" ht="14.1" customHeight="1" x14ac:dyDescent="0.3"/>
    <row r="46" spans="2:7" ht="14.1" customHeight="1" x14ac:dyDescent="0.3"/>
    <row r="47" spans="2:7" ht="14.1" customHeight="1" x14ac:dyDescent="0.3">
      <c r="B47" s="1"/>
      <c r="C47" s="1"/>
      <c r="D47" s="1"/>
      <c r="E47" s="1"/>
      <c r="F47" s="1"/>
      <c r="G47" s="1"/>
    </row>
    <row r="48" spans="2:7" ht="14.1" customHeight="1" x14ac:dyDescent="0.3">
      <c r="B48" s="1"/>
      <c r="C48" s="1"/>
      <c r="D48" s="1"/>
      <c r="E48" s="1"/>
      <c r="F48" s="1"/>
      <c r="G48" s="1"/>
    </row>
    <row r="49" spans="2:7" ht="14.1" customHeight="1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157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L29:L30"/>
    <mergeCell ref="M29:M30"/>
    <mergeCell ref="B30:C30"/>
    <mergeCell ref="D30:G30"/>
    <mergeCell ref="A29:A30"/>
    <mergeCell ref="B29:C29"/>
    <mergeCell ref="D29:G29"/>
    <mergeCell ref="I29:I30"/>
    <mergeCell ref="J29:J30"/>
    <mergeCell ref="K29:K30"/>
    <mergeCell ref="H29:H30"/>
  </mergeCells>
  <phoneticPr fontId="17" type="noConversion"/>
  <pageMargins left="0.46875" right="0.46875" top="0.75" bottom="0.75" header="0.3" footer="0.3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4A30-EA21-47D0-88B9-BF45A255D8D4}">
  <sheetPr>
    <tabColor rgb="FF92D050"/>
  </sheetPr>
  <dimension ref="A1:M48"/>
  <sheetViews>
    <sheetView zoomScale="110" zoomScaleNormal="110" zoomScalePageLayoutView="110" workbookViewId="0">
      <selection activeCell="P13" sqref="P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183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76">
        <f>SUM(I3-3)</f>
        <v>45</v>
      </c>
      <c r="I3" s="59">
        <v>48</v>
      </c>
      <c r="J3" s="60">
        <f>SUM(I3)+3</f>
        <v>51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45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63">
        <f>SUM(I5-1.6)</f>
        <v>28.4</v>
      </c>
      <c r="I5" s="35">
        <v>30</v>
      </c>
      <c r="J5" s="8">
        <f>SUM(I5)+1.6</f>
        <v>31.6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64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63">
        <f>SUM(I7-2)</f>
        <v>34</v>
      </c>
      <c r="I7" s="35">
        <v>36</v>
      </c>
      <c r="J7" s="8">
        <f>SUM(I7)+2</f>
        <v>38</v>
      </c>
      <c r="K7" s="8"/>
      <c r="L7" s="10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64"/>
      <c r="I8" s="43"/>
      <c r="J8" s="36"/>
      <c r="K8" s="36"/>
      <c r="L8" s="10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63">
        <f>SUM(I9-2)</f>
        <v>33</v>
      </c>
      <c r="I9" s="35">
        <v>35</v>
      </c>
      <c r="J9" s="8">
        <f>SUM(I9)+2</f>
        <v>37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64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45">
        <f>SUM(I11-1)</f>
        <v>16</v>
      </c>
      <c r="I11" s="33">
        <v>17</v>
      </c>
      <c r="J11" s="10">
        <f>SUM(I11)+1</f>
        <v>18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45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45">
        <f>SUM(I13-0.6)</f>
        <v>14.4</v>
      </c>
      <c r="I13" s="33">
        <v>15</v>
      </c>
      <c r="J13" s="10">
        <f>SUM(I13)+0.6</f>
        <v>15.6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45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45">
        <f>SUM(I15-0.3)</f>
        <v>6.2</v>
      </c>
      <c r="I15" s="33">
        <v>6.5</v>
      </c>
      <c r="J15" s="10">
        <f>SUM(I15)+0.3</f>
        <v>6.8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45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45">
        <f>SUM(I17-1.6)</f>
        <v>40.9</v>
      </c>
      <c r="I17" s="33">
        <v>42.5</v>
      </c>
      <c r="J17" s="10">
        <f>SUM(I17)+1.6</f>
        <v>44.1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45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45">
        <f>SUM(I19-3.2)</f>
        <v>52.8</v>
      </c>
      <c r="I19" s="33">
        <v>56</v>
      </c>
      <c r="J19" s="10">
        <f>SUM(I19)+3.2</f>
        <v>59.2</v>
      </c>
      <c r="K19" s="10"/>
      <c r="L19" s="10"/>
      <c r="M19" s="46"/>
    </row>
    <row r="20" spans="1:13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45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45">
        <f>SUM(I21-1.6)</f>
        <v>25.2</v>
      </c>
      <c r="I21" s="33">
        <v>26.8</v>
      </c>
      <c r="J21" s="10">
        <f>SUM(I21)+1.6</f>
        <v>28.400000000000002</v>
      </c>
      <c r="K21" s="10"/>
      <c r="L21" s="10"/>
      <c r="M21" s="46"/>
    </row>
    <row r="22" spans="1:13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45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45">
        <f>SUM(I23-0.8)</f>
        <v>16.2</v>
      </c>
      <c r="I23" s="33">
        <v>17</v>
      </c>
      <c r="J23" s="10">
        <f>SUM(I23)+0.8</f>
        <v>17.8</v>
      </c>
      <c r="K23" s="10"/>
      <c r="L23" s="10"/>
      <c r="M23" s="46"/>
    </row>
    <row r="24" spans="1:13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45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 t="s">
        <v>136</v>
      </c>
      <c r="C25" s="29"/>
      <c r="D25" s="30"/>
      <c r="E25" s="31"/>
      <c r="F25" s="31"/>
      <c r="G25" s="32"/>
      <c r="H25" s="45">
        <f>SUM(I25-0.7)</f>
        <v>13.3</v>
      </c>
      <c r="I25" s="33">
        <v>14</v>
      </c>
      <c r="J25" s="10">
        <f>SUM(I25)+0.7</f>
        <v>14.7</v>
      </c>
      <c r="K25" s="10"/>
      <c r="L25" s="8"/>
      <c r="M25" s="12"/>
    </row>
    <row r="26" spans="1:13" s="2" customFormat="1" ht="14.1" customHeight="1" x14ac:dyDescent="0.3">
      <c r="A26" s="68"/>
      <c r="B26" s="20" t="s">
        <v>135</v>
      </c>
      <c r="C26" s="21"/>
      <c r="D26" s="22" t="s">
        <v>184</v>
      </c>
      <c r="E26" s="23"/>
      <c r="F26" s="23"/>
      <c r="G26" s="24"/>
      <c r="H26" s="63"/>
      <c r="I26" s="35"/>
      <c r="J26" s="8"/>
      <c r="K26" s="8"/>
      <c r="L26" s="25"/>
      <c r="M26" s="19"/>
    </row>
    <row r="27" spans="1:13" s="2" customFormat="1" ht="14.1" customHeight="1" x14ac:dyDescent="0.3">
      <c r="A27" s="26">
        <v>13</v>
      </c>
      <c r="B27" s="28" t="s">
        <v>166</v>
      </c>
      <c r="C27" s="29"/>
      <c r="D27" s="30"/>
      <c r="E27" s="31"/>
      <c r="F27" s="31"/>
      <c r="G27" s="32"/>
      <c r="H27" s="45">
        <f>SUM(I27-0.4)</f>
        <v>5.0999999999999996</v>
      </c>
      <c r="I27" s="33">
        <v>5.5</v>
      </c>
      <c r="J27" s="10">
        <f>SUM(I27)+0.4</f>
        <v>5.9</v>
      </c>
      <c r="K27" s="10"/>
      <c r="L27" s="8"/>
      <c r="M27" s="12"/>
    </row>
    <row r="28" spans="1:13" s="2" customFormat="1" ht="14.1" customHeight="1" x14ac:dyDescent="0.3">
      <c r="A28" s="68"/>
      <c r="B28" s="20" t="s">
        <v>167</v>
      </c>
      <c r="C28" s="21"/>
      <c r="D28" s="22" t="s">
        <v>185</v>
      </c>
      <c r="E28" s="23"/>
      <c r="F28" s="23"/>
      <c r="G28" s="24"/>
      <c r="H28" s="63"/>
      <c r="I28" s="35"/>
      <c r="J28" s="8"/>
      <c r="K28" s="8"/>
      <c r="L28" s="25"/>
      <c r="M28" s="19"/>
    </row>
    <row r="29" spans="1:13" s="2" customFormat="1" ht="14.1" customHeight="1" x14ac:dyDescent="0.3">
      <c r="A29" s="26">
        <v>14</v>
      </c>
      <c r="B29" s="28"/>
      <c r="C29" s="29"/>
      <c r="D29" s="30"/>
      <c r="E29" s="31"/>
      <c r="F29" s="31"/>
      <c r="G29" s="32"/>
      <c r="H29" s="45"/>
      <c r="I29" s="33"/>
      <c r="J29" s="10"/>
      <c r="K29" s="10"/>
      <c r="L29" s="8"/>
      <c r="M29" s="12"/>
    </row>
    <row r="30" spans="1:13" s="2" customFormat="1" ht="14.1" customHeight="1" x14ac:dyDescent="0.3">
      <c r="A30" s="68"/>
      <c r="B30" s="38"/>
      <c r="C30" s="39"/>
      <c r="D30" s="44"/>
      <c r="E30" s="41"/>
      <c r="F30" s="41"/>
      <c r="G30" s="42"/>
      <c r="H30" s="45"/>
      <c r="I30" s="33"/>
      <c r="J30" s="10"/>
      <c r="K30" s="10"/>
      <c r="L30" s="36"/>
      <c r="M30" s="37"/>
    </row>
    <row r="31" spans="1:13" s="2" customFormat="1" ht="14.1" customHeight="1" x14ac:dyDescent="0.3">
      <c r="A31" s="26">
        <v>15</v>
      </c>
      <c r="B31" s="28"/>
      <c r="C31" s="29"/>
      <c r="D31" s="50"/>
      <c r="E31" s="51"/>
      <c r="F31" s="51"/>
      <c r="G31" s="52"/>
      <c r="H31" s="45"/>
      <c r="I31" s="33"/>
      <c r="J31" s="10"/>
      <c r="K31" s="10"/>
      <c r="L31" s="8"/>
      <c r="M31" s="12"/>
    </row>
    <row r="32" spans="1:13" s="2" customFormat="1" ht="14.1" customHeight="1" x14ac:dyDescent="0.3">
      <c r="A32" s="68"/>
      <c r="B32" s="20"/>
      <c r="C32" s="21"/>
      <c r="D32" s="44"/>
      <c r="E32" s="41"/>
      <c r="F32" s="41"/>
      <c r="G32" s="42"/>
      <c r="H32" s="45"/>
      <c r="I32" s="33"/>
      <c r="J32" s="10"/>
      <c r="K32" s="10"/>
      <c r="L32" s="36"/>
      <c r="M32" s="37"/>
    </row>
    <row r="33" spans="1:13" s="2" customFormat="1" ht="14.1" customHeight="1" x14ac:dyDescent="0.3">
      <c r="A33" s="26">
        <v>16</v>
      </c>
      <c r="B33" s="28"/>
      <c r="C33" s="29"/>
      <c r="D33" s="50"/>
      <c r="E33" s="51"/>
      <c r="F33" s="51"/>
      <c r="G33" s="52"/>
      <c r="H33" s="64"/>
      <c r="I33" s="43"/>
      <c r="J33" s="10"/>
      <c r="K33" s="10"/>
      <c r="L33" s="25"/>
      <c r="M33" s="19"/>
    </row>
    <row r="34" spans="1:13" s="2" customFormat="1" ht="14.1" customHeight="1" x14ac:dyDescent="0.3">
      <c r="A34" s="68"/>
      <c r="B34" s="20"/>
      <c r="C34" s="21"/>
      <c r="D34" s="22"/>
      <c r="E34" s="23"/>
      <c r="F34" s="23"/>
      <c r="G34" s="24"/>
      <c r="H34" s="63"/>
      <c r="I34" s="35"/>
      <c r="J34" s="10"/>
      <c r="K34" s="10"/>
      <c r="L34" s="25"/>
      <c r="M34" s="19"/>
    </row>
    <row r="35" spans="1:13" s="2" customFormat="1" ht="14.1" customHeight="1" x14ac:dyDescent="0.3">
      <c r="A35" s="26">
        <v>17</v>
      </c>
      <c r="B35" s="28"/>
      <c r="C35" s="29"/>
      <c r="D35" s="50"/>
      <c r="E35" s="51"/>
      <c r="F35" s="51"/>
      <c r="G35" s="52"/>
      <c r="H35" s="45"/>
      <c r="I35" s="33"/>
      <c r="J35" s="36"/>
      <c r="K35" s="36"/>
      <c r="L35" s="8"/>
      <c r="M35" s="12"/>
    </row>
    <row r="36" spans="1:13" s="2" customFormat="1" ht="14.1" customHeight="1" thickBot="1" x14ac:dyDescent="0.35">
      <c r="A36" s="27"/>
      <c r="B36" s="14"/>
      <c r="C36" s="15"/>
      <c r="D36" s="16"/>
      <c r="E36" s="17"/>
      <c r="F36" s="17"/>
      <c r="G36" s="18"/>
      <c r="H36" s="72"/>
      <c r="I36" s="34"/>
      <c r="J36" s="11"/>
      <c r="K36" s="11"/>
      <c r="L36" s="9"/>
      <c r="M36" s="1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3175-310A-4BE4-A1EE-0B9B93E4A567}">
  <sheetPr>
    <tabColor rgb="FF92D050"/>
  </sheetPr>
  <dimension ref="A1:M48"/>
  <sheetViews>
    <sheetView zoomScale="110" zoomScaleNormal="110" zoomScalePageLayoutView="110" workbookViewId="0">
      <selection activeCell="Q22" sqref="Q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281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60">
        <f>SUM(I3)-3</f>
        <v>54.1</v>
      </c>
      <c r="I3" s="59">
        <v>57.1</v>
      </c>
      <c r="J3" s="60">
        <f>SUM(I3)+3</f>
        <v>60.1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10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8">
        <f>SUM(I5)-2</f>
        <v>41</v>
      </c>
      <c r="I5" s="35">
        <v>43</v>
      </c>
      <c r="J5" s="8">
        <f>SUM(I5)+2</f>
        <v>45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8">
        <f>SUM(I7)-2.5</f>
        <v>46.5</v>
      </c>
      <c r="I7" s="35">
        <v>49</v>
      </c>
      <c r="J7" s="8">
        <f>SUM(I7)+2.5</f>
        <v>51.5</v>
      </c>
      <c r="K7" s="8"/>
      <c r="L7" s="8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36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SUM(I9)-2.4</f>
        <v>44.6</v>
      </c>
      <c r="I9" s="35">
        <v>47</v>
      </c>
      <c r="J9" s="8">
        <f>SUM(I9)+2.4</f>
        <v>49.4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36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10">
        <f>SUM(I11)-1</f>
        <v>20.5</v>
      </c>
      <c r="I11" s="33">
        <v>21.5</v>
      </c>
      <c r="J11" s="10">
        <f>SUM(I11)+1</f>
        <v>22.5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10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10">
        <f>SUM(I13)-0.6</f>
        <v>17.399999999999999</v>
      </c>
      <c r="I13" s="33">
        <v>18</v>
      </c>
      <c r="J13" s="10">
        <f>SUM(I13)+0.6</f>
        <v>18.600000000000001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10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10">
        <f>SUM(I15)-0.3</f>
        <v>7.8999999999999995</v>
      </c>
      <c r="I15" s="33">
        <v>8.1999999999999993</v>
      </c>
      <c r="J15" s="10">
        <f>SUM(I15)+0.3</f>
        <v>8.5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10">
        <f>SUM(I17)-1.6</f>
        <v>43.4</v>
      </c>
      <c r="I17" s="33">
        <v>45</v>
      </c>
      <c r="J17" s="10">
        <f>SUM(I17)+1.6</f>
        <v>46.6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10">
        <f>SUM(I19)-3</f>
        <v>47.1</v>
      </c>
      <c r="I19" s="33">
        <v>50.1</v>
      </c>
      <c r="J19" s="10">
        <f>SUM(I19)+3</f>
        <v>53.1</v>
      </c>
      <c r="K19" s="10"/>
      <c r="L19" s="10"/>
      <c r="M19" s="46"/>
    </row>
    <row r="20" spans="1:13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10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10">
        <f>SUM(I21)-1.8</f>
        <v>36.800000000000004</v>
      </c>
      <c r="I21" s="33">
        <v>38.6</v>
      </c>
      <c r="J21" s="10">
        <f>SUM(I21)+1.8</f>
        <v>40.4</v>
      </c>
      <c r="K21" s="10"/>
      <c r="L21" s="10"/>
      <c r="M21" s="46"/>
    </row>
    <row r="22" spans="1:13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10">
        <f>SUM(I23)-0.8</f>
        <v>17.2</v>
      </c>
      <c r="I23" s="33">
        <v>18</v>
      </c>
      <c r="J23" s="10">
        <f>SUM(I23)+0.8</f>
        <v>18.8</v>
      </c>
      <c r="K23" s="10"/>
      <c r="L23" s="10"/>
      <c r="M23" s="46"/>
    </row>
    <row r="24" spans="1:13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 t="s">
        <v>136</v>
      </c>
      <c r="C25" s="29"/>
      <c r="D25" s="30"/>
      <c r="E25" s="31"/>
      <c r="F25" s="31"/>
      <c r="G25" s="32"/>
      <c r="H25" s="10">
        <f>SUM(I25)-0.3</f>
        <v>6.7</v>
      </c>
      <c r="I25" s="33">
        <v>7</v>
      </c>
      <c r="J25" s="10">
        <f>SUM(I25)+0.3</f>
        <v>7.3</v>
      </c>
      <c r="K25" s="10"/>
      <c r="L25" s="8"/>
      <c r="M25" s="12"/>
    </row>
    <row r="26" spans="1:13" s="2" customFormat="1" ht="14.1" customHeight="1" x14ac:dyDescent="0.3">
      <c r="A26" s="68"/>
      <c r="B26" s="20" t="s">
        <v>135</v>
      </c>
      <c r="C26" s="21"/>
      <c r="D26" s="22" t="s">
        <v>220</v>
      </c>
      <c r="E26" s="23"/>
      <c r="F26" s="23"/>
      <c r="G26" s="24"/>
      <c r="H26" s="10"/>
      <c r="I26" s="35"/>
      <c r="J26" s="10"/>
      <c r="K26" s="10"/>
      <c r="L26" s="25"/>
      <c r="M26" s="19"/>
    </row>
    <row r="27" spans="1:13" s="2" customFormat="1" ht="14.1" customHeight="1" x14ac:dyDescent="0.3">
      <c r="A27" s="26">
        <v>13</v>
      </c>
      <c r="B27" s="28"/>
      <c r="C27" s="29"/>
      <c r="D27" s="30"/>
      <c r="E27" s="31"/>
      <c r="F27" s="31"/>
      <c r="G27" s="32"/>
      <c r="H27" s="10"/>
      <c r="I27" s="33"/>
      <c r="J27" s="10"/>
      <c r="K27" s="10"/>
      <c r="L27" s="8"/>
      <c r="M27" s="12"/>
    </row>
    <row r="28" spans="1:13" s="2" customFormat="1" ht="14.1" customHeight="1" x14ac:dyDescent="0.3">
      <c r="A28" s="68"/>
      <c r="B28" s="20"/>
      <c r="C28" s="21"/>
      <c r="D28" s="22"/>
      <c r="E28" s="23"/>
      <c r="F28" s="23"/>
      <c r="G28" s="24"/>
      <c r="H28" s="8"/>
      <c r="I28" s="35"/>
      <c r="J28" s="8"/>
      <c r="K28" s="8"/>
      <c r="L28" s="25"/>
      <c r="M28" s="19"/>
    </row>
    <row r="29" spans="1:13" s="2" customFormat="1" ht="14.1" customHeight="1" x14ac:dyDescent="0.3">
      <c r="A29" s="26">
        <v>14</v>
      </c>
      <c r="B29" s="28"/>
      <c r="C29" s="29"/>
      <c r="D29" s="30"/>
      <c r="E29" s="31"/>
      <c r="F29" s="31"/>
      <c r="G29" s="32"/>
      <c r="H29" s="10"/>
      <c r="I29" s="33"/>
      <c r="J29" s="10"/>
      <c r="K29" s="10"/>
      <c r="L29" s="8"/>
      <c r="M29" s="12"/>
    </row>
    <row r="30" spans="1:13" s="2" customFormat="1" ht="14.1" customHeight="1" x14ac:dyDescent="0.3">
      <c r="A30" s="68"/>
      <c r="B30" s="38"/>
      <c r="C30" s="39"/>
      <c r="D30" s="44"/>
      <c r="E30" s="41"/>
      <c r="F30" s="41"/>
      <c r="G30" s="42"/>
      <c r="H30" s="10"/>
      <c r="I30" s="33"/>
      <c r="J30" s="10"/>
      <c r="K30" s="10"/>
      <c r="L30" s="36"/>
      <c r="M30" s="37"/>
    </row>
    <row r="31" spans="1:13" s="2" customFormat="1" ht="14.1" customHeight="1" x14ac:dyDescent="0.3">
      <c r="A31" s="26">
        <v>15</v>
      </c>
      <c r="B31" s="28"/>
      <c r="C31" s="29"/>
      <c r="D31" s="50"/>
      <c r="E31" s="51"/>
      <c r="F31" s="51"/>
      <c r="G31" s="52"/>
      <c r="H31" s="10"/>
      <c r="I31" s="33"/>
      <c r="J31" s="10"/>
      <c r="K31" s="10"/>
      <c r="L31" s="8"/>
      <c r="M31" s="12"/>
    </row>
    <row r="32" spans="1:13" s="2" customFormat="1" ht="14.1" customHeight="1" x14ac:dyDescent="0.3">
      <c r="A32" s="68"/>
      <c r="B32" s="20"/>
      <c r="C32" s="21"/>
      <c r="D32" s="44"/>
      <c r="E32" s="41"/>
      <c r="F32" s="41"/>
      <c r="G32" s="42"/>
      <c r="H32" s="10"/>
      <c r="I32" s="33"/>
      <c r="J32" s="10"/>
      <c r="K32" s="10"/>
      <c r="L32" s="36"/>
      <c r="M32" s="37"/>
    </row>
    <row r="33" spans="1:13" s="2" customFormat="1" ht="14.1" customHeight="1" x14ac:dyDescent="0.3">
      <c r="A33" s="26">
        <v>16</v>
      </c>
      <c r="B33" s="28"/>
      <c r="C33" s="29"/>
      <c r="D33" s="50"/>
      <c r="E33" s="51"/>
      <c r="F33" s="51"/>
      <c r="G33" s="52"/>
      <c r="H33" s="10"/>
      <c r="I33" s="43"/>
      <c r="J33" s="10"/>
      <c r="K33" s="10"/>
      <c r="L33" s="25"/>
      <c r="M33" s="19"/>
    </row>
    <row r="34" spans="1:13" s="2" customFormat="1" ht="14.1" customHeight="1" x14ac:dyDescent="0.3">
      <c r="A34" s="68"/>
      <c r="B34" s="20"/>
      <c r="C34" s="21"/>
      <c r="D34" s="22"/>
      <c r="E34" s="23"/>
      <c r="F34" s="23"/>
      <c r="G34" s="24"/>
      <c r="H34" s="10"/>
      <c r="I34" s="35"/>
      <c r="J34" s="10"/>
      <c r="K34" s="10"/>
      <c r="L34" s="25"/>
      <c r="M34" s="19"/>
    </row>
    <row r="35" spans="1:13" s="2" customFormat="1" ht="14.1" customHeight="1" x14ac:dyDescent="0.3">
      <c r="A35" s="26">
        <v>17</v>
      </c>
      <c r="B35" s="28"/>
      <c r="C35" s="29"/>
      <c r="D35" s="50"/>
      <c r="E35" s="51"/>
      <c r="F35" s="51"/>
      <c r="G35" s="52"/>
      <c r="H35" s="36"/>
      <c r="I35" s="33"/>
      <c r="J35" s="36"/>
      <c r="K35" s="36"/>
      <c r="L35" s="8"/>
      <c r="M35" s="12"/>
    </row>
    <row r="36" spans="1:13" s="2" customFormat="1" ht="14.1" customHeight="1" thickBot="1" x14ac:dyDescent="0.35">
      <c r="A36" s="27"/>
      <c r="B36" s="14"/>
      <c r="C36" s="15"/>
      <c r="D36" s="16"/>
      <c r="E36" s="17"/>
      <c r="F36" s="17"/>
      <c r="G36" s="18"/>
      <c r="H36" s="11"/>
      <c r="I36" s="34"/>
      <c r="J36" s="11"/>
      <c r="K36" s="11"/>
      <c r="L36" s="9"/>
      <c r="M36" s="1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4E7D1-7DCC-4B34-87F5-CF00C9122122}">
  <sheetPr>
    <tabColor rgb="FF92D050"/>
  </sheetPr>
  <dimension ref="A1:M48"/>
  <sheetViews>
    <sheetView zoomScale="110" zoomScaleNormal="110" zoomScalePageLayoutView="110" workbookViewId="0">
      <selection activeCell="O21" sqref="O2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278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60">
        <f>SUM(I3)-3</f>
        <v>42</v>
      </c>
      <c r="I3" s="59">
        <v>45</v>
      </c>
      <c r="J3" s="60">
        <f>SUM(I3)+3</f>
        <v>48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10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8">
        <f>SUM(I5)-1.6</f>
        <v>31.4</v>
      </c>
      <c r="I5" s="35">
        <v>33</v>
      </c>
      <c r="J5" s="8">
        <f>SUM(I5)+1.6</f>
        <v>34.6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8">
        <f>SUM(I7)-2</f>
        <v>37</v>
      </c>
      <c r="I7" s="35">
        <v>39</v>
      </c>
      <c r="J7" s="8">
        <f>SUM(I7)+2</f>
        <v>41</v>
      </c>
      <c r="K7" s="8"/>
      <c r="L7" s="10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10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SUM(I9)-1.9</f>
        <v>36.1</v>
      </c>
      <c r="I9" s="35">
        <v>38</v>
      </c>
      <c r="J9" s="8">
        <f>SUM(I9)+1.9</f>
        <v>39.9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323</v>
      </c>
      <c r="E10" s="41"/>
      <c r="F10" s="41"/>
      <c r="G10" s="42"/>
      <c r="H10" s="36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272</v>
      </c>
      <c r="C11" s="48"/>
      <c r="D11" s="49"/>
      <c r="E11" s="49"/>
      <c r="F11" s="49"/>
      <c r="G11" s="49"/>
      <c r="H11" s="8">
        <f>SUM(I11)</f>
        <v>2</v>
      </c>
      <c r="I11" s="35">
        <v>2</v>
      </c>
      <c r="J11" s="8">
        <f>SUM(I11)</f>
        <v>2</v>
      </c>
      <c r="K11" s="8"/>
      <c r="L11" s="10"/>
      <c r="M11" s="46"/>
    </row>
    <row r="12" spans="1:13" s="2" customFormat="1" ht="14.1" customHeight="1" x14ac:dyDescent="0.3">
      <c r="A12" s="26"/>
      <c r="B12" s="47" t="s">
        <v>273</v>
      </c>
      <c r="C12" s="47"/>
      <c r="D12" s="44" t="s">
        <v>279</v>
      </c>
      <c r="E12" s="41"/>
      <c r="F12" s="41"/>
      <c r="G12" s="42"/>
      <c r="H12" s="36"/>
      <c r="I12" s="43"/>
      <c r="J12" s="36"/>
      <c r="K12" s="36"/>
      <c r="L12" s="10"/>
      <c r="M12" s="46"/>
    </row>
    <row r="13" spans="1:13" s="2" customFormat="1" ht="14.1" customHeight="1" x14ac:dyDescent="0.3">
      <c r="A13" s="26">
        <v>6</v>
      </c>
      <c r="B13" s="48" t="s">
        <v>10</v>
      </c>
      <c r="C13" s="48"/>
      <c r="D13" s="49" t="s">
        <v>0</v>
      </c>
      <c r="E13" s="49"/>
      <c r="F13" s="49"/>
      <c r="G13" s="49"/>
      <c r="H13" s="10">
        <f>SUM(I13)-1</f>
        <v>17</v>
      </c>
      <c r="I13" s="33">
        <v>18</v>
      </c>
      <c r="J13" s="10">
        <f>SUM(I13)+1</f>
        <v>19</v>
      </c>
      <c r="K13" s="10"/>
      <c r="L13" s="10"/>
      <c r="M13" s="46"/>
    </row>
    <row r="14" spans="1:13" s="2" customFormat="1" ht="14.1" customHeight="1" x14ac:dyDescent="0.3">
      <c r="A14" s="26"/>
      <c r="B14" s="47" t="s">
        <v>14</v>
      </c>
      <c r="C14" s="47"/>
      <c r="D14" s="44" t="s">
        <v>28</v>
      </c>
      <c r="E14" s="41"/>
      <c r="F14" s="41"/>
      <c r="G14" s="42"/>
      <c r="H14" s="10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1</v>
      </c>
      <c r="C15" s="48"/>
      <c r="D15" s="49" t="s">
        <v>137</v>
      </c>
      <c r="E15" s="49"/>
      <c r="F15" s="49"/>
      <c r="G15" s="49"/>
      <c r="H15" s="10">
        <f>SUM(I15)-0.6</f>
        <v>17.399999999999999</v>
      </c>
      <c r="I15" s="33">
        <v>18</v>
      </c>
      <c r="J15" s="10">
        <f>SUM(I15)+0.6</f>
        <v>18.600000000000001</v>
      </c>
      <c r="K15" s="10"/>
      <c r="L15" s="10"/>
      <c r="M15" s="46"/>
    </row>
    <row r="16" spans="1:13" s="2" customFormat="1" ht="14.1" customHeight="1" x14ac:dyDescent="0.3">
      <c r="A16" s="26"/>
      <c r="B16" s="47" t="s">
        <v>15</v>
      </c>
      <c r="C16" s="47"/>
      <c r="D16" s="44" t="s">
        <v>243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48" t="s">
        <v>3</v>
      </c>
      <c r="C17" s="48"/>
      <c r="D17" s="49" t="s">
        <v>4</v>
      </c>
      <c r="E17" s="49"/>
      <c r="F17" s="49"/>
      <c r="G17" s="49"/>
      <c r="H17" s="10">
        <f>SUM(I17)-0.3</f>
        <v>7.7</v>
      </c>
      <c r="I17" s="33">
        <v>8</v>
      </c>
      <c r="J17" s="10">
        <f>SUM(I17)+0.3</f>
        <v>8.3000000000000007</v>
      </c>
      <c r="K17" s="10"/>
      <c r="L17" s="10"/>
      <c r="M17" s="46"/>
    </row>
    <row r="18" spans="1:13" s="2" customFormat="1" ht="14.1" customHeight="1" x14ac:dyDescent="0.3">
      <c r="A18" s="26"/>
      <c r="B18" s="47" t="s">
        <v>16</v>
      </c>
      <c r="C18" s="47"/>
      <c r="D18" s="44" t="s">
        <v>280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28" t="s">
        <v>56</v>
      </c>
      <c r="C19" s="29"/>
      <c r="D19" s="50" t="s">
        <v>58</v>
      </c>
      <c r="E19" s="51"/>
      <c r="F19" s="51"/>
      <c r="G19" s="52"/>
      <c r="H19" s="10">
        <f>SUM(I19)-1.6</f>
        <v>44.1</v>
      </c>
      <c r="I19" s="33">
        <v>45.7</v>
      </c>
      <c r="J19" s="10">
        <f>SUM(I19)+1.6</f>
        <v>47.300000000000004</v>
      </c>
      <c r="K19" s="10"/>
      <c r="L19" s="10"/>
      <c r="M19" s="46"/>
    </row>
    <row r="20" spans="1:13" s="2" customFormat="1" ht="14.1" customHeight="1" x14ac:dyDescent="0.3">
      <c r="A20" s="26"/>
      <c r="B20" s="47" t="s">
        <v>57</v>
      </c>
      <c r="C20" s="47"/>
      <c r="D20" s="44" t="s">
        <v>138</v>
      </c>
      <c r="E20" s="41"/>
      <c r="F20" s="41"/>
      <c r="G20" s="42"/>
      <c r="H20" s="10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5</v>
      </c>
      <c r="C21" s="48"/>
      <c r="D21" s="49" t="s">
        <v>6</v>
      </c>
      <c r="E21" s="49"/>
      <c r="F21" s="49"/>
      <c r="G21" s="49"/>
      <c r="H21" s="10">
        <f>SUM(I21)-3.2</f>
        <v>50.8</v>
      </c>
      <c r="I21" s="33">
        <v>54</v>
      </c>
      <c r="J21" s="10">
        <f>SUM(I21)+3.2</f>
        <v>57.2</v>
      </c>
      <c r="K21" s="10"/>
      <c r="L21" s="10"/>
      <c r="M21" s="46"/>
    </row>
    <row r="22" spans="1:13" s="2" customFormat="1" ht="14.1" customHeight="1" x14ac:dyDescent="0.3">
      <c r="A22" s="26"/>
      <c r="B22" s="47" t="s">
        <v>17</v>
      </c>
      <c r="C22" s="47"/>
      <c r="D22" s="44" t="s">
        <v>29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48" t="s">
        <v>7</v>
      </c>
      <c r="C23" s="48"/>
      <c r="D23" s="50" t="s">
        <v>8</v>
      </c>
      <c r="E23" s="51"/>
      <c r="F23" s="51"/>
      <c r="G23" s="52"/>
      <c r="H23" s="10">
        <f>SUM(I23)-1.6</f>
        <v>26.4</v>
      </c>
      <c r="I23" s="33">
        <v>28</v>
      </c>
      <c r="J23" s="10">
        <f>SUM(I23)+1.6</f>
        <v>29.6</v>
      </c>
      <c r="K23" s="10"/>
      <c r="L23" s="10"/>
      <c r="M23" s="46"/>
    </row>
    <row r="24" spans="1:13" s="2" customFormat="1" ht="14.1" customHeight="1" x14ac:dyDescent="0.3">
      <c r="A24" s="26"/>
      <c r="B24" s="47" t="s">
        <v>18</v>
      </c>
      <c r="C24" s="47"/>
      <c r="D24" s="44" t="s">
        <v>36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 t="s">
        <v>59</v>
      </c>
      <c r="C25" s="29"/>
      <c r="D25" s="49" t="s">
        <v>37</v>
      </c>
      <c r="E25" s="49"/>
      <c r="F25" s="49"/>
      <c r="G25" s="49"/>
      <c r="H25" s="10">
        <f>SUM(I25)-1</f>
        <v>20</v>
      </c>
      <c r="I25" s="33">
        <v>21</v>
      </c>
      <c r="J25" s="10">
        <f>SUM(I25)+1</f>
        <v>22</v>
      </c>
      <c r="K25" s="10"/>
      <c r="L25" s="10"/>
      <c r="M25" s="46"/>
    </row>
    <row r="26" spans="1:13" s="2" customFormat="1" ht="14.1" customHeight="1" x14ac:dyDescent="0.3">
      <c r="A26" s="26"/>
      <c r="B26" s="47" t="s">
        <v>19</v>
      </c>
      <c r="C26" s="47"/>
      <c r="D26" s="44" t="s">
        <v>38</v>
      </c>
      <c r="E26" s="41"/>
      <c r="F26" s="41"/>
      <c r="G26" s="42"/>
      <c r="H26" s="10"/>
      <c r="I26" s="33"/>
      <c r="J26" s="10"/>
      <c r="K26" s="10"/>
      <c r="L26" s="10"/>
      <c r="M26" s="46"/>
    </row>
    <row r="27" spans="1:13" s="2" customFormat="1" ht="14.1" customHeight="1" x14ac:dyDescent="0.3">
      <c r="A27" s="26">
        <v>13</v>
      </c>
      <c r="B27" s="28" t="s">
        <v>136</v>
      </c>
      <c r="C27" s="29"/>
      <c r="D27" s="51"/>
      <c r="E27" s="51"/>
      <c r="F27" s="51"/>
      <c r="G27" s="51"/>
      <c r="H27" s="8">
        <f>SUM(I27)-0.6</f>
        <v>11.9</v>
      </c>
      <c r="I27" s="33">
        <v>12.5</v>
      </c>
      <c r="J27" s="8">
        <f>SUM(I27)+0.6</f>
        <v>13.1</v>
      </c>
      <c r="K27" s="8"/>
      <c r="L27" s="8"/>
      <c r="M27" s="12"/>
    </row>
    <row r="28" spans="1:13" s="2" customFormat="1" ht="14.1" customHeight="1" x14ac:dyDescent="0.3">
      <c r="A28" s="26"/>
      <c r="B28" s="38" t="s">
        <v>135</v>
      </c>
      <c r="C28" s="39"/>
      <c r="D28" s="44" t="s">
        <v>264</v>
      </c>
      <c r="E28" s="41"/>
      <c r="F28" s="41"/>
      <c r="G28" s="42"/>
      <c r="H28" s="25"/>
      <c r="I28" s="35"/>
      <c r="J28" s="25"/>
      <c r="K28" s="25"/>
      <c r="L28" s="25"/>
      <c r="M28" s="19"/>
    </row>
    <row r="29" spans="1:13" s="2" customFormat="1" ht="14.1" customHeight="1" x14ac:dyDescent="0.3">
      <c r="A29" s="26">
        <v>14</v>
      </c>
      <c r="B29" s="28" t="s">
        <v>166</v>
      </c>
      <c r="C29" s="29"/>
      <c r="D29" s="50"/>
      <c r="E29" s="51"/>
      <c r="F29" s="51"/>
      <c r="G29" s="52"/>
      <c r="H29" s="8">
        <f>SUM(I29)-0.4</f>
        <v>5.0999999999999996</v>
      </c>
      <c r="I29" s="33">
        <v>5.5</v>
      </c>
      <c r="J29" s="8">
        <f>SUM(I29)+0.4</f>
        <v>5.9</v>
      </c>
      <c r="K29" s="8"/>
      <c r="L29" s="8"/>
      <c r="M29" s="12"/>
    </row>
    <row r="30" spans="1:13" s="2" customFormat="1" ht="14.1" customHeight="1" x14ac:dyDescent="0.3">
      <c r="A30" s="26"/>
      <c r="B30" s="38" t="s">
        <v>167</v>
      </c>
      <c r="C30" s="39"/>
      <c r="D30" s="44" t="s">
        <v>271</v>
      </c>
      <c r="E30" s="41"/>
      <c r="F30" s="41"/>
      <c r="G30" s="42"/>
      <c r="H30" s="36"/>
      <c r="I30" s="33"/>
      <c r="J30" s="36"/>
      <c r="K30" s="36"/>
      <c r="L30" s="25"/>
      <c r="M30" s="19"/>
    </row>
    <row r="31" spans="1:13" s="2" customFormat="1" ht="14.1" customHeight="1" x14ac:dyDescent="0.3">
      <c r="A31" s="26">
        <v>15</v>
      </c>
      <c r="B31" s="48" t="s">
        <v>150</v>
      </c>
      <c r="C31" s="48"/>
      <c r="D31" s="50" t="s">
        <v>149</v>
      </c>
      <c r="E31" s="51"/>
      <c r="F31" s="51"/>
      <c r="G31" s="52"/>
      <c r="H31" s="8">
        <f>SUM(I31)-1</f>
        <v>35</v>
      </c>
      <c r="I31" s="35">
        <v>36</v>
      </c>
      <c r="J31" s="8">
        <f>SUM(I31)+1</f>
        <v>37</v>
      </c>
      <c r="K31" s="8"/>
      <c r="L31" s="8"/>
      <c r="M31" s="12"/>
    </row>
    <row r="32" spans="1:13" s="2" customFormat="1" ht="14.1" customHeight="1" x14ac:dyDescent="0.3">
      <c r="A32" s="26"/>
      <c r="B32" s="47" t="s">
        <v>148</v>
      </c>
      <c r="C32" s="47"/>
      <c r="D32" s="44" t="s">
        <v>147</v>
      </c>
      <c r="E32" s="41"/>
      <c r="F32" s="41"/>
      <c r="G32" s="42"/>
      <c r="H32" s="36"/>
      <c r="I32" s="43"/>
      <c r="J32" s="36"/>
      <c r="K32" s="36"/>
      <c r="L32" s="36"/>
      <c r="M32" s="37"/>
    </row>
    <row r="33" spans="1:13" s="2" customFormat="1" ht="14.1" customHeight="1" x14ac:dyDescent="0.3">
      <c r="A33" s="26">
        <v>16</v>
      </c>
      <c r="B33" s="48" t="s">
        <v>146</v>
      </c>
      <c r="C33" s="48"/>
      <c r="D33" s="50" t="s">
        <v>145</v>
      </c>
      <c r="E33" s="51"/>
      <c r="F33" s="51"/>
      <c r="G33" s="52"/>
      <c r="H33" s="8">
        <f>SUM(I33)-0.8</f>
        <v>23.7</v>
      </c>
      <c r="I33" s="35">
        <v>24.5</v>
      </c>
      <c r="J33" s="8">
        <f>SUM(I33)+0.8</f>
        <v>25.3</v>
      </c>
      <c r="K33" s="8"/>
      <c r="L33" s="8"/>
      <c r="M33" s="12"/>
    </row>
    <row r="34" spans="1:13" s="2" customFormat="1" ht="14.1" customHeight="1" x14ac:dyDescent="0.3">
      <c r="A34" s="26"/>
      <c r="B34" s="47" t="s">
        <v>144</v>
      </c>
      <c r="C34" s="47"/>
      <c r="D34" s="44" t="s">
        <v>143</v>
      </c>
      <c r="E34" s="41"/>
      <c r="F34" s="41"/>
      <c r="G34" s="42"/>
      <c r="H34" s="36"/>
      <c r="I34" s="43"/>
      <c r="J34" s="36"/>
      <c r="K34" s="36"/>
      <c r="L34" s="36"/>
      <c r="M34" s="37"/>
    </row>
    <row r="35" spans="1:13" s="2" customFormat="1" ht="14.1" customHeight="1" x14ac:dyDescent="0.3">
      <c r="A35" s="26">
        <v>17</v>
      </c>
      <c r="B35" s="28"/>
      <c r="C35" s="29"/>
      <c r="D35" s="50"/>
      <c r="E35" s="51"/>
      <c r="F35" s="51"/>
      <c r="G35" s="52"/>
      <c r="H35" s="10"/>
      <c r="I35" s="43"/>
      <c r="J35" s="10"/>
      <c r="K35" s="10"/>
      <c r="L35" s="25"/>
      <c r="M35" s="19"/>
    </row>
    <row r="36" spans="1:13" s="2" customFormat="1" ht="14.1" customHeight="1" thickBot="1" x14ac:dyDescent="0.35">
      <c r="A36" s="27"/>
      <c r="B36" s="14"/>
      <c r="C36" s="15"/>
      <c r="D36" s="16"/>
      <c r="E36" s="17"/>
      <c r="F36" s="17"/>
      <c r="G36" s="18"/>
      <c r="H36" s="11"/>
      <c r="I36" s="34"/>
      <c r="J36" s="11"/>
      <c r="K36" s="11"/>
      <c r="L36" s="9"/>
      <c r="M36" s="1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0A74-345C-4227-91C6-08A4BAB48B84}">
  <sheetPr>
    <tabColor rgb="FF92D050"/>
  </sheetPr>
  <dimension ref="A1:M48"/>
  <sheetViews>
    <sheetView zoomScale="110" zoomScaleNormal="110" zoomScalePageLayoutView="110" workbookViewId="0">
      <selection activeCell="R12" sqref="R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219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60">
        <f>SUM(I3)-3</f>
        <v>41</v>
      </c>
      <c r="I3" s="59">
        <v>44</v>
      </c>
      <c r="J3" s="60">
        <f>SUM(I3)+3</f>
        <v>47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10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8">
        <f>SUM(I5)-2</f>
        <v>29</v>
      </c>
      <c r="I5" s="35">
        <v>31</v>
      </c>
      <c r="J5" s="8">
        <f>SUM(I5)+2</f>
        <v>33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8">
        <f>SUM(I7)-2.5</f>
        <v>35</v>
      </c>
      <c r="I7" s="35">
        <v>37.5</v>
      </c>
      <c r="J7" s="8">
        <f>SUM(I7)+2.5</f>
        <v>40</v>
      </c>
      <c r="K7" s="8"/>
      <c r="L7" s="10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10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SUM(I9)-2.4</f>
        <v>34</v>
      </c>
      <c r="I9" s="35">
        <v>36.4</v>
      </c>
      <c r="J9" s="8">
        <f>SUM(I9)+2.4</f>
        <v>38.799999999999997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36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10">
        <f>SUM(I11)-1</f>
        <v>16</v>
      </c>
      <c r="I11" s="33">
        <v>17</v>
      </c>
      <c r="J11" s="10">
        <f>SUM(I11)+1</f>
        <v>18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10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10">
        <f>SUM(I13)-0.6</f>
        <v>15.4</v>
      </c>
      <c r="I13" s="33">
        <v>16</v>
      </c>
      <c r="J13" s="10">
        <f>SUM(I13)+0.6</f>
        <v>16.600000000000001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10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10">
        <f>SUM(I15)-0.3</f>
        <v>7.4</v>
      </c>
      <c r="I15" s="33">
        <v>7.7</v>
      </c>
      <c r="J15" s="10">
        <f>SUM(I15)+0.3</f>
        <v>8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10">
        <f>SUM(I17)-1.6</f>
        <v>43.4</v>
      </c>
      <c r="I17" s="33">
        <v>45</v>
      </c>
      <c r="J17" s="10">
        <f>SUM(I17)+1.6</f>
        <v>46.6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10">
        <f>SUM(I19)-3</f>
        <v>52</v>
      </c>
      <c r="I19" s="33">
        <v>55</v>
      </c>
      <c r="J19" s="10">
        <f>SUM(I19)+3</f>
        <v>58</v>
      </c>
      <c r="K19" s="10"/>
      <c r="L19" s="10"/>
      <c r="M19" s="46"/>
    </row>
    <row r="20" spans="1:13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10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10">
        <f>SUM(I21)-1.5</f>
        <v>24.5</v>
      </c>
      <c r="I21" s="33">
        <v>26</v>
      </c>
      <c r="J21" s="10">
        <f>SUM(I21)+1.5</f>
        <v>27.5</v>
      </c>
      <c r="K21" s="10"/>
      <c r="L21" s="10"/>
      <c r="M21" s="46"/>
    </row>
    <row r="22" spans="1:13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10">
        <f>SUM(I23)-1</f>
        <v>17</v>
      </c>
      <c r="I23" s="33">
        <v>18</v>
      </c>
      <c r="J23" s="10">
        <f>SUM(I23)+1</f>
        <v>19</v>
      </c>
      <c r="K23" s="10"/>
      <c r="L23" s="10"/>
      <c r="M23" s="46"/>
    </row>
    <row r="24" spans="1:13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 t="s">
        <v>136</v>
      </c>
      <c r="C25" s="29"/>
      <c r="D25" s="30"/>
      <c r="E25" s="31"/>
      <c r="F25" s="31"/>
      <c r="G25" s="32"/>
      <c r="H25" s="10">
        <f>SUM(I25)-0.3</f>
        <v>4.2</v>
      </c>
      <c r="I25" s="33">
        <v>4.5</v>
      </c>
      <c r="J25" s="10">
        <f>SUM(I25)+0.3</f>
        <v>4.8</v>
      </c>
      <c r="K25" s="10"/>
      <c r="L25" s="8"/>
      <c r="M25" s="12"/>
    </row>
    <row r="26" spans="1:13" s="2" customFormat="1" ht="14.1" customHeight="1" x14ac:dyDescent="0.3">
      <c r="A26" s="68"/>
      <c r="B26" s="20" t="s">
        <v>135</v>
      </c>
      <c r="C26" s="21"/>
      <c r="D26" s="22" t="s">
        <v>220</v>
      </c>
      <c r="E26" s="23"/>
      <c r="F26" s="23"/>
      <c r="G26" s="24"/>
      <c r="H26" s="8"/>
      <c r="I26" s="35"/>
      <c r="J26" s="8"/>
      <c r="K26" s="8"/>
      <c r="L26" s="25"/>
      <c r="M26" s="19"/>
    </row>
    <row r="27" spans="1:13" s="2" customFormat="1" ht="14.1" customHeight="1" x14ac:dyDescent="0.3">
      <c r="A27" s="26">
        <v>13</v>
      </c>
      <c r="B27" s="28"/>
      <c r="C27" s="29"/>
      <c r="D27" s="30"/>
      <c r="E27" s="31"/>
      <c r="F27" s="31"/>
      <c r="G27" s="32"/>
      <c r="H27" s="10"/>
      <c r="I27" s="33"/>
      <c r="J27" s="10"/>
      <c r="K27" s="10"/>
      <c r="L27" s="8"/>
      <c r="M27" s="12"/>
    </row>
    <row r="28" spans="1:13" s="2" customFormat="1" ht="14.1" customHeight="1" x14ac:dyDescent="0.3">
      <c r="A28" s="68"/>
      <c r="B28" s="20"/>
      <c r="C28" s="21"/>
      <c r="D28" s="22"/>
      <c r="E28" s="23"/>
      <c r="F28" s="23"/>
      <c r="G28" s="24"/>
      <c r="H28" s="8"/>
      <c r="I28" s="35"/>
      <c r="J28" s="8"/>
      <c r="K28" s="8"/>
      <c r="L28" s="25"/>
      <c r="M28" s="19"/>
    </row>
    <row r="29" spans="1:13" s="2" customFormat="1" ht="14.1" customHeight="1" x14ac:dyDescent="0.3">
      <c r="A29" s="26">
        <v>14</v>
      </c>
      <c r="B29" s="28"/>
      <c r="C29" s="29"/>
      <c r="D29" s="30"/>
      <c r="E29" s="31"/>
      <c r="F29" s="31"/>
      <c r="G29" s="32"/>
      <c r="H29" s="10"/>
      <c r="I29" s="33"/>
      <c r="J29" s="10"/>
      <c r="K29" s="10"/>
      <c r="L29" s="8"/>
      <c r="M29" s="12"/>
    </row>
    <row r="30" spans="1:13" s="2" customFormat="1" ht="14.1" customHeight="1" x14ac:dyDescent="0.3">
      <c r="A30" s="68"/>
      <c r="B30" s="38"/>
      <c r="C30" s="39"/>
      <c r="D30" s="44"/>
      <c r="E30" s="41"/>
      <c r="F30" s="41"/>
      <c r="G30" s="42"/>
      <c r="H30" s="10"/>
      <c r="I30" s="33"/>
      <c r="J30" s="10"/>
      <c r="K30" s="10"/>
      <c r="L30" s="36"/>
      <c r="M30" s="37"/>
    </row>
    <row r="31" spans="1:13" s="2" customFormat="1" ht="14.1" customHeight="1" x14ac:dyDescent="0.3">
      <c r="A31" s="26">
        <v>15</v>
      </c>
      <c r="B31" s="28"/>
      <c r="C31" s="29"/>
      <c r="D31" s="50"/>
      <c r="E31" s="51"/>
      <c r="F31" s="51"/>
      <c r="G31" s="52"/>
      <c r="H31" s="10"/>
      <c r="I31" s="33"/>
      <c r="J31" s="10"/>
      <c r="K31" s="10"/>
      <c r="L31" s="8"/>
      <c r="M31" s="12"/>
    </row>
    <row r="32" spans="1:13" s="2" customFormat="1" ht="14.1" customHeight="1" x14ac:dyDescent="0.3">
      <c r="A32" s="68"/>
      <c r="B32" s="20"/>
      <c r="C32" s="21"/>
      <c r="D32" s="44"/>
      <c r="E32" s="41"/>
      <c r="F32" s="41"/>
      <c r="G32" s="42"/>
      <c r="H32" s="10"/>
      <c r="I32" s="33"/>
      <c r="J32" s="10"/>
      <c r="K32" s="10"/>
      <c r="L32" s="36"/>
      <c r="M32" s="37"/>
    </row>
    <row r="33" spans="1:13" s="2" customFormat="1" ht="14.1" customHeight="1" x14ac:dyDescent="0.3">
      <c r="A33" s="26">
        <v>16</v>
      </c>
      <c r="B33" s="28"/>
      <c r="C33" s="29"/>
      <c r="D33" s="50"/>
      <c r="E33" s="51"/>
      <c r="F33" s="51"/>
      <c r="G33" s="52"/>
      <c r="H33" s="10"/>
      <c r="I33" s="43"/>
      <c r="J33" s="10"/>
      <c r="K33" s="10"/>
      <c r="L33" s="25"/>
      <c r="M33" s="19"/>
    </row>
    <row r="34" spans="1:13" s="2" customFormat="1" ht="14.1" customHeight="1" x14ac:dyDescent="0.3">
      <c r="A34" s="68"/>
      <c r="B34" s="20"/>
      <c r="C34" s="21"/>
      <c r="D34" s="22"/>
      <c r="E34" s="23"/>
      <c r="F34" s="23"/>
      <c r="G34" s="24"/>
      <c r="H34" s="10"/>
      <c r="I34" s="35"/>
      <c r="J34" s="10"/>
      <c r="K34" s="10"/>
      <c r="L34" s="25"/>
      <c r="M34" s="19"/>
    </row>
    <row r="35" spans="1:13" s="2" customFormat="1" ht="14.1" customHeight="1" x14ac:dyDescent="0.3">
      <c r="A35" s="26">
        <v>17</v>
      </c>
      <c r="B35" s="28"/>
      <c r="C35" s="29"/>
      <c r="D35" s="50"/>
      <c r="E35" s="51"/>
      <c r="F35" s="51"/>
      <c r="G35" s="52"/>
      <c r="H35" s="36"/>
      <c r="I35" s="33"/>
      <c r="J35" s="36"/>
      <c r="K35" s="36"/>
      <c r="L35" s="8"/>
      <c r="M35" s="12"/>
    </row>
    <row r="36" spans="1:13" s="2" customFormat="1" ht="14.1" customHeight="1" thickBot="1" x14ac:dyDescent="0.35">
      <c r="A36" s="27"/>
      <c r="B36" s="14"/>
      <c r="C36" s="15"/>
      <c r="D36" s="16"/>
      <c r="E36" s="17"/>
      <c r="F36" s="17"/>
      <c r="G36" s="18"/>
      <c r="H36" s="11"/>
      <c r="I36" s="34"/>
      <c r="J36" s="11"/>
      <c r="K36" s="11"/>
      <c r="L36" s="9"/>
      <c r="M36" s="1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2F1B-879E-4219-B5B3-5420C38BD900}">
  <sheetPr>
    <tabColor rgb="FF92D050"/>
  </sheetPr>
  <dimension ref="A1:M48"/>
  <sheetViews>
    <sheetView zoomScale="110" zoomScaleNormal="110" zoomScalePageLayoutView="110" workbookViewId="0">
      <selection activeCell="P19" sqref="P1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60">
        <f>SUM(I3)-3</f>
        <v>59.1</v>
      </c>
      <c r="I3" s="59">
        <v>62.1</v>
      </c>
      <c r="J3" s="60">
        <f>SUM(I3)+3</f>
        <v>65.099999999999994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10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8">
        <f>SUM(I5)-2.2</f>
        <v>46.9</v>
      </c>
      <c r="I5" s="35">
        <v>49.1</v>
      </c>
      <c r="J5" s="8">
        <f>SUM(I5)+2.2</f>
        <v>51.300000000000004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8">
        <f>SUM(I7)-2.5</f>
        <v>49.5</v>
      </c>
      <c r="I7" s="35">
        <v>52</v>
      </c>
      <c r="J7" s="8">
        <f>SUM(I7)+2.5</f>
        <v>54.5</v>
      </c>
      <c r="K7" s="8"/>
      <c r="L7" s="10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10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SUM(I9)-2.4</f>
        <v>47.6</v>
      </c>
      <c r="I9" s="35">
        <v>50</v>
      </c>
      <c r="J9" s="8">
        <f>SUM(I9)+2.4</f>
        <v>52.4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36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10">
        <f>SUM(I11)-1</f>
        <v>20.9</v>
      </c>
      <c r="I11" s="33">
        <v>21.9</v>
      </c>
      <c r="J11" s="10">
        <f>SUM(I11)+1</f>
        <v>22.9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10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10">
        <f>SUM(I13)-0.6</f>
        <v>17.399999999999999</v>
      </c>
      <c r="I13" s="33">
        <v>18</v>
      </c>
      <c r="J13" s="10">
        <f>SUM(I13)+0.6</f>
        <v>18.600000000000001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10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10">
        <f>SUM(I15)-0.3</f>
        <v>8.5</v>
      </c>
      <c r="I15" s="33">
        <v>8.8000000000000007</v>
      </c>
      <c r="J15" s="10">
        <f>SUM(I15)+0.3</f>
        <v>9.1000000000000014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10">
        <f>SUM(I17)-1.6</f>
        <v>45.699999999999996</v>
      </c>
      <c r="I17" s="33">
        <v>47.3</v>
      </c>
      <c r="J17" s="10">
        <f>SUM(I17)+1.6</f>
        <v>48.9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10">
        <f>SUM(I19)-2.9</f>
        <v>47.2</v>
      </c>
      <c r="I19" s="33">
        <v>50.1</v>
      </c>
      <c r="J19" s="10">
        <f>SUM(I19)+2.9</f>
        <v>53</v>
      </c>
      <c r="K19" s="10"/>
      <c r="L19" s="10"/>
      <c r="M19" s="46"/>
    </row>
    <row r="20" spans="1:13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10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10">
        <f>SUM(I21)-1.8</f>
        <v>38.300000000000004</v>
      </c>
      <c r="I21" s="33">
        <v>40.1</v>
      </c>
      <c r="J21" s="10">
        <f>SUM(I21)+1.8</f>
        <v>41.9</v>
      </c>
      <c r="K21" s="10"/>
      <c r="L21" s="10"/>
      <c r="M21" s="46"/>
    </row>
    <row r="22" spans="1:13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10">
        <f>SUM(I23)-0.8</f>
        <v>17.2</v>
      </c>
      <c r="I23" s="33">
        <v>18</v>
      </c>
      <c r="J23" s="10">
        <f>SUM(I23)+0.8</f>
        <v>18.8</v>
      </c>
      <c r="K23" s="10"/>
      <c r="L23" s="10"/>
      <c r="M23" s="46"/>
    </row>
    <row r="24" spans="1:13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 t="s">
        <v>136</v>
      </c>
      <c r="C25" s="29"/>
      <c r="D25" s="30"/>
      <c r="E25" s="31"/>
      <c r="F25" s="31"/>
      <c r="G25" s="32"/>
      <c r="H25" s="10">
        <f>SUM(I25)-0.6</f>
        <v>14.9</v>
      </c>
      <c r="I25" s="33">
        <v>15.5</v>
      </c>
      <c r="J25" s="10">
        <f>SUM(I25)+0.6</f>
        <v>16.100000000000001</v>
      </c>
      <c r="K25" s="10"/>
      <c r="L25" s="8"/>
      <c r="M25" s="12"/>
    </row>
    <row r="26" spans="1:13" s="2" customFormat="1" ht="14.1" customHeight="1" x14ac:dyDescent="0.3">
      <c r="A26" s="26"/>
      <c r="B26" s="20" t="s">
        <v>135</v>
      </c>
      <c r="C26" s="21"/>
      <c r="D26" s="22" t="s">
        <v>184</v>
      </c>
      <c r="E26" s="23"/>
      <c r="F26" s="23"/>
      <c r="G26" s="24"/>
      <c r="H26" s="8"/>
      <c r="I26" s="35"/>
      <c r="J26" s="8"/>
      <c r="K26" s="8"/>
      <c r="L26" s="25"/>
      <c r="M26" s="19"/>
    </row>
    <row r="27" spans="1:13" s="2" customFormat="1" ht="14.1" customHeight="1" x14ac:dyDescent="0.3">
      <c r="A27" s="26">
        <v>13</v>
      </c>
      <c r="B27" s="28" t="s">
        <v>166</v>
      </c>
      <c r="C27" s="29"/>
      <c r="D27" s="30"/>
      <c r="E27" s="31"/>
      <c r="F27" s="31"/>
      <c r="G27" s="32"/>
      <c r="H27" s="10">
        <f>SUM(I27)-0.4</f>
        <v>5.0999999999999996</v>
      </c>
      <c r="I27" s="33">
        <v>5.5</v>
      </c>
      <c r="J27" s="10">
        <f>SUM(I27)+0.4</f>
        <v>5.9</v>
      </c>
      <c r="K27" s="10"/>
      <c r="L27" s="8"/>
      <c r="M27" s="12"/>
    </row>
    <row r="28" spans="1:13" s="2" customFormat="1" ht="14.1" customHeight="1" x14ac:dyDescent="0.3">
      <c r="A28" s="26"/>
      <c r="B28" s="20" t="s">
        <v>167</v>
      </c>
      <c r="C28" s="21"/>
      <c r="D28" s="22" t="s">
        <v>185</v>
      </c>
      <c r="E28" s="23"/>
      <c r="F28" s="23"/>
      <c r="G28" s="24"/>
      <c r="H28" s="8"/>
      <c r="I28" s="35"/>
      <c r="J28" s="8"/>
      <c r="K28" s="8"/>
      <c r="L28" s="25"/>
      <c r="M28" s="19"/>
    </row>
    <row r="29" spans="1:13" s="2" customFormat="1" ht="14.1" customHeight="1" x14ac:dyDescent="0.3">
      <c r="A29" s="26">
        <v>14</v>
      </c>
      <c r="B29" s="28" t="s">
        <v>216</v>
      </c>
      <c r="C29" s="29"/>
      <c r="D29" s="30"/>
      <c r="E29" s="31"/>
      <c r="F29" s="31"/>
      <c r="G29" s="32"/>
      <c r="H29" s="10">
        <f>SUM(I29)-0.2</f>
        <v>3.3</v>
      </c>
      <c r="I29" s="33">
        <v>3.5</v>
      </c>
      <c r="J29" s="10">
        <f>SUM(I29)+0.2</f>
        <v>3.7</v>
      </c>
      <c r="K29" s="10"/>
      <c r="L29" s="8"/>
      <c r="M29" s="12"/>
    </row>
    <row r="30" spans="1:13" s="2" customFormat="1" ht="14.1" customHeight="1" x14ac:dyDescent="0.3">
      <c r="A30" s="26"/>
      <c r="B30" s="20" t="s">
        <v>217</v>
      </c>
      <c r="C30" s="21"/>
      <c r="D30" s="22" t="s">
        <v>218</v>
      </c>
      <c r="E30" s="23"/>
      <c r="F30" s="23"/>
      <c r="G30" s="24"/>
      <c r="H30" s="8"/>
      <c r="I30" s="35"/>
      <c r="J30" s="8"/>
      <c r="K30" s="8"/>
      <c r="L30" s="36"/>
      <c r="M30" s="37"/>
    </row>
    <row r="31" spans="1:13" s="2" customFormat="1" ht="14.1" customHeight="1" x14ac:dyDescent="0.3">
      <c r="A31" s="26">
        <v>15</v>
      </c>
      <c r="B31" s="28"/>
      <c r="C31" s="29"/>
      <c r="D31" s="50"/>
      <c r="E31" s="51"/>
      <c r="F31" s="51"/>
      <c r="G31" s="52"/>
      <c r="H31" s="10"/>
      <c r="I31" s="33"/>
      <c r="J31" s="10"/>
      <c r="K31" s="10"/>
      <c r="L31" s="8"/>
      <c r="M31" s="12"/>
    </row>
    <row r="32" spans="1:13" s="2" customFormat="1" ht="14.1" customHeight="1" x14ac:dyDescent="0.3">
      <c r="A32" s="26"/>
      <c r="B32" s="20"/>
      <c r="C32" s="21"/>
      <c r="D32" s="44"/>
      <c r="E32" s="41"/>
      <c r="F32" s="41"/>
      <c r="G32" s="42"/>
      <c r="H32" s="10"/>
      <c r="I32" s="33"/>
      <c r="J32" s="10"/>
      <c r="K32" s="10"/>
      <c r="L32" s="36"/>
      <c r="M32" s="37"/>
    </row>
    <row r="33" spans="1:13" s="2" customFormat="1" ht="14.1" customHeight="1" x14ac:dyDescent="0.3">
      <c r="A33" s="26">
        <v>16</v>
      </c>
      <c r="B33" s="28"/>
      <c r="C33" s="29"/>
      <c r="D33" s="50"/>
      <c r="E33" s="51"/>
      <c r="F33" s="51"/>
      <c r="G33" s="52"/>
      <c r="H33" s="10"/>
      <c r="I33" s="43"/>
      <c r="J33" s="10"/>
      <c r="K33" s="10"/>
      <c r="L33" s="25"/>
      <c r="M33" s="19"/>
    </row>
    <row r="34" spans="1:13" s="2" customFormat="1" ht="14.1" customHeight="1" x14ac:dyDescent="0.3">
      <c r="A34" s="26"/>
      <c r="B34" s="20"/>
      <c r="C34" s="21"/>
      <c r="D34" s="22"/>
      <c r="E34" s="23"/>
      <c r="F34" s="23"/>
      <c r="G34" s="24"/>
      <c r="H34" s="10"/>
      <c r="I34" s="35"/>
      <c r="J34" s="10"/>
      <c r="K34" s="10"/>
      <c r="L34" s="25"/>
      <c r="M34" s="19"/>
    </row>
    <row r="35" spans="1:13" s="2" customFormat="1" ht="14.1" customHeight="1" x14ac:dyDescent="0.3">
      <c r="A35" s="26">
        <v>17</v>
      </c>
      <c r="B35" s="28"/>
      <c r="C35" s="29"/>
      <c r="D35" s="50"/>
      <c r="E35" s="51"/>
      <c r="F35" s="51"/>
      <c r="G35" s="52"/>
      <c r="H35" s="36"/>
      <c r="I35" s="33"/>
      <c r="J35" s="36"/>
      <c r="K35" s="36"/>
      <c r="L35" s="8"/>
      <c r="M35" s="12"/>
    </row>
    <row r="36" spans="1:13" s="2" customFormat="1" ht="14.1" customHeight="1" thickBot="1" x14ac:dyDescent="0.35">
      <c r="A36" s="27"/>
      <c r="B36" s="14"/>
      <c r="C36" s="15"/>
      <c r="D36" s="16"/>
      <c r="E36" s="17"/>
      <c r="F36" s="17"/>
      <c r="G36" s="18"/>
      <c r="H36" s="11"/>
      <c r="I36" s="34"/>
      <c r="J36" s="11"/>
      <c r="K36" s="11"/>
      <c r="L36" s="9"/>
      <c r="M36" s="1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H33:H34"/>
    <mergeCell ref="H35:H36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H29:H30"/>
    <mergeCell ref="H31:H32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H25:H26"/>
    <mergeCell ref="H27:H28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H21:H22"/>
    <mergeCell ref="H23:H24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H17:H18"/>
    <mergeCell ref="H19:H20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9EFC-7726-4310-8669-7804BEABB929}">
  <sheetPr>
    <tabColor rgb="FF92D050"/>
  </sheetPr>
  <dimension ref="A1:M48"/>
  <sheetViews>
    <sheetView zoomScale="110" zoomScaleNormal="110" zoomScalePageLayoutView="110" workbookViewId="0">
      <selection activeCell="P18" sqref="P1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227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60">
        <f>SUM(I3)-3</f>
        <v>40</v>
      </c>
      <c r="I3" s="59">
        <v>43</v>
      </c>
      <c r="J3" s="60">
        <f>SUM(I3)+3</f>
        <v>46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10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8">
        <f>SUM(I5)-1.6</f>
        <v>29.5</v>
      </c>
      <c r="I5" s="35">
        <v>31.1</v>
      </c>
      <c r="J5" s="8">
        <f>SUM(I5)+1.6</f>
        <v>32.700000000000003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8">
        <f>SUM(I7)-2</f>
        <v>36</v>
      </c>
      <c r="I7" s="35">
        <v>38</v>
      </c>
      <c r="J7" s="8">
        <f>SUM(I7)+2</f>
        <v>40</v>
      </c>
      <c r="K7" s="8"/>
      <c r="L7" s="8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36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SUM(I9)-2</f>
        <v>36</v>
      </c>
      <c r="I9" s="35">
        <v>38</v>
      </c>
      <c r="J9" s="8">
        <f>SUM(I9)+2</f>
        <v>40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36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10">
        <f>SUM(I11)-1</f>
        <v>16.399999999999999</v>
      </c>
      <c r="I11" s="33">
        <v>17.399999999999999</v>
      </c>
      <c r="J11" s="10">
        <f>SUM(I11)+1</f>
        <v>18.399999999999999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10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10">
        <f>SUM(I13)-0.6</f>
        <v>14.9</v>
      </c>
      <c r="I13" s="33">
        <v>15.5</v>
      </c>
      <c r="J13" s="10">
        <f>SUM(I13)+0.6</f>
        <v>16.100000000000001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10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10">
        <f>SUM(I15)-0.3</f>
        <v>7</v>
      </c>
      <c r="I15" s="33">
        <v>7.3</v>
      </c>
      <c r="J15" s="10">
        <f>SUM(I15)+0.3</f>
        <v>7.6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10">
        <f>SUM(I17)-1.6</f>
        <v>42.4</v>
      </c>
      <c r="I17" s="33">
        <v>44</v>
      </c>
      <c r="J17" s="10">
        <f>SUM(I17)+1.6</f>
        <v>45.6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10">
        <f>SUM(I19)-3.2</f>
        <v>51.3</v>
      </c>
      <c r="I19" s="33">
        <v>54.5</v>
      </c>
      <c r="J19" s="10">
        <f>SUM(I19)+3.2</f>
        <v>57.7</v>
      </c>
      <c r="K19" s="10"/>
      <c r="L19" s="10"/>
      <c r="M19" s="46"/>
    </row>
    <row r="20" spans="1:13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10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10">
        <f>SUM(I21)-1.6</f>
        <v>26.4</v>
      </c>
      <c r="I21" s="33">
        <v>28</v>
      </c>
      <c r="J21" s="10">
        <f>SUM(I21)+1.6</f>
        <v>29.6</v>
      </c>
      <c r="K21" s="10"/>
      <c r="L21" s="10"/>
      <c r="M21" s="46"/>
    </row>
    <row r="22" spans="1:13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10">
        <f>SUM(I23)-1</f>
        <v>17</v>
      </c>
      <c r="I23" s="33">
        <v>18</v>
      </c>
      <c r="J23" s="10">
        <f>SUM(I23)+1</f>
        <v>19</v>
      </c>
      <c r="K23" s="10"/>
      <c r="L23" s="10"/>
      <c r="M23" s="46"/>
    </row>
    <row r="24" spans="1:13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 t="s">
        <v>136</v>
      </c>
      <c r="C25" s="29"/>
      <c r="D25" s="30"/>
      <c r="E25" s="31"/>
      <c r="F25" s="31"/>
      <c r="G25" s="32"/>
      <c r="H25" s="10">
        <f>SUM(I25)-0.2</f>
        <v>3.3</v>
      </c>
      <c r="I25" s="33">
        <v>3.5</v>
      </c>
      <c r="J25" s="10">
        <f>SUM(I25)+0.2</f>
        <v>3.7</v>
      </c>
      <c r="K25" s="10"/>
      <c r="L25" s="8"/>
      <c r="M25" s="12"/>
    </row>
    <row r="26" spans="1:13" s="2" customFormat="1" ht="14.1" customHeight="1" x14ac:dyDescent="0.3">
      <c r="A26" s="68"/>
      <c r="B26" s="20" t="s">
        <v>135</v>
      </c>
      <c r="C26" s="21"/>
      <c r="D26" s="22" t="s">
        <v>220</v>
      </c>
      <c r="E26" s="23"/>
      <c r="F26" s="23"/>
      <c r="G26" s="24"/>
      <c r="H26" s="8"/>
      <c r="I26" s="35"/>
      <c r="J26" s="8"/>
      <c r="K26" s="8"/>
      <c r="L26" s="25"/>
      <c r="M26" s="19"/>
    </row>
    <row r="27" spans="1:13" s="2" customFormat="1" ht="14.1" customHeight="1" x14ac:dyDescent="0.3">
      <c r="A27" s="26">
        <v>13</v>
      </c>
      <c r="B27" s="28"/>
      <c r="C27" s="29"/>
      <c r="D27" s="30"/>
      <c r="E27" s="31"/>
      <c r="F27" s="31"/>
      <c r="G27" s="32"/>
      <c r="H27" s="10"/>
      <c r="I27" s="33"/>
      <c r="J27" s="10"/>
      <c r="K27" s="10"/>
      <c r="L27" s="8"/>
      <c r="M27" s="12"/>
    </row>
    <row r="28" spans="1:13" s="2" customFormat="1" ht="14.1" customHeight="1" x14ac:dyDescent="0.3">
      <c r="A28" s="68"/>
      <c r="B28" s="20"/>
      <c r="C28" s="21"/>
      <c r="D28" s="22"/>
      <c r="E28" s="23"/>
      <c r="F28" s="23"/>
      <c r="G28" s="24"/>
      <c r="H28" s="8"/>
      <c r="I28" s="35"/>
      <c r="J28" s="8"/>
      <c r="K28" s="8"/>
      <c r="L28" s="25"/>
      <c r="M28" s="19"/>
    </row>
    <row r="29" spans="1:13" s="2" customFormat="1" ht="14.1" customHeight="1" x14ac:dyDescent="0.3">
      <c r="A29" s="26">
        <v>14</v>
      </c>
      <c r="B29" s="28"/>
      <c r="C29" s="29"/>
      <c r="D29" s="30"/>
      <c r="E29" s="31"/>
      <c r="F29" s="31"/>
      <c r="G29" s="32"/>
      <c r="H29" s="10"/>
      <c r="I29" s="33"/>
      <c r="J29" s="10"/>
      <c r="K29" s="10"/>
      <c r="L29" s="8"/>
      <c r="M29" s="12"/>
    </row>
    <row r="30" spans="1:13" s="2" customFormat="1" ht="14.1" customHeight="1" x14ac:dyDescent="0.3">
      <c r="A30" s="68"/>
      <c r="B30" s="38"/>
      <c r="C30" s="39"/>
      <c r="D30" s="44"/>
      <c r="E30" s="41"/>
      <c r="F30" s="41"/>
      <c r="G30" s="42"/>
      <c r="H30" s="10"/>
      <c r="I30" s="33"/>
      <c r="J30" s="10"/>
      <c r="K30" s="10"/>
      <c r="L30" s="36"/>
      <c r="M30" s="37"/>
    </row>
    <row r="31" spans="1:13" s="2" customFormat="1" ht="14.1" customHeight="1" x14ac:dyDescent="0.3">
      <c r="A31" s="26">
        <v>15</v>
      </c>
      <c r="B31" s="28"/>
      <c r="C31" s="29"/>
      <c r="D31" s="50"/>
      <c r="E31" s="51"/>
      <c r="F31" s="51"/>
      <c r="G31" s="52"/>
      <c r="H31" s="10"/>
      <c r="I31" s="33"/>
      <c r="J31" s="10"/>
      <c r="K31" s="10"/>
      <c r="L31" s="8"/>
      <c r="M31" s="12"/>
    </row>
    <row r="32" spans="1:13" s="2" customFormat="1" ht="14.1" customHeight="1" x14ac:dyDescent="0.3">
      <c r="A32" s="68"/>
      <c r="B32" s="20"/>
      <c r="C32" s="21"/>
      <c r="D32" s="44"/>
      <c r="E32" s="41"/>
      <c r="F32" s="41"/>
      <c r="G32" s="42"/>
      <c r="H32" s="10"/>
      <c r="I32" s="33"/>
      <c r="J32" s="10"/>
      <c r="K32" s="10"/>
      <c r="L32" s="36"/>
      <c r="M32" s="37"/>
    </row>
    <row r="33" spans="1:13" s="2" customFormat="1" ht="14.1" customHeight="1" x14ac:dyDescent="0.3">
      <c r="A33" s="26">
        <v>16</v>
      </c>
      <c r="B33" s="28"/>
      <c r="C33" s="29"/>
      <c r="D33" s="50"/>
      <c r="E33" s="51"/>
      <c r="F33" s="51"/>
      <c r="G33" s="52"/>
      <c r="H33" s="10"/>
      <c r="I33" s="43"/>
      <c r="J33" s="10"/>
      <c r="K33" s="10"/>
      <c r="L33" s="25"/>
      <c r="M33" s="19"/>
    </row>
    <row r="34" spans="1:13" s="2" customFormat="1" ht="14.1" customHeight="1" x14ac:dyDescent="0.3">
      <c r="A34" s="68"/>
      <c r="B34" s="20"/>
      <c r="C34" s="21"/>
      <c r="D34" s="22"/>
      <c r="E34" s="23"/>
      <c r="F34" s="23"/>
      <c r="G34" s="24"/>
      <c r="H34" s="10"/>
      <c r="I34" s="35"/>
      <c r="J34" s="10"/>
      <c r="K34" s="10"/>
      <c r="L34" s="25"/>
      <c r="M34" s="19"/>
    </row>
    <row r="35" spans="1:13" s="2" customFormat="1" ht="14.1" customHeight="1" x14ac:dyDescent="0.3">
      <c r="A35" s="26">
        <v>17</v>
      </c>
      <c r="B35" s="28"/>
      <c r="C35" s="29"/>
      <c r="D35" s="50"/>
      <c r="E35" s="51"/>
      <c r="F35" s="51"/>
      <c r="G35" s="52"/>
      <c r="H35" s="36"/>
      <c r="I35" s="33"/>
      <c r="J35" s="36"/>
      <c r="K35" s="36"/>
      <c r="L35" s="8"/>
      <c r="M35" s="12"/>
    </row>
    <row r="36" spans="1:13" s="2" customFormat="1" ht="14.1" customHeight="1" thickBot="1" x14ac:dyDescent="0.35">
      <c r="A36" s="27"/>
      <c r="B36" s="14"/>
      <c r="C36" s="15"/>
      <c r="D36" s="16"/>
      <c r="E36" s="17"/>
      <c r="F36" s="17"/>
      <c r="G36" s="18"/>
      <c r="H36" s="11"/>
      <c r="I36" s="34"/>
      <c r="J36" s="11"/>
      <c r="K36" s="11"/>
      <c r="L36" s="9"/>
      <c r="M36" s="1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C287-FF3F-456D-A73E-4AC2407E9494}">
  <sheetPr>
    <tabColor rgb="FF92D050"/>
  </sheetPr>
  <dimension ref="A1:P64"/>
  <sheetViews>
    <sheetView zoomScale="110" zoomScaleNormal="110" zoomScalePageLayoutView="110" workbookViewId="0">
      <selection activeCell="Q14" sqref="Q14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4" width="5.5" customWidth="1"/>
  </cols>
  <sheetData>
    <row r="1" spans="1:16" ht="16.5" customHeight="1" thickBot="1" x14ac:dyDescent="0.35">
      <c r="A1" s="54" t="s">
        <v>242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6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6" s="2" customFormat="1" ht="14.1" customHeight="1" x14ac:dyDescent="0.3">
      <c r="A3" s="58">
        <v>1</v>
      </c>
      <c r="B3" s="20" t="s">
        <v>95</v>
      </c>
      <c r="C3" s="21"/>
      <c r="D3" s="22" t="s">
        <v>94</v>
      </c>
      <c r="E3" s="23"/>
      <c r="F3" s="23"/>
      <c r="G3" s="24"/>
      <c r="H3" s="60">
        <f>SUM(I3)-2.9</f>
        <v>61.1</v>
      </c>
      <c r="I3" s="59">
        <v>64</v>
      </c>
      <c r="J3" s="60">
        <f>SUM(I3)+2.9</f>
        <v>66.900000000000006</v>
      </c>
      <c r="K3" s="60"/>
      <c r="L3" s="62"/>
      <c r="M3" s="61"/>
    </row>
    <row r="4" spans="1:16" s="2" customFormat="1" ht="14.1" customHeight="1" x14ac:dyDescent="0.3">
      <c r="A4" s="68"/>
      <c r="B4" s="47" t="s">
        <v>60</v>
      </c>
      <c r="C4" s="47"/>
      <c r="D4" s="44" t="s">
        <v>93</v>
      </c>
      <c r="E4" s="41"/>
      <c r="F4" s="41"/>
      <c r="G4" s="41"/>
      <c r="H4" s="10"/>
      <c r="I4" s="33"/>
      <c r="J4" s="10"/>
      <c r="K4" s="10"/>
      <c r="L4" s="25"/>
      <c r="M4" s="19"/>
    </row>
    <row r="5" spans="1:16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8">
        <f>SUM(I5)-2.4</f>
        <v>47.4</v>
      </c>
      <c r="I5" s="35">
        <v>49.8</v>
      </c>
      <c r="J5" s="8">
        <f>SUM(I5)+2.4</f>
        <v>52.199999999999996</v>
      </c>
      <c r="K5" s="8"/>
      <c r="L5" s="10"/>
      <c r="M5" s="46"/>
    </row>
    <row r="6" spans="1:16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6" s="2" customFormat="1" ht="14.1" customHeight="1" x14ac:dyDescent="0.3">
      <c r="A7" s="26">
        <v>3</v>
      </c>
      <c r="B7" s="28" t="s">
        <v>20</v>
      </c>
      <c r="C7" s="29"/>
      <c r="D7" s="50" t="s">
        <v>11</v>
      </c>
      <c r="E7" s="51"/>
      <c r="F7" s="51"/>
      <c r="G7" s="52"/>
      <c r="H7" s="8">
        <f>SUM(I7)-2.5</f>
        <v>49.1</v>
      </c>
      <c r="I7" s="35">
        <v>51.6</v>
      </c>
      <c r="J7" s="8">
        <f>SUM(I7)+2.5</f>
        <v>54.1</v>
      </c>
      <c r="K7" s="8"/>
      <c r="L7" s="8"/>
      <c r="M7" s="12"/>
    </row>
    <row r="8" spans="1:16" s="2" customFormat="1" ht="14.1" customHeight="1" x14ac:dyDescent="0.3">
      <c r="A8" s="26"/>
      <c r="B8" s="38" t="s">
        <v>23</v>
      </c>
      <c r="C8" s="39"/>
      <c r="D8" s="44" t="s">
        <v>324</v>
      </c>
      <c r="E8" s="41"/>
      <c r="F8" s="41"/>
      <c r="G8" s="42"/>
      <c r="H8" s="36"/>
      <c r="I8" s="43"/>
      <c r="J8" s="36"/>
      <c r="K8" s="36"/>
      <c r="L8" s="36"/>
      <c r="M8" s="37"/>
    </row>
    <row r="9" spans="1:16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 t="shared" ref="H9" si="0">SUM(I9)-2.5</f>
        <v>49.1</v>
      </c>
      <c r="I9" s="35">
        <v>51.6</v>
      </c>
      <c r="J9" s="8">
        <f t="shared" ref="J9" si="1">SUM(I9)+2.5</f>
        <v>54.1</v>
      </c>
      <c r="K9" s="8"/>
      <c r="L9" s="10"/>
      <c r="M9" s="46"/>
      <c r="P9" s="2" t="s">
        <v>182</v>
      </c>
    </row>
    <row r="10" spans="1:16" s="2" customFormat="1" ht="14.1" customHeight="1" x14ac:dyDescent="0.3">
      <c r="A10" s="26"/>
      <c r="B10" s="47" t="s">
        <v>13</v>
      </c>
      <c r="C10" s="47"/>
      <c r="D10" s="44" t="s">
        <v>325</v>
      </c>
      <c r="E10" s="41"/>
      <c r="F10" s="41"/>
      <c r="G10" s="42"/>
      <c r="H10" s="36"/>
      <c r="I10" s="43"/>
      <c r="J10" s="36"/>
      <c r="K10" s="36"/>
      <c r="L10" s="10"/>
      <c r="M10" s="46"/>
    </row>
    <row r="11" spans="1:16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10">
        <f>SUM(I11)-1</f>
        <v>19.7</v>
      </c>
      <c r="I11" s="33">
        <v>20.7</v>
      </c>
      <c r="J11" s="10">
        <f>SUM(I11)+1</f>
        <v>21.7</v>
      </c>
      <c r="K11" s="10"/>
      <c r="L11" s="10"/>
      <c r="M11" s="46"/>
    </row>
    <row r="12" spans="1:16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10"/>
      <c r="I12" s="33"/>
      <c r="J12" s="10"/>
      <c r="K12" s="10"/>
      <c r="L12" s="10"/>
      <c r="M12" s="46"/>
    </row>
    <row r="13" spans="1:16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10">
        <f>SUM(I13)-0.6</f>
        <v>15.6</v>
      </c>
      <c r="I13" s="33">
        <v>16.2</v>
      </c>
      <c r="J13" s="10">
        <f>SUM(I13)+0.6</f>
        <v>16.8</v>
      </c>
      <c r="K13" s="10"/>
      <c r="L13" s="10"/>
      <c r="M13" s="46"/>
    </row>
    <row r="14" spans="1:16" s="2" customFormat="1" ht="14.1" customHeight="1" x14ac:dyDescent="0.3">
      <c r="A14" s="26"/>
      <c r="B14" s="47" t="s">
        <v>15</v>
      </c>
      <c r="C14" s="47"/>
      <c r="D14" s="44" t="s">
        <v>243</v>
      </c>
      <c r="E14" s="41"/>
      <c r="F14" s="41"/>
      <c r="G14" s="42"/>
      <c r="H14" s="10"/>
      <c r="I14" s="33"/>
      <c r="J14" s="10"/>
      <c r="K14" s="10"/>
      <c r="L14" s="10"/>
      <c r="M14" s="46"/>
    </row>
    <row r="15" spans="1:16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10">
        <f>SUM(I15)-0.3</f>
        <v>7.8999999999999995</v>
      </c>
      <c r="I15" s="33">
        <v>8.1999999999999993</v>
      </c>
      <c r="J15" s="10">
        <f>SUM(I15)+0.3</f>
        <v>8.5</v>
      </c>
      <c r="K15" s="10"/>
      <c r="L15" s="10"/>
      <c r="M15" s="46"/>
    </row>
    <row r="16" spans="1:16" s="2" customFormat="1" ht="14.1" customHeight="1" x14ac:dyDescent="0.3">
      <c r="A16" s="26"/>
      <c r="B16" s="47" t="s">
        <v>16</v>
      </c>
      <c r="C16" s="47"/>
      <c r="D16" s="44" t="s">
        <v>91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10">
        <f>SUM(I17)-1.6</f>
        <v>41.6</v>
      </c>
      <c r="I17" s="33">
        <v>43.2</v>
      </c>
      <c r="J17" s="10">
        <f>SUM(I17)+1.6</f>
        <v>44.800000000000004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138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28" t="s">
        <v>232</v>
      </c>
      <c r="C19" s="29"/>
      <c r="D19" s="23" t="s">
        <v>233</v>
      </c>
      <c r="E19" s="23"/>
      <c r="F19" s="23"/>
      <c r="G19" s="23"/>
      <c r="H19" s="8">
        <f>SUM(I19)-0.1</f>
        <v>2.1999999999999997</v>
      </c>
      <c r="I19" s="35">
        <v>2.2999999999999998</v>
      </c>
      <c r="J19" s="8">
        <f>SUM(I19)+0.1</f>
        <v>2.4</v>
      </c>
      <c r="K19" s="8"/>
      <c r="L19" s="80"/>
      <c r="M19" s="82"/>
    </row>
    <row r="20" spans="1:13" s="2" customFormat="1" ht="14.1" customHeight="1" x14ac:dyDescent="0.3">
      <c r="A20" s="26"/>
      <c r="B20" s="47" t="s">
        <v>234</v>
      </c>
      <c r="C20" s="47"/>
      <c r="D20" s="44" t="s">
        <v>235</v>
      </c>
      <c r="E20" s="41"/>
      <c r="F20" s="41"/>
      <c r="G20" s="42"/>
      <c r="H20" s="36"/>
      <c r="I20" s="43"/>
      <c r="J20" s="36"/>
      <c r="K20" s="36"/>
      <c r="L20" s="81"/>
      <c r="M20" s="83"/>
    </row>
    <row r="21" spans="1:13" s="2" customFormat="1" ht="14.1" customHeight="1" x14ac:dyDescent="0.3">
      <c r="A21" s="26">
        <v>10</v>
      </c>
      <c r="B21" s="84" t="s">
        <v>236</v>
      </c>
      <c r="C21" s="29"/>
      <c r="D21" s="50"/>
      <c r="E21" s="51"/>
      <c r="F21" s="51"/>
      <c r="G21" s="52"/>
      <c r="H21" s="8">
        <f>SUM(I21)-0.2</f>
        <v>4.2</v>
      </c>
      <c r="I21" s="35">
        <v>4.4000000000000004</v>
      </c>
      <c r="J21" s="8">
        <f>SUM(I21)+0.2</f>
        <v>4.6000000000000005</v>
      </c>
      <c r="K21" s="8"/>
      <c r="L21" s="80"/>
      <c r="M21" s="82"/>
    </row>
    <row r="22" spans="1:13" s="2" customFormat="1" ht="14.1" customHeight="1" x14ac:dyDescent="0.3">
      <c r="A22" s="26"/>
      <c r="B22" s="85" t="s">
        <v>237</v>
      </c>
      <c r="C22" s="39"/>
      <c r="D22" s="44" t="s">
        <v>238</v>
      </c>
      <c r="E22" s="41"/>
      <c r="F22" s="41"/>
      <c r="G22" s="42"/>
      <c r="H22" s="36"/>
      <c r="I22" s="43"/>
      <c r="J22" s="36"/>
      <c r="K22" s="36"/>
      <c r="L22" s="81"/>
      <c r="M22" s="83"/>
    </row>
    <row r="23" spans="1:13" s="2" customFormat="1" ht="14.1" customHeight="1" x14ac:dyDescent="0.3">
      <c r="A23" s="26">
        <v>11</v>
      </c>
      <c r="B23" s="28" t="s">
        <v>129</v>
      </c>
      <c r="C23" s="29"/>
      <c r="D23" s="50" t="s">
        <v>128</v>
      </c>
      <c r="E23" s="51"/>
      <c r="F23" s="51"/>
      <c r="G23" s="52"/>
      <c r="H23" s="45">
        <f>SUM(I23)-0.2</f>
        <v>6.3</v>
      </c>
      <c r="I23" s="33">
        <v>6.5</v>
      </c>
      <c r="J23" s="45">
        <f>SUM(I23)+0.2</f>
        <v>6.7</v>
      </c>
      <c r="K23" s="45"/>
      <c r="L23" s="10"/>
      <c r="M23" s="46"/>
    </row>
    <row r="24" spans="1:13" s="2" customFormat="1" ht="14.1" customHeight="1" x14ac:dyDescent="0.3">
      <c r="A24" s="26"/>
      <c r="B24" s="38" t="s">
        <v>127</v>
      </c>
      <c r="C24" s="39"/>
      <c r="D24" s="44" t="s">
        <v>126</v>
      </c>
      <c r="E24" s="41"/>
      <c r="F24" s="41"/>
      <c r="G24" s="42"/>
      <c r="H24" s="45"/>
      <c r="I24" s="33"/>
      <c r="J24" s="45"/>
      <c r="K24" s="45"/>
      <c r="L24" s="10"/>
      <c r="M24" s="46"/>
    </row>
    <row r="25" spans="1:13" s="2" customFormat="1" ht="14.1" customHeight="1" x14ac:dyDescent="0.3">
      <c r="A25" s="26">
        <v>12</v>
      </c>
      <c r="B25" s="48" t="s">
        <v>5</v>
      </c>
      <c r="C25" s="48"/>
      <c r="D25" s="49" t="s">
        <v>6</v>
      </c>
      <c r="E25" s="49"/>
      <c r="F25" s="49"/>
      <c r="G25" s="49"/>
      <c r="H25" s="10">
        <f>SUM(I25)-2.8</f>
        <v>44.800000000000004</v>
      </c>
      <c r="I25" s="33">
        <v>47.6</v>
      </c>
      <c r="J25" s="10">
        <f>SUM(I25)+2.8</f>
        <v>50.4</v>
      </c>
      <c r="K25" s="10"/>
      <c r="L25" s="10"/>
      <c r="M25" s="46"/>
    </row>
    <row r="26" spans="1:13" s="2" customFormat="1" ht="14.1" customHeight="1" x14ac:dyDescent="0.3">
      <c r="A26" s="26"/>
      <c r="B26" s="47" t="s">
        <v>17</v>
      </c>
      <c r="C26" s="47"/>
      <c r="D26" s="44" t="s">
        <v>29</v>
      </c>
      <c r="E26" s="41"/>
      <c r="F26" s="41"/>
      <c r="G26" s="42"/>
      <c r="H26" s="10"/>
      <c r="I26" s="33"/>
      <c r="J26" s="10"/>
      <c r="K26" s="10"/>
      <c r="L26" s="10"/>
      <c r="M26" s="46"/>
    </row>
    <row r="27" spans="1:13" s="2" customFormat="1" ht="14.1" customHeight="1" x14ac:dyDescent="0.3">
      <c r="A27" s="26">
        <v>13</v>
      </c>
      <c r="B27" s="48" t="s">
        <v>7</v>
      </c>
      <c r="C27" s="48"/>
      <c r="D27" s="50" t="s">
        <v>8</v>
      </c>
      <c r="E27" s="51"/>
      <c r="F27" s="51"/>
      <c r="G27" s="52"/>
      <c r="H27" s="10">
        <f>SUM(I27)-2</f>
        <v>38.799999999999997</v>
      </c>
      <c r="I27" s="33">
        <v>40.799999999999997</v>
      </c>
      <c r="J27" s="10">
        <f>SUM(I27)+2</f>
        <v>42.8</v>
      </c>
      <c r="K27" s="10"/>
      <c r="L27" s="10"/>
      <c r="M27" s="46"/>
    </row>
    <row r="28" spans="1:13" s="2" customFormat="1" ht="14.1" customHeight="1" x14ac:dyDescent="0.3">
      <c r="A28" s="26"/>
      <c r="B28" s="47" t="s">
        <v>18</v>
      </c>
      <c r="C28" s="47"/>
      <c r="D28" s="44" t="s">
        <v>36</v>
      </c>
      <c r="E28" s="41"/>
      <c r="F28" s="41"/>
      <c r="G28" s="42"/>
      <c r="H28" s="10"/>
      <c r="I28" s="33"/>
      <c r="J28" s="10"/>
      <c r="K28" s="10"/>
      <c r="L28" s="10"/>
      <c r="M28" s="46"/>
    </row>
    <row r="29" spans="1:13" s="2" customFormat="1" ht="14.1" customHeight="1" x14ac:dyDescent="0.3">
      <c r="A29" s="26">
        <v>14</v>
      </c>
      <c r="B29" s="28" t="s">
        <v>239</v>
      </c>
      <c r="C29" s="29"/>
      <c r="D29" s="49" t="s">
        <v>37</v>
      </c>
      <c r="E29" s="49"/>
      <c r="F29" s="49"/>
      <c r="G29" s="49"/>
      <c r="H29" s="10">
        <f>SUM(I29)-1</f>
        <v>23.6</v>
      </c>
      <c r="I29" s="33">
        <v>24.6</v>
      </c>
      <c r="J29" s="10">
        <f>SUM(I29)+1</f>
        <v>25.6</v>
      </c>
      <c r="K29" s="10"/>
      <c r="L29" s="10"/>
      <c r="M29" s="46"/>
    </row>
    <row r="30" spans="1:13" s="2" customFormat="1" ht="14.1" customHeight="1" x14ac:dyDescent="0.3">
      <c r="A30" s="26"/>
      <c r="B30" s="47" t="s">
        <v>240</v>
      </c>
      <c r="C30" s="47"/>
      <c r="D30" s="44" t="s">
        <v>38</v>
      </c>
      <c r="E30" s="41"/>
      <c r="F30" s="41"/>
      <c r="G30" s="42"/>
      <c r="H30" s="10"/>
      <c r="I30" s="33"/>
      <c r="J30" s="10"/>
      <c r="K30" s="10"/>
      <c r="L30" s="10"/>
      <c r="M30" s="46"/>
    </row>
    <row r="31" spans="1:13" ht="14.1" customHeight="1" x14ac:dyDescent="0.3">
      <c r="A31" s="26">
        <v>15</v>
      </c>
      <c r="B31" s="20" t="s">
        <v>142</v>
      </c>
      <c r="C31" s="21"/>
      <c r="D31" s="30"/>
      <c r="E31" s="31"/>
      <c r="F31" s="31"/>
      <c r="G31" s="32"/>
      <c r="H31" s="10">
        <f>SUM(I31)-0.5</f>
        <v>11.5</v>
      </c>
      <c r="I31" s="33">
        <v>12</v>
      </c>
      <c r="J31" s="10">
        <f>SUM(I31)+0.5</f>
        <v>12.5</v>
      </c>
      <c r="K31" s="10"/>
      <c r="L31" s="8"/>
      <c r="M31" s="12"/>
    </row>
    <row r="32" spans="1:13" ht="14.1" customHeight="1" x14ac:dyDescent="0.3">
      <c r="A32" s="26"/>
      <c r="B32" s="38" t="s">
        <v>141</v>
      </c>
      <c r="C32" s="39"/>
      <c r="D32" s="44"/>
      <c r="E32" s="41"/>
      <c r="F32" s="41"/>
      <c r="G32" s="42"/>
      <c r="H32" s="10"/>
      <c r="I32" s="33"/>
      <c r="J32" s="10"/>
      <c r="K32" s="10"/>
      <c r="L32" s="36"/>
      <c r="M32" s="37"/>
    </row>
    <row r="33" spans="1:13" ht="14.1" customHeight="1" x14ac:dyDescent="0.3">
      <c r="A33" s="26">
        <v>16</v>
      </c>
      <c r="B33" s="28" t="s">
        <v>140</v>
      </c>
      <c r="C33" s="29"/>
      <c r="D33" s="30"/>
      <c r="E33" s="31"/>
      <c r="F33" s="31"/>
      <c r="G33" s="32"/>
      <c r="H33" s="10">
        <f>SUM(I33)-0.5</f>
        <v>12.5</v>
      </c>
      <c r="I33" s="33">
        <v>13</v>
      </c>
      <c r="J33" s="10">
        <f>SUM(I33)+0.5</f>
        <v>13.5</v>
      </c>
      <c r="K33" s="10"/>
      <c r="L33" s="8"/>
      <c r="M33" s="12"/>
    </row>
    <row r="34" spans="1:13" ht="14.1" customHeight="1" x14ac:dyDescent="0.3">
      <c r="A34" s="26"/>
      <c r="B34" s="47" t="s">
        <v>139</v>
      </c>
      <c r="C34" s="47"/>
      <c r="D34" s="44"/>
      <c r="E34" s="41"/>
      <c r="F34" s="41"/>
      <c r="G34" s="42"/>
      <c r="H34" s="10"/>
      <c r="I34" s="33"/>
      <c r="J34" s="10"/>
      <c r="K34" s="10"/>
      <c r="L34" s="36"/>
      <c r="M34" s="37"/>
    </row>
    <row r="35" spans="1:13" s="2" customFormat="1" ht="14.1" customHeight="1" x14ac:dyDescent="0.3">
      <c r="A35" s="26">
        <v>17</v>
      </c>
      <c r="B35" s="20" t="s">
        <v>136</v>
      </c>
      <c r="C35" s="21"/>
      <c r="D35" s="77"/>
      <c r="E35" s="78"/>
      <c r="F35" s="78"/>
      <c r="G35" s="79"/>
      <c r="H35" s="36">
        <f>SUM(I35)</f>
        <v>1</v>
      </c>
      <c r="I35" s="43">
        <v>1</v>
      </c>
      <c r="J35" s="36">
        <f>SUM(I35)</f>
        <v>1</v>
      </c>
      <c r="K35" s="36"/>
      <c r="L35" s="36"/>
      <c r="M35" s="37"/>
    </row>
    <row r="36" spans="1:13" s="2" customFormat="1" ht="14.1" customHeight="1" x14ac:dyDescent="0.3">
      <c r="A36" s="26"/>
      <c r="B36" s="38" t="s">
        <v>135</v>
      </c>
      <c r="C36" s="39"/>
      <c r="D36" s="44" t="s">
        <v>241</v>
      </c>
      <c r="E36" s="41"/>
      <c r="F36" s="41"/>
      <c r="G36" s="42"/>
      <c r="H36" s="10"/>
      <c r="I36" s="33"/>
      <c r="J36" s="10"/>
      <c r="K36" s="10"/>
      <c r="L36" s="10"/>
      <c r="M36" s="46"/>
    </row>
    <row r="37" spans="1:13" s="2" customFormat="1" ht="14.1" customHeight="1" x14ac:dyDescent="0.3">
      <c r="A37" s="26">
        <v>18</v>
      </c>
      <c r="B37" s="20" t="s">
        <v>166</v>
      </c>
      <c r="C37" s="21"/>
      <c r="D37" s="22"/>
      <c r="E37" s="23"/>
      <c r="F37" s="23"/>
      <c r="G37" s="24"/>
      <c r="H37" s="36">
        <f>SUM(I37)</f>
        <v>1.5</v>
      </c>
      <c r="I37" s="43">
        <v>1.5</v>
      </c>
      <c r="J37" s="36">
        <f>SUM(I37)</f>
        <v>1.5</v>
      </c>
      <c r="K37" s="36"/>
      <c r="L37" s="25"/>
      <c r="M37" s="19"/>
    </row>
    <row r="38" spans="1:13" s="2" customFormat="1" ht="14.1" customHeight="1" thickBot="1" x14ac:dyDescent="0.35">
      <c r="A38" s="27"/>
      <c r="B38" s="14" t="s">
        <v>167</v>
      </c>
      <c r="C38" s="15"/>
      <c r="D38" s="16" t="s">
        <v>223</v>
      </c>
      <c r="E38" s="17"/>
      <c r="F38" s="17"/>
      <c r="G38" s="18"/>
      <c r="H38" s="11"/>
      <c r="I38" s="34"/>
      <c r="J38" s="11"/>
      <c r="K38" s="11"/>
      <c r="L38" s="9"/>
      <c r="M38" s="13"/>
    </row>
    <row r="39" spans="1:13" s="2" customFormat="1" ht="14.1" customHeight="1" x14ac:dyDescent="0.3"/>
    <row r="40" spans="1:13" s="2" customFormat="1" ht="14.1" customHeight="1" x14ac:dyDescent="0.3"/>
    <row r="41" spans="1:13" s="2" customFormat="1" ht="14.1" customHeight="1" x14ac:dyDescent="0.3"/>
    <row r="42" spans="1:13" s="2" customFormat="1" ht="14.1" customHeight="1" x14ac:dyDescent="0.3"/>
    <row r="43" spans="1:13" s="2" customFormat="1" ht="14.1" customHeight="1" x14ac:dyDescent="0.3"/>
    <row r="44" spans="1:13" s="2" customFormat="1" ht="14.1" customHeight="1" x14ac:dyDescent="0.3"/>
    <row r="45" spans="1:13" s="2" customFormat="1" ht="14.1" customHeight="1" x14ac:dyDescent="0.3"/>
    <row r="46" spans="1:13" s="2" customFormat="1" ht="14.1" customHeight="1" x14ac:dyDescent="0.3"/>
    <row r="47" spans="1:13" s="2" customFormat="1" ht="14.1" customHeight="1" x14ac:dyDescent="0.3"/>
    <row r="48" spans="1:13" s="2" customFormat="1" ht="14.1" customHeight="1" x14ac:dyDescent="0.3"/>
    <row r="49" spans="1:13" ht="14.1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4.1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4.1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4.1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4.1" customHeight="1" x14ac:dyDescent="0.3"/>
    <row r="54" spans="1:13" ht="14.1" customHeight="1" x14ac:dyDescent="0.3"/>
    <row r="55" spans="1:13" ht="14.1" customHeight="1" x14ac:dyDescent="0.3"/>
    <row r="56" spans="1:13" ht="14.1" customHeight="1" x14ac:dyDescent="0.3"/>
    <row r="57" spans="1:13" ht="14.1" customHeight="1" x14ac:dyDescent="0.3"/>
    <row r="58" spans="1:13" ht="14.1" customHeight="1" x14ac:dyDescent="0.3"/>
    <row r="59" spans="1:13" ht="14.1" customHeight="1" x14ac:dyDescent="0.3"/>
    <row r="61" spans="1:13" x14ac:dyDescent="0.3">
      <c r="B61" s="1"/>
      <c r="C61" s="1"/>
      <c r="D61" s="1"/>
      <c r="E61" s="1"/>
      <c r="F61" s="1"/>
      <c r="G61" s="1"/>
    </row>
    <row r="62" spans="1:13" x14ac:dyDescent="0.3">
      <c r="B62" s="1"/>
      <c r="C62" s="1"/>
      <c r="D62" s="1"/>
      <c r="E62" s="1"/>
      <c r="F62" s="1"/>
      <c r="G62" s="1"/>
    </row>
    <row r="63" spans="1:13" x14ac:dyDescent="0.3">
      <c r="B63" s="1"/>
      <c r="C63" s="1"/>
      <c r="D63" s="1"/>
      <c r="E63" s="1"/>
      <c r="F63" s="1"/>
      <c r="G63" s="1"/>
    </row>
    <row r="64" spans="1:13" x14ac:dyDescent="0.3">
      <c r="B64" s="1"/>
      <c r="C64" s="1"/>
      <c r="D64" s="1"/>
      <c r="E64" s="1"/>
      <c r="F64" s="1"/>
      <c r="G64" s="1"/>
    </row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7" type="noConversion"/>
  <pageMargins left="0.46875" right="0.46875" top="0.75" bottom="0.75" header="0.3" footer="0.3"/>
  <pageSetup paperSize="9" scale="9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2060-9D01-407F-B4AF-D54D92ECBE37}">
  <sheetPr>
    <tabColor rgb="FF92D050"/>
  </sheetPr>
  <dimension ref="A1:P48"/>
  <sheetViews>
    <sheetView zoomScale="110" zoomScaleNormal="110" zoomScalePageLayoutView="110" workbookViewId="0">
      <selection activeCell="P11" sqref="P1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228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76">
        <f>SUM(I3-3)</f>
        <v>50.3</v>
      </c>
      <c r="I3" s="59">
        <v>53.3</v>
      </c>
      <c r="J3" s="60">
        <f>SUM(I3)+3</f>
        <v>56.3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231</v>
      </c>
      <c r="E4" s="41"/>
      <c r="F4" s="41"/>
      <c r="G4" s="41"/>
      <c r="H4" s="45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63">
        <f>SUM(I5-1.6)</f>
        <v>29.5</v>
      </c>
      <c r="I5" s="35">
        <v>31.1</v>
      </c>
      <c r="J5" s="8">
        <f>SUM(I5)+1.6</f>
        <v>32.700000000000003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64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63">
        <f>SUM(I7-2)</f>
        <v>36</v>
      </c>
      <c r="I7" s="35">
        <v>38</v>
      </c>
      <c r="J7" s="8">
        <f>SUM(I7)+2</f>
        <v>40</v>
      </c>
      <c r="K7" s="8"/>
      <c r="L7" s="10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64"/>
      <c r="I8" s="43"/>
      <c r="J8" s="36"/>
      <c r="K8" s="36"/>
      <c r="L8" s="10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63"/>
      <c r="I9" s="35"/>
      <c r="J9" s="8"/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64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45">
        <f>SUM(I11-1)</f>
        <v>16.399999999999999</v>
      </c>
      <c r="I11" s="33">
        <v>17.399999999999999</v>
      </c>
      <c r="J11" s="10">
        <f>SUM(I11)+1</f>
        <v>18.399999999999999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45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45">
        <f>SUM(I13-0.6)</f>
        <v>16.899999999999999</v>
      </c>
      <c r="I13" s="33">
        <v>17.5</v>
      </c>
      <c r="J13" s="10">
        <f>SUM(I13)+0.6</f>
        <v>18.100000000000001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45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45">
        <f>SUM(I15-0.3)</f>
        <v>8.3999999999999986</v>
      </c>
      <c r="I15" s="33">
        <v>8.6999999999999993</v>
      </c>
      <c r="J15" s="10">
        <f>SUM(I15)+0.3</f>
        <v>9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45"/>
      <c r="I16" s="33"/>
      <c r="J16" s="10"/>
      <c r="K16" s="10"/>
      <c r="L16" s="10"/>
      <c r="M16" s="46"/>
    </row>
    <row r="17" spans="1:16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45">
        <f>SUM(I17-1.6)</f>
        <v>44.4</v>
      </c>
      <c r="I17" s="33">
        <v>46</v>
      </c>
      <c r="J17" s="10">
        <f>SUM(I17)+1.6</f>
        <v>47.6</v>
      </c>
      <c r="K17" s="10"/>
      <c r="L17" s="10"/>
      <c r="M17" s="46"/>
    </row>
    <row r="18" spans="1:16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45"/>
      <c r="I18" s="33"/>
      <c r="J18" s="10"/>
      <c r="K18" s="10"/>
      <c r="L18" s="10"/>
      <c r="M18" s="46"/>
    </row>
    <row r="19" spans="1:16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45">
        <f>SUM(I19-3.2)</f>
        <v>51</v>
      </c>
      <c r="I19" s="33">
        <v>54.2</v>
      </c>
      <c r="J19" s="10">
        <f>SUM(I19)+3.2</f>
        <v>57.400000000000006</v>
      </c>
      <c r="K19" s="10"/>
      <c r="L19" s="10"/>
      <c r="M19" s="46"/>
    </row>
    <row r="20" spans="1:16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45"/>
      <c r="I20" s="33"/>
      <c r="J20" s="10"/>
      <c r="K20" s="10"/>
      <c r="L20" s="10"/>
      <c r="M20" s="46"/>
    </row>
    <row r="21" spans="1:16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45">
        <f>SUM(I21-1.6)</f>
        <v>26.4</v>
      </c>
      <c r="I21" s="33">
        <v>28</v>
      </c>
      <c r="J21" s="10">
        <f>SUM(I21)+1.6</f>
        <v>29.6</v>
      </c>
      <c r="K21" s="10"/>
      <c r="L21" s="10"/>
      <c r="M21" s="46"/>
    </row>
    <row r="22" spans="1:16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45"/>
      <c r="I22" s="33"/>
      <c r="J22" s="10"/>
      <c r="K22" s="10"/>
      <c r="L22" s="10"/>
      <c r="M22" s="46"/>
    </row>
    <row r="23" spans="1:16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45">
        <f>SUM(I23-1)</f>
        <v>17</v>
      </c>
      <c r="I23" s="33">
        <v>18</v>
      </c>
      <c r="J23" s="10">
        <f>SUM(I23)+1</f>
        <v>19</v>
      </c>
      <c r="K23" s="10"/>
      <c r="L23" s="10"/>
      <c r="M23" s="46"/>
    </row>
    <row r="24" spans="1:16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45"/>
      <c r="I24" s="33"/>
      <c r="J24" s="10"/>
      <c r="K24" s="10"/>
      <c r="L24" s="10"/>
      <c r="M24" s="46"/>
    </row>
    <row r="25" spans="1:16" s="2" customFormat="1" ht="14.1" customHeight="1" x14ac:dyDescent="0.3">
      <c r="A25" s="26">
        <v>12</v>
      </c>
      <c r="B25" s="28" t="s">
        <v>136</v>
      </c>
      <c r="C25" s="29"/>
      <c r="D25" s="30"/>
      <c r="E25" s="31"/>
      <c r="F25" s="31"/>
      <c r="G25" s="32"/>
      <c r="H25" s="45">
        <f>SUM(I25-0.7)</f>
        <v>13.3</v>
      </c>
      <c r="I25" s="33">
        <v>14</v>
      </c>
      <c r="J25" s="10">
        <f>SUM(I25)+0.7</f>
        <v>14.7</v>
      </c>
      <c r="K25" s="10"/>
      <c r="L25" s="8"/>
      <c r="M25" s="12"/>
    </row>
    <row r="26" spans="1:16" s="2" customFormat="1" ht="14.1" customHeight="1" x14ac:dyDescent="0.3">
      <c r="A26" s="68"/>
      <c r="B26" s="20" t="s">
        <v>135</v>
      </c>
      <c r="C26" s="21"/>
      <c r="D26" s="22" t="s">
        <v>184</v>
      </c>
      <c r="E26" s="23"/>
      <c r="F26" s="23"/>
      <c r="G26" s="24"/>
      <c r="H26" s="63"/>
      <c r="I26" s="35"/>
      <c r="J26" s="8"/>
      <c r="K26" s="8"/>
      <c r="L26" s="25"/>
      <c r="M26" s="19"/>
    </row>
    <row r="27" spans="1:16" s="2" customFormat="1" ht="14.1" customHeight="1" x14ac:dyDescent="0.3">
      <c r="A27" s="26">
        <v>13</v>
      </c>
      <c r="B27" s="28" t="s">
        <v>166</v>
      </c>
      <c r="C27" s="29"/>
      <c r="D27" s="30"/>
      <c r="E27" s="31"/>
      <c r="F27" s="31"/>
      <c r="G27" s="32"/>
      <c r="H27" s="45">
        <f>SUM(I27-0.4)</f>
        <v>4.5999999999999996</v>
      </c>
      <c r="I27" s="33">
        <v>5</v>
      </c>
      <c r="J27" s="10">
        <f>SUM(I27)+0.4</f>
        <v>5.4</v>
      </c>
      <c r="K27" s="10"/>
      <c r="L27" s="8"/>
      <c r="M27" s="12"/>
      <c r="P27" s="2" t="s">
        <v>322</v>
      </c>
    </row>
    <row r="28" spans="1:16" s="2" customFormat="1" ht="14.1" customHeight="1" x14ac:dyDescent="0.3">
      <c r="A28" s="68"/>
      <c r="B28" s="20" t="s">
        <v>167</v>
      </c>
      <c r="C28" s="21"/>
      <c r="D28" s="22" t="s">
        <v>185</v>
      </c>
      <c r="E28" s="23"/>
      <c r="F28" s="23"/>
      <c r="G28" s="24"/>
      <c r="H28" s="63"/>
      <c r="I28" s="35"/>
      <c r="J28" s="8"/>
      <c r="K28" s="8"/>
      <c r="L28" s="25"/>
      <c r="M28" s="19"/>
      <c r="P28" s="2">
        <f>SUM((H29+I29+J29)*2)</f>
        <v>36</v>
      </c>
    </row>
    <row r="29" spans="1:16" s="2" customFormat="1" ht="14.1" customHeight="1" x14ac:dyDescent="0.3">
      <c r="A29" s="26">
        <v>14</v>
      </c>
      <c r="B29" s="28" t="s">
        <v>229</v>
      </c>
      <c r="C29" s="29"/>
      <c r="D29" s="30"/>
      <c r="E29" s="31"/>
      <c r="F29" s="31"/>
      <c r="G29" s="32"/>
      <c r="H29" s="45">
        <f>SUM(I29-0.4)</f>
        <v>5.6</v>
      </c>
      <c r="I29" s="33">
        <v>6</v>
      </c>
      <c r="J29" s="10">
        <f>SUM(I29)+0.4</f>
        <v>6.4</v>
      </c>
      <c r="K29" s="10"/>
      <c r="L29" s="8"/>
      <c r="M29" s="12"/>
      <c r="P29" s="2">
        <f>SUM(P28/91.44/3*1.08)</f>
        <v>0.14173228346456693</v>
      </c>
    </row>
    <row r="30" spans="1:16" s="2" customFormat="1" ht="14.1" customHeight="1" x14ac:dyDescent="0.3">
      <c r="A30" s="68"/>
      <c r="B30" s="38" t="s">
        <v>230</v>
      </c>
      <c r="C30" s="39"/>
      <c r="D30" s="44"/>
      <c r="E30" s="41"/>
      <c r="F30" s="41"/>
      <c r="G30" s="42"/>
      <c r="H30" s="45"/>
      <c r="I30" s="33"/>
      <c r="J30" s="8"/>
      <c r="K30" s="8"/>
      <c r="L30" s="36"/>
      <c r="M30" s="37"/>
    </row>
    <row r="31" spans="1:16" s="2" customFormat="1" ht="14.1" customHeight="1" x14ac:dyDescent="0.3">
      <c r="A31" s="26">
        <v>15</v>
      </c>
      <c r="B31" s="28"/>
      <c r="C31" s="29"/>
      <c r="D31" s="50"/>
      <c r="E31" s="51"/>
      <c r="F31" s="51"/>
      <c r="G31" s="52"/>
      <c r="H31" s="45"/>
      <c r="I31" s="33"/>
      <c r="J31" s="10"/>
      <c r="K31" s="10"/>
      <c r="L31" s="8"/>
      <c r="M31" s="12"/>
    </row>
    <row r="32" spans="1:16" s="2" customFormat="1" ht="14.1" customHeight="1" x14ac:dyDescent="0.3">
      <c r="A32" s="68"/>
      <c r="B32" s="20"/>
      <c r="C32" s="21"/>
      <c r="D32" s="44"/>
      <c r="E32" s="41"/>
      <c r="F32" s="41"/>
      <c r="G32" s="42"/>
      <c r="H32" s="45"/>
      <c r="I32" s="33"/>
      <c r="J32" s="10"/>
      <c r="K32" s="10"/>
      <c r="L32" s="36"/>
      <c r="M32" s="37"/>
    </row>
    <row r="33" spans="1:13" s="2" customFormat="1" ht="14.1" customHeight="1" x14ac:dyDescent="0.3">
      <c r="A33" s="26">
        <v>16</v>
      </c>
      <c r="B33" s="28"/>
      <c r="C33" s="29"/>
      <c r="D33" s="50"/>
      <c r="E33" s="51"/>
      <c r="F33" s="51"/>
      <c r="G33" s="52"/>
      <c r="H33" s="64"/>
      <c r="I33" s="43"/>
      <c r="J33" s="10"/>
      <c r="K33" s="10"/>
      <c r="L33" s="25"/>
      <c r="M33" s="19"/>
    </row>
    <row r="34" spans="1:13" s="2" customFormat="1" ht="14.1" customHeight="1" x14ac:dyDescent="0.3">
      <c r="A34" s="68"/>
      <c r="B34" s="20"/>
      <c r="C34" s="21"/>
      <c r="D34" s="22"/>
      <c r="E34" s="23"/>
      <c r="F34" s="23"/>
      <c r="G34" s="24"/>
      <c r="H34" s="63"/>
      <c r="I34" s="35"/>
      <c r="J34" s="10"/>
      <c r="K34" s="10"/>
      <c r="L34" s="25"/>
      <c r="M34" s="19"/>
    </row>
    <row r="35" spans="1:13" s="2" customFormat="1" ht="14.1" customHeight="1" x14ac:dyDescent="0.3">
      <c r="A35" s="26">
        <v>17</v>
      </c>
      <c r="B35" s="28"/>
      <c r="C35" s="29"/>
      <c r="D35" s="50"/>
      <c r="E35" s="51"/>
      <c r="F35" s="51"/>
      <c r="G35" s="52"/>
      <c r="H35" s="45"/>
      <c r="I35" s="33"/>
      <c r="J35" s="36"/>
      <c r="K35" s="36"/>
      <c r="L35" s="8"/>
      <c r="M35" s="12"/>
    </row>
    <row r="36" spans="1:13" s="2" customFormat="1" ht="14.1" customHeight="1" thickBot="1" x14ac:dyDescent="0.35">
      <c r="A36" s="27"/>
      <c r="B36" s="14"/>
      <c r="C36" s="15"/>
      <c r="D36" s="16"/>
      <c r="E36" s="17"/>
      <c r="F36" s="17"/>
      <c r="G36" s="18"/>
      <c r="H36" s="72"/>
      <c r="I36" s="34"/>
      <c r="J36" s="11"/>
      <c r="K36" s="11"/>
      <c r="L36" s="9"/>
      <c r="M36" s="1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3DA0-EC59-4650-A723-2DCDEDC9825B}">
  <sheetPr>
    <tabColor rgb="FF92D050"/>
  </sheetPr>
  <dimension ref="A1:M48"/>
  <sheetViews>
    <sheetView zoomScale="110" zoomScaleNormal="110" zoomScalePageLayoutView="110" workbookViewId="0">
      <selection activeCell="Q21" sqref="Q2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291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76">
        <f>SUM(I3-3)</f>
        <v>46.2</v>
      </c>
      <c r="I3" s="59">
        <v>49.2</v>
      </c>
      <c r="J3" s="60">
        <f>SUM(I3)+3</f>
        <v>52.2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45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63">
        <f>SUM(I5-1.6)</f>
        <v>31.199999999999996</v>
      </c>
      <c r="I5" s="35">
        <v>32.799999999999997</v>
      </c>
      <c r="J5" s="8">
        <f>SUM(I5)+1.6</f>
        <v>34.4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64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63">
        <f>SUM(I7-2)</f>
        <v>38</v>
      </c>
      <c r="I7" s="35">
        <v>40</v>
      </c>
      <c r="J7" s="8">
        <f>SUM(I7)+2</f>
        <v>42</v>
      </c>
      <c r="K7" s="8"/>
      <c r="L7" s="10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64"/>
      <c r="I8" s="43"/>
      <c r="J8" s="36"/>
      <c r="K8" s="36"/>
      <c r="L8" s="10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63">
        <f>SUM(I9-2)</f>
        <v>38</v>
      </c>
      <c r="I9" s="35">
        <v>40</v>
      </c>
      <c r="J9" s="8">
        <f>SUM(I9)+2</f>
        <v>42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64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45">
        <f>SUM(I11-1)</f>
        <v>17.399999999999999</v>
      </c>
      <c r="I11" s="33">
        <v>18.399999999999999</v>
      </c>
      <c r="J11" s="10">
        <f>SUM(I11)+1</f>
        <v>19.399999999999999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45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45">
        <f>SUM(I13-0.6)</f>
        <v>18.399999999999999</v>
      </c>
      <c r="I13" s="33">
        <v>19</v>
      </c>
      <c r="J13" s="10">
        <f>SUM(I13)+0.6</f>
        <v>19.600000000000001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45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45">
        <f>SUM(I15-0.3)</f>
        <v>6.9</v>
      </c>
      <c r="I15" s="33">
        <v>7.2</v>
      </c>
      <c r="J15" s="10">
        <f>SUM(I15)+0.3</f>
        <v>7.5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45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45">
        <f>SUM(I17-1.6)</f>
        <v>46.4</v>
      </c>
      <c r="I17" s="33">
        <v>48</v>
      </c>
      <c r="J17" s="10">
        <f>SUM(I17)+1.6</f>
        <v>49.6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45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45">
        <f>SUM(I19-3.2)</f>
        <v>51.3</v>
      </c>
      <c r="I19" s="33">
        <v>54.5</v>
      </c>
      <c r="J19" s="10">
        <f>SUM(I19)+3.2</f>
        <v>57.7</v>
      </c>
      <c r="K19" s="10"/>
      <c r="L19" s="10"/>
      <c r="M19" s="46"/>
    </row>
    <row r="20" spans="1:13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45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45">
        <f>SUM(I21-1.5)</f>
        <v>25.3</v>
      </c>
      <c r="I21" s="33">
        <v>26.8</v>
      </c>
      <c r="J21" s="10">
        <f>SUM(I21)+1.5</f>
        <v>28.3</v>
      </c>
      <c r="K21" s="10"/>
      <c r="L21" s="10"/>
      <c r="M21" s="46"/>
    </row>
    <row r="22" spans="1:13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45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45">
        <f>SUM(I23-0.8)</f>
        <v>19.2</v>
      </c>
      <c r="I23" s="33">
        <v>20</v>
      </c>
      <c r="J23" s="10">
        <f>SUM(I23)+0.8</f>
        <v>20.8</v>
      </c>
      <c r="K23" s="10"/>
      <c r="L23" s="10"/>
      <c r="M23" s="46"/>
    </row>
    <row r="24" spans="1:13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45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/>
      <c r="C25" s="29"/>
      <c r="D25" s="30"/>
      <c r="E25" s="31"/>
      <c r="F25" s="31"/>
      <c r="G25" s="32"/>
      <c r="H25" s="45"/>
      <c r="I25" s="33"/>
      <c r="J25" s="10"/>
      <c r="K25" s="10"/>
      <c r="L25" s="8"/>
      <c r="M25" s="12"/>
    </row>
    <row r="26" spans="1:13" s="2" customFormat="1" ht="14.1" customHeight="1" thickBot="1" x14ac:dyDescent="0.35">
      <c r="A26" s="68"/>
      <c r="B26" s="20"/>
      <c r="C26" s="21"/>
      <c r="D26" s="22"/>
      <c r="E26" s="23"/>
      <c r="F26" s="23"/>
      <c r="G26" s="24"/>
      <c r="H26" s="63"/>
      <c r="I26" s="35"/>
      <c r="J26" s="8"/>
      <c r="K26" s="8"/>
      <c r="L26" s="25"/>
      <c r="M26" s="19"/>
    </row>
    <row r="27" spans="1:13" s="2" customFormat="1" ht="14.1" customHeight="1" thickTop="1" x14ac:dyDescent="0.3">
      <c r="A27" s="90">
        <v>13</v>
      </c>
      <c r="B27" s="91" t="s">
        <v>176</v>
      </c>
      <c r="C27" s="92"/>
      <c r="D27" s="93"/>
      <c r="E27" s="94"/>
      <c r="F27" s="94"/>
      <c r="G27" s="95"/>
      <c r="H27" s="89">
        <f>SUM(I27-1.8)</f>
        <v>24</v>
      </c>
      <c r="I27" s="96">
        <v>25.8</v>
      </c>
      <c r="J27" s="86">
        <f>SUM(I27)+1.8</f>
        <v>27.6</v>
      </c>
      <c r="K27" s="86"/>
      <c r="L27" s="87"/>
      <c r="M27" s="88"/>
    </row>
    <row r="28" spans="1:13" s="2" customFormat="1" ht="14.1" customHeight="1" x14ac:dyDescent="0.3">
      <c r="A28" s="68"/>
      <c r="B28" s="20" t="s">
        <v>173</v>
      </c>
      <c r="C28" s="21"/>
      <c r="D28" s="22" t="s">
        <v>169</v>
      </c>
      <c r="E28" s="23"/>
      <c r="F28" s="23"/>
      <c r="G28" s="24"/>
      <c r="H28" s="63"/>
      <c r="I28" s="35"/>
      <c r="J28" s="8"/>
      <c r="K28" s="8"/>
      <c r="L28" s="25"/>
      <c r="M28" s="19"/>
    </row>
    <row r="29" spans="1:13" s="2" customFormat="1" ht="14.1" customHeight="1" x14ac:dyDescent="0.3">
      <c r="A29" s="26">
        <v>14</v>
      </c>
      <c r="B29" s="28" t="s">
        <v>168</v>
      </c>
      <c r="C29" s="29"/>
      <c r="D29" s="30"/>
      <c r="E29" s="31"/>
      <c r="F29" s="31"/>
      <c r="G29" s="32"/>
      <c r="H29" s="45">
        <f>SUM(I29-1.9)</f>
        <v>25.900000000000002</v>
      </c>
      <c r="I29" s="33">
        <v>27.8</v>
      </c>
      <c r="J29" s="10">
        <f>SUM(I29)+1.9</f>
        <v>29.7</v>
      </c>
      <c r="K29" s="10"/>
      <c r="L29" s="8"/>
      <c r="M29" s="12"/>
    </row>
    <row r="30" spans="1:13" s="2" customFormat="1" ht="14.1" customHeight="1" x14ac:dyDescent="0.3">
      <c r="A30" s="68"/>
      <c r="B30" s="38" t="s">
        <v>174</v>
      </c>
      <c r="C30" s="39"/>
      <c r="D30" s="44" t="s">
        <v>175</v>
      </c>
      <c r="E30" s="41"/>
      <c r="F30" s="41"/>
      <c r="G30" s="42"/>
      <c r="H30" s="45"/>
      <c r="I30" s="33"/>
      <c r="J30" s="10"/>
      <c r="K30" s="10"/>
      <c r="L30" s="36"/>
      <c r="M30" s="37"/>
    </row>
    <row r="31" spans="1:13" s="2" customFormat="1" ht="14.1" customHeight="1" x14ac:dyDescent="0.3">
      <c r="A31" s="26">
        <v>15</v>
      </c>
      <c r="B31" s="28" t="s">
        <v>170</v>
      </c>
      <c r="C31" s="29"/>
      <c r="D31" s="50"/>
      <c r="E31" s="51"/>
      <c r="F31" s="51"/>
      <c r="G31" s="52"/>
      <c r="H31" s="45">
        <f>SUM(I31-1.3)</f>
        <v>23.2</v>
      </c>
      <c r="I31" s="33">
        <v>24.5</v>
      </c>
      <c r="J31" s="10">
        <f>SUM(I31)+1.3</f>
        <v>25.8</v>
      </c>
      <c r="K31" s="10"/>
      <c r="L31" s="8"/>
      <c r="M31" s="12"/>
    </row>
    <row r="32" spans="1:13" s="2" customFormat="1" ht="14.1" customHeight="1" x14ac:dyDescent="0.3">
      <c r="A32" s="68"/>
      <c r="B32" s="20" t="s">
        <v>171</v>
      </c>
      <c r="C32" s="21"/>
      <c r="D32" s="44"/>
      <c r="E32" s="41"/>
      <c r="F32" s="41"/>
      <c r="G32" s="42"/>
      <c r="H32" s="45"/>
      <c r="I32" s="33"/>
      <c r="J32" s="10"/>
      <c r="K32" s="10"/>
      <c r="L32" s="36"/>
      <c r="M32" s="37"/>
    </row>
    <row r="33" spans="1:13" s="2" customFormat="1" ht="14.1" customHeight="1" x14ac:dyDescent="0.3">
      <c r="A33" s="26">
        <v>16</v>
      </c>
      <c r="B33" s="28" t="s">
        <v>177</v>
      </c>
      <c r="C33" s="29"/>
      <c r="D33" s="50"/>
      <c r="E33" s="51"/>
      <c r="F33" s="51"/>
      <c r="G33" s="52"/>
      <c r="H33" s="64">
        <f>SUM(I33-1.1)</f>
        <v>21.7</v>
      </c>
      <c r="I33" s="43">
        <v>22.8</v>
      </c>
      <c r="J33" s="10">
        <f>SUM(I33)+1.1</f>
        <v>23.900000000000002</v>
      </c>
      <c r="K33" s="10"/>
      <c r="L33" s="25"/>
      <c r="M33" s="19"/>
    </row>
    <row r="34" spans="1:13" s="2" customFormat="1" ht="14.1" customHeight="1" x14ac:dyDescent="0.3">
      <c r="A34" s="68"/>
      <c r="B34" s="20" t="s">
        <v>178</v>
      </c>
      <c r="C34" s="21"/>
      <c r="D34" s="22" t="s">
        <v>181</v>
      </c>
      <c r="E34" s="23"/>
      <c r="F34" s="23"/>
      <c r="G34" s="24"/>
      <c r="H34" s="63"/>
      <c r="I34" s="35"/>
      <c r="J34" s="10"/>
      <c r="K34" s="10"/>
      <c r="L34" s="25"/>
      <c r="M34" s="19"/>
    </row>
    <row r="35" spans="1:13" s="2" customFormat="1" ht="14.1" customHeight="1" x14ac:dyDescent="0.3">
      <c r="A35" s="26">
        <v>17</v>
      </c>
      <c r="B35" s="28" t="s">
        <v>180</v>
      </c>
      <c r="C35" s="29"/>
      <c r="D35" s="50"/>
      <c r="E35" s="51"/>
      <c r="F35" s="51"/>
      <c r="G35" s="52"/>
      <c r="H35" s="45">
        <f>SUM(I35-1.1)</f>
        <v>20.599999999999998</v>
      </c>
      <c r="I35" s="33">
        <v>21.7</v>
      </c>
      <c r="J35" s="36">
        <f>SUM(I35)+1.1</f>
        <v>22.8</v>
      </c>
      <c r="K35" s="36"/>
      <c r="L35" s="8"/>
      <c r="M35" s="12"/>
    </row>
    <row r="36" spans="1:13" s="2" customFormat="1" ht="14.1" customHeight="1" x14ac:dyDescent="0.3">
      <c r="A36" s="68"/>
      <c r="B36" s="20" t="s">
        <v>179</v>
      </c>
      <c r="C36" s="21"/>
      <c r="D36" s="22" t="s">
        <v>172</v>
      </c>
      <c r="E36" s="23"/>
      <c r="F36" s="23"/>
      <c r="G36" s="24"/>
      <c r="H36" s="63"/>
      <c r="I36" s="35"/>
      <c r="J36" s="8"/>
      <c r="K36" s="8"/>
      <c r="L36" s="25"/>
      <c r="M36" s="19"/>
    </row>
    <row r="37" spans="1:13" ht="14.1" customHeight="1" x14ac:dyDescent="0.3">
      <c r="A37" s="26">
        <v>18</v>
      </c>
      <c r="B37" s="28" t="s">
        <v>136</v>
      </c>
      <c r="C37" s="29"/>
      <c r="D37" s="50"/>
      <c r="E37" s="51"/>
      <c r="F37" s="51"/>
      <c r="G37" s="52"/>
      <c r="H37" s="45">
        <f>SUM(I37-0.3)</f>
        <v>3.2</v>
      </c>
      <c r="I37" s="33">
        <v>3.5</v>
      </c>
      <c r="J37" s="10">
        <f>SUM(I37)+0.3</f>
        <v>3.8</v>
      </c>
      <c r="K37" s="10"/>
      <c r="L37" s="8"/>
      <c r="M37" s="12"/>
    </row>
    <row r="38" spans="1:13" ht="14.1" customHeight="1" x14ac:dyDescent="0.3">
      <c r="A38" s="26"/>
      <c r="B38" s="20" t="s">
        <v>135</v>
      </c>
      <c r="C38" s="21"/>
      <c r="D38" s="44"/>
      <c r="E38" s="41"/>
      <c r="F38" s="41"/>
      <c r="G38" s="42"/>
      <c r="H38" s="45"/>
      <c r="I38" s="33"/>
      <c r="J38" s="10"/>
      <c r="K38" s="10"/>
      <c r="L38" s="36"/>
      <c r="M38" s="37"/>
    </row>
    <row r="39" spans="1:13" ht="14.1" customHeight="1" x14ac:dyDescent="0.3">
      <c r="A39" s="26">
        <v>19</v>
      </c>
      <c r="B39" s="28" t="s">
        <v>166</v>
      </c>
      <c r="C39" s="29"/>
      <c r="D39" s="50"/>
      <c r="E39" s="51"/>
      <c r="F39" s="51"/>
      <c r="G39" s="52"/>
      <c r="H39" s="45">
        <f>SUM(I39-0.3)</f>
        <v>4</v>
      </c>
      <c r="I39" s="33">
        <v>4.3</v>
      </c>
      <c r="J39" s="10">
        <f>SUM(I39)+0.3</f>
        <v>4.5999999999999996</v>
      </c>
      <c r="K39" s="10"/>
      <c r="L39" s="25"/>
      <c r="M39" s="19"/>
    </row>
    <row r="40" spans="1:13" ht="14.1" customHeight="1" x14ac:dyDescent="0.3">
      <c r="A40" s="68"/>
      <c r="B40" s="20" t="s">
        <v>167</v>
      </c>
      <c r="C40" s="21"/>
      <c r="D40" s="22"/>
      <c r="E40" s="23"/>
      <c r="F40" s="23"/>
      <c r="G40" s="24"/>
      <c r="H40" s="45"/>
      <c r="I40" s="33"/>
      <c r="J40" s="10"/>
      <c r="K40" s="10"/>
      <c r="L40" s="25"/>
      <c r="M40" s="19"/>
    </row>
    <row r="41" spans="1:13" ht="14.1" customHeight="1" x14ac:dyDescent="0.3">
      <c r="A41" s="26">
        <v>20</v>
      </c>
      <c r="B41" s="28"/>
      <c r="C41" s="29"/>
      <c r="D41" s="50"/>
      <c r="E41" s="51"/>
      <c r="F41" s="51"/>
      <c r="G41" s="52"/>
      <c r="H41" s="45"/>
      <c r="I41" s="33"/>
      <c r="J41" s="36"/>
      <c r="K41" s="36"/>
      <c r="L41" s="8"/>
      <c r="M41" s="12"/>
    </row>
    <row r="42" spans="1:13" ht="14.1" customHeight="1" thickBot="1" x14ac:dyDescent="0.35">
      <c r="A42" s="27"/>
      <c r="B42" s="14"/>
      <c r="C42" s="15"/>
      <c r="D42" s="16"/>
      <c r="E42" s="17"/>
      <c r="F42" s="17"/>
      <c r="G42" s="18"/>
      <c r="H42" s="72"/>
      <c r="I42" s="34"/>
      <c r="J42" s="11"/>
      <c r="K42" s="11"/>
      <c r="L42" s="9"/>
      <c r="M42" s="13"/>
    </row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223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H17:H18"/>
    <mergeCell ref="H19:H20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H21:H22"/>
    <mergeCell ref="H23:H24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H25:H26"/>
    <mergeCell ref="H27:H28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H29:H30"/>
    <mergeCell ref="H31:H32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H33:H34"/>
    <mergeCell ref="H35:H36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9:K40"/>
    <mergeCell ref="L39:L40"/>
    <mergeCell ref="M39:M40"/>
    <mergeCell ref="B40:C40"/>
    <mergeCell ref="D40:G40"/>
    <mergeCell ref="L37:L38"/>
    <mergeCell ref="M37:M38"/>
    <mergeCell ref="B38:C38"/>
    <mergeCell ref="D38:G38"/>
    <mergeCell ref="K37:K38"/>
    <mergeCell ref="H37:H38"/>
    <mergeCell ref="H39:H40"/>
    <mergeCell ref="L41:L42"/>
    <mergeCell ref="M41:M42"/>
    <mergeCell ref="B42:C42"/>
    <mergeCell ref="D42:G42"/>
    <mergeCell ref="A41:A42"/>
    <mergeCell ref="B41:C41"/>
    <mergeCell ref="D41:G41"/>
    <mergeCell ref="I41:I42"/>
    <mergeCell ref="J41:J42"/>
    <mergeCell ref="K41:K42"/>
    <mergeCell ref="H41:H42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D2AF-CDA2-48C1-999B-BBA9AB622E78}">
  <sheetPr>
    <tabColor rgb="FF92D050"/>
  </sheetPr>
  <dimension ref="A1:M47"/>
  <sheetViews>
    <sheetView zoomScale="110" zoomScaleNormal="110" zoomScalePageLayoutView="110" workbookViewId="0">
      <selection activeCell="P13" sqref="P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304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76">
        <f>SUM(I3-3)</f>
        <v>48</v>
      </c>
      <c r="I3" s="59">
        <v>51</v>
      </c>
      <c r="J3" s="60">
        <f>SUM(I3)+3</f>
        <v>54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45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63">
        <f>SUM(I5-2.4)</f>
        <v>42.800000000000004</v>
      </c>
      <c r="I5" s="35">
        <v>45.2</v>
      </c>
      <c r="J5" s="8">
        <f>SUM(I5)+2.4</f>
        <v>47.6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64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63">
        <f>SUM(I7-2.5)</f>
        <v>42.5</v>
      </c>
      <c r="I7" s="35">
        <v>45</v>
      </c>
      <c r="J7" s="8">
        <f>SUM(I7)+2.5</f>
        <v>47.5</v>
      </c>
      <c r="K7" s="8"/>
      <c r="L7" s="8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64"/>
      <c r="I8" s="43"/>
      <c r="J8" s="36"/>
      <c r="K8" s="36"/>
      <c r="L8" s="36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63">
        <f>SUM(I9-2.4)</f>
        <v>41.6</v>
      </c>
      <c r="I9" s="35">
        <v>44</v>
      </c>
      <c r="J9" s="8">
        <f>SUM(I9)+2.4</f>
        <v>46.4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64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45">
        <f>SUM(I11-1)</f>
        <v>19.5</v>
      </c>
      <c r="I11" s="33">
        <v>20.5</v>
      </c>
      <c r="J11" s="10">
        <f>SUM(I11)+1</f>
        <v>21.5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45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45">
        <f>SUM(I13-0.6)</f>
        <v>18.899999999999999</v>
      </c>
      <c r="I13" s="33">
        <v>19.5</v>
      </c>
      <c r="J13" s="10">
        <f>SUM(I13)+0.6</f>
        <v>20.100000000000001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45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45">
        <f>SUM(I15-0.3)</f>
        <v>8.5</v>
      </c>
      <c r="I15" s="33">
        <v>8.8000000000000007</v>
      </c>
      <c r="J15" s="10">
        <f>SUM(I15)+0.3</f>
        <v>9.1000000000000014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45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45">
        <f>SUM(I17-1.6)</f>
        <v>49.4</v>
      </c>
      <c r="I17" s="33">
        <v>51</v>
      </c>
      <c r="J17" s="10">
        <f>SUM(I17)+1.6</f>
        <v>52.6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45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45">
        <f>SUM(I19-2.8)</f>
        <v>47.2</v>
      </c>
      <c r="I19" s="33">
        <v>50</v>
      </c>
      <c r="J19" s="10">
        <f>SUM(I19)+2.8</f>
        <v>52.8</v>
      </c>
      <c r="K19" s="10"/>
      <c r="L19" s="10"/>
      <c r="M19" s="46"/>
    </row>
    <row r="20" spans="1:13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45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45">
        <f>SUM(I21-1.9)</f>
        <v>37.6</v>
      </c>
      <c r="I21" s="33">
        <v>39.5</v>
      </c>
      <c r="J21" s="10">
        <f>SUM(I21)+1.9</f>
        <v>41.4</v>
      </c>
      <c r="K21" s="10"/>
      <c r="L21" s="10"/>
      <c r="M21" s="46"/>
    </row>
    <row r="22" spans="1:13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45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45">
        <f>SUM(I23-0.8)</f>
        <v>18.2</v>
      </c>
      <c r="I23" s="33">
        <v>19</v>
      </c>
      <c r="J23" s="10">
        <f>SUM(I23)+0.8</f>
        <v>19.8</v>
      </c>
      <c r="K23" s="10"/>
      <c r="L23" s="10"/>
      <c r="M23" s="46"/>
    </row>
    <row r="24" spans="1:13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45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/>
      <c r="C25" s="29"/>
      <c r="D25" s="30"/>
      <c r="E25" s="31"/>
      <c r="F25" s="31"/>
      <c r="G25" s="32"/>
      <c r="H25" s="45"/>
      <c r="I25" s="33"/>
      <c r="J25" s="10"/>
      <c r="K25" s="10"/>
      <c r="L25" s="8"/>
      <c r="M25" s="12"/>
    </row>
    <row r="26" spans="1:13" s="2" customFormat="1" ht="14.1" customHeight="1" thickBot="1" x14ac:dyDescent="0.35">
      <c r="A26" s="68"/>
      <c r="B26" s="20"/>
      <c r="C26" s="21"/>
      <c r="D26" s="22"/>
      <c r="E26" s="23"/>
      <c r="F26" s="23"/>
      <c r="G26" s="24"/>
      <c r="H26" s="63"/>
      <c r="I26" s="35"/>
      <c r="J26" s="8"/>
      <c r="K26" s="8"/>
      <c r="L26" s="25"/>
      <c r="M26" s="19"/>
    </row>
    <row r="27" spans="1:13" s="2" customFormat="1" ht="14.1" customHeight="1" thickTop="1" x14ac:dyDescent="0.3">
      <c r="A27" s="90">
        <v>13</v>
      </c>
      <c r="B27" s="91" t="s">
        <v>176</v>
      </c>
      <c r="C27" s="92"/>
      <c r="D27" s="97" t="s">
        <v>63</v>
      </c>
      <c r="E27" s="97"/>
      <c r="F27" s="97"/>
      <c r="G27" s="97"/>
      <c r="H27" s="89">
        <f>SUM(I27-2.4)</f>
        <v>38.6</v>
      </c>
      <c r="I27" s="96">
        <v>41</v>
      </c>
      <c r="J27" s="86">
        <f>SUM(I27)+2.4</f>
        <v>43.4</v>
      </c>
      <c r="K27" s="86"/>
      <c r="L27" s="87"/>
      <c r="M27" s="88"/>
    </row>
    <row r="28" spans="1:13" s="2" customFormat="1" ht="14.1" customHeight="1" x14ac:dyDescent="0.3">
      <c r="A28" s="68"/>
      <c r="B28" s="20" t="s">
        <v>305</v>
      </c>
      <c r="C28" s="21"/>
      <c r="D28" s="44" t="s">
        <v>61</v>
      </c>
      <c r="E28" s="41"/>
      <c r="F28" s="41"/>
      <c r="G28" s="42"/>
      <c r="H28" s="63"/>
      <c r="I28" s="35"/>
      <c r="J28" s="8"/>
      <c r="K28" s="8"/>
      <c r="L28" s="25"/>
      <c r="M28" s="19"/>
    </row>
    <row r="29" spans="1:13" s="2" customFormat="1" ht="14.1" customHeight="1" x14ac:dyDescent="0.3">
      <c r="A29" s="26">
        <v>14</v>
      </c>
      <c r="B29" s="28" t="s">
        <v>136</v>
      </c>
      <c r="C29" s="29"/>
      <c r="D29" s="50"/>
      <c r="E29" s="51"/>
      <c r="F29" s="51"/>
      <c r="G29" s="52"/>
      <c r="H29" s="45">
        <f>SUM(I29-0.1)</f>
        <v>2.9</v>
      </c>
      <c r="I29" s="33">
        <v>3</v>
      </c>
      <c r="J29" s="10">
        <f>SUM(I29)+0.1</f>
        <v>3.1</v>
      </c>
      <c r="K29" s="10"/>
      <c r="L29" s="8"/>
      <c r="M29" s="12"/>
    </row>
    <row r="30" spans="1:13" s="2" customFormat="1" ht="14.1" customHeight="1" x14ac:dyDescent="0.3">
      <c r="A30" s="26"/>
      <c r="B30" s="20" t="s">
        <v>135</v>
      </c>
      <c r="C30" s="21"/>
      <c r="D30" s="44" t="s">
        <v>220</v>
      </c>
      <c r="E30" s="41"/>
      <c r="F30" s="41"/>
      <c r="G30" s="42"/>
      <c r="H30" s="45"/>
      <c r="I30" s="33"/>
      <c r="J30" s="10"/>
      <c r="K30" s="10"/>
      <c r="L30" s="36"/>
      <c r="M30" s="37"/>
    </row>
    <row r="31" spans="1:13" s="2" customFormat="1" ht="14.1" customHeight="1" x14ac:dyDescent="0.3">
      <c r="A31" s="26">
        <v>15</v>
      </c>
      <c r="B31" s="28"/>
      <c r="C31" s="29"/>
      <c r="D31" s="50"/>
      <c r="E31" s="51"/>
      <c r="F31" s="51"/>
      <c r="G31" s="52"/>
      <c r="H31" s="45"/>
      <c r="I31" s="33"/>
      <c r="J31" s="10"/>
      <c r="K31" s="10"/>
      <c r="L31" s="8"/>
      <c r="M31" s="12"/>
    </row>
    <row r="32" spans="1:13" s="2" customFormat="1" ht="14.1" customHeight="1" thickBot="1" x14ac:dyDescent="0.35">
      <c r="A32" s="27"/>
      <c r="B32" s="14"/>
      <c r="C32" s="15"/>
      <c r="D32" s="16"/>
      <c r="E32" s="17"/>
      <c r="F32" s="17"/>
      <c r="G32" s="18"/>
      <c r="H32" s="72"/>
      <c r="I32" s="34"/>
      <c r="J32" s="11"/>
      <c r="K32" s="11"/>
      <c r="L32" s="9"/>
      <c r="M32" s="13"/>
    </row>
    <row r="33" spans="1:13" s="2" customFormat="1" ht="14.1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2" customFormat="1" ht="14.1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2" customFormat="1" ht="14.1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2" customFormat="1" ht="14.1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ht="14.1" customHeight="1" x14ac:dyDescent="0.3">
      <c r="B37" s="1"/>
      <c r="C37" s="1"/>
      <c r="D37" s="1"/>
      <c r="E37" s="1"/>
      <c r="F37" s="1"/>
      <c r="G37" s="1"/>
    </row>
    <row r="38" spans="1:13" ht="14.1" customHeight="1" x14ac:dyDescent="0.3">
      <c r="B38" s="1"/>
      <c r="C38" s="1"/>
      <c r="D38" s="1"/>
      <c r="E38" s="1"/>
      <c r="F38" s="1"/>
      <c r="G38" s="1"/>
    </row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</sheetData>
  <mergeCells count="168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D85A-B28F-41E0-9CC0-21731036FF78}">
  <sheetPr>
    <tabColor rgb="FF92D050"/>
  </sheetPr>
  <dimension ref="A1:M47"/>
  <sheetViews>
    <sheetView zoomScale="110" zoomScaleNormal="110" zoomScalePageLayoutView="110" workbookViewId="0">
      <selection activeCell="Q17" sqref="Q1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294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76">
        <f>SUM(I3-3)</f>
        <v>43</v>
      </c>
      <c r="I3" s="59">
        <v>46</v>
      </c>
      <c r="J3" s="60">
        <f>SUM(I3)+3</f>
        <v>49</v>
      </c>
      <c r="K3" s="62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61</v>
      </c>
      <c r="E4" s="41"/>
      <c r="F4" s="41"/>
      <c r="G4" s="41"/>
      <c r="H4" s="45"/>
      <c r="I4" s="33"/>
      <c r="J4" s="10"/>
      <c r="K4" s="36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63">
        <f>SUM(I5-1.4)</f>
        <v>22.200000000000003</v>
      </c>
      <c r="I5" s="35">
        <v>23.6</v>
      </c>
      <c r="J5" s="8">
        <f>SUM(I5)+1.4</f>
        <v>25</v>
      </c>
      <c r="K5" s="10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295</v>
      </c>
      <c r="E6" s="41"/>
      <c r="F6" s="41"/>
      <c r="G6" s="42"/>
      <c r="H6" s="64"/>
      <c r="I6" s="43"/>
      <c r="J6" s="36"/>
      <c r="K6" s="10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63">
        <f>SUM(I7-2)</f>
        <v>33.5</v>
      </c>
      <c r="I7" s="35">
        <v>35.5</v>
      </c>
      <c r="J7" s="8">
        <f>SUM(I7)+2</f>
        <v>37.5</v>
      </c>
      <c r="K7" s="10"/>
      <c r="L7" s="10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64"/>
      <c r="I8" s="43"/>
      <c r="J8" s="36"/>
      <c r="K8" s="10"/>
      <c r="L8" s="10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63">
        <f>SUM(I9-2)</f>
        <v>33.5</v>
      </c>
      <c r="I9" s="35">
        <v>35.5</v>
      </c>
      <c r="J9" s="8">
        <f>SUM(I9)+2</f>
        <v>37.5</v>
      </c>
      <c r="K9" s="10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64"/>
      <c r="I10" s="43"/>
      <c r="J10" s="36"/>
      <c r="K10" s="10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45">
        <f>SUM(I11-1)</f>
        <v>16.899999999999999</v>
      </c>
      <c r="I11" s="33">
        <v>17.899999999999999</v>
      </c>
      <c r="J11" s="10">
        <f>SUM(I11)+1</f>
        <v>18.899999999999999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45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45">
        <f>SUM(I13-0.6)</f>
        <v>16.899999999999999</v>
      </c>
      <c r="I13" s="33">
        <v>17.5</v>
      </c>
      <c r="J13" s="10">
        <f>SUM(I13)+0.6</f>
        <v>18.100000000000001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296</v>
      </c>
      <c r="E14" s="41"/>
      <c r="F14" s="41"/>
      <c r="G14" s="42"/>
      <c r="H14" s="45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45">
        <f>SUM(I15-0.3)</f>
        <v>8.6999999999999993</v>
      </c>
      <c r="I15" s="33">
        <v>9</v>
      </c>
      <c r="J15" s="10">
        <f>SUM(I15)+0.3</f>
        <v>9.3000000000000007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297</v>
      </c>
      <c r="E16" s="41"/>
      <c r="F16" s="41"/>
      <c r="G16" s="42"/>
      <c r="H16" s="45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298</v>
      </c>
      <c r="E17" s="51"/>
      <c r="F17" s="51"/>
      <c r="G17" s="52"/>
      <c r="H17" s="45">
        <f>SUM(I17-1.9)</f>
        <v>56.1</v>
      </c>
      <c r="I17" s="33">
        <v>58</v>
      </c>
      <c r="J17" s="10">
        <f>SUM(I17)+1.9</f>
        <v>59.9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45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28"/>
      <c r="C19" s="29"/>
      <c r="D19" s="30"/>
      <c r="E19" s="31"/>
      <c r="F19" s="31"/>
      <c r="G19" s="32"/>
      <c r="H19" s="45"/>
      <c r="I19" s="33"/>
      <c r="J19" s="10"/>
      <c r="K19" s="8"/>
      <c r="L19" s="8"/>
      <c r="M19" s="12"/>
    </row>
    <row r="20" spans="1:13" s="2" customFormat="1" ht="14.1" customHeight="1" x14ac:dyDescent="0.3">
      <c r="A20" s="26"/>
      <c r="B20" s="20"/>
      <c r="C20" s="21"/>
      <c r="D20" s="22"/>
      <c r="E20" s="23"/>
      <c r="F20" s="23"/>
      <c r="G20" s="24"/>
      <c r="H20" s="63"/>
      <c r="I20" s="35"/>
      <c r="J20" s="8"/>
      <c r="K20" s="25"/>
      <c r="L20" s="25"/>
      <c r="M20" s="19"/>
    </row>
    <row r="21" spans="1:13" s="2" customFormat="1" ht="14.1" customHeight="1" x14ac:dyDescent="0.3">
      <c r="A21" s="26">
        <v>10</v>
      </c>
      <c r="B21" s="28"/>
      <c r="C21" s="29"/>
      <c r="D21" s="30"/>
      <c r="E21" s="31"/>
      <c r="F21" s="31"/>
      <c r="G21" s="32"/>
      <c r="H21" s="45"/>
      <c r="I21" s="33"/>
      <c r="J21" s="10"/>
      <c r="K21" s="8"/>
      <c r="L21" s="8"/>
      <c r="M21" s="12"/>
    </row>
    <row r="22" spans="1:13" s="2" customFormat="1" ht="14.1" customHeight="1" x14ac:dyDescent="0.3">
      <c r="A22" s="26"/>
      <c r="B22" s="20"/>
      <c r="C22" s="21"/>
      <c r="D22" s="22"/>
      <c r="E22" s="23"/>
      <c r="F22" s="23"/>
      <c r="G22" s="24"/>
      <c r="H22" s="63"/>
      <c r="I22" s="35"/>
      <c r="J22" s="8"/>
      <c r="K22" s="25"/>
      <c r="L22" s="25"/>
      <c r="M22" s="19"/>
    </row>
    <row r="23" spans="1:13" s="2" customFormat="1" ht="14.1" customHeight="1" x14ac:dyDescent="0.3">
      <c r="A23" s="26">
        <v>11</v>
      </c>
      <c r="B23" s="28"/>
      <c r="C23" s="29"/>
      <c r="D23" s="30"/>
      <c r="E23" s="31"/>
      <c r="F23" s="31"/>
      <c r="G23" s="32"/>
      <c r="H23" s="45"/>
      <c r="I23" s="33"/>
      <c r="J23" s="10"/>
      <c r="K23" s="8"/>
      <c r="L23" s="8"/>
      <c r="M23" s="12"/>
    </row>
    <row r="24" spans="1:13" s="2" customFormat="1" ht="14.1" customHeight="1" x14ac:dyDescent="0.3">
      <c r="A24" s="26"/>
      <c r="B24" s="38"/>
      <c r="C24" s="39"/>
      <c r="D24" s="44"/>
      <c r="E24" s="41"/>
      <c r="F24" s="41"/>
      <c r="G24" s="42"/>
      <c r="H24" s="45"/>
      <c r="I24" s="33"/>
      <c r="J24" s="10"/>
      <c r="K24" s="36"/>
      <c r="L24" s="36"/>
      <c r="M24" s="37"/>
    </row>
    <row r="25" spans="1:13" s="2" customFormat="1" ht="14.1" customHeight="1" x14ac:dyDescent="0.3">
      <c r="A25" s="26">
        <v>12</v>
      </c>
      <c r="B25" s="28"/>
      <c r="C25" s="29"/>
      <c r="D25" s="50"/>
      <c r="E25" s="51"/>
      <c r="F25" s="51"/>
      <c r="G25" s="52"/>
      <c r="H25" s="45"/>
      <c r="I25" s="33"/>
      <c r="J25" s="10"/>
      <c r="K25" s="8"/>
      <c r="L25" s="8"/>
      <c r="M25" s="12"/>
    </row>
    <row r="26" spans="1:13" s="2" customFormat="1" ht="14.1" customHeight="1" x14ac:dyDescent="0.3">
      <c r="A26" s="26"/>
      <c r="B26" s="20"/>
      <c r="C26" s="21"/>
      <c r="D26" s="44"/>
      <c r="E26" s="41"/>
      <c r="F26" s="41"/>
      <c r="G26" s="42"/>
      <c r="H26" s="45"/>
      <c r="I26" s="33"/>
      <c r="J26" s="10"/>
      <c r="K26" s="36"/>
      <c r="L26" s="36"/>
      <c r="M26" s="37"/>
    </row>
    <row r="27" spans="1:13" s="2" customFormat="1" ht="14.1" customHeight="1" x14ac:dyDescent="0.3">
      <c r="A27" s="26">
        <v>13</v>
      </c>
      <c r="B27" s="28"/>
      <c r="C27" s="29"/>
      <c r="D27" s="50"/>
      <c r="E27" s="51"/>
      <c r="F27" s="51"/>
      <c r="G27" s="52"/>
      <c r="H27" s="64"/>
      <c r="I27" s="43"/>
      <c r="J27" s="10"/>
      <c r="K27" s="25"/>
      <c r="L27" s="25"/>
      <c r="M27" s="19"/>
    </row>
    <row r="28" spans="1:13" s="2" customFormat="1" ht="14.1" customHeight="1" x14ac:dyDescent="0.3">
      <c r="A28" s="26"/>
      <c r="B28" s="20"/>
      <c r="C28" s="21"/>
      <c r="D28" s="22"/>
      <c r="E28" s="23"/>
      <c r="F28" s="23"/>
      <c r="G28" s="24"/>
      <c r="H28" s="63"/>
      <c r="I28" s="35"/>
      <c r="J28" s="10"/>
      <c r="K28" s="25"/>
      <c r="L28" s="25"/>
      <c r="M28" s="19"/>
    </row>
    <row r="29" spans="1:13" s="2" customFormat="1" ht="14.1" customHeight="1" x14ac:dyDescent="0.3">
      <c r="A29" s="26">
        <v>14</v>
      </c>
      <c r="B29" s="28"/>
      <c r="C29" s="29"/>
      <c r="D29" s="50"/>
      <c r="E29" s="51"/>
      <c r="F29" s="51"/>
      <c r="G29" s="52"/>
      <c r="H29" s="45"/>
      <c r="I29" s="33"/>
      <c r="J29" s="36"/>
      <c r="K29" s="8"/>
      <c r="L29" s="8"/>
      <c r="M29" s="12"/>
    </row>
    <row r="30" spans="1:13" s="2" customFormat="1" ht="14.1" customHeight="1" thickBot="1" x14ac:dyDescent="0.35">
      <c r="A30" s="27"/>
      <c r="B30" s="14"/>
      <c r="C30" s="15"/>
      <c r="D30" s="16"/>
      <c r="E30" s="17"/>
      <c r="F30" s="17"/>
      <c r="G30" s="18"/>
      <c r="H30" s="72"/>
      <c r="I30" s="34"/>
      <c r="J30" s="11"/>
      <c r="K30" s="9"/>
      <c r="L30" s="9"/>
      <c r="M30" s="13"/>
    </row>
    <row r="31" spans="1:13" s="2" customFormat="1" ht="14.1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s="2" customFormat="1" ht="14.1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s="2" customFormat="1" ht="14.1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s="2" customFormat="1" ht="14.1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s="2" customFormat="1" ht="14.1" customHeigh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s="2" customFormat="1" ht="14.1" customHeigh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ht="14.1" customHeight="1" x14ac:dyDescent="0.3"/>
    <row r="38" spans="1:13" ht="14.1" customHeight="1" x14ac:dyDescent="0.3"/>
    <row r="39" spans="1:13" ht="14.1" customHeight="1" x14ac:dyDescent="0.3">
      <c r="B39" s="1"/>
      <c r="C39" s="1"/>
      <c r="D39" s="1"/>
      <c r="E39" s="1"/>
      <c r="F39" s="1"/>
      <c r="G39" s="1"/>
    </row>
    <row r="40" spans="1:13" ht="14.1" customHeight="1" x14ac:dyDescent="0.3">
      <c r="B40" s="1"/>
      <c r="C40" s="1"/>
      <c r="D40" s="1"/>
      <c r="E40" s="1"/>
      <c r="F40" s="1"/>
      <c r="G40" s="1"/>
    </row>
    <row r="41" spans="1:13" ht="14.1" customHeight="1" x14ac:dyDescent="0.3">
      <c r="B41" s="1"/>
      <c r="C41" s="1"/>
      <c r="D41" s="1"/>
      <c r="E41" s="1"/>
      <c r="F41" s="1"/>
      <c r="G41" s="1"/>
    </row>
    <row r="42" spans="1:13" ht="14.1" customHeight="1" x14ac:dyDescent="0.3">
      <c r="B42" s="1"/>
      <c r="C42" s="1"/>
      <c r="D42" s="1"/>
      <c r="E42" s="1"/>
      <c r="F42" s="1"/>
      <c r="G42" s="1"/>
    </row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</sheetData>
  <mergeCells count="157"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A29:A30"/>
    <mergeCell ref="B29:C29"/>
    <mergeCell ref="D29:G29"/>
    <mergeCell ref="I29:I30"/>
    <mergeCell ref="J29:J30"/>
    <mergeCell ref="A27:A28"/>
    <mergeCell ref="B27:C27"/>
    <mergeCell ref="D27:G27"/>
    <mergeCell ref="I27:I28"/>
    <mergeCell ref="J27:J28"/>
    <mergeCell ref="H27:H28"/>
    <mergeCell ref="H29:H30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A25:A26"/>
    <mergeCell ref="B25:C25"/>
    <mergeCell ref="D25:G25"/>
    <mergeCell ref="I25:I26"/>
    <mergeCell ref="J25:J26"/>
    <mergeCell ref="A23:A24"/>
    <mergeCell ref="B23:C23"/>
    <mergeCell ref="D23:G23"/>
    <mergeCell ref="I23:I24"/>
    <mergeCell ref="J23:J24"/>
    <mergeCell ref="H23:H24"/>
    <mergeCell ref="H25:H26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A21:A22"/>
    <mergeCell ref="B21:C21"/>
    <mergeCell ref="D21:G21"/>
    <mergeCell ref="I21:I22"/>
    <mergeCell ref="J21:J22"/>
    <mergeCell ref="A19:A20"/>
    <mergeCell ref="B19:C19"/>
    <mergeCell ref="D19:G19"/>
    <mergeCell ref="I19:I20"/>
    <mergeCell ref="J19:J20"/>
    <mergeCell ref="H19:H20"/>
    <mergeCell ref="H21:H22"/>
    <mergeCell ref="K17:K18"/>
    <mergeCell ref="L17:L18"/>
    <mergeCell ref="M17:M18"/>
    <mergeCell ref="B18:C18"/>
    <mergeCell ref="D18:G18"/>
    <mergeCell ref="A17:A18"/>
    <mergeCell ref="B17:C17"/>
    <mergeCell ref="D17:G17"/>
    <mergeCell ref="I17:I18"/>
    <mergeCell ref="J17:J18"/>
    <mergeCell ref="H17:H18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H9:H10"/>
    <mergeCell ref="H11:H12"/>
    <mergeCell ref="A5:A6"/>
    <mergeCell ref="B5:C5"/>
    <mergeCell ref="D5:G5"/>
    <mergeCell ref="I5:I6"/>
    <mergeCell ref="J5:J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35FB-436E-489C-93AA-6704346121FC}">
  <sheetPr>
    <tabColor rgb="FF92D050"/>
  </sheetPr>
  <dimension ref="A1:M50"/>
  <sheetViews>
    <sheetView zoomScale="110" zoomScaleNormal="110" zoomScalePageLayoutView="110" workbookViewId="0">
      <selection activeCell="O28" sqref="O2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306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98" t="s">
        <v>64</v>
      </c>
      <c r="C3" s="99"/>
      <c r="D3" s="67" t="s">
        <v>63</v>
      </c>
      <c r="E3" s="100"/>
      <c r="F3" s="100"/>
      <c r="G3" s="101"/>
      <c r="H3" s="60">
        <f>SUM(I3)-3</f>
        <v>47.2</v>
      </c>
      <c r="I3" s="59">
        <v>50.2</v>
      </c>
      <c r="J3" s="60">
        <f>SUM(I3)+3</f>
        <v>53.2</v>
      </c>
      <c r="K3" s="60"/>
      <c r="L3" s="62"/>
      <c r="M3" s="61"/>
    </row>
    <row r="4" spans="1:13" s="2" customFormat="1" ht="14.1" customHeight="1" x14ac:dyDescent="0.3">
      <c r="A4" s="68"/>
      <c r="B4" s="38" t="s">
        <v>62</v>
      </c>
      <c r="C4" s="39"/>
      <c r="D4" s="44" t="s">
        <v>326</v>
      </c>
      <c r="E4" s="41"/>
      <c r="F4" s="41"/>
      <c r="G4" s="42"/>
      <c r="H4" s="8"/>
      <c r="I4" s="35"/>
      <c r="J4" s="8"/>
      <c r="K4" s="8"/>
      <c r="L4" s="25"/>
      <c r="M4" s="19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8">
        <f>SUM(I5)-2.6</f>
        <v>53.8</v>
      </c>
      <c r="I5" s="35">
        <v>56.4</v>
      </c>
      <c r="J5" s="8">
        <f>SUM(I5)+2.6</f>
        <v>59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36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8">
        <f>SUM(I7)-2.5</f>
        <v>52.5</v>
      </c>
      <c r="I7" s="35">
        <v>55</v>
      </c>
      <c r="J7" s="8">
        <f>SUM(I7)+2.5</f>
        <v>57.5</v>
      </c>
      <c r="K7" s="8"/>
      <c r="L7" s="8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36"/>
      <c r="I8" s="43"/>
      <c r="J8" s="36"/>
      <c r="K8" s="36"/>
      <c r="L8" s="36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8">
        <f>SUM(I9)-1.7</f>
        <v>35.299999999999997</v>
      </c>
      <c r="I9" s="35">
        <v>37</v>
      </c>
      <c r="J9" s="8">
        <f>SUM(I9)+1.7</f>
        <v>38.700000000000003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307</v>
      </c>
      <c r="E10" s="41"/>
      <c r="F10" s="41"/>
      <c r="G10" s="42"/>
      <c r="H10" s="36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308</v>
      </c>
      <c r="C11" s="48"/>
      <c r="D11" s="49"/>
      <c r="E11" s="49"/>
      <c r="F11" s="49"/>
      <c r="G11" s="49"/>
      <c r="H11" s="8">
        <f>SUM(I11)-3</f>
        <v>65</v>
      </c>
      <c r="I11" s="35">
        <v>68</v>
      </c>
      <c r="J11" s="8">
        <f>SUM(I11)+3</f>
        <v>71</v>
      </c>
      <c r="K11" s="8"/>
      <c r="L11" s="10"/>
      <c r="M11" s="46"/>
    </row>
    <row r="12" spans="1:13" s="2" customFormat="1" ht="14.1" customHeight="1" x14ac:dyDescent="0.3">
      <c r="A12" s="26"/>
      <c r="B12" s="47" t="s">
        <v>309</v>
      </c>
      <c r="C12" s="47"/>
      <c r="D12" s="40" t="s">
        <v>310</v>
      </c>
      <c r="E12" s="41"/>
      <c r="F12" s="41"/>
      <c r="G12" s="42"/>
      <c r="H12" s="36"/>
      <c r="I12" s="43"/>
      <c r="J12" s="36"/>
      <c r="K12" s="36"/>
      <c r="L12" s="10"/>
      <c r="M12" s="46"/>
    </row>
    <row r="13" spans="1:13" s="2" customFormat="1" ht="14.1" customHeight="1" x14ac:dyDescent="0.3">
      <c r="A13" s="26">
        <v>6</v>
      </c>
      <c r="B13" s="48" t="s">
        <v>10</v>
      </c>
      <c r="C13" s="48"/>
      <c r="D13" s="49" t="s">
        <v>0</v>
      </c>
      <c r="E13" s="49"/>
      <c r="F13" s="49"/>
      <c r="G13" s="49"/>
      <c r="H13" s="10">
        <f>SUM(I13)-1</f>
        <v>21.2</v>
      </c>
      <c r="I13" s="33">
        <v>22.2</v>
      </c>
      <c r="J13" s="10">
        <f>SUM(I13)+1</f>
        <v>23.2</v>
      </c>
      <c r="K13" s="10"/>
      <c r="L13" s="10"/>
      <c r="M13" s="46"/>
    </row>
    <row r="14" spans="1:13" s="2" customFormat="1" ht="14.1" customHeight="1" x14ac:dyDescent="0.3">
      <c r="A14" s="26"/>
      <c r="B14" s="47" t="s">
        <v>14</v>
      </c>
      <c r="C14" s="47"/>
      <c r="D14" s="44" t="s">
        <v>28</v>
      </c>
      <c r="E14" s="41"/>
      <c r="F14" s="41"/>
      <c r="G14" s="42"/>
      <c r="H14" s="10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1</v>
      </c>
      <c r="C15" s="48"/>
      <c r="D15" s="49" t="s">
        <v>137</v>
      </c>
      <c r="E15" s="49"/>
      <c r="F15" s="49"/>
      <c r="G15" s="49"/>
      <c r="H15" s="10">
        <f>SUM(I15)-1</f>
        <v>26.8</v>
      </c>
      <c r="I15" s="33">
        <v>27.8</v>
      </c>
      <c r="J15" s="10">
        <f>SUM(I15)+1</f>
        <v>28.8</v>
      </c>
      <c r="K15" s="10"/>
      <c r="L15" s="10"/>
      <c r="M15" s="46"/>
    </row>
    <row r="16" spans="1:13" s="2" customFormat="1" ht="14.1" customHeight="1" x14ac:dyDescent="0.3">
      <c r="A16" s="26"/>
      <c r="B16" s="47" t="s">
        <v>15</v>
      </c>
      <c r="C16" s="47"/>
      <c r="D16" s="44" t="s">
        <v>132</v>
      </c>
      <c r="E16" s="41"/>
      <c r="F16" s="41"/>
      <c r="G16" s="42"/>
      <c r="H16" s="10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48" t="s">
        <v>3</v>
      </c>
      <c r="C17" s="48"/>
      <c r="D17" s="49" t="s">
        <v>4</v>
      </c>
      <c r="E17" s="49"/>
      <c r="F17" s="49"/>
      <c r="G17" s="49"/>
      <c r="H17" s="10">
        <f>SUM(I17)-0.2</f>
        <v>6.5</v>
      </c>
      <c r="I17" s="33">
        <v>6.7</v>
      </c>
      <c r="J17" s="10">
        <f>SUM(I17)+0.2</f>
        <v>6.9</v>
      </c>
      <c r="K17" s="10"/>
      <c r="L17" s="10"/>
      <c r="M17" s="46"/>
    </row>
    <row r="18" spans="1:13" s="2" customFormat="1" ht="14.1" customHeight="1" x14ac:dyDescent="0.3">
      <c r="A18" s="26"/>
      <c r="B18" s="47" t="s">
        <v>16</v>
      </c>
      <c r="C18" s="47"/>
      <c r="D18" s="44" t="s">
        <v>131</v>
      </c>
      <c r="E18" s="41"/>
      <c r="F18" s="41"/>
      <c r="G18" s="42"/>
      <c r="H18" s="10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28" t="s">
        <v>56</v>
      </c>
      <c r="C19" s="29"/>
      <c r="D19" s="50" t="s">
        <v>58</v>
      </c>
      <c r="E19" s="51"/>
      <c r="F19" s="51"/>
      <c r="G19" s="52"/>
      <c r="H19" s="10">
        <f>SUM(I19)-2.3</f>
        <v>57.7</v>
      </c>
      <c r="I19" s="33">
        <v>60</v>
      </c>
      <c r="J19" s="10">
        <f>SUM(I19)+2.3</f>
        <v>62.3</v>
      </c>
      <c r="K19" s="10"/>
      <c r="L19" s="10"/>
      <c r="M19" s="46"/>
    </row>
    <row r="20" spans="1:13" s="2" customFormat="1" ht="14.1" customHeight="1" x14ac:dyDescent="0.3">
      <c r="A20" s="26"/>
      <c r="B20" s="47" t="s">
        <v>57</v>
      </c>
      <c r="C20" s="47"/>
      <c r="D20" s="44" t="s">
        <v>130</v>
      </c>
      <c r="E20" s="41"/>
      <c r="F20" s="41"/>
      <c r="G20" s="42"/>
      <c r="H20" s="10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5</v>
      </c>
      <c r="C21" s="48"/>
      <c r="D21" s="49" t="s">
        <v>6</v>
      </c>
      <c r="E21" s="49"/>
      <c r="F21" s="49"/>
      <c r="G21" s="49"/>
      <c r="H21" s="10">
        <f>SUM(I21)-2.7</f>
        <v>40.799999999999997</v>
      </c>
      <c r="I21" s="33">
        <v>43.5</v>
      </c>
      <c r="J21" s="10">
        <f>SUM(I21)+2.7</f>
        <v>46.2</v>
      </c>
      <c r="K21" s="10"/>
      <c r="L21" s="10"/>
      <c r="M21" s="46"/>
    </row>
    <row r="22" spans="1:13" s="2" customFormat="1" ht="14.1" customHeight="1" x14ac:dyDescent="0.3">
      <c r="A22" s="26"/>
      <c r="B22" s="47" t="s">
        <v>17</v>
      </c>
      <c r="C22" s="47"/>
      <c r="D22" s="44" t="s">
        <v>29</v>
      </c>
      <c r="E22" s="41"/>
      <c r="F22" s="41"/>
      <c r="G22" s="42"/>
      <c r="H22" s="10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48" t="s">
        <v>7</v>
      </c>
      <c r="C23" s="48"/>
      <c r="D23" s="50" t="s">
        <v>8</v>
      </c>
      <c r="E23" s="51"/>
      <c r="F23" s="51"/>
      <c r="G23" s="52"/>
      <c r="H23" s="10">
        <f>SUM(I23)-1.9</f>
        <v>41.2</v>
      </c>
      <c r="I23" s="33">
        <v>43.1</v>
      </c>
      <c r="J23" s="10">
        <f>SUM(I23)+1.9</f>
        <v>45</v>
      </c>
      <c r="K23" s="10"/>
      <c r="L23" s="10"/>
      <c r="M23" s="46"/>
    </row>
    <row r="24" spans="1:13" s="2" customFormat="1" ht="14.1" customHeight="1" x14ac:dyDescent="0.3">
      <c r="A24" s="26"/>
      <c r="B24" s="47" t="s">
        <v>18</v>
      </c>
      <c r="C24" s="47"/>
      <c r="D24" s="44" t="s">
        <v>36</v>
      </c>
      <c r="E24" s="41"/>
      <c r="F24" s="41"/>
      <c r="G24" s="42"/>
      <c r="H24" s="10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 t="s">
        <v>59</v>
      </c>
      <c r="C25" s="29"/>
      <c r="D25" s="49" t="s">
        <v>37</v>
      </c>
      <c r="E25" s="49"/>
      <c r="F25" s="49"/>
      <c r="G25" s="49"/>
      <c r="H25" s="10">
        <f>SUM(I25)-0.8</f>
        <v>17.2</v>
      </c>
      <c r="I25" s="33">
        <v>18</v>
      </c>
      <c r="J25" s="10">
        <f>SUM(I25)+0.8</f>
        <v>18.8</v>
      </c>
      <c r="K25" s="10"/>
      <c r="L25" s="10"/>
      <c r="M25" s="46"/>
    </row>
    <row r="26" spans="1:13" s="2" customFormat="1" ht="14.1" customHeight="1" x14ac:dyDescent="0.3">
      <c r="A26" s="26"/>
      <c r="B26" s="47" t="s">
        <v>19</v>
      </c>
      <c r="C26" s="47"/>
      <c r="D26" s="44" t="s">
        <v>38</v>
      </c>
      <c r="E26" s="41"/>
      <c r="F26" s="41"/>
      <c r="G26" s="42"/>
      <c r="H26" s="10"/>
      <c r="I26" s="33"/>
      <c r="J26" s="10"/>
      <c r="K26" s="10"/>
      <c r="L26" s="10"/>
      <c r="M26" s="46"/>
    </row>
    <row r="27" spans="1:13" s="2" customFormat="1" ht="14.1" customHeight="1" x14ac:dyDescent="0.3">
      <c r="A27" s="26">
        <v>13</v>
      </c>
      <c r="B27" s="28" t="s">
        <v>136</v>
      </c>
      <c r="C27" s="29"/>
      <c r="D27" s="30"/>
      <c r="E27" s="31"/>
      <c r="F27" s="31"/>
      <c r="G27" s="32"/>
      <c r="H27" s="10">
        <f>SUM(I27)-0.4</f>
        <v>7.7999999999999989</v>
      </c>
      <c r="I27" s="33">
        <v>8.1999999999999993</v>
      </c>
      <c r="J27" s="10">
        <f>SUM(I27)+0.4</f>
        <v>8.6</v>
      </c>
      <c r="K27" s="10"/>
      <c r="L27" s="8"/>
      <c r="M27" s="12"/>
    </row>
    <row r="28" spans="1:13" s="2" customFormat="1" ht="14.1" customHeight="1" x14ac:dyDescent="0.3">
      <c r="A28" s="26"/>
      <c r="B28" s="20" t="s">
        <v>135</v>
      </c>
      <c r="C28" s="21"/>
      <c r="D28" s="22" t="s">
        <v>311</v>
      </c>
      <c r="E28" s="23"/>
      <c r="F28" s="23"/>
      <c r="G28" s="24"/>
      <c r="H28" s="8"/>
      <c r="I28" s="35"/>
      <c r="J28" s="8"/>
      <c r="K28" s="8"/>
      <c r="L28" s="25"/>
      <c r="M28" s="19"/>
    </row>
    <row r="29" spans="1:13" s="2" customFormat="1" ht="14.1" customHeight="1" x14ac:dyDescent="0.3">
      <c r="A29" s="26">
        <v>14</v>
      </c>
      <c r="B29" s="28" t="s">
        <v>166</v>
      </c>
      <c r="C29" s="29"/>
      <c r="D29" s="30"/>
      <c r="E29" s="31"/>
      <c r="F29" s="31"/>
      <c r="G29" s="32"/>
      <c r="H29" s="10">
        <f>SUM(I29)-0.5</f>
        <v>9.5</v>
      </c>
      <c r="I29" s="33">
        <v>10</v>
      </c>
      <c r="J29" s="10">
        <f>SUM(I29)+0.5</f>
        <v>10.5</v>
      </c>
      <c r="K29" s="10"/>
      <c r="L29" s="8"/>
      <c r="M29" s="12"/>
    </row>
    <row r="30" spans="1:13" s="2" customFormat="1" ht="14.1" customHeight="1" x14ac:dyDescent="0.3">
      <c r="A30" s="26"/>
      <c r="B30" s="20" t="s">
        <v>167</v>
      </c>
      <c r="C30" s="21"/>
      <c r="D30" s="22" t="s">
        <v>185</v>
      </c>
      <c r="E30" s="23"/>
      <c r="F30" s="23"/>
      <c r="G30" s="24"/>
      <c r="H30" s="8"/>
      <c r="I30" s="35"/>
      <c r="J30" s="8"/>
      <c r="K30" s="8"/>
      <c r="L30" s="25"/>
      <c r="M30" s="19"/>
    </row>
    <row r="31" spans="1:13" s="2" customFormat="1" ht="14.1" customHeight="1" x14ac:dyDescent="0.3">
      <c r="A31" s="26">
        <v>15</v>
      </c>
      <c r="B31" s="28" t="s">
        <v>313</v>
      </c>
      <c r="C31" s="29"/>
      <c r="D31" s="30"/>
      <c r="E31" s="31"/>
      <c r="F31" s="31"/>
      <c r="G31" s="32"/>
      <c r="H31" s="10">
        <f>SUM(I31)-0.8</f>
        <v>8.1999999999999993</v>
      </c>
      <c r="I31" s="33">
        <v>9</v>
      </c>
      <c r="J31" s="10">
        <f>SUM(I31)+0.8</f>
        <v>9.8000000000000007</v>
      </c>
      <c r="K31" s="10"/>
      <c r="L31" s="8"/>
      <c r="M31" s="12"/>
    </row>
    <row r="32" spans="1:13" s="2" customFormat="1" ht="14.1" customHeight="1" x14ac:dyDescent="0.3">
      <c r="A32" s="26"/>
      <c r="B32" s="38" t="s">
        <v>314</v>
      </c>
      <c r="C32" s="39"/>
      <c r="D32" s="44" t="s">
        <v>315</v>
      </c>
      <c r="E32" s="41"/>
      <c r="F32" s="41"/>
      <c r="G32" s="42"/>
      <c r="H32" s="8"/>
      <c r="I32" s="33"/>
      <c r="J32" s="8"/>
      <c r="K32" s="8"/>
      <c r="L32" s="36"/>
      <c r="M32" s="37"/>
    </row>
    <row r="33" spans="1:13" s="2" customFormat="1" ht="14.1" customHeight="1" x14ac:dyDescent="0.3">
      <c r="A33" s="26">
        <v>16</v>
      </c>
      <c r="B33" s="28" t="s">
        <v>327</v>
      </c>
      <c r="C33" s="29"/>
      <c r="D33" s="30"/>
      <c r="E33" s="31"/>
      <c r="F33" s="31"/>
      <c r="G33" s="32"/>
      <c r="H33" s="10">
        <f>SUM(I33)-0.4</f>
        <v>8.1999999999999993</v>
      </c>
      <c r="I33" s="33">
        <v>8.6</v>
      </c>
      <c r="J33" s="10">
        <f>SUM(I33)+0.4</f>
        <v>9</v>
      </c>
      <c r="K33" s="10"/>
      <c r="L33" s="8"/>
      <c r="M33" s="12"/>
    </row>
    <row r="34" spans="1:13" s="2" customFormat="1" ht="14.1" customHeight="1" x14ac:dyDescent="0.3">
      <c r="A34" s="26"/>
      <c r="B34" s="38" t="s">
        <v>312</v>
      </c>
      <c r="C34" s="39"/>
      <c r="D34" s="44" t="s">
        <v>328</v>
      </c>
      <c r="E34" s="41"/>
      <c r="F34" s="41"/>
      <c r="G34" s="42"/>
      <c r="H34" s="8"/>
      <c r="I34" s="33"/>
      <c r="J34" s="8"/>
      <c r="K34" s="8"/>
      <c r="L34" s="36"/>
      <c r="M34" s="37"/>
    </row>
    <row r="35" spans="1:13" s="2" customFormat="1" ht="14.1" customHeight="1" x14ac:dyDescent="0.3">
      <c r="A35" s="26">
        <v>17</v>
      </c>
      <c r="B35" s="28" t="s">
        <v>327</v>
      </c>
      <c r="C35" s="29"/>
      <c r="D35" s="30"/>
      <c r="E35" s="31"/>
      <c r="F35" s="31"/>
      <c r="G35" s="32"/>
      <c r="H35" s="10">
        <f>SUM(I35)-0.4</f>
        <v>10.4</v>
      </c>
      <c r="I35" s="33">
        <v>10.8</v>
      </c>
      <c r="J35" s="10">
        <f>SUM(I35)+0.4</f>
        <v>11.200000000000001</v>
      </c>
      <c r="K35" s="10"/>
      <c r="L35" s="25"/>
      <c r="M35" s="19"/>
    </row>
    <row r="36" spans="1:13" s="2" customFormat="1" ht="14.1" customHeight="1" x14ac:dyDescent="0.3">
      <c r="A36" s="26"/>
      <c r="B36" s="38" t="s">
        <v>312</v>
      </c>
      <c r="C36" s="39"/>
      <c r="D36" s="44" t="s">
        <v>329</v>
      </c>
      <c r="E36" s="41"/>
      <c r="F36" s="41"/>
      <c r="G36" s="42"/>
      <c r="H36" s="10"/>
      <c r="I36" s="33"/>
      <c r="J36" s="10"/>
      <c r="K36" s="10"/>
      <c r="L36" s="25"/>
      <c r="M36" s="19"/>
    </row>
    <row r="37" spans="1:13" ht="14.1" customHeight="1" x14ac:dyDescent="0.3">
      <c r="A37" s="26">
        <v>18</v>
      </c>
      <c r="B37" s="28"/>
      <c r="C37" s="29"/>
      <c r="D37" s="50"/>
      <c r="E37" s="51"/>
      <c r="F37" s="51"/>
      <c r="G37" s="52"/>
      <c r="H37" s="36"/>
      <c r="I37" s="43"/>
      <c r="J37" s="36"/>
      <c r="K37" s="36"/>
      <c r="L37" s="8"/>
      <c r="M37" s="12"/>
    </row>
    <row r="38" spans="1:13" ht="14.1" customHeight="1" thickBot="1" x14ac:dyDescent="0.35">
      <c r="A38" s="27"/>
      <c r="B38" s="14"/>
      <c r="C38" s="15"/>
      <c r="D38" s="16"/>
      <c r="E38" s="17"/>
      <c r="F38" s="17"/>
      <c r="G38" s="18"/>
      <c r="H38" s="11"/>
      <c r="I38" s="34"/>
      <c r="J38" s="11"/>
      <c r="K38" s="11"/>
      <c r="L38" s="9"/>
      <c r="M38" s="13"/>
    </row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  <row r="49" spans="2:7" x14ac:dyDescent="0.3">
      <c r="B49" s="1"/>
      <c r="C49" s="1"/>
      <c r="D49" s="1"/>
      <c r="E49" s="1"/>
      <c r="F49" s="1"/>
      <c r="G49" s="1"/>
    </row>
    <row r="50" spans="2:7" x14ac:dyDescent="0.3">
      <c r="B50" s="1"/>
      <c r="C50" s="1"/>
      <c r="D50" s="1"/>
      <c r="E50" s="1"/>
      <c r="F50" s="1"/>
      <c r="G50" s="1"/>
    </row>
  </sheetData>
  <mergeCells count="201">
    <mergeCell ref="K37:K38"/>
    <mergeCell ref="L37:L38"/>
    <mergeCell ref="M37:M38"/>
    <mergeCell ref="B38:C38"/>
    <mergeCell ref="D38:G38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8B9A-47F6-4C2D-A97C-A6E43C224CBE}">
  <sheetPr>
    <tabColor rgb="FF92D050"/>
  </sheetPr>
  <dimension ref="A1:M48"/>
  <sheetViews>
    <sheetView zoomScale="110" zoomScaleNormal="110" zoomScalePageLayoutView="110" workbookViewId="0">
      <selection activeCell="Q17" sqref="Q17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299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58">
        <v>1</v>
      </c>
      <c r="B3" s="65" t="s">
        <v>64</v>
      </c>
      <c r="C3" s="65"/>
      <c r="D3" s="66" t="s">
        <v>63</v>
      </c>
      <c r="E3" s="66"/>
      <c r="F3" s="66"/>
      <c r="G3" s="67"/>
      <c r="H3" s="76">
        <f>SUM(I3-3)</f>
        <v>40.299999999999997</v>
      </c>
      <c r="I3" s="59">
        <v>43.3</v>
      </c>
      <c r="J3" s="60">
        <f>SUM(I3)+3</f>
        <v>46.3</v>
      </c>
      <c r="K3" s="60"/>
      <c r="L3" s="62"/>
      <c r="M3" s="61"/>
    </row>
    <row r="4" spans="1:13" s="2" customFormat="1" ht="14.1" customHeight="1" x14ac:dyDescent="0.3">
      <c r="A4" s="26"/>
      <c r="B4" s="47" t="s">
        <v>62</v>
      </c>
      <c r="C4" s="47"/>
      <c r="D4" s="44" t="s">
        <v>300</v>
      </c>
      <c r="E4" s="41"/>
      <c r="F4" s="41"/>
      <c r="G4" s="41"/>
      <c r="H4" s="45"/>
      <c r="I4" s="33"/>
      <c r="J4" s="10"/>
      <c r="K4" s="10"/>
      <c r="L4" s="36"/>
      <c r="M4" s="37"/>
    </row>
    <row r="5" spans="1:13" s="2" customFormat="1" ht="14.1" customHeight="1" x14ac:dyDescent="0.3">
      <c r="A5" s="26">
        <v>2</v>
      </c>
      <c r="B5" s="28" t="s">
        <v>21</v>
      </c>
      <c r="C5" s="29"/>
      <c r="D5" s="50" t="s">
        <v>22</v>
      </c>
      <c r="E5" s="51"/>
      <c r="F5" s="51"/>
      <c r="G5" s="52"/>
      <c r="H5" s="63">
        <f>SUM(I5-2)</f>
        <v>31</v>
      </c>
      <c r="I5" s="35">
        <v>33</v>
      </c>
      <c r="J5" s="8">
        <f>SUM(I5)+2</f>
        <v>35</v>
      </c>
      <c r="K5" s="8"/>
      <c r="L5" s="10"/>
      <c r="M5" s="46"/>
    </row>
    <row r="6" spans="1:13" s="2" customFormat="1" ht="14.1" customHeight="1" x14ac:dyDescent="0.3">
      <c r="A6" s="26"/>
      <c r="B6" s="38" t="s">
        <v>12</v>
      </c>
      <c r="C6" s="39"/>
      <c r="D6" s="44" t="s">
        <v>25</v>
      </c>
      <c r="E6" s="41"/>
      <c r="F6" s="41"/>
      <c r="G6" s="42"/>
      <c r="H6" s="64"/>
      <c r="I6" s="43"/>
      <c r="J6" s="36"/>
      <c r="K6" s="36"/>
      <c r="L6" s="10"/>
      <c r="M6" s="46"/>
    </row>
    <row r="7" spans="1:13" s="2" customFormat="1" ht="14.1" customHeight="1" x14ac:dyDescent="0.3">
      <c r="A7" s="26">
        <v>3</v>
      </c>
      <c r="B7" s="48" t="s">
        <v>20</v>
      </c>
      <c r="C7" s="48"/>
      <c r="D7" s="49" t="s">
        <v>11</v>
      </c>
      <c r="E7" s="49"/>
      <c r="F7" s="49"/>
      <c r="G7" s="49"/>
      <c r="H7" s="63">
        <f>SUM(I7-2.5)</f>
        <v>37.5</v>
      </c>
      <c r="I7" s="35">
        <v>40</v>
      </c>
      <c r="J7" s="8">
        <f>SUM(I7)+2.5</f>
        <v>42.5</v>
      </c>
      <c r="K7" s="8"/>
      <c r="L7" s="8"/>
      <c r="M7" s="46"/>
    </row>
    <row r="8" spans="1:13" s="2" customFormat="1" ht="14.1" customHeight="1" x14ac:dyDescent="0.3">
      <c r="A8" s="26"/>
      <c r="B8" s="47" t="s">
        <v>23</v>
      </c>
      <c r="C8" s="47"/>
      <c r="D8" s="44" t="s">
        <v>26</v>
      </c>
      <c r="E8" s="41"/>
      <c r="F8" s="41"/>
      <c r="G8" s="42"/>
      <c r="H8" s="64"/>
      <c r="I8" s="43"/>
      <c r="J8" s="36"/>
      <c r="K8" s="36"/>
      <c r="L8" s="36"/>
      <c r="M8" s="46"/>
    </row>
    <row r="9" spans="1:13" s="2" customFormat="1" ht="14.1" customHeight="1" x14ac:dyDescent="0.3">
      <c r="A9" s="26">
        <v>4</v>
      </c>
      <c r="B9" s="48" t="s">
        <v>24</v>
      </c>
      <c r="C9" s="48"/>
      <c r="D9" s="49" t="s">
        <v>9</v>
      </c>
      <c r="E9" s="49"/>
      <c r="F9" s="49"/>
      <c r="G9" s="49"/>
      <c r="H9" s="63">
        <f>SUM(I9-2.3)</f>
        <v>34.700000000000003</v>
      </c>
      <c r="I9" s="35">
        <v>37</v>
      </c>
      <c r="J9" s="8">
        <f>SUM(I9)+2.3</f>
        <v>39.299999999999997</v>
      </c>
      <c r="K9" s="8"/>
      <c r="L9" s="10"/>
      <c r="M9" s="46"/>
    </row>
    <row r="10" spans="1:13" s="2" customFormat="1" ht="14.1" customHeight="1" x14ac:dyDescent="0.3">
      <c r="A10" s="26"/>
      <c r="B10" s="47" t="s">
        <v>13</v>
      </c>
      <c r="C10" s="47"/>
      <c r="D10" s="44" t="s">
        <v>27</v>
      </c>
      <c r="E10" s="41"/>
      <c r="F10" s="41"/>
      <c r="G10" s="42"/>
      <c r="H10" s="64"/>
      <c r="I10" s="43"/>
      <c r="J10" s="36"/>
      <c r="K10" s="36"/>
      <c r="L10" s="10"/>
      <c r="M10" s="46"/>
    </row>
    <row r="11" spans="1:13" s="2" customFormat="1" ht="14.1" customHeight="1" x14ac:dyDescent="0.3">
      <c r="A11" s="26">
        <v>5</v>
      </c>
      <c r="B11" s="48" t="s">
        <v>10</v>
      </c>
      <c r="C11" s="48"/>
      <c r="D11" s="49" t="s">
        <v>0</v>
      </c>
      <c r="E11" s="49"/>
      <c r="F11" s="49"/>
      <c r="G11" s="49"/>
      <c r="H11" s="45">
        <f>SUM(I11-1)</f>
        <v>16.5</v>
      </c>
      <c r="I11" s="33">
        <v>17.5</v>
      </c>
      <c r="J11" s="10">
        <f>SUM(I11)+1</f>
        <v>18.5</v>
      </c>
      <c r="K11" s="10"/>
      <c r="L11" s="10"/>
      <c r="M11" s="46"/>
    </row>
    <row r="12" spans="1:13" s="2" customFormat="1" ht="14.1" customHeight="1" x14ac:dyDescent="0.3">
      <c r="A12" s="26"/>
      <c r="B12" s="47" t="s">
        <v>14</v>
      </c>
      <c r="C12" s="47"/>
      <c r="D12" s="44" t="s">
        <v>28</v>
      </c>
      <c r="E12" s="41"/>
      <c r="F12" s="41"/>
      <c r="G12" s="42"/>
      <c r="H12" s="45"/>
      <c r="I12" s="33"/>
      <c r="J12" s="10"/>
      <c r="K12" s="10"/>
      <c r="L12" s="10"/>
      <c r="M12" s="46"/>
    </row>
    <row r="13" spans="1:13" s="2" customFormat="1" ht="14.1" customHeight="1" x14ac:dyDescent="0.3">
      <c r="A13" s="26">
        <v>6</v>
      </c>
      <c r="B13" s="48" t="s">
        <v>1</v>
      </c>
      <c r="C13" s="48"/>
      <c r="D13" s="49" t="s">
        <v>137</v>
      </c>
      <c r="E13" s="49"/>
      <c r="F13" s="49"/>
      <c r="G13" s="49"/>
      <c r="H13" s="45">
        <f>SUM(I13-0.6)</f>
        <v>13.9</v>
      </c>
      <c r="I13" s="33">
        <v>14.5</v>
      </c>
      <c r="J13" s="10">
        <f>SUM(I13)+0.6</f>
        <v>15.1</v>
      </c>
      <c r="K13" s="10"/>
      <c r="L13" s="10"/>
      <c r="M13" s="46"/>
    </row>
    <row r="14" spans="1:13" s="2" customFormat="1" ht="14.1" customHeight="1" x14ac:dyDescent="0.3">
      <c r="A14" s="26"/>
      <c r="B14" s="47" t="s">
        <v>15</v>
      </c>
      <c r="C14" s="47"/>
      <c r="D14" s="44" t="s">
        <v>132</v>
      </c>
      <c r="E14" s="41"/>
      <c r="F14" s="41"/>
      <c r="G14" s="42"/>
      <c r="H14" s="45"/>
      <c r="I14" s="33"/>
      <c r="J14" s="10"/>
      <c r="K14" s="10"/>
      <c r="L14" s="10"/>
      <c r="M14" s="46"/>
    </row>
    <row r="15" spans="1:13" s="2" customFormat="1" ht="14.1" customHeight="1" x14ac:dyDescent="0.3">
      <c r="A15" s="26">
        <v>7</v>
      </c>
      <c r="B15" s="48" t="s">
        <v>3</v>
      </c>
      <c r="C15" s="48"/>
      <c r="D15" s="49" t="s">
        <v>4</v>
      </c>
      <c r="E15" s="49"/>
      <c r="F15" s="49"/>
      <c r="G15" s="49"/>
      <c r="H15" s="45">
        <f>SUM(I15-0.3)</f>
        <v>6.7</v>
      </c>
      <c r="I15" s="33">
        <v>7</v>
      </c>
      <c r="J15" s="10">
        <f>SUM(I15)+0.3</f>
        <v>7.3</v>
      </c>
      <c r="K15" s="10"/>
      <c r="L15" s="10"/>
      <c r="M15" s="46"/>
    </row>
    <row r="16" spans="1:13" s="2" customFormat="1" ht="14.1" customHeight="1" x14ac:dyDescent="0.3">
      <c r="A16" s="26"/>
      <c r="B16" s="47" t="s">
        <v>16</v>
      </c>
      <c r="C16" s="47"/>
      <c r="D16" s="44" t="s">
        <v>131</v>
      </c>
      <c r="E16" s="41"/>
      <c r="F16" s="41"/>
      <c r="G16" s="42"/>
      <c r="H16" s="45"/>
      <c r="I16" s="33"/>
      <c r="J16" s="10"/>
      <c r="K16" s="10"/>
      <c r="L16" s="10"/>
      <c r="M16" s="46"/>
    </row>
    <row r="17" spans="1:13" s="2" customFormat="1" ht="14.1" customHeight="1" x14ac:dyDescent="0.3">
      <c r="A17" s="26">
        <v>8</v>
      </c>
      <c r="B17" s="28" t="s">
        <v>56</v>
      </c>
      <c r="C17" s="29"/>
      <c r="D17" s="50" t="s">
        <v>58</v>
      </c>
      <c r="E17" s="51"/>
      <c r="F17" s="51"/>
      <c r="G17" s="52"/>
      <c r="H17" s="45">
        <f>SUM(I17-1.6)</f>
        <v>40.4</v>
      </c>
      <c r="I17" s="33">
        <v>42</v>
      </c>
      <c r="J17" s="10">
        <f>SUM(I17)+1.6</f>
        <v>43.6</v>
      </c>
      <c r="K17" s="10"/>
      <c r="L17" s="10"/>
      <c r="M17" s="46"/>
    </row>
    <row r="18" spans="1:13" s="2" customFormat="1" ht="14.1" customHeight="1" x14ac:dyDescent="0.3">
      <c r="A18" s="26"/>
      <c r="B18" s="47" t="s">
        <v>57</v>
      </c>
      <c r="C18" s="47"/>
      <c r="D18" s="44" t="s">
        <v>130</v>
      </c>
      <c r="E18" s="41"/>
      <c r="F18" s="41"/>
      <c r="G18" s="42"/>
      <c r="H18" s="45"/>
      <c r="I18" s="33"/>
      <c r="J18" s="10"/>
      <c r="K18" s="10"/>
      <c r="L18" s="10"/>
      <c r="M18" s="46"/>
    </row>
    <row r="19" spans="1:13" s="2" customFormat="1" ht="14.1" customHeight="1" x14ac:dyDescent="0.3">
      <c r="A19" s="26">
        <v>9</v>
      </c>
      <c r="B19" s="48" t="s">
        <v>5</v>
      </c>
      <c r="C19" s="48"/>
      <c r="D19" s="49" t="s">
        <v>6</v>
      </c>
      <c r="E19" s="49"/>
      <c r="F19" s="49"/>
      <c r="G19" s="49"/>
      <c r="H19" s="45">
        <f>SUM(I19-3)</f>
        <v>51.5</v>
      </c>
      <c r="I19" s="33">
        <v>54.5</v>
      </c>
      <c r="J19" s="10">
        <f>SUM(I19)+3</f>
        <v>57.5</v>
      </c>
      <c r="K19" s="10"/>
      <c r="L19" s="10"/>
      <c r="M19" s="46"/>
    </row>
    <row r="20" spans="1:13" s="2" customFormat="1" ht="14.1" customHeight="1" x14ac:dyDescent="0.3">
      <c r="A20" s="26"/>
      <c r="B20" s="47" t="s">
        <v>17</v>
      </c>
      <c r="C20" s="47"/>
      <c r="D20" s="44" t="s">
        <v>29</v>
      </c>
      <c r="E20" s="41"/>
      <c r="F20" s="41"/>
      <c r="G20" s="42"/>
      <c r="H20" s="45"/>
      <c r="I20" s="33"/>
      <c r="J20" s="10"/>
      <c r="K20" s="10"/>
      <c r="L20" s="10"/>
      <c r="M20" s="46"/>
    </row>
    <row r="21" spans="1:13" s="2" customFormat="1" ht="14.1" customHeight="1" x14ac:dyDescent="0.3">
      <c r="A21" s="26">
        <v>10</v>
      </c>
      <c r="B21" s="48" t="s">
        <v>7</v>
      </c>
      <c r="C21" s="48"/>
      <c r="D21" s="50" t="s">
        <v>8</v>
      </c>
      <c r="E21" s="51"/>
      <c r="F21" s="51"/>
      <c r="G21" s="52"/>
      <c r="H21" s="45">
        <f>SUM(I21-1.6)</f>
        <v>26.4</v>
      </c>
      <c r="I21" s="33">
        <v>28</v>
      </c>
      <c r="J21" s="10">
        <f>SUM(I21)+1.6</f>
        <v>29.6</v>
      </c>
      <c r="K21" s="10"/>
      <c r="L21" s="10"/>
      <c r="M21" s="46"/>
    </row>
    <row r="22" spans="1:13" s="2" customFormat="1" ht="14.1" customHeight="1" x14ac:dyDescent="0.3">
      <c r="A22" s="26"/>
      <c r="B22" s="47" t="s">
        <v>18</v>
      </c>
      <c r="C22" s="47"/>
      <c r="D22" s="44" t="s">
        <v>36</v>
      </c>
      <c r="E22" s="41"/>
      <c r="F22" s="41"/>
      <c r="G22" s="42"/>
      <c r="H22" s="45"/>
      <c r="I22" s="33"/>
      <c r="J22" s="10"/>
      <c r="K22" s="10"/>
      <c r="L22" s="10"/>
      <c r="M22" s="46"/>
    </row>
    <row r="23" spans="1:13" s="2" customFormat="1" ht="14.1" customHeight="1" x14ac:dyDescent="0.3">
      <c r="A23" s="26">
        <v>11</v>
      </c>
      <c r="B23" s="28" t="s">
        <v>59</v>
      </c>
      <c r="C23" s="29"/>
      <c r="D23" s="49" t="s">
        <v>37</v>
      </c>
      <c r="E23" s="49"/>
      <c r="F23" s="49"/>
      <c r="G23" s="49"/>
      <c r="H23" s="45">
        <f>SUM(I23-1)</f>
        <v>17</v>
      </c>
      <c r="I23" s="33">
        <v>18</v>
      </c>
      <c r="J23" s="10">
        <f>SUM(I23)+1</f>
        <v>19</v>
      </c>
      <c r="K23" s="10"/>
      <c r="L23" s="10"/>
      <c r="M23" s="46"/>
    </row>
    <row r="24" spans="1:13" s="2" customFormat="1" ht="14.1" customHeight="1" x14ac:dyDescent="0.3">
      <c r="A24" s="26"/>
      <c r="B24" s="47" t="s">
        <v>19</v>
      </c>
      <c r="C24" s="47"/>
      <c r="D24" s="44" t="s">
        <v>38</v>
      </c>
      <c r="E24" s="41"/>
      <c r="F24" s="41"/>
      <c r="G24" s="42"/>
      <c r="H24" s="45"/>
      <c r="I24" s="33"/>
      <c r="J24" s="10"/>
      <c r="K24" s="10"/>
      <c r="L24" s="10"/>
      <c r="M24" s="46"/>
    </row>
    <row r="25" spans="1:13" s="2" customFormat="1" ht="14.1" customHeight="1" x14ac:dyDescent="0.3">
      <c r="A25" s="26">
        <v>12</v>
      </c>
      <c r="B25" s="28" t="s">
        <v>136</v>
      </c>
      <c r="C25" s="29"/>
      <c r="D25" s="30"/>
      <c r="E25" s="31"/>
      <c r="F25" s="31"/>
      <c r="G25" s="32"/>
      <c r="H25" s="45">
        <f>SUM(I25-0.3)</f>
        <v>5.7</v>
      </c>
      <c r="I25" s="33">
        <v>6</v>
      </c>
      <c r="J25" s="10">
        <f>SUM(I25)+0.3</f>
        <v>6.3</v>
      </c>
      <c r="K25" s="10"/>
      <c r="L25" s="8"/>
      <c r="M25" s="12"/>
    </row>
    <row r="26" spans="1:13" s="2" customFormat="1" ht="14.1" customHeight="1" x14ac:dyDescent="0.3">
      <c r="A26" s="26"/>
      <c r="B26" s="20" t="s">
        <v>135</v>
      </c>
      <c r="C26" s="21"/>
      <c r="D26" s="22" t="s">
        <v>220</v>
      </c>
      <c r="E26" s="23"/>
      <c r="F26" s="23"/>
      <c r="G26" s="24"/>
      <c r="H26" s="63"/>
      <c r="I26" s="35"/>
      <c r="J26" s="8"/>
      <c r="K26" s="8"/>
      <c r="L26" s="25"/>
      <c r="M26" s="19"/>
    </row>
    <row r="27" spans="1:13" s="2" customFormat="1" ht="14.1" customHeight="1" x14ac:dyDescent="0.3">
      <c r="A27" s="26">
        <v>13</v>
      </c>
      <c r="B27" s="28"/>
      <c r="C27" s="29"/>
      <c r="D27" s="30"/>
      <c r="E27" s="31"/>
      <c r="F27" s="31"/>
      <c r="G27" s="32"/>
      <c r="H27" s="45"/>
      <c r="I27" s="33"/>
      <c r="J27" s="10"/>
      <c r="K27" s="10"/>
      <c r="L27" s="8"/>
      <c r="M27" s="12"/>
    </row>
    <row r="28" spans="1:13" s="2" customFormat="1" ht="14.1" customHeight="1" x14ac:dyDescent="0.3">
      <c r="A28" s="26"/>
      <c r="B28" s="20"/>
      <c r="C28" s="21"/>
      <c r="D28" s="22"/>
      <c r="E28" s="23"/>
      <c r="F28" s="23"/>
      <c r="G28" s="24"/>
      <c r="H28" s="63"/>
      <c r="I28" s="35"/>
      <c r="J28" s="8"/>
      <c r="K28" s="8"/>
      <c r="L28" s="25"/>
      <c r="M28" s="19"/>
    </row>
    <row r="29" spans="1:13" s="2" customFormat="1" ht="14.1" customHeight="1" x14ac:dyDescent="0.3">
      <c r="A29" s="26">
        <v>14</v>
      </c>
      <c r="B29" s="28"/>
      <c r="C29" s="29"/>
      <c r="D29" s="30"/>
      <c r="E29" s="31"/>
      <c r="F29" s="31"/>
      <c r="G29" s="32"/>
      <c r="H29" s="45"/>
      <c r="I29" s="33"/>
      <c r="J29" s="10"/>
      <c r="K29" s="10"/>
      <c r="L29" s="8"/>
      <c r="M29" s="12"/>
    </row>
    <row r="30" spans="1:13" s="2" customFormat="1" ht="14.1" customHeight="1" x14ac:dyDescent="0.3">
      <c r="A30" s="26"/>
      <c r="B30" s="38"/>
      <c r="C30" s="39"/>
      <c r="D30" s="44"/>
      <c r="E30" s="41"/>
      <c r="F30" s="41"/>
      <c r="G30" s="42"/>
      <c r="H30" s="45"/>
      <c r="I30" s="33"/>
      <c r="J30" s="10"/>
      <c r="K30" s="10"/>
      <c r="L30" s="36"/>
      <c r="M30" s="37"/>
    </row>
    <row r="31" spans="1:13" s="2" customFormat="1" ht="14.1" customHeight="1" x14ac:dyDescent="0.3">
      <c r="A31" s="26">
        <v>15</v>
      </c>
      <c r="B31" s="28"/>
      <c r="C31" s="29"/>
      <c r="D31" s="50"/>
      <c r="E31" s="51"/>
      <c r="F31" s="51"/>
      <c r="G31" s="52"/>
      <c r="H31" s="45"/>
      <c r="I31" s="33"/>
      <c r="J31" s="10"/>
      <c r="K31" s="10"/>
      <c r="L31" s="8"/>
      <c r="M31" s="12"/>
    </row>
    <row r="32" spans="1:13" s="2" customFormat="1" ht="14.1" customHeight="1" x14ac:dyDescent="0.3">
      <c r="A32" s="26"/>
      <c r="B32" s="20"/>
      <c r="C32" s="21"/>
      <c r="D32" s="44"/>
      <c r="E32" s="41"/>
      <c r="F32" s="41"/>
      <c r="G32" s="42"/>
      <c r="H32" s="45"/>
      <c r="I32" s="33"/>
      <c r="J32" s="10"/>
      <c r="K32" s="10"/>
      <c r="L32" s="36"/>
      <c r="M32" s="37"/>
    </row>
    <row r="33" spans="1:13" s="2" customFormat="1" ht="14.1" customHeight="1" x14ac:dyDescent="0.3">
      <c r="A33" s="26">
        <v>16</v>
      </c>
      <c r="B33" s="28"/>
      <c r="C33" s="29"/>
      <c r="D33" s="50"/>
      <c r="E33" s="51"/>
      <c r="F33" s="51"/>
      <c r="G33" s="52"/>
      <c r="H33" s="64"/>
      <c r="I33" s="43"/>
      <c r="J33" s="10"/>
      <c r="K33" s="10"/>
      <c r="L33" s="25"/>
      <c r="M33" s="19"/>
    </row>
    <row r="34" spans="1:13" s="2" customFormat="1" ht="14.1" customHeight="1" x14ac:dyDescent="0.3">
      <c r="A34" s="26"/>
      <c r="B34" s="20"/>
      <c r="C34" s="21"/>
      <c r="D34" s="22"/>
      <c r="E34" s="23"/>
      <c r="F34" s="23"/>
      <c r="G34" s="24"/>
      <c r="H34" s="63"/>
      <c r="I34" s="35"/>
      <c r="J34" s="10"/>
      <c r="K34" s="10"/>
      <c r="L34" s="25"/>
      <c r="M34" s="19"/>
    </row>
    <row r="35" spans="1:13" s="2" customFormat="1" ht="14.1" customHeight="1" x14ac:dyDescent="0.3">
      <c r="A35" s="26">
        <v>17</v>
      </c>
      <c r="B35" s="28"/>
      <c r="C35" s="29"/>
      <c r="D35" s="50"/>
      <c r="E35" s="51"/>
      <c r="F35" s="51"/>
      <c r="G35" s="52"/>
      <c r="H35" s="45"/>
      <c r="I35" s="33"/>
      <c r="J35" s="36"/>
      <c r="K35" s="36"/>
      <c r="L35" s="8"/>
      <c r="M35" s="12"/>
    </row>
    <row r="36" spans="1:13" s="2" customFormat="1" ht="14.1" customHeight="1" thickBot="1" x14ac:dyDescent="0.35">
      <c r="A36" s="27"/>
      <c r="B36" s="14"/>
      <c r="C36" s="15"/>
      <c r="D36" s="16"/>
      <c r="E36" s="17"/>
      <c r="F36" s="17"/>
      <c r="G36" s="18"/>
      <c r="H36" s="72"/>
      <c r="I36" s="34"/>
      <c r="J36" s="11"/>
      <c r="K36" s="11"/>
      <c r="L36" s="9"/>
      <c r="M36" s="13"/>
    </row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>
      <c r="B45" s="1"/>
      <c r="C45" s="1"/>
      <c r="D45" s="1"/>
      <c r="E45" s="1"/>
      <c r="F45" s="1"/>
      <c r="G45" s="1"/>
    </row>
    <row r="46" spans="1:13" ht="14.1" customHeight="1" x14ac:dyDescent="0.3">
      <c r="B46" s="1"/>
      <c r="C46" s="1"/>
      <c r="D46" s="1"/>
      <c r="E46" s="1"/>
      <c r="F46" s="1"/>
      <c r="G46" s="1"/>
    </row>
    <row r="47" spans="1:13" ht="14.1" customHeight="1" x14ac:dyDescent="0.3">
      <c r="B47" s="1"/>
      <c r="C47" s="1"/>
      <c r="D47" s="1"/>
      <c r="E47" s="1"/>
      <c r="F47" s="1"/>
      <c r="G47" s="1"/>
    </row>
    <row r="48" spans="1:13" x14ac:dyDescent="0.3">
      <c r="B48" s="1"/>
      <c r="C48" s="1"/>
      <c r="D48" s="1"/>
      <c r="E48" s="1"/>
      <c r="F48" s="1"/>
      <c r="G48" s="1"/>
    </row>
  </sheetData>
  <mergeCells count="190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</mergeCells>
  <phoneticPr fontId="17" type="noConversion"/>
  <pageMargins left="0.43307086614173229" right="0.43307086614173229" top="0.74803149606299213" bottom="0.74803149606299213" header="0.31496062992125984" footer="0.31496062992125984"/>
  <pageSetup paperSize="9" scale="9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EC38F-AED8-4E14-9AF1-967B3160629C}">
  <sheetPr>
    <tabColor rgb="FF92D050"/>
    <pageSetUpPr fitToPage="1"/>
  </sheetPr>
  <dimension ref="A1:P49"/>
  <sheetViews>
    <sheetView zoomScale="110" zoomScaleNormal="110" workbookViewId="0">
      <selection activeCell="P38" sqref="P38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244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320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98" t="s">
        <v>115</v>
      </c>
      <c r="C3" s="99"/>
      <c r="D3" s="67" t="s">
        <v>75</v>
      </c>
      <c r="E3" s="100"/>
      <c r="F3" s="100"/>
      <c r="G3" s="101"/>
      <c r="H3" s="62">
        <f>SUM(I3)-2.5</f>
        <v>61.5</v>
      </c>
      <c r="I3" s="104">
        <v>64</v>
      </c>
      <c r="J3" s="62">
        <f>SUM(I3)+2.5</f>
        <v>66.5</v>
      </c>
      <c r="K3" s="62"/>
      <c r="L3" s="62"/>
      <c r="M3" s="61"/>
    </row>
    <row r="4" spans="1:13" s="2" customFormat="1" ht="14.1" customHeight="1" x14ac:dyDescent="0.3">
      <c r="A4" s="103"/>
      <c r="B4" s="105" t="s">
        <v>114</v>
      </c>
      <c r="C4" s="106"/>
      <c r="D4" s="107" t="s">
        <v>74</v>
      </c>
      <c r="E4" s="108"/>
      <c r="F4" s="108"/>
      <c r="G4" s="109"/>
      <c r="H4" s="36"/>
      <c r="I4" s="43"/>
      <c r="J4" s="36"/>
      <c r="K4" s="36"/>
      <c r="L4" s="36"/>
      <c r="M4" s="37"/>
    </row>
    <row r="5" spans="1:13" s="2" customFormat="1" ht="14.1" customHeight="1" x14ac:dyDescent="0.3">
      <c r="A5" s="110">
        <v>2</v>
      </c>
      <c r="B5" s="28" t="s">
        <v>113</v>
      </c>
      <c r="C5" s="29"/>
      <c r="D5" s="50"/>
      <c r="E5" s="51"/>
      <c r="F5" s="51"/>
      <c r="G5" s="52"/>
      <c r="H5" s="25"/>
      <c r="I5" s="111"/>
      <c r="J5" s="25"/>
      <c r="K5" s="25"/>
      <c r="L5" s="25"/>
      <c r="M5" s="19"/>
    </row>
    <row r="6" spans="1:13" s="2" customFormat="1" ht="14.1" customHeight="1" x14ac:dyDescent="0.3">
      <c r="A6" s="103"/>
      <c r="B6" s="105" t="s">
        <v>112</v>
      </c>
      <c r="C6" s="106"/>
      <c r="D6" s="107"/>
      <c r="E6" s="108"/>
      <c r="F6" s="108"/>
      <c r="G6" s="109"/>
      <c r="H6" s="36"/>
      <c r="I6" s="43"/>
      <c r="J6" s="36"/>
      <c r="K6" s="36"/>
      <c r="L6" s="36"/>
      <c r="M6" s="37"/>
    </row>
    <row r="7" spans="1:13" s="2" customFormat="1" ht="14.1" customHeight="1" x14ac:dyDescent="0.3">
      <c r="A7" s="110">
        <v>3</v>
      </c>
      <c r="B7" s="28" t="s">
        <v>73</v>
      </c>
      <c r="C7" s="29"/>
      <c r="D7" s="50"/>
      <c r="E7" s="51"/>
      <c r="F7" s="51"/>
      <c r="G7" s="52"/>
      <c r="H7" s="25"/>
      <c r="I7" s="111"/>
      <c r="J7" s="25"/>
      <c r="K7" s="25"/>
      <c r="L7" s="25"/>
      <c r="M7" s="19"/>
    </row>
    <row r="8" spans="1:13" s="2" customFormat="1" ht="14.1" customHeight="1" x14ac:dyDescent="0.3">
      <c r="A8" s="103"/>
      <c r="B8" s="105" t="s">
        <v>111</v>
      </c>
      <c r="C8" s="106"/>
      <c r="D8" s="107"/>
      <c r="E8" s="108"/>
      <c r="F8" s="108"/>
      <c r="G8" s="109"/>
      <c r="H8" s="36"/>
      <c r="I8" s="43"/>
      <c r="J8" s="36"/>
      <c r="K8" s="36"/>
      <c r="L8" s="36"/>
      <c r="M8" s="37"/>
    </row>
    <row r="9" spans="1:13" s="2" customFormat="1" ht="14.1" customHeight="1" x14ac:dyDescent="0.3">
      <c r="A9" s="110">
        <v>4</v>
      </c>
      <c r="B9" s="28" t="s">
        <v>110</v>
      </c>
      <c r="C9" s="29"/>
      <c r="D9" s="112" t="s">
        <v>209</v>
      </c>
      <c r="E9" s="113"/>
      <c r="F9" s="113"/>
      <c r="G9" s="114"/>
      <c r="H9" s="25"/>
      <c r="I9" s="111"/>
      <c r="J9" s="25"/>
      <c r="K9" s="25"/>
      <c r="L9" s="8"/>
      <c r="M9" s="12"/>
    </row>
    <row r="10" spans="1:13" s="2" customFormat="1" ht="14.1" customHeight="1" x14ac:dyDescent="0.3">
      <c r="A10" s="103"/>
      <c r="B10" s="105" t="s">
        <v>109</v>
      </c>
      <c r="C10" s="106"/>
      <c r="D10" s="115" t="s">
        <v>210</v>
      </c>
      <c r="E10" s="116"/>
      <c r="F10" s="116"/>
      <c r="G10" s="117"/>
      <c r="H10" s="36"/>
      <c r="I10" s="43"/>
      <c r="J10" s="36"/>
      <c r="K10" s="36"/>
      <c r="L10" s="36"/>
      <c r="M10" s="37"/>
    </row>
    <row r="11" spans="1:13" s="2" customFormat="1" ht="14.1" customHeight="1" x14ac:dyDescent="0.3">
      <c r="A11" s="110">
        <v>5</v>
      </c>
      <c r="B11" s="28" t="s">
        <v>85</v>
      </c>
      <c r="C11" s="29"/>
      <c r="D11" s="22"/>
      <c r="E11" s="23"/>
      <c r="F11" s="23"/>
      <c r="G11" s="24"/>
      <c r="H11" s="25">
        <f>SUM(I11)-4.5</f>
        <v>82.7</v>
      </c>
      <c r="I11" s="111">
        <v>87.2</v>
      </c>
      <c r="J11" s="25">
        <f>SUM(I11)+4.5</f>
        <v>91.7</v>
      </c>
      <c r="K11" s="25"/>
      <c r="L11" s="25"/>
      <c r="M11" s="19"/>
    </row>
    <row r="12" spans="1:13" s="2" customFormat="1" ht="14.1" customHeight="1" x14ac:dyDescent="0.3">
      <c r="A12" s="103"/>
      <c r="B12" s="105" t="s">
        <v>108</v>
      </c>
      <c r="C12" s="106"/>
      <c r="D12" s="107"/>
      <c r="E12" s="108"/>
      <c r="F12" s="108"/>
      <c r="G12" s="109"/>
      <c r="H12" s="36"/>
      <c r="I12" s="43"/>
      <c r="J12" s="36"/>
      <c r="K12" s="36"/>
      <c r="L12" s="36"/>
      <c r="M12" s="37"/>
    </row>
    <row r="13" spans="1:13" s="2" customFormat="1" ht="14.1" customHeight="1" x14ac:dyDescent="0.3">
      <c r="A13" s="110">
        <v>6</v>
      </c>
      <c r="B13" s="28" t="s">
        <v>41</v>
      </c>
      <c r="C13" s="29"/>
      <c r="D13" s="50" t="s">
        <v>116</v>
      </c>
      <c r="E13" s="51"/>
      <c r="F13" s="51"/>
      <c r="G13" s="52"/>
      <c r="H13" s="8">
        <f>SUM(I13)-5</f>
        <v>92</v>
      </c>
      <c r="I13" s="35">
        <v>97</v>
      </c>
      <c r="J13" s="8">
        <f>SUM(I13)+5</f>
        <v>102</v>
      </c>
      <c r="K13" s="8"/>
      <c r="L13" s="8"/>
      <c r="M13" s="12"/>
    </row>
    <row r="14" spans="1:13" s="2" customFormat="1" ht="14.1" customHeight="1" x14ac:dyDescent="0.3">
      <c r="A14" s="103"/>
      <c r="B14" s="105" t="s">
        <v>42</v>
      </c>
      <c r="C14" s="106"/>
      <c r="D14" s="107" t="s">
        <v>245</v>
      </c>
      <c r="E14" s="108"/>
      <c r="F14" s="108"/>
      <c r="G14" s="109"/>
      <c r="H14" s="36"/>
      <c r="I14" s="43"/>
      <c r="J14" s="36"/>
      <c r="K14" s="36"/>
      <c r="L14" s="36"/>
      <c r="M14" s="37"/>
    </row>
    <row r="15" spans="1:13" s="2" customFormat="1" ht="14.1" customHeight="1" x14ac:dyDescent="0.3">
      <c r="A15" s="110">
        <v>7</v>
      </c>
      <c r="B15" s="28" t="s">
        <v>107</v>
      </c>
      <c r="C15" s="29"/>
      <c r="D15" s="50"/>
      <c r="E15" s="51"/>
      <c r="F15" s="51"/>
      <c r="G15" s="52"/>
      <c r="H15" s="8">
        <f>SUM(I15)-0.7</f>
        <v>18.900000000000002</v>
      </c>
      <c r="I15" s="35">
        <v>19.600000000000001</v>
      </c>
      <c r="J15" s="8">
        <f>SUM(I15)+0.7</f>
        <v>20.3</v>
      </c>
      <c r="K15" s="8"/>
      <c r="L15" s="48"/>
      <c r="M15" s="118"/>
    </row>
    <row r="16" spans="1:13" s="2" customFormat="1" ht="14.1" customHeight="1" x14ac:dyDescent="0.3">
      <c r="A16" s="103"/>
      <c r="B16" s="105" t="s">
        <v>106</v>
      </c>
      <c r="C16" s="106"/>
      <c r="D16" s="40" t="s">
        <v>246</v>
      </c>
      <c r="E16" s="120"/>
      <c r="F16" s="120"/>
      <c r="G16" s="121"/>
      <c r="H16" s="36"/>
      <c r="I16" s="43"/>
      <c r="J16" s="36"/>
      <c r="K16" s="36"/>
      <c r="L16" s="47"/>
      <c r="M16" s="119"/>
    </row>
    <row r="17" spans="1:16" s="2" customFormat="1" ht="14.1" customHeight="1" x14ac:dyDescent="0.3">
      <c r="A17" s="110">
        <v>8</v>
      </c>
      <c r="B17" s="28" t="s">
        <v>105</v>
      </c>
      <c r="C17" s="29"/>
      <c r="D17" s="50"/>
      <c r="E17" s="51"/>
      <c r="F17" s="51"/>
      <c r="G17" s="52"/>
      <c r="H17" s="63"/>
      <c r="I17" s="35"/>
      <c r="J17" s="63"/>
      <c r="K17" s="63"/>
      <c r="L17" s="48"/>
      <c r="M17" s="118"/>
    </row>
    <row r="18" spans="1:16" s="2" customFormat="1" ht="14.1" customHeight="1" x14ac:dyDescent="0.3">
      <c r="A18" s="103"/>
      <c r="B18" s="105" t="s">
        <v>104</v>
      </c>
      <c r="C18" s="106"/>
      <c r="D18" s="40" t="s">
        <v>103</v>
      </c>
      <c r="E18" s="120"/>
      <c r="F18" s="120"/>
      <c r="G18" s="121"/>
      <c r="H18" s="64"/>
      <c r="I18" s="43"/>
      <c r="J18" s="64"/>
      <c r="K18" s="64"/>
      <c r="L18" s="47"/>
      <c r="M18" s="119"/>
    </row>
    <row r="19" spans="1:16" s="2" customFormat="1" ht="14.1" customHeight="1" x14ac:dyDescent="0.3">
      <c r="A19" s="110">
        <v>9</v>
      </c>
      <c r="B19" s="28" t="s">
        <v>133</v>
      </c>
      <c r="C19" s="29"/>
      <c r="D19" s="50"/>
      <c r="E19" s="51"/>
      <c r="F19" s="51"/>
      <c r="G19" s="52"/>
      <c r="H19" s="63"/>
      <c r="I19" s="35"/>
      <c r="J19" s="63"/>
      <c r="K19" s="63"/>
      <c r="L19" s="8"/>
      <c r="M19" s="12"/>
    </row>
    <row r="20" spans="1:16" s="2" customFormat="1" ht="14.1" customHeight="1" x14ac:dyDescent="0.3">
      <c r="A20" s="103"/>
      <c r="B20" s="105" t="s">
        <v>134</v>
      </c>
      <c r="C20" s="106"/>
      <c r="D20" s="40"/>
      <c r="E20" s="120"/>
      <c r="F20" s="120"/>
      <c r="G20" s="121"/>
      <c r="H20" s="64"/>
      <c r="I20" s="43"/>
      <c r="J20" s="64"/>
      <c r="K20" s="64"/>
      <c r="L20" s="36"/>
      <c r="M20" s="37"/>
    </row>
    <row r="21" spans="1:16" s="2" customFormat="1" ht="14.1" customHeight="1" x14ac:dyDescent="0.3">
      <c r="A21" s="110">
        <v>10</v>
      </c>
      <c r="B21" s="28" t="s">
        <v>43</v>
      </c>
      <c r="C21" s="29"/>
      <c r="D21" s="50" t="s">
        <v>72</v>
      </c>
      <c r="E21" s="51"/>
      <c r="F21" s="51"/>
      <c r="G21" s="52"/>
      <c r="H21" s="8">
        <f>SUM(I21)-4</f>
        <v>88.2</v>
      </c>
      <c r="I21" s="35">
        <v>92.2</v>
      </c>
      <c r="J21" s="8">
        <f>SUM(I21)+4</f>
        <v>96.2</v>
      </c>
      <c r="K21" s="8"/>
      <c r="L21" s="8"/>
      <c r="M21" s="12"/>
    </row>
    <row r="22" spans="1:16" s="2" customFormat="1" ht="14.1" customHeight="1" x14ac:dyDescent="0.3">
      <c r="A22" s="103"/>
      <c r="B22" s="105" t="s">
        <v>44</v>
      </c>
      <c r="C22" s="106"/>
      <c r="D22" s="107" t="s">
        <v>71</v>
      </c>
      <c r="E22" s="108"/>
      <c r="F22" s="108"/>
      <c r="G22" s="109"/>
      <c r="H22" s="36"/>
      <c r="I22" s="43"/>
      <c r="J22" s="36"/>
      <c r="K22" s="36"/>
      <c r="L22" s="36"/>
      <c r="M22" s="37"/>
    </row>
    <row r="23" spans="1:16" s="2" customFormat="1" ht="14.1" customHeight="1" x14ac:dyDescent="0.3">
      <c r="A23" s="110">
        <v>11</v>
      </c>
      <c r="B23" s="28" t="s">
        <v>84</v>
      </c>
      <c r="C23" s="29"/>
      <c r="D23" s="50" t="s">
        <v>83</v>
      </c>
      <c r="E23" s="51"/>
      <c r="F23" s="51"/>
      <c r="G23" s="52"/>
      <c r="H23" s="8">
        <f>SUM(I23)-2.2</f>
        <v>49.8</v>
      </c>
      <c r="I23" s="35">
        <v>52</v>
      </c>
      <c r="J23" s="8">
        <f>SUM(I23)+2.2</f>
        <v>54.2</v>
      </c>
      <c r="K23" s="8"/>
      <c r="L23" s="8"/>
      <c r="M23" s="12"/>
    </row>
    <row r="24" spans="1:16" s="2" customFormat="1" ht="14.1" customHeight="1" x14ac:dyDescent="0.3">
      <c r="A24" s="103"/>
      <c r="B24" s="105" t="s">
        <v>82</v>
      </c>
      <c r="C24" s="106"/>
      <c r="D24" s="44" t="s">
        <v>81</v>
      </c>
      <c r="E24" s="41"/>
      <c r="F24" s="41"/>
      <c r="G24" s="42"/>
      <c r="H24" s="36"/>
      <c r="I24" s="43"/>
      <c r="J24" s="36"/>
      <c r="K24" s="36"/>
      <c r="L24" s="36"/>
      <c r="M24" s="37"/>
    </row>
    <row r="25" spans="1:16" s="2" customFormat="1" ht="14.1" customHeight="1" x14ac:dyDescent="0.3">
      <c r="A25" s="110">
        <v>12</v>
      </c>
      <c r="B25" s="28" t="s">
        <v>45</v>
      </c>
      <c r="C25" s="29"/>
      <c r="D25" s="50" t="s">
        <v>46</v>
      </c>
      <c r="E25" s="51"/>
      <c r="F25" s="51"/>
      <c r="G25" s="52"/>
      <c r="H25" s="8">
        <f>SUM(I25)-1.1</f>
        <v>29.099999999999998</v>
      </c>
      <c r="I25" s="35">
        <v>30.2</v>
      </c>
      <c r="J25" s="8">
        <f>SUM(I25)+1.1</f>
        <v>31.3</v>
      </c>
      <c r="K25" s="8"/>
      <c r="L25" s="48"/>
      <c r="M25" s="118"/>
    </row>
    <row r="26" spans="1:16" s="2" customFormat="1" ht="14.1" customHeight="1" x14ac:dyDescent="0.3">
      <c r="A26" s="103"/>
      <c r="B26" s="105" t="s">
        <v>47</v>
      </c>
      <c r="C26" s="106"/>
      <c r="D26" s="107" t="s">
        <v>70</v>
      </c>
      <c r="E26" s="108"/>
      <c r="F26" s="108"/>
      <c r="G26" s="109"/>
      <c r="H26" s="36"/>
      <c r="I26" s="43"/>
      <c r="J26" s="36"/>
      <c r="K26" s="36"/>
      <c r="L26" s="47"/>
      <c r="M26" s="119"/>
    </row>
    <row r="27" spans="1:16" s="2" customFormat="1" ht="14.1" customHeight="1" x14ac:dyDescent="0.3">
      <c r="A27" s="110">
        <v>13</v>
      </c>
      <c r="B27" s="28" t="s">
        <v>48</v>
      </c>
      <c r="C27" s="29"/>
      <c r="D27" s="50" t="s">
        <v>46</v>
      </c>
      <c r="E27" s="51"/>
      <c r="F27" s="51"/>
      <c r="G27" s="52"/>
      <c r="H27" s="8">
        <f>SUM(I27)-1.3</f>
        <v>37.800000000000004</v>
      </c>
      <c r="I27" s="35">
        <v>39.1</v>
      </c>
      <c r="J27" s="8">
        <f>SUM(I27)+1.3</f>
        <v>40.4</v>
      </c>
      <c r="K27" s="8"/>
      <c r="L27" s="48"/>
      <c r="M27" s="118"/>
    </row>
    <row r="28" spans="1:16" s="2" customFormat="1" ht="14.1" customHeight="1" x14ac:dyDescent="0.3">
      <c r="A28" s="103"/>
      <c r="B28" s="105" t="s">
        <v>49</v>
      </c>
      <c r="C28" s="106"/>
      <c r="D28" s="107" t="s">
        <v>70</v>
      </c>
      <c r="E28" s="108"/>
      <c r="F28" s="108"/>
      <c r="G28" s="109"/>
      <c r="H28" s="36"/>
      <c r="I28" s="43"/>
      <c r="J28" s="36"/>
      <c r="K28" s="36"/>
      <c r="L28" s="47"/>
      <c r="M28" s="119"/>
      <c r="P28" s="2">
        <f>SUM(I41+I41+J41+J41+H41+H41)/3/91.44*1.08</f>
        <v>1.5118110236220474</v>
      </c>
    </row>
    <row r="29" spans="1:16" s="2" customFormat="1" ht="14.1" customHeight="1" x14ac:dyDescent="0.3">
      <c r="A29" s="110">
        <v>14</v>
      </c>
      <c r="B29" s="28" t="s">
        <v>50</v>
      </c>
      <c r="C29" s="29"/>
      <c r="D29" s="50" t="s">
        <v>51</v>
      </c>
      <c r="E29" s="51"/>
      <c r="F29" s="51"/>
      <c r="G29" s="52"/>
      <c r="H29" s="8">
        <f>SUM(I29)-3</f>
        <v>59.9</v>
      </c>
      <c r="I29" s="35">
        <v>62.9</v>
      </c>
      <c r="J29" s="8">
        <f>SUM(I29)+3</f>
        <v>65.900000000000006</v>
      </c>
      <c r="K29" s="8"/>
      <c r="L29" s="8"/>
      <c r="M29" s="12"/>
    </row>
    <row r="30" spans="1:16" s="2" customFormat="1" ht="14.1" customHeight="1" x14ac:dyDescent="0.3">
      <c r="A30" s="103"/>
      <c r="B30" s="105" t="s">
        <v>52</v>
      </c>
      <c r="C30" s="106"/>
      <c r="D30" s="107" t="s">
        <v>69</v>
      </c>
      <c r="E30" s="108"/>
      <c r="F30" s="108"/>
      <c r="G30" s="109"/>
      <c r="H30" s="36"/>
      <c r="I30" s="43"/>
      <c r="J30" s="36"/>
      <c r="K30" s="36"/>
      <c r="L30" s="36"/>
      <c r="M30" s="37"/>
    </row>
    <row r="31" spans="1:16" s="2" customFormat="1" ht="14.1" customHeight="1" x14ac:dyDescent="0.3">
      <c r="A31" s="110">
        <v>15</v>
      </c>
      <c r="B31" s="28" t="s">
        <v>53</v>
      </c>
      <c r="C31" s="29"/>
      <c r="D31" s="50" t="s">
        <v>54</v>
      </c>
      <c r="E31" s="51"/>
      <c r="F31" s="51"/>
      <c r="G31" s="52"/>
      <c r="H31" s="8">
        <f>SUM(I31)-3</f>
        <v>60.6</v>
      </c>
      <c r="I31" s="35">
        <v>63.6</v>
      </c>
      <c r="J31" s="8">
        <f>SUM(I31)+3</f>
        <v>66.599999999999994</v>
      </c>
      <c r="K31" s="8"/>
      <c r="L31" s="8"/>
      <c r="M31" s="12"/>
    </row>
    <row r="32" spans="1:16" s="2" customFormat="1" ht="14.1" customHeight="1" x14ac:dyDescent="0.3">
      <c r="A32" s="103"/>
      <c r="B32" s="105" t="s">
        <v>55</v>
      </c>
      <c r="C32" s="106"/>
      <c r="D32" s="107" t="s">
        <v>68</v>
      </c>
      <c r="E32" s="108"/>
      <c r="F32" s="108"/>
      <c r="G32" s="109"/>
      <c r="H32" s="36"/>
      <c r="I32" s="43"/>
      <c r="J32" s="36"/>
      <c r="K32" s="36"/>
      <c r="L32" s="36"/>
      <c r="M32" s="37"/>
    </row>
    <row r="33" spans="1:13" s="2" customFormat="1" ht="14.1" customHeight="1" x14ac:dyDescent="0.3">
      <c r="A33" s="110">
        <v>16</v>
      </c>
      <c r="B33" s="28" t="s">
        <v>67</v>
      </c>
      <c r="C33" s="29"/>
      <c r="D33" s="50" t="s">
        <v>65</v>
      </c>
      <c r="E33" s="51"/>
      <c r="F33" s="51"/>
      <c r="G33" s="52"/>
      <c r="H33" s="8">
        <f>SUM(I33)-2.4</f>
        <v>54.6</v>
      </c>
      <c r="I33" s="35">
        <v>57</v>
      </c>
      <c r="J33" s="8">
        <f>SUM(I33)+2.4</f>
        <v>59.4</v>
      </c>
      <c r="K33" s="8"/>
      <c r="L33" s="8"/>
      <c r="M33" s="12"/>
    </row>
    <row r="34" spans="1:13" s="2" customFormat="1" ht="14.1" customHeight="1" x14ac:dyDescent="0.3">
      <c r="A34" s="103"/>
      <c r="B34" s="105" t="s">
        <v>66</v>
      </c>
      <c r="C34" s="106"/>
      <c r="D34" s="107" t="s">
        <v>65</v>
      </c>
      <c r="E34" s="108"/>
      <c r="F34" s="108"/>
      <c r="G34" s="109"/>
      <c r="H34" s="36"/>
      <c r="I34" s="43"/>
      <c r="J34" s="36"/>
      <c r="K34" s="36"/>
      <c r="L34" s="36"/>
      <c r="M34" s="37"/>
    </row>
    <row r="35" spans="1:13" s="2" customFormat="1" ht="14.1" customHeight="1" x14ac:dyDescent="0.3">
      <c r="A35" s="110">
        <v>17</v>
      </c>
      <c r="B35" s="28" t="s">
        <v>102</v>
      </c>
      <c r="C35" s="29"/>
      <c r="D35" s="50" t="s">
        <v>101</v>
      </c>
      <c r="E35" s="51"/>
      <c r="F35" s="51"/>
      <c r="G35" s="52"/>
      <c r="H35" s="8">
        <f>SUM(I35)-2.1</f>
        <v>49.699999999999996</v>
      </c>
      <c r="I35" s="35">
        <v>51.8</v>
      </c>
      <c r="J35" s="8">
        <f>SUM(I35)+2.1</f>
        <v>53.9</v>
      </c>
      <c r="K35" s="8"/>
      <c r="L35" s="8"/>
      <c r="M35" s="12"/>
    </row>
    <row r="36" spans="1:13" s="2" customFormat="1" ht="14.1" customHeight="1" x14ac:dyDescent="0.3">
      <c r="A36" s="103"/>
      <c r="B36" s="105" t="s">
        <v>100</v>
      </c>
      <c r="C36" s="106"/>
      <c r="D36" s="107" t="s">
        <v>99</v>
      </c>
      <c r="E36" s="108"/>
      <c r="F36" s="108"/>
      <c r="G36" s="109"/>
      <c r="H36" s="36"/>
      <c r="I36" s="43"/>
      <c r="J36" s="36"/>
      <c r="K36" s="36"/>
      <c r="L36" s="36"/>
      <c r="M36" s="37"/>
    </row>
    <row r="37" spans="1:13" s="2" customFormat="1" ht="14.1" customHeight="1" x14ac:dyDescent="0.3">
      <c r="A37" s="110">
        <v>18</v>
      </c>
      <c r="B37" s="28" t="s">
        <v>247</v>
      </c>
      <c r="C37" s="29"/>
      <c r="D37" s="50"/>
      <c r="E37" s="51"/>
      <c r="F37" s="51"/>
      <c r="G37" s="52"/>
      <c r="H37" s="8">
        <f>SUM(I37)-0.5</f>
        <v>12.5</v>
      </c>
      <c r="I37" s="35">
        <v>13</v>
      </c>
      <c r="J37" s="8">
        <f>SUM(I37)+0.5</f>
        <v>13.5</v>
      </c>
      <c r="K37" s="8"/>
      <c r="L37" s="8"/>
      <c r="M37" s="12"/>
    </row>
    <row r="38" spans="1:13" s="2" customFormat="1" ht="14.1" customHeight="1" x14ac:dyDescent="0.3">
      <c r="A38" s="103"/>
      <c r="B38" s="105" t="s">
        <v>165</v>
      </c>
      <c r="C38" s="106"/>
      <c r="D38" s="107"/>
      <c r="E38" s="108"/>
      <c r="F38" s="108"/>
      <c r="G38" s="109"/>
      <c r="H38" s="36"/>
      <c r="I38" s="43"/>
      <c r="J38" s="36"/>
      <c r="K38" s="36"/>
      <c r="L38" s="36"/>
      <c r="M38" s="37"/>
    </row>
    <row r="39" spans="1:13" s="2" customFormat="1" ht="14.1" customHeight="1" x14ac:dyDescent="0.3">
      <c r="A39" s="110">
        <v>19</v>
      </c>
      <c r="B39" s="28" t="s">
        <v>248</v>
      </c>
      <c r="C39" s="29"/>
      <c r="D39" s="50" t="s">
        <v>249</v>
      </c>
      <c r="E39" s="51"/>
      <c r="F39" s="51"/>
      <c r="G39" s="52"/>
      <c r="H39" s="8">
        <f>SUM(I39)</f>
        <v>39</v>
      </c>
      <c r="I39" s="35">
        <v>39</v>
      </c>
      <c r="J39" s="8">
        <f>SUM(I39)</f>
        <v>39</v>
      </c>
      <c r="K39" s="8"/>
      <c r="L39" s="8"/>
      <c r="M39" s="12"/>
    </row>
    <row r="40" spans="1:13" s="2" customFormat="1" ht="14.1" customHeight="1" x14ac:dyDescent="0.3">
      <c r="A40" s="103"/>
      <c r="B40" s="122" t="s">
        <v>250</v>
      </c>
      <c r="C40" s="123"/>
      <c r="D40" s="124" t="s">
        <v>254</v>
      </c>
      <c r="E40" s="125"/>
      <c r="F40" s="125"/>
      <c r="G40" s="126"/>
      <c r="H40" s="36"/>
      <c r="I40" s="43"/>
      <c r="J40" s="36"/>
      <c r="K40" s="36"/>
      <c r="L40" s="36"/>
      <c r="M40" s="37"/>
    </row>
    <row r="41" spans="1:13" ht="14.1" customHeight="1" x14ac:dyDescent="0.3">
      <c r="A41" s="110">
        <v>20</v>
      </c>
      <c r="B41" s="28" t="s">
        <v>251</v>
      </c>
      <c r="C41" s="29"/>
      <c r="D41" s="49"/>
      <c r="E41" s="49"/>
      <c r="F41" s="49"/>
      <c r="G41" s="49"/>
      <c r="H41" s="8">
        <f>SUM(I41)-2.2</f>
        <v>61.8</v>
      </c>
      <c r="I41" s="35">
        <v>64</v>
      </c>
      <c r="J41" s="8">
        <f>SUM(I41)+2.2</f>
        <v>66.2</v>
      </c>
      <c r="K41" s="8"/>
      <c r="L41" s="8"/>
      <c r="M41" s="12"/>
    </row>
    <row r="42" spans="1:13" ht="14.1" customHeight="1" x14ac:dyDescent="0.3">
      <c r="A42" s="103"/>
      <c r="B42" s="47" t="s">
        <v>252</v>
      </c>
      <c r="C42" s="47"/>
      <c r="D42" s="44" t="s">
        <v>253</v>
      </c>
      <c r="E42" s="41"/>
      <c r="F42" s="41"/>
      <c r="G42" s="42"/>
      <c r="H42" s="36"/>
      <c r="I42" s="43"/>
      <c r="J42" s="36"/>
      <c r="K42" s="36"/>
      <c r="L42" s="36"/>
      <c r="M42" s="37"/>
    </row>
    <row r="43" spans="1:13" ht="14.1" customHeight="1" x14ac:dyDescent="0.3">
      <c r="A43" s="110">
        <v>21</v>
      </c>
      <c r="B43" s="28" t="s">
        <v>136</v>
      </c>
      <c r="C43" s="29"/>
      <c r="D43" s="50"/>
      <c r="E43" s="51"/>
      <c r="F43" s="51"/>
      <c r="G43" s="52"/>
      <c r="H43" s="8">
        <f>SUM(I43)-0.1</f>
        <v>1.0999999999999999</v>
      </c>
      <c r="I43" s="35">
        <v>1.2</v>
      </c>
      <c r="J43" s="8">
        <f>SUM(I43)+0.1</f>
        <v>1.3</v>
      </c>
      <c r="K43" s="8"/>
      <c r="L43" s="8"/>
      <c r="M43" s="12"/>
    </row>
    <row r="44" spans="1:13" ht="14.1" customHeight="1" x14ac:dyDescent="0.3">
      <c r="A44" s="103"/>
      <c r="B44" s="38" t="s">
        <v>135</v>
      </c>
      <c r="C44" s="39"/>
      <c r="D44" s="107" t="s">
        <v>223</v>
      </c>
      <c r="E44" s="108"/>
      <c r="F44" s="108"/>
      <c r="G44" s="109"/>
      <c r="H44" s="25"/>
      <c r="I44" s="111"/>
      <c r="J44" s="25"/>
      <c r="K44" s="25"/>
      <c r="L44" s="25"/>
      <c r="M44" s="19"/>
    </row>
    <row r="45" spans="1:13" ht="14.1" customHeight="1" x14ac:dyDescent="0.3">
      <c r="A45" s="110">
        <v>22</v>
      </c>
      <c r="B45" s="28"/>
      <c r="C45" s="29"/>
      <c r="D45" s="30"/>
      <c r="E45" s="31"/>
      <c r="F45" s="31"/>
      <c r="G45" s="32"/>
      <c r="H45" s="8"/>
      <c r="I45" s="35"/>
      <c r="J45" s="8"/>
      <c r="K45" s="8"/>
      <c r="L45" s="8"/>
      <c r="M45" s="12"/>
    </row>
    <row r="46" spans="1:13" ht="14.1" customHeight="1" x14ac:dyDescent="0.3">
      <c r="A46" s="103"/>
      <c r="B46" s="20"/>
      <c r="C46" s="21"/>
      <c r="D46" s="22"/>
      <c r="E46" s="23"/>
      <c r="F46" s="23"/>
      <c r="G46" s="24"/>
      <c r="H46" s="25"/>
      <c r="I46" s="111"/>
      <c r="J46" s="25"/>
      <c r="K46" s="25"/>
      <c r="L46" s="25"/>
      <c r="M46" s="19"/>
    </row>
    <row r="47" spans="1:13" ht="14.1" customHeight="1" x14ac:dyDescent="0.3">
      <c r="A47" s="110">
        <v>23</v>
      </c>
      <c r="B47" s="28"/>
      <c r="C47" s="29"/>
      <c r="D47" s="30"/>
      <c r="E47" s="31"/>
      <c r="F47" s="31"/>
      <c r="G47" s="32"/>
      <c r="H47" s="8"/>
      <c r="I47" s="35"/>
      <c r="J47" s="8"/>
      <c r="K47" s="8"/>
      <c r="L47" s="8"/>
      <c r="M47" s="12"/>
    </row>
    <row r="48" spans="1:13" ht="14.1" customHeight="1" thickBot="1" x14ac:dyDescent="0.35">
      <c r="A48" s="127"/>
      <c r="B48" s="14"/>
      <c r="C48" s="15"/>
      <c r="D48" s="129"/>
      <c r="E48" s="130"/>
      <c r="F48" s="130"/>
      <c r="G48" s="131"/>
      <c r="H48" s="9"/>
      <c r="I48" s="128"/>
      <c r="J48" s="9"/>
      <c r="K48" s="9"/>
      <c r="L48" s="9"/>
      <c r="M48" s="13"/>
    </row>
    <row r="49" ht="14.1" customHeight="1" x14ac:dyDescent="0.3"/>
  </sheetData>
  <mergeCells count="256">
    <mergeCell ref="K47:K48"/>
    <mergeCell ref="L47:L48"/>
    <mergeCell ref="M47:M48"/>
    <mergeCell ref="B48:C48"/>
    <mergeCell ref="D48:G48"/>
    <mergeCell ref="L45:L46"/>
    <mergeCell ref="M45:M46"/>
    <mergeCell ref="B46:C46"/>
    <mergeCell ref="D46:G46"/>
    <mergeCell ref="K45:K46"/>
    <mergeCell ref="H45:H46"/>
    <mergeCell ref="H47:H48"/>
    <mergeCell ref="A47:A48"/>
    <mergeCell ref="B47:C47"/>
    <mergeCell ref="D47:G47"/>
    <mergeCell ref="I47:I48"/>
    <mergeCell ref="J47:J48"/>
    <mergeCell ref="A45:A46"/>
    <mergeCell ref="B45:C45"/>
    <mergeCell ref="D45:G45"/>
    <mergeCell ref="I45:I46"/>
    <mergeCell ref="J45:J46"/>
    <mergeCell ref="K43:K44"/>
    <mergeCell ref="L43:L44"/>
    <mergeCell ref="M43:M44"/>
    <mergeCell ref="B44:C44"/>
    <mergeCell ref="D44:G44"/>
    <mergeCell ref="L41:L42"/>
    <mergeCell ref="M41:M42"/>
    <mergeCell ref="B42:C42"/>
    <mergeCell ref="D42:G42"/>
    <mergeCell ref="K41:K42"/>
    <mergeCell ref="H41:H42"/>
    <mergeCell ref="H43:H44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K39:K40"/>
    <mergeCell ref="L39:L40"/>
    <mergeCell ref="M39:M40"/>
    <mergeCell ref="B40:C40"/>
    <mergeCell ref="D40:G40"/>
    <mergeCell ref="L37:L38"/>
    <mergeCell ref="M37:M38"/>
    <mergeCell ref="B38:C38"/>
    <mergeCell ref="D38:G38"/>
    <mergeCell ref="K37:K38"/>
    <mergeCell ref="H37:H38"/>
    <mergeCell ref="H39:H40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H33:H34"/>
    <mergeCell ref="H35:H36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H29:H30"/>
    <mergeCell ref="H31:H32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H25:H26"/>
    <mergeCell ref="H27:H28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H21:H22"/>
    <mergeCell ref="H23:H24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H17:H18"/>
    <mergeCell ref="H19:H20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H13:H14"/>
    <mergeCell ref="H15:H16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6020-3D08-481D-ABBD-B6679968FE9D}">
  <sheetPr>
    <tabColor rgb="FF92D050"/>
    <pageSetUpPr fitToPage="1"/>
  </sheetPr>
  <dimension ref="A1:M49"/>
  <sheetViews>
    <sheetView zoomScale="110" zoomScaleNormal="110" workbookViewId="0">
      <selection activeCell="P12" sqref="P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208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98" t="s">
        <v>115</v>
      </c>
      <c r="C3" s="99"/>
      <c r="D3" s="67" t="s">
        <v>75</v>
      </c>
      <c r="E3" s="100"/>
      <c r="F3" s="100"/>
      <c r="G3" s="101"/>
      <c r="H3" s="132">
        <f>SUM(I3-2.5)</f>
        <v>61.5</v>
      </c>
      <c r="I3" s="104">
        <v>64</v>
      </c>
      <c r="J3" s="62">
        <f>SUM(I3)+2.5</f>
        <v>66.5</v>
      </c>
      <c r="K3" s="62"/>
      <c r="L3" s="62"/>
      <c r="M3" s="61"/>
    </row>
    <row r="4" spans="1:13" s="2" customFormat="1" ht="14.1" customHeight="1" x14ac:dyDescent="0.3">
      <c r="A4" s="103"/>
      <c r="B4" s="105" t="s">
        <v>114</v>
      </c>
      <c r="C4" s="106"/>
      <c r="D4" s="107" t="s">
        <v>74</v>
      </c>
      <c r="E4" s="108"/>
      <c r="F4" s="108"/>
      <c r="G4" s="109"/>
      <c r="H4" s="64"/>
      <c r="I4" s="43"/>
      <c r="J4" s="36"/>
      <c r="K4" s="36"/>
      <c r="L4" s="36"/>
      <c r="M4" s="37"/>
    </row>
    <row r="5" spans="1:13" s="2" customFormat="1" ht="14.1" customHeight="1" x14ac:dyDescent="0.3">
      <c r="A5" s="110">
        <v>2</v>
      </c>
      <c r="B5" s="20" t="s">
        <v>113</v>
      </c>
      <c r="C5" s="21"/>
      <c r="D5" s="22"/>
      <c r="E5" s="23"/>
      <c r="F5" s="23"/>
      <c r="G5" s="24"/>
      <c r="H5" s="63">
        <f>SUM(I5-2.25)</f>
        <v>27.75</v>
      </c>
      <c r="I5" s="111">
        <v>30</v>
      </c>
      <c r="J5" s="25">
        <f>SUM(I5)+2.25</f>
        <v>32.25</v>
      </c>
      <c r="K5" s="25"/>
      <c r="L5" s="25"/>
      <c r="M5" s="19"/>
    </row>
    <row r="6" spans="1:13" s="2" customFormat="1" ht="14.1" customHeight="1" x14ac:dyDescent="0.3">
      <c r="A6" s="103"/>
      <c r="B6" s="105" t="s">
        <v>112</v>
      </c>
      <c r="C6" s="106"/>
      <c r="D6" s="107"/>
      <c r="E6" s="108"/>
      <c r="F6" s="108"/>
      <c r="G6" s="109"/>
      <c r="H6" s="64"/>
      <c r="I6" s="43"/>
      <c r="J6" s="36"/>
      <c r="K6" s="36"/>
      <c r="L6" s="36"/>
      <c r="M6" s="37"/>
    </row>
    <row r="7" spans="1:13" s="2" customFormat="1" ht="14.1" customHeight="1" x14ac:dyDescent="0.3">
      <c r="A7" s="110">
        <v>3</v>
      </c>
      <c r="B7" s="20" t="s">
        <v>73</v>
      </c>
      <c r="C7" s="21"/>
      <c r="D7" s="22"/>
      <c r="E7" s="23"/>
      <c r="F7" s="23"/>
      <c r="G7" s="24"/>
      <c r="H7" s="63">
        <f>SUM(I7-0.25)</f>
        <v>33.75</v>
      </c>
      <c r="I7" s="111">
        <v>34</v>
      </c>
      <c r="J7" s="25">
        <f>SUM(I7)+0.25</f>
        <v>34.25</v>
      </c>
      <c r="K7" s="25"/>
      <c r="L7" s="25"/>
      <c r="M7" s="19"/>
    </row>
    <row r="8" spans="1:13" s="2" customFormat="1" ht="14.1" customHeight="1" x14ac:dyDescent="0.3">
      <c r="A8" s="103"/>
      <c r="B8" s="105" t="s">
        <v>111</v>
      </c>
      <c r="C8" s="106"/>
      <c r="D8" s="107"/>
      <c r="E8" s="108"/>
      <c r="F8" s="108"/>
      <c r="G8" s="109"/>
      <c r="H8" s="64"/>
      <c r="I8" s="43"/>
      <c r="J8" s="36"/>
      <c r="K8" s="36"/>
      <c r="L8" s="36"/>
      <c r="M8" s="37"/>
    </row>
    <row r="9" spans="1:13" s="2" customFormat="1" ht="14.1" customHeight="1" x14ac:dyDescent="0.3">
      <c r="A9" s="110">
        <v>4</v>
      </c>
      <c r="B9" s="28" t="s">
        <v>110</v>
      </c>
      <c r="C9" s="29"/>
      <c r="D9" s="112" t="s">
        <v>330</v>
      </c>
      <c r="E9" s="113"/>
      <c r="F9" s="113"/>
      <c r="G9" s="114"/>
      <c r="H9" s="63">
        <f>SUM(I9-1.3)</f>
        <v>50.7</v>
      </c>
      <c r="I9" s="111">
        <v>52</v>
      </c>
      <c r="J9" s="25">
        <f>SUM(I9)+1.3</f>
        <v>53.3</v>
      </c>
      <c r="K9" s="25"/>
      <c r="L9" s="8"/>
      <c r="M9" s="12"/>
    </row>
    <row r="10" spans="1:13" s="2" customFormat="1" ht="14.1" customHeight="1" x14ac:dyDescent="0.3">
      <c r="A10" s="103"/>
      <c r="B10" s="105" t="s">
        <v>109</v>
      </c>
      <c r="C10" s="106"/>
      <c r="D10" s="115" t="s">
        <v>210</v>
      </c>
      <c r="E10" s="116"/>
      <c r="F10" s="116"/>
      <c r="G10" s="117"/>
      <c r="H10" s="64"/>
      <c r="I10" s="43"/>
      <c r="J10" s="36"/>
      <c r="K10" s="36"/>
      <c r="L10" s="36"/>
      <c r="M10" s="37"/>
    </row>
    <row r="11" spans="1:13" s="2" customFormat="1" ht="14.1" customHeight="1" x14ac:dyDescent="0.3">
      <c r="A11" s="110">
        <v>5</v>
      </c>
      <c r="B11" s="28" t="s">
        <v>85</v>
      </c>
      <c r="C11" s="29"/>
      <c r="D11" s="22"/>
      <c r="E11" s="23"/>
      <c r="F11" s="23"/>
      <c r="G11" s="24"/>
      <c r="H11" s="63">
        <f>SUM(I11-4.5)</f>
        <v>69.5</v>
      </c>
      <c r="I11" s="111">
        <v>74</v>
      </c>
      <c r="J11" s="25">
        <f>SUM(I11)+4.5</f>
        <v>78.5</v>
      </c>
      <c r="K11" s="25"/>
      <c r="L11" s="25"/>
      <c r="M11" s="19"/>
    </row>
    <row r="12" spans="1:13" s="2" customFormat="1" ht="14.1" customHeight="1" x14ac:dyDescent="0.3">
      <c r="A12" s="103"/>
      <c r="B12" s="105" t="s">
        <v>108</v>
      </c>
      <c r="C12" s="106"/>
      <c r="D12" s="107"/>
      <c r="E12" s="108"/>
      <c r="F12" s="108"/>
      <c r="G12" s="109"/>
      <c r="H12" s="64"/>
      <c r="I12" s="43"/>
      <c r="J12" s="36"/>
      <c r="K12" s="36"/>
      <c r="L12" s="36"/>
      <c r="M12" s="37"/>
    </row>
    <row r="13" spans="1:13" s="2" customFormat="1" ht="14.1" customHeight="1" x14ac:dyDescent="0.3">
      <c r="A13" s="110">
        <v>6</v>
      </c>
      <c r="B13" s="28" t="s">
        <v>41</v>
      </c>
      <c r="C13" s="29"/>
      <c r="D13" s="50" t="s">
        <v>116</v>
      </c>
      <c r="E13" s="51"/>
      <c r="F13" s="51"/>
      <c r="G13" s="52"/>
      <c r="H13" s="63">
        <f>SUM(I13-5)</f>
        <v>99</v>
      </c>
      <c r="I13" s="35">
        <v>104</v>
      </c>
      <c r="J13" s="8">
        <f>SUM(I13)+5</f>
        <v>109</v>
      </c>
      <c r="K13" s="8"/>
      <c r="L13" s="8"/>
      <c r="M13" s="12"/>
    </row>
    <row r="14" spans="1:13" s="2" customFormat="1" ht="14.1" customHeight="1" x14ac:dyDescent="0.3">
      <c r="A14" s="103"/>
      <c r="B14" s="105" t="s">
        <v>42</v>
      </c>
      <c r="C14" s="106"/>
      <c r="D14" s="107" t="s">
        <v>76</v>
      </c>
      <c r="E14" s="108"/>
      <c r="F14" s="108"/>
      <c r="G14" s="109"/>
      <c r="H14" s="64"/>
      <c r="I14" s="43"/>
      <c r="J14" s="36"/>
      <c r="K14" s="36"/>
      <c r="L14" s="36"/>
      <c r="M14" s="37"/>
    </row>
    <row r="15" spans="1:13" s="2" customFormat="1" ht="14.1" customHeight="1" x14ac:dyDescent="0.3">
      <c r="A15" s="110">
        <v>7</v>
      </c>
      <c r="B15" s="28" t="s">
        <v>107</v>
      </c>
      <c r="C15" s="29"/>
      <c r="D15" s="50"/>
      <c r="E15" s="51"/>
      <c r="F15" s="51"/>
      <c r="G15" s="52"/>
      <c r="H15" s="63">
        <f>SUM(I15-0.7)</f>
        <v>13.3</v>
      </c>
      <c r="I15" s="35">
        <v>14</v>
      </c>
      <c r="J15" s="8">
        <f>SUM(I15)+0.7</f>
        <v>14.7</v>
      </c>
      <c r="K15" s="8"/>
      <c r="L15" s="48"/>
      <c r="M15" s="118"/>
    </row>
    <row r="16" spans="1:13" s="2" customFormat="1" ht="14.1" customHeight="1" x14ac:dyDescent="0.3">
      <c r="A16" s="103"/>
      <c r="B16" s="105" t="s">
        <v>106</v>
      </c>
      <c r="C16" s="106"/>
      <c r="D16" s="40" t="s">
        <v>125</v>
      </c>
      <c r="E16" s="120"/>
      <c r="F16" s="120"/>
      <c r="G16" s="121"/>
      <c r="H16" s="64"/>
      <c r="I16" s="43"/>
      <c r="J16" s="36"/>
      <c r="K16" s="36"/>
      <c r="L16" s="47"/>
      <c r="M16" s="119"/>
    </row>
    <row r="17" spans="1:13" s="2" customFormat="1" ht="14.1" customHeight="1" x14ac:dyDescent="0.3">
      <c r="A17" s="110">
        <v>8</v>
      </c>
      <c r="B17" s="28" t="s">
        <v>105</v>
      </c>
      <c r="C17" s="29"/>
      <c r="D17" s="50"/>
      <c r="E17" s="51"/>
      <c r="F17" s="51"/>
      <c r="G17" s="52"/>
      <c r="H17" s="63">
        <f>SUM(I17-0.7)</f>
        <v>13.3</v>
      </c>
      <c r="I17" s="35">
        <v>14</v>
      </c>
      <c r="J17" s="8">
        <f>SUM(I17)+0.7</f>
        <v>14.7</v>
      </c>
      <c r="K17" s="63"/>
      <c r="L17" s="48"/>
      <c r="M17" s="118"/>
    </row>
    <row r="18" spans="1:13" s="2" customFormat="1" ht="14.1" customHeight="1" x14ac:dyDescent="0.3">
      <c r="A18" s="103"/>
      <c r="B18" s="105" t="s">
        <v>104</v>
      </c>
      <c r="C18" s="106"/>
      <c r="D18" s="40" t="s">
        <v>103</v>
      </c>
      <c r="E18" s="120"/>
      <c r="F18" s="120"/>
      <c r="G18" s="121"/>
      <c r="H18" s="64"/>
      <c r="I18" s="43"/>
      <c r="J18" s="36"/>
      <c r="K18" s="64"/>
      <c r="L18" s="47"/>
      <c r="M18" s="119"/>
    </row>
    <row r="19" spans="1:13" s="2" customFormat="1" ht="14.1" customHeight="1" x14ac:dyDescent="0.3">
      <c r="A19" s="110">
        <v>9</v>
      </c>
      <c r="B19" s="28" t="s">
        <v>133</v>
      </c>
      <c r="C19" s="29"/>
      <c r="D19" s="50"/>
      <c r="E19" s="51"/>
      <c r="F19" s="51"/>
      <c r="G19" s="52"/>
      <c r="H19" s="63">
        <v>3.5</v>
      </c>
      <c r="I19" s="35">
        <v>3.5</v>
      </c>
      <c r="J19" s="63">
        <v>3.5</v>
      </c>
      <c r="K19" s="63"/>
      <c r="L19" s="8"/>
      <c r="M19" s="12"/>
    </row>
    <row r="20" spans="1:13" s="2" customFormat="1" ht="14.1" customHeight="1" x14ac:dyDescent="0.3">
      <c r="A20" s="103"/>
      <c r="B20" s="105" t="s">
        <v>134</v>
      </c>
      <c r="C20" s="106"/>
      <c r="D20" s="40"/>
      <c r="E20" s="120"/>
      <c r="F20" s="120"/>
      <c r="G20" s="121"/>
      <c r="H20" s="64"/>
      <c r="I20" s="43"/>
      <c r="J20" s="64"/>
      <c r="K20" s="64"/>
      <c r="L20" s="36"/>
      <c r="M20" s="37"/>
    </row>
    <row r="21" spans="1:13" s="2" customFormat="1" ht="14.1" customHeight="1" x14ac:dyDescent="0.3">
      <c r="A21" s="110">
        <v>10</v>
      </c>
      <c r="B21" s="28" t="s">
        <v>43</v>
      </c>
      <c r="C21" s="29"/>
      <c r="D21" s="50" t="s">
        <v>72</v>
      </c>
      <c r="E21" s="51"/>
      <c r="F21" s="51"/>
      <c r="G21" s="52"/>
      <c r="H21" s="63">
        <f>SUM(I21-4)</f>
        <v>90</v>
      </c>
      <c r="I21" s="35">
        <v>94</v>
      </c>
      <c r="J21" s="8">
        <f>SUM(I21)+4</f>
        <v>98</v>
      </c>
      <c r="K21" s="8"/>
      <c r="L21" s="8"/>
      <c r="M21" s="12"/>
    </row>
    <row r="22" spans="1:13" s="2" customFormat="1" ht="14.1" customHeight="1" x14ac:dyDescent="0.3">
      <c r="A22" s="103"/>
      <c r="B22" s="105" t="s">
        <v>44</v>
      </c>
      <c r="C22" s="106"/>
      <c r="D22" s="107" t="s">
        <v>71</v>
      </c>
      <c r="E22" s="108"/>
      <c r="F22" s="108"/>
      <c r="G22" s="109"/>
      <c r="H22" s="64"/>
      <c r="I22" s="43"/>
      <c r="J22" s="36"/>
      <c r="K22" s="36"/>
      <c r="L22" s="36"/>
      <c r="M22" s="37"/>
    </row>
    <row r="23" spans="1:13" s="2" customFormat="1" ht="14.1" customHeight="1" x14ac:dyDescent="0.3">
      <c r="A23" s="110">
        <v>11</v>
      </c>
      <c r="B23" s="28" t="s">
        <v>84</v>
      </c>
      <c r="C23" s="29"/>
      <c r="D23" s="50" t="s">
        <v>83</v>
      </c>
      <c r="E23" s="51"/>
      <c r="F23" s="51"/>
      <c r="G23" s="52"/>
      <c r="H23" s="63">
        <f>SUM(I23-2)</f>
        <v>44</v>
      </c>
      <c r="I23" s="35">
        <v>46</v>
      </c>
      <c r="J23" s="8">
        <f>SUM(I23)+2</f>
        <v>48</v>
      </c>
      <c r="K23" s="8"/>
      <c r="L23" s="8"/>
      <c r="M23" s="12"/>
    </row>
    <row r="24" spans="1:13" s="2" customFormat="1" ht="14.1" customHeight="1" x14ac:dyDescent="0.3">
      <c r="A24" s="103"/>
      <c r="B24" s="105" t="s">
        <v>82</v>
      </c>
      <c r="C24" s="106"/>
      <c r="D24" s="44" t="s">
        <v>81</v>
      </c>
      <c r="E24" s="41"/>
      <c r="F24" s="41"/>
      <c r="G24" s="42"/>
      <c r="H24" s="64"/>
      <c r="I24" s="43"/>
      <c r="J24" s="36"/>
      <c r="K24" s="36"/>
      <c r="L24" s="36"/>
      <c r="M24" s="37"/>
    </row>
    <row r="25" spans="1:13" s="2" customFormat="1" ht="14.1" customHeight="1" x14ac:dyDescent="0.3">
      <c r="A25" s="110">
        <v>12</v>
      </c>
      <c r="B25" s="28" t="s">
        <v>45</v>
      </c>
      <c r="C25" s="29"/>
      <c r="D25" s="50" t="s">
        <v>46</v>
      </c>
      <c r="E25" s="51"/>
      <c r="F25" s="51"/>
      <c r="G25" s="52"/>
      <c r="H25" s="63">
        <f>SUM(I25-1.1)</f>
        <v>26.9</v>
      </c>
      <c r="I25" s="35">
        <v>28</v>
      </c>
      <c r="J25" s="8">
        <f>SUM(I25)+1.1</f>
        <v>29.1</v>
      </c>
      <c r="K25" s="8"/>
      <c r="L25" s="48"/>
      <c r="M25" s="118"/>
    </row>
    <row r="26" spans="1:13" s="2" customFormat="1" ht="14.1" customHeight="1" x14ac:dyDescent="0.3">
      <c r="A26" s="103"/>
      <c r="B26" s="105" t="s">
        <v>47</v>
      </c>
      <c r="C26" s="106"/>
      <c r="D26" s="107" t="s">
        <v>70</v>
      </c>
      <c r="E26" s="108"/>
      <c r="F26" s="108"/>
      <c r="G26" s="109"/>
      <c r="H26" s="64"/>
      <c r="I26" s="43"/>
      <c r="J26" s="36"/>
      <c r="K26" s="36"/>
      <c r="L26" s="47"/>
      <c r="M26" s="119"/>
    </row>
    <row r="27" spans="1:13" s="2" customFormat="1" ht="14.1" customHeight="1" x14ac:dyDescent="0.3">
      <c r="A27" s="110">
        <v>13</v>
      </c>
      <c r="B27" s="28" t="s">
        <v>48</v>
      </c>
      <c r="C27" s="29"/>
      <c r="D27" s="50" t="s">
        <v>46</v>
      </c>
      <c r="E27" s="51"/>
      <c r="F27" s="51"/>
      <c r="G27" s="52"/>
      <c r="H27" s="63">
        <f>SUM(I27-1.3)</f>
        <v>36.700000000000003</v>
      </c>
      <c r="I27" s="35">
        <v>38</v>
      </c>
      <c r="J27" s="8">
        <f>SUM(I27)+1.3</f>
        <v>39.299999999999997</v>
      </c>
      <c r="K27" s="8"/>
      <c r="L27" s="48"/>
      <c r="M27" s="118"/>
    </row>
    <row r="28" spans="1:13" s="2" customFormat="1" ht="14.1" customHeight="1" x14ac:dyDescent="0.3">
      <c r="A28" s="103"/>
      <c r="B28" s="105" t="s">
        <v>49</v>
      </c>
      <c r="C28" s="106"/>
      <c r="D28" s="107" t="s">
        <v>70</v>
      </c>
      <c r="E28" s="108"/>
      <c r="F28" s="108"/>
      <c r="G28" s="109"/>
      <c r="H28" s="64"/>
      <c r="I28" s="43"/>
      <c r="J28" s="36"/>
      <c r="K28" s="36"/>
      <c r="L28" s="47"/>
      <c r="M28" s="119"/>
    </row>
    <row r="29" spans="1:13" s="2" customFormat="1" ht="14.1" customHeight="1" x14ac:dyDescent="0.3">
      <c r="A29" s="110">
        <v>14</v>
      </c>
      <c r="B29" s="28" t="s">
        <v>50</v>
      </c>
      <c r="C29" s="29"/>
      <c r="D29" s="50" t="s">
        <v>51</v>
      </c>
      <c r="E29" s="51"/>
      <c r="F29" s="51"/>
      <c r="G29" s="52"/>
      <c r="H29" s="63"/>
      <c r="I29" s="35"/>
      <c r="J29" s="8"/>
      <c r="K29" s="8"/>
      <c r="L29" s="8"/>
      <c r="M29" s="12"/>
    </row>
    <row r="30" spans="1:13" s="2" customFormat="1" ht="14.1" customHeight="1" x14ac:dyDescent="0.3">
      <c r="A30" s="103"/>
      <c r="B30" s="105" t="s">
        <v>52</v>
      </c>
      <c r="C30" s="106"/>
      <c r="D30" s="107" t="s">
        <v>69</v>
      </c>
      <c r="E30" s="108"/>
      <c r="F30" s="108"/>
      <c r="G30" s="109"/>
      <c r="H30" s="64"/>
      <c r="I30" s="43"/>
      <c r="J30" s="36"/>
      <c r="K30" s="36"/>
      <c r="L30" s="36"/>
      <c r="M30" s="37"/>
    </row>
    <row r="31" spans="1:13" s="2" customFormat="1" ht="14.1" customHeight="1" x14ac:dyDescent="0.3">
      <c r="A31" s="110">
        <v>15</v>
      </c>
      <c r="B31" s="28" t="s">
        <v>53</v>
      </c>
      <c r="C31" s="29"/>
      <c r="D31" s="50" t="s">
        <v>54</v>
      </c>
      <c r="E31" s="51"/>
      <c r="F31" s="51"/>
      <c r="G31" s="52"/>
      <c r="H31" s="63"/>
      <c r="I31" s="35"/>
      <c r="J31" s="8"/>
      <c r="K31" s="8"/>
      <c r="L31" s="8"/>
      <c r="M31" s="12"/>
    </row>
    <row r="32" spans="1:13" s="2" customFormat="1" ht="14.1" customHeight="1" x14ac:dyDescent="0.3">
      <c r="A32" s="103"/>
      <c r="B32" s="105" t="s">
        <v>55</v>
      </c>
      <c r="C32" s="106"/>
      <c r="D32" s="107" t="s">
        <v>68</v>
      </c>
      <c r="E32" s="108"/>
      <c r="F32" s="108"/>
      <c r="G32" s="109"/>
      <c r="H32" s="64"/>
      <c r="I32" s="43"/>
      <c r="J32" s="36"/>
      <c r="K32" s="36"/>
      <c r="L32" s="36"/>
      <c r="M32" s="37"/>
    </row>
    <row r="33" spans="1:13" s="2" customFormat="1" ht="14.1" customHeight="1" x14ac:dyDescent="0.3">
      <c r="A33" s="110">
        <v>16</v>
      </c>
      <c r="B33" s="28" t="s">
        <v>67</v>
      </c>
      <c r="C33" s="29"/>
      <c r="D33" s="50" t="s">
        <v>65</v>
      </c>
      <c r="E33" s="51"/>
      <c r="F33" s="51"/>
      <c r="G33" s="52"/>
      <c r="H33" s="63"/>
      <c r="I33" s="35"/>
      <c r="J33" s="8"/>
      <c r="K33" s="8"/>
      <c r="L33" s="8"/>
      <c r="M33" s="12"/>
    </row>
    <row r="34" spans="1:13" s="2" customFormat="1" ht="14.1" customHeight="1" x14ac:dyDescent="0.3">
      <c r="A34" s="103"/>
      <c r="B34" s="105" t="s">
        <v>66</v>
      </c>
      <c r="C34" s="106"/>
      <c r="D34" s="107" t="s">
        <v>65</v>
      </c>
      <c r="E34" s="108"/>
      <c r="F34" s="108"/>
      <c r="G34" s="109"/>
      <c r="H34" s="64"/>
      <c r="I34" s="43"/>
      <c r="J34" s="36"/>
      <c r="K34" s="36"/>
      <c r="L34" s="36"/>
      <c r="M34" s="37"/>
    </row>
    <row r="35" spans="1:13" s="2" customFormat="1" ht="14.1" customHeight="1" x14ac:dyDescent="0.3">
      <c r="A35" s="110">
        <v>17</v>
      </c>
      <c r="B35" s="28" t="s">
        <v>102</v>
      </c>
      <c r="C35" s="29"/>
      <c r="D35" s="50" t="s">
        <v>101</v>
      </c>
      <c r="E35" s="51"/>
      <c r="F35" s="51"/>
      <c r="G35" s="52"/>
      <c r="H35" s="63"/>
      <c r="I35" s="35"/>
      <c r="J35" s="8"/>
      <c r="K35" s="8"/>
      <c r="L35" s="8"/>
      <c r="M35" s="12"/>
    </row>
    <row r="36" spans="1:13" s="2" customFormat="1" ht="14.1" customHeight="1" x14ac:dyDescent="0.3">
      <c r="A36" s="103"/>
      <c r="B36" s="105" t="s">
        <v>100</v>
      </c>
      <c r="C36" s="106"/>
      <c r="D36" s="107" t="s">
        <v>99</v>
      </c>
      <c r="E36" s="108"/>
      <c r="F36" s="108"/>
      <c r="G36" s="109"/>
      <c r="H36" s="64"/>
      <c r="I36" s="43"/>
      <c r="J36" s="36"/>
      <c r="K36" s="36"/>
      <c r="L36" s="36"/>
      <c r="M36" s="37"/>
    </row>
    <row r="37" spans="1:13" s="2" customFormat="1" ht="14.1" customHeight="1" x14ac:dyDescent="0.3">
      <c r="A37" s="110">
        <v>18</v>
      </c>
      <c r="B37" s="28" t="s">
        <v>124</v>
      </c>
      <c r="C37" s="29"/>
      <c r="D37" s="50" t="s">
        <v>123</v>
      </c>
      <c r="E37" s="51"/>
      <c r="F37" s="51"/>
      <c r="G37" s="52"/>
      <c r="H37" s="63">
        <f>SUM(I37-0.4)</f>
        <v>7.6</v>
      </c>
      <c r="I37" s="35">
        <v>8</v>
      </c>
      <c r="J37" s="8">
        <f>SUM(I37)+0.4</f>
        <v>8.4</v>
      </c>
      <c r="K37" s="8"/>
      <c r="L37" s="8"/>
      <c r="M37" s="12"/>
    </row>
    <row r="38" spans="1:13" s="2" customFormat="1" ht="14.1" customHeight="1" x14ac:dyDescent="0.3">
      <c r="A38" s="103"/>
      <c r="B38" s="105" t="s">
        <v>122</v>
      </c>
      <c r="C38" s="106"/>
      <c r="D38" s="107" t="s">
        <v>121</v>
      </c>
      <c r="E38" s="108"/>
      <c r="F38" s="108"/>
      <c r="G38" s="109"/>
      <c r="H38" s="64"/>
      <c r="I38" s="43"/>
      <c r="J38" s="36"/>
      <c r="K38" s="36"/>
      <c r="L38" s="36"/>
      <c r="M38" s="37"/>
    </row>
    <row r="39" spans="1:13" s="2" customFormat="1" ht="14.1" customHeight="1" x14ac:dyDescent="0.3">
      <c r="A39" s="110">
        <v>19</v>
      </c>
      <c r="B39" s="28" t="s">
        <v>120</v>
      </c>
      <c r="C39" s="29"/>
      <c r="D39" s="50" t="s">
        <v>119</v>
      </c>
      <c r="E39" s="51"/>
      <c r="F39" s="51"/>
      <c r="G39" s="52"/>
      <c r="H39" s="63">
        <f>SUM(I39-0.4)</f>
        <v>7.6</v>
      </c>
      <c r="I39" s="35">
        <v>8</v>
      </c>
      <c r="J39" s="8">
        <f>SUM(I39)+0.4</f>
        <v>8.4</v>
      </c>
      <c r="K39" s="8"/>
      <c r="L39" s="8"/>
      <c r="M39" s="12"/>
    </row>
    <row r="40" spans="1:13" s="2" customFormat="1" ht="14.1" customHeight="1" x14ac:dyDescent="0.3">
      <c r="A40" s="103"/>
      <c r="B40" s="105" t="s">
        <v>118</v>
      </c>
      <c r="C40" s="106"/>
      <c r="D40" s="107" t="s">
        <v>117</v>
      </c>
      <c r="E40" s="108"/>
      <c r="F40" s="108"/>
      <c r="G40" s="109"/>
      <c r="H40" s="64"/>
      <c r="I40" s="43"/>
      <c r="J40" s="36"/>
      <c r="K40" s="36"/>
      <c r="L40" s="36"/>
      <c r="M40" s="37"/>
    </row>
    <row r="41" spans="1:13" ht="14.1" customHeight="1" x14ac:dyDescent="0.3">
      <c r="A41" s="110">
        <v>20</v>
      </c>
      <c r="B41" s="28" t="s">
        <v>77</v>
      </c>
      <c r="C41" s="29"/>
      <c r="D41" s="49"/>
      <c r="E41" s="49"/>
      <c r="F41" s="49"/>
      <c r="G41" s="49"/>
      <c r="H41" s="63">
        <f>SUM(I41-0.5)</f>
        <v>14</v>
      </c>
      <c r="I41" s="35">
        <v>14.5</v>
      </c>
      <c r="J41" s="8">
        <f>SUM(I41)+0.5</f>
        <v>15</v>
      </c>
      <c r="K41" s="8"/>
      <c r="L41" s="8"/>
      <c r="M41" s="12"/>
    </row>
    <row r="42" spans="1:13" ht="14.1" customHeight="1" x14ac:dyDescent="0.3">
      <c r="A42" s="103"/>
      <c r="B42" s="38" t="s">
        <v>78</v>
      </c>
      <c r="C42" s="39"/>
      <c r="D42" s="44"/>
      <c r="E42" s="41"/>
      <c r="F42" s="41"/>
      <c r="G42" s="42"/>
      <c r="H42" s="64"/>
      <c r="I42" s="43"/>
      <c r="J42" s="36"/>
      <c r="K42" s="36"/>
      <c r="L42" s="36"/>
      <c r="M42" s="37"/>
    </row>
    <row r="43" spans="1:13" ht="14.1" customHeight="1" x14ac:dyDescent="0.3">
      <c r="A43" s="110">
        <v>21</v>
      </c>
      <c r="B43" s="28" t="s">
        <v>79</v>
      </c>
      <c r="C43" s="29"/>
      <c r="D43" s="49"/>
      <c r="E43" s="49"/>
      <c r="F43" s="49"/>
      <c r="G43" s="49"/>
      <c r="H43" s="63">
        <f>SUM(I43-0.5)</f>
        <v>14.5</v>
      </c>
      <c r="I43" s="35">
        <v>15</v>
      </c>
      <c r="J43" s="8">
        <f>SUM(I43)+0.5</f>
        <v>15.5</v>
      </c>
      <c r="K43" s="8"/>
      <c r="L43" s="8"/>
      <c r="M43" s="12"/>
    </row>
    <row r="44" spans="1:13" ht="14.1" customHeight="1" thickBot="1" x14ac:dyDescent="0.35">
      <c r="A44" s="127"/>
      <c r="B44" s="134" t="s">
        <v>80</v>
      </c>
      <c r="C44" s="134"/>
      <c r="D44" s="16"/>
      <c r="E44" s="17"/>
      <c r="F44" s="17"/>
      <c r="G44" s="18"/>
      <c r="H44" s="133"/>
      <c r="I44" s="128"/>
      <c r="J44" s="9"/>
      <c r="K44" s="9"/>
      <c r="L44" s="9"/>
      <c r="M44" s="13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234">
    <mergeCell ref="K43:K44"/>
    <mergeCell ref="L43:L44"/>
    <mergeCell ref="M43:M44"/>
    <mergeCell ref="B44:C44"/>
    <mergeCell ref="D44:G44"/>
    <mergeCell ref="L41:L42"/>
    <mergeCell ref="M41:M42"/>
    <mergeCell ref="B42:C42"/>
    <mergeCell ref="D42:G42"/>
    <mergeCell ref="K41:K42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H41:H42"/>
    <mergeCell ref="H43:H44"/>
    <mergeCell ref="K39:K40"/>
    <mergeCell ref="L39:L40"/>
    <mergeCell ref="M39:M40"/>
    <mergeCell ref="B40:C40"/>
    <mergeCell ref="D40:G40"/>
    <mergeCell ref="L37:L38"/>
    <mergeCell ref="M37:M38"/>
    <mergeCell ref="B38:C38"/>
    <mergeCell ref="D38:G38"/>
    <mergeCell ref="K37:K38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H37:H38"/>
    <mergeCell ref="H39:H40"/>
    <mergeCell ref="K35:K36"/>
    <mergeCell ref="L35:L36"/>
    <mergeCell ref="M35:M36"/>
    <mergeCell ref="B36:C36"/>
    <mergeCell ref="D36:G36"/>
    <mergeCell ref="L33:L34"/>
    <mergeCell ref="M33:M34"/>
    <mergeCell ref="B34:C34"/>
    <mergeCell ref="D34:G34"/>
    <mergeCell ref="K33:K34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1:K32"/>
    <mergeCell ref="L31:L32"/>
    <mergeCell ref="M31:M32"/>
    <mergeCell ref="B32:C32"/>
    <mergeCell ref="D32:G32"/>
    <mergeCell ref="L29:L30"/>
    <mergeCell ref="M29:M30"/>
    <mergeCell ref="B30:C30"/>
    <mergeCell ref="D30:G30"/>
    <mergeCell ref="K29:K30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27:K28"/>
    <mergeCell ref="L27:L28"/>
    <mergeCell ref="M27:M28"/>
    <mergeCell ref="B28:C28"/>
    <mergeCell ref="D28:G28"/>
    <mergeCell ref="L25:L26"/>
    <mergeCell ref="M25:M26"/>
    <mergeCell ref="B26:C26"/>
    <mergeCell ref="D26:G26"/>
    <mergeCell ref="K25:K26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3:K24"/>
    <mergeCell ref="L23:L24"/>
    <mergeCell ref="M23:M24"/>
    <mergeCell ref="B24:C24"/>
    <mergeCell ref="D24:G24"/>
    <mergeCell ref="L21:L22"/>
    <mergeCell ref="M21:M22"/>
    <mergeCell ref="B22:C22"/>
    <mergeCell ref="D22:G22"/>
    <mergeCell ref="K21:K22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19:K20"/>
    <mergeCell ref="L19:L20"/>
    <mergeCell ref="M19:M20"/>
    <mergeCell ref="B20:C20"/>
    <mergeCell ref="D20:G20"/>
    <mergeCell ref="L17:L18"/>
    <mergeCell ref="M17:M18"/>
    <mergeCell ref="B18:C18"/>
    <mergeCell ref="D18:G18"/>
    <mergeCell ref="K17:K18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5:K16"/>
    <mergeCell ref="L15:L16"/>
    <mergeCell ref="M15:M16"/>
    <mergeCell ref="B16:C16"/>
    <mergeCell ref="D16:G16"/>
    <mergeCell ref="L13:L14"/>
    <mergeCell ref="M13:M14"/>
    <mergeCell ref="B14:C14"/>
    <mergeCell ref="D14:G14"/>
    <mergeCell ref="K13:K14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L11:L12"/>
    <mergeCell ref="M11:M12"/>
    <mergeCell ref="B12:C12"/>
    <mergeCell ref="D12:G12"/>
    <mergeCell ref="L9:L10"/>
    <mergeCell ref="M9:M10"/>
    <mergeCell ref="B10:C10"/>
    <mergeCell ref="D10:G10"/>
    <mergeCell ref="K9:K10"/>
    <mergeCell ref="H9:H10"/>
    <mergeCell ref="H11:H12"/>
    <mergeCell ref="A5:A6"/>
    <mergeCell ref="B5:C5"/>
    <mergeCell ref="D5:G5"/>
    <mergeCell ref="I5:I6"/>
    <mergeCell ref="J5:J6"/>
    <mergeCell ref="K5:K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K7:K8"/>
    <mergeCell ref="L7:L8"/>
    <mergeCell ref="M7:M8"/>
    <mergeCell ref="B8:C8"/>
    <mergeCell ref="D8:G8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215D-73F8-4C93-B2D5-C73DE7B459F9}">
  <sheetPr>
    <tabColor rgb="FF92D050"/>
    <pageSetUpPr fitToPage="1"/>
  </sheetPr>
  <dimension ref="A1:P49"/>
  <sheetViews>
    <sheetView zoomScale="110" zoomScaleNormal="110" workbookViewId="0">
      <selection activeCell="P22" sqref="P2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302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4" t="s">
        <v>33</v>
      </c>
      <c r="I2" s="5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98" t="s">
        <v>115</v>
      </c>
      <c r="C3" s="99"/>
      <c r="D3" s="67" t="s">
        <v>75</v>
      </c>
      <c r="E3" s="100"/>
      <c r="F3" s="100"/>
      <c r="G3" s="101"/>
      <c r="H3" s="104">
        <v>64</v>
      </c>
      <c r="I3" s="62">
        <f>SUM(H3)+2.5</f>
        <v>66.5</v>
      </c>
      <c r="J3" s="62">
        <f>SUM(I3)+2.5</f>
        <v>69</v>
      </c>
      <c r="K3" s="62"/>
      <c r="L3" s="62"/>
      <c r="M3" s="61"/>
    </row>
    <row r="4" spans="1:13" s="2" customFormat="1" ht="14.1" customHeight="1" x14ac:dyDescent="0.3">
      <c r="A4" s="103"/>
      <c r="B4" s="105" t="s">
        <v>114</v>
      </c>
      <c r="C4" s="106"/>
      <c r="D4" s="107" t="s">
        <v>74</v>
      </c>
      <c r="E4" s="108"/>
      <c r="F4" s="108"/>
      <c r="G4" s="109"/>
      <c r="H4" s="43"/>
      <c r="I4" s="36"/>
      <c r="J4" s="36"/>
      <c r="K4" s="36"/>
      <c r="L4" s="36"/>
      <c r="M4" s="37"/>
    </row>
    <row r="5" spans="1:13" s="2" customFormat="1" ht="14.1" customHeight="1" x14ac:dyDescent="0.3">
      <c r="A5" s="110">
        <v>2</v>
      </c>
      <c r="B5" s="28" t="s">
        <v>113</v>
      </c>
      <c r="C5" s="29"/>
      <c r="D5" s="50"/>
      <c r="E5" s="51"/>
      <c r="F5" s="51"/>
      <c r="G5" s="52"/>
      <c r="H5" s="111"/>
      <c r="I5" s="25"/>
      <c r="J5" s="25"/>
      <c r="K5" s="25"/>
      <c r="L5" s="25"/>
      <c r="M5" s="19"/>
    </row>
    <row r="6" spans="1:13" s="2" customFormat="1" ht="14.1" customHeight="1" x14ac:dyDescent="0.3">
      <c r="A6" s="103"/>
      <c r="B6" s="105" t="s">
        <v>112</v>
      </c>
      <c r="C6" s="106"/>
      <c r="D6" s="107"/>
      <c r="E6" s="108"/>
      <c r="F6" s="108"/>
      <c r="G6" s="109"/>
      <c r="H6" s="43"/>
      <c r="I6" s="36"/>
      <c r="J6" s="36"/>
      <c r="K6" s="36"/>
      <c r="L6" s="36"/>
      <c r="M6" s="37"/>
    </row>
    <row r="7" spans="1:13" s="2" customFormat="1" ht="14.1" customHeight="1" x14ac:dyDescent="0.3">
      <c r="A7" s="110">
        <v>3</v>
      </c>
      <c r="B7" s="28" t="s">
        <v>73</v>
      </c>
      <c r="C7" s="29"/>
      <c r="D7" s="50"/>
      <c r="E7" s="51"/>
      <c r="F7" s="51"/>
      <c r="G7" s="52"/>
      <c r="H7" s="111"/>
      <c r="I7" s="25"/>
      <c r="J7" s="25"/>
      <c r="K7" s="25"/>
      <c r="L7" s="25"/>
      <c r="M7" s="19"/>
    </row>
    <row r="8" spans="1:13" s="2" customFormat="1" ht="14.1" customHeight="1" x14ac:dyDescent="0.3">
      <c r="A8" s="103"/>
      <c r="B8" s="105" t="s">
        <v>111</v>
      </c>
      <c r="C8" s="106"/>
      <c r="D8" s="107"/>
      <c r="E8" s="108"/>
      <c r="F8" s="108"/>
      <c r="G8" s="109"/>
      <c r="H8" s="43"/>
      <c r="I8" s="36"/>
      <c r="J8" s="36"/>
      <c r="K8" s="36"/>
      <c r="L8" s="36"/>
      <c r="M8" s="37"/>
    </row>
    <row r="9" spans="1:13" s="2" customFormat="1" ht="14.1" customHeight="1" x14ac:dyDescent="0.3">
      <c r="A9" s="110">
        <v>4</v>
      </c>
      <c r="B9" s="28" t="s">
        <v>110</v>
      </c>
      <c r="C9" s="29"/>
      <c r="D9" s="112" t="s">
        <v>209</v>
      </c>
      <c r="E9" s="113"/>
      <c r="F9" s="113"/>
      <c r="G9" s="114"/>
      <c r="H9" s="111"/>
      <c r="I9" s="25"/>
      <c r="J9" s="25"/>
      <c r="K9" s="8"/>
      <c r="L9" s="8"/>
      <c r="M9" s="19"/>
    </row>
    <row r="10" spans="1:13" s="2" customFormat="1" ht="14.1" customHeight="1" x14ac:dyDescent="0.3">
      <c r="A10" s="103"/>
      <c r="B10" s="105" t="s">
        <v>109</v>
      </c>
      <c r="C10" s="106"/>
      <c r="D10" s="115" t="s">
        <v>210</v>
      </c>
      <c r="E10" s="116"/>
      <c r="F10" s="116"/>
      <c r="G10" s="117"/>
      <c r="H10" s="43"/>
      <c r="I10" s="36"/>
      <c r="J10" s="36"/>
      <c r="K10" s="36"/>
      <c r="L10" s="36"/>
      <c r="M10" s="37"/>
    </row>
    <row r="11" spans="1:13" s="2" customFormat="1" ht="14.1" customHeight="1" x14ac:dyDescent="0.3">
      <c r="A11" s="110">
        <v>5</v>
      </c>
      <c r="B11" s="28" t="s">
        <v>85</v>
      </c>
      <c r="C11" s="29"/>
      <c r="D11" s="22"/>
      <c r="E11" s="23"/>
      <c r="F11" s="23"/>
      <c r="G11" s="24"/>
      <c r="H11" s="111">
        <v>86</v>
      </c>
      <c r="I11" s="25">
        <f>SUM(H11)+4.5</f>
        <v>90.5</v>
      </c>
      <c r="J11" s="25">
        <f>SUM(I11)+4.5</f>
        <v>95</v>
      </c>
      <c r="K11" s="25"/>
      <c r="L11" s="25"/>
      <c r="M11" s="19"/>
    </row>
    <row r="12" spans="1:13" s="2" customFormat="1" ht="14.1" customHeight="1" x14ac:dyDescent="0.3">
      <c r="A12" s="103"/>
      <c r="B12" s="105" t="s">
        <v>108</v>
      </c>
      <c r="C12" s="106"/>
      <c r="D12" s="107"/>
      <c r="E12" s="108"/>
      <c r="F12" s="108"/>
      <c r="G12" s="109"/>
      <c r="H12" s="43"/>
      <c r="I12" s="36"/>
      <c r="J12" s="36"/>
      <c r="K12" s="36"/>
      <c r="L12" s="36"/>
      <c r="M12" s="37"/>
    </row>
    <row r="13" spans="1:13" s="2" customFormat="1" ht="14.1" customHeight="1" x14ac:dyDescent="0.3">
      <c r="A13" s="110">
        <v>6</v>
      </c>
      <c r="B13" s="28" t="s">
        <v>41</v>
      </c>
      <c r="C13" s="29"/>
      <c r="D13" s="50" t="s">
        <v>116</v>
      </c>
      <c r="E13" s="51"/>
      <c r="F13" s="51"/>
      <c r="G13" s="52"/>
      <c r="H13" s="35">
        <v>96.6</v>
      </c>
      <c r="I13" s="8">
        <f>SUM(H13)+5</f>
        <v>101.6</v>
      </c>
      <c r="J13" s="8">
        <f>SUM(I13)+5</f>
        <v>106.6</v>
      </c>
      <c r="K13" s="8"/>
      <c r="L13" s="8"/>
      <c r="M13" s="12"/>
    </row>
    <row r="14" spans="1:13" s="2" customFormat="1" ht="14.1" customHeight="1" x14ac:dyDescent="0.3">
      <c r="A14" s="103"/>
      <c r="B14" s="105" t="s">
        <v>42</v>
      </c>
      <c r="C14" s="106"/>
      <c r="D14" s="107" t="s">
        <v>245</v>
      </c>
      <c r="E14" s="108"/>
      <c r="F14" s="108"/>
      <c r="G14" s="109"/>
      <c r="H14" s="43"/>
      <c r="I14" s="36"/>
      <c r="J14" s="36"/>
      <c r="K14" s="36"/>
      <c r="L14" s="36"/>
      <c r="M14" s="37"/>
    </row>
    <row r="15" spans="1:13" s="2" customFormat="1" ht="14.1" customHeight="1" x14ac:dyDescent="0.3">
      <c r="A15" s="110">
        <v>7</v>
      </c>
      <c r="B15" s="28" t="s">
        <v>107</v>
      </c>
      <c r="C15" s="29"/>
      <c r="D15" s="50"/>
      <c r="E15" s="51"/>
      <c r="F15" s="51"/>
      <c r="G15" s="52"/>
      <c r="H15" s="35">
        <v>18.8</v>
      </c>
      <c r="I15" s="8">
        <f>SUM(H15)+0.7</f>
        <v>19.5</v>
      </c>
      <c r="J15" s="8">
        <f>SUM(I15)+0.7</f>
        <v>20.2</v>
      </c>
      <c r="K15" s="48"/>
      <c r="L15" s="48"/>
      <c r="M15" s="118"/>
    </row>
    <row r="16" spans="1:13" s="2" customFormat="1" ht="14.1" customHeight="1" x14ac:dyDescent="0.3">
      <c r="A16" s="103"/>
      <c r="B16" s="105" t="s">
        <v>106</v>
      </c>
      <c r="C16" s="106"/>
      <c r="D16" s="40" t="s">
        <v>246</v>
      </c>
      <c r="E16" s="120"/>
      <c r="F16" s="120"/>
      <c r="G16" s="121"/>
      <c r="H16" s="43"/>
      <c r="I16" s="36"/>
      <c r="J16" s="36"/>
      <c r="K16" s="47"/>
      <c r="L16" s="47"/>
      <c r="M16" s="119"/>
    </row>
    <row r="17" spans="1:16" s="2" customFormat="1" ht="14.1" customHeight="1" x14ac:dyDescent="0.3">
      <c r="A17" s="110">
        <v>8</v>
      </c>
      <c r="B17" s="28" t="s">
        <v>105</v>
      </c>
      <c r="C17" s="29"/>
      <c r="D17" s="50"/>
      <c r="E17" s="51"/>
      <c r="F17" s="51"/>
      <c r="G17" s="52"/>
      <c r="H17" s="35"/>
      <c r="I17" s="63"/>
      <c r="J17" s="63"/>
      <c r="K17" s="48"/>
      <c r="L17" s="48"/>
      <c r="M17" s="118"/>
    </row>
    <row r="18" spans="1:16" s="2" customFormat="1" ht="14.1" customHeight="1" x14ac:dyDescent="0.3">
      <c r="A18" s="103"/>
      <c r="B18" s="105" t="s">
        <v>104</v>
      </c>
      <c r="C18" s="106"/>
      <c r="D18" s="40" t="s">
        <v>103</v>
      </c>
      <c r="E18" s="120"/>
      <c r="F18" s="120"/>
      <c r="G18" s="121"/>
      <c r="H18" s="43"/>
      <c r="I18" s="64"/>
      <c r="J18" s="64"/>
      <c r="K18" s="47"/>
      <c r="L18" s="47"/>
      <c r="M18" s="119"/>
    </row>
    <row r="19" spans="1:16" s="2" customFormat="1" ht="14.1" customHeight="1" x14ac:dyDescent="0.3">
      <c r="A19" s="110">
        <v>9</v>
      </c>
      <c r="B19" s="28" t="s">
        <v>133</v>
      </c>
      <c r="C19" s="29"/>
      <c r="D19" s="50"/>
      <c r="E19" s="51"/>
      <c r="F19" s="51"/>
      <c r="G19" s="52"/>
      <c r="H19" s="35"/>
      <c r="I19" s="63"/>
      <c r="J19" s="63"/>
      <c r="K19" s="8"/>
      <c r="L19" s="8"/>
      <c r="M19" s="12"/>
    </row>
    <row r="20" spans="1:16" s="2" customFormat="1" ht="14.1" customHeight="1" x14ac:dyDescent="0.3">
      <c r="A20" s="103"/>
      <c r="B20" s="105" t="s">
        <v>134</v>
      </c>
      <c r="C20" s="106"/>
      <c r="D20" s="40"/>
      <c r="E20" s="120"/>
      <c r="F20" s="120"/>
      <c r="G20" s="121"/>
      <c r="H20" s="43"/>
      <c r="I20" s="64"/>
      <c r="J20" s="64"/>
      <c r="K20" s="36"/>
      <c r="L20" s="36"/>
      <c r="M20" s="37"/>
    </row>
    <row r="21" spans="1:16" s="2" customFormat="1" ht="14.1" customHeight="1" x14ac:dyDescent="0.3">
      <c r="A21" s="110">
        <v>10</v>
      </c>
      <c r="B21" s="28" t="s">
        <v>43</v>
      </c>
      <c r="C21" s="29"/>
      <c r="D21" s="50" t="s">
        <v>72</v>
      </c>
      <c r="E21" s="51"/>
      <c r="F21" s="51"/>
      <c r="G21" s="52"/>
      <c r="H21" s="35">
        <v>92</v>
      </c>
      <c r="I21" s="8">
        <f>SUM(H21)+4</f>
        <v>96</v>
      </c>
      <c r="J21" s="8">
        <f>SUM(I21)+4</f>
        <v>100</v>
      </c>
      <c r="K21" s="8"/>
      <c r="L21" s="8"/>
      <c r="M21" s="12"/>
    </row>
    <row r="22" spans="1:16" s="2" customFormat="1" ht="14.1" customHeight="1" x14ac:dyDescent="0.3">
      <c r="A22" s="103"/>
      <c r="B22" s="105" t="s">
        <v>44</v>
      </c>
      <c r="C22" s="106"/>
      <c r="D22" s="107" t="s">
        <v>71</v>
      </c>
      <c r="E22" s="108"/>
      <c r="F22" s="108"/>
      <c r="G22" s="109"/>
      <c r="H22" s="43"/>
      <c r="I22" s="36"/>
      <c r="J22" s="36"/>
      <c r="K22" s="36"/>
      <c r="L22" s="36"/>
      <c r="M22" s="37"/>
    </row>
    <row r="23" spans="1:16" s="2" customFormat="1" ht="14.1" customHeight="1" x14ac:dyDescent="0.3">
      <c r="A23" s="110">
        <v>11</v>
      </c>
      <c r="B23" s="28" t="s">
        <v>84</v>
      </c>
      <c r="C23" s="29"/>
      <c r="D23" s="50" t="s">
        <v>83</v>
      </c>
      <c r="E23" s="51"/>
      <c r="F23" s="51"/>
      <c r="G23" s="52"/>
      <c r="H23" s="35">
        <v>52</v>
      </c>
      <c r="I23" s="8">
        <f>SUM(H23)+2.5</f>
        <v>54.5</v>
      </c>
      <c r="J23" s="8">
        <f>SUM(I23)+2.5</f>
        <v>57</v>
      </c>
      <c r="K23" s="8"/>
      <c r="L23" s="8"/>
      <c r="M23" s="12"/>
    </row>
    <row r="24" spans="1:16" s="2" customFormat="1" ht="14.1" customHeight="1" x14ac:dyDescent="0.3">
      <c r="A24" s="103"/>
      <c r="B24" s="105" t="s">
        <v>82</v>
      </c>
      <c r="C24" s="106"/>
      <c r="D24" s="44" t="s">
        <v>81</v>
      </c>
      <c r="E24" s="41"/>
      <c r="F24" s="41"/>
      <c r="G24" s="42"/>
      <c r="H24" s="43"/>
      <c r="I24" s="36"/>
      <c r="J24" s="36"/>
      <c r="K24" s="36"/>
      <c r="L24" s="36"/>
      <c r="M24" s="37"/>
    </row>
    <row r="25" spans="1:16" s="2" customFormat="1" ht="14.1" customHeight="1" x14ac:dyDescent="0.3">
      <c r="A25" s="110">
        <v>12</v>
      </c>
      <c r="B25" s="28" t="s">
        <v>45</v>
      </c>
      <c r="C25" s="29"/>
      <c r="D25" s="50" t="s">
        <v>46</v>
      </c>
      <c r="E25" s="51"/>
      <c r="F25" s="51"/>
      <c r="G25" s="52"/>
      <c r="H25" s="35">
        <v>29.8</v>
      </c>
      <c r="I25" s="8">
        <f>SUM(H25)+1.1</f>
        <v>30.900000000000002</v>
      </c>
      <c r="J25" s="8">
        <f>SUM(I25)+1.1</f>
        <v>32</v>
      </c>
      <c r="K25" s="48"/>
      <c r="L25" s="48"/>
      <c r="M25" s="118"/>
    </row>
    <row r="26" spans="1:16" s="2" customFormat="1" ht="14.1" customHeight="1" x14ac:dyDescent="0.3">
      <c r="A26" s="103"/>
      <c r="B26" s="105" t="s">
        <v>47</v>
      </c>
      <c r="C26" s="106"/>
      <c r="D26" s="107" t="s">
        <v>70</v>
      </c>
      <c r="E26" s="108"/>
      <c r="F26" s="108"/>
      <c r="G26" s="109"/>
      <c r="H26" s="43"/>
      <c r="I26" s="36"/>
      <c r="J26" s="36"/>
      <c r="K26" s="47"/>
      <c r="L26" s="47"/>
      <c r="M26" s="119"/>
    </row>
    <row r="27" spans="1:16" s="2" customFormat="1" ht="14.1" customHeight="1" x14ac:dyDescent="0.3">
      <c r="A27" s="110">
        <v>13</v>
      </c>
      <c r="B27" s="28" t="s">
        <v>48</v>
      </c>
      <c r="C27" s="29"/>
      <c r="D27" s="50" t="s">
        <v>46</v>
      </c>
      <c r="E27" s="51"/>
      <c r="F27" s="51"/>
      <c r="G27" s="52"/>
      <c r="H27" s="35">
        <v>38.6</v>
      </c>
      <c r="I27" s="8">
        <f>SUM(H27)+1.3</f>
        <v>39.9</v>
      </c>
      <c r="J27" s="8">
        <f>SUM(I27)+1.3</f>
        <v>41.199999999999996</v>
      </c>
      <c r="K27" s="48"/>
      <c r="L27" s="48"/>
      <c r="M27" s="118"/>
    </row>
    <row r="28" spans="1:16" s="2" customFormat="1" ht="14.1" customHeight="1" x14ac:dyDescent="0.3">
      <c r="A28" s="103"/>
      <c r="B28" s="105" t="s">
        <v>49</v>
      </c>
      <c r="C28" s="106"/>
      <c r="D28" s="107" t="s">
        <v>70</v>
      </c>
      <c r="E28" s="108"/>
      <c r="F28" s="108"/>
      <c r="G28" s="109"/>
      <c r="H28" s="43"/>
      <c r="I28" s="36"/>
      <c r="J28" s="36"/>
      <c r="K28" s="47"/>
      <c r="L28" s="47"/>
      <c r="M28" s="119"/>
      <c r="P28" s="2">
        <f>SUM(H43+H43+I43+I43+J43+J43)/3/91.44*1.08</f>
        <v>0</v>
      </c>
    </row>
    <row r="29" spans="1:16" s="2" customFormat="1" ht="14.1" customHeight="1" x14ac:dyDescent="0.3">
      <c r="A29" s="110">
        <v>14</v>
      </c>
      <c r="B29" s="28" t="s">
        <v>50</v>
      </c>
      <c r="C29" s="29"/>
      <c r="D29" s="50" t="s">
        <v>51</v>
      </c>
      <c r="E29" s="51"/>
      <c r="F29" s="51"/>
      <c r="G29" s="52"/>
      <c r="H29" s="35">
        <v>62.6</v>
      </c>
      <c r="I29" s="8">
        <f>SUM(H29)+3.1</f>
        <v>65.7</v>
      </c>
      <c r="J29" s="8">
        <f>SUM(I29)+3.1</f>
        <v>68.8</v>
      </c>
      <c r="K29" s="8"/>
      <c r="L29" s="8"/>
      <c r="M29" s="12"/>
    </row>
    <row r="30" spans="1:16" s="2" customFormat="1" ht="14.1" customHeight="1" x14ac:dyDescent="0.3">
      <c r="A30" s="103"/>
      <c r="B30" s="105" t="s">
        <v>52</v>
      </c>
      <c r="C30" s="106"/>
      <c r="D30" s="107" t="s">
        <v>69</v>
      </c>
      <c r="E30" s="108"/>
      <c r="F30" s="108"/>
      <c r="G30" s="109"/>
      <c r="H30" s="43"/>
      <c r="I30" s="36"/>
      <c r="J30" s="36"/>
      <c r="K30" s="36"/>
      <c r="L30" s="36"/>
      <c r="M30" s="37"/>
    </row>
    <row r="31" spans="1:16" s="2" customFormat="1" ht="14.1" customHeight="1" x14ac:dyDescent="0.3">
      <c r="A31" s="110">
        <v>15</v>
      </c>
      <c r="B31" s="28" t="s">
        <v>53</v>
      </c>
      <c r="C31" s="29"/>
      <c r="D31" s="50" t="s">
        <v>54</v>
      </c>
      <c r="E31" s="51"/>
      <c r="F31" s="51"/>
      <c r="G31" s="52"/>
      <c r="H31" s="35">
        <v>64.2</v>
      </c>
      <c r="I31" s="8">
        <f>SUM(H31)+3</f>
        <v>67.2</v>
      </c>
      <c r="J31" s="8">
        <f>SUM(I31)+3</f>
        <v>70.2</v>
      </c>
      <c r="K31" s="8"/>
      <c r="L31" s="8"/>
      <c r="M31" s="12"/>
    </row>
    <row r="32" spans="1:16" s="2" customFormat="1" ht="14.1" customHeight="1" x14ac:dyDescent="0.3">
      <c r="A32" s="103"/>
      <c r="B32" s="105" t="s">
        <v>55</v>
      </c>
      <c r="C32" s="106"/>
      <c r="D32" s="107" t="s">
        <v>68</v>
      </c>
      <c r="E32" s="108"/>
      <c r="F32" s="108"/>
      <c r="G32" s="109"/>
      <c r="H32" s="43"/>
      <c r="I32" s="36"/>
      <c r="J32" s="36"/>
      <c r="K32" s="36"/>
      <c r="L32" s="36"/>
      <c r="M32" s="37"/>
    </row>
    <row r="33" spans="1:14" s="2" customFormat="1" ht="14.1" customHeight="1" x14ac:dyDescent="0.3">
      <c r="A33" s="110">
        <v>16</v>
      </c>
      <c r="B33" s="28" t="s">
        <v>67</v>
      </c>
      <c r="C33" s="29"/>
      <c r="D33" s="50" t="s">
        <v>65</v>
      </c>
      <c r="E33" s="51"/>
      <c r="F33" s="51"/>
      <c r="G33" s="52"/>
      <c r="H33" s="35">
        <v>55</v>
      </c>
      <c r="I33" s="8">
        <f>SUM(H33)+2.7</f>
        <v>57.7</v>
      </c>
      <c r="J33" s="8">
        <f>SUM(I33)+2.8</f>
        <v>60.5</v>
      </c>
      <c r="K33" s="8"/>
      <c r="L33" s="8"/>
      <c r="M33" s="12"/>
    </row>
    <row r="34" spans="1:14" s="2" customFormat="1" ht="14.1" customHeight="1" x14ac:dyDescent="0.3">
      <c r="A34" s="103"/>
      <c r="B34" s="105" t="s">
        <v>66</v>
      </c>
      <c r="C34" s="106"/>
      <c r="D34" s="107" t="s">
        <v>65</v>
      </c>
      <c r="E34" s="108"/>
      <c r="F34" s="108"/>
      <c r="G34" s="109"/>
      <c r="H34" s="43"/>
      <c r="I34" s="36"/>
      <c r="J34" s="36"/>
      <c r="K34" s="36"/>
      <c r="L34" s="36"/>
      <c r="M34" s="37"/>
    </row>
    <row r="35" spans="1:14" s="2" customFormat="1" ht="14.1" customHeight="1" x14ac:dyDescent="0.3">
      <c r="A35" s="110">
        <v>17</v>
      </c>
      <c r="B35" s="28" t="s">
        <v>102</v>
      </c>
      <c r="C35" s="29"/>
      <c r="D35" s="50" t="s">
        <v>101</v>
      </c>
      <c r="E35" s="51"/>
      <c r="F35" s="51"/>
      <c r="G35" s="52"/>
      <c r="H35" s="35">
        <v>55.9</v>
      </c>
      <c r="I35" s="8">
        <f>SUM(H35)+2.3</f>
        <v>58.199999999999996</v>
      </c>
      <c r="J35" s="8">
        <f>SUM(I35)+2.3</f>
        <v>60.499999999999993</v>
      </c>
      <c r="K35" s="135"/>
      <c r="L35" s="8"/>
      <c r="M35" s="12"/>
    </row>
    <row r="36" spans="1:14" s="2" customFormat="1" ht="14.1" customHeight="1" x14ac:dyDescent="0.3">
      <c r="A36" s="103"/>
      <c r="B36" s="105" t="s">
        <v>100</v>
      </c>
      <c r="C36" s="106"/>
      <c r="D36" s="107" t="s">
        <v>99</v>
      </c>
      <c r="E36" s="108"/>
      <c r="F36" s="108"/>
      <c r="G36" s="109"/>
      <c r="H36" s="43"/>
      <c r="I36" s="36"/>
      <c r="J36" s="36"/>
      <c r="K36" s="136"/>
      <c r="L36" s="36"/>
      <c r="M36" s="37"/>
    </row>
    <row r="37" spans="1:14" s="2" customFormat="1" ht="14.1" customHeight="1" x14ac:dyDescent="0.3">
      <c r="A37" s="110">
        <v>18</v>
      </c>
      <c r="B37" s="28" t="s">
        <v>124</v>
      </c>
      <c r="C37" s="29"/>
      <c r="D37" s="50" t="s">
        <v>123</v>
      </c>
      <c r="E37" s="51"/>
      <c r="F37" s="51"/>
      <c r="G37" s="52"/>
      <c r="H37" s="35">
        <v>4.5</v>
      </c>
      <c r="I37" s="8">
        <f>SUM(H37)+0.2</f>
        <v>4.7</v>
      </c>
      <c r="J37" s="8">
        <f>SUM(I37)+0.2</f>
        <v>4.9000000000000004</v>
      </c>
      <c r="K37" s="8"/>
      <c r="L37" s="8"/>
      <c r="M37" s="12"/>
    </row>
    <row r="38" spans="1:14" s="2" customFormat="1" ht="14.1" customHeight="1" x14ac:dyDescent="0.3">
      <c r="A38" s="103"/>
      <c r="B38" s="105" t="s">
        <v>122</v>
      </c>
      <c r="C38" s="106"/>
      <c r="D38" s="107" t="s">
        <v>121</v>
      </c>
      <c r="E38" s="108"/>
      <c r="F38" s="108"/>
      <c r="G38" s="109"/>
      <c r="H38" s="43"/>
      <c r="I38" s="36"/>
      <c r="J38" s="36"/>
      <c r="K38" s="36"/>
      <c r="L38" s="36"/>
      <c r="M38" s="37"/>
    </row>
    <row r="39" spans="1:14" s="2" customFormat="1" ht="14.1" customHeight="1" x14ac:dyDescent="0.3">
      <c r="A39" s="110">
        <v>19</v>
      </c>
      <c r="B39" s="28" t="s">
        <v>120</v>
      </c>
      <c r="C39" s="29"/>
      <c r="D39" s="50" t="s">
        <v>119</v>
      </c>
      <c r="E39" s="51"/>
      <c r="F39" s="51"/>
      <c r="G39" s="52"/>
      <c r="H39" s="35">
        <v>12.4</v>
      </c>
      <c r="I39" s="8">
        <f>SUM(H39)+0.6</f>
        <v>13</v>
      </c>
      <c r="J39" s="8">
        <f>SUM(I39)+0.6</f>
        <v>13.6</v>
      </c>
      <c r="K39" s="8"/>
      <c r="L39" s="8"/>
      <c r="M39" s="12"/>
    </row>
    <row r="40" spans="1:14" s="2" customFormat="1" ht="14.1" customHeight="1" x14ac:dyDescent="0.3">
      <c r="A40" s="103"/>
      <c r="B40" s="105" t="s">
        <v>118</v>
      </c>
      <c r="C40" s="106"/>
      <c r="D40" s="107" t="s">
        <v>117</v>
      </c>
      <c r="E40" s="108"/>
      <c r="F40" s="108"/>
      <c r="G40" s="109"/>
      <c r="H40" s="111"/>
      <c r="I40" s="25"/>
      <c r="J40" s="25"/>
      <c r="K40" s="36"/>
      <c r="L40" s="36"/>
      <c r="M40" s="37"/>
    </row>
    <row r="41" spans="1:14" ht="14.1" customHeight="1" x14ac:dyDescent="0.3">
      <c r="A41" s="110">
        <v>20</v>
      </c>
      <c r="B41" s="28" t="s">
        <v>248</v>
      </c>
      <c r="C41" s="29"/>
      <c r="D41" s="50"/>
      <c r="E41" s="51"/>
      <c r="F41" s="51"/>
      <c r="G41" s="52"/>
      <c r="H41" s="35">
        <v>104</v>
      </c>
      <c r="I41" s="8">
        <f>SUM(H41)+2.5</f>
        <v>106.5</v>
      </c>
      <c r="J41" s="8">
        <f>SUM(I41)+2.5</f>
        <v>109</v>
      </c>
      <c r="K41" s="8"/>
      <c r="L41" s="8"/>
      <c r="M41" s="12"/>
      <c r="N41" s="2"/>
    </row>
    <row r="42" spans="1:14" ht="14.1" customHeight="1" x14ac:dyDescent="0.3">
      <c r="A42" s="103"/>
      <c r="B42" s="122" t="s">
        <v>250</v>
      </c>
      <c r="C42" s="123"/>
      <c r="D42" s="124" t="s">
        <v>303</v>
      </c>
      <c r="E42" s="125"/>
      <c r="F42" s="125"/>
      <c r="G42" s="126"/>
      <c r="H42" s="43"/>
      <c r="I42" s="36"/>
      <c r="J42" s="36"/>
      <c r="K42" s="36"/>
      <c r="L42" s="36"/>
      <c r="M42" s="37"/>
      <c r="N42" s="2"/>
    </row>
    <row r="43" spans="1:14" ht="14.1" customHeight="1" x14ac:dyDescent="0.3">
      <c r="A43" s="110">
        <v>21</v>
      </c>
      <c r="B43" s="28"/>
      <c r="C43" s="29"/>
      <c r="D43" s="49"/>
      <c r="E43" s="49"/>
      <c r="F43" s="49"/>
      <c r="G43" s="49"/>
      <c r="H43" s="35"/>
      <c r="I43" s="8"/>
      <c r="J43" s="8"/>
      <c r="K43" s="8"/>
      <c r="L43" s="8"/>
      <c r="M43" s="12"/>
    </row>
    <row r="44" spans="1:14" ht="14.1" customHeight="1" thickBot="1" x14ac:dyDescent="0.35">
      <c r="A44" s="127"/>
      <c r="B44" s="134"/>
      <c r="C44" s="134"/>
      <c r="D44" s="16"/>
      <c r="E44" s="17"/>
      <c r="F44" s="17"/>
      <c r="G44" s="18"/>
      <c r="H44" s="128"/>
      <c r="I44" s="9"/>
      <c r="J44" s="9"/>
      <c r="K44" s="9"/>
      <c r="L44" s="9"/>
      <c r="M44" s="13"/>
    </row>
    <row r="45" spans="1:14" ht="14.1" customHeight="1" x14ac:dyDescent="0.3"/>
    <row r="46" spans="1:14" ht="14.1" customHeight="1" x14ac:dyDescent="0.3"/>
    <row r="47" spans="1:14" ht="14.1" customHeight="1" x14ac:dyDescent="0.3"/>
    <row r="48" spans="1:14" ht="14.1" customHeight="1" x14ac:dyDescent="0.3"/>
    <row r="49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41:A42"/>
    <mergeCell ref="B41:C41"/>
    <mergeCell ref="D41:G41"/>
    <mergeCell ref="H41:H42"/>
    <mergeCell ref="I41:I42"/>
    <mergeCell ref="A37:A38"/>
    <mergeCell ref="B37:C37"/>
    <mergeCell ref="D37:G37"/>
    <mergeCell ref="H37:H38"/>
    <mergeCell ref="I37:I38"/>
    <mergeCell ref="A39:A40"/>
    <mergeCell ref="J41:J42"/>
    <mergeCell ref="K41:K42"/>
    <mergeCell ref="L41:L42"/>
    <mergeCell ref="M41:M42"/>
    <mergeCell ref="B42:C42"/>
    <mergeCell ref="D42:G42"/>
    <mergeCell ref="K37:K38"/>
    <mergeCell ref="L37:L38"/>
    <mergeCell ref="M37:M38"/>
    <mergeCell ref="B38:C38"/>
    <mergeCell ref="D38:G38"/>
    <mergeCell ref="J37:J38"/>
    <mergeCell ref="K39:K40"/>
    <mergeCell ref="L39:L40"/>
    <mergeCell ref="M39:M40"/>
    <mergeCell ref="B40:C40"/>
    <mergeCell ref="D40:G40"/>
    <mergeCell ref="B39:C39"/>
    <mergeCell ref="D39:G39"/>
    <mergeCell ref="H39:H40"/>
    <mergeCell ref="I39:I40"/>
    <mergeCell ref="J39:J40"/>
    <mergeCell ref="K43:K44"/>
    <mergeCell ref="L43:L44"/>
    <mergeCell ref="M43:M44"/>
    <mergeCell ref="B44:C44"/>
    <mergeCell ref="D44:G44"/>
    <mergeCell ref="A43:A44"/>
    <mergeCell ref="B43:C43"/>
    <mergeCell ref="D43:G43"/>
    <mergeCell ref="H43:H44"/>
    <mergeCell ref="I43:I44"/>
    <mergeCell ref="J43:J4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77E12-1E0F-4FD5-80C4-C915BC919EAD}">
  <sheetPr>
    <tabColor rgb="FF92D050"/>
    <pageSetUpPr fitToPage="1"/>
  </sheetPr>
  <dimension ref="A1:M49"/>
  <sheetViews>
    <sheetView zoomScale="110" zoomScaleNormal="110" workbookViewId="0">
      <selection activeCell="N20" sqref="N2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213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5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98" t="s">
        <v>115</v>
      </c>
      <c r="C3" s="99"/>
      <c r="D3" s="67" t="s">
        <v>75</v>
      </c>
      <c r="E3" s="100"/>
      <c r="F3" s="100"/>
      <c r="G3" s="101"/>
      <c r="H3" s="62">
        <f>SUM(I3)-2.5</f>
        <v>61.5</v>
      </c>
      <c r="I3" s="104">
        <v>64</v>
      </c>
      <c r="J3" s="62">
        <f>SUM(I3)+2.5</f>
        <v>66.5</v>
      </c>
      <c r="K3" s="62"/>
      <c r="L3" s="62"/>
      <c r="M3" s="61"/>
    </row>
    <row r="4" spans="1:13" s="2" customFormat="1" ht="14.1" customHeight="1" x14ac:dyDescent="0.3">
      <c r="A4" s="103"/>
      <c r="B4" s="105" t="s">
        <v>114</v>
      </c>
      <c r="C4" s="106"/>
      <c r="D4" s="107" t="s">
        <v>74</v>
      </c>
      <c r="E4" s="108"/>
      <c r="F4" s="108"/>
      <c r="G4" s="109"/>
      <c r="H4" s="36"/>
      <c r="I4" s="43"/>
      <c r="J4" s="36"/>
      <c r="K4" s="36"/>
      <c r="L4" s="36"/>
      <c r="M4" s="37"/>
    </row>
    <row r="5" spans="1:13" s="2" customFormat="1" ht="14.1" customHeight="1" x14ac:dyDescent="0.3">
      <c r="A5" s="110">
        <v>2</v>
      </c>
      <c r="B5" s="20" t="s">
        <v>113</v>
      </c>
      <c r="C5" s="21"/>
      <c r="D5" s="22"/>
      <c r="E5" s="23"/>
      <c r="F5" s="23"/>
      <c r="G5" s="24"/>
      <c r="H5" s="8">
        <f>SUM(I5)-2.25</f>
        <v>27.75</v>
      </c>
      <c r="I5" s="35">
        <v>30</v>
      </c>
      <c r="J5" s="8">
        <f>SUM(I5)+2.25</f>
        <v>32.25</v>
      </c>
      <c r="K5" s="25"/>
      <c r="L5" s="25"/>
      <c r="M5" s="19"/>
    </row>
    <row r="6" spans="1:13" s="2" customFormat="1" ht="14.1" customHeight="1" x14ac:dyDescent="0.3">
      <c r="A6" s="103"/>
      <c r="B6" s="105" t="s">
        <v>112</v>
      </c>
      <c r="C6" s="106"/>
      <c r="D6" s="107"/>
      <c r="E6" s="108"/>
      <c r="F6" s="108"/>
      <c r="G6" s="109"/>
      <c r="H6" s="36"/>
      <c r="I6" s="43"/>
      <c r="J6" s="36"/>
      <c r="K6" s="36"/>
      <c r="L6" s="36"/>
      <c r="M6" s="37"/>
    </row>
    <row r="7" spans="1:13" s="2" customFormat="1" ht="14.1" customHeight="1" x14ac:dyDescent="0.3">
      <c r="A7" s="110">
        <v>3</v>
      </c>
      <c r="B7" s="20" t="s">
        <v>73</v>
      </c>
      <c r="C7" s="21"/>
      <c r="D7" s="22"/>
      <c r="E7" s="23"/>
      <c r="F7" s="23"/>
      <c r="G7" s="24"/>
      <c r="H7" s="8">
        <f>SUM(I7)-0.25</f>
        <v>33.75</v>
      </c>
      <c r="I7" s="35">
        <v>34</v>
      </c>
      <c r="J7" s="8">
        <f>SUM(I7)+0.25</f>
        <v>34.25</v>
      </c>
      <c r="K7" s="25"/>
      <c r="L7" s="25"/>
      <c r="M7" s="19"/>
    </row>
    <row r="8" spans="1:13" s="2" customFormat="1" ht="14.1" customHeight="1" x14ac:dyDescent="0.3">
      <c r="A8" s="103"/>
      <c r="B8" s="105" t="s">
        <v>111</v>
      </c>
      <c r="C8" s="106"/>
      <c r="D8" s="107"/>
      <c r="E8" s="108"/>
      <c r="F8" s="108"/>
      <c r="G8" s="109"/>
      <c r="H8" s="36"/>
      <c r="I8" s="43"/>
      <c r="J8" s="36"/>
      <c r="K8" s="36"/>
      <c r="L8" s="36"/>
      <c r="M8" s="37"/>
    </row>
    <row r="9" spans="1:13" s="2" customFormat="1" ht="14.1" customHeight="1" x14ac:dyDescent="0.3">
      <c r="A9" s="110">
        <v>4</v>
      </c>
      <c r="B9" s="28" t="s">
        <v>110</v>
      </c>
      <c r="C9" s="29"/>
      <c r="D9" s="112" t="s">
        <v>330</v>
      </c>
      <c r="E9" s="113"/>
      <c r="F9" s="113"/>
      <c r="G9" s="114"/>
      <c r="H9" s="8">
        <f>SUM(I9)-1.3</f>
        <v>50.7</v>
      </c>
      <c r="I9" s="35">
        <v>52</v>
      </c>
      <c r="J9" s="8">
        <f>SUM(I9)+1.3</f>
        <v>53.3</v>
      </c>
      <c r="K9" s="8"/>
      <c r="L9" s="8"/>
      <c r="M9" s="19"/>
    </row>
    <row r="10" spans="1:13" s="2" customFormat="1" ht="14.1" customHeight="1" x14ac:dyDescent="0.3">
      <c r="A10" s="103"/>
      <c r="B10" s="105" t="s">
        <v>109</v>
      </c>
      <c r="C10" s="106"/>
      <c r="D10" s="115" t="s">
        <v>210</v>
      </c>
      <c r="E10" s="116"/>
      <c r="F10" s="116"/>
      <c r="G10" s="117"/>
      <c r="H10" s="36"/>
      <c r="I10" s="43"/>
      <c r="J10" s="36"/>
      <c r="K10" s="36"/>
      <c r="L10" s="36"/>
      <c r="M10" s="37"/>
    </row>
    <row r="11" spans="1:13" s="2" customFormat="1" ht="14.1" customHeight="1" x14ac:dyDescent="0.3">
      <c r="A11" s="110">
        <v>5</v>
      </c>
      <c r="B11" s="28" t="s">
        <v>85</v>
      </c>
      <c r="C11" s="29"/>
      <c r="D11" s="22"/>
      <c r="E11" s="23"/>
      <c r="F11" s="23"/>
      <c r="G11" s="24"/>
      <c r="H11" s="8">
        <f>SUM(I11)-4.5</f>
        <v>73.5</v>
      </c>
      <c r="I11" s="35">
        <v>78</v>
      </c>
      <c r="J11" s="8">
        <f>SUM(I11)+4.5</f>
        <v>82.5</v>
      </c>
      <c r="K11" s="25"/>
      <c r="L11" s="25"/>
      <c r="M11" s="19"/>
    </row>
    <row r="12" spans="1:13" s="2" customFormat="1" ht="14.1" customHeight="1" x14ac:dyDescent="0.3">
      <c r="A12" s="103"/>
      <c r="B12" s="105" t="s">
        <v>108</v>
      </c>
      <c r="C12" s="106"/>
      <c r="D12" s="107"/>
      <c r="E12" s="108"/>
      <c r="F12" s="108"/>
      <c r="G12" s="109"/>
      <c r="H12" s="36"/>
      <c r="I12" s="43"/>
      <c r="J12" s="36"/>
      <c r="K12" s="36"/>
      <c r="L12" s="36"/>
      <c r="M12" s="37"/>
    </row>
    <row r="13" spans="1:13" s="2" customFormat="1" ht="14.1" customHeight="1" x14ac:dyDescent="0.3">
      <c r="A13" s="110">
        <v>6</v>
      </c>
      <c r="B13" s="28" t="s">
        <v>41</v>
      </c>
      <c r="C13" s="29"/>
      <c r="D13" s="50" t="s">
        <v>116</v>
      </c>
      <c r="E13" s="51"/>
      <c r="F13" s="51"/>
      <c r="G13" s="52"/>
      <c r="H13" s="8">
        <f>SUM(I13)-5</f>
        <v>103</v>
      </c>
      <c r="I13" s="35">
        <v>108</v>
      </c>
      <c r="J13" s="8">
        <f>SUM(I13)+5</f>
        <v>113</v>
      </c>
      <c r="K13" s="8"/>
      <c r="L13" s="8"/>
      <c r="M13" s="12"/>
    </row>
    <row r="14" spans="1:13" s="2" customFormat="1" ht="14.1" customHeight="1" x14ac:dyDescent="0.3">
      <c r="A14" s="103"/>
      <c r="B14" s="105" t="s">
        <v>214</v>
      </c>
      <c r="C14" s="106"/>
      <c r="D14" s="107" t="s">
        <v>76</v>
      </c>
      <c r="E14" s="108"/>
      <c r="F14" s="108"/>
      <c r="G14" s="109"/>
      <c r="H14" s="36"/>
      <c r="I14" s="43"/>
      <c r="J14" s="36"/>
      <c r="K14" s="36"/>
      <c r="L14" s="36"/>
      <c r="M14" s="37"/>
    </row>
    <row r="15" spans="1:13" s="2" customFormat="1" ht="14.1" customHeight="1" x14ac:dyDescent="0.3">
      <c r="A15" s="110">
        <v>7</v>
      </c>
      <c r="B15" s="28" t="s">
        <v>107</v>
      </c>
      <c r="C15" s="29"/>
      <c r="D15" s="50"/>
      <c r="E15" s="51"/>
      <c r="F15" s="51"/>
      <c r="G15" s="52"/>
      <c r="H15" s="8">
        <f>SUM(I15)-0.7</f>
        <v>13.3</v>
      </c>
      <c r="I15" s="35">
        <v>14</v>
      </c>
      <c r="J15" s="8">
        <f>SUM(I15)+0.7</f>
        <v>14.7</v>
      </c>
      <c r="K15" s="48"/>
      <c r="L15" s="48"/>
      <c r="M15" s="118"/>
    </row>
    <row r="16" spans="1:13" s="2" customFormat="1" ht="14.1" customHeight="1" x14ac:dyDescent="0.3">
      <c r="A16" s="103"/>
      <c r="B16" s="105" t="s">
        <v>106</v>
      </c>
      <c r="C16" s="106"/>
      <c r="D16" s="40" t="s">
        <v>125</v>
      </c>
      <c r="E16" s="120"/>
      <c r="F16" s="120"/>
      <c r="G16" s="121"/>
      <c r="H16" s="36"/>
      <c r="I16" s="43"/>
      <c r="J16" s="36"/>
      <c r="K16" s="47"/>
      <c r="L16" s="47"/>
      <c r="M16" s="119"/>
    </row>
    <row r="17" spans="1:13" s="2" customFormat="1" ht="14.1" customHeight="1" x14ac:dyDescent="0.3">
      <c r="A17" s="110">
        <v>8</v>
      </c>
      <c r="B17" s="28" t="s">
        <v>105</v>
      </c>
      <c r="C17" s="29"/>
      <c r="D17" s="50"/>
      <c r="E17" s="51"/>
      <c r="F17" s="51"/>
      <c r="G17" s="52"/>
      <c r="H17" s="63">
        <f>SUM(I17)-0.7</f>
        <v>13.3</v>
      </c>
      <c r="I17" s="35">
        <v>14</v>
      </c>
      <c r="J17" s="63">
        <f>SUM(I17)+0.7</f>
        <v>14.7</v>
      </c>
      <c r="K17" s="48"/>
      <c r="L17" s="48"/>
      <c r="M17" s="118"/>
    </row>
    <row r="18" spans="1:13" s="2" customFormat="1" ht="14.1" customHeight="1" x14ac:dyDescent="0.3">
      <c r="A18" s="103"/>
      <c r="B18" s="105" t="s">
        <v>104</v>
      </c>
      <c r="C18" s="106"/>
      <c r="D18" s="40" t="s">
        <v>103</v>
      </c>
      <c r="E18" s="120"/>
      <c r="F18" s="120"/>
      <c r="G18" s="121"/>
      <c r="H18" s="64"/>
      <c r="I18" s="43"/>
      <c r="J18" s="64"/>
      <c r="K18" s="47"/>
      <c r="L18" s="47"/>
      <c r="M18" s="119"/>
    </row>
    <row r="19" spans="1:13" s="2" customFormat="1" ht="14.1" customHeight="1" x14ac:dyDescent="0.3">
      <c r="A19" s="110">
        <v>9</v>
      </c>
      <c r="B19" s="28" t="s">
        <v>133</v>
      </c>
      <c r="C19" s="29"/>
      <c r="D19" s="50"/>
      <c r="E19" s="51"/>
      <c r="F19" s="51"/>
      <c r="G19" s="52"/>
      <c r="H19" s="63">
        <v>3.5</v>
      </c>
      <c r="I19" s="35">
        <v>3.5</v>
      </c>
      <c r="J19" s="63">
        <v>3.5</v>
      </c>
      <c r="K19" s="8"/>
      <c r="L19" s="8"/>
      <c r="M19" s="12"/>
    </row>
    <row r="20" spans="1:13" s="2" customFormat="1" ht="14.1" customHeight="1" x14ac:dyDescent="0.3">
      <c r="A20" s="103"/>
      <c r="B20" s="105" t="s">
        <v>134</v>
      </c>
      <c r="C20" s="106"/>
      <c r="D20" s="40"/>
      <c r="E20" s="120"/>
      <c r="F20" s="120"/>
      <c r="G20" s="121"/>
      <c r="H20" s="64"/>
      <c r="I20" s="43"/>
      <c r="J20" s="64"/>
      <c r="K20" s="36"/>
      <c r="L20" s="36"/>
      <c r="M20" s="37"/>
    </row>
    <row r="21" spans="1:13" s="2" customFormat="1" ht="14.1" customHeight="1" x14ac:dyDescent="0.3">
      <c r="A21" s="110">
        <v>10</v>
      </c>
      <c r="B21" s="28" t="s">
        <v>43</v>
      </c>
      <c r="C21" s="29"/>
      <c r="D21" s="50" t="s">
        <v>72</v>
      </c>
      <c r="E21" s="51"/>
      <c r="F21" s="51"/>
      <c r="G21" s="52"/>
      <c r="H21" s="8">
        <f>SUM(I21)-4</f>
        <v>88</v>
      </c>
      <c r="I21" s="35">
        <v>92</v>
      </c>
      <c r="J21" s="8">
        <f>SUM(I21)+4</f>
        <v>96</v>
      </c>
      <c r="K21" s="8"/>
      <c r="L21" s="8"/>
      <c r="M21" s="12"/>
    </row>
    <row r="22" spans="1:13" s="2" customFormat="1" ht="14.1" customHeight="1" x14ac:dyDescent="0.3">
      <c r="A22" s="103"/>
      <c r="B22" s="105" t="s">
        <v>44</v>
      </c>
      <c r="C22" s="106"/>
      <c r="D22" s="107" t="s">
        <v>71</v>
      </c>
      <c r="E22" s="108"/>
      <c r="F22" s="108"/>
      <c r="G22" s="109"/>
      <c r="H22" s="36"/>
      <c r="I22" s="43"/>
      <c r="J22" s="36"/>
      <c r="K22" s="36"/>
      <c r="L22" s="36"/>
      <c r="M22" s="37"/>
    </row>
    <row r="23" spans="1:13" s="2" customFormat="1" ht="14.1" customHeight="1" x14ac:dyDescent="0.3">
      <c r="A23" s="110">
        <v>11</v>
      </c>
      <c r="B23" s="28" t="s">
        <v>84</v>
      </c>
      <c r="C23" s="29"/>
      <c r="D23" s="50" t="s">
        <v>83</v>
      </c>
      <c r="E23" s="51"/>
      <c r="F23" s="51"/>
      <c r="G23" s="52"/>
      <c r="H23" s="8">
        <f>SUM(I23)-2.2</f>
        <v>50.8</v>
      </c>
      <c r="I23" s="35">
        <v>53</v>
      </c>
      <c r="J23" s="8">
        <f>SUM(I23)+2.2</f>
        <v>55.2</v>
      </c>
      <c r="K23" s="8"/>
      <c r="L23" s="8"/>
      <c r="M23" s="12"/>
    </row>
    <row r="24" spans="1:13" s="2" customFormat="1" ht="14.1" customHeight="1" x14ac:dyDescent="0.3">
      <c r="A24" s="103"/>
      <c r="B24" s="105" t="s">
        <v>82</v>
      </c>
      <c r="C24" s="106"/>
      <c r="D24" s="44" t="s">
        <v>81</v>
      </c>
      <c r="E24" s="41"/>
      <c r="F24" s="41"/>
      <c r="G24" s="42"/>
      <c r="H24" s="36"/>
      <c r="I24" s="43"/>
      <c r="J24" s="36"/>
      <c r="K24" s="36"/>
      <c r="L24" s="36"/>
      <c r="M24" s="37"/>
    </row>
    <row r="25" spans="1:13" s="2" customFormat="1" ht="14.1" customHeight="1" x14ac:dyDescent="0.3">
      <c r="A25" s="110">
        <v>12</v>
      </c>
      <c r="B25" s="28" t="s">
        <v>45</v>
      </c>
      <c r="C25" s="29"/>
      <c r="D25" s="50" t="s">
        <v>46</v>
      </c>
      <c r="E25" s="51"/>
      <c r="F25" s="51"/>
      <c r="G25" s="52"/>
      <c r="H25" s="8">
        <f>SUM(I25)-1.1</f>
        <v>26.9</v>
      </c>
      <c r="I25" s="35">
        <v>28</v>
      </c>
      <c r="J25" s="8">
        <f>SUM(I25)+1.1</f>
        <v>29.1</v>
      </c>
      <c r="K25" s="48"/>
      <c r="L25" s="48"/>
      <c r="M25" s="118"/>
    </row>
    <row r="26" spans="1:13" s="2" customFormat="1" ht="14.1" customHeight="1" x14ac:dyDescent="0.3">
      <c r="A26" s="103"/>
      <c r="B26" s="105" t="s">
        <v>47</v>
      </c>
      <c r="C26" s="106"/>
      <c r="D26" s="107" t="s">
        <v>70</v>
      </c>
      <c r="E26" s="108"/>
      <c r="F26" s="108"/>
      <c r="G26" s="109"/>
      <c r="H26" s="36"/>
      <c r="I26" s="43"/>
      <c r="J26" s="36"/>
      <c r="K26" s="47"/>
      <c r="L26" s="47"/>
      <c r="M26" s="119"/>
    </row>
    <row r="27" spans="1:13" s="2" customFormat="1" ht="14.1" customHeight="1" x14ac:dyDescent="0.3">
      <c r="A27" s="110">
        <v>13</v>
      </c>
      <c r="B27" s="28" t="s">
        <v>48</v>
      </c>
      <c r="C27" s="29"/>
      <c r="D27" s="50" t="s">
        <v>46</v>
      </c>
      <c r="E27" s="51"/>
      <c r="F27" s="51"/>
      <c r="G27" s="52"/>
      <c r="H27" s="8">
        <f>SUM(I27)-1.3</f>
        <v>35.700000000000003</v>
      </c>
      <c r="I27" s="35">
        <v>37</v>
      </c>
      <c r="J27" s="8">
        <f>SUM(I27)+1.3</f>
        <v>38.299999999999997</v>
      </c>
      <c r="K27" s="48"/>
      <c r="L27" s="48"/>
      <c r="M27" s="118"/>
    </row>
    <row r="28" spans="1:13" s="2" customFormat="1" ht="14.1" customHeight="1" x14ac:dyDescent="0.3">
      <c r="A28" s="103"/>
      <c r="B28" s="105" t="s">
        <v>49</v>
      </c>
      <c r="C28" s="106"/>
      <c r="D28" s="107" t="s">
        <v>70</v>
      </c>
      <c r="E28" s="108"/>
      <c r="F28" s="108"/>
      <c r="G28" s="109"/>
      <c r="H28" s="36"/>
      <c r="I28" s="43"/>
      <c r="J28" s="36"/>
      <c r="K28" s="47"/>
      <c r="L28" s="47"/>
      <c r="M28" s="119"/>
    </row>
    <row r="29" spans="1:13" s="2" customFormat="1" ht="14.1" customHeight="1" x14ac:dyDescent="0.3">
      <c r="A29" s="110">
        <v>14</v>
      </c>
      <c r="B29" s="28" t="s">
        <v>50</v>
      </c>
      <c r="C29" s="29"/>
      <c r="D29" s="50" t="s">
        <v>51</v>
      </c>
      <c r="E29" s="51"/>
      <c r="F29" s="51"/>
      <c r="G29" s="52"/>
      <c r="H29" s="8"/>
      <c r="I29" s="35"/>
      <c r="J29" s="8"/>
      <c r="K29" s="8"/>
      <c r="L29" s="8"/>
      <c r="M29" s="12"/>
    </row>
    <row r="30" spans="1:13" s="2" customFormat="1" ht="14.1" customHeight="1" x14ac:dyDescent="0.3">
      <c r="A30" s="103"/>
      <c r="B30" s="105" t="s">
        <v>52</v>
      </c>
      <c r="C30" s="106"/>
      <c r="D30" s="107" t="s">
        <v>69</v>
      </c>
      <c r="E30" s="108"/>
      <c r="F30" s="108"/>
      <c r="G30" s="109"/>
      <c r="H30" s="36"/>
      <c r="I30" s="43"/>
      <c r="J30" s="36"/>
      <c r="K30" s="36"/>
      <c r="L30" s="36"/>
      <c r="M30" s="37"/>
    </row>
    <row r="31" spans="1:13" s="2" customFormat="1" ht="14.1" customHeight="1" x14ac:dyDescent="0.3">
      <c r="A31" s="110">
        <v>15</v>
      </c>
      <c r="B31" s="28" t="s">
        <v>53</v>
      </c>
      <c r="C31" s="29"/>
      <c r="D31" s="50" t="s">
        <v>54</v>
      </c>
      <c r="E31" s="51"/>
      <c r="F31" s="51"/>
      <c r="G31" s="52"/>
      <c r="H31" s="8"/>
      <c r="I31" s="35"/>
      <c r="J31" s="8"/>
      <c r="K31" s="8"/>
      <c r="L31" s="8"/>
      <c r="M31" s="12"/>
    </row>
    <row r="32" spans="1:13" s="2" customFormat="1" ht="14.1" customHeight="1" x14ac:dyDescent="0.3">
      <c r="A32" s="103"/>
      <c r="B32" s="105" t="s">
        <v>55</v>
      </c>
      <c r="C32" s="106"/>
      <c r="D32" s="107" t="s">
        <v>68</v>
      </c>
      <c r="E32" s="108"/>
      <c r="F32" s="108"/>
      <c r="G32" s="109"/>
      <c r="H32" s="36"/>
      <c r="I32" s="43"/>
      <c r="J32" s="36"/>
      <c r="K32" s="36"/>
      <c r="L32" s="36"/>
      <c r="M32" s="37"/>
    </row>
    <row r="33" spans="1:13" s="2" customFormat="1" ht="14.1" customHeight="1" x14ac:dyDescent="0.3">
      <c r="A33" s="110">
        <v>16</v>
      </c>
      <c r="B33" s="28" t="s">
        <v>67</v>
      </c>
      <c r="C33" s="29"/>
      <c r="D33" s="50" t="s">
        <v>65</v>
      </c>
      <c r="E33" s="51"/>
      <c r="F33" s="51"/>
      <c r="G33" s="52"/>
      <c r="H33" s="8"/>
      <c r="I33" s="35"/>
      <c r="J33" s="8"/>
      <c r="K33" s="8"/>
      <c r="L33" s="8"/>
      <c r="M33" s="12"/>
    </row>
    <row r="34" spans="1:13" s="2" customFormat="1" ht="14.1" customHeight="1" x14ac:dyDescent="0.3">
      <c r="A34" s="103"/>
      <c r="B34" s="105" t="s">
        <v>66</v>
      </c>
      <c r="C34" s="106"/>
      <c r="D34" s="107" t="s">
        <v>65</v>
      </c>
      <c r="E34" s="108"/>
      <c r="F34" s="108"/>
      <c r="G34" s="109"/>
      <c r="H34" s="36"/>
      <c r="I34" s="43"/>
      <c r="J34" s="36"/>
      <c r="K34" s="36"/>
      <c r="L34" s="36"/>
      <c r="M34" s="37"/>
    </row>
    <row r="35" spans="1:13" s="2" customFormat="1" ht="14.1" customHeight="1" x14ac:dyDescent="0.3">
      <c r="A35" s="110">
        <v>17</v>
      </c>
      <c r="B35" s="28" t="s">
        <v>102</v>
      </c>
      <c r="C35" s="29"/>
      <c r="D35" s="50" t="s">
        <v>101</v>
      </c>
      <c r="E35" s="51"/>
      <c r="F35" s="51"/>
      <c r="G35" s="52"/>
      <c r="H35" s="8"/>
      <c r="I35" s="35"/>
      <c r="J35" s="8"/>
      <c r="K35" s="8"/>
      <c r="L35" s="8"/>
      <c r="M35" s="12"/>
    </row>
    <row r="36" spans="1:13" s="2" customFormat="1" ht="14.1" customHeight="1" x14ac:dyDescent="0.3">
      <c r="A36" s="103"/>
      <c r="B36" s="105" t="s">
        <v>100</v>
      </c>
      <c r="C36" s="106"/>
      <c r="D36" s="107" t="s">
        <v>99</v>
      </c>
      <c r="E36" s="108"/>
      <c r="F36" s="108"/>
      <c r="G36" s="109"/>
      <c r="H36" s="36"/>
      <c r="I36" s="43"/>
      <c r="J36" s="36"/>
      <c r="K36" s="36"/>
      <c r="L36" s="36"/>
      <c r="M36" s="37"/>
    </row>
    <row r="37" spans="1:13" s="2" customFormat="1" ht="14.1" customHeight="1" x14ac:dyDescent="0.3">
      <c r="A37" s="110">
        <v>18</v>
      </c>
      <c r="B37" s="28" t="s">
        <v>124</v>
      </c>
      <c r="C37" s="29"/>
      <c r="D37" s="50" t="s">
        <v>123</v>
      </c>
      <c r="E37" s="51"/>
      <c r="F37" s="51"/>
      <c r="G37" s="52"/>
      <c r="H37" s="8">
        <f>SUM(I37)-0.2</f>
        <v>4.3</v>
      </c>
      <c r="I37" s="35">
        <v>4.5</v>
      </c>
      <c r="J37" s="8">
        <f>SUM(I37)+0.2</f>
        <v>4.7</v>
      </c>
      <c r="K37" s="8"/>
      <c r="L37" s="8"/>
      <c r="M37" s="12"/>
    </row>
    <row r="38" spans="1:13" s="2" customFormat="1" ht="14.1" customHeight="1" x14ac:dyDescent="0.3">
      <c r="A38" s="103"/>
      <c r="B38" s="105" t="s">
        <v>122</v>
      </c>
      <c r="C38" s="106"/>
      <c r="D38" s="107" t="s">
        <v>121</v>
      </c>
      <c r="E38" s="108"/>
      <c r="F38" s="108"/>
      <c r="G38" s="109"/>
      <c r="H38" s="36"/>
      <c r="I38" s="43"/>
      <c r="J38" s="36"/>
      <c r="K38" s="36"/>
      <c r="L38" s="36"/>
      <c r="M38" s="37"/>
    </row>
    <row r="39" spans="1:13" s="2" customFormat="1" ht="14.1" customHeight="1" x14ac:dyDescent="0.3">
      <c r="A39" s="110">
        <v>19</v>
      </c>
      <c r="B39" s="28" t="s">
        <v>120</v>
      </c>
      <c r="C39" s="29"/>
      <c r="D39" s="50" t="s">
        <v>119</v>
      </c>
      <c r="E39" s="51"/>
      <c r="F39" s="51"/>
      <c r="G39" s="52"/>
      <c r="H39" s="8">
        <f>SUM(I39)-0.6</f>
        <v>11.9</v>
      </c>
      <c r="I39" s="35">
        <v>12.5</v>
      </c>
      <c r="J39" s="8">
        <f>SUM(I39)+0.6</f>
        <v>13.1</v>
      </c>
      <c r="K39" s="8"/>
      <c r="L39" s="8"/>
      <c r="M39" s="12"/>
    </row>
    <row r="40" spans="1:13" s="2" customFormat="1" ht="14.1" customHeight="1" x14ac:dyDescent="0.3">
      <c r="A40" s="103"/>
      <c r="B40" s="105" t="s">
        <v>118</v>
      </c>
      <c r="C40" s="106"/>
      <c r="D40" s="107" t="s">
        <v>117</v>
      </c>
      <c r="E40" s="108"/>
      <c r="F40" s="108"/>
      <c r="G40" s="109"/>
      <c r="H40" s="36"/>
      <c r="I40" s="43"/>
      <c r="J40" s="36"/>
      <c r="K40" s="36"/>
      <c r="L40" s="36"/>
      <c r="M40" s="37"/>
    </row>
    <row r="41" spans="1:13" ht="14.1" customHeight="1" x14ac:dyDescent="0.3">
      <c r="A41" s="110">
        <v>20</v>
      </c>
      <c r="B41" s="28" t="s">
        <v>77</v>
      </c>
      <c r="C41" s="29"/>
      <c r="D41" s="49"/>
      <c r="E41" s="49"/>
      <c r="F41" s="49"/>
      <c r="G41" s="49"/>
      <c r="H41" s="8">
        <f>SUM(I41)-0.5</f>
        <v>13</v>
      </c>
      <c r="I41" s="35">
        <v>13.5</v>
      </c>
      <c r="J41" s="8">
        <f>SUM(I41)+0.5</f>
        <v>14</v>
      </c>
      <c r="K41" s="8"/>
      <c r="L41" s="8"/>
      <c r="M41" s="12"/>
    </row>
    <row r="42" spans="1:13" ht="14.1" customHeight="1" x14ac:dyDescent="0.3">
      <c r="A42" s="103"/>
      <c r="B42" s="38" t="s">
        <v>78</v>
      </c>
      <c r="C42" s="39"/>
      <c r="D42" s="44"/>
      <c r="E42" s="41"/>
      <c r="F42" s="41"/>
      <c r="G42" s="42"/>
      <c r="H42" s="36"/>
      <c r="I42" s="43"/>
      <c r="J42" s="36"/>
      <c r="K42" s="36"/>
      <c r="L42" s="36"/>
      <c r="M42" s="37"/>
    </row>
    <row r="43" spans="1:13" ht="14.1" customHeight="1" x14ac:dyDescent="0.3">
      <c r="A43" s="110">
        <v>21</v>
      </c>
      <c r="B43" s="28" t="s">
        <v>79</v>
      </c>
      <c r="C43" s="29"/>
      <c r="D43" s="49"/>
      <c r="E43" s="49"/>
      <c r="F43" s="49"/>
      <c r="G43" s="49"/>
      <c r="H43" s="8">
        <f>SUM(I43)-0.5</f>
        <v>13.5</v>
      </c>
      <c r="I43" s="35">
        <v>14</v>
      </c>
      <c r="J43" s="8">
        <f>SUM(I43)+0.5</f>
        <v>14.5</v>
      </c>
      <c r="K43" s="8"/>
      <c r="L43" s="8"/>
      <c r="M43" s="12"/>
    </row>
    <row r="44" spans="1:13" ht="14.1" customHeight="1" thickBot="1" x14ac:dyDescent="0.35">
      <c r="A44" s="127"/>
      <c r="B44" s="134" t="s">
        <v>80</v>
      </c>
      <c r="C44" s="134"/>
      <c r="D44" s="16"/>
      <c r="E44" s="17"/>
      <c r="F44" s="17"/>
      <c r="G44" s="18"/>
      <c r="H44" s="9"/>
      <c r="I44" s="128"/>
      <c r="J44" s="9"/>
      <c r="K44" s="9"/>
      <c r="L44" s="9"/>
      <c r="M44" s="13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K5:K6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H13:H14"/>
    <mergeCell ref="H15:H16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H17:H18"/>
    <mergeCell ref="H19:H20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H21:H22"/>
    <mergeCell ref="H23:H24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H25:H26"/>
    <mergeCell ref="H27:H28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H29:H30"/>
    <mergeCell ref="H31:H32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H33:H34"/>
    <mergeCell ref="H35:H36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H37:H38"/>
    <mergeCell ref="H39:H40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H41:H42"/>
    <mergeCell ref="H43:H4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41E5-F1AA-42EC-BDEF-DDF96DBD91C0}">
  <sheetPr>
    <tabColor rgb="FF92D050"/>
    <pageSetUpPr fitToPage="1"/>
  </sheetPr>
  <dimension ref="A1:M49"/>
  <sheetViews>
    <sheetView zoomScale="110" zoomScaleNormal="110" workbookViewId="0">
      <selection activeCell="O9" sqref="O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211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98" t="s">
        <v>115</v>
      </c>
      <c r="C3" s="99"/>
      <c r="D3" s="67" t="s">
        <v>75</v>
      </c>
      <c r="E3" s="100"/>
      <c r="F3" s="100"/>
      <c r="G3" s="101"/>
      <c r="H3" s="132">
        <f>SUM(I3-2.5)</f>
        <v>61.5</v>
      </c>
      <c r="I3" s="104">
        <v>64</v>
      </c>
      <c r="J3" s="62">
        <f>SUM(I3)+2.5</f>
        <v>66.5</v>
      </c>
      <c r="K3" s="62"/>
      <c r="L3" s="62"/>
      <c r="M3" s="61"/>
    </row>
    <row r="4" spans="1:13" s="2" customFormat="1" ht="14.1" customHeight="1" x14ac:dyDescent="0.3">
      <c r="A4" s="103"/>
      <c r="B4" s="105" t="s">
        <v>114</v>
      </c>
      <c r="C4" s="106"/>
      <c r="D4" s="107" t="s">
        <v>74</v>
      </c>
      <c r="E4" s="108"/>
      <c r="F4" s="108"/>
      <c r="G4" s="109"/>
      <c r="H4" s="64"/>
      <c r="I4" s="43"/>
      <c r="J4" s="36"/>
      <c r="K4" s="36"/>
      <c r="L4" s="36"/>
      <c r="M4" s="37"/>
    </row>
    <row r="5" spans="1:13" s="2" customFormat="1" ht="14.1" customHeight="1" x14ac:dyDescent="0.3">
      <c r="A5" s="110">
        <v>2</v>
      </c>
      <c r="B5" s="20" t="s">
        <v>113</v>
      </c>
      <c r="C5" s="21"/>
      <c r="D5" s="22"/>
      <c r="E5" s="23"/>
      <c r="F5" s="23"/>
      <c r="G5" s="24"/>
      <c r="H5" s="137">
        <f>SUM(I5-1.2)</f>
        <v>18.8</v>
      </c>
      <c r="I5" s="111">
        <v>20</v>
      </c>
      <c r="J5" s="25">
        <f>SUM(I5)+1.2</f>
        <v>21.2</v>
      </c>
      <c r="K5" s="25"/>
      <c r="L5" s="25"/>
      <c r="M5" s="19"/>
    </row>
    <row r="6" spans="1:13" s="2" customFormat="1" ht="14.1" customHeight="1" x14ac:dyDescent="0.3">
      <c r="A6" s="103"/>
      <c r="B6" s="105" t="s">
        <v>112</v>
      </c>
      <c r="C6" s="106"/>
      <c r="D6" s="107" t="s">
        <v>212</v>
      </c>
      <c r="E6" s="108"/>
      <c r="F6" s="108"/>
      <c r="G6" s="109"/>
      <c r="H6" s="64"/>
      <c r="I6" s="43"/>
      <c r="J6" s="36"/>
      <c r="K6" s="36"/>
      <c r="L6" s="36"/>
      <c r="M6" s="37"/>
    </row>
    <row r="7" spans="1:13" s="2" customFormat="1" ht="14.1" customHeight="1" x14ac:dyDescent="0.3">
      <c r="A7" s="110">
        <v>3</v>
      </c>
      <c r="B7" s="20" t="s">
        <v>73</v>
      </c>
      <c r="C7" s="21"/>
      <c r="D7" s="22"/>
      <c r="E7" s="23"/>
      <c r="F7" s="23"/>
      <c r="G7" s="24"/>
      <c r="H7" s="137">
        <f>SUM(I7-1.3)</f>
        <v>42.7</v>
      </c>
      <c r="I7" s="111">
        <v>44</v>
      </c>
      <c r="J7" s="25">
        <f>SUM(I7)+1.3</f>
        <v>45.3</v>
      </c>
      <c r="K7" s="25"/>
      <c r="L7" s="25"/>
      <c r="M7" s="19"/>
    </row>
    <row r="8" spans="1:13" s="2" customFormat="1" ht="14.1" customHeight="1" x14ac:dyDescent="0.3">
      <c r="A8" s="103"/>
      <c r="B8" s="105" t="s">
        <v>111</v>
      </c>
      <c r="C8" s="106"/>
      <c r="D8" s="107"/>
      <c r="E8" s="108"/>
      <c r="F8" s="108"/>
      <c r="G8" s="109"/>
      <c r="H8" s="64"/>
      <c r="I8" s="43"/>
      <c r="J8" s="36"/>
      <c r="K8" s="36"/>
      <c r="L8" s="36"/>
      <c r="M8" s="37"/>
    </row>
    <row r="9" spans="1:13" s="2" customFormat="1" ht="14.1" customHeight="1" x14ac:dyDescent="0.3">
      <c r="A9" s="110">
        <v>4</v>
      </c>
      <c r="B9" s="28" t="s">
        <v>110</v>
      </c>
      <c r="C9" s="29"/>
      <c r="D9" s="112" t="s">
        <v>332</v>
      </c>
      <c r="E9" s="113"/>
      <c r="F9" s="113"/>
      <c r="G9" s="114"/>
      <c r="H9" s="137">
        <f>SUM(I9-1.3)</f>
        <v>46.7</v>
      </c>
      <c r="I9" s="111">
        <v>48</v>
      </c>
      <c r="J9" s="25">
        <f>SUM(I9)+1.3</f>
        <v>49.3</v>
      </c>
      <c r="K9" s="8"/>
      <c r="L9" s="8"/>
      <c r="M9" s="19"/>
    </row>
    <row r="10" spans="1:13" s="2" customFormat="1" ht="14.1" customHeight="1" x14ac:dyDescent="0.3">
      <c r="A10" s="103"/>
      <c r="B10" s="105" t="s">
        <v>109</v>
      </c>
      <c r="C10" s="106"/>
      <c r="D10" s="115" t="s">
        <v>210</v>
      </c>
      <c r="E10" s="116"/>
      <c r="F10" s="116"/>
      <c r="G10" s="117"/>
      <c r="H10" s="64"/>
      <c r="I10" s="43"/>
      <c r="J10" s="36"/>
      <c r="K10" s="36"/>
      <c r="L10" s="36"/>
      <c r="M10" s="37"/>
    </row>
    <row r="11" spans="1:13" s="2" customFormat="1" ht="14.1" customHeight="1" x14ac:dyDescent="0.3">
      <c r="A11" s="110">
        <v>5</v>
      </c>
      <c r="B11" s="28" t="s">
        <v>85</v>
      </c>
      <c r="C11" s="29"/>
      <c r="D11" s="22"/>
      <c r="E11" s="23"/>
      <c r="F11" s="23"/>
      <c r="G11" s="24"/>
      <c r="H11" s="137">
        <f>SUM(I11-4.5)</f>
        <v>73.5</v>
      </c>
      <c r="I11" s="111">
        <v>78</v>
      </c>
      <c r="J11" s="25">
        <f>SUM(I11)+4.5</f>
        <v>82.5</v>
      </c>
      <c r="K11" s="25"/>
      <c r="L11" s="25"/>
      <c r="M11" s="19"/>
    </row>
    <row r="12" spans="1:13" s="2" customFormat="1" ht="14.1" customHeight="1" x14ac:dyDescent="0.3">
      <c r="A12" s="103"/>
      <c r="B12" s="105" t="s">
        <v>108</v>
      </c>
      <c r="C12" s="106"/>
      <c r="D12" s="107"/>
      <c r="E12" s="108"/>
      <c r="F12" s="108"/>
      <c r="G12" s="109"/>
      <c r="H12" s="64"/>
      <c r="I12" s="43"/>
      <c r="J12" s="36"/>
      <c r="K12" s="36"/>
      <c r="L12" s="36"/>
      <c r="M12" s="37"/>
    </row>
    <row r="13" spans="1:13" s="2" customFormat="1" ht="14.1" customHeight="1" x14ac:dyDescent="0.3">
      <c r="A13" s="110">
        <v>6</v>
      </c>
      <c r="B13" s="28" t="s">
        <v>41</v>
      </c>
      <c r="C13" s="29"/>
      <c r="D13" s="50" t="s">
        <v>116</v>
      </c>
      <c r="E13" s="51"/>
      <c r="F13" s="51"/>
      <c r="G13" s="52"/>
      <c r="H13" s="63">
        <f>SUM(I13-5)</f>
        <v>99</v>
      </c>
      <c r="I13" s="35">
        <v>104</v>
      </c>
      <c r="J13" s="8">
        <f>SUM(I13)+5</f>
        <v>109</v>
      </c>
      <c r="K13" s="8"/>
      <c r="L13" s="8"/>
      <c r="M13" s="12"/>
    </row>
    <row r="14" spans="1:13" s="2" customFormat="1" ht="14.1" customHeight="1" x14ac:dyDescent="0.3">
      <c r="A14" s="103"/>
      <c r="B14" s="105" t="s">
        <v>331</v>
      </c>
      <c r="C14" s="106"/>
      <c r="D14" s="107" t="s">
        <v>76</v>
      </c>
      <c r="E14" s="108"/>
      <c r="F14" s="108"/>
      <c r="G14" s="109"/>
      <c r="H14" s="64"/>
      <c r="I14" s="43"/>
      <c r="J14" s="36"/>
      <c r="K14" s="36"/>
      <c r="L14" s="36"/>
      <c r="M14" s="37"/>
    </row>
    <row r="15" spans="1:13" s="2" customFormat="1" ht="14.1" customHeight="1" x14ac:dyDescent="0.3">
      <c r="A15" s="110">
        <v>7</v>
      </c>
      <c r="B15" s="28" t="s">
        <v>107</v>
      </c>
      <c r="C15" s="29"/>
      <c r="D15" s="50"/>
      <c r="E15" s="51"/>
      <c r="F15" s="51"/>
      <c r="G15" s="52"/>
      <c r="H15" s="63">
        <f>SUM(I15-0.7)</f>
        <v>13.3</v>
      </c>
      <c r="I15" s="35">
        <v>14</v>
      </c>
      <c r="J15" s="8">
        <f>SUM(I15)+0.7</f>
        <v>14.7</v>
      </c>
      <c r="K15" s="48"/>
      <c r="L15" s="48"/>
      <c r="M15" s="118"/>
    </row>
    <row r="16" spans="1:13" s="2" customFormat="1" ht="14.1" customHeight="1" x14ac:dyDescent="0.3">
      <c r="A16" s="103"/>
      <c r="B16" s="105" t="s">
        <v>106</v>
      </c>
      <c r="C16" s="106"/>
      <c r="D16" s="40" t="s">
        <v>125</v>
      </c>
      <c r="E16" s="120"/>
      <c r="F16" s="120"/>
      <c r="G16" s="121"/>
      <c r="H16" s="64"/>
      <c r="I16" s="43"/>
      <c r="J16" s="36"/>
      <c r="K16" s="47"/>
      <c r="L16" s="47"/>
      <c r="M16" s="119"/>
    </row>
    <row r="17" spans="1:13" s="2" customFormat="1" ht="14.1" customHeight="1" x14ac:dyDescent="0.3">
      <c r="A17" s="110">
        <v>8</v>
      </c>
      <c r="B17" s="28" t="s">
        <v>105</v>
      </c>
      <c r="C17" s="29"/>
      <c r="D17" s="50"/>
      <c r="E17" s="51"/>
      <c r="F17" s="51"/>
      <c r="G17" s="52"/>
      <c r="H17" s="63">
        <f>SUM(I17-0.7)</f>
        <v>13.3</v>
      </c>
      <c r="I17" s="35">
        <v>14</v>
      </c>
      <c r="J17" s="8">
        <f>SUM(I17)+0.7</f>
        <v>14.7</v>
      </c>
      <c r="K17" s="48"/>
      <c r="L17" s="48"/>
      <c r="M17" s="118"/>
    </row>
    <row r="18" spans="1:13" s="2" customFormat="1" ht="14.1" customHeight="1" x14ac:dyDescent="0.3">
      <c r="A18" s="103"/>
      <c r="B18" s="105" t="s">
        <v>104</v>
      </c>
      <c r="C18" s="106"/>
      <c r="D18" s="40" t="s">
        <v>103</v>
      </c>
      <c r="E18" s="120"/>
      <c r="F18" s="120"/>
      <c r="G18" s="121"/>
      <c r="H18" s="64"/>
      <c r="I18" s="43"/>
      <c r="J18" s="36"/>
      <c r="K18" s="47"/>
      <c r="L18" s="47"/>
      <c r="M18" s="119"/>
    </row>
    <row r="19" spans="1:13" s="2" customFormat="1" ht="14.1" customHeight="1" x14ac:dyDescent="0.3">
      <c r="A19" s="110">
        <v>9</v>
      </c>
      <c r="B19" s="28" t="s">
        <v>133</v>
      </c>
      <c r="C19" s="29"/>
      <c r="D19" s="50"/>
      <c r="E19" s="51"/>
      <c r="F19" s="51"/>
      <c r="G19" s="52"/>
      <c r="H19" s="63">
        <v>3.5</v>
      </c>
      <c r="I19" s="35">
        <v>3.5</v>
      </c>
      <c r="J19" s="63">
        <v>3.5</v>
      </c>
      <c r="K19" s="8"/>
      <c r="L19" s="8"/>
      <c r="M19" s="12"/>
    </row>
    <row r="20" spans="1:13" s="2" customFormat="1" ht="14.1" customHeight="1" x14ac:dyDescent="0.3">
      <c r="A20" s="103"/>
      <c r="B20" s="105" t="s">
        <v>134</v>
      </c>
      <c r="C20" s="106"/>
      <c r="D20" s="40"/>
      <c r="E20" s="120"/>
      <c r="F20" s="120"/>
      <c r="G20" s="121"/>
      <c r="H20" s="64"/>
      <c r="I20" s="43"/>
      <c r="J20" s="64"/>
      <c r="K20" s="36"/>
      <c r="L20" s="36"/>
      <c r="M20" s="37"/>
    </row>
    <row r="21" spans="1:13" s="2" customFormat="1" ht="14.1" customHeight="1" x14ac:dyDescent="0.3">
      <c r="A21" s="110">
        <v>10</v>
      </c>
      <c r="B21" s="28" t="s">
        <v>43</v>
      </c>
      <c r="C21" s="29"/>
      <c r="D21" s="50" t="s">
        <v>72</v>
      </c>
      <c r="E21" s="51"/>
      <c r="F21" s="51"/>
      <c r="G21" s="52"/>
      <c r="H21" s="63">
        <f>SUM(I21-2)</f>
        <v>58</v>
      </c>
      <c r="I21" s="35">
        <v>60</v>
      </c>
      <c r="J21" s="8">
        <f>SUM(I21)+2</f>
        <v>62</v>
      </c>
      <c r="K21" s="8"/>
      <c r="L21" s="8"/>
      <c r="M21" s="12"/>
    </row>
    <row r="22" spans="1:13" s="2" customFormat="1" ht="14.1" customHeight="1" x14ac:dyDescent="0.3">
      <c r="A22" s="103"/>
      <c r="B22" s="105" t="s">
        <v>44</v>
      </c>
      <c r="C22" s="106"/>
      <c r="D22" s="107" t="s">
        <v>71</v>
      </c>
      <c r="E22" s="108"/>
      <c r="F22" s="108"/>
      <c r="G22" s="109"/>
      <c r="H22" s="64"/>
      <c r="I22" s="43"/>
      <c r="J22" s="36"/>
      <c r="K22" s="36"/>
      <c r="L22" s="36"/>
      <c r="M22" s="37"/>
    </row>
    <row r="23" spans="1:13" s="2" customFormat="1" ht="14.1" customHeight="1" x14ac:dyDescent="0.3">
      <c r="A23" s="110">
        <v>11</v>
      </c>
      <c r="B23" s="28" t="s">
        <v>84</v>
      </c>
      <c r="C23" s="29"/>
      <c r="D23" s="50" t="s">
        <v>83</v>
      </c>
      <c r="E23" s="51"/>
      <c r="F23" s="51"/>
      <c r="G23" s="52"/>
      <c r="H23" s="63">
        <f>SUM(I23-2.5)</f>
        <v>61.5</v>
      </c>
      <c r="I23" s="35">
        <v>64</v>
      </c>
      <c r="J23" s="8">
        <f>SUM(I23)+2.5</f>
        <v>66.5</v>
      </c>
      <c r="K23" s="8"/>
      <c r="L23" s="8"/>
      <c r="M23" s="12"/>
    </row>
    <row r="24" spans="1:13" s="2" customFormat="1" ht="14.1" customHeight="1" x14ac:dyDescent="0.3">
      <c r="A24" s="103"/>
      <c r="B24" s="105" t="s">
        <v>82</v>
      </c>
      <c r="C24" s="106"/>
      <c r="D24" s="44" t="s">
        <v>81</v>
      </c>
      <c r="E24" s="41"/>
      <c r="F24" s="41"/>
      <c r="G24" s="42"/>
      <c r="H24" s="64"/>
      <c r="I24" s="43"/>
      <c r="J24" s="36"/>
      <c r="K24" s="36"/>
      <c r="L24" s="36"/>
      <c r="M24" s="37"/>
    </row>
    <row r="25" spans="1:13" s="2" customFormat="1" ht="14.1" customHeight="1" x14ac:dyDescent="0.3">
      <c r="A25" s="110">
        <v>12</v>
      </c>
      <c r="B25" s="28" t="s">
        <v>45</v>
      </c>
      <c r="C25" s="29"/>
      <c r="D25" s="50" t="s">
        <v>46</v>
      </c>
      <c r="E25" s="51"/>
      <c r="F25" s="51"/>
      <c r="G25" s="52"/>
      <c r="H25" s="63">
        <f>SUM(I25-1.1)</f>
        <v>25.9</v>
      </c>
      <c r="I25" s="35">
        <v>27</v>
      </c>
      <c r="J25" s="8">
        <f>SUM(I25)+1.1</f>
        <v>28.1</v>
      </c>
      <c r="K25" s="48"/>
      <c r="L25" s="48"/>
      <c r="M25" s="118"/>
    </row>
    <row r="26" spans="1:13" s="2" customFormat="1" ht="14.1" customHeight="1" x14ac:dyDescent="0.3">
      <c r="A26" s="103"/>
      <c r="B26" s="105" t="s">
        <v>47</v>
      </c>
      <c r="C26" s="106"/>
      <c r="D26" s="107" t="s">
        <v>70</v>
      </c>
      <c r="E26" s="108"/>
      <c r="F26" s="108"/>
      <c r="G26" s="109"/>
      <c r="H26" s="64"/>
      <c r="I26" s="43"/>
      <c r="J26" s="36"/>
      <c r="K26" s="47"/>
      <c r="L26" s="47"/>
      <c r="M26" s="119"/>
    </row>
    <row r="27" spans="1:13" s="2" customFormat="1" ht="14.1" customHeight="1" x14ac:dyDescent="0.3">
      <c r="A27" s="110">
        <v>13</v>
      </c>
      <c r="B27" s="28" t="s">
        <v>48</v>
      </c>
      <c r="C27" s="29"/>
      <c r="D27" s="50" t="s">
        <v>46</v>
      </c>
      <c r="E27" s="51"/>
      <c r="F27" s="51"/>
      <c r="G27" s="52"/>
      <c r="H27" s="63">
        <f>SUM(I27-1.3)</f>
        <v>36.700000000000003</v>
      </c>
      <c r="I27" s="35">
        <v>38</v>
      </c>
      <c r="J27" s="8">
        <f>SUM(I27)+1.3</f>
        <v>39.299999999999997</v>
      </c>
      <c r="K27" s="48"/>
      <c r="L27" s="48"/>
      <c r="M27" s="118"/>
    </row>
    <row r="28" spans="1:13" s="2" customFormat="1" ht="14.1" customHeight="1" x14ac:dyDescent="0.3">
      <c r="A28" s="103"/>
      <c r="B28" s="105" t="s">
        <v>49</v>
      </c>
      <c r="C28" s="106"/>
      <c r="D28" s="107" t="s">
        <v>70</v>
      </c>
      <c r="E28" s="108"/>
      <c r="F28" s="108"/>
      <c r="G28" s="109"/>
      <c r="H28" s="64"/>
      <c r="I28" s="43"/>
      <c r="J28" s="36"/>
      <c r="K28" s="47"/>
      <c r="L28" s="47"/>
      <c r="M28" s="119"/>
    </row>
    <row r="29" spans="1:13" s="2" customFormat="1" ht="14.1" customHeight="1" x14ac:dyDescent="0.3">
      <c r="A29" s="110">
        <v>14</v>
      </c>
      <c r="B29" s="28" t="s">
        <v>50</v>
      </c>
      <c r="C29" s="29"/>
      <c r="D29" s="50" t="s">
        <v>51</v>
      </c>
      <c r="E29" s="51"/>
      <c r="F29" s="51"/>
      <c r="G29" s="52"/>
      <c r="H29" s="63"/>
      <c r="I29" s="35"/>
      <c r="J29" s="8"/>
      <c r="K29" s="8"/>
      <c r="L29" s="8"/>
      <c r="M29" s="12"/>
    </row>
    <row r="30" spans="1:13" s="2" customFormat="1" ht="14.1" customHeight="1" x14ac:dyDescent="0.3">
      <c r="A30" s="103"/>
      <c r="B30" s="105" t="s">
        <v>52</v>
      </c>
      <c r="C30" s="106"/>
      <c r="D30" s="107" t="s">
        <v>69</v>
      </c>
      <c r="E30" s="108"/>
      <c r="F30" s="108"/>
      <c r="G30" s="109"/>
      <c r="H30" s="64"/>
      <c r="I30" s="43"/>
      <c r="J30" s="36"/>
      <c r="K30" s="36"/>
      <c r="L30" s="36"/>
      <c r="M30" s="37"/>
    </row>
    <row r="31" spans="1:13" s="2" customFormat="1" ht="14.1" customHeight="1" x14ac:dyDescent="0.3">
      <c r="A31" s="110">
        <v>15</v>
      </c>
      <c r="B31" s="28" t="s">
        <v>53</v>
      </c>
      <c r="C31" s="29"/>
      <c r="D31" s="50" t="s">
        <v>54</v>
      </c>
      <c r="E31" s="51"/>
      <c r="F31" s="51"/>
      <c r="G31" s="52"/>
      <c r="H31" s="63"/>
      <c r="I31" s="35"/>
      <c r="J31" s="8"/>
      <c r="K31" s="8"/>
      <c r="L31" s="8"/>
      <c r="M31" s="12"/>
    </row>
    <row r="32" spans="1:13" s="2" customFormat="1" ht="14.1" customHeight="1" x14ac:dyDescent="0.3">
      <c r="A32" s="103"/>
      <c r="B32" s="105" t="s">
        <v>55</v>
      </c>
      <c r="C32" s="106"/>
      <c r="D32" s="107" t="s">
        <v>68</v>
      </c>
      <c r="E32" s="108"/>
      <c r="F32" s="108"/>
      <c r="G32" s="109"/>
      <c r="H32" s="64"/>
      <c r="I32" s="43"/>
      <c r="J32" s="36"/>
      <c r="K32" s="36"/>
      <c r="L32" s="36"/>
      <c r="M32" s="37"/>
    </row>
    <row r="33" spans="1:13" s="2" customFormat="1" ht="14.1" customHeight="1" x14ac:dyDescent="0.3">
      <c r="A33" s="110">
        <v>16</v>
      </c>
      <c r="B33" s="28" t="s">
        <v>67</v>
      </c>
      <c r="C33" s="29"/>
      <c r="D33" s="50" t="s">
        <v>65</v>
      </c>
      <c r="E33" s="51"/>
      <c r="F33" s="51"/>
      <c r="G33" s="52"/>
      <c r="H33" s="63"/>
      <c r="I33" s="35"/>
      <c r="J33" s="8"/>
      <c r="K33" s="8"/>
      <c r="L33" s="8"/>
      <c r="M33" s="12"/>
    </row>
    <row r="34" spans="1:13" s="2" customFormat="1" ht="14.1" customHeight="1" x14ac:dyDescent="0.3">
      <c r="A34" s="103"/>
      <c r="B34" s="105" t="s">
        <v>66</v>
      </c>
      <c r="C34" s="106"/>
      <c r="D34" s="107" t="s">
        <v>65</v>
      </c>
      <c r="E34" s="108"/>
      <c r="F34" s="108"/>
      <c r="G34" s="109"/>
      <c r="H34" s="64"/>
      <c r="I34" s="43"/>
      <c r="J34" s="36"/>
      <c r="K34" s="36"/>
      <c r="L34" s="36"/>
      <c r="M34" s="37"/>
    </row>
    <row r="35" spans="1:13" s="2" customFormat="1" ht="14.1" customHeight="1" x14ac:dyDescent="0.3">
      <c r="A35" s="110">
        <v>17</v>
      </c>
      <c r="B35" s="28" t="s">
        <v>102</v>
      </c>
      <c r="C35" s="29"/>
      <c r="D35" s="50" t="s">
        <v>101</v>
      </c>
      <c r="E35" s="51"/>
      <c r="F35" s="51"/>
      <c r="G35" s="52"/>
      <c r="H35" s="63"/>
      <c r="I35" s="35"/>
      <c r="J35" s="8"/>
      <c r="K35" s="8"/>
      <c r="L35" s="8"/>
      <c r="M35" s="12"/>
    </row>
    <row r="36" spans="1:13" s="2" customFormat="1" ht="14.1" customHeight="1" x14ac:dyDescent="0.3">
      <c r="A36" s="103"/>
      <c r="B36" s="105" t="s">
        <v>100</v>
      </c>
      <c r="C36" s="106"/>
      <c r="D36" s="107" t="s">
        <v>99</v>
      </c>
      <c r="E36" s="108"/>
      <c r="F36" s="108"/>
      <c r="G36" s="109"/>
      <c r="H36" s="64"/>
      <c r="I36" s="43"/>
      <c r="J36" s="36"/>
      <c r="K36" s="36"/>
      <c r="L36" s="36"/>
      <c r="M36" s="37"/>
    </row>
    <row r="37" spans="1:13" s="2" customFormat="1" ht="14.1" customHeight="1" x14ac:dyDescent="0.3">
      <c r="A37" s="110">
        <v>18</v>
      </c>
      <c r="B37" s="28" t="s">
        <v>124</v>
      </c>
      <c r="C37" s="29"/>
      <c r="D37" s="50" t="s">
        <v>123</v>
      </c>
      <c r="E37" s="51"/>
      <c r="F37" s="51"/>
      <c r="G37" s="52"/>
      <c r="H37" s="63">
        <f>SUM(I37-0.5)</f>
        <v>7.5</v>
      </c>
      <c r="I37" s="35">
        <v>8</v>
      </c>
      <c r="J37" s="8">
        <f>SUM(I37)+0.5</f>
        <v>8.5</v>
      </c>
      <c r="K37" s="8"/>
      <c r="L37" s="8"/>
      <c r="M37" s="12"/>
    </row>
    <row r="38" spans="1:13" s="2" customFormat="1" ht="14.1" customHeight="1" x14ac:dyDescent="0.3">
      <c r="A38" s="103"/>
      <c r="B38" s="105" t="s">
        <v>122</v>
      </c>
      <c r="C38" s="106"/>
      <c r="D38" s="107" t="s">
        <v>121</v>
      </c>
      <c r="E38" s="108"/>
      <c r="F38" s="108"/>
      <c r="G38" s="109"/>
      <c r="H38" s="64"/>
      <c r="I38" s="43"/>
      <c r="J38" s="36"/>
      <c r="K38" s="36"/>
      <c r="L38" s="36"/>
      <c r="M38" s="37"/>
    </row>
    <row r="39" spans="1:13" s="2" customFormat="1" ht="14.1" customHeight="1" x14ac:dyDescent="0.3">
      <c r="A39" s="110">
        <v>19</v>
      </c>
      <c r="B39" s="28" t="s">
        <v>120</v>
      </c>
      <c r="C39" s="29"/>
      <c r="D39" s="50" t="s">
        <v>119</v>
      </c>
      <c r="E39" s="51"/>
      <c r="F39" s="51"/>
      <c r="G39" s="52"/>
      <c r="H39" s="63">
        <f>SUM(I39-0.3)</f>
        <v>5.7</v>
      </c>
      <c r="I39" s="35">
        <v>6</v>
      </c>
      <c r="J39" s="8">
        <f>SUM(I39)+0.3</f>
        <v>6.3</v>
      </c>
      <c r="K39" s="8"/>
      <c r="L39" s="8"/>
      <c r="M39" s="12"/>
    </row>
    <row r="40" spans="1:13" s="2" customFormat="1" ht="14.1" customHeight="1" x14ac:dyDescent="0.3">
      <c r="A40" s="103"/>
      <c r="B40" s="105" t="s">
        <v>118</v>
      </c>
      <c r="C40" s="106"/>
      <c r="D40" s="107" t="s">
        <v>117</v>
      </c>
      <c r="E40" s="108"/>
      <c r="F40" s="108"/>
      <c r="G40" s="109"/>
      <c r="H40" s="64"/>
      <c r="I40" s="43"/>
      <c r="J40" s="36"/>
      <c r="K40" s="36"/>
      <c r="L40" s="36"/>
      <c r="M40" s="37"/>
    </row>
    <row r="41" spans="1:13" ht="14.1" customHeight="1" x14ac:dyDescent="0.3">
      <c r="A41" s="110">
        <v>20</v>
      </c>
      <c r="B41" s="28" t="s">
        <v>77</v>
      </c>
      <c r="C41" s="29"/>
      <c r="D41" s="49"/>
      <c r="E41" s="49"/>
      <c r="F41" s="49"/>
      <c r="G41" s="49"/>
      <c r="H41" s="63">
        <f>SUM(I41-0.5)</f>
        <v>13</v>
      </c>
      <c r="I41" s="35">
        <v>13.5</v>
      </c>
      <c r="J41" s="8">
        <f>SUM(I41)+0.5</f>
        <v>14</v>
      </c>
      <c r="K41" s="8"/>
      <c r="L41" s="8"/>
      <c r="M41" s="12"/>
    </row>
    <row r="42" spans="1:13" ht="14.1" customHeight="1" x14ac:dyDescent="0.3">
      <c r="A42" s="103"/>
      <c r="B42" s="38" t="s">
        <v>78</v>
      </c>
      <c r="C42" s="39"/>
      <c r="D42" s="44"/>
      <c r="E42" s="41"/>
      <c r="F42" s="41"/>
      <c r="G42" s="42"/>
      <c r="H42" s="64"/>
      <c r="I42" s="43"/>
      <c r="J42" s="36"/>
      <c r="K42" s="36"/>
      <c r="L42" s="36"/>
      <c r="M42" s="37"/>
    </row>
    <row r="43" spans="1:13" ht="14.1" customHeight="1" x14ac:dyDescent="0.3">
      <c r="A43" s="110">
        <v>21</v>
      </c>
      <c r="B43" s="28" t="s">
        <v>79</v>
      </c>
      <c r="C43" s="29"/>
      <c r="D43" s="49"/>
      <c r="E43" s="49"/>
      <c r="F43" s="49"/>
      <c r="G43" s="49"/>
      <c r="H43" s="63">
        <f>SUM(I43-0.5)</f>
        <v>13.5</v>
      </c>
      <c r="I43" s="35">
        <v>14</v>
      </c>
      <c r="J43" s="8">
        <f>SUM(I43)+0.5</f>
        <v>14.5</v>
      </c>
      <c r="K43" s="8"/>
      <c r="L43" s="8"/>
      <c r="M43" s="12"/>
    </row>
    <row r="44" spans="1:13" ht="14.1" customHeight="1" thickBot="1" x14ac:dyDescent="0.35">
      <c r="A44" s="127"/>
      <c r="B44" s="134" t="s">
        <v>80</v>
      </c>
      <c r="C44" s="134"/>
      <c r="D44" s="16"/>
      <c r="E44" s="17"/>
      <c r="F44" s="17"/>
      <c r="G44" s="18"/>
      <c r="H44" s="133"/>
      <c r="I44" s="128"/>
      <c r="J44" s="9"/>
      <c r="K44" s="9"/>
      <c r="L44" s="9"/>
      <c r="M44" s="13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234"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  <mergeCell ref="K7:K8"/>
    <mergeCell ref="L7:L8"/>
    <mergeCell ref="M7:M8"/>
    <mergeCell ref="B8:C8"/>
    <mergeCell ref="D8:G8"/>
    <mergeCell ref="K5:K6"/>
    <mergeCell ref="L5:L6"/>
    <mergeCell ref="M5:M6"/>
    <mergeCell ref="H5:H6"/>
    <mergeCell ref="H7:H8"/>
    <mergeCell ref="A5:A6"/>
    <mergeCell ref="B5:C5"/>
    <mergeCell ref="D5:G5"/>
    <mergeCell ref="I5:I6"/>
    <mergeCell ref="J5:J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H9:H10"/>
    <mergeCell ref="H11:H12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H13:H14"/>
    <mergeCell ref="H15:H16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H17:H18"/>
    <mergeCell ref="H19:H20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H21:H22"/>
    <mergeCell ref="H23:H24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H25:H26"/>
    <mergeCell ref="H27:H28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H29:H30"/>
    <mergeCell ref="H31:H32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H33:H34"/>
    <mergeCell ref="H35:H36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H37:H38"/>
    <mergeCell ref="H39:H40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H41:H42"/>
    <mergeCell ref="H43:H4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3A48-9698-4651-846C-CB777B8C0413}">
  <sheetPr>
    <tabColor rgb="FF92D050"/>
    <pageSetUpPr fitToPage="1"/>
  </sheetPr>
  <dimension ref="A1:M49"/>
  <sheetViews>
    <sheetView zoomScale="110" zoomScaleNormal="110" workbookViewId="0">
      <selection activeCell="Q12" sqref="Q12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301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98" t="s">
        <v>115</v>
      </c>
      <c r="C3" s="99"/>
      <c r="D3" s="67" t="s">
        <v>75</v>
      </c>
      <c r="E3" s="100"/>
      <c r="F3" s="100"/>
      <c r="G3" s="101"/>
      <c r="H3" s="132">
        <f>SUM(I3-2.5)</f>
        <v>61.5</v>
      </c>
      <c r="I3" s="104">
        <v>64</v>
      </c>
      <c r="J3" s="62">
        <f>SUM(I3)+2.5</f>
        <v>66.5</v>
      </c>
      <c r="K3" s="62"/>
      <c r="L3" s="62"/>
      <c r="M3" s="61"/>
    </row>
    <row r="4" spans="1:13" s="2" customFormat="1" ht="14.1" customHeight="1" x14ac:dyDescent="0.3">
      <c r="A4" s="103"/>
      <c r="B4" s="105" t="s">
        <v>114</v>
      </c>
      <c r="C4" s="106"/>
      <c r="D4" s="107" t="s">
        <v>74</v>
      </c>
      <c r="E4" s="108"/>
      <c r="F4" s="108"/>
      <c r="G4" s="109"/>
      <c r="H4" s="64"/>
      <c r="I4" s="43"/>
      <c r="J4" s="36"/>
      <c r="K4" s="36"/>
      <c r="L4" s="36"/>
      <c r="M4" s="37"/>
    </row>
    <row r="5" spans="1:13" s="2" customFormat="1" ht="14.1" customHeight="1" x14ac:dyDescent="0.3">
      <c r="A5" s="110">
        <v>2</v>
      </c>
      <c r="B5" s="20" t="s">
        <v>113</v>
      </c>
      <c r="C5" s="21"/>
      <c r="D5" s="22"/>
      <c r="E5" s="23"/>
      <c r="F5" s="23"/>
      <c r="G5" s="24"/>
      <c r="H5" s="137">
        <f>SUM(I5-2.25)</f>
        <v>27.75</v>
      </c>
      <c r="I5" s="111">
        <v>30</v>
      </c>
      <c r="J5" s="25">
        <f>SUM(I5)+2.25</f>
        <v>32.25</v>
      </c>
      <c r="K5" s="25"/>
      <c r="L5" s="25"/>
      <c r="M5" s="19"/>
    </row>
    <row r="6" spans="1:13" s="2" customFormat="1" ht="14.1" customHeight="1" x14ac:dyDescent="0.3">
      <c r="A6" s="103"/>
      <c r="B6" s="105" t="s">
        <v>112</v>
      </c>
      <c r="C6" s="106"/>
      <c r="D6" s="107"/>
      <c r="E6" s="108"/>
      <c r="F6" s="108"/>
      <c r="G6" s="109"/>
      <c r="H6" s="64"/>
      <c r="I6" s="43"/>
      <c r="J6" s="36"/>
      <c r="K6" s="36"/>
      <c r="L6" s="36"/>
      <c r="M6" s="37"/>
    </row>
    <row r="7" spans="1:13" s="2" customFormat="1" ht="14.1" customHeight="1" x14ac:dyDescent="0.3">
      <c r="A7" s="110">
        <v>3</v>
      </c>
      <c r="B7" s="20" t="s">
        <v>73</v>
      </c>
      <c r="C7" s="21"/>
      <c r="D7" s="22"/>
      <c r="E7" s="23"/>
      <c r="F7" s="23"/>
      <c r="G7" s="24"/>
      <c r="H7" s="137">
        <f>SUM(I7-0.25)</f>
        <v>33.75</v>
      </c>
      <c r="I7" s="111">
        <v>34</v>
      </c>
      <c r="J7" s="25">
        <f>SUM(I7)+0.25</f>
        <v>34.25</v>
      </c>
      <c r="K7" s="25"/>
      <c r="L7" s="25"/>
      <c r="M7" s="19"/>
    </row>
    <row r="8" spans="1:13" s="2" customFormat="1" ht="14.1" customHeight="1" x14ac:dyDescent="0.3">
      <c r="A8" s="103"/>
      <c r="B8" s="105" t="s">
        <v>111</v>
      </c>
      <c r="C8" s="106"/>
      <c r="D8" s="107"/>
      <c r="E8" s="108"/>
      <c r="F8" s="108"/>
      <c r="G8" s="109"/>
      <c r="H8" s="64"/>
      <c r="I8" s="43"/>
      <c r="J8" s="36"/>
      <c r="K8" s="36"/>
      <c r="L8" s="36"/>
      <c r="M8" s="37"/>
    </row>
    <row r="9" spans="1:13" s="2" customFormat="1" ht="14.1" customHeight="1" x14ac:dyDescent="0.3">
      <c r="A9" s="110">
        <v>4</v>
      </c>
      <c r="B9" s="28" t="s">
        <v>110</v>
      </c>
      <c r="C9" s="29"/>
      <c r="D9" s="112" t="s">
        <v>330</v>
      </c>
      <c r="E9" s="113"/>
      <c r="F9" s="113"/>
      <c r="G9" s="114"/>
      <c r="H9" s="137">
        <f>SUM(I9-1.3)</f>
        <v>50.7</v>
      </c>
      <c r="I9" s="111">
        <v>52</v>
      </c>
      <c r="J9" s="25">
        <f>SUM(I9)+1.3</f>
        <v>53.3</v>
      </c>
      <c r="K9" s="8"/>
      <c r="L9" s="8"/>
      <c r="M9" s="19"/>
    </row>
    <row r="10" spans="1:13" s="2" customFormat="1" ht="14.1" customHeight="1" x14ac:dyDescent="0.3">
      <c r="A10" s="103"/>
      <c r="B10" s="105" t="s">
        <v>109</v>
      </c>
      <c r="C10" s="106"/>
      <c r="D10" s="115" t="s">
        <v>210</v>
      </c>
      <c r="E10" s="116"/>
      <c r="F10" s="116"/>
      <c r="G10" s="117"/>
      <c r="H10" s="64"/>
      <c r="I10" s="43"/>
      <c r="J10" s="36"/>
      <c r="K10" s="36"/>
      <c r="L10" s="36"/>
      <c r="M10" s="37"/>
    </row>
    <row r="11" spans="1:13" s="2" customFormat="1" ht="14.1" customHeight="1" x14ac:dyDescent="0.3">
      <c r="A11" s="110">
        <v>5</v>
      </c>
      <c r="B11" s="28" t="s">
        <v>85</v>
      </c>
      <c r="C11" s="29"/>
      <c r="D11" s="22"/>
      <c r="E11" s="23"/>
      <c r="F11" s="23"/>
      <c r="G11" s="24"/>
      <c r="H11" s="137">
        <f>SUM(I11-4.5)</f>
        <v>73.5</v>
      </c>
      <c r="I11" s="111">
        <v>78</v>
      </c>
      <c r="J11" s="25">
        <f>SUM(I11)+4.5</f>
        <v>82.5</v>
      </c>
      <c r="K11" s="25"/>
      <c r="L11" s="25"/>
      <c r="M11" s="19"/>
    </row>
    <row r="12" spans="1:13" s="2" customFormat="1" ht="14.1" customHeight="1" x14ac:dyDescent="0.3">
      <c r="A12" s="103"/>
      <c r="B12" s="105" t="s">
        <v>108</v>
      </c>
      <c r="C12" s="106"/>
      <c r="D12" s="107"/>
      <c r="E12" s="108"/>
      <c r="F12" s="108"/>
      <c r="G12" s="109"/>
      <c r="H12" s="64"/>
      <c r="I12" s="43"/>
      <c r="J12" s="36"/>
      <c r="K12" s="36"/>
      <c r="L12" s="36"/>
      <c r="M12" s="37"/>
    </row>
    <row r="13" spans="1:13" s="2" customFormat="1" ht="14.1" customHeight="1" x14ac:dyDescent="0.3">
      <c r="A13" s="110">
        <v>6</v>
      </c>
      <c r="B13" s="28" t="s">
        <v>41</v>
      </c>
      <c r="C13" s="29"/>
      <c r="D13" s="50" t="s">
        <v>116</v>
      </c>
      <c r="E13" s="51"/>
      <c r="F13" s="51"/>
      <c r="G13" s="52"/>
      <c r="H13" s="63">
        <f>SUM(I13-5)</f>
        <v>95</v>
      </c>
      <c r="I13" s="35">
        <v>100</v>
      </c>
      <c r="J13" s="8">
        <f>SUM(I13)+5</f>
        <v>105</v>
      </c>
      <c r="K13" s="8"/>
      <c r="L13" s="8"/>
      <c r="M13" s="12"/>
    </row>
    <row r="14" spans="1:13" s="2" customFormat="1" ht="14.1" customHeight="1" x14ac:dyDescent="0.3">
      <c r="A14" s="103"/>
      <c r="B14" s="105" t="s">
        <v>42</v>
      </c>
      <c r="C14" s="106"/>
      <c r="D14" s="107" t="s">
        <v>76</v>
      </c>
      <c r="E14" s="108"/>
      <c r="F14" s="108"/>
      <c r="G14" s="109"/>
      <c r="H14" s="64"/>
      <c r="I14" s="43"/>
      <c r="J14" s="36"/>
      <c r="K14" s="36"/>
      <c r="L14" s="36"/>
      <c r="M14" s="37"/>
    </row>
    <row r="15" spans="1:13" s="2" customFormat="1" ht="14.1" customHeight="1" x14ac:dyDescent="0.3">
      <c r="A15" s="110">
        <v>7</v>
      </c>
      <c r="B15" s="28" t="s">
        <v>107</v>
      </c>
      <c r="C15" s="29"/>
      <c r="D15" s="50"/>
      <c r="E15" s="51"/>
      <c r="F15" s="51"/>
      <c r="G15" s="52"/>
      <c r="H15" s="63">
        <f>SUM(I15-0.7)</f>
        <v>13.3</v>
      </c>
      <c r="I15" s="35">
        <v>14</v>
      </c>
      <c r="J15" s="8">
        <f>SUM(I15)+0.7</f>
        <v>14.7</v>
      </c>
      <c r="K15" s="48"/>
      <c r="L15" s="48"/>
      <c r="M15" s="118"/>
    </row>
    <row r="16" spans="1:13" s="2" customFormat="1" ht="14.1" customHeight="1" x14ac:dyDescent="0.3">
      <c r="A16" s="103"/>
      <c r="B16" s="105" t="s">
        <v>106</v>
      </c>
      <c r="C16" s="106"/>
      <c r="D16" s="40" t="s">
        <v>125</v>
      </c>
      <c r="E16" s="120"/>
      <c r="F16" s="120"/>
      <c r="G16" s="121"/>
      <c r="H16" s="64"/>
      <c r="I16" s="43"/>
      <c r="J16" s="36"/>
      <c r="K16" s="47"/>
      <c r="L16" s="47"/>
      <c r="M16" s="119"/>
    </row>
    <row r="17" spans="1:13" s="2" customFormat="1" ht="14.1" customHeight="1" x14ac:dyDescent="0.3">
      <c r="A17" s="110">
        <v>8</v>
      </c>
      <c r="B17" s="28" t="s">
        <v>105</v>
      </c>
      <c r="C17" s="29"/>
      <c r="D17" s="50"/>
      <c r="E17" s="51"/>
      <c r="F17" s="51"/>
      <c r="G17" s="52"/>
      <c r="H17" s="63">
        <f>SUM(I17-0.7)</f>
        <v>13.3</v>
      </c>
      <c r="I17" s="35">
        <v>14</v>
      </c>
      <c r="J17" s="63">
        <f>SUM(I17)+0.7</f>
        <v>14.7</v>
      </c>
      <c r="K17" s="48"/>
      <c r="L17" s="48"/>
      <c r="M17" s="118"/>
    </row>
    <row r="18" spans="1:13" s="2" customFormat="1" ht="14.1" customHeight="1" x14ac:dyDescent="0.3">
      <c r="A18" s="103"/>
      <c r="B18" s="105" t="s">
        <v>104</v>
      </c>
      <c r="C18" s="106"/>
      <c r="D18" s="40" t="s">
        <v>103</v>
      </c>
      <c r="E18" s="120"/>
      <c r="F18" s="120"/>
      <c r="G18" s="121"/>
      <c r="H18" s="64"/>
      <c r="I18" s="43"/>
      <c r="J18" s="64"/>
      <c r="K18" s="47"/>
      <c r="L18" s="47"/>
      <c r="M18" s="119"/>
    </row>
    <row r="19" spans="1:13" s="2" customFormat="1" ht="14.1" customHeight="1" x14ac:dyDescent="0.3">
      <c r="A19" s="110">
        <v>9</v>
      </c>
      <c r="B19" s="28" t="s">
        <v>133</v>
      </c>
      <c r="C19" s="29"/>
      <c r="D19" s="50"/>
      <c r="E19" s="51"/>
      <c r="F19" s="51"/>
      <c r="G19" s="52"/>
      <c r="H19" s="63">
        <v>3.5</v>
      </c>
      <c r="I19" s="35">
        <v>3.5</v>
      </c>
      <c r="J19" s="63">
        <v>3.5</v>
      </c>
      <c r="K19" s="8"/>
      <c r="L19" s="8"/>
      <c r="M19" s="12"/>
    </row>
    <row r="20" spans="1:13" s="2" customFormat="1" ht="14.1" customHeight="1" x14ac:dyDescent="0.3">
      <c r="A20" s="103"/>
      <c r="B20" s="105" t="s">
        <v>134</v>
      </c>
      <c r="C20" s="106"/>
      <c r="D20" s="40"/>
      <c r="E20" s="120"/>
      <c r="F20" s="120"/>
      <c r="G20" s="121"/>
      <c r="H20" s="64"/>
      <c r="I20" s="43"/>
      <c r="J20" s="64"/>
      <c r="K20" s="36"/>
      <c r="L20" s="36"/>
      <c r="M20" s="37"/>
    </row>
    <row r="21" spans="1:13" s="2" customFormat="1" ht="14.1" customHeight="1" x14ac:dyDescent="0.3">
      <c r="A21" s="110">
        <v>10</v>
      </c>
      <c r="B21" s="28" t="s">
        <v>43</v>
      </c>
      <c r="C21" s="29"/>
      <c r="D21" s="50" t="s">
        <v>72</v>
      </c>
      <c r="E21" s="51"/>
      <c r="F21" s="51"/>
      <c r="G21" s="52"/>
      <c r="H21" s="63">
        <f>SUM(I21-4)</f>
        <v>90</v>
      </c>
      <c r="I21" s="35">
        <v>94</v>
      </c>
      <c r="J21" s="8">
        <f>SUM(I21)+4</f>
        <v>98</v>
      </c>
      <c r="K21" s="8"/>
      <c r="L21" s="8"/>
      <c r="M21" s="12"/>
    </row>
    <row r="22" spans="1:13" s="2" customFormat="1" ht="14.1" customHeight="1" x14ac:dyDescent="0.3">
      <c r="A22" s="103"/>
      <c r="B22" s="105" t="s">
        <v>44</v>
      </c>
      <c r="C22" s="106"/>
      <c r="D22" s="107" t="s">
        <v>71</v>
      </c>
      <c r="E22" s="108"/>
      <c r="F22" s="108"/>
      <c r="G22" s="109"/>
      <c r="H22" s="64"/>
      <c r="I22" s="43"/>
      <c r="J22" s="36"/>
      <c r="K22" s="36"/>
      <c r="L22" s="36"/>
      <c r="M22" s="37"/>
    </row>
    <row r="23" spans="1:13" s="2" customFormat="1" ht="14.1" customHeight="1" x14ac:dyDescent="0.3">
      <c r="A23" s="110">
        <v>11</v>
      </c>
      <c r="B23" s="28" t="s">
        <v>84</v>
      </c>
      <c r="C23" s="29"/>
      <c r="D23" s="50" t="s">
        <v>83</v>
      </c>
      <c r="E23" s="51"/>
      <c r="F23" s="51"/>
      <c r="G23" s="52"/>
      <c r="H23" s="63">
        <f>SUM(I23-2.2)</f>
        <v>47.8</v>
      </c>
      <c r="I23" s="35">
        <v>50</v>
      </c>
      <c r="J23" s="8">
        <f>SUM(I23)+2.2</f>
        <v>52.2</v>
      </c>
      <c r="K23" s="8"/>
      <c r="L23" s="8"/>
      <c r="M23" s="12"/>
    </row>
    <row r="24" spans="1:13" s="2" customFormat="1" ht="14.1" customHeight="1" x14ac:dyDescent="0.3">
      <c r="A24" s="103"/>
      <c r="B24" s="105" t="s">
        <v>82</v>
      </c>
      <c r="C24" s="106"/>
      <c r="D24" s="44" t="s">
        <v>81</v>
      </c>
      <c r="E24" s="41"/>
      <c r="F24" s="41"/>
      <c r="G24" s="42"/>
      <c r="H24" s="64"/>
      <c r="I24" s="43"/>
      <c r="J24" s="36"/>
      <c r="K24" s="36"/>
      <c r="L24" s="36"/>
      <c r="M24" s="37"/>
    </row>
    <row r="25" spans="1:13" s="2" customFormat="1" ht="14.1" customHeight="1" x14ac:dyDescent="0.3">
      <c r="A25" s="110">
        <v>12</v>
      </c>
      <c r="B25" s="28" t="s">
        <v>45</v>
      </c>
      <c r="C25" s="29"/>
      <c r="D25" s="50" t="s">
        <v>46</v>
      </c>
      <c r="E25" s="51"/>
      <c r="F25" s="51"/>
      <c r="G25" s="52"/>
      <c r="H25" s="63">
        <f>SUM(I25-1.1)</f>
        <v>26.9</v>
      </c>
      <c r="I25" s="35">
        <v>28</v>
      </c>
      <c r="J25" s="8">
        <f>SUM(I25)+1.1</f>
        <v>29.1</v>
      </c>
      <c r="K25" s="48"/>
      <c r="L25" s="48"/>
      <c r="M25" s="118"/>
    </row>
    <row r="26" spans="1:13" s="2" customFormat="1" ht="14.1" customHeight="1" x14ac:dyDescent="0.3">
      <c r="A26" s="103"/>
      <c r="B26" s="105" t="s">
        <v>47</v>
      </c>
      <c r="C26" s="106"/>
      <c r="D26" s="107" t="s">
        <v>70</v>
      </c>
      <c r="E26" s="108"/>
      <c r="F26" s="108"/>
      <c r="G26" s="109"/>
      <c r="H26" s="64"/>
      <c r="I26" s="43"/>
      <c r="J26" s="36"/>
      <c r="K26" s="47"/>
      <c r="L26" s="47"/>
      <c r="M26" s="119"/>
    </row>
    <row r="27" spans="1:13" s="2" customFormat="1" ht="14.1" customHeight="1" x14ac:dyDescent="0.3">
      <c r="A27" s="110">
        <v>13</v>
      </c>
      <c r="B27" s="28" t="s">
        <v>48</v>
      </c>
      <c r="C27" s="29"/>
      <c r="D27" s="50" t="s">
        <v>46</v>
      </c>
      <c r="E27" s="51"/>
      <c r="F27" s="51"/>
      <c r="G27" s="52"/>
      <c r="H27" s="63">
        <f>SUM(I27-1.3)</f>
        <v>36.700000000000003</v>
      </c>
      <c r="I27" s="35">
        <v>38</v>
      </c>
      <c r="J27" s="8">
        <f>SUM(I27)+1.3</f>
        <v>39.299999999999997</v>
      </c>
      <c r="K27" s="48"/>
      <c r="L27" s="48"/>
      <c r="M27" s="118"/>
    </row>
    <row r="28" spans="1:13" s="2" customFormat="1" ht="14.1" customHeight="1" x14ac:dyDescent="0.3">
      <c r="A28" s="103"/>
      <c r="B28" s="105" t="s">
        <v>49</v>
      </c>
      <c r="C28" s="106"/>
      <c r="D28" s="107" t="s">
        <v>70</v>
      </c>
      <c r="E28" s="108"/>
      <c r="F28" s="108"/>
      <c r="G28" s="109"/>
      <c r="H28" s="64"/>
      <c r="I28" s="43"/>
      <c r="J28" s="36"/>
      <c r="K28" s="47"/>
      <c r="L28" s="47"/>
      <c r="M28" s="119"/>
    </row>
    <row r="29" spans="1:13" s="2" customFormat="1" ht="14.1" customHeight="1" x14ac:dyDescent="0.3">
      <c r="A29" s="110">
        <v>14</v>
      </c>
      <c r="B29" s="28" t="s">
        <v>50</v>
      </c>
      <c r="C29" s="29"/>
      <c r="D29" s="50" t="s">
        <v>51</v>
      </c>
      <c r="E29" s="51"/>
      <c r="F29" s="51"/>
      <c r="G29" s="52"/>
      <c r="H29" s="63"/>
      <c r="I29" s="35"/>
      <c r="J29" s="8"/>
      <c r="K29" s="8"/>
      <c r="L29" s="8"/>
      <c r="M29" s="12"/>
    </row>
    <row r="30" spans="1:13" s="2" customFormat="1" ht="14.1" customHeight="1" x14ac:dyDescent="0.3">
      <c r="A30" s="103"/>
      <c r="B30" s="105" t="s">
        <v>52</v>
      </c>
      <c r="C30" s="106"/>
      <c r="D30" s="107" t="s">
        <v>69</v>
      </c>
      <c r="E30" s="108"/>
      <c r="F30" s="108"/>
      <c r="G30" s="109"/>
      <c r="H30" s="64"/>
      <c r="I30" s="43"/>
      <c r="J30" s="36"/>
      <c r="K30" s="36"/>
      <c r="L30" s="36"/>
      <c r="M30" s="37"/>
    </row>
    <row r="31" spans="1:13" s="2" customFormat="1" ht="14.1" customHeight="1" x14ac:dyDescent="0.3">
      <c r="A31" s="110">
        <v>15</v>
      </c>
      <c r="B31" s="28" t="s">
        <v>53</v>
      </c>
      <c r="C31" s="29"/>
      <c r="D31" s="50" t="s">
        <v>54</v>
      </c>
      <c r="E31" s="51"/>
      <c r="F31" s="51"/>
      <c r="G31" s="52"/>
      <c r="H31" s="63"/>
      <c r="I31" s="35"/>
      <c r="J31" s="8"/>
      <c r="K31" s="8"/>
      <c r="L31" s="8"/>
      <c r="M31" s="12"/>
    </row>
    <row r="32" spans="1:13" s="2" customFormat="1" ht="14.1" customHeight="1" x14ac:dyDescent="0.3">
      <c r="A32" s="103"/>
      <c r="B32" s="105" t="s">
        <v>55</v>
      </c>
      <c r="C32" s="106"/>
      <c r="D32" s="107" t="s">
        <v>68</v>
      </c>
      <c r="E32" s="108"/>
      <c r="F32" s="108"/>
      <c r="G32" s="109"/>
      <c r="H32" s="64"/>
      <c r="I32" s="43"/>
      <c r="J32" s="36"/>
      <c r="K32" s="36"/>
      <c r="L32" s="36"/>
      <c r="M32" s="37"/>
    </row>
    <row r="33" spans="1:13" s="2" customFormat="1" ht="14.1" customHeight="1" x14ac:dyDescent="0.3">
      <c r="A33" s="110">
        <v>16</v>
      </c>
      <c r="B33" s="28" t="s">
        <v>67</v>
      </c>
      <c r="C33" s="29"/>
      <c r="D33" s="50" t="s">
        <v>65</v>
      </c>
      <c r="E33" s="51"/>
      <c r="F33" s="51"/>
      <c r="G33" s="52"/>
      <c r="H33" s="63"/>
      <c r="I33" s="35"/>
      <c r="J33" s="8"/>
      <c r="K33" s="8"/>
      <c r="L33" s="8"/>
      <c r="M33" s="12"/>
    </row>
    <row r="34" spans="1:13" s="2" customFormat="1" ht="14.1" customHeight="1" x14ac:dyDescent="0.3">
      <c r="A34" s="103"/>
      <c r="B34" s="105" t="s">
        <v>66</v>
      </c>
      <c r="C34" s="106"/>
      <c r="D34" s="107" t="s">
        <v>65</v>
      </c>
      <c r="E34" s="108"/>
      <c r="F34" s="108"/>
      <c r="G34" s="109"/>
      <c r="H34" s="64"/>
      <c r="I34" s="43"/>
      <c r="J34" s="36"/>
      <c r="K34" s="36"/>
      <c r="L34" s="36"/>
      <c r="M34" s="37"/>
    </row>
    <row r="35" spans="1:13" s="2" customFormat="1" ht="14.1" customHeight="1" x14ac:dyDescent="0.3">
      <c r="A35" s="110">
        <v>17</v>
      </c>
      <c r="B35" s="28" t="s">
        <v>102</v>
      </c>
      <c r="C35" s="29"/>
      <c r="D35" s="50" t="s">
        <v>101</v>
      </c>
      <c r="E35" s="51"/>
      <c r="F35" s="51"/>
      <c r="G35" s="52"/>
      <c r="H35" s="63"/>
      <c r="I35" s="35"/>
      <c r="J35" s="8"/>
      <c r="K35" s="8"/>
      <c r="L35" s="8"/>
      <c r="M35" s="12"/>
    </row>
    <row r="36" spans="1:13" s="2" customFormat="1" ht="14.1" customHeight="1" x14ac:dyDescent="0.3">
      <c r="A36" s="103"/>
      <c r="B36" s="105" t="s">
        <v>100</v>
      </c>
      <c r="C36" s="106"/>
      <c r="D36" s="107" t="s">
        <v>99</v>
      </c>
      <c r="E36" s="108"/>
      <c r="F36" s="108"/>
      <c r="G36" s="109"/>
      <c r="H36" s="64"/>
      <c r="I36" s="43"/>
      <c r="J36" s="36"/>
      <c r="K36" s="36"/>
      <c r="L36" s="36"/>
      <c r="M36" s="37"/>
    </row>
    <row r="37" spans="1:13" s="2" customFormat="1" ht="14.1" customHeight="1" x14ac:dyDescent="0.3">
      <c r="A37" s="110">
        <v>18</v>
      </c>
      <c r="B37" s="28" t="s">
        <v>124</v>
      </c>
      <c r="C37" s="29"/>
      <c r="D37" s="50" t="s">
        <v>123</v>
      </c>
      <c r="E37" s="51"/>
      <c r="F37" s="51"/>
      <c r="G37" s="52"/>
      <c r="H37" s="63">
        <f>SUM(I37-0.4)</f>
        <v>8.1</v>
      </c>
      <c r="I37" s="35">
        <v>8.5</v>
      </c>
      <c r="J37" s="8">
        <f>SUM(I37)+0.4</f>
        <v>8.9</v>
      </c>
      <c r="K37" s="8"/>
      <c r="L37" s="8"/>
      <c r="M37" s="12"/>
    </row>
    <row r="38" spans="1:13" s="2" customFormat="1" ht="14.1" customHeight="1" x14ac:dyDescent="0.3">
      <c r="A38" s="103"/>
      <c r="B38" s="105" t="s">
        <v>122</v>
      </c>
      <c r="C38" s="106"/>
      <c r="D38" s="107" t="s">
        <v>121</v>
      </c>
      <c r="E38" s="108"/>
      <c r="F38" s="108"/>
      <c r="G38" s="109"/>
      <c r="H38" s="64"/>
      <c r="I38" s="43"/>
      <c r="J38" s="36"/>
      <c r="K38" s="36"/>
      <c r="L38" s="36"/>
      <c r="M38" s="37"/>
    </row>
    <row r="39" spans="1:13" s="2" customFormat="1" ht="14.1" customHeight="1" x14ac:dyDescent="0.3">
      <c r="A39" s="110">
        <v>19</v>
      </c>
      <c r="B39" s="28" t="s">
        <v>120</v>
      </c>
      <c r="C39" s="29"/>
      <c r="D39" s="50" t="s">
        <v>119</v>
      </c>
      <c r="E39" s="51"/>
      <c r="F39" s="51"/>
      <c r="G39" s="52"/>
      <c r="H39" s="63">
        <f>SUM(I39-0.4)</f>
        <v>7.1</v>
      </c>
      <c r="I39" s="35">
        <v>7.5</v>
      </c>
      <c r="J39" s="8">
        <f>SUM(I39)+0.4</f>
        <v>7.9</v>
      </c>
      <c r="K39" s="8"/>
      <c r="L39" s="8"/>
      <c r="M39" s="12"/>
    </row>
    <row r="40" spans="1:13" s="2" customFormat="1" ht="14.1" customHeight="1" x14ac:dyDescent="0.3">
      <c r="A40" s="103"/>
      <c r="B40" s="105" t="s">
        <v>118</v>
      </c>
      <c r="C40" s="106"/>
      <c r="D40" s="107" t="s">
        <v>117</v>
      </c>
      <c r="E40" s="108"/>
      <c r="F40" s="108"/>
      <c r="G40" s="109"/>
      <c r="H40" s="64"/>
      <c r="I40" s="43"/>
      <c r="J40" s="36"/>
      <c r="K40" s="36"/>
      <c r="L40" s="36"/>
      <c r="M40" s="37"/>
    </row>
    <row r="41" spans="1:13" ht="14.1" customHeight="1" x14ac:dyDescent="0.3">
      <c r="A41" s="110">
        <v>20</v>
      </c>
      <c r="B41" s="28" t="s">
        <v>77</v>
      </c>
      <c r="C41" s="29"/>
      <c r="D41" s="49"/>
      <c r="E41" s="49"/>
      <c r="F41" s="49"/>
      <c r="G41" s="49"/>
      <c r="H41" s="63">
        <f>SUM(I41-0.5)</f>
        <v>14.5</v>
      </c>
      <c r="I41" s="35">
        <v>15</v>
      </c>
      <c r="J41" s="8">
        <f>SUM(I41)+0.5</f>
        <v>15.5</v>
      </c>
      <c r="K41" s="8"/>
      <c r="L41" s="8"/>
      <c r="M41" s="12"/>
    </row>
    <row r="42" spans="1:13" ht="14.1" customHeight="1" x14ac:dyDescent="0.3">
      <c r="A42" s="103"/>
      <c r="B42" s="38" t="s">
        <v>78</v>
      </c>
      <c r="C42" s="39"/>
      <c r="D42" s="44"/>
      <c r="E42" s="41"/>
      <c r="F42" s="41"/>
      <c r="G42" s="42"/>
      <c r="H42" s="64"/>
      <c r="I42" s="43"/>
      <c r="J42" s="36"/>
      <c r="K42" s="36"/>
      <c r="L42" s="36"/>
      <c r="M42" s="37"/>
    </row>
    <row r="43" spans="1:13" ht="14.1" customHeight="1" x14ac:dyDescent="0.3">
      <c r="A43" s="110">
        <v>21</v>
      </c>
      <c r="B43" s="28" t="s">
        <v>79</v>
      </c>
      <c r="C43" s="29"/>
      <c r="D43" s="49"/>
      <c r="E43" s="49"/>
      <c r="F43" s="49"/>
      <c r="G43" s="49"/>
      <c r="H43" s="63">
        <f>SUM(I43-0.5)</f>
        <v>15</v>
      </c>
      <c r="I43" s="35">
        <v>15.5</v>
      </c>
      <c r="J43" s="8">
        <f>SUM(I43)+0.5</f>
        <v>16</v>
      </c>
      <c r="K43" s="8"/>
      <c r="L43" s="8"/>
      <c r="M43" s="12"/>
    </row>
    <row r="44" spans="1:13" ht="14.1" customHeight="1" thickBot="1" x14ac:dyDescent="0.35">
      <c r="A44" s="127"/>
      <c r="B44" s="134" t="s">
        <v>80</v>
      </c>
      <c r="C44" s="134"/>
      <c r="D44" s="16"/>
      <c r="E44" s="17"/>
      <c r="F44" s="17"/>
      <c r="G44" s="18"/>
      <c r="H44" s="133"/>
      <c r="I44" s="128"/>
      <c r="J44" s="9"/>
      <c r="K44" s="9"/>
      <c r="L44" s="9"/>
      <c r="M44" s="13"/>
    </row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</sheetData>
  <mergeCells count="234"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H41:H42"/>
    <mergeCell ref="H43:H44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H37:H38"/>
    <mergeCell ref="H39:H40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H9:H10"/>
    <mergeCell ref="H11:H12"/>
    <mergeCell ref="A5:A6"/>
    <mergeCell ref="B5:C5"/>
    <mergeCell ref="D5:G5"/>
    <mergeCell ref="I5:I6"/>
    <mergeCell ref="J5:J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432E8-27E1-486A-9CB6-A08279DE4F85}">
  <sheetPr>
    <tabColor rgb="FF92D050"/>
    <pageSetUpPr fitToPage="1"/>
  </sheetPr>
  <dimension ref="A1:M50"/>
  <sheetViews>
    <sheetView zoomScale="110" zoomScaleNormal="110" workbookViewId="0">
      <selection activeCell="Q13" sqref="Q13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316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98" t="s">
        <v>115</v>
      </c>
      <c r="C3" s="99"/>
      <c r="D3" s="67" t="s">
        <v>75</v>
      </c>
      <c r="E3" s="100"/>
      <c r="F3" s="100"/>
      <c r="G3" s="101"/>
      <c r="H3" s="132">
        <f>SUM(I3-2.5)</f>
        <v>61.5</v>
      </c>
      <c r="I3" s="104">
        <v>64</v>
      </c>
      <c r="J3" s="62">
        <f>SUM(I3)+2.5</f>
        <v>66.5</v>
      </c>
      <c r="K3" s="62"/>
      <c r="L3" s="62"/>
      <c r="M3" s="61"/>
    </row>
    <row r="4" spans="1:13" s="2" customFormat="1" ht="14.1" customHeight="1" x14ac:dyDescent="0.3">
      <c r="A4" s="103"/>
      <c r="B4" s="105" t="s">
        <v>114</v>
      </c>
      <c r="C4" s="106"/>
      <c r="D4" s="107" t="s">
        <v>74</v>
      </c>
      <c r="E4" s="108"/>
      <c r="F4" s="108"/>
      <c r="G4" s="109"/>
      <c r="H4" s="64"/>
      <c r="I4" s="43"/>
      <c r="J4" s="36"/>
      <c r="K4" s="36"/>
      <c r="L4" s="36"/>
      <c r="M4" s="37"/>
    </row>
    <row r="5" spans="1:13" s="2" customFormat="1" ht="14.1" customHeight="1" x14ac:dyDescent="0.3">
      <c r="A5" s="110">
        <v>2</v>
      </c>
      <c r="B5" s="20" t="s">
        <v>113</v>
      </c>
      <c r="C5" s="21"/>
      <c r="D5" s="22"/>
      <c r="E5" s="23"/>
      <c r="F5" s="23"/>
      <c r="G5" s="24"/>
      <c r="H5" s="137"/>
      <c r="I5" s="111"/>
      <c r="J5" s="25"/>
      <c r="K5" s="25"/>
      <c r="L5" s="25"/>
      <c r="M5" s="19"/>
    </row>
    <row r="6" spans="1:13" s="2" customFormat="1" ht="14.1" customHeight="1" x14ac:dyDescent="0.3">
      <c r="A6" s="103"/>
      <c r="B6" s="105" t="s">
        <v>112</v>
      </c>
      <c r="C6" s="106"/>
      <c r="D6" s="107"/>
      <c r="E6" s="108"/>
      <c r="F6" s="108"/>
      <c r="G6" s="109"/>
      <c r="H6" s="64"/>
      <c r="I6" s="43"/>
      <c r="J6" s="36"/>
      <c r="K6" s="36"/>
      <c r="L6" s="36"/>
      <c r="M6" s="37"/>
    </row>
    <row r="7" spans="1:13" s="2" customFormat="1" ht="14.1" customHeight="1" x14ac:dyDescent="0.3">
      <c r="A7" s="110">
        <v>3</v>
      </c>
      <c r="B7" s="20" t="s">
        <v>73</v>
      </c>
      <c r="C7" s="21"/>
      <c r="D7" s="22"/>
      <c r="E7" s="23"/>
      <c r="F7" s="23"/>
      <c r="G7" s="24"/>
      <c r="H7" s="137"/>
      <c r="I7" s="111"/>
      <c r="J7" s="25"/>
      <c r="K7" s="25"/>
      <c r="L7" s="25"/>
      <c r="M7" s="19"/>
    </row>
    <row r="8" spans="1:13" s="2" customFormat="1" ht="14.1" customHeight="1" x14ac:dyDescent="0.3">
      <c r="A8" s="103"/>
      <c r="B8" s="105" t="s">
        <v>111</v>
      </c>
      <c r="C8" s="106"/>
      <c r="D8" s="107"/>
      <c r="E8" s="108"/>
      <c r="F8" s="108"/>
      <c r="G8" s="109"/>
      <c r="H8" s="64"/>
      <c r="I8" s="43"/>
      <c r="J8" s="36"/>
      <c r="K8" s="36"/>
      <c r="L8" s="36"/>
      <c r="M8" s="37"/>
    </row>
    <row r="9" spans="1:13" s="2" customFormat="1" ht="14.1" customHeight="1" x14ac:dyDescent="0.3">
      <c r="A9" s="110">
        <v>4</v>
      </c>
      <c r="B9" s="28" t="s">
        <v>110</v>
      </c>
      <c r="C9" s="29"/>
      <c r="D9" s="112" t="s">
        <v>330</v>
      </c>
      <c r="E9" s="113"/>
      <c r="F9" s="113"/>
      <c r="G9" s="114"/>
      <c r="H9" s="137"/>
      <c r="I9" s="111"/>
      <c r="J9" s="25"/>
      <c r="K9" s="8"/>
      <c r="L9" s="8"/>
      <c r="M9" s="19"/>
    </row>
    <row r="10" spans="1:13" s="2" customFormat="1" ht="14.1" customHeight="1" x14ac:dyDescent="0.3">
      <c r="A10" s="103"/>
      <c r="B10" s="105" t="s">
        <v>109</v>
      </c>
      <c r="C10" s="106"/>
      <c r="D10" s="115" t="s">
        <v>210</v>
      </c>
      <c r="E10" s="116"/>
      <c r="F10" s="116"/>
      <c r="G10" s="117"/>
      <c r="H10" s="64"/>
      <c r="I10" s="43"/>
      <c r="J10" s="36"/>
      <c r="K10" s="36"/>
      <c r="L10" s="36"/>
      <c r="M10" s="37"/>
    </row>
    <row r="11" spans="1:13" s="2" customFormat="1" ht="14.1" customHeight="1" x14ac:dyDescent="0.3">
      <c r="A11" s="110">
        <v>5</v>
      </c>
      <c r="B11" s="28" t="s">
        <v>85</v>
      </c>
      <c r="C11" s="29"/>
      <c r="D11" s="22"/>
      <c r="E11" s="23"/>
      <c r="F11" s="23"/>
      <c r="G11" s="24"/>
      <c r="H11" s="137">
        <f>SUM(I11-4.5)</f>
        <v>87.9</v>
      </c>
      <c r="I11" s="111">
        <v>92.4</v>
      </c>
      <c r="J11" s="25">
        <f>SUM(I11)+4.5</f>
        <v>96.9</v>
      </c>
      <c r="K11" s="25"/>
      <c r="L11" s="25"/>
      <c r="M11" s="19"/>
    </row>
    <row r="12" spans="1:13" s="2" customFormat="1" ht="14.1" customHeight="1" x14ac:dyDescent="0.3">
      <c r="A12" s="103"/>
      <c r="B12" s="105" t="s">
        <v>108</v>
      </c>
      <c r="C12" s="106"/>
      <c r="D12" s="107"/>
      <c r="E12" s="108"/>
      <c r="F12" s="108"/>
      <c r="G12" s="109"/>
      <c r="H12" s="64"/>
      <c r="I12" s="43"/>
      <c r="J12" s="36"/>
      <c r="K12" s="36"/>
      <c r="L12" s="36"/>
      <c r="M12" s="37"/>
    </row>
    <row r="13" spans="1:13" s="2" customFormat="1" ht="14.1" customHeight="1" x14ac:dyDescent="0.3">
      <c r="A13" s="110">
        <v>6</v>
      </c>
      <c r="B13" s="28" t="s">
        <v>41</v>
      </c>
      <c r="C13" s="29"/>
      <c r="D13" s="50" t="s">
        <v>221</v>
      </c>
      <c r="E13" s="51"/>
      <c r="F13" s="51"/>
      <c r="G13" s="52"/>
      <c r="H13" s="63">
        <f>SUM(I13-5)</f>
        <v>113.1</v>
      </c>
      <c r="I13" s="35">
        <v>118.1</v>
      </c>
      <c r="J13" s="8">
        <f>SUM(I13)+5</f>
        <v>123.1</v>
      </c>
      <c r="K13" s="8"/>
      <c r="L13" s="8"/>
      <c r="M13" s="12"/>
    </row>
    <row r="14" spans="1:13" s="2" customFormat="1" ht="14.1" customHeight="1" x14ac:dyDescent="0.3">
      <c r="A14" s="103"/>
      <c r="B14" s="105" t="s">
        <v>42</v>
      </c>
      <c r="C14" s="106"/>
      <c r="D14" s="107" t="s">
        <v>76</v>
      </c>
      <c r="E14" s="108"/>
      <c r="F14" s="108"/>
      <c r="G14" s="109"/>
      <c r="H14" s="64"/>
      <c r="I14" s="43"/>
      <c r="J14" s="36"/>
      <c r="K14" s="36"/>
      <c r="L14" s="36"/>
      <c r="M14" s="37"/>
    </row>
    <row r="15" spans="1:13" s="2" customFormat="1" ht="14.1" customHeight="1" x14ac:dyDescent="0.3">
      <c r="A15" s="110">
        <v>7</v>
      </c>
      <c r="B15" s="28" t="s">
        <v>107</v>
      </c>
      <c r="C15" s="29"/>
      <c r="D15" s="50"/>
      <c r="E15" s="51"/>
      <c r="F15" s="51"/>
      <c r="G15" s="52"/>
      <c r="H15" s="63">
        <f>SUM(I15-0.7)</f>
        <v>18.8</v>
      </c>
      <c r="I15" s="35">
        <v>19.5</v>
      </c>
      <c r="J15" s="8">
        <f>SUM(I15)+0.7</f>
        <v>20.2</v>
      </c>
      <c r="K15" s="48"/>
      <c r="L15" s="48"/>
      <c r="M15" s="118"/>
    </row>
    <row r="16" spans="1:13" s="2" customFormat="1" ht="14.1" customHeight="1" x14ac:dyDescent="0.3">
      <c r="A16" s="103"/>
      <c r="B16" s="105" t="s">
        <v>106</v>
      </c>
      <c r="C16" s="106"/>
      <c r="D16" s="40" t="s">
        <v>246</v>
      </c>
      <c r="E16" s="120"/>
      <c r="F16" s="120"/>
      <c r="G16" s="121"/>
      <c r="H16" s="64"/>
      <c r="I16" s="43"/>
      <c r="J16" s="36"/>
      <c r="K16" s="47"/>
      <c r="L16" s="47"/>
      <c r="M16" s="119"/>
    </row>
    <row r="17" spans="1:13" s="2" customFormat="1" ht="14.1" customHeight="1" x14ac:dyDescent="0.3">
      <c r="A17" s="110">
        <v>8</v>
      </c>
      <c r="B17" s="28" t="s">
        <v>105</v>
      </c>
      <c r="C17" s="29"/>
      <c r="D17" s="50"/>
      <c r="E17" s="51"/>
      <c r="F17" s="51"/>
      <c r="G17" s="52"/>
      <c r="H17" s="63"/>
      <c r="I17" s="35"/>
      <c r="J17" s="63"/>
      <c r="K17" s="48"/>
      <c r="L17" s="48"/>
      <c r="M17" s="118"/>
    </row>
    <row r="18" spans="1:13" s="2" customFormat="1" ht="14.1" customHeight="1" x14ac:dyDescent="0.3">
      <c r="A18" s="103"/>
      <c r="B18" s="105" t="s">
        <v>104</v>
      </c>
      <c r="C18" s="106"/>
      <c r="D18" s="40" t="s">
        <v>103</v>
      </c>
      <c r="E18" s="120"/>
      <c r="F18" s="120"/>
      <c r="G18" s="121"/>
      <c r="H18" s="64"/>
      <c r="I18" s="43"/>
      <c r="J18" s="64"/>
      <c r="K18" s="47"/>
      <c r="L18" s="47"/>
      <c r="M18" s="119"/>
    </row>
    <row r="19" spans="1:13" s="2" customFormat="1" ht="14.1" customHeight="1" x14ac:dyDescent="0.3">
      <c r="A19" s="110">
        <v>9</v>
      </c>
      <c r="B19" s="28" t="s">
        <v>133</v>
      </c>
      <c r="C19" s="29"/>
      <c r="D19" s="50"/>
      <c r="E19" s="51"/>
      <c r="F19" s="51"/>
      <c r="G19" s="52"/>
      <c r="H19" s="63"/>
      <c r="I19" s="35"/>
      <c r="J19" s="63"/>
      <c r="K19" s="8"/>
      <c r="L19" s="8"/>
      <c r="M19" s="12"/>
    </row>
    <row r="20" spans="1:13" s="2" customFormat="1" ht="14.1" customHeight="1" x14ac:dyDescent="0.3">
      <c r="A20" s="103"/>
      <c r="B20" s="105" t="s">
        <v>134</v>
      </c>
      <c r="C20" s="106"/>
      <c r="D20" s="40"/>
      <c r="E20" s="120"/>
      <c r="F20" s="120"/>
      <c r="G20" s="121"/>
      <c r="H20" s="64"/>
      <c r="I20" s="43"/>
      <c r="J20" s="64"/>
      <c r="K20" s="36"/>
      <c r="L20" s="36"/>
      <c r="M20" s="37"/>
    </row>
    <row r="21" spans="1:13" s="2" customFormat="1" ht="14.1" customHeight="1" x14ac:dyDescent="0.3">
      <c r="A21" s="110">
        <v>10</v>
      </c>
      <c r="B21" s="28" t="s">
        <v>43</v>
      </c>
      <c r="C21" s="29"/>
      <c r="D21" s="50" t="s">
        <v>72</v>
      </c>
      <c r="E21" s="51"/>
      <c r="F21" s="51"/>
      <c r="G21" s="52"/>
      <c r="H21" s="63">
        <f>SUM(I21-4)</f>
        <v>90</v>
      </c>
      <c r="I21" s="35">
        <v>94</v>
      </c>
      <c r="J21" s="8">
        <f>SUM(I21)+4</f>
        <v>98</v>
      </c>
      <c r="K21" s="8"/>
      <c r="L21" s="8"/>
      <c r="M21" s="12"/>
    </row>
    <row r="22" spans="1:13" s="2" customFormat="1" ht="14.1" customHeight="1" x14ac:dyDescent="0.3">
      <c r="A22" s="103"/>
      <c r="B22" s="105" t="s">
        <v>44</v>
      </c>
      <c r="C22" s="106"/>
      <c r="D22" s="107" t="s">
        <v>71</v>
      </c>
      <c r="E22" s="108"/>
      <c r="F22" s="108"/>
      <c r="G22" s="109"/>
      <c r="H22" s="64"/>
      <c r="I22" s="43"/>
      <c r="J22" s="36"/>
      <c r="K22" s="36"/>
      <c r="L22" s="36"/>
      <c r="M22" s="37"/>
    </row>
    <row r="23" spans="1:13" s="2" customFormat="1" ht="14.1" customHeight="1" x14ac:dyDescent="0.3">
      <c r="A23" s="110">
        <v>11</v>
      </c>
      <c r="B23" s="28" t="s">
        <v>84</v>
      </c>
      <c r="C23" s="29"/>
      <c r="D23" s="50" t="s">
        <v>83</v>
      </c>
      <c r="E23" s="51"/>
      <c r="F23" s="51"/>
      <c r="G23" s="52"/>
      <c r="H23" s="63">
        <f>SUM(I23-2.2)</f>
        <v>53.3</v>
      </c>
      <c r="I23" s="35">
        <v>55.5</v>
      </c>
      <c r="J23" s="8">
        <f>SUM(I23)+2.2</f>
        <v>57.7</v>
      </c>
      <c r="K23" s="8"/>
      <c r="L23" s="8"/>
      <c r="M23" s="12"/>
    </row>
    <row r="24" spans="1:13" s="2" customFormat="1" ht="14.1" customHeight="1" x14ac:dyDescent="0.3">
      <c r="A24" s="103"/>
      <c r="B24" s="105" t="s">
        <v>82</v>
      </c>
      <c r="C24" s="106"/>
      <c r="D24" s="44" t="s">
        <v>81</v>
      </c>
      <c r="E24" s="41"/>
      <c r="F24" s="41"/>
      <c r="G24" s="42"/>
      <c r="H24" s="64"/>
      <c r="I24" s="43"/>
      <c r="J24" s="36"/>
      <c r="K24" s="36"/>
      <c r="L24" s="36"/>
      <c r="M24" s="37"/>
    </row>
    <row r="25" spans="1:13" s="2" customFormat="1" ht="14.1" customHeight="1" x14ac:dyDescent="0.3">
      <c r="A25" s="110">
        <v>12</v>
      </c>
      <c r="B25" s="28" t="s">
        <v>45</v>
      </c>
      <c r="C25" s="29"/>
      <c r="D25" s="50" t="s">
        <v>46</v>
      </c>
      <c r="E25" s="51"/>
      <c r="F25" s="51"/>
      <c r="G25" s="52"/>
      <c r="H25" s="63">
        <f>SUM(I25-1.1)</f>
        <v>29.4</v>
      </c>
      <c r="I25" s="35">
        <v>30.5</v>
      </c>
      <c r="J25" s="8">
        <f>SUM(I25)+1.1</f>
        <v>31.6</v>
      </c>
      <c r="K25" s="48"/>
      <c r="L25" s="48"/>
      <c r="M25" s="118"/>
    </row>
    <row r="26" spans="1:13" s="2" customFormat="1" ht="14.1" customHeight="1" x14ac:dyDescent="0.3">
      <c r="A26" s="103"/>
      <c r="B26" s="105" t="s">
        <v>47</v>
      </c>
      <c r="C26" s="106"/>
      <c r="D26" s="107" t="s">
        <v>70</v>
      </c>
      <c r="E26" s="108"/>
      <c r="F26" s="108"/>
      <c r="G26" s="109"/>
      <c r="H26" s="64"/>
      <c r="I26" s="43"/>
      <c r="J26" s="36"/>
      <c r="K26" s="47"/>
      <c r="L26" s="47"/>
      <c r="M26" s="119"/>
    </row>
    <row r="27" spans="1:13" s="2" customFormat="1" ht="14.1" customHeight="1" x14ac:dyDescent="0.3">
      <c r="A27" s="110">
        <v>13</v>
      </c>
      <c r="B27" s="28" t="s">
        <v>48</v>
      </c>
      <c r="C27" s="29"/>
      <c r="D27" s="50" t="s">
        <v>46</v>
      </c>
      <c r="E27" s="51"/>
      <c r="F27" s="51"/>
      <c r="G27" s="52"/>
      <c r="H27" s="63">
        <f>SUM(I27-1.3)</f>
        <v>38.300000000000004</v>
      </c>
      <c r="I27" s="35">
        <v>39.6</v>
      </c>
      <c r="J27" s="8">
        <f>SUM(I27)+1.3</f>
        <v>40.9</v>
      </c>
      <c r="K27" s="48"/>
      <c r="L27" s="48"/>
      <c r="M27" s="118"/>
    </row>
    <row r="28" spans="1:13" s="2" customFormat="1" ht="14.1" customHeight="1" x14ac:dyDescent="0.3">
      <c r="A28" s="103"/>
      <c r="B28" s="105" t="s">
        <v>49</v>
      </c>
      <c r="C28" s="106"/>
      <c r="D28" s="107" t="s">
        <v>70</v>
      </c>
      <c r="E28" s="108"/>
      <c r="F28" s="108"/>
      <c r="G28" s="109"/>
      <c r="H28" s="64"/>
      <c r="I28" s="43"/>
      <c r="J28" s="36"/>
      <c r="K28" s="47"/>
      <c r="L28" s="47"/>
      <c r="M28" s="119"/>
    </row>
    <row r="29" spans="1:13" s="2" customFormat="1" ht="14.1" customHeight="1" x14ac:dyDescent="0.3">
      <c r="A29" s="110">
        <v>14</v>
      </c>
      <c r="B29" s="28" t="s">
        <v>50</v>
      </c>
      <c r="C29" s="29"/>
      <c r="D29" s="50" t="s">
        <v>51</v>
      </c>
      <c r="E29" s="51"/>
      <c r="F29" s="51"/>
      <c r="G29" s="52"/>
      <c r="H29" s="63">
        <f>SUM(I29-3.1)</f>
        <v>72.100000000000009</v>
      </c>
      <c r="I29" s="35">
        <v>75.2</v>
      </c>
      <c r="J29" s="8">
        <f>SUM(I29)+3.1</f>
        <v>78.3</v>
      </c>
      <c r="K29" s="8"/>
      <c r="L29" s="8"/>
      <c r="M29" s="12"/>
    </row>
    <row r="30" spans="1:13" s="2" customFormat="1" ht="14.1" customHeight="1" x14ac:dyDescent="0.3">
      <c r="A30" s="103"/>
      <c r="B30" s="105" t="s">
        <v>52</v>
      </c>
      <c r="C30" s="106"/>
      <c r="D30" s="107" t="s">
        <v>69</v>
      </c>
      <c r="E30" s="108"/>
      <c r="F30" s="108"/>
      <c r="G30" s="109"/>
      <c r="H30" s="64"/>
      <c r="I30" s="43"/>
      <c r="J30" s="36"/>
      <c r="K30" s="36"/>
      <c r="L30" s="36"/>
      <c r="M30" s="37"/>
    </row>
    <row r="31" spans="1:13" s="2" customFormat="1" ht="14.1" customHeight="1" x14ac:dyDescent="0.3">
      <c r="A31" s="110">
        <v>15</v>
      </c>
      <c r="B31" s="28" t="s">
        <v>53</v>
      </c>
      <c r="C31" s="29"/>
      <c r="D31" s="50" t="s">
        <v>54</v>
      </c>
      <c r="E31" s="51"/>
      <c r="F31" s="51"/>
      <c r="G31" s="52"/>
      <c r="H31" s="63">
        <f>SUM(I31-3)</f>
        <v>62.8</v>
      </c>
      <c r="I31" s="35">
        <v>65.8</v>
      </c>
      <c r="J31" s="8">
        <f>SUM(I31)+3</f>
        <v>68.8</v>
      </c>
      <c r="K31" s="8"/>
      <c r="L31" s="8"/>
      <c r="M31" s="12"/>
    </row>
    <row r="32" spans="1:13" s="2" customFormat="1" ht="14.1" customHeight="1" x14ac:dyDescent="0.3">
      <c r="A32" s="103"/>
      <c r="B32" s="105" t="s">
        <v>55</v>
      </c>
      <c r="C32" s="106"/>
      <c r="D32" s="107" t="s">
        <v>68</v>
      </c>
      <c r="E32" s="108"/>
      <c r="F32" s="108"/>
      <c r="G32" s="109"/>
      <c r="H32" s="64"/>
      <c r="I32" s="43"/>
      <c r="J32" s="36"/>
      <c r="K32" s="36"/>
      <c r="L32" s="36"/>
      <c r="M32" s="37"/>
    </row>
    <row r="33" spans="1:13" s="2" customFormat="1" ht="14.1" customHeight="1" x14ac:dyDescent="0.3">
      <c r="A33" s="110">
        <v>16</v>
      </c>
      <c r="B33" s="28" t="s">
        <v>67</v>
      </c>
      <c r="C33" s="29"/>
      <c r="D33" s="50" t="s">
        <v>65</v>
      </c>
      <c r="E33" s="51"/>
      <c r="F33" s="51"/>
      <c r="G33" s="52"/>
      <c r="H33" s="63">
        <f>SUM(I33-2.5)</f>
        <v>65.599999999999994</v>
      </c>
      <c r="I33" s="35">
        <v>68.099999999999994</v>
      </c>
      <c r="J33" s="8">
        <f>SUM(I33)+2.5</f>
        <v>70.599999999999994</v>
      </c>
      <c r="K33" s="8"/>
      <c r="L33" s="8"/>
      <c r="M33" s="12"/>
    </row>
    <row r="34" spans="1:13" s="2" customFormat="1" ht="14.1" customHeight="1" x14ac:dyDescent="0.3">
      <c r="A34" s="103"/>
      <c r="B34" s="105" t="s">
        <v>66</v>
      </c>
      <c r="C34" s="106"/>
      <c r="D34" s="107" t="s">
        <v>65</v>
      </c>
      <c r="E34" s="108"/>
      <c r="F34" s="108"/>
      <c r="G34" s="109"/>
      <c r="H34" s="64"/>
      <c r="I34" s="43"/>
      <c r="J34" s="36"/>
      <c r="K34" s="36"/>
      <c r="L34" s="36"/>
      <c r="M34" s="37"/>
    </row>
    <row r="35" spans="1:13" s="2" customFormat="1" ht="14.1" customHeight="1" x14ac:dyDescent="0.3">
      <c r="A35" s="110">
        <v>17</v>
      </c>
      <c r="B35" s="28" t="s">
        <v>102</v>
      </c>
      <c r="C35" s="29"/>
      <c r="D35" s="50" t="s">
        <v>101</v>
      </c>
      <c r="E35" s="51"/>
      <c r="F35" s="51"/>
      <c r="G35" s="52"/>
      <c r="H35" s="63">
        <f>SUM(I35-2.2)</f>
        <v>53.199999999999996</v>
      </c>
      <c r="I35" s="35">
        <v>55.4</v>
      </c>
      <c r="J35" s="8">
        <f>SUM(I35)+2.2</f>
        <v>57.6</v>
      </c>
      <c r="K35" s="8"/>
      <c r="L35" s="8"/>
      <c r="M35" s="12"/>
    </row>
    <row r="36" spans="1:13" s="2" customFormat="1" ht="14.1" customHeight="1" x14ac:dyDescent="0.3">
      <c r="A36" s="103"/>
      <c r="B36" s="105" t="s">
        <v>100</v>
      </c>
      <c r="C36" s="106"/>
      <c r="D36" s="107" t="s">
        <v>99</v>
      </c>
      <c r="E36" s="108"/>
      <c r="F36" s="108"/>
      <c r="G36" s="109"/>
      <c r="H36" s="64"/>
      <c r="I36" s="43"/>
      <c r="J36" s="36"/>
      <c r="K36" s="36"/>
      <c r="L36" s="36"/>
      <c r="M36" s="37"/>
    </row>
    <row r="37" spans="1:13" s="2" customFormat="1" ht="14.1" customHeight="1" x14ac:dyDescent="0.3">
      <c r="A37" s="110">
        <v>18</v>
      </c>
      <c r="B37" s="28" t="s">
        <v>124</v>
      </c>
      <c r="C37" s="29"/>
      <c r="D37" s="50" t="s">
        <v>123</v>
      </c>
      <c r="E37" s="51"/>
      <c r="F37" s="51"/>
      <c r="G37" s="52"/>
      <c r="H37" s="63">
        <f>SUM(I37-0.2)</f>
        <v>4.3999999999999995</v>
      </c>
      <c r="I37" s="35">
        <v>4.5999999999999996</v>
      </c>
      <c r="J37" s="8">
        <f>SUM(I37)+0.2</f>
        <v>4.8</v>
      </c>
      <c r="K37" s="8"/>
      <c r="L37" s="8"/>
      <c r="M37" s="12"/>
    </row>
    <row r="38" spans="1:13" s="2" customFormat="1" ht="14.1" customHeight="1" x14ac:dyDescent="0.3">
      <c r="A38" s="103"/>
      <c r="B38" s="105" t="s">
        <v>122</v>
      </c>
      <c r="C38" s="106"/>
      <c r="D38" s="107" t="s">
        <v>121</v>
      </c>
      <c r="E38" s="108"/>
      <c r="F38" s="108"/>
      <c r="G38" s="109"/>
      <c r="H38" s="64"/>
      <c r="I38" s="43"/>
      <c r="J38" s="36"/>
      <c r="K38" s="36"/>
      <c r="L38" s="36"/>
      <c r="M38" s="37"/>
    </row>
    <row r="39" spans="1:13" s="2" customFormat="1" ht="14.1" customHeight="1" x14ac:dyDescent="0.3">
      <c r="A39" s="110">
        <v>19</v>
      </c>
      <c r="B39" s="28" t="s">
        <v>120</v>
      </c>
      <c r="C39" s="29"/>
      <c r="D39" s="50" t="s">
        <v>119</v>
      </c>
      <c r="E39" s="51"/>
      <c r="F39" s="51"/>
      <c r="G39" s="52"/>
      <c r="H39" s="63">
        <f>SUM(I39-0.6)</f>
        <v>12.8</v>
      </c>
      <c r="I39" s="35">
        <v>13.4</v>
      </c>
      <c r="J39" s="8">
        <f>SUM(I39)+0.6</f>
        <v>14</v>
      </c>
      <c r="K39" s="8"/>
      <c r="L39" s="8"/>
      <c r="M39" s="12"/>
    </row>
    <row r="40" spans="1:13" s="2" customFormat="1" ht="14.1" customHeight="1" x14ac:dyDescent="0.3">
      <c r="A40" s="103"/>
      <c r="B40" s="105" t="s">
        <v>118</v>
      </c>
      <c r="C40" s="106"/>
      <c r="D40" s="107" t="s">
        <v>117</v>
      </c>
      <c r="E40" s="108"/>
      <c r="F40" s="108"/>
      <c r="G40" s="109"/>
      <c r="H40" s="64"/>
      <c r="I40" s="43"/>
      <c r="J40" s="36"/>
      <c r="K40" s="36"/>
      <c r="L40" s="36"/>
      <c r="M40" s="37"/>
    </row>
    <row r="41" spans="1:13" ht="14.1" customHeight="1" x14ac:dyDescent="0.3">
      <c r="A41" s="110">
        <v>20</v>
      </c>
      <c r="B41" s="28" t="s">
        <v>77</v>
      </c>
      <c r="C41" s="29"/>
      <c r="D41" s="49"/>
      <c r="E41" s="49"/>
      <c r="F41" s="49"/>
      <c r="G41" s="49"/>
      <c r="H41" s="63">
        <f>SUM(I41-0.5)</f>
        <v>13</v>
      </c>
      <c r="I41" s="35">
        <v>13.5</v>
      </c>
      <c r="J41" s="8">
        <f>SUM(I41)+0.5</f>
        <v>14</v>
      </c>
      <c r="K41" s="8"/>
      <c r="L41" s="8"/>
      <c r="M41" s="12"/>
    </row>
    <row r="42" spans="1:13" ht="14.1" customHeight="1" x14ac:dyDescent="0.3">
      <c r="A42" s="103"/>
      <c r="B42" s="38" t="s">
        <v>78</v>
      </c>
      <c r="C42" s="39"/>
      <c r="D42" s="44"/>
      <c r="E42" s="41"/>
      <c r="F42" s="41"/>
      <c r="G42" s="42"/>
      <c r="H42" s="64"/>
      <c r="I42" s="43"/>
      <c r="J42" s="36"/>
      <c r="K42" s="36"/>
      <c r="L42" s="36"/>
      <c r="M42" s="37"/>
    </row>
    <row r="43" spans="1:13" ht="14.1" customHeight="1" x14ac:dyDescent="0.3">
      <c r="A43" s="110">
        <v>21</v>
      </c>
      <c r="B43" s="28" t="s">
        <v>79</v>
      </c>
      <c r="C43" s="29"/>
      <c r="D43" s="49"/>
      <c r="E43" s="49"/>
      <c r="F43" s="49"/>
      <c r="G43" s="49"/>
      <c r="H43" s="63">
        <f>SUM(I43-0.5)</f>
        <v>13.5</v>
      </c>
      <c r="I43" s="35">
        <v>14</v>
      </c>
      <c r="J43" s="8">
        <f>SUM(I43)+0.5</f>
        <v>14.5</v>
      </c>
      <c r="K43" s="8"/>
      <c r="L43" s="8"/>
      <c r="M43" s="12"/>
    </row>
    <row r="44" spans="1:13" ht="14.1" customHeight="1" x14ac:dyDescent="0.3">
      <c r="A44" s="103"/>
      <c r="B44" s="70" t="s">
        <v>80</v>
      </c>
      <c r="C44" s="70"/>
      <c r="D44" s="22"/>
      <c r="E44" s="23"/>
      <c r="F44" s="23"/>
      <c r="G44" s="24"/>
      <c r="H44" s="137"/>
      <c r="I44" s="111"/>
      <c r="J44" s="25"/>
      <c r="K44" s="25"/>
      <c r="L44" s="25"/>
      <c r="M44" s="19"/>
    </row>
    <row r="45" spans="1:13" ht="14.1" customHeight="1" x14ac:dyDescent="0.3">
      <c r="A45" s="110">
        <v>22</v>
      </c>
      <c r="B45" s="28" t="s">
        <v>136</v>
      </c>
      <c r="C45" s="29"/>
      <c r="D45" s="30"/>
      <c r="E45" s="31"/>
      <c r="F45" s="31"/>
      <c r="G45" s="32"/>
      <c r="H45" s="63">
        <v>2.2999999999999998</v>
      </c>
      <c r="I45" s="35">
        <v>2.2999999999999998</v>
      </c>
      <c r="J45" s="8">
        <f>SUM(I45)</f>
        <v>2.2999999999999998</v>
      </c>
      <c r="K45" s="8"/>
      <c r="L45" s="8"/>
      <c r="M45" s="12"/>
    </row>
    <row r="46" spans="1:13" ht="14.1" customHeight="1" x14ac:dyDescent="0.3">
      <c r="A46" s="103"/>
      <c r="B46" s="20" t="s">
        <v>135</v>
      </c>
      <c r="C46" s="21"/>
      <c r="D46" s="22" t="s">
        <v>223</v>
      </c>
      <c r="E46" s="23"/>
      <c r="F46" s="23"/>
      <c r="G46" s="24"/>
      <c r="H46" s="137"/>
      <c r="I46" s="111"/>
      <c r="J46" s="25"/>
      <c r="K46" s="25"/>
      <c r="L46" s="25"/>
      <c r="M46" s="19"/>
    </row>
    <row r="47" spans="1:13" ht="14.1" customHeight="1" x14ac:dyDescent="0.3">
      <c r="A47" s="110">
        <v>23</v>
      </c>
      <c r="B47" s="28" t="s">
        <v>224</v>
      </c>
      <c r="C47" s="29"/>
      <c r="D47" s="30"/>
      <c r="E47" s="31"/>
      <c r="F47" s="31"/>
      <c r="G47" s="32"/>
      <c r="H47" s="63">
        <f>SUM(I47-2.5)</f>
        <v>97.5</v>
      </c>
      <c r="I47" s="35">
        <v>100</v>
      </c>
      <c r="J47" s="8">
        <f>SUM(I47)+2.5</f>
        <v>102.5</v>
      </c>
      <c r="K47" s="8"/>
      <c r="L47" s="8"/>
      <c r="M47" s="12"/>
    </row>
    <row r="48" spans="1:13" ht="14.1" customHeight="1" x14ac:dyDescent="0.3">
      <c r="A48" s="103"/>
      <c r="B48" s="20" t="s">
        <v>225</v>
      </c>
      <c r="C48" s="21"/>
      <c r="D48" s="124" t="s">
        <v>317</v>
      </c>
      <c r="E48" s="138"/>
      <c r="F48" s="138"/>
      <c r="G48" s="139"/>
      <c r="H48" s="137"/>
      <c r="I48" s="111"/>
      <c r="J48" s="25"/>
      <c r="K48" s="25"/>
      <c r="L48" s="25"/>
      <c r="M48" s="19"/>
    </row>
    <row r="49" spans="1:13" ht="13.5" customHeight="1" x14ac:dyDescent="0.3">
      <c r="A49" s="110">
        <v>24</v>
      </c>
      <c r="B49" s="28" t="s">
        <v>251</v>
      </c>
      <c r="C49" s="29"/>
      <c r="D49" s="49"/>
      <c r="E49" s="49"/>
      <c r="F49" s="49"/>
      <c r="G49" s="49"/>
      <c r="H49" s="63">
        <f>SUM(I49-2.2)</f>
        <v>65.3</v>
      </c>
      <c r="I49" s="35">
        <v>67.5</v>
      </c>
      <c r="J49" s="8">
        <f>SUM(I49)+2.2</f>
        <v>69.7</v>
      </c>
      <c r="K49" s="8"/>
      <c r="L49" s="8"/>
      <c r="M49" s="12"/>
    </row>
    <row r="50" spans="1:13" ht="13.5" customHeight="1" thickBot="1" x14ac:dyDescent="0.35">
      <c r="A50" s="127"/>
      <c r="B50" s="134" t="s">
        <v>252</v>
      </c>
      <c r="C50" s="134"/>
      <c r="D50" s="16" t="s">
        <v>253</v>
      </c>
      <c r="E50" s="17"/>
      <c r="F50" s="17"/>
      <c r="G50" s="18"/>
      <c r="H50" s="133"/>
      <c r="I50" s="128"/>
      <c r="J50" s="9"/>
      <c r="K50" s="9"/>
      <c r="L50" s="9"/>
      <c r="M50" s="13"/>
    </row>
  </sheetData>
  <mergeCells count="267">
    <mergeCell ref="K49:K50"/>
    <mergeCell ref="L49:L50"/>
    <mergeCell ref="M49:M50"/>
    <mergeCell ref="B50:C50"/>
    <mergeCell ref="D50:G50"/>
    <mergeCell ref="A49:A50"/>
    <mergeCell ref="B49:C49"/>
    <mergeCell ref="D49:G49"/>
    <mergeCell ref="I49:I50"/>
    <mergeCell ref="J49:J50"/>
    <mergeCell ref="H49:H50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H45:H46"/>
    <mergeCell ref="H47:H48"/>
    <mergeCell ref="A47:A48"/>
    <mergeCell ref="B47:C47"/>
    <mergeCell ref="D47:G47"/>
    <mergeCell ref="I47:I48"/>
    <mergeCell ref="J47:J48"/>
    <mergeCell ref="A45:A46"/>
    <mergeCell ref="B45:C45"/>
    <mergeCell ref="D45:G45"/>
    <mergeCell ref="I45:I46"/>
    <mergeCell ref="J45:J46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H41:H42"/>
    <mergeCell ref="H43:H44"/>
    <mergeCell ref="A43:A44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H37:H38"/>
    <mergeCell ref="H39:H40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H33:H34"/>
    <mergeCell ref="H35:H36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H29:H30"/>
    <mergeCell ref="H31:H32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H25:H26"/>
    <mergeCell ref="H27:H28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H21:H22"/>
    <mergeCell ref="H23:H24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H17:H18"/>
    <mergeCell ref="H19:H20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H13:H14"/>
    <mergeCell ref="H15:H16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H9:H10"/>
    <mergeCell ref="H11:H12"/>
    <mergeCell ref="A5:A6"/>
    <mergeCell ref="B5:C5"/>
    <mergeCell ref="D5:G5"/>
    <mergeCell ref="I5:I6"/>
    <mergeCell ref="J5:J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D679-BCE7-49DF-BF37-331294F5DA40}">
  <sheetPr>
    <tabColor rgb="FF92D050"/>
    <pageSetUpPr fitToPage="1"/>
  </sheetPr>
  <dimension ref="A1:M49"/>
  <sheetViews>
    <sheetView zoomScale="110" zoomScaleNormal="110" workbookViewId="0">
      <selection activeCell="P10" sqref="P10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 x14ac:dyDescent="0.35">
      <c r="A1" s="54" t="s">
        <v>222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1:13" ht="16.5" customHeight="1" thickBot="1" x14ac:dyDescent="0.35">
      <c r="A2" s="3" t="s">
        <v>30</v>
      </c>
      <c r="B2" s="57" t="s">
        <v>31</v>
      </c>
      <c r="C2" s="57"/>
      <c r="D2" s="57" t="s">
        <v>32</v>
      </c>
      <c r="E2" s="57"/>
      <c r="F2" s="57"/>
      <c r="G2" s="57"/>
      <c r="H2" s="7" t="s">
        <v>33</v>
      </c>
      <c r="I2" s="4" t="s">
        <v>34</v>
      </c>
      <c r="J2" s="5" t="s">
        <v>35</v>
      </c>
      <c r="K2" s="5"/>
      <c r="L2" s="5"/>
      <c r="M2" s="5"/>
    </row>
    <row r="3" spans="1:13" s="2" customFormat="1" ht="14.1" customHeight="1" x14ac:dyDescent="0.3">
      <c r="A3" s="102">
        <v>1</v>
      </c>
      <c r="B3" s="98" t="s">
        <v>115</v>
      </c>
      <c r="C3" s="99"/>
      <c r="D3" s="67" t="s">
        <v>75</v>
      </c>
      <c r="E3" s="100"/>
      <c r="F3" s="100"/>
      <c r="G3" s="101"/>
      <c r="H3" s="132">
        <f>SUM(I3-2.5)</f>
        <v>61.5</v>
      </c>
      <c r="I3" s="104">
        <v>64</v>
      </c>
      <c r="J3" s="62">
        <f>SUM(I3)+2.5</f>
        <v>66.5</v>
      </c>
      <c r="K3" s="62"/>
      <c r="L3" s="62"/>
      <c r="M3" s="61"/>
    </row>
    <row r="4" spans="1:13" s="2" customFormat="1" ht="14.1" customHeight="1" x14ac:dyDescent="0.3">
      <c r="A4" s="103"/>
      <c r="B4" s="105" t="s">
        <v>114</v>
      </c>
      <c r="C4" s="106"/>
      <c r="D4" s="107" t="s">
        <v>74</v>
      </c>
      <c r="E4" s="108"/>
      <c r="F4" s="108"/>
      <c r="G4" s="109"/>
      <c r="H4" s="64"/>
      <c r="I4" s="43"/>
      <c r="J4" s="36"/>
      <c r="K4" s="36"/>
      <c r="L4" s="36"/>
      <c r="M4" s="37"/>
    </row>
    <row r="5" spans="1:13" s="2" customFormat="1" ht="14.1" customHeight="1" x14ac:dyDescent="0.3">
      <c r="A5" s="110">
        <v>2</v>
      </c>
      <c r="B5" s="20" t="s">
        <v>113</v>
      </c>
      <c r="C5" s="21"/>
      <c r="D5" s="22"/>
      <c r="E5" s="23"/>
      <c r="F5" s="23"/>
      <c r="G5" s="24"/>
      <c r="H5" s="137"/>
      <c r="I5" s="111"/>
      <c r="J5" s="25"/>
      <c r="K5" s="25"/>
      <c r="L5" s="25"/>
      <c r="M5" s="19"/>
    </row>
    <row r="6" spans="1:13" s="2" customFormat="1" ht="14.1" customHeight="1" x14ac:dyDescent="0.3">
      <c r="A6" s="103"/>
      <c r="B6" s="105" t="s">
        <v>112</v>
      </c>
      <c r="C6" s="106"/>
      <c r="D6" s="107"/>
      <c r="E6" s="108"/>
      <c r="F6" s="108"/>
      <c r="G6" s="109"/>
      <c r="H6" s="64"/>
      <c r="I6" s="43"/>
      <c r="J6" s="36"/>
      <c r="K6" s="36"/>
      <c r="L6" s="36"/>
      <c r="M6" s="37"/>
    </row>
    <row r="7" spans="1:13" s="2" customFormat="1" ht="14.1" customHeight="1" x14ac:dyDescent="0.3">
      <c r="A7" s="110">
        <v>3</v>
      </c>
      <c r="B7" s="20" t="s">
        <v>73</v>
      </c>
      <c r="C7" s="21"/>
      <c r="D7" s="22"/>
      <c r="E7" s="23"/>
      <c r="F7" s="23"/>
      <c r="G7" s="24"/>
      <c r="H7" s="137"/>
      <c r="I7" s="111"/>
      <c r="J7" s="25"/>
      <c r="K7" s="25"/>
      <c r="L7" s="25"/>
      <c r="M7" s="19"/>
    </row>
    <row r="8" spans="1:13" s="2" customFormat="1" ht="14.1" customHeight="1" x14ac:dyDescent="0.3">
      <c r="A8" s="103"/>
      <c r="B8" s="105" t="s">
        <v>111</v>
      </c>
      <c r="C8" s="106"/>
      <c r="D8" s="107"/>
      <c r="E8" s="108"/>
      <c r="F8" s="108"/>
      <c r="G8" s="109"/>
      <c r="H8" s="64"/>
      <c r="I8" s="43"/>
      <c r="J8" s="36"/>
      <c r="K8" s="36"/>
      <c r="L8" s="36"/>
      <c r="M8" s="37"/>
    </row>
    <row r="9" spans="1:13" s="2" customFormat="1" ht="14.1" customHeight="1" x14ac:dyDescent="0.3">
      <c r="A9" s="110">
        <v>4</v>
      </c>
      <c r="B9" s="28" t="s">
        <v>110</v>
      </c>
      <c r="C9" s="29"/>
      <c r="D9" s="112" t="s">
        <v>330</v>
      </c>
      <c r="E9" s="113"/>
      <c r="F9" s="113"/>
      <c r="G9" s="114"/>
      <c r="H9" s="137"/>
      <c r="I9" s="111"/>
      <c r="J9" s="25"/>
      <c r="K9" s="8"/>
      <c r="L9" s="8"/>
      <c r="M9" s="19"/>
    </row>
    <row r="10" spans="1:13" s="2" customFormat="1" ht="14.1" customHeight="1" x14ac:dyDescent="0.3">
      <c r="A10" s="103"/>
      <c r="B10" s="105" t="s">
        <v>109</v>
      </c>
      <c r="C10" s="106"/>
      <c r="D10" s="115" t="s">
        <v>210</v>
      </c>
      <c r="E10" s="116"/>
      <c r="F10" s="116"/>
      <c r="G10" s="117"/>
      <c r="H10" s="64"/>
      <c r="I10" s="43"/>
      <c r="J10" s="36"/>
      <c r="K10" s="36"/>
      <c r="L10" s="36"/>
      <c r="M10" s="37"/>
    </row>
    <row r="11" spans="1:13" s="2" customFormat="1" ht="14.1" customHeight="1" x14ac:dyDescent="0.3">
      <c r="A11" s="110">
        <v>5</v>
      </c>
      <c r="B11" s="28" t="s">
        <v>85</v>
      </c>
      <c r="C11" s="29"/>
      <c r="D11" s="22"/>
      <c r="E11" s="23"/>
      <c r="F11" s="23"/>
      <c r="G11" s="24"/>
      <c r="H11" s="137">
        <f>SUM(I11-4.5)</f>
        <v>92.5</v>
      </c>
      <c r="I11" s="111">
        <v>97</v>
      </c>
      <c r="J11" s="25">
        <f>SUM(I11)+4.5</f>
        <v>101.5</v>
      </c>
      <c r="K11" s="25"/>
      <c r="L11" s="25"/>
      <c r="M11" s="19"/>
    </row>
    <row r="12" spans="1:13" s="2" customFormat="1" ht="14.1" customHeight="1" x14ac:dyDescent="0.3">
      <c r="A12" s="103"/>
      <c r="B12" s="105" t="s">
        <v>108</v>
      </c>
      <c r="C12" s="106"/>
      <c r="D12" s="107"/>
      <c r="E12" s="108"/>
      <c r="F12" s="108"/>
      <c r="G12" s="109"/>
      <c r="H12" s="64"/>
      <c r="I12" s="43"/>
      <c r="J12" s="36"/>
      <c r="K12" s="36"/>
      <c r="L12" s="36"/>
      <c r="M12" s="37"/>
    </row>
    <row r="13" spans="1:13" s="2" customFormat="1" ht="14.1" customHeight="1" x14ac:dyDescent="0.3">
      <c r="A13" s="110">
        <v>6</v>
      </c>
      <c r="B13" s="28" t="s">
        <v>41</v>
      </c>
      <c r="C13" s="29"/>
      <c r="D13" s="50" t="s">
        <v>221</v>
      </c>
      <c r="E13" s="51"/>
      <c r="F13" s="51"/>
      <c r="G13" s="52"/>
      <c r="H13" s="63">
        <f>SUM(I13-5)</f>
        <v>107.7</v>
      </c>
      <c r="I13" s="35">
        <v>112.7</v>
      </c>
      <c r="J13" s="8">
        <f>SUM(I13)+5</f>
        <v>117.7</v>
      </c>
      <c r="K13" s="8"/>
      <c r="L13" s="8"/>
      <c r="M13" s="12"/>
    </row>
    <row r="14" spans="1:13" s="2" customFormat="1" ht="14.1" customHeight="1" x14ac:dyDescent="0.3">
      <c r="A14" s="103"/>
      <c r="B14" s="105" t="s">
        <v>42</v>
      </c>
      <c r="C14" s="106"/>
      <c r="D14" s="107" t="s">
        <v>76</v>
      </c>
      <c r="E14" s="108"/>
      <c r="F14" s="108"/>
      <c r="G14" s="109"/>
      <c r="H14" s="64"/>
      <c r="I14" s="43"/>
      <c r="J14" s="36"/>
      <c r="K14" s="36"/>
      <c r="L14" s="36"/>
      <c r="M14" s="37"/>
    </row>
    <row r="15" spans="1:13" s="2" customFormat="1" ht="14.1" customHeight="1" x14ac:dyDescent="0.3">
      <c r="A15" s="110">
        <v>7</v>
      </c>
      <c r="B15" s="28" t="s">
        <v>107</v>
      </c>
      <c r="C15" s="29"/>
      <c r="D15" s="50"/>
      <c r="E15" s="51"/>
      <c r="F15" s="51"/>
      <c r="G15" s="52"/>
      <c r="H15" s="63">
        <f>SUM(I15-0.7)</f>
        <v>19.5</v>
      </c>
      <c r="I15" s="35">
        <v>20.2</v>
      </c>
      <c r="J15" s="8">
        <f>SUM(I15)+0.7</f>
        <v>20.9</v>
      </c>
      <c r="K15" s="48"/>
      <c r="L15" s="48"/>
      <c r="M15" s="118"/>
    </row>
    <row r="16" spans="1:13" s="2" customFormat="1" ht="14.1" customHeight="1" x14ac:dyDescent="0.3">
      <c r="A16" s="103"/>
      <c r="B16" s="105" t="s">
        <v>106</v>
      </c>
      <c r="C16" s="106"/>
      <c r="D16" s="40" t="s">
        <v>246</v>
      </c>
      <c r="E16" s="120"/>
      <c r="F16" s="120"/>
      <c r="G16" s="121"/>
      <c r="H16" s="64"/>
      <c r="I16" s="43"/>
      <c r="J16" s="36"/>
      <c r="K16" s="47"/>
      <c r="L16" s="47"/>
      <c r="M16" s="119"/>
    </row>
    <row r="17" spans="1:13" s="2" customFormat="1" ht="14.1" customHeight="1" x14ac:dyDescent="0.3">
      <c r="A17" s="110">
        <v>8</v>
      </c>
      <c r="B17" s="28" t="s">
        <v>105</v>
      </c>
      <c r="C17" s="29"/>
      <c r="D17" s="50"/>
      <c r="E17" s="51"/>
      <c r="F17" s="51"/>
      <c r="G17" s="52"/>
      <c r="H17" s="63"/>
      <c r="I17" s="35"/>
      <c r="J17" s="63"/>
      <c r="K17" s="48"/>
      <c r="L17" s="48"/>
      <c r="M17" s="118"/>
    </row>
    <row r="18" spans="1:13" s="2" customFormat="1" ht="14.1" customHeight="1" x14ac:dyDescent="0.3">
      <c r="A18" s="103"/>
      <c r="B18" s="105" t="s">
        <v>104</v>
      </c>
      <c r="C18" s="106"/>
      <c r="D18" s="40" t="s">
        <v>103</v>
      </c>
      <c r="E18" s="120"/>
      <c r="F18" s="120"/>
      <c r="G18" s="121"/>
      <c r="H18" s="64"/>
      <c r="I18" s="43"/>
      <c r="J18" s="64"/>
      <c r="K18" s="47"/>
      <c r="L18" s="47"/>
      <c r="M18" s="119"/>
    </row>
    <row r="19" spans="1:13" s="2" customFormat="1" ht="14.1" customHeight="1" x14ac:dyDescent="0.3">
      <c r="A19" s="110">
        <v>9</v>
      </c>
      <c r="B19" s="28" t="s">
        <v>133</v>
      </c>
      <c r="C19" s="29"/>
      <c r="D19" s="50"/>
      <c r="E19" s="51"/>
      <c r="F19" s="51"/>
      <c r="G19" s="52"/>
      <c r="H19" s="63"/>
      <c r="I19" s="35"/>
      <c r="J19" s="63"/>
      <c r="K19" s="8"/>
      <c r="L19" s="8"/>
      <c r="M19" s="12"/>
    </row>
    <row r="20" spans="1:13" s="2" customFormat="1" ht="14.1" customHeight="1" x14ac:dyDescent="0.3">
      <c r="A20" s="103"/>
      <c r="B20" s="105" t="s">
        <v>134</v>
      </c>
      <c r="C20" s="106"/>
      <c r="D20" s="40"/>
      <c r="E20" s="120"/>
      <c r="F20" s="120"/>
      <c r="G20" s="121"/>
      <c r="H20" s="64"/>
      <c r="I20" s="43"/>
      <c r="J20" s="64"/>
      <c r="K20" s="36"/>
      <c r="L20" s="36"/>
      <c r="M20" s="37"/>
    </row>
    <row r="21" spans="1:13" s="2" customFormat="1" ht="14.1" customHeight="1" x14ac:dyDescent="0.3">
      <c r="A21" s="110">
        <v>10</v>
      </c>
      <c r="B21" s="28" t="s">
        <v>43</v>
      </c>
      <c r="C21" s="29"/>
      <c r="D21" s="50" t="s">
        <v>72</v>
      </c>
      <c r="E21" s="51"/>
      <c r="F21" s="51"/>
      <c r="G21" s="52"/>
      <c r="H21" s="63">
        <f>SUM(I21-2)</f>
        <v>53.5</v>
      </c>
      <c r="I21" s="35">
        <v>55.5</v>
      </c>
      <c r="J21" s="8">
        <f>SUM(I21)+2</f>
        <v>57.5</v>
      </c>
      <c r="K21" s="8"/>
      <c r="L21" s="8"/>
      <c r="M21" s="12"/>
    </row>
    <row r="22" spans="1:13" s="2" customFormat="1" ht="14.1" customHeight="1" x14ac:dyDescent="0.3">
      <c r="A22" s="103"/>
      <c r="B22" s="105" t="s">
        <v>44</v>
      </c>
      <c r="C22" s="106"/>
      <c r="D22" s="107" t="s">
        <v>71</v>
      </c>
      <c r="E22" s="108"/>
      <c r="F22" s="108"/>
      <c r="G22" s="109"/>
      <c r="H22" s="64"/>
      <c r="I22" s="43"/>
      <c r="J22" s="36"/>
      <c r="K22" s="36"/>
      <c r="L22" s="36"/>
      <c r="M22" s="37"/>
    </row>
    <row r="23" spans="1:13" s="2" customFormat="1" ht="14.1" customHeight="1" x14ac:dyDescent="0.3">
      <c r="A23" s="110">
        <v>11</v>
      </c>
      <c r="B23" s="28" t="s">
        <v>84</v>
      </c>
      <c r="C23" s="29"/>
      <c r="D23" s="50" t="s">
        <v>83</v>
      </c>
      <c r="E23" s="51"/>
      <c r="F23" s="51"/>
      <c r="G23" s="52"/>
      <c r="H23" s="63">
        <f>SUM(I23-2.6)</f>
        <v>61.4</v>
      </c>
      <c r="I23" s="35">
        <v>64</v>
      </c>
      <c r="J23" s="8">
        <f>SUM(I23)+2.6</f>
        <v>66.599999999999994</v>
      </c>
      <c r="K23" s="8"/>
      <c r="L23" s="8"/>
      <c r="M23" s="12"/>
    </row>
    <row r="24" spans="1:13" s="2" customFormat="1" ht="14.1" customHeight="1" x14ac:dyDescent="0.3">
      <c r="A24" s="103"/>
      <c r="B24" s="105" t="s">
        <v>82</v>
      </c>
      <c r="C24" s="106"/>
      <c r="D24" s="44" t="s">
        <v>81</v>
      </c>
      <c r="E24" s="41"/>
      <c r="F24" s="41"/>
      <c r="G24" s="42"/>
      <c r="H24" s="64"/>
      <c r="I24" s="43"/>
      <c r="J24" s="36"/>
      <c r="K24" s="36"/>
      <c r="L24" s="36"/>
      <c r="M24" s="37"/>
    </row>
    <row r="25" spans="1:13" s="2" customFormat="1" ht="14.1" customHeight="1" x14ac:dyDescent="0.3">
      <c r="A25" s="110">
        <v>12</v>
      </c>
      <c r="B25" s="28" t="s">
        <v>45</v>
      </c>
      <c r="C25" s="29"/>
      <c r="D25" s="50" t="s">
        <v>46</v>
      </c>
      <c r="E25" s="51"/>
      <c r="F25" s="51"/>
      <c r="G25" s="52"/>
      <c r="H25" s="63">
        <f>SUM(I25-1.1)</f>
        <v>29</v>
      </c>
      <c r="I25" s="35">
        <v>30.1</v>
      </c>
      <c r="J25" s="8">
        <f>SUM(I25)+1.1</f>
        <v>31.200000000000003</v>
      </c>
      <c r="K25" s="48"/>
      <c r="L25" s="48"/>
      <c r="M25" s="118"/>
    </row>
    <row r="26" spans="1:13" s="2" customFormat="1" ht="14.1" customHeight="1" x14ac:dyDescent="0.3">
      <c r="A26" s="103"/>
      <c r="B26" s="105" t="s">
        <v>47</v>
      </c>
      <c r="C26" s="106"/>
      <c r="D26" s="107" t="s">
        <v>70</v>
      </c>
      <c r="E26" s="108"/>
      <c r="F26" s="108"/>
      <c r="G26" s="109"/>
      <c r="H26" s="64"/>
      <c r="I26" s="43"/>
      <c r="J26" s="36"/>
      <c r="K26" s="47"/>
      <c r="L26" s="47"/>
      <c r="M26" s="119"/>
    </row>
    <row r="27" spans="1:13" s="2" customFormat="1" ht="14.1" customHeight="1" x14ac:dyDescent="0.3">
      <c r="A27" s="110">
        <v>13</v>
      </c>
      <c r="B27" s="28" t="s">
        <v>48</v>
      </c>
      <c r="C27" s="29"/>
      <c r="D27" s="50" t="s">
        <v>46</v>
      </c>
      <c r="E27" s="51"/>
      <c r="F27" s="51"/>
      <c r="G27" s="52"/>
      <c r="H27" s="63">
        <f>SUM(I27-1.3)</f>
        <v>38.1</v>
      </c>
      <c r="I27" s="35">
        <v>39.4</v>
      </c>
      <c r="J27" s="8">
        <f>SUM(I27)+1.3</f>
        <v>40.699999999999996</v>
      </c>
      <c r="K27" s="48"/>
      <c r="L27" s="48"/>
      <c r="M27" s="118"/>
    </row>
    <row r="28" spans="1:13" s="2" customFormat="1" ht="14.1" customHeight="1" x14ac:dyDescent="0.3">
      <c r="A28" s="103"/>
      <c r="B28" s="105" t="s">
        <v>49</v>
      </c>
      <c r="C28" s="106"/>
      <c r="D28" s="107" t="s">
        <v>70</v>
      </c>
      <c r="E28" s="108"/>
      <c r="F28" s="108"/>
      <c r="G28" s="109"/>
      <c r="H28" s="64"/>
      <c r="I28" s="43"/>
      <c r="J28" s="36"/>
      <c r="K28" s="47"/>
      <c r="L28" s="47"/>
      <c r="M28" s="119"/>
    </row>
    <row r="29" spans="1:13" s="2" customFormat="1" ht="14.1" customHeight="1" x14ac:dyDescent="0.3">
      <c r="A29" s="110">
        <v>14</v>
      </c>
      <c r="B29" s="28" t="s">
        <v>50</v>
      </c>
      <c r="C29" s="29"/>
      <c r="D29" s="50" t="s">
        <v>51</v>
      </c>
      <c r="E29" s="51"/>
      <c r="F29" s="51"/>
      <c r="G29" s="52"/>
      <c r="H29" s="63">
        <f>SUM(I29-3.1)</f>
        <v>68.300000000000011</v>
      </c>
      <c r="I29" s="35">
        <v>71.400000000000006</v>
      </c>
      <c r="J29" s="8">
        <f>SUM(I29)+3.1</f>
        <v>74.5</v>
      </c>
      <c r="K29" s="8"/>
      <c r="L29" s="8"/>
      <c r="M29" s="12"/>
    </row>
    <row r="30" spans="1:13" s="2" customFormat="1" ht="14.1" customHeight="1" x14ac:dyDescent="0.3">
      <c r="A30" s="103"/>
      <c r="B30" s="105" t="s">
        <v>52</v>
      </c>
      <c r="C30" s="106"/>
      <c r="D30" s="107" t="s">
        <v>69</v>
      </c>
      <c r="E30" s="108"/>
      <c r="F30" s="108"/>
      <c r="G30" s="109"/>
      <c r="H30" s="64"/>
      <c r="I30" s="43"/>
      <c r="J30" s="36"/>
      <c r="K30" s="36"/>
      <c r="L30" s="36"/>
      <c r="M30" s="37"/>
    </row>
    <row r="31" spans="1:13" s="2" customFormat="1" ht="14.1" customHeight="1" x14ac:dyDescent="0.3">
      <c r="A31" s="110">
        <v>15</v>
      </c>
      <c r="B31" s="28" t="s">
        <v>53</v>
      </c>
      <c r="C31" s="29"/>
      <c r="D31" s="50" t="s">
        <v>54</v>
      </c>
      <c r="E31" s="51"/>
      <c r="F31" s="51"/>
      <c r="G31" s="52"/>
      <c r="H31" s="63">
        <f>SUM(I31-1)</f>
        <v>26.9</v>
      </c>
      <c r="I31" s="35">
        <v>27.9</v>
      </c>
      <c r="J31" s="8">
        <f>SUM(I31)+1</f>
        <v>28.9</v>
      </c>
      <c r="K31" s="8"/>
      <c r="L31" s="8"/>
      <c r="M31" s="12"/>
    </row>
    <row r="32" spans="1:13" s="2" customFormat="1" ht="14.1" customHeight="1" x14ac:dyDescent="0.3">
      <c r="A32" s="103"/>
      <c r="B32" s="105" t="s">
        <v>55</v>
      </c>
      <c r="C32" s="106"/>
      <c r="D32" s="107" t="s">
        <v>68</v>
      </c>
      <c r="E32" s="108"/>
      <c r="F32" s="108"/>
      <c r="G32" s="109"/>
      <c r="H32" s="64"/>
      <c r="I32" s="43"/>
      <c r="J32" s="36"/>
      <c r="K32" s="36"/>
      <c r="L32" s="36"/>
      <c r="M32" s="37"/>
    </row>
    <row r="33" spans="1:13" s="2" customFormat="1" ht="14.1" customHeight="1" x14ac:dyDescent="0.3">
      <c r="A33" s="110">
        <v>16</v>
      </c>
      <c r="B33" s="28" t="s">
        <v>67</v>
      </c>
      <c r="C33" s="29"/>
      <c r="D33" s="50" t="s">
        <v>65</v>
      </c>
      <c r="E33" s="51"/>
      <c r="F33" s="51"/>
      <c r="G33" s="52"/>
      <c r="H33" s="63"/>
      <c r="I33" s="35"/>
      <c r="J33" s="8"/>
      <c r="K33" s="8"/>
      <c r="L33" s="8"/>
      <c r="M33" s="12"/>
    </row>
    <row r="34" spans="1:13" s="2" customFormat="1" ht="14.1" customHeight="1" x14ac:dyDescent="0.3">
      <c r="A34" s="103"/>
      <c r="B34" s="105" t="s">
        <v>66</v>
      </c>
      <c r="C34" s="106"/>
      <c r="D34" s="107" t="s">
        <v>65</v>
      </c>
      <c r="E34" s="108"/>
      <c r="F34" s="108"/>
      <c r="G34" s="109"/>
      <c r="H34" s="64"/>
      <c r="I34" s="43"/>
      <c r="J34" s="36"/>
      <c r="K34" s="36"/>
      <c r="L34" s="36"/>
      <c r="M34" s="37"/>
    </row>
    <row r="35" spans="1:13" s="2" customFormat="1" ht="14.1" customHeight="1" x14ac:dyDescent="0.3">
      <c r="A35" s="110">
        <v>17</v>
      </c>
      <c r="B35" s="28" t="s">
        <v>102</v>
      </c>
      <c r="C35" s="29"/>
      <c r="D35" s="50" t="s">
        <v>101</v>
      </c>
      <c r="E35" s="51"/>
      <c r="F35" s="51"/>
      <c r="G35" s="52"/>
      <c r="H35" s="63"/>
      <c r="I35" s="35"/>
      <c r="J35" s="8"/>
      <c r="K35" s="8"/>
      <c r="L35" s="8"/>
      <c r="M35" s="12"/>
    </row>
    <row r="36" spans="1:13" s="2" customFormat="1" ht="14.1" customHeight="1" x14ac:dyDescent="0.3">
      <c r="A36" s="103"/>
      <c r="B36" s="105" t="s">
        <v>100</v>
      </c>
      <c r="C36" s="106"/>
      <c r="D36" s="107" t="s">
        <v>99</v>
      </c>
      <c r="E36" s="108"/>
      <c r="F36" s="108"/>
      <c r="G36" s="109"/>
      <c r="H36" s="64"/>
      <c r="I36" s="43"/>
      <c r="J36" s="36"/>
      <c r="K36" s="36"/>
      <c r="L36" s="36"/>
      <c r="M36" s="37"/>
    </row>
    <row r="37" spans="1:13" s="2" customFormat="1" ht="14.1" customHeight="1" x14ac:dyDescent="0.3">
      <c r="A37" s="110">
        <v>18</v>
      </c>
      <c r="B37" s="28" t="s">
        <v>124</v>
      </c>
      <c r="C37" s="29"/>
      <c r="D37" s="50" t="s">
        <v>123</v>
      </c>
      <c r="E37" s="51"/>
      <c r="F37" s="51"/>
      <c r="G37" s="52"/>
      <c r="H37" s="63">
        <f>SUM(I37-0.2)</f>
        <v>4.8</v>
      </c>
      <c r="I37" s="35">
        <v>5</v>
      </c>
      <c r="J37" s="8">
        <f>SUM(I37)+0.2</f>
        <v>5.2</v>
      </c>
      <c r="K37" s="8"/>
      <c r="L37" s="8"/>
      <c r="M37" s="12"/>
    </row>
    <row r="38" spans="1:13" s="2" customFormat="1" ht="14.1" customHeight="1" x14ac:dyDescent="0.3">
      <c r="A38" s="103"/>
      <c r="B38" s="105" t="s">
        <v>122</v>
      </c>
      <c r="C38" s="106"/>
      <c r="D38" s="107" t="s">
        <v>121</v>
      </c>
      <c r="E38" s="108"/>
      <c r="F38" s="108"/>
      <c r="G38" s="109"/>
      <c r="H38" s="64"/>
      <c r="I38" s="43"/>
      <c r="J38" s="36"/>
      <c r="K38" s="36"/>
      <c r="L38" s="36"/>
      <c r="M38" s="37"/>
    </row>
    <row r="39" spans="1:13" s="2" customFormat="1" ht="14.1" customHeight="1" x14ac:dyDescent="0.3">
      <c r="A39" s="110">
        <v>19</v>
      </c>
      <c r="B39" s="28" t="s">
        <v>120</v>
      </c>
      <c r="C39" s="29"/>
      <c r="D39" s="50" t="s">
        <v>119</v>
      </c>
      <c r="E39" s="51"/>
      <c r="F39" s="51"/>
      <c r="G39" s="52"/>
      <c r="H39" s="63">
        <f>SUM(I39-0.6)</f>
        <v>11.6</v>
      </c>
      <c r="I39" s="35">
        <v>12.2</v>
      </c>
      <c r="J39" s="8">
        <f>SUM(I39)+0.6</f>
        <v>12.799999999999999</v>
      </c>
      <c r="K39" s="8"/>
      <c r="L39" s="8"/>
      <c r="M39" s="12"/>
    </row>
    <row r="40" spans="1:13" s="2" customFormat="1" ht="14.1" customHeight="1" x14ac:dyDescent="0.3">
      <c r="A40" s="103"/>
      <c r="B40" s="105" t="s">
        <v>118</v>
      </c>
      <c r="C40" s="106"/>
      <c r="D40" s="107" t="s">
        <v>117</v>
      </c>
      <c r="E40" s="108"/>
      <c r="F40" s="108"/>
      <c r="G40" s="109"/>
      <c r="H40" s="64"/>
      <c r="I40" s="43"/>
      <c r="J40" s="36"/>
      <c r="K40" s="36"/>
      <c r="L40" s="36"/>
      <c r="M40" s="37"/>
    </row>
    <row r="41" spans="1:13" ht="14.1" customHeight="1" x14ac:dyDescent="0.3">
      <c r="A41" s="110">
        <v>20</v>
      </c>
      <c r="B41" s="28" t="s">
        <v>77</v>
      </c>
      <c r="C41" s="29"/>
      <c r="D41" s="49"/>
      <c r="E41" s="49"/>
      <c r="F41" s="49"/>
      <c r="G41" s="49"/>
      <c r="H41" s="63">
        <f>SUM(I41-0.5)</f>
        <v>13.5</v>
      </c>
      <c r="I41" s="35">
        <v>14</v>
      </c>
      <c r="J41" s="8">
        <f>SUM(I41)+0.5</f>
        <v>14.5</v>
      </c>
      <c r="K41" s="8"/>
      <c r="L41" s="8"/>
      <c r="M41" s="12"/>
    </row>
    <row r="42" spans="1:13" ht="14.1" customHeight="1" x14ac:dyDescent="0.3">
      <c r="A42" s="103"/>
      <c r="B42" s="38" t="s">
        <v>78</v>
      </c>
      <c r="C42" s="39"/>
      <c r="D42" s="44"/>
      <c r="E42" s="41"/>
      <c r="F42" s="41"/>
      <c r="G42" s="42"/>
      <c r="H42" s="64"/>
      <c r="I42" s="43"/>
      <c r="J42" s="36"/>
      <c r="K42" s="36"/>
      <c r="L42" s="36"/>
      <c r="M42" s="37"/>
    </row>
    <row r="43" spans="1:13" ht="14.1" customHeight="1" x14ac:dyDescent="0.3">
      <c r="A43" s="110">
        <v>21</v>
      </c>
      <c r="B43" s="28" t="s">
        <v>79</v>
      </c>
      <c r="C43" s="29"/>
      <c r="D43" s="49"/>
      <c r="E43" s="49"/>
      <c r="F43" s="49"/>
      <c r="G43" s="49"/>
      <c r="H43" s="63">
        <f>SUM(I43-0.5)</f>
        <v>13.5</v>
      </c>
      <c r="I43" s="35">
        <v>14</v>
      </c>
      <c r="J43" s="8">
        <f>SUM(I43)+0.5</f>
        <v>14.5</v>
      </c>
      <c r="K43" s="8"/>
      <c r="L43" s="8"/>
      <c r="M43" s="12"/>
    </row>
    <row r="44" spans="1:13" ht="14.1" customHeight="1" x14ac:dyDescent="0.3">
      <c r="A44" s="103"/>
      <c r="B44" s="70" t="s">
        <v>80</v>
      </c>
      <c r="C44" s="70"/>
      <c r="D44" s="22"/>
      <c r="E44" s="23"/>
      <c r="F44" s="23"/>
      <c r="G44" s="24"/>
      <c r="H44" s="137"/>
      <c r="I44" s="111"/>
      <c r="J44" s="25"/>
      <c r="K44" s="25"/>
      <c r="L44" s="25"/>
      <c r="M44" s="19"/>
    </row>
    <row r="45" spans="1:13" ht="14.1" customHeight="1" x14ac:dyDescent="0.3">
      <c r="A45" s="110">
        <v>22</v>
      </c>
      <c r="B45" s="28" t="s">
        <v>136</v>
      </c>
      <c r="C45" s="29"/>
      <c r="D45" s="30"/>
      <c r="E45" s="31"/>
      <c r="F45" s="31"/>
      <c r="G45" s="32"/>
      <c r="H45" s="63">
        <f>SUM(I45-0.1)</f>
        <v>2.9</v>
      </c>
      <c r="I45" s="35">
        <v>3</v>
      </c>
      <c r="J45" s="8">
        <f>SUM(I45)+0.1</f>
        <v>3.1</v>
      </c>
      <c r="K45" s="8"/>
      <c r="L45" s="8"/>
      <c r="M45" s="12"/>
    </row>
    <row r="46" spans="1:13" ht="14.1" customHeight="1" x14ac:dyDescent="0.3">
      <c r="A46" s="103"/>
      <c r="B46" s="20" t="s">
        <v>135</v>
      </c>
      <c r="C46" s="21"/>
      <c r="D46" s="22" t="s">
        <v>223</v>
      </c>
      <c r="E46" s="23"/>
      <c r="F46" s="23"/>
      <c r="G46" s="24"/>
      <c r="H46" s="137"/>
      <c r="I46" s="111"/>
      <c r="J46" s="25"/>
      <c r="K46" s="25"/>
      <c r="L46" s="25"/>
      <c r="M46" s="19"/>
    </row>
    <row r="47" spans="1:13" ht="14.1" customHeight="1" x14ac:dyDescent="0.3">
      <c r="A47" s="110">
        <v>23</v>
      </c>
      <c r="B47" s="28" t="s">
        <v>224</v>
      </c>
      <c r="C47" s="29"/>
      <c r="D47" s="30"/>
      <c r="E47" s="31"/>
      <c r="F47" s="31"/>
      <c r="G47" s="32"/>
      <c r="H47" s="63">
        <f>SUM(I47-2.5)</f>
        <v>101.5</v>
      </c>
      <c r="I47" s="35">
        <v>104</v>
      </c>
      <c r="J47" s="8">
        <f>SUM(I47)+2.5</f>
        <v>106.5</v>
      </c>
      <c r="K47" s="8"/>
      <c r="L47" s="8"/>
      <c r="M47" s="12"/>
    </row>
    <row r="48" spans="1:13" ht="14.1" customHeight="1" thickBot="1" x14ac:dyDescent="0.35">
      <c r="A48" s="127"/>
      <c r="B48" s="14" t="s">
        <v>225</v>
      </c>
      <c r="C48" s="15"/>
      <c r="D48" s="129" t="s">
        <v>226</v>
      </c>
      <c r="E48" s="130"/>
      <c r="F48" s="130"/>
      <c r="G48" s="131"/>
      <c r="H48" s="133"/>
      <c r="I48" s="128"/>
      <c r="J48" s="9"/>
      <c r="K48" s="9"/>
      <c r="L48" s="9"/>
      <c r="M48" s="13"/>
    </row>
    <row r="49" ht="14.1" customHeight="1" x14ac:dyDescent="0.3"/>
  </sheetData>
  <mergeCells count="256">
    <mergeCell ref="L45:L46"/>
    <mergeCell ref="M45:M46"/>
    <mergeCell ref="I47:I48"/>
    <mergeCell ref="J47:J48"/>
    <mergeCell ref="K47:K48"/>
    <mergeCell ref="L47:L48"/>
    <mergeCell ref="M47:M48"/>
    <mergeCell ref="D45:G45"/>
    <mergeCell ref="D46:G46"/>
    <mergeCell ref="D47:G47"/>
    <mergeCell ref="D48:G48"/>
    <mergeCell ref="I45:I46"/>
    <mergeCell ref="J45:J46"/>
    <mergeCell ref="A45:A46"/>
    <mergeCell ref="A47:A48"/>
    <mergeCell ref="B45:C45"/>
    <mergeCell ref="B46:C46"/>
    <mergeCell ref="B47:C47"/>
    <mergeCell ref="B48:C48"/>
    <mergeCell ref="H45:H46"/>
    <mergeCell ref="H47:H48"/>
    <mergeCell ref="K43:K44"/>
    <mergeCell ref="A43:A44"/>
    <mergeCell ref="K45:K46"/>
    <mergeCell ref="M43:M44"/>
    <mergeCell ref="B44:C44"/>
    <mergeCell ref="D44:G44"/>
    <mergeCell ref="K41:K42"/>
    <mergeCell ref="L41:L42"/>
    <mergeCell ref="M41:M42"/>
    <mergeCell ref="B42:C42"/>
    <mergeCell ref="D42:G42"/>
    <mergeCell ref="B43:C43"/>
    <mergeCell ref="D43:G43"/>
    <mergeCell ref="I43:I44"/>
    <mergeCell ref="J43:J44"/>
    <mergeCell ref="A41:A42"/>
    <mergeCell ref="B41:C41"/>
    <mergeCell ref="D41:G41"/>
    <mergeCell ref="I41:I42"/>
    <mergeCell ref="J41:J42"/>
    <mergeCell ref="H41:H42"/>
    <mergeCell ref="H43:H44"/>
    <mergeCell ref="K39:K40"/>
    <mergeCell ref="L39:L40"/>
    <mergeCell ref="L43:L44"/>
    <mergeCell ref="M39:M40"/>
    <mergeCell ref="B40:C40"/>
    <mergeCell ref="D40:G40"/>
    <mergeCell ref="K37:K38"/>
    <mergeCell ref="L37:L38"/>
    <mergeCell ref="M37:M38"/>
    <mergeCell ref="B38:C38"/>
    <mergeCell ref="D38:G38"/>
    <mergeCell ref="A39:A40"/>
    <mergeCell ref="B39:C39"/>
    <mergeCell ref="D39:G39"/>
    <mergeCell ref="I39:I40"/>
    <mergeCell ref="J39:J40"/>
    <mergeCell ref="A37:A38"/>
    <mergeCell ref="B37:C37"/>
    <mergeCell ref="D37:G37"/>
    <mergeCell ref="I37:I38"/>
    <mergeCell ref="J37:J38"/>
    <mergeCell ref="H37:H38"/>
    <mergeCell ref="H39:H40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I35:I36"/>
    <mergeCell ref="J35:J36"/>
    <mergeCell ref="A33:A34"/>
    <mergeCell ref="B33:C33"/>
    <mergeCell ref="D33:G33"/>
    <mergeCell ref="I33:I34"/>
    <mergeCell ref="J33:J34"/>
    <mergeCell ref="H33:H34"/>
    <mergeCell ref="H35:H36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I31:I32"/>
    <mergeCell ref="J31:J32"/>
    <mergeCell ref="A29:A30"/>
    <mergeCell ref="B29:C29"/>
    <mergeCell ref="D29:G29"/>
    <mergeCell ref="I29:I30"/>
    <mergeCell ref="J29:J30"/>
    <mergeCell ref="H29:H30"/>
    <mergeCell ref="H31:H32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I27:I28"/>
    <mergeCell ref="J27:J28"/>
    <mergeCell ref="A25:A26"/>
    <mergeCell ref="B25:C25"/>
    <mergeCell ref="D25:G25"/>
    <mergeCell ref="I25:I26"/>
    <mergeCell ref="J25:J26"/>
    <mergeCell ref="H25:H26"/>
    <mergeCell ref="H27:H28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I23:I24"/>
    <mergeCell ref="J23:J24"/>
    <mergeCell ref="A21:A22"/>
    <mergeCell ref="B21:C21"/>
    <mergeCell ref="D21:G21"/>
    <mergeCell ref="I21:I22"/>
    <mergeCell ref="J21:J22"/>
    <mergeCell ref="H21:H22"/>
    <mergeCell ref="H23:H24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I19:I20"/>
    <mergeCell ref="J19:J20"/>
    <mergeCell ref="A17:A18"/>
    <mergeCell ref="B17:C17"/>
    <mergeCell ref="D17:G17"/>
    <mergeCell ref="I17:I18"/>
    <mergeCell ref="J17:J18"/>
    <mergeCell ref="H17:H18"/>
    <mergeCell ref="H19:H20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I15:I16"/>
    <mergeCell ref="J15:J16"/>
    <mergeCell ref="A13:A14"/>
    <mergeCell ref="B13:C13"/>
    <mergeCell ref="D13:G13"/>
    <mergeCell ref="I13:I14"/>
    <mergeCell ref="J13:J14"/>
    <mergeCell ref="H13:H14"/>
    <mergeCell ref="H15:H16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H9:H10"/>
    <mergeCell ref="H11:H12"/>
    <mergeCell ref="A5:A6"/>
    <mergeCell ref="B5:C5"/>
    <mergeCell ref="D5:G5"/>
    <mergeCell ref="I5:I6"/>
    <mergeCell ref="J5:J6"/>
    <mergeCell ref="B6:C6"/>
    <mergeCell ref="D6:G6"/>
    <mergeCell ref="A11:A12"/>
    <mergeCell ref="B11:C11"/>
    <mergeCell ref="D11:G11"/>
    <mergeCell ref="I11:I12"/>
    <mergeCell ref="J11:J12"/>
    <mergeCell ref="A9:A10"/>
    <mergeCell ref="B9:C9"/>
    <mergeCell ref="D9:G9"/>
    <mergeCell ref="I9:I10"/>
    <mergeCell ref="J9:J10"/>
    <mergeCell ref="A7:A8"/>
    <mergeCell ref="B7:C7"/>
    <mergeCell ref="D7:G7"/>
    <mergeCell ref="I7:I8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H5:H6"/>
    <mergeCell ref="H7:H8"/>
    <mergeCell ref="A1:M1"/>
    <mergeCell ref="B2:C2"/>
    <mergeCell ref="D2:G2"/>
    <mergeCell ref="A3:A4"/>
    <mergeCell ref="B3:C3"/>
    <mergeCell ref="D3:G3"/>
    <mergeCell ref="I3:I4"/>
    <mergeCell ref="J3:J4"/>
    <mergeCell ref="K3:K4"/>
    <mergeCell ref="L3:L4"/>
    <mergeCell ref="M3:M4"/>
    <mergeCell ref="B4:C4"/>
    <mergeCell ref="D4:G4"/>
    <mergeCell ref="H3:H4"/>
  </mergeCells>
  <phoneticPr fontId="17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28</vt:i4>
      </vt:variant>
      <vt:variant>
        <vt:lpstr>이름 지정된 범위</vt:lpstr>
      </vt:variant>
      <vt:variant>
        <vt:i4>28</vt:i4>
      </vt:variant>
    </vt:vector>
  </HeadingPairs>
  <TitlesOfParts>
    <vt:vector size="56" baseType="lpstr">
      <vt:lpstr>OU01</vt:lpstr>
      <vt:lpstr>OU02</vt:lpstr>
      <vt:lpstr>OU03</vt:lpstr>
      <vt:lpstr>OU04(니트)</vt:lpstr>
      <vt:lpstr>OU05(니트)</vt:lpstr>
      <vt:lpstr>TO01</vt:lpstr>
      <vt:lpstr>TO02</vt:lpstr>
      <vt:lpstr>TO03</vt:lpstr>
      <vt:lpstr>TO04</vt:lpstr>
      <vt:lpstr>TO05</vt:lpstr>
      <vt:lpstr>TO06</vt:lpstr>
      <vt:lpstr>TO07</vt:lpstr>
      <vt:lpstr>TO08</vt:lpstr>
      <vt:lpstr>TO09</vt:lpstr>
      <vt:lpstr>TO10</vt:lpstr>
      <vt:lpstr>TO11</vt:lpstr>
      <vt:lpstr>TO12</vt:lpstr>
      <vt:lpstr>TO13</vt:lpstr>
      <vt:lpstr>TO14</vt:lpstr>
      <vt:lpstr>TO15</vt:lpstr>
      <vt:lpstr>PT01</vt:lpstr>
      <vt:lpstr>PT02(완사입)</vt:lpstr>
      <vt:lpstr>PT03</vt:lpstr>
      <vt:lpstr>PT04(완사입) </vt:lpstr>
      <vt:lpstr>PT05(완사입)</vt:lpstr>
      <vt:lpstr>PT06(완사입)</vt:lpstr>
      <vt:lpstr>PT07</vt:lpstr>
      <vt:lpstr>PT08</vt:lpstr>
      <vt:lpstr>'OU01'!Print_Area</vt:lpstr>
      <vt:lpstr>'OU02'!Print_Area</vt:lpstr>
      <vt:lpstr>'OU03'!Print_Area</vt:lpstr>
      <vt:lpstr>'OU04(니트)'!Print_Area</vt:lpstr>
      <vt:lpstr>'OU05(니트)'!Print_Area</vt:lpstr>
      <vt:lpstr>'PT01'!Print_Area</vt:lpstr>
      <vt:lpstr>'PT02(완사입)'!Print_Area</vt:lpstr>
      <vt:lpstr>'PT03'!Print_Area</vt:lpstr>
      <vt:lpstr>'PT04(완사입) '!Print_Area</vt:lpstr>
      <vt:lpstr>'PT05(완사입)'!Print_Area</vt:lpstr>
      <vt:lpstr>'PT06(완사입)'!Print_Area</vt:lpstr>
      <vt:lpstr>'PT07'!Print_Area</vt:lpstr>
      <vt:lpstr>'PT08'!Print_Area</vt:lpstr>
      <vt:lpstr>'TO01'!Print_Area</vt:lpstr>
      <vt:lpstr>'TO02'!Print_Area</vt:lpstr>
      <vt:lpstr>'TO03'!Print_Area</vt:lpstr>
      <vt:lpstr>'TO04'!Print_Area</vt:lpstr>
      <vt:lpstr>'TO05'!Print_Area</vt:lpstr>
      <vt:lpstr>'TO06'!Print_Area</vt:lpstr>
      <vt:lpstr>'TO07'!Print_Area</vt:lpstr>
      <vt:lpstr>'TO08'!Print_Area</vt:lpstr>
      <vt:lpstr>'TO09'!Print_Area</vt:lpstr>
      <vt:lpstr>'TO10'!Print_Area</vt:lpstr>
      <vt:lpstr>'TO11'!Print_Area</vt:lpstr>
      <vt:lpstr>'TO12'!Print_Area</vt:lpstr>
      <vt:lpstr>'TO13'!Print_Area</vt:lpstr>
      <vt:lpstr>'TO14'!Print_Area</vt:lpstr>
      <vt:lpstr>'TO15'!Print_Area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2026-10-08T00:35:11Z</cp:lastPrinted>
  <dcterms:created xsi:type="dcterms:W3CDTF">2018-05-14T06:17:18Z</dcterms:created>
  <dcterms:modified xsi:type="dcterms:W3CDTF">2026-10-08T00:35:12Z</dcterms:modified>
</cp:coreProperties>
</file>