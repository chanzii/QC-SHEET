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2.199\000000022_이봄이\"/>
    </mc:Choice>
  </mc:AlternateContent>
  <xr:revisionPtr revIDLastSave="0" documentId="8_{1AC83DE4-2A23-4354-9D0C-CE1FA7BD938A}" xr6:coauthVersionLast="47" xr6:coauthVersionMax="47" xr10:uidLastSave="{00000000-0000-0000-0000-000000000000}"/>
  <bookViews>
    <workbookView xWindow="28680" yWindow="-120" windowWidth="29040" windowHeight="15720" xr2:uid="{60E282C1-7849-4B1C-AEAA-2242D460E011}"/>
  </bookViews>
  <sheets>
    <sheet name="GTO17" sheetId="1" r:id="rId1"/>
  </sheets>
  <definedNames>
    <definedName name="_xlnm.Print_Area" localSheetId="0">'GTO17'!$A$1:$M$30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3" i="1" l="1"/>
  <c r="J43" i="1" s="1"/>
  <c r="I39" i="1"/>
  <c r="J39" i="1" s="1"/>
  <c r="J37" i="1"/>
  <c r="I37" i="1"/>
  <c r="I35" i="1"/>
  <c r="J35" i="1" s="1"/>
  <c r="I33" i="1"/>
  <c r="J33" i="1" s="1"/>
  <c r="J31" i="1"/>
  <c r="I31" i="1"/>
  <c r="I15" i="1"/>
  <c r="J15" i="1" s="1"/>
  <c r="I13" i="1"/>
  <c r="J13" i="1" s="1"/>
  <c r="J11" i="1"/>
  <c r="I11" i="1"/>
  <c r="I9" i="1"/>
  <c r="J9" i="1" s="1"/>
  <c r="I7" i="1"/>
  <c r="J7" i="1" s="1"/>
  <c r="J5" i="1"/>
  <c r="I5" i="1"/>
  <c r="I3" i="1"/>
  <c r="J3" i="1" s="1"/>
</calcChain>
</file>

<file path=xl/sharedStrings.xml><?xml version="1.0" encoding="utf-8"?>
<sst xmlns="http://schemas.openxmlformats.org/spreadsheetml/2006/main" count="88" uniqueCount="67">
  <si>
    <t>STYLE NO: GYUTO17-K#Y31</t>
    <phoneticPr fontId="3" type="noConversion"/>
  </si>
  <si>
    <t>NO.</t>
    <phoneticPr fontId="3" type="noConversion"/>
  </si>
  <si>
    <t xml:space="preserve">LIST </t>
    <phoneticPr fontId="5" type="noConversion"/>
  </si>
  <si>
    <t xml:space="preserve">MEASURMENT METHOD </t>
    <phoneticPr fontId="5" type="noConversion"/>
  </si>
  <si>
    <t>S</t>
    <phoneticPr fontId="3" type="noConversion"/>
  </si>
  <si>
    <t>M</t>
    <phoneticPr fontId="3" type="noConversion"/>
  </si>
  <si>
    <t>L</t>
    <phoneticPr fontId="3" type="noConversion"/>
  </si>
  <si>
    <t>TOTAL LENGTH</t>
    <phoneticPr fontId="5" type="noConversion"/>
  </si>
  <si>
    <r>
      <t xml:space="preserve">CF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5" type="noConversion"/>
  </si>
  <si>
    <t>총기장(앞중심)</t>
    <phoneticPr fontId="5" type="noConversion"/>
  </si>
  <si>
    <t>앞중심에서 밑단까지의 직선길이</t>
    <phoneticPr fontId="3" type="noConversion"/>
  </si>
  <si>
    <r>
      <t xml:space="preserve">CB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5" type="noConversion"/>
  </si>
  <si>
    <t>총기장(뒤중심)</t>
    <phoneticPr fontId="5" type="noConversion"/>
  </si>
  <si>
    <t>뒤중심에서 밑단까지의 직선길이</t>
    <phoneticPr fontId="3" type="noConversion"/>
  </si>
  <si>
    <t>SHOULDER STRAP</t>
    <phoneticPr fontId="5" type="noConversion"/>
  </si>
  <si>
    <t xml:space="preserve">POINT TO POINT </t>
    <phoneticPr fontId="5" type="noConversion"/>
  </si>
  <si>
    <t>어깨끈길이</t>
    <phoneticPr fontId="2" type="noConversion"/>
  </si>
  <si>
    <t>어깨 양끝점을 수평으로 잰 길이</t>
    <phoneticPr fontId="3" type="noConversion"/>
  </si>
  <si>
    <t>FRONT NECK UPPER CHEST</t>
    <phoneticPr fontId="5" type="noConversion"/>
  </si>
  <si>
    <t>앞목바대폭</t>
    <phoneticPr fontId="2" type="noConversion"/>
  </si>
  <si>
    <t>중심에서 양끝점을 수평으로 잰 길이</t>
    <phoneticPr fontId="3" type="noConversion"/>
  </si>
  <si>
    <t>BACK NECK UPPER CHEST</t>
    <phoneticPr fontId="5" type="noConversion"/>
  </si>
  <si>
    <t>뒷목바대폭</t>
    <phoneticPr fontId="2" type="noConversion"/>
  </si>
  <si>
    <t>CHEST (1/2)</t>
    <phoneticPr fontId="5" type="noConversion"/>
  </si>
  <si>
    <t>START ARM HOLE JOINING POINT TO POINT(1/2)</t>
    <phoneticPr fontId="3" type="noConversion"/>
  </si>
  <si>
    <t>가슴(상동)</t>
    <phoneticPr fontId="3" type="noConversion"/>
  </si>
  <si>
    <t>암홀 겨드랑이 지점에서 수평으로 잰 길이</t>
    <phoneticPr fontId="3" type="noConversion"/>
  </si>
  <si>
    <t>BOTTOM SWEEP (1/2)</t>
    <phoneticPr fontId="5" type="noConversion"/>
  </si>
  <si>
    <t>STRIGHT (1/2)</t>
    <phoneticPr fontId="5" type="noConversion"/>
  </si>
  <si>
    <t>밑단둘레(반품)</t>
  </si>
  <si>
    <t>와끼선의 밑단 양끝점을 수평으로 잰 길이</t>
    <phoneticPr fontId="3" type="noConversion"/>
  </si>
  <si>
    <t xml:space="preserve">ARMHOLE </t>
  </si>
  <si>
    <t xml:space="preserve">STRIGHT </t>
    <phoneticPr fontId="5" type="noConversion"/>
  </si>
  <si>
    <t>암홀길이(직선)</t>
  </si>
  <si>
    <t>어깨끝점과 겨드랑이 점을 직선으로 잰 길이</t>
    <phoneticPr fontId="3" type="noConversion"/>
  </si>
  <si>
    <t>NECK WIDTH</t>
    <phoneticPr fontId="5" type="noConversion"/>
  </si>
  <si>
    <t>WITHOUT NECK BAND</t>
    <phoneticPr fontId="5" type="noConversion"/>
  </si>
  <si>
    <t>옆목너비</t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</si>
  <si>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3" type="noConversion"/>
  </si>
  <si>
    <t xml:space="preserve">FRONT NECK DROP </t>
    <phoneticPr fontId="5" type="noConversion"/>
  </si>
  <si>
    <t xml:space="preserve">MAKE IMAGE LINE TO CENTER NECK FRONT </t>
    <phoneticPr fontId="5" type="noConversion"/>
  </si>
  <si>
    <t>앞목깊이</t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</si>
  <si>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3" type="noConversion"/>
  </si>
  <si>
    <t>NECK</t>
    <phoneticPr fontId="5" type="noConversion"/>
  </si>
  <si>
    <t xml:space="preserve">ROUND ,@ NECK SEWING  LINE </t>
    <phoneticPr fontId="3" type="noConversion"/>
  </si>
  <si>
    <t>목둘레</t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</si>
  <si>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3" type="noConversion"/>
  </si>
  <si>
    <t>SLEEVE LENGTH</t>
    <phoneticPr fontId="5" type="noConversion"/>
  </si>
  <si>
    <t xml:space="preserve">FROM SHOULDER POINT TO EDGE </t>
    <phoneticPr fontId="5" type="noConversion"/>
  </si>
  <si>
    <t>소매기장</t>
  </si>
  <si>
    <t>어깨 끝점에서 소매 부리(밑단) 끝까지의 직선 길이</t>
    <phoneticPr fontId="3" type="noConversion"/>
  </si>
  <si>
    <t>BICEP</t>
    <phoneticPr fontId="5" type="noConversion"/>
  </si>
  <si>
    <t>FROM ARMHOLE JOINING POINT ,CIRCLE ROUND</t>
    <phoneticPr fontId="5" type="noConversion"/>
  </si>
  <si>
    <t>소매통</t>
  </si>
  <si>
    <t>암홀 겨드랑이 지점에서 소매중심의 수직 길이(둘레)</t>
    <phoneticPr fontId="3" type="noConversion"/>
  </si>
  <si>
    <t xml:space="preserve">CUFFS OPENING </t>
    <phoneticPr fontId="5" type="noConversion"/>
  </si>
  <si>
    <t xml:space="preserve">CIRCLE ROUND </t>
    <phoneticPr fontId="5" type="noConversion"/>
  </si>
  <si>
    <t>소매부리</t>
  </si>
  <si>
    <t>소매 밑단(시보리 밑단)의 둘레 길이</t>
    <phoneticPr fontId="3" type="noConversion"/>
  </si>
  <si>
    <t>OUTSIDE TOTAL LENGTH</t>
    <phoneticPr fontId="2" type="noConversion"/>
  </si>
  <si>
    <t>겉-총장(뒤중심)</t>
    <phoneticPr fontId="2" type="noConversion"/>
  </si>
  <si>
    <t>뒤중심에서 밑단까지</t>
    <phoneticPr fontId="2" type="noConversion"/>
  </si>
  <si>
    <t xml:space="preserve">OUTSIDE ACROSS SHOULDER </t>
    <phoneticPr fontId="5" type="noConversion"/>
  </si>
  <si>
    <t>겉-어깨너비</t>
    <phoneticPr fontId="2" type="noConversion"/>
  </si>
  <si>
    <t>OUTSIDE CHEST (1/2)</t>
    <phoneticPr fontId="2" type="noConversion"/>
  </si>
  <si>
    <t>겉-가슴(상동)</t>
    <phoneticPr fontId="2" type="noConversion"/>
  </si>
  <si>
    <t xml:space="preserve">OUTSIDE-ARMHOLE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</si>
</sst>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7.5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indexed="10"/>
      <name val="맑은 고딕"/>
      <family val="3"/>
      <charset val="129"/>
    </font>
    <font>
      <sz val="7.5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6" fillId="2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6" fillId="2" borderId="22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7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6" fillId="2" borderId="30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6" fillId="2" borderId="40" xfId="0" applyFont="1" applyFill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3AC0-2350-4870-BA4D-0169C56A63B6}">
  <sheetPr>
    <tabColor rgb="FFFF0000"/>
    <pageSetUpPr fitToPage="1"/>
  </sheetPr>
  <dimension ref="A1:M51"/>
  <sheetViews>
    <sheetView tabSelected="1" zoomScale="110" zoomScaleNormal="110" workbookViewId="0">
      <selection sqref="A1:M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6.5" customHeight="1" thickBot="1" x14ac:dyDescent="0.35">
      <c r="A2" s="4" t="s">
        <v>1</v>
      </c>
      <c r="B2" s="5" t="s">
        <v>2</v>
      </c>
      <c r="C2" s="5"/>
      <c r="D2" s="5" t="s">
        <v>3</v>
      </c>
      <c r="E2" s="5"/>
      <c r="F2" s="5"/>
      <c r="G2" s="5"/>
      <c r="H2" s="6" t="s">
        <v>4</v>
      </c>
      <c r="I2" s="7" t="s">
        <v>5</v>
      </c>
      <c r="J2" s="7" t="s">
        <v>6</v>
      </c>
      <c r="K2" s="7"/>
      <c r="L2" s="7"/>
      <c r="M2" s="7"/>
    </row>
    <row r="3" spans="1:13" s="15" customFormat="1" ht="14.1" customHeight="1" x14ac:dyDescent="0.3">
      <c r="A3" s="8">
        <v>1</v>
      </c>
      <c r="B3" s="9" t="s">
        <v>7</v>
      </c>
      <c r="C3" s="9"/>
      <c r="D3" s="10" t="s">
        <v>8</v>
      </c>
      <c r="E3" s="10"/>
      <c r="F3" s="10"/>
      <c r="G3" s="11"/>
      <c r="H3" s="12">
        <v>38</v>
      </c>
      <c r="I3" s="13">
        <f>SUM(H3)+2.4</f>
        <v>40.4</v>
      </c>
      <c r="J3" s="13">
        <f>SUM(I3)+2.4</f>
        <v>42.8</v>
      </c>
      <c r="K3" s="13"/>
      <c r="L3" s="13"/>
      <c r="M3" s="14"/>
    </row>
    <row r="4" spans="1:13" s="15" customFormat="1" ht="14.1" customHeight="1" x14ac:dyDescent="0.3">
      <c r="A4" s="16"/>
      <c r="B4" s="17" t="s">
        <v>9</v>
      </c>
      <c r="C4" s="17"/>
      <c r="D4" s="18" t="s">
        <v>10</v>
      </c>
      <c r="E4" s="19"/>
      <c r="F4" s="19"/>
      <c r="G4" s="19"/>
      <c r="H4" s="20"/>
      <c r="I4" s="21"/>
      <c r="J4" s="21"/>
      <c r="K4" s="21"/>
      <c r="L4" s="21"/>
      <c r="M4" s="22"/>
    </row>
    <row r="5" spans="1:13" s="15" customFormat="1" ht="14.1" customHeight="1" x14ac:dyDescent="0.3">
      <c r="A5" s="23">
        <v>2</v>
      </c>
      <c r="B5" s="24" t="s">
        <v>7</v>
      </c>
      <c r="C5" s="24"/>
      <c r="D5" s="25" t="s">
        <v>11</v>
      </c>
      <c r="E5" s="25"/>
      <c r="F5" s="25"/>
      <c r="G5" s="26"/>
      <c r="H5" s="27">
        <v>39</v>
      </c>
      <c r="I5" s="28">
        <f>SUM(H5)+2.5</f>
        <v>41.5</v>
      </c>
      <c r="J5" s="28">
        <f>SUM(I5)+2.5</f>
        <v>44</v>
      </c>
      <c r="K5" s="28"/>
      <c r="L5" s="28"/>
      <c r="M5" s="29"/>
    </row>
    <row r="6" spans="1:13" s="15" customFormat="1" ht="14.1" customHeight="1" x14ac:dyDescent="0.3">
      <c r="A6" s="16"/>
      <c r="B6" s="17" t="s">
        <v>12</v>
      </c>
      <c r="C6" s="17"/>
      <c r="D6" s="18" t="s">
        <v>13</v>
      </c>
      <c r="E6" s="19"/>
      <c r="F6" s="19"/>
      <c r="G6" s="19"/>
      <c r="H6" s="20"/>
      <c r="I6" s="21"/>
      <c r="J6" s="21"/>
      <c r="K6" s="21"/>
      <c r="L6" s="21"/>
      <c r="M6" s="22"/>
    </row>
    <row r="7" spans="1:13" s="15" customFormat="1" ht="14.1" customHeight="1" x14ac:dyDescent="0.3">
      <c r="A7" s="23">
        <v>3</v>
      </c>
      <c r="B7" s="30" t="s">
        <v>14</v>
      </c>
      <c r="C7" s="31"/>
      <c r="D7" s="32" t="s">
        <v>15</v>
      </c>
      <c r="E7" s="33"/>
      <c r="F7" s="33"/>
      <c r="G7" s="34"/>
      <c r="H7" s="27">
        <v>17</v>
      </c>
      <c r="I7" s="28">
        <f>SUM(H7)+0.8</f>
        <v>17.8</v>
      </c>
      <c r="J7" s="28">
        <f>SUM(I7)+0.8</f>
        <v>18.600000000000001</v>
      </c>
      <c r="K7" s="35"/>
      <c r="L7" s="35"/>
      <c r="M7" s="36"/>
    </row>
    <row r="8" spans="1:13" s="15" customFormat="1" ht="14.1" customHeight="1" x14ac:dyDescent="0.3">
      <c r="A8" s="16"/>
      <c r="B8" s="37" t="s">
        <v>16</v>
      </c>
      <c r="C8" s="38"/>
      <c r="D8" s="18" t="s">
        <v>17</v>
      </c>
      <c r="E8" s="19"/>
      <c r="F8" s="19"/>
      <c r="G8" s="39"/>
      <c r="H8" s="20"/>
      <c r="I8" s="21"/>
      <c r="J8" s="21"/>
      <c r="K8" s="35"/>
      <c r="L8" s="35"/>
      <c r="M8" s="36"/>
    </row>
    <row r="9" spans="1:13" s="15" customFormat="1" ht="14.1" customHeight="1" x14ac:dyDescent="0.3">
      <c r="A9" s="23">
        <v>4</v>
      </c>
      <c r="B9" s="40" t="s">
        <v>18</v>
      </c>
      <c r="C9" s="40"/>
      <c r="D9" s="41"/>
      <c r="E9" s="41"/>
      <c r="F9" s="41"/>
      <c r="G9" s="41"/>
      <c r="H9" s="27">
        <v>18</v>
      </c>
      <c r="I9" s="28">
        <f>SUM(H9)+1.4</f>
        <v>19.399999999999999</v>
      </c>
      <c r="J9" s="28">
        <f>SUM(I9)+1.4</f>
        <v>20.799999999999997</v>
      </c>
      <c r="K9" s="35"/>
      <c r="L9" s="35"/>
      <c r="M9" s="36"/>
    </row>
    <row r="10" spans="1:13" s="15" customFormat="1" ht="14.1" customHeight="1" x14ac:dyDescent="0.3">
      <c r="A10" s="16"/>
      <c r="B10" s="17" t="s">
        <v>19</v>
      </c>
      <c r="C10" s="17"/>
      <c r="D10" s="42" t="s">
        <v>20</v>
      </c>
      <c r="E10" s="43"/>
      <c r="F10" s="43"/>
      <c r="G10" s="44"/>
      <c r="H10" s="20"/>
      <c r="I10" s="21"/>
      <c r="J10" s="21"/>
      <c r="K10" s="35"/>
      <c r="L10" s="35"/>
      <c r="M10" s="36"/>
    </row>
    <row r="11" spans="1:13" s="15" customFormat="1" ht="14.1" customHeight="1" x14ac:dyDescent="0.3">
      <c r="A11" s="23">
        <v>5</v>
      </c>
      <c r="B11" s="40" t="s">
        <v>21</v>
      </c>
      <c r="C11" s="40"/>
      <c r="D11" s="41"/>
      <c r="E11" s="41"/>
      <c r="F11" s="41"/>
      <c r="G11" s="41"/>
      <c r="H11" s="27">
        <v>19</v>
      </c>
      <c r="I11" s="28">
        <f>SUM(H11)+1.6</f>
        <v>20.6</v>
      </c>
      <c r="J11" s="28">
        <f>SUM(I11)+1.6</f>
        <v>22.200000000000003</v>
      </c>
      <c r="K11" s="35"/>
      <c r="L11" s="35"/>
      <c r="M11" s="36"/>
    </row>
    <row r="12" spans="1:13" s="15" customFormat="1" ht="14.1" customHeight="1" x14ac:dyDescent="0.3">
      <c r="A12" s="16"/>
      <c r="B12" s="17" t="s">
        <v>22</v>
      </c>
      <c r="C12" s="17"/>
      <c r="D12" s="42" t="s">
        <v>20</v>
      </c>
      <c r="E12" s="43"/>
      <c r="F12" s="43"/>
      <c r="G12" s="44"/>
      <c r="H12" s="20"/>
      <c r="I12" s="21"/>
      <c r="J12" s="21"/>
      <c r="K12" s="35"/>
      <c r="L12" s="35"/>
      <c r="M12" s="36"/>
    </row>
    <row r="13" spans="1:13" s="15" customFormat="1" ht="14.1" customHeight="1" x14ac:dyDescent="0.3">
      <c r="A13" s="23">
        <v>6</v>
      </c>
      <c r="B13" s="40" t="s">
        <v>23</v>
      </c>
      <c r="C13" s="40"/>
      <c r="D13" s="45" t="s">
        <v>24</v>
      </c>
      <c r="E13" s="45"/>
      <c r="F13" s="45"/>
      <c r="G13" s="45"/>
      <c r="H13" s="27">
        <v>37</v>
      </c>
      <c r="I13" s="28">
        <f>SUM(H13)+3</f>
        <v>40</v>
      </c>
      <c r="J13" s="28">
        <f>SUM(I13)+3</f>
        <v>43</v>
      </c>
      <c r="K13" s="35"/>
      <c r="L13" s="35"/>
      <c r="M13" s="36"/>
    </row>
    <row r="14" spans="1:13" s="15" customFormat="1" ht="14.1" customHeight="1" x14ac:dyDescent="0.3">
      <c r="A14" s="16"/>
      <c r="B14" s="17" t="s">
        <v>25</v>
      </c>
      <c r="C14" s="17"/>
      <c r="D14" s="18" t="s">
        <v>26</v>
      </c>
      <c r="E14" s="19"/>
      <c r="F14" s="19"/>
      <c r="G14" s="39"/>
      <c r="H14" s="20"/>
      <c r="I14" s="21"/>
      <c r="J14" s="21"/>
      <c r="K14" s="35"/>
      <c r="L14" s="35"/>
      <c r="M14" s="36"/>
    </row>
    <row r="15" spans="1:13" s="15" customFormat="1" ht="14.1" customHeight="1" x14ac:dyDescent="0.3">
      <c r="A15" s="23">
        <v>7</v>
      </c>
      <c r="B15" s="40" t="s">
        <v>27</v>
      </c>
      <c r="C15" s="40"/>
      <c r="D15" s="45" t="s">
        <v>28</v>
      </c>
      <c r="E15" s="45"/>
      <c r="F15" s="45"/>
      <c r="G15" s="45"/>
      <c r="H15" s="27">
        <v>37</v>
      </c>
      <c r="I15" s="28">
        <f>SUM(H15)+3</f>
        <v>40</v>
      </c>
      <c r="J15" s="28">
        <f>SUM(I15)+3</f>
        <v>43</v>
      </c>
      <c r="K15" s="35"/>
      <c r="L15" s="35"/>
      <c r="M15" s="36"/>
    </row>
    <row r="16" spans="1:13" s="15" customFormat="1" ht="14.1" customHeight="1" x14ac:dyDescent="0.3">
      <c r="A16" s="16"/>
      <c r="B16" s="17" t="s">
        <v>29</v>
      </c>
      <c r="C16" s="17"/>
      <c r="D16" s="18" t="s">
        <v>30</v>
      </c>
      <c r="E16" s="19"/>
      <c r="F16" s="19"/>
      <c r="G16" s="39"/>
      <c r="H16" s="20"/>
      <c r="I16" s="21"/>
      <c r="J16" s="21"/>
      <c r="K16" s="35"/>
      <c r="L16" s="35"/>
      <c r="M16" s="36"/>
    </row>
    <row r="17" spans="1:13" s="15" customFormat="1" ht="14.1" customHeight="1" x14ac:dyDescent="0.3">
      <c r="A17" s="23">
        <v>8</v>
      </c>
      <c r="B17" s="40" t="s">
        <v>31</v>
      </c>
      <c r="C17" s="40"/>
      <c r="D17" s="45" t="s">
        <v>32</v>
      </c>
      <c r="E17" s="45"/>
      <c r="F17" s="45"/>
      <c r="G17" s="45"/>
      <c r="H17" s="46"/>
      <c r="I17" s="35"/>
      <c r="J17" s="35"/>
      <c r="K17" s="35"/>
      <c r="L17" s="35"/>
      <c r="M17" s="36"/>
    </row>
    <row r="18" spans="1:13" s="15" customFormat="1" ht="14.1" customHeight="1" x14ac:dyDescent="0.3">
      <c r="A18" s="16"/>
      <c r="B18" s="17" t="s">
        <v>33</v>
      </c>
      <c r="C18" s="17"/>
      <c r="D18" s="18" t="s">
        <v>34</v>
      </c>
      <c r="E18" s="19"/>
      <c r="F18" s="19"/>
      <c r="G18" s="39"/>
      <c r="H18" s="46"/>
      <c r="I18" s="35"/>
      <c r="J18" s="35"/>
      <c r="K18" s="35"/>
      <c r="L18" s="35"/>
      <c r="M18" s="36"/>
    </row>
    <row r="19" spans="1:13" s="15" customFormat="1" ht="14.1" customHeight="1" x14ac:dyDescent="0.3">
      <c r="A19" s="23">
        <v>9</v>
      </c>
      <c r="B19" s="40" t="s">
        <v>35</v>
      </c>
      <c r="C19" s="40"/>
      <c r="D19" s="45" t="s">
        <v>36</v>
      </c>
      <c r="E19" s="45"/>
      <c r="F19" s="45"/>
      <c r="G19" s="45"/>
      <c r="H19" s="46"/>
      <c r="I19" s="35"/>
      <c r="J19" s="35"/>
      <c r="K19" s="35"/>
      <c r="L19" s="35"/>
      <c r="M19" s="36"/>
    </row>
    <row r="20" spans="1:13" s="15" customFormat="1" ht="14.1" customHeight="1" x14ac:dyDescent="0.3">
      <c r="A20" s="16"/>
      <c r="B20" s="17" t="s">
        <v>37</v>
      </c>
      <c r="C20" s="17"/>
      <c r="D20" s="18" t="s">
        <v>38</v>
      </c>
      <c r="E20" s="19"/>
      <c r="F20" s="19"/>
      <c r="G20" s="39"/>
      <c r="H20" s="46"/>
      <c r="I20" s="35"/>
      <c r="J20" s="35"/>
      <c r="K20" s="35"/>
      <c r="L20" s="35"/>
      <c r="M20" s="36"/>
    </row>
    <row r="21" spans="1:13" s="15" customFormat="1" ht="14.1" customHeight="1" x14ac:dyDescent="0.3">
      <c r="A21" s="23">
        <v>10</v>
      </c>
      <c r="B21" s="40" t="s">
        <v>39</v>
      </c>
      <c r="C21" s="40"/>
      <c r="D21" s="45" t="s">
        <v>40</v>
      </c>
      <c r="E21" s="45"/>
      <c r="F21" s="45"/>
      <c r="G21" s="45"/>
      <c r="H21" s="46"/>
      <c r="I21" s="35"/>
      <c r="J21" s="35"/>
      <c r="K21" s="35"/>
      <c r="L21" s="35"/>
      <c r="M21" s="36"/>
    </row>
    <row r="22" spans="1:13" s="15" customFormat="1" ht="14.1" customHeight="1" x14ac:dyDescent="0.3">
      <c r="A22" s="16"/>
      <c r="B22" s="17" t="s">
        <v>41</v>
      </c>
      <c r="C22" s="17"/>
      <c r="D22" s="18" t="s">
        <v>42</v>
      </c>
      <c r="E22" s="19"/>
      <c r="F22" s="19"/>
      <c r="G22" s="39"/>
      <c r="H22" s="46"/>
      <c r="I22" s="35"/>
      <c r="J22" s="35"/>
      <c r="K22" s="35"/>
      <c r="L22" s="35"/>
      <c r="M22" s="36"/>
    </row>
    <row r="23" spans="1:13" s="15" customFormat="1" ht="14.1" customHeight="1" x14ac:dyDescent="0.3">
      <c r="A23" s="23">
        <v>11</v>
      </c>
      <c r="B23" s="30" t="s">
        <v>43</v>
      </c>
      <c r="C23" s="31"/>
      <c r="D23" s="32" t="s">
        <v>44</v>
      </c>
      <c r="E23" s="33"/>
      <c r="F23" s="33"/>
      <c r="G23" s="34"/>
      <c r="H23" s="46"/>
      <c r="I23" s="35"/>
      <c r="J23" s="35"/>
      <c r="K23" s="35"/>
      <c r="L23" s="35"/>
      <c r="M23" s="36"/>
    </row>
    <row r="24" spans="1:13" s="15" customFormat="1" ht="14.1" customHeight="1" x14ac:dyDescent="0.3">
      <c r="A24" s="16"/>
      <c r="B24" s="17" t="s">
        <v>45</v>
      </c>
      <c r="C24" s="17"/>
      <c r="D24" s="18" t="s">
        <v>46</v>
      </c>
      <c r="E24" s="19"/>
      <c r="F24" s="19"/>
      <c r="G24" s="39"/>
      <c r="H24" s="46"/>
      <c r="I24" s="35"/>
      <c r="J24" s="35"/>
      <c r="K24" s="35"/>
      <c r="L24" s="35"/>
      <c r="M24" s="36"/>
    </row>
    <row r="25" spans="1:13" s="15" customFormat="1" ht="14.1" customHeight="1" x14ac:dyDescent="0.3">
      <c r="A25" s="23">
        <v>12</v>
      </c>
      <c r="B25" s="40" t="s">
        <v>47</v>
      </c>
      <c r="C25" s="40"/>
      <c r="D25" s="45" t="s">
        <v>48</v>
      </c>
      <c r="E25" s="45"/>
      <c r="F25" s="45"/>
      <c r="G25" s="45"/>
      <c r="H25" s="46"/>
      <c r="I25" s="35"/>
      <c r="J25" s="35"/>
      <c r="K25" s="35"/>
      <c r="L25" s="35"/>
      <c r="M25" s="36"/>
    </row>
    <row r="26" spans="1:13" s="15" customFormat="1" ht="14.1" customHeight="1" x14ac:dyDescent="0.3">
      <c r="A26" s="16"/>
      <c r="B26" s="17" t="s">
        <v>49</v>
      </c>
      <c r="C26" s="17"/>
      <c r="D26" s="18" t="s">
        <v>50</v>
      </c>
      <c r="E26" s="19"/>
      <c r="F26" s="19"/>
      <c r="G26" s="39"/>
      <c r="H26" s="46"/>
      <c r="I26" s="35"/>
      <c r="J26" s="35"/>
      <c r="K26" s="35"/>
      <c r="L26" s="35"/>
      <c r="M26" s="36"/>
    </row>
    <row r="27" spans="1:13" s="15" customFormat="1" ht="14.1" customHeight="1" x14ac:dyDescent="0.3">
      <c r="A27" s="23">
        <v>13</v>
      </c>
      <c r="B27" s="40" t="s">
        <v>51</v>
      </c>
      <c r="C27" s="40"/>
      <c r="D27" s="32" t="s">
        <v>52</v>
      </c>
      <c r="E27" s="33"/>
      <c r="F27" s="33"/>
      <c r="G27" s="34"/>
      <c r="H27" s="46"/>
      <c r="I27" s="35"/>
      <c r="J27" s="35"/>
      <c r="K27" s="35"/>
      <c r="L27" s="35"/>
      <c r="M27" s="36"/>
    </row>
    <row r="28" spans="1:13" s="15" customFormat="1" ht="14.1" customHeight="1" x14ac:dyDescent="0.3">
      <c r="A28" s="16"/>
      <c r="B28" s="17" t="s">
        <v>53</v>
      </c>
      <c r="C28" s="17"/>
      <c r="D28" s="18" t="s">
        <v>54</v>
      </c>
      <c r="E28" s="19"/>
      <c r="F28" s="19"/>
      <c r="G28" s="39"/>
      <c r="H28" s="46"/>
      <c r="I28" s="35"/>
      <c r="J28" s="35"/>
      <c r="K28" s="35"/>
      <c r="L28" s="35"/>
      <c r="M28" s="36"/>
    </row>
    <row r="29" spans="1:13" s="15" customFormat="1" ht="14.1" customHeight="1" x14ac:dyDescent="0.3">
      <c r="A29" s="47">
        <v>14</v>
      </c>
      <c r="B29" s="30" t="s">
        <v>55</v>
      </c>
      <c r="C29" s="31"/>
      <c r="D29" s="45" t="s">
        <v>56</v>
      </c>
      <c r="E29" s="45"/>
      <c r="F29" s="45"/>
      <c r="G29" s="45"/>
      <c r="H29" s="46"/>
      <c r="I29" s="35"/>
      <c r="J29" s="35"/>
      <c r="K29" s="35"/>
      <c r="L29" s="35"/>
      <c r="M29" s="36"/>
    </row>
    <row r="30" spans="1:13" s="15" customFormat="1" ht="14.1" customHeight="1" thickBot="1" x14ac:dyDescent="0.35">
      <c r="A30" s="47"/>
      <c r="B30" s="17" t="s">
        <v>57</v>
      </c>
      <c r="C30" s="17"/>
      <c r="D30" s="18" t="s">
        <v>58</v>
      </c>
      <c r="E30" s="19"/>
      <c r="F30" s="19"/>
      <c r="G30" s="39"/>
      <c r="H30" s="46"/>
      <c r="I30" s="35"/>
      <c r="J30" s="35"/>
      <c r="K30" s="35"/>
      <c r="L30" s="35"/>
      <c r="M30" s="36"/>
    </row>
    <row r="31" spans="1:13" ht="14.1" customHeight="1" thickTop="1" x14ac:dyDescent="0.3">
      <c r="A31" s="48">
        <v>15</v>
      </c>
      <c r="B31" s="49" t="s">
        <v>59</v>
      </c>
      <c r="C31" s="50"/>
      <c r="D31" s="51"/>
      <c r="E31" s="52"/>
      <c r="F31" s="52"/>
      <c r="G31" s="53"/>
      <c r="H31" s="54">
        <v>22.6</v>
      </c>
      <c r="I31" s="55">
        <f>SUM(H31)+1.5</f>
        <v>24.1</v>
      </c>
      <c r="J31" s="55">
        <f>SUM(I31)+1.5</f>
        <v>25.6</v>
      </c>
      <c r="K31" s="56"/>
      <c r="L31" s="56"/>
      <c r="M31" s="57"/>
    </row>
    <row r="32" spans="1:13" ht="14.1" customHeight="1" x14ac:dyDescent="0.3">
      <c r="A32" s="23"/>
      <c r="B32" s="37" t="s">
        <v>60</v>
      </c>
      <c r="C32" s="38"/>
      <c r="D32" s="26" t="s">
        <v>61</v>
      </c>
      <c r="E32" s="58"/>
      <c r="F32" s="58"/>
      <c r="G32" s="59"/>
      <c r="H32" s="27"/>
      <c r="I32" s="28"/>
      <c r="J32" s="28"/>
      <c r="K32" s="60"/>
      <c r="L32" s="60"/>
      <c r="M32" s="61"/>
    </row>
    <row r="33" spans="1:13" ht="14.1" customHeight="1" x14ac:dyDescent="0.3">
      <c r="A33" s="47">
        <v>16</v>
      </c>
      <c r="B33" s="30" t="s">
        <v>62</v>
      </c>
      <c r="C33" s="31"/>
      <c r="D33" s="32" t="s">
        <v>15</v>
      </c>
      <c r="E33" s="33"/>
      <c r="F33" s="33"/>
      <c r="G33" s="34"/>
      <c r="H33" s="27">
        <v>34</v>
      </c>
      <c r="I33" s="28">
        <f>SUM(H33)+2.6</f>
        <v>36.6</v>
      </c>
      <c r="J33" s="28">
        <f>SUM(I33)+2.6</f>
        <v>39.200000000000003</v>
      </c>
      <c r="K33" s="35"/>
      <c r="L33" s="35"/>
      <c r="M33" s="36"/>
    </row>
    <row r="34" spans="1:13" ht="14.1" customHeight="1" x14ac:dyDescent="0.3">
      <c r="A34" s="47"/>
      <c r="B34" s="37" t="s">
        <v>63</v>
      </c>
      <c r="C34" s="38"/>
      <c r="D34" s="18" t="s">
        <v>17</v>
      </c>
      <c r="E34" s="19"/>
      <c r="F34" s="19"/>
      <c r="G34" s="39"/>
      <c r="H34" s="20"/>
      <c r="I34" s="21"/>
      <c r="J34" s="21"/>
      <c r="K34" s="35"/>
      <c r="L34" s="35"/>
      <c r="M34" s="36"/>
    </row>
    <row r="35" spans="1:13" ht="14.1" customHeight="1" x14ac:dyDescent="0.3">
      <c r="A35" s="47">
        <v>17</v>
      </c>
      <c r="B35" s="62" t="s">
        <v>64</v>
      </c>
      <c r="C35" s="63"/>
      <c r="D35" s="45" t="s">
        <v>24</v>
      </c>
      <c r="E35" s="45"/>
      <c r="F35" s="45"/>
      <c r="G35" s="45"/>
      <c r="H35" s="46">
        <v>40</v>
      </c>
      <c r="I35" s="35">
        <f>SUM(H35)+3</f>
        <v>43</v>
      </c>
      <c r="J35" s="35">
        <f>SUM(I35)+3</f>
        <v>46</v>
      </c>
      <c r="K35" s="28"/>
      <c r="L35" s="28"/>
      <c r="M35" s="29"/>
    </row>
    <row r="36" spans="1:13" ht="14.1" customHeight="1" x14ac:dyDescent="0.3">
      <c r="A36" s="47"/>
      <c r="B36" s="62" t="s">
        <v>65</v>
      </c>
      <c r="C36" s="63"/>
      <c r="D36" s="18" t="s">
        <v>26</v>
      </c>
      <c r="E36" s="19"/>
      <c r="F36" s="19"/>
      <c r="G36" s="39"/>
      <c r="H36" s="46"/>
      <c r="I36" s="35"/>
      <c r="J36" s="35"/>
      <c r="K36" s="21"/>
      <c r="L36" s="21"/>
      <c r="M36" s="22"/>
    </row>
    <row r="37" spans="1:13" ht="14.1" customHeight="1" x14ac:dyDescent="0.3">
      <c r="A37" s="47">
        <v>18</v>
      </c>
      <c r="B37" s="40" t="s">
        <v>66</v>
      </c>
      <c r="C37" s="40"/>
      <c r="D37" s="45" t="s">
        <v>32</v>
      </c>
      <c r="E37" s="45"/>
      <c r="F37" s="45"/>
      <c r="G37" s="45"/>
      <c r="H37" s="46">
        <v>17.899999999999999</v>
      </c>
      <c r="I37" s="35">
        <f>SUM(H37)+1</f>
        <v>18.899999999999999</v>
      </c>
      <c r="J37" s="35">
        <f>SUM(I37)+1</f>
        <v>19.899999999999999</v>
      </c>
      <c r="K37" s="35"/>
      <c r="L37" s="35"/>
      <c r="M37" s="36"/>
    </row>
    <row r="38" spans="1:13" ht="14.1" customHeight="1" x14ac:dyDescent="0.3">
      <c r="A38" s="47"/>
      <c r="B38" s="17" t="s">
        <v>33</v>
      </c>
      <c r="C38" s="17"/>
      <c r="D38" s="18" t="s">
        <v>34</v>
      </c>
      <c r="E38" s="19"/>
      <c r="F38" s="19"/>
      <c r="G38" s="39"/>
      <c r="H38" s="46"/>
      <c r="I38" s="35"/>
      <c r="J38" s="35"/>
      <c r="K38" s="35"/>
      <c r="L38" s="35"/>
      <c r="M38" s="36"/>
    </row>
    <row r="39" spans="1:13" ht="14.1" customHeight="1" x14ac:dyDescent="0.3">
      <c r="A39" s="47">
        <v>19</v>
      </c>
      <c r="B39" s="40" t="s">
        <v>47</v>
      </c>
      <c r="C39" s="40"/>
      <c r="D39" s="45" t="s">
        <v>48</v>
      </c>
      <c r="E39" s="45"/>
      <c r="F39" s="45"/>
      <c r="G39" s="45"/>
      <c r="H39" s="46">
        <v>16</v>
      </c>
      <c r="I39" s="35">
        <f>SUM(H39)+1.2</f>
        <v>17.2</v>
      </c>
      <c r="J39" s="35">
        <f>SUM(I39)+1.2</f>
        <v>18.399999999999999</v>
      </c>
      <c r="K39" s="28"/>
      <c r="L39" s="28"/>
      <c r="M39" s="29"/>
    </row>
    <row r="40" spans="1:13" ht="14.1" customHeight="1" x14ac:dyDescent="0.3">
      <c r="A40" s="47"/>
      <c r="B40" s="17" t="s">
        <v>49</v>
      </c>
      <c r="C40" s="17"/>
      <c r="D40" s="18" t="s">
        <v>50</v>
      </c>
      <c r="E40" s="19"/>
      <c r="F40" s="19"/>
      <c r="G40" s="39"/>
      <c r="H40" s="46"/>
      <c r="I40" s="35"/>
      <c r="J40" s="35"/>
      <c r="K40" s="21"/>
      <c r="L40" s="21"/>
      <c r="M40" s="22"/>
    </row>
    <row r="41" spans="1:13" ht="14.1" customHeight="1" x14ac:dyDescent="0.3">
      <c r="A41" s="47">
        <v>20</v>
      </c>
      <c r="B41" s="40" t="s">
        <v>51</v>
      </c>
      <c r="C41" s="40"/>
      <c r="D41" s="32" t="s">
        <v>52</v>
      </c>
      <c r="E41" s="33"/>
      <c r="F41" s="33"/>
      <c r="G41" s="34"/>
      <c r="H41" s="20"/>
      <c r="I41" s="35"/>
      <c r="J41" s="35"/>
      <c r="K41" s="60"/>
      <c r="L41" s="60"/>
      <c r="M41" s="61"/>
    </row>
    <row r="42" spans="1:13" ht="14.1" customHeight="1" x14ac:dyDescent="0.3">
      <c r="A42" s="47"/>
      <c r="B42" s="17" t="s">
        <v>53</v>
      </c>
      <c r="C42" s="17"/>
      <c r="D42" s="18" t="s">
        <v>54</v>
      </c>
      <c r="E42" s="19"/>
      <c r="F42" s="19"/>
      <c r="G42" s="39"/>
      <c r="H42" s="27"/>
      <c r="I42" s="35"/>
      <c r="J42" s="35"/>
      <c r="K42" s="60"/>
      <c r="L42" s="60"/>
      <c r="M42" s="61"/>
    </row>
    <row r="43" spans="1:13" ht="14.1" customHeight="1" x14ac:dyDescent="0.3">
      <c r="A43" s="47">
        <v>21</v>
      </c>
      <c r="B43" s="30" t="s">
        <v>55</v>
      </c>
      <c r="C43" s="31"/>
      <c r="D43" s="45" t="s">
        <v>56</v>
      </c>
      <c r="E43" s="45"/>
      <c r="F43" s="45"/>
      <c r="G43" s="45"/>
      <c r="H43" s="46">
        <v>26</v>
      </c>
      <c r="I43" s="35">
        <f>SUM(H43)+1.4</f>
        <v>27.4</v>
      </c>
      <c r="J43" s="35">
        <f>SUM(I43)+1.4</f>
        <v>28.799999999999997</v>
      </c>
      <c r="K43" s="28"/>
      <c r="L43" s="28"/>
      <c r="M43" s="29"/>
    </row>
    <row r="44" spans="1:13" ht="14.1" customHeight="1" thickBot="1" x14ac:dyDescent="0.35">
      <c r="A44" s="64"/>
      <c r="B44" s="65" t="s">
        <v>57</v>
      </c>
      <c r="C44" s="65"/>
      <c r="D44" s="66" t="s">
        <v>58</v>
      </c>
      <c r="E44" s="67"/>
      <c r="F44" s="67"/>
      <c r="G44" s="68"/>
      <c r="H44" s="69"/>
      <c r="I44" s="70"/>
      <c r="J44" s="70"/>
      <c r="K44" s="71"/>
      <c r="L44" s="71"/>
      <c r="M44" s="72"/>
    </row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34"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1:J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7:J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3:J1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9:J10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2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GTO17</vt:lpstr>
      <vt:lpstr>'GTO17'!Print_Area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2026-02-13T01:31:11Z</dcterms:created>
  <dcterms:modified xsi:type="dcterms:W3CDTF">2026-02-13T01:31:36Z</dcterms:modified>
</cp:coreProperties>
</file>